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77F1CED9-58AD-4579-A07C-341F7DA657A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 Dictionary" sheetId="9" r:id="rId1"/>
    <sheet name="Chart" sheetId="21" r:id="rId2"/>
    <sheet name="Sales" sheetId="17" r:id="rId3"/>
    <sheet name="Shipping" sheetId="18" r:id="rId4"/>
    <sheet name="Payment" sheetId="19" r:id="rId5"/>
    <sheet name="Sheet1" sheetId="24" r:id="rId6"/>
    <sheet name="orders" sheetId="3" r:id="rId7"/>
    <sheet name="ordered_items" sheetId="8" r:id="rId8"/>
    <sheet name="product_info" sheetId="10" r:id="rId9"/>
    <sheet name="customer_info" sheetId="5" r:id="rId10"/>
    <sheet name="category" sheetId="4" r:id="rId11"/>
    <sheet name="department" sheetId="7" r:id="rId12"/>
  </sheets>
  <definedNames>
    <definedName name="_xlnm._FilterDatabase" localSheetId="1" hidden="1">Chart!$O$1:$P$1</definedName>
    <definedName name="_xlnm._FilterDatabase" localSheetId="9" hidden="1">customer_info!#REF!</definedName>
    <definedName name="_xlnm._FilterDatabase" localSheetId="0" hidden="1">'Data Dictionary'!$A$1:$C$34</definedName>
    <definedName name="_xlnm._FilterDatabase" localSheetId="7" hidden="1">ordered_items!$A$1:$E$4784</definedName>
    <definedName name="_xlnm._FilterDatabase" localSheetId="6" hidden="1">orders!$A$1:$T$2153</definedName>
    <definedName name="_xlnm._FilterDatabase" localSheetId="2" hidden="1">Sales!$A$1:$M$1</definedName>
    <definedName name="_xlnm._FilterDatabase" localSheetId="3" hidden="1">Shipping!$A$1:$E$1</definedName>
  </definedNames>
  <calcPr calcId="191029" refMode="R1C1"/>
  <pivotCaches>
    <pivotCache cacheId="7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1" l="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" i="21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" i="19"/>
  <c r="E2" i="18"/>
  <c r="E12" i="18"/>
  <c r="E24" i="18"/>
  <c r="E22" i="18"/>
  <c r="E10" i="18"/>
  <c r="E9" i="18"/>
  <c r="E23" i="18"/>
  <c r="E13" i="18"/>
  <c r="E15" i="18"/>
  <c r="E26" i="18"/>
  <c r="E14" i="18"/>
  <c r="E19" i="18"/>
  <c r="E11" i="18"/>
  <c r="E18" i="18"/>
  <c r="E3" i="18"/>
  <c r="E25" i="18"/>
  <c r="E5" i="18"/>
  <c r="E8" i="18"/>
  <c r="E16" i="18"/>
  <c r="E21" i="18"/>
  <c r="E17" i="18"/>
  <c r="E6" i="18"/>
  <c r="E20" i="18"/>
  <c r="E7" i="18"/>
  <c r="E4" i="18"/>
  <c r="E27" i="21"/>
  <c r="F12" i="21" s="1"/>
  <c r="S3" i="3" a="1"/>
  <c r="S3" i="3" s="1"/>
  <c r="S4" i="3" a="1"/>
  <c r="S4" i="3"/>
  <c r="S5" i="3" a="1"/>
  <c r="S5" i="3" s="1"/>
  <c r="S6" i="3" a="1"/>
  <c r="S6" i="3" s="1"/>
  <c r="S7" i="3" a="1"/>
  <c r="S7" i="3" s="1"/>
  <c r="S8" i="3" a="1"/>
  <c r="S8" i="3" s="1"/>
  <c r="S9" i="3" a="1"/>
  <c r="S9" i="3" s="1"/>
  <c r="S10" i="3" a="1"/>
  <c r="S10" i="3"/>
  <c r="S11" i="3" a="1"/>
  <c r="S11" i="3" s="1"/>
  <c r="S12" i="3" a="1"/>
  <c r="S12" i="3"/>
  <c r="S13" i="3" a="1"/>
  <c r="S13" i="3" s="1"/>
  <c r="S14" i="3" a="1"/>
  <c r="S14" i="3" s="1"/>
  <c r="S15" i="3" a="1"/>
  <c r="S15" i="3" s="1"/>
  <c r="S16" i="3" a="1"/>
  <c r="S16" i="3" s="1"/>
  <c r="S17" i="3" a="1"/>
  <c r="S17" i="3" s="1"/>
  <c r="S18" i="3" a="1"/>
  <c r="S18" i="3"/>
  <c r="S19" i="3" a="1"/>
  <c r="S19" i="3" s="1"/>
  <c r="S20" i="3" a="1"/>
  <c r="S20" i="3"/>
  <c r="S21" i="3" a="1"/>
  <c r="S21" i="3" s="1"/>
  <c r="S22" i="3" a="1"/>
  <c r="S22" i="3" s="1"/>
  <c r="S23" i="3" a="1"/>
  <c r="S23" i="3" s="1"/>
  <c r="S24" i="3" a="1"/>
  <c r="S24" i="3" s="1"/>
  <c r="S25" i="3" a="1"/>
  <c r="S25" i="3" s="1"/>
  <c r="S26" i="3" a="1"/>
  <c r="S26" i="3"/>
  <c r="S27" i="3" a="1"/>
  <c r="S27" i="3" s="1"/>
  <c r="S28" i="3" a="1"/>
  <c r="S28" i="3"/>
  <c r="S29" i="3" a="1"/>
  <c r="S29" i="3" s="1"/>
  <c r="S30" i="3" a="1"/>
  <c r="S30" i="3" s="1"/>
  <c r="S31" i="3" a="1"/>
  <c r="S31" i="3" s="1"/>
  <c r="S32" i="3" a="1"/>
  <c r="S32" i="3" s="1"/>
  <c r="S33" i="3" a="1"/>
  <c r="S33" i="3" s="1"/>
  <c r="S34" i="3" a="1"/>
  <c r="S34" i="3"/>
  <c r="S35" i="3" a="1"/>
  <c r="S35" i="3" s="1"/>
  <c r="S36" i="3" a="1"/>
  <c r="S36" i="3"/>
  <c r="S37" i="3" a="1"/>
  <c r="S37" i="3" s="1"/>
  <c r="S38" i="3" a="1"/>
  <c r="S38" i="3" s="1"/>
  <c r="S39" i="3" a="1"/>
  <c r="S39" i="3" s="1"/>
  <c r="S40" i="3" a="1"/>
  <c r="S40" i="3" s="1"/>
  <c r="S41" i="3" a="1"/>
  <c r="S41" i="3" s="1"/>
  <c r="S42" i="3" a="1"/>
  <c r="S42" i="3"/>
  <c r="S43" i="3" a="1"/>
  <c r="S43" i="3" s="1"/>
  <c r="S44" i="3" a="1"/>
  <c r="S44" i="3"/>
  <c r="S45" i="3" a="1"/>
  <c r="S45" i="3" s="1"/>
  <c r="S46" i="3" a="1"/>
  <c r="S46" i="3" s="1"/>
  <c r="S47" i="3" a="1"/>
  <c r="S47" i="3" s="1"/>
  <c r="S48" i="3" a="1"/>
  <c r="S48" i="3" s="1"/>
  <c r="S49" i="3" a="1"/>
  <c r="S49" i="3" s="1"/>
  <c r="S50" i="3" a="1"/>
  <c r="S50" i="3"/>
  <c r="S51" i="3" a="1"/>
  <c r="S51" i="3" s="1"/>
  <c r="S52" i="3" a="1"/>
  <c r="S52" i="3"/>
  <c r="S53" i="3" a="1"/>
  <c r="S53" i="3" s="1"/>
  <c r="S54" i="3" a="1"/>
  <c r="S54" i="3" s="1"/>
  <c r="S55" i="3" a="1"/>
  <c r="S55" i="3" s="1"/>
  <c r="S56" i="3" a="1"/>
  <c r="S56" i="3" s="1"/>
  <c r="S57" i="3" a="1"/>
  <c r="S57" i="3" s="1"/>
  <c r="S58" i="3" a="1"/>
  <c r="S58" i="3"/>
  <c r="S59" i="3" a="1"/>
  <c r="S59" i="3" s="1"/>
  <c r="S60" i="3" a="1"/>
  <c r="S60" i="3"/>
  <c r="S61" i="3" a="1"/>
  <c r="S61" i="3" s="1"/>
  <c r="S62" i="3" a="1"/>
  <c r="S62" i="3" s="1"/>
  <c r="S63" i="3" a="1"/>
  <c r="S63" i="3" s="1"/>
  <c r="S64" i="3" a="1"/>
  <c r="S64" i="3" s="1"/>
  <c r="S65" i="3" a="1"/>
  <c r="S65" i="3" s="1"/>
  <c r="S66" i="3" a="1"/>
  <c r="S66" i="3"/>
  <c r="S67" i="3" a="1"/>
  <c r="S67" i="3" s="1"/>
  <c r="S68" i="3" a="1"/>
  <c r="S68" i="3"/>
  <c r="S69" i="3" a="1"/>
  <c r="S69" i="3" s="1"/>
  <c r="S70" i="3" a="1"/>
  <c r="S70" i="3" s="1"/>
  <c r="S71" i="3" a="1"/>
  <c r="S71" i="3" s="1"/>
  <c r="S72" i="3" a="1"/>
  <c r="S72" i="3" s="1"/>
  <c r="S73" i="3" a="1"/>
  <c r="S73" i="3" s="1"/>
  <c r="S74" i="3" a="1"/>
  <c r="S74" i="3"/>
  <c r="S75" i="3" a="1"/>
  <c r="S75" i="3" s="1"/>
  <c r="S76" i="3" a="1"/>
  <c r="S76" i="3"/>
  <c r="S77" i="3" a="1"/>
  <c r="S77" i="3" s="1"/>
  <c r="S78" i="3" a="1"/>
  <c r="S78" i="3" s="1"/>
  <c r="S79" i="3" a="1"/>
  <c r="S79" i="3" s="1"/>
  <c r="S80" i="3" a="1"/>
  <c r="S80" i="3" s="1"/>
  <c r="S81" i="3" a="1"/>
  <c r="S81" i="3" s="1"/>
  <c r="S82" i="3" a="1"/>
  <c r="S82" i="3"/>
  <c r="S83" i="3" a="1"/>
  <c r="S83" i="3" s="1"/>
  <c r="S84" i="3" a="1"/>
  <c r="S84" i="3"/>
  <c r="S85" i="3" a="1"/>
  <c r="S85" i="3" s="1"/>
  <c r="S86" i="3" a="1"/>
  <c r="S86" i="3" s="1"/>
  <c r="S87" i="3" a="1"/>
  <c r="S87" i="3" s="1"/>
  <c r="S88" i="3" a="1"/>
  <c r="S88" i="3" s="1"/>
  <c r="S89" i="3" a="1"/>
  <c r="S89" i="3" s="1"/>
  <c r="S90" i="3" a="1"/>
  <c r="S90" i="3"/>
  <c r="S91" i="3" a="1"/>
  <c r="S91" i="3" s="1"/>
  <c r="S92" i="3" a="1"/>
  <c r="S92" i="3"/>
  <c r="S93" i="3" a="1"/>
  <c r="S93" i="3" s="1"/>
  <c r="S94" i="3" a="1"/>
  <c r="S94" i="3" s="1"/>
  <c r="S95" i="3" a="1"/>
  <c r="S95" i="3" s="1"/>
  <c r="S96" i="3" a="1"/>
  <c r="S96" i="3" s="1"/>
  <c r="S97" i="3" a="1"/>
  <c r="S97" i="3" s="1"/>
  <c r="S98" i="3" a="1"/>
  <c r="S98" i="3"/>
  <c r="S99" i="3" a="1"/>
  <c r="S99" i="3" s="1"/>
  <c r="S100" i="3" a="1"/>
  <c r="S100" i="3"/>
  <c r="S101" i="3" a="1"/>
  <c r="S101" i="3" s="1"/>
  <c r="S102" i="3" a="1"/>
  <c r="S102" i="3" s="1"/>
  <c r="S103" i="3" a="1"/>
  <c r="S103" i="3" s="1"/>
  <c r="S104" i="3" a="1"/>
  <c r="S104" i="3" s="1"/>
  <c r="S105" i="3" a="1"/>
  <c r="S105" i="3" s="1"/>
  <c r="S106" i="3" a="1"/>
  <c r="S106" i="3"/>
  <c r="S107" i="3" a="1"/>
  <c r="S107" i="3" s="1"/>
  <c r="S108" i="3" a="1"/>
  <c r="S108" i="3"/>
  <c r="S109" i="3" a="1"/>
  <c r="S109" i="3" s="1"/>
  <c r="S110" i="3" a="1"/>
  <c r="S110" i="3" s="1"/>
  <c r="S111" i="3" a="1"/>
  <c r="S111" i="3" s="1"/>
  <c r="S112" i="3" a="1"/>
  <c r="S112" i="3" s="1"/>
  <c r="S113" i="3" a="1"/>
  <c r="S113" i="3" s="1"/>
  <c r="S114" i="3" a="1"/>
  <c r="S114" i="3"/>
  <c r="S115" i="3" a="1"/>
  <c r="S115" i="3" s="1"/>
  <c r="S116" i="3" a="1"/>
  <c r="S116" i="3"/>
  <c r="S117" i="3" a="1"/>
  <c r="S117" i="3" s="1"/>
  <c r="S118" i="3" a="1"/>
  <c r="S118" i="3" s="1"/>
  <c r="S119" i="3" a="1"/>
  <c r="S119" i="3" s="1"/>
  <c r="S120" i="3" a="1"/>
  <c r="S120" i="3" s="1"/>
  <c r="S121" i="3" a="1"/>
  <c r="S121" i="3" s="1"/>
  <c r="S122" i="3" a="1"/>
  <c r="S122" i="3"/>
  <c r="S123" i="3" a="1"/>
  <c r="S123" i="3" s="1"/>
  <c r="S124" i="3" a="1"/>
  <c r="S124" i="3"/>
  <c r="S125" i="3" a="1"/>
  <c r="S125" i="3" s="1"/>
  <c r="S126" i="3" a="1"/>
  <c r="S126" i="3" s="1"/>
  <c r="S127" i="3" a="1"/>
  <c r="S127" i="3" s="1"/>
  <c r="S128" i="3" a="1"/>
  <c r="S128" i="3" s="1"/>
  <c r="S129" i="3" a="1"/>
  <c r="S129" i="3" s="1"/>
  <c r="S130" i="3" a="1"/>
  <c r="S130" i="3"/>
  <c r="S131" i="3" a="1"/>
  <c r="S131" i="3" s="1"/>
  <c r="S132" i="3" a="1"/>
  <c r="S132" i="3"/>
  <c r="S133" i="3" a="1"/>
  <c r="S133" i="3" s="1"/>
  <c r="S134" i="3" a="1"/>
  <c r="S134" i="3" s="1"/>
  <c r="S135" i="3" a="1"/>
  <c r="S135" i="3" s="1"/>
  <c r="S136" i="3" a="1"/>
  <c r="S136" i="3" s="1"/>
  <c r="S137" i="3" a="1"/>
  <c r="S137" i="3" s="1"/>
  <c r="S138" i="3" a="1"/>
  <c r="S138" i="3"/>
  <c r="S139" i="3" a="1"/>
  <c r="S139" i="3" s="1"/>
  <c r="S140" i="3" a="1"/>
  <c r="S140" i="3"/>
  <c r="S141" i="3" a="1"/>
  <c r="S141" i="3" s="1"/>
  <c r="S142" i="3" a="1"/>
  <c r="S142" i="3" s="1"/>
  <c r="S143" i="3" a="1"/>
  <c r="S143" i="3" s="1"/>
  <c r="S144" i="3" a="1"/>
  <c r="S144" i="3" s="1"/>
  <c r="S145" i="3" a="1"/>
  <c r="S145" i="3" s="1"/>
  <c r="S146" i="3" a="1"/>
  <c r="S146" i="3"/>
  <c r="S147" i="3" a="1"/>
  <c r="S147" i="3" s="1"/>
  <c r="S148" i="3" a="1"/>
  <c r="S148" i="3"/>
  <c r="S149" i="3" a="1"/>
  <c r="S149" i="3" s="1"/>
  <c r="S150" i="3" a="1"/>
  <c r="S150" i="3" s="1"/>
  <c r="S151" i="3" a="1"/>
  <c r="S151" i="3" s="1"/>
  <c r="S152" i="3" a="1"/>
  <c r="S152" i="3" s="1"/>
  <c r="S153" i="3" a="1"/>
  <c r="S153" i="3" s="1"/>
  <c r="S154" i="3" a="1"/>
  <c r="S154" i="3"/>
  <c r="S155" i="3" a="1"/>
  <c r="S155" i="3" s="1"/>
  <c r="S156" i="3" a="1"/>
  <c r="S156" i="3"/>
  <c r="S157" i="3" a="1"/>
  <c r="S157" i="3" s="1"/>
  <c r="S158" i="3" a="1"/>
  <c r="S158" i="3" s="1"/>
  <c r="S159" i="3" a="1"/>
  <c r="S159" i="3" s="1"/>
  <c r="S160" i="3" a="1"/>
  <c r="S160" i="3" s="1"/>
  <c r="S161" i="3" a="1"/>
  <c r="S161" i="3" s="1"/>
  <c r="S162" i="3" a="1"/>
  <c r="S162" i="3"/>
  <c r="S163" i="3" a="1"/>
  <c r="S163" i="3" s="1"/>
  <c r="S164" i="3" a="1"/>
  <c r="S164" i="3"/>
  <c r="S165" i="3" a="1"/>
  <c r="S165" i="3" s="1"/>
  <c r="S166" i="3" a="1"/>
  <c r="S166" i="3" s="1"/>
  <c r="S167" i="3" a="1"/>
  <c r="S167" i="3" s="1"/>
  <c r="S168" i="3" a="1"/>
  <c r="S168" i="3" s="1"/>
  <c r="S169" i="3" a="1"/>
  <c r="S169" i="3" s="1"/>
  <c r="S170" i="3" a="1"/>
  <c r="S170" i="3"/>
  <c r="S171" i="3" a="1"/>
  <c r="S171" i="3" s="1"/>
  <c r="S172" i="3" a="1"/>
  <c r="S172" i="3"/>
  <c r="S173" i="3" a="1"/>
  <c r="S173" i="3" s="1"/>
  <c r="S174" i="3" a="1"/>
  <c r="S174" i="3"/>
  <c r="S175" i="3" a="1"/>
  <c r="S175" i="3" s="1"/>
  <c r="S176" i="3" a="1"/>
  <c r="S176" i="3"/>
  <c r="S177" i="3" a="1"/>
  <c r="S177" i="3" s="1"/>
  <c r="S178" i="3" a="1"/>
  <c r="S178" i="3"/>
  <c r="S179" i="3" a="1"/>
  <c r="S179" i="3" s="1"/>
  <c r="S180" i="3" a="1"/>
  <c r="S180" i="3"/>
  <c r="S181" i="3" a="1"/>
  <c r="S181" i="3" s="1"/>
  <c r="S182" i="3" a="1"/>
  <c r="S182" i="3"/>
  <c r="S183" i="3" a="1"/>
  <c r="S183" i="3" s="1"/>
  <c r="S184" i="3" a="1"/>
  <c r="S184" i="3"/>
  <c r="S185" i="3" a="1"/>
  <c r="S185" i="3" s="1"/>
  <c r="S186" i="3" a="1"/>
  <c r="S186" i="3"/>
  <c r="S187" i="3" a="1"/>
  <c r="S187" i="3" s="1"/>
  <c r="S188" i="3" a="1"/>
  <c r="S188" i="3"/>
  <c r="S189" i="3" a="1"/>
  <c r="S189" i="3" s="1"/>
  <c r="S190" i="3" a="1"/>
  <c r="S190" i="3"/>
  <c r="S191" i="3" a="1"/>
  <c r="S191" i="3" s="1"/>
  <c r="S192" i="3" a="1"/>
  <c r="S192" i="3"/>
  <c r="S193" i="3" a="1"/>
  <c r="S193" i="3" s="1"/>
  <c r="S194" i="3" a="1"/>
  <c r="S194" i="3" s="1"/>
  <c r="S195" i="3" a="1"/>
  <c r="S195" i="3" s="1"/>
  <c r="S196" i="3" a="1"/>
  <c r="S196" i="3" s="1"/>
  <c r="S197" i="3" a="1"/>
  <c r="S197" i="3" s="1"/>
  <c r="S198" i="3" a="1"/>
  <c r="S198" i="3" s="1"/>
  <c r="S199" i="3" a="1"/>
  <c r="S199" i="3" s="1"/>
  <c r="S200" i="3" a="1"/>
  <c r="S200" i="3" s="1"/>
  <c r="S201" i="3" a="1"/>
  <c r="S201" i="3" s="1"/>
  <c r="S202" i="3" a="1"/>
  <c r="S202" i="3" s="1"/>
  <c r="S203" i="3" a="1"/>
  <c r="S203" i="3" s="1"/>
  <c r="S204" i="3" a="1"/>
  <c r="S204" i="3" s="1"/>
  <c r="S205" i="3" a="1"/>
  <c r="S205" i="3" s="1"/>
  <c r="S206" i="3" a="1"/>
  <c r="S206" i="3" s="1"/>
  <c r="S207" i="3" a="1"/>
  <c r="S207" i="3" s="1"/>
  <c r="S208" i="3" a="1"/>
  <c r="S208" i="3" s="1"/>
  <c r="S209" i="3" a="1"/>
  <c r="S209" i="3" s="1"/>
  <c r="S210" i="3" a="1"/>
  <c r="S210" i="3" s="1"/>
  <c r="S211" i="3" a="1"/>
  <c r="S211" i="3" s="1"/>
  <c r="S212" i="3" a="1"/>
  <c r="S212" i="3" s="1"/>
  <c r="S213" i="3" a="1"/>
  <c r="S213" i="3" s="1"/>
  <c r="S214" i="3" a="1"/>
  <c r="S214" i="3" s="1"/>
  <c r="S215" i="3" a="1"/>
  <c r="S215" i="3" s="1"/>
  <c r="S216" i="3" a="1"/>
  <c r="S216" i="3" s="1"/>
  <c r="S217" i="3" a="1"/>
  <c r="S217" i="3" s="1"/>
  <c r="S218" i="3" a="1"/>
  <c r="S218" i="3" s="1"/>
  <c r="S219" i="3" a="1"/>
  <c r="S219" i="3" s="1"/>
  <c r="S220" i="3" a="1"/>
  <c r="S220" i="3" s="1"/>
  <c r="S221" i="3" a="1"/>
  <c r="S221" i="3" s="1"/>
  <c r="S222" i="3" a="1"/>
  <c r="S222" i="3" s="1"/>
  <c r="S223" i="3" a="1"/>
  <c r="S223" i="3" s="1"/>
  <c r="S224" i="3" a="1"/>
  <c r="S224" i="3" s="1"/>
  <c r="S225" i="3" a="1"/>
  <c r="S225" i="3" s="1"/>
  <c r="S226" i="3" a="1"/>
  <c r="S226" i="3" s="1"/>
  <c r="S227" i="3" a="1"/>
  <c r="S227" i="3" s="1"/>
  <c r="S228" i="3" a="1"/>
  <c r="S228" i="3" s="1"/>
  <c r="S229" i="3" a="1"/>
  <c r="S229" i="3" s="1"/>
  <c r="S230" i="3" a="1"/>
  <c r="S230" i="3" s="1"/>
  <c r="S231" i="3" a="1"/>
  <c r="S231" i="3" s="1"/>
  <c r="S232" i="3" a="1"/>
  <c r="S232" i="3" s="1"/>
  <c r="S233" i="3" a="1"/>
  <c r="S233" i="3" s="1"/>
  <c r="S234" i="3" a="1"/>
  <c r="S234" i="3" s="1"/>
  <c r="S235" i="3" a="1"/>
  <c r="S235" i="3" s="1"/>
  <c r="S236" i="3" a="1"/>
  <c r="S236" i="3" s="1"/>
  <c r="S237" i="3" a="1"/>
  <c r="S237" i="3" s="1"/>
  <c r="S238" i="3" a="1"/>
  <c r="S238" i="3" s="1"/>
  <c r="S239" i="3" a="1"/>
  <c r="S239" i="3" s="1"/>
  <c r="S240" i="3" a="1"/>
  <c r="S240" i="3" s="1"/>
  <c r="S241" i="3" a="1"/>
  <c r="S241" i="3" s="1"/>
  <c r="S242" i="3" a="1"/>
  <c r="S242" i="3" s="1"/>
  <c r="S243" i="3" a="1"/>
  <c r="S243" i="3" s="1"/>
  <c r="S244" i="3" a="1"/>
  <c r="S244" i="3" s="1"/>
  <c r="S245" i="3" a="1"/>
  <c r="S245" i="3" s="1"/>
  <c r="S246" i="3" a="1"/>
  <c r="S246" i="3" s="1"/>
  <c r="S247" i="3" a="1"/>
  <c r="S247" i="3" s="1"/>
  <c r="S248" i="3" a="1"/>
  <c r="S248" i="3" s="1"/>
  <c r="S249" i="3" a="1"/>
  <c r="S249" i="3" s="1"/>
  <c r="S250" i="3" a="1"/>
  <c r="S250" i="3" s="1"/>
  <c r="S251" i="3" a="1"/>
  <c r="S251" i="3" s="1"/>
  <c r="S252" i="3" a="1"/>
  <c r="S252" i="3" s="1"/>
  <c r="S253" i="3" a="1"/>
  <c r="S253" i="3" s="1"/>
  <c r="S254" i="3" a="1"/>
  <c r="S254" i="3" s="1"/>
  <c r="S255" i="3" a="1"/>
  <c r="S255" i="3" s="1"/>
  <c r="S256" i="3" a="1"/>
  <c r="S256" i="3" s="1"/>
  <c r="S257" i="3" a="1"/>
  <c r="S257" i="3" s="1"/>
  <c r="S258" i="3" a="1"/>
  <c r="S258" i="3" s="1"/>
  <c r="S259" i="3" a="1"/>
  <c r="S259" i="3" s="1"/>
  <c r="S260" i="3" a="1"/>
  <c r="S260" i="3" s="1"/>
  <c r="S261" i="3" a="1"/>
  <c r="S261" i="3" s="1"/>
  <c r="S262" i="3" a="1"/>
  <c r="S262" i="3" s="1"/>
  <c r="S263" i="3" a="1"/>
  <c r="S263" i="3" s="1"/>
  <c r="S264" i="3" a="1"/>
  <c r="S264" i="3" s="1"/>
  <c r="S265" i="3" a="1"/>
  <c r="S265" i="3" s="1"/>
  <c r="S266" i="3" a="1"/>
  <c r="S266" i="3" s="1"/>
  <c r="S267" i="3" a="1"/>
  <c r="S267" i="3" s="1"/>
  <c r="S268" i="3" a="1"/>
  <c r="S268" i="3" s="1"/>
  <c r="S269" i="3" a="1"/>
  <c r="S269" i="3" s="1"/>
  <c r="S270" i="3" a="1"/>
  <c r="S270" i="3" s="1"/>
  <c r="S271" i="3" a="1"/>
  <c r="S271" i="3" s="1"/>
  <c r="S272" i="3" a="1"/>
  <c r="S272" i="3" s="1"/>
  <c r="S273" i="3" a="1"/>
  <c r="S273" i="3" s="1"/>
  <c r="S274" i="3" a="1"/>
  <c r="S274" i="3" s="1"/>
  <c r="S275" i="3" a="1"/>
  <c r="S275" i="3" s="1"/>
  <c r="S276" i="3" a="1"/>
  <c r="S276" i="3" s="1"/>
  <c r="S277" i="3" a="1"/>
  <c r="S277" i="3" s="1"/>
  <c r="S278" i="3" a="1"/>
  <c r="S278" i="3" s="1"/>
  <c r="S279" i="3" a="1"/>
  <c r="S279" i="3" s="1"/>
  <c r="S280" i="3" a="1"/>
  <c r="S280" i="3" s="1"/>
  <c r="S281" i="3" a="1"/>
  <c r="S281" i="3" s="1"/>
  <c r="S282" i="3" a="1"/>
  <c r="S282" i="3" s="1"/>
  <c r="S283" i="3" a="1"/>
  <c r="S283" i="3" s="1"/>
  <c r="S284" i="3" a="1"/>
  <c r="S284" i="3" s="1"/>
  <c r="S285" i="3" a="1"/>
  <c r="S285" i="3" s="1"/>
  <c r="S286" i="3" a="1"/>
  <c r="S286" i="3" s="1"/>
  <c r="S287" i="3" a="1"/>
  <c r="S287" i="3" s="1"/>
  <c r="S288" i="3" a="1"/>
  <c r="S288" i="3" s="1"/>
  <c r="S289" i="3" a="1"/>
  <c r="S289" i="3" s="1"/>
  <c r="S290" i="3" a="1"/>
  <c r="S290" i="3" s="1"/>
  <c r="S291" i="3" a="1"/>
  <c r="S291" i="3" s="1"/>
  <c r="S292" i="3" a="1"/>
  <c r="S292" i="3" s="1"/>
  <c r="S293" i="3" a="1"/>
  <c r="S293" i="3" s="1"/>
  <c r="S294" i="3" a="1"/>
  <c r="S294" i="3" s="1"/>
  <c r="S295" i="3" a="1"/>
  <c r="S295" i="3" s="1"/>
  <c r="S296" i="3" a="1"/>
  <c r="S296" i="3" s="1"/>
  <c r="S297" i="3" a="1"/>
  <c r="S297" i="3" s="1"/>
  <c r="S298" i="3" a="1"/>
  <c r="S298" i="3" s="1"/>
  <c r="S299" i="3" a="1"/>
  <c r="S299" i="3" s="1"/>
  <c r="S300" i="3" a="1"/>
  <c r="S300" i="3" s="1"/>
  <c r="S301" i="3" a="1"/>
  <c r="S301" i="3" s="1"/>
  <c r="S302" i="3" a="1"/>
  <c r="S302" i="3"/>
  <c r="S303" i="3" a="1"/>
  <c r="S303" i="3" s="1"/>
  <c r="S304" i="3" a="1"/>
  <c r="S304" i="3" s="1"/>
  <c r="S305" i="3" a="1"/>
  <c r="S305" i="3"/>
  <c r="S306" i="3" a="1"/>
  <c r="S306" i="3" s="1"/>
  <c r="S307" i="3" a="1"/>
  <c r="S307" i="3"/>
  <c r="S308" i="3" a="1"/>
  <c r="S308" i="3" s="1"/>
  <c r="S309" i="3" a="1"/>
  <c r="S309" i="3" s="1"/>
  <c r="S310" i="3" a="1"/>
  <c r="S310" i="3" s="1"/>
  <c r="S311" i="3" a="1"/>
  <c r="S311" i="3" s="1"/>
  <c r="S312" i="3" a="1"/>
  <c r="S312" i="3" s="1"/>
  <c r="S313" i="3" a="1"/>
  <c r="S313" i="3"/>
  <c r="S314" i="3" a="1"/>
  <c r="S314" i="3" s="1"/>
  <c r="S315" i="3" a="1"/>
  <c r="S315" i="3"/>
  <c r="S316" i="3" a="1"/>
  <c r="S316" i="3" s="1"/>
  <c r="S317" i="3" a="1"/>
  <c r="S317" i="3" s="1"/>
  <c r="S318" i="3" a="1"/>
  <c r="S318" i="3" s="1"/>
  <c r="S319" i="3" a="1"/>
  <c r="S319" i="3" s="1"/>
  <c r="S320" i="3" a="1"/>
  <c r="S320" i="3" s="1"/>
  <c r="S321" i="3" a="1"/>
  <c r="S321" i="3"/>
  <c r="S322" i="3" a="1"/>
  <c r="S322" i="3" s="1"/>
  <c r="S323" i="3" a="1"/>
  <c r="S323" i="3"/>
  <c r="S324" i="3" a="1"/>
  <c r="S324" i="3" s="1"/>
  <c r="S325" i="3" a="1"/>
  <c r="S325" i="3" s="1"/>
  <c r="S326" i="3" a="1"/>
  <c r="S326" i="3" s="1"/>
  <c r="S327" i="3" a="1"/>
  <c r="S327" i="3" s="1"/>
  <c r="S328" i="3" a="1"/>
  <c r="S328" i="3" s="1"/>
  <c r="S329" i="3" a="1"/>
  <c r="S329" i="3"/>
  <c r="S330" i="3" a="1"/>
  <c r="S330" i="3" s="1"/>
  <c r="S331" i="3" a="1"/>
  <c r="S331" i="3"/>
  <c r="S332" i="3" a="1"/>
  <c r="S332" i="3" s="1"/>
  <c r="S333" i="3" a="1"/>
  <c r="S333" i="3" s="1"/>
  <c r="S334" i="3" a="1"/>
  <c r="S334" i="3" s="1"/>
  <c r="S335" i="3" a="1"/>
  <c r="S335" i="3" s="1"/>
  <c r="S336" i="3" a="1"/>
  <c r="S336" i="3" s="1"/>
  <c r="S337" i="3" a="1"/>
  <c r="S337" i="3"/>
  <c r="S338" i="3" a="1"/>
  <c r="S338" i="3" s="1"/>
  <c r="S339" i="3" a="1"/>
  <c r="S339" i="3"/>
  <c r="S340" i="3" a="1"/>
  <c r="S340" i="3" s="1"/>
  <c r="S341" i="3" a="1"/>
  <c r="S341" i="3" s="1"/>
  <c r="S342" i="3" a="1"/>
  <c r="S342" i="3" s="1"/>
  <c r="S343" i="3" a="1"/>
  <c r="S343" i="3" s="1"/>
  <c r="S344" i="3" a="1"/>
  <c r="S344" i="3" s="1"/>
  <c r="S345" i="3" a="1"/>
  <c r="S345" i="3"/>
  <c r="S346" i="3" a="1"/>
  <c r="S346" i="3" s="1"/>
  <c r="S347" i="3" a="1"/>
  <c r="S347" i="3"/>
  <c r="S348" i="3" a="1"/>
  <c r="S348" i="3" s="1"/>
  <c r="S349" i="3" a="1"/>
  <c r="S349" i="3" s="1"/>
  <c r="S350" i="3" a="1"/>
  <c r="S350" i="3" s="1"/>
  <c r="S351" i="3" a="1"/>
  <c r="S351" i="3" s="1"/>
  <c r="S352" i="3" a="1"/>
  <c r="S352" i="3" s="1"/>
  <c r="S353" i="3" a="1"/>
  <c r="S353" i="3"/>
  <c r="S354" i="3" a="1"/>
  <c r="S354" i="3" s="1"/>
  <c r="S355" i="3" a="1"/>
  <c r="S355" i="3"/>
  <c r="S356" i="3" a="1"/>
  <c r="S356" i="3" s="1"/>
  <c r="S357" i="3" a="1"/>
  <c r="S357" i="3" s="1"/>
  <c r="S358" i="3" a="1"/>
  <c r="S358" i="3" s="1"/>
  <c r="S359" i="3" a="1"/>
  <c r="S359" i="3" s="1"/>
  <c r="S360" i="3" a="1"/>
  <c r="S360" i="3" s="1"/>
  <c r="S361" i="3" a="1"/>
  <c r="S361" i="3"/>
  <c r="S362" i="3" a="1"/>
  <c r="S362" i="3" s="1"/>
  <c r="S363" i="3" a="1"/>
  <c r="S363" i="3"/>
  <c r="S364" i="3" a="1"/>
  <c r="S364" i="3" s="1"/>
  <c r="S365" i="3" a="1"/>
  <c r="S365" i="3" s="1"/>
  <c r="S366" i="3" a="1"/>
  <c r="S366" i="3" s="1"/>
  <c r="S367" i="3" a="1"/>
  <c r="S367" i="3" s="1"/>
  <c r="S368" i="3" a="1"/>
  <c r="S368" i="3" s="1"/>
  <c r="S369" i="3" a="1"/>
  <c r="S369" i="3"/>
  <c r="S370" i="3" a="1"/>
  <c r="S370" i="3" s="1"/>
  <c r="S371" i="3" a="1"/>
  <c r="S371" i="3"/>
  <c r="S372" i="3" a="1"/>
  <c r="S372" i="3" s="1"/>
  <c r="S373" i="3" a="1"/>
  <c r="S373" i="3" s="1"/>
  <c r="S374" i="3" a="1"/>
  <c r="S374" i="3" s="1"/>
  <c r="S375" i="3" a="1"/>
  <c r="S375" i="3" s="1"/>
  <c r="S376" i="3" a="1"/>
  <c r="S376" i="3" s="1"/>
  <c r="S377" i="3" a="1"/>
  <c r="S377" i="3"/>
  <c r="S378" i="3" a="1"/>
  <c r="S378" i="3" s="1"/>
  <c r="S379" i="3" a="1"/>
  <c r="S379" i="3"/>
  <c r="S380" i="3" a="1"/>
  <c r="S380" i="3" s="1"/>
  <c r="S381" i="3" a="1"/>
  <c r="S381" i="3" s="1"/>
  <c r="S382" i="3" a="1"/>
  <c r="S382" i="3" s="1"/>
  <c r="S383" i="3" a="1"/>
  <c r="S383" i="3" s="1"/>
  <c r="S384" i="3" a="1"/>
  <c r="S384" i="3" s="1"/>
  <c r="S385" i="3" a="1"/>
  <c r="S385" i="3"/>
  <c r="S386" i="3" a="1"/>
  <c r="S386" i="3" s="1"/>
  <c r="S387" i="3" a="1"/>
  <c r="S387" i="3"/>
  <c r="S388" i="3" a="1"/>
  <c r="S388" i="3" s="1"/>
  <c r="S389" i="3" a="1"/>
  <c r="S389" i="3" s="1"/>
  <c r="S390" i="3" a="1"/>
  <c r="S390" i="3" s="1"/>
  <c r="S391" i="3" a="1"/>
  <c r="S391" i="3" s="1"/>
  <c r="S392" i="3" a="1"/>
  <c r="S392" i="3" s="1"/>
  <c r="S393" i="3" a="1"/>
  <c r="S393" i="3"/>
  <c r="S394" i="3" a="1"/>
  <c r="S394" i="3" s="1"/>
  <c r="S395" i="3" a="1"/>
  <c r="S395" i="3"/>
  <c r="S396" i="3" a="1"/>
  <c r="S396" i="3" s="1"/>
  <c r="S397" i="3" a="1"/>
  <c r="S397" i="3" s="1"/>
  <c r="S398" i="3" a="1"/>
  <c r="S398" i="3" s="1"/>
  <c r="S399" i="3" a="1"/>
  <c r="S399" i="3" s="1"/>
  <c r="S400" i="3" a="1"/>
  <c r="S400" i="3" s="1"/>
  <c r="S401" i="3" a="1"/>
  <c r="S401" i="3"/>
  <c r="S402" i="3" a="1"/>
  <c r="S402" i="3" s="1"/>
  <c r="S403" i="3" a="1"/>
  <c r="S403" i="3"/>
  <c r="S404" i="3" a="1"/>
  <c r="S404" i="3" s="1"/>
  <c r="S405" i="3" a="1"/>
  <c r="S405" i="3" s="1"/>
  <c r="S406" i="3" a="1"/>
  <c r="S406" i="3" s="1"/>
  <c r="S407" i="3" a="1"/>
  <c r="S407" i="3" s="1"/>
  <c r="S408" i="3" a="1"/>
  <c r="S408" i="3" s="1"/>
  <c r="S409" i="3" a="1"/>
  <c r="S409" i="3"/>
  <c r="S410" i="3" a="1"/>
  <c r="S410" i="3" s="1"/>
  <c r="S411" i="3" a="1"/>
  <c r="S411" i="3"/>
  <c r="S412" i="3" a="1"/>
  <c r="S412" i="3" s="1"/>
  <c r="S413" i="3" a="1"/>
  <c r="S413" i="3" s="1"/>
  <c r="S414" i="3" a="1"/>
  <c r="S414" i="3" s="1"/>
  <c r="S415" i="3" a="1"/>
  <c r="S415" i="3" s="1"/>
  <c r="S416" i="3" a="1"/>
  <c r="S416" i="3" s="1"/>
  <c r="S417" i="3" a="1"/>
  <c r="S417" i="3"/>
  <c r="S418" i="3" a="1"/>
  <c r="S418" i="3" s="1"/>
  <c r="S419" i="3" a="1"/>
  <c r="S419" i="3"/>
  <c r="S420" i="3" a="1"/>
  <c r="S420" i="3" s="1"/>
  <c r="S421" i="3" a="1"/>
  <c r="S421" i="3" s="1"/>
  <c r="S422" i="3" a="1"/>
  <c r="S422" i="3" s="1"/>
  <c r="S423" i="3" a="1"/>
  <c r="S423" i="3"/>
  <c r="S424" i="3" a="1"/>
  <c r="S424" i="3" s="1"/>
  <c r="S425" i="3" a="1"/>
  <c r="S425" i="3"/>
  <c r="S426" i="3" a="1"/>
  <c r="S426" i="3" s="1"/>
  <c r="S427" i="3" a="1"/>
  <c r="S427" i="3"/>
  <c r="S428" i="3" a="1"/>
  <c r="S428" i="3" s="1"/>
  <c r="S429" i="3" a="1"/>
  <c r="S429" i="3" s="1"/>
  <c r="S430" i="3" a="1"/>
  <c r="S430" i="3" s="1"/>
  <c r="S431" i="3" a="1"/>
  <c r="S431" i="3" s="1"/>
  <c r="S432" i="3" a="1"/>
  <c r="S432" i="3" s="1"/>
  <c r="S433" i="3" a="1"/>
  <c r="S433" i="3"/>
  <c r="S434" i="3" a="1"/>
  <c r="S434" i="3" s="1"/>
  <c r="S435" i="3" a="1"/>
  <c r="S435" i="3"/>
  <c r="S436" i="3" a="1"/>
  <c r="S436" i="3" s="1"/>
  <c r="S437" i="3" a="1"/>
  <c r="S437" i="3" s="1"/>
  <c r="S438" i="3" a="1"/>
  <c r="S438" i="3" s="1"/>
  <c r="S439" i="3" a="1"/>
  <c r="S439" i="3"/>
  <c r="S440" i="3" a="1"/>
  <c r="S440" i="3" s="1"/>
  <c r="S441" i="3" a="1"/>
  <c r="S441" i="3"/>
  <c r="S442" i="3" a="1"/>
  <c r="S442" i="3" s="1"/>
  <c r="S443" i="3" a="1"/>
  <c r="S443" i="3"/>
  <c r="S444" i="3" a="1"/>
  <c r="S444" i="3" s="1"/>
  <c r="S445" i="3" a="1"/>
  <c r="S445" i="3" s="1"/>
  <c r="S446" i="3" a="1"/>
  <c r="S446" i="3" s="1"/>
  <c r="S447" i="3" a="1"/>
  <c r="S447" i="3" s="1"/>
  <c r="S448" i="3" a="1"/>
  <c r="S448" i="3" s="1"/>
  <c r="S449" i="3" a="1"/>
  <c r="S449" i="3"/>
  <c r="S450" i="3" a="1"/>
  <c r="S450" i="3" s="1"/>
  <c r="S451" i="3" a="1"/>
  <c r="S451" i="3"/>
  <c r="S452" i="3" a="1"/>
  <c r="S452" i="3" s="1"/>
  <c r="S453" i="3" a="1"/>
  <c r="S453" i="3" s="1"/>
  <c r="S454" i="3" a="1"/>
  <c r="S454" i="3" s="1"/>
  <c r="S455" i="3" a="1"/>
  <c r="S455" i="3" s="1"/>
  <c r="S456" i="3" a="1"/>
  <c r="S456" i="3" s="1"/>
  <c r="S457" i="3" a="1"/>
  <c r="S457" i="3"/>
  <c r="S458" i="3" a="1"/>
  <c r="S458" i="3" s="1"/>
  <c r="S459" i="3" a="1"/>
  <c r="S459" i="3"/>
  <c r="S460" i="3" a="1"/>
  <c r="S460" i="3" s="1"/>
  <c r="S461" i="3" a="1"/>
  <c r="S461" i="3" s="1"/>
  <c r="S462" i="3" a="1"/>
  <c r="S462" i="3" s="1"/>
  <c r="S463" i="3" a="1"/>
  <c r="S463" i="3" s="1"/>
  <c r="S464" i="3" a="1"/>
  <c r="S464" i="3" s="1"/>
  <c r="S465" i="3" a="1"/>
  <c r="S465" i="3"/>
  <c r="S466" i="3" a="1"/>
  <c r="S466" i="3" s="1"/>
  <c r="S467" i="3" a="1"/>
  <c r="S467" i="3"/>
  <c r="S468" i="3" a="1"/>
  <c r="S468" i="3" s="1"/>
  <c r="S469" i="3" a="1"/>
  <c r="S469" i="3" s="1"/>
  <c r="S470" i="3" a="1"/>
  <c r="S470" i="3" s="1"/>
  <c r="S471" i="3" a="1"/>
  <c r="S471" i="3"/>
  <c r="S472" i="3" a="1"/>
  <c r="S472" i="3" s="1"/>
  <c r="S473" i="3" a="1"/>
  <c r="S473" i="3"/>
  <c r="S474" i="3" a="1"/>
  <c r="S474" i="3" s="1"/>
  <c r="S475" i="3" a="1"/>
  <c r="S475" i="3"/>
  <c r="S476" i="3" a="1"/>
  <c r="S476" i="3" s="1"/>
  <c r="S477" i="3" a="1"/>
  <c r="S477" i="3"/>
  <c r="S478" i="3" a="1"/>
  <c r="S478" i="3" s="1"/>
  <c r="S479" i="3" a="1"/>
  <c r="S479" i="3"/>
  <c r="S480" i="3" a="1"/>
  <c r="S480" i="3" s="1"/>
  <c r="S481" i="3" a="1"/>
  <c r="S481" i="3" s="1"/>
  <c r="S482" i="3" a="1"/>
  <c r="S482" i="3" s="1"/>
  <c r="S483" i="3" a="1"/>
  <c r="S483" i="3" s="1"/>
  <c r="S484" i="3" a="1"/>
  <c r="S484" i="3" s="1"/>
  <c r="S485" i="3" a="1"/>
  <c r="S485" i="3" s="1"/>
  <c r="S486" i="3" a="1"/>
  <c r="S486" i="3" s="1"/>
  <c r="S487" i="3" a="1"/>
  <c r="S487" i="3"/>
  <c r="S488" i="3" a="1"/>
  <c r="S488" i="3" s="1"/>
  <c r="S489" i="3" a="1"/>
  <c r="S489" i="3" s="1"/>
  <c r="S490" i="3" a="1"/>
  <c r="S490" i="3" s="1"/>
  <c r="S491" i="3" a="1"/>
  <c r="S491" i="3" s="1"/>
  <c r="S492" i="3" a="1"/>
  <c r="S492" i="3" s="1"/>
  <c r="S493" i="3" a="1"/>
  <c r="S493" i="3" s="1"/>
  <c r="S494" i="3" a="1"/>
  <c r="S494" i="3" s="1"/>
  <c r="S495" i="3" a="1"/>
  <c r="S495" i="3"/>
  <c r="S496" i="3" a="1"/>
  <c r="S496" i="3" s="1"/>
  <c r="S497" i="3" a="1"/>
  <c r="S497" i="3" s="1"/>
  <c r="S498" i="3" a="1"/>
  <c r="S498" i="3" s="1"/>
  <c r="S499" i="3" a="1"/>
  <c r="S499" i="3"/>
  <c r="S500" i="3" a="1"/>
  <c r="S500" i="3" s="1"/>
  <c r="S501" i="3" a="1"/>
  <c r="S501" i="3" s="1"/>
  <c r="S502" i="3" a="1"/>
  <c r="S502" i="3" s="1"/>
  <c r="S503" i="3" a="1"/>
  <c r="S503" i="3"/>
  <c r="S504" i="3" a="1"/>
  <c r="S504" i="3" s="1"/>
  <c r="S505" i="3" a="1"/>
  <c r="S505" i="3" s="1"/>
  <c r="S506" i="3" a="1"/>
  <c r="S506" i="3" s="1"/>
  <c r="S507" i="3" a="1"/>
  <c r="S507" i="3"/>
  <c r="S508" i="3" a="1"/>
  <c r="S508" i="3" s="1"/>
  <c r="S509" i="3" a="1"/>
  <c r="S509" i="3" s="1"/>
  <c r="S510" i="3" a="1"/>
  <c r="S510" i="3" s="1"/>
  <c r="S511" i="3" a="1"/>
  <c r="S511" i="3"/>
  <c r="S512" i="3" a="1"/>
  <c r="S512" i="3" s="1"/>
  <c r="S513" i="3" a="1"/>
  <c r="S513" i="3" s="1"/>
  <c r="S514" i="3" a="1"/>
  <c r="S514" i="3" s="1"/>
  <c r="S515" i="3" a="1"/>
  <c r="S515" i="3"/>
  <c r="S516" i="3" a="1"/>
  <c r="S516" i="3" s="1"/>
  <c r="S517" i="3" a="1"/>
  <c r="S517" i="3" s="1"/>
  <c r="S518" i="3" a="1"/>
  <c r="S518" i="3" s="1"/>
  <c r="S519" i="3" a="1"/>
  <c r="S519" i="3"/>
  <c r="S520" i="3" a="1"/>
  <c r="S520" i="3" s="1"/>
  <c r="S521" i="3" a="1"/>
  <c r="S521" i="3" s="1"/>
  <c r="S522" i="3" a="1"/>
  <c r="S522" i="3" s="1"/>
  <c r="S523" i="3" a="1"/>
  <c r="S523" i="3"/>
  <c r="S524" i="3" a="1"/>
  <c r="S524" i="3" s="1"/>
  <c r="S525" i="3" a="1"/>
  <c r="S525" i="3" s="1"/>
  <c r="S526" i="3" a="1"/>
  <c r="S526" i="3" s="1"/>
  <c r="S527" i="3" a="1"/>
  <c r="S527" i="3"/>
  <c r="S528" i="3" a="1"/>
  <c r="S528" i="3" s="1"/>
  <c r="S529" i="3" a="1"/>
  <c r="S529" i="3" s="1"/>
  <c r="S530" i="3" a="1"/>
  <c r="S530" i="3" s="1"/>
  <c r="S531" i="3" a="1"/>
  <c r="S531" i="3"/>
  <c r="S532" i="3" a="1"/>
  <c r="S532" i="3" s="1"/>
  <c r="S533" i="3" a="1"/>
  <c r="S533" i="3" s="1"/>
  <c r="S534" i="3" a="1"/>
  <c r="S534" i="3" s="1"/>
  <c r="S535" i="3" a="1"/>
  <c r="S535" i="3"/>
  <c r="S536" i="3" a="1"/>
  <c r="S536" i="3" s="1"/>
  <c r="S537" i="3" a="1"/>
  <c r="S537" i="3" s="1"/>
  <c r="S538" i="3" a="1"/>
  <c r="S538" i="3" s="1"/>
  <c r="S539" i="3" a="1"/>
  <c r="S539" i="3"/>
  <c r="S540" i="3" a="1"/>
  <c r="S540" i="3" s="1"/>
  <c r="S541" i="3" a="1"/>
  <c r="S541" i="3" s="1"/>
  <c r="S542" i="3" a="1"/>
  <c r="S542" i="3" s="1"/>
  <c r="S543" i="3" a="1"/>
  <c r="S543" i="3"/>
  <c r="S544" i="3" a="1"/>
  <c r="S544" i="3" s="1"/>
  <c r="S545" i="3" a="1"/>
  <c r="S545" i="3" s="1"/>
  <c r="S546" i="3" a="1"/>
  <c r="S546" i="3" s="1"/>
  <c r="S547" i="3" a="1"/>
  <c r="S547" i="3"/>
  <c r="S548" i="3" a="1"/>
  <c r="S548" i="3" s="1"/>
  <c r="S549" i="3" a="1"/>
  <c r="S549" i="3" s="1"/>
  <c r="S550" i="3" a="1"/>
  <c r="S550" i="3" s="1"/>
  <c r="S551" i="3" a="1"/>
  <c r="S551" i="3"/>
  <c r="S552" i="3" a="1"/>
  <c r="S552" i="3" s="1"/>
  <c r="S553" i="3" a="1"/>
  <c r="S553" i="3" s="1"/>
  <c r="S554" i="3" a="1"/>
  <c r="S554" i="3" s="1"/>
  <c r="S555" i="3" a="1"/>
  <c r="S555" i="3"/>
  <c r="S556" i="3" a="1"/>
  <c r="S556" i="3" s="1"/>
  <c r="S557" i="3" a="1"/>
  <c r="S557" i="3" s="1"/>
  <c r="S558" i="3" a="1"/>
  <c r="S558" i="3" s="1"/>
  <c r="S559" i="3" a="1"/>
  <c r="S559" i="3"/>
  <c r="S560" i="3" a="1"/>
  <c r="S560" i="3" s="1"/>
  <c r="S561" i="3" a="1"/>
  <c r="S561" i="3" s="1"/>
  <c r="S562" i="3" a="1"/>
  <c r="S562" i="3" s="1"/>
  <c r="S563" i="3" a="1"/>
  <c r="S563" i="3"/>
  <c r="S564" i="3" a="1"/>
  <c r="S564" i="3" s="1"/>
  <c r="S565" i="3" a="1"/>
  <c r="S565" i="3" s="1"/>
  <c r="S566" i="3" a="1"/>
  <c r="S566" i="3" s="1"/>
  <c r="S567" i="3" a="1"/>
  <c r="S567" i="3"/>
  <c r="S568" i="3" a="1"/>
  <c r="S568" i="3" s="1"/>
  <c r="S569" i="3" a="1"/>
  <c r="S569" i="3" s="1"/>
  <c r="S570" i="3" a="1"/>
  <c r="S570" i="3" s="1"/>
  <c r="S571" i="3" a="1"/>
  <c r="S571" i="3"/>
  <c r="S572" i="3" a="1"/>
  <c r="S572" i="3" s="1"/>
  <c r="S573" i="3" a="1"/>
  <c r="S573" i="3" s="1"/>
  <c r="S574" i="3" a="1"/>
  <c r="S574" i="3" s="1"/>
  <c r="S575" i="3" a="1"/>
  <c r="S575" i="3"/>
  <c r="S576" i="3" a="1"/>
  <c r="S576" i="3" s="1"/>
  <c r="S577" i="3" a="1"/>
  <c r="S577" i="3" s="1"/>
  <c r="S578" i="3" a="1"/>
  <c r="S578" i="3" s="1"/>
  <c r="S579" i="3" a="1"/>
  <c r="S579" i="3"/>
  <c r="S580" i="3" a="1"/>
  <c r="S580" i="3" s="1"/>
  <c r="S581" i="3" a="1"/>
  <c r="S581" i="3" s="1"/>
  <c r="S582" i="3" a="1"/>
  <c r="S582" i="3" s="1"/>
  <c r="S583" i="3" a="1"/>
  <c r="S583" i="3"/>
  <c r="S584" i="3" a="1"/>
  <c r="S584" i="3" s="1"/>
  <c r="S585" i="3" a="1"/>
  <c r="S585" i="3" s="1"/>
  <c r="S586" i="3" a="1"/>
  <c r="S586" i="3" s="1"/>
  <c r="S587" i="3" a="1"/>
  <c r="S587" i="3"/>
  <c r="S588" i="3" a="1"/>
  <c r="S588" i="3" s="1"/>
  <c r="S589" i="3" a="1"/>
  <c r="S589" i="3" s="1"/>
  <c r="S590" i="3" a="1"/>
  <c r="S590" i="3" s="1"/>
  <c r="S591" i="3" a="1"/>
  <c r="S591" i="3"/>
  <c r="S592" i="3" a="1"/>
  <c r="S592" i="3" s="1"/>
  <c r="S593" i="3" a="1"/>
  <c r="S593" i="3" s="1"/>
  <c r="S594" i="3" a="1"/>
  <c r="S594" i="3" s="1"/>
  <c r="S595" i="3" a="1"/>
  <c r="S595" i="3"/>
  <c r="S596" i="3" a="1"/>
  <c r="S596" i="3" s="1"/>
  <c r="S597" i="3" a="1"/>
  <c r="S597" i="3" s="1"/>
  <c r="S598" i="3" a="1"/>
  <c r="S598" i="3" s="1"/>
  <c r="S599" i="3" a="1"/>
  <c r="S599" i="3"/>
  <c r="S600" i="3" a="1"/>
  <c r="S600" i="3" s="1"/>
  <c r="S601" i="3" a="1"/>
  <c r="S601" i="3" s="1"/>
  <c r="S602" i="3" a="1"/>
  <c r="S602" i="3" s="1"/>
  <c r="S603" i="3" a="1"/>
  <c r="S603" i="3"/>
  <c r="S604" i="3" a="1"/>
  <c r="S604" i="3" s="1"/>
  <c r="S605" i="3" a="1"/>
  <c r="S605" i="3" s="1"/>
  <c r="S606" i="3" a="1"/>
  <c r="S606" i="3" s="1"/>
  <c r="S607" i="3" a="1"/>
  <c r="S607" i="3"/>
  <c r="S608" i="3" a="1"/>
  <c r="S608" i="3" s="1"/>
  <c r="S609" i="3" a="1"/>
  <c r="S609" i="3" s="1"/>
  <c r="S610" i="3" a="1"/>
  <c r="S610" i="3" s="1"/>
  <c r="S611" i="3" a="1"/>
  <c r="S611" i="3" s="1"/>
  <c r="S612" i="3" a="1"/>
  <c r="S612" i="3" s="1"/>
  <c r="S613" i="3" a="1"/>
  <c r="S613" i="3" s="1"/>
  <c r="S614" i="3" a="1"/>
  <c r="S614" i="3" s="1"/>
  <c r="S615" i="3" a="1"/>
  <c r="S615" i="3"/>
  <c r="S616" i="3" a="1"/>
  <c r="S616" i="3" s="1"/>
  <c r="S617" i="3" a="1"/>
  <c r="S617" i="3" s="1"/>
  <c r="S618" i="3" a="1"/>
  <c r="S618" i="3" s="1"/>
  <c r="S619" i="3" a="1"/>
  <c r="S619" i="3" s="1"/>
  <c r="S620" i="3" a="1"/>
  <c r="S620" i="3" s="1"/>
  <c r="S621" i="3" a="1"/>
  <c r="S621" i="3" s="1"/>
  <c r="S622" i="3" a="1"/>
  <c r="S622" i="3" s="1"/>
  <c r="S623" i="3" a="1"/>
  <c r="S623" i="3"/>
  <c r="S624" i="3" a="1"/>
  <c r="S624" i="3" s="1"/>
  <c r="S625" i="3" a="1"/>
  <c r="S625" i="3" s="1"/>
  <c r="S626" i="3" a="1"/>
  <c r="S626" i="3" s="1"/>
  <c r="S627" i="3" a="1"/>
  <c r="S627" i="3" s="1"/>
  <c r="S628" i="3" a="1"/>
  <c r="S628" i="3" s="1"/>
  <c r="S629" i="3" a="1"/>
  <c r="S629" i="3" s="1"/>
  <c r="S630" i="3" a="1"/>
  <c r="S630" i="3" s="1"/>
  <c r="S631" i="3" a="1"/>
  <c r="S631" i="3"/>
  <c r="S632" i="3" a="1"/>
  <c r="S632" i="3" s="1"/>
  <c r="S633" i="3" a="1"/>
  <c r="S633" i="3" s="1"/>
  <c r="S634" i="3" a="1"/>
  <c r="S634" i="3" s="1"/>
  <c r="S635" i="3" a="1"/>
  <c r="S635" i="3" s="1"/>
  <c r="S636" i="3" a="1"/>
  <c r="S636" i="3" s="1"/>
  <c r="S637" i="3" a="1"/>
  <c r="S637" i="3" s="1"/>
  <c r="S638" i="3" a="1"/>
  <c r="S638" i="3" s="1"/>
  <c r="S639" i="3" a="1"/>
  <c r="S639" i="3"/>
  <c r="S640" i="3" a="1"/>
  <c r="S640" i="3" s="1"/>
  <c r="S641" i="3" a="1"/>
  <c r="S641" i="3" s="1"/>
  <c r="S642" i="3" a="1"/>
  <c r="S642" i="3" s="1"/>
  <c r="S643" i="3" a="1"/>
  <c r="S643" i="3" s="1"/>
  <c r="S644" i="3" a="1"/>
  <c r="S644" i="3" s="1"/>
  <c r="S645" i="3" a="1"/>
  <c r="S645" i="3" s="1"/>
  <c r="S646" i="3" a="1"/>
  <c r="S646" i="3" s="1"/>
  <c r="S647" i="3" a="1"/>
  <c r="S647" i="3"/>
  <c r="S648" i="3" a="1"/>
  <c r="S648" i="3" s="1"/>
  <c r="S649" i="3" a="1"/>
  <c r="S649" i="3" s="1"/>
  <c r="S650" i="3" a="1"/>
  <c r="S650" i="3" s="1"/>
  <c r="S651" i="3" a="1"/>
  <c r="S651" i="3" s="1"/>
  <c r="S652" i="3" a="1"/>
  <c r="S652" i="3" s="1"/>
  <c r="S653" i="3" a="1"/>
  <c r="S653" i="3" s="1"/>
  <c r="S654" i="3" a="1"/>
  <c r="S654" i="3" s="1"/>
  <c r="S655" i="3" a="1"/>
  <c r="S655" i="3"/>
  <c r="S656" i="3" a="1"/>
  <c r="S656" i="3" s="1"/>
  <c r="S657" i="3" a="1"/>
  <c r="S657" i="3" s="1"/>
  <c r="S658" i="3" a="1"/>
  <c r="S658" i="3" s="1"/>
  <c r="S659" i="3" a="1"/>
  <c r="S659" i="3" s="1"/>
  <c r="S660" i="3" a="1"/>
  <c r="S660" i="3" s="1"/>
  <c r="S661" i="3" a="1"/>
  <c r="S661" i="3" s="1"/>
  <c r="S662" i="3" a="1"/>
  <c r="S662" i="3" s="1"/>
  <c r="S663" i="3" a="1"/>
  <c r="S663" i="3"/>
  <c r="S664" i="3" a="1"/>
  <c r="S664" i="3" s="1"/>
  <c r="S665" i="3" a="1"/>
  <c r="S665" i="3" s="1"/>
  <c r="S666" i="3" a="1"/>
  <c r="S666" i="3" s="1"/>
  <c r="S667" i="3" a="1"/>
  <c r="S667" i="3" s="1"/>
  <c r="S668" i="3" a="1"/>
  <c r="S668" i="3" s="1"/>
  <c r="S669" i="3" a="1"/>
  <c r="S669" i="3" s="1"/>
  <c r="S670" i="3" a="1"/>
  <c r="S670" i="3" s="1"/>
  <c r="S671" i="3" a="1"/>
  <c r="S671" i="3"/>
  <c r="S672" i="3" a="1"/>
  <c r="S672" i="3" s="1"/>
  <c r="S673" i="3" a="1"/>
  <c r="S673" i="3" s="1"/>
  <c r="S674" i="3" a="1"/>
  <c r="S674" i="3" s="1"/>
  <c r="S675" i="3" a="1"/>
  <c r="S675" i="3" s="1"/>
  <c r="S676" i="3" a="1"/>
  <c r="S676" i="3" s="1"/>
  <c r="S677" i="3" a="1"/>
  <c r="S677" i="3" s="1"/>
  <c r="S678" i="3" a="1"/>
  <c r="S678" i="3" s="1"/>
  <c r="S679" i="3" a="1"/>
  <c r="S679" i="3"/>
  <c r="S680" i="3" a="1"/>
  <c r="S680" i="3" s="1"/>
  <c r="S681" i="3" a="1"/>
  <c r="S681" i="3" s="1"/>
  <c r="S682" i="3" a="1"/>
  <c r="S682" i="3" s="1"/>
  <c r="S683" i="3" a="1"/>
  <c r="S683" i="3" s="1"/>
  <c r="S684" i="3" a="1"/>
  <c r="S684" i="3" s="1"/>
  <c r="S685" i="3" a="1"/>
  <c r="S685" i="3" s="1"/>
  <c r="S686" i="3" a="1"/>
  <c r="S686" i="3" s="1"/>
  <c r="S687" i="3" a="1"/>
  <c r="S687" i="3"/>
  <c r="S688" i="3" a="1"/>
  <c r="S688" i="3" s="1"/>
  <c r="S689" i="3" a="1"/>
  <c r="S689" i="3" s="1"/>
  <c r="S690" i="3" a="1"/>
  <c r="S690" i="3" s="1"/>
  <c r="S691" i="3" a="1"/>
  <c r="S691" i="3" s="1"/>
  <c r="S692" i="3" a="1"/>
  <c r="S692" i="3" s="1"/>
  <c r="S693" i="3" a="1"/>
  <c r="S693" i="3" s="1"/>
  <c r="S694" i="3" a="1"/>
  <c r="S694" i="3" s="1"/>
  <c r="S695" i="3" a="1"/>
  <c r="S695" i="3"/>
  <c r="S696" i="3" a="1"/>
  <c r="S696" i="3" s="1"/>
  <c r="S697" i="3" a="1"/>
  <c r="S697" i="3" s="1"/>
  <c r="S698" i="3" a="1"/>
  <c r="S698" i="3" s="1"/>
  <c r="S699" i="3" a="1"/>
  <c r="S699" i="3" s="1"/>
  <c r="S700" i="3" a="1"/>
  <c r="S700" i="3" s="1"/>
  <c r="S701" i="3" a="1"/>
  <c r="S701" i="3" s="1"/>
  <c r="S702" i="3" a="1"/>
  <c r="S702" i="3" s="1"/>
  <c r="S703" i="3" a="1"/>
  <c r="S703" i="3"/>
  <c r="S704" i="3" a="1"/>
  <c r="S704" i="3" s="1"/>
  <c r="S705" i="3" a="1"/>
  <c r="S705" i="3" s="1"/>
  <c r="S706" i="3" a="1"/>
  <c r="S706" i="3" s="1"/>
  <c r="S707" i="3" a="1"/>
  <c r="S707" i="3" s="1"/>
  <c r="S708" i="3" a="1"/>
  <c r="S708" i="3" s="1"/>
  <c r="S709" i="3" a="1"/>
  <c r="S709" i="3" s="1"/>
  <c r="S710" i="3" a="1"/>
  <c r="S710" i="3" s="1"/>
  <c r="S711" i="3" a="1"/>
  <c r="S711" i="3"/>
  <c r="S712" i="3" a="1"/>
  <c r="S712" i="3" s="1"/>
  <c r="S713" i="3" a="1"/>
  <c r="S713" i="3" s="1"/>
  <c r="S714" i="3" a="1"/>
  <c r="S714" i="3" s="1"/>
  <c r="S715" i="3" a="1"/>
  <c r="S715" i="3"/>
  <c r="S716" i="3" a="1"/>
  <c r="S716" i="3" s="1"/>
  <c r="S717" i="3" a="1"/>
  <c r="S717" i="3" s="1"/>
  <c r="S718" i="3" a="1"/>
  <c r="S718" i="3" s="1"/>
  <c r="S719" i="3" a="1"/>
  <c r="S719" i="3"/>
  <c r="S720" i="3" a="1"/>
  <c r="S720" i="3" s="1"/>
  <c r="S721" i="3" a="1"/>
  <c r="S721" i="3" s="1"/>
  <c r="S722" i="3" a="1"/>
  <c r="S722" i="3" s="1"/>
  <c r="S723" i="3" a="1"/>
  <c r="S723" i="3" s="1"/>
  <c r="S724" i="3" a="1"/>
  <c r="S724" i="3" s="1"/>
  <c r="S725" i="3" a="1"/>
  <c r="S725" i="3" s="1"/>
  <c r="S726" i="3" a="1"/>
  <c r="S726" i="3" s="1"/>
  <c r="S727" i="3" a="1"/>
  <c r="S727" i="3"/>
  <c r="S728" i="3" a="1"/>
  <c r="S728" i="3" s="1"/>
  <c r="S729" i="3" a="1"/>
  <c r="S729" i="3" s="1"/>
  <c r="S730" i="3" a="1"/>
  <c r="S730" i="3" s="1"/>
  <c r="S731" i="3" a="1"/>
  <c r="S731" i="3" s="1"/>
  <c r="S732" i="3" a="1"/>
  <c r="S732" i="3" s="1"/>
  <c r="S733" i="3" a="1"/>
  <c r="S733" i="3" s="1"/>
  <c r="S734" i="3" a="1"/>
  <c r="S734" i="3" s="1"/>
  <c r="S735" i="3" a="1"/>
  <c r="S735" i="3"/>
  <c r="S736" i="3" a="1"/>
  <c r="S736" i="3" s="1"/>
  <c r="S737" i="3" a="1"/>
  <c r="S737" i="3" s="1"/>
  <c r="S738" i="3" a="1"/>
  <c r="S738" i="3" s="1"/>
  <c r="S739" i="3" a="1"/>
  <c r="S739" i="3"/>
  <c r="S740" i="3" a="1"/>
  <c r="S740" i="3" s="1"/>
  <c r="S741" i="3" a="1"/>
  <c r="S741" i="3" s="1"/>
  <c r="S742" i="3" a="1"/>
  <c r="S742" i="3" s="1"/>
  <c r="S743" i="3" a="1"/>
  <c r="S743" i="3"/>
  <c r="S744" i="3" a="1"/>
  <c r="S744" i="3" s="1"/>
  <c r="S745" i="3" a="1"/>
  <c r="S745" i="3" s="1"/>
  <c r="S746" i="3" a="1"/>
  <c r="S746" i="3" s="1"/>
  <c r="S747" i="3" a="1"/>
  <c r="S747" i="3"/>
  <c r="S748" i="3" a="1"/>
  <c r="S748" i="3" s="1"/>
  <c r="S749" i="3" a="1"/>
  <c r="S749" i="3" s="1"/>
  <c r="S750" i="3" a="1"/>
  <c r="S750" i="3" s="1"/>
  <c r="S751" i="3" a="1"/>
  <c r="S751" i="3"/>
  <c r="S752" i="3" a="1"/>
  <c r="S752" i="3" s="1"/>
  <c r="S753" i="3" a="1"/>
  <c r="S753" i="3" s="1"/>
  <c r="S754" i="3" a="1"/>
  <c r="S754" i="3" s="1"/>
  <c r="S755" i="3" a="1"/>
  <c r="S755" i="3"/>
  <c r="S756" i="3" a="1"/>
  <c r="S756" i="3" s="1"/>
  <c r="S757" i="3" a="1"/>
  <c r="S757" i="3" s="1"/>
  <c r="S758" i="3" a="1"/>
  <c r="S758" i="3" s="1"/>
  <c r="S759" i="3" a="1"/>
  <c r="S759" i="3"/>
  <c r="S760" i="3" a="1"/>
  <c r="S760" i="3" s="1"/>
  <c r="S761" i="3" a="1"/>
  <c r="S761" i="3" s="1"/>
  <c r="S762" i="3" a="1"/>
  <c r="S762" i="3" s="1"/>
  <c r="S763" i="3" a="1"/>
  <c r="S763" i="3"/>
  <c r="S764" i="3" a="1"/>
  <c r="S764" i="3" s="1"/>
  <c r="S765" i="3" a="1"/>
  <c r="S765" i="3" s="1"/>
  <c r="S766" i="3" a="1"/>
  <c r="S766" i="3" s="1"/>
  <c r="S767" i="3" a="1"/>
  <c r="S767" i="3"/>
  <c r="S768" i="3" a="1"/>
  <c r="S768" i="3" s="1"/>
  <c r="S769" i="3" a="1"/>
  <c r="S769" i="3" s="1"/>
  <c r="S770" i="3" a="1"/>
  <c r="S770" i="3" s="1"/>
  <c r="S771" i="3" a="1"/>
  <c r="S771" i="3"/>
  <c r="S772" i="3" a="1"/>
  <c r="S772" i="3"/>
  <c r="S773" i="3" a="1"/>
  <c r="S773" i="3"/>
  <c r="S774" i="3" a="1"/>
  <c r="S774" i="3"/>
  <c r="S775" i="3" a="1"/>
  <c r="S775" i="3"/>
  <c r="S776" i="3" a="1"/>
  <c r="S776" i="3"/>
  <c r="S777" i="3" a="1"/>
  <c r="S777" i="3"/>
  <c r="S778" i="3" a="1"/>
  <c r="S778" i="3"/>
  <c r="S779" i="3" a="1"/>
  <c r="S779" i="3"/>
  <c r="S780" i="3" a="1"/>
  <c r="S780" i="3"/>
  <c r="S781" i="3" a="1"/>
  <c r="S781" i="3" s="1"/>
  <c r="S782" i="3" a="1"/>
  <c r="S782" i="3"/>
  <c r="S783" i="3" a="1"/>
  <c r="S783" i="3" s="1"/>
  <c r="S784" i="3" a="1"/>
  <c r="S784" i="3"/>
  <c r="S785" i="3" a="1"/>
  <c r="S785" i="3" s="1"/>
  <c r="S786" i="3" a="1"/>
  <c r="S786" i="3"/>
  <c r="S787" i="3" a="1"/>
  <c r="S787" i="3" s="1"/>
  <c r="S788" i="3" a="1"/>
  <c r="S788" i="3"/>
  <c r="S789" i="3" a="1"/>
  <c r="S789" i="3" s="1"/>
  <c r="S790" i="3" a="1"/>
  <c r="S790" i="3"/>
  <c r="S791" i="3" a="1"/>
  <c r="S791" i="3" s="1"/>
  <c r="S792" i="3" a="1"/>
  <c r="S792" i="3"/>
  <c r="S793" i="3" a="1"/>
  <c r="S793" i="3" s="1"/>
  <c r="S794" i="3" a="1"/>
  <c r="S794" i="3"/>
  <c r="S795" i="3" a="1"/>
  <c r="S795" i="3" s="1"/>
  <c r="S796" i="3" a="1"/>
  <c r="S796" i="3"/>
  <c r="S797" i="3" a="1"/>
  <c r="S797" i="3" s="1"/>
  <c r="S798" i="3" a="1"/>
  <c r="S798" i="3"/>
  <c r="S799" i="3" a="1"/>
  <c r="S799" i="3" s="1"/>
  <c r="S800" i="3" a="1"/>
  <c r="S800" i="3"/>
  <c r="S801" i="3" a="1"/>
  <c r="S801" i="3" s="1"/>
  <c r="S802" i="3" a="1"/>
  <c r="S802" i="3"/>
  <c r="S803" i="3" a="1"/>
  <c r="S803" i="3" s="1"/>
  <c r="S804" i="3" a="1"/>
  <c r="S804" i="3"/>
  <c r="S805" i="3" a="1"/>
  <c r="S805" i="3" s="1"/>
  <c r="S806" i="3" a="1"/>
  <c r="S806" i="3"/>
  <c r="S807" i="3" a="1"/>
  <c r="S807" i="3" s="1"/>
  <c r="S808" i="3" a="1"/>
  <c r="S808" i="3"/>
  <c r="S809" i="3" a="1"/>
  <c r="S809" i="3" s="1"/>
  <c r="S810" i="3" a="1"/>
  <c r="S810" i="3"/>
  <c r="S811" i="3" a="1"/>
  <c r="S811" i="3" s="1"/>
  <c r="S812" i="3" a="1"/>
  <c r="S812" i="3"/>
  <c r="S813" i="3" a="1"/>
  <c r="S813" i="3" s="1"/>
  <c r="S814" i="3" a="1"/>
  <c r="S814" i="3"/>
  <c r="S815" i="3" a="1"/>
  <c r="S815" i="3" s="1"/>
  <c r="S816" i="3" a="1"/>
  <c r="S816" i="3"/>
  <c r="S817" i="3" a="1"/>
  <c r="S817" i="3" s="1"/>
  <c r="S818" i="3" a="1"/>
  <c r="S818" i="3"/>
  <c r="S819" i="3" a="1"/>
  <c r="S819" i="3" s="1"/>
  <c r="S820" i="3" a="1"/>
  <c r="S820" i="3"/>
  <c r="S821" i="3" a="1"/>
  <c r="S821" i="3" s="1"/>
  <c r="S822" i="3" a="1"/>
  <c r="S822" i="3"/>
  <c r="S823" i="3" a="1"/>
  <c r="S823" i="3" s="1"/>
  <c r="S824" i="3" a="1"/>
  <c r="S824" i="3"/>
  <c r="S825" i="3" a="1"/>
  <c r="S825" i="3" s="1"/>
  <c r="S826" i="3" a="1"/>
  <c r="S826" i="3"/>
  <c r="S827" i="3" a="1"/>
  <c r="S827" i="3" s="1"/>
  <c r="S828" i="3" a="1"/>
  <c r="S828" i="3"/>
  <c r="S829" i="3" a="1"/>
  <c r="S829" i="3" s="1"/>
  <c r="S830" i="3" a="1"/>
  <c r="S830" i="3"/>
  <c r="S831" i="3" a="1"/>
  <c r="S831" i="3" s="1"/>
  <c r="S832" i="3" a="1"/>
  <c r="S832" i="3"/>
  <c r="S833" i="3" a="1"/>
  <c r="S833" i="3" s="1"/>
  <c r="S834" i="3" a="1"/>
  <c r="S834" i="3"/>
  <c r="S835" i="3" a="1"/>
  <c r="S835" i="3" s="1"/>
  <c r="S836" i="3" a="1"/>
  <c r="S836" i="3"/>
  <c r="S837" i="3" a="1"/>
  <c r="S837" i="3" s="1"/>
  <c r="S838" i="3" a="1"/>
  <c r="S838" i="3"/>
  <c r="S839" i="3" a="1"/>
  <c r="S839" i="3" s="1"/>
  <c r="S840" i="3" a="1"/>
  <c r="S840" i="3"/>
  <c r="S841" i="3" a="1"/>
  <c r="S841" i="3" s="1"/>
  <c r="S842" i="3" a="1"/>
  <c r="S842" i="3"/>
  <c r="S843" i="3" a="1"/>
  <c r="S843" i="3" s="1"/>
  <c r="S844" i="3" a="1"/>
  <c r="S844" i="3"/>
  <c r="S845" i="3" a="1"/>
  <c r="S845" i="3" s="1"/>
  <c r="S846" i="3" a="1"/>
  <c r="S846" i="3"/>
  <c r="S847" i="3" a="1"/>
  <c r="S847" i="3" s="1"/>
  <c r="S848" i="3" a="1"/>
  <c r="S848" i="3"/>
  <c r="S849" i="3" a="1"/>
  <c r="S849" i="3" s="1"/>
  <c r="S850" i="3" a="1"/>
  <c r="S850" i="3"/>
  <c r="S851" i="3" a="1"/>
  <c r="S851" i="3" s="1"/>
  <c r="S852" i="3" a="1"/>
  <c r="S852" i="3"/>
  <c r="S853" i="3" a="1"/>
  <c r="S853" i="3" s="1"/>
  <c r="S854" i="3" a="1"/>
  <c r="S854" i="3"/>
  <c r="S855" i="3" a="1"/>
  <c r="S855" i="3" s="1"/>
  <c r="S856" i="3" a="1"/>
  <c r="S856" i="3"/>
  <c r="S857" i="3" a="1"/>
  <c r="S857" i="3" s="1"/>
  <c r="S858" i="3" a="1"/>
  <c r="S858" i="3"/>
  <c r="S859" i="3" a="1"/>
  <c r="S859" i="3" s="1"/>
  <c r="S860" i="3" a="1"/>
  <c r="S860" i="3"/>
  <c r="S861" i="3" a="1"/>
  <c r="S861" i="3" s="1"/>
  <c r="S862" i="3" a="1"/>
  <c r="S862" i="3"/>
  <c r="S863" i="3" a="1"/>
  <c r="S863" i="3" s="1"/>
  <c r="S864" i="3" a="1"/>
  <c r="S864" i="3"/>
  <c r="S865" i="3" a="1"/>
  <c r="S865" i="3" s="1"/>
  <c r="S866" i="3" a="1"/>
  <c r="S866" i="3"/>
  <c r="S867" i="3" a="1"/>
  <c r="S867" i="3" s="1"/>
  <c r="S868" i="3" a="1"/>
  <c r="S868" i="3"/>
  <c r="S869" i="3" a="1"/>
  <c r="S869" i="3" s="1"/>
  <c r="S870" i="3" a="1"/>
  <c r="S870" i="3"/>
  <c r="S871" i="3" a="1"/>
  <c r="S871" i="3" s="1"/>
  <c r="S872" i="3" a="1"/>
  <c r="S872" i="3"/>
  <c r="S873" i="3" a="1"/>
  <c r="S873" i="3" s="1"/>
  <c r="S874" i="3" a="1"/>
  <c r="S874" i="3"/>
  <c r="S875" i="3" a="1"/>
  <c r="S875" i="3" s="1"/>
  <c r="S876" i="3" a="1"/>
  <c r="S876" i="3"/>
  <c r="S877" i="3" a="1"/>
  <c r="S877" i="3" s="1"/>
  <c r="S878" i="3" a="1"/>
  <c r="S878" i="3"/>
  <c r="S879" i="3" a="1"/>
  <c r="S879" i="3" s="1"/>
  <c r="S880" i="3" a="1"/>
  <c r="S880" i="3"/>
  <c r="S881" i="3" a="1"/>
  <c r="S881" i="3" s="1"/>
  <c r="S882" i="3" a="1"/>
  <c r="S882" i="3"/>
  <c r="S883" i="3" a="1"/>
  <c r="S883" i="3" s="1"/>
  <c r="S884" i="3" a="1"/>
  <c r="S884" i="3"/>
  <c r="S885" i="3" a="1"/>
  <c r="S885" i="3" s="1"/>
  <c r="S886" i="3" a="1"/>
  <c r="S886" i="3" s="1"/>
  <c r="S887" i="3" a="1"/>
  <c r="S887" i="3" s="1"/>
  <c r="S888" i="3" a="1"/>
  <c r="S888" i="3"/>
  <c r="S889" i="3" a="1"/>
  <c r="S889" i="3" s="1"/>
  <c r="S890" i="3" a="1"/>
  <c r="S890" i="3"/>
  <c r="S891" i="3" a="1"/>
  <c r="S891" i="3" s="1"/>
  <c r="S892" i="3" a="1"/>
  <c r="S892" i="3" s="1"/>
  <c r="S893" i="3" a="1"/>
  <c r="S893" i="3" s="1"/>
  <c r="S894" i="3" a="1"/>
  <c r="S894" i="3" s="1"/>
  <c r="S895" i="3" a="1"/>
  <c r="S895" i="3" s="1"/>
  <c r="S896" i="3" a="1"/>
  <c r="S896" i="3"/>
  <c r="S897" i="3" a="1"/>
  <c r="S897" i="3" s="1"/>
  <c r="S898" i="3" a="1"/>
  <c r="S898" i="3" s="1"/>
  <c r="S899" i="3" a="1"/>
  <c r="S899" i="3" s="1"/>
  <c r="S900" i="3" a="1"/>
  <c r="S900" i="3" s="1"/>
  <c r="S901" i="3" a="1"/>
  <c r="S901" i="3" s="1"/>
  <c r="S902" i="3" a="1"/>
  <c r="S902" i="3" s="1"/>
  <c r="S903" i="3" a="1"/>
  <c r="S903" i="3" s="1"/>
  <c r="S904" i="3" a="1"/>
  <c r="S904" i="3"/>
  <c r="S905" i="3" a="1"/>
  <c r="S905" i="3" s="1"/>
  <c r="S906" i="3" a="1"/>
  <c r="S906" i="3" s="1"/>
  <c r="S907" i="3" a="1"/>
  <c r="S907" i="3" s="1"/>
  <c r="S908" i="3" a="1"/>
  <c r="S908" i="3" s="1"/>
  <c r="S909" i="3" a="1"/>
  <c r="S909" i="3" s="1"/>
  <c r="S910" i="3" a="1"/>
  <c r="S910" i="3" s="1"/>
  <c r="S911" i="3" a="1"/>
  <c r="S911" i="3" s="1"/>
  <c r="S912" i="3" a="1"/>
  <c r="S912" i="3"/>
  <c r="S913" i="3" a="1"/>
  <c r="S913" i="3" s="1"/>
  <c r="S914" i="3" a="1"/>
  <c r="S914" i="3" s="1"/>
  <c r="S915" i="3" a="1"/>
  <c r="S915" i="3" s="1"/>
  <c r="S916" i="3" a="1"/>
  <c r="S916" i="3" s="1"/>
  <c r="S917" i="3" a="1"/>
  <c r="S917" i="3" s="1"/>
  <c r="S918" i="3" a="1"/>
  <c r="S918" i="3" s="1"/>
  <c r="S919" i="3" a="1"/>
  <c r="S919" i="3" s="1"/>
  <c r="S920" i="3" a="1"/>
  <c r="S920" i="3"/>
  <c r="S921" i="3" a="1"/>
  <c r="S921" i="3" s="1"/>
  <c r="S922" i="3" a="1"/>
  <c r="S922" i="3" s="1"/>
  <c r="S923" i="3" a="1"/>
  <c r="S923" i="3" s="1"/>
  <c r="S924" i="3" a="1"/>
  <c r="S924" i="3" s="1"/>
  <c r="S925" i="3" a="1"/>
  <c r="S925" i="3" s="1"/>
  <c r="S926" i="3" a="1"/>
  <c r="S926" i="3" s="1"/>
  <c r="S927" i="3" a="1"/>
  <c r="S927" i="3" s="1"/>
  <c r="S928" i="3" a="1"/>
  <c r="S928" i="3"/>
  <c r="S929" i="3" a="1"/>
  <c r="S929" i="3" s="1"/>
  <c r="S930" i="3" a="1"/>
  <c r="S930" i="3" s="1"/>
  <c r="S931" i="3" a="1"/>
  <c r="S931" i="3" s="1"/>
  <c r="S932" i="3" a="1"/>
  <c r="S932" i="3" s="1"/>
  <c r="S933" i="3" a="1"/>
  <c r="S933" i="3" s="1"/>
  <c r="S934" i="3" a="1"/>
  <c r="S934" i="3" s="1"/>
  <c r="S935" i="3" a="1"/>
  <c r="S935" i="3" s="1"/>
  <c r="S936" i="3" a="1"/>
  <c r="S936" i="3"/>
  <c r="S937" i="3" a="1"/>
  <c r="S937" i="3" s="1"/>
  <c r="S938" i="3" a="1"/>
  <c r="S938" i="3" s="1"/>
  <c r="S939" i="3" a="1"/>
  <c r="S939" i="3" s="1"/>
  <c r="S940" i="3" a="1"/>
  <c r="S940" i="3" s="1"/>
  <c r="S941" i="3" a="1"/>
  <c r="S941" i="3" s="1"/>
  <c r="S942" i="3" a="1"/>
  <c r="S942" i="3" s="1"/>
  <c r="S943" i="3" a="1"/>
  <c r="S943" i="3" s="1"/>
  <c r="S944" i="3" a="1"/>
  <c r="S944" i="3"/>
  <c r="S945" i="3" a="1"/>
  <c r="S945" i="3" s="1"/>
  <c r="S946" i="3" a="1"/>
  <c r="S946" i="3" s="1"/>
  <c r="S947" i="3" a="1"/>
  <c r="S947" i="3" s="1"/>
  <c r="S948" i="3" a="1"/>
  <c r="S948" i="3" s="1"/>
  <c r="S949" i="3" a="1"/>
  <c r="S949" i="3" s="1"/>
  <c r="S950" i="3" a="1"/>
  <c r="S950" i="3" s="1"/>
  <c r="S951" i="3" a="1"/>
  <c r="S951" i="3" s="1"/>
  <c r="S952" i="3" a="1"/>
  <c r="S952" i="3"/>
  <c r="S953" i="3" a="1"/>
  <c r="S953" i="3" s="1"/>
  <c r="S954" i="3" a="1"/>
  <c r="S954" i="3" s="1"/>
  <c r="S955" i="3" a="1"/>
  <c r="S955" i="3" s="1"/>
  <c r="S956" i="3" a="1"/>
  <c r="S956" i="3" s="1"/>
  <c r="S957" i="3" a="1"/>
  <c r="S957" i="3" s="1"/>
  <c r="S958" i="3" a="1"/>
  <c r="S958" i="3" s="1"/>
  <c r="S959" i="3" a="1"/>
  <c r="S959" i="3" s="1"/>
  <c r="S960" i="3" a="1"/>
  <c r="S960" i="3"/>
  <c r="S961" i="3" a="1"/>
  <c r="S961" i="3" s="1"/>
  <c r="S962" i="3" a="1"/>
  <c r="S962" i="3" s="1"/>
  <c r="S963" i="3" a="1"/>
  <c r="S963" i="3" s="1"/>
  <c r="S964" i="3" a="1"/>
  <c r="S964" i="3" s="1"/>
  <c r="S965" i="3" a="1"/>
  <c r="S965" i="3" s="1"/>
  <c r="S966" i="3" a="1"/>
  <c r="S966" i="3" s="1"/>
  <c r="S967" i="3" a="1"/>
  <c r="S967" i="3" s="1"/>
  <c r="S968" i="3" a="1"/>
  <c r="S968" i="3"/>
  <c r="S969" i="3" a="1"/>
  <c r="S969" i="3" s="1"/>
  <c r="S970" i="3" a="1"/>
  <c r="S970" i="3" s="1"/>
  <c r="S971" i="3" a="1"/>
  <c r="S971" i="3" s="1"/>
  <c r="S972" i="3" a="1"/>
  <c r="S972" i="3" s="1"/>
  <c r="S973" i="3" a="1"/>
  <c r="S973" i="3" s="1"/>
  <c r="S974" i="3" a="1"/>
  <c r="S974" i="3" s="1"/>
  <c r="S975" i="3" a="1"/>
  <c r="S975" i="3" s="1"/>
  <c r="S976" i="3" a="1"/>
  <c r="S976" i="3"/>
  <c r="S977" i="3" a="1"/>
  <c r="S977" i="3" s="1"/>
  <c r="S978" i="3" a="1"/>
  <c r="S978" i="3" s="1"/>
  <c r="S979" i="3" a="1"/>
  <c r="S979" i="3" s="1"/>
  <c r="S980" i="3" a="1"/>
  <c r="S980" i="3" s="1"/>
  <c r="S981" i="3" a="1"/>
  <c r="S981" i="3" s="1"/>
  <c r="S982" i="3" a="1"/>
  <c r="S982" i="3" s="1"/>
  <c r="S983" i="3" a="1"/>
  <c r="S983" i="3" s="1"/>
  <c r="S984" i="3" a="1"/>
  <c r="S984" i="3"/>
  <c r="S985" i="3" a="1"/>
  <c r="S985" i="3" s="1"/>
  <c r="S986" i="3" a="1"/>
  <c r="S986" i="3" s="1"/>
  <c r="S987" i="3" a="1"/>
  <c r="S987" i="3" s="1"/>
  <c r="S988" i="3" a="1"/>
  <c r="S988" i="3" s="1"/>
  <c r="S989" i="3" a="1"/>
  <c r="S989" i="3" s="1"/>
  <c r="S990" i="3" a="1"/>
  <c r="S990" i="3" s="1"/>
  <c r="S991" i="3" a="1"/>
  <c r="S991" i="3" s="1"/>
  <c r="S992" i="3" a="1"/>
  <c r="S992" i="3"/>
  <c r="S993" i="3" a="1"/>
  <c r="S993" i="3" s="1"/>
  <c r="S994" i="3" a="1"/>
  <c r="S994" i="3" s="1"/>
  <c r="S995" i="3" a="1"/>
  <c r="S995" i="3" s="1"/>
  <c r="S996" i="3" a="1"/>
  <c r="S996" i="3" s="1"/>
  <c r="S997" i="3" a="1"/>
  <c r="S997" i="3" s="1"/>
  <c r="S998" i="3" a="1"/>
  <c r="S998" i="3" s="1"/>
  <c r="S999" i="3" a="1"/>
  <c r="S999" i="3" s="1"/>
  <c r="S1000" i="3" a="1"/>
  <c r="S1000" i="3"/>
  <c r="S1001" i="3" a="1"/>
  <c r="S1001" i="3" s="1"/>
  <c r="S1002" i="3" a="1"/>
  <c r="S1002" i="3" s="1"/>
  <c r="S1003" i="3" a="1"/>
  <c r="S1003" i="3" s="1"/>
  <c r="S1004" i="3" a="1"/>
  <c r="S1004" i="3" s="1"/>
  <c r="S1005" i="3" a="1"/>
  <c r="S1005" i="3" s="1"/>
  <c r="S1006" i="3" a="1"/>
  <c r="S1006" i="3" s="1"/>
  <c r="S1007" i="3" a="1"/>
  <c r="S1007" i="3" s="1"/>
  <c r="S1008" i="3" a="1"/>
  <c r="S1008" i="3"/>
  <c r="S1009" i="3" a="1"/>
  <c r="S1009" i="3" s="1"/>
  <c r="S1010" i="3" a="1"/>
  <c r="S1010" i="3" s="1"/>
  <c r="S1011" i="3" a="1"/>
  <c r="S1011" i="3" s="1"/>
  <c r="S1012" i="3" a="1"/>
  <c r="S1012" i="3" s="1"/>
  <c r="S1013" i="3" a="1"/>
  <c r="S1013" i="3" s="1"/>
  <c r="S1014" i="3" a="1"/>
  <c r="S1014" i="3" s="1"/>
  <c r="S1015" i="3" a="1"/>
  <c r="S1015" i="3" s="1"/>
  <c r="S1016" i="3" a="1"/>
  <c r="S1016" i="3"/>
  <c r="S1017" i="3" a="1"/>
  <c r="S1017" i="3" s="1"/>
  <c r="S1018" i="3" a="1"/>
  <c r="S1018" i="3" s="1"/>
  <c r="S1019" i="3" a="1"/>
  <c r="S1019" i="3" s="1"/>
  <c r="S1020" i="3" a="1"/>
  <c r="S1020" i="3" s="1"/>
  <c r="S1021" i="3" a="1"/>
  <c r="S1021" i="3" s="1"/>
  <c r="S1022" i="3" a="1"/>
  <c r="S1022" i="3" s="1"/>
  <c r="S1023" i="3" a="1"/>
  <c r="S1023" i="3" s="1"/>
  <c r="S1024" i="3" a="1"/>
  <c r="S1024" i="3"/>
  <c r="S1025" i="3" a="1"/>
  <c r="S1025" i="3" s="1"/>
  <c r="S1026" i="3" a="1"/>
  <c r="S1026" i="3" s="1"/>
  <c r="S1027" i="3" a="1"/>
  <c r="S1027" i="3" s="1"/>
  <c r="S1028" i="3" a="1"/>
  <c r="S1028" i="3" s="1"/>
  <c r="S1029" i="3" a="1"/>
  <c r="S1029" i="3" s="1"/>
  <c r="S1030" i="3" a="1"/>
  <c r="S1030" i="3" s="1"/>
  <c r="S1031" i="3" a="1"/>
  <c r="S1031" i="3" s="1"/>
  <c r="S1032" i="3" a="1"/>
  <c r="S1032" i="3"/>
  <c r="S1033" i="3" a="1"/>
  <c r="S1033" i="3" s="1"/>
  <c r="S1034" i="3" a="1"/>
  <c r="S1034" i="3" s="1"/>
  <c r="S1035" i="3" a="1"/>
  <c r="S1035" i="3" s="1"/>
  <c r="S1036" i="3" a="1"/>
  <c r="S1036" i="3" s="1"/>
  <c r="S1037" i="3" a="1"/>
  <c r="S1037" i="3" s="1"/>
  <c r="S1038" i="3" a="1"/>
  <c r="S1038" i="3" s="1"/>
  <c r="S1039" i="3" a="1"/>
  <c r="S1039" i="3" s="1"/>
  <c r="S1040" i="3" a="1"/>
  <c r="S1040" i="3"/>
  <c r="S1041" i="3" a="1"/>
  <c r="S1041" i="3" s="1"/>
  <c r="S1042" i="3" a="1"/>
  <c r="S1042" i="3" s="1"/>
  <c r="S1043" i="3" a="1"/>
  <c r="S1043" i="3" s="1"/>
  <c r="S1044" i="3" a="1"/>
  <c r="S1044" i="3" s="1"/>
  <c r="S1045" i="3" a="1"/>
  <c r="S1045" i="3" s="1"/>
  <c r="S1046" i="3" a="1"/>
  <c r="S1046" i="3" s="1"/>
  <c r="S1047" i="3" a="1"/>
  <c r="S1047" i="3" s="1"/>
  <c r="S1048" i="3" a="1"/>
  <c r="S1048" i="3"/>
  <c r="S1049" i="3" a="1"/>
  <c r="S1049" i="3" s="1"/>
  <c r="S1050" i="3" a="1"/>
  <c r="S1050" i="3" s="1"/>
  <c r="S1051" i="3" a="1"/>
  <c r="S1051" i="3" s="1"/>
  <c r="S1052" i="3" a="1"/>
  <c r="S1052" i="3" s="1"/>
  <c r="S1053" i="3" a="1"/>
  <c r="S1053" i="3" s="1"/>
  <c r="S1054" i="3" a="1"/>
  <c r="S1054" i="3" s="1"/>
  <c r="S1055" i="3" a="1"/>
  <c r="S1055" i="3" s="1"/>
  <c r="S1056" i="3" a="1"/>
  <c r="S1056" i="3"/>
  <c r="S1057" i="3" a="1"/>
  <c r="S1057" i="3" s="1"/>
  <c r="S1058" i="3" a="1"/>
  <c r="S1058" i="3" s="1"/>
  <c r="S1059" i="3" a="1"/>
  <c r="S1059" i="3" s="1"/>
  <c r="S1060" i="3" a="1"/>
  <c r="S1060" i="3" s="1"/>
  <c r="S1061" i="3" a="1"/>
  <c r="S1061" i="3" s="1"/>
  <c r="S1062" i="3" a="1"/>
  <c r="S1062" i="3" s="1"/>
  <c r="S1063" i="3" a="1"/>
  <c r="S1063" i="3" s="1"/>
  <c r="S1064" i="3" a="1"/>
  <c r="S1064" i="3"/>
  <c r="S1065" i="3" a="1"/>
  <c r="S1065" i="3" s="1"/>
  <c r="S1066" i="3" a="1"/>
  <c r="S1066" i="3" s="1"/>
  <c r="S1067" i="3" a="1"/>
  <c r="S1067" i="3" s="1"/>
  <c r="S1068" i="3" a="1"/>
  <c r="S1068" i="3" s="1"/>
  <c r="S1069" i="3" a="1"/>
  <c r="S1069" i="3" s="1"/>
  <c r="S1070" i="3" a="1"/>
  <c r="S1070" i="3" s="1"/>
  <c r="S1071" i="3" a="1"/>
  <c r="S1071" i="3" s="1"/>
  <c r="S1072" i="3" a="1"/>
  <c r="S1072" i="3"/>
  <c r="S1073" i="3" a="1"/>
  <c r="S1073" i="3" s="1"/>
  <c r="S1074" i="3" a="1"/>
  <c r="S1074" i="3" s="1"/>
  <c r="S1075" i="3" a="1"/>
  <c r="S1075" i="3" s="1"/>
  <c r="S1076" i="3" a="1"/>
  <c r="S1076" i="3" s="1"/>
  <c r="S1077" i="3" a="1"/>
  <c r="S1077" i="3" s="1"/>
  <c r="S1078" i="3" a="1"/>
  <c r="S1078" i="3" s="1"/>
  <c r="S1079" i="3" a="1"/>
  <c r="S1079" i="3" s="1"/>
  <c r="S1080" i="3" a="1"/>
  <c r="S1080" i="3"/>
  <c r="S1081" i="3" a="1"/>
  <c r="S1081" i="3" s="1"/>
  <c r="S1082" i="3" a="1"/>
  <c r="S1082" i="3" s="1"/>
  <c r="S1083" i="3" a="1"/>
  <c r="S1083" i="3" s="1"/>
  <c r="S1084" i="3" a="1"/>
  <c r="S1084" i="3" s="1"/>
  <c r="S1085" i="3" a="1"/>
  <c r="S1085" i="3" s="1"/>
  <c r="S1086" i="3" a="1"/>
  <c r="S1086" i="3" s="1"/>
  <c r="S1087" i="3" a="1"/>
  <c r="S1087" i="3" s="1"/>
  <c r="S1088" i="3" a="1"/>
  <c r="S1088" i="3"/>
  <c r="S1089" i="3" a="1"/>
  <c r="S1089" i="3" s="1"/>
  <c r="S1090" i="3" a="1"/>
  <c r="S1090" i="3" s="1"/>
  <c r="S1091" i="3" a="1"/>
  <c r="S1091" i="3" s="1"/>
  <c r="S1092" i="3" a="1"/>
  <c r="S1092" i="3" s="1"/>
  <c r="S1093" i="3" a="1"/>
  <c r="S1093" i="3" s="1"/>
  <c r="S1094" i="3" a="1"/>
  <c r="S1094" i="3" s="1"/>
  <c r="S1095" i="3" a="1"/>
  <c r="S1095" i="3" s="1"/>
  <c r="S1096" i="3" a="1"/>
  <c r="S1096" i="3"/>
  <c r="S1097" i="3" a="1"/>
  <c r="S1097" i="3" s="1"/>
  <c r="S1098" i="3" a="1"/>
  <c r="S1098" i="3" s="1"/>
  <c r="S1099" i="3" a="1"/>
  <c r="S1099" i="3" s="1"/>
  <c r="S1100" i="3" a="1"/>
  <c r="S1100" i="3" s="1"/>
  <c r="S1101" i="3" a="1"/>
  <c r="S1101" i="3" s="1"/>
  <c r="S1102" i="3" a="1"/>
  <c r="S1102" i="3" s="1"/>
  <c r="S1103" i="3" a="1"/>
  <c r="S1103" i="3" s="1"/>
  <c r="S1104" i="3" a="1"/>
  <c r="S1104" i="3"/>
  <c r="S1105" i="3" a="1"/>
  <c r="S1105" i="3" s="1"/>
  <c r="S1106" i="3" a="1"/>
  <c r="S1106" i="3" s="1"/>
  <c r="S1107" i="3" a="1"/>
  <c r="S1107" i="3" s="1"/>
  <c r="S1108" i="3" a="1"/>
  <c r="S1108" i="3" s="1"/>
  <c r="S1109" i="3" a="1"/>
  <c r="S1109" i="3" s="1"/>
  <c r="S1110" i="3" a="1"/>
  <c r="S1110" i="3" s="1"/>
  <c r="S1111" i="3" a="1"/>
  <c r="S1111" i="3" s="1"/>
  <c r="S1112" i="3" a="1"/>
  <c r="S1112" i="3"/>
  <c r="S1113" i="3" a="1"/>
  <c r="S1113" i="3" s="1"/>
  <c r="S1114" i="3" a="1"/>
  <c r="S1114" i="3" s="1"/>
  <c r="S1115" i="3" a="1"/>
  <c r="S1115" i="3" s="1"/>
  <c r="S1116" i="3" a="1"/>
  <c r="S1116" i="3" s="1"/>
  <c r="S1117" i="3" a="1"/>
  <c r="S1117" i="3" s="1"/>
  <c r="S1118" i="3" a="1"/>
  <c r="S1118" i="3" s="1"/>
  <c r="S1119" i="3" a="1"/>
  <c r="S1119" i="3" s="1"/>
  <c r="S1120" i="3" a="1"/>
  <c r="S1120" i="3"/>
  <c r="S1121" i="3" a="1"/>
  <c r="S1121" i="3" s="1"/>
  <c r="S1122" i="3" a="1"/>
  <c r="S1122" i="3" s="1"/>
  <c r="S1123" i="3" a="1"/>
  <c r="S1123" i="3" s="1"/>
  <c r="S1124" i="3" a="1"/>
  <c r="S1124" i="3" s="1"/>
  <c r="S1125" i="3" a="1"/>
  <c r="S1125" i="3" s="1"/>
  <c r="S1126" i="3" a="1"/>
  <c r="S1126" i="3" s="1"/>
  <c r="S1127" i="3" a="1"/>
  <c r="S1127" i="3" s="1"/>
  <c r="S1128" i="3" a="1"/>
  <c r="S1128" i="3"/>
  <c r="S1129" i="3" a="1"/>
  <c r="S1129" i="3" s="1"/>
  <c r="S1130" i="3" a="1"/>
  <c r="S1130" i="3" s="1"/>
  <c r="S1131" i="3" a="1"/>
  <c r="S1131" i="3" s="1"/>
  <c r="S1132" i="3" a="1"/>
  <c r="S1132" i="3" s="1"/>
  <c r="S1133" i="3" a="1"/>
  <c r="S1133" i="3" s="1"/>
  <c r="S1134" i="3" a="1"/>
  <c r="S1134" i="3" s="1"/>
  <c r="S1135" i="3" a="1"/>
  <c r="S1135" i="3" s="1"/>
  <c r="S1136" i="3" a="1"/>
  <c r="S1136" i="3"/>
  <c r="S1137" i="3" a="1"/>
  <c r="S1137" i="3" s="1"/>
  <c r="S1138" i="3" a="1"/>
  <c r="S1138" i="3" s="1"/>
  <c r="S1139" i="3" a="1"/>
  <c r="S1139" i="3" s="1"/>
  <c r="S1140" i="3" a="1"/>
  <c r="S1140" i="3" s="1"/>
  <c r="S1141" i="3" a="1"/>
  <c r="S1141" i="3" s="1"/>
  <c r="S1142" i="3" a="1"/>
  <c r="S1142" i="3" s="1"/>
  <c r="S1143" i="3" a="1"/>
  <c r="S1143" i="3" s="1"/>
  <c r="S1144" i="3" a="1"/>
  <c r="S1144" i="3"/>
  <c r="S1145" i="3" a="1"/>
  <c r="S1145" i="3" s="1"/>
  <c r="S1146" i="3" a="1"/>
  <c r="S1146" i="3" s="1"/>
  <c r="S1147" i="3" a="1"/>
  <c r="S1147" i="3" s="1"/>
  <c r="S1148" i="3" a="1"/>
  <c r="S1148" i="3" s="1"/>
  <c r="S1149" i="3" a="1"/>
  <c r="S1149" i="3" s="1"/>
  <c r="S1150" i="3" a="1"/>
  <c r="S1150" i="3" s="1"/>
  <c r="S1151" i="3" a="1"/>
  <c r="S1151" i="3" s="1"/>
  <c r="S1152" i="3" a="1"/>
  <c r="S1152" i="3"/>
  <c r="S1153" i="3" a="1"/>
  <c r="S1153" i="3" s="1"/>
  <c r="S1154" i="3" a="1"/>
  <c r="S1154" i="3" s="1"/>
  <c r="S1155" i="3" a="1"/>
  <c r="S1155" i="3" s="1"/>
  <c r="S1156" i="3" a="1"/>
  <c r="S1156" i="3" s="1"/>
  <c r="S1157" i="3" a="1"/>
  <c r="S1157" i="3" s="1"/>
  <c r="S1158" i="3" a="1"/>
  <c r="S1158" i="3" s="1"/>
  <c r="S1159" i="3" a="1"/>
  <c r="S1159" i="3" s="1"/>
  <c r="S1160" i="3" a="1"/>
  <c r="S1160" i="3"/>
  <c r="S1161" i="3" a="1"/>
  <c r="S1161" i="3" s="1"/>
  <c r="S1162" i="3" a="1"/>
  <c r="S1162" i="3" s="1"/>
  <c r="S1163" i="3" a="1"/>
  <c r="S1163" i="3" s="1"/>
  <c r="S1164" i="3" a="1"/>
  <c r="S1164" i="3" s="1"/>
  <c r="S1165" i="3" a="1"/>
  <c r="S1165" i="3" s="1"/>
  <c r="S1166" i="3" a="1"/>
  <c r="S1166" i="3" s="1"/>
  <c r="S1167" i="3" a="1"/>
  <c r="S1167" i="3" s="1"/>
  <c r="S1168" i="3" a="1"/>
  <c r="S1168" i="3"/>
  <c r="S1169" i="3" a="1"/>
  <c r="S1169" i="3" s="1"/>
  <c r="S1170" i="3" a="1"/>
  <c r="S1170" i="3" s="1"/>
  <c r="S1171" i="3" a="1"/>
  <c r="S1171" i="3" s="1"/>
  <c r="S1172" i="3" a="1"/>
  <c r="S1172" i="3" s="1"/>
  <c r="S1173" i="3" a="1"/>
  <c r="S1173" i="3" s="1"/>
  <c r="S1174" i="3" a="1"/>
  <c r="S1174" i="3" s="1"/>
  <c r="S1175" i="3" a="1"/>
  <c r="S1175" i="3" s="1"/>
  <c r="S1176" i="3" a="1"/>
  <c r="S1176" i="3"/>
  <c r="S1177" i="3" a="1"/>
  <c r="S1177" i="3" s="1"/>
  <c r="S1178" i="3" a="1"/>
  <c r="S1178" i="3" s="1"/>
  <c r="S1179" i="3" a="1"/>
  <c r="S1179" i="3" s="1"/>
  <c r="S1180" i="3" a="1"/>
  <c r="S1180" i="3" s="1"/>
  <c r="S1181" i="3" a="1"/>
  <c r="S1181" i="3" s="1"/>
  <c r="S1182" i="3" a="1"/>
  <c r="S1182" i="3" s="1"/>
  <c r="S1183" i="3" a="1"/>
  <c r="S1183" i="3" s="1"/>
  <c r="S1184" i="3" a="1"/>
  <c r="S1184" i="3"/>
  <c r="S1185" i="3" a="1"/>
  <c r="S1185" i="3" s="1"/>
  <c r="S1186" i="3" a="1"/>
  <c r="S1186" i="3" s="1"/>
  <c r="S1187" i="3" a="1"/>
  <c r="S1187" i="3" s="1"/>
  <c r="S1188" i="3" a="1"/>
  <c r="S1188" i="3" s="1"/>
  <c r="S1189" i="3" a="1"/>
  <c r="S1189" i="3" s="1"/>
  <c r="S1190" i="3" a="1"/>
  <c r="S1190" i="3" s="1"/>
  <c r="S1191" i="3" a="1"/>
  <c r="S1191" i="3" s="1"/>
  <c r="S1192" i="3" a="1"/>
  <c r="S1192" i="3"/>
  <c r="S1193" i="3" a="1"/>
  <c r="S1193" i="3" s="1"/>
  <c r="S1194" i="3" a="1"/>
  <c r="S1194" i="3" s="1"/>
  <c r="S1195" i="3" a="1"/>
  <c r="S1195" i="3" s="1"/>
  <c r="S1196" i="3" a="1"/>
  <c r="S1196" i="3" s="1"/>
  <c r="S1197" i="3" a="1"/>
  <c r="S1197" i="3" s="1"/>
  <c r="S1198" i="3" a="1"/>
  <c r="S1198" i="3" s="1"/>
  <c r="S1199" i="3" a="1"/>
  <c r="S1199" i="3" s="1"/>
  <c r="S1200" i="3" a="1"/>
  <c r="S1200" i="3"/>
  <c r="S1201" i="3" a="1"/>
  <c r="S1201" i="3" s="1"/>
  <c r="S1202" i="3" a="1"/>
  <c r="S1202" i="3" s="1"/>
  <c r="S1203" i="3" a="1"/>
  <c r="S1203" i="3" s="1"/>
  <c r="S1204" i="3" a="1"/>
  <c r="S1204" i="3" s="1"/>
  <c r="S1205" i="3" a="1"/>
  <c r="S1205" i="3" s="1"/>
  <c r="S1206" i="3" a="1"/>
  <c r="S1206" i="3" s="1"/>
  <c r="S1207" i="3" a="1"/>
  <c r="S1207" i="3" s="1"/>
  <c r="S1208" i="3" a="1"/>
  <c r="S1208" i="3"/>
  <c r="S1209" i="3" a="1"/>
  <c r="S1209" i="3" s="1"/>
  <c r="S1210" i="3" a="1"/>
  <c r="S1210" i="3" s="1"/>
  <c r="S1211" i="3" a="1"/>
  <c r="S1211" i="3" s="1"/>
  <c r="S1212" i="3" a="1"/>
  <c r="S1212" i="3" s="1"/>
  <c r="S1213" i="3" a="1"/>
  <c r="S1213" i="3" s="1"/>
  <c r="S1214" i="3" a="1"/>
  <c r="S1214" i="3" s="1"/>
  <c r="S1215" i="3" a="1"/>
  <c r="S1215" i="3" s="1"/>
  <c r="S1216" i="3" a="1"/>
  <c r="S1216" i="3"/>
  <c r="S1217" i="3" a="1"/>
  <c r="S1217" i="3" s="1"/>
  <c r="S1218" i="3" a="1"/>
  <c r="S1218" i="3" s="1"/>
  <c r="S1219" i="3" a="1"/>
  <c r="S1219" i="3" s="1"/>
  <c r="S1220" i="3" a="1"/>
  <c r="S1220" i="3" s="1"/>
  <c r="S1221" i="3" a="1"/>
  <c r="S1221" i="3" s="1"/>
  <c r="S1222" i="3" a="1"/>
  <c r="S1222" i="3" s="1"/>
  <c r="S1223" i="3" a="1"/>
  <c r="S1223" i="3" s="1"/>
  <c r="S1224" i="3" a="1"/>
  <c r="S1224" i="3"/>
  <c r="S1225" i="3" a="1"/>
  <c r="S1225" i="3" s="1"/>
  <c r="S1226" i="3" a="1"/>
  <c r="S1226" i="3" s="1"/>
  <c r="S1227" i="3" a="1"/>
  <c r="S1227" i="3" s="1"/>
  <c r="S1228" i="3" a="1"/>
  <c r="S1228" i="3" s="1"/>
  <c r="S1229" i="3" a="1"/>
  <c r="S1229" i="3" s="1"/>
  <c r="S1230" i="3" a="1"/>
  <c r="S1230" i="3" s="1"/>
  <c r="S1231" i="3" a="1"/>
  <c r="S1231" i="3" s="1"/>
  <c r="S1232" i="3" a="1"/>
  <c r="S1232" i="3"/>
  <c r="S1233" i="3" a="1"/>
  <c r="S1233" i="3" s="1"/>
  <c r="S1234" i="3" a="1"/>
  <c r="S1234" i="3" s="1"/>
  <c r="S1235" i="3" a="1"/>
  <c r="S1235" i="3" s="1"/>
  <c r="S1236" i="3" a="1"/>
  <c r="S1236" i="3" s="1"/>
  <c r="S1237" i="3" a="1"/>
  <c r="S1237" i="3" s="1"/>
  <c r="S1238" i="3" a="1"/>
  <c r="S1238" i="3" s="1"/>
  <c r="S1239" i="3" a="1"/>
  <c r="S1239" i="3" s="1"/>
  <c r="S1240" i="3" a="1"/>
  <c r="S1240" i="3"/>
  <c r="S1241" i="3" a="1"/>
  <c r="S1241" i="3" s="1"/>
  <c r="S1242" i="3" a="1"/>
  <c r="S1242" i="3" s="1"/>
  <c r="S1243" i="3" a="1"/>
  <c r="S1243" i="3" s="1"/>
  <c r="S1244" i="3" a="1"/>
  <c r="S1244" i="3" s="1"/>
  <c r="S1245" i="3" a="1"/>
  <c r="S1245" i="3" s="1"/>
  <c r="S1246" i="3" a="1"/>
  <c r="S1246" i="3" s="1"/>
  <c r="S1247" i="3" a="1"/>
  <c r="S1247" i="3" s="1"/>
  <c r="S1248" i="3" a="1"/>
  <c r="S1248" i="3"/>
  <c r="S1249" i="3" a="1"/>
  <c r="S1249" i="3" s="1"/>
  <c r="S1250" i="3" a="1"/>
  <c r="S1250" i="3" s="1"/>
  <c r="S1251" i="3" a="1"/>
  <c r="S1251" i="3" s="1"/>
  <c r="S1252" i="3" a="1"/>
  <c r="S1252" i="3" s="1"/>
  <c r="S1253" i="3" a="1"/>
  <c r="S1253" i="3" s="1"/>
  <c r="S1254" i="3" a="1"/>
  <c r="S1254" i="3" s="1"/>
  <c r="S1255" i="3" a="1"/>
  <c r="S1255" i="3" s="1"/>
  <c r="S1256" i="3" a="1"/>
  <c r="S1256" i="3"/>
  <c r="S1257" i="3" a="1"/>
  <c r="S1257" i="3" s="1"/>
  <c r="S1258" i="3" a="1"/>
  <c r="S1258" i="3" s="1"/>
  <c r="S1259" i="3" a="1"/>
  <c r="S1259" i="3" s="1"/>
  <c r="S1260" i="3" a="1"/>
  <c r="S1260" i="3" s="1"/>
  <c r="S1261" i="3" a="1"/>
  <c r="S1261" i="3" s="1"/>
  <c r="S1262" i="3" a="1"/>
  <c r="S1262" i="3" s="1"/>
  <c r="S1263" i="3" a="1"/>
  <c r="S1263" i="3" s="1"/>
  <c r="S1264" i="3" a="1"/>
  <c r="S1264" i="3"/>
  <c r="S1265" i="3" a="1"/>
  <c r="S1265" i="3" s="1"/>
  <c r="S1266" i="3" a="1"/>
  <c r="S1266" i="3" s="1"/>
  <c r="S1267" i="3" a="1"/>
  <c r="S1267" i="3" s="1"/>
  <c r="S1268" i="3" a="1"/>
  <c r="S1268" i="3" s="1"/>
  <c r="S1269" i="3" a="1"/>
  <c r="S1269" i="3" s="1"/>
  <c r="S1270" i="3" a="1"/>
  <c r="S1270" i="3" s="1"/>
  <c r="S1271" i="3" a="1"/>
  <c r="S1271" i="3" s="1"/>
  <c r="S1272" i="3" a="1"/>
  <c r="S1272" i="3"/>
  <c r="S1273" i="3" a="1"/>
  <c r="S1273" i="3" s="1"/>
  <c r="S1274" i="3" a="1"/>
  <c r="S1274" i="3" s="1"/>
  <c r="S1275" i="3" a="1"/>
  <c r="S1275" i="3" s="1"/>
  <c r="S1276" i="3" a="1"/>
  <c r="S1276" i="3" s="1"/>
  <c r="S1277" i="3" a="1"/>
  <c r="S1277" i="3" s="1"/>
  <c r="S1278" i="3" a="1"/>
  <c r="S1278" i="3" s="1"/>
  <c r="S1279" i="3" a="1"/>
  <c r="S1279" i="3" s="1"/>
  <c r="S1280" i="3" a="1"/>
  <c r="S1280" i="3"/>
  <c r="S1281" i="3" a="1"/>
  <c r="S1281" i="3" s="1"/>
  <c r="S1282" i="3" a="1"/>
  <c r="S1282" i="3" s="1"/>
  <c r="S1283" i="3" a="1"/>
  <c r="S1283" i="3" s="1"/>
  <c r="S1284" i="3" a="1"/>
  <c r="S1284" i="3" s="1"/>
  <c r="S1285" i="3" a="1"/>
  <c r="S1285" i="3" s="1"/>
  <c r="S1286" i="3" a="1"/>
  <c r="S1286" i="3" s="1"/>
  <c r="S1287" i="3" a="1"/>
  <c r="S1287" i="3" s="1"/>
  <c r="S1288" i="3" a="1"/>
  <c r="S1288" i="3"/>
  <c r="S1289" i="3" a="1"/>
  <c r="S1289" i="3" s="1"/>
  <c r="S1290" i="3" a="1"/>
  <c r="S1290" i="3" s="1"/>
  <c r="S1291" i="3" a="1"/>
  <c r="S1291" i="3" s="1"/>
  <c r="S1292" i="3" a="1"/>
  <c r="S1292" i="3" s="1"/>
  <c r="S1293" i="3" a="1"/>
  <c r="S1293" i="3" s="1"/>
  <c r="S1294" i="3" a="1"/>
  <c r="S1294" i="3" s="1"/>
  <c r="S1295" i="3" a="1"/>
  <c r="S1295" i="3" s="1"/>
  <c r="S1296" i="3" a="1"/>
  <c r="S1296" i="3"/>
  <c r="S1297" i="3" a="1"/>
  <c r="S1297" i="3" s="1"/>
  <c r="S1298" i="3" a="1"/>
  <c r="S1298" i="3" s="1"/>
  <c r="S1299" i="3" a="1"/>
  <c r="S1299" i="3" s="1"/>
  <c r="S1300" i="3" a="1"/>
  <c r="S1300" i="3" s="1"/>
  <c r="S1301" i="3" a="1"/>
  <c r="S1301" i="3" s="1"/>
  <c r="S1302" i="3" a="1"/>
  <c r="S1302" i="3" s="1"/>
  <c r="S1303" i="3" a="1"/>
  <c r="S1303" i="3" s="1"/>
  <c r="S1304" i="3" a="1"/>
  <c r="S1304" i="3"/>
  <c r="S1305" i="3" a="1"/>
  <c r="S1305" i="3" s="1"/>
  <c r="S1306" i="3" a="1"/>
  <c r="S1306" i="3" s="1"/>
  <c r="S1307" i="3" a="1"/>
  <c r="S1307" i="3" s="1"/>
  <c r="S1308" i="3" a="1"/>
  <c r="S1308" i="3" s="1"/>
  <c r="S1309" i="3" a="1"/>
  <c r="S1309" i="3" s="1"/>
  <c r="S1310" i="3" a="1"/>
  <c r="S1310" i="3" s="1"/>
  <c r="S1311" i="3" a="1"/>
  <c r="S1311" i="3" s="1"/>
  <c r="S1312" i="3" a="1"/>
  <c r="S1312" i="3"/>
  <c r="S1313" i="3" a="1"/>
  <c r="S1313" i="3" s="1"/>
  <c r="S1314" i="3" a="1"/>
  <c r="S1314" i="3" s="1"/>
  <c r="S1315" i="3" a="1"/>
  <c r="S1315" i="3" s="1"/>
  <c r="S1316" i="3" a="1"/>
  <c r="S1316" i="3" s="1"/>
  <c r="S1317" i="3" a="1"/>
  <c r="S1317" i="3" s="1"/>
  <c r="S1318" i="3" a="1"/>
  <c r="S1318" i="3" s="1"/>
  <c r="S1319" i="3" a="1"/>
  <c r="S1319" i="3" s="1"/>
  <c r="S1320" i="3" a="1"/>
  <c r="S1320" i="3"/>
  <c r="S1321" i="3" a="1"/>
  <c r="S1321" i="3" s="1"/>
  <c r="S1322" i="3" a="1"/>
  <c r="S1322" i="3" s="1"/>
  <c r="S1323" i="3" a="1"/>
  <c r="S1323" i="3" s="1"/>
  <c r="S1324" i="3" a="1"/>
  <c r="S1324" i="3" s="1"/>
  <c r="S1325" i="3" a="1"/>
  <c r="S1325" i="3" s="1"/>
  <c r="S1326" i="3" a="1"/>
  <c r="S1326" i="3" s="1"/>
  <c r="S1327" i="3" a="1"/>
  <c r="S1327" i="3" s="1"/>
  <c r="S1328" i="3" a="1"/>
  <c r="S1328" i="3"/>
  <c r="S1329" i="3" a="1"/>
  <c r="S1329" i="3" s="1"/>
  <c r="S1330" i="3" a="1"/>
  <c r="S1330" i="3" s="1"/>
  <c r="S1331" i="3" a="1"/>
  <c r="S1331" i="3" s="1"/>
  <c r="S1332" i="3" a="1"/>
  <c r="S1332" i="3" s="1"/>
  <c r="S1333" i="3" a="1"/>
  <c r="S1333" i="3" s="1"/>
  <c r="S1334" i="3" a="1"/>
  <c r="S1334" i="3" s="1"/>
  <c r="S1335" i="3" a="1"/>
  <c r="S1335" i="3" s="1"/>
  <c r="S1336" i="3" a="1"/>
  <c r="S1336" i="3"/>
  <c r="S1337" i="3" a="1"/>
  <c r="S1337" i="3" s="1"/>
  <c r="S1338" i="3" a="1"/>
  <c r="S1338" i="3" s="1"/>
  <c r="S1339" i="3" a="1"/>
  <c r="S1339" i="3" s="1"/>
  <c r="S1340" i="3" a="1"/>
  <c r="S1340" i="3" s="1"/>
  <c r="S1341" i="3" a="1"/>
  <c r="S1341" i="3" s="1"/>
  <c r="S1342" i="3" a="1"/>
  <c r="S1342" i="3" s="1"/>
  <c r="S1343" i="3" a="1"/>
  <c r="S1343" i="3" s="1"/>
  <c r="S1344" i="3" a="1"/>
  <c r="S1344" i="3"/>
  <c r="S1345" i="3" a="1"/>
  <c r="S1345" i="3" s="1"/>
  <c r="S1346" i="3" a="1"/>
  <c r="S1346" i="3" s="1"/>
  <c r="S1347" i="3" a="1"/>
  <c r="S1347" i="3" s="1"/>
  <c r="S1348" i="3" a="1"/>
  <c r="S1348" i="3" s="1"/>
  <c r="S1349" i="3" a="1"/>
  <c r="S1349" i="3" s="1"/>
  <c r="S1350" i="3" a="1"/>
  <c r="S1350" i="3" s="1"/>
  <c r="S1351" i="3" a="1"/>
  <c r="S1351" i="3" s="1"/>
  <c r="S1352" i="3" a="1"/>
  <c r="S1352" i="3"/>
  <c r="S1353" i="3" a="1"/>
  <c r="S1353" i="3" s="1"/>
  <c r="S1354" i="3" a="1"/>
  <c r="S1354" i="3" s="1"/>
  <c r="S1355" i="3" a="1"/>
  <c r="S1355" i="3" s="1"/>
  <c r="S1356" i="3" a="1"/>
  <c r="S1356" i="3" s="1"/>
  <c r="S1357" i="3" a="1"/>
  <c r="S1357" i="3" s="1"/>
  <c r="S1358" i="3" a="1"/>
  <c r="S1358" i="3" s="1"/>
  <c r="S1359" i="3" a="1"/>
  <c r="S1359" i="3" s="1"/>
  <c r="S1360" i="3" a="1"/>
  <c r="S1360" i="3"/>
  <c r="S1361" i="3" a="1"/>
  <c r="S1361" i="3" s="1"/>
  <c r="S1362" i="3" a="1"/>
  <c r="S1362" i="3" s="1"/>
  <c r="S1363" i="3" a="1"/>
  <c r="S1363" i="3" s="1"/>
  <c r="S1364" i="3" a="1"/>
  <c r="S1364" i="3" s="1"/>
  <c r="S1365" i="3" a="1"/>
  <c r="S1365" i="3" s="1"/>
  <c r="S1366" i="3" a="1"/>
  <c r="S1366" i="3" s="1"/>
  <c r="S1367" i="3" a="1"/>
  <c r="S1367" i="3" s="1"/>
  <c r="S1368" i="3" a="1"/>
  <c r="S1368" i="3"/>
  <c r="S1369" i="3" a="1"/>
  <c r="S1369" i="3" s="1"/>
  <c r="S1370" i="3" a="1"/>
  <c r="S1370" i="3" s="1"/>
  <c r="S1371" i="3" a="1"/>
  <c r="S1371" i="3" s="1"/>
  <c r="S1372" i="3" a="1"/>
  <c r="S1372" i="3" s="1"/>
  <c r="S1373" i="3" a="1"/>
  <c r="S1373" i="3" s="1"/>
  <c r="S1374" i="3" a="1"/>
  <c r="S1374" i="3" s="1"/>
  <c r="S1375" i="3" a="1"/>
  <c r="S1375" i="3" s="1"/>
  <c r="S1376" i="3" a="1"/>
  <c r="S1376" i="3"/>
  <c r="S1377" i="3" a="1"/>
  <c r="S1377" i="3" s="1"/>
  <c r="S1378" i="3" a="1"/>
  <c r="S1378" i="3" s="1"/>
  <c r="S1379" i="3" a="1"/>
  <c r="S1379" i="3" s="1"/>
  <c r="S1380" i="3" a="1"/>
  <c r="S1380" i="3" s="1"/>
  <c r="S1381" i="3" a="1"/>
  <c r="S1381" i="3" s="1"/>
  <c r="S1382" i="3" a="1"/>
  <c r="S1382" i="3" s="1"/>
  <c r="S1383" i="3" a="1"/>
  <c r="S1383" i="3" s="1"/>
  <c r="S1384" i="3" a="1"/>
  <c r="S1384" i="3"/>
  <c r="S1385" i="3" a="1"/>
  <c r="S1385" i="3" s="1"/>
  <c r="S1386" i="3" a="1"/>
  <c r="S1386" i="3" s="1"/>
  <c r="S1387" i="3" a="1"/>
  <c r="S1387" i="3" s="1"/>
  <c r="S1388" i="3" a="1"/>
  <c r="S1388" i="3" s="1"/>
  <c r="S1389" i="3" a="1"/>
  <c r="S1389" i="3" s="1"/>
  <c r="S1390" i="3" a="1"/>
  <c r="S1390" i="3" s="1"/>
  <c r="S1391" i="3" a="1"/>
  <c r="S1391" i="3" s="1"/>
  <c r="S1392" i="3" a="1"/>
  <c r="S1392" i="3"/>
  <c r="S1393" i="3" a="1"/>
  <c r="S1393" i="3" s="1"/>
  <c r="S1394" i="3" a="1"/>
  <c r="S1394" i="3" s="1"/>
  <c r="S1395" i="3" a="1"/>
  <c r="S1395" i="3" s="1"/>
  <c r="S1396" i="3" a="1"/>
  <c r="S1396" i="3" s="1"/>
  <c r="S1397" i="3" a="1"/>
  <c r="S1397" i="3" s="1"/>
  <c r="S1398" i="3" a="1"/>
  <c r="S1398" i="3" s="1"/>
  <c r="S1399" i="3" a="1"/>
  <c r="S1399" i="3" s="1"/>
  <c r="S1400" i="3" a="1"/>
  <c r="S1400" i="3"/>
  <c r="S1401" i="3" a="1"/>
  <c r="S1401" i="3" s="1"/>
  <c r="S1402" i="3" a="1"/>
  <c r="S1402" i="3" s="1"/>
  <c r="S1403" i="3" a="1"/>
  <c r="S1403" i="3" s="1"/>
  <c r="S1404" i="3" a="1"/>
  <c r="S1404" i="3" s="1"/>
  <c r="S1405" i="3" a="1"/>
  <c r="S1405" i="3" s="1"/>
  <c r="S1406" i="3" a="1"/>
  <c r="S1406" i="3" s="1"/>
  <c r="S1407" i="3" a="1"/>
  <c r="S1407" i="3" s="1"/>
  <c r="S1408" i="3" a="1"/>
  <c r="S1408" i="3"/>
  <c r="S1409" i="3" a="1"/>
  <c r="S1409" i="3" s="1"/>
  <c r="S1410" i="3" a="1"/>
  <c r="S1410" i="3" s="1"/>
  <c r="S1411" i="3" a="1"/>
  <c r="S1411" i="3" s="1"/>
  <c r="S1412" i="3" a="1"/>
  <c r="S1412" i="3" s="1"/>
  <c r="S1413" i="3" a="1"/>
  <c r="S1413" i="3" s="1"/>
  <c r="S1414" i="3" a="1"/>
  <c r="S1414" i="3" s="1"/>
  <c r="S1415" i="3" a="1"/>
  <c r="S1415" i="3" s="1"/>
  <c r="S1416" i="3" a="1"/>
  <c r="S1416" i="3"/>
  <c r="S1417" i="3" a="1"/>
  <c r="S1417" i="3" s="1"/>
  <c r="S1418" i="3" a="1"/>
  <c r="S1418" i="3" s="1"/>
  <c r="S1419" i="3" a="1"/>
  <c r="S1419" i="3" s="1"/>
  <c r="S1420" i="3" a="1"/>
  <c r="S1420" i="3" s="1"/>
  <c r="S1421" i="3" a="1"/>
  <c r="S1421" i="3" s="1"/>
  <c r="S1422" i="3" a="1"/>
  <c r="S1422" i="3" s="1"/>
  <c r="S1423" i="3" a="1"/>
  <c r="S1423" i="3" s="1"/>
  <c r="S1424" i="3" a="1"/>
  <c r="S1424" i="3"/>
  <c r="S1425" i="3" a="1"/>
  <c r="S1425" i="3" s="1"/>
  <c r="S1426" i="3" a="1"/>
  <c r="S1426" i="3" s="1"/>
  <c r="S1427" i="3" a="1"/>
  <c r="S1427" i="3" s="1"/>
  <c r="S1428" i="3" a="1"/>
  <c r="S1428" i="3" s="1"/>
  <c r="S1429" i="3" a="1"/>
  <c r="S1429" i="3" s="1"/>
  <c r="S1430" i="3" a="1"/>
  <c r="S1430" i="3" s="1"/>
  <c r="S1431" i="3" a="1"/>
  <c r="S1431" i="3" s="1"/>
  <c r="S1432" i="3" a="1"/>
  <c r="S1432" i="3" s="1"/>
  <c r="S1433" i="3" a="1"/>
  <c r="S1433" i="3" s="1"/>
  <c r="S1434" i="3" a="1"/>
  <c r="S1434" i="3" s="1"/>
  <c r="S1435" i="3" a="1"/>
  <c r="S1435" i="3" s="1"/>
  <c r="S1436" i="3" a="1"/>
  <c r="S1436" i="3" s="1"/>
  <c r="S1437" i="3" a="1"/>
  <c r="S1437" i="3" s="1"/>
  <c r="S1438" i="3" a="1"/>
  <c r="S1438" i="3" s="1"/>
  <c r="S1439" i="3" a="1"/>
  <c r="S1439" i="3" s="1"/>
  <c r="S1440" i="3" a="1"/>
  <c r="S1440" i="3" s="1"/>
  <c r="S1441" i="3" a="1"/>
  <c r="S1441" i="3" s="1"/>
  <c r="S1442" i="3" a="1"/>
  <c r="S1442" i="3" s="1"/>
  <c r="S1443" i="3" a="1"/>
  <c r="S1443" i="3" s="1"/>
  <c r="S1444" i="3" a="1"/>
  <c r="S1444" i="3" s="1"/>
  <c r="S1445" i="3" a="1"/>
  <c r="S1445" i="3" s="1"/>
  <c r="S1446" i="3" a="1"/>
  <c r="S1446" i="3" s="1"/>
  <c r="S1447" i="3" a="1"/>
  <c r="S1447" i="3" s="1"/>
  <c r="S1448" i="3" a="1"/>
  <c r="S1448" i="3" s="1"/>
  <c r="S1449" i="3" a="1"/>
  <c r="S1449" i="3" s="1"/>
  <c r="S1450" i="3" a="1"/>
  <c r="S1450" i="3" s="1"/>
  <c r="S1451" i="3" a="1"/>
  <c r="S1451" i="3" s="1"/>
  <c r="S1452" i="3" a="1"/>
  <c r="S1452" i="3" s="1"/>
  <c r="S1453" i="3" a="1"/>
  <c r="S1453" i="3" s="1"/>
  <c r="S1454" i="3" a="1"/>
  <c r="S1454" i="3" s="1"/>
  <c r="S1455" i="3" a="1"/>
  <c r="S1455" i="3" s="1"/>
  <c r="S1456" i="3" a="1"/>
  <c r="S1456" i="3" s="1"/>
  <c r="S1457" i="3" a="1"/>
  <c r="S1457" i="3" s="1"/>
  <c r="S1458" i="3" a="1"/>
  <c r="S1458" i="3" s="1"/>
  <c r="S1459" i="3" a="1"/>
  <c r="S1459" i="3" s="1"/>
  <c r="S1460" i="3" a="1"/>
  <c r="S1460" i="3" s="1"/>
  <c r="S1461" i="3" a="1"/>
  <c r="S1461" i="3" s="1"/>
  <c r="S1462" i="3" a="1"/>
  <c r="S1462" i="3" s="1"/>
  <c r="S1463" i="3" a="1"/>
  <c r="S1463" i="3" s="1"/>
  <c r="S1464" i="3" a="1"/>
  <c r="S1464" i="3" s="1"/>
  <c r="S1465" i="3" a="1"/>
  <c r="S1465" i="3" s="1"/>
  <c r="S1466" i="3" a="1"/>
  <c r="S1466" i="3" s="1"/>
  <c r="S1467" i="3" a="1"/>
  <c r="S1467" i="3" s="1"/>
  <c r="S1468" i="3" a="1"/>
  <c r="S1468" i="3" s="1"/>
  <c r="S1469" i="3" a="1"/>
  <c r="S1469" i="3" s="1"/>
  <c r="S1470" i="3" a="1"/>
  <c r="S1470" i="3" s="1"/>
  <c r="S1471" i="3" a="1"/>
  <c r="S1471" i="3" s="1"/>
  <c r="S1472" i="3" a="1"/>
  <c r="S1472" i="3" s="1"/>
  <c r="S1473" i="3" a="1"/>
  <c r="S1473" i="3" s="1"/>
  <c r="S1474" i="3" a="1"/>
  <c r="S1474" i="3" s="1"/>
  <c r="S1475" i="3" a="1"/>
  <c r="S1475" i="3" s="1"/>
  <c r="S1476" i="3" a="1"/>
  <c r="S1476" i="3" s="1"/>
  <c r="S1477" i="3" a="1"/>
  <c r="S1477" i="3" s="1"/>
  <c r="S1478" i="3" a="1"/>
  <c r="S1478" i="3" s="1"/>
  <c r="S1479" i="3" a="1"/>
  <c r="S1479" i="3" s="1"/>
  <c r="S1480" i="3" a="1"/>
  <c r="S1480" i="3" s="1"/>
  <c r="S1481" i="3" a="1"/>
  <c r="S1481" i="3" s="1"/>
  <c r="S1482" i="3" a="1"/>
  <c r="S1482" i="3" s="1"/>
  <c r="S1483" i="3" a="1"/>
  <c r="S1483" i="3" s="1"/>
  <c r="S1484" i="3" a="1"/>
  <c r="S1484" i="3" s="1"/>
  <c r="S1485" i="3" a="1"/>
  <c r="S1485" i="3" s="1"/>
  <c r="S1486" i="3" a="1"/>
  <c r="S1486" i="3" s="1"/>
  <c r="S1487" i="3" a="1"/>
  <c r="S1487" i="3" s="1"/>
  <c r="S1488" i="3" a="1"/>
  <c r="S1488" i="3" s="1"/>
  <c r="S1489" i="3" a="1"/>
  <c r="S1489" i="3" s="1"/>
  <c r="S1490" i="3" a="1"/>
  <c r="S1490" i="3" s="1"/>
  <c r="S1491" i="3" a="1"/>
  <c r="S1491" i="3" s="1"/>
  <c r="S1492" i="3" a="1"/>
  <c r="S1492" i="3" s="1"/>
  <c r="S1493" i="3" a="1"/>
  <c r="S1493" i="3" s="1"/>
  <c r="S1494" i="3" a="1"/>
  <c r="S1494" i="3" s="1"/>
  <c r="S1495" i="3" a="1"/>
  <c r="S1495" i="3" s="1"/>
  <c r="S1496" i="3" a="1"/>
  <c r="S1496" i="3" s="1"/>
  <c r="S1497" i="3" a="1"/>
  <c r="S1497" i="3" s="1"/>
  <c r="S1498" i="3" a="1"/>
  <c r="S1498" i="3" s="1"/>
  <c r="S1499" i="3" a="1"/>
  <c r="S1499" i="3" s="1"/>
  <c r="S1500" i="3" a="1"/>
  <c r="S1500" i="3" s="1"/>
  <c r="S1501" i="3" a="1"/>
  <c r="S1501" i="3" s="1"/>
  <c r="S1502" i="3" a="1"/>
  <c r="S1502" i="3" s="1"/>
  <c r="S1503" i="3" a="1"/>
  <c r="S1503" i="3" s="1"/>
  <c r="S1504" i="3" a="1"/>
  <c r="S1504" i="3" s="1"/>
  <c r="S1505" i="3" a="1"/>
  <c r="S1505" i="3" s="1"/>
  <c r="S1506" i="3" a="1"/>
  <c r="S1506" i="3" s="1"/>
  <c r="S1507" i="3" a="1"/>
  <c r="S1507" i="3" s="1"/>
  <c r="S1508" i="3" a="1"/>
  <c r="S1508" i="3" s="1"/>
  <c r="S1509" i="3" a="1"/>
  <c r="S1509" i="3" s="1"/>
  <c r="S1510" i="3" a="1"/>
  <c r="S1510" i="3" s="1"/>
  <c r="S1511" i="3" a="1"/>
  <c r="S1511" i="3" s="1"/>
  <c r="S1512" i="3" a="1"/>
  <c r="S1512" i="3" s="1"/>
  <c r="S1513" i="3" a="1"/>
  <c r="S1513" i="3" s="1"/>
  <c r="S1514" i="3" a="1"/>
  <c r="S1514" i="3" s="1"/>
  <c r="S1515" i="3" a="1"/>
  <c r="S1515" i="3" s="1"/>
  <c r="S1516" i="3" a="1"/>
  <c r="S1516" i="3" s="1"/>
  <c r="S1517" i="3" a="1"/>
  <c r="S1517" i="3" s="1"/>
  <c r="S1518" i="3" a="1"/>
  <c r="S1518" i="3" s="1"/>
  <c r="S1519" i="3" a="1"/>
  <c r="S1519" i="3" s="1"/>
  <c r="S1520" i="3" a="1"/>
  <c r="S1520" i="3" s="1"/>
  <c r="S1521" i="3" a="1"/>
  <c r="S1521" i="3" s="1"/>
  <c r="S1522" i="3" a="1"/>
  <c r="S1522" i="3" s="1"/>
  <c r="S1523" i="3" a="1"/>
  <c r="S1523" i="3" s="1"/>
  <c r="S1524" i="3" a="1"/>
  <c r="S1524" i="3" s="1"/>
  <c r="S1525" i="3" a="1"/>
  <c r="S1525" i="3" s="1"/>
  <c r="S1526" i="3" a="1"/>
  <c r="S1526" i="3" s="1"/>
  <c r="S1527" i="3" a="1"/>
  <c r="S1527" i="3" s="1"/>
  <c r="S1528" i="3" a="1"/>
  <c r="S1528" i="3" s="1"/>
  <c r="S1529" i="3" a="1"/>
  <c r="S1529" i="3" s="1"/>
  <c r="S1530" i="3" a="1"/>
  <c r="S1530" i="3" s="1"/>
  <c r="S1531" i="3" a="1"/>
  <c r="S1531" i="3" s="1"/>
  <c r="S1532" i="3" a="1"/>
  <c r="S1532" i="3" s="1"/>
  <c r="S1533" i="3" a="1"/>
  <c r="S1533" i="3" s="1"/>
  <c r="S1534" i="3" a="1"/>
  <c r="S1534" i="3" s="1"/>
  <c r="S1535" i="3" a="1"/>
  <c r="S1535" i="3" s="1"/>
  <c r="S1536" i="3" a="1"/>
  <c r="S1536" i="3" s="1"/>
  <c r="S1537" i="3" a="1"/>
  <c r="S1537" i="3" s="1"/>
  <c r="S1538" i="3" a="1"/>
  <c r="S1538" i="3" s="1"/>
  <c r="S1539" i="3" a="1"/>
  <c r="S1539" i="3" s="1"/>
  <c r="S1540" i="3" a="1"/>
  <c r="S1540" i="3" s="1"/>
  <c r="S1541" i="3" a="1"/>
  <c r="S1541" i="3" s="1"/>
  <c r="S1542" i="3" a="1"/>
  <c r="S1542" i="3" s="1"/>
  <c r="S1543" i="3" a="1"/>
  <c r="S1543" i="3" s="1"/>
  <c r="S1544" i="3" a="1"/>
  <c r="S1544" i="3" s="1"/>
  <c r="S1545" i="3" a="1"/>
  <c r="S1545" i="3" s="1"/>
  <c r="S1546" i="3" a="1"/>
  <c r="S1546" i="3" s="1"/>
  <c r="S1547" i="3" a="1"/>
  <c r="S1547" i="3" s="1"/>
  <c r="S1548" i="3" a="1"/>
  <c r="S1548" i="3" s="1"/>
  <c r="S1549" i="3" a="1"/>
  <c r="S1549" i="3" s="1"/>
  <c r="S1550" i="3" a="1"/>
  <c r="S1550" i="3" s="1"/>
  <c r="S1551" i="3" a="1"/>
  <c r="S1551" i="3" s="1"/>
  <c r="S1552" i="3" a="1"/>
  <c r="S1552" i="3" s="1"/>
  <c r="S1553" i="3" a="1"/>
  <c r="S1553" i="3" s="1"/>
  <c r="S1554" i="3" a="1"/>
  <c r="S1554" i="3" s="1"/>
  <c r="S1555" i="3" a="1"/>
  <c r="S1555" i="3" s="1"/>
  <c r="S1556" i="3" a="1"/>
  <c r="S1556" i="3" s="1"/>
  <c r="S1557" i="3" a="1"/>
  <c r="S1557" i="3" s="1"/>
  <c r="S1558" i="3" a="1"/>
  <c r="S1558" i="3" s="1"/>
  <c r="S1559" i="3" a="1"/>
  <c r="S1559" i="3" s="1"/>
  <c r="S1560" i="3" a="1"/>
  <c r="S1560" i="3" s="1"/>
  <c r="S1561" i="3" a="1"/>
  <c r="S1561" i="3" s="1"/>
  <c r="S1562" i="3" a="1"/>
  <c r="S1562" i="3" s="1"/>
  <c r="S1563" i="3" a="1"/>
  <c r="S1563" i="3" s="1"/>
  <c r="S1564" i="3" a="1"/>
  <c r="S1564" i="3" s="1"/>
  <c r="S1565" i="3" a="1"/>
  <c r="S1565" i="3" s="1"/>
  <c r="S1566" i="3" a="1"/>
  <c r="S1566" i="3" s="1"/>
  <c r="S1567" i="3" a="1"/>
  <c r="S1567" i="3" s="1"/>
  <c r="S1568" i="3" a="1"/>
  <c r="S1568" i="3" s="1"/>
  <c r="S1569" i="3" a="1"/>
  <c r="S1569" i="3" s="1"/>
  <c r="S1570" i="3" a="1"/>
  <c r="S1570" i="3" s="1"/>
  <c r="S1571" i="3" a="1"/>
  <c r="S1571" i="3" s="1"/>
  <c r="S1572" i="3" a="1"/>
  <c r="S1572" i="3" s="1"/>
  <c r="S1573" i="3" a="1"/>
  <c r="S1573" i="3" s="1"/>
  <c r="S1574" i="3" a="1"/>
  <c r="S1574" i="3" s="1"/>
  <c r="S1575" i="3" a="1"/>
  <c r="S1575" i="3" s="1"/>
  <c r="S1576" i="3" a="1"/>
  <c r="S1576" i="3" s="1"/>
  <c r="S1577" i="3" a="1"/>
  <c r="S1577" i="3" s="1"/>
  <c r="S1578" i="3" a="1"/>
  <c r="S1578" i="3" s="1"/>
  <c r="S1579" i="3" a="1"/>
  <c r="S1579" i="3" s="1"/>
  <c r="S1580" i="3" a="1"/>
  <c r="S1580" i="3" s="1"/>
  <c r="S1581" i="3" a="1"/>
  <c r="S1581" i="3" s="1"/>
  <c r="S1582" i="3" a="1"/>
  <c r="S1582" i="3" s="1"/>
  <c r="S1583" i="3" a="1"/>
  <c r="S1583" i="3" s="1"/>
  <c r="S1584" i="3" a="1"/>
  <c r="S1584" i="3" s="1"/>
  <c r="S1585" i="3" a="1"/>
  <c r="S1585" i="3" s="1"/>
  <c r="S1586" i="3" a="1"/>
  <c r="S1586" i="3" s="1"/>
  <c r="S1587" i="3" a="1"/>
  <c r="S1587" i="3" s="1"/>
  <c r="S1588" i="3" a="1"/>
  <c r="S1588" i="3" s="1"/>
  <c r="S1589" i="3" a="1"/>
  <c r="S1589" i="3" s="1"/>
  <c r="S1590" i="3" a="1"/>
  <c r="S1590" i="3" s="1"/>
  <c r="S1591" i="3" a="1"/>
  <c r="S1591" i="3" s="1"/>
  <c r="S1592" i="3" a="1"/>
  <c r="S1592" i="3" s="1"/>
  <c r="S1593" i="3" a="1"/>
  <c r="S1593" i="3" s="1"/>
  <c r="S1594" i="3" a="1"/>
  <c r="S1594" i="3" s="1"/>
  <c r="S1595" i="3" a="1"/>
  <c r="S1595" i="3" s="1"/>
  <c r="S1596" i="3" a="1"/>
  <c r="S1596" i="3" s="1"/>
  <c r="S1597" i="3" a="1"/>
  <c r="S1597" i="3" s="1"/>
  <c r="S1598" i="3" a="1"/>
  <c r="S1598" i="3" s="1"/>
  <c r="S1599" i="3" a="1"/>
  <c r="S1599" i="3" s="1"/>
  <c r="S1600" i="3" a="1"/>
  <c r="S1600" i="3" s="1"/>
  <c r="S1601" i="3" a="1"/>
  <c r="S1601" i="3" s="1"/>
  <c r="S1602" i="3" a="1"/>
  <c r="S1602" i="3" s="1"/>
  <c r="S1603" i="3" a="1"/>
  <c r="S1603" i="3" s="1"/>
  <c r="S1604" i="3" a="1"/>
  <c r="S1604" i="3" s="1"/>
  <c r="S1605" i="3" a="1"/>
  <c r="S1605" i="3" s="1"/>
  <c r="S1606" i="3" a="1"/>
  <c r="S1606" i="3" s="1"/>
  <c r="S1607" i="3" a="1"/>
  <c r="S1607" i="3" s="1"/>
  <c r="S1608" i="3" a="1"/>
  <c r="S1608" i="3" s="1"/>
  <c r="S1609" i="3" a="1"/>
  <c r="S1609" i="3" s="1"/>
  <c r="S1610" i="3" a="1"/>
  <c r="S1610" i="3" s="1"/>
  <c r="S1611" i="3" a="1"/>
  <c r="S1611" i="3" s="1"/>
  <c r="S1612" i="3" a="1"/>
  <c r="S1612" i="3" s="1"/>
  <c r="S1613" i="3" a="1"/>
  <c r="S1613" i="3" s="1"/>
  <c r="S1614" i="3" a="1"/>
  <c r="S1614" i="3" s="1"/>
  <c r="S1615" i="3" a="1"/>
  <c r="S1615" i="3" s="1"/>
  <c r="S1616" i="3" a="1"/>
  <c r="S1616" i="3" s="1"/>
  <c r="S1617" i="3" a="1"/>
  <c r="S1617" i="3" s="1"/>
  <c r="S1618" i="3" a="1"/>
  <c r="S1618" i="3" s="1"/>
  <c r="S1619" i="3" a="1"/>
  <c r="S1619" i="3" s="1"/>
  <c r="S1620" i="3" a="1"/>
  <c r="S1620" i="3" s="1"/>
  <c r="S1621" i="3" a="1"/>
  <c r="S1621" i="3" s="1"/>
  <c r="S1622" i="3" a="1"/>
  <c r="S1622" i="3" s="1"/>
  <c r="S1623" i="3" a="1"/>
  <c r="S1623" i="3" s="1"/>
  <c r="S1624" i="3" a="1"/>
  <c r="S1624" i="3" s="1"/>
  <c r="S1625" i="3" a="1"/>
  <c r="S1625" i="3" s="1"/>
  <c r="S1626" i="3" a="1"/>
  <c r="S1626" i="3" s="1"/>
  <c r="S1627" i="3" a="1"/>
  <c r="S1627" i="3" s="1"/>
  <c r="S1628" i="3" a="1"/>
  <c r="S1628" i="3" s="1"/>
  <c r="S1629" i="3" a="1"/>
  <c r="S1629" i="3" s="1"/>
  <c r="S1630" i="3" a="1"/>
  <c r="S1630" i="3" s="1"/>
  <c r="S1631" i="3" a="1"/>
  <c r="S1631" i="3" s="1"/>
  <c r="S1632" i="3" a="1"/>
  <c r="S1632" i="3" s="1"/>
  <c r="S1633" i="3" a="1"/>
  <c r="S1633" i="3" s="1"/>
  <c r="S1634" i="3" a="1"/>
  <c r="S1634" i="3" s="1"/>
  <c r="S1635" i="3" a="1"/>
  <c r="S1635" i="3" s="1"/>
  <c r="S1636" i="3" a="1"/>
  <c r="S1636" i="3" s="1"/>
  <c r="S1637" i="3" a="1"/>
  <c r="S1637" i="3" s="1"/>
  <c r="S1638" i="3" a="1"/>
  <c r="S1638" i="3" s="1"/>
  <c r="S1639" i="3" a="1"/>
  <c r="S1639" i="3" s="1"/>
  <c r="S1640" i="3" a="1"/>
  <c r="S1640" i="3" s="1"/>
  <c r="S1641" i="3" a="1"/>
  <c r="S1641" i="3" s="1"/>
  <c r="S1642" i="3" a="1"/>
  <c r="S1642" i="3" s="1"/>
  <c r="S1643" i="3" a="1"/>
  <c r="S1643" i="3" s="1"/>
  <c r="S1644" i="3" a="1"/>
  <c r="S1644" i="3" s="1"/>
  <c r="S1645" i="3" a="1"/>
  <c r="S1645" i="3" s="1"/>
  <c r="S1646" i="3" a="1"/>
  <c r="S1646" i="3" s="1"/>
  <c r="S1647" i="3" a="1"/>
  <c r="S1647" i="3" s="1"/>
  <c r="S1648" i="3" a="1"/>
  <c r="S1648" i="3" s="1"/>
  <c r="S1649" i="3" a="1"/>
  <c r="S1649" i="3" s="1"/>
  <c r="S1650" i="3" a="1"/>
  <c r="S1650" i="3" s="1"/>
  <c r="S1651" i="3" a="1"/>
  <c r="S1651" i="3" s="1"/>
  <c r="S1652" i="3" a="1"/>
  <c r="S1652" i="3" s="1"/>
  <c r="S1653" i="3" a="1"/>
  <c r="S1653" i="3" s="1"/>
  <c r="S1654" i="3" a="1"/>
  <c r="S1654" i="3" s="1"/>
  <c r="S1655" i="3" a="1"/>
  <c r="S1655" i="3" s="1"/>
  <c r="S1656" i="3" a="1"/>
  <c r="S1656" i="3" s="1"/>
  <c r="S1657" i="3" a="1"/>
  <c r="S1657" i="3" s="1"/>
  <c r="S1658" i="3" a="1"/>
  <c r="S1658" i="3" s="1"/>
  <c r="S1659" i="3" a="1"/>
  <c r="S1659" i="3" s="1"/>
  <c r="S1660" i="3" a="1"/>
  <c r="S1660" i="3" s="1"/>
  <c r="S1661" i="3" a="1"/>
  <c r="S1661" i="3" s="1"/>
  <c r="S1662" i="3" a="1"/>
  <c r="S1662" i="3" s="1"/>
  <c r="S1663" i="3" a="1"/>
  <c r="S1663" i="3" s="1"/>
  <c r="S1664" i="3" a="1"/>
  <c r="S1664" i="3" s="1"/>
  <c r="S1665" i="3" a="1"/>
  <c r="S1665" i="3" s="1"/>
  <c r="S1666" i="3" a="1"/>
  <c r="S1666" i="3" s="1"/>
  <c r="S1667" i="3" a="1"/>
  <c r="S1667" i="3" s="1"/>
  <c r="S1668" i="3" a="1"/>
  <c r="S1668" i="3" s="1"/>
  <c r="S1669" i="3" a="1"/>
  <c r="S1669" i="3" s="1"/>
  <c r="S1670" i="3" a="1"/>
  <c r="S1670" i="3" s="1"/>
  <c r="S1671" i="3" a="1"/>
  <c r="S1671" i="3" s="1"/>
  <c r="S1672" i="3" a="1"/>
  <c r="S1672" i="3" s="1"/>
  <c r="S1673" i="3" a="1"/>
  <c r="S1673" i="3" s="1"/>
  <c r="S1674" i="3" a="1"/>
  <c r="S1674" i="3" s="1"/>
  <c r="S1675" i="3" a="1"/>
  <c r="S1675" i="3" s="1"/>
  <c r="S1676" i="3" a="1"/>
  <c r="S1676" i="3" s="1"/>
  <c r="S1677" i="3" a="1"/>
  <c r="S1677" i="3" s="1"/>
  <c r="S1678" i="3" a="1"/>
  <c r="S1678" i="3" s="1"/>
  <c r="S1679" i="3" a="1"/>
  <c r="S1679" i="3" s="1"/>
  <c r="S1680" i="3" a="1"/>
  <c r="S1680" i="3" s="1"/>
  <c r="S1681" i="3" a="1"/>
  <c r="S1681" i="3" s="1"/>
  <c r="S1682" i="3" a="1"/>
  <c r="S1682" i="3" s="1"/>
  <c r="S1683" i="3" a="1"/>
  <c r="S1683" i="3" s="1"/>
  <c r="S1684" i="3" a="1"/>
  <c r="S1684" i="3" s="1"/>
  <c r="S1685" i="3" a="1"/>
  <c r="S1685" i="3" s="1"/>
  <c r="S1686" i="3" a="1"/>
  <c r="S1686" i="3" s="1"/>
  <c r="S1687" i="3" a="1"/>
  <c r="S1687" i="3" s="1"/>
  <c r="S1688" i="3" a="1"/>
  <c r="S1688" i="3" s="1"/>
  <c r="S1689" i="3" a="1"/>
  <c r="S1689" i="3" s="1"/>
  <c r="S1690" i="3" a="1"/>
  <c r="S1690" i="3" s="1"/>
  <c r="S1691" i="3" a="1"/>
  <c r="S1691" i="3" s="1"/>
  <c r="S1692" i="3" a="1"/>
  <c r="S1692" i="3" s="1"/>
  <c r="S1693" i="3" a="1"/>
  <c r="S1693" i="3" s="1"/>
  <c r="S1694" i="3" a="1"/>
  <c r="S1694" i="3" s="1"/>
  <c r="S1695" i="3" a="1"/>
  <c r="S1695" i="3" s="1"/>
  <c r="S1696" i="3" a="1"/>
  <c r="S1696" i="3" s="1"/>
  <c r="S1697" i="3" a="1"/>
  <c r="S1697" i="3" s="1"/>
  <c r="S1698" i="3" a="1"/>
  <c r="S1698" i="3" s="1"/>
  <c r="S1699" i="3" a="1"/>
  <c r="S1699" i="3" s="1"/>
  <c r="S1700" i="3" a="1"/>
  <c r="S1700" i="3" s="1"/>
  <c r="S1701" i="3" a="1"/>
  <c r="S1701" i="3" s="1"/>
  <c r="S1702" i="3" a="1"/>
  <c r="S1702" i="3" s="1"/>
  <c r="S1703" i="3" a="1"/>
  <c r="S1703" i="3" s="1"/>
  <c r="S1704" i="3" a="1"/>
  <c r="S1704" i="3" s="1"/>
  <c r="S1705" i="3" a="1"/>
  <c r="S1705" i="3" s="1"/>
  <c r="S1706" i="3" a="1"/>
  <c r="S1706" i="3" s="1"/>
  <c r="S1707" i="3" a="1"/>
  <c r="S1707" i="3" s="1"/>
  <c r="S1708" i="3" a="1"/>
  <c r="S1708" i="3" s="1"/>
  <c r="S1709" i="3" a="1"/>
  <c r="S1709" i="3" s="1"/>
  <c r="S1710" i="3" a="1"/>
  <c r="S1710" i="3" s="1"/>
  <c r="S1711" i="3" a="1"/>
  <c r="S1711" i="3" s="1"/>
  <c r="S1712" i="3" a="1"/>
  <c r="S1712" i="3" s="1"/>
  <c r="S1713" i="3" a="1"/>
  <c r="S1713" i="3" s="1"/>
  <c r="S1714" i="3" a="1"/>
  <c r="S1714" i="3" s="1"/>
  <c r="S1715" i="3" a="1"/>
  <c r="S1715" i="3" s="1"/>
  <c r="S1716" i="3" a="1"/>
  <c r="S1716" i="3" s="1"/>
  <c r="S1717" i="3" a="1"/>
  <c r="S1717" i="3" s="1"/>
  <c r="S1718" i="3" a="1"/>
  <c r="S1718" i="3" s="1"/>
  <c r="S1719" i="3" a="1"/>
  <c r="S1719" i="3" s="1"/>
  <c r="S1720" i="3" a="1"/>
  <c r="S1720" i="3" s="1"/>
  <c r="S1721" i="3" a="1"/>
  <c r="S1721" i="3" s="1"/>
  <c r="S1722" i="3" a="1"/>
  <c r="S1722" i="3" s="1"/>
  <c r="S1723" i="3" a="1"/>
  <c r="S1723" i="3" s="1"/>
  <c r="S1724" i="3" a="1"/>
  <c r="S1724" i="3" s="1"/>
  <c r="S1725" i="3" a="1"/>
  <c r="S1725" i="3" s="1"/>
  <c r="S1726" i="3" a="1"/>
  <c r="S1726" i="3" s="1"/>
  <c r="S1727" i="3" a="1"/>
  <c r="S1727" i="3" s="1"/>
  <c r="S1728" i="3" a="1"/>
  <c r="S1728" i="3" s="1"/>
  <c r="S1729" i="3" a="1"/>
  <c r="S1729" i="3" s="1"/>
  <c r="S1730" i="3" a="1"/>
  <c r="S1730" i="3" s="1"/>
  <c r="S1731" i="3" a="1"/>
  <c r="S1731" i="3" s="1"/>
  <c r="S1732" i="3" a="1"/>
  <c r="S1732" i="3" s="1"/>
  <c r="S1733" i="3" a="1"/>
  <c r="S1733" i="3" s="1"/>
  <c r="S1734" i="3" a="1"/>
  <c r="S1734" i="3" s="1"/>
  <c r="S1735" i="3" a="1"/>
  <c r="S1735" i="3" s="1"/>
  <c r="S1736" i="3" a="1"/>
  <c r="S1736" i="3" s="1"/>
  <c r="S1737" i="3" a="1"/>
  <c r="S1737" i="3" s="1"/>
  <c r="S1738" i="3" a="1"/>
  <c r="S1738" i="3" s="1"/>
  <c r="S1739" i="3" a="1"/>
  <c r="S1739" i="3" s="1"/>
  <c r="S1740" i="3" a="1"/>
  <c r="S1740" i="3" s="1"/>
  <c r="S1741" i="3" a="1"/>
  <c r="S1741" i="3" s="1"/>
  <c r="S1742" i="3" a="1"/>
  <c r="S1742" i="3" s="1"/>
  <c r="S1743" i="3" a="1"/>
  <c r="S1743" i="3" s="1"/>
  <c r="S1744" i="3" a="1"/>
  <c r="S1744" i="3" s="1"/>
  <c r="S1745" i="3" a="1"/>
  <c r="S1745" i="3" s="1"/>
  <c r="S1746" i="3" a="1"/>
  <c r="S1746" i="3" s="1"/>
  <c r="S1747" i="3" a="1"/>
  <c r="S1747" i="3" s="1"/>
  <c r="S1748" i="3" a="1"/>
  <c r="S1748" i="3" s="1"/>
  <c r="S1749" i="3" a="1"/>
  <c r="S1749" i="3" s="1"/>
  <c r="S1750" i="3" a="1"/>
  <c r="S1750" i="3" s="1"/>
  <c r="S1751" i="3" a="1"/>
  <c r="S1751" i="3" s="1"/>
  <c r="S1752" i="3" a="1"/>
  <c r="S1752" i="3" s="1"/>
  <c r="S1753" i="3" a="1"/>
  <c r="S1753" i="3" s="1"/>
  <c r="S1754" i="3" a="1"/>
  <c r="S1754" i="3" s="1"/>
  <c r="S1755" i="3" a="1"/>
  <c r="S1755" i="3" s="1"/>
  <c r="S1756" i="3" a="1"/>
  <c r="S1756" i="3" s="1"/>
  <c r="S1757" i="3" a="1"/>
  <c r="S1757" i="3" s="1"/>
  <c r="S1758" i="3" a="1"/>
  <c r="S1758" i="3" s="1"/>
  <c r="S1759" i="3" a="1"/>
  <c r="S1759" i="3" s="1"/>
  <c r="S1760" i="3" a="1"/>
  <c r="S1760" i="3" s="1"/>
  <c r="S1761" i="3" a="1"/>
  <c r="S1761" i="3" s="1"/>
  <c r="S1762" i="3" a="1"/>
  <c r="S1762" i="3" s="1"/>
  <c r="S1763" i="3" a="1"/>
  <c r="S1763" i="3" s="1"/>
  <c r="S1764" i="3" a="1"/>
  <c r="S1764" i="3" s="1"/>
  <c r="S1765" i="3" a="1"/>
  <c r="S1765" i="3" s="1"/>
  <c r="S1766" i="3" a="1"/>
  <c r="S1766" i="3" s="1"/>
  <c r="S1767" i="3" a="1"/>
  <c r="S1767" i="3" s="1"/>
  <c r="S1768" i="3" a="1"/>
  <c r="S1768" i="3" s="1"/>
  <c r="S1769" i="3" a="1"/>
  <c r="S1769" i="3" s="1"/>
  <c r="S1770" i="3" a="1"/>
  <c r="S1770" i="3" s="1"/>
  <c r="S1771" i="3" a="1"/>
  <c r="S1771" i="3" s="1"/>
  <c r="S1772" i="3" a="1"/>
  <c r="S1772" i="3" s="1"/>
  <c r="S1773" i="3" a="1"/>
  <c r="S1773" i="3" s="1"/>
  <c r="S1774" i="3" a="1"/>
  <c r="S1774" i="3" s="1"/>
  <c r="S1775" i="3" a="1"/>
  <c r="S1775" i="3" s="1"/>
  <c r="S1776" i="3" a="1"/>
  <c r="S1776" i="3" s="1"/>
  <c r="S1777" i="3" a="1"/>
  <c r="S1777" i="3" s="1"/>
  <c r="S1778" i="3" a="1"/>
  <c r="S1778" i="3" s="1"/>
  <c r="S1779" i="3" a="1"/>
  <c r="S1779" i="3" s="1"/>
  <c r="S1780" i="3" a="1"/>
  <c r="S1780" i="3" s="1"/>
  <c r="S1781" i="3" a="1"/>
  <c r="S1781" i="3" s="1"/>
  <c r="S1782" i="3" a="1"/>
  <c r="S1782" i="3" s="1"/>
  <c r="S1783" i="3" a="1"/>
  <c r="S1783" i="3" s="1"/>
  <c r="S1784" i="3" a="1"/>
  <c r="S1784" i="3" s="1"/>
  <c r="S1785" i="3" a="1"/>
  <c r="S1785" i="3" s="1"/>
  <c r="S1786" i="3" a="1"/>
  <c r="S1786" i="3" s="1"/>
  <c r="S1787" i="3" a="1"/>
  <c r="S1787" i="3" s="1"/>
  <c r="S1788" i="3" a="1"/>
  <c r="S1788" i="3" s="1"/>
  <c r="S1789" i="3" a="1"/>
  <c r="S1789" i="3" s="1"/>
  <c r="S1790" i="3" a="1"/>
  <c r="S1790" i="3" s="1"/>
  <c r="S1791" i="3" a="1"/>
  <c r="S1791" i="3" s="1"/>
  <c r="S1792" i="3" a="1"/>
  <c r="S1792" i="3" s="1"/>
  <c r="S1793" i="3" a="1"/>
  <c r="S1793" i="3" s="1"/>
  <c r="S1794" i="3" a="1"/>
  <c r="S1794" i="3" s="1"/>
  <c r="S1795" i="3" a="1"/>
  <c r="S1795" i="3" s="1"/>
  <c r="S1796" i="3" a="1"/>
  <c r="S1796" i="3" s="1"/>
  <c r="S1797" i="3" a="1"/>
  <c r="S1797" i="3" s="1"/>
  <c r="S1798" i="3" a="1"/>
  <c r="S1798" i="3" s="1"/>
  <c r="S1799" i="3" a="1"/>
  <c r="S1799" i="3" s="1"/>
  <c r="S1800" i="3" a="1"/>
  <c r="S1800" i="3" s="1"/>
  <c r="S1801" i="3" a="1"/>
  <c r="S1801" i="3" s="1"/>
  <c r="S1802" i="3" a="1"/>
  <c r="S1802" i="3" s="1"/>
  <c r="S1803" i="3" a="1"/>
  <c r="S1803" i="3" s="1"/>
  <c r="S1804" i="3" a="1"/>
  <c r="S1804" i="3" s="1"/>
  <c r="S1805" i="3" a="1"/>
  <c r="S1805" i="3" s="1"/>
  <c r="S1806" i="3" a="1"/>
  <c r="S1806" i="3" s="1"/>
  <c r="S1807" i="3" a="1"/>
  <c r="S1807" i="3" s="1"/>
  <c r="S1808" i="3" a="1"/>
  <c r="S1808" i="3" s="1"/>
  <c r="S1809" i="3" a="1"/>
  <c r="S1809" i="3" s="1"/>
  <c r="S1810" i="3" a="1"/>
  <c r="S1810" i="3" s="1"/>
  <c r="S1811" i="3" a="1"/>
  <c r="S1811" i="3" s="1"/>
  <c r="S1812" i="3" a="1"/>
  <c r="S1812" i="3" s="1"/>
  <c r="S1813" i="3" a="1"/>
  <c r="S1813" i="3" s="1"/>
  <c r="S1814" i="3" a="1"/>
  <c r="S1814" i="3" s="1"/>
  <c r="S1815" i="3" a="1"/>
  <c r="S1815" i="3" s="1"/>
  <c r="S1816" i="3" a="1"/>
  <c r="S1816" i="3" s="1"/>
  <c r="S1817" i="3" a="1"/>
  <c r="S1817" i="3" s="1"/>
  <c r="S1818" i="3" a="1"/>
  <c r="S1818" i="3" s="1"/>
  <c r="S1819" i="3" a="1"/>
  <c r="S1819" i="3" s="1"/>
  <c r="S1820" i="3" a="1"/>
  <c r="S1820" i="3" s="1"/>
  <c r="S1821" i="3" a="1"/>
  <c r="S1821" i="3" s="1"/>
  <c r="S1822" i="3" a="1"/>
  <c r="S1822" i="3" s="1"/>
  <c r="S1823" i="3" a="1"/>
  <c r="S1823" i="3" s="1"/>
  <c r="S1824" i="3" a="1"/>
  <c r="S1824" i="3" s="1"/>
  <c r="S1825" i="3" a="1"/>
  <c r="S1825" i="3" s="1"/>
  <c r="S1826" i="3" a="1"/>
  <c r="S1826" i="3" s="1"/>
  <c r="S1827" i="3" a="1"/>
  <c r="S1827" i="3" s="1"/>
  <c r="S1828" i="3" a="1"/>
  <c r="S1828" i="3" s="1"/>
  <c r="S1829" i="3" a="1"/>
  <c r="S1829" i="3" s="1"/>
  <c r="S1830" i="3" a="1"/>
  <c r="S1830" i="3" s="1"/>
  <c r="S1831" i="3" a="1"/>
  <c r="S1831" i="3" s="1"/>
  <c r="S1832" i="3" a="1"/>
  <c r="S1832" i="3" s="1"/>
  <c r="S1833" i="3" a="1"/>
  <c r="S1833" i="3" s="1"/>
  <c r="S1834" i="3" a="1"/>
  <c r="S1834" i="3" s="1"/>
  <c r="S1835" i="3" a="1"/>
  <c r="S1835" i="3" s="1"/>
  <c r="S1836" i="3" a="1"/>
  <c r="S1836" i="3" s="1"/>
  <c r="S1837" i="3" a="1"/>
  <c r="S1837" i="3" s="1"/>
  <c r="S1838" i="3" a="1"/>
  <c r="S1838" i="3" s="1"/>
  <c r="S1839" i="3" a="1"/>
  <c r="S1839" i="3" s="1"/>
  <c r="S1840" i="3" a="1"/>
  <c r="S1840" i="3" s="1"/>
  <c r="S1841" i="3" a="1"/>
  <c r="S1841" i="3" s="1"/>
  <c r="S1842" i="3" a="1"/>
  <c r="S1842" i="3" s="1"/>
  <c r="S1843" i="3" a="1"/>
  <c r="S1843" i="3" s="1"/>
  <c r="S1844" i="3" a="1"/>
  <c r="S1844" i="3" s="1"/>
  <c r="S1845" i="3" a="1"/>
  <c r="S1845" i="3" s="1"/>
  <c r="S1846" i="3" a="1"/>
  <c r="S1846" i="3" s="1"/>
  <c r="S1847" i="3" a="1"/>
  <c r="S1847" i="3" s="1"/>
  <c r="S1848" i="3" a="1"/>
  <c r="S1848" i="3" s="1"/>
  <c r="S1849" i="3" a="1"/>
  <c r="S1849" i="3" s="1"/>
  <c r="S1850" i="3" a="1"/>
  <c r="S1850" i="3" s="1"/>
  <c r="S1851" i="3" a="1"/>
  <c r="S1851" i="3" s="1"/>
  <c r="S1852" i="3" a="1"/>
  <c r="S1852" i="3" s="1"/>
  <c r="S1853" i="3" a="1"/>
  <c r="S1853" i="3" s="1"/>
  <c r="S1854" i="3" a="1"/>
  <c r="S1854" i="3" s="1"/>
  <c r="S1855" i="3" a="1"/>
  <c r="S1855" i="3" s="1"/>
  <c r="S1856" i="3" a="1"/>
  <c r="S1856" i="3" s="1"/>
  <c r="S1857" i="3" a="1"/>
  <c r="S1857" i="3" s="1"/>
  <c r="S1858" i="3" a="1"/>
  <c r="S1858" i="3" s="1"/>
  <c r="S1859" i="3" a="1"/>
  <c r="S1859" i="3" s="1"/>
  <c r="S1860" i="3" a="1"/>
  <c r="S1860" i="3" s="1"/>
  <c r="S1861" i="3" a="1"/>
  <c r="S1861" i="3" s="1"/>
  <c r="S1862" i="3" a="1"/>
  <c r="S1862" i="3" s="1"/>
  <c r="S1863" i="3" a="1"/>
  <c r="S1863" i="3" s="1"/>
  <c r="S1864" i="3" a="1"/>
  <c r="S1864" i="3" s="1"/>
  <c r="S1865" i="3" a="1"/>
  <c r="S1865" i="3" s="1"/>
  <c r="S1866" i="3" a="1"/>
  <c r="S1866" i="3" s="1"/>
  <c r="S1867" i="3" a="1"/>
  <c r="S1867" i="3" s="1"/>
  <c r="S1868" i="3" a="1"/>
  <c r="S1868" i="3" s="1"/>
  <c r="S1869" i="3" a="1"/>
  <c r="S1869" i="3" s="1"/>
  <c r="S1870" i="3" a="1"/>
  <c r="S1870" i="3" s="1"/>
  <c r="S1871" i="3" a="1"/>
  <c r="S1871" i="3" s="1"/>
  <c r="S1872" i="3" a="1"/>
  <c r="S1872" i="3" s="1"/>
  <c r="S1873" i="3" a="1"/>
  <c r="S1873" i="3" s="1"/>
  <c r="S1874" i="3" a="1"/>
  <c r="S1874" i="3" s="1"/>
  <c r="S1875" i="3" a="1"/>
  <c r="S1875" i="3" s="1"/>
  <c r="S1876" i="3" a="1"/>
  <c r="S1876" i="3" s="1"/>
  <c r="S1877" i="3" a="1"/>
  <c r="S1877" i="3" s="1"/>
  <c r="S1878" i="3" a="1"/>
  <c r="S1878" i="3" s="1"/>
  <c r="S1879" i="3" a="1"/>
  <c r="S1879" i="3" s="1"/>
  <c r="S1880" i="3" a="1"/>
  <c r="S1880" i="3" s="1"/>
  <c r="S1881" i="3" a="1"/>
  <c r="S1881" i="3" s="1"/>
  <c r="S1882" i="3" a="1"/>
  <c r="S1882" i="3" s="1"/>
  <c r="S1883" i="3" a="1"/>
  <c r="S1883" i="3" s="1"/>
  <c r="S1884" i="3" a="1"/>
  <c r="S1884" i="3" s="1"/>
  <c r="S1885" i="3" a="1"/>
  <c r="S1885" i="3" s="1"/>
  <c r="S1886" i="3" a="1"/>
  <c r="S1886" i="3" s="1"/>
  <c r="S1887" i="3" a="1"/>
  <c r="S1887" i="3" s="1"/>
  <c r="S1888" i="3" a="1"/>
  <c r="S1888" i="3" s="1"/>
  <c r="S1889" i="3" a="1"/>
  <c r="S1889" i="3" s="1"/>
  <c r="S1890" i="3" a="1"/>
  <c r="S1890" i="3" s="1"/>
  <c r="S1891" i="3" a="1"/>
  <c r="S1891" i="3" s="1"/>
  <c r="S1892" i="3" a="1"/>
  <c r="S1892" i="3" s="1"/>
  <c r="S1893" i="3" a="1"/>
  <c r="S1893" i="3" s="1"/>
  <c r="S1894" i="3" a="1"/>
  <c r="S1894" i="3" s="1"/>
  <c r="S1895" i="3" a="1"/>
  <c r="S1895" i="3" s="1"/>
  <c r="S1896" i="3" a="1"/>
  <c r="S1896" i="3" s="1"/>
  <c r="S1897" i="3" a="1"/>
  <c r="S1897" i="3" s="1"/>
  <c r="S1898" i="3" a="1"/>
  <c r="S1898" i="3" s="1"/>
  <c r="S1899" i="3" a="1"/>
  <c r="S1899" i="3" s="1"/>
  <c r="S1900" i="3" a="1"/>
  <c r="S1900" i="3" s="1"/>
  <c r="S1901" i="3" a="1"/>
  <c r="S1901" i="3" s="1"/>
  <c r="S1902" i="3" a="1"/>
  <c r="S1902" i="3" s="1"/>
  <c r="S1903" i="3" a="1"/>
  <c r="S1903" i="3" s="1"/>
  <c r="S1904" i="3" a="1"/>
  <c r="S1904" i="3" s="1"/>
  <c r="S1905" i="3" a="1"/>
  <c r="S1905" i="3" s="1"/>
  <c r="S1906" i="3" a="1"/>
  <c r="S1906" i="3" s="1"/>
  <c r="S1907" i="3" a="1"/>
  <c r="S1907" i="3" s="1"/>
  <c r="S1908" i="3" a="1"/>
  <c r="S1908" i="3" s="1"/>
  <c r="S1909" i="3" a="1"/>
  <c r="S1909" i="3" s="1"/>
  <c r="S1910" i="3" a="1"/>
  <c r="S1910" i="3" s="1"/>
  <c r="S1911" i="3" a="1"/>
  <c r="S1911" i="3" s="1"/>
  <c r="S1912" i="3" a="1"/>
  <c r="S1912" i="3" s="1"/>
  <c r="S1913" i="3" a="1"/>
  <c r="S1913" i="3" s="1"/>
  <c r="S1914" i="3" a="1"/>
  <c r="S1914" i="3" s="1"/>
  <c r="S1915" i="3" a="1"/>
  <c r="S1915" i="3" s="1"/>
  <c r="S1916" i="3" a="1"/>
  <c r="S1916" i="3" s="1"/>
  <c r="S1917" i="3" a="1"/>
  <c r="S1917" i="3" s="1"/>
  <c r="S1918" i="3" a="1"/>
  <c r="S1918" i="3" s="1"/>
  <c r="S1919" i="3" a="1"/>
  <c r="S1919" i="3" s="1"/>
  <c r="S1920" i="3" a="1"/>
  <c r="S1920" i="3" s="1"/>
  <c r="S1921" i="3" a="1"/>
  <c r="S1921" i="3" s="1"/>
  <c r="S1922" i="3" a="1"/>
  <c r="S1922" i="3" s="1"/>
  <c r="S1923" i="3" a="1"/>
  <c r="S1923" i="3" s="1"/>
  <c r="S1924" i="3" a="1"/>
  <c r="S1924" i="3" s="1"/>
  <c r="S1925" i="3" a="1"/>
  <c r="S1925" i="3" s="1"/>
  <c r="S1926" i="3" a="1"/>
  <c r="S1926" i="3" s="1"/>
  <c r="S1927" i="3" a="1"/>
  <c r="S1927" i="3" s="1"/>
  <c r="S1928" i="3" a="1"/>
  <c r="S1928" i="3" s="1"/>
  <c r="S1929" i="3" a="1"/>
  <c r="S1929" i="3" s="1"/>
  <c r="S1930" i="3" a="1"/>
  <c r="S1930" i="3" s="1"/>
  <c r="S1931" i="3" a="1"/>
  <c r="S1931" i="3" s="1"/>
  <c r="S1932" i="3" a="1"/>
  <c r="S1932" i="3" s="1"/>
  <c r="S1933" i="3" a="1"/>
  <c r="S1933" i="3" s="1"/>
  <c r="S1934" i="3" a="1"/>
  <c r="S1934" i="3" s="1"/>
  <c r="S1935" i="3" a="1"/>
  <c r="S1935" i="3" s="1"/>
  <c r="S1936" i="3" a="1"/>
  <c r="S1936" i="3" s="1"/>
  <c r="S1937" i="3" a="1"/>
  <c r="S1937" i="3" s="1"/>
  <c r="S1938" i="3" a="1"/>
  <c r="S1938" i="3" s="1"/>
  <c r="S1939" i="3" a="1"/>
  <c r="S1939" i="3" s="1"/>
  <c r="S1940" i="3" a="1"/>
  <c r="S1940" i="3" s="1"/>
  <c r="S1941" i="3" a="1"/>
  <c r="S1941" i="3" s="1"/>
  <c r="S1942" i="3" a="1"/>
  <c r="S1942" i="3" s="1"/>
  <c r="S1943" i="3" a="1"/>
  <c r="S1943" i="3" s="1"/>
  <c r="S1944" i="3" a="1"/>
  <c r="S1944" i="3" s="1"/>
  <c r="S1945" i="3" a="1"/>
  <c r="S1945" i="3" s="1"/>
  <c r="S1946" i="3" a="1"/>
  <c r="S1946" i="3" s="1"/>
  <c r="S1947" i="3" a="1"/>
  <c r="S1947" i="3" s="1"/>
  <c r="S1948" i="3" a="1"/>
  <c r="S1948" i="3" s="1"/>
  <c r="S1949" i="3" a="1"/>
  <c r="S1949" i="3" s="1"/>
  <c r="S1950" i="3" a="1"/>
  <c r="S1950" i="3" s="1"/>
  <c r="S1951" i="3" a="1"/>
  <c r="S1951" i="3" s="1"/>
  <c r="S1952" i="3" a="1"/>
  <c r="S1952" i="3" s="1"/>
  <c r="S1953" i="3" a="1"/>
  <c r="S1953" i="3" s="1"/>
  <c r="S1954" i="3" a="1"/>
  <c r="S1954" i="3" s="1"/>
  <c r="S1955" i="3" a="1"/>
  <c r="S1955" i="3" s="1"/>
  <c r="S1956" i="3" a="1"/>
  <c r="S1956" i="3" s="1"/>
  <c r="S1957" i="3" a="1"/>
  <c r="S1957" i="3" s="1"/>
  <c r="S1958" i="3" a="1"/>
  <c r="S1958" i="3" s="1"/>
  <c r="S1959" i="3" a="1"/>
  <c r="S1959" i="3" s="1"/>
  <c r="S1960" i="3" a="1"/>
  <c r="S1960" i="3" s="1"/>
  <c r="S1961" i="3" a="1"/>
  <c r="S1961" i="3" s="1"/>
  <c r="S1962" i="3" a="1"/>
  <c r="S1962" i="3" s="1"/>
  <c r="S1963" i="3" a="1"/>
  <c r="S1963" i="3" s="1"/>
  <c r="S1964" i="3" a="1"/>
  <c r="S1964" i="3" s="1"/>
  <c r="S1965" i="3" a="1"/>
  <c r="S1965" i="3" s="1"/>
  <c r="S1966" i="3" a="1"/>
  <c r="S1966" i="3" s="1"/>
  <c r="S1967" i="3" a="1"/>
  <c r="S1967" i="3" s="1"/>
  <c r="S1968" i="3" a="1"/>
  <c r="S1968" i="3" s="1"/>
  <c r="S1969" i="3" a="1"/>
  <c r="S1969" i="3" s="1"/>
  <c r="S1970" i="3" a="1"/>
  <c r="S1970" i="3" s="1"/>
  <c r="S1971" i="3" a="1"/>
  <c r="S1971" i="3" s="1"/>
  <c r="S1972" i="3" a="1"/>
  <c r="S1972" i="3" s="1"/>
  <c r="S1973" i="3" a="1"/>
  <c r="S1973" i="3" s="1"/>
  <c r="S1974" i="3" a="1"/>
  <c r="S1974" i="3" s="1"/>
  <c r="S1975" i="3" a="1"/>
  <c r="S1975" i="3" s="1"/>
  <c r="S1976" i="3" a="1"/>
  <c r="S1976" i="3" s="1"/>
  <c r="S1977" i="3" a="1"/>
  <c r="S1977" i="3" s="1"/>
  <c r="S1978" i="3" a="1"/>
  <c r="S1978" i="3" s="1"/>
  <c r="S1979" i="3" a="1"/>
  <c r="S1979" i="3" s="1"/>
  <c r="S1980" i="3" a="1"/>
  <c r="S1980" i="3" s="1"/>
  <c r="S1981" i="3" a="1"/>
  <c r="S1981" i="3" s="1"/>
  <c r="S1982" i="3" a="1"/>
  <c r="S1982" i="3" s="1"/>
  <c r="S1983" i="3" a="1"/>
  <c r="S1983" i="3" s="1"/>
  <c r="S1984" i="3" a="1"/>
  <c r="S1984" i="3" s="1"/>
  <c r="S1985" i="3" a="1"/>
  <c r="S1985" i="3" s="1"/>
  <c r="S1986" i="3" a="1"/>
  <c r="S1986" i="3" s="1"/>
  <c r="S1987" i="3" a="1"/>
  <c r="S1987" i="3" s="1"/>
  <c r="S1988" i="3" a="1"/>
  <c r="S1988" i="3" s="1"/>
  <c r="S1989" i="3" a="1"/>
  <c r="S1989" i="3" s="1"/>
  <c r="S1990" i="3" a="1"/>
  <c r="S1990" i="3" s="1"/>
  <c r="S1991" i="3" a="1"/>
  <c r="S1991" i="3" s="1"/>
  <c r="S1992" i="3" a="1"/>
  <c r="S1992" i="3" s="1"/>
  <c r="S1993" i="3" a="1"/>
  <c r="S1993" i="3" s="1"/>
  <c r="S1994" i="3" a="1"/>
  <c r="S1994" i="3" s="1"/>
  <c r="S1995" i="3" a="1"/>
  <c r="S1995" i="3" s="1"/>
  <c r="S1996" i="3" a="1"/>
  <c r="S1996" i="3" s="1"/>
  <c r="S1997" i="3" a="1"/>
  <c r="S1997" i="3" s="1"/>
  <c r="S1998" i="3" a="1"/>
  <c r="S1998" i="3" s="1"/>
  <c r="S1999" i="3" a="1"/>
  <c r="S1999" i="3" s="1"/>
  <c r="S2000" i="3" a="1"/>
  <c r="S2000" i="3" s="1"/>
  <c r="S2001" i="3" a="1"/>
  <c r="S2001" i="3" s="1"/>
  <c r="S2002" i="3" a="1"/>
  <c r="S2002" i="3" s="1"/>
  <c r="S2003" i="3" a="1"/>
  <c r="S2003" i="3" s="1"/>
  <c r="S2004" i="3" a="1"/>
  <c r="S2004" i="3" s="1"/>
  <c r="S2005" i="3" a="1"/>
  <c r="S2005" i="3" s="1"/>
  <c r="S2006" i="3" a="1"/>
  <c r="S2006" i="3" s="1"/>
  <c r="S2007" i="3" a="1"/>
  <c r="S2007" i="3" s="1"/>
  <c r="S2008" i="3" a="1"/>
  <c r="S2008" i="3" s="1"/>
  <c r="S2009" i="3" a="1"/>
  <c r="S2009" i="3" s="1"/>
  <c r="S2010" i="3" a="1"/>
  <c r="S2010" i="3" s="1"/>
  <c r="S2011" i="3" a="1"/>
  <c r="S2011" i="3" s="1"/>
  <c r="S2012" i="3" a="1"/>
  <c r="S2012" i="3" s="1"/>
  <c r="S2013" i="3" a="1"/>
  <c r="S2013" i="3" s="1"/>
  <c r="S2014" i="3" a="1"/>
  <c r="S2014" i="3" s="1"/>
  <c r="S2015" i="3" a="1"/>
  <c r="S2015" i="3" s="1"/>
  <c r="S2016" i="3" a="1"/>
  <c r="S2016" i="3" s="1"/>
  <c r="S2017" i="3" a="1"/>
  <c r="S2017" i="3" s="1"/>
  <c r="S2018" i="3" a="1"/>
  <c r="S2018" i="3" s="1"/>
  <c r="S2019" i="3" a="1"/>
  <c r="S2019" i="3" s="1"/>
  <c r="S2020" i="3" a="1"/>
  <c r="S2020" i="3" s="1"/>
  <c r="S2021" i="3" a="1"/>
  <c r="S2021" i="3" s="1"/>
  <c r="S2022" i="3" a="1"/>
  <c r="S2022" i="3" s="1"/>
  <c r="S2023" i="3" a="1"/>
  <c r="S2023" i="3" s="1"/>
  <c r="S2024" i="3" a="1"/>
  <c r="S2024" i="3" s="1"/>
  <c r="S2025" i="3" a="1"/>
  <c r="S2025" i="3" s="1"/>
  <c r="S2026" i="3" a="1"/>
  <c r="S2026" i="3" s="1"/>
  <c r="S2027" i="3" a="1"/>
  <c r="S2027" i="3" s="1"/>
  <c r="S2028" i="3" a="1"/>
  <c r="S2028" i="3" s="1"/>
  <c r="S2029" i="3" a="1"/>
  <c r="S2029" i="3" s="1"/>
  <c r="S2030" i="3" a="1"/>
  <c r="S2030" i="3" s="1"/>
  <c r="S2031" i="3" a="1"/>
  <c r="S2031" i="3" s="1"/>
  <c r="S2032" i="3" a="1"/>
  <c r="S2032" i="3" s="1"/>
  <c r="S2033" i="3" a="1"/>
  <c r="S2033" i="3" s="1"/>
  <c r="S2034" i="3" a="1"/>
  <c r="S2034" i="3" s="1"/>
  <c r="S2035" i="3" a="1"/>
  <c r="S2035" i="3" s="1"/>
  <c r="S2036" i="3" a="1"/>
  <c r="S2036" i="3" s="1"/>
  <c r="S2037" i="3" a="1"/>
  <c r="S2037" i="3" s="1"/>
  <c r="S2038" i="3" a="1"/>
  <c r="S2038" i="3" s="1"/>
  <c r="S2039" i="3" a="1"/>
  <c r="S2039" i="3" s="1"/>
  <c r="S2040" i="3" a="1"/>
  <c r="S2040" i="3" s="1"/>
  <c r="S2041" i="3" a="1"/>
  <c r="S2041" i="3" s="1"/>
  <c r="S2042" i="3" a="1"/>
  <c r="S2042" i="3" s="1"/>
  <c r="S2043" i="3" a="1"/>
  <c r="S2043" i="3" s="1"/>
  <c r="S2044" i="3" a="1"/>
  <c r="S2044" i="3" s="1"/>
  <c r="S2045" i="3" a="1"/>
  <c r="S2045" i="3" s="1"/>
  <c r="S2046" i="3" a="1"/>
  <c r="S2046" i="3" s="1"/>
  <c r="S2047" i="3" a="1"/>
  <c r="S2047" i="3" s="1"/>
  <c r="S2048" i="3" a="1"/>
  <c r="S2048" i="3" s="1"/>
  <c r="S2049" i="3" a="1"/>
  <c r="S2049" i="3" s="1"/>
  <c r="S2050" i="3" a="1"/>
  <c r="S2050" i="3" s="1"/>
  <c r="S2051" i="3" a="1"/>
  <c r="S2051" i="3" s="1"/>
  <c r="S2052" i="3" a="1"/>
  <c r="S2052" i="3" s="1"/>
  <c r="S2053" i="3" a="1"/>
  <c r="S2053" i="3" s="1"/>
  <c r="S2054" i="3" a="1"/>
  <c r="S2054" i="3" s="1"/>
  <c r="S2055" i="3" a="1"/>
  <c r="S2055" i="3" s="1"/>
  <c r="S2056" i="3" a="1"/>
  <c r="S2056" i="3" s="1"/>
  <c r="S2057" i="3" a="1"/>
  <c r="S2057" i="3" s="1"/>
  <c r="S2058" i="3" a="1"/>
  <c r="S2058" i="3" s="1"/>
  <c r="S2059" i="3" a="1"/>
  <c r="S2059" i="3" s="1"/>
  <c r="S2060" i="3" a="1"/>
  <c r="S2060" i="3" s="1"/>
  <c r="S2061" i="3" a="1"/>
  <c r="S2061" i="3" s="1"/>
  <c r="S2062" i="3" a="1"/>
  <c r="S2062" i="3" s="1"/>
  <c r="S2063" i="3" a="1"/>
  <c r="S2063" i="3" s="1"/>
  <c r="S2064" i="3" a="1"/>
  <c r="S2064" i="3" s="1"/>
  <c r="S2065" i="3" a="1"/>
  <c r="S2065" i="3" s="1"/>
  <c r="S2066" i="3" a="1"/>
  <c r="S2066" i="3" s="1"/>
  <c r="S2067" i="3" a="1"/>
  <c r="S2067" i="3" s="1"/>
  <c r="S2068" i="3" a="1"/>
  <c r="S2068" i="3" s="1"/>
  <c r="S2069" i="3" a="1"/>
  <c r="S2069" i="3" s="1"/>
  <c r="S2070" i="3" a="1"/>
  <c r="S2070" i="3" s="1"/>
  <c r="S2071" i="3" a="1"/>
  <c r="S2071" i="3" s="1"/>
  <c r="S2072" i="3" a="1"/>
  <c r="S2072" i="3" s="1"/>
  <c r="S2073" i="3" a="1"/>
  <c r="S2073" i="3" s="1"/>
  <c r="S2074" i="3" a="1"/>
  <c r="S2074" i="3" s="1"/>
  <c r="S2075" i="3" a="1"/>
  <c r="S2075" i="3" s="1"/>
  <c r="S2076" i="3" a="1"/>
  <c r="S2076" i="3" s="1"/>
  <c r="S2077" i="3" a="1"/>
  <c r="S2077" i="3" s="1"/>
  <c r="S2078" i="3" a="1"/>
  <c r="S2078" i="3" s="1"/>
  <c r="S2079" i="3" a="1"/>
  <c r="S2079" i="3" s="1"/>
  <c r="S2080" i="3" a="1"/>
  <c r="S2080" i="3" s="1"/>
  <c r="S2081" i="3" a="1"/>
  <c r="S2081" i="3" s="1"/>
  <c r="S2082" i="3" a="1"/>
  <c r="S2082" i="3" s="1"/>
  <c r="S2083" i="3" a="1"/>
  <c r="S2083" i="3" s="1"/>
  <c r="S2084" i="3" a="1"/>
  <c r="S2084" i="3" s="1"/>
  <c r="S2085" i="3" a="1"/>
  <c r="S2085" i="3" s="1"/>
  <c r="S2086" i="3" a="1"/>
  <c r="S2086" i="3" s="1"/>
  <c r="S2087" i="3" a="1"/>
  <c r="S2087" i="3" s="1"/>
  <c r="S2088" i="3" a="1"/>
  <c r="S2088" i="3" s="1"/>
  <c r="S2089" i="3" a="1"/>
  <c r="S2089" i="3" s="1"/>
  <c r="S2090" i="3" a="1"/>
  <c r="S2090" i="3" s="1"/>
  <c r="S2091" i="3" a="1"/>
  <c r="S2091" i="3" s="1"/>
  <c r="S2092" i="3" a="1"/>
  <c r="S2092" i="3" s="1"/>
  <c r="S2093" i="3" a="1"/>
  <c r="S2093" i="3" s="1"/>
  <c r="S2094" i="3" a="1"/>
  <c r="S2094" i="3" s="1"/>
  <c r="S2095" i="3" a="1"/>
  <c r="S2095" i="3" s="1"/>
  <c r="S2096" i="3" a="1"/>
  <c r="S2096" i="3" s="1"/>
  <c r="S2097" i="3" a="1"/>
  <c r="S2097" i="3" s="1"/>
  <c r="S2098" i="3" a="1"/>
  <c r="S2098" i="3" s="1"/>
  <c r="S2099" i="3" a="1"/>
  <c r="S2099" i="3" s="1"/>
  <c r="S2100" i="3" a="1"/>
  <c r="S2100" i="3" s="1"/>
  <c r="S2101" i="3" a="1"/>
  <c r="S2101" i="3" s="1"/>
  <c r="S2102" i="3" a="1"/>
  <c r="S2102" i="3" s="1"/>
  <c r="S2103" i="3" a="1"/>
  <c r="S2103" i="3" s="1"/>
  <c r="S2104" i="3" a="1"/>
  <c r="S2104" i="3" s="1"/>
  <c r="S2105" i="3" a="1"/>
  <c r="S2105" i="3" s="1"/>
  <c r="S2106" i="3" a="1"/>
  <c r="S2106" i="3" s="1"/>
  <c r="S2107" i="3" a="1"/>
  <c r="S2107" i="3" s="1"/>
  <c r="S2108" i="3" a="1"/>
  <c r="S2108" i="3" s="1"/>
  <c r="S2109" i="3" a="1"/>
  <c r="S2109" i="3" s="1"/>
  <c r="S2110" i="3" a="1"/>
  <c r="S2110" i="3" s="1"/>
  <c r="S2111" i="3" a="1"/>
  <c r="S2111" i="3" s="1"/>
  <c r="S2112" i="3" a="1"/>
  <c r="S2112" i="3" s="1"/>
  <c r="S2113" i="3" a="1"/>
  <c r="S2113" i="3" s="1"/>
  <c r="S2114" i="3" a="1"/>
  <c r="S2114" i="3" s="1"/>
  <c r="S2115" i="3" a="1"/>
  <c r="S2115" i="3" s="1"/>
  <c r="S2116" i="3" a="1"/>
  <c r="S2116" i="3" s="1"/>
  <c r="S2117" i="3" a="1"/>
  <c r="S2117" i="3" s="1"/>
  <c r="S2118" i="3" a="1"/>
  <c r="S2118" i="3" s="1"/>
  <c r="S2119" i="3" a="1"/>
  <c r="S2119" i="3" s="1"/>
  <c r="S2120" i="3" a="1"/>
  <c r="S2120" i="3" s="1"/>
  <c r="S2121" i="3" a="1"/>
  <c r="S2121" i="3" s="1"/>
  <c r="S2122" i="3" a="1"/>
  <c r="S2122" i="3" s="1"/>
  <c r="S2123" i="3" a="1"/>
  <c r="S2123" i="3" s="1"/>
  <c r="S2124" i="3" a="1"/>
  <c r="S2124" i="3" s="1"/>
  <c r="S2125" i="3" a="1"/>
  <c r="S2125" i="3" s="1"/>
  <c r="S2126" i="3" a="1"/>
  <c r="S2126" i="3" s="1"/>
  <c r="S2127" i="3" a="1"/>
  <c r="S2127" i="3" s="1"/>
  <c r="S2128" i="3" a="1"/>
  <c r="S2128" i="3" s="1"/>
  <c r="S2129" i="3" a="1"/>
  <c r="S2129" i="3" s="1"/>
  <c r="S2130" i="3" a="1"/>
  <c r="S2130" i="3" s="1"/>
  <c r="S2131" i="3" a="1"/>
  <c r="S2131" i="3" s="1"/>
  <c r="S2132" i="3" a="1"/>
  <c r="S2132" i="3" s="1"/>
  <c r="S2133" i="3" a="1"/>
  <c r="S2133" i="3" s="1"/>
  <c r="S2134" i="3" a="1"/>
  <c r="S2134" i="3" s="1"/>
  <c r="S2135" i="3" a="1"/>
  <c r="S2135" i="3" s="1"/>
  <c r="S2136" i="3" a="1"/>
  <c r="S2136" i="3" s="1"/>
  <c r="S2137" i="3" a="1"/>
  <c r="S2137" i="3" s="1"/>
  <c r="S2138" i="3" a="1"/>
  <c r="S2138" i="3" s="1"/>
  <c r="S2139" i="3" a="1"/>
  <c r="S2139" i="3" s="1"/>
  <c r="S2140" i="3" a="1"/>
  <c r="S2140" i="3" s="1"/>
  <c r="S2141" i="3" a="1"/>
  <c r="S2141" i="3" s="1"/>
  <c r="S2142" i="3" a="1"/>
  <c r="S2142" i="3" s="1"/>
  <c r="S2143" i="3" a="1"/>
  <c r="S2143" i="3" s="1"/>
  <c r="S2144" i="3" a="1"/>
  <c r="S2144" i="3" s="1"/>
  <c r="S2145" i="3" a="1"/>
  <c r="S2145" i="3" s="1"/>
  <c r="S2146" i="3" a="1"/>
  <c r="S2146" i="3" s="1"/>
  <c r="S2147" i="3" a="1"/>
  <c r="S2147" i="3" s="1"/>
  <c r="S2148" i="3" a="1"/>
  <c r="S2148" i="3" s="1"/>
  <c r="S2149" i="3" a="1"/>
  <c r="S2149" i="3" s="1"/>
  <c r="S2150" i="3" a="1"/>
  <c r="S2150" i="3" s="1"/>
  <c r="S2151" i="3" a="1"/>
  <c r="S2151" i="3" s="1"/>
  <c r="S2152" i="3" a="1"/>
  <c r="S2152" i="3" s="1"/>
  <c r="S2153" i="3" a="1"/>
  <c r="S2153" i="3" s="1"/>
  <c r="S2" i="3" a="1"/>
  <c r="S2" i="3" s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F3" i="3"/>
  <c r="I3" i="3" s="1"/>
  <c r="J3" i="3" s="1"/>
  <c r="F4" i="3"/>
  <c r="I4" i="3" s="1"/>
  <c r="J4" i="3" s="1"/>
  <c r="F5" i="3"/>
  <c r="I5" i="3" s="1"/>
  <c r="J5" i="3" s="1"/>
  <c r="F6" i="3"/>
  <c r="I6" i="3" s="1"/>
  <c r="J6" i="3" s="1"/>
  <c r="F7" i="3"/>
  <c r="I7" i="3" s="1"/>
  <c r="J7" i="3" s="1"/>
  <c r="F8" i="3"/>
  <c r="I8" i="3" s="1"/>
  <c r="J8" i="3" s="1"/>
  <c r="F9" i="3"/>
  <c r="I9" i="3" s="1"/>
  <c r="J9" i="3" s="1"/>
  <c r="F10" i="3"/>
  <c r="I10" i="3" s="1"/>
  <c r="J10" i="3" s="1"/>
  <c r="F11" i="3"/>
  <c r="I11" i="3" s="1"/>
  <c r="J11" i="3" s="1"/>
  <c r="F12" i="3"/>
  <c r="I12" i="3" s="1"/>
  <c r="J12" i="3" s="1"/>
  <c r="F13" i="3"/>
  <c r="I13" i="3" s="1"/>
  <c r="J13" i="3" s="1"/>
  <c r="F14" i="3"/>
  <c r="I14" i="3" s="1"/>
  <c r="J14" i="3" s="1"/>
  <c r="F15" i="3"/>
  <c r="I15" i="3" s="1"/>
  <c r="J15" i="3" s="1"/>
  <c r="F16" i="3"/>
  <c r="I16" i="3" s="1"/>
  <c r="J16" i="3" s="1"/>
  <c r="F17" i="3"/>
  <c r="I17" i="3" s="1"/>
  <c r="J17" i="3" s="1"/>
  <c r="F18" i="3"/>
  <c r="I18" i="3" s="1"/>
  <c r="J18" i="3" s="1"/>
  <c r="F19" i="3"/>
  <c r="I19" i="3" s="1"/>
  <c r="J19" i="3" s="1"/>
  <c r="F20" i="3"/>
  <c r="I20" i="3" s="1"/>
  <c r="J20" i="3" s="1"/>
  <c r="F21" i="3"/>
  <c r="I21" i="3" s="1"/>
  <c r="J21" i="3" s="1"/>
  <c r="F22" i="3"/>
  <c r="I22" i="3" s="1"/>
  <c r="J22" i="3" s="1"/>
  <c r="F23" i="3"/>
  <c r="I23" i="3" s="1"/>
  <c r="J23" i="3" s="1"/>
  <c r="F24" i="3"/>
  <c r="I24" i="3" s="1"/>
  <c r="J24" i="3" s="1"/>
  <c r="F25" i="3"/>
  <c r="I25" i="3" s="1"/>
  <c r="J25" i="3" s="1"/>
  <c r="F26" i="3"/>
  <c r="I26" i="3" s="1"/>
  <c r="J26" i="3" s="1"/>
  <c r="F27" i="3"/>
  <c r="I27" i="3" s="1"/>
  <c r="J27" i="3" s="1"/>
  <c r="F28" i="3"/>
  <c r="I28" i="3" s="1"/>
  <c r="J28" i="3" s="1"/>
  <c r="F29" i="3"/>
  <c r="I29" i="3" s="1"/>
  <c r="J29" i="3" s="1"/>
  <c r="F30" i="3"/>
  <c r="I30" i="3" s="1"/>
  <c r="J30" i="3" s="1"/>
  <c r="F31" i="3"/>
  <c r="I31" i="3" s="1"/>
  <c r="J31" i="3" s="1"/>
  <c r="F32" i="3"/>
  <c r="I32" i="3" s="1"/>
  <c r="J32" i="3" s="1"/>
  <c r="F33" i="3"/>
  <c r="I33" i="3" s="1"/>
  <c r="J33" i="3" s="1"/>
  <c r="F34" i="3"/>
  <c r="I34" i="3" s="1"/>
  <c r="J34" i="3" s="1"/>
  <c r="F35" i="3"/>
  <c r="I35" i="3" s="1"/>
  <c r="J35" i="3" s="1"/>
  <c r="F36" i="3"/>
  <c r="I36" i="3" s="1"/>
  <c r="J36" i="3" s="1"/>
  <c r="F37" i="3"/>
  <c r="I37" i="3" s="1"/>
  <c r="J37" i="3" s="1"/>
  <c r="F38" i="3"/>
  <c r="I38" i="3" s="1"/>
  <c r="J38" i="3" s="1"/>
  <c r="F39" i="3"/>
  <c r="I39" i="3" s="1"/>
  <c r="J39" i="3" s="1"/>
  <c r="F40" i="3"/>
  <c r="I40" i="3" s="1"/>
  <c r="J40" i="3" s="1"/>
  <c r="F41" i="3"/>
  <c r="I41" i="3" s="1"/>
  <c r="J41" i="3" s="1"/>
  <c r="F42" i="3"/>
  <c r="I42" i="3" s="1"/>
  <c r="J42" i="3" s="1"/>
  <c r="F43" i="3"/>
  <c r="I43" i="3" s="1"/>
  <c r="J43" i="3" s="1"/>
  <c r="F44" i="3"/>
  <c r="I44" i="3" s="1"/>
  <c r="J44" i="3" s="1"/>
  <c r="F45" i="3"/>
  <c r="I45" i="3" s="1"/>
  <c r="J45" i="3" s="1"/>
  <c r="F46" i="3"/>
  <c r="I46" i="3" s="1"/>
  <c r="J46" i="3" s="1"/>
  <c r="F47" i="3"/>
  <c r="I47" i="3" s="1"/>
  <c r="J47" i="3" s="1"/>
  <c r="F48" i="3"/>
  <c r="I48" i="3" s="1"/>
  <c r="J48" i="3" s="1"/>
  <c r="F49" i="3"/>
  <c r="I49" i="3" s="1"/>
  <c r="J49" i="3" s="1"/>
  <c r="F50" i="3"/>
  <c r="I50" i="3" s="1"/>
  <c r="J50" i="3" s="1"/>
  <c r="F51" i="3"/>
  <c r="I51" i="3" s="1"/>
  <c r="J51" i="3" s="1"/>
  <c r="F52" i="3"/>
  <c r="I52" i="3" s="1"/>
  <c r="J52" i="3" s="1"/>
  <c r="F53" i="3"/>
  <c r="I53" i="3" s="1"/>
  <c r="J53" i="3" s="1"/>
  <c r="F54" i="3"/>
  <c r="I54" i="3" s="1"/>
  <c r="J54" i="3" s="1"/>
  <c r="F55" i="3"/>
  <c r="I55" i="3" s="1"/>
  <c r="J55" i="3" s="1"/>
  <c r="F56" i="3"/>
  <c r="I56" i="3" s="1"/>
  <c r="J56" i="3" s="1"/>
  <c r="F57" i="3"/>
  <c r="I57" i="3" s="1"/>
  <c r="J57" i="3" s="1"/>
  <c r="F58" i="3"/>
  <c r="I58" i="3" s="1"/>
  <c r="J58" i="3" s="1"/>
  <c r="F59" i="3"/>
  <c r="I59" i="3" s="1"/>
  <c r="J59" i="3" s="1"/>
  <c r="F60" i="3"/>
  <c r="I60" i="3" s="1"/>
  <c r="J60" i="3" s="1"/>
  <c r="F61" i="3"/>
  <c r="I61" i="3" s="1"/>
  <c r="J61" i="3" s="1"/>
  <c r="F62" i="3"/>
  <c r="I62" i="3" s="1"/>
  <c r="J62" i="3" s="1"/>
  <c r="F63" i="3"/>
  <c r="I63" i="3" s="1"/>
  <c r="J63" i="3" s="1"/>
  <c r="F64" i="3"/>
  <c r="I64" i="3" s="1"/>
  <c r="J64" i="3" s="1"/>
  <c r="F65" i="3"/>
  <c r="I65" i="3" s="1"/>
  <c r="J65" i="3" s="1"/>
  <c r="F66" i="3"/>
  <c r="I66" i="3" s="1"/>
  <c r="J66" i="3" s="1"/>
  <c r="F67" i="3"/>
  <c r="I67" i="3" s="1"/>
  <c r="J67" i="3" s="1"/>
  <c r="F68" i="3"/>
  <c r="I68" i="3" s="1"/>
  <c r="J68" i="3" s="1"/>
  <c r="F69" i="3"/>
  <c r="I69" i="3" s="1"/>
  <c r="J69" i="3" s="1"/>
  <c r="F70" i="3"/>
  <c r="I70" i="3" s="1"/>
  <c r="J70" i="3" s="1"/>
  <c r="F71" i="3"/>
  <c r="I71" i="3" s="1"/>
  <c r="J71" i="3" s="1"/>
  <c r="F72" i="3"/>
  <c r="I72" i="3" s="1"/>
  <c r="J72" i="3" s="1"/>
  <c r="F73" i="3"/>
  <c r="I73" i="3" s="1"/>
  <c r="J73" i="3" s="1"/>
  <c r="F74" i="3"/>
  <c r="I74" i="3" s="1"/>
  <c r="J74" i="3" s="1"/>
  <c r="F75" i="3"/>
  <c r="I75" i="3" s="1"/>
  <c r="J75" i="3" s="1"/>
  <c r="F76" i="3"/>
  <c r="I76" i="3" s="1"/>
  <c r="J76" i="3" s="1"/>
  <c r="F77" i="3"/>
  <c r="I77" i="3" s="1"/>
  <c r="J77" i="3" s="1"/>
  <c r="F78" i="3"/>
  <c r="I78" i="3" s="1"/>
  <c r="J78" i="3" s="1"/>
  <c r="F79" i="3"/>
  <c r="I79" i="3" s="1"/>
  <c r="J79" i="3" s="1"/>
  <c r="F80" i="3"/>
  <c r="I80" i="3" s="1"/>
  <c r="J80" i="3" s="1"/>
  <c r="F81" i="3"/>
  <c r="I81" i="3" s="1"/>
  <c r="J81" i="3" s="1"/>
  <c r="F82" i="3"/>
  <c r="I82" i="3" s="1"/>
  <c r="J82" i="3" s="1"/>
  <c r="F83" i="3"/>
  <c r="I83" i="3" s="1"/>
  <c r="J83" i="3" s="1"/>
  <c r="F84" i="3"/>
  <c r="I84" i="3" s="1"/>
  <c r="J84" i="3" s="1"/>
  <c r="F85" i="3"/>
  <c r="I85" i="3" s="1"/>
  <c r="J85" i="3" s="1"/>
  <c r="F86" i="3"/>
  <c r="I86" i="3" s="1"/>
  <c r="J86" i="3" s="1"/>
  <c r="F87" i="3"/>
  <c r="I87" i="3" s="1"/>
  <c r="J87" i="3" s="1"/>
  <c r="F88" i="3"/>
  <c r="I88" i="3" s="1"/>
  <c r="J88" i="3" s="1"/>
  <c r="F89" i="3"/>
  <c r="I89" i="3" s="1"/>
  <c r="J89" i="3" s="1"/>
  <c r="F90" i="3"/>
  <c r="I90" i="3" s="1"/>
  <c r="J90" i="3" s="1"/>
  <c r="F91" i="3"/>
  <c r="I91" i="3" s="1"/>
  <c r="J91" i="3" s="1"/>
  <c r="F92" i="3"/>
  <c r="I92" i="3" s="1"/>
  <c r="J92" i="3" s="1"/>
  <c r="F93" i="3"/>
  <c r="I93" i="3" s="1"/>
  <c r="J93" i="3" s="1"/>
  <c r="F94" i="3"/>
  <c r="I94" i="3" s="1"/>
  <c r="J94" i="3" s="1"/>
  <c r="F95" i="3"/>
  <c r="I95" i="3" s="1"/>
  <c r="J95" i="3" s="1"/>
  <c r="F96" i="3"/>
  <c r="I96" i="3" s="1"/>
  <c r="J96" i="3" s="1"/>
  <c r="F97" i="3"/>
  <c r="I97" i="3" s="1"/>
  <c r="J97" i="3" s="1"/>
  <c r="F98" i="3"/>
  <c r="I98" i="3" s="1"/>
  <c r="J98" i="3" s="1"/>
  <c r="F99" i="3"/>
  <c r="I99" i="3" s="1"/>
  <c r="J99" i="3" s="1"/>
  <c r="F100" i="3"/>
  <c r="I100" i="3" s="1"/>
  <c r="J100" i="3" s="1"/>
  <c r="F101" i="3"/>
  <c r="I101" i="3" s="1"/>
  <c r="J101" i="3" s="1"/>
  <c r="F102" i="3"/>
  <c r="I102" i="3" s="1"/>
  <c r="J102" i="3" s="1"/>
  <c r="F103" i="3"/>
  <c r="I103" i="3" s="1"/>
  <c r="J103" i="3" s="1"/>
  <c r="F104" i="3"/>
  <c r="I104" i="3" s="1"/>
  <c r="J104" i="3" s="1"/>
  <c r="F105" i="3"/>
  <c r="I105" i="3" s="1"/>
  <c r="J105" i="3" s="1"/>
  <c r="F106" i="3"/>
  <c r="I106" i="3" s="1"/>
  <c r="J106" i="3" s="1"/>
  <c r="F107" i="3"/>
  <c r="I107" i="3" s="1"/>
  <c r="J107" i="3" s="1"/>
  <c r="F108" i="3"/>
  <c r="I108" i="3" s="1"/>
  <c r="J108" i="3" s="1"/>
  <c r="F109" i="3"/>
  <c r="I109" i="3" s="1"/>
  <c r="J109" i="3" s="1"/>
  <c r="F110" i="3"/>
  <c r="I110" i="3" s="1"/>
  <c r="J110" i="3" s="1"/>
  <c r="F111" i="3"/>
  <c r="I111" i="3" s="1"/>
  <c r="J111" i="3" s="1"/>
  <c r="F112" i="3"/>
  <c r="I112" i="3" s="1"/>
  <c r="J112" i="3" s="1"/>
  <c r="F113" i="3"/>
  <c r="I113" i="3" s="1"/>
  <c r="J113" i="3" s="1"/>
  <c r="F114" i="3"/>
  <c r="I114" i="3" s="1"/>
  <c r="J114" i="3" s="1"/>
  <c r="F115" i="3"/>
  <c r="I115" i="3" s="1"/>
  <c r="J115" i="3" s="1"/>
  <c r="F116" i="3"/>
  <c r="I116" i="3" s="1"/>
  <c r="J116" i="3" s="1"/>
  <c r="F117" i="3"/>
  <c r="I117" i="3" s="1"/>
  <c r="J117" i="3" s="1"/>
  <c r="F118" i="3"/>
  <c r="I118" i="3" s="1"/>
  <c r="J118" i="3" s="1"/>
  <c r="F119" i="3"/>
  <c r="I119" i="3" s="1"/>
  <c r="J119" i="3" s="1"/>
  <c r="F120" i="3"/>
  <c r="I120" i="3" s="1"/>
  <c r="J120" i="3" s="1"/>
  <c r="F121" i="3"/>
  <c r="I121" i="3" s="1"/>
  <c r="J121" i="3" s="1"/>
  <c r="F122" i="3"/>
  <c r="I122" i="3" s="1"/>
  <c r="J122" i="3" s="1"/>
  <c r="F123" i="3"/>
  <c r="I123" i="3" s="1"/>
  <c r="J123" i="3" s="1"/>
  <c r="F124" i="3"/>
  <c r="I124" i="3" s="1"/>
  <c r="J124" i="3" s="1"/>
  <c r="F125" i="3"/>
  <c r="I125" i="3" s="1"/>
  <c r="J125" i="3" s="1"/>
  <c r="F126" i="3"/>
  <c r="I126" i="3" s="1"/>
  <c r="J126" i="3" s="1"/>
  <c r="F127" i="3"/>
  <c r="I127" i="3" s="1"/>
  <c r="J127" i="3" s="1"/>
  <c r="F128" i="3"/>
  <c r="I128" i="3" s="1"/>
  <c r="J128" i="3" s="1"/>
  <c r="F129" i="3"/>
  <c r="I129" i="3" s="1"/>
  <c r="J129" i="3" s="1"/>
  <c r="F130" i="3"/>
  <c r="I130" i="3" s="1"/>
  <c r="J130" i="3" s="1"/>
  <c r="F131" i="3"/>
  <c r="I131" i="3" s="1"/>
  <c r="J131" i="3" s="1"/>
  <c r="F132" i="3"/>
  <c r="I132" i="3" s="1"/>
  <c r="J132" i="3" s="1"/>
  <c r="F133" i="3"/>
  <c r="I133" i="3" s="1"/>
  <c r="J133" i="3" s="1"/>
  <c r="F134" i="3"/>
  <c r="I134" i="3" s="1"/>
  <c r="J134" i="3" s="1"/>
  <c r="F135" i="3"/>
  <c r="I135" i="3" s="1"/>
  <c r="J135" i="3" s="1"/>
  <c r="F136" i="3"/>
  <c r="I136" i="3" s="1"/>
  <c r="J136" i="3" s="1"/>
  <c r="F137" i="3"/>
  <c r="I137" i="3" s="1"/>
  <c r="J137" i="3" s="1"/>
  <c r="F138" i="3"/>
  <c r="I138" i="3" s="1"/>
  <c r="J138" i="3" s="1"/>
  <c r="F139" i="3"/>
  <c r="I139" i="3" s="1"/>
  <c r="J139" i="3" s="1"/>
  <c r="F140" i="3"/>
  <c r="I140" i="3" s="1"/>
  <c r="J140" i="3" s="1"/>
  <c r="F141" i="3"/>
  <c r="I141" i="3" s="1"/>
  <c r="J141" i="3" s="1"/>
  <c r="F142" i="3"/>
  <c r="I142" i="3" s="1"/>
  <c r="J142" i="3" s="1"/>
  <c r="F143" i="3"/>
  <c r="I143" i="3" s="1"/>
  <c r="J143" i="3" s="1"/>
  <c r="F144" i="3"/>
  <c r="I144" i="3" s="1"/>
  <c r="J144" i="3" s="1"/>
  <c r="F145" i="3"/>
  <c r="I145" i="3" s="1"/>
  <c r="J145" i="3" s="1"/>
  <c r="F146" i="3"/>
  <c r="I146" i="3" s="1"/>
  <c r="J146" i="3" s="1"/>
  <c r="F147" i="3"/>
  <c r="I147" i="3" s="1"/>
  <c r="J147" i="3" s="1"/>
  <c r="F148" i="3"/>
  <c r="I148" i="3" s="1"/>
  <c r="J148" i="3" s="1"/>
  <c r="F149" i="3"/>
  <c r="I149" i="3" s="1"/>
  <c r="J149" i="3" s="1"/>
  <c r="F150" i="3"/>
  <c r="I150" i="3" s="1"/>
  <c r="J150" i="3" s="1"/>
  <c r="F151" i="3"/>
  <c r="I151" i="3" s="1"/>
  <c r="J151" i="3" s="1"/>
  <c r="F152" i="3"/>
  <c r="I152" i="3" s="1"/>
  <c r="J152" i="3" s="1"/>
  <c r="F153" i="3"/>
  <c r="I153" i="3" s="1"/>
  <c r="J153" i="3" s="1"/>
  <c r="F154" i="3"/>
  <c r="I154" i="3" s="1"/>
  <c r="J154" i="3" s="1"/>
  <c r="F155" i="3"/>
  <c r="I155" i="3" s="1"/>
  <c r="J155" i="3" s="1"/>
  <c r="F156" i="3"/>
  <c r="I156" i="3" s="1"/>
  <c r="J156" i="3" s="1"/>
  <c r="F157" i="3"/>
  <c r="I157" i="3" s="1"/>
  <c r="J157" i="3" s="1"/>
  <c r="F158" i="3"/>
  <c r="I158" i="3" s="1"/>
  <c r="J158" i="3" s="1"/>
  <c r="F159" i="3"/>
  <c r="I159" i="3" s="1"/>
  <c r="J159" i="3" s="1"/>
  <c r="F160" i="3"/>
  <c r="I160" i="3" s="1"/>
  <c r="J160" i="3" s="1"/>
  <c r="F161" i="3"/>
  <c r="I161" i="3" s="1"/>
  <c r="J161" i="3" s="1"/>
  <c r="F162" i="3"/>
  <c r="I162" i="3" s="1"/>
  <c r="J162" i="3" s="1"/>
  <c r="F163" i="3"/>
  <c r="I163" i="3" s="1"/>
  <c r="J163" i="3" s="1"/>
  <c r="F164" i="3"/>
  <c r="I164" i="3" s="1"/>
  <c r="J164" i="3" s="1"/>
  <c r="F165" i="3"/>
  <c r="I165" i="3" s="1"/>
  <c r="J165" i="3" s="1"/>
  <c r="F166" i="3"/>
  <c r="I166" i="3" s="1"/>
  <c r="J166" i="3" s="1"/>
  <c r="F167" i="3"/>
  <c r="I167" i="3" s="1"/>
  <c r="J167" i="3" s="1"/>
  <c r="F168" i="3"/>
  <c r="I168" i="3" s="1"/>
  <c r="J168" i="3" s="1"/>
  <c r="F169" i="3"/>
  <c r="I169" i="3" s="1"/>
  <c r="J169" i="3" s="1"/>
  <c r="F170" i="3"/>
  <c r="I170" i="3" s="1"/>
  <c r="J170" i="3" s="1"/>
  <c r="F171" i="3"/>
  <c r="I171" i="3" s="1"/>
  <c r="J171" i="3" s="1"/>
  <c r="F172" i="3"/>
  <c r="I172" i="3" s="1"/>
  <c r="J172" i="3" s="1"/>
  <c r="F173" i="3"/>
  <c r="I173" i="3" s="1"/>
  <c r="J173" i="3" s="1"/>
  <c r="F174" i="3"/>
  <c r="I174" i="3" s="1"/>
  <c r="J174" i="3" s="1"/>
  <c r="F175" i="3"/>
  <c r="I175" i="3" s="1"/>
  <c r="J175" i="3" s="1"/>
  <c r="F176" i="3"/>
  <c r="I176" i="3" s="1"/>
  <c r="J176" i="3" s="1"/>
  <c r="F177" i="3"/>
  <c r="I177" i="3" s="1"/>
  <c r="J177" i="3" s="1"/>
  <c r="F178" i="3"/>
  <c r="I178" i="3" s="1"/>
  <c r="J178" i="3" s="1"/>
  <c r="F179" i="3"/>
  <c r="I179" i="3" s="1"/>
  <c r="J179" i="3" s="1"/>
  <c r="F180" i="3"/>
  <c r="I180" i="3" s="1"/>
  <c r="J180" i="3" s="1"/>
  <c r="F181" i="3"/>
  <c r="I181" i="3" s="1"/>
  <c r="J181" i="3" s="1"/>
  <c r="F182" i="3"/>
  <c r="I182" i="3" s="1"/>
  <c r="J182" i="3" s="1"/>
  <c r="F183" i="3"/>
  <c r="I183" i="3" s="1"/>
  <c r="J183" i="3" s="1"/>
  <c r="F184" i="3"/>
  <c r="I184" i="3" s="1"/>
  <c r="J184" i="3" s="1"/>
  <c r="F185" i="3"/>
  <c r="I185" i="3" s="1"/>
  <c r="J185" i="3" s="1"/>
  <c r="F186" i="3"/>
  <c r="I186" i="3" s="1"/>
  <c r="J186" i="3" s="1"/>
  <c r="F187" i="3"/>
  <c r="I187" i="3" s="1"/>
  <c r="J187" i="3" s="1"/>
  <c r="F188" i="3"/>
  <c r="I188" i="3" s="1"/>
  <c r="J188" i="3" s="1"/>
  <c r="F189" i="3"/>
  <c r="I189" i="3" s="1"/>
  <c r="J189" i="3" s="1"/>
  <c r="F190" i="3"/>
  <c r="I190" i="3" s="1"/>
  <c r="J190" i="3" s="1"/>
  <c r="F191" i="3"/>
  <c r="I191" i="3" s="1"/>
  <c r="J191" i="3" s="1"/>
  <c r="F192" i="3"/>
  <c r="I192" i="3" s="1"/>
  <c r="J192" i="3" s="1"/>
  <c r="F193" i="3"/>
  <c r="I193" i="3" s="1"/>
  <c r="J193" i="3" s="1"/>
  <c r="F194" i="3"/>
  <c r="I194" i="3" s="1"/>
  <c r="J194" i="3" s="1"/>
  <c r="F195" i="3"/>
  <c r="I195" i="3" s="1"/>
  <c r="J195" i="3" s="1"/>
  <c r="F196" i="3"/>
  <c r="I196" i="3" s="1"/>
  <c r="J196" i="3" s="1"/>
  <c r="F197" i="3"/>
  <c r="I197" i="3" s="1"/>
  <c r="J197" i="3" s="1"/>
  <c r="F198" i="3"/>
  <c r="I198" i="3" s="1"/>
  <c r="J198" i="3" s="1"/>
  <c r="F199" i="3"/>
  <c r="I199" i="3" s="1"/>
  <c r="J199" i="3" s="1"/>
  <c r="F200" i="3"/>
  <c r="I200" i="3" s="1"/>
  <c r="J200" i="3" s="1"/>
  <c r="F201" i="3"/>
  <c r="I201" i="3" s="1"/>
  <c r="J201" i="3" s="1"/>
  <c r="F202" i="3"/>
  <c r="I202" i="3" s="1"/>
  <c r="J202" i="3" s="1"/>
  <c r="F203" i="3"/>
  <c r="I203" i="3" s="1"/>
  <c r="J203" i="3" s="1"/>
  <c r="F204" i="3"/>
  <c r="I204" i="3" s="1"/>
  <c r="J204" i="3" s="1"/>
  <c r="F205" i="3"/>
  <c r="I205" i="3" s="1"/>
  <c r="J205" i="3" s="1"/>
  <c r="F206" i="3"/>
  <c r="I206" i="3" s="1"/>
  <c r="J206" i="3" s="1"/>
  <c r="F207" i="3"/>
  <c r="I207" i="3" s="1"/>
  <c r="J207" i="3" s="1"/>
  <c r="F208" i="3"/>
  <c r="I208" i="3" s="1"/>
  <c r="J208" i="3" s="1"/>
  <c r="F209" i="3"/>
  <c r="I209" i="3" s="1"/>
  <c r="J209" i="3" s="1"/>
  <c r="F210" i="3"/>
  <c r="I210" i="3" s="1"/>
  <c r="J210" i="3" s="1"/>
  <c r="F211" i="3"/>
  <c r="I211" i="3" s="1"/>
  <c r="J211" i="3" s="1"/>
  <c r="F212" i="3"/>
  <c r="I212" i="3" s="1"/>
  <c r="J212" i="3" s="1"/>
  <c r="F213" i="3"/>
  <c r="I213" i="3" s="1"/>
  <c r="J213" i="3" s="1"/>
  <c r="F214" i="3"/>
  <c r="I214" i="3" s="1"/>
  <c r="J214" i="3" s="1"/>
  <c r="F215" i="3"/>
  <c r="I215" i="3" s="1"/>
  <c r="J215" i="3" s="1"/>
  <c r="F216" i="3"/>
  <c r="I216" i="3" s="1"/>
  <c r="J216" i="3" s="1"/>
  <c r="F217" i="3"/>
  <c r="I217" i="3" s="1"/>
  <c r="J217" i="3" s="1"/>
  <c r="F218" i="3"/>
  <c r="I218" i="3" s="1"/>
  <c r="J218" i="3" s="1"/>
  <c r="F219" i="3"/>
  <c r="I219" i="3" s="1"/>
  <c r="J219" i="3" s="1"/>
  <c r="F220" i="3"/>
  <c r="I220" i="3" s="1"/>
  <c r="J220" i="3" s="1"/>
  <c r="F221" i="3"/>
  <c r="I221" i="3" s="1"/>
  <c r="J221" i="3" s="1"/>
  <c r="F222" i="3"/>
  <c r="I222" i="3" s="1"/>
  <c r="J222" i="3" s="1"/>
  <c r="F223" i="3"/>
  <c r="I223" i="3" s="1"/>
  <c r="J223" i="3" s="1"/>
  <c r="F224" i="3"/>
  <c r="I224" i="3" s="1"/>
  <c r="J224" i="3" s="1"/>
  <c r="F225" i="3"/>
  <c r="I225" i="3" s="1"/>
  <c r="J225" i="3" s="1"/>
  <c r="F226" i="3"/>
  <c r="I226" i="3" s="1"/>
  <c r="J226" i="3" s="1"/>
  <c r="F227" i="3"/>
  <c r="I227" i="3" s="1"/>
  <c r="J227" i="3" s="1"/>
  <c r="F228" i="3"/>
  <c r="I228" i="3" s="1"/>
  <c r="J228" i="3" s="1"/>
  <c r="F229" i="3"/>
  <c r="I229" i="3" s="1"/>
  <c r="J229" i="3" s="1"/>
  <c r="F230" i="3"/>
  <c r="I230" i="3" s="1"/>
  <c r="J230" i="3" s="1"/>
  <c r="F231" i="3"/>
  <c r="I231" i="3" s="1"/>
  <c r="J231" i="3" s="1"/>
  <c r="F232" i="3"/>
  <c r="I232" i="3" s="1"/>
  <c r="J232" i="3" s="1"/>
  <c r="F233" i="3"/>
  <c r="I233" i="3" s="1"/>
  <c r="J233" i="3" s="1"/>
  <c r="F234" i="3"/>
  <c r="I234" i="3" s="1"/>
  <c r="J234" i="3" s="1"/>
  <c r="F235" i="3"/>
  <c r="I235" i="3" s="1"/>
  <c r="J235" i="3" s="1"/>
  <c r="F236" i="3"/>
  <c r="I236" i="3" s="1"/>
  <c r="J236" i="3" s="1"/>
  <c r="F237" i="3"/>
  <c r="I237" i="3" s="1"/>
  <c r="J237" i="3" s="1"/>
  <c r="F238" i="3"/>
  <c r="I238" i="3" s="1"/>
  <c r="J238" i="3" s="1"/>
  <c r="F239" i="3"/>
  <c r="I239" i="3" s="1"/>
  <c r="J239" i="3" s="1"/>
  <c r="F240" i="3"/>
  <c r="I240" i="3" s="1"/>
  <c r="J240" i="3" s="1"/>
  <c r="F241" i="3"/>
  <c r="I241" i="3" s="1"/>
  <c r="J241" i="3" s="1"/>
  <c r="F242" i="3"/>
  <c r="I242" i="3" s="1"/>
  <c r="J242" i="3" s="1"/>
  <c r="F243" i="3"/>
  <c r="I243" i="3" s="1"/>
  <c r="J243" i="3" s="1"/>
  <c r="F244" i="3"/>
  <c r="I244" i="3" s="1"/>
  <c r="J244" i="3" s="1"/>
  <c r="F245" i="3"/>
  <c r="I245" i="3" s="1"/>
  <c r="J245" i="3" s="1"/>
  <c r="F246" i="3"/>
  <c r="I246" i="3" s="1"/>
  <c r="J246" i="3" s="1"/>
  <c r="F247" i="3"/>
  <c r="I247" i="3" s="1"/>
  <c r="J247" i="3" s="1"/>
  <c r="F248" i="3"/>
  <c r="I248" i="3" s="1"/>
  <c r="J248" i="3" s="1"/>
  <c r="F249" i="3"/>
  <c r="I249" i="3" s="1"/>
  <c r="J249" i="3" s="1"/>
  <c r="F250" i="3"/>
  <c r="I250" i="3" s="1"/>
  <c r="J250" i="3" s="1"/>
  <c r="F251" i="3"/>
  <c r="I251" i="3" s="1"/>
  <c r="J251" i="3" s="1"/>
  <c r="F252" i="3"/>
  <c r="I252" i="3" s="1"/>
  <c r="J252" i="3" s="1"/>
  <c r="F253" i="3"/>
  <c r="I253" i="3" s="1"/>
  <c r="J253" i="3" s="1"/>
  <c r="F254" i="3"/>
  <c r="I254" i="3" s="1"/>
  <c r="J254" i="3" s="1"/>
  <c r="F255" i="3"/>
  <c r="I255" i="3" s="1"/>
  <c r="J255" i="3" s="1"/>
  <c r="F256" i="3"/>
  <c r="I256" i="3" s="1"/>
  <c r="J256" i="3" s="1"/>
  <c r="F257" i="3"/>
  <c r="I257" i="3" s="1"/>
  <c r="J257" i="3" s="1"/>
  <c r="F258" i="3"/>
  <c r="I258" i="3" s="1"/>
  <c r="J258" i="3" s="1"/>
  <c r="F259" i="3"/>
  <c r="I259" i="3" s="1"/>
  <c r="J259" i="3" s="1"/>
  <c r="F260" i="3"/>
  <c r="I260" i="3" s="1"/>
  <c r="J260" i="3" s="1"/>
  <c r="F261" i="3"/>
  <c r="I261" i="3" s="1"/>
  <c r="J261" i="3" s="1"/>
  <c r="F262" i="3"/>
  <c r="I262" i="3" s="1"/>
  <c r="J262" i="3" s="1"/>
  <c r="F263" i="3"/>
  <c r="I263" i="3" s="1"/>
  <c r="J263" i="3" s="1"/>
  <c r="F264" i="3"/>
  <c r="I264" i="3" s="1"/>
  <c r="J264" i="3" s="1"/>
  <c r="F265" i="3"/>
  <c r="I265" i="3" s="1"/>
  <c r="J265" i="3" s="1"/>
  <c r="F266" i="3"/>
  <c r="I266" i="3" s="1"/>
  <c r="J266" i="3" s="1"/>
  <c r="F267" i="3"/>
  <c r="I267" i="3" s="1"/>
  <c r="J267" i="3" s="1"/>
  <c r="F268" i="3"/>
  <c r="I268" i="3" s="1"/>
  <c r="J268" i="3" s="1"/>
  <c r="F269" i="3"/>
  <c r="I269" i="3" s="1"/>
  <c r="J269" i="3" s="1"/>
  <c r="F270" i="3"/>
  <c r="I270" i="3" s="1"/>
  <c r="J270" i="3" s="1"/>
  <c r="F271" i="3"/>
  <c r="I271" i="3" s="1"/>
  <c r="J271" i="3" s="1"/>
  <c r="F272" i="3"/>
  <c r="I272" i="3" s="1"/>
  <c r="J272" i="3" s="1"/>
  <c r="F273" i="3"/>
  <c r="I273" i="3" s="1"/>
  <c r="J273" i="3" s="1"/>
  <c r="F274" i="3"/>
  <c r="I274" i="3" s="1"/>
  <c r="J274" i="3" s="1"/>
  <c r="F275" i="3"/>
  <c r="I275" i="3" s="1"/>
  <c r="J275" i="3" s="1"/>
  <c r="F276" i="3"/>
  <c r="I276" i="3" s="1"/>
  <c r="J276" i="3" s="1"/>
  <c r="F277" i="3"/>
  <c r="I277" i="3" s="1"/>
  <c r="J277" i="3" s="1"/>
  <c r="F278" i="3"/>
  <c r="I278" i="3" s="1"/>
  <c r="J278" i="3" s="1"/>
  <c r="F279" i="3"/>
  <c r="I279" i="3" s="1"/>
  <c r="J279" i="3" s="1"/>
  <c r="F280" i="3"/>
  <c r="I280" i="3" s="1"/>
  <c r="J280" i="3" s="1"/>
  <c r="F281" i="3"/>
  <c r="I281" i="3" s="1"/>
  <c r="J281" i="3" s="1"/>
  <c r="F282" i="3"/>
  <c r="I282" i="3" s="1"/>
  <c r="J282" i="3" s="1"/>
  <c r="F283" i="3"/>
  <c r="I283" i="3" s="1"/>
  <c r="J283" i="3" s="1"/>
  <c r="F284" i="3"/>
  <c r="I284" i="3" s="1"/>
  <c r="J284" i="3" s="1"/>
  <c r="F285" i="3"/>
  <c r="I285" i="3" s="1"/>
  <c r="J285" i="3" s="1"/>
  <c r="F286" i="3"/>
  <c r="I286" i="3" s="1"/>
  <c r="J286" i="3" s="1"/>
  <c r="F287" i="3"/>
  <c r="I287" i="3" s="1"/>
  <c r="J287" i="3" s="1"/>
  <c r="F288" i="3"/>
  <c r="I288" i="3" s="1"/>
  <c r="J288" i="3" s="1"/>
  <c r="F289" i="3"/>
  <c r="I289" i="3" s="1"/>
  <c r="J289" i="3" s="1"/>
  <c r="F290" i="3"/>
  <c r="I290" i="3" s="1"/>
  <c r="J290" i="3" s="1"/>
  <c r="F291" i="3"/>
  <c r="I291" i="3" s="1"/>
  <c r="J291" i="3" s="1"/>
  <c r="F292" i="3"/>
  <c r="I292" i="3" s="1"/>
  <c r="J292" i="3" s="1"/>
  <c r="F293" i="3"/>
  <c r="I293" i="3" s="1"/>
  <c r="J293" i="3" s="1"/>
  <c r="F294" i="3"/>
  <c r="I294" i="3" s="1"/>
  <c r="J294" i="3" s="1"/>
  <c r="F295" i="3"/>
  <c r="I295" i="3" s="1"/>
  <c r="J295" i="3" s="1"/>
  <c r="F296" i="3"/>
  <c r="I296" i="3" s="1"/>
  <c r="J296" i="3" s="1"/>
  <c r="F297" i="3"/>
  <c r="I297" i="3" s="1"/>
  <c r="J297" i="3" s="1"/>
  <c r="F298" i="3"/>
  <c r="I298" i="3" s="1"/>
  <c r="J298" i="3" s="1"/>
  <c r="F299" i="3"/>
  <c r="I299" i="3" s="1"/>
  <c r="J299" i="3" s="1"/>
  <c r="F300" i="3"/>
  <c r="I300" i="3" s="1"/>
  <c r="J300" i="3" s="1"/>
  <c r="F301" i="3"/>
  <c r="I301" i="3" s="1"/>
  <c r="J301" i="3" s="1"/>
  <c r="F302" i="3"/>
  <c r="I302" i="3" s="1"/>
  <c r="J302" i="3" s="1"/>
  <c r="F303" i="3"/>
  <c r="I303" i="3" s="1"/>
  <c r="J303" i="3" s="1"/>
  <c r="F304" i="3"/>
  <c r="I304" i="3" s="1"/>
  <c r="J304" i="3" s="1"/>
  <c r="F305" i="3"/>
  <c r="I305" i="3" s="1"/>
  <c r="J305" i="3" s="1"/>
  <c r="F306" i="3"/>
  <c r="I306" i="3" s="1"/>
  <c r="J306" i="3" s="1"/>
  <c r="F307" i="3"/>
  <c r="I307" i="3" s="1"/>
  <c r="J307" i="3" s="1"/>
  <c r="F308" i="3"/>
  <c r="I308" i="3" s="1"/>
  <c r="J308" i="3" s="1"/>
  <c r="F309" i="3"/>
  <c r="I309" i="3" s="1"/>
  <c r="J309" i="3" s="1"/>
  <c r="F310" i="3"/>
  <c r="I310" i="3" s="1"/>
  <c r="J310" i="3" s="1"/>
  <c r="F311" i="3"/>
  <c r="I311" i="3" s="1"/>
  <c r="J311" i="3" s="1"/>
  <c r="F312" i="3"/>
  <c r="I312" i="3" s="1"/>
  <c r="J312" i="3" s="1"/>
  <c r="F313" i="3"/>
  <c r="I313" i="3" s="1"/>
  <c r="J313" i="3" s="1"/>
  <c r="F314" i="3"/>
  <c r="I314" i="3" s="1"/>
  <c r="J314" i="3" s="1"/>
  <c r="F315" i="3"/>
  <c r="I315" i="3" s="1"/>
  <c r="J315" i="3" s="1"/>
  <c r="F316" i="3"/>
  <c r="I316" i="3" s="1"/>
  <c r="J316" i="3" s="1"/>
  <c r="F317" i="3"/>
  <c r="I317" i="3" s="1"/>
  <c r="J317" i="3" s="1"/>
  <c r="F318" i="3"/>
  <c r="I318" i="3" s="1"/>
  <c r="J318" i="3" s="1"/>
  <c r="F319" i="3"/>
  <c r="I319" i="3" s="1"/>
  <c r="J319" i="3" s="1"/>
  <c r="F320" i="3"/>
  <c r="I320" i="3" s="1"/>
  <c r="J320" i="3" s="1"/>
  <c r="F321" i="3"/>
  <c r="I321" i="3" s="1"/>
  <c r="J321" i="3" s="1"/>
  <c r="F322" i="3"/>
  <c r="I322" i="3" s="1"/>
  <c r="J322" i="3" s="1"/>
  <c r="F323" i="3"/>
  <c r="I323" i="3" s="1"/>
  <c r="J323" i="3" s="1"/>
  <c r="F324" i="3"/>
  <c r="I324" i="3" s="1"/>
  <c r="J324" i="3" s="1"/>
  <c r="F325" i="3"/>
  <c r="I325" i="3" s="1"/>
  <c r="J325" i="3" s="1"/>
  <c r="F326" i="3"/>
  <c r="I326" i="3" s="1"/>
  <c r="J326" i="3" s="1"/>
  <c r="F327" i="3"/>
  <c r="I327" i="3" s="1"/>
  <c r="J327" i="3" s="1"/>
  <c r="F328" i="3"/>
  <c r="I328" i="3" s="1"/>
  <c r="J328" i="3" s="1"/>
  <c r="F329" i="3"/>
  <c r="I329" i="3" s="1"/>
  <c r="J329" i="3" s="1"/>
  <c r="F330" i="3"/>
  <c r="I330" i="3" s="1"/>
  <c r="J330" i="3" s="1"/>
  <c r="F331" i="3"/>
  <c r="I331" i="3" s="1"/>
  <c r="J331" i="3" s="1"/>
  <c r="F332" i="3"/>
  <c r="I332" i="3" s="1"/>
  <c r="J332" i="3" s="1"/>
  <c r="F333" i="3"/>
  <c r="I333" i="3" s="1"/>
  <c r="J333" i="3" s="1"/>
  <c r="F334" i="3"/>
  <c r="I334" i="3" s="1"/>
  <c r="J334" i="3" s="1"/>
  <c r="F335" i="3"/>
  <c r="I335" i="3" s="1"/>
  <c r="J335" i="3" s="1"/>
  <c r="F336" i="3"/>
  <c r="I336" i="3" s="1"/>
  <c r="J336" i="3" s="1"/>
  <c r="F337" i="3"/>
  <c r="I337" i="3" s="1"/>
  <c r="J337" i="3" s="1"/>
  <c r="F338" i="3"/>
  <c r="I338" i="3" s="1"/>
  <c r="J338" i="3" s="1"/>
  <c r="F339" i="3"/>
  <c r="I339" i="3" s="1"/>
  <c r="J339" i="3" s="1"/>
  <c r="F340" i="3"/>
  <c r="I340" i="3" s="1"/>
  <c r="J340" i="3" s="1"/>
  <c r="F341" i="3"/>
  <c r="I341" i="3" s="1"/>
  <c r="J341" i="3" s="1"/>
  <c r="F342" i="3"/>
  <c r="I342" i="3" s="1"/>
  <c r="J342" i="3" s="1"/>
  <c r="F343" i="3"/>
  <c r="I343" i="3" s="1"/>
  <c r="J343" i="3" s="1"/>
  <c r="F344" i="3"/>
  <c r="I344" i="3" s="1"/>
  <c r="J344" i="3" s="1"/>
  <c r="F345" i="3"/>
  <c r="I345" i="3" s="1"/>
  <c r="J345" i="3" s="1"/>
  <c r="F346" i="3"/>
  <c r="I346" i="3" s="1"/>
  <c r="J346" i="3" s="1"/>
  <c r="F347" i="3"/>
  <c r="I347" i="3" s="1"/>
  <c r="J347" i="3" s="1"/>
  <c r="F348" i="3"/>
  <c r="I348" i="3" s="1"/>
  <c r="J348" i="3" s="1"/>
  <c r="F349" i="3"/>
  <c r="I349" i="3" s="1"/>
  <c r="J349" i="3" s="1"/>
  <c r="F350" i="3"/>
  <c r="I350" i="3" s="1"/>
  <c r="J350" i="3" s="1"/>
  <c r="F351" i="3"/>
  <c r="I351" i="3" s="1"/>
  <c r="J351" i="3" s="1"/>
  <c r="F352" i="3"/>
  <c r="I352" i="3" s="1"/>
  <c r="J352" i="3" s="1"/>
  <c r="F353" i="3"/>
  <c r="I353" i="3" s="1"/>
  <c r="J353" i="3" s="1"/>
  <c r="F354" i="3"/>
  <c r="I354" i="3" s="1"/>
  <c r="J354" i="3" s="1"/>
  <c r="F355" i="3"/>
  <c r="I355" i="3" s="1"/>
  <c r="J355" i="3" s="1"/>
  <c r="F356" i="3"/>
  <c r="I356" i="3" s="1"/>
  <c r="J356" i="3" s="1"/>
  <c r="F357" i="3"/>
  <c r="I357" i="3" s="1"/>
  <c r="J357" i="3" s="1"/>
  <c r="F358" i="3"/>
  <c r="I358" i="3" s="1"/>
  <c r="J358" i="3" s="1"/>
  <c r="F359" i="3"/>
  <c r="I359" i="3" s="1"/>
  <c r="J359" i="3" s="1"/>
  <c r="F360" i="3"/>
  <c r="I360" i="3" s="1"/>
  <c r="J360" i="3" s="1"/>
  <c r="F361" i="3"/>
  <c r="I361" i="3" s="1"/>
  <c r="J361" i="3" s="1"/>
  <c r="F362" i="3"/>
  <c r="I362" i="3" s="1"/>
  <c r="J362" i="3" s="1"/>
  <c r="F363" i="3"/>
  <c r="I363" i="3" s="1"/>
  <c r="J363" i="3" s="1"/>
  <c r="F364" i="3"/>
  <c r="I364" i="3" s="1"/>
  <c r="J364" i="3" s="1"/>
  <c r="F365" i="3"/>
  <c r="I365" i="3" s="1"/>
  <c r="J365" i="3" s="1"/>
  <c r="F366" i="3"/>
  <c r="I366" i="3" s="1"/>
  <c r="J366" i="3" s="1"/>
  <c r="F367" i="3"/>
  <c r="I367" i="3" s="1"/>
  <c r="J367" i="3" s="1"/>
  <c r="F368" i="3"/>
  <c r="I368" i="3" s="1"/>
  <c r="J368" i="3" s="1"/>
  <c r="F369" i="3"/>
  <c r="I369" i="3" s="1"/>
  <c r="J369" i="3" s="1"/>
  <c r="F370" i="3"/>
  <c r="I370" i="3" s="1"/>
  <c r="J370" i="3" s="1"/>
  <c r="F371" i="3"/>
  <c r="I371" i="3" s="1"/>
  <c r="J371" i="3" s="1"/>
  <c r="F372" i="3"/>
  <c r="I372" i="3" s="1"/>
  <c r="J372" i="3" s="1"/>
  <c r="F373" i="3"/>
  <c r="I373" i="3" s="1"/>
  <c r="J373" i="3" s="1"/>
  <c r="F374" i="3"/>
  <c r="I374" i="3" s="1"/>
  <c r="J374" i="3" s="1"/>
  <c r="F375" i="3"/>
  <c r="I375" i="3" s="1"/>
  <c r="J375" i="3" s="1"/>
  <c r="F376" i="3"/>
  <c r="I376" i="3" s="1"/>
  <c r="J376" i="3" s="1"/>
  <c r="F377" i="3"/>
  <c r="I377" i="3" s="1"/>
  <c r="J377" i="3" s="1"/>
  <c r="F378" i="3"/>
  <c r="I378" i="3" s="1"/>
  <c r="J378" i="3" s="1"/>
  <c r="F379" i="3"/>
  <c r="I379" i="3" s="1"/>
  <c r="J379" i="3" s="1"/>
  <c r="F380" i="3"/>
  <c r="I380" i="3" s="1"/>
  <c r="J380" i="3" s="1"/>
  <c r="F381" i="3"/>
  <c r="I381" i="3" s="1"/>
  <c r="J381" i="3" s="1"/>
  <c r="F382" i="3"/>
  <c r="I382" i="3" s="1"/>
  <c r="J382" i="3" s="1"/>
  <c r="F383" i="3"/>
  <c r="I383" i="3" s="1"/>
  <c r="J383" i="3" s="1"/>
  <c r="F384" i="3"/>
  <c r="I384" i="3" s="1"/>
  <c r="J384" i="3" s="1"/>
  <c r="F385" i="3"/>
  <c r="I385" i="3" s="1"/>
  <c r="J385" i="3" s="1"/>
  <c r="F386" i="3"/>
  <c r="I386" i="3" s="1"/>
  <c r="J386" i="3" s="1"/>
  <c r="F387" i="3"/>
  <c r="I387" i="3" s="1"/>
  <c r="J387" i="3" s="1"/>
  <c r="F388" i="3"/>
  <c r="I388" i="3" s="1"/>
  <c r="J388" i="3" s="1"/>
  <c r="F389" i="3"/>
  <c r="I389" i="3" s="1"/>
  <c r="J389" i="3" s="1"/>
  <c r="F390" i="3"/>
  <c r="I390" i="3" s="1"/>
  <c r="J390" i="3" s="1"/>
  <c r="F391" i="3"/>
  <c r="I391" i="3" s="1"/>
  <c r="J391" i="3" s="1"/>
  <c r="F392" i="3"/>
  <c r="I392" i="3" s="1"/>
  <c r="J392" i="3" s="1"/>
  <c r="F393" i="3"/>
  <c r="I393" i="3" s="1"/>
  <c r="J393" i="3" s="1"/>
  <c r="F394" i="3"/>
  <c r="I394" i="3" s="1"/>
  <c r="J394" i="3" s="1"/>
  <c r="F395" i="3"/>
  <c r="I395" i="3" s="1"/>
  <c r="J395" i="3" s="1"/>
  <c r="F396" i="3"/>
  <c r="I396" i="3" s="1"/>
  <c r="J396" i="3" s="1"/>
  <c r="F397" i="3"/>
  <c r="I397" i="3" s="1"/>
  <c r="J397" i="3" s="1"/>
  <c r="F398" i="3"/>
  <c r="I398" i="3" s="1"/>
  <c r="J398" i="3" s="1"/>
  <c r="F399" i="3"/>
  <c r="I399" i="3" s="1"/>
  <c r="J399" i="3" s="1"/>
  <c r="F400" i="3"/>
  <c r="I400" i="3" s="1"/>
  <c r="J400" i="3" s="1"/>
  <c r="F401" i="3"/>
  <c r="I401" i="3" s="1"/>
  <c r="J401" i="3" s="1"/>
  <c r="F402" i="3"/>
  <c r="I402" i="3" s="1"/>
  <c r="J402" i="3" s="1"/>
  <c r="F403" i="3"/>
  <c r="I403" i="3" s="1"/>
  <c r="J403" i="3" s="1"/>
  <c r="F404" i="3"/>
  <c r="I404" i="3" s="1"/>
  <c r="J404" i="3" s="1"/>
  <c r="F405" i="3"/>
  <c r="I405" i="3" s="1"/>
  <c r="J405" i="3" s="1"/>
  <c r="F406" i="3"/>
  <c r="I406" i="3" s="1"/>
  <c r="J406" i="3" s="1"/>
  <c r="F407" i="3"/>
  <c r="I407" i="3" s="1"/>
  <c r="J407" i="3" s="1"/>
  <c r="F408" i="3"/>
  <c r="I408" i="3" s="1"/>
  <c r="J408" i="3" s="1"/>
  <c r="F409" i="3"/>
  <c r="I409" i="3" s="1"/>
  <c r="J409" i="3" s="1"/>
  <c r="F410" i="3"/>
  <c r="I410" i="3" s="1"/>
  <c r="J410" i="3" s="1"/>
  <c r="F411" i="3"/>
  <c r="I411" i="3" s="1"/>
  <c r="J411" i="3" s="1"/>
  <c r="F412" i="3"/>
  <c r="I412" i="3" s="1"/>
  <c r="J412" i="3" s="1"/>
  <c r="F413" i="3"/>
  <c r="I413" i="3" s="1"/>
  <c r="J413" i="3" s="1"/>
  <c r="F414" i="3"/>
  <c r="I414" i="3" s="1"/>
  <c r="J414" i="3" s="1"/>
  <c r="F415" i="3"/>
  <c r="I415" i="3" s="1"/>
  <c r="J415" i="3" s="1"/>
  <c r="F416" i="3"/>
  <c r="I416" i="3" s="1"/>
  <c r="J416" i="3" s="1"/>
  <c r="F417" i="3"/>
  <c r="I417" i="3" s="1"/>
  <c r="J417" i="3" s="1"/>
  <c r="F418" i="3"/>
  <c r="I418" i="3" s="1"/>
  <c r="J418" i="3" s="1"/>
  <c r="F419" i="3"/>
  <c r="I419" i="3" s="1"/>
  <c r="J419" i="3" s="1"/>
  <c r="F420" i="3"/>
  <c r="I420" i="3" s="1"/>
  <c r="J420" i="3" s="1"/>
  <c r="F421" i="3"/>
  <c r="I421" i="3" s="1"/>
  <c r="J421" i="3" s="1"/>
  <c r="F422" i="3"/>
  <c r="I422" i="3" s="1"/>
  <c r="J422" i="3" s="1"/>
  <c r="F423" i="3"/>
  <c r="I423" i="3" s="1"/>
  <c r="J423" i="3" s="1"/>
  <c r="F424" i="3"/>
  <c r="I424" i="3" s="1"/>
  <c r="J424" i="3" s="1"/>
  <c r="F425" i="3"/>
  <c r="I425" i="3" s="1"/>
  <c r="J425" i="3" s="1"/>
  <c r="F426" i="3"/>
  <c r="I426" i="3" s="1"/>
  <c r="J426" i="3" s="1"/>
  <c r="F427" i="3"/>
  <c r="I427" i="3" s="1"/>
  <c r="J427" i="3" s="1"/>
  <c r="F428" i="3"/>
  <c r="I428" i="3" s="1"/>
  <c r="J428" i="3" s="1"/>
  <c r="F429" i="3"/>
  <c r="I429" i="3" s="1"/>
  <c r="J429" i="3" s="1"/>
  <c r="F430" i="3"/>
  <c r="I430" i="3" s="1"/>
  <c r="J430" i="3" s="1"/>
  <c r="F431" i="3"/>
  <c r="I431" i="3" s="1"/>
  <c r="J431" i="3" s="1"/>
  <c r="F432" i="3"/>
  <c r="I432" i="3" s="1"/>
  <c r="J432" i="3" s="1"/>
  <c r="F433" i="3"/>
  <c r="I433" i="3" s="1"/>
  <c r="J433" i="3" s="1"/>
  <c r="F434" i="3"/>
  <c r="I434" i="3" s="1"/>
  <c r="J434" i="3" s="1"/>
  <c r="F435" i="3"/>
  <c r="I435" i="3" s="1"/>
  <c r="J435" i="3" s="1"/>
  <c r="F436" i="3"/>
  <c r="I436" i="3" s="1"/>
  <c r="J436" i="3" s="1"/>
  <c r="F437" i="3"/>
  <c r="I437" i="3" s="1"/>
  <c r="J437" i="3" s="1"/>
  <c r="F438" i="3"/>
  <c r="I438" i="3" s="1"/>
  <c r="J438" i="3" s="1"/>
  <c r="F439" i="3"/>
  <c r="I439" i="3" s="1"/>
  <c r="J439" i="3" s="1"/>
  <c r="F440" i="3"/>
  <c r="I440" i="3" s="1"/>
  <c r="J440" i="3" s="1"/>
  <c r="F441" i="3"/>
  <c r="I441" i="3" s="1"/>
  <c r="J441" i="3" s="1"/>
  <c r="F442" i="3"/>
  <c r="I442" i="3" s="1"/>
  <c r="J442" i="3" s="1"/>
  <c r="F443" i="3"/>
  <c r="I443" i="3" s="1"/>
  <c r="J443" i="3" s="1"/>
  <c r="F444" i="3"/>
  <c r="I444" i="3" s="1"/>
  <c r="J444" i="3" s="1"/>
  <c r="F445" i="3"/>
  <c r="I445" i="3" s="1"/>
  <c r="J445" i="3" s="1"/>
  <c r="F446" i="3"/>
  <c r="I446" i="3" s="1"/>
  <c r="J446" i="3" s="1"/>
  <c r="F447" i="3"/>
  <c r="I447" i="3" s="1"/>
  <c r="J447" i="3" s="1"/>
  <c r="F448" i="3"/>
  <c r="I448" i="3" s="1"/>
  <c r="J448" i="3" s="1"/>
  <c r="F449" i="3"/>
  <c r="I449" i="3" s="1"/>
  <c r="J449" i="3" s="1"/>
  <c r="F450" i="3"/>
  <c r="I450" i="3" s="1"/>
  <c r="J450" i="3" s="1"/>
  <c r="F451" i="3"/>
  <c r="I451" i="3" s="1"/>
  <c r="J451" i="3" s="1"/>
  <c r="F452" i="3"/>
  <c r="I452" i="3" s="1"/>
  <c r="J452" i="3" s="1"/>
  <c r="F453" i="3"/>
  <c r="I453" i="3" s="1"/>
  <c r="J453" i="3" s="1"/>
  <c r="F454" i="3"/>
  <c r="I454" i="3" s="1"/>
  <c r="J454" i="3" s="1"/>
  <c r="F455" i="3"/>
  <c r="I455" i="3" s="1"/>
  <c r="J455" i="3" s="1"/>
  <c r="F456" i="3"/>
  <c r="I456" i="3" s="1"/>
  <c r="J456" i="3" s="1"/>
  <c r="F457" i="3"/>
  <c r="I457" i="3" s="1"/>
  <c r="J457" i="3" s="1"/>
  <c r="F458" i="3"/>
  <c r="I458" i="3" s="1"/>
  <c r="J458" i="3" s="1"/>
  <c r="F459" i="3"/>
  <c r="I459" i="3" s="1"/>
  <c r="J459" i="3" s="1"/>
  <c r="F460" i="3"/>
  <c r="I460" i="3" s="1"/>
  <c r="J460" i="3" s="1"/>
  <c r="F461" i="3"/>
  <c r="I461" i="3" s="1"/>
  <c r="J461" i="3" s="1"/>
  <c r="F462" i="3"/>
  <c r="I462" i="3" s="1"/>
  <c r="J462" i="3" s="1"/>
  <c r="F463" i="3"/>
  <c r="I463" i="3" s="1"/>
  <c r="J463" i="3" s="1"/>
  <c r="F464" i="3"/>
  <c r="I464" i="3" s="1"/>
  <c r="J464" i="3" s="1"/>
  <c r="F465" i="3"/>
  <c r="I465" i="3" s="1"/>
  <c r="J465" i="3" s="1"/>
  <c r="F466" i="3"/>
  <c r="I466" i="3" s="1"/>
  <c r="J466" i="3" s="1"/>
  <c r="F467" i="3"/>
  <c r="I467" i="3" s="1"/>
  <c r="J467" i="3" s="1"/>
  <c r="F468" i="3"/>
  <c r="I468" i="3" s="1"/>
  <c r="J468" i="3" s="1"/>
  <c r="F469" i="3"/>
  <c r="I469" i="3" s="1"/>
  <c r="J469" i="3" s="1"/>
  <c r="F470" i="3"/>
  <c r="I470" i="3" s="1"/>
  <c r="J470" i="3" s="1"/>
  <c r="F471" i="3"/>
  <c r="I471" i="3" s="1"/>
  <c r="J471" i="3" s="1"/>
  <c r="F472" i="3"/>
  <c r="I472" i="3" s="1"/>
  <c r="J472" i="3" s="1"/>
  <c r="F473" i="3"/>
  <c r="I473" i="3" s="1"/>
  <c r="J473" i="3" s="1"/>
  <c r="F474" i="3"/>
  <c r="I474" i="3" s="1"/>
  <c r="J474" i="3" s="1"/>
  <c r="F475" i="3"/>
  <c r="I475" i="3" s="1"/>
  <c r="J475" i="3" s="1"/>
  <c r="F476" i="3"/>
  <c r="I476" i="3" s="1"/>
  <c r="J476" i="3" s="1"/>
  <c r="F477" i="3"/>
  <c r="I477" i="3" s="1"/>
  <c r="J477" i="3" s="1"/>
  <c r="F478" i="3"/>
  <c r="I478" i="3" s="1"/>
  <c r="J478" i="3" s="1"/>
  <c r="F479" i="3"/>
  <c r="I479" i="3" s="1"/>
  <c r="J479" i="3" s="1"/>
  <c r="F480" i="3"/>
  <c r="I480" i="3" s="1"/>
  <c r="J480" i="3" s="1"/>
  <c r="F481" i="3"/>
  <c r="I481" i="3" s="1"/>
  <c r="J481" i="3" s="1"/>
  <c r="F482" i="3"/>
  <c r="I482" i="3" s="1"/>
  <c r="J482" i="3" s="1"/>
  <c r="F483" i="3"/>
  <c r="I483" i="3" s="1"/>
  <c r="J483" i="3" s="1"/>
  <c r="F484" i="3"/>
  <c r="I484" i="3" s="1"/>
  <c r="J484" i="3" s="1"/>
  <c r="F485" i="3"/>
  <c r="I485" i="3" s="1"/>
  <c r="J485" i="3" s="1"/>
  <c r="F486" i="3"/>
  <c r="I486" i="3" s="1"/>
  <c r="J486" i="3" s="1"/>
  <c r="F487" i="3"/>
  <c r="I487" i="3" s="1"/>
  <c r="J487" i="3" s="1"/>
  <c r="F488" i="3"/>
  <c r="I488" i="3" s="1"/>
  <c r="J488" i="3" s="1"/>
  <c r="F489" i="3"/>
  <c r="I489" i="3" s="1"/>
  <c r="J489" i="3" s="1"/>
  <c r="F490" i="3"/>
  <c r="I490" i="3" s="1"/>
  <c r="J490" i="3" s="1"/>
  <c r="F491" i="3"/>
  <c r="I491" i="3" s="1"/>
  <c r="J491" i="3" s="1"/>
  <c r="F492" i="3"/>
  <c r="I492" i="3" s="1"/>
  <c r="J492" i="3" s="1"/>
  <c r="F493" i="3"/>
  <c r="I493" i="3" s="1"/>
  <c r="J493" i="3" s="1"/>
  <c r="F494" i="3"/>
  <c r="I494" i="3" s="1"/>
  <c r="J494" i="3" s="1"/>
  <c r="F495" i="3"/>
  <c r="I495" i="3" s="1"/>
  <c r="J495" i="3" s="1"/>
  <c r="F496" i="3"/>
  <c r="I496" i="3" s="1"/>
  <c r="J496" i="3" s="1"/>
  <c r="F497" i="3"/>
  <c r="I497" i="3" s="1"/>
  <c r="J497" i="3" s="1"/>
  <c r="F498" i="3"/>
  <c r="I498" i="3" s="1"/>
  <c r="J498" i="3" s="1"/>
  <c r="F499" i="3"/>
  <c r="I499" i="3" s="1"/>
  <c r="J499" i="3" s="1"/>
  <c r="F500" i="3"/>
  <c r="I500" i="3" s="1"/>
  <c r="J500" i="3" s="1"/>
  <c r="F501" i="3"/>
  <c r="I501" i="3" s="1"/>
  <c r="J501" i="3" s="1"/>
  <c r="F502" i="3"/>
  <c r="I502" i="3" s="1"/>
  <c r="J502" i="3" s="1"/>
  <c r="F503" i="3"/>
  <c r="I503" i="3" s="1"/>
  <c r="J503" i="3" s="1"/>
  <c r="F504" i="3"/>
  <c r="I504" i="3" s="1"/>
  <c r="J504" i="3" s="1"/>
  <c r="F505" i="3"/>
  <c r="I505" i="3" s="1"/>
  <c r="J505" i="3" s="1"/>
  <c r="F506" i="3"/>
  <c r="I506" i="3" s="1"/>
  <c r="J506" i="3" s="1"/>
  <c r="F507" i="3"/>
  <c r="I507" i="3" s="1"/>
  <c r="J507" i="3" s="1"/>
  <c r="F508" i="3"/>
  <c r="I508" i="3" s="1"/>
  <c r="J508" i="3" s="1"/>
  <c r="F509" i="3"/>
  <c r="I509" i="3" s="1"/>
  <c r="J509" i="3" s="1"/>
  <c r="F510" i="3"/>
  <c r="I510" i="3" s="1"/>
  <c r="J510" i="3" s="1"/>
  <c r="F511" i="3"/>
  <c r="I511" i="3" s="1"/>
  <c r="J511" i="3" s="1"/>
  <c r="F512" i="3"/>
  <c r="I512" i="3" s="1"/>
  <c r="J512" i="3" s="1"/>
  <c r="F513" i="3"/>
  <c r="I513" i="3" s="1"/>
  <c r="J513" i="3" s="1"/>
  <c r="F514" i="3"/>
  <c r="I514" i="3" s="1"/>
  <c r="J514" i="3" s="1"/>
  <c r="F515" i="3"/>
  <c r="I515" i="3" s="1"/>
  <c r="J515" i="3" s="1"/>
  <c r="F516" i="3"/>
  <c r="I516" i="3" s="1"/>
  <c r="J516" i="3" s="1"/>
  <c r="F517" i="3"/>
  <c r="I517" i="3" s="1"/>
  <c r="J517" i="3" s="1"/>
  <c r="F518" i="3"/>
  <c r="I518" i="3" s="1"/>
  <c r="J518" i="3" s="1"/>
  <c r="F519" i="3"/>
  <c r="I519" i="3" s="1"/>
  <c r="J519" i="3" s="1"/>
  <c r="F520" i="3"/>
  <c r="I520" i="3" s="1"/>
  <c r="J520" i="3" s="1"/>
  <c r="F521" i="3"/>
  <c r="I521" i="3" s="1"/>
  <c r="J521" i="3" s="1"/>
  <c r="F522" i="3"/>
  <c r="I522" i="3" s="1"/>
  <c r="J522" i="3" s="1"/>
  <c r="F523" i="3"/>
  <c r="I523" i="3" s="1"/>
  <c r="J523" i="3" s="1"/>
  <c r="F524" i="3"/>
  <c r="I524" i="3" s="1"/>
  <c r="J524" i="3" s="1"/>
  <c r="F525" i="3"/>
  <c r="I525" i="3" s="1"/>
  <c r="J525" i="3" s="1"/>
  <c r="F526" i="3"/>
  <c r="I526" i="3" s="1"/>
  <c r="J526" i="3" s="1"/>
  <c r="F527" i="3"/>
  <c r="I527" i="3" s="1"/>
  <c r="J527" i="3" s="1"/>
  <c r="F528" i="3"/>
  <c r="I528" i="3" s="1"/>
  <c r="J528" i="3" s="1"/>
  <c r="F529" i="3"/>
  <c r="I529" i="3" s="1"/>
  <c r="J529" i="3" s="1"/>
  <c r="F530" i="3"/>
  <c r="I530" i="3" s="1"/>
  <c r="J530" i="3" s="1"/>
  <c r="F531" i="3"/>
  <c r="I531" i="3" s="1"/>
  <c r="J531" i="3" s="1"/>
  <c r="F532" i="3"/>
  <c r="I532" i="3" s="1"/>
  <c r="J532" i="3" s="1"/>
  <c r="F533" i="3"/>
  <c r="I533" i="3" s="1"/>
  <c r="J533" i="3" s="1"/>
  <c r="F534" i="3"/>
  <c r="I534" i="3" s="1"/>
  <c r="J534" i="3" s="1"/>
  <c r="F535" i="3"/>
  <c r="I535" i="3" s="1"/>
  <c r="J535" i="3" s="1"/>
  <c r="F536" i="3"/>
  <c r="I536" i="3" s="1"/>
  <c r="J536" i="3" s="1"/>
  <c r="F537" i="3"/>
  <c r="I537" i="3" s="1"/>
  <c r="J537" i="3" s="1"/>
  <c r="F538" i="3"/>
  <c r="I538" i="3" s="1"/>
  <c r="J538" i="3" s="1"/>
  <c r="F539" i="3"/>
  <c r="I539" i="3" s="1"/>
  <c r="J539" i="3" s="1"/>
  <c r="F540" i="3"/>
  <c r="I540" i="3" s="1"/>
  <c r="J540" i="3" s="1"/>
  <c r="F541" i="3"/>
  <c r="I541" i="3" s="1"/>
  <c r="J541" i="3" s="1"/>
  <c r="F542" i="3"/>
  <c r="I542" i="3" s="1"/>
  <c r="J542" i="3" s="1"/>
  <c r="F543" i="3"/>
  <c r="I543" i="3" s="1"/>
  <c r="J543" i="3" s="1"/>
  <c r="F544" i="3"/>
  <c r="I544" i="3" s="1"/>
  <c r="J544" i="3" s="1"/>
  <c r="F545" i="3"/>
  <c r="I545" i="3" s="1"/>
  <c r="J545" i="3" s="1"/>
  <c r="F546" i="3"/>
  <c r="I546" i="3" s="1"/>
  <c r="J546" i="3" s="1"/>
  <c r="F547" i="3"/>
  <c r="I547" i="3" s="1"/>
  <c r="J547" i="3" s="1"/>
  <c r="F548" i="3"/>
  <c r="I548" i="3" s="1"/>
  <c r="J548" i="3" s="1"/>
  <c r="F549" i="3"/>
  <c r="I549" i="3" s="1"/>
  <c r="J549" i="3" s="1"/>
  <c r="F550" i="3"/>
  <c r="I550" i="3" s="1"/>
  <c r="J550" i="3" s="1"/>
  <c r="F551" i="3"/>
  <c r="I551" i="3" s="1"/>
  <c r="J551" i="3" s="1"/>
  <c r="F552" i="3"/>
  <c r="I552" i="3" s="1"/>
  <c r="J552" i="3" s="1"/>
  <c r="F553" i="3"/>
  <c r="I553" i="3" s="1"/>
  <c r="J553" i="3" s="1"/>
  <c r="F554" i="3"/>
  <c r="I554" i="3" s="1"/>
  <c r="J554" i="3" s="1"/>
  <c r="F555" i="3"/>
  <c r="I555" i="3" s="1"/>
  <c r="J555" i="3" s="1"/>
  <c r="F556" i="3"/>
  <c r="I556" i="3" s="1"/>
  <c r="J556" i="3" s="1"/>
  <c r="F557" i="3"/>
  <c r="I557" i="3" s="1"/>
  <c r="J557" i="3" s="1"/>
  <c r="F558" i="3"/>
  <c r="I558" i="3" s="1"/>
  <c r="J558" i="3" s="1"/>
  <c r="F559" i="3"/>
  <c r="I559" i="3" s="1"/>
  <c r="J559" i="3" s="1"/>
  <c r="F560" i="3"/>
  <c r="I560" i="3" s="1"/>
  <c r="J560" i="3" s="1"/>
  <c r="F561" i="3"/>
  <c r="I561" i="3" s="1"/>
  <c r="J561" i="3" s="1"/>
  <c r="F562" i="3"/>
  <c r="I562" i="3" s="1"/>
  <c r="J562" i="3" s="1"/>
  <c r="F563" i="3"/>
  <c r="I563" i="3" s="1"/>
  <c r="J563" i="3" s="1"/>
  <c r="F564" i="3"/>
  <c r="I564" i="3" s="1"/>
  <c r="J564" i="3" s="1"/>
  <c r="F565" i="3"/>
  <c r="I565" i="3" s="1"/>
  <c r="J565" i="3" s="1"/>
  <c r="F566" i="3"/>
  <c r="I566" i="3" s="1"/>
  <c r="J566" i="3" s="1"/>
  <c r="F567" i="3"/>
  <c r="I567" i="3" s="1"/>
  <c r="J567" i="3" s="1"/>
  <c r="F568" i="3"/>
  <c r="I568" i="3" s="1"/>
  <c r="J568" i="3" s="1"/>
  <c r="F569" i="3"/>
  <c r="I569" i="3" s="1"/>
  <c r="J569" i="3" s="1"/>
  <c r="F570" i="3"/>
  <c r="I570" i="3" s="1"/>
  <c r="J570" i="3" s="1"/>
  <c r="F571" i="3"/>
  <c r="I571" i="3" s="1"/>
  <c r="J571" i="3" s="1"/>
  <c r="F572" i="3"/>
  <c r="I572" i="3" s="1"/>
  <c r="J572" i="3" s="1"/>
  <c r="F573" i="3"/>
  <c r="I573" i="3" s="1"/>
  <c r="J573" i="3" s="1"/>
  <c r="F574" i="3"/>
  <c r="I574" i="3" s="1"/>
  <c r="J574" i="3" s="1"/>
  <c r="F575" i="3"/>
  <c r="I575" i="3" s="1"/>
  <c r="J575" i="3" s="1"/>
  <c r="F576" i="3"/>
  <c r="I576" i="3" s="1"/>
  <c r="J576" i="3" s="1"/>
  <c r="F577" i="3"/>
  <c r="I577" i="3" s="1"/>
  <c r="J577" i="3" s="1"/>
  <c r="F578" i="3"/>
  <c r="I578" i="3" s="1"/>
  <c r="J578" i="3" s="1"/>
  <c r="F579" i="3"/>
  <c r="I579" i="3" s="1"/>
  <c r="J579" i="3" s="1"/>
  <c r="F580" i="3"/>
  <c r="I580" i="3" s="1"/>
  <c r="J580" i="3" s="1"/>
  <c r="F581" i="3"/>
  <c r="I581" i="3" s="1"/>
  <c r="J581" i="3" s="1"/>
  <c r="F582" i="3"/>
  <c r="I582" i="3" s="1"/>
  <c r="J582" i="3" s="1"/>
  <c r="F583" i="3"/>
  <c r="I583" i="3" s="1"/>
  <c r="J583" i="3" s="1"/>
  <c r="F584" i="3"/>
  <c r="I584" i="3" s="1"/>
  <c r="J584" i="3" s="1"/>
  <c r="F585" i="3"/>
  <c r="I585" i="3" s="1"/>
  <c r="J585" i="3" s="1"/>
  <c r="F586" i="3"/>
  <c r="I586" i="3" s="1"/>
  <c r="J586" i="3" s="1"/>
  <c r="F587" i="3"/>
  <c r="I587" i="3" s="1"/>
  <c r="J587" i="3" s="1"/>
  <c r="F588" i="3"/>
  <c r="I588" i="3" s="1"/>
  <c r="J588" i="3" s="1"/>
  <c r="F589" i="3"/>
  <c r="I589" i="3" s="1"/>
  <c r="J589" i="3" s="1"/>
  <c r="F590" i="3"/>
  <c r="I590" i="3" s="1"/>
  <c r="J590" i="3" s="1"/>
  <c r="F591" i="3"/>
  <c r="I591" i="3" s="1"/>
  <c r="J591" i="3" s="1"/>
  <c r="F592" i="3"/>
  <c r="I592" i="3" s="1"/>
  <c r="J592" i="3" s="1"/>
  <c r="F593" i="3"/>
  <c r="I593" i="3" s="1"/>
  <c r="J593" i="3" s="1"/>
  <c r="F594" i="3"/>
  <c r="I594" i="3" s="1"/>
  <c r="J594" i="3" s="1"/>
  <c r="F595" i="3"/>
  <c r="I595" i="3" s="1"/>
  <c r="J595" i="3" s="1"/>
  <c r="F596" i="3"/>
  <c r="I596" i="3" s="1"/>
  <c r="J596" i="3" s="1"/>
  <c r="F597" i="3"/>
  <c r="I597" i="3" s="1"/>
  <c r="J597" i="3" s="1"/>
  <c r="F598" i="3"/>
  <c r="I598" i="3" s="1"/>
  <c r="J598" i="3" s="1"/>
  <c r="F599" i="3"/>
  <c r="I599" i="3" s="1"/>
  <c r="J599" i="3" s="1"/>
  <c r="F600" i="3"/>
  <c r="I600" i="3" s="1"/>
  <c r="J600" i="3" s="1"/>
  <c r="F601" i="3"/>
  <c r="I601" i="3" s="1"/>
  <c r="J601" i="3" s="1"/>
  <c r="F602" i="3"/>
  <c r="I602" i="3" s="1"/>
  <c r="J602" i="3" s="1"/>
  <c r="F603" i="3"/>
  <c r="I603" i="3" s="1"/>
  <c r="J603" i="3" s="1"/>
  <c r="F604" i="3"/>
  <c r="I604" i="3" s="1"/>
  <c r="J604" i="3" s="1"/>
  <c r="F605" i="3"/>
  <c r="I605" i="3" s="1"/>
  <c r="J605" i="3" s="1"/>
  <c r="F606" i="3"/>
  <c r="I606" i="3" s="1"/>
  <c r="J606" i="3" s="1"/>
  <c r="F607" i="3"/>
  <c r="I607" i="3" s="1"/>
  <c r="J607" i="3" s="1"/>
  <c r="F608" i="3"/>
  <c r="I608" i="3" s="1"/>
  <c r="J608" i="3" s="1"/>
  <c r="F609" i="3"/>
  <c r="I609" i="3" s="1"/>
  <c r="J609" i="3" s="1"/>
  <c r="F610" i="3"/>
  <c r="I610" i="3" s="1"/>
  <c r="J610" i="3" s="1"/>
  <c r="F611" i="3"/>
  <c r="I611" i="3" s="1"/>
  <c r="J611" i="3" s="1"/>
  <c r="F612" i="3"/>
  <c r="I612" i="3" s="1"/>
  <c r="J612" i="3" s="1"/>
  <c r="F613" i="3"/>
  <c r="I613" i="3" s="1"/>
  <c r="J613" i="3" s="1"/>
  <c r="F614" i="3"/>
  <c r="I614" i="3" s="1"/>
  <c r="J614" i="3" s="1"/>
  <c r="F615" i="3"/>
  <c r="I615" i="3" s="1"/>
  <c r="J615" i="3" s="1"/>
  <c r="F616" i="3"/>
  <c r="I616" i="3" s="1"/>
  <c r="J616" i="3" s="1"/>
  <c r="F617" i="3"/>
  <c r="I617" i="3" s="1"/>
  <c r="J617" i="3" s="1"/>
  <c r="F618" i="3"/>
  <c r="I618" i="3" s="1"/>
  <c r="J618" i="3" s="1"/>
  <c r="F619" i="3"/>
  <c r="I619" i="3" s="1"/>
  <c r="J619" i="3" s="1"/>
  <c r="F620" i="3"/>
  <c r="I620" i="3" s="1"/>
  <c r="J620" i="3" s="1"/>
  <c r="F621" i="3"/>
  <c r="I621" i="3" s="1"/>
  <c r="J621" i="3" s="1"/>
  <c r="F622" i="3"/>
  <c r="I622" i="3" s="1"/>
  <c r="J622" i="3" s="1"/>
  <c r="F623" i="3"/>
  <c r="I623" i="3" s="1"/>
  <c r="J623" i="3" s="1"/>
  <c r="F624" i="3"/>
  <c r="I624" i="3" s="1"/>
  <c r="J624" i="3" s="1"/>
  <c r="F625" i="3"/>
  <c r="I625" i="3" s="1"/>
  <c r="J625" i="3" s="1"/>
  <c r="F626" i="3"/>
  <c r="I626" i="3" s="1"/>
  <c r="J626" i="3" s="1"/>
  <c r="F627" i="3"/>
  <c r="I627" i="3" s="1"/>
  <c r="J627" i="3" s="1"/>
  <c r="F628" i="3"/>
  <c r="I628" i="3" s="1"/>
  <c r="J628" i="3" s="1"/>
  <c r="F629" i="3"/>
  <c r="I629" i="3" s="1"/>
  <c r="J629" i="3" s="1"/>
  <c r="F630" i="3"/>
  <c r="I630" i="3" s="1"/>
  <c r="J630" i="3" s="1"/>
  <c r="F631" i="3"/>
  <c r="I631" i="3" s="1"/>
  <c r="J631" i="3" s="1"/>
  <c r="F632" i="3"/>
  <c r="I632" i="3" s="1"/>
  <c r="J632" i="3" s="1"/>
  <c r="F633" i="3"/>
  <c r="I633" i="3" s="1"/>
  <c r="J633" i="3" s="1"/>
  <c r="F634" i="3"/>
  <c r="I634" i="3" s="1"/>
  <c r="J634" i="3" s="1"/>
  <c r="F635" i="3"/>
  <c r="I635" i="3" s="1"/>
  <c r="J635" i="3" s="1"/>
  <c r="F636" i="3"/>
  <c r="I636" i="3" s="1"/>
  <c r="J636" i="3" s="1"/>
  <c r="F637" i="3"/>
  <c r="I637" i="3" s="1"/>
  <c r="J637" i="3" s="1"/>
  <c r="F638" i="3"/>
  <c r="I638" i="3" s="1"/>
  <c r="J638" i="3" s="1"/>
  <c r="F639" i="3"/>
  <c r="I639" i="3" s="1"/>
  <c r="J639" i="3" s="1"/>
  <c r="F640" i="3"/>
  <c r="I640" i="3" s="1"/>
  <c r="J640" i="3" s="1"/>
  <c r="F641" i="3"/>
  <c r="I641" i="3" s="1"/>
  <c r="J641" i="3" s="1"/>
  <c r="F642" i="3"/>
  <c r="I642" i="3" s="1"/>
  <c r="J642" i="3" s="1"/>
  <c r="F643" i="3"/>
  <c r="I643" i="3" s="1"/>
  <c r="J643" i="3" s="1"/>
  <c r="F644" i="3"/>
  <c r="I644" i="3" s="1"/>
  <c r="J644" i="3" s="1"/>
  <c r="F645" i="3"/>
  <c r="I645" i="3" s="1"/>
  <c r="J645" i="3" s="1"/>
  <c r="F646" i="3"/>
  <c r="I646" i="3" s="1"/>
  <c r="J646" i="3" s="1"/>
  <c r="F647" i="3"/>
  <c r="I647" i="3" s="1"/>
  <c r="J647" i="3" s="1"/>
  <c r="F648" i="3"/>
  <c r="I648" i="3" s="1"/>
  <c r="J648" i="3" s="1"/>
  <c r="F649" i="3"/>
  <c r="I649" i="3" s="1"/>
  <c r="J649" i="3" s="1"/>
  <c r="F650" i="3"/>
  <c r="I650" i="3" s="1"/>
  <c r="J650" i="3" s="1"/>
  <c r="F651" i="3"/>
  <c r="I651" i="3" s="1"/>
  <c r="J651" i="3" s="1"/>
  <c r="F652" i="3"/>
  <c r="I652" i="3" s="1"/>
  <c r="J652" i="3" s="1"/>
  <c r="F653" i="3"/>
  <c r="I653" i="3" s="1"/>
  <c r="J653" i="3" s="1"/>
  <c r="F654" i="3"/>
  <c r="I654" i="3" s="1"/>
  <c r="J654" i="3" s="1"/>
  <c r="F655" i="3"/>
  <c r="I655" i="3" s="1"/>
  <c r="J655" i="3" s="1"/>
  <c r="F656" i="3"/>
  <c r="I656" i="3" s="1"/>
  <c r="J656" i="3" s="1"/>
  <c r="F657" i="3"/>
  <c r="I657" i="3" s="1"/>
  <c r="J657" i="3" s="1"/>
  <c r="F658" i="3"/>
  <c r="I658" i="3" s="1"/>
  <c r="J658" i="3" s="1"/>
  <c r="F659" i="3"/>
  <c r="I659" i="3" s="1"/>
  <c r="J659" i="3" s="1"/>
  <c r="F660" i="3"/>
  <c r="I660" i="3" s="1"/>
  <c r="J660" i="3" s="1"/>
  <c r="F661" i="3"/>
  <c r="I661" i="3" s="1"/>
  <c r="J661" i="3" s="1"/>
  <c r="F662" i="3"/>
  <c r="I662" i="3" s="1"/>
  <c r="J662" i="3" s="1"/>
  <c r="F663" i="3"/>
  <c r="I663" i="3" s="1"/>
  <c r="J663" i="3" s="1"/>
  <c r="F664" i="3"/>
  <c r="I664" i="3" s="1"/>
  <c r="J664" i="3" s="1"/>
  <c r="F665" i="3"/>
  <c r="I665" i="3" s="1"/>
  <c r="J665" i="3" s="1"/>
  <c r="F666" i="3"/>
  <c r="I666" i="3" s="1"/>
  <c r="J666" i="3" s="1"/>
  <c r="F667" i="3"/>
  <c r="I667" i="3" s="1"/>
  <c r="J667" i="3" s="1"/>
  <c r="F668" i="3"/>
  <c r="I668" i="3" s="1"/>
  <c r="J668" i="3" s="1"/>
  <c r="F669" i="3"/>
  <c r="I669" i="3" s="1"/>
  <c r="J669" i="3" s="1"/>
  <c r="F670" i="3"/>
  <c r="I670" i="3" s="1"/>
  <c r="J670" i="3" s="1"/>
  <c r="F671" i="3"/>
  <c r="I671" i="3" s="1"/>
  <c r="J671" i="3" s="1"/>
  <c r="F672" i="3"/>
  <c r="I672" i="3" s="1"/>
  <c r="J672" i="3" s="1"/>
  <c r="F673" i="3"/>
  <c r="I673" i="3" s="1"/>
  <c r="J673" i="3" s="1"/>
  <c r="F674" i="3"/>
  <c r="I674" i="3" s="1"/>
  <c r="J674" i="3" s="1"/>
  <c r="F675" i="3"/>
  <c r="I675" i="3" s="1"/>
  <c r="J675" i="3" s="1"/>
  <c r="F676" i="3"/>
  <c r="I676" i="3" s="1"/>
  <c r="J676" i="3" s="1"/>
  <c r="F677" i="3"/>
  <c r="I677" i="3" s="1"/>
  <c r="J677" i="3" s="1"/>
  <c r="F678" i="3"/>
  <c r="I678" i="3" s="1"/>
  <c r="J678" i="3" s="1"/>
  <c r="F679" i="3"/>
  <c r="I679" i="3" s="1"/>
  <c r="J679" i="3" s="1"/>
  <c r="F680" i="3"/>
  <c r="I680" i="3" s="1"/>
  <c r="J680" i="3" s="1"/>
  <c r="F681" i="3"/>
  <c r="I681" i="3" s="1"/>
  <c r="J681" i="3" s="1"/>
  <c r="F682" i="3"/>
  <c r="I682" i="3" s="1"/>
  <c r="J682" i="3" s="1"/>
  <c r="F683" i="3"/>
  <c r="I683" i="3" s="1"/>
  <c r="J683" i="3" s="1"/>
  <c r="F684" i="3"/>
  <c r="I684" i="3" s="1"/>
  <c r="J684" i="3" s="1"/>
  <c r="F685" i="3"/>
  <c r="I685" i="3" s="1"/>
  <c r="J685" i="3" s="1"/>
  <c r="F686" i="3"/>
  <c r="I686" i="3" s="1"/>
  <c r="J686" i="3" s="1"/>
  <c r="F687" i="3"/>
  <c r="I687" i="3" s="1"/>
  <c r="J687" i="3" s="1"/>
  <c r="F688" i="3"/>
  <c r="I688" i="3" s="1"/>
  <c r="J688" i="3" s="1"/>
  <c r="F689" i="3"/>
  <c r="I689" i="3" s="1"/>
  <c r="J689" i="3" s="1"/>
  <c r="F690" i="3"/>
  <c r="I690" i="3" s="1"/>
  <c r="J690" i="3" s="1"/>
  <c r="F691" i="3"/>
  <c r="I691" i="3" s="1"/>
  <c r="J691" i="3" s="1"/>
  <c r="F692" i="3"/>
  <c r="I692" i="3" s="1"/>
  <c r="J692" i="3" s="1"/>
  <c r="F693" i="3"/>
  <c r="I693" i="3" s="1"/>
  <c r="J693" i="3" s="1"/>
  <c r="F694" i="3"/>
  <c r="I694" i="3" s="1"/>
  <c r="J694" i="3" s="1"/>
  <c r="F695" i="3"/>
  <c r="I695" i="3" s="1"/>
  <c r="J695" i="3" s="1"/>
  <c r="F696" i="3"/>
  <c r="I696" i="3" s="1"/>
  <c r="J696" i="3" s="1"/>
  <c r="F697" i="3"/>
  <c r="I697" i="3" s="1"/>
  <c r="J697" i="3" s="1"/>
  <c r="F698" i="3"/>
  <c r="I698" i="3" s="1"/>
  <c r="J698" i="3" s="1"/>
  <c r="F699" i="3"/>
  <c r="I699" i="3" s="1"/>
  <c r="J699" i="3" s="1"/>
  <c r="F700" i="3"/>
  <c r="I700" i="3" s="1"/>
  <c r="J700" i="3" s="1"/>
  <c r="F701" i="3"/>
  <c r="I701" i="3" s="1"/>
  <c r="J701" i="3" s="1"/>
  <c r="F702" i="3"/>
  <c r="I702" i="3" s="1"/>
  <c r="J702" i="3" s="1"/>
  <c r="F703" i="3"/>
  <c r="I703" i="3" s="1"/>
  <c r="J703" i="3" s="1"/>
  <c r="F704" i="3"/>
  <c r="I704" i="3" s="1"/>
  <c r="J704" i="3" s="1"/>
  <c r="F705" i="3"/>
  <c r="I705" i="3" s="1"/>
  <c r="J705" i="3" s="1"/>
  <c r="F706" i="3"/>
  <c r="I706" i="3" s="1"/>
  <c r="J706" i="3" s="1"/>
  <c r="F707" i="3"/>
  <c r="I707" i="3" s="1"/>
  <c r="J707" i="3" s="1"/>
  <c r="F708" i="3"/>
  <c r="I708" i="3" s="1"/>
  <c r="J708" i="3" s="1"/>
  <c r="F709" i="3"/>
  <c r="I709" i="3" s="1"/>
  <c r="J709" i="3" s="1"/>
  <c r="F710" i="3"/>
  <c r="I710" i="3" s="1"/>
  <c r="J710" i="3" s="1"/>
  <c r="F711" i="3"/>
  <c r="I711" i="3" s="1"/>
  <c r="J711" i="3" s="1"/>
  <c r="F712" i="3"/>
  <c r="I712" i="3" s="1"/>
  <c r="J712" i="3" s="1"/>
  <c r="F713" i="3"/>
  <c r="I713" i="3" s="1"/>
  <c r="J713" i="3" s="1"/>
  <c r="F714" i="3"/>
  <c r="I714" i="3" s="1"/>
  <c r="J714" i="3" s="1"/>
  <c r="F715" i="3"/>
  <c r="I715" i="3" s="1"/>
  <c r="J715" i="3" s="1"/>
  <c r="F716" i="3"/>
  <c r="I716" i="3" s="1"/>
  <c r="J716" i="3" s="1"/>
  <c r="F717" i="3"/>
  <c r="I717" i="3" s="1"/>
  <c r="J717" i="3" s="1"/>
  <c r="F718" i="3"/>
  <c r="I718" i="3" s="1"/>
  <c r="J718" i="3" s="1"/>
  <c r="F719" i="3"/>
  <c r="I719" i="3" s="1"/>
  <c r="J719" i="3" s="1"/>
  <c r="F720" i="3"/>
  <c r="I720" i="3" s="1"/>
  <c r="J720" i="3" s="1"/>
  <c r="F721" i="3"/>
  <c r="I721" i="3" s="1"/>
  <c r="J721" i="3" s="1"/>
  <c r="F722" i="3"/>
  <c r="I722" i="3" s="1"/>
  <c r="J722" i="3" s="1"/>
  <c r="F723" i="3"/>
  <c r="I723" i="3" s="1"/>
  <c r="J723" i="3" s="1"/>
  <c r="F724" i="3"/>
  <c r="I724" i="3" s="1"/>
  <c r="J724" i="3" s="1"/>
  <c r="F725" i="3"/>
  <c r="I725" i="3" s="1"/>
  <c r="J725" i="3" s="1"/>
  <c r="F726" i="3"/>
  <c r="I726" i="3" s="1"/>
  <c r="J726" i="3" s="1"/>
  <c r="F727" i="3"/>
  <c r="I727" i="3" s="1"/>
  <c r="J727" i="3" s="1"/>
  <c r="F728" i="3"/>
  <c r="I728" i="3" s="1"/>
  <c r="J728" i="3" s="1"/>
  <c r="F729" i="3"/>
  <c r="I729" i="3" s="1"/>
  <c r="J729" i="3" s="1"/>
  <c r="F730" i="3"/>
  <c r="I730" i="3" s="1"/>
  <c r="J730" i="3" s="1"/>
  <c r="F731" i="3"/>
  <c r="I731" i="3" s="1"/>
  <c r="J731" i="3" s="1"/>
  <c r="F732" i="3"/>
  <c r="I732" i="3" s="1"/>
  <c r="J732" i="3" s="1"/>
  <c r="F733" i="3"/>
  <c r="I733" i="3" s="1"/>
  <c r="J733" i="3" s="1"/>
  <c r="F734" i="3"/>
  <c r="I734" i="3" s="1"/>
  <c r="J734" i="3" s="1"/>
  <c r="F735" i="3"/>
  <c r="I735" i="3" s="1"/>
  <c r="J735" i="3" s="1"/>
  <c r="F736" i="3"/>
  <c r="I736" i="3" s="1"/>
  <c r="J736" i="3" s="1"/>
  <c r="F737" i="3"/>
  <c r="I737" i="3" s="1"/>
  <c r="J737" i="3" s="1"/>
  <c r="F738" i="3"/>
  <c r="I738" i="3" s="1"/>
  <c r="J738" i="3" s="1"/>
  <c r="F739" i="3"/>
  <c r="I739" i="3" s="1"/>
  <c r="J739" i="3" s="1"/>
  <c r="F740" i="3"/>
  <c r="I740" i="3" s="1"/>
  <c r="J740" i="3" s="1"/>
  <c r="F741" i="3"/>
  <c r="I741" i="3" s="1"/>
  <c r="J741" i="3" s="1"/>
  <c r="F742" i="3"/>
  <c r="I742" i="3" s="1"/>
  <c r="J742" i="3" s="1"/>
  <c r="F743" i="3"/>
  <c r="I743" i="3" s="1"/>
  <c r="J743" i="3" s="1"/>
  <c r="F744" i="3"/>
  <c r="I744" i="3" s="1"/>
  <c r="J744" i="3" s="1"/>
  <c r="F745" i="3"/>
  <c r="I745" i="3" s="1"/>
  <c r="J745" i="3" s="1"/>
  <c r="F746" i="3"/>
  <c r="I746" i="3" s="1"/>
  <c r="J746" i="3" s="1"/>
  <c r="F747" i="3"/>
  <c r="I747" i="3" s="1"/>
  <c r="J747" i="3" s="1"/>
  <c r="F748" i="3"/>
  <c r="I748" i="3" s="1"/>
  <c r="J748" i="3" s="1"/>
  <c r="F749" i="3"/>
  <c r="I749" i="3" s="1"/>
  <c r="J749" i="3" s="1"/>
  <c r="F750" i="3"/>
  <c r="I750" i="3" s="1"/>
  <c r="J750" i="3" s="1"/>
  <c r="F751" i="3"/>
  <c r="I751" i="3" s="1"/>
  <c r="J751" i="3" s="1"/>
  <c r="F752" i="3"/>
  <c r="I752" i="3" s="1"/>
  <c r="J752" i="3" s="1"/>
  <c r="F753" i="3"/>
  <c r="I753" i="3" s="1"/>
  <c r="J753" i="3" s="1"/>
  <c r="F754" i="3"/>
  <c r="I754" i="3" s="1"/>
  <c r="J754" i="3" s="1"/>
  <c r="F755" i="3"/>
  <c r="I755" i="3" s="1"/>
  <c r="J755" i="3" s="1"/>
  <c r="F756" i="3"/>
  <c r="I756" i="3" s="1"/>
  <c r="J756" i="3" s="1"/>
  <c r="F757" i="3"/>
  <c r="I757" i="3" s="1"/>
  <c r="J757" i="3" s="1"/>
  <c r="F758" i="3"/>
  <c r="I758" i="3" s="1"/>
  <c r="J758" i="3" s="1"/>
  <c r="F759" i="3"/>
  <c r="I759" i="3" s="1"/>
  <c r="J759" i="3" s="1"/>
  <c r="F760" i="3"/>
  <c r="I760" i="3" s="1"/>
  <c r="J760" i="3" s="1"/>
  <c r="F761" i="3"/>
  <c r="I761" i="3" s="1"/>
  <c r="J761" i="3" s="1"/>
  <c r="F762" i="3"/>
  <c r="I762" i="3" s="1"/>
  <c r="J762" i="3" s="1"/>
  <c r="F763" i="3"/>
  <c r="I763" i="3" s="1"/>
  <c r="J763" i="3" s="1"/>
  <c r="F764" i="3"/>
  <c r="I764" i="3" s="1"/>
  <c r="J764" i="3" s="1"/>
  <c r="F765" i="3"/>
  <c r="I765" i="3" s="1"/>
  <c r="J765" i="3" s="1"/>
  <c r="F766" i="3"/>
  <c r="I766" i="3" s="1"/>
  <c r="J766" i="3" s="1"/>
  <c r="F767" i="3"/>
  <c r="I767" i="3" s="1"/>
  <c r="J767" i="3" s="1"/>
  <c r="F768" i="3"/>
  <c r="I768" i="3" s="1"/>
  <c r="J768" i="3" s="1"/>
  <c r="F769" i="3"/>
  <c r="I769" i="3" s="1"/>
  <c r="J769" i="3" s="1"/>
  <c r="F770" i="3"/>
  <c r="I770" i="3" s="1"/>
  <c r="J770" i="3" s="1"/>
  <c r="F771" i="3"/>
  <c r="I771" i="3" s="1"/>
  <c r="J771" i="3" s="1"/>
  <c r="F772" i="3"/>
  <c r="I772" i="3" s="1"/>
  <c r="J772" i="3" s="1"/>
  <c r="F773" i="3"/>
  <c r="I773" i="3" s="1"/>
  <c r="J773" i="3" s="1"/>
  <c r="F774" i="3"/>
  <c r="I774" i="3" s="1"/>
  <c r="J774" i="3" s="1"/>
  <c r="F775" i="3"/>
  <c r="I775" i="3" s="1"/>
  <c r="J775" i="3" s="1"/>
  <c r="F776" i="3"/>
  <c r="I776" i="3" s="1"/>
  <c r="J776" i="3" s="1"/>
  <c r="F777" i="3"/>
  <c r="I777" i="3" s="1"/>
  <c r="J777" i="3" s="1"/>
  <c r="F778" i="3"/>
  <c r="I778" i="3" s="1"/>
  <c r="J778" i="3" s="1"/>
  <c r="F779" i="3"/>
  <c r="I779" i="3" s="1"/>
  <c r="J779" i="3" s="1"/>
  <c r="F780" i="3"/>
  <c r="I780" i="3" s="1"/>
  <c r="J780" i="3" s="1"/>
  <c r="F781" i="3"/>
  <c r="I781" i="3" s="1"/>
  <c r="J781" i="3" s="1"/>
  <c r="F782" i="3"/>
  <c r="I782" i="3" s="1"/>
  <c r="J782" i="3" s="1"/>
  <c r="F783" i="3"/>
  <c r="I783" i="3" s="1"/>
  <c r="J783" i="3" s="1"/>
  <c r="F784" i="3"/>
  <c r="I784" i="3" s="1"/>
  <c r="J784" i="3" s="1"/>
  <c r="F785" i="3"/>
  <c r="I785" i="3" s="1"/>
  <c r="J785" i="3" s="1"/>
  <c r="F786" i="3"/>
  <c r="I786" i="3" s="1"/>
  <c r="J786" i="3" s="1"/>
  <c r="F787" i="3"/>
  <c r="I787" i="3" s="1"/>
  <c r="J787" i="3" s="1"/>
  <c r="F788" i="3"/>
  <c r="I788" i="3" s="1"/>
  <c r="J788" i="3" s="1"/>
  <c r="F789" i="3"/>
  <c r="I789" i="3" s="1"/>
  <c r="J789" i="3" s="1"/>
  <c r="F790" i="3"/>
  <c r="I790" i="3" s="1"/>
  <c r="J790" i="3" s="1"/>
  <c r="F791" i="3"/>
  <c r="I791" i="3" s="1"/>
  <c r="J791" i="3" s="1"/>
  <c r="F792" i="3"/>
  <c r="I792" i="3" s="1"/>
  <c r="J792" i="3" s="1"/>
  <c r="F793" i="3"/>
  <c r="I793" i="3" s="1"/>
  <c r="J793" i="3" s="1"/>
  <c r="F794" i="3"/>
  <c r="I794" i="3" s="1"/>
  <c r="J794" i="3" s="1"/>
  <c r="F795" i="3"/>
  <c r="I795" i="3" s="1"/>
  <c r="J795" i="3" s="1"/>
  <c r="F796" i="3"/>
  <c r="I796" i="3" s="1"/>
  <c r="J796" i="3" s="1"/>
  <c r="F797" i="3"/>
  <c r="I797" i="3" s="1"/>
  <c r="J797" i="3" s="1"/>
  <c r="F798" i="3"/>
  <c r="I798" i="3" s="1"/>
  <c r="J798" i="3" s="1"/>
  <c r="F799" i="3"/>
  <c r="I799" i="3" s="1"/>
  <c r="J799" i="3" s="1"/>
  <c r="F800" i="3"/>
  <c r="I800" i="3" s="1"/>
  <c r="J800" i="3" s="1"/>
  <c r="F801" i="3"/>
  <c r="I801" i="3" s="1"/>
  <c r="J801" i="3" s="1"/>
  <c r="F802" i="3"/>
  <c r="I802" i="3" s="1"/>
  <c r="J802" i="3" s="1"/>
  <c r="F803" i="3"/>
  <c r="I803" i="3" s="1"/>
  <c r="J803" i="3" s="1"/>
  <c r="F804" i="3"/>
  <c r="I804" i="3" s="1"/>
  <c r="J804" i="3" s="1"/>
  <c r="F805" i="3"/>
  <c r="I805" i="3" s="1"/>
  <c r="J805" i="3" s="1"/>
  <c r="F806" i="3"/>
  <c r="I806" i="3" s="1"/>
  <c r="J806" i="3" s="1"/>
  <c r="F807" i="3"/>
  <c r="I807" i="3" s="1"/>
  <c r="J807" i="3" s="1"/>
  <c r="F808" i="3"/>
  <c r="I808" i="3" s="1"/>
  <c r="J808" i="3" s="1"/>
  <c r="F809" i="3"/>
  <c r="I809" i="3" s="1"/>
  <c r="J809" i="3" s="1"/>
  <c r="F810" i="3"/>
  <c r="I810" i="3" s="1"/>
  <c r="J810" i="3" s="1"/>
  <c r="F811" i="3"/>
  <c r="I811" i="3" s="1"/>
  <c r="J811" i="3" s="1"/>
  <c r="F812" i="3"/>
  <c r="I812" i="3" s="1"/>
  <c r="J812" i="3" s="1"/>
  <c r="F813" i="3"/>
  <c r="I813" i="3" s="1"/>
  <c r="J813" i="3" s="1"/>
  <c r="F814" i="3"/>
  <c r="I814" i="3" s="1"/>
  <c r="J814" i="3" s="1"/>
  <c r="F815" i="3"/>
  <c r="I815" i="3" s="1"/>
  <c r="J815" i="3" s="1"/>
  <c r="F816" i="3"/>
  <c r="I816" i="3" s="1"/>
  <c r="J816" i="3" s="1"/>
  <c r="F817" i="3"/>
  <c r="I817" i="3" s="1"/>
  <c r="J817" i="3" s="1"/>
  <c r="F818" i="3"/>
  <c r="I818" i="3" s="1"/>
  <c r="J818" i="3" s="1"/>
  <c r="F819" i="3"/>
  <c r="I819" i="3" s="1"/>
  <c r="J819" i="3" s="1"/>
  <c r="F820" i="3"/>
  <c r="I820" i="3" s="1"/>
  <c r="J820" i="3" s="1"/>
  <c r="F821" i="3"/>
  <c r="I821" i="3" s="1"/>
  <c r="J821" i="3" s="1"/>
  <c r="F822" i="3"/>
  <c r="I822" i="3" s="1"/>
  <c r="J822" i="3" s="1"/>
  <c r="F823" i="3"/>
  <c r="I823" i="3" s="1"/>
  <c r="J823" i="3" s="1"/>
  <c r="F824" i="3"/>
  <c r="I824" i="3" s="1"/>
  <c r="J824" i="3" s="1"/>
  <c r="F825" i="3"/>
  <c r="I825" i="3" s="1"/>
  <c r="J825" i="3" s="1"/>
  <c r="F826" i="3"/>
  <c r="I826" i="3" s="1"/>
  <c r="J826" i="3" s="1"/>
  <c r="F827" i="3"/>
  <c r="I827" i="3" s="1"/>
  <c r="J827" i="3" s="1"/>
  <c r="F828" i="3"/>
  <c r="I828" i="3" s="1"/>
  <c r="J828" i="3" s="1"/>
  <c r="F829" i="3"/>
  <c r="I829" i="3" s="1"/>
  <c r="J829" i="3" s="1"/>
  <c r="F830" i="3"/>
  <c r="I830" i="3" s="1"/>
  <c r="J830" i="3" s="1"/>
  <c r="F831" i="3"/>
  <c r="I831" i="3" s="1"/>
  <c r="J831" i="3" s="1"/>
  <c r="F832" i="3"/>
  <c r="I832" i="3" s="1"/>
  <c r="J832" i="3" s="1"/>
  <c r="F833" i="3"/>
  <c r="I833" i="3" s="1"/>
  <c r="J833" i="3" s="1"/>
  <c r="F834" i="3"/>
  <c r="I834" i="3" s="1"/>
  <c r="J834" i="3" s="1"/>
  <c r="F835" i="3"/>
  <c r="I835" i="3" s="1"/>
  <c r="J835" i="3" s="1"/>
  <c r="F836" i="3"/>
  <c r="I836" i="3" s="1"/>
  <c r="J836" i="3" s="1"/>
  <c r="F837" i="3"/>
  <c r="I837" i="3" s="1"/>
  <c r="J837" i="3" s="1"/>
  <c r="F838" i="3"/>
  <c r="I838" i="3" s="1"/>
  <c r="J838" i="3" s="1"/>
  <c r="F839" i="3"/>
  <c r="I839" i="3" s="1"/>
  <c r="J839" i="3" s="1"/>
  <c r="F840" i="3"/>
  <c r="I840" i="3" s="1"/>
  <c r="J840" i="3" s="1"/>
  <c r="F841" i="3"/>
  <c r="I841" i="3" s="1"/>
  <c r="J841" i="3" s="1"/>
  <c r="F842" i="3"/>
  <c r="I842" i="3" s="1"/>
  <c r="J842" i="3" s="1"/>
  <c r="F843" i="3"/>
  <c r="I843" i="3" s="1"/>
  <c r="J843" i="3" s="1"/>
  <c r="F844" i="3"/>
  <c r="I844" i="3" s="1"/>
  <c r="J844" i="3" s="1"/>
  <c r="F845" i="3"/>
  <c r="I845" i="3" s="1"/>
  <c r="J845" i="3" s="1"/>
  <c r="F846" i="3"/>
  <c r="I846" i="3" s="1"/>
  <c r="J846" i="3" s="1"/>
  <c r="F847" i="3"/>
  <c r="I847" i="3" s="1"/>
  <c r="J847" i="3" s="1"/>
  <c r="F848" i="3"/>
  <c r="I848" i="3" s="1"/>
  <c r="J848" i="3" s="1"/>
  <c r="F849" i="3"/>
  <c r="I849" i="3" s="1"/>
  <c r="J849" i="3" s="1"/>
  <c r="F850" i="3"/>
  <c r="I850" i="3" s="1"/>
  <c r="J850" i="3" s="1"/>
  <c r="F851" i="3"/>
  <c r="I851" i="3" s="1"/>
  <c r="J851" i="3" s="1"/>
  <c r="F852" i="3"/>
  <c r="I852" i="3" s="1"/>
  <c r="J852" i="3" s="1"/>
  <c r="F853" i="3"/>
  <c r="I853" i="3" s="1"/>
  <c r="J853" i="3" s="1"/>
  <c r="F854" i="3"/>
  <c r="I854" i="3" s="1"/>
  <c r="J854" i="3" s="1"/>
  <c r="F855" i="3"/>
  <c r="I855" i="3" s="1"/>
  <c r="J855" i="3" s="1"/>
  <c r="F856" i="3"/>
  <c r="I856" i="3" s="1"/>
  <c r="J856" i="3" s="1"/>
  <c r="F857" i="3"/>
  <c r="I857" i="3" s="1"/>
  <c r="J857" i="3" s="1"/>
  <c r="F858" i="3"/>
  <c r="I858" i="3" s="1"/>
  <c r="J858" i="3" s="1"/>
  <c r="F859" i="3"/>
  <c r="I859" i="3" s="1"/>
  <c r="J859" i="3" s="1"/>
  <c r="F860" i="3"/>
  <c r="I860" i="3" s="1"/>
  <c r="J860" i="3" s="1"/>
  <c r="F861" i="3"/>
  <c r="I861" i="3" s="1"/>
  <c r="J861" i="3" s="1"/>
  <c r="F862" i="3"/>
  <c r="I862" i="3" s="1"/>
  <c r="J862" i="3" s="1"/>
  <c r="F863" i="3"/>
  <c r="I863" i="3" s="1"/>
  <c r="J863" i="3" s="1"/>
  <c r="F864" i="3"/>
  <c r="I864" i="3" s="1"/>
  <c r="J864" i="3" s="1"/>
  <c r="F865" i="3"/>
  <c r="I865" i="3" s="1"/>
  <c r="J865" i="3" s="1"/>
  <c r="F866" i="3"/>
  <c r="I866" i="3" s="1"/>
  <c r="J866" i="3" s="1"/>
  <c r="F867" i="3"/>
  <c r="I867" i="3" s="1"/>
  <c r="J867" i="3" s="1"/>
  <c r="F868" i="3"/>
  <c r="I868" i="3" s="1"/>
  <c r="J868" i="3" s="1"/>
  <c r="F869" i="3"/>
  <c r="I869" i="3" s="1"/>
  <c r="J869" i="3" s="1"/>
  <c r="F870" i="3"/>
  <c r="I870" i="3" s="1"/>
  <c r="J870" i="3" s="1"/>
  <c r="F871" i="3"/>
  <c r="I871" i="3" s="1"/>
  <c r="J871" i="3" s="1"/>
  <c r="F872" i="3"/>
  <c r="I872" i="3" s="1"/>
  <c r="J872" i="3" s="1"/>
  <c r="F873" i="3"/>
  <c r="I873" i="3" s="1"/>
  <c r="J873" i="3" s="1"/>
  <c r="F874" i="3"/>
  <c r="I874" i="3" s="1"/>
  <c r="J874" i="3" s="1"/>
  <c r="F875" i="3"/>
  <c r="I875" i="3" s="1"/>
  <c r="J875" i="3" s="1"/>
  <c r="F876" i="3"/>
  <c r="I876" i="3" s="1"/>
  <c r="J876" i="3" s="1"/>
  <c r="F877" i="3"/>
  <c r="I877" i="3" s="1"/>
  <c r="J877" i="3" s="1"/>
  <c r="F878" i="3"/>
  <c r="I878" i="3" s="1"/>
  <c r="J878" i="3" s="1"/>
  <c r="F879" i="3"/>
  <c r="I879" i="3" s="1"/>
  <c r="J879" i="3" s="1"/>
  <c r="F880" i="3"/>
  <c r="I880" i="3" s="1"/>
  <c r="J880" i="3" s="1"/>
  <c r="F881" i="3"/>
  <c r="I881" i="3" s="1"/>
  <c r="J881" i="3" s="1"/>
  <c r="F882" i="3"/>
  <c r="I882" i="3" s="1"/>
  <c r="J882" i="3" s="1"/>
  <c r="F883" i="3"/>
  <c r="I883" i="3" s="1"/>
  <c r="J883" i="3" s="1"/>
  <c r="F884" i="3"/>
  <c r="I884" i="3" s="1"/>
  <c r="J884" i="3" s="1"/>
  <c r="F885" i="3"/>
  <c r="I885" i="3" s="1"/>
  <c r="J885" i="3" s="1"/>
  <c r="F886" i="3"/>
  <c r="I886" i="3" s="1"/>
  <c r="J886" i="3" s="1"/>
  <c r="F887" i="3"/>
  <c r="I887" i="3" s="1"/>
  <c r="J887" i="3" s="1"/>
  <c r="F888" i="3"/>
  <c r="I888" i="3" s="1"/>
  <c r="J888" i="3" s="1"/>
  <c r="F889" i="3"/>
  <c r="I889" i="3" s="1"/>
  <c r="J889" i="3" s="1"/>
  <c r="F890" i="3"/>
  <c r="I890" i="3" s="1"/>
  <c r="J890" i="3" s="1"/>
  <c r="F891" i="3"/>
  <c r="I891" i="3" s="1"/>
  <c r="J891" i="3" s="1"/>
  <c r="F892" i="3"/>
  <c r="I892" i="3" s="1"/>
  <c r="J892" i="3" s="1"/>
  <c r="F893" i="3"/>
  <c r="I893" i="3" s="1"/>
  <c r="J893" i="3" s="1"/>
  <c r="F894" i="3"/>
  <c r="I894" i="3" s="1"/>
  <c r="J894" i="3" s="1"/>
  <c r="F895" i="3"/>
  <c r="I895" i="3" s="1"/>
  <c r="J895" i="3" s="1"/>
  <c r="F896" i="3"/>
  <c r="I896" i="3" s="1"/>
  <c r="J896" i="3" s="1"/>
  <c r="F897" i="3"/>
  <c r="I897" i="3" s="1"/>
  <c r="J897" i="3" s="1"/>
  <c r="F898" i="3"/>
  <c r="I898" i="3" s="1"/>
  <c r="J898" i="3" s="1"/>
  <c r="F899" i="3"/>
  <c r="I899" i="3" s="1"/>
  <c r="J899" i="3" s="1"/>
  <c r="F900" i="3"/>
  <c r="I900" i="3" s="1"/>
  <c r="J900" i="3" s="1"/>
  <c r="F901" i="3"/>
  <c r="I901" i="3" s="1"/>
  <c r="J901" i="3" s="1"/>
  <c r="F902" i="3"/>
  <c r="I902" i="3" s="1"/>
  <c r="J902" i="3" s="1"/>
  <c r="F903" i="3"/>
  <c r="I903" i="3" s="1"/>
  <c r="J903" i="3" s="1"/>
  <c r="F904" i="3"/>
  <c r="I904" i="3" s="1"/>
  <c r="J904" i="3" s="1"/>
  <c r="F905" i="3"/>
  <c r="I905" i="3" s="1"/>
  <c r="J905" i="3" s="1"/>
  <c r="F906" i="3"/>
  <c r="I906" i="3" s="1"/>
  <c r="J906" i="3" s="1"/>
  <c r="F907" i="3"/>
  <c r="I907" i="3" s="1"/>
  <c r="J907" i="3" s="1"/>
  <c r="F908" i="3"/>
  <c r="I908" i="3" s="1"/>
  <c r="J908" i="3" s="1"/>
  <c r="F909" i="3"/>
  <c r="I909" i="3" s="1"/>
  <c r="J909" i="3" s="1"/>
  <c r="F910" i="3"/>
  <c r="I910" i="3" s="1"/>
  <c r="J910" i="3" s="1"/>
  <c r="F911" i="3"/>
  <c r="I911" i="3" s="1"/>
  <c r="J911" i="3" s="1"/>
  <c r="F912" i="3"/>
  <c r="I912" i="3" s="1"/>
  <c r="J912" i="3" s="1"/>
  <c r="F913" i="3"/>
  <c r="I913" i="3" s="1"/>
  <c r="J913" i="3" s="1"/>
  <c r="F914" i="3"/>
  <c r="I914" i="3" s="1"/>
  <c r="J914" i="3" s="1"/>
  <c r="F915" i="3"/>
  <c r="I915" i="3" s="1"/>
  <c r="J915" i="3" s="1"/>
  <c r="F916" i="3"/>
  <c r="I916" i="3" s="1"/>
  <c r="J916" i="3" s="1"/>
  <c r="F917" i="3"/>
  <c r="I917" i="3" s="1"/>
  <c r="J917" i="3" s="1"/>
  <c r="F918" i="3"/>
  <c r="I918" i="3" s="1"/>
  <c r="J918" i="3" s="1"/>
  <c r="F919" i="3"/>
  <c r="I919" i="3" s="1"/>
  <c r="J919" i="3" s="1"/>
  <c r="F920" i="3"/>
  <c r="I920" i="3" s="1"/>
  <c r="J920" i="3" s="1"/>
  <c r="F921" i="3"/>
  <c r="I921" i="3" s="1"/>
  <c r="J921" i="3" s="1"/>
  <c r="F922" i="3"/>
  <c r="I922" i="3" s="1"/>
  <c r="J922" i="3" s="1"/>
  <c r="F923" i="3"/>
  <c r="I923" i="3" s="1"/>
  <c r="J923" i="3" s="1"/>
  <c r="F924" i="3"/>
  <c r="I924" i="3" s="1"/>
  <c r="J924" i="3" s="1"/>
  <c r="F925" i="3"/>
  <c r="I925" i="3" s="1"/>
  <c r="J925" i="3" s="1"/>
  <c r="F926" i="3"/>
  <c r="I926" i="3" s="1"/>
  <c r="J926" i="3" s="1"/>
  <c r="F927" i="3"/>
  <c r="I927" i="3" s="1"/>
  <c r="J927" i="3" s="1"/>
  <c r="F928" i="3"/>
  <c r="I928" i="3" s="1"/>
  <c r="J928" i="3" s="1"/>
  <c r="F929" i="3"/>
  <c r="I929" i="3" s="1"/>
  <c r="J929" i="3" s="1"/>
  <c r="F930" i="3"/>
  <c r="I930" i="3" s="1"/>
  <c r="J930" i="3" s="1"/>
  <c r="F931" i="3"/>
  <c r="I931" i="3" s="1"/>
  <c r="J931" i="3" s="1"/>
  <c r="F932" i="3"/>
  <c r="I932" i="3" s="1"/>
  <c r="J932" i="3" s="1"/>
  <c r="F933" i="3"/>
  <c r="I933" i="3" s="1"/>
  <c r="J933" i="3" s="1"/>
  <c r="F934" i="3"/>
  <c r="I934" i="3" s="1"/>
  <c r="J934" i="3" s="1"/>
  <c r="F935" i="3"/>
  <c r="I935" i="3" s="1"/>
  <c r="J935" i="3" s="1"/>
  <c r="F936" i="3"/>
  <c r="I936" i="3" s="1"/>
  <c r="J936" i="3" s="1"/>
  <c r="F937" i="3"/>
  <c r="I937" i="3" s="1"/>
  <c r="J937" i="3" s="1"/>
  <c r="F938" i="3"/>
  <c r="I938" i="3" s="1"/>
  <c r="J938" i="3" s="1"/>
  <c r="F939" i="3"/>
  <c r="I939" i="3" s="1"/>
  <c r="J939" i="3" s="1"/>
  <c r="F940" i="3"/>
  <c r="I940" i="3" s="1"/>
  <c r="J940" i="3" s="1"/>
  <c r="F941" i="3"/>
  <c r="I941" i="3" s="1"/>
  <c r="J941" i="3" s="1"/>
  <c r="F942" i="3"/>
  <c r="I942" i="3" s="1"/>
  <c r="J942" i="3" s="1"/>
  <c r="F943" i="3"/>
  <c r="I943" i="3" s="1"/>
  <c r="J943" i="3" s="1"/>
  <c r="F944" i="3"/>
  <c r="I944" i="3" s="1"/>
  <c r="J944" i="3" s="1"/>
  <c r="F945" i="3"/>
  <c r="I945" i="3" s="1"/>
  <c r="J945" i="3" s="1"/>
  <c r="F946" i="3"/>
  <c r="I946" i="3" s="1"/>
  <c r="J946" i="3" s="1"/>
  <c r="F947" i="3"/>
  <c r="I947" i="3" s="1"/>
  <c r="J947" i="3" s="1"/>
  <c r="F948" i="3"/>
  <c r="I948" i="3" s="1"/>
  <c r="J948" i="3" s="1"/>
  <c r="F949" i="3"/>
  <c r="I949" i="3" s="1"/>
  <c r="J949" i="3" s="1"/>
  <c r="F950" i="3"/>
  <c r="I950" i="3" s="1"/>
  <c r="J950" i="3" s="1"/>
  <c r="F951" i="3"/>
  <c r="I951" i="3" s="1"/>
  <c r="J951" i="3" s="1"/>
  <c r="F952" i="3"/>
  <c r="I952" i="3" s="1"/>
  <c r="J952" i="3" s="1"/>
  <c r="F953" i="3"/>
  <c r="I953" i="3" s="1"/>
  <c r="J953" i="3" s="1"/>
  <c r="F954" i="3"/>
  <c r="I954" i="3" s="1"/>
  <c r="J954" i="3" s="1"/>
  <c r="F955" i="3"/>
  <c r="I955" i="3" s="1"/>
  <c r="J955" i="3" s="1"/>
  <c r="F956" i="3"/>
  <c r="I956" i="3" s="1"/>
  <c r="J956" i="3" s="1"/>
  <c r="F957" i="3"/>
  <c r="I957" i="3" s="1"/>
  <c r="J957" i="3" s="1"/>
  <c r="F958" i="3"/>
  <c r="I958" i="3" s="1"/>
  <c r="J958" i="3" s="1"/>
  <c r="F959" i="3"/>
  <c r="I959" i="3" s="1"/>
  <c r="J959" i="3" s="1"/>
  <c r="F960" i="3"/>
  <c r="I960" i="3" s="1"/>
  <c r="J960" i="3" s="1"/>
  <c r="F961" i="3"/>
  <c r="I961" i="3" s="1"/>
  <c r="J961" i="3" s="1"/>
  <c r="F962" i="3"/>
  <c r="I962" i="3" s="1"/>
  <c r="J962" i="3" s="1"/>
  <c r="F963" i="3"/>
  <c r="I963" i="3" s="1"/>
  <c r="J963" i="3" s="1"/>
  <c r="F964" i="3"/>
  <c r="I964" i="3" s="1"/>
  <c r="J964" i="3" s="1"/>
  <c r="F965" i="3"/>
  <c r="I965" i="3" s="1"/>
  <c r="J965" i="3" s="1"/>
  <c r="F966" i="3"/>
  <c r="I966" i="3" s="1"/>
  <c r="J966" i="3" s="1"/>
  <c r="F967" i="3"/>
  <c r="I967" i="3" s="1"/>
  <c r="J967" i="3" s="1"/>
  <c r="F968" i="3"/>
  <c r="I968" i="3" s="1"/>
  <c r="J968" i="3" s="1"/>
  <c r="F969" i="3"/>
  <c r="I969" i="3" s="1"/>
  <c r="J969" i="3" s="1"/>
  <c r="F970" i="3"/>
  <c r="I970" i="3" s="1"/>
  <c r="J970" i="3" s="1"/>
  <c r="F971" i="3"/>
  <c r="I971" i="3" s="1"/>
  <c r="J971" i="3" s="1"/>
  <c r="F972" i="3"/>
  <c r="I972" i="3" s="1"/>
  <c r="J972" i="3" s="1"/>
  <c r="F973" i="3"/>
  <c r="I973" i="3" s="1"/>
  <c r="J973" i="3" s="1"/>
  <c r="F974" i="3"/>
  <c r="I974" i="3" s="1"/>
  <c r="J974" i="3" s="1"/>
  <c r="F975" i="3"/>
  <c r="I975" i="3" s="1"/>
  <c r="J975" i="3" s="1"/>
  <c r="F976" i="3"/>
  <c r="I976" i="3" s="1"/>
  <c r="J976" i="3" s="1"/>
  <c r="F977" i="3"/>
  <c r="I977" i="3" s="1"/>
  <c r="J977" i="3" s="1"/>
  <c r="F978" i="3"/>
  <c r="I978" i="3" s="1"/>
  <c r="J978" i="3" s="1"/>
  <c r="F979" i="3"/>
  <c r="I979" i="3" s="1"/>
  <c r="J979" i="3" s="1"/>
  <c r="F980" i="3"/>
  <c r="I980" i="3" s="1"/>
  <c r="J980" i="3" s="1"/>
  <c r="F981" i="3"/>
  <c r="I981" i="3" s="1"/>
  <c r="J981" i="3" s="1"/>
  <c r="F982" i="3"/>
  <c r="I982" i="3" s="1"/>
  <c r="J982" i="3" s="1"/>
  <c r="F983" i="3"/>
  <c r="I983" i="3" s="1"/>
  <c r="J983" i="3" s="1"/>
  <c r="F984" i="3"/>
  <c r="I984" i="3" s="1"/>
  <c r="J984" i="3" s="1"/>
  <c r="F985" i="3"/>
  <c r="I985" i="3" s="1"/>
  <c r="J985" i="3" s="1"/>
  <c r="F986" i="3"/>
  <c r="I986" i="3" s="1"/>
  <c r="J986" i="3" s="1"/>
  <c r="F987" i="3"/>
  <c r="I987" i="3" s="1"/>
  <c r="J987" i="3" s="1"/>
  <c r="F988" i="3"/>
  <c r="I988" i="3" s="1"/>
  <c r="J988" i="3" s="1"/>
  <c r="F989" i="3"/>
  <c r="I989" i="3" s="1"/>
  <c r="J989" i="3" s="1"/>
  <c r="F990" i="3"/>
  <c r="I990" i="3" s="1"/>
  <c r="J990" i="3" s="1"/>
  <c r="F991" i="3"/>
  <c r="I991" i="3" s="1"/>
  <c r="J991" i="3" s="1"/>
  <c r="F992" i="3"/>
  <c r="I992" i="3" s="1"/>
  <c r="J992" i="3" s="1"/>
  <c r="F993" i="3"/>
  <c r="I993" i="3" s="1"/>
  <c r="J993" i="3" s="1"/>
  <c r="F994" i="3"/>
  <c r="I994" i="3" s="1"/>
  <c r="J994" i="3" s="1"/>
  <c r="F995" i="3"/>
  <c r="I995" i="3" s="1"/>
  <c r="J995" i="3" s="1"/>
  <c r="F996" i="3"/>
  <c r="I996" i="3" s="1"/>
  <c r="J996" i="3" s="1"/>
  <c r="F997" i="3"/>
  <c r="I997" i="3" s="1"/>
  <c r="J997" i="3" s="1"/>
  <c r="F998" i="3"/>
  <c r="I998" i="3" s="1"/>
  <c r="J998" i="3" s="1"/>
  <c r="F999" i="3"/>
  <c r="I999" i="3" s="1"/>
  <c r="J999" i="3" s="1"/>
  <c r="F1000" i="3"/>
  <c r="I1000" i="3" s="1"/>
  <c r="J1000" i="3" s="1"/>
  <c r="F1001" i="3"/>
  <c r="I1001" i="3" s="1"/>
  <c r="J1001" i="3" s="1"/>
  <c r="F1002" i="3"/>
  <c r="I1002" i="3" s="1"/>
  <c r="J1002" i="3" s="1"/>
  <c r="F1003" i="3"/>
  <c r="I1003" i="3" s="1"/>
  <c r="J1003" i="3" s="1"/>
  <c r="F1004" i="3"/>
  <c r="I1004" i="3" s="1"/>
  <c r="J1004" i="3" s="1"/>
  <c r="F1005" i="3"/>
  <c r="I1005" i="3" s="1"/>
  <c r="J1005" i="3" s="1"/>
  <c r="F1006" i="3"/>
  <c r="I1006" i="3" s="1"/>
  <c r="J1006" i="3" s="1"/>
  <c r="F1007" i="3"/>
  <c r="I1007" i="3" s="1"/>
  <c r="J1007" i="3" s="1"/>
  <c r="F1008" i="3"/>
  <c r="I1008" i="3" s="1"/>
  <c r="J1008" i="3" s="1"/>
  <c r="F1009" i="3"/>
  <c r="I1009" i="3" s="1"/>
  <c r="J1009" i="3" s="1"/>
  <c r="F1010" i="3"/>
  <c r="I1010" i="3" s="1"/>
  <c r="J1010" i="3" s="1"/>
  <c r="F1011" i="3"/>
  <c r="I1011" i="3" s="1"/>
  <c r="J1011" i="3" s="1"/>
  <c r="F1012" i="3"/>
  <c r="I1012" i="3" s="1"/>
  <c r="J1012" i="3" s="1"/>
  <c r="F1013" i="3"/>
  <c r="I1013" i="3" s="1"/>
  <c r="J1013" i="3" s="1"/>
  <c r="F1014" i="3"/>
  <c r="I1014" i="3" s="1"/>
  <c r="J1014" i="3" s="1"/>
  <c r="F1015" i="3"/>
  <c r="I1015" i="3" s="1"/>
  <c r="J1015" i="3" s="1"/>
  <c r="F1016" i="3"/>
  <c r="I1016" i="3" s="1"/>
  <c r="J1016" i="3" s="1"/>
  <c r="F1017" i="3"/>
  <c r="I1017" i="3" s="1"/>
  <c r="J1017" i="3" s="1"/>
  <c r="F1018" i="3"/>
  <c r="I1018" i="3" s="1"/>
  <c r="J1018" i="3" s="1"/>
  <c r="F1019" i="3"/>
  <c r="I1019" i="3" s="1"/>
  <c r="J1019" i="3" s="1"/>
  <c r="F1020" i="3"/>
  <c r="I1020" i="3" s="1"/>
  <c r="J1020" i="3" s="1"/>
  <c r="F1021" i="3"/>
  <c r="I1021" i="3" s="1"/>
  <c r="J1021" i="3" s="1"/>
  <c r="F1022" i="3"/>
  <c r="I1022" i="3" s="1"/>
  <c r="J1022" i="3" s="1"/>
  <c r="F1023" i="3"/>
  <c r="I1023" i="3" s="1"/>
  <c r="J1023" i="3" s="1"/>
  <c r="F1024" i="3"/>
  <c r="I1024" i="3" s="1"/>
  <c r="J1024" i="3" s="1"/>
  <c r="F1025" i="3"/>
  <c r="I1025" i="3" s="1"/>
  <c r="J1025" i="3" s="1"/>
  <c r="F1026" i="3"/>
  <c r="I1026" i="3" s="1"/>
  <c r="J1026" i="3" s="1"/>
  <c r="F1027" i="3"/>
  <c r="I1027" i="3" s="1"/>
  <c r="J1027" i="3" s="1"/>
  <c r="F1028" i="3"/>
  <c r="I1028" i="3" s="1"/>
  <c r="J1028" i="3" s="1"/>
  <c r="F1029" i="3"/>
  <c r="I1029" i="3" s="1"/>
  <c r="J1029" i="3" s="1"/>
  <c r="F1030" i="3"/>
  <c r="I1030" i="3" s="1"/>
  <c r="J1030" i="3" s="1"/>
  <c r="F1031" i="3"/>
  <c r="I1031" i="3" s="1"/>
  <c r="J1031" i="3" s="1"/>
  <c r="F1032" i="3"/>
  <c r="I1032" i="3" s="1"/>
  <c r="J1032" i="3" s="1"/>
  <c r="F1033" i="3"/>
  <c r="I1033" i="3" s="1"/>
  <c r="J1033" i="3" s="1"/>
  <c r="F1034" i="3"/>
  <c r="I1034" i="3" s="1"/>
  <c r="J1034" i="3" s="1"/>
  <c r="F1035" i="3"/>
  <c r="I1035" i="3" s="1"/>
  <c r="J1035" i="3" s="1"/>
  <c r="F1036" i="3"/>
  <c r="I1036" i="3" s="1"/>
  <c r="J1036" i="3" s="1"/>
  <c r="F1037" i="3"/>
  <c r="I1037" i="3" s="1"/>
  <c r="J1037" i="3" s="1"/>
  <c r="F1038" i="3"/>
  <c r="I1038" i="3" s="1"/>
  <c r="J1038" i="3" s="1"/>
  <c r="F1039" i="3"/>
  <c r="I1039" i="3" s="1"/>
  <c r="J1039" i="3" s="1"/>
  <c r="F1040" i="3"/>
  <c r="I1040" i="3" s="1"/>
  <c r="J1040" i="3" s="1"/>
  <c r="F1041" i="3"/>
  <c r="I1041" i="3" s="1"/>
  <c r="J1041" i="3" s="1"/>
  <c r="F1042" i="3"/>
  <c r="I1042" i="3" s="1"/>
  <c r="J1042" i="3" s="1"/>
  <c r="F1043" i="3"/>
  <c r="I1043" i="3" s="1"/>
  <c r="J1043" i="3" s="1"/>
  <c r="F1044" i="3"/>
  <c r="I1044" i="3" s="1"/>
  <c r="J1044" i="3" s="1"/>
  <c r="F1045" i="3"/>
  <c r="I1045" i="3" s="1"/>
  <c r="J1045" i="3" s="1"/>
  <c r="F1046" i="3"/>
  <c r="I1046" i="3" s="1"/>
  <c r="J1046" i="3" s="1"/>
  <c r="F1047" i="3"/>
  <c r="I1047" i="3" s="1"/>
  <c r="J1047" i="3" s="1"/>
  <c r="F1048" i="3"/>
  <c r="I1048" i="3" s="1"/>
  <c r="J1048" i="3" s="1"/>
  <c r="F1049" i="3"/>
  <c r="I1049" i="3" s="1"/>
  <c r="J1049" i="3" s="1"/>
  <c r="F1050" i="3"/>
  <c r="I1050" i="3" s="1"/>
  <c r="J1050" i="3" s="1"/>
  <c r="F1051" i="3"/>
  <c r="I1051" i="3" s="1"/>
  <c r="J1051" i="3" s="1"/>
  <c r="F1052" i="3"/>
  <c r="I1052" i="3" s="1"/>
  <c r="J1052" i="3" s="1"/>
  <c r="F1053" i="3"/>
  <c r="I1053" i="3" s="1"/>
  <c r="J1053" i="3" s="1"/>
  <c r="F1054" i="3"/>
  <c r="I1054" i="3" s="1"/>
  <c r="J1054" i="3" s="1"/>
  <c r="F1055" i="3"/>
  <c r="I1055" i="3" s="1"/>
  <c r="J1055" i="3" s="1"/>
  <c r="F1056" i="3"/>
  <c r="I1056" i="3" s="1"/>
  <c r="J1056" i="3" s="1"/>
  <c r="F1057" i="3"/>
  <c r="I1057" i="3" s="1"/>
  <c r="J1057" i="3" s="1"/>
  <c r="F1058" i="3"/>
  <c r="I1058" i="3" s="1"/>
  <c r="J1058" i="3" s="1"/>
  <c r="F1059" i="3"/>
  <c r="I1059" i="3" s="1"/>
  <c r="J1059" i="3" s="1"/>
  <c r="F1060" i="3"/>
  <c r="I1060" i="3" s="1"/>
  <c r="J1060" i="3" s="1"/>
  <c r="F1061" i="3"/>
  <c r="I1061" i="3" s="1"/>
  <c r="J1061" i="3" s="1"/>
  <c r="F1062" i="3"/>
  <c r="I1062" i="3" s="1"/>
  <c r="J1062" i="3" s="1"/>
  <c r="F1063" i="3"/>
  <c r="I1063" i="3" s="1"/>
  <c r="J1063" i="3" s="1"/>
  <c r="F1064" i="3"/>
  <c r="I1064" i="3" s="1"/>
  <c r="J1064" i="3" s="1"/>
  <c r="F1065" i="3"/>
  <c r="I1065" i="3" s="1"/>
  <c r="J1065" i="3" s="1"/>
  <c r="F1066" i="3"/>
  <c r="I1066" i="3" s="1"/>
  <c r="J1066" i="3" s="1"/>
  <c r="F1067" i="3"/>
  <c r="I1067" i="3" s="1"/>
  <c r="J1067" i="3" s="1"/>
  <c r="F1068" i="3"/>
  <c r="I1068" i="3" s="1"/>
  <c r="J1068" i="3" s="1"/>
  <c r="F1069" i="3"/>
  <c r="I1069" i="3" s="1"/>
  <c r="J1069" i="3" s="1"/>
  <c r="F1070" i="3"/>
  <c r="I1070" i="3" s="1"/>
  <c r="J1070" i="3" s="1"/>
  <c r="F1071" i="3"/>
  <c r="I1071" i="3" s="1"/>
  <c r="J1071" i="3" s="1"/>
  <c r="F1072" i="3"/>
  <c r="I1072" i="3" s="1"/>
  <c r="J1072" i="3" s="1"/>
  <c r="F1073" i="3"/>
  <c r="I1073" i="3" s="1"/>
  <c r="J1073" i="3" s="1"/>
  <c r="F1074" i="3"/>
  <c r="I1074" i="3" s="1"/>
  <c r="J1074" i="3" s="1"/>
  <c r="F1075" i="3"/>
  <c r="I1075" i="3" s="1"/>
  <c r="J1075" i="3" s="1"/>
  <c r="F1076" i="3"/>
  <c r="I1076" i="3" s="1"/>
  <c r="J1076" i="3" s="1"/>
  <c r="F1077" i="3"/>
  <c r="I1077" i="3" s="1"/>
  <c r="J1077" i="3" s="1"/>
  <c r="F1078" i="3"/>
  <c r="I1078" i="3" s="1"/>
  <c r="J1078" i="3" s="1"/>
  <c r="F1079" i="3"/>
  <c r="I1079" i="3" s="1"/>
  <c r="J1079" i="3" s="1"/>
  <c r="F1080" i="3"/>
  <c r="I1080" i="3" s="1"/>
  <c r="J1080" i="3" s="1"/>
  <c r="F1081" i="3"/>
  <c r="I1081" i="3" s="1"/>
  <c r="J1081" i="3" s="1"/>
  <c r="F1082" i="3"/>
  <c r="I1082" i="3" s="1"/>
  <c r="J1082" i="3" s="1"/>
  <c r="F1083" i="3"/>
  <c r="I1083" i="3" s="1"/>
  <c r="J1083" i="3" s="1"/>
  <c r="F1084" i="3"/>
  <c r="I1084" i="3" s="1"/>
  <c r="J1084" i="3" s="1"/>
  <c r="F1085" i="3"/>
  <c r="I1085" i="3" s="1"/>
  <c r="J1085" i="3" s="1"/>
  <c r="F1086" i="3"/>
  <c r="I1086" i="3" s="1"/>
  <c r="J1086" i="3" s="1"/>
  <c r="F1087" i="3"/>
  <c r="I1087" i="3" s="1"/>
  <c r="J1087" i="3" s="1"/>
  <c r="F1088" i="3"/>
  <c r="I1088" i="3" s="1"/>
  <c r="J1088" i="3" s="1"/>
  <c r="F1089" i="3"/>
  <c r="I1089" i="3" s="1"/>
  <c r="J1089" i="3" s="1"/>
  <c r="F1090" i="3"/>
  <c r="I1090" i="3" s="1"/>
  <c r="J1090" i="3" s="1"/>
  <c r="F1091" i="3"/>
  <c r="I1091" i="3" s="1"/>
  <c r="J1091" i="3" s="1"/>
  <c r="F1092" i="3"/>
  <c r="I1092" i="3" s="1"/>
  <c r="J1092" i="3" s="1"/>
  <c r="F1093" i="3"/>
  <c r="I1093" i="3" s="1"/>
  <c r="J1093" i="3" s="1"/>
  <c r="F1094" i="3"/>
  <c r="I1094" i="3" s="1"/>
  <c r="J1094" i="3" s="1"/>
  <c r="F1095" i="3"/>
  <c r="I1095" i="3" s="1"/>
  <c r="J1095" i="3" s="1"/>
  <c r="F1096" i="3"/>
  <c r="I1096" i="3" s="1"/>
  <c r="J1096" i="3" s="1"/>
  <c r="F1097" i="3"/>
  <c r="I1097" i="3" s="1"/>
  <c r="J1097" i="3" s="1"/>
  <c r="F1098" i="3"/>
  <c r="I1098" i="3" s="1"/>
  <c r="J1098" i="3" s="1"/>
  <c r="F1099" i="3"/>
  <c r="I1099" i="3" s="1"/>
  <c r="J1099" i="3" s="1"/>
  <c r="F1100" i="3"/>
  <c r="I1100" i="3" s="1"/>
  <c r="J1100" i="3" s="1"/>
  <c r="F1101" i="3"/>
  <c r="I1101" i="3" s="1"/>
  <c r="J1101" i="3" s="1"/>
  <c r="F1102" i="3"/>
  <c r="I1102" i="3" s="1"/>
  <c r="J1102" i="3" s="1"/>
  <c r="F1103" i="3"/>
  <c r="I1103" i="3" s="1"/>
  <c r="J1103" i="3" s="1"/>
  <c r="F1104" i="3"/>
  <c r="I1104" i="3" s="1"/>
  <c r="J1104" i="3" s="1"/>
  <c r="F1105" i="3"/>
  <c r="I1105" i="3" s="1"/>
  <c r="J1105" i="3" s="1"/>
  <c r="F1106" i="3"/>
  <c r="I1106" i="3" s="1"/>
  <c r="J1106" i="3" s="1"/>
  <c r="F1107" i="3"/>
  <c r="I1107" i="3" s="1"/>
  <c r="J1107" i="3" s="1"/>
  <c r="F1108" i="3"/>
  <c r="I1108" i="3" s="1"/>
  <c r="J1108" i="3" s="1"/>
  <c r="F1109" i="3"/>
  <c r="I1109" i="3" s="1"/>
  <c r="J1109" i="3" s="1"/>
  <c r="F1110" i="3"/>
  <c r="I1110" i="3" s="1"/>
  <c r="J1110" i="3" s="1"/>
  <c r="F1111" i="3"/>
  <c r="I1111" i="3" s="1"/>
  <c r="J1111" i="3" s="1"/>
  <c r="F1112" i="3"/>
  <c r="I1112" i="3" s="1"/>
  <c r="J1112" i="3" s="1"/>
  <c r="F1113" i="3"/>
  <c r="I1113" i="3" s="1"/>
  <c r="J1113" i="3" s="1"/>
  <c r="F1114" i="3"/>
  <c r="I1114" i="3" s="1"/>
  <c r="J1114" i="3" s="1"/>
  <c r="F1115" i="3"/>
  <c r="I1115" i="3" s="1"/>
  <c r="J1115" i="3" s="1"/>
  <c r="F1116" i="3"/>
  <c r="I1116" i="3" s="1"/>
  <c r="J1116" i="3" s="1"/>
  <c r="F1117" i="3"/>
  <c r="I1117" i="3" s="1"/>
  <c r="J1117" i="3" s="1"/>
  <c r="F1118" i="3"/>
  <c r="I1118" i="3" s="1"/>
  <c r="J1118" i="3" s="1"/>
  <c r="F1119" i="3"/>
  <c r="I1119" i="3" s="1"/>
  <c r="J1119" i="3" s="1"/>
  <c r="F1120" i="3"/>
  <c r="I1120" i="3" s="1"/>
  <c r="J1120" i="3" s="1"/>
  <c r="F1121" i="3"/>
  <c r="I1121" i="3" s="1"/>
  <c r="J1121" i="3" s="1"/>
  <c r="F1122" i="3"/>
  <c r="I1122" i="3" s="1"/>
  <c r="J1122" i="3" s="1"/>
  <c r="F1123" i="3"/>
  <c r="I1123" i="3" s="1"/>
  <c r="J1123" i="3" s="1"/>
  <c r="F1124" i="3"/>
  <c r="I1124" i="3" s="1"/>
  <c r="J1124" i="3" s="1"/>
  <c r="F1125" i="3"/>
  <c r="I1125" i="3" s="1"/>
  <c r="J1125" i="3" s="1"/>
  <c r="F1126" i="3"/>
  <c r="I1126" i="3" s="1"/>
  <c r="J1126" i="3" s="1"/>
  <c r="F1127" i="3"/>
  <c r="I1127" i="3" s="1"/>
  <c r="J1127" i="3" s="1"/>
  <c r="F1128" i="3"/>
  <c r="I1128" i="3" s="1"/>
  <c r="J1128" i="3" s="1"/>
  <c r="F1129" i="3"/>
  <c r="I1129" i="3" s="1"/>
  <c r="J1129" i="3" s="1"/>
  <c r="F1130" i="3"/>
  <c r="I1130" i="3" s="1"/>
  <c r="J1130" i="3" s="1"/>
  <c r="F1131" i="3"/>
  <c r="I1131" i="3" s="1"/>
  <c r="J1131" i="3" s="1"/>
  <c r="F1132" i="3"/>
  <c r="I1132" i="3" s="1"/>
  <c r="J1132" i="3" s="1"/>
  <c r="F1133" i="3"/>
  <c r="I1133" i="3" s="1"/>
  <c r="J1133" i="3" s="1"/>
  <c r="F1134" i="3"/>
  <c r="I1134" i="3" s="1"/>
  <c r="J1134" i="3" s="1"/>
  <c r="F1135" i="3"/>
  <c r="I1135" i="3" s="1"/>
  <c r="J1135" i="3" s="1"/>
  <c r="F1136" i="3"/>
  <c r="I1136" i="3" s="1"/>
  <c r="J1136" i="3" s="1"/>
  <c r="F1137" i="3"/>
  <c r="I1137" i="3" s="1"/>
  <c r="J1137" i="3" s="1"/>
  <c r="F1138" i="3"/>
  <c r="I1138" i="3" s="1"/>
  <c r="J1138" i="3" s="1"/>
  <c r="F1139" i="3"/>
  <c r="I1139" i="3" s="1"/>
  <c r="J1139" i="3" s="1"/>
  <c r="F1140" i="3"/>
  <c r="I1140" i="3" s="1"/>
  <c r="J1140" i="3" s="1"/>
  <c r="F1141" i="3"/>
  <c r="I1141" i="3" s="1"/>
  <c r="J1141" i="3" s="1"/>
  <c r="F1142" i="3"/>
  <c r="I1142" i="3" s="1"/>
  <c r="J1142" i="3" s="1"/>
  <c r="F1143" i="3"/>
  <c r="I1143" i="3" s="1"/>
  <c r="J1143" i="3" s="1"/>
  <c r="F1144" i="3"/>
  <c r="I1144" i="3" s="1"/>
  <c r="J1144" i="3" s="1"/>
  <c r="F1145" i="3"/>
  <c r="I1145" i="3" s="1"/>
  <c r="J1145" i="3" s="1"/>
  <c r="F1146" i="3"/>
  <c r="I1146" i="3" s="1"/>
  <c r="J1146" i="3" s="1"/>
  <c r="F1147" i="3"/>
  <c r="I1147" i="3" s="1"/>
  <c r="J1147" i="3" s="1"/>
  <c r="F1148" i="3"/>
  <c r="I1148" i="3" s="1"/>
  <c r="J1148" i="3" s="1"/>
  <c r="F1149" i="3"/>
  <c r="I1149" i="3" s="1"/>
  <c r="J1149" i="3" s="1"/>
  <c r="F1150" i="3"/>
  <c r="I1150" i="3" s="1"/>
  <c r="J1150" i="3" s="1"/>
  <c r="F1151" i="3"/>
  <c r="I1151" i="3" s="1"/>
  <c r="J1151" i="3" s="1"/>
  <c r="F1152" i="3"/>
  <c r="I1152" i="3" s="1"/>
  <c r="J1152" i="3" s="1"/>
  <c r="F1153" i="3"/>
  <c r="I1153" i="3" s="1"/>
  <c r="J1153" i="3" s="1"/>
  <c r="F1154" i="3"/>
  <c r="I1154" i="3" s="1"/>
  <c r="J1154" i="3" s="1"/>
  <c r="F1155" i="3"/>
  <c r="I1155" i="3" s="1"/>
  <c r="J1155" i="3" s="1"/>
  <c r="F1156" i="3"/>
  <c r="I1156" i="3" s="1"/>
  <c r="J1156" i="3" s="1"/>
  <c r="F1157" i="3"/>
  <c r="I1157" i="3" s="1"/>
  <c r="J1157" i="3" s="1"/>
  <c r="F1158" i="3"/>
  <c r="I1158" i="3" s="1"/>
  <c r="J1158" i="3" s="1"/>
  <c r="F1159" i="3"/>
  <c r="I1159" i="3" s="1"/>
  <c r="J1159" i="3" s="1"/>
  <c r="F1160" i="3"/>
  <c r="I1160" i="3" s="1"/>
  <c r="J1160" i="3" s="1"/>
  <c r="F1161" i="3"/>
  <c r="I1161" i="3" s="1"/>
  <c r="J1161" i="3" s="1"/>
  <c r="F1162" i="3"/>
  <c r="I1162" i="3" s="1"/>
  <c r="J1162" i="3" s="1"/>
  <c r="F1163" i="3"/>
  <c r="I1163" i="3" s="1"/>
  <c r="J1163" i="3" s="1"/>
  <c r="F1164" i="3"/>
  <c r="I1164" i="3" s="1"/>
  <c r="J1164" i="3" s="1"/>
  <c r="F1165" i="3"/>
  <c r="I1165" i="3" s="1"/>
  <c r="J1165" i="3" s="1"/>
  <c r="F1166" i="3"/>
  <c r="I1166" i="3" s="1"/>
  <c r="J1166" i="3" s="1"/>
  <c r="F1167" i="3"/>
  <c r="I1167" i="3" s="1"/>
  <c r="J1167" i="3" s="1"/>
  <c r="F1168" i="3"/>
  <c r="I1168" i="3" s="1"/>
  <c r="J1168" i="3" s="1"/>
  <c r="F1169" i="3"/>
  <c r="I1169" i="3" s="1"/>
  <c r="J1169" i="3" s="1"/>
  <c r="F1170" i="3"/>
  <c r="I1170" i="3" s="1"/>
  <c r="J1170" i="3" s="1"/>
  <c r="F1171" i="3"/>
  <c r="I1171" i="3" s="1"/>
  <c r="J1171" i="3" s="1"/>
  <c r="F1172" i="3"/>
  <c r="I1172" i="3" s="1"/>
  <c r="J1172" i="3" s="1"/>
  <c r="F1173" i="3"/>
  <c r="I1173" i="3" s="1"/>
  <c r="J1173" i="3" s="1"/>
  <c r="F1174" i="3"/>
  <c r="I1174" i="3" s="1"/>
  <c r="J1174" i="3" s="1"/>
  <c r="F1175" i="3"/>
  <c r="I1175" i="3" s="1"/>
  <c r="J1175" i="3" s="1"/>
  <c r="F1176" i="3"/>
  <c r="I1176" i="3" s="1"/>
  <c r="J1176" i="3" s="1"/>
  <c r="F1177" i="3"/>
  <c r="I1177" i="3" s="1"/>
  <c r="J1177" i="3" s="1"/>
  <c r="F1178" i="3"/>
  <c r="I1178" i="3" s="1"/>
  <c r="J1178" i="3" s="1"/>
  <c r="F1179" i="3"/>
  <c r="I1179" i="3" s="1"/>
  <c r="J1179" i="3" s="1"/>
  <c r="F1180" i="3"/>
  <c r="I1180" i="3" s="1"/>
  <c r="J1180" i="3" s="1"/>
  <c r="F1181" i="3"/>
  <c r="I1181" i="3" s="1"/>
  <c r="J1181" i="3" s="1"/>
  <c r="F1182" i="3"/>
  <c r="I1182" i="3" s="1"/>
  <c r="J1182" i="3" s="1"/>
  <c r="F1183" i="3"/>
  <c r="I1183" i="3" s="1"/>
  <c r="J1183" i="3" s="1"/>
  <c r="F1184" i="3"/>
  <c r="I1184" i="3" s="1"/>
  <c r="J1184" i="3" s="1"/>
  <c r="F1185" i="3"/>
  <c r="I1185" i="3" s="1"/>
  <c r="J1185" i="3" s="1"/>
  <c r="F1186" i="3"/>
  <c r="I1186" i="3" s="1"/>
  <c r="J1186" i="3" s="1"/>
  <c r="F1187" i="3"/>
  <c r="I1187" i="3" s="1"/>
  <c r="J1187" i="3" s="1"/>
  <c r="F1188" i="3"/>
  <c r="I1188" i="3" s="1"/>
  <c r="J1188" i="3" s="1"/>
  <c r="F1189" i="3"/>
  <c r="I1189" i="3" s="1"/>
  <c r="J1189" i="3" s="1"/>
  <c r="F1190" i="3"/>
  <c r="I1190" i="3" s="1"/>
  <c r="J1190" i="3" s="1"/>
  <c r="F1191" i="3"/>
  <c r="I1191" i="3" s="1"/>
  <c r="J1191" i="3" s="1"/>
  <c r="F1192" i="3"/>
  <c r="I1192" i="3" s="1"/>
  <c r="J1192" i="3" s="1"/>
  <c r="F1193" i="3"/>
  <c r="I1193" i="3" s="1"/>
  <c r="J1193" i="3" s="1"/>
  <c r="F1194" i="3"/>
  <c r="I1194" i="3" s="1"/>
  <c r="J1194" i="3" s="1"/>
  <c r="F1195" i="3"/>
  <c r="I1195" i="3" s="1"/>
  <c r="J1195" i="3" s="1"/>
  <c r="F1196" i="3"/>
  <c r="I1196" i="3" s="1"/>
  <c r="J1196" i="3" s="1"/>
  <c r="F1197" i="3"/>
  <c r="I1197" i="3" s="1"/>
  <c r="J1197" i="3" s="1"/>
  <c r="F1198" i="3"/>
  <c r="I1198" i="3" s="1"/>
  <c r="J1198" i="3" s="1"/>
  <c r="F1199" i="3"/>
  <c r="I1199" i="3" s="1"/>
  <c r="J1199" i="3" s="1"/>
  <c r="F1200" i="3"/>
  <c r="I1200" i="3" s="1"/>
  <c r="J1200" i="3" s="1"/>
  <c r="F1201" i="3"/>
  <c r="I1201" i="3" s="1"/>
  <c r="J1201" i="3" s="1"/>
  <c r="F1202" i="3"/>
  <c r="I1202" i="3" s="1"/>
  <c r="J1202" i="3" s="1"/>
  <c r="F1203" i="3"/>
  <c r="I1203" i="3" s="1"/>
  <c r="J1203" i="3" s="1"/>
  <c r="F1204" i="3"/>
  <c r="I1204" i="3" s="1"/>
  <c r="J1204" i="3" s="1"/>
  <c r="F1205" i="3"/>
  <c r="I1205" i="3" s="1"/>
  <c r="J1205" i="3" s="1"/>
  <c r="F1206" i="3"/>
  <c r="I1206" i="3" s="1"/>
  <c r="J1206" i="3" s="1"/>
  <c r="F1207" i="3"/>
  <c r="I1207" i="3" s="1"/>
  <c r="J1207" i="3" s="1"/>
  <c r="F1208" i="3"/>
  <c r="I1208" i="3" s="1"/>
  <c r="J1208" i="3" s="1"/>
  <c r="F1209" i="3"/>
  <c r="I1209" i="3" s="1"/>
  <c r="J1209" i="3" s="1"/>
  <c r="F1210" i="3"/>
  <c r="I1210" i="3" s="1"/>
  <c r="J1210" i="3" s="1"/>
  <c r="F1211" i="3"/>
  <c r="I1211" i="3" s="1"/>
  <c r="J1211" i="3" s="1"/>
  <c r="F1212" i="3"/>
  <c r="I1212" i="3" s="1"/>
  <c r="J1212" i="3" s="1"/>
  <c r="F1213" i="3"/>
  <c r="I1213" i="3" s="1"/>
  <c r="J1213" i="3" s="1"/>
  <c r="F1214" i="3"/>
  <c r="I1214" i="3" s="1"/>
  <c r="J1214" i="3" s="1"/>
  <c r="F1215" i="3"/>
  <c r="I1215" i="3" s="1"/>
  <c r="J1215" i="3" s="1"/>
  <c r="F1216" i="3"/>
  <c r="I1216" i="3" s="1"/>
  <c r="J1216" i="3" s="1"/>
  <c r="F1217" i="3"/>
  <c r="I1217" i="3" s="1"/>
  <c r="J1217" i="3" s="1"/>
  <c r="F1218" i="3"/>
  <c r="I1218" i="3" s="1"/>
  <c r="J1218" i="3" s="1"/>
  <c r="F1219" i="3"/>
  <c r="I1219" i="3" s="1"/>
  <c r="J1219" i="3" s="1"/>
  <c r="F1220" i="3"/>
  <c r="I1220" i="3" s="1"/>
  <c r="J1220" i="3" s="1"/>
  <c r="F1221" i="3"/>
  <c r="I1221" i="3" s="1"/>
  <c r="J1221" i="3" s="1"/>
  <c r="F1222" i="3"/>
  <c r="I1222" i="3" s="1"/>
  <c r="J1222" i="3" s="1"/>
  <c r="F1223" i="3"/>
  <c r="I1223" i="3" s="1"/>
  <c r="J1223" i="3" s="1"/>
  <c r="F1224" i="3"/>
  <c r="I1224" i="3" s="1"/>
  <c r="J1224" i="3" s="1"/>
  <c r="F1225" i="3"/>
  <c r="I1225" i="3" s="1"/>
  <c r="J1225" i="3" s="1"/>
  <c r="F1226" i="3"/>
  <c r="I1226" i="3" s="1"/>
  <c r="J1226" i="3" s="1"/>
  <c r="F1227" i="3"/>
  <c r="I1227" i="3" s="1"/>
  <c r="J1227" i="3" s="1"/>
  <c r="F1228" i="3"/>
  <c r="I1228" i="3" s="1"/>
  <c r="J1228" i="3" s="1"/>
  <c r="F1229" i="3"/>
  <c r="I1229" i="3" s="1"/>
  <c r="J1229" i="3" s="1"/>
  <c r="F1230" i="3"/>
  <c r="I1230" i="3" s="1"/>
  <c r="J1230" i="3" s="1"/>
  <c r="F1231" i="3"/>
  <c r="I1231" i="3" s="1"/>
  <c r="J1231" i="3" s="1"/>
  <c r="F1232" i="3"/>
  <c r="I1232" i="3" s="1"/>
  <c r="J1232" i="3" s="1"/>
  <c r="F1233" i="3"/>
  <c r="I1233" i="3" s="1"/>
  <c r="J1233" i="3" s="1"/>
  <c r="F1234" i="3"/>
  <c r="I1234" i="3" s="1"/>
  <c r="J1234" i="3" s="1"/>
  <c r="F1235" i="3"/>
  <c r="I1235" i="3" s="1"/>
  <c r="J1235" i="3" s="1"/>
  <c r="F1236" i="3"/>
  <c r="I1236" i="3" s="1"/>
  <c r="J1236" i="3" s="1"/>
  <c r="F1237" i="3"/>
  <c r="I1237" i="3" s="1"/>
  <c r="J1237" i="3" s="1"/>
  <c r="F1238" i="3"/>
  <c r="I1238" i="3" s="1"/>
  <c r="J1238" i="3" s="1"/>
  <c r="F1239" i="3"/>
  <c r="I1239" i="3" s="1"/>
  <c r="J1239" i="3" s="1"/>
  <c r="F1240" i="3"/>
  <c r="I1240" i="3" s="1"/>
  <c r="J1240" i="3" s="1"/>
  <c r="F1241" i="3"/>
  <c r="I1241" i="3" s="1"/>
  <c r="J1241" i="3" s="1"/>
  <c r="F1242" i="3"/>
  <c r="I1242" i="3" s="1"/>
  <c r="J1242" i="3" s="1"/>
  <c r="F1243" i="3"/>
  <c r="I1243" i="3" s="1"/>
  <c r="J1243" i="3" s="1"/>
  <c r="F1244" i="3"/>
  <c r="I1244" i="3" s="1"/>
  <c r="J1244" i="3" s="1"/>
  <c r="F1245" i="3"/>
  <c r="I1245" i="3" s="1"/>
  <c r="J1245" i="3" s="1"/>
  <c r="F1246" i="3"/>
  <c r="I1246" i="3" s="1"/>
  <c r="J1246" i="3" s="1"/>
  <c r="F1247" i="3"/>
  <c r="I1247" i="3" s="1"/>
  <c r="J1247" i="3" s="1"/>
  <c r="F1248" i="3"/>
  <c r="I1248" i="3" s="1"/>
  <c r="J1248" i="3" s="1"/>
  <c r="F1249" i="3"/>
  <c r="I1249" i="3" s="1"/>
  <c r="J1249" i="3" s="1"/>
  <c r="F1250" i="3"/>
  <c r="I1250" i="3" s="1"/>
  <c r="J1250" i="3" s="1"/>
  <c r="F1251" i="3"/>
  <c r="I1251" i="3" s="1"/>
  <c r="J1251" i="3" s="1"/>
  <c r="F1252" i="3"/>
  <c r="I1252" i="3" s="1"/>
  <c r="J1252" i="3" s="1"/>
  <c r="F1253" i="3"/>
  <c r="I1253" i="3" s="1"/>
  <c r="J1253" i="3" s="1"/>
  <c r="F1254" i="3"/>
  <c r="I1254" i="3" s="1"/>
  <c r="J1254" i="3" s="1"/>
  <c r="F1255" i="3"/>
  <c r="I1255" i="3" s="1"/>
  <c r="J1255" i="3" s="1"/>
  <c r="F1256" i="3"/>
  <c r="I1256" i="3" s="1"/>
  <c r="J1256" i="3" s="1"/>
  <c r="F1257" i="3"/>
  <c r="I1257" i="3" s="1"/>
  <c r="J1257" i="3" s="1"/>
  <c r="F1258" i="3"/>
  <c r="I1258" i="3" s="1"/>
  <c r="J1258" i="3" s="1"/>
  <c r="F1259" i="3"/>
  <c r="I1259" i="3" s="1"/>
  <c r="J1259" i="3" s="1"/>
  <c r="F1260" i="3"/>
  <c r="I1260" i="3" s="1"/>
  <c r="J1260" i="3" s="1"/>
  <c r="F1261" i="3"/>
  <c r="I1261" i="3" s="1"/>
  <c r="J1261" i="3" s="1"/>
  <c r="F1262" i="3"/>
  <c r="I1262" i="3" s="1"/>
  <c r="J1262" i="3" s="1"/>
  <c r="F1263" i="3"/>
  <c r="I1263" i="3" s="1"/>
  <c r="J1263" i="3" s="1"/>
  <c r="F1264" i="3"/>
  <c r="I1264" i="3" s="1"/>
  <c r="J1264" i="3" s="1"/>
  <c r="F1265" i="3"/>
  <c r="I1265" i="3" s="1"/>
  <c r="J1265" i="3" s="1"/>
  <c r="F1266" i="3"/>
  <c r="I1266" i="3" s="1"/>
  <c r="J1266" i="3" s="1"/>
  <c r="F1267" i="3"/>
  <c r="I1267" i="3" s="1"/>
  <c r="J1267" i="3" s="1"/>
  <c r="F1268" i="3"/>
  <c r="I1268" i="3" s="1"/>
  <c r="J1268" i="3" s="1"/>
  <c r="F1269" i="3"/>
  <c r="I1269" i="3" s="1"/>
  <c r="J1269" i="3" s="1"/>
  <c r="F1270" i="3"/>
  <c r="I1270" i="3" s="1"/>
  <c r="J1270" i="3" s="1"/>
  <c r="F1271" i="3"/>
  <c r="I1271" i="3" s="1"/>
  <c r="J1271" i="3" s="1"/>
  <c r="F1272" i="3"/>
  <c r="I1272" i="3" s="1"/>
  <c r="J1272" i="3" s="1"/>
  <c r="F1273" i="3"/>
  <c r="I1273" i="3" s="1"/>
  <c r="J1273" i="3" s="1"/>
  <c r="F1274" i="3"/>
  <c r="I1274" i="3" s="1"/>
  <c r="J1274" i="3" s="1"/>
  <c r="F1275" i="3"/>
  <c r="I1275" i="3" s="1"/>
  <c r="J1275" i="3" s="1"/>
  <c r="F1276" i="3"/>
  <c r="I1276" i="3" s="1"/>
  <c r="J1276" i="3" s="1"/>
  <c r="F1277" i="3"/>
  <c r="I1277" i="3" s="1"/>
  <c r="J1277" i="3" s="1"/>
  <c r="F1278" i="3"/>
  <c r="I1278" i="3" s="1"/>
  <c r="J1278" i="3" s="1"/>
  <c r="F1279" i="3"/>
  <c r="I1279" i="3" s="1"/>
  <c r="J1279" i="3" s="1"/>
  <c r="F1280" i="3"/>
  <c r="I1280" i="3" s="1"/>
  <c r="J1280" i="3" s="1"/>
  <c r="F1281" i="3"/>
  <c r="I1281" i="3" s="1"/>
  <c r="J1281" i="3" s="1"/>
  <c r="F1282" i="3"/>
  <c r="I1282" i="3" s="1"/>
  <c r="J1282" i="3" s="1"/>
  <c r="F1283" i="3"/>
  <c r="I1283" i="3" s="1"/>
  <c r="J1283" i="3" s="1"/>
  <c r="F1284" i="3"/>
  <c r="I1284" i="3" s="1"/>
  <c r="J1284" i="3" s="1"/>
  <c r="F1285" i="3"/>
  <c r="I1285" i="3" s="1"/>
  <c r="J1285" i="3" s="1"/>
  <c r="F1286" i="3"/>
  <c r="I1286" i="3" s="1"/>
  <c r="J1286" i="3" s="1"/>
  <c r="F1287" i="3"/>
  <c r="I1287" i="3" s="1"/>
  <c r="J1287" i="3" s="1"/>
  <c r="F1288" i="3"/>
  <c r="I1288" i="3" s="1"/>
  <c r="J1288" i="3" s="1"/>
  <c r="F1289" i="3"/>
  <c r="I1289" i="3" s="1"/>
  <c r="J1289" i="3" s="1"/>
  <c r="F1290" i="3"/>
  <c r="I1290" i="3" s="1"/>
  <c r="J1290" i="3" s="1"/>
  <c r="F1291" i="3"/>
  <c r="I1291" i="3" s="1"/>
  <c r="J1291" i="3" s="1"/>
  <c r="F1292" i="3"/>
  <c r="I1292" i="3" s="1"/>
  <c r="J1292" i="3" s="1"/>
  <c r="F1293" i="3"/>
  <c r="I1293" i="3" s="1"/>
  <c r="J1293" i="3" s="1"/>
  <c r="F1294" i="3"/>
  <c r="I1294" i="3" s="1"/>
  <c r="J1294" i="3" s="1"/>
  <c r="F1295" i="3"/>
  <c r="I1295" i="3" s="1"/>
  <c r="J1295" i="3" s="1"/>
  <c r="F1296" i="3"/>
  <c r="I1296" i="3" s="1"/>
  <c r="J1296" i="3" s="1"/>
  <c r="F1297" i="3"/>
  <c r="I1297" i="3" s="1"/>
  <c r="J1297" i="3" s="1"/>
  <c r="F1298" i="3"/>
  <c r="I1298" i="3" s="1"/>
  <c r="J1298" i="3" s="1"/>
  <c r="F1299" i="3"/>
  <c r="I1299" i="3" s="1"/>
  <c r="J1299" i="3" s="1"/>
  <c r="F1300" i="3"/>
  <c r="I1300" i="3" s="1"/>
  <c r="J1300" i="3" s="1"/>
  <c r="F1301" i="3"/>
  <c r="I1301" i="3" s="1"/>
  <c r="J1301" i="3" s="1"/>
  <c r="F1302" i="3"/>
  <c r="I1302" i="3" s="1"/>
  <c r="J1302" i="3" s="1"/>
  <c r="F1303" i="3"/>
  <c r="I1303" i="3" s="1"/>
  <c r="J1303" i="3" s="1"/>
  <c r="F1304" i="3"/>
  <c r="I1304" i="3" s="1"/>
  <c r="J1304" i="3" s="1"/>
  <c r="F1305" i="3"/>
  <c r="I1305" i="3" s="1"/>
  <c r="J1305" i="3" s="1"/>
  <c r="F1306" i="3"/>
  <c r="I1306" i="3" s="1"/>
  <c r="J1306" i="3" s="1"/>
  <c r="F1307" i="3"/>
  <c r="I1307" i="3" s="1"/>
  <c r="J1307" i="3" s="1"/>
  <c r="F1308" i="3"/>
  <c r="I1308" i="3" s="1"/>
  <c r="J1308" i="3" s="1"/>
  <c r="F1309" i="3"/>
  <c r="I1309" i="3" s="1"/>
  <c r="J1309" i="3" s="1"/>
  <c r="F1310" i="3"/>
  <c r="I1310" i="3" s="1"/>
  <c r="J1310" i="3" s="1"/>
  <c r="F1311" i="3"/>
  <c r="I1311" i="3" s="1"/>
  <c r="J1311" i="3" s="1"/>
  <c r="F1312" i="3"/>
  <c r="I1312" i="3" s="1"/>
  <c r="J1312" i="3" s="1"/>
  <c r="F1313" i="3"/>
  <c r="I1313" i="3" s="1"/>
  <c r="J1313" i="3" s="1"/>
  <c r="F1314" i="3"/>
  <c r="I1314" i="3" s="1"/>
  <c r="J1314" i="3" s="1"/>
  <c r="F1315" i="3"/>
  <c r="I1315" i="3" s="1"/>
  <c r="J1315" i="3" s="1"/>
  <c r="F1316" i="3"/>
  <c r="I1316" i="3" s="1"/>
  <c r="J1316" i="3" s="1"/>
  <c r="F1317" i="3"/>
  <c r="I1317" i="3" s="1"/>
  <c r="J1317" i="3" s="1"/>
  <c r="F1318" i="3"/>
  <c r="I1318" i="3" s="1"/>
  <c r="J1318" i="3" s="1"/>
  <c r="F1319" i="3"/>
  <c r="I1319" i="3" s="1"/>
  <c r="J1319" i="3" s="1"/>
  <c r="F1320" i="3"/>
  <c r="I1320" i="3" s="1"/>
  <c r="J1320" i="3" s="1"/>
  <c r="F1321" i="3"/>
  <c r="I1321" i="3" s="1"/>
  <c r="J1321" i="3" s="1"/>
  <c r="F1322" i="3"/>
  <c r="I1322" i="3" s="1"/>
  <c r="J1322" i="3" s="1"/>
  <c r="F1323" i="3"/>
  <c r="I1323" i="3" s="1"/>
  <c r="J1323" i="3" s="1"/>
  <c r="F1324" i="3"/>
  <c r="I1324" i="3" s="1"/>
  <c r="J1324" i="3" s="1"/>
  <c r="F1325" i="3"/>
  <c r="I1325" i="3" s="1"/>
  <c r="J1325" i="3" s="1"/>
  <c r="F1326" i="3"/>
  <c r="I1326" i="3" s="1"/>
  <c r="J1326" i="3" s="1"/>
  <c r="F1327" i="3"/>
  <c r="I1327" i="3" s="1"/>
  <c r="J1327" i="3" s="1"/>
  <c r="F1328" i="3"/>
  <c r="I1328" i="3" s="1"/>
  <c r="J1328" i="3" s="1"/>
  <c r="F1329" i="3"/>
  <c r="I1329" i="3" s="1"/>
  <c r="J1329" i="3" s="1"/>
  <c r="F1330" i="3"/>
  <c r="I1330" i="3" s="1"/>
  <c r="J1330" i="3" s="1"/>
  <c r="F1331" i="3"/>
  <c r="I1331" i="3" s="1"/>
  <c r="J1331" i="3" s="1"/>
  <c r="F1332" i="3"/>
  <c r="I1332" i="3" s="1"/>
  <c r="J1332" i="3" s="1"/>
  <c r="F1333" i="3"/>
  <c r="I1333" i="3" s="1"/>
  <c r="J1333" i="3" s="1"/>
  <c r="F1334" i="3"/>
  <c r="I1334" i="3" s="1"/>
  <c r="J1334" i="3" s="1"/>
  <c r="F1335" i="3"/>
  <c r="I1335" i="3" s="1"/>
  <c r="J1335" i="3" s="1"/>
  <c r="F1336" i="3"/>
  <c r="I1336" i="3" s="1"/>
  <c r="J1336" i="3" s="1"/>
  <c r="F1337" i="3"/>
  <c r="I1337" i="3" s="1"/>
  <c r="J1337" i="3" s="1"/>
  <c r="F1338" i="3"/>
  <c r="I1338" i="3" s="1"/>
  <c r="J1338" i="3" s="1"/>
  <c r="F1339" i="3"/>
  <c r="I1339" i="3" s="1"/>
  <c r="J1339" i="3" s="1"/>
  <c r="F1340" i="3"/>
  <c r="I1340" i="3" s="1"/>
  <c r="J1340" i="3" s="1"/>
  <c r="F1341" i="3"/>
  <c r="I1341" i="3" s="1"/>
  <c r="J1341" i="3" s="1"/>
  <c r="F1342" i="3"/>
  <c r="I1342" i="3" s="1"/>
  <c r="J1342" i="3" s="1"/>
  <c r="F1343" i="3"/>
  <c r="I1343" i="3" s="1"/>
  <c r="J1343" i="3" s="1"/>
  <c r="F1344" i="3"/>
  <c r="I1344" i="3" s="1"/>
  <c r="J1344" i="3" s="1"/>
  <c r="F1345" i="3"/>
  <c r="I1345" i="3" s="1"/>
  <c r="J1345" i="3" s="1"/>
  <c r="F1346" i="3"/>
  <c r="I1346" i="3" s="1"/>
  <c r="J1346" i="3" s="1"/>
  <c r="F1347" i="3"/>
  <c r="I1347" i="3" s="1"/>
  <c r="J1347" i="3" s="1"/>
  <c r="F1348" i="3"/>
  <c r="I1348" i="3" s="1"/>
  <c r="J1348" i="3" s="1"/>
  <c r="F1349" i="3"/>
  <c r="I1349" i="3" s="1"/>
  <c r="J1349" i="3" s="1"/>
  <c r="F1350" i="3"/>
  <c r="I1350" i="3" s="1"/>
  <c r="J1350" i="3" s="1"/>
  <c r="F1351" i="3"/>
  <c r="I1351" i="3" s="1"/>
  <c r="J1351" i="3" s="1"/>
  <c r="F1352" i="3"/>
  <c r="I1352" i="3" s="1"/>
  <c r="J1352" i="3" s="1"/>
  <c r="F1353" i="3"/>
  <c r="I1353" i="3" s="1"/>
  <c r="J1353" i="3" s="1"/>
  <c r="F1354" i="3"/>
  <c r="I1354" i="3" s="1"/>
  <c r="J1354" i="3" s="1"/>
  <c r="F1355" i="3"/>
  <c r="I1355" i="3" s="1"/>
  <c r="J1355" i="3" s="1"/>
  <c r="F1356" i="3"/>
  <c r="I1356" i="3" s="1"/>
  <c r="J1356" i="3" s="1"/>
  <c r="F1357" i="3"/>
  <c r="I1357" i="3" s="1"/>
  <c r="J1357" i="3" s="1"/>
  <c r="F1358" i="3"/>
  <c r="I1358" i="3" s="1"/>
  <c r="J1358" i="3" s="1"/>
  <c r="F1359" i="3"/>
  <c r="I1359" i="3" s="1"/>
  <c r="J1359" i="3" s="1"/>
  <c r="F1360" i="3"/>
  <c r="I1360" i="3" s="1"/>
  <c r="J1360" i="3" s="1"/>
  <c r="F1361" i="3"/>
  <c r="I1361" i="3" s="1"/>
  <c r="J1361" i="3" s="1"/>
  <c r="F1362" i="3"/>
  <c r="I1362" i="3" s="1"/>
  <c r="J1362" i="3" s="1"/>
  <c r="F1363" i="3"/>
  <c r="I1363" i="3" s="1"/>
  <c r="J1363" i="3" s="1"/>
  <c r="F1364" i="3"/>
  <c r="I1364" i="3" s="1"/>
  <c r="J1364" i="3" s="1"/>
  <c r="F1365" i="3"/>
  <c r="I1365" i="3" s="1"/>
  <c r="J1365" i="3" s="1"/>
  <c r="F1366" i="3"/>
  <c r="I1366" i="3" s="1"/>
  <c r="J1366" i="3" s="1"/>
  <c r="F1367" i="3"/>
  <c r="I1367" i="3" s="1"/>
  <c r="J1367" i="3" s="1"/>
  <c r="F1368" i="3"/>
  <c r="I1368" i="3" s="1"/>
  <c r="J1368" i="3" s="1"/>
  <c r="F1369" i="3"/>
  <c r="I1369" i="3" s="1"/>
  <c r="J1369" i="3" s="1"/>
  <c r="F1370" i="3"/>
  <c r="I1370" i="3" s="1"/>
  <c r="J1370" i="3" s="1"/>
  <c r="F1371" i="3"/>
  <c r="I1371" i="3" s="1"/>
  <c r="J1371" i="3" s="1"/>
  <c r="F1372" i="3"/>
  <c r="I1372" i="3" s="1"/>
  <c r="J1372" i="3" s="1"/>
  <c r="F1373" i="3"/>
  <c r="I1373" i="3" s="1"/>
  <c r="J1373" i="3" s="1"/>
  <c r="F1374" i="3"/>
  <c r="I1374" i="3" s="1"/>
  <c r="J1374" i="3" s="1"/>
  <c r="F1375" i="3"/>
  <c r="I1375" i="3" s="1"/>
  <c r="J1375" i="3" s="1"/>
  <c r="F1376" i="3"/>
  <c r="I1376" i="3" s="1"/>
  <c r="J1376" i="3" s="1"/>
  <c r="F1377" i="3"/>
  <c r="I1377" i="3" s="1"/>
  <c r="J1377" i="3" s="1"/>
  <c r="F1378" i="3"/>
  <c r="I1378" i="3" s="1"/>
  <c r="J1378" i="3" s="1"/>
  <c r="F1379" i="3"/>
  <c r="I1379" i="3" s="1"/>
  <c r="J1379" i="3" s="1"/>
  <c r="F1380" i="3"/>
  <c r="I1380" i="3" s="1"/>
  <c r="J1380" i="3" s="1"/>
  <c r="F1381" i="3"/>
  <c r="I1381" i="3" s="1"/>
  <c r="J1381" i="3" s="1"/>
  <c r="F1382" i="3"/>
  <c r="I1382" i="3" s="1"/>
  <c r="J1382" i="3" s="1"/>
  <c r="F1383" i="3"/>
  <c r="I1383" i="3" s="1"/>
  <c r="J1383" i="3" s="1"/>
  <c r="F1384" i="3"/>
  <c r="I1384" i="3" s="1"/>
  <c r="J1384" i="3" s="1"/>
  <c r="F1385" i="3"/>
  <c r="I1385" i="3" s="1"/>
  <c r="J1385" i="3" s="1"/>
  <c r="F1386" i="3"/>
  <c r="I1386" i="3" s="1"/>
  <c r="J1386" i="3" s="1"/>
  <c r="F1387" i="3"/>
  <c r="I1387" i="3" s="1"/>
  <c r="J1387" i="3" s="1"/>
  <c r="F1388" i="3"/>
  <c r="I1388" i="3" s="1"/>
  <c r="J1388" i="3" s="1"/>
  <c r="F1389" i="3"/>
  <c r="I1389" i="3" s="1"/>
  <c r="J1389" i="3" s="1"/>
  <c r="F1390" i="3"/>
  <c r="I1390" i="3" s="1"/>
  <c r="J1390" i="3" s="1"/>
  <c r="F1391" i="3"/>
  <c r="I1391" i="3" s="1"/>
  <c r="J1391" i="3" s="1"/>
  <c r="F1392" i="3"/>
  <c r="I1392" i="3" s="1"/>
  <c r="J1392" i="3" s="1"/>
  <c r="F1393" i="3"/>
  <c r="I1393" i="3" s="1"/>
  <c r="J1393" i="3" s="1"/>
  <c r="F1394" i="3"/>
  <c r="I1394" i="3" s="1"/>
  <c r="J1394" i="3" s="1"/>
  <c r="F1395" i="3"/>
  <c r="I1395" i="3" s="1"/>
  <c r="J1395" i="3" s="1"/>
  <c r="F1396" i="3"/>
  <c r="I1396" i="3" s="1"/>
  <c r="J1396" i="3" s="1"/>
  <c r="F1397" i="3"/>
  <c r="I1397" i="3" s="1"/>
  <c r="J1397" i="3" s="1"/>
  <c r="F1398" i="3"/>
  <c r="I1398" i="3" s="1"/>
  <c r="J1398" i="3" s="1"/>
  <c r="F1399" i="3"/>
  <c r="I1399" i="3" s="1"/>
  <c r="J1399" i="3" s="1"/>
  <c r="F1400" i="3"/>
  <c r="I1400" i="3" s="1"/>
  <c r="J1400" i="3" s="1"/>
  <c r="F1401" i="3"/>
  <c r="I1401" i="3" s="1"/>
  <c r="J1401" i="3" s="1"/>
  <c r="F1402" i="3"/>
  <c r="I1402" i="3" s="1"/>
  <c r="J1402" i="3" s="1"/>
  <c r="F1403" i="3"/>
  <c r="I1403" i="3" s="1"/>
  <c r="J1403" i="3" s="1"/>
  <c r="F1404" i="3"/>
  <c r="I1404" i="3" s="1"/>
  <c r="J1404" i="3" s="1"/>
  <c r="F1405" i="3"/>
  <c r="I1405" i="3" s="1"/>
  <c r="J1405" i="3" s="1"/>
  <c r="F1406" i="3"/>
  <c r="I1406" i="3" s="1"/>
  <c r="J1406" i="3" s="1"/>
  <c r="F1407" i="3"/>
  <c r="I1407" i="3" s="1"/>
  <c r="J1407" i="3" s="1"/>
  <c r="F1408" i="3"/>
  <c r="I1408" i="3" s="1"/>
  <c r="J1408" i="3" s="1"/>
  <c r="F1409" i="3"/>
  <c r="I1409" i="3" s="1"/>
  <c r="J1409" i="3" s="1"/>
  <c r="F1410" i="3"/>
  <c r="I1410" i="3" s="1"/>
  <c r="J1410" i="3" s="1"/>
  <c r="F1411" i="3"/>
  <c r="I1411" i="3" s="1"/>
  <c r="J1411" i="3" s="1"/>
  <c r="F1412" i="3"/>
  <c r="I1412" i="3" s="1"/>
  <c r="J1412" i="3" s="1"/>
  <c r="F1413" i="3"/>
  <c r="I1413" i="3" s="1"/>
  <c r="J1413" i="3" s="1"/>
  <c r="F1414" i="3"/>
  <c r="I1414" i="3" s="1"/>
  <c r="J1414" i="3" s="1"/>
  <c r="F1415" i="3"/>
  <c r="I1415" i="3" s="1"/>
  <c r="J1415" i="3" s="1"/>
  <c r="F1416" i="3"/>
  <c r="I1416" i="3" s="1"/>
  <c r="J1416" i="3" s="1"/>
  <c r="F1417" i="3"/>
  <c r="I1417" i="3" s="1"/>
  <c r="J1417" i="3" s="1"/>
  <c r="F1418" i="3"/>
  <c r="I1418" i="3" s="1"/>
  <c r="J1418" i="3" s="1"/>
  <c r="F1419" i="3"/>
  <c r="I1419" i="3" s="1"/>
  <c r="J1419" i="3" s="1"/>
  <c r="F1420" i="3"/>
  <c r="I1420" i="3" s="1"/>
  <c r="J1420" i="3" s="1"/>
  <c r="F1421" i="3"/>
  <c r="I1421" i="3" s="1"/>
  <c r="J1421" i="3" s="1"/>
  <c r="F1422" i="3"/>
  <c r="I1422" i="3" s="1"/>
  <c r="J1422" i="3" s="1"/>
  <c r="F1423" i="3"/>
  <c r="I1423" i="3" s="1"/>
  <c r="J1423" i="3" s="1"/>
  <c r="F1424" i="3"/>
  <c r="I1424" i="3" s="1"/>
  <c r="J1424" i="3" s="1"/>
  <c r="F1425" i="3"/>
  <c r="I1425" i="3" s="1"/>
  <c r="J1425" i="3" s="1"/>
  <c r="F1426" i="3"/>
  <c r="I1426" i="3" s="1"/>
  <c r="J1426" i="3" s="1"/>
  <c r="F1427" i="3"/>
  <c r="I1427" i="3" s="1"/>
  <c r="J1427" i="3" s="1"/>
  <c r="F1428" i="3"/>
  <c r="I1428" i="3" s="1"/>
  <c r="J1428" i="3" s="1"/>
  <c r="F1429" i="3"/>
  <c r="I1429" i="3" s="1"/>
  <c r="J1429" i="3" s="1"/>
  <c r="F1430" i="3"/>
  <c r="I1430" i="3" s="1"/>
  <c r="J1430" i="3" s="1"/>
  <c r="F1431" i="3"/>
  <c r="I1431" i="3" s="1"/>
  <c r="J1431" i="3" s="1"/>
  <c r="F1432" i="3"/>
  <c r="I1432" i="3" s="1"/>
  <c r="J1432" i="3" s="1"/>
  <c r="F1433" i="3"/>
  <c r="I1433" i="3" s="1"/>
  <c r="J1433" i="3" s="1"/>
  <c r="F1434" i="3"/>
  <c r="I1434" i="3" s="1"/>
  <c r="J1434" i="3" s="1"/>
  <c r="F1435" i="3"/>
  <c r="I1435" i="3" s="1"/>
  <c r="J1435" i="3" s="1"/>
  <c r="F1436" i="3"/>
  <c r="I1436" i="3" s="1"/>
  <c r="J1436" i="3" s="1"/>
  <c r="F1437" i="3"/>
  <c r="I1437" i="3" s="1"/>
  <c r="J1437" i="3" s="1"/>
  <c r="F1438" i="3"/>
  <c r="I1438" i="3" s="1"/>
  <c r="J1438" i="3" s="1"/>
  <c r="F1439" i="3"/>
  <c r="I1439" i="3" s="1"/>
  <c r="J1439" i="3" s="1"/>
  <c r="F1440" i="3"/>
  <c r="I1440" i="3" s="1"/>
  <c r="J1440" i="3" s="1"/>
  <c r="F1441" i="3"/>
  <c r="I1441" i="3" s="1"/>
  <c r="J1441" i="3" s="1"/>
  <c r="F1442" i="3"/>
  <c r="I1442" i="3" s="1"/>
  <c r="J1442" i="3" s="1"/>
  <c r="F1443" i="3"/>
  <c r="I1443" i="3" s="1"/>
  <c r="J1443" i="3" s="1"/>
  <c r="F1444" i="3"/>
  <c r="I1444" i="3" s="1"/>
  <c r="J1444" i="3" s="1"/>
  <c r="F1445" i="3"/>
  <c r="I1445" i="3" s="1"/>
  <c r="J1445" i="3" s="1"/>
  <c r="F1446" i="3"/>
  <c r="I1446" i="3" s="1"/>
  <c r="J1446" i="3" s="1"/>
  <c r="F1447" i="3"/>
  <c r="I1447" i="3" s="1"/>
  <c r="J1447" i="3" s="1"/>
  <c r="F1448" i="3"/>
  <c r="I1448" i="3" s="1"/>
  <c r="J1448" i="3" s="1"/>
  <c r="F1449" i="3"/>
  <c r="I1449" i="3" s="1"/>
  <c r="J1449" i="3" s="1"/>
  <c r="F1450" i="3"/>
  <c r="I1450" i="3" s="1"/>
  <c r="J1450" i="3" s="1"/>
  <c r="F1451" i="3"/>
  <c r="I1451" i="3" s="1"/>
  <c r="J1451" i="3" s="1"/>
  <c r="F1452" i="3"/>
  <c r="I1452" i="3" s="1"/>
  <c r="J1452" i="3" s="1"/>
  <c r="F1453" i="3"/>
  <c r="I1453" i="3" s="1"/>
  <c r="J1453" i="3" s="1"/>
  <c r="F1454" i="3"/>
  <c r="I1454" i="3" s="1"/>
  <c r="J1454" i="3" s="1"/>
  <c r="F1455" i="3"/>
  <c r="I1455" i="3" s="1"/>
  <c r="J1455" i="3" s="1"/>
  <c r="F1456" i="3"/>
  <c r="I1456" i="3" s="1"/>
  <c r="J1456" i="3" s="1"/>
  <c r="F1457" i="3"/>
  <c r="I1457" i="3" s="1"/>
  <c r="J1457" i="3" s="1"/>
  <c r="F1458" i="3"/>
  <c r="I1458" i="3" s="1"/>
  <c r="J1458" i="3" s="1"/>
  <c r="F1459" i="3"/>
  <c r="I1459" i="3" s="1"/>
  <c r="J1459" i="3" s="1"/>
  <c r="F1460" i="3"/>
  <c r="I1460" i="3" s="1"/>
  <c r="J1460" i="3" s="1"/>
  <c r="F1461" i="3"/>
  <c r="I1461" i="3" s="1"/>
  <c r="J1461" i="3" s="1"/>
  <c r="F1462" i="3"/>
  <c r="I1462" i="3" s="1"/>
  <c r="J1462" i="3" s="1"/>
  <c r="F1463" i="3"/>
  <c r="I1463" i="3" s="1"/>
  <c r="J1463" i="3" s="1"/>
  <c r="F1464" i="3"/>
  <c r="I1464" i="3" s="1"/>
  <c r="J1464" i="3" s="1"/>
  <c r="F1465" i="3"/>
  <c r="I1465" i="3" s="1"/>
  <c r="J1465" i="3" s="1"/>
  <c r="F1466" i="3"/>
  <c r="I1466" i="3" s="1"/>
  <c r="J1466" i="3" s="1"/>
  <c r="F1467" i="3"/>
  <c r="I1467" i="3" s="1"/>
  <c r="J1467" i="3" s="1"/>
  <c r="F1468" i="3"/>
  <c r="I1468" i="3" s="1"/>
  <c r="J1468" i="3" s="1"/>
  <c r="F1469" i="3"/>
  <c r="I1469" i="3" s="1"/>
  <c r="J1469" i="3" s="1"/>
  <c r="F1470" i="3"/>
  <c r="I1470" i="3" s="1"/>
  <c r="J1470" i="3" s="1"/>
  <c r="F1471" i="3"/>
  <c r="I1471" i="3" s="1"/>
  <c r="J1471" i="3" s="1"/>
  <c r="F1472" i="3"/>
  <c r="I1472" i="3" s="1"/>
  <c r="J1472" i="3" s="1"/>
  <c r="F1473" i="3"/>
  <c r="I1473" i="3" s="1"/>
  <c r="J1473" i="3" s="1"/>
  <c r="F1474" i="3"/>
  <c r="I1474" i="3" s="1"/>
  <c r="J1474" i="3" s="1"/>
  <c r="F1475" i="3"/>
  <c r="I1475" i="3" s="1"/>
  <c r="J1475" i="3" s="1"/>
  <c r="F1476" i="3"/>
  <c r="I1476" i="3" s="1"/>
  <c r="J1476" i="3" s="1"/>
  <c r="F1477" i="3"/>
  <c r="I1477" i="3" s="1"/>
  <c r="J1477" i="3" s="1"/>
  <c r="F1478" i="3"/>
  <c r="I1478" i="3" s="1"/>
  <c r="J1478" i="3" s="1"/>
  <c r="F1479" i="3"/>
  <c r="I1479" i="3" s="1"/>
  <c r="J1479" i="3" s="1"/>
  <c r="F1480" i="3"/>
  <c r="I1480" i="3" s="1"/>
  <c r="J1480" i="3" s="1"/>
  <c r="F1481" i="3"/>
  <c r="I1481" i="3" s="1"/>
  <c r="J1481" i="3" s="1"/>
  <c r="F1482" i="3"/>
  <c r="I1482" i="3" s="1"/>
  <c r="J1482" i="3" s="1"/>
  <c r="F1483" i="3"/>
  <c r="I1483" i="3" s="1"/>
  <c r="J1483" i="3" s="1"/>
  <c r="F1484" i="3"/>
  <c r="I1484" i="3" s="1"/>
  <c r="J1484" i="3" s="1"/>
  <c r="F1485" i="3"/>
  <c r="I1485" i="3" s="1"/>
  <c r="J1485" i="3" s="1"/>
  <c r="F1486" i="3"/>
  <c r="I1486" i="3" s="1"/>
  <c r="J1486" i="3" s="1"/>
  <c r="F1487" i="3"/>
  <c r="I1487" i="3" s="1"/>
  <c r="J1487" i="3" s="1"/>
  <c r="F1488" i="3"/>
  <c r="I1488" i="3" s="1"/>
  <c r="J1488" i="3" s="1"/>
  <c r="F1489" i="3"/>
  <c r="I1489" i="3" s="1"/>
  <c r="J1489" i="3" s="1"/>
  <c r="F1490" i="3"/>
  <c r="I1490" i="3" s="1"/>
  <c r="J1490" i="3" s="1"/>
  <c r="F1491" i="3"/>
  <c r="I1491" i="3" s="1"/>
  <c r="J1491" i="3" s="1"/>
  <c r="F1492" i="3"/>
  <c r="I1492" i="3" s="1"/>
  <c r="J1492" i="3" s="1"/>
  <c r="F1493" i="3"/>
  <c r="I1493" i="3" s="1"/>
  <c r="J1493" i="3" s="1"/>
  <c r="F1494" i="3"/>
  <c r="I1494" i="3" s="1"/>
  <c r="J1494" i="3" s="1"/>
  <c r="F1495" i="3"/>
  <c r="I1495" i="3" s="1"/>
  <c r="J1495" i="3" s="1"/>
  <c r="F1496" i="3"/>
  <c r="I1496" i="3" s="1"/>
  <c r="J1496" i="3" s="1"/>
  <c r="F1497" i="3"/>
  <c r="I1497" i="3" s="1"/>
  <c r="J1497" i="3" s="1"/>
  <c r="F1498" i="3"/>
  <c r="I1498" i="3" s="1"/>
  <c r="J1498" i="3" s="1"/>
  <c r="F1499" i="3"/>
  <c r="I1499" i="3" s="1"/>
  <c r="J1499" i="3" s="1"/>
  <c r="F1500" i="3"/>
  <c r="I1500" i="3" s="1"/>
  <c r="J1500" i="3" s="1"/>
  <c r="F1501" i="3"/>
  <c r="I1501" i="3" s="1"/>
  <c r="J1501" i="3" s="1"/>
  <c r="F1502" i="3"/>
  <c r="I1502" i="3" s="1"/>
  <c r="J1502" i="3" s="1"/>
  <c r="F1503" i="3"/>
  <c r="I1503" i="3" s="1"/>
  <c r="J1503" i="3" s="1"/>
  <c r="F1504" i="3"/>
  <c r="I1504" i="3" s="1"/>
  <c r="J1504" i="3" s="1"/>
  <c r="F1505" i="3"/>
  <c r="I1505" i="3" s="1"/>
  <c r="J1505" i="3" s="1"/>
  <c r="F1506" i="3"/>
  <c r="I1506" i="3" s="1"/>
  <c r="J1506" i="3" s="1"/>
  <c r="F1507" i="3"/>
  <c r="I1507" i="3" s="1"/>
  <c r="J1507" i="3" s="1"/>
  <c r="F1508" i="3"/>
  <c r="I1508" i="3" s="1"/>
  <c r="J1508" i="3" s="1"/>
  <c r="F1509" i="3"/>
  <c r="I1509" i="3" s="1"/>
  <c r="J1509" i="3" s="1"/>
  <c r="F1510" i="3"/>
  <c r="I1510" i="3" s="1"/>
  <c r="J1510" i="3" s="1"/>
  <c r="F1511" i="3"/>
  <c r="I1511" i="3" s="1"/>
  <c r="J1511" i="3" s="1"/>
  <c r="F1512" i="3"/>
  <c r="I1512" i="3" s="1"/>
  <c r="J1512" i="3" s="1"/>
  <c r="F1513" i="3"/>
  <c r="I1513" i="3" s="1"/>
  <c r="J1513" i="3" s="1"/>
  <c r="F1514" i="3"/>
  <c r="I1514" i="3" s="1"/>
  <c r="J1514" i="3" s="1"/>
  <c r="F1515" i="3"/>
  <c r="I1515" i="3" s="1"/>
  <c r="J1515" i="3" s="1"/>
  <c r="F1516" i="3"/>
  <c r="I1516" i="3" s="1"/>
  <c r="J1516" i="3" s="1"/>
  <c r="F1517" i="3"/>
  <c r="I1517" i="3" s="1"/>
  <c r="J1517" i="3" s="1"/>
  <c r="F1518" i="3"/>
  <c r="I1518" i="3" s="1"/>
  <c r="J1518" i="3" s="1"/>
  <c r="F1519" i="3"/>
  <c r="I1519" i="3" s="1"/>
  <c r="J1519" i="3" s="1"/>
  <c r="F1520" i="3"/>
  <c r="I1520" i="3" s="1"/>
  <c r="J1520" i="3" s="1"/>
  <c r="F1521" i="3"/>
  <c r="I1521" i="3" s="1"/>
  <c r="J1521" i="3" s="1"/>
  <c r="F1522" i="3"/>
  <c r="I1522" i="3" s="1"/>
  <c r="J1522" i="3" s="1"/>
  <c r="F1523" i="3"/>
  <c r="I1523" i="3" s="1"/>
  <c r="J1523" i="3" s="1"/>
  <c r="F1524" i="3"/>
  <c r="I1524" i="3" s="1"/>
  <c r="J1524" i="3" s="1"/>
  <c r="F1525" i="3"/>
  <c r="I1525" i="3" s="1"/>
  <c r="J1525" i="3" s="1"/>
  <c r="F1526" i="3"/>
  <c r="I1526" i="3" s="1"/>
  <c r="J1526" i="3" s="1"/>
  <c r="F1527" i="3"/>
  <c r="I1527" i="3" s="1"/>
  <c r="J1527" i="3" s="1"/>
  <c r="F1528" i="3"/>
  <c r="I1528" i="3" s="1"/>
  <c r="J1528" i="3" s="1"/>
  <c r="F1529" i="3"/>
  <c r="I1529" i="3" s="1"/>
  <c r="J1529" i="3" s="1"/>
  <c r="F1530" i="3"/>
  <c r="I1530" i="3" s="1"/>
  <c r="J1530" i="3" s="1"/>
  <c r="F1531" i="3"/>
  <c r="I1531" i="3" s="1"/>
  <c r="J1531" i="3" s="1"/>
  <c r="F1532" i="3"/>
  <c r="I1532" i="3" s="1"/>
  <c r="J1532" i="3" s="1"/>
  <c r="F1533" i="3"/>
  <c r="I1533" i="3" s="1"/>
  <c r="J1533" i="3" s="1"/>
  <c r="F1534" i="3"/>
  <c r="I1534" i="3" s="1"/>
  <c r="J1534" i="3" s="1"/>
  <c r="F1535" i="3"/>
  <c r="I1535" i="3" s="1"/>
  <c r="J1535" i="3" s="1"/>
  <c r="F1536" i="3"/>
  <c r="I1536" i="3" s="1"/>
  <c r="J1536" i="3" s="1"/>
  <c r="F1537" i="3"/>
  <c r="I1537" i="3" s="1"/>
  <c r="J1537" i="3" s="1"/>
  <c r="F1538" i="3"/>
  <c r="I1538" i="3" s="1"/>
  <c r="J1538" i="3" s="1"/>
  <c r="F1539" i="3"/>
  <c r="I1539" i="3" s="1"/>
  <c r="J1539" i="3" s="1"/>
  <c r="F1540" i="3"/>
  <c r="I1540" i="3" s="1"/>
  <c r="J1540" i="3" s="1"/>
  <c r="F1541" i="3"/>
  <c r="I1541" i="3" s="1"/>
  <c r="J1541" i="3" s="1"/>
  <c r="F1542" i="3"/>
  <c r="I1542" i="3" s="1"/>
  <c r="J1542" i="3" s="1"/>
  <c r="F1543" i="3"/>
  <c r="I1543" i="3" s="1"/>
  <c r="J1543" i="3" s="1"/>
  <c r="F1544" i="3"/>
  <c r="I1544" i="3" s="1"/>
  <c r="J1544" i="3" s="1"/>
  <c r="F1545" i="3"/>
  <c r="I1545" i="3" s="1"/>
  <c r="J1545" i="3" s="1"/>
  <c r="F1546" i="3"/>
  <c r="I1546" i="3" s="1"/>
  <c r="J1546" i="3" s="1"/>
  <c r="F1547" i="3"/>
  <c r="I1547" i="3" s="1"/>
  <c r="J1547" i="3" s="1"/>
  <c r="F1548" i="3"/>
  <c r="I1548" i="3" s="1"/>
  <c r="J1548" i="3" s="1"/>
  <c r="F1549" i="3"/>
  <c r="I1549" i="3" s="1"/>
  <c r="J1549" i="3" s="1"/>
  <c r="F1550" i="3"/>
  <c r="I1550" i="3" s="1"/>
  <c r="J1550" i="3" s="1"/>
  <c r="F1551" i="3"/>
  <c r="I1551" i="3" s="1"/>
  <c r="J1551" i="3" s="1"/>
  <c r="F1552" i="3"/>
  <c r="I1552" i="3" s="1"/>
  <c r="J1552" i="3" s="1"/>
  <c r="F1553" i="3"/>
  <c r="I1553" i="3" s="1"/>
  <c r="J1553" i="3" s="1"/>
  <c r="F1554" i="3"/>
  <c r="I1554" i="3" s="1"/>
  <c r="J1554" i="3" s="1"/>
  <c r="F1555" i="3"/>
  <c r="I1555" i="3" s="1"/>
  <c r="J1555" i="3" s="1"/>
  <c r="F1556" i="3"/>
  <c r="I1556" i="3" s="1"/>
  <c r="J1556" i="3" s="1"/>
  <c r="F1557" i="3"/>
  <c r="I1557" i="3" s="1"/>
  <c r="J1557" i="3" s="1"/>
  <c r="F1558" i="3"/>
  <c r="I1558" i="3" s="1"/>
  <c r="J1558" i="3" s="1"/>
  <c r="F1559" i="3"/>
  <c r="I1559" i="3" s="1"/>
  <c r="J1559" i="3" s="1"/>
  <c r="F1560" i="3"/>
  <c r="I1560" i="3" s="1"/>
  <c r="J1560" i="3" s="1"/>
  <c r="F1561" i="3"/>
  <c r="I1561" i="3" s="1"/>
  <c r="J1561" i="3" s="1"/>
  <c r="F1562" i="3"/>
  <c r="I1562" i="3" s="1"/>
  <c r="J1562" i="3" s="1"/>
  <c r="F1563" i="3"/>
  <c r="I1563" i="3" s="1"/>
  <c r="J1563" i="3" s="1"/>
  <c r="F1564" i="3"/>
  <c r="I1564" i="3" s="1"/>
  <c r="J1564" i="3" s="1"/>
  <c r="F1565" i="3"/>
  <c r="I1565" i="3" s="1"/>
  <c r="J1565" i="3" s="1"/>
  <c r="F1566" i="3"/>
  <c r="I1566" i="3" s="1"/>
  <c r="J1566" i="3" s="1"/>
  <c r="F1567" i="3"/>
  <c r="I1567" i="3" s="1"/>
  <c r="J1567" i="3" s="1"/>
  <c r="F1568" i="3"/>
  <c r="I1568" i="3" s="1"/>
  <c r="J1568" i="3" s="1"/>
  <c r="F1569" i="3"/>
  <c r="I1569" i="3" s="1"/>
  <c r="J1569" i="3" s="1"/>
  <c r="F1570" i="3"/>
  <c r="I1570" i="3" s="1"/>
  <c r="J1570" i="3" s="1"/>
  <c r="F1571" i="3"/>
  <c r="I1571" i="3" s="1"/>
  <c r="J1571" i="3" s="1"/>
  <c r="F1572" i="3"/>
  <c r="I1572" i="3" s="1"/>
  <c r="J1572" i="3" s="1"/>
  <c r="F1573" i="3"/>
  <c r="I1573" i="3" s="1"/>
  <c r="J1573" i="3" s="1"/>
  <c r="F1574" i="3"/>
  <c r="I1574" i="3" s="1"/>
  <c r="J1574" i="3" s="1"/>
  <c r="F1575" i="3"/>
  <c r="I1575" i="3" s="1"/>
  <c r="J1575" i="3" s="1"/>
  <c r="F1576" i="3"/>
  <c r="I1576" i="3" s="1"/>
  <c r="J1576" i="3" s="1"/>
  <c r="F1577" i="3"/>
  <c r="I1577" i="3" s="1"/>
  <c r="J1577" i="3" s="1"/>
  <c r="F1578" i="3"/>
  <c r="I1578" i="3" s="1"/>
  <c r="J1578" i="3" s="1"/>
  <c r="F1579" i="3"/>
  <c r="I1579" i="3" s="1"/>
  <c r="J1579" i="3" s="1"/>
  <c r="F1580" i="3"/>
  <c r="I1580" i="3" s="1"/>
  <c r="J1580" i="3" s="1"/>
  <c r="F1581" i="3"/>
  <c r="I1581" i="3" s="1"/>
  <c r="J1581" i="3" s="1"/>
  <c r="F1582" i="3"/>
  <c r="I1582" i="3" s="1"/>
  <c r="J1582" i="3" s="1"/>
  <c r="F1583" i="3"/>
  <c r="I1583" i="3" s="1"/>
  <c r="J1583" i="3" s="1"/>
  <c r="F1584" i="3"/>
  <c r="I1584" i="3" s="1"/>
  <c r="J1584" i="3" s="1"/>
  <c r="F1585" i="3"/>
  <c r="I1585" i="3" s="1"/>
  <c r="J1585" i="3" s="1"/>
  <c r="F1586" i="3"/>
  <c r="I1586" i="3" s="1"/>
  <c r="J1586" i="3" s="1"/>
  <c r="F1587" i="3"/>
  <c r="I1587" i="3" s="1"/>
  <c r="J1587" i="3" s="1"/>
  <c r="F1588" i="3"/>
  <c r="I1588" i="3" s="1"/>
  <c r="J1588" i="3" s="1"/>
  <c r="F1589" i="3"/>
  <c r="I1589" i="3" s="1"/>
  <c r="J1589" i="3" s="1"/>
  <c r="F1590" i="3"/>
  <c r="I1590" i="3" s="1"/>
  <c r="J1590" i="3" s="1"/>
  <c r="F1591" i="3"/>
  <c r="I1591" i="3" s="1"/>
  <c r="J1591" i="3" s="1"/>
  <c r="F1592" i="3"/>
  <c r="I1592" i="3" s="1"/>
  <c r="J1592" i="3" s="1"/>
  <c r="F1593" i="3"/>
  <c r="I1593" i="3" s="1"/>
  <c r="J1593" i="3" s="1"/>
  <c r="F1594" i="3"/>
  <c r="I1594" i="3" s="1"/>
  <c r="J1594" i="3" s="1"/>
  <c r="F1595" i="3"/>
  <c r="I1595" i="3" s="1"/>
  <c r="J1595" i="3" s="1"/>
  <c r="F1596" i="3"/>
  <c r="I1596" i="3" s="1"/>
  <c r="J1596" i="3" s="1"/>
  <c r="F1597" i="3"/>
  <c r="I1597" i="3" s="1"/>
  <c r="J1597" i="3" s="1"/>
  <c r="F1598" i="3"/>
  <c r="I1598" i="3" s="1"/>
  <c r="J1598" i="3" s="1"/>
  <c r="F1599" i="3"/>
  <c r="I1599" i="3" s="1"/>
  <c r="J1599" i="3" s="1"/>
  <c r="F1600" i="3"/>
  <c r="I1600" i="3" s="1"/>
  <c r="J1600" i="3" s="1"/>
  <c r="F1601" i="3"/>
  <c r="I1601" i="3" s="1"/>
  <c r="J1601" i="3" s="1"/>
  <c r="F1602" i="3"/>
  <c r="I1602" i="3" s="1"/>
  <c r="J1602" i="3" s="1"/>
  <c r="F1603" i="3"/>
  <c r="I1603" i="3" s="1"/>
  <c r="J1603" i="3" s="1"/>
  <c r="F1604" i="3"/>
  <c r="I1604" i="3" s="1"/>
  <c r="J1604" i="3" s="1"/>
  <c r="F1605" i="3"/>
  <c r="I1605" i="3" s="1"/>
  <c r="J1605" i="3" s="1"/>
  <c r="F1606" i="3"/>
  <c r="I1606" i="3" s="1"/>
  <c r="J1606" i="3" s="1"/>
  <c r="F1607" i="3"/>
  <c r="I1607" i="3" s="1"/>
  <c r="J1607" i="3" s="1"/>
  <c r="F1608" i="3"/>
  <c r="I1608" i="3" s="1"/>
  <c r="J1608" i="3" s="1"/>
  <c r="F1609" i="3"/>
  <c r="I1609" i="3" s="1"/>
  <c r="J1609" i="3" s="1"/>
  <c r="F1610" i="3"/>
  <c r="I1610" i="3" s="1"/>
  <c r="J1610" i="3" s="1"/>
  <c r="F1611" i="3"/>
  <c r="I1611" i="3" s="1"/>
  <c r="J1611" i="3" s="1"/>
  <c r="F1612" i="3"/>
  <c r="I1612" i="3" s="1"/>
  <c r="J1612" i="3" s="1"/>
  <c r="F1613" i="3"/>
  <c r="I1613" i="3" s="1"/>
  <c r="J1613" i="3" s="1"/>
  <c r="F1614" i="3"/>
  <c r="I1614" i="3" s="1"/>
  <c r="J1614" i="3" s="1"/>
  <c r="F1615" i="3"/>
  <c r="I1615" i="3" s="1"/>
  <c r="J1615" i="3" s="1"/>
  <c r="F1616" i="3"/>
  <c r="I1616" i="3" s="1"/>
  <c r="J1616" i="3" s="1"/>
  <c r="F1617" i="3"/>
  <c r="I1617" i="3" s="1"/>
  <c r="J1617" i="3" s="1"/>
  <c r="F1618" i="3"/>
  <c r="I1618" i="3" s="1"/>
  <c r="J1618" i="3" s="1"/>
  <c r="F1619" i="3"/>
  <c r="I1619" i="3" s="1"/>
  <c r="J1619" i="3" s="1"/>
  <c r="F1620" i="3"/>
  <c r="I1620" i="3" s="1"/>
  <c r="J1620" i="3" s="1"/>
  <c r="F1621" i="3"/>
  <c r="I1621" i="3" s="1"/>
  <c r="J1621" i="3" s="1"/>
  <c r="F1622" i="3"/>
  <c r="I1622" i="3" s="1"/>
  <c r="J1622" i="3" s="1"/>
  <c r="F1623" i="3"/>
  <c r="I1623" i="3" s="1"/>
  <c r="J1623" i="3" s="1"/>
  <c r="F1624" i="3"/>
  <c r="I1624" i="3" s="1"/>
  <c r="J1624" i="3" s="1"/>
  <c r="F1625" i="3"/>
  <c r="I1625" i="3" s="1"/>
  <c r="J1625" i="3" s="1"/>
  <c r="F1626" i="3"/>
  <c r="I1626" i="3" s="1"/>
  <c r="J1626" i="3" s="1"/>
  <c r="F1627" i="3"/>
  <c r="I1627" i="3" s="1"/>
  <c r="J1627" i="3" s="1"/>
  <c r="F1628" i="3"/>
  <c r="I1628" i="3" s="1"/>
  <c r="J1628" i="3" s="1"/>
  <c r="F1629" i="3"/>
  <c r="I1629" i="3" s="1"/>
  <c r="J1629" i="3" s="1"/>
  <c r="F1630" i="3"/>
  <c r="I1630" i="3" s="1"/>
  <c r="J1630" i="3" s="1"/>
  <c r="F1631" i="3"/>
  <c r="I1631" i="3" s="1"/>
  <c r="J1631" i="3" s="1"/>
  <c r="F1632" i="3"/>
  <c r="I1632" i="3" s="1"/>
  <c r="J1632" i="3" s="1"/>
  <c r="F1633" i="3"/>
  <c r="I1633" i="3" s="1"/>
  <c r="J1633" i="3" s="1"/>
  <c r="F1634" i="3"/>
  <c r="I1634" i="3" s="1"/>
  <c r="J1634" i="3" s="1"/>
  <c r="F1635" i="3"/>
  <c r="I1635" i="3" s="1"/>
  <c r="J1635" i="3" s="1"/>
  <c r="F1636" i="3"/>
  <c r="I1636" i="3" s="1"/>
  <c r="J1636" i="3" s="1"/>
  <c r="F1637" i="3"/>
  <c r="I1637" i="3" s="1"/>
  <c r="J1637" i="3" s="1"/>
  <c r="F1638" i="3"/>
  <c r="I1638" i="3" s="1"/>
  <c r="J1638" i="3" s="1"/>
  <c r="F1639" i="3"/>
  <c r="I1639" i="3" s="1"/>
  <c r="J1639" i="3" s="1"/>
  <c r="F1640" i="3"/>
  <c r="I1640" i="3" s="1"/>
  <c r="J1640" i="3" s="1"/>
  <c r="F1641" i="3"/>
  <c r="I1641" i="3" s="1"/>
  <c r="J1641" i="3" s="1"/>
  <c r="F1642" i="3"/>
  <c r="I1642" i="3" s="1"/>
  <c r="J1642" i="3" s="1"/>
  <c r="F1643" i="3"/>
  <c r="I1643" i="3" s="1"/>
  <c r="J1643" i="3" s="1"/>
  <c r="F1644" i="3"/>
  <c r="I1644" i="3" s="1"/>
  <c r="J1644" i="3" s="1"/>
  <c r="F1645" i="3"/>
  <c r="I1645" i="3" s="1"/>
  <c r="J1645" i="3" s="1"/>
  <c r="F1646" i="3"/>
  <c r="I1646" i="3" s="1"/>
  <c r="J1646" i="3" s="1"/>
  <c r="F1647" i="3"/>
  <c r="I1647" i="3" s="1"/>
  <c r="J1647" i="3" s="1"/>
  <c r="F1648" i="3"/>
  <c r="I1648" i="3" s="1"/>
  <c r="J1648" i="3" s="1"/>
  <c r="F1649" i="3"/>
  <c r="I1649" i="3" s="1"/>
  <c r="J1649" i="3" s="1"/>
  <c r="F1650" i="3"/>
  <c r="I1650" i="3" s="1"/>
  <c r="J1650" i="3" s="1"/>
  <c r="F1651" i="3"/>
  <c r="I1651" i="3" s="1"/>
  <c r="J1651" i="3" s="1"/>
  <c r="F1652" i="3"/>
  <c r="I1652" i="3" s="1"/>
  <c r="J1652" i="3" s="1"/>
  <c r="F1653" i="3"/>
  <c r="I1653" i="3" s="1"/>
  <c r="J1653" i="3" s="1"/>
  <c r="F1654" i="3"/>
  <c r="I1654" i="3" s="1"/>
  <c r="J1654" i="3" s="1"/>
  <c r="F1655" i="3"/>
  <c r="I1655" i="3" s="1"/>
  <c r="J1655" i="3" s="1"/>
  <c r="F1656" i="3"/>
  <c r="I1656" i="3" s="1"/>
  <c r="J1656" i="3" s="1"/>
  <c r="F1657" i="3"/>
  <c r="I1657" i="3" s="1"/>
  <c r="J1657" i="3" s="1"/>
  <c r="F1658" i="3"/>
  <c r="I1658" i="3" s="1"/>
  <c r="J1658" i="3" s="1"/>
  <c r="F1659" i="3"/>
  <c r="I1659" i="3" s="1"/>
  <c r="J1659" i="3" s="1"/>
  <c r="F1660" i="3"/>
  <c r="I1660" i="3" s="1"/>
  <c r="J1660" i="3" s="1"/>
  <c r="F1661" i="3"/>
  <c r="I1661" i="3" s="1"/>
  <c r="J1661" i="3" s="1"/>
  <c r="F1662" i="3"/>
  <c r="I1662" i="3" s="1"/>
  <c r="J1662" i="3" s="1"/>
  <c r="F1663" i="3"/>
  <c r="I1663" i="3" s="1"/>
  <c r="J1663" i="3" s="1"/>
  <c r="F1664" i="3"/>
  <c r="I1664" i="3" s="1"/>
  <c r="J1664" i="3" s="1"/>
  <c r="F1665" i="3"/>
  <c r="I1665" i="3" s="1"/>
  <c r="J1665" i="3" s="1"/>
  <c r="F1666" i="3"/>
  <c r="I1666" i="3" s="1"/>
  <c r="J1666" i="3" s="1"/>
  <c r="F1667" i="3"/>
  <c r="I1667" i="3" s="1"/>
  <c r="J1667" i="3" s="1"/>
  <c r="F1668" i="3"/>
  <c r="I1668" i="3" s="1"/>
  <c r="J1668" i="3" s="1"/>
  <c r="F1669" i="3"/>
  <c r="I1669" i="3" s="1"/>
  <c r="J1669" i="3" s="1"/>
  <c r="F1670" i="3"/>
  <c r="I1670" i="3" s="1"/>
  <c r="J1670" i="3" s="1"/>
  <c r="F1671" i="3"/>
  <c r="I1671" i="3" s="1"/>
  <c r="J1671" i="3" s="1"/>
  <c r="F1672" i="3"/>
  <c r="I1672" i="3" s="1"/>
  <c r="J1672" i="3" s="1"/>
  <c r="F1673" i="3"/>
  <c r="I1673" i="3" s="1"/>
  <c r="J1673" i="3" s="1"/>
  <c r="F1674" i="3"/>
  <c r="I1674" i="3" s="1"/>
  <c r="J1674" i="3" s="1"/>
  <c r="F1675" i="3"/>
  <c r="I1675" i="3" s="1"/>
  <c r="J1675" i="3" s="1"/>
  <c r="F1676" i="3"/>
  <c r="I1676" i="3" s="1"/>
  <c r="J1676" i="3" s="1"/>
  <c r="F1677" i="3"/>
  <c r="I1677" i="3" s="1"/>
  <c r="J1677" i="3" s="1"/>
  <c r="F1678" i="3"/>
  <c r="I1678" i="3" s="1"/>
  <c r="J1678" i="3" s="1"/>
  <c r="F1679" i="3"/>
  <c r="I1679" i="3" s="1"/>
  <c r="J1679" i="3" s="1"/>
  <c r="F1680" i="3"/>
  <c r="I1680" i="3" s="1"/>
  <c r="J1680" i="3" s="1"/>
  <c r="F1681" i="3"/>
  <c r="I1681" i="3" s="1"/>
  <c r="J1681" i="3" s="1"/>
  <c r="F1682" i="3"/>
  <c r="I1682" i="3" s="1"/>
  <c r="J1682" i="3" s="1"/>
  <c r="F1683" i="3"/>
  <c r="I1683" i="3" s="1"/>
  <c r="J1683" i="3" s="1"/>
  <c r="F1684" i="3"/>
  <c r="I1684" i="3" s="1"/>
  <c r="J1684" i="3" s="1"/>
  <c r="F1685" i="3"/>
  <c r="I1685" i="3" s="1"/>
  <c r="J1685" i="3" s="1"/>
  <c r="F1686" i="3"/>
  <c r="I1686" i="3" s="1"/>
  <c r="J1686" i="3" s="1"/>
  <c r="F1687" i="3"/>
  <c r="I1687" i="3" s="1"/>
  <c r="J1687" i="3" s="1"/>
  <c r="F1688" i="3"/>
  <c r="I1688" i="3" s="1"/>
  <c r="J1688" i="3" s="1"/>
  <c r="F1689" i="3"/>
  <c r="I1689" i="3" s="1"/>
  <c r="J1689" i="3" s="1"/>
  <c r="F1690" i="3"/>
  <c r="I1690" i="3" s="1"/>
  <c r="J1690" i="3" s="1"/>
  <c r="F1691" i="3"/>
  <c r="I1691" i="3" s="1"/>
  <c r="J1691" i="3" s="1"/>
  <c r="F1692" i="3"/>
  <c r="I1692" i="3" s="1"/>
  <c r="J1692" i="3" s="1"/>
  <c r="F1693" i="3"/>
  <c r="I1693" i="3" s="1"/>
  <c r="J1693" i="3" s="1"/>
  <c r="F1694" i="3"/>
  <c r="I1694" i="3" s="1"/>
  <c r="J1694" i="3" s="1"/>
  <c r="F1695" i="3"/>
  <c r="I1695" i="3" s="1"/>
  <c r="J1695" i="3" s="1"/>
  <c r="F1696" i="3"/>
  <c r="I1696" i="3" s="1"/>
  <c r="J1696" i="3" s="1"/>
  <c r="F1697" i="3"/>
  <c r="I1697" i="3" s="1"/>
  <c r="J1697" i="3" s="1"/>
  <c r="F1698" i="3"/>
  <c r="I1698" i="3" s="1"/>
  <c r="J1698" i="3" s="1"/>
  <c r="F1699" i="3"/>
  <c r="I1699" i="3" s="1"/>
  <c r="J1699" i="3" s="1"/>
  <c r="F1700" i="3"/>
  <c r="I1700" i="3" s="1"/>
  <c r="J1700" i="3" s="1"/>
  <c r="F1701" i="3"/>
  <c r="I1701" i="3" s="1"/>
  <c r="J1701" i="3" s="1"/>
  <c r="F1702" i="3"/>
  <c r="I1702" i="3" s="1"/>
  <c r="J1702" i="3" s="1"/>
  <c r="F1703" i="3"/>
  <c r="I1703" i="3" s="1"/>
  <c r="J1703" i="3" s="1"/>
  <c r="F1704" i="3"/>
  <c r="I1704" i="3" s="1"/>
  <c r="J1704" i="3" s="1"/>
  <c r="F1705" i="3"/>
  <c r="I1705" i="3" s="1"/>
  <c r="J1705" i="3" s="1"/>
  <c r="F1706" i="3"/>
  <c r="I1706" i="3" s="1"/>
  <c r="J1706" i="3" s="1"/>
  <c r="F1707" i="3"/>
  <c r="I1707" i="3" s="1"/>
  <c r="J1707" i="3" s="1"/>
  <c r="F1708" i="3"/>
  <c r="I1708" i="3" s="1"/>
  <c r="J1708" i="3" s="1"/>
  <c r="F1709" i="3"/>
  <c r="I1709" i="3" s="1"/>
  <c r="J1709" i="3" s="1"/>
  <c r="F1710" i="3"/>
  <c r="I1710" i="3" s="1"/>
  <c r="J1710" i="3" s="1"/>
  <c r="F1711" i="3"/>
  <c r="I1711" i="3" s="1"/>
  <c r="J1711" i="3" s="1"/>
  <c r="F1712" i="3"/>
  <c r="I1712" i="3" s="1"/>
  <c r="J1712" i="3" s="1"/>
  <c r="F1713" i="3"/>
  <c r="I1713" i="3" s="1"/>
  <c r="J1713" i="3" s="1"/>
  <c r="F1714" i="3"/>
  <c r="I1714" i="3" s="1"/>
  <c r="J1714" i="3" s="1"/>
  <c r="F1715" i="3"/>
  <c r="I1715" i="3" s="1"/>
  <c r="J1715" i="3" s="1"/>
  <c r="F1716" i="3"/>
  <c r="I1716" i="3" s="1"/>
  <c r="J1716" i="3" s="1"/>
  <c r="F1717" i="3"/>
  <c r="I1717" i="3" s="1"/>
  <c r="J1717" i="3" s="1"/>
  <c r="F1718" i="3"/>
  <c r="I1718" i="3" s="1"/>
  <c r="J1718" i="3" s="1"/>
  <c r="F1719" i="3"/>
  <c r="I1719" i="3" s="1"/>
  <c r="J1719" i="3" s="1"/>
  <c r="F1720" i="3"/>
  <c r="I1720" i="3" s="1"/>
  <c r="J1720" i="3" s="1"/>
  <c r="F1721" i="3"/>
  <c r="I1721" i="3" s="1"/>
  <c r="J1721" i="3" s="1"/>
  <c r="F1722" i="3"/>
  <c r="I1722" i="3" s="1"/>
  <c r="J1722" i="3" s="1"/>
  <c r="F1723" i="3"/>
  <c r="I1723" i="3" s="1"/>
  <c r="J1723" i="3" s="1"/>
  <c r="F1724" i="3"/>
  <c r="I1724" i="3" s="1"/>
  <c r="J1724" i="3" s="1"/>
  <c r="F1725" i="3"/>
  <c r="I1725" i="3" s="1"/>
  <c r="J1725" i="3" s="1"/>
  <c r="F1726" i="3"/>
  <c r="I1726" i="3" s="1"/>
  <c r="J1726" i="3" s="1"/>
  <c r="F1727" i="3"/>
  <c r="I1727" i="3" s="1"/>
  <c r="J1727" i="3" s="1"/>
  <c r="F1728" i="3"/>
  <c r="I1728" i="3" s="1"/>
  <c r="J1728" i="3" s="1"/>
  <c r="F1729" i="3"/>
  <c r="I1729" i="3" s="1"/>
  <c r="J1729" i="3" s="1"/>
  <c r="F1730" i="3"/>
  <c r="I1730" i="3" s="1"/>
  <c r="J1730" i="3" s="1"/>
  <c r="F1731" i="3"/>
  <c r="I1731" i="3" s="1"/>
  <c r="J1731" i="3" s="1"/>
  <c r="F1732" i="3"/>
  <c r="I1732" i="3" s="1"/>
  <c r="J1732" i="3" s="1"/>
  <c r="F1733" i="3"/>
  <c r="I1733" i="3" s="1"/>
  <c r="J1733" i="3" s="1"/>
  <c r="F1734" i="3"/>
  <c r="I1734" i="3" s="1"/>
  <c r="J1734" i="3" s="1"/>
  <c r="F1735" i="3"/>
  <c r="I1735" i="3" s="1"/>
  <c r="J1735" i="3" s="1"/>
  <c r="F1736" i="3"/>
  <c r="I1736" i="3" s="1"/>
  <c r="J1736" i="3" s="1"/>
  <c r="F1737" i="3"/>
  <c r="I1737" i="3" s="1"/>
  <c r="J1737" i="3" s="1"/>
  <c r="F1738" i="3"/>
  <c r="I1738" i="3" s="1"/>
  <c r="J1738" i="3" s="1"/>
  <c r="F1739" i="3"/>
  <c r="I1739" i="3" s="1"/>
  <c r="J1739" i="3" s="1"/>
  <c r="F1740" i="3"/>
  <c r="I1740" i="3" s="1"/>
  <c r="J1740" i="3" s="1"/>
  <c r="F1741" i="3"/>
  <c r="I1741" i="3" s="1"/>
  <c r="J1741" i="3" s="1"/>
  <c r="F1742" i="3"/>
  <c r="I1742" i="3" s="1"/>
  <c r="J1742" i="3" s="1"/>
  <c r="F1743" i="3"/>
  <c r="I1743" i="3" s="1"/>
  <c r="J1743" i="3" s="1"/>
  <c r="F1744" i="3"/>
  <c r="I1744" i="3" s="1"/>
  <c r="J1744" i="3" s="1"/>
  <c r="F1745" i="3"/>
  <c r="I1745" i="3" s="1"/>
  <c r="J1745" i="3" s="1"/>
  <c r="F1746" i="3"/>
  <c r="I1746" i="3" s="1"/>
  <c r="J1746" i="3" s="1"/>
  <c r="F1747" i="3"/>
  <c r="I1747" i="3" s="1"/>
  <c r="J1747" i="3" s="1"/>
  <c r="F1748" i="3"/>
  <c r="I1748" i="3" s="1"/>
  <c r="J1748" i="3" s="1"/>
  <c r="F1749" i="3"/>
  <c r="I1749" i="3" s="1"/>
  <c r="J1749" i="3" s="1"/>
  <c r="F1750" i="3"/>
  <c r="I1750" i="3" s="1"/>
  <c r="J1750" i="3" s="1"/>
  <c r="F1751" i="3"/>
  <c r="I1751" i="3" s="1"/>
  <c r="J1751" i="3" s="1"/>
  <c r="F1752" i="3"/>
  <c r="I1752" i="3" s="1"/>
  <c r="J1752" i="3" s="1"/>
  <c r="F1753" i="3"/>
  <c r="I1753" i="3" s="1"/>
  <c r="J1753" i="3" s="1"/>
  <c r="F1754" i="3"/>
  <c r="I1754" i="3" s="1"/>
  <c r="J1754" i="3" s="1"/>
  <c r="F1755" i="3"/>
  <c r="I1755" i="3" s="1"/>
  <c r="J1755" i="3" s="1"/>
  <c r="F1756" i="3"/>
  <c r="I1756" i="3" s="1"/>
  <c r="J1756" i="3" s="1"/>
  <c r="F1757" i="3"/>
  <c r="I1757" i="3" s="1"/>
  <c r="J1757" i="3" s="1"/>
  <c r="F1758" i="3"/>
  <c r="I1758" i="3" s="1"/>
  <c r="J1758" i="3" s="1"/>
  <c r="F1759" i="3"/>
  <c r="I1759" i="3" s="1"/>
  <c r="J1759" i="3" s="1"/>
  <c r="F1760" i="3"/>
  <c r="I1760" i="3" s="1"/>
  <c r="J1760" i="3" s="1"/>
  <c r="F1761" i="3"/>
  <c r="I1761" i="3" s="1"/>
  <c r="J1761" i="3" s="1"/>
  <c r="F1762" i="3"/>
  <c r="I1762" i="3" s="1"/>
  <c r="J1762" i="3" s="1"/>
  <c r="F1763" i="3"/>
  <c r="I1763" i="3" s="1"/>
  <c r="J1763" i="3" s="1"/>
  <c r="F1764" i="3"/>
  <c r="I1764" i="3" s="1"/>
  <c r="J1764" i="3" s="1"/>
  <c r="F1765" i="3"/>
  <c r="I1765" i="3" s="1"/>
  <c r="J1765" i="3" s="1"/>
  <c r="F1766" i="3"/>
  <c r="I1766" i="3" s="1"/>
  <c r="J1766" i="3" s="1"/>
  <c r="F1767" i="3"/>
  <c r="I1767" i="3" s="1"/>
  <c r="J1767" i="3" s="1"/>
  <c r="F1768" i="3"/>
  <c r="I1768" i="3" s="1"/>
  <c r="J1768" i="3" s="1"/>
  <c r="F1769" i="3"/>
  <c r="I1769" i="3" s="1"/>
  <c r="J1769" i="3" s="1"/>
  <c r="F1770" i="3"/>
  <c r="I1770" i="3" s="1"/>
  <c r="J1770" i="3" s="1"/>
  <c r="F1771" i="3"/>
  <c r="I1771" i="3" s="1"/>
  <c r="J1771" i="3" s="1"/>
  <c r="F1772" i="3"/>
  <c r="I1772" i="3" s="1"/>
  <c r="J1772" i="3" s="1"/>
  <c r="F1773" i="3"/>
  <c r="I1773" i="3" s="1"/>
  <c r="J1773" i="3" s="1"/>
  <c r="F1774" i="3"/>
  <c r="I1774" i="3" s="1"/>
  <c r="J1774" i="3" s="1"/>
  <c r="F1775" i="3"/>
  <c r="I1775" i="3" s="1"/>
  <c r="J1775" i="3" s="1"/>
  <c r="F1776" i="3"/>
  <c r="I1776" i="3" s="1"/>
  <c r="J1776" i="3" s="1"/>
  <c r="F1777" i="3"/>
  <c r="I1777" i="3" s="1"/>
  <c r="J1777" i="3" s="1"/>
  <c r="F1778" i="3"/>
  <c r="I1778" i="3" s="1"/>
  <c r="J1778" i="3" s="1"/>
  <c r="F1779" i="3"/>
  <c r="I1779" i="3" s="1"/>
  <c r="J1779" i="3" s="1"/>
  <c r="F1780" i="3"/>
  <c r="I1780" i="3" s="1"/>
  <c r="J1780" i="3" s="1"/>
  <c r="F1781" i="3"/>
  <c r="I1781" i="3" s="1"/>
  <c r="J1781" i="3" s="1"/>
  <c r="F1782" i="3"/>
  <c r="I1782" i="3" s="1"/>
  <c r="J1782" i="3" s="1"/>
  <c r="F1783" i="3"/>
  <c r="I1783" i="3" s="1"/>
  <c r="J1783" i="3" s="1"/>
  <c r="F1784" i="3"/>
  <c r="I1784" i="3" s="1"/>
  <c r="J1784" i="3" s="1"/>
  <c r="F1785" i="3"/>
  <c r="I1785" i="3" s="1"/>
  <c r="J1785" i="3" s="1"/>
  <c r="F1786" i="3"/>
  <c r="I1786" i="3" s="1"/>
  <c r="J1786" i="3" s="1"/>
  <c r="F1787" i="3"/>
  <c r="I1787" i="3" s="1"/>
  <c r="J1787" i="3" s="1"/>
  <c r="F1788" i="3"/>
  <c r="I1788" i="3" s="1"/>
  <c r="J1788" i="3" s="1"/>
  <c r="F1789" i="3"/>
  <c r="I1789" i="3" s="1"/>
  <c r="J1789" i="3" s="1"/>
  <c r="F1790" i="3"/>
  <c r="I1790" i="3" s="1"/>
  <c r="J1790" i="3" s="1"/>
  <c r="F1791" i="3"/>
  <c r="I1791" i="3" s="1"/>
  <c r="J1791" i="3" s="1"/>
  <c r="F1792" i="3"/>
  <c r="I1792" i="3" s="1"/>
  <c r="J1792" i="3" s="1"/>
  <c r="F1793" i="3"/>
  <c r="I1793" i="3" s="1"/>
  <c r="J1793" i="3" s="1"/>
  <c r="F1794" i="3"/>
  <c r="I1794" i="3" s="1"/>
  <c r="J1794" i="3" s="1"/>
  <c r="F1795" i="3"/>
  <c r="I1795" i="3" s="1"/>
  <c r="J1795" i="3" s="1"/>
  <c r="F1796" i="3"/>
  <c r="I1796" i="3" s="1"/>
  <c r="J1796" i="3" s="1"/>
  <c r="F1797" i="3"/>
  <c r="I1797" i="3" s="1"/>
  <c r="J1797" i="3" s="1"/>
  <c r="F1798" i="3"/>
  <c r="I1798" i="3" s="1"/>
  <c r="J1798" i="3" s="1"/>
  <c r="F1799" i="3"/>
  <c r="I1799" i="3" s="1"/>
  <c r="J1799" i="3" s="1"/>
  <c r="F1800" i="3"/>
  <c r="I1800" i="3" s="1"/>
  <c r="J1800" i="3" s="1"/>
  <c r="F1801" i="3"/>
  <c r="I1801" i="3" s="1"/>
  <c r="J1801" i="3" s="1"/>
  <c r="F1802" i="3"/>
  <c r="I1802" i="3" s="1"/>
  <c r="J1802" i="3" s="1"/>
  <c r="F1803" i="3"/>
  <c r="I1803" i="3" s="1"/>
  <c r="J1803" i="3" s="1"/>
  <c r="F1804" i="3"/>
  <c r="I1804" i="3" s="1"/>
  <c r="J1804" i="3" s="1"/>
  <c r="F1805" i="3"/>
  <c r="I1805" i="3" s="1"/>
  <c r="J1805" i="3" s="1"/>
  <c r="F1806" i="3"/>
  <c r="I1806" i="3" s="1"/>
  <c r="J1806" i="3" s="1"/>
  <c r="F1807" i="3"/>
  <c r="I1807" i="3" s="1"/>
  <c r="J1807" i="3" s="1"/>
  <c r="F1808" i="3"/>
  <c r="I1808" i="3" s="1"/>
  <c r="J1808" i="3" s="1"/>
  <c r="F1809" i="3"/>
  <c r="I1809" i="3" s="1"/>
  <c r="J1809" i="3" s="1"/>
  <c r="F1810" i="3"/>
  <c r="I1810" i="3" s="1"/>
  <c r="J1810" i="3" s="1"/>
  <c r="F1811" i="3"/>
  <c r="I1811" i="3" s="1"/>
  <c r="J1811" i="3" s="1"/>
  <c r="F1812" i="3"/>
  <c r="I1812" i="3" s="1"/>
  <c r="J1812" i="3" s="1"/>
  <c r="F1813" i="3"/>
  <c r="I1813" i="3" s="1"/>
  <c r="J1813" i="3" s="1"/>
  <c r="F1814" i="3"/>
  <c r="I1814" i="3" s="1"/>
  <c r="J1814" i="3" s="1"/>
  <c r="F1815" i="3"/>
  <c r="I1815" i="3" s="1"/>
  <c r="J1815" i="3" s="1"/>
  <c r="F1816" i="3"/>
  <c r="I1816" i="3" s="1"/>
  <c r="J1816" i="3" s="1"/>
  <c r="F1817" i="3"/>
  <c r="I1817" i="3" s="1"/>
  <c r="J1817" i="3" s="1"/>
  <c r="F1818" i="3"/>
  <c r="I1818" i="3" s="1"/>
  <c r="J1818" i="3" s="1"/>
  <c r="F1819" i="3"/>
  <c r="I1819" i="3" s="1"/>
  <c r="J1819" i="3" s="1"/>
  <c r="F1820" i="3"/>
  <c r="I1820" i="3" s="1"/>
  <c r="J1820" i="3" s="1"/>
  <c r="F1821" i="3"/>
  <c r="I1821" i="3" s="1"/>
  <c r="J1821" i="3" s="1"/>
  <c r="F1822" i="3"/>
  <c r="I1822" i="3" s="1"/>
  <c r="J1822" i="3" s="1"/>
  <c r="F1823" i="3"/>
  <c r="I1823" i="3" s="1"/>
  <c r="J1823" i="3" s="1"/>
  <c r="F1824" i="3"/>
  <c r="I1824" i="3" s="1"/>
  <c r="J1824" i="3" s="1"/>
  <c r="F1825" i="3"/>
  <c r="I1825" i="3" s="1"/>
  <c r="J1825" i="3" s="1"/>
  <c r="F1826" i="3"/>
  <c r="I1826" i="3" s="1"/>
  <c r="J1826" i="3" s="1"/>
  <c r="F1827" i="3"/>
  <c r="I1827" i="3" s="1"/>
  <c r="J1827" i="3" s="1"/>
  <c r="F1828" i="3"/>
  <c r="I1828" i="3" s="1"/>
  <c r="J1828" i="3" s="1"/>
  <c r="F1829" i="3"/>
  <c r="I1829" i="3" s="1"/>
  <c r="J1829" i="3" s="1"/>
  <c r="F1830" i="3"/>
  <c r="I1830" i="3" s="1"/>
  <c r="J1830" i="3" s="1"/>
  <c r="F1831" i="3"/>
  <c r="I1831" i="3" s="1"/>
  <c r="J1831" i="3" s="1"/>
  <c r="F1832" i="3"/>
  <c r="I1832" i="3" s="1"/>
  <c r="J1832" i="3" s="1"/>
  <c r="F1833" i="3"/>
  <c r="I1833" i="3" s="1"/>
  <c r="J1833" i="3" s="1"/>
  <c r="F1834" i="3"/>
  <c r="I1834" i="3" s="1"/>
  <c r="J1834" i="3" s="1"/>
  <c r="F1835" i="3"/>
  <c r="I1835" i="3" s="1"/>
  <c r="J1835" i="3" s="1"/>
  <c r="F1836" i="3"/>
  <c r="I1836" i="3" s="1"/>
  <c r="J1836" i="3" s="1"/>
  <c r="F1837" i="3"/>
  <c r="I1837" i="3" s="1"/>
  <c r="J1837" i="3" s="1"/>
  <c r="F1838" i="3"/>
  <c r="I1838" i="3" s="1"/>
  <c r="J1838" i="3" s="1"/>
  <c r="F1839" i="3"/>
  <c r="I1839" i="3" s="1"/>
  <c r="J1839" i="3" s="1"/>
  <c r="F1840" i="3"/>
  <c r="I1840" i="3" s="1"/>
  <c r="J1840" i="3" s="1"/>
  <c r="F1841" i="3"/>
  <c r="I1841" i="3" s="1"/>
  <c r="J1841" i="3" s="1"/>
  <c r="F1842" i="3"/>
  <c r="I1842" i="3" s="1"/>
  <c r="J1842" i="3" s="1"/>
  <c r="F1843" i="3"/>
  <c r="I1843" i="3" s="1"/>
  <c r="J1843" i="3" s="1"/>
  <c r="F1844" i="3"/>
  <c r="I1844" i="3" s="1"/>
  <c r="J1844" i="3" s="1"/>
  <c r="F1845" i="3"/>
  <c r="I1845" i="3" s="1"/>
  <c r="J1845" i="3" s="1"/>
  <c r="F1846" i="3"/>
  <c r="I1846" i="3" s="1"/>
  <c r="J1846" i="3" s="1"/>
  <c r="F1847" i="3"/>
  <c r="I1847" i="3" s="1"/>
  <c r="J1847" i="3" s="1"/>
  <c r="F1848" i="3"/>
  <c r="I1848" i="3" s="1"/>
  <c r="J1848" i="3" s="1"/>
  <c r="F1849" i="3"/>
  <c r="I1849" i="3" s="1"/>
  <c r="J1849" i="3" s="1"/>
  <c r="F1850" i="3"/>
  <c r="I1850" i="3" s="1"/>
  <c r="J1850" i="3" s="1"/>
  <c r="F1851" i="3"/>
  <c r="I1851" i="3" s="1"/>
  <c r="J1851" i="3" s="1"/>
  <c r="F1852" i="3"/>
  <c r="I1852" i="3" s="1"/>
  <c r="J1852" i="3" s="1"/>
  <c r="F1853" i="3"/>
  <c r="I1853" i="3" s="1"/>
  <c r="J1853" i="3" s="1"/>
  <c r="F1854" i="3"/>
  <c r="I1854" i="3" s="1"/>
  <c r="J1854" i="3" s="1"/>
  <c r="F1855" i="3"/>
  <c r="I1855" i="3" s="1"/>
  <c r="J1855" i="3" s="1"/>
  <c r="F1856" i="3"/>
  <c r="I1856" i="3" s="1"/>
  <c r="J1856" i="3" s="1"/>
  <c r="F1857" i="3"/>
  <c r="I1857" i="3" s="1"/>
  <c r="J1857" i="3" s="1"/>
  <c r="F1858" i="3"/>
  <c r="I1858" i="3" s="1"/>
  <c r="J1858" i="3" s="1"/>
  <c r="F1859" i="3"/>
  <c r="I1859" i="3" s="1"/>
  <c r="J1859" i="3" s="1"/>
  <c r="F1860" i="3"/>
  <c r="I1860" i="3" s="1"/>
  <c r="J1860" i="3" s="1"/>
  <c r="F1861" i="3"/>
  <c r="I1861" i="3" s="1"/>
  <c r="J1861" i="3" s="1"/>
  <c r="F1862" i="3"/>
  <c r="I1862" i="3" s="1"/>
  <c r="J1862" i="3" s="1"/>
  <c r="F1863" i="3"/>
  <c r="I1863" i="3" s="1"/>
  <c r="J1863" i="3" s="1"/>
  <c r="F1864" i="3"/>
  <c r="I1864" i="3" s="1"/>
  <c r="J1864" i="3" s="1"/>
  <c r="F1865" i="3"/>
  <c r="I1865" i="3" s="1"/>
  <c r="J1865" i="3" s="1"/>
  <c r="F1866" i="3"/>
  <c r="I1866" i="3" s="1"/>
  <c r="J1866" i="3" s="1"/>
  <c r="F1867" i="3"/>
  <c r="I1867" i="3" s="1"/>
  <c r="J1867" i="3" s="1"/>
  <c r="F1868" i="3"/>
  <c r="I1868" i="3" s="1"/>
  <c r="J1868" i="3" s="1"/>
  <c r="F1869" i="3"/>
  <c r="I1869" i="3" s="1"/>
  <c r="J1869" i="3" s="1"/>
  <c r="F1870" i="3"/>
  <c r="I1870" i="3" s="1"/>
  <c r="J1870" i="3" s="1"/>
  <c r="F1871" i="3"/>
  <c r="I1871" i="3" s="1"/>
  <c r="J1871" i="3" s="1"/>
  <c r="F1872" i="3"/>
  <c r="I1872" i="3" s="1"/>
  <c r="J1872" i="3" s="1"/>
  <c r="F1873" i="3"/>
  <c r="I1873" i="3" s="1"/>
  <c r="J1873" i="3" s="1"/>
  <c r="F1874" i="3"/>
  <c r="I1874" i="3" s="1"/>
  <c r="J1874" i="3" s="1"/>
  <c r="F1875" i="3"/>
  <c r="I1875" i="3" s="1"/>
  <c r="J1875" i="3" s="1"/>
  <c r="F1876" i="3"/>
  <c r="I1876" i="3" s="1"/>
  <c r="J1876" i="3" s="1"/>
  <c r="F1877" i="3"/>
  <c r="I1877" i="3" s="1"/>
  <c r="J1877" i="3" s="1"/>
  <c r="F1878" i="3"/>
  <c r="I1878" i="3" s="1"/>
  <c r="J1878" i="3" s="1"/>
  <c r="F1879" i="3"/>
  <c r="I1879" i="3" s="1"/>
  <c r="J1879" i="3" s="1"/>
  <c r="F1880" i="3"/>
  <c r="I1880" i="3" s="1"/>
  <c r="J1880" i="3" s="1"/>
  <c r="F1881" i="3"/>
  <c r="I1881" i="3" s="1"/>
  <c r="J1881" i="3" s="1"/>
  <c r="F1882" i="3"/>
  <c r="I1882" i="3" s="1"/>
  <c r="J1882" i="3" s="1"/>
  <c r="F1883" i="3"/>
  <c r="I1883" i="3" s="1"/>
  <c r="J1883" i="3" s="1"/>
  <c r="F1884" i="3"/>
  <c r="I1884" i="3" s="1"/>
  <c r="J1884" i="3" s="1"/>
  <c r="F1885" i="3"/>
  <c r="I1885" i="3" s="1"/>
  <c r="J1885" i="3" s="1"/>
  <c r="F1886" i="3"/>
  <c r="I1886" i="3" s="1"/>
  <c r="J1886" i="3" s="1"/>
  <c r="F1887" i="3"/>
  <c r="I1887" i="3" s="1"/>
  <c r="J1887" i="3" s="1"/>
  <c r="F1888" i="3"/>
  <c r="I1888" i="3" s="1"/>
  <c r="J1888" i="3" s="1"/>
  <c r="F1889" i="3"/>
  <c r="I1889" i="3" s="1"/>
  <c r="J1889" i="3" s="1"/>
  <c r="F1890" i="3"/>
  <c r="I1890" i="3" s="1"/>
  <c r="J1890" i="3" s="1"/>
  <c r="F1891" i="3"/>
  <c r="I1891" i="3" s="1"/>
  <c r="J1891" i="3" s="1"/>
  <c r="F1892" i="3"/>
  <c r="I1892" i="3" s="1"/>
  <c r="J1892" i="3" s="1"/>
  <c r="F1893" i="3"/>
  <c r="I1893" i="3" s="1"/>
  <c r="J1893" i="3" s="1"/>
  <c r="F1894" i="3"/>
  <c r="I1894" i="3" s="1"/>
  <c r="J1894" i="3" s="1"/>
  <c r="F1895" i="3"/>
  <c r="I1895" i="3" s="1"/>
  <c r="J1895" i="3" s="1"/>
  <c r="F1896" i="3"/>
  <c r="I1896" i="3" s="1"/>
  <c r="J1896" i="3" s="1"/>
  <c r="F1897" i="3"/>
  <c r="I1897" i="3" s="1"/>
  <c r="J1897" i="3" s="1"/>
  <c r="F1898" i="3"/>
  <c r="I1898" i="3" s="1"/>
  <c r="J1898" i="3" s="1"/>
  <c r="F1899" i="3"/>
  <c r="I1899" i="3" s="1"/>
  <c r="J1899" i="3" s="1"/>
  <c r="F1900" i="3"/>
  <c r="I1900" i="3" s="1"/>
  <c r="J1900" i="3" s="1"/>
  <c r="F1901" i="3"/>
  <c r="I1901" i="3" s="1"/>
  <c r="J1901" i="3" s="1"/>
  <c r="F1902" i="3"/>
  <c r="I1902" i="3" s="1"/>
  <c r="J1902" i="3" s="1"/>
  <c r="F1903" i="3"/>
  <c r="I1903" i="3" s="1"/>
  <c r="J1903" i="3" s="1"/>
  <c r="F1904" i="3"/>
  <c r="I1904" i="3" s="1"/>
  <c r="J1904" i="3" s="1"/>
  <c r="F1905" i="3"/>
  <c r="I1905" i="3" s="1"/>
  <c r="J1905" i="3" s="1"/>
  <c r="F1906" i="3"/>
  <c r="I1906" i="3" s="1"/>
  <c r="J1906" i="3" s="1"/>
  <c r="F1907" i="3"/>
  <c r="I1907" i="3" s="1"/>
  <c r="J1907" i="3" s="1"/>
  <c r="F1908" i="3"/>
  <c r="I1908" i="3" s="1"/>
  <c r="J1908" i="3" s="1"/>
  <c r="F1909" i="3"/>
  <c r="I1909" i="3" s="1"/>
  <c r="J1909" i="3" s="1"/>
  <c r="F1910" i="3"/>
  <c r="I1910" i="3" s="1"/>
  <c r="J1910" i="3" s="1"/>
  <c r="F1911" i="3"/>
  <c r="I1911" i="3" s="1"/>
  <c r="J1911" i="3" s="1"/>
  <c r="F1912" i="3"/>
  <c r="I1912" i="3" s="1"/>
  <c r="J1912" i="3" s="1"/>
  <c r="F1913" i="3"/>
  <c r="I1913" i="3" s="1"/>
  <c r="J1913" i="3" s="1"/>
  <c r="F1914" i="3"/>
  <c r="I1914" i="3" s="1"/>
  <c r="J1914" i="3" s="1"/>
  <c r="F1915" i="3"/>
  <c r="I1915" i="3" s="1"/>
  <c r="J1915" i="3" s="1"/>
  <c r="F1916" i="3"/>
  <c r="I1916" i="3" s="1"/>
  <c r="J1916" i="3" s="1"/>
  <c r="F1917" i="3"/>
  <c r="I1917" i="3" s="1"/>
  <c r="J1917" i="3" s="1"/>
  <c r="F1918" i="3"/>
  <c r="I1918" i="3" s="1"/>
  <c r="J1918" i="3" s="1"/>
  <c r="F1919" i="3"/>
  <c r="I1919" i="3" s="1"/>
  <c r="J1919" i="3" s="1"/>
  <c r="F1920" i="3"/>
  <c r="I1920" i="3" s="1"/>
  <c r="J1920" i="3" s="1"/>
  <c r="F1921" i="3"/>
  <c r="I1921" i="3" s="1"/>
  <c r="J1921" i="3" s="1"/>
  <c r="F1922" i="3"/>
  <c r="I1922" i="3" s="1"/>
  <c r="J1922" i="3" s="1"/>
  <c r="F1923" i="3"/>
  <c r="I1923" i="3" s="1"/>
  <c r="J1923" i="3" s="1"/>
  <c r="F1924" i="3"/>
  <c r="I1924" i="3" s="1"/>
  <c r="J1924" i="3" s="1"/>
  <c r="F1925" i="3"/>
  <c r="I1925" i="3" s="1"/>
  <c r="J1925" i="3" s="1"/>
  <c r="F1926" i="3"/>
  <c r="I1926" i="3" s="1"/>
  <c r="J1926" i="3" s="1"/>
  <c r="F1927" i="3"/>
  <c r="I1927" i="3" s="1"/>
  <c r="J1927" i="3" s="1"/>
  <c r="F1928" i="3"/>
  <c r="I1928" i="3" s="1"/>
  <c r="J1928" i="3" s="1"/>
  <c r="F1929" i="3"/>
  <c r="I1929" i="3" s="1"/>
  <c r="J1929" i="3" s="1"/>
  <c r="F1930" i="3"/>
  <c r="I1930" i="3" s="1"/>
  <c r="J1930" i="3" s="1"/>
  <c r="F1931" i="3"/>
  <c r="I1931" i="3" s="1"/>
  <c r="J1931" i="3" s="1"/>
  <c r="F1932" i="3"/>
  <c r="I1932" i="3" s="1"/>
  <c r="J1932" i="3" s="1"/>
  <c r="F1933" i="3"/>
  <c r="I1933" i="3" s="1"/>
  <c r="J1933" i="3" s="1"/>
  <c r="F1934" i="3"/>
  <c r="I1934" i="3" s="1"/>
  <c r="J1934" i="3" s="1"/>
  <c r="F1935" i="3"/>
  <c r="I1935" i="3" s="1"/>
  <c r="J1935" i="3" s="1"/>
  <c r="F1936" i="3"/>
  <c r="I1936" i="3" s="1"/>
  <c r="J1936" i="3" s="1"/>
  <c r="F1937" i="3"/>
  <c r="I1937" i="3" s="1"/>
  <c r="J1937" i="3" s="1"/>
  <c r="F1938" i="3"/>
  <c r="I1938" i="3" s="1"/>
  <c r="J1938" i="3" s="1"/>
  <c r="F1939" i="3"/>
  <c r="I1939" i="3" s="1"/>
  <c r="J1939" i="3" s="1"/>
  <c r="F1940" i="3"/>
  <c r="I1940" i="3" s="1"/>
  <c r="J1940" i="3" s="1"/>
  <c r="F1941" i="3"/>
  <c r="I1941" i="3" s="1"/>
  <c r="J1941" i="3" s="1"/>
  <c r="F1942" i="3"/>
  <c r="I1942" i="3" s="1"/>
  <c r="J1942" i="3" s="1"/>
  <c r="F1943" i="3"/>
  <c r="I1943" i="3" s="1"/>
  <c r="J1943" i="3" s="1"/>
  <c r="F1944" i="3"/>
  <c r="I1944" i="3" s="1"/>
  <c r="J1944" i="3" s="1"/>
  <c r="F1945" i="3"/>
  <c r="I1945" i="3" s="1"/>
  <c r="J1945" i="3" s="1"/>
  <c r="F1946" i="3"/>
  <c r="I1946" i="3" s="1"/>
  <c r="J1946" i="3" s="1"/>
  <c r="F1947" i="3"/>
  <c r="I1947" i="3" s="1"/>
  <c r="J1947" i="3" s="1"/>
  <c r="F1948" i="3"/>
  <c r="I1948" i="3" s="1"/>
  <c r="J1948" i="3" s="1"/>
  <c r="F1949" i="3"/>
  <c r="I1949" i="3" s="1"/>
  <c r="J1949" i="3" s="1"/>
  <c r="F1950" i="3"/>
  <c r="I1950" i="3" s="1"/>
  <c r="J1950" i="3" s="1"/>
  <c r="F1951" i="3"/>
  <c r="I1951" i="3" s="1"/>
  <c r="J1951" i="3" s="1"/>
  <c r="F1952" i="3"/>
  <c r="I1952" i="3" s="1"/>
  <c r="J1952" i="3" s="1"/>
  <c r="F1953" i="3"/>
  <c r="I1953" i="3" s="1"/>
  <c r="J1953" i="3" s="1"/>
  <c r="F1954" i="3"/>
  <c r="I1954" i="3" s="1"/>
  <c r="J1954" i="3" s="1"/>
  <c r="F1955" i="3"/>
  <c r="I1955" i="3" s="1"/>
  <c r="J1955" i="3" s="1"/>
  <c r="F1956" i="3"/>
  <c r="I1956" i="3" s="1"/>
  <c r="J1956" i="3" s="1"/>
  <c r="F1957" i="3"/>
  <c r="I1957" i="3" s="1"/>
  <c r="J1957" i="3" s="1"/>
  <c r="F1958" i="3"/>
  <c r="I1958" i="3" s="1"/>
  <c r="J1958" i="3" s="1"/>
  <c r="F1959" i="3"/>
  <c r="I1959" i="3" s="1"/>
  <c r="J1959" i="3" s="1"/>
  <c r="F1960" i="3"/>
  <c r="I1960" i="3" s="1"/>
  <c r="J1960" i="3" s="1"/>
  <c r="F1961" i="3"/>
  <c r="I1961" i="3" s="1"/>
  <c r="J1961" i="3" s="1"/>
  <c r="F1962" i="3"/>
  <c r="I1962" i="3" s="1"/>
  <c r="J1962" i="3" s="1"/>
  <c r="F1963" i="3"/>
  <c r="I1963" i="3" s="1"/>
  <c r="J1963" i="3" s="1"/>
  <c r="F1964" i="3"/>
  <c r="I1964" i="3" s="1"/>
  <c r="J1964" i="3" s="1"/>
  <c r="F1965" i="3"/>
  <c r="I1965" i="3" s="1"/>
  <c r="J1965" i="3" s="1"/>
  <c r="F1966" i="3"/>
  <c r="I1966" i="3" s="1"/>
  <c r="J1966" i="3" s="1"/>
  <c r="F1967" i="3"/>
  <c r="I1967" i="3" s="1"/>
  <c r="J1967" i="3" s="1"/>
  <c r="F1968" i="3"/>
  <c r="I1968" i="3" s="1"/>
  <c r="J1968" i="3" s="1"/>
  <c r="F1969" i="3"/>
  <c r="I1969" i="3" s="1"/>
  <c r="J1969" i="3" s="1"/>
  <c r="F1970" i="3"/>
  <c r="I1970" i="3" s="1"/>
  <c r="J1970" i="3" s="1"/>
  <c r="F1971" i="3"/>
  <c r="I1971" i="3" s="1"/>
  <c r="J1971" i="3" s="1"/>
  <c r="F1972" i="3"/>
  <c r="I1972" i="3" s="1"/>
  <c r="J1972" i="3" s="1"/>
  <c r="F1973" i="3"/>
  <c r="I1973" i="3" s="1"/>
  <c r="J1973" i="3" s="1"/>
  <c r="F1974" i="3"/>
  <c r="I1974" i="3" s="1"/>
  <c r="J1974" i="3" s="1"/>
  <c r="F1975" i="3"/>
  <c r="I1975" i="3" s="1"/>
  <c r="J1975" i="3" s="1"/>
  <c r="F1976" i="3"/>
  <c r="I1976" i="3" s="1"/>
  <c r="J1976" i="3" s="1"/>
  <c r="F1977" i="3"/>
  <c r="I1977" i="3" s="1"/>
  <c r="J1977" i="3" s="1"/>
  <c r="F1978" i="3"/>
  <c r="I1978" i="3" s="1"/>
  <c r="J1978" i="3" s="1"/>
  <c r="F1979" i="3"/>
  <c r="I1979" i="3" s="1"/>
  <c r="J1979" i="3" s="1"/>
  <c r="F1980" i="3"/>
  <c r="I1980" i="3" s="1"/>
  <c r="J1980" i="3" s="1"/>
  <c r="F1981" i="3"/>
  <c r="I1981" i="3" s="1"/>
  <c r="J1981" i="3" s="1"/>
  <c r="F1982" i="3"/>
  <c r="I1982" i="3" s="1"/>
  <c r="J1982" i="3" s="1"/>
  <c r="F1983" i="3"/>
  <c r="I1983" i="3" s="1"/>
  <c r="J1983" i="3" s="1"/>
  <c r="F1984" i="3"/>
  <c r="I1984" i="3" s="1"/>
  <c r="J1984" i="3" s="1"/>
  <c r="F1985" i="3"/>
  <c r="I1985" i="3" s="1"/>
  <c r="J1985" i="3" s="1"/>
  <c r="F1986" i="3"/>
  <c r="I1986" i="3" s="1"/>
  <c r="J1986" i="3" s="1"/>
  <c r="F1987" i="3"/>
  <c r="I1987" i="3" s="1"/>
  <c r="J1987" i="3" s="1"/>
  <c r="F1988" i="3"/>
  <c r="I1988" i="3" s="1"/>
  <c r="J1988" i="3" s="1"/>
  <c r="F1989" i="3"/>
  <c r="I1989" i="3" s="1"/>
  <c r="J1989" i="3" s="1"/>
  <c r="F1990" i="3"/>
  <c r="I1990" i="3" s="1"/>
  <c r="J1990" i="3" s="1"/>
  <c r="F1991" i="3"/>
  <c r="I1991" i="3" s="1"/>
  <c r="J1991" i="3" s="1"/>
  <c r="F1992" i="3"/>
  <c r="I1992" i="3" s="1"/>
  <c r="J1992" i="3" s="1"/>
  <c r="F1993" i="3"/>
  <c r="I1993" i="3" s="1"/>
  <c r="J1993" i="3" s="1"/>
  <c r="F1994" i="3"/>
  <c r="I1994" i="3" s="1"/>
  <c r="J1994" i="3" s="1"/>
  <c r="F1995" i="3"/>
  <c r="I1995" i="3" s="1"/>
  <c r="J1995" i="3" s="1"/>
  <c r="F1996" i="3"/>
  <c r="I1996" i="3" s="1"/>
  <c r="J1996" i="3" s="1"/>
  <c r="F1997" i="3"/>
  <c r="I1997" i="3" s="1"/>
  <c r="J1997" i="3" s="1"/>
  <c r="F1998" i="3"/>
  <c r="I1998" i="3" s="1"/>
  <c r="J1998" i="3" s="1"/>
  <c r="F1999" i="3"/>
  <c r="I1999" i="3" s="1"/>
  <c r="J1999" i="3" s="1"/>
  <c r="F2000" i="3"/>
  <c r="I2000" i="3" s="1"/>
  <c r="J2000" i="3" s="1"/>
  <c r="F2001" i="3"/>
  <c r="I2001" i="3" s="1"/>
  <c r="J2001" i="3" s="1"/>
  <c r="F2002" i="3"/>
  <c r="I2002" i="3" s="1"/>
  <c r="J2002" i="3" s="1"/>
  <c r="F2003" i="3"/>
  <c r="I2003" i="3" s="1"/>
  <c r="J2003" i="3" s="1"/>
  <c r="F2004" i="3"/>
  <c r="I2004" i="3" s="1"/>
  <c r="J2004" i="3" s="1"/>
  <c r="F2005" i="3"/>
  <c r="I2005" i="3" s="1"/>
  <c r="J2005" i="3" s="1"/>
  <c r="F2006" i="3"/>
  <c r="I2006" i="3" s="1"/>
  <c r="J2006" i="3" s="1"/>
  <c r="F2007" i="3"/>
  <c r="I2007" i="3" s="1"/>
  <c r="J2007" i="3" s="1"/>
  <c r="F2008" i="3"/>
  <c r="I2008" i="3" s="1"/>
  <c r="J2008" i="3" s="1"/>
  <c r="F2009" i="3"/>
  <c r="I2009" i="3" s="1"/>
  <c r="J2009" i="3" s="1"/>
  <c r="F2010" i="3"/>
  <c r="I2010" i="3" s="1"/>
  <c r="J2010" i="3" s="1"/>
  <c r="F2011" i="3"/>
  <c r="I2011" i="3" s="1"/>
  <c r="J2011" i="3" s="1"/>
  <c r="F2012" i="3"/>
  <c r="I2012" i="3" s="1"/>
  <c r="J2012" i="3" s="1"/>
  <c r="F2013" i="3"/>
  <c r="I2013" i="3" s="1"/>
  <c r="J2013" i="3" s="1"/>
  <c r="F2014" i="3"/>
  <c r="I2014" i="3" s="1"/>
  <c r="J2014" i="3" s="1"/>
  <c r="F2015" i="3"/>
  <c r="I2015" i="3" s="1"/>
  <c r="J2015" i="3" s="1"/>
  <c r="F2016" i="3"/>
  <c r="I2016" i="3" s="1"/>
  <c r="J2016" i="3" s="1"/>
  <c r="F2017" i="3"/>
  <c r="I2017" i="3" s="1"/>
  <c r="J2017" i="3" s="1"/>
  <c r="F2018" i="3"/>
  <c r="I2018" i="3" s="1"/>
  <c r="J2018" i="3" s="1"/>
  <c r="F2019" i="3"/>
  <c r="I2019" i="3" s="1"/>
  <c r="J2019" i="3" s="1"/>
  <c r="F2020" i="3"/>
  <c r="I2020" i="3" s="1"/>
  <c r="J2020" i="3" s="1"/>
  <c r="F2021" i="3"/>
  <c r="I2021" i="3" s="1"/>
  <c r="J2021" i="3" s="1"/>
  <c r="F2022" i="3"/>
  <c r="I2022" i="3" s="1"/>
  <c r="J2022" i="3" s="1"/>
  <c r="F2023" i="3"/>
  <c r="I2023" i="3" s="1"/>
  <c r="J2023" i="3" s="1"/>
  <c r="F2024" i="3"/>
  <c r="I2024" i="3" s="1"/>
  <c r="J2024" i="3" s="1"/>
  <c r="F2025" i="3"/>
  <c r="I2025" i="3" s="1"/>
  <c r="J2025" i="3" s="1"/>
  <c r="F2026" i="3"/>
  <c r="I2026" i="3" s="1"/>
  <c r="J2026" i="3" s="1"/>
  <c r="F2027" i="3"/>
  <c r="I2027" i="3" s="1"/>
  <c r="J2027" i="3" s="1"/>
  <c r="F2028" i="3"/>
  <c r="I2028" i="3" s="1"/>
  <c r="J2028" i="3" s="1"/>
  <c r="F2029" i="3"/>
  <c r="I2029" i="3" s="1"/>
  <c r="J2029" i="3" s="1"/>
  <c r="F2030" i="3"/>
  <c r="I2030" i="3" s="1"/>
  <c r="J2030" i="3" s="1"/>
  <c r="F2031" i="3"/>
  <c r="I2031" i="3" s="1"/>
  <c r="J2031" i="3" s="1"/>
  <c r="F2032" i="3"/>
  <c r="I2032" i="3" s="1"/>
  <c r="J2032" i="3" s="1"/>
  <c r="F2033" i="3"/>
  <c r="I2033" i="3" s="1"/>
  <c r="J2033" i="3" s="1"/>
  <c r="F2034" i="3"/>
  <c r="I2034" i="3" s="1"/>
  <c r="J2034" i="3" s="1"/>
  <c r="F2035" i="3"/>
  <c r="I2035" i="3" s="1"/>
  <c r="J2035" i="3" s="1"/>
  <c r="F2036" i="3"/>
  <c r="I2036" i="3" s="1"/>
  <c r="J2036" i="3" s="1"/>
  <c r="F2037" i="3"/>
  <c r="I2037" i="3" s="1"/>
  <c r="J2037" i="3" s="1"/>
  <c r="F2038" i="3"/>
  <c r="I2038" i="3" s="1"/>
  <c r="J2038" i="3" s="1"/>
  <c r="F2039" i="3"/>
  <c r="I2039" i="3" s="1"/>
  <c r="J2039" i="3" s="1"/>
  <c r="F2040" i="3"/>
  <c r="I2040" i="3" s="1"/>
  <c r="J2040" i="3" s="1"/>
  <c r="F2041" i="3"/>
  <c r="I2041" i="3" s="1"/>
  <c r="J2041" i="3" s="1"/>
  <c r="F2042" i="3"/>
  <c r="I2042" i="3" s="1"/>
  <c r="J2042" i="3" s="1"/>
  <c r="F2043" i="3"/>
  <c r="I2043" i="3" s="1"/>
  <c r="J2043" i="3" s="1"/>
  <c r="F2044" i="3"/>
  <c r="I2044" i="3" s="1"/>
  <c r="J2044" i="3" s="1"/>
  <c r="F2045" i="3"/>
  <c r="I2045" i="3" s="1"/>
  <c r="J2045" i="3" s="1"/>
  <c r="F2046" i="3"/>
  <c r="I2046" i="3" s="1"/>
  <c r="J2046" i="3" s="1"/>
  <c r="F2047" i="3"/>
  <c r="I2047" i="3" s="1"/>
  <c r="J2047" i="3" s="1"/>
  <c r="F2048" i="3"/>
  <c r="I2048" i="3" s="1"/>
  <c r="J2048" i="3" s="1"/>
  <c r="F2049" i="3"/>
  <c r="I2049" i="3" s="1"/>
  <c r="J2049" i="3" s="1"/>
  <c r="F2050" i="3"/>
  <c r="I2050" i="3" s="1"/>
  <c r="J2050" i="3" s="1"/>
  <c r="F2051" i="3"/>
  <c r="I2051" i="3" s="1"/>
  <c r="J2051" i="3" s="1"/>
  <c r="F2052" i="3"/>
  <c r="I2052" i="3" s="1"/>
  <c r="J2052" i="3" s="1"/>
  <c r="F2053" i="3"/>
  <c r="I2053" i="3" s="1"/>
  <c r="J2053" i="3" s="1"/>
  <c r="F2054" i="3"/>
  <c r="I2054" i="3" s="1"/>
  <c r="J2054" i="3" s="1"/>
  <c r="F2055" i="3"/>
  <c r="I2055" i="3" s="1"/>
  <c r="J2055" i="3" s="1"/>
  <c r="F2056" i="3"/>
  <c r="I2056" i="3" s="1"/>
  <c r="J2056" i="3" s="1"/>
  <c r="F2057" i="3"/>
  <c r="I2057" i="3" s="1"/>
  <c r="J2057" i="3" s="1"/>
  <c r="F2058" i="3"/>
  <c r="I2058" i="3" s="1"/>
  <c r="J2058" i="3" s="1"/>
  <c r="F2059" i="3"/>
  <c r="I2059" i="3" s="1"/>
  <c r="J2059" i="3" s="1"/>
  <c r="F2060" i="3"/>
  <c r="I2060" i="3" s="1"/>
  <c r="J2060" i="3" s="1"/>
  <c r="F2061" i="3"/>
  <c r="I2061" i="3" s="1"/>
  <c r="J2061" i="3" s="1"/>
  <c r="F2062" i="3"/>
  <c r="I2062" i="3" s="1"/>
  <c r="J2062" i="3" s="1"/>
  <c r="F2063" i="3"/>
  <c r="I2063" i="3" s="1"/>
  <c r="J2063" i="3" s="1"/>
  <c r="F2064" i="3"/>
  <c r="I2064" i="3" s="1"/>
  <c r="J2064" i="3" s="1"/>
  <c r="F2065" i="3"/>
  <c r="I2065" i="3" s="1"/>
  <c r="J2065" i="3" s="1"/>
  <c r="F2066" i="3"/>
  <c r="I2066" i="3" s="1"/>
  <c r="J2066" i="3" s="1"/>
  <c r="F2067" i="3"/>
  <c r="I2067" i="3" s="1"/>
  <c r="J2067" i="3" s="1"/>
  <c r="F2068" i="3"/>
  <c r="I2068" i="3" s="1"/>
  <c r="J2068" i="3" s="1"/>
  <c r="F2069" i="3"/>
  <c r="I2069" i="3" s="1"/>
  <c r="J2069" i="3" s="1"/>
  <c r="F2070" i="3"/>
  <c r="I2070" i="3" s="1"/>
  <c r="J2070" i="3" s="1"/>
  <c r="F2071" i="3"/>
  <c r="I2071" i="3" s="1"/>
  <c r="J2071" i="3" s="1"/>
  <c r="F2072" i="3"/>
  <c r="I2072" i="3" s="1"/>
  <c r="J2072" i="3" s="1"/>
  <c r="F2073" i="3"/>
  <c r="I2073" i="3" s="1"/>
  <c r="J2073" i="3" s="1"/>
  <c r="F2074" i="3"/>
  <c r="I2074" i="3" s="1"/>
  <c r="J2074" i="3" s="1"/>
  <c r="F2075" i="3"/>
  <c r="I2075" i="3" s="1"/>
  <c r="J2075" i="3" s="1"/>
  <c r="F2076" i="3"/>
  <c r="I2076" i="3" s="1"/>
  <c r="J2076" i="3" s="1"/>
  <c r="F2077" i="3"/>
  <c r="I2077" i="3" s="1"/>
  <c r="J2077" i="3" s="1"/>
  <c r="F2078" i="3"/>
  <c r="I2078" i="3" s="1"/>
  <c r="J2078" i="3" s="1"/>
  <c r="F2079" i="3"/>
  <c r="I2079" i="3" s="1"/>
  <c r="J2079" i="3" s="1"/>
  <c r="F2080" i="3"/>
  <c r="I2080" i="3" s="1"/>
  <c r="J2080" i="3" s="1"/>
  <c r="F2081" i="3"/>
  <c r="I2081" i="3" s="1"/>
  <c r="J2081" i="3" s="1"/>
  <c r="F2082" i="3"/>
  <c r="I2082" i="3" s="1"/>
  <c r="J2082" i="3" s="1"/>
  <c r="F2083" i="3"/>
  <c r="I2083" i="3" s="1"/>
  <c r="J2083" i="3" s="1"/>
  <c r="F2084" i="3"/>
  <c r="I2084" i="3" s="1"/>
  <c r="J2084" i="3" s="1"/>
  <c r="F2085" i="3"/>
  <c r="I2085" i="3" s="1"/>
  <c r="J2085" i="3" s="1"/>
  <c r="F2086" i="3"/>
  <c r="I2086" i="3" s="1"/>
  <c r="J2086" i="3" s="1"/>
  <c r="F2087" i="3"/>
  <c r="I2087" i="3" s="1"/>
  <c r="J2087" i="3" s="1"/>
  <c r="F2088" i="3"/>
  <c r="I2088" i="3" s="1"/>
  <c r="J2088" i="3" s="1"/>
  <c r="F2089" i="3"/>
  <c r="I2089" i="3" s="1"/>
  <c r="J2089" i="3" s="1"/>
  <c r="F2090" i="3"/>
  <c r="I2090" i="3" s="1"/>
  <c r="J2090" i="3" s="1"/>
  <c r="F2091" i="3"/>
  <c r="I2091" i="3" s="1"/>
  <c r="J2091" i="3" s="1"/>
  <c r="F2092" i="3"/>
  <c r="I2092" i="3" s="1"/>
  <c r="J2092" i="3" s="1"/>
  <c r="F2093" i="3"/>
  <c r="I2093" i="3" s="1"/>
  <c r="J2093" i="3" s="1"/>
  <c r="F2094" i="3"/>
  <c r="I2094" i="3" s="1"/>
  <c r="J2094" i="3" s="1"/>
  <c r="F2095" i="3"/>
  <c r="I2095" i="3" s="1"/>
  <c r="J2095" i="3" s="1"/>
  <c r="F2096" i="3"/>
  <c r="I2096" i="3" s="1"/>
  <c r="J2096" i="3" s="1"/>
  <c r="F2097" i="3"/>
  <c r="I2097" i="3" s="1"/>
  <c r="J2097" i="3" s="1"/>
  <c r="F2098" i="3"/>
  <c r="I2098" i="3" s="1"/>
  <c r="J2098" i="3" s="1"/>
  <c r="F2099" i="3"/>
  <c r="I2099" i="3" s="1"/>
  <c r="J2099" i="3" s="1"/>
  <c r="F2100" i="3"/>
  <c r="I2100" i="3" s="1"/>
  <c r="J2100" i="3" s="1"/>
  <c r="F2101" i="3"/>
  <c r="I2101" i="3" s="1"/>
  <c r="J2101" i="3" s="1"/>
  <c r="F2102" i="3"/>
  <c r="I2102" i="3" s="1"/>
  <c r="J2102" i="3" s="1"/>
  <c r="F2103" i="3"/>
  <c r="I2103" i="3" s="1"/>
  <c r="J2103" i="3" s="1"/>
  <c r="F2104" i="3"/>
  <c r="I2104" i="3" s="1"/>
  <c r="J2104" i="3" s="1"/>
  <c r="F2105" i="3"/>
  <c r="I2105" i="3" s="1"/>
  <c r="J2105" i="3" s="1"/>
  <c r="F2106" i="3"/>
  <c r="I2106" i="3" s="1"/>
  <c r="J2106" i="3" s="1"/>
  <c r="F2107" i="3"/>
  <c r="I2107" i="3" s="1"/>
  <c r="J2107" i="3" s="1"/>
  <c r="F2108" i="3"/>
  <c r="I2108" i="3" s="1"/>
  <c r="J2108" i="3" s="1"/>
  <c r="F2109" i="3"/>
  <c r="I2109" i="3" s="1"/>
  <c r="J2109" i="3" s="1"/>
  <c r="F2110" i="3"/>
  <c r="I2110" i="3" s="1"/>
  <c r="J2110" i="3" s="1"/>
  <c r="F2111" i="3"/>
  <c r="I2111" i="3" s="1"/>
  <c r="J2111" i="3" s="1"/>
  <c r="F2112" i="3"/>
  <c r="I2112" i="3" s="1"/>
  <c r="J2112" i="3" s="1"/>
  <c r="F2113" i="3"/>
  <c r="I2113" i="3" s="1"/>
  <c r="J2113" i="3" s="1"/>
  <c r="F2114" i="3"/>
  <c r="I2114" i="3" s="1"/>
  <c r="J2114" i="3" s="1"/>
  <c r="F2115" i="3"/>
  <c r="I2115" i="3" s="1"/>
  <c r="J2115" i="3" s="1"/>
  <c r="F2116" i="3"/>
  <c r="I2116" i="3" s="1"/>
  <c r="J2116" i="3" s="1"/>
  <c r="F2117" i="3"/>
  <c r="I2117" i="3" s="1"/>
  <c r="J2117" i="3" s="1"/>
  <c r="F2118" i="3"/>
  <c r="I2118" i="3" s="1"/>
  <c r="J2118" i="3" s="1"/>
  <c r="F2119" i="3"/>
  <c r="I2119" i="3" s="1"/>
  <c r="J2119" i="3" s="1"/>
  <c r="F2120" i="3"/>
  <c r="I2120" i="3" s="1"/>
  <c r="J2120" i="3" s="1"/>
  <c r="F2121" i="3"/>
  <c r="I2121" i="3" s="1"/>
  <c r="J2121" i="3" s="1"/>
  <c r="F2122" i="3"/>
  <c r="I2122" i="3" s="1"/>
  <c r="J2122" i="3" s="1"/>
  <c r="F2123" i="3"/>
  <c r="I2123" i="3" s="1"/>
  <c r="J2123" i="3" s="1"/>
  <c r="F2124" i="3"/>
  <c r="I2124" i="3" s="1"/>
  <c r="J2124" i="3" s="1"/>
  <c r="F2125" i="3"/>
  <c r="I2125" i="3" s="1"/>
  <c r="J2125" i="3" s="1"/>
  <c r="F2126" i="3"/>
  <c r="I2126" i="3" s="1"/>
  <c r="J2126" i="3" s="1"/>
  <c r="F2127" i="3"/>
  <c r="I2127" i="3" s="1"/>
  <c r="J2127" i="3" s="1"/>
  <c r="F2128" i="3"/>
  <c r="I2128" i="3" s="1"/>
  <c r="J2128" i="3" s="1"/>
  <c r="F2129" i="3"/>
  <c r="I2129" i="3" s="1"/>
  <c r="J2129" i="3" s="1"/>
  <c r="F2130" i="3"/>
  <c r="I2130" i="3" s="1"/>
  <c r="J2130" i="3" s="1"/>
  <c r="F2131" i="3"/>
  <c r="I2131" i="3" s="1"/>
  <c r="J2131" i="3" s="1"/>
  <c r="F2132" i="3"/>
  <c r="I2132" i="3" s="1"/>
  <c r="J2132" i="3" s="1"/>
  <c r="F2133" i="3"/>
  <c r="I2133" i="3" s="1"/>
  <c r="J2133" i="3" s="1"/>
  <c r="F2134" i="3"/>
  <c r="I2134" i="3" s="1"/>
  <c r="J2134" i="3" s="1"/>
  <c r="F2135" i="3"/>
  <c r="I2135" i="3" s="1"/>
  <c r="J2135" i="3" s="1"/>
  <c r="F2136" i="3"/>
  <c r="I2136" i="3" s="1"/>
  <c r="J2136" i="3" s="1"/>
  <c r="F2137" i="3"/>
  <c r="I2137" i="3" s="1"/>
  <c r="J2137" i="3" s="1"/>
  <c r="F2138" i="3"/>
  <c r="I2138" i="3" s="1"/>
  <c r="J2138" i="3" s="1"/>
  <c r="F2139" i="3"/>
  <c r="I2139" i="3" s="1"/>
  <c r="J2139" i="3" s="1"/>
  <c r="F2140" i="3"/>
  <c r="I2140" i="3" s="1"/>
  <c r="J2140" i="3" s="1"/>
  <c r="F2141" i="3"/>
  <c r="I2141" i="3" s="1"/>
  <c r="J2141" i="3" s="1"/>
  <c r="F2142" i="3"/>
  <c r="I2142" i="3" s="1"/>
  <c r="J2142" i="3" s="1"/>
  <c r="F2143" i="3"/>
  <c r="I2143" i="3" s="1"/>
  <c r="J2143" i="3" s="1"/>
  <c r="F2144" i="3"/>
  <c r="I2144" i="3" s="1"/>
  <c r="J2144" i="3" s="1"/>
  <c r="F2145" i="3"/>
  <c r="I2145" i="3" s="1"/>
  <c r="J2145" i="3" s="1"/>
  <c r="F2146" i="3"/>
  <c r="I2146" i="3" s="1"/>
  <c r="J2146" i="3" s="1"/>
  <c r="F2147" i="3"/>
  <c r="I2147" i="3" s="1"/>
  <c r="J2147" i="3" s="1"/>
  <c r="F2148" i="3"/>
  <c r="I2148" i="3" s="1"/>
  <c r="J2148" i="3" s="1"/>
  <c r="F2149" i="3"/>
  <c r="I2149" i="3" s="1"/>
  <c r="J2149" i="3" s="1"/>
  <c r="F2150" i="3"/>
  <c r="I2150" i="3" s="1"/>
  <c r="J2150" i="3" s="1"/>
  <c r="F2151" i="3"/>
  <c r="I2151" i="3" s="1"/>
  <c r="J2151" i="3" s="1"/>
  <c r="F2152" i="3"/>
  <c r="I2152" i="3" s="1"/>
  <c r="J2152" i="3" s="1"/>
  <c r="F2153" i="3"/>
  <c r="I2153" i="3" s="1"/>
  <c r="J2153" i="3" s="1"/>
  <c r="H2" i="3"/>
  <c r="G2" i="3"/>
  <c r="F2" i="3"/>
  <c r="I2" i="3" s="1"/>
  <c r="J2" i="3" s="1"/>
  <c r="V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" i="3"/>
  <c r="D27" i="21" l="1"/>
  <c r="F5" i="21"/>
  <c r="F22" i="21"/>
  <c r="F15" i="21"/>
  <c r="F3" i="21"/>
  <c r="F21" i="21"/>
  <c r="F18" i="21"/>
  <c r="F25" i="21"/>
  <c r="F7" i="21"/>
  <c r="F17" i="21"/>
  <c r="F10" i="21"/>
  <c r="F6" i="21"/>
  <c r="F4" i="21"/>
  <c r="F20" i="21"/>
  <c r="F26" i="21"/>
  <c r="F16" i="21"/>
  <c r="F2" i="21"/>
  <c r="F19" i="21"/>
  <c r="F14" i="21"/>
  <c r="F9" i="21"/>
  <c r="F11" i="21"/>
  <c r="F23" i="21"/>
  <c r="F8" i="21"/>
  <c r="F13" i="21"/>
  <c r="F24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<sst xmlns="http://schemas.openxmlformats.org/spreadsheetml/2006/main" count="40165" uniqueCount="5800">
  <si>
    <t>Type</t>
  </si>
  <si>
    <t>Sales</t>
  </si>
  <si>
    <t>Product Name</t>
  </si>
  <si>
    <t>TRANSFER</t>
  </si>
  <si>
    <t>Sporting Goods</t>
  </si>
  <si>
    <t>Caguas</t>
  </si>
  <si>
    <t>Irene</t>
  </si>
  <si>
    <t>Luna</t>
  </si>
  <si>
    <t>Consumer</t>
  </si>
  <si>
    <t>PR</t>
  </si>
  <si>
    <t>2679 Rustic Loop</t>
  </si>
  <si>
    <t>Fitness</t>
  </si>
  <si>
    <t>Bikaner</t>
  </si>
  <si>
    <t>South Asia</t>
  </si>
  <si>
    <t>PENDING</t>
  </si>
  <si>
    <t xml:space="preserve">Smart watch </t>
  </si>
  <si>
    <t>Standard Class</t>
  </si>
  <si>
    <t>CASH</t>
  </si>
  <si>
    <t>San Jose</t>
  </si>
  <si>
    <t>Gillian</t>
  </si>
  <si>
    <t>Maldonado</t>
  </si>
  <si>
    <t>CA</t>
  </si>
  <si>
    <t>8510 Round Bear Gate</t>
  </si>
  <si>
    <t>CLOSED</t>
  </si>
  <si>
    <t>DEBIT</t>
  </si>
  <si>
    <t>Natalie</t>
  </si>
  <si>
    <t>Mcfadden</t>
  </si>
  <si>
    <t>Corporate</t>
  </si>
  <si>
    <t>2531 Wishing Square</t>
  </si>
  <si>
    <t>Sangli</t>
  </si>
  <si>
    <t>Maharashtra</t>
  </si>
  <si>
    <t>COMPLETE</t>
  </si>
  <si>
    <t>First Class</t>
  </si>
  <si>
    <t>Peabody</t>
  </si>
  <si>
    <t>Kimberley</t>
  </si>
  <si>
    <t>Sharpe</t>
  </si>
  <si>
    <t>MA</t>
  </si>
  <si>
    <t>6417 Silver Towers</t>
  </si>
  <si>
    <t>PROCESSING</t>
  </si>
  <si>
    <t>Sade</t>
  </si>
  <si>
    <t>Lancaster</t>
  </si>
  <si>
    <t>257 Harvest Close</t>
  </si>
  <si>
    <t>Paramount</t>
  </si>
  <si>
    <t>Ciara</t>
  </si>
  <si>
    <t>Bird</t>
  </si>
  <si>
    <t>7787 Lazy Corners</t>
  </si>
  <si>
    <t>Jabalpur</t>
  </si>
  <si>
    <t>Madhya Pradesh</t>
  </si>
  <si>
    <t>Bo</t>
  </si>
  <si>
    <t>Griffin</t>
  </si>
  <si>
    <t>5136 Rustic Pioneer Estates</t>
  </si>
  <si>
    <t>PAYMENT</t>
  </si>
  <si>
    <t>Mount Prospect</t>
  </si>
  <si>
    <t>Kim</t>
  </si>
  <si>
    <t>Simon</t>
  </si>
  <si>
    <t>IL</t>
  </si>
  <si>
    <t>1723 Tawny Via</t>
  </si>
  <si>
    <t>PENDING_PAYMENT</t>
  </si>
  <si>
    <t>Same Day</t>
  </si>
  <si>
    <t>Long Beach</t>
  </si>
  <si>
    <t>Kellie</t>
  </si>
  <si>
    <t>Farmer</t>
  </si>
  <si>
    <t>7111 Silent Fox Gardens</t>
  </si>
  <si>
    <t>Alma</t>
  </si>
  <si>
    <t>Conley</t>
  </si>
  <si>
    <t>3732 Old Mountain Bank</t>
  </si>
  <si>
    <t>Wheaton</t>
  </si>
  <si>
    <t>Joan</t>
  </si>
  <si>
    <t>Wilder</t>
  </si>
  <si>
    <t>4294 High Passage</t>
  </si>
  <si>
    <t>Delhi</t>
  </si>
  <si>
    <t>Basia</t>
  </si>
  <si>
    <t>Watts</t>
  </si>
  <si>
    <t>5918 Golden Beacon Freeway</t>
  </si>
  <si>
    <t>Carlisle</t>
  </si>
  <si>
    <t>Libby</t>
  </si>
  <si>
    <t>Bray</t>
  </si>
  <si>
    <t>PA</t>
  </si>
  <si>
    <t>6127 Dewy Goose Downs</t>
  </si>
  <si>
    <t>Hubli</t>
  </si>
  <si>
    <t>Karnataka</t>
  </si>
  <si>
    <t>Stacy</t>
  </si>
  <si>
    <t>Mckinney</t>
  </si>
  <si>
    <t>9712 Fallen Robin Diversion</t>
  </si>
  <si>
    <t>Bangalore</t>
  </si>
  <si>
    <t>Rochester</t>
  </si>
  <si>
    <t>Marah</t>
  </si>
  <si>
    <t>Lara</t>
  </si>
  <si>
    <t>NY</t>
  </si>
  <si>
    <t>8665 Sunny Deer Woods</t>
  </si>
  <si>
    <t>Second Class</t>
  </si>
  <si>
    <t>Cleats</t>
  </si>
  <si>
    <t>Bayamon</t>
  </si>
  <si>
    <t>Mary</t>
  </si>
  <si>
    <t>Frank</t>
  </si>
  <si>
    <t>Home Office</t>
  </si>
  <si>
    <t>75 Sunny Grounds</t>
  </si>
  <si>
    <t>Apparel</t>
  </si>
  <si>
    <t>Mirzapur</t>
  </si>
  <si>
    <t>Uttar Pradesh</t>
  </si>
  <si>
    <t>Perfect Fitness Perfect Rip Deck</t>
  </si>
  <si>
    <t>Hill</t>
  </si>
  <si>
    <t>6179 Noble Panda Moor</t>
  </si>
  <si>
    <t>Golf</t>
  </si>
  <si>
    <t>Raipur</t>
  </si>
  <si>
    <t>Bend</t>
  </si>
  <si>
    <t>Cynthia</t>
  </si>
  <si>
    <t>Smith</t>
  </si>
  <si>
    <t>OR</t>
  </si>
  <si>
    <t>6412 Crystal View Townline</t>
  </si>
  <si>
    <t>Kanpur</t>
  </si>
  <si>
    <t>Del Rio</t>
  </si>
  <si>
    <t>Robert</t>
  </si>
  <si>
    <t>Gilmore</t>
  </si>
  <si>
    <t>TX</t>
  </si>
  <si>
    <t>8248 Clear Glade</t>
  </si>
  <si>
    <t>Ulhasnagar</t>
  </si>
  <si>
    <t>San Diego</t>
  </si>
  <si>
    <t>9176 Shady Barn Jetty</t>
  </si>
  <si>
    <t>Ajmer</t>
  </si>
  <si>
    <t>Placentia</t>
  </si>
  <si>
    <t>Patience</t>
  </si>
  <si>
    <t>Ward</t>
  </si>
  <si>
    <t>7126 Hazy Berry Mount</t>
  </si>
  <si>
    <t>Vadodara</t>
  </si>
  <si>
    <t>Summer dresses</t>
  </si>
  <si>
    <t>Felicia</t>
  </si>
  <si>
    <t>Clark</t>
  </si>
  <si>
    <t>9135 Green Island Moor</t>
  </si>
  <si>
    <t>Bhilai</t>
  </si>
  <si>
    <t>Chhattisgarh</t>
  </si>
  <si>
    <t>Honolulu</t>
  </si>
  <si>
    <t>Noel</t>
  </si>
  <si>
    <t>Wheeler</t>
  </si>
  <si>
    <t>HI</t>
  </si>
  <si>
    <t>1070 Dusty Beacon Maze</t>
  </si>
  <si>
    <t>Ujjain</t>
  </si>
  <si>
    <t>Lilburn</t>
  </si>
  <si>
    <t>Maryam</t>
  </si>
  <si>
    <t>Grant</t>
  </si>
  <si>
    <t>GA</t>
  </si>
  <si>
    <t>7094 Sleepy End</t>
  </si>
  <si>
    <t>Bronx</t>
  </si>
  <si>
    <t>Dakota</t>
  </si>
  <si>
    <t>Green</t>
  </si>
  <si>
    <t>2720 Stony Field</t>
  </si>
  <si>
    <t>Pune</t>
  </si>
  <si>
    <t>Fallon</t>
  </si>
  <si>
    <t>Donovan</t>
  </si>
  <si>
    <t>45 Merry Bear View</t>
  </si>
  <si>
    <t>Provo</t>
  </si>
  <si>
    <t>Kylynn</t>
  </si>
  <si>
    <t>Zimmerman</t>
  </si>
  <si>
    <t>UT</t>
  </si>
  <si>
    <t>3741 Bright Extension</t>
  </si>
  <si>
    <t>Columbia</t>
  </si>
  <si>
    <t>Inez</t>
  </si>
  <si>
    <t>Fleming</t>
  </si>
  <si>
    <t>TN</t>
  </si>
  <si>
    <t>3408 Tawny Spring Glen</t>
  </si>
  <si>
    <t>Carolyn</t>
  </si>
  <si>
    <t>Davenport</t>
  </si>
  <si>
    <t>4105 Fallen Goose Port</t>
  </si>
  <si>
    <t>Lockport</t>
  </si>
  <si>
    <t>Emi</t>
  </si>
  <si>
    <t>Mitchell</t>
  </si>
  <si>
    <t>4542 Sunny Parade</t>
  </si>
  <si>
    <t>Albert</t>
  </si>
  <si>
    <t>2070 Rocky Apple Front</t>
  </si>
  <si>
    <t>Saint Charles</t>
  </si>
  <si>
    <t>Myra</t>
  </si>
  <si>
    <t>Manning</t>
  </si>
  <si>
    <t>MO</t>
  </si>
  <si>
    <t>3761 Foggy Hickory Extension</t>
  </si>
  <si>
    <t>Los Angeles</t>
  </si>
  <si>
    <t>Medge</t>
  </si>
  <si>
    <t>Mcfarland</t>
  </si>
  <si>
    <t>9767 Amber Valley</t>
  </si>
  <si>
    <t>SUSPECTED_FRAUD</t>
  </si>
  <si>
    <t>Cupertino</t>
  </si>
  <si>
    <t>Chloe</t>
  </si>
  <si>
    <t>Nichols</t>
  </si>
  <si>
    <t>3538 Rustic Dale Run</t>
  </si>
  <si>
    <t>Katelyn</t>
  </si>
  <si>
    <t>Key</t>
  </si>
  <si>
    <t>851 Green Prairie Park</t>
  </si>
  <si>
    <t>Rajkot</t>
  </si>
  <si>
    <t>Peoria</t>
  </si>
  <si>
    <t>Karly</t>
  </si>
  <si>
    <t>Porter</t>
  </si>
  <si>
    <t>AZ</t>
  </si>
  <si>
    <t>5674 Merry Nectar Pines</t>
  </si>
  <si>
    <t>Olga</t>
  </si>
  <si>
    <t>Stein</t>
  </si>
  <si>
    <t>8651 Heather Drive</t>
  </si>
  <si>
    <t>Garden Grove</t>
  </si>
  <si>
    <t>Brenna</t>
  </si>
  <si>
    <t>Wyatt</t>
  </si>
  <si>
    <t>3068 Indian Quail Cove</t>
  </si>
  <si>
    <t>Tatyana</t>
  </si>
  <si>
    <t>Tyson</t>
  </si>
  <si>
    <t>427 Clear Leaf Loop</t>
  </si>
  <si>
    <t>Gorakhpur</t>
  </si>
  <si>
    <t>Haryana</t>
  </si>
  <si>
    <t>Granada Hills</t>
  </si>
  <si>
    <t>4436 Tawny Private</t>
  </si>
  <si>
    <t>Nagpur</t>
  </si>
  <si>
    <t>Hedy</t>
  </si>
  <si>
    <t>Dunn</t>
  </si>
  <si>
    <t>3914 Silver Horse Cape</t>
  </si>
  <si>
    <t>Carson</t>
  </si>
  <si>
    <t>Lilah</t>
  </si>
  <si>
    <t>Huff</t>
  </si>
  <si>
    <t>777 Sleepy Quail Key</t>
  </si>
  <si>
    <t>Jaipur</t>
  </si>
  <si>
    <t>Mesa</t>
  </si>
  <si>
    <t>Ella</t>
  </si>
  <si>
    <t>Mcmahon</t>
  </si>
  <si>
    <t>6718 High Panda Dell</t>
  </si>
  <si>
    <t>Alyssa</t>
  </si>
  <si>
    <t>Fowler</t>
  </si>
  <si>
    <t>1066 Hidden Green</t>
  </si>
  <si>
    <t>Trade-In</t>
  </si>
  <si>
    <t>Michael</t>
  </si>
  <si>
    <t>9138 Indian Nook</t>
  </si>
  <si>
    <t>Outdoors</t>
  </si>
  <si>
    <t>Aurangabad</t>
  </si>
  <si>
    <t>Bihar</t>
  </si>
  <si>
    <t>Glove It Urban Brick Golf Towel</t>
  </si>
  <si>
    <t>Cardio Equipment</t>
  </si>
  <si>
    <t>Nicholas</t>
  </si>
  <si>
    <t>6502 Heather Nook</t>
  </si>
  <si>
    <t>Footwear</t>
  </si>
  <si>
    <t>Hyderabad</t>
  </si>
  <si>
    <t>Telangana</t>
  </si>
  <si>
    <t>CANCELED</t>
  </si>
  <si>
    <t>Maria</t>
  </si>
  <si>
    <t>Summers</t>
  </si>
  <si>
    <t xml:space="preserve">7969 Thunder Butterfly Mall </t>
  </si>
  <si>
    <t>Baltimore</t>
  </si>
  <si>
    <t>Audra</t>
  </si>
  <si>
    <t>Weber</t>
  </si>
  <si>
    <t>MD</t>
  </si>
  <si>
    <t>6651 Quaking Highlands</t>
  </si>
  <si>
    <t>Vijayawada</t>
  </si>
  <si>
    <t>Andhra Pradesh</t>
  </si>
  <si>
    <t>Strongsville</t>
  </si>
  <si>
    <t>Alvarado</t>
  </si>
  <si>
    <t>OH</t>
  </si>
  <si>
    <t>6580 Iron Wagon  Inlet</t>
  </si>
  <si>
    <t>Costa Mesa</t>
  </si>
  <si>
    <t>James</t>
  </si>
  <si>
    <t>5292 Misty Goose Street</t>
  </si>
  <si>
    <t>Thane</t>
  </si>
  <si>
    <t>Chicago</t>
  </si>
  <si>
    <t>Hillary</t>
  </si>
  <si>
    <t>Atkins</t>
  </si>
  <si>
    <t>3719 Silver Key</t>
  </si>
  <si>
    <t>Mumbai</t>
  </si>
  <si>
    <t>Glen Burnie</t>
  </si>
  <si>
    <t>Mcdaniel</t>
  </si>
  <si>
    <t>5372 Heather Anchor Canyon</t>
  </si>
  <si>
    <t>Durgapur</t>
  </si>
  <si>
    <t>Joliet</t>
  </si>
  <si>
    <t>Anderson</t>
  </si>
  <si>
    <t>1792 Thunder Pines</t>
  </si>
  <si>
    <t>Bhavnagar</t>
  </si>
  <si>
    <t>Brownsville</t>
  </si>
  <si>
    <t>Anna</t>
  </si>
  <si>
    <t>3557 Grand Expressway</t>
  </si>
  <si>
    <t xml:space="preserve">Baby </t>
  </si>
  <si>
    <t>Spring Valley</t>
  </si>
  <si>
    <t>Jacqueline</t>
  </si>
  <si>
    <t>Bauer</t>
  </si>
  <si>
    <t>3238 Pleasant Leaf Thicket</t>
  </si>
  <si>
    <t>Mangalore</t>
  </si>
  <si>
    <t>Baby sweater</t>
  </si>
  <si>
    <t>Milpitas</t>
  </si>
  <si>
    <t>Roanna</t>
  </si>
  <si>
    <t>Combs</t>
  </si>
  <si>
    <t>1230 Crystal Lookout</t>
  </si>
  <si>
    <t>Woodbridge</t>
  </si>
  <si>
    <t>Roman</t>
  </si>
  <si>
    <t>VA</t>
  </si>
  <si>
    <t>1866 Velvet Forest Field</t>
  </si>
  <si>
    <t>Ranchi</t>
  </si>
  <si>
    <t>Jharkhand</t>
  </si>
  <si>
    <t>Sugar Land</t>
  </si>
  <si>
    <t>Mark</t>
  </si>
  <si>
    <t>9022 Lazy Bend</t>
  </si>
  <si>
    <t>Durg</t>
  </si>
  <si>
    <t>Electronics</t>
  </si>
  <si>
    <t>Titleist Pro V1x Golf Balls</t>
  </si>
  <si>
    <t>Grand Prairie</t>
  </si>
  <si>
    <t>1269 Rocky Brook Hollow</t>
  </si>
  <si>
    <t>Belgaum</t>
  </si>
  <si>
    <t>West Covina</t>
  </si>
  <si>
    <t>Hess</t>
  </si>
  <si>
    <t>395 Quiet Pony Loop</t>
  </si>
  <si>
    <t>North Richland Hills</t>
  </si>
  <si>
    <t>7111 Cotton Blossom Estates</t>
  </si>
  <si>
    <t>Aiko</t>
  </si>
  <si>
    <t>Johnston</t>
  </si>
  <si>
    <t>4388 Burning Goose Ridge</t>
  </si>
  <si>
    <t>Solapur</t>
  </si>
  <si>
    <t>Irvington</t>
  </si>
  <si>
    <t>Whitney</t>
  </si>
  <si>
    <t>Tate</t>
  </si>
  <si>
    <t>NJ</t>
  </si>
  <si>
    <t>3141 Misty Lookout</t>
  </si>
  <si>
    <t>Kylie</t>
  </si>
  <si>
    <t>Owen</t>
  </si>
  <si>
    <t>5263 Hidden Bay</t>
  </si>
  <si>
    <t>Corona</t>
  </si>
  <si>
    <t>Daria</t>
  </si>
  <si>
    <t>Whitehead</t>
  </si>
  <si>
    <t>250 Easy Jetty</t>
  </si>
  <si>
    <t>Bihar Sharif</t>
  </si>
  <si>
    <t>Ila</t>
  </si>
  <si>
    <t>Massey</t>
  </si>
  <si>
    <t>8445 Noble Timber Subdivision</t>
  </si>
  <si>
    <t>Pearl</t>
  </si>
  <si>
    <t>Greene</t>
  </si>
  <si>
    <t>6175 Golden Glade</t>
  </si>
  <si>
    <t>Gilroy</t>
  </si>
  <si>
    <t>Quyn</t>
  </si>
  <si>
    <t>9666 Colonial Hickory Thicket</t>
  </si>
  <si>
    <t>Patna</t>
  </si>
  <si>
    <t>Hilary</t>
  </si>
  <si>
    <t>Wynn</t>
  </si>
  <si>
    <t>9739 Round Spring Expressway</t>
  </si>
  <si>
    <t>Azusa</t>
  </si>
  <si>
    <t>Jane</t>
  </si>
  <si>
    <t>Leblanc</t>
  </si>
  <si>
    <t>3847 Blue Place</t>
  </si>
  <si>
    <t>Karyn</t>
  </si>
  <si>
    <t>Beach</t>
  </si>
  <si>
    <t>3567 Rocky Grove</t>
  </si>
  <si>
    <t>Lenoir</t>
  </si>
  <si>
    <t>Germaine</t>
  </si>
  <si>
    <t>Arnold</t>
  </si>
  <si>
    <t>NC</t>
  </si>
  <si>
    <t>8324 Little Common</t>
  </si>
  <si>
    <t>Columbus</t>
  </si>
  <si>
    <t>Maile</t>
  </si>
  <si>
    <t>Huffman</t>
  </si>
  <si>
    <t>7802 Gentle Creek Square</t>
  </si>
  <si>
    <t>Albany</t>
  </si>
  <si>
    <t>Vivien</t>
  </si>
  <si>
    <t>Durham</t>
  </si>
  <si>
    <t>7176 Bright Timber Passage</t>
  </si>
  <si>
    <t>Humacao</t>
  </si>
  <si>
    <t>Mariam</t>
  </si>
  <si>
    <t>6888 Wishing Mountain Run</t>
  </si>
  <si>
    <t>Lindenhurst</t>
  </si>
  <si>
    <t>Jaime</t>
  </si>
  <si>
    <t>4482 Velvet Farm</t>
  </si>
  <si>
    <t>Faridabad</t>
  </si>
  <si>
    <t>Elyria</t>
  </si>
  <si>
    <t>Charlotte</t>
  </si>
  <si>
    <t>Terry</t>
  </si>
  <si>
    <t>4776 Crystal River Stead</t>
  </si>
  <si>
    <t>Aileen</t>
  </si>
  <si>
    <t>Trevino</t>
  </si>
  <si>
    <t>5723 Stony Valley</t>
  </si>
  <si>
    <t>Cameron</t>
  </si>
  <si>
    <t>Henry</t>
  </si>
  <si>
    <t>9729 Stony Dale Range</t>
  </si>
  <si>
    <t>New York</t>
  </si>
  <si>
    <t>Keiko</t>
  </si>
  <si>
    <t>3587 Blue Mall</t>
  </si>
  <si>
    <t>Shana</t>
  </si>
  <si>
    <t>Greer</t>
  </si>
  <si>
    <t>3737 Blue Path</t>
  </si>
  <si>
    <t>Giselle</t>
  </si>
  <si>
    <t>Matthews</t>
  </si>
  <si>
    <t>Madurai</t>
  </si>
  <si>
    <t>Tamil Nadu</t>
  </si>
  <si>
    <t>ON_HOLD</t>
  </si>
  <si>
    <t>Canton</t>
  </si>
  <si>
    <t>Horn</t>
  </si>
  <si>
    <t>MI</t>
  </si>
  <si>
    <t>3750 Green Anchor Orchard</t>
  </si>
  <si>
    <t>Fatehpur</t>
  </si>
  <si>
    <t>Stafford</t>
  </si>
  <si>
    <t>Hiroko</t>
  </si>
  <si>
    <t>Rutledge</t>
  </si>
  <si>
    <t>6772 Broad Fawn Park</t>
  </si>
  <si>
    <t>West Orange</t>
  </si>
  <si>
    <t>Darryl</t>
  </si>
  <si>
    <t>Hodge</t>
  </si>
  <si>
    <t>5408 Hidden Cider Forest</t>
  </si>
  <si>
    <t>Daly City</t>
  </si>
  <si>
    <t>Fiona</t>
  </si>
  <si>
    <t>Gray</t>
  </si>
  <si>
    <t>8461 Wishing Mountain Walk</t>
  </si>
  <si>
    <t>Hamilton</t>
  </si>
  <si>
    <t>Ruth</t>
  </si>
  <si>
    <t>Maxwell</t>
  </si>
  <si>
    <t>7713 Colonial Estates</t>
  </si>
  <si>
    <t>Ichalkaranji</t>
  </si>
  <si>
    <t>Greenville</t>
  </si>
  <si>
    <t>Robin</t>
  </si>
  <si>
    <t>Walker</t>
  </si>
  <si>
    <t>2923 Quiet Pathway</t>
  </si>
  <si>
    <t>Kota</t>
  </si>
  <si>
    <t>Golf Balls</t>
  </si>
  <si>
    <t>Katherine</t>
  </si>
  <si>
    <t>3899 Blue Nook</t>
  </si>
  <si>
    <t>Guwahati</t>
  </si>
  <si>
    <t>Assam</t>
  </si>
  <si>
    <t>Rebecca</t>
  </si>
  <si>
    <t>7087 Middle Loop</t>
  </si>
  <si>
    <t>Jones</t>
  </si>
  <si>
    <t>3051 Dewy Creek Harbour</t>
  </si>
  <si>
    <t>Gwalior</t>
  </si>
  <si>
    <t>Shop By Sport</t>
  </si>
  <si>
    <t>John</t>
  </si>
  <si>
    <t>Molina</t>
  </si>
  <si>
    <t>7175 Pleasant View</t>
  </si>
  <si>
    <t>Uttarakhand</t>
  </si>
  <si>
    <t>Marilyn</t>
  </si>
  <si>
    <t>Stone</t>
  </si>
  <si>
    <t>7509 Dewy Key</t>
  </si>
  <si>
    <t>Levy</t>
  </si>
  <si>
    <t>9460 Hidden Landing</t>
  </si>
  <si>
    <t>Visakhapatnam</t>
  </si>
  <si>
    <t>San Juan</t>
  </si>
  <si>
    <t>Deleon</t>
  </si>
  <si>
    <t>4062 Dusty Quail Ridge</t>
  </si>
  <si>
    <t>Kollam</t>
  </si>
  <si>
    <t>Kerala</t>
  </si>
  <si>
    <t>Glove It Imperial Golf Towel</t>
  </si>
  <si>
    <t>100 Clear Forest Highway</t>
  </si>
  <si>
    <t>Nellore</t>
  </si>
  <si>
    <t>Saint Louis</t>
  </si>
  <si>
    <t>Evelyn</t>
  </si>
  <si>
    <t>Vincent</t>
  </si>
  <si>
    <t>4436 Old Villas</t>
  </si>
  <si>
    <t>Chennai</t>
  </si>
  <si>
    <t>San Antonio</t>
  </si>
  <si>
    <t>Baker</t>
  </si>
  <si>
    <t>4105 Silver Quail Mount</t>
  </si>
  <si>
    <t>Portland</t>
  </si>
  <si>
    <t>Christopher</t>
  </si>
  <si>
    <t>Bryant</t>
  </si>
  <si>
    <t>7829 Umber Nook</t>
  </si>
  <si>
    <t>Hialeah</t>
  </si>
  <si>
    <t>FL</t>
  </si>
  <si>
    <t>8988 Shady Park</t>
  </si>
  <si>
    <t>Bokaro</t>
  </si>
  <si>
    <t>Salinas</t>
  </si>
  <si>
    <t>5271 Noble Brook Common</t>
  </si>
  <si>
    <t>Malegaon</t>
  </si>
  <si>
    <t>Elizabeth</t>
  </si>
  <si>
    <t>Livingston</t>
  </si>
  <si>
    <t>9069 Heather River Pathway</t>
  </si>
  <si>
    <t>Panorama City</t>
  </si>
  <si>
    <t>Janice</t>
  </si>
  <si>
    <t>6774 Green Bluff Bank</t>
  </si>
  <si>
    <t>Thiruvananthapuram</t>
  </si>
  <si>
    <t>Raleigh</t>
  </si>
  <si>
    <t>Douglas</t>
  </si>
  <si>
    <t>Burgess</t>
  </si>
  <si>
    <t>4746 Green Hills Promenade</t>
  </si>
  <si>
    <t>Agra</t>
  </si>
  <si>
    <t>Garden</t>
  </si>
  <si>
    <t>Desirae</t>
  </si>
  <si>
    <t>Barr</t>
  </si>
  <si>
    <t>707 Silent Villas</t>
  </si>
  <si>
    <t>Lawn mower</t>
  </si>
  <si>
    <t>Valrico</t>
  </si>
  <si>
    <t>Crawford</t>
  </si>
  <si>
    <t>2585 Silent Autumn Landing</t>
  </si>
  <si>
    <t>Augusta</t>
  </si>
  <si>
    <t>2337 Indian Inlet</t>
  </si>
  <si>
    <t>North Las Vegas</t>
  </si>
  <si>
    <t>Amber</t>
  </si>
  <si>
    <t>NV</t>
  </si>
  <si>
    <t>9084 Dusty Elk Island</t>
  </si>
  <si>
    <t>Titleist Pro V1x High Numbers Personalized Go</t>
  </si>
  <si>
    <t>Mendoza</t>
  </si>
  <si>
    <t>5514 Fallen Round</t>
  </si>
  <si>
    <t>Rohtak</t>
  </si>
  <si>
    <t>Blair</t>
  </si>
  <si>
    <t>Callahan</t>
  </si>
  <si>
    <t>3202 Fallen Point</t>
  </si>
  <si>
    <t>Hockey</t>
  </si>
  <si>
    <t>Crystal</t>
  </si>
  <si>
    <t>5238 Amber Villas</t>
  </si>
  <si>
    <t>Nike Dri-FIT Crew Sock 6 Pack</t>
  </si>
  <si>
    <t>Richard</t>
  </si>
  <si>
    <t>3957 Emerald Spring Nook</t>
  </si>
  <si>
    <t>Bolingbrook</t>
  </si>
  <si>
    <t>8110 Indian Port</t>
  </si>
  <si>
    <t>Brooklyn</t>
  </si>
  <si>
    <t>586 Gentle Anchor Chase</t>
  </si>
  <si>
    <t>Moradabad</t>
  </si>
  <si>
    <t>9767 Merry Manor</t>
  </si>
  <si>
    <t>Lori</t>
  </si>
  <si>
    <t>Lawson</t>
  </si>
  <si>
    <t>5346 Clear Hills Way</t>
  </si>
  <si>
    <t>Nagercoil</t>
  </si>
  <si>
    <t>Roswell</t>
  </si>
  <si>
    <t>1795 Fallen Corners</t>
  </si>
  <si>
    <t>Lutz</t>
  </si>
  <si>
    <t>Raymond</t>
  </si>
  <si>
    <t>7077 Rocky Mews</t>
  </si>
  <si>
    <t>Dallas</t>
  </si>
  <si>
    <t>909 Sunny Pony Dale</t>
  </si>
  <si>
    <t>Kulti</t>
  </si>
  <si>
    <t>5667 Quaking Bear Bay</t>
  </si>
  <si>
    <t>Imphal</t>
  </si>
  <si>
    <t>Manipur</t>
  </si>
  <si>
    <t>Health and Beauty</t>
  </si>
  <si>
    <t>Yvette</t>
  </si>
  <si>
    <t>Jefferson</t>
  </si>
  <si>
    <t>1655 Little Bear Circle</t>
  </si>
  <si>
    <t xml:space="preserve">Health and Beauty </t>
  </si>
  <si>
    <t>First aid kit</t>
  </si>
  <si>
    <t>Stephanie</t>
  </si>
  <si>
    <t>Archer</t>
  </si>
  <si>
    <t>2749 Dusty Orchard</t>
  </si>
  <si>
    <t>Perez</t>
  </si>
  <si>
    <t>6332 Round Range</t>
  </si>
  <si>
    <t>Surat</t>
  </si>
  <si>
    <t>4938 Crystal Creek Ramp</t>
  </si>
  <si>
    <t>Shawn</t>
  </si>
  <si>
    <t>Gross</t>
  </si>
  <si>
    <t>1098 Fallen By-pass</t>
  </si>
  <si>
    <t>Bhatpara</t>
  </si>
  <si>
    <t>9451 Bright Walk</t>
  </si>
  <si>
    <t>Dennis</t>
  </si>
  <si>
    <t>3499 Golden Ridge</t>
  </si>
  <si>
    <t>Parbhani</t>
  </si>
  <si>
    <t>Juan</t>
  </si>
  <si>
    <t>4992 Jagged Forest Subdivision</t>
  </si>
  <si>
    <t>Bhubaneswar</t>
  </si>
  <si>
    <t>Odisha</t>
  </si>
  <si>
    <t>2355 Velvet Hickory Crest</t>
  </si>
  <si>
    <t>9394 Clear Corner</t>
  </si>
  <si>
    <t>Bhatinda</t>
  </si>
  <si>
    <t>Computers</t>
  </si>
  <si>
    <t>Gemma</t>
  </si>
  <si>
    <t>Silva</t>
  </si>
  <si>
    <t>4429 Clear Panda Cove</t>
  </si>
  <si>
    <t>Technology</t>
  </si>
  <si>
    <t>Dell Laptop</t>
  </si>
  <si>
    <t>Pet Supplies</t>
  </si>
  <si>
    <t>Callie</t>
  </si>
  <si>
    <t>Sargent</t>
  </si>
  <si>
    <t>6155 Rocky Private</t>
  </si>
  <si>
    <t>Pet Shop</t>
  </si>
  <si>
    <t>Adult dog supplies</t>
  </si>
  <si>
    <t>8581 Broad Trace</t>
  </si>
  <si>
    <t>Ronald</t>
  </si>
  <si>
    <t>Scott</t>
  </si>
  <si>
    <t>4288 Hazy Alley</t>
  </si>
  <si>
    <t>Belle</t>
  </si>
  <si>
    <t>Sutton</t>
  </si>
  <si>
    <t>7106 Rustic Brook Byway</t>
  </si>
  <si>
    <t>Srinagar</t>
  </si>
  <si>
    <t>Barrett</t>
  </si>
  <si>
    <t>9276 Jagged Towers</t>
  </si>
  <si>
    <t>Andrew</t>
  </si>
  <si>
    <t>Salazar</t>
  </si>
  <si>
    <t>3939 Easy Fawn Nook</t>
  </si>
  <si>
    <t>Barnes</t>
  </si>
  <si>
    <t>4922 Heather Gate Stead</t>
  </si>
  <si>
    <t>7231 Grand Turnabout</t>
  </si>
  <si>
    <t>Varanasi</t>
  </si>
  <si>
    <t>9393 Honey Autoroute</t>
  </si>
  <si>
    <t>Dewas</t>
  </si>
  <si>
    <t>Benjamin</t>
  </si>
  <si>
    <t>Wilson</t>
  </si>
  <si>
    <t>9882 Cotton Abbey</t>
  </si>
  <si>
    <t>Amritsar</t>
  </si>
  <si>
    <t>Linda</t>
  </si>
  <si>
    <t>Allen</t>
  </si>
  <si>
    <t>1173 Iron Terrace</t>
  </si>
  <si>
    <t>Stela</t>
  </si>
  <si>
    <t>Goff</t>
  </si>
  <si>
    <t>5736 Old Cloud Heath</t>
  </si>
  <si>
    <t>Fishing</t>
  </si>
  <si>
    <t>3345 Heather Inlet</t>
  </si>
  <si>
    <t>Fan Shop</t>
  </si>
  <si>
    <t>Kakinada</t>
  </si>
  <si>
    <t>Field &amp; Stream Sportsman 16 Gun Fire Safe</t>
  </si>
  <si>
    <t>Camping &amp; Hiking</t>
  </si>
  <si>
    <t>Alexander</t>
  </si>
  <si>
    <t>8101 Fallen Parkway</t>
  </si>
  <si>
    <t>Korba</t>
  </si>
  <si>
    <t>2407 Dusty Mount</t>
  </si>
  <si>
    <t>Rio Grande</t>
  </si>
  <si>
    <t>Ina</t>
  </si>
  <si>
    <t>Wolf</t>
  </si>
  <si>
    <t>1384 Thunder Apple Manor</t>
  </si>
  <si>
    <t>Thomas</t>
  </si>
  <si>
    <t>Morgan</t>
  </si>
  <si>
    <t>5443 Hazy Pond Way</t>
  </si>
  <si>
    <t>Vega Baja</t>
  </si>
  <si>
    <t>Austin</t>
  </si>
  <si>
    <t>Ho</t>
  </si>
  <si>
    <t>7885 Colonial Mount</t>
  </si>
  <si>
    <t>Video Games</t>
  </si>
  <si>
    <t>Galloway</t>
  </si>
  <si>
    <t>9598 Cinder Close</t>
  </si>
  <si>
    <t>Discs Shop</t>
  </si>
  <si>
    <t>Fighting video games</t>
  </si>
  <si>
    <t>Music</t>
  </si>
  <si>
    <t>Ulla</t>
  </si>
  <si>
    <t>Peck</t>
  </si>
  <si>
    <t>9916 Wishing Manor</t>
  </si>
  <si>
    <t>Bijapur</t>
  </si>
  <si>
    <t>Rock music</t>
  </si>
  <si>
    <t>Lodi</t>
  </si>
  <si>
    <t>Christina</t>
  </si>
  <si>
    <t>Carter</t>
  </si>
  <si>
    <t>3901 Iron Parade</t>
  </si>
  <si>
    <t>Opa Locka</t>
  </si>
  <si>
    <t>Erickson</t>
  </si>
  <si>
    <t>2422 High River Corners</t>
  </si>
  <si>
    <t>Mission Viejo</t>
  </si>
  <si>
    <t>George</t>
  </si>
  <si>
    <t>3737 Foggy Plaza</t>
  </si>
  <si>
    <t>Kukatpalli</t>
  </si>
  <si>
    <t>Elgin</t>
  </si>
  <si>
    <t>7231 Red Farms</t>
  </si>
  <si>
    <t>Marrero</t>
  </si>
  <si>
    <t>LA</t>
  </si>
  <si>
    <t>603 Green Sky Promenade</t>
  </si>
  <si>
    <t>Eugene</t>
  </si>
  <si>
    <t>757 Dewy Apple Bend</t>
  </si>
  <si>
    <t>Douglasville</t>
  </si>
  <si>
    <t>3240 Foggy Hickory Corner</t>
  </si>
  <si>
    <t>Tallahassee</t>
  </si>
  <si>
    <t>5340 Quaking Panda Forest</t>
  </si>
  <si>
    <t>Warangal</t>
  </si>
  <si>
    <t>San Benito</t>
  </si>
  <si>
    <t>Day</t>
  </si>
  <si>
    <t>6197 Clear Close</t>
  </si>
  <si>
    <t>Tiruchchirappalli</t>
  </si>
  <si>
    <t>Sun Valley</t>
  </si>
  <si>
    <t>Danielle</t>
  </si>
  <si>
    <t>Price</t>
  </si>
  <si>
    <t>409 Iron Park</t>
  </si>
  <si>
    <t xml:space="preserve">Books </t>
  </si>
  <si>
    <t>Piscataway</t>
  </si>
  <si>
    <t>Kirestin</t>
  </si>
  <si>
    <t>Garza</t>
  </si>
  <si>
    <t>3237 Fallen Panda Isle</t>
  </si>
  <si>
    <t>Book Shop</t>
  </si>
  <si>
    <t xml:space="preserve">Sports Books </t>
  </si>
  <si>
    <t>Ayanna</t>
  </si>
  <si>
    <t>Cohen</t>
  </si>
  <si>
    <t>9952 Foggy Berry Wynd</t>
  </si>
  <si>
    <t>Philadelphia</t>
  </si>
  <si>
    <t>Doris</t>
  </si>
  <si>
    <t>Duran</t>
  </si>
  <si>
    <t>5532 Tawny Pines</t>
  </si>
  <si>
    <t>Lucknow</t>
  </si>
  <si>
    <t>West Jordan</t>
  </si>
  <si>
    <t>Nell</t>
  </si>
  <si>
    <t>Joyce</t>
  </si>
  <si>
    <t>1134 Blue Brook End</t>
  </si>
  <si>
    <t>Chesapeake</t>
  </si>
  <si>
    <t>Lesley</t>
  </si>
  <si>
    <t>Castaneda</t>
  </si>
  <si>
    <t>9696 Lost Parade</t>
  </si>
  <si>
    <t>Darbhanga</t>
  </si>
  <si>
    <t>Elmhurst</t>
  </si>
  <si>
    <t>Alice</t>
  </si>
  <si>
    <t>Kirk</t>
  </si>
  <si>
    <t>Beaverton</t>
  </si>
  <si>
    <t>Cherokee</t>
  </si>
  <si>
    <t>Armstrong</t>
  </si>
  <si>
    <t>4546 Crystal Spring Trail</t>
  </si>
  <si>
    <t>College Station</t>
  </si>
  <si>
    <t>Geraldine</t>
  </si>
  <si>
    <t>Carrillo</t>
  </si>
  <si>
    <t>9317 Emerald Route</t>
  </si>
  <si>
    <t>Britt</t>
  </si>
  <si>
    <t>923 Amber Grounds</t>
  </si>
  <si>
    <t>Cerritos</t>
  </si>
  <si>
    <t>Montana</t>
  </si>
  <si>
    <t>Nelson</t>
  </si>
  <si>
    <t>6470 Round Pioneer Extension</t>
  </si>
  <si>
    <t>Nevada</t>
  </si>
  <si>
    <t>Banks</t>
  </si>
  <si>
    <t>9044 Wishing Court</t>
  </si>
  <si>
    <t>DVDs</t>
  </si>
  <si>
    <t>Endicott</t>
  </si>
  <si>
    <t>Abigail</t>
  </si>
  <si>
    <t>2503 Easy Path</t>
  </si>
  <si>
    <t xml:space="preserve">DVDs </t>
  </si>
  <si>
    <t>Silver Spring</t>
  </si>
  <si>
    <t>Donna</t>
  </si>
  <si>
    <t>Hoffman</t>
  </si>
  <si>
    <t>1509 Quiet Log Arbor</t>
  </si>
  <si>
    <t>Houston</t>
  </si>
  <si>
    <t>Matthew</t>
  </si>
  <si>
    <t>8018 Cozy Deer Port</t>
  </si>
  <si>
    <t>South Richmond Hill</t>
  </si>
  <si>
    <t>5311 Honey Parkway</t>
  </si>
  <si>
    <t>Simmons</t>
  </si>
  <si>
    <t>5553 Cinder Harbour</t>
  </si>
  <si>
    <t>6907 Merry Ledge</t>
  </si>
  <si>
    <t>Simi Valley</t>
  </si>
  <si>
    <t>6886 Cotton Promenade</t>
  </si>
  <si>
    <t>6051 Emerald Arbor</t>
  </si>
  <si>
    <t>Fort Lauderdale</t>
  </si>
  <si>
    <t>Patricia</t>
  </si>
  <si>
    <t>3841 Dewy Subdivision</t>
  </si>
  <si>
    <t>Meerut</t>
  </si>
  <si>
    <t>2770 Hazy Dale</t>
  </si>
  <si>
    <t>Watsonville</t>
  </si>
  <si>
    <t>Veronica</t>
  </si>
  <si>
    <t>Bond</t>
  </si>
  <si>
    <t>9439 Gentle Nectar End</t>
  </si>
  <si>
    <t>Wayne</t>
  </si>
  <si>
    <t>1285 Emerald Grounds</t>
  </si>
  <si>
    <t>Titleist Pro V1x High Numbers Golf Balls</t>
  </si>
  <si>
    <t>Bridgestone e6 Straight Distance NFL Tennesse</t>
  </si>
  <si>
    <t>Aurora</t>
  </si>
  <si>
    <t>Gregory</t>
  </si>
  <si>
    <t>Carroll</t>
  </si>
  <si>
    <t>5213 Noble Bluff Grounds</t>
  </si>
  <si>
    <t>Jessica</t>
  </si>
  <si>
    <t>Mercado</t>
  </si>
  <si>
    <t>CO</t>
  </si>
  <si>
    <t>231 Bright Alley</t>
  </si>
  <si>
    <t>Lambert</t>
  </si>
  <si>
    <t>1546 Cinder Autumn Cape</t>
  </si>
  <si>
    <t>Washington</t>
  </si>
  <si>
    <t>Julie</t>
  </si>
  <si>
    <t>DC</t>
  </si>
  <si>
    <t>8361 Misty Subdivision</t>
  </si>
  <si>
    <t>Yonkers</t>
  </si>
  <si>
    <t>Michelle</t>
  </si>
  <si>
    <t>Collins</t>
  </si>
  <si>
    <t>4545 Quaking Hickory Ledge</t>
  </si>
  <si>
    <t>Lacrosse</t>
  </si>
  <si>
    <t>3909 Amber Canyon</t>
  </si>
  <si>
    <t>Ludhiana</t>
  </si>
  <si>
    <t>Boxing &amp; MMA</t>
  </si>
  <si>
    <t>Dylan</t>
  </si>
  <si>
    <t>Conner</t>
  </si>
  <si>
    <t>6829 Cozy River Landing</t>
  </si>
  <si>
    <t>Indianapolis</t>
  </si>
  <si>
    <t>IN</t>
  </si>
  <si>
    <t>1548 Cozy Pine Way</t>
  </si>
  <si>
    <t>Alan</t>
  </si>
  <si>
    <t>Gilbert</t>
  </si>
  <si>
    <t>6887 Rustic Shadow Via</t>
  </si>
  <si>
    <t>Firozabad</t>
  </si>
  <si>
    <t>Karen</t>
  </si>
  <si>
    <t>Small</t>
  </si>
  <si>
    <t>5959 Harvest Forest Boulevard</t>
  </si>
  <si>
    <t>Kozhikode</t>
  </si>
  <si>
    <t>West New York</t>
  </si>
  <si>
    <t>5496 Cotton Dell</t>
  </si>
  <si>
    <t>Modesto</t>
  </si>
  <si>
    <t>Roy</t>
  </si>
  <si>
    <t>6879 Emerald Way</t>
  </si>
  <si>
    <t>Kalyan</t>
  </si>
  <si>
    <t>Bridgeton</t>
  </si>
  <si>
    <t>Laura</t>
  </si>
  <si>
    <t>8706 Fallen Court</t>
  </si>
  <si>
    <t>Kochi</t>
  </si>
  <si>
    <t>Phoenix</t>
  </si>
  <si>
    <t>Petersen</t>
  </si>
  <si>
    <t>5530 Noble Deer Route</t>
  </si>
  <si>
    <t>Carmichael</t>
  </si>
  <si>
    <t>Gates</t>
  </si>
  <si>
    <t>4571 Rustic Highlands</t>
  </si>
  <si>
    <t>8996 Rocky Pointe</t>
  </si>
  <si>
    <t>Joseph</t>
  </si>
  <si>
    <t>7308 Honey Autumn Range</t>
  </si>
  <si>
    <t>Stanley</t>
  </si>
  <si>
    <t>9776 Emerald End</t>
  </si>
  <si>
    <t>Mysore</t>
  </si>
  <si>
    <t>Fletcher</t>
  </si>
  <si>
    <t>2589 Iron Pines</t>
  </si>
  <si>
    <t>Kolhapur</t>
  </si>
  <si>
    <t>Harlingen</t>
  </si>
  <si>
    <t>Brian</t>
  </si>
  <si>
    <t>8037 Hazy Blossom Circuit</t>
  </si>
  <si>
    <t>Kevin</t>
  </si>
  <si>
    <t>7790 Green Berry Gate</t>
  </si>
  <si>
    <t>Anaheim</t>
  </si>
  <si>
    <t>Debra</t>
  </si>
  <si>
    <t>6134 Red End</t>
  </si>
  <si>
    <t>7486 Cozy End</t>
  </si>
  <si>
    <t>Huang</t>
  </si>
  <si>
    <t>7417 Honey Mountain Lookout</t>
  </si>
  <si>
    <t>Rose</t>
  </si>
  <si>
    <t>Pena</t>
  </si>
  <si>
    <t>5594 Burning Deer Swale</t>
  </si>
  <si>
    <t>9254 Thunder Meadow</t>
  </si>
  <si>
    <t>Eric</t>
  </si>
  <si>
    <t>King</t>
  </si>
  <si>
    <t>2538 Quaking Hills Ramp</t>
  </si>
  <si>
    <t>Watson</t>
  </si>
  <si>
    <t>9332 Silent Towers</t>
  </si>
  <si>
    <t>Flowers</t>
  </si>
  <si>
    <t>833 Honey Panda Acres</t>
  </si>
  <si>
    <t>Tustin</t>
  </si>
  <si>
    <t>Parks</t>
  </si>
  <si>
    <t>8548 Sunny Ramp</t>
  </si>
  <si>
    <t>Pimpri</t>
  </si>
  <si>
    <t>Pompano Beach</t>
  </si>
  <si>
    <t>Holmes</t>
  </si>
  <si>
    <t>6751 Sunny Square</t>
  </si>
  <si>
    <t>4381 Honey Mount</t>
  </si>
  <si>
    <t xml:space="preserve">Cameras </t>
  </si>
  <si>
    <t>Carrollton</t>
  </si>
  <si>
    <t>Ross</t>
  </si>
  <si>
    <t>6080 Old Bay</t>
  </si>
  <si>
    <t>Web Camera</t>
  </si>
  <si>
    <t>Case</t>
  </si>
  <si>
    <t>7126 Shady Bluff Promenade</t>
  </si>
  <si>
    <t>Chandler</t>
  </si>
  <si>
    <t>Crafts</t>
  </si>
  <si>
    <t>Richmond</t>
  </si>
  <si>
    <t>Rhiannon</t>
  </si>
  <si>
    <t>Miller</t>
  </si>
  <si>
    <t>8427 Red Anchor Freeway</t>
  </si>
  <si>
    <t>Ganganagar</t>
  </si>
  <si>
    <t>Porcelain crafts</t>
  </si>
  <si>
    <t>7358 Rocky Villas</t>
  </si>
  <si>
    <t>Panihati</t>
  </si>
  <si>
    <t>Greensboro</t>
  </si>
  <si>
    <t>3977 Colonial Towers</t>
  </si>
  <si>
    <t>Dean</t>
  </si>
  <si>
    <t>6476 Green Pony Manor</t>
  </si>
  <si>
    <t>Hyattsville</t>
  </si>
  <si>
    <t>6289 Rocky Way</t>
  </si>
  <si>
    <t>Howell</t>
  </si>
  <si>
    <t>830 Round Dale Centre</t>
  </si>
  <si>
    <t>Accessories</t>
  </si>
  <si>
    <t>Fairfield</t>
  </si>
  <si>
    <t>Megan</t>
  </si>
  <si>
    <t>Taylor</t>
  </si>
  <si>
    <t>2 Foggy Corners</t>
  </si>
  <si>
    <t>Tiruppur</t>
  </si>
  <si>
    <t>Team Golf St. Louis Cardinals Putter Grip</t>
  </si>
  <si>
    <t>Morrisville</t>
  </si>
  <si>
    <t>Jose</t>
  </si>
  <si>
    <t>Reynolds</t>
  </si>
  <si>
    <t>5292 Umber Timber Extension</t>
  </si>
  <si>
    <t>Saharanpur</t>
  </si>
  <si>
    <t>San Bernardino</t>
  </si>
  <si>
    <t>Hudson</t>
  </si>
  <si>
    <t>9543 Cinder Impasse</t>
  </si>
  <si>
    <t>Salem</t>
  </si>
  <si>
    <t>Glass</t>
  </si>
  <si>
    <t>75 Umber Forest</t>
  </si>
  <si>
    <t>Bellary</t>
  </si>
  <si>
    <t>New Orleans</t>
  </si>
  <si>
    <t>Theresa</t>
  </si>
  <si>
    <t>Lopez</t>
  </si>
  <si>
    <t>3281 Honey Woods</t>
  </si>
  <si>
    <t>Las Vegas</t>
  </si>
  <si>
    <t>Bradley</t>
  </si>
  <si>
    <t>9 Silver View</t>
  </si>
  <si>
    <t>Tucson</t>
  </si>
  <si>
    <t>1828 Stony Trace</t>
  </si>
  <si>
    <t>Jodhpur</t>
  </si>
  <si>
    <t>Brittany</t>
  </si>
  <si>
    <t>3671 Sunny Cove</t>
  </si>
  <si>
    <t>Jamnagar</t>
  </si>
  <si>
    <t>Dhule</t>
  </si>
  <si>
    <t>Remedios</t>
  </si>
  <si>
    <t>8766 Clear Prairie Line</t>
  </si>
  <si>
    <t>Ria</t>
  </si>
  <si>
    <t>Hickman</t>
  </si>
  <si>
    <t>Echo</t>
  </si>
  <si>
    <t>Prince</t>
  </si>
  <si>
    <t>8399 Lazy Anchor Boulevard</t>
  </si>
  <si>
    <t>Bowman</t>
  </si>
  <si>
    <t>4114 Lost Blossom Farms</t>
  </si>
  <si>
    <t>Aligarh</t>
  </si>
  <si>
    <t>Julia</t>
  </si>
  <si>
    <t>8804 Fallen Cider Ridge</t>
  </si>
  <si>
    <t>4021 Rocky Prairie Gardens</t>
  </si>
  <si>
    <t>Mathura</t>
  </si>
  <si>
    <t>Donald</t>
  </si>
  <si>
    <t>1050 Sunny River Line</t>
  </si>
  <si>
    <t>Amravati</t>
  </si>
  <si>
    <t>Kyle</t>
  </si>
  <si>
    <t>8344 Noble Mountain Gate</t>
  </si>
  <si>
    <t>Charles</t>
  </si>
  <si>
    <t>6314 Honey Canyon</t>
  </si>
  <si>
    <t>4896 Honey Wood</t>
  </si>
  <si>
    <t>Chandigarh</t>
  </si>
  <si>
    <t>Amy</t>
  </si>
  <si>
    <t>9653 Stony Campus</t>
  </si>
  <si>
    <t>Manati</t>
  </si>
  <si>
    <t>9202 Clear Highway</t>
  </si>
  <si>
    <t>100 Jagged Cloud Pathway</t>
  </si>
  <si>
    <t>Bareilly</t>
  </si>
  <si>
    <t>Jana</t>
  </si>
  <si>
    <t>Clemons</t>
  </si>
  <si>
    <t>9126 Wishing Expressway</t>
  </si>
  <si>
    <t xml:space="preserve">CDs </t>
  </si>
  <si>
    <t>Inga</t>
  </si>
  <si>
    <t>Phelps</t>
  </si>
  <si>
    <t>7778 Silver Turnabout</t>
  </si>
  <si>
    <t>CDs of rock</t>
  </si>
  <si>
    <t>Farrah</t>
  </si>
  <si>
    <t>Becker</t>
  </si>
  <si>
    <t>3856 Grand Fox Road</t>
  </si>
  <si>
    <t>Quemby</t>
  </si>
  <si>
    <t>Sara</t>
  </si>
  <si>
    <t>Parrish</t>
  </si>
  <si>
    <t>3881 Blue Mount</t>
  </si>
  <si>
    <t>Le</t>
  </si>
  <si>
    <t>8255 Hidden Terrace</t>
  </si>
  <si>
    <t>67 Cotton Mountain Terrace</t>
  </si>
  <si>
    <t>Team Golf Pittsburgh Steelers Putter Grip</t>
  </si>
  <si>
    <t>2122 Crystal Mountain</t>
  </si>
  <si>
    <t>Allahabad</t>
  </si>
  <si>
    <t>8497 Indian Pine Bend</t>
  </si>
  <si>
    <t>Bridgestone e6 Straight Distance NFL San Dieg</t>
  </si>
  <si>
    <t>Moran</t>
  </si>
  <si>
    <t>9699 Cotton Autoroute</t>
  </si>
  <si>
    <t>2643 Sunny Circle</t>
  </si>
  <si>
    <t>Lauren</t>
  </si>
  <si>
    <t>Hartman</t>
  </si>
  <si>
    <t>9986 Old Common</t>
  </si>
  <si>
    <t>Nasik</t>
  </si>
  <si>
    <t>Mays</t>
  </si>
  <si>
    <t>1221 High Crest</t>
  </si>
  <si>
    <t>Gutierrez</t>
  </si>
  <si>
    <t>4920 Green Alley</t>
  </si>
  <si>
    <t>Charly</t>
  </si>
  <si>
    <t>Sandoval</t>
  </si>
  <si>
    <t>8417 Silent Trace</t>
  </si>
  <si>
    <t>Blythe</t>
  </si>
  <si>
    <t>Cabrera</t>
  </si>
  <si>
    <t>9749 Red Barn Harbour</t>
  </si>
  <si>
    <t>Karnal</t>
  </si>
  <si>
    <t>Tapia</t>
  </si>
  <si>
    <t>3076 Indian Mews</t>
  </si>
  <si>
    <t>Lana</t>
  </si>
  <si>
    <t>Mccullough</t>
  </si>
  <si>
    <t>5700 Little Circle</t>
  </si>
  <si>
    <t>Aguadilla</t>
  </si>
  <si>
    <t>Nicole</t>
  </si>
  <si>
    <t>9551 Cotton Island Ridge</t>
  </si>
  <si>
    <t>Hapur</t>
  </si>
  <si>
    <t>Perkins</t>
  </si>
  <si>
    <t>6063 Harvest Boulevard</t>
  </si>
  <si>
    <t>Wynter</t>
  </si>
  <si>
    <t>Blake</t>
  </si>
  <si>
    <t>Weiss</t>
  </si>
  <si>
    <t>5737 Honey Meadow</t>
  </si>
  <si>
    <t>Madison</t>
  </si>
  <si>
    <t>1065 Iron Lake Island</t>
  </si>
  <si>
    <t>Jammu</t>
  </si>
  <si>
    <t>4379 Heather Parkway</t>
  </si>
  <si>
    <t>Eagle Pass</t>
  </si>
  <si>
    <t>7864 Jagged Nectar Isle</t>
  </si>
  <si>
    <t>Bhopal</t>
  </si>
  <si>
    <t>Parker</t>
  </si>
  <si>
    <t>902 Little Falls</t>
  </si>
  <si>
    <t>2905 Quiet River Trail</t>
  </si>
  <si>
    <t>Deborah</t>
  </si>
  <si>
    <t>Brown</t>
  </si>
  <si>
    <t>16 Golden Robin Mews</t>
  </si>
  <si>
    <t>Orlando</t>
  </si>
  <si>
    <t>Catherine</t>
  </si>
  <si>
    <t>Hood</t>
  </si>
  <si>
    <t>9731 Lost Creek Hollow</t>
  </si>
  <si>
    <t>Hernandez</t>
  </si>
  <si>
    <t>6303 Heather Plaza</t>
  </si>
  <si>
    <t>Salt Lake City</t>
  </si>
  <si>
    <t>Shirley</t>
  </si>
  <si>
    <t>Harvey</t>
  </si>
  <si>
    <t>5767 Gentle Mews</t>
  </si>
  <si>
    <t>Bhiwandi</t>
  </si>
  <si>
    <t>Mesquite</t>
  </si>
  <si>
    <t>Hardy</t>
  </si>
  <si>
    <t>4132 Broad Gate Lane</t>
  </si>
  <si>
    <t>Woonsocket</t>
  </si>
  <si>
    <t>Martinez</t>
  </si>
  <si>
    <t>RI</t>
  </si>
  <si>
    <t>252 Honey Embers Canyon</t>
  </si>
  <si>
    <t>Farrell</t>
  </si>
  <si>
    <t>3445 Burning Freeway</t>
  </si>
  <si>
    <t>Ambattur</t>
  </si>
  <si>
    <t>7274 Middle Wynd</t>
  </si>
  <si>
    <t>Nguyen</t>
  </si>
  <si>
    <t>8790 Broad Avenue</t>
  </si>
  <si>
    <t>Guntur</t>
  </si>
  <si>
    <t>Virginia Beach</t>
  </si>
  <si>
    <t>8771 Emerald Glade</t>
  </si>
  <si>
    <t>Newark</t>
  </si>
  <si>
    <t>3752 Red Rise</t>
  </si>
  <si>
    <t>Quincy</t>
  </si>
  <si>
    <t>Li</t>
  </si>
  <si>
    <t>5079 Umber Cloud Boulevard</t>
  </si>
  <si>
    <t>Jonesboro</t>
  </si>
  <si>
    <t>AR</t>
  </si>
  <si>
    <t>5138 Quiet Via</t>
  </si>
  <si>
    <t>6501 Emerald Crest</t>
  </si>
  <si>
    <t>Plano</t>
  </si>
  <si>
    <t>Stephen</t>
  </si>
  <si>
    <t>6629 Iron Embers View</t>
  </si>
  <si>
    <t>Meza</t>
  </si>
  <si>
    <t>6174 Honey Lookout</t>
  </si>
  <si>
    <t>Jacob</t>
  </si>
  <si>
    <t>Ayers</t>
  </si>
  <si>
    <t>4174 Pleasant Mountain Acres</t>
  </si>
  <si>
    <t>Troy</t>
  </si>
  <si>
    <t>3777 Misty Gate</t>
  </si>
  <si>
    <t>Daniels</t>
  </si>
  <si>
    <t>9036 Easy Embers Point</t>
  </si>
  <si>
    <t>Brooks</t>
  </si>
  <si>
    <t>3399 Little Dale</t>
  </si>
  <si>
    <t>Pacoima</t>
  </si>
  <si>
    <t>Walton</t>
  </si>
  <si>
    <t>1510 Broad Rise Expressway</t>
  </si>
  <si>
    <t>North Hollywood</t>
  </si>
  <si>
    <t>6548 Clear Towers</t>
  </si>
  <si>
    <t>Moline</t>
  </si>
  <si>
    <t>Kenneth</t>
  </si>
  <si>
    <t>9772 Indian Island Moor</t>
  </si>
  <si>
    <t>Titleist Pro V1 High Numbers Personalized Gol</t>
  </si>
  <si>
    <t>Cordova</t>
  </si>
  <si>
    <t>Holloway</t>
  </si>
  <si>
    <t>6278 Cotton Edge</t>
  </si>
  <si>
    <t>Beverly</t>
  </si>
  <si>
    <t>9539 Rustic River Gardens</t>
  </si>
  <si>
    <t>Teresa</t>
  </si>
  <si>
    <t>3504 Dusty View Loop</t>
  </si>
  <si>
    <t>Huntington Beach</t>
  </si>
  <si>
    <t>Wu</t>
  </si>
  <si>
    <t>2831 Rustic Dale</t>
  </si>
  <si>
    <t>Steven</t>
  </si>
  <si>
    <t>Coimbatore</t>
  </si>
  <si>
    <t>Goose Creek</t>
  </si>
  <si>
    <t>SC</t>
  </si>
  <si>
    <t>398 Emerald Grove</t>
  </si>
  <si>
    <t>Baseball &amp; Softball</t>
  </si>
  <si>
    <t>Virginia</t>
  </si>
  <si>
    <t>Sanders</t>
  </si>
  <si>
    <t>1801 Jagged Dale Park</t>
  </si>
  <si>
    <t>Sacha</t>
  </si>
  <si>
    <t>8055 Fallen Parkway</t>
  </si>
  <si>
    <t>Gill</t>
  </si>
  <si>
    <t>2458 Crystal Road</t>
  </si>
  <si>
    <t>Sweeney</t>
  </si>
  <si>
    <t>5229 Little Barn Impasse</t>
  </si>
  <si>
    <t>Lacy</t>
  </si>
  <si>
    <t>Wooten</t>
  </si>
  <si>
    <t>1023 Rocky Hollow</t>
  </si>
  <si>
    <t>Zoe</t>
  </si>
  <si>
    <t>Mccall</t>
  </si>
  <si>
    <t>7798 Cinder Dale</t>
  </si>
  <si>
    <t>Jolene</t>
  </si>
  <si>
    <t>Craft</t>
  </si>
  <si>
    <t>2749 Harvest Dale</t>
  </si>
  <si>
    <t>Cote</t>
  </si>
  <si>
    <t>2544 Honey Rise Loop</t>
  </si>
  <si>
    <t>Illana</t>
  </si>
  <si>
    <t>Mccormick</t>
  </si>
  <si>
    <t>961 Lazy Alley</t>
  </si>
  <si>
    <t>Kimberly</t>
  </si>
  <si>
    <t>1777 Wishing Promenade</t>
  </si>
  <si>
    <t>Andrea</t>
  </si>
  <si>
    <t>Harrison</t>
  </si>
  <si>
    <t>6395 Jagged Quail Grounds</t>
  </si>
  <si>
    <t>Indore</t>
  </si>
  <si>
    <t>Iona</t>
  </si>
  <si>
    <t>Hobbs</t>
  </si>
  <si>
    <t>4651 Dewy Village</t>
  </si>
  <si>
    <t>9741 Honey Goose Landing</t>
  </si>
  <si>
    <t>Patiala</t>
  </si>
  <si>
    <t>2513 Sleepy Log Grounds</t>
  </si>
  <si>
    <t>Paul</t>
  </si>
  <si>
    <t>Moore</t>
  </si>
  <si>
    <t>6640 Golden Avenue</t>
  </si>
  <si>
    <t>8093 Green Leaf Vista</t>
  </si>
  <si>
    <t>Berger</t>
  </si>
  <si>
    <t>6195 Broad Deer Townline</t>
  </si>
  <si>
    <t>Puducherry</t>
  </si>
  <si>
    <t>Hoover</t>
  </si>
  <si>
    <t>5430 Iron Mountain Lane</t>
  </si>
  <si>
    <t>Cuttack</t>
  </si>
  <si>
    <t>Team Golf Tennessee Volunteers Putter Grip</t>
  </si>
  <si>
    <t>8434 Pleasant Forest</t>
  </si>
  <si>
    <t>Tampa</t>
  </si>
  <si>
    <t>Foster</t>
  </si>
  <si>
    <t>9394 Umber Abbey</t>
  </si>
  <si>
    <t>Barasat</t>
  </si>
  <si>
    <t>Potomac</t>
  </si>
  <si>
    <t>Lindsey</t>
  </si>
  <si>
    <t>7293 Lazy Hill</t>
  </si>
  <si>
    <t>Tirupati</t>
  </si>
  <si>
    <t>Union City</t>
  </si>
  <si>
    <t>Zavala</t>
  </si>
  <si>
    <t>5593 Indian Trail</t>
  </si>
  <si>
    <t>Hannah</t>
  </si>
  <si>
    <t>9437 Lazy Quay</t>
  </si>
  <si>
    <t>adidas Youth Germany Black/Red Away Match Soc</t>
  </si>
  <si>
    <t>Ortiz</t>
  </si>
  <si>
    <t>1995 Silent Square</t>
  </si>
  <si>
    <t>East Lansing</t>
  </si>
  <si>
    <t>Jason</t>
  </si>
  <si>
    <t>786 Emerald Rise Place</t>
  </si>
  <si>
    <t>Naihati</t>
  </si>
  <si>
    <t>Angela</t>
  </si>
  <si>
    <t>Mills</t>
  </si>
  <si>
    <t>2580 Rustic Bay</t>
  </si>
  <si>
    <t>9541 Heather Hills Square</t>
  </si>
  <si>
    <t>Saint Paul</t>
  </si>
  <si>
    <t>Kathy</t>
  </si>
  <si>
    <t>MN</t>
  </si>
  <si>
    <t>3332 Heather Road</t>
  </si>
  <si>
    <t>Akola</t>
  </si>
  <si>
    <t>Martha</t>
  </si>
  <si>
    <t>6908 Indian Bluff Cape</t>
  </si>
  <si>
    <t>Fresno</t>
  </si>
  <si>
    <t>3403 Misty Landing</t>
  </si>
  <si>
    <t>Bridgestone e6 Straight Distance NFL Carolina</t>
  </si>
  <si>
    <t>Zia</t>
  </si>
  <si>
    <t>Booth</t>
  </si>
  <si>
    <t>6398 Indian Brook Valley</t>
  </si>
  <si>
    <t>Etawah</t>
  </si>
  <si>
    <t>Laguna Niguel</t>
  </si>
  <si>
    <t>8407 Umber Leaf Pointe</t>
  </si>
  <si>
    <t>Vista</t>
  </si>
  <si>
    <t>5599 Umber Cloud Street</t>
  </si>
  <si>
    <t>7370 Sleepy Way</t>
  </si>
  <si>
    <t>Pittsfield</t>
  </si>
  <si>
    <t>Dana</t>
  </si>
  <si>
    <t>Lucas</t>
  </si>
  <si>
    <t>3562 Clear Glen</t>
  </si>
  <si>
    <t>El Paso</t>
  </si>
  <si>
    <t>Kelsie</t>
  </si>
  <si>
    <t>Carey</t>
  </si>
  <si>
    <t>6468 Harvest Parade</t>
  </si>
  <si>
    <t>Milwaukee</t>
  </si>
  <si>
    <t>Christine</t>
  </si>
  <si>
    <t>WI</t>
  </si>
  <si>
    <t>8609 Grand Harbour</t>
  </si>
  <si>
    <t>1964 Round Run</t>
  </si>
  <si>
    <t>Chantale</t>
  </si>
  <si>
    <t>9293 Tawny Terrace</t>
  </si>
  <si>
    <t>Dacey</t>
  </si>
  <si>
    <t>Mendez</t>
  </si>
  <si>
    <t>1626 Grand Heights</t>
  </si>
  <si>
    <t>Sarah</t>
  </si>
  <si>
    <t>Tran</t>
  </si>
  <si>
    <t>3692 Cotton Horse Common</t>
  </si>
  <si>
    <t>Farley</t>
  </si>
  <si>
    <t>593 Silent Dale Pointe</t>
  </si>
  <si>
    <t>Warren</t>
  </si>
  <si>
    <t>9070 Quaking Gate</t>
  </si>
  <si>
    <t>Ithaca</t>
  </si>
  <si>
    <t>2329 Sunny View Corner</t>
  </si>
  <si>
    <t>Sunnyvale</t>
  </si>
  <si>
    <t>Hope</t>
  </si>
  <si>
    <t>Hines</t>
  </si>
  <si>
    <t>2704 Colonial Barn Nook</t>
  </si>
  <si>
    <t>Lawrence</t>
  </si>
  <si>
    <t>2231 High Lagoon Glen</t>
  </si>
  <si>
    <t>Hawthorne</t>
  </si>
  <si>
    <t>Ashley</t>
  </si>
  <si>
    <t>White</t>
  </si>
  <si>
    <t>3225 Dusty Autumn Meadow</t>
  </si>
  <si>
    <t>Justin</t>
  </si>
  <si>
    <t>338 Heather Orchard</t>
  </si>
  <si>
    <t>Las Cruces</t>
  </si>
  <si>
    <t>Melissa</t>
  </si>
  <si>
    <t>Lee</t>
  </si>
  <si>
    <t>NM</t>
  </si>
  <si>
    <t>1964 Lazy End</t>
  </si>
  <si>
    <t>Freeport</t>
  </si>
  <si>
    <t>8344 Misty Gate Acres</t>
  </si>
  <si>
    <t>Tirunelveli</t>
  </si>
  <si>
    <t>Germantown</t>
  </si>
  <si>
    <t>Randolph</t>
  </si>
  <si>
    <t>Vance</t>
  </si>
  <si>
    <t>1102 Pleasant Maze</t>
  </si>
  <si>
    <t>Heather</t>
  </si>
  <si>
    <t>814 Jagged Cape</t>
  </si>
  <si>
    <t>Kathleen</t>
  </si>
  <si>
    <t>Torres</t>
  </si>
  <si>
    <t>4819 Crystal Private</t>
  </si>
  <si>
    <t>David</t>
  </si>
  <si>
    <t>Rodriguez</t>
  </si>
  <si>
    <t>7605 Tawny Horse Falls</t>
  </si>
  <si>
    <t>Lynnwood</t>
  </si>
  <si>
    <t>WA</t>
  </si>
  <si>
    <t>7449 Tawny Glen</t>
  </si>
  <si>
    <t>West Lafayette</t>
  </si>
  <si>
    <t>1020 Stony Loop</t>
  </si>
  <si>
    <t>Team Golf New England Patriots Putter Grip</t>
  </si>
  <si>
    <t>Diana</t>
  </si>
  <si>
    <t>Hale</t>
  </si>
  <si>
    <t>5950 Silver Elk Ledge</t>
  </si>
  <si>
    <t>Rowland Heights</t>
  </si>
  <si>
    <t>Larson</t>
  </si>
  <si>
    <t>3283 Gentle Lake Landing</t>
  </si>
  <si>
    <t>472 Tawny Townline</t>
  </si>
  <si>
    <t>Joe</t>
  </si>
  <si>
    <t>1491 Red Dale</t>
  </si>
  <si>
    <t>6245 Iron Cloud Farms</t>
  </si>
  <si>
    <t>Bloomfield</t>
  </si>
  <si>
    <t>Sean</t>
  </si>
  <si>
    <t>8349 Round Road</t>
  </si>
  <si>
    <t>Richardson</t>
  </si>
  <si>
    <t>654 Foggy Point</t>
  </si>
  <si>
    <t>Asansol</t>
  </si>
  <si>
    <t>Whitaker</t>
  </si>
  <si>
    <t>8804 Cinder Dale Carrefour</t>
  </si>
  <si>
    <t>Zenia</t>
  </si>
  <si>
    <t>Chaney</t>
  </si>
  <si>
    <t>7801 Lost Key</t>
  </si>
  <si>
    <t>Sanford</t>
  </si>
  <si>
    <t>3332 High Wharf</t>
  </si>
  <si>
    <t>Henrico</t>
  </si>
  <si>
    <t>Hedwig</t>
  </si>
  <si>
    <t>Cantu</t>
  </si>
  <si>
    <t>6574 Jagged Hickory Rise</t>
  </si>
  <si>
    <t>Roseville</t>
  </si>
  <si>
    <t>Cross</t>
  </si>
  <si>
    <t>3931 Gentle Ramp</t>
  </si>
  <si>
    <t>Findlay</t>
  </si>
  <si>
    <t>Grace</t>
  </si>
  <si>
    <t>507 Indian Front</t>
  </si>
  <si>
    <t>Udaipur</t>
  </si>
  <si>
    <t>Tripura</t>
  </si>
  <si>
    <t>Consumer Electronics</t>
  </si>
  <si>
    <t>Mechanicsburg</t>
  </si>
  <si>
    <t>Jayme</t>
  </si>
  <si>
    <t>Clay</t>
  </si>
  <si>
    <t>8421 Sunny Butterfly Trace</t>
  </si>
  <si>
    <t>Industrial consumer electronics</t>
  </si>
  <si>
    <t>Susan</t>
  </si>
  <si>
    <t>4417 Dusty Elk Cape</t>
  </si>
  <si>
    <t>Princeton</t>
  </si>
  <si>
    <t>Madonna</t>
  </si>
  <si>
    <t>8777 Old Arbor</t>
  </si>
  <si>
    <t>Wichita</t>
  </si>
  <si>
    <t>Sophia</t>
  </si>
  <si>
    <t>Carpenter</t>
  </si>
  <si>
    <t>KS</t>
  </si>
  <si>
    <t>4148 Round Parkway</t>
  </si>
  <si>
    <t>Sims</t>
  </si>
  <si>
    <t>7922 Velvet Timber Jetty</t>
  </si>
  <si>
    <t>Hendersonville</t>
  </si>
  <si>
    <t>1790 Dewy Apple Orchard</t>
  </si>
  <si>
    <t>Jhansi</t>
  </si>
  <si>
    <t>Henderson</t>
  </si>
  <si>
    <t>1510 Silent Inlet</t>
  </si>
  <si>
    <t>Wright</t>
  </si>
  <si>
    <t>4692 Jagged Thicket</t>
  </si>
  <si>
    <t>9843 Indian Passage</t>
  </si>
  <si>
    <t>Werner</t>
  </si>
  <si>
    <t>5731 Sleepy Apple Autoroute</t>
  </si>
  <si>
    <t>El Cajon</t>
  </si>
  <si>
    <t>Garcia</t>
  </si>
  <si>
    <t>4958 Heather Panda Bank</t>
  </si>
  <si>
    <t>Mcintyre</t>
  </si>
  <si>
    <t>1449 High Carrefour</t>
  </si>
  <si>
    <t>5579 Quiet Nectar Circuit</t>
  </si>
  <si>
    <t>1269 Tawny Key</t>
  </si>
  <si>
    <t>Mililani</t>
  </si>
  <si>
    <t>5292 Heather Zephyr Forest</t>
  </si>
  <si>
    <t>Lisandra</t>
  </si>
  <si>
    <t>Figueroa</t>
  </si>
  <si>
    <t>8212 Sleepy Parkway</t>
  </si>
  <si>
    <t>PAYMENT_REVIEW</t>
  </si>
  <si>
    <t>Apex</t>
  </si>
  <si>
    <t>Cisneros</t>
  </si>
  <si>
    <t>9036 Lazy Fawn Alley</t>
  </si>
  <si>
    <t>Cumberland</t>
  </si>
  <si>
    <t>Bowers</t>
  </si>
  <si>
    <t>2205 Red Arbor</t>
  </si>
  <si>
    <t>Wells</t>
  </si>
  <si>
    <t>2557 Gentle Hills Wynd</t>
  </si>
  <si>
    <t>Sanchez</t>
  </si>
  <si>
    <t>7595 Cotton Log Row</t>
  </si>
  <si>
    <t>3760 Rocky Village</t>
  </si>
  <si>
    <t>Muzaffarpur</t>
  </si>
  <si>
    <t>Casey</t>
  </si>
  <si>
    <t>1533 Clear Nectar Concession</t>
  </si>
  <si>
    <t>Buffalo</t>
  </si>
  <si>
    <t>Williams</t>
  </si>
  <si>
    <t>5338 Little Wood</t>
  </si>
  <si>
    <t>Tempe</t>
  </si>
  <si>
    <t>Victoria</t>
  </si>
  <si>
    <t>Stout</t>
  </si>
  <si>
    <t>8598 Red Dale Forest</t>
  </si>
  <si>
    <t>5744 Honey Pine Key</t>
  </si>
  <si>
    <t>Clearfield</t>
  </si>
  <si>
    <t>Larry</t>
  </si>
  <si>
    <t>Franklin</t>
  </si>
  <si>
    <t>7324 Pleasant Lagoon Quay</t>
  </si>
  <si>
    <t>Huntington Station</t>
  </si>
  <si>
    <t>Daniel</t>
  </si>
  <si>
    <t>Johnson</t>
  </si>
  <si>
    <t>5282 Burning Port</t>
  </si>
  <si>
    <t>Panipat</t>
  </si>
  <si>
    <t>Knoxville</t>
  </si>
  <si>
    <t>Riley</t>
  </si>
  <si>
    <t>Moreno Valley</t>
  </si>
  <si>
    <t>9905 Fallen Butterfly Valley</t>
  </si>
  <si>
    <t>7116 Cotton Log Cape</t>
  </si>
  <si>
    <t>9008 Red Circuit</t>
  </si>
  <si>
    <t>Miami</t>
  </si>
  <si>
    <t>6754 Iron Elk Road</t>
  </si>
  <si>
    <t>Berry</t>
  </si>
  <si>
    <t>556 Cozy Maze</t>
  </si>
  <si>
    <t>Margaret</t>
  </si>
  <si>
    <t>Bridges</t>
  </si>
  <si>
    <t>3907 Emerald Rise</t>
  </si>
  <si>
    <t>Gaya</t>
  </si>
  <si>
    <t>Samantha</t>
  </si>
  <si>
    <t>183 Crystal Lake Drive</t>
  </si>
  <si>
    <t>North Tonawanda</t>
  </si>
  <si>
    <t>3601 Foggy Timber Gate</t>
  </si>
  <si>
    <t>Mcallen</t>
  </si>
  <si>
    <t>Harold</t>
  </si>
  <si>
    <t>2586 High Log Autoroute</t>
  </si>
  <si>
    <t>Lynwood</t>
  </si>
  <si>
    <t>Rebekah</t>
  </si>
  <si>
    <t>Justice</t>
  </si>
  <si>
    <t>8263 Rustic Common</t>
  </si>
  <si>
    <t>Lois</t>
  </si>
  <si>
    <t>Ryan</t>
  </si>
  <si>
    <t>Sylvia</t>
  </si>
  <si>
    <t>4293 Rustic Island</t>
  </si>
  <si>
    <t>Townsend</t>
  </si>
  <si>
    <t>490 Thunder Village</t>
  </si>
  <si>
    <t>Selma</t>
  </si>
  <si>
    <t>1313 Old Hickory Round</t>
  </si>
  <si>
    <t>Burke</t>
  </si>
  <si>
    <t>786 Golden Forest Terrace</t>
  </si>
  <si>
    <t>3544 Gentle Concession</t>
  </si>
  <si>
    <t>Cooper</t>
  </si>
  <si>
    <t>7601 Pleasant Brook Gate</t>
  </si>
  <si>
    <t>Pugh</t>
  </si>
  <si>
    <t>6001 Iron Diversion</t>
  </si>
  <si>
    <t>8663 Crystal Bluff Walk</t>
  </si>
  <si>
    <t>1612 Golden Willow Crest</t>
  </si>
  <si>
    <t>Sonipat</t>
  </si>
  <si>
    <t>1475 Red Creek Stead</t>
  </si>
  <si>
    <t>Jackson</t>
  </si>
  <si>
    <t>3151 Quaking Grove</t>
  </si>
  <si>
    <t>Acevedo</t>
  </si>
  <si>
    <t>7179 Amber Cider Village</t>
  </si>
  <si>
    <t>Avadi</t>
  </si>
  <si>
    <t>2033 Thunder Ledge</t>
  </si>
  <si>
    <t>Leonard</t>
  </si>
  <si>
    <t>6200 Blue Timber End</t>
  </si>
  <si>
    <t>Eliana</t>
  </si>
  <si>
    <t>Skinner</t>
  </si>
  <si>
    <t>8852 Shady Glade</t>
  </si>
  <si>
    <t>Dale</t>
  </si>
  <si>
    <t>1853 High Common</t>
  </si>
  <si>
    <t>1809 Misty Pine Pines</t>
  </si>
  <si>
    <t>633 Silver Ramp</t>
  </si>
  <si>
    <t>Isadora</t>
  </si>
  <si>
    <t>Gentry</t>
  </si>
  <si>
    <t>8798 Lost Lookout</t>
  </si>
  <si>
    <t>Maia</t>
  </si>
  <si>
    <t>Floyd</t>
  </si>
  <si>
    <t>5193 Foggy Apple Jetty</t>
  </si>
  <si>
    <t>Noelani</t>
  </si>
  <si>
    <t>Savage</t>
  </si>
  <si>
    <t>1914 Iron Berry Edge</t>
  </si>
  <si>
    <t>Evangeline</t>
  </si>
  <si>
    <t>Soto</t>
  </si>
  <si>
    <t>9332 Round Limits</t>
  </si>
  <si>
    <t>Kamy</t>
  </si>
  <si>
    <t>Delacruz</t>
  </si>
  <si>
    <t>2447 Wishing View Pathway</t>
  </si>
  <si>
    <t>Aaron</t>
  </si>
  <si>
    <t>Bush</t>
  </si>
  <si>
    <t>4772 Rustic Way</t>
  </si>
  <si>
    <t>Mathews</t>
  </si>
  <si>
    <t>1691 Jagged Nectar Corner</t>
  </si>
  <si>
    <t>Morris</t>
  </si>
  <si>
    <t>7950 Misty Maze</t>
  </si>
  <si>
    <t>Thompson</t>
  </si>
  <si>
    <t>8427 Broad Robin End</t>
  </si>
  <si>
    <t>9221 Foggy Wagon  Wynd</t>
  </si>
  <si>
    <t>Roger</t>
  </si>
  <si>
    <t>Gaines</t>
  </si>
  <si>
    <t>690 Cozy Meadow</t>
  </si>
  <si>
    <t>164 Dewy Nook</t>
  </si>
  <si>
    <t>Kay</t>
  </si>
  <si>
    <t>Hubbard</t>
  </si>
  <si>
    <t>7112 Cozy Highway</t>
  </si>
  <si>
    <t>7373 Shady Island</t>
  </si>
  <si>
    <t>Adam</t>
  </si>
  <si>
    <t>2248 Heather Mews</t>
  </si>
  <si>
    <t>Gerald</t>
  </si>
  <si>
    <t>Burton</t>
  </si>
  <si>
    <t>2075 Round Barn Path</t>
  </si>
  <si>
    <t>Quail</t>
  </si>
  <si>
    <t>Gonzales</t>
  </si>
  <si>
    <t>Dorothy</t>
  </si>
  <si>
    <t>Copeland</t>
  </si>
  <si>
    <t>3312 Harvest Horse Chase</t>
  </si>
  <si>
    <t>Oprah</t>
  </si>
  <si>
    <t>Shaffer</t>
  </si>
  <si>
    <t>Ali</t>
  </si>
  <si>
    <t>4179 Burning Valley</t>
  </si>
  <si>
    <t>Parsons</t>
  </si>
  <si>
    <t>3561 Wishing Subdivision</t>
  </si>
  <si>
    <t>4767 Wishing Round</t>
  </si>
  <si>
    <t>Alvarez</t>
  </si>
  <si>
    <t>6908 Middle Green</t>
  </si>
  <si>
    <t>7798 Lost Front</t>
  </si>
  <si>
    <t>8830 Honey Fawn Bend</t>
  </si>
  <si>
    <t>Delgado</t>
  </si>
  <si>
    <t>8620 Silent Alley</t>
  </si>
  <si>
    <t>Willie</t>
  </si>
  <si>
    <t>5344 Lazy Beach</t>
  </si>
  <si>
    <t>1952 Noble Ramp</t>
  </si>
  <si>
    <t>French</t>
  </si>
  <si>
    <t>1133 Cozy Embers Plaza</t>
  </si>
  <si>
    <t>Glenna</t>
  </si>
  <si>
    <t>Bowen</t>
  </si>
  <si>
    <t>8621 Broad Forest</t>
  </si>
  <si>
    <t>Baranagar</t>
  </si>
  <si>
    <t>Rhodes</t>
  </si>
  <si>
    <t>7909 Amber View</t>
  </si>
  <si>
    <t>Chelsea</t>
  </si>
  <si>
    <t>Cooley</t>
  </si>
  <si>
    <t>68 Foggy Timber Walk</t>
  </si>
  <si>
    <t>Noelle</t>
  </si>
  <si>
    <t>Signe</t>
  </si>
  <si>
    <t>Quinn</t>
  </si>
  <si>
    <t>8665 Hidden Sky Concession</t>
  </si>
  <si>
    <t>Nichole</t>
  </si>
  <si>
    <t>Lindsay</t>
  </si>
  <si>
    <t>2358 Cozy Pointe</t>
  </si>
  <si>
    <t>Hyacinth</t>
  </si>
  <si>
    <t>Moss</t>
  </si>
  <si>
    <t>521 Fallen Lagoon Glade</t>
  </si>
  <si>
    <t>Rowan</t>
  </si>
  <si>
    <t>9015 High Hills Field</t>
  </si>
  <si>
    <t>Xantha</t>
  </si>
  <si>
    <t>Compton</t>
  </si>
  <si>
    <t>Harper</t>
  </si>
  <si>
    <t>9183 Indian Pond Park</t>
  </si>
  <si>
    <t>Carolina</t>
  </si>
  <si>
    <t>Faulkner</t>
  </si>
  <si>
    <t>1795 Dusty Hills Village</t>
  </si>
  <si>
    <t>Kidd</t>
  </si>
  <si>
    <t>4940 Velvet Timber Cape</t>
  </si>
  <si>
    <t>Mallory</t>
  </si>
  <si>
    <t>5883 Dusty Drive</t>
  </si>
  <si>
    <t>8284 Colonial Gate Path</t>
  </si>
  <si>
    <t>Mejia</t>
  </si>
  <si>
    <t>Rivas</t>
  </si>
  <si>
    <t>1173 Silver Isle</t>
  </si>
  <si>
    <t>3006 Sleepy Leaf Farm</t>
  </si>
  <si>
    <t>6015 Dewy Beach</t>
  </si>
  <si>
    <t>Shelton</t>
  </si>
  <si>
    <t>475 Colonial Autoroute</t>
  </si>
  <si>
    <t>4896 Heather Pond Rise</t>
  </si>
  <si>
    <t>Bruce</t>
  </si>
  <si>
    <t>9283 Hidden Elk Terrace</t>
  </si>
  <si>
    <t>Navarro</t>
  </si>
  <si>
    <t>5131 Iron Corner</t>
  </si>
  <si>
    <t>Zamora</t>
  </si>
  <si>
    <t>4204 Dusty Pathway</t>
  </si>
  <si>
    <t>Shea</t>
  </si>
  <si>
    <t>Kinney</t>
  </si>
  <si>
    <t>Kiayada</t>
  </si>
  <si>
    <t>7802 Dusty Fawn Maze</t>
  </si>
  <si>
    <t>5509 Red Quail Wood</t>
  </si>
  <si>
    <t>Adkins</t>
  </si>
  <si>
    <t>379 Honey Maze</t>
  </si>
  <si>
    <t>Jamshedpur</t>
  </si>
  <si>
    <t>Brandon</t>
  </si>
  <si>
    <t>Rowland</t>
  </si>
  <si>
    <t>4675 Cozy Way</t>
  </si>
  <si>
    <t>67 Bright Mountain Pines</t>
  </si>
  <si>
    <t>Jersey City</t>
  </si>
  <si>
    <t>454 Cotton Island</t>
  </si>
  <si>
    <t>May</t>
  </si>
  <si>
    <t>3251 Iron Horse Autoroute</t>
  </si>
  <si>
    <t>Garrett</t>
  </si>
  <si>
    <t>8839 Quiet Leaf Range</t>
  </si>
  <si>
    <t>8217 Fallen Panda Walk</t>
  </si>
  <si>
    <t>Highland</t>
  </si>
  <si>
    <t>Chapman</t>
  </si>
  <si>
    <t>9086 Cinder Meadow</t>
  </si>
  <si>
    <t>Shaw</t>
  </si>
  <si>
    <t>7046 Clear Creek Wharf</t>
  </si>
  <si>
    <t>6909 Shady Sky Park</t>
  </si>
  <si>
    <t>Brahmapur</t>
  </si>
  <si>
    <t>7715 Foggy Robin Valley</t>
  </si>
  <si>
    <t>Edison</t>
  </si>
  <si>
    <t>Ivy</t>
  </si>
  <si>
    <t>40 Pleasant Brook Trace</t>
  </si>
  <si>
    <t>Gloria</t>
  </si>
  <si>
    <t>6864 Dusty Island Avenue</t>
  </si>
  <si>
    <t>Long</t>
  </si>
  <si>
    <t>5735 Round Beacon Terrace</t>
  </si>
  <si>
    <t>Buena Park</t>
  </si>
  <si>
    <t>September</t>
  </si>
  <si>
    <t>Bryan</t>
  </si>
  <si>
    <t>3740 Velvet Rise</t>
  </si>
  <si>
    <t>Bowling Green</t>
  </si>
  <si>
    <t>Eve</t>
  </si>
  <si>
    <t>KY</t>
  </si>
  <si>
    <t>5393 Silent Landing</t>
  </si>
  <si>
    <t>Morristown</t>
  </si>
  <si>
    <t>Ignacia</t>
  </si>
  <si>
    <t>Langley</t>
  </si>
  <si>
    <t>3593 Easy Embers Field</t>
  </si>
  <si>
    <t>Wyoming</t>
  </si>
  <si>
    <t>2737 Jagged Byway</t>
  </si>
  <si>
    <t>4579 Lost Beach</t>
  </si>
  <si>
    <t>Bell Gardens</t>
  </si>
  <si>
    <t>3104 Thunder Grounds</t>
  </si>
  <si>
    <t>Thanjavur</t>
  </si>
  <si>
    <t>Clementine</t>
  </si>
  <si>
    <t>Lowe</t>
  </si>
  <si>
    <t>Bishop</t>
  </si>
  <si>
    <t>1948 Stony Timber Lookout</t>
  </si>
  <si>
    <t>Bilaspur</t>
  </si>
  <si>
    <t>National City</t>
  </si>
  <si>
    <t>Stella</t>
  </si>
  <si>
    <t>Sellers</t>
  </si>
  <si>
    <t>5131 Grand Dale Ramp</t>
  </si>
  <si>
    <t>Lawrenceville</t>
  </si>
  <si>
    <t>Gary</t>
  </si>
  <si>
    <t>9463 Tawny Place</t>
  </si>
  <si>
    <t>Sacramento</t>
  </si>
  <si>
    <t>Maite</t>
  </si>
  <si>
    <t>Hendricks</t>
  </si>
  <si>
    <t>2534 Umber Landing</t>
  </si>
  <si>
    <t>9929 Hidden Berry Campus</t>
  </si>
  <si>
    <t>Lareina</t>
  </si>
  <si>
    <t>Workman</t>
  </si>
  <si>
    <t>4197 Lazy Diversion</t>
  </si>
  <si>
    <t>Carol</t>
  </si>
  <si>
    <t>Leach</t>
  </si>
  <si>
    <t>826 High Butterfly Hollow</t>
  </si>
  <si>
    <t>Cypress</t>
  </si>
  <si>
    <t>South Ozone Park</t>
  </si>
  <si>
    <t>Hollee</t>
  </si>
  <si>
    <t>5616 Little Lagoon Street</t>
  </si>
  <si>
    <t>Irving</t>
  </si>
  <si>
    <t>Holly</t>
  </si>
  <si>
    <t>Hayes</t>
  </si>
  <si>
    <t>8832 Quiet Manor</t>
  </si>
  <si>
    <t>Nora</t>
  </si>
  <si>
    <t>550 Easy Close</t>
  </si>
  <si>
    <t>Morrison</t>
  </si>
  <si>
    <t>3829 Gentle Beacon Meadow</t>
  </si>
  <si>
    <t>Astra</t>
  </si>
  <si>
    <t>3520 Hazy Inlet</t>
  </si>
  <si>
    <t>Greeley</t>
  </si>
  <si>
    <t>Rhonda</t>
  </si>
  <si>
    <t>Love</t>
  </si>
  <si>
    <t>7168 Indian Circuit</t>
  </si>
  <si>
    <t>Fitness Accessories</t>
  </si>
  <si>
    <t>Ball</t>
  </si>
  <si>
    <t>1945 Iron Panda Circle</t>
  </si>
  <si>
    <t>Under Armour Hustle Storm Medium Duffle Bag</t>
  </si>
  <si>
    <t>Hilliard</t>
  </si>
  <si>
    <t>Martina</t>
  </si>
  <si>
    <t>Nielsen</t>
  </si>
  <si>
    <t>4616 Thunder View Link</t>
  </si>
  <si>
    <t>Mooney</t>
  </si>
  <si>
    <t>9724 Indian Trail</t>
  </si>
  <si>
    <t>Costa</t>
  </si>
  <si>
    <t>6161 Hidden Bluff Trace</t>
  </si>
  <si>
    <t>Van Nuys</t>
  </si>
  <si>
    <t>7510 Harvest Zephyr By-pass</t>
  </si>
  <si>
    <t>Colorado Springs</t>
  </si>
  <si>
    <t>Jenkins</t>
  </si>
  <si>
    <t>3663 Umber Cloud Arbor</t>
  </si>
  <si>
    <t>Clayton</t>
  </si>
  <si>
    <t>1306 Cozy Abbey</t>
  </si>
  <si>
    <t>Chapel Hill</t>
  </si>
  <si>
    <t>Kramer</t>
  </si>
  <si>
    <t>7417 Stony Barn Heath</t>
  </si>
  <si>
    <t>Team Golf San Francisco Giants Putter Grip</t>
  </si>
  <si>
    <t>Briar</t>
  </si>
  <si>
    <t>Graves</t>
  </si>
  <si>
    <t>Deanna</t>
  </si>
  <si>
    <t>Glenn</t>
  </si>
  <si>
    <t>Cally</t>
  </si>
  <si>
    <t>Barlow</t>
  </si>
  <si>
    <t>5452 Jagged Green</t>
  </si>
  <si>
    <t>Santos</t>
  </si>
  <si>
    <t>8435 Green Route</t>
  </si>
  <si>
    <t>Ratlam</t>
  </si>
  <si>
    <t>732 Honey Harbour</t>
  </si>
  <si>
    <t>1534 Wishing Blossom Nook</t>
  </si>
  <si>
    <t>7962 Lazy Pioneer Estates</t>
  </si>
  <si>
    <t>Tennis &amp; Racquet</t>
  </si>
  <si>
    <t>Rachel</t>
  </si>
  <si>
    <t>7810 Round Corners</t>
  </si>
  <si>
    <t>Dehra Dun</t>
  </si>
  <si>
    <t>4166 Golden Willow Circuit</t>
  </si>
  <si>
    <t>1966 Clear Isle</t>
  </si>
  <si>
    <t>1025 Colonial Plaza</t>
  </si>
  <si>
    <t>9003 Easy Gate Drive</t>
  </si>
  <si>
    <t>8382 Stony Pond Crescent</t>
  </si>
  <si>
    <t>Paula</t>
  </si>
  <si>
    <t>9050 Pleasant Cloud Mountain</t>
  </si>
  <si>
    <t>Team Golf Texas Longhorns Putter Grip</t>
  </si>
  <si>
    <t>Federal Way</t>
  </si>
  <si>
    <t>Keller</t>
  </si>
  <si>
    <t>5004 High Grove Lane</t>
  </si>
  <si>
    <t>Wyandotte</t>
  </si>
  <si>
    <t>372 Misty Vale</t>
  </si>
  <si>
    <t>4079 Green Swale</t>
  </si>
  <si>
    <t>Poway</t>
  </si>
  <si>
    <t>Frazier</t>
  </si>
  <si>
    <t>4113 Merry Barn Expressway</t>
  </si>
  <si>
    <t>5480 Clear Branch Round</t>
  </si>
  <si>
    <t>Mount Pleasant</t>
  </si>
  <si>
    <t>1981 Thunder Zephyr Edge</t>
  </si>
  <si>
    <t>Kelsey</t>
  </si>
  <si>
    <t>Cole</t>
  </si>
  <si>
    <t>Meadows</t>
  </si>
  <si>
    <t>852 Green Private</t>
  </si>
  <si>
    <t>La Mesa</t>
  </si>
  <si>
    <t>Ursula</t>
  </si>
  <si>
    <t>Andrade</t>
  </si>
  <si>
    <t>7011 Cozy Beach</t>
  </si>
  <si>
    <t>Albuquerque</t>
  </si>
  <si>
    <t>Perry</t>
  </si>
  <si>
    <t>5768 Emerald Blossom Parkway</t>
  </si>
  <si>
    <t>Broomfield</t>
  </si>
  <si>
    <t>4501 Cinder Dell</t>
  </si>
  <si>
    <t>Fisher</t>
  </si>
  <si>
    <t>4776 Indian Deer Downs</t>
  </si>
  <si>
    <t>Ann</t>
  </si>
  <si>
    <t>9234 Lost Bay</t>
  </si>
  <si>
    <t>6528 Round Private</t>
  </si>
  <si>
    <t>Glendale</t>
  </si>
  <si>
    <t>Pierce</t>
  </si>
  <si>
    <t>6412 Velvet Bank</t>
  </si>
  <si>
    <t>Dubuque</t>
  </si>
  <si>
    <t>IA</t>
  </si>
  <si>
    <t>9188 Bright Crossing</t>
  </si>
  <si>
    <t>Chung</t>
  </si>
  <si>
    <t>Ypsilanti</t>
  </si>
  <si>
    <t>Sydnee</t>
  </si>
  <si>
    <t>4271 Noble Island</t>
  </si>
  <si>
    <t>New Haven</t>
  </si>
  <si>
    <t>Illiana</t>
  </si>
  <si>
    <t>CT</t>
  </si>
  <si>
    <t>2699 Jagged Horse Highway</t>
  </si>
  <si>
    <t>Amity</t>
  </si>
  <si>
    <t>8055 Iron Ridge</t>
  </si>
  <si>
    <t>Browning</t>
  </si>
  <si>
    <t>4482 Jagged Inlet</t>
  </si>
  <si>
    <t>Mcdowell</t>
  </si>
  <si>
    <t>Florissant</t>
  </si>
  <si>
    <t>Tatiana</t>
  </si>
  <si>
    <t>Vargas</t>
  </si>
  <si>
    <t>6692 Clear Edge</t>
  </si>
  <si>
    <t>8249 Misty End</t>
  </si>
  <si>
    <t>Hampton</t>
  </si>
  <si>
    <t>Burnett</t>
  </si>
  <si>
    <t>9800 Honey Oak Mews</t>
  </si>
  <si>
    <t>Napa</t>
  </si>
  <si>
    <t>Howard</t>
  </si>
  <si>
    <t>1356 Easy Plaza</t>
  </si>
  <si>
    <t>Simpson</t>
  </si>
  <si>
    <t>2293 Thunder Vale</t>
  </si>
  <si>
    <t>Mcgee</t>
  </si>
  <si>
    <t>5261 Thunder Valley</t>
  </si>
  <si>
    <t>Mayo</t>
  </si>
  <si>
    <t>Jorden</t>
  </si>
  <si>
    <t>Mccray</t>
  </si>
  <si>
    <t>5700 Golden Pathway</t>
  </si>
  <si>
    <t>Burnsville</t>
  </si>
  <si>
    <t>4583 Heather Blossom Diversion</t>
  </si>
  <si>
    <t>Seattle</t>
  </si>
  <si>
    <t>Stokes</t>
  </si>
  <si>
    <t>2865 Blue Rise Way</t>
  </si>
  <si>
    <t>Laredo</t>
  </si>
  <si>
    <t>Newman</t>
  </si>
  <si>
    <t>9144 Gentle Dale</t>
  </si>
  <si>
    <t>Xaviera</t>
  </si>
  <si>
    <t>Cherry</t>
  </si>
  <si>
    <t>7312 Crystal Willow Villas</t>
  </si>
  <si>
    <t>Meridian</t>
  </si>
  <si>
    <t>Guthrie</t>
  </si>
  <si>
    <t>ID</t>
  </si>
  <si>
    <t>6415 Little Alley</t>
  </si>
  <si>
    <t>Woodside</t>
  </si>
  <si>
    <t>Hall</t>
  </si>
  <si>
    <t>6909 Sleepy Fawn Path</t>
  </si>
  <si>
    <t>1229 Sunny Forest Place</t>
  </si>
  <si>
    <t>6580 High Circle</t>
  </si>
  <si>
    <t>Leandra</t>
  </si>
  <si>
    <t>Haley</t>
  </si>
  <si>
    <t>Mildred</t>
  </si>
  <si>
    <t>Ferguson</t>
  </si>
  <si>
    <t>3327 Indian Centre</t>
  </si>
  <si>
    <t>1632 Fallen Robin Quay</t>
  </si>
  <si>
    <t>7358 Gentle Manor</t>
  </si>
  <si>
    <t>Olivia</t>
  </si>
  <si>
    <t>Downs</t>
  </si>
  <si>
    <t>9095 Middle Pony Pike</t>
  </si>
  <si>
    <t>Jeremy</t>
  </si>
  <si>
    <t>Nathan</t>
  </si>
  <si>
    <t>3202 Lazy Maze</t>
  </si>
  <si>
    <t>4028 Rustic Valley</t>
  </si>
  <si>
    <t>720 Cozy Street</t>
  </si>
  <si>
    <t>Nancy</t>
  </si>
  <si>
    <t>Haynes</t>
  </si>
  <si>
    <t>Henson</t>
  </si>
  <si>
    <t>3313 Golden Ridge</t>
  </si>
  <si>
    <t>Abra</t>
  </si>
  <si>
    <t>Walsh</t>
  </si>
  <si>
    <t>April</t>
  </si>
  <si>
    <t>Blackburn</t>
  </si>
  <si>
    <t>696 Velvet Oak Ledge</t>
  </si>
  <si>
    <t>Gomez</t>
  </si>
  <si>
    <t>9394 Old Subdivision</t>
  </si>
  <si>
    <t>3698 Sleepy Park</t>
  </si>
  <si>
    <t>Rios</t>
  </si>
  <si>
    <t>2044 Wishing Oak Acres</t>
  </si>
  <si>
    <t>9870 Little Hickory Loop</t>
  </si>
  <si>
    <t>588 Silent Ledge</t>
  </si>
  <si>
    <t>9417 Emerald Towers</t>
  </si>
  <si>
    <t>Sharon</t>
  </si>
  <si>
    <t>Bailey</t>
  </si>
  <si>
    <t>3890 Jagged Apple Dell</t>
  </si>
  <si>
    <t>Jesse</t>
  </si>
  <si>
    <t>8063 Golden Street</t>
  </si>
  <si>
    <t>Wilkinson</t>
  </si>
  <si>
    <t>Kamarhati</t>
  </si>
  <si>
    <t>Baldwin Park</t>
  </si>
  <si>
    <t>Rogers</t>
  </si>
  <si>
    <t>6630 Sleepy Mews</t>
  </si>
  <si>
    <t>119 Gentle Wynd</t>
  </si>
  <si>
    <t>Davis</t>
  </si>
  <si>
    <t>7802 Green Willow Extension</t>
  </si>
  <si>
    <t>197 Quaking Trail</t>
  </si>
  <si>
    <t>Palatine</t>
  </si>
  <si>
    <t>Freeman</t>
  </si>
  <si>
    <t>9596 Silver Pond Mount</t>
  </si>
  <si>
    <t>Vaughan</t>
  </si>
  <si>
    <t>7538 High Heights</t>
  </si>
  <si>
    <t>Hatfield</t>
  </si>
  <si>
    <t>5166 Umber Run</t>
  </si>
  <si>
    <t>Milford</t>
  </si>
  <si>
    <t>Black</t>
  </si>
  <si>
    <t>6692 Velvet Grove</t>
  </si>
  <si>
    <t>125 Colonial Butterfly Stead</t>
  </si>
  <si>
    <t>9847 Dusty Horse Corner</t>
  </si>
  <si>
    <t>Golf Gloves</t>
  </si>
  <si>
    <t>Davies</t>
  </si>
  <si>
    <t>4485 Noble Lake Place</t>
  </si>
  <si>
    <t>Bag Boy Beverage Holder</t>
  </si>
  <si>
    <t>2059 Tawny View</t>
  </si>
  <si>
    <t>4823 Golden Hollow</t>
  </si>
  <si>
    <t>Joshua</t>
  </si>
  <si>
    <t>5379 High By-pass</t>
  </si>
  <si>
    <t>5662 Tawny Concession</t>
  </si>
  <si>
    <t>Marie</t>
  </si>
  <si>
    <t>3271 Sunny Green</t>
  </si>
  <si>
    <t>Guayama</t>
  </si>
  <si>
    <t>6121 Silent Street</t>
  </si>
  <si>
    <t>Alhambra</t>
  </si>
  <si>
    <t>2036 Tawny Branch Crossing</t>
  </si>
  <si>
    <t>Clicgear 8.0 Shoe Brush</t>
  </si>
  <si>
    <t>York</t>
  </si>
  <si>
    <t>2749 Cotton Circle</t>
  </si>
  <si>
    <t>Hayward</t>
  </si>
  <si>
    <t>4728 Amber Lake Terrace</t>
  </si>
  <si>
    <t>Clicgear Rovic Cooler Bag</t>
  </si>
  <si>
    <t>Marietta</t>
  </si>
  <si>
    <t>4979 Pleasant Vista</t>
  </si>
  <si>
    <t>Saginaw</t>
  </si>
  <si>
    <t>Curry</t>
  </si>
  <si>
    <t>4355 Gentle Abbey</t>
  </si>
  <si>
    <t>La Mirada</t>
  </si>
  <si>
    <t>Emma</t>
  </si>
  <si>
    <t>5767 High Carrefour</t>
  </si>
  <si>
    <t>Hutchinson</t>
  </si>
  <si>
    <t>9304 Emerald Oak Plaza</t>
  </si>
  <si>
    <t>Karimnagar</t>
  </si>
  <si>
    <t>San Francisco</t>
  </si>
  <si>
    <t>Jack</t>
  </si>
  <si>
    <t>7027 High Passage</t>
  </si>
  <si>
    <t>4369 Bright Log Estates</t>
  </si>
  <si>
    <t>Joelle</t>
  </si>
  <si>
    <t>Stephens</t>
  </si>
  <si>
    <t>7571 Tawny Gate Cape</t>
  </si>
  <si>
    <t>Fort Worth</t>
  </si>
  <si>
    <t>Tatum</t>
  </si>
  <si>
    <t>Roberson</t>
  </si>
  <si>
    <t>Uta</t>
  </si>
  <si>
    <t>2820 Silent Corners</t>
  </si>
  <si>
    <t>Kirby</t>
  </si>
  <si>
    <t>6030 Harvest Knoll</t>
  </si>
  <si>
    <t>Blossom</t>
  </si>
  <si>
    <t>Little</t>
  </si>
  <si>
    <t>5795 Lazy View Concession</t>
  </si>
  <si>
    <t>Meredith</t>
  </si>
  <si>
    <t>7802 Foggy Robin Link</t>
  </si>
  <si>
    <t>Robinson</t>
  </si>
  <si>
    <t>1358 Middle Dale Field</t>
  </si>
  <si>
    <t>Rosalyn</t>
  </si>
  <si>
    <t>8153 Sunny Bluff Grove</t>
  </si>
  <si>
    <t>5835 Hidden Downs</t>
  </si>
  <si>
    <t>Redmond</t>
  </si>
  <si>
    <t>Petra</t>
  </si>
  <si>
    <t>Robertson</t>
  </si>
  <si>
    <t>2469 Dewy Panda Court</t>
  </si>
  <si>
    <t>9627 Little Terrace</t>
  </si>
  <si>
    <t>Burks</t>
  </si>
  <si>
    <t>7446 Rocky Lookout</t>
  </si>
  <si>
    <t>Jennifer</t>
  </si>
  <si>
    <t>Edwards</t>
  </si>
  <si>
    <t>2897 Rustic Mountain Crest</t>
  </si>
  <si>
    <t>Velazquez</t>
  </si>
  <si>
    <t>9380 Sleepy Valley</t>
  </si>
  <si>
    <t>Hunt</t>
  </si>
  <si>
    <t>4672 Easy Alley</t>
  </si>
  <si>
    <t>Velez</t>
  </si>
  <si>
    <t>8771 Honey Orchard</t>
  </si>
  <si>
    <t>Bakersfield</t>
  </si>
  <si>
    <t>Snyder</t>
  </si>
  <si>
    <t>8014 Iron Walk</t>
  </si>
  <si>
    <t>4381 Silver Manor</t>
  </si>
  <si>
    <t>Renee</t>
  </si>
  <si>
    <t>89 Fallen Mount</t>
  </si>
  <si>
    <t>Crystal Lake</t>
  </si>
  <si>
    <t>Golden</t>
  </si>
  <si>
    <t>331 Fallen Chase</t>
  </si>
  <si>
    <t>Sheila</t>
  </si>
  <si>
    <t>8355 Lazy Anchor Pines</t>
  </si>
  <si>
    <t>Winter Park</t>
  </si>
  <si>
    <t>Neve</t>
  </si>
  <si>
    <t>4948 Stony Close</t>
  </si>
  <si>
    <t>8259 Foggy Edge</t>
  </si>
  <si>
    <t>Satna</t>
  </si>
  <si>
    <t>6499 Indian Run</t>
  </si>
  <si>
    <t>Fountain Valley</t>
  </si>
  <si>
    <t>Pamela</t>
  </si>
  <si>
    <t>1828 Clear Barn Cove</t>
  </si>
  <si>
    <t>Lisa</t>
  </si>
  <si>
    <t>Turner</t>
  </si>
  <si>
    <t>4294 Golden Bank</t>
  </si>
  <si>
    <t>Shaine</t>
  </si>
  <si>
    <t>Willi</t>
  </si>
  <si>
    <t>2161 Emerald Beach</t>
  </si>
  <si>
    <t>Amarillo</t>
  </si>
  <si>
    <t>Decker</t>
  </si>
  <si>
    <t>6826 Quiet Lane</t>
  </si>
  <si>
    <t>Todd</t>
  </si>
  <si>
    <t>3493 Noble Vista</t>
  </si>
  <si>
    <t>Weaver</t>
  </si>
  <si>
    <t>5842 Thunder Zephyr Pointe</t>
  </si>
  <si>
    <t>Xandra</t>
  </si>
  <si>
    <t>Rodgers</t>
  </si>
  <si>
    <t>4853 Silent Mount</t>
  </si>
  <si>
    <t>Eden</t>
  </si>
  <si>
    <t>Flores</t>
  </si>
  <si>
    <t>Osborn</t>
  </si>
  <si>
    <t>7706 Foggy Pine Wynd</t>
  </si>
  <si>
    <t>Gordon</t>
  </si>
  <si>
    <t>2484 Golden Wagon  Pointe</t>
  </si>
  <si>
    <t>Fargo</t>
  </si>
  <si>
    <t>ND</t>
  </si>
  <si>
    <t>1812 Little Pine Parade</t>
  </si>
  <si>
    <t xml:space="preserve">8279 Crystal Panda Mall </t>
  </si>
  <si>
    <t>1022 Dusty Glen</t>
  </si>
  <si>
    <t>Campos</t>
  </si>
  <si>
    <t>7002 Golden Wood</t>
  </si>
  <si>
    <t>Hesperia</t>
  </si>
  <si>
    <t>Eleanor</t>
  </si>
  <si>
    <t>Merrill</t>
  </si>
  <si>
    <t>4770 Blue Pines</t>
  </si>
  <si>
    <t>Shannon</t>
  </si>
  <si>
    <t>Richards</t>
  </si>
  <si>
    <t>Algonquin</t>
  </si>
  <si>
    <t>Aspen</t>
  </si>
  <si>
    <t>Coleman</t>
  </si>
  <si>
    <t>4616 Red Anchor Gardens</t>
  </si>
  <si>
    <t>Normal</t>
  </si>
  <si>
    <t>Melyssa</t>
  </si>
  <si>
    <t>9279 Little Beach</t>
  </si>
  <si>
    <t>5120 Indian Pine Passage</t>
  </si>
  <si>
    <t>Manchester</t>
  </si>
  <si>
    <t>Lillian</t>
  </si>
  <si>
    <t>119 Round Vale</t>
  </si>
  <si>
    <t>Detroit</t>
  </si>
  <si>
    <t>Willow</t>
  </si>
  <si>
    <t>7284 Clear Brook Field</t>
  </si>
  <si>
    <t>Longview</t>
  </si>
  <si>
    <t>Mercedes</t>
  </si>
  <si>
    <t>Pope</t>
  </si>
  <si>
    <t>Sybill</t>
  </si>
  <si>
    <t>7592 Bright Ledge</t>
  </si>
  <si>
    <t>1110 Merry Trace</t>
  </si>
  <si>
    <t>4114 Indian Thicket</t>
  </si>
  <si>
    <t>1840 Fallen Lane</t>
  </si>
  <si>
    <t>Allentown</t>
  </si>
  <si>
    <t>6779 Iron Woods</t>
  </si>
  <si>
    <t>1040 Shady Horse Limits</t>
  </si>
  <si>
    <t>Powder Springs</t>
  </si>
  <si>
    <t>19 Clear Autumn Estates</t>
  </si>
  <si>
    <t>Oakland</t>
  </si>
  <si>
    <t>1185 Blue Pioneer Extension</t>
  </si>
  <si>
    <t>1763 Crystal Valley</t>
  </si>
  <si>
    <t>5332 Iron Deer Loop</t>
  </si>
  <si>
    <t>Hagerstown</t>
  </si>
  <si>
    <t>9671 Little Chase</t>
  </si>
  <si>
    <t>Davidson</t>
  </si>
  <si>
    <t>Crane</t>
  </si>
  <si>
    <t>3538 Umber Robin Manor</t>
  </si>
  <si>
    <t>Latifah</t>
  </si>
  <si>
    <t>Boyle</t>
  </si>
  <si>
    <t>7381 Dusty Beacon Walk</t>
  </si>
  <si>
    <t>Nizamabad</t>
  </si>
  <si>
    <t>Staten Island</t>
  </si>
  <si>
    <t>4791 Rocky Front</t>
  </si>
  <si>
    <t>Azalia</t>
  </si>
  <si>
    <t>Branch</t>
  </si>
  <si>
    <t>1820 Noble Elk Harbour</t>
  </si>
  <si>
    <t>Oliver</t>
  </si>
  <si>
    <t>Atom</t>
  </si>
  <si>
    <t>9674 Shady Gardens</t>
  </si>
  <si>
    <t>Ray</t>
  </si>
  <si>
    <t>5104 Bright Lake Hollow</t>
  </si>
  <si>
    <t>Escondido</t>
  </si>
  <si>
    <t>889 Blue Ridge</t>
  </si>
  <si>
    <t>Maddox</t>
  </si>
  <si>
    <t>5104 Iron Log Limits</t>
  </si>
  <si>
    <t>Hamtramck</t>
  </si>
  <si>
    <t>Oconnell</t>
  </si>
  <si>
    <t>Morin</t>
  </si>
  <si>
    <t>9627 Bright Berry Loop</t>
  </si>
  <si>
    <t>Castillo</t>
  </si>
  <si>
    <t>6842 Clear Brook Jetty</t>
  </si>
  <si>
    <t>Whitfield</t>
  </si>
  <si>
    <t>7969 Umber Forest</t>
  </si>
  <si>
    <t>Dearborn</t>
  </si>
  <si>
    <t>William</t>
  </si>
  <si>
    <t>1132 Harvest Front</t>
  </si>
  <si>
    <t>9657 Red Willow Hill</t>
  </si>
  <si>
    <t>Mosley</t>
  </si>
  <si>
    <t>7832 Wishing Court</t>
  </si>
  <si>
    <t>5913 Amber Berry Passage</t>
  </si>
  <si>
    <t>Mathis</t>
  </si>
  <si>
    <t>1040 Hazy Timber Lookout</t>
  </si>
  <si>
    <t>8477 Silent Subdivision</t>
  </si>
  <si>
    <t>4286 Stony Turnabout</t>
  </si>
  <si>
    <t>Andrews</t>
  </si>
  <si>
    <t>6864 Tawny Bluff Forest</t>
  </si>
  <si>
    <t>Fay</t>
  </si>
  <si>
    <t>Powell</t>
  </si>
  <si>
    <t>2744 Round Deer Nook</t>
  </si>
  <si>
    <t>Indio</t>
  </si>
  <si>
    <t>Hensley</t>
  </si>
  <si>
    <t>556 Velvet Landing</t>
  </si>
  <si>
    <t>Angelica</t>
  </si>
  <si>
    <t>5079 Velvet Hickory By-pass</t>
  </si>
  <si>
    <t>Asheboro</t>
  </si>
  <si>
    <t>Ora</t>
  </si>
  <si>
    <t>Rivera</t>
  </si>
  <si>
    <t>2456 Bright Farms</t>
  </si>
  <si>
    <t>Mccann</t>
  </si>
  <si>
    <t>4182 Rustic Lake Campus</t>
  </si>
  <si>
    <t>6157 Quaking Extension</t>
  </si>
  <si>
    <t>Lawton</t>
  </si>
  <si>
    <t>OK</t>
  </si>
  <si>
    <t>3665 Tawny Knoll</t>
  </si>
  <si>
    <t>Diane</t>
  </si>
  <si>
    <t>5184 Easy Grove Passage</t>
  </si>
  <si>
    <t>6340 Merry Blossom Boulevard</t>
  </si>
  <si>
    <t>4271 Hazy Close</t>
  </si>
  <si>
    <t>Gulbarga</t>
  </si>
  <si>
    <t>4899 Rustic Apple Boulevard</t>
  </si>
  <si>
    <t>Walter</t>
  </si>
  <si>
    <t>6889 Gentle Pike</t>
  </si>
  <si>
    <t>Cheyenne</t>
  </si>
  <si>
    <t>4711 Grand Pioneer Promenade</t>
  </si>
  <si>
    <t>Leila</t>
  </si>
  <si>
    <t>Shepherd</t>
  </si>
  <si>
    <t>2083 Harvest Horse Mount</t>
  </si>
  <si>
    <t>1557 High Spring Cove</t>
  </si>
  <si>
    <t>1802 Wishing Line</t>
  </si>
  <si>
    <t>Mcclure</t>
  </si>
  <si>
    <t>1548 Lazy Circuit</t>
  </si>
  <si>
    <t>1258 Stony Wynd</t>
  </si>
  <si>
    <t>Cassandra</t>
  </si>
  <si>
    <t>3505 Emerald Vista</t>
  </si>
  <si>
    <t>9741 Lost Cider Campus</t>
  </si>
  <si>
    <t>Patrick</t>
  </si>
  <si>
    <t>Williamson</t>
  </si>
  <si>
    <t>1023 Merry Canyon</t>
  </si>
  <si>
    <t>Mari</t>
  </si>
  <si>
    <t>Colon</t>
  </si>
  <si>
    <t>7119 Iron Creek Farm</t>
  </si>
  <si>
    <t>Cook</t>
  </si>
  <si>
    <t>4905 Umber Corners</t>
  </si>
  <si>
    <t>Stevens</t>
  </si>
  <si>
    <t>6097 Amber Rabbit Impasse</t>
  </si>
  <si>
    <t>6127 Pleasant Wagon  Campus</t>
  </si>
  <si>
    <t>8370 Green Berry Boulevard</t>
  </si>
  <si>
    <t>Sybil</t>
  </si>
  <si>
    <t>Monroe</t>
  </si>
  <si>
    <t>5652 Thunder Crossing</t>
  </si>
  <si>
    <t>Skyler</t>
  </si>
  <si>
    <t>Cardenas</t>
  </si>
  <si>
    <t>3050 Rustic Pine Expressway</t>
  </si>
  <si>
    <t>Dominique</t>
  </si>
  <si>
    <t>Powers</t>
  </si>
  <si>
    <t>398 Pleasant Mountain</t>
  </si>
  <si>
    <t>Sharp</t>
  </si>
  <si>
    <t>2690 Cozy Autumn Parade</t>
  </si>
  <si>
    <t>Helen</t>
  </si>
  <si>
    <t>3996 Crystal Zephyr Swale</t>
  </si>
  <si>
    <t>601 Umber Lake Point</t>
  </si>
  <si>
    <t>Mullins</t>
  </si>
  <si>
    <t>3593 Blue Brook Acres</t>
  </si>
  <si>
    <t>Dyer</t>
  </si>
  <si>
    <t>Pennington</t>
  </si>
  <si>
    <t>5382 Heather Key</t>
  </si>
  <si>
    <t>Aubrey</t>
  </si>
  <si>
    <t>Anika</t>
  </si>
  <si>
    <t>Tucker</t>
  </si>
  <si>
    <t>Audrey</t>
  </si>
  <si>
    <t>7601 Pleasant Barn Run</t>
  </si>
  <si>
    <t>Diaz</t>
  </si>
  <si>
    <t>1795 Little Timber Wood</t>
  </si>
  <si>
    <t>Juana Diaz</t>
  </si>
  <si>
    <t>Mcdonald</t>
  </si>
  <si>
    <t>7231 Silent Square</t>
  </si>
  <si>
    <t>Gibson</t>
  </si>
  <si>
    <t>4900 Colonial Beacon Village</t>
  </si>
  <si>
    <t>2867 Heather Carrefour</t>
  </si>
  <si>
    <t>6296 Misty Goose Avenue</t>
  </si>
  <si>
    <t>Kathryn</t>
  </si>
  <si>
    <t>Norris</t>
  </si>
  <si>
    <t>Nayda</t>
  </si>
  <si>
    <t>Hancock</t>
  </si>
  <si>
    <t>Jennings</t>
  </si>
  <si>
    <t>1865 Dusty Deer Mountain</t>
  </si>
  <si>
    <t>Randy</t>
  </si>
  <si>
    <t>Chambers</t>
  </si>
  <si>
    <t>9854 Iron Street</t>
  </si>
  <si>
    <t>5803 Silver Plaza</t>
  </si>
  <si>
    <t>Carl</t>
  </si>
  <si>
    <t>2387 Harvest Subdivision</t>
  </si>
  <si>
    <t>Fuentes</t>
  </si>
  <si>
    <t>5035 Sleepy Trail</t>
  </si>
  <si>
    <t>1159 Silver Robin Falls</t>
  </si>
  <si>
    <t>Horton</t>
  </si>
  <si>
    <t>7370 Sunny Mountain</t>
  </si>
  <si>
    <t>Leilani</t>
  </si>
  <si>
    <t>Butler</t>
  </si>
  <si>
    <t>Vielka</t>
  </si>
  <si>
    <t>Jordan</t>
  </si>
  <si>
    <t>8044 Merry Landing</t>
  </si>
  <si>
    <t>3729 Dewy Line</t>
  </si>
  <si>
    <t>Xyla</t>
  </si>
  <si>
    <t>Guy</t>
  </si>
  <si>
    <t>6283 Fallen Bend</t>
  </si>
  <si>
    <t>4746 Quaking Bear Valley</t>
  </si>
  <si>
    <t>3853 Pleasant Mountain Corners</t>
  </si>
  <si>
    <t>3282 Lost Gate</t>
  </si>
  <si>
    <t>9139 Thunder Forest Point</t>
  </si>
  <si>
    <t>2089 Old Avenue</t>
  </si>
  <si>
    <t>5257 Umber Field</t>
  </si>
  <si>
    <t>5438 Rustic Arbor</t>
  </si>
  <si>
    <t>Phillip</t>
  </si>
  <si>
    <t>2391 Lost Byway</t>
  </si>
  <si>
    <t>El Centro</t>
  </si>
  <si>
    <t>Fatima</t>
  </si>
  <si>
    <t>Kline</t>
  </si>
  <si>
    <t>1191 Merry Rabbit Acres</t>
  </si>
  <si>
    <t>Meghan</t>
  </si>
  <si>
    <t>Montgomery</t>
  </si>
  <si>
    <t>5810 Umber Impasse</t>
  </si>
  <si>
    <t>Vacaville</t>
  </si>
  <si>
    <t>Karina</t>
  </si>
  <si>
    <t>Hebert</t>
  </si>
  <si>
    <t>4629 Blue Cloud Passage</t>
  </si>
  <si>
    <t>Spencer</t>
  </si>
  <si>
    <t>355 Wishing Rise Ledge</t>
  </si>
  <si>
    <t>Brentwood</t>
  </si>
  <si>
    <t>4746 Misty Sky Campus</t>
  </si>
  <si>
    <t>Iola</t>
  </si>
  <si>
    <t>4106 Burning Oak Carrefour</t>
  </si>
  <si>
    <t>Winnetka</t>
  </si>
  <si>
    <t>9792 Quaking Robin Grounds</t>
  </si>
  <si>
    <t>West Chester</t>
  </si>
  <si>
    <t>5344 Silver Alley</t>
  </si>
  <si>
    <t>8679 Rocky Glen</t>
  </si>
  <si>
    <t>4232 Rustic Pine Canyon</t>
  </si>
  <si>
    <t>1221 Cinder Pines</t>
  </si>
  <si>
    <t>Riverside</t>
  </si>
  <si>
    <t>6595 Shady Concession</t>
  </si>
  <si>
    <t>Shahjahanpur</t>
  </si>
  <si>
    <t>Kerr</t>
  </si>
  <si>
    <t>123 Wishing River Green</t>
  </si>
  <si>
    <t>7829 Easy Estates</t>
  </si>
  <si>
    <t>Whitley</t>
  </si>
  <si>
    <t>8547 Old Drive</t>
  </si>
  <si>
    <t>Kendall</t>
  </si>
  <si>
    <t>Morse</t>
  </si>
  <si>
    <t>6077 Clear Mountain Abbey</t>
  </si>
  <si>
    <t>Rosemead</t>
  </si>
  <si>
    <t>2472 Noble Butterfly Dell</t>
  </si>
  <si>
    <t>Oak Lawn</t>
  </si>
  <si>
    <t>Wood</t>
  </si>
  <si>
    <t>9768 Noble Horse Heights</t>
  </si>
  <si>
    <t>Friedman</t>
  </si>
  <si>
    <t>1465 Quaking Ledge</t>
  </si>
  <si>
    <t>Jonathan</t>
  </si>
  <si>
    <t>849 Noble Apple Private</t>
  </si>
  <si>
    <t>Barddhaman</t>
  </si>
  <si>
    <t>Ariel</t>
  </si>
  <si>
    <t>Hinton</t>
  </si>
  <si>
    <t>Fullerton</t>
  </si>
  <si>
    <t>Florence</t>
  </si>
  <si>
    <t>4703 Grand Square</t>
  </si>
  <si>
    <t>Mullen</t>
  </si>
  <si>
    <t>Shelley</t>
  </si>
  <si>
    <t>Tonawanda</t>
  </si>
  <si>
    <t>Shay</t>
  </si>
  <si>
    <t>9854 Wishing Isle</t>
  </si>
  <si>
    <t>Robbins</t>
  </si>
  <si>
    <t>9216 Tawny Berry Point</t>
  </si>
  <si>
    <t>Martinsburg</t>
  </si>
  <si>
    <t>Madeson</t>
  </si>
  <si>
    <t>Winters</t>
  </si>
  <si>
    <t>WV</t>
  </si>
  <si>
    <t>3882 Golden Maze</t>
  </si>
  <si>
    <t>Regina</t>
  </si>
  <si>
    <t>Dickson</t>
  </si>
  <si>
    <t>5723 Cinder Loop</t>
  </si>
  <si>
    <t>Saint Peters</t>
  </si>
  <si>
    <t>9650 Easy Autoroute</t>
  </si>
  <si>
    <t>Tamara</t>
  </si>
  <si>
    <t>7349 Silent Isle</t>
  </si>
  <si>
    <t>5630 Tawny Circuit</t>
  </si>
  <si>
    <t>5567 Rocky Mountain By-pass</t>
  </si>
  <si>
    <t>Garner</t>
  </si>
  <si>
    <t>7342 Hidden Walk</t>
  </si>
  <si>
    <t>Stewart</t>
  </si>
  <si>
    <t>4992 Amber Island Row</t>
  </si>
  <si>
    <t>6727 Hazy Isle</t>
  </si>
  <si>
    <t>Garland</t>
  </si>
  <si>
    <t>Harding</t>
  </si>
  <si>
    <t>3614 Golden Expressway</t>
  </si>
  <si>
    <t>786 Lost Horse Plaza</t>
  </si>
  <si>
    <t>Cantrell</t>
  </si>
  <si>
    <t>8428 Noble Elk Loop</t>
  </si>
  <si>
    <t>Kitra</t>
  </si>
  <si>
    <t>Gamble</t>
  </si>
  <si>
    <t>5147 High Parkway</t>
  </si>
  <si>
    <t>Johns</t>
  </si>
  <si>
    <t>6588 Burning Pike</t>
  </si>
  <si>
    <t>Martin</t>
  </si>
  <si>
    <t>Cleveland</t>
  </si>
  <si>
    <t>Meyers</t>
  </si>
  <si>
    <t>6481 Pleasant Farm</t>
  </si>
  <si>
    <t>Hunting &amp; Shooting</t>
  </si>
  <si>
    <t>ENO Atlas Hammock Straps</t>
  </si>
  <si>
    <t>Conrad</t>
  </si>
  <si>
    <t>6876 Heather Lake Bend</t>
  </si>
  <si>
    <t>Schneider</t>
  </si>
  <si>
    <t>5382 Hazy Pathway</t>
  </si>
  <si>
    <t>Minerva</t>
  </si>
  <si>
    <t>Harrell</t>
  </si>
  <si>
    <t>Pawtucket</t>
  </si>
  <si>
    <t>Hadassah</t>
  </si>
  <si>
    <t>Morton</t>
  </si>
  <si>
    <t>733 Tawny Nectar Link</t>
  </si>
  <si>
    <t>Beatrice</t>
  </si>
  <si>
    <t>Pacheco</t>
  </si>
  <si>
    <t>6007 Velvet Maze</t>
  </si>
  <si>
    <t>Clementon</t>
  </si>
  <si>
    <t>Charity</t>
  </si>
  <si>
    <t>1721 Old Forest Parkway</t>
  </si>
  <si>
    <t>Cara</t>
  </si>
  <si>
    <t>1780 Fallen Pine Field</t>
  </si>
  <si>
    <t>San Pedro</t>
  </si>
  <si>
    <t>Sloane</t>
  </si>
  <si>
    <t>Guerrero</t>
  </si>
  <si>
    <t>3176 Red Stead</t>
  </si>
  <si>
    <t>6889 Pleasant Mount</t>
  </si>
  <si>
    <t>Hisar</t>
  </si>
  <si>
    <t>Brewer</t>
  </si>
  <si>
    <t>7007 Quiet Via</t>
  </si>
  <si>
    <t>Myers</t>
  </si>
  <si>
    <t>1034 Dusty Pine Green</t>
  </si>
  <si>
    <t>8473 Crystal Hickory Path</t>
  </si>
  <si>
    <t>8987 Foggy Hill</t>
  </si>
  <si>
    <t>Esparza</t>
  </si>
  <si>
    <t>7092 Pleasant Promenade</t>
  </si>
  <si>
    <t>Scottsdale</t>
  </si>
  <si>
    <t>1893 Shady Path</t>
  </si>
  <si>
    <t>8314 Burning Circuit</t>
  </si>
  <si>
    <t>Lake Forest</t>
  </si>
  <si>
    <t>4297 Quiet Shadow Quay</t>
  </si>
  <si>
    <t>Norfolk</t>
  </si>
  <si>
    <t>1982 Burning Forest</t>
  </si>
  <si>
    <t>2616 Green View Gate</t>
  </si>
  <si>
    <t>Bates</t>
  </si>
  <si>
    <t>Edward</t>
  </si>
  <si>
    <t>3100 Velvet Fox Field</t>
  </si>
  <si>
    <t>3874 Cotton Heath</t>
  </si>
  <si>
    <t>Highland Park</t>
  </si>
  <si>
    <t>Terrell</t>
  </si>
  <si>
    <t>1621 Old Limits</t>
  </si>
  <si>
    <t>1915 Old Prairie Corner</t>
  </si>
  <si>
    <t>South El Monte</t>
  </si>
  <si>
    <t>Lewis</t>
  </si>
  <si>
    <t>9623 Clear Landing</t>
  </si>
  <si>
    <t>Irwin</t>
  </si>
  <si>
    <t>7983 Amber Robin Trail</t>
  </si>
  <si>
    <t>1674 Amber Loop</t>
  </si>
  <si>
    <t>9785 Silver Hickory Walk</t>
  </si>
  <si>
    <t>1109 Rustic Ridge</t>
  </si>
  <si>
    <t>Murphy</t>
  </si>
  <si>
    <t>Ursa</t>
  </si>
  <si>
    <t>Ramsey</t>
  </si>
  <si>
    <t>Chavez</t>
  </si>
  <si>
    <t>Laurel</t>
  </si>
  <si>
    <t>Katell</t>
  </si>
  <si>
    <t>Shellie</t>
  </si>
  <si>
    <t>1043 Wishing Bear Ramp</t>
  </si>
  <si>
    <t>Nerea</t>
  </si>
  <si>
    <t>4896 Silver By-pass</t>
  </si>
  <si>
    <t>Grimes</t>
  </si>
  <si>
    <t>6178 Burning Limits</t>
  </si>
  <si>
    <t>Lakewood</t>
  </si>
  <si>
    <t>Alea</t>
  </si>
  <si>
    <t>Vasquez</t>
  </si>
  <si>
    <t>6220 Little Key</t>
  </si>
  <si>
    <t>1411 Umber View</t>
  </si>
  <si>
    <t>2455 Fallen Common</t>
  </si>
  <si>
    <t>Rancho Cucamonga</t>
  </si>
  <si>
    <t>8414 Wishing Horse Acres</t>
  </si>
  <si>
    <t>Harris</t>
  </si>
  <si>
    <t>3446 Hazy Plaza</t>
  </si>
  <si>
    <t>Moana</t>
  </si>
  <si>
    <t>Jillian</t>
  </si>
  <si>
    <t>Mason</t>
  </si>
  <si>
    <t>7502 Foggy Lookout</t>
  </si>
  <si>
    <t>Lott</t>
  </si>
  <si>
    <t>9439 Lazy Crossing</t>
  </si>
  <si>
    <t>Sylmar</t>
  </si>
  <si>
    <t>Jean</t>
  </si>
  <si>
    <t>4421 Cinder Ramp</t>
  </si>
  <si>
    <t>3810 Honey Swale</t>
  </si>
  <si>
    <t>Villa</t>
  </si>
  <si>
    <t>3971 Bright Glen</t>
  </si>
  <si>
    <t>8791 Cozy Passage</t>
  </si>
  <si>
    <t>Yang</t>
  </si>
  <si>
    <t>2071 Shady Wagon Park</t>
  </si>
  <si>
    <t>Haney</t>
  </si>
  <si>
    <t>8414 Velvet Island Ramp</t>
  </si>
  <si>
    <t>Carol Stream</t>
  </si>
  <si>
    <t>Harriet</t>
  </si>
  <si>
    <t>Patton</t>
  </si>
  <si>
    <t>2128 Amber Embers Thicket</t>
  </si>
  <si>
    <t>1621 Quaking Oak Run</t>
  </si>
  <si>
    <t>Tumkur</t>
  </si>
  <si>
    <t>Hanford</t>
  </si>
  <si>
    <t>5964 Little Prairie Lookout</t>
  </si>
  <si>
    <t>Adams</t>
  </si>
  <si>
    <t>6940 Lost Butterfly Crossing</t>
  </si>
  <si>
    <t>Naida</t>
  </si>
  <si>
    <t>Christian</t>
  </si>
  <si>
    <t>Calderon</t>
  </si>
  <si>
    <t>3123 Clear Zephyr End</t>
  </si>
  <si>
    <t>Campbell</t>
  </si>
  <si>
    <t>Fernandez</t>
  </si>
  <si>
    <t>6764 Quaking Berry Corners</t>
  </si>
  <si>
    <t>Jael</t>
  </si>
  <si>
    <t>Huber</t>
  </si>
  <si>
    <t>2331 Tawny Campus</t>
  </si>
  <si>
    <t>Ontario</t>
  </si>
  <si>
    <t>5492 Blue View</t>
  </si>
  <si>
    <t>Ventura</t>
  </si>
  <si>
    <t>Hart</t>
  </si>
  <si>
    <t>8373 Gentle Pond Bay</t>
  </si>
  <si>
    <t>Arthur</t>
  </si>
  <si>
    <t>9836 Silver Fox Private</t>
  </si>
  <si>
    <t>Golf Shoes</t>
  </si>
  <si>
    <t>3440 Noble Grounds</t>
  </si>
  <si>
    <t>Atlanta</t>
  </si>
  <si>
    <t>4994 Cozy Branch Passage</t>
  </si>
  <si>
    <t>Cheryl</t>
  </si>
  <si>
    <t>6228 Cozy Treasure Round</t>
  </si>
  <si>
    <t>Waukegan</t>
  </si>
  <si>
    <t>5961 Velvet Creek Cape</t>
  </si>
  <si>
    <t>4396 Green Mews</t>
  </si>
  <si>
    <t>1565 Emerald Field</t>
  </si>
  <si>
    <t>8877 Little Anchor Maze</t>
  </si>
  <si>
    <t>Golf Apparel</t>
  </si>
  <si>
    <t>5002 Cinder Ridge</t>
  </si>
  <si>
    <t>Jalna</t>
  </si>
  <si>
    <t>8057 Little Mountain Front</t>
  </si>
  <si>
    <t>Cowan</t>
  </si>
  <si>
    <t>3656 Amber Butterfly Route</t>
  </si>
  <si>
    <t>Canyon Country</t>
  </si>
  <si>
    <t>5721 Rocky Pond Glade</t>
  </si>
  <si>
    <t>5926 Grand Pony Farms</t>
  </si>
  <si>
    <t>Keith</t>
  </si>
  <si>
    <t>7291 Thunder Hills Knoll</t>
  </si>
  <si>
    <t>Toys</t>
  </si>
  <si>
    <t>911 Lost Zephyr Vista</t>
  </si>
  <si>
    <t xml:space="preserve">Toys </t>
  </si>
  <si>
    <t>295 Quaking Timber By-pass</t>
  </si>
  <si>
    <t>Rhoda</t>
  </si>
  <si>
    <t>923 Little Bend</t>
  </si>
  <si>
    <t>Antioch</t>
  </si>
  <si>
    <t>Santiago</t>
  </si>
  <si>
    <t>7129 Fallen Trace</t>
  </si>
  <si>
    <t>Adrienne</t>
  </si>
  <si>
    <t>4527 Silent Fawn Wharf</t>
  </si>
  <si>
    <t>Rio Rancho</t>
  </si>
  <si>
    <t>Carly</t>
  </si>
  <si>
    <t>Hardin</t>
  </si>
  <si>
    <t>6843 Dusty Log Edge</t>
  </si>
  <si>
    <t>8289 Stony Thicket</t>
  </si>
  <si>
    <t>7793 Round Oak Key</t>
  </si>
  <si>
    <t>Dunlap</t>
  </si>
  <si>
    <t>Ogden</t>
  </si>
  <si>
    <t>Heidi</t>
  </si>
  <si>
    <t>9530 Little Fox Towers</t>
  </si>
  <si>
    <t>Idola</t>
  </si>
  <si>
    <t>Hawkins</t>
  </si>
  <si>
    <t>2783 Foggy Mews</t>
  </si>
  <si>
    <t>5393 Hidden Glade</t>
  </si>
  <si>
    <t>Mira</t>
  </si>
  <si>
    <t>Elliott</t>
  </si>
  <si>
    <t>3891 Broad Line</t>
  </si>
  <si>
    <t>1315 Honey Rabbit Link</t>
  </si>
  <si>
    <t>Wise</t>
  </si>
  <si>
    <t>Whoopi</t>
  </si>
  <si>
    <t>357 Noble Lane</t>
  </si>
  <si>
    <t>5463 Rocky Autoroute</t>
  </si>
  <si>
    <t>Denver</t>
  </si>
  <si>
    <t>Genevieve</t>
  </si>
  <si>
    <t>Mcmillan</t>
  </si>
  <si>
    <t>1229 Bright Robin Corners</t>
  </si>
  <si>
    <t>3543 Red Treasure Bay</t>
  </si>
  <si>
    <t>2734 Hazy Butterfly Circle</t>
  </si>
  <si>
    <t>Iris</t>
  </si>
  <si>
    <t>Ellison</t>
  </si>
  <si>
    <t>1325 Noble Pike</t>
  </si>
  <si>
    <t>Edinburg</t>
  </si>
  <si>
    <t>6158 Silver Apple Field</t>
  </si>
  <si>
    <t>Hayfa</t>
  </si>
  <si>
    <t>Bennett</t>
  </si>
  <si>
    <t>516 Dewy Bluff Swale</t>
  </si>
  <si>
    <t>Brynn</t>
  </si>
  <si>
    <t>4720 Colonial Blossom Run</t>
  </si>
  <si>
    <t>Mikayla</t>
  </si>
  <si>
    <t>Spence</t>
  </si>
  <si>
    <t>4709 Burning Arbor</t>
  </si>
  <si>
    <t>Yauco</t>
  </si>
  <si>
    <t>6269 Silver Bluff Alley</t>
  </si>
  <si>
    <t>3709 Middle Forest Downs</t>
  </si>
  <si>
    <t>Pruitt</t>
  </si>
  <si>
    <t>437 Heather Quail Concession</t>
  </si>
  <si>
    <t>79 Misty Goose Townline</t>
  </si>
  <si>
    <t>Rocha</t>
  </si>
  <si>
    <t>896 Thunder Knoll</t>
  </si>
  <si>
    <t>Munoz</t>
  </si>
  <si>
    <t>4522 Crystal Trail</t>
  </si>
  <si>
    <t>Serina</t>
  </si>
  <si>
    <t>Gibbs</t>
  </si>
  <si>
    <t>7518 Noble Parkway</t>
  </si>
  <si>
    <t>Lester</t>
  </si>
  <si>
    <t>6049 Amber Deer Orchard</t>
  </si>
  <si>
    <t>Dorchester Center</t>
  </si>
  <si>
    <t>3680 Velvet Plaza</t>
  </si>
  <si>
    <t>Mcleod</t>
  </si>
  <si>
    <t>3909 Middle Passage</t>
  </si>
  <si>
    <t>603 High Blossom Meadow</t>
  </si>
  <si>
    <t>8659 Foggy Deer Port</t>
  </si>
  <si>
    <t>Chase</t>
  </si>
  <si>
    <t>2360 Noble Pines</t>
  </si>
  <si>
    <t>4371 Gentle Townline</t>
  </si>
  <si>
    <t>Oneill</t>
  </si>
  <si>
    <t>Kaitlin</t>
  </si>
  <si>
    <t>Preston</t>
  </si>
  <si>
    <t>3243 Shady Corner</t>
  </si>
  <si>
    <t>Dora</t>
  </si>
  <si>
    <t>Anantapur</t>
  </si>
  <si>
    <t>Canovanas</t>
  </si>
  <si>
    <t>Karleigh</t>
  </si>
  <si>
    <t>Ingram</t>
  </si>
  <si>
    <t>7342 Hazy Beacon Park</t>
  </si>
  <si>
    <t>Ori</t>
  </si>
  <si>
    <t>Hedda</t>
  </si>
  <si>
    <t>Fields</t>
  </si>
  <si>
    <t>Charissa</t>
  </si>
  <si>
    <t>Kai</t>
  </si>
  <si>
    <t>Nunez</t>
  </si>
  <si>
    <t>Carla</t>
  </si>
  <si>
    <t>3915 Broad Lookout</t>
  </si>
  <si>
    <t>Simone</t>
  </si>
  <si>
    <t>Benton</t>
  </si>
  <si>
    <t>Webb</t>
  </si>
  <si>
    <t>1188 Old Abbey</t>
  </si>
  <si>
    <t>Freya</t>
  </si>
  <si>
    <t>Horne</t>
  </si>
  <si>
    <t>1800 Quiet Creek Stead</t>
  </si>
  <si>
    <t>Rana</t>
  </si>
  <si>
    <t>1165 Quiet Inlet</t>
  </si>
  <si>
    <t>Bismarck</t>
  </si>
  <si>
    <t>5953 Lost Plaza</t>
  </si>
  <si>
    <t>Amena</t>
  </si>
  <si>
    <t>7735 Gentle Terrace</t>
  </si>
  <si>
    <t>Isabelle</t>
  </si>
  <si>
    <t>Dodson</t>
  </si>
  <si>
    <t>482 High Quay</t>
  </si>
  <si>
    <t>Holland</t>
  </si>
  <si>
    <t>Madeline</t>
  </si>
  <si>
    <t>Page</t>
  </si>
  <si>
    <t>7177 Old Nectar Ridge</t>
  </si>
  <si>
    <t>6750 Stony Fawn Wood</t>
  </si>
  <si>
    <t>8666 High Hickory Route</t>
  </si>
  <si>
    <t>Potter</t>
  </si>
  <si>
    <t>3775 Emerald Meadow</t>
  </si>
  <si>
    <t>7762 Rocky Carrefour</t>
  </si>
  <si>
    <t>Mau</t>
  </si>
  <si>
    <t>190 Heather View</t>
  </si>
  <si>
    <t>7957 Iron Hollow</t>
  </si>
  <si>
    <t>Jeffrey</t>
  </si>
  <si>
    <t>3922 Easy Manor</t>
  </si>
  <si>
    <t>4831 Shady Pony Parade</t>
  </si>
  <si>
    <t>Padilla</t>
  </si>
  <si>
    <t>1116 Hazy Path</t>
  </si>
  <si>
    <t>4393 Noble Creek Beach</t>
  </si>
  <si>
    <t>Arecibo</t>
  </si>
  <si>
    <t>2301 Velvet Berry Meadow</t>
  </si>
  <si>
    <t>3047 Silent Embers Maze</t>
  </si>
  <si>
    <t>Fulton</t>
  </si>
  <si>
    <t>3567 Heather Knoll</t>
  </si>
  <si>
    <t>Janet</t>
  </si>
  <si>
    <t>Odom</t>
  </si>
  <si>
    <t>6088 Amber Brook Gardens</t>
  </si>
  <si>
    <t>Ratliff</t>
  </si>
  <si>
    <t>3504 Sunny Embers Way</t>
  </si>
  <si>
    <t>Ramos</t>
  </si>
  <si>
    <t>3761 Foggy Autumn Crossing</t>
  </si>
  <si>
    <t>2972 Pleasant Branch Road</t>
  </si>
  <si>
    <t>5373 Easy Zephyr Expressway</t>
  </si>
  <si>
    <t>Mahoney</t>
  </si>
  <si>
    <t>2515 Rocky Turnabout</t>
  </si>
  <si>
    <t>9409 Amber Forest Highway</t>
  </si>
  <si>
    <t>Duncan</t>
  </si>
  <si>
    <t>4494 Harvest Bay</t>
  </si>
  <si>
    <t>7542 Thunder Anchor Ridge</t>
  </si>
  <si>
    <t>2924 Velvet Dale Corners</t>
  </si>
  <si>
    <t>6724 High Chase</t>
  </si>
  <si>
    <t>Timothy</t>
  </si>
  <si>
    <t>Waller</t>
  </si>
  <si>
    <t>245 Green Range</t>
  </si>
  <si>
    <t>7950 Heather Trail</t>
  </si>
  <si>
    <t>3440 Clear Moor</t>
  </si>
  <si>
    <t>Flushing</t>
  </si>
  <si>
    <t>Cline</t>
  </si>
  <si>
    <t>8799 Cozy Pike</t>
  </si>
  <si>
    <t>Brianna</t>
  </si>
  <si>
    <t>Catonsville</t>
  </si>
  <si>
    <t>Nelle</t>
  </si>
  <si>
    <t>7740 Emerald Shadow Swale</t>
  </si>
  <si>
    <t>Schultz</t>
  </si>
  <si>
    <t>3247 Bright Spring Corner</t>
  </si>
  <si>
    <t>Mechelle</t>
  </si>
  <si>
    <t>1019 Grand Shadow Wynd</t>
  </si>
  <si>
    <t>Citrus Heights</t>
  </si>
  <si>
    <t>Juarez</t>
  </si>
  <si>
    <t>5364 Blue Blossom Jetty</t>
  </si>
  <si>
    <t>Westerville</t>
  </si>
  <si>
    <t>650 Quiet Spring Autoroute</t>
  </si>
  <si>
    <t>63 Heather Extension</t>
  </si>
  <si>
    <t>92 Green Woods</t>
  </si>
  <si>
    <t>Beloit</t>
  </si>
  <si>
    <t>1987 Grand Concession</t>
  </si>
  <si>
    <t>3668 Golden Rise Round</t>
  </si>
  <si>
    <t>4750 Quaking Townline</t>
  </si>
  <si>
    <t>Bellingham</t>
  </si>
  <si>
    <t>9393 Golden View Pike</t>
  </si>
  <si>
    <t>8153 Indian Beacon Impasse</t>
  </si>
  <si>
    <t>Aguilar</t>
  </si>
  <si>
    <t>1320 Silver Embers Villas</t>
  </si>
  <si>
    <t>Hollywood</t>
  </si>
  <si>
    <t>4167 Stony Extension</t>
  </si>
  <si>
    <t>4166 Stony Berry Alley</t>
  </si>
  <si>
    <t>Pico Rivera</t>
  </si>
  <si>
    <t>6179 Easy Swale</t>
  </si>
  <si>
    <t>5351 Blue Treasure Square</t>
  </si>
  <si>
    <t>9526 Foggy Cove</t>
  </si>
  <si>
    <t>6132 Jagged Mountain Downs</t>
  </si>
  <si>
    <t>9397 Little Goose Subdivision</t>
  </si>
  <si>
    <t>Colton</t>
  </si>
  <si>
    <t>Mcclain</t>
  </si>
  <si>
    <t>9729 Emerald Pony Mount</t>
  </si>
  <si>
    <t>Breanna</t>
  </si>
  <si>
    <t>4516 Dewy Sky Turnabout</t>
  </si>
  <si>
    <t>8675 Little Arbor</t>
  </si>
  <si>
    <t>Newburgh</t>
  </si>
  <si>
    <t>9734 Stony Farms</t>
  </si>
  <si>
    <t>Jena</t>
  </si>
  <si>
    <t>Puckett</t>
  </si>
  <si>
    <t>8341 Stony Avenue</t>
  </si>
  <si>
    <t>Venus</t>
  </si>
  <si>
    <t>Barron</t>
  </si>
  <si>
    <t>4957 Lost Quail Rise</t>
  </si>
  <si>
    <t>Mcconnell</t>
  </si>
  <si>
    <t>Yolanda</t>
  </si>
  <si>
    <t>3304 Heather Pioneer Vista</t>
  </si>
  <si>
    <t>Reagan</t>
  </si>
  <si>
    <t>4365 Silver Bay</t>
  </si>
  <si>
    <t>Miranda</t>
  </si>
  <si>
    <t>5372 Silent Treasure Byway</t>
  </si>
  <si>
    <t>Sexton</t>
  </si>
  <si>
    <t>8021 Misty Plaza</t>
  </si>
  <si>
    <t>Burt</t>
  </si>
  <si>
    <t>6496 Noble Fawn Heights</t>
  </si>
  <si>
    <t>9795 Shady Pond Cove</t>
  </si>
  <si>
    <t>La Crosse</t>
  </si>
  <si>
    <t>2422 Indian Autumn Arbor</t>
  </si>
  <si>
    <t>Glenview</t>
  </si>
  <si>
    <t>Romero</t>
  </si>
  <si>
    <t>5593 Merry Pine Dell</t>
  </si>
  <si>
    <t>Jacksonville</t>
  </si>
  <si>
    <t>3342 Bright Rabbit Wynd</t>
  </si>
  <si>
    <t>Jamaica</t>
  </si>
  <si>
    <t>Lila</t>
  </si>
  <si>
    <t>Estes</t>
  </si>
  <si>
    <t>2638 Clear Log Island</t>
  </si>
  <si>
    <t>Miriam</t>
  </si>
  <si>
    <t>Reeves</t>
  </si>
  <si>
    <t>8874 Wishing Deer Vista</t>
  </si>
  <si>
    <t>Woodard</t>
  </si>
  <si>
    <t>18 Rustic Cider Pointe</t>
  </si>
  <si>
    <t>Sheboygan</t>
  </si>
  <si>
    <t>1 Crystal Gate</t>
  </si>
  <si>
    <t>975 Green Canyon</t>
  </si>
  <si>
    <t>4868 Wishing Port</t>
  </si>
  <si>
    <t>Murray</t>
  </si>
  <si>
    <t>2262 Green Wharf</t>
  </si>
  <si>
    <t>1491 Foggy Glade</t>
  </si>
  <si>
    <t>3651 Rustic Cape</t>
  </si>
  <si>
    <t>Castro</t>
  </si>
  <si>
    <t>7760 Fallen Circuit</t>
  </si>
  <si>
    <t>Reese</t>
  </si>
  <si>
    <t>8544 Silent Treasure Thicket</t>
  </si>
  <si>
    <t>Celeste</t>
  </si>
  <si>
    <t>4709 Lost Orchard</t>
  </si>
  <si>
    <t>Ruiz</t>
  </si>
  <si>
    <t>Brenda</t>
  </si>
  <si>
    <t>1453 Grand Rabbit Park</t>
  </si>
  <si>
    <t>9304 Dusty Hickory Avenue</t>
  </si>
  <si>
    <t>Chanda</t>
  </si>
  <si>
    <t>1065 Gentle Deer Bank</t>
  </si>
  <si>
    <t>Jolie</t>
  </si>
  <si>
    <t>3137 Harvest Branch Road</t>
  </si>
  <si>
    <t>Mona</t>
  </si>
  <si>
    <t>Acosta</t>
  </si>
  <si>
    <t>3836 Stony Point</t>
  </si>
  <si>
    <t>South San Francisco</t>
  </si>
  <si>
    <t>8414 Dewy Lagoon Abbey</t>
  </si>
  <si>
    <t>1293 Cozy Bend</t>
  </si>
  <si>
    <t>3702 Broad Path</t>
  </si>
  <si>
    <t>3697 Fallen Run</t>
  </si>
  <si>
    <t>Faith</t>
  </si>
  <si>
    <t>2912 Hidden Acres</t>
  </si>
  <si>
    <t>7542 Rocky Fox Pike</t>
  </si>
  <si>
    <t>8172 Jagged Timber Chase</t>
  </si>
  <si>
    <t>6283 Dusty Rise</t>
  </si>
  <si>
    <t>2210 Cotton Spring Plaza</t>
  </si>
  <si>
    <t>7732 Merry Quail Manor</t>
  </si>
  <si>
    <t>Buckley</t>
  </si>
  <si>
    <t>3245 Cotton Bear Villas</t>
  </si>
  <si>
    <t>Contreras</t>
  </si>
  <si>
    <t>2410 Umber Woods</t>
  </si>
  <si>
    <t>6512 Easy Trail</t>
  </si>
  <si>
    <t>Des Plaines</t>
  </si>
  <si>
    <t>8675 Quaking Nook</t>
  </si>
  <si>
    <t>Gonzalez</t>
  </si>
  <si>
    <t>8446 Green Wagon  Moor</t>
  </si>
  <si>
    <t>6473 Bright Expressway</t>
  </si>
  <si>
    <t>5010 Emerald Hollow</t>
  </si>
  <si>
    <t>5284 Emerald Abbey</t>
  </si>
  <si>
    <t>1985 Cotton Terrace</t>
  </si>
  <si>
    <t>Ima</t>
  </si>
  <si>
    <t>5424 Wishing Wagon Bank</t>
  </si>
  <si>
    <t>Imelda</t>
  </si>
  <si>
    <t>Risa</t>
  </si>
  <si>
    <t>Foley</t>
  </si>
  <si>
    <t>8344 Sunny Embers Point</t>
  </si>
  <si>
    <t>Eugenia</t>
  </si>
  <si>
    <t>Blanchard</t>
  </si>
  <si>
    <t>9128 Little Cloud Bay</t>
  </si>
  <si>
    <t>4377 Heather Canyon</t>
  </si>
  <si>
    <t>3931 Green Concession</t>
  </si>
  <si>
    <t>810 Jagged Pointe</t>
  </si>
  <si>
    <t>Nieves</t>
  </si>
  <si>
    <t>9494 Thunder Inlet</t>
  </si>
  <si>
    <t>6298 Foggy Pony Village</t>
  </si>
  <si>
    <t>Stuart</t>
  </si>
  <si>
    <t>6232 Red Rise Rise</t>
  </si>
  <si>
    <t>Frances</t>
  </si>
  <si>
    <t>7596 Bright Pike</t>
  </si>
  <si>
    <t>6692 Lazy Route</t>
  </si>
  <si>
    <t>2966 Old Pathway</t>
  </si>
  <si>
    <t>8667 Stony Range</t>
  </si>
  <si>
    <t>7005 Heather Lagoon Diversion</t>
  </si>
  <si>
    <t>Murfreesboro</t>
  </si>
  <si>
    <t>3114 Merry Gate Downs</t>
  </si>
  <si>
    <t>Pomona</t>
  </si>
  <si>
    <t>Nadin</t>
  </si>
  <si>
    <t>5841 Heather Pond Plaza</t>
  </si>
  <si>
    <t>1828 Iron Goose Mount</t>
  </si>
  <si>
    <t>Suarez</t>
  </si>
  <si>
    <t>4402 Burning Timber Ridge</t>
  </si>
  <si>
    <t>Ainsley</t>
  </si>
  <si>
    <t>Walters</t>
  </si>
  <si>
    <t>Duluth</t>
  </si>
  <si>
    <t>3289 Cozy Deer Range</t>
  </si>
  <si>
    <t>7790 Misty Elk Line</t>
  </si>
  <si>
    <t>1632 Honey Abbey</t>
  </si>
  <si>
    <t>Collier</t>
  </si>
  <si>
    <t>8668 Emerald Elk Mount</t>
  </si>
  <si>
    <t>6339 Honey Pathway</t>
  </si>
  <si>
    <t>Paloma</t>
  </si>
  <si>
    <t>1749 Jagged Arbor</t>
  </si>
  <si>
    <t>5618 Wishing Panda Line</t>
  </si>
  <si>
    <t>Loveland</t>
  </si>
  <si>
    <t>9524 Rocky Loop</t>
  </si>
  <si>
    <t>8990 Heather Barn Pathway</t>
  </si>
  <si>
    <t>Bentley</t>
  </si>
  <si>
    <t>9497 Merry Road</t>
  </si>
  <si>
    <t>Dejesus</t>
  </si>
  <si>
    <t>Alpharetta</t>
  </si>
  <si>
    <t>9726 Gentle Expressway</t>
  </si>
  <si>
    <t>Tasha</t>
  </si>
  <si>
    <t>DE</t>
  </si>
  <si>
    <t>9175 Blue Lookout</t>
  </si>
  <si>
    <t>Baldwin</t>
  </si>
  <si>
    <t>Chang</t>
  </si>
  <si>
    <t>5628 Clear Knoll</t>
  </si>
  <si>
    <t>3702 Noble Plaza</t>
  </si>
  <si>
    <t>Water Sports</t>
  </si>
  <si>
    <t>7494 Amber Extension</t>
  </si>
  <si>
    <t>Pelican Sunstream 100 Kayak</t>
  </si>
  <si>
    <t>5517 Harvest Centre</t>
  </si>
  <si>
    <t>Rancho Cordova</t>
  </si>
  <si>
    <t>6481 Wishing Anchor Centre</t>
  </si>
  <si>
    <t>Ortega</t>
  </si>
  <si>
    <t xml:space="preserve">3323 Old Willow Mall </t>
  </si>
  <si>
    <t>6355 Grand Horse Port</t>
  </si>
  <si>
    <t>Doylestown</t>
  </si>
  <si>
    <t>Jacobs</t>
  </si>
  <si>
    <t>4089 Silver Autumn Crossing</t>
  </si>
  <si>
    <t>263 Hazy Wharf</t>
  </si>
  <si>
    <t>3544 Velvet Crescent</t>
  </si>
  <si>
    <t>Tiffany</t>
  </si>
  <si>
    <t>4369 Middle Willow Private</t>
  </si>
  <si>
    <t>Orange Park</t>
  </si>
  <si>
    <t>6843 Blue Beacon Wynd</t>
  </si>
  <si>
    <t>Waters</t>
  </si>
  <si>
    <t>4868 High Diversion</t>
  </si>
  <si>
    <t>Patel</t>
  </si>
  <si>
    <t>1688 Middle Panda Plaza</t>
  </si>
  <si>
    <t>7418 Tawny Rise Pathway</t>
  </si>
  <si>
    <t>Carlsbad</t>
  </si>
  <si>
    <t>5559 Tawny Pond By-pass</t>
  </si>
  <si>
    <t>3360 Umber Bend</t>
  </si>
  <si>
    <t>Cincinnati</t>
  </si>
  <si>
    <t>Cicero</t>
  </si>
  <si>
    <t>7595 Rocky Island Trail</t>
  </si>
  <si>
    <t>Clarksville</t>
  </si>
  <si>
    <t>Mcbride</t>
  </si>
  <si>
    <t>7502 Dewy Square</t>
  </si>
  <si>
    <t>5477 Thunder Campus</t>
  </si>
  <si>
    <t>Barbara</t>
  </si>
  <si>
    <t>8662 Jagged Hickory Extension</t>
  </si>
  <si>
    <t>2724 Harvest Point</t>
  </si>
  <si>
    <t>6051 Velvet Abbey</t>
  </si>
  <si>
    <t>Sandra</t>
  </si>
  <si>
    <t>Heath</t>
  </si>
  <si>
    <t>4280 Hazy Cloud Trail</t>
  </si>
  <si>
    <t>Morales</t>
  </si>
  <si>
    <t>2232 Broad Cove</t>
  </si>
  <si>
    <t>Cortez</t>
  </si>
  <si>
    <t>9082 Pleasant Island</t>
  </si>
  <si>
    <t>6036 Noble Blossom Wynd</t>
  </si>
  <si>
    <t>6030 Emerald Key</t>
  </si>
  <si>
    <t>Herring</t>
  </si>
  <si>
    <t>4575 Thunder Dale</t>
  </si>
  <si>
    <t>8679 Middle Avenue</t>
  </si>
  <si>
    <t>6025 Clear Deer Swale</t>
  </si>
  <si>
    <t>3114 Grand Quail Pointe</t>
  </si>
  <si>
    <t>6468 Fallen Close</t>
  </si>
  <si>
    <t>4772 Indian Alley</t>
  </si>
  <si>
    <t>Amanda</t>
  </si>
  <si>
    <t>5214 Colonial Square</t>
  </si>
  <si>
    <t>6199 Blue Highway</t>
  </si>
  <si>
    <t>4229 Iron Elk Turnabout</t>
  </si>
  <si>
    <t>9676 Velvet Hill</t>
  </si>
  <si>
    <t>New Braunfels</t>
  </si>
  <si>
    <t>Sampson</t>
  </si>
  <si>
    <t>8792 Crystal Sky Hollow</t>
  </si>
  <si>
    <t>Cayey</t>
  </si>
  <si>
    <t>3233 Sleepy View Link</t>
  </si>
  <si>
    <t>Sosa</t>
  </si>
  <si>
    <t>6750 Noble Pony Village</t>
  </si>
  <si>
    <t>1526 Broad Mountain Plaza</t>
  </si>
  <si>
    <t>8189 Clear Key</t>
  </si>
  <si>
    <t>1507 Indian Autumn Jetty</t>
  </si>
  <si>
    <t>Weeks</t>
  </si>
  <si>
    <t>8663 Red Creek Via</t>
  </si>
  <si>
    <t>Mchenry</t>
  </si>
  <si>
    <t>4617 Sunny Range</t>
  </si>
  <si>
    <t>5484 Merry Lagoon Front</t>
  </si>
  <si>
    <t>4590 Silver Anchor Street</t>
  </si>
  <si>
    <t>331 Grand Orchard</t>
  </si>
  <si>
    <t>Mclaughlin</t>
  </si>
  <si>
    <t>4927 Dewy Farms</t>
  </si>
  <si>
    <t>5401 Rocky Rise Manor</t>
  </si>
  <si>
    <t>Oxnard</t>
  </si>
  <si>
    <t>5443 Old Timber Expressway</t>
  </si>
  <si>
    <t>Denise</t>
  </si>
  <si>
    <t>6278 Fallen Vista</t>
  </si>
  <si>
    <t>4480 Hidden Rabbit Link</t>
  </si>
  <si>
    <t>6654 Green Crest</t>
  </si>
  <si>
    <t>Toms River</t>
  </si>
  <si>
    <t>112 Green Fawn Estates</t>
  </si>
  <si>
    <t>Wong</t>
  </si>
  <si>
    <t>1425 Fallen Fox Arbor</t>
  </si>
  <si>
    <t>6876 Lazy Wharf</t>
  </si>
  <si>
    <t>7958 Thunder Apple Street</t>
  </si>
  <si>
    <t>Emily</t>
  </si>
  <si>
    <t>7469 Thunder Bear Drive</t>
  </si>
  <si>
    <t>1258 Misty Bend</t>
  </si>
  <si>
    <t>1513 Merry Heath</t>
  </si>
  <si>
    <t>Santa Clara</t>
  </si>
  <si>
    <t>Gardner</t>
  </si>
  <si>
    <t>214 Harvest Pony Mews</t>
  </si>
  <si>
    <t>Cruz</t>
  </si>
  <si>
    <t>6540 Thunder Square</t>
  </si>
  <si>
    <t>3886 Blue Zephyr Villas</t>
  </si>
  <si>
    <t>Ellis</t>
  </si>
  <si>
    <t>7479 Hidden Village</t>
  </si>
  <si>
    <t>Baytown</t>
  </si>
  <si>
    <t>9022 Foggy Dell</t>
  </si>
  <si>
    <t>4543 Cinder Link</t>
  </si>
  <si>
    <t>Obrien</t>
  </si>
  <si>
    <t>9847 Wishing Ledge</t>
  </si>
  <si>
    <t>Russell</t>
  </si>
  <si>
    <t>5143 Old Walk</t>
  </si>
  <si>
    <t>5105 Thunder Diversion</t>
  </si>
  <si>
    <t>Trujillo</t>
  </si>
  <si>
    <t>465 Rustic Horse Heath</t>
  </si>
  <si>
    <t>7732 Honey Dale</t>
  </si>
  <si>
    <t>5860 Grand Limits</t>
  </si>
  <si>
    <t>Huntington Park</t>
  </si>
  <si>
    <t>7320 Lazy Forest Falls</t>
  </si>
  <si>
    <t>2703 Dusty Lagoon Inlet</t>
  </si>
  <si>
    <t>7811 Red Embers Road</t>
  </si>
  <si>
    <t>Enfield</t>
  </si>
  <si>
    <t>3060 Emerald Crossing</t>
  </si>
  <si>
    <t>3944 Round Highlands</t>
  </si>
  <si>
    <t>4371 Gentle Gate</t>
  </si>
  <si>
    <t>Schmidt</t>
  </si>
  <si>
    <t>6818 Little Treasure Drive</t>
  </si>
  <si>
    <t>3033 Old Pioneer Loop</t>
  </si>
  <si>
    <t>4208 High Promenade</t>
  </si>
  <si>
    <t>5985 Jagged Oak Abbey</t>
  </si>
  <si>
    <t>Chillicothe</t>
  </si>
  <si>
    <t>Schroeder</t>
  </si>
  <si>
    <t>2745 Heather Quail Parkway</t>
  </si>
  <si>
    <t>9875 Emerald Berry Grounds</t>
  </si>
  <si>
    <t>East Brunswick</t>
  </si>
  <si>
    <t>263 Harvest Wood</t>
  </si>
  <si>
    <t>Imani</t>
  </si>
  <si>
    <t>6894 Heather Estates</t>
  </si>
  <si>
    <t>Bensalem</t>
  </si>
  <si>
    <t>107 Lazy Court</t>
  </si>
  <si>
    <t>3763 Noble Prairie Heights</t>
  </si>
  <si>
    <t>1987 Silver Harbour</t>
  </si>
  <si>
    <t>Fischer</t>
  </si>
  <si>
    <t>3810 Crystal Plaza</t>
  </si>
  <si>
    <t>Halla</t>
  </si>
  <si>
    <t>7190 Silent Timber Mews</t>
  </si>
  <si>
    <t>2737 Noble Edge</t>
  </si>
  <si>
    <t>660 Wishing Path</t>
  </si>
  <si>
    <t>Levittown</t>
  </si>
  <si>
    <t>7596 Silent Mews</t>
  </si>
  <si>
    <t>Alexa</t>
  </si>
  <si>
    <t>Ford</t>
  </si>
  <si>
    <t>1208 Dewy Pine Pathway</t>
  </si>
  <si>
    <t>Ann Arbor</t>
  </si>
  <si>
    <t>Dalton</t>
  </si>
  <si>
    <t>9775 Jagged Wagon Drive</t>
  </si>
  <si>
    <t>9042 Little Barn Mountain</t>
  </si>
  <si>
    <t>1524 Amber Lagoon Subdivision</t>
  </si>
  <si>
    <t>Josephine</t>
  </si>
  <si>
    <t>5485 Sleepy Hollow</t>
  </si>
  <si>
    <t>Blankenship</t>
  </si>
  <si>
    <t>3265 Velvet Fawn Bend</t>
  </si>
  <si>
    <t>Bradford</t>
  </si>
  <si>
    <t>2056 Misty Grove Rise</t>
  </si>
  <si>
    <t>Mckenzie</t>
  </si>
  <si>
    <t>Rebeca</t>
  </si>
  <si>
    <t>3262 High Trail</t>
  </si>
  <si>
    <t>Francesca</t>
  </si>
  <si>
    <t>2488 Dusty By-pass</t>
  </si>
  <si>
    <t>Cooke</t>
  </si>
  <si>
    <t>9946 Merry Boulevard</t>
  </si>
  <si>
    <t>4645 Fallen Timber By-pass</t>
  </si>
  <si>
    <t>6538 Quaking Subdivision</t>
  </si>
  <si>
    <t>Bountiful</t>
  </si>
  <si>
    <t>5346 Blue Anchor Dale</t>
  </si>
  <si>
    <t>Alexis</t>
  </si>
  <si>
    <t>89 Velvet Woods</t>
  </si>
  <si>
    <t>1213 Cotton Pike</t>
  </si>
  <si>
    <t>3339 Noble Dale</t>
  </si>
  <si>
    <t>Rego Park</t>
  </si>
  <si>
    <t>Amela</t>
  </si>
  <si>
    <t>Dorsey</t>
  </si>
  <si>
    <t>4916 Honey Highlands</t>
  </si>
  <si>
    <t>Reyes</t>
  </si>
  <si>
    <t>4566 Burning Deer Meadow</t>
  </si>
  <si>
    <t>1131 Cotton Grounds</t>
  </si>
  <si>
    <t>3497 Quiet Bear Towers</t>
  </si>
  <si>
    <t>9393 Iron Impasse</t>
  </si>
  <si>
    <t>9843 Wishing Grove</t>
  </si>
  <si>
    <t>Cunningham</t>
  </si>
  <si>
    <t>9462 Round Island</t>
  </si>
  <si>
    <t>4866 Easy Expressway</t>
  </si>
  <si>
    <t>3576 Green Forest End</t>
  </si>
  <si>
    <t>6396 Blue Gate Parkway</t>
  </si>
  <si>
    <t>Katy</t>
  </si>
  <si>
    <t>Norman</t>
  </si>
  <si>
    <t>906 Green Treasure Limits</t>
  </si>
  <si>
    <t>Bhilwara</t>
  </si>
  <si>
    <t>Carver</t>
  </si>
  <si>
    <t>762 Clear Harbour</t>
  </si>
  <si>
    <t>Camacho</t>
  </si>
  <si>
    <t>2122 Hazy Corner</t>
  </si>
  <si>
    <t>7894 Heather Gardens</t>
  </si>
  <si>
    <t>8172 Jagged Pond Vale</t>
  </si>
  <si>
    <t>Jordana</t>
  </si>
  <si>
    <t>Beck</t>
  </si>
  <si>
    <t>3099 Blue Spring Glen</t>
  </si>
  <si>
    <t>2934 Merry Impasse</t>
  </si>
  <si>
    <t>Palmdale</t>
  </si>
  <si>
    <t>Astoria</t>
  </si>
  <si>
    <t>2488 Quiet Orchard</t>
  </si>
  <si>
    <t>4979 Honey Plaza</t>
  </si>
  <si>
    <t>Bharatpur</t>
  </si>
  <si>
    <t>Santa Ana</t>
  </si>
  <si>
    <t>Harry</t>
  </si>
  <si>
    <t>7924 Wishing Nook</t>
  </si>
  <si>
    <t>6915 Blue Mountain Quay</t>
  </si>
  <si>
    <t>Middletown</t>
  </si>
  <si>
    <t>5470 Indian Fawn Common</t>
  </si>
  <si>
    <t>Roary</t>
  </si>
  <si>
    <t>9453 High Concession</t>
  </si>
  <si>
    <t>Decatur</t>
  </si>
  <si>
    <t>2568 Bright Lookout</t>
  </si>
  <si>
    <t>Brady</t>
  </si>
  <si>
    <t>8874 Harvest Hills Grove</t>
  </si>
  <si>
    <t>2036 High Creek Nook</t>
  </si>
  <si>
    <t>Hunter</t>
  </si>
  <si>
    <t>6350 Lost Hollow</t>
  </si>
  <si>
    <t>Ghaziabad</t>
  </si>
  <si>
    <t>Oceanside</t>
  </si>
  <si>
    <t>8934 Silent Stead</t>
  </si>
  <si>
    <t>2137 Silver Brook Square</t>
  </si>
  <si>
    <t>9437 Middle Beacon Place</t>
  </si>
  <si>
    <t>Reed</t>
  </si>
  <si>
    <t>5512 Misty Plaza</t>
  </si>
  <si>
    <t>Sherman</t>
  </si>
  <si>
    <t>8950 Thunder Fawn Farm</t>
  </si>
  <si>
    <t>8025 Bright Embers Glen</t>
  </si>
  <si>
    <t>Desiree</t>
  </si>
  <si>
    <t>141 Dewy Plaza</t>
  </si>
  <si>
    <t>1449 Red Cove</t>
  </si>
  <si>
    <t>Olympia</t>
  </si>
  <si>
    <t>Riddle</t>
  </si>
  <si>
    <t>4352 Hazy Hickory Road</t>
  </si>
  <si>
    <t>9297 Burning Extension</t>
  </si>
  <si>
    <t>Howe</t>
  </si>
  <si>
    <t>6449 Lazy Robin Drive</t>
  </si>
  <si>
    <t>Kirsten</t>
  </si>
  <si>
    <t>Chicago Heights</t>
  </si>
  <si>
    <t>Donaldson</t>
  </si>
  <si>
    <t>1453 Amber Deer Farm</t>
  </si>
  <si>
    <t>Naomi</t>
  </si>
  <si>
    <t>Phillips</t>
  </si>
  <si>
    <t>4061 Crystal Acres</t>
  </si>
  <si>
    <t>Beasley</t>
  </si>
  <si>
    <t>9439 Sleepy Pony Concession</t>
  </si>
  <si>
    <t>Glover</t>
  </si>
  <si>
    <t>2137 Rustic Dale Crest</t>
  </si>
  <si>
    <t>Oregon City</t>
  </si>
  <si>
    <t>4823 Broad Route</t>
  </si>
  <si>
    <t>Betty</t>
  </si>
  <si>
    <t>Montebello</t>
  </si>
  <si>
    <t>381 Velvet Hickory Beach</t>
  </si>
  <si>
    <t>3865 Wishing Hill</t>
  </si>
  <si>
    <t>1734 Old Hickory Corners</t>
  </si>
  <si>
    <t>4255 Stony Island Crescent</t>
  </si>
  <si>
    <t>2704 Shady Willow Villas</t>
  </si>
  <si>
    <t>Nicholson</t>
  </si>
  <si>
    <t>437 Cozy Log Range</t>
  </si>
  <si>
    <t>9167 Lost End</t>
  </si>
  <si>
    <t>6036 Grand Log Path</t>
  </si>
  <si>
    <t>9393 Easy Towers</t>
  </si>
  <si>
    <t>Evans</t>
  </si>
  <si>
    <t>2845 Misty Mountain Freeway</t>
  </si>
  <si>
    <t>4389 Thunder Byway</t>
  </si>
  <si>
    <t>4839 Velvet Place</t>
  </si>
  <si>
    <t>2075 Honey Panda Dell</t>
  </si>
  <si>
    <t>Best</t>
  </si>
  <si>
    <t>3557 Rocky Vale</t>
  </si>
  <si>
    <t>Anastasia</t>
  </si>
  <si>
    <t>Christensen</t>
  </si>
  <si>
    <t>62 Cozy Rabbit Villas</t>
  </si>
  <si>
    <t>Fuller</t>
  </si>
  <si>
    <t>1221 Easy Campus</t>
  </si>
  <si>
    <t>371 Cozy Prairie Highway</t>
  </si>
  <si>
    <t>Hughes</t>
  </si>
  <si>
    <t>1490 Silver Canyon</t>
  </si>
  <si>
    <t>Hopkins</t>
  </si>
  <si>
    <t>Lani</t>
  </si>
  <si>
    <t>Calista</t>
  </si>
  <si>
    <t>236 Hidden Round</t>
  </si>
  <si>
    <t>Athena</t>
  </si>
  <si>
    <t>4010 Tawny Embers Rise</t>
  </si>
  <si>
    <t>Marquez</t>
  </si>
  <si>
    <t>4462 Little Lagoon Route</t>
  </si>
  <si>
    <t>872 Quaking Bluff Freeway</t>
  </si>
  <si>
    <t>Tyler</t>
  </si>
  <si>
    <t>Shields</t>
  </si>
  <si>
    <t>8913 Pleasant Rabbit Quay</t>
  </si>
  <si>
    <t>Rowe</t>
  </si>
  <si>
    <t>2261 Harvest Gate</t>
  </si>
  <si>
    <t>Jocelyn</t>
  </si>
  <si>
    <t>4786 Crystal Apple Island</t>
  </si>
  <si>
    <t>Hansen</t>
  </si>
  <si>
    <t>Patterson</t>
  </si>
  <si>
    <t>7107 Harvest Blossom Abbey</t>
  </si>
  <si>
    <t>9847 Cozy Private</t>
  </si>
  <si>
    <t>Quin</t>
  </si>
  <si>
    <t>Avye</t>
  </si>
  <si>
    <t>9557 Gentle Inlet</t>
  </si>
  <si>
    <t>9299 Grand Branch Route</t>
  </si>
  <si>
    <t>Yen</t>
  </si>
  <si>
    <t>Jacobson</t>
  </si>
  <si>
    <t>Scarlett</t>
  </si>
  <si>
    <t>Chan</t>
  </si>
  <si>
    <t>9174 Umber Zephyr Run</t>
  </si>
  <si>
    <t>Stamford</t>
  </si>
  <si>
    <t>Wendy</t>
  </si>
  <si>
    <t>Bright</t>
  </si>
  <si>
    <t>37 Lost Terrace</t>
  </si>
  <si>
    <t>Billings</t>
  </si>
  <si>
    <t>MT</t>
  </si>
  <si>
    <t>5292 Heather Close</t>
  </si>
  <si>
    <t>Conway</t>
  </si>
  <si>
    <t>Mcguire</t>
  </si>
  <si>
    <t>8497 Cozy Shadow Highway</t>
  </si>
  <si>
    <t>Pekin</t>
  </si>
  <si>
    <t>8581 Blue Crescent</t>
  </si>
  <si>
    <t>Summer</t>
  </si>
  <si>
    <t>4609 High Townline</t>
  </si>
  <si>
    <t>9512 Old Pony Canyon</t>
  </si>
  <si>
    <t>7339 Cozy Ledge</t>
  </si>
  <si>
    <t>Candice</t>
  </si>
  <si>
    <t>Ferrell</t>
  </si>
  <si>
    <t>2703 Silver Goose Lane</t>
  </si>
  <si>
    <t>5659 Colonial Rise Pathway</t>
  </si>
  <si>
    <t>Pasadena</t>
  </si>
  <si>
    <t>Hodges</t>
  </si>
  <si>
    <t>8165 Red Lane</t>
  </si>
  <si>
    <t>Chambersburg</t>
  </si>
  <si>
    <t>7792 Rustic Park</t>
  </si>
  <si>
    <t>Mercer</t>
  </si>
  <si>
    <t>8297 Easy Thicket</t>
  </si>
  <si>
    <t>3983 Golden By-pass</t>
  </si>
  <si>
    <t>Juliet</t>
  </si>
  <si>
    <t>8842 Crystal Horse Green</t>
  </si>
  <si>
    <t>1829 Jagged Gate Forest</t>
  </si>
  <si>
    <t>Clare</t>
  </si>
  <si>
    <t xml:space="preserve">3587 Blue Mall </t>
  </si>
  <si>
    <t>9632 Wishing Bend</t>
  </si>
  <si>
    <t>5888 Burning Embers Farms</t>
  </si>
  <si>
    <t>Memphis</t>
  </si>
  <si>
    <t>2291 Velvet Berry Freeway</t>
  </si>
  <si>
    <t>Arlington</t>
  </si>
  <si>
    <t>7239 Crystal Pony Crest</t>
  </si>
  <si>
    <t>Indigo</t>
  </si>
  <si>
    <t>Abbott</t>
  </si>
  <si>
    <t>5292 Colonial Grounds</t>
  </si>
  <si>
    <t>5824 Honey Glade</t>
  </si>
  <si>
    <t>Encinitas</t>
  </si>
  <si>
    <t>5872 Pleasant Alley</t>
  </si>
  <si>
    <t>Latur</t>
  </si>
  <si>
    <t>7774 Fallen Impasse</t>
  </si>
  <si>
    <t>Rylee</t>
  </si>
  <si>
    <t>5712 Quiet Hill</t>
  </si>
  <si>
    <t>Vallejo</t>
  </si>
  <si>
    <t>9293 Umber Alley</t>
  </si>
  <si>
    <t>9809 Amber Hills Farms</t>
  </si>
  <si>
    <t>5136 Red Prairie Park</t>
  </si>
  <si>
    <t>Medina</t>
  </si>
  <si>
    <t>8368 Wishing Mountain</t>
  </si>
  <si>
    <t>4669 Rustic Apple Grounds</t>
  </si>
  <si>
    <t>6724 Crystal Dale</t>
  </si>
  <si>
    <t>8161 Misty Port</t>
  </si>
  <si>
    <t>5193 Crystal Anchor Path</t>
  </si>
  <si>
    <t>2517 Shady Branch Avenue</t>
  </si>
  <si>
    <t>Snider</t>
  </si>
  <si>
    <t>Marshall</t>
  </si>
  <si>
    <t>2909 Gentle Fawn Round</t>
  </si>
  <si>
    <t>9087 Colonial Link</t>
  </si>
  <si>
    <t>7620 Misty Highlands</t>
  </si>
  <si>
    <t>Lacota</t>
  </si>
  <si>
    <t>5163 Merry Line</t>
  </si>
  <si>
    <t>Barker</t>
  </si>
  <si>
    <t>4466 Little Grove</t>
  </si>
  <si>
    <t>Mariko</t>
  </si>
  <si>
    <t>Rodriquez</t>
  </si>
  <si>
    <t>4498 Fallen Cove</t>
  </si>
  <si>
    <t>Hollister</t>
  </si>
  <si>
    <t>Rojas</t>
  </si>
  <si>
    <t>Lewisville</t>
  </si>
  <si>
    <t>Wagner</t>
  </si>
  <si>
    <t>8824 Noble View Valley</t>
  </si>
  <si>
    <t>Mccarty</t>
  </si>
  <si>
    <t>5876 Burning Mall</t>
  </si>
  <si>
    <t>7236 Cotton Cove</t>
  </si>
  <si>
    <t>726 Old Deer Carrefour</t>
  </si>
  <si>
    <t>2311 Cotton Willow Range</t>
  </si>
  <si>
    <t>Alisa</t>
  </si>
  <si>
    <t>4186 Umber Fawn Grounds</t>
  </si>
  <si>
    <t>Fremont</t>
  </si>
  <si>
    <t>4906 Umber Lookout</t>
  </si>
  <si>
    <t>7795 Tawny Prairie Ramp</t>
  </si>
  <si>
    <t>8977 Sunny Dale Run</t>
  </si>
  <si>
    <t>2319 Blue Pathway</t>
  </si>
  <si>
    <t>Maggie</t>
  </si>
  <si>
    <t>4312 Bright Corner</t>
  </si>
  <si>
    <t>Sydney</t>
  </si>
  <si>
    <t>Duffy</t>
  </si>
  <si>
    <t>2737 Pleasant Parade</t>
  </si>
  <si>
    <t>6120 Cozy Ledge</t>
  </si>
  <si>
    <t>1870 Crystal Blossom Towers</t>
  </si>
  <si>
    <t>Plainfield</t>
  </si>
  <si>
    <t>Drake</t>
  </si>
  <si>
    <t>3538 Golden Bluff Court</t>
  </si>
  <si>
    <t>Alford</t>
  </si>
  <si>
    <t>7383 Broad Parkway</t>
  </si>
  <si>
    <t>Rivers</t>
  </si>
  <si>
    <t>2052 Clear Close</t>
  </si>
  <si>
    <t>8548 Dusty Subdivision</t>
  </si>
  <si>
    <t>Yuma</t>
  </si>
  <si>
    <t>2287 Thunder Pony Nook</t>
  </si>
  <si>
    <t>Roach</t>
  </si>
  <si>
    <t>6925 Sunny Horse Impasse</t>
  </si>
  <si>
    <t>8666 Pleasant Quail Canyon</t>
  </si>
  <si>
    <t>8990 Rocky Lake Freeway</t>
  </si>
  <si>
    <t>5855 Rocky Forest Place</t>
  </si>
  <si>
    <t>Meyer</t>
  </si>
  <si>
    <t>3064 Colonial Cove</t>
  </si>
  <si>
    <t>Teegan</t>
  </si>
  <si>
    <t>New Delhi</t>
  </si>
  <si>
    <t>8416 Emerald Dale</t>
  </si>
  <si>
    <t>Benson</t>
  </si>
  <si>
    <t>8259 Colonial Heights</t>
  </si>
  <si>
    <t>Delaney</t>
  </si>
  <si>
    <t>9260 Honey Cider Glen</t>
  </si>
  <si>
    <t>Christen</t>
  </si>
  <si>
    <t>4839 Merry Log Glen</t>
  </si>
  <si>
    <t>Janna</t>
  </si>
  <si>
    <t>Cobb</t>
  </si>
  <si>
    <t>2104 Fallen Limits</t>
  </si>
  <si>
    <t>4408 Lazy Oak Pines</t>
  </si>
  <si>
    <t>Constance</t>
  </si>
  <si>
    <t>8059 Old Fawn Woods</t>
  </si>
  <si>
    <t>3235 Merry Way</t>
  </si>
  <si>
    <t>8370 Gentle Branch Subdivision</t>
  </si>
  <si>
    <t>Wilmington</t>
  </si>
  <si>
    <t>Winifred</t>
  </si>
  <si>
    <t>1847 Middle Bluff Link</t>
  </si>
  <si>
    <t>Mission</t>
  </si>
  <si>
    <t>2355 Lost Elk Gate</t>
  </si>
  <si>
    <t>Anthony</t>
  </si>
  <si>
    <t>5961 Little Field</t>
  </si>
  <si>
    <t>Ramirez</t>
  </si>
  <si>
    <t>2805 Silver Glade</t>
  </si>
  <si>
    <t>4063 Little Creek Court</t>
  </si>
  <si>
    <t>Halee</t>
  </si>
  <si>
    <t>1637 Cozy Fawn Extension</t>
  </si>
  <si>
    <t>6231 Fallen Range</t>
  </si>
  <si>
    <t>Klein</t>
  </si>
  <si>
    <t>1853 Umber Field</t>
  </si>
  <si>
    <t>Shah</t>
  </si>
  <si>
    <t>403 Cozy Spring Farms</t>
  </si>
  <si>
    <t>Ivory</t>
  </si>
  <si>
    <t>6953 Lazy Beacon Circuit</t>
  </si>
  <si>
    <t>Fond Du Lac</t>
  </si>
  <si>
    <t>8944 Lazy Bluff Maze</t>
  </si>
  <si>
    <t>8335 Shady Leaf Rise</t>
  </si>
  <si>
    <t>5953 Honey Concession</t>
  </si>
  <si>
    <t>Jerry</t>
  </si>
  <si>
    <t>6296 Misty Zephyr Villas</t>
  </si>
  <si>
    <t>6980 Lost Parade</t>
  </si>
  <si>
    <t>Aimee</t>
  </si>
  <si>
    <t>6026 Stony Elk Hill</t>
  </si>
  <si>
    <t>9709 Dewy Pointe</t>
  </si>
  <si>
    <t>3385 Cotton Wharf</t>
  </si>
  <si>
    <t>4545 Dewy Apple Concession</t>
  </si>
  <si>
    <t>Gould</t>
  </si>
  <si>
    <t>2275 Rustic Impasse</t>
  </si>
  <si>
    <t>Smyrna</t>
  </si>
  <si>
    <t>5463 Rocky Ridge</t>
  </si>
  <si>
    <t>6764 Pleasant Island</t>
  </si>
  <si>
    <t>8736 Wishing Hickory Townline</t>
  </si>
  <si>
    <t>1306 Emerald Hills Ramp</t>
  </si>
  <si>
    <t>2830 Bright Wood</t>
  </si>
  <si>
    <t>Ethan</t>
  </si>
  <si>
    <t>6718 Emerald Horse Key</t>
  </si>
  <si>
    <t>3996 Silver Wagon  Round</t>
  </si>
  <si>
    <t>1682 Cozy Trail</t>
  </si>
  <si>
    <t>Broken Arrow</t>
  </si>
  <si>
    <t>6234 Quaking Zephyr Corner</t>
  </si>
  <si>
    <t>5076 Amber Blossom Hollow</t>
  </si>
  <si>
    <t>5548 Tawny Embers Nook</t>
  </si>
  <si>
    <t>Fayetteville</t>
  </si>
  <si>
    <t>4320 Little Acres</t>
  </si>
  <si>
    <t>4171 Colonial Lagoon Close</t>
  </si>
  <si>
    <t>El Monte</t>
  </si>
  <si>
    <t>Young</t>
  </si>
  <si>
    <t>7334 Umber Expressway</t>
  </si>
  <si>
    <t>Owens</t>
  </si>
  <si>
    <t>8828 Little Nook</t>
  </si>
  <si>
    <t>6943 Round Elk Freeway</t>
  </si>
  <si>
    <t>5961 Hidden Village</t>
  </si>
  <si>
    <t>3693 Dewy Lagoon Range</t>
  </si>
  <si>
    <t>7601 Colonial Barn Terrace</t>
  </si>
  <si>
    <t>7342 Rocky Leaf Jetty</t>
  </si>
  <si>
    <t>3931 Green Acres</t>
  </si>
  <si>
    <t>852 Hazy Gate Circuit</t>
  </si>
  <si>
    <t>Nashville</t>
  </si>
  <si>
    <t>Kaiser</t>
  </si>
  <si>
    <t>8352 Pleasant Rise Valley</t>
  </si>
  <si>
    <t>2059 Cozy Field</t>
  </si>
  <si>
    <t>9257 Round Field</t>
  </si>
  <si>
    <t>Mcknight</t>
  </si>
  <si>
    <t>6646 Iron Fox Mews</t>
  </si>
  <si>
    <t>Hickory</t>
  </si>
  <si>
    <t>1017 Quiet Villas</t>
  </si>
  <si>
    <t>10 Tawny Brook Canyon</t>
  </si>
  <si>
    <t>8707 Foggy View</t>
  </si>
  <si>
    <t>5485 Tawny Crescent</t>
  </si>
  <si>
    <t>8776 Amber Pines</t>
  </si>
  <si>
    <t>4392 Burning Farms</t>
  </si>
  <si>
    <t>4895 Lost Swale</t>
  </si>
  <si>
    <t>Valenzuela</t>
  </si>
  <si>
    <t>3393 Tawny Extension</t>
  </si>
  <si>
    <t>1795 Dusty Blossom Swale</t>
  </si>
  <si>
    <t>9140 Clear Concession</t>
  </si>
  <si>
    <t>5753 Crystal Campus</t>
  </si>
  <si>
    <t>6818 Noble Pioneer Pines</t>
  </si>
  <si>
    <t>454 Old Glade</t>
  </si>
  <si>
    <t>Bobby</t>
  </si>
  <si>
    <t>Jimenez</t>
  </si>
  <si>
    <t>1875 Golden Trail</t>
  </si>
  <si>
    <t>7005 Silver Hills Line</t>
  </si>
  <si>
    <t>2887 Little Forest Gardens</t>
  </si>
  <si>
    <t>5363 Emerald Path</t>
  </si>
  <si>
    <t>4968 Honey Pine Island</t>
  </si>
  <si>
    <t>3422 Jagged Willow Way</t>
  </si>
  <si>
    <t>Lloyd</t>
  </si>
  <si>
    <t>6035 Foggy Link</t>
  </si>
  <si>
    <t>Louis</t>
  </si>
  <si>
    <t>5192 Foggy Elk Village</t>
  </si>
  <si>
    <t>Kaneohe</t>
  </si>
  <si>
    <t>2089 Dusty Maze</t>
  </si>
  <si>
    <t>2963 Indian Elk Pathway</t>
  </si>
  <si>
    <t>Methuen</t>
  </si>
  <si>
    <t>4047 Green Stead</t>
  </si>
  <si>
    <t>Mata</t>
  </si>
  <si>
    <t>1831 Dewy Forest Manor</t>
  </si>
  <si>
    <t>7651 Round Path</t>
  </si>
  <si>
    <t>4145 Lazy Wood</t>
  </si>
  <si>
    <t>2128 Umber Grove Via</t>
  </si>
  <si>
    <t>Camille</t>
  </si>
  <si>
    <t>2878 Hazy Wagon Thicket</t>
  </si>
  <si>
    <t>Kirkland</t>
  </si>
  <si>
    <t>8617 Sunny Hills Lookout</t>
  </si>
  <si>
    <t>8263 Harvest Estates</t>
  </si>
  <si>
    <t>Cain</t>
  </si>
  <si>
    <t>1870 Lost Berry Bank</t>
  </si>
  <si>
    <t>Norcross</t>
  </si>
  <si>
    <t>3216 Rocky Centre</t>
  </si>
  <si>
    <t>3293 Golden Forest Orchard</t>
  </si>
  <si>
    <t>4968 Misty Horse Cove</t>
  </si>
  <si>
    <t>Isabella</t>
  </si>
  <si>
    <t>Gillespie</t>
  </si>
  <si>
    <t>1546 Hidden Embers Way</t>
  </si>
  <si>
    <t>6032 Misty Blossom Farm</t>
  </si>
  <si>
    <t>Graham</t>
  </si>
  <si>
    <t>9611 Thunder Loop</t>
  </si>
  <si>
    <t>Yvonne</t>
  </si>
  <si>
    <t>3654 Foggy Byway</t>
  </si>
  <si>
    <t>Sloan</t>
  </si>
  <si>
    <t>Danbury</t>
  </si>
  <si>
    <t>Erica</t>
  </si>
  <si>
    <t>6451 Noble Blossom Manor</t>
  </si>
  <si>
    <t>Judy</t>
  </si>
  <si>
    <t>4534 Cinder Concession</t>
  </si>
  <si>
    <t>Annandale</t>
  </si>
  <si>
    <t>541 Emerald Shadow Glen</t>
  </si>
  <si>
    <t>Pascale</t>
  </si>
  <si>
    <t>4055 Fallen Log Village</t>
  </si>
  <si>
    <t>Salina</t>
  </si>
  <si>
    <t>Knapp</t>
  </si>
  <si>
    <t>2394 Gentle Treasure Farms</t>
  </si>
  <si>
    <t>3065 Foggy Horse Port</t>
  </si>
  <si>
    <t>Alexandra</t>
  </si>
  <si>
    <t>9255 Cotton Rabbit Promenade</t>
  </si>
  <si>
    <t>5737 Honey Panda Trail</t>
  </si>
  <si>
    <t>Park</t>
  </si>
  <si>
    <t>1356 Shady Villas</t>
  </si>
  <si>
    <t>Nash</t>
  </si>
  <si>
    <t>4320 Iron Highlands</t>
  </si>
  <si>
    <t>1102 Misty Rabbit Alley</t>
  </si>
  <si>
    <t>Singleton</t>
  </si>
  <si>
    <t>3692 Dewy Butterfly Cape</t>
  </si>
  <si>
    <t>Revere</t>
  </si>
  <si>
    <t>Boyer</t>
  </si>
  <si>
    <t>7971 Broad Villas</t>
  </si>
  <si>
    <t>Folsom</t>
  </si>
  <si>
    <t>3236 Umber Corners</t>
  </si>
  <si>
    <t>8598 Dewy Grove Path</t>
  </si>
  <si>
    <t>1987 Indian Autumn Swale</t>
  </si>
  <si>
    <t>659 Iron Manor</t>
  </si>
  <si>
    <t>436 Velvet Berry Row</t>
  </si>
  <si>
    <t>521 Quiet Pioneer Towers</t>
  </si>
  <si>
    <t>9221 Cotton Butterfly Terrace</t>
  </si>
  <si>
    <t>Spears</t>
  </si>
  <si>
    <t>3481 Crystal Campus</t>
  </si>
  <si>
    <t>Kevyn</t>
  </si>
  <si>
    <t>Oneal</t>
  </si>
  <si>
    <t>9216 Crystal Lagoon Park</t>
  </si>
  <si>
    <t>6715 Indian Walk</t>
  </si>
  <si>
    <t>Nixon</t>
  </si>
  <si>
    <t>8428 Blue Prairie Farm</t>
  </si>
  <si>
    <t>3874 Broad Byway</t>
  </si>
  <si>
    <t>9602 Broad Gardens</t>
  </si>
  <si>
    <t xml:space="preserve">611 Colonial Lake Mall </t>
  </si>
  <si>
    <t>Wall</t>
  </si>
  <si>
    <t>8434 Rocky Knoll</t>
  </si>
  <si>
    <t>Alfreda</t>
  </si>
  <si>
    <t>Mit</t>
  </si>
  <si>
    <t>4948 Middle Orchard</t>
  </si>
  <si>
    <t>7910 Cotton Branch Highway</t>
  </si>
  <si>
    <t>Maynard</t>
  </si>
  <si>
    <t>3100 Broad Brook Impasse</t>
  </si>
  <si>
    <t>Short</t>
  </si>
  <si>
    <t>2863 Crystal Barn End</t>
  </si>
  <si>
    <t>5888 Iron Goose Centre</t>
  </si>
  <si>
    <t>3095 Silver Lake Manor</t>
  </si>
  <si>
    <t>531 Round Fox Route</t>
  </si>
  <si>
    <t>6791 Colonial Nook</t>
  </si>
  <si>
    <t>1840 Stony Campus</t>
  </si>
  <si>
    <t>20 Bright Barn Woods</t>
  </si>
  <si>
    <t>Barnett</t>
  </si>
  <si>
    <t>773 Fallen Pioneer Mews</t>
  </si>
  <si>
    <t>Guzman</t>
  </si>
  <si>
    <t>9539 Rustic Beacon Ramp</t>
  </si>
  <si>
    <t>7100 Burning Wharf</t>
  </si>
  <si>
    <t>9650 Red Farm</t>
  </si>
  <si>
    <t>2331 Dusty Highway</t>
  </si>
  <si>
    <t>8861 Hidden Bear Hill</t>
  </si>
  <si>
    <t>Lanister</t>
  </si>
  <si>
    <t>7975 Umber Freeway</t>
  </si>
  <si>
    <t>2439 Quaking Cove</t>
  </si>
  <si>
    <t>4940 Silver Autumn Terrace</t>
  </si>
  <si>
    <t>Irma</t>
  </si>
  <si>
    <t>4417 High Pioneer Orchard</t>
  </si>
  <si>
    <t>9595 Blue Promenade</t>
  </si>
  <si>
    <t>2571 Noble Crescent</t>
  </si>
  <si>
    <t>1757 Grand Blossom Subdivision</t>
  </si>
  <si>
    <t>3926 Stony Gardens</t>
  </si>
  <si>
    <t>Zelda</t>
  </si>
  <si>
    <t>Randall</t>
  </si>
  <si>
    <t>9453 Dewy Promenade</t>
  </si>
  <si>
    <t>Lael</t>
  </si>
  <si>
    <t>4260 Sleepy Island Run</t>
  </si>
  <si>
    <t>8668 Shady Panda Expressway</t>
  </si>
  <si>
    <t>275 Heather Rabbit Parkway</t>
  </si>
  <si>
    <t>Charde</t>
  </si>
  <si>
    <t>681 High Pike</t>
  </si>
  <si>
    <t>9190 Dusty Limits</t>
  </si>
  <si>
    <t>3155 Easy Hill</t>
  </si>
  <si>
    <t>Ralph</t>
  </si>
  <si>
    <t>Dixon</t>
  </si>
  <si>
    <t>5633 Harvest Turnabout</t>
  </si>
  <si>
    <t>4750 Lost Jetty</t>
  </si>
  <si>
    <t>3662 Middle Willow Promenade</t>
  </si>
  <si>
    <t>4870 Broad Berry Circuit</t>
  </si>
  <si>
    <t>Fitzpatrick</t>
  </si>
  <si>
    <t>4534 Shady Alley</t>
  </si>
  <si>
    <t>5041 Sleepy Lane</t>
  </si>
  <si>
    <t>Shepard</t>
  </si>
  <si>
    <t>948 Rustic Pine Jetty</t>
  </si>
  <si>
    <t>Leigh</t>
  </si>
  <si>
    <t>Guevara</t>
  </si>
  <si>
    <t>3751 Shady Pike</t>
  </si>
  <si>
    <t>Clio</t>
  </si>
  <si>
    <t>9657 Golden Goose Row</t>
  </si>
  <si>
    <t>5050 Bright Dale Field</t>
  </si>
  <si>
    <t>2395 Misty Carrefour</t>
  </si>
  <si>
    <t>Mclean</t>
  </si>
  <si>
    <t>6767 Shady Chase</t>
  </si>
  <si>
    <t>Ocean</t>
  </si>
  <si>
    <t>Unity</t>
  </si>
  <si>
    <t>Sykes</t>
  </si>
  <si>
    <t>5763 Green Crossing</t>
  </si>
  <si>
    <t>1055 Rustic Avenue</t>
  </si>
  <si>
    <t>Galena</t>
  </si>
  <si>
    <t>7844 Rocky Deer Avenue</t>
  </si>
  <si>
    <t>Daryl</t>
  </si>
  <si>
    <t>Peters</t>
  </si>
  <si>
    <t>4813 Red Wagon Farms</t>
  </si>
  <si>
    <t>Guerra</t>
  </si>
  <si>
    <t>8772 Silent Expressway</t>
  </si>
  <si>
    <t>Forbes</t>
  </si>
  <si>
    <t>2638 Amber Oak Grounds</t>
  </si>
  <si>
    <t>6040 Sleepy Plaza</t>
  </si>
  <si>
    <t>3815 Tawny Swale</t>
  </si>
  <si>
    <t>Jaden</t>
  </si>
  <si>
    <t>4074 Sleepy Fox Estates</t>
  </si>
  <si>
    <t>Jade</t>
  </si>
  <si>
    <t>5714 Jagged Leaf Street</t>
  </si>
  <si>
    <t>Phyllis</t>
  </si>
  <si>
    <t>6292 Noble Dale Falls</t>
  </si>
  <si>
    <t>Nola</t>
  </si>
  <si>
    <t>Stark</t>
  </si>
  <si>
    <t>610 Pleasant Shadow Heights</t>
  </si>
  <si>
    <t>6370 Emerald Row</t>
  </si>
  <si>
    <t>2805 Indian Passage</t>
  </si>
  <si>
    <t>3980 Cozy Bay</t>
  </si>
  <si>
    <t>8885 Hidden Prairie Trace</t>
  </si>
  <si>
    <t>Hermione</t>
  </si>
  <si>
    <t>6296 Rocky Nectar Square</t>
  </si>
  <si>
    <t>Bolton</t>
  </si>
  <si>
    <t>8361 Jagged By-pass</t>
  </si>
  <si>
    <t>6724 Golden Quay</t>
  </si>
  <si>
    <t>4380 Cotton Barn Falls</t>
  </si>
  <si>
    <t>Cassady</t>
  </si>
  <si>
    <t>Wilkins</t>
  </si>
  <si>
    <t>2592 Colonial Pointe</t>
  </si>
  <si>
    <t>West</t>
  </si>
  <si>
    <t>7717 Umber Route</t>
  </si>
  <si>
    <t>697 Little Meadow</t>
  </si>
  <si>
    <t>8570 Stony Barn Heath</t>
  </si>
  <si>
    <t>Robles</t>
  </si>
  <si>
    <t>6587 Crystal Horse Gate</t>
  </si>
  <si>
    <t>6058 Fallen Walk</t>
  </si>
  <si>
    <t>5012 Stony Quail Drive</t>
  </si>
  <si>
    <t>9383 Jagged Front</t>
  </si>
  <si>
    <t>Rialto</t>
  </si>
  <si>
    <t>8399 Cotton Crossing</t>
  </si>
  <si>
    <t>Norton</t>
  </si>
  <si>
    <t>Indoor/Outdoor Games</t>
  </si>
  <si>
    <t>Louisville</t>
  </si>
  <si>
    <t>4678 Fallen Townline</t>
  </si>
  <si>
    <t>8675 Lazy Pathway</t>
  </si>
  <si>
    <t>Fitzgerald</t>
  </si>
  <si>
    <t>8548 Heather Gate</t>
  </si>
  <si>
    <t>6439 Quiet Lagoon Parkway</t>
  </si>
  <si>
    <t>1800 Tawny Zephyr Terrace</t>
  </si>
  <si>
    <t>1356 Pleasant Hickory Lane</t>
  </si>
  <si>
    <t>9544 Noble Spring Route</t>
  </si>
  <si>
    <t>9695 Misty Court</t>
  </si>
  <si>
    <t>Davila</t>
  </si>
  <si>
    <t>4182 Burning Hills Corners</t>
  </si>
  <si>
    <t>Snow</t>
  </si>
  <si>
    <t>2584 Lost Square</t>
  </si>
  <si>
    <t>Livermore</t>
  </si>
  <si>
    <t>6906 Quiet Rise</t>
  </si>
  <si>
    <t>Madera</t>
  </si>
  <si>
    <t>Underwood</t>
  </si>
  <si>
    <t>7885 Broad Heights</t>
  </si>
  <si>
    <t>Mann</t>
  </si>
  <si>
    <t>1799 Cotton View</t>
  </si>
  <si>
    <t>Bonilla</t>
  </si>
  <si>
    <t>4063 Cinder Cloud Farm</t>
  </si>
  <si>
    <t>9676 Silent Centre</t>
  </si>
  <si>
    <t>Norwalk</t>
  </si>
  <si>
    <t>1304 Clear Field</t>
  </si>
  <si>
    <t>2673 Cinder Rise Lookout</t>
  </si>
  <si>
    <t>5087 Emerald Panda Run</t>
  </si>
  <si>
    <t>5937 High Pony Village</t>
  </si>
  <si>
    <t>Curtis</t>
  </si>
  <si>
    <t>6715 Blue Shadow Square</t>
  </si>
  <si>
    <t>7775 Sleepy Farm</t>
  </si>
  <si>
    <t>Chula Vista</t>
  </si>
  <si>
    <t>Cummings</t>
  </si>
  <si>
    <t>4355 Shady Bank</t>
  </si>
  <si>
    <t>Valdez</t>
  </si>
  <si>
    <t>7500 Wishing Brook Grove</t>
  </si>
  <si>
    <t>Shimoga</t>
  </si>
  <si>
    <t>2290 Crystal Pathway</t>
  </si>
  <si>
    <t>9130 Emerald Plaza</t>
  </si>
  <si>
    <t>2668 Hidden Village</t>
  </si>
  <si>
    <t>7331 Velvet Fox Walk</t>
  </si>
  <si>
    <t>6234 Jagged Bluff Expressway</t>
  </si>
  <si>
    <t>Littleton</t>
  </si>
  <si>
    <t>760 Lazy Pines</t>
  </si>
  <si>
    <t>9918 Lazy Cape</t>
  </si>
  <si>
    <t>4590 Gentle River Wood</t>
  </si>
  <si>
    <t>1595 Velvet Gate Island</t>
  </si>
  <si>
    <t>Michigan City</t>
  </si>
  <si>
    <t>7502 Cozy View</t>
  </si>
  <si>
    <t>1396 Silver Berry Impasse</t>
  </si>
  <si>
    <t>Olson</t>
  </si>
  <si>
    <t>1399 Dewy Expressway</t>
  </si>
  <si>
    <t>Middleton</t>
  </si>
  <si>
    <t>6943 Misty Quail Link</t>
  </si>
  <si>
    <t>4849 Foggy Zephyr Cape</t>
  </si>
  <si>
    <t>143 Clear Pony Byway</t>
  </si>
  <si>
    <t>3836 Blue Brook Stead</t>
  </si>
  <si>
    <t>9749 Bright Cloud Extension</t>
  </si>
  <si>
    <t>Francis</t>
  </si>
  <si>
    <t>9552 Quaking Edge</t>
  </si>
  <si>
    <t>5744 Cinder Square</t>
  </si>
  <si>
    <t>4725 Colonial Hickory Chase</t>
  </si>
  <si>
    <t>5261 Amber Avenue</t>
  </si>
  <si>
    <t>4906 Rustic Round</t>
  </si>
  <si>
    <t>1100 Amber Turnabout</t>
  </si>
  <si>
    <t>Zachary</t>
  </si>
  <si>
    <t>8916 Round Zephyr Ridge</t>
  </si>
  <si>
    <t>Lompoc</t>
  </si>
  <si>
    <t>2225 Crystal Beach</t>
  </si>
  <si>
    <t>Pearson</t>
  </si>
  <si>
    <t>8732 Broad Wagon  Road</t>
  </si>
  <si>
    <t>9666 Gentle Shadow Thicket</t>
  </si>
  <si>
    <t>8187 Foggy Centre</t>
  </si>
  <si>
    <t>9612 Cozy Line</t>
  </si>
  <si>
    <t>8734 Dewy Expressway</t>
  </si>
  <si>
    <t>2439 Old Grove</t>
  </si>
  <si>
    <t>2762 Umber Cloud Glen</t>
  </si>
  <si>
    <t>Hogan</t>
  </si>
  <si>
    <t>911 Middle Fawn Townline</t>
  </si>
  <si>
    <t>Xerxes</t>
  </si>
  <si>
    <t>Webster</t>
  </si>
  <si>
    <t>2541 Merry Fawn Via</t>
  </si>
  <si>
    <t>9726 Dewy Grounds</t>
  </si>
  <si>
    <t>3152 Lazy Close</t>
  </si>
  <si>
    <t>6146 Dewy Jetty</t>
  </si>
  <si>
    <t>2538 Sunny Beacon Vale</t>
  </si>
  <si>
    <t>3815 Gentle Vale</t>
  </si>
  <si>
    <t>9117 Harvest Street</t>
  </si>
  <si>
    <t>4212 Shady Field</t>
  </si>
  <si>
    <t>Orli</t>
  </si>
  <si>
    <t>Atkinson</t>
  </si>
  <si>
    <t>2383 Crystal Panda Mount</t>
  </si>
  <si>
    <t>2210 Merry Leaf Row</t>
  </si>
  <si>
    <t>Mccoy</t>
  </si>
  <si>
    <t>5561 Easy Turnabout</t>
  </si>
  <si>
    <t>Gallegos</t>
  </si>
  <si>
    <t>9794 Indian Quail Manor</t>
  </si>
  <si>
    <t>Perth Amboy</t>
  </si>
  <si>
    <t>3139 Little Berry Close</t>
  </si>
  <si>
    <t>Gwendolyn</t>
  </si>
  <si>
    <t>8421 Pleasant Nectar Route</t>
  </si>
  <si>
    <t>Hadley</t>
  </si>
  <si>
    <t>9918 Amber Autumn Swale</t>
  </si>
  <si>
    <t>2734 Dusty Blossom Road</t>
  </si>
  <si>
    <t>1557 Harvest Pond Canyon</t>
  </si>
  <si>
    <t>Anjolie</t>
  </si>
  <si>
    <t>Fry</t>
  </si>
  <si>
    <t>3505 Middle Glen</t>
  </si>
  <si>
    <t>Ariana</t>
  </si>
  <si>
    <t>Vazquez</t>
  </si>
  <si>
    <t>1691 Easy Spring Swale</t>
  </si>
  <si>
    <t>1982 Rocky Parkway</t>
  </si>
  <si>
    <t>Melendez</t>
  </si>
  <si>
    <t>9095 Indian Quail Extension</t>
  </si>
  <si>
    <t>6819 Clear Branch Estates</t>
  </si>
  <si>
    <t>Tinley Park</t>
  </si>
  <si>
    <t>9318 Clear Swale</t>
  </si>
  <si>
    <t>Kalia</t>
  </si>
  <si>
    <t>27 Rustic Pioneer Wharf</t>
  </si>
  <si>
    <t>4601 Dewy Creek Concession</t>
  </si>
  <si>
    <t>5809 Foggy Treasure Grounds</t>
  </si>
  <si>
    <t>1021 Silver Log Cape</t>
  </si>
  <si>
    <t>3169 Little Subdivision</t>
  </si>
  <si>
    <t>7494 Broad Wagon  Vale</t>
  </si>
  <si>
    <t>2104 Green Landing</t>
  </si>
  <si>
    <t>Dominguez</t>
  </si>
  <si>
    <t>9430 Heather Mountain Farms</t>
  </si>
  <si>
    <t>7419 Cinder Cloud Quay</t>
  </si>
  <si>
    <t>1395 Cozy River Carrefour</t>
  </si>
  <si>
    <t>3192 Dusty Zephyr Promenade</t>
  </si>
  <si>
    <t>2915 Round Byway</t>
  </si>
  <si>
    <t>8410 Golden Range</t>
  </si>
  <si>
    <t>San Sebastian</t>
  </si>
  <si>
    <t>Willis</t>
  </si>
  <si>
    <t>4979 Stony Chase</t>
  </si>
  <si>
    <t>8924 Jagged Leaf Private</t>
  </si>
  <si>
    <t>3450 Quiet Hickory Harbour</t>
  </si>
  <si>
    <t>3178 Golden Villas</t>
  </si>
  <si>
    <t>4955 Pleasant Grove Bay</t>
  </si>
  <si>
    <t>Suki</t>
  </si>
  <si>
    <t>5117 Red Wynd</t>
  </si>
  <si>
    <t>Hays</t>
  </si>
  <si>
    <t>7213 Sleepy Cove</t>
  </si>
  <si>
    <t>9938 Rustic Link</t>
  </si>
  <si>
    <t>8170 Dusty Oak Townline</t>
  </si>
  <si>
    <t>2781 Emerald Thicket</t>
  </si>
  <si>
    <t>7240 Sleepy Goose Path</t>
  </si>
  <si>
    <t>Lamb</t>
  </si>
  <si>
    <t>5193 Round Mountain</t>
  </si>
  <si>
    <t>3261 Green Circle</t>
  </si>
  <si>
    <t>2331 Amber Parade</t>
  </si>
  <si>
    <t>7678 Green Range</t>
  </si>
  <si>
    <t>Flynn</t>
  </si>
  <si>
    <t>6567 High Lagoon Heath</t>
  </si>
  <si>
    <t>7136 Sunny Grove Freeway</t>
  </si>
  <si>
    <t>1764 Thunder View Quay</t>
  </si>
  <si>
    <t>2099 Dusty Grove Crest</t>
  </si>
  <si>
    <t>Bell</t>
  </si>
  <si>
    <t>7422 Silent Loop</t>
  </si>
  <si>
    <t>1463 Silent Expressway</t>
  </si>
  <si>
    <t>6734 Velvet Bluff Avenue</t>
  </si>
  <si>
    <t>3212 Umber Thicket</t>
  </si>
  <si>
    <t>2857 Honey Terrace</t>
  </si>
  <si>
    <t xml:space="preserve">4951 Misty Pioneer Mall </t>
  </si>
  <si>
    <t>5477 Velvet Falls</t>
  </si>
  <si>
    <t>Macy</t>
  </si>
  <si>
    <t>8018 Cinder Prairie Run</t>
  </si>
  <si>
    <t>3032 Round Gardens</t>
  </si>
  <si>
    <t>7364 Fallen Circle</t>
  </si>
  <si>
    <t>7342 Hazy Mews</t>
  </si>
  <si>
    <t>Cathleen</t>
  </si>
  <si>
    <t>Kaufman</t>
  </si>
  <si>
    <t>472 Cinder Sky Farm</t>
  </si>
  <si>
    <t>690 Amber Moor</t>
  </si>
  <si>
    <t>6104 Rocky Sky Vale</t>
  </si>
  <si>
    <t xml:space="preserve">5274 Hidden Mall </t>
  </si>
  <si>
    <t>6081 Stony Arbor</t>
  </si>
  <si>
    <t>4520 Grand Port</t>
  </si>
  <si>
    <t>7290 Rustic Deer Private</t>
  </si>
  <si>
    <t>Doyle</t>
  </si>
  <si>
    <t>2858 Cinder Path</t>
  </si>
  <si>
    <t>3257 Sleepy View Downs</t>
  </si>
  <si>
    <t>Sweet</t>
  </si>
  <si>
    <t>6315 Gentle Creek Ledge</t>
  </si>
  <si>
    <t>Shafira</t>
  </si>
  <si>
    <t>7422 Heather Heath</t>
  </si>
  <si>
    <t>2538 Rustic Zephyr Village</t>
  </si>
  <si>
    <t>Dudley</t>
  </si>
  <si>
    <t>8311 Iron Expressway</t>
  </si>
  <si>
    <t>Ibarra</t>
  </si>
  <si>
    <t>1706 Pleasant Park</t>
  </si>
  <si>
    <t>4997 Gentle Robin View</t>
  </si>
  <si>
    <t>Baxter</t>
  </si>
  <si>
    <t>3243 Lost Bank</t>
  </si>
  <si>
    <t>7107 Blue Rise Place</t>
  </si>
  <si>
    <t>6231 Silver Lookout</t>
  </si>
  <si>
    <t>9437 Emerald Butterfly Edge</t>
  </si>
  <si>
    <t>6956 Misty Anchor Close</t>
  </si>
  <si>
    <t>8158 Honey Impasse</t>
  </si>
  <si>
    <t>2777 Crystal Blossom Dale</t>
  </si>
  <si>
    <t>2414 Rocky Island Parade</t>
  </si>
  <si>
    <t>Good</t>
  </si>
  <si>
    <t>9598 Iron Park</t>
  </si>
  <si>
    <t>8261 Hazy Falls</t>
  </si>
  <si>
    <t>4459 Amber Close</t>
  </si>
  <si>
    <t>5319 Blue Leaf Moor</t>
  </si>
  <si>
    <t>Nita</t>
  </si>
  <si>
    <t>Boone</t>
  </si>
  <si>
    <t>7463 Sunny Embers Gate</t>
  </si>
  <si>
    <t>866 Crystal Path</t>
  </si>
  <si>
    <t>8492 Round Path</t>
  </si>
  <si>
    <t>2749 Bright Falls</t>
  </si>
  <si>
    <t>2121 Middle Log Jetty</t>
  </si>
  <si>
    <t>8333 Red Passage</t>
  </si>
  <si>
    <t>1840 Sleepy Gardens</t>
  </si>
  <si>
    <t>4839 Red Apple Arbor</t>
  </si>
  <si>
    <t>8641 Sleepy Mews</t>
  </si>
  <si>
    <t>Lydia</t>
  </si>
  <si>
    <t>Arellano</t>
  </si>
  <si>
    <t>65 Middle Farms</t>
  </si>
  <si>
    <t>6386 Colonial Bear Centre</t>
  </si>
  <si>
    <t>9781 Tawny Nectar Park</t>
  </si>
  <si>
    <t>3179 Heather Arbor</t>
  </si>
  <si>
    <t>Oneil</t>
  </si>
  <si>
    <t>8808 Quaking Front</t>
  </si>
  <si>
    <t>Travis</t>
  </si>
  <si>
    <t>8279 Shady Apple Farms</t>
  </si>
  <si>
    <t>Gilliam</t>
  </si>
  <si>
    <t>5755 Thunder Nectar Gate</t>
  </si>
  <si>
    <t>8908 Golden Thicket</t>
  </si>
  <si>
    <t>6888 Dewy Nectar Inlet</t>
  </si>
  <si>
    <t>1121 Wishing Jetty</t>
  </si>
  <si>
    <t>Jenette</t>
  </si>
  <si>
    <t>Estrada</t>
  </si>
  <si>
    <t>7894 Colonial Knoll</t>
  </si>
  <si>
    <t>1497 Little Walk</t>
  </si>
  <si>
    <t>7885 Misty Knoll</t>
  </si>
  <si>
    <t>Burch</t>
  </si>
  <si>
    <t>1329 Cotton Zephyr Highway</t>
  </si>
  <si>
    <t>Carlson</t>
  </si>
  <si>
    <t>577 Old Branch Jetty</t>
  </si>
  <si>
    <t>3872 Golden Shadow Rise</t>
  </si>
  <si>
    <t>6396 Honey Prairie Bay</t>
  </si>
  <si>
    <t>9916 Misty Downs</t>
  </si>
  <si>
    <t>2567 Colonial Place</t>
  </si>
  <si>
    <t>5407 Sunny Wagon  Valley</t>
  </si>
  <si>
    <t>Kennedy</t>
  </si>
  <si>
    <t>469 Middle Berry Abbey</t>
  </si>
  <si>
    <t>5559 Colonial Prairie Manor</t>
  </si>
  <si>
    <t>6734 Grand Leaf Pathway</t>
  </si>
  <si>
    <t>Landry</t>
  </si>
  <si>
    <t>Ginger</t>
  </si>
  <si>
    <t>2699 Pleasant Log Gate</t>
  </si>
  <si>
    <t>8768 Iron End</t>
  </si>
  <si>
    <t>Dawn</t>
  </si>
  <si>
    <t>7420 Old Embers Hill</t>
  </si>
  <si>
    <t>Knight</t>
  </si>
  <si>
    <t>4560 Thunder Rise</t>
  </si>
  <si>
    <t>Griffith</t>
  </si>
  <si>
    <t>9589 Shady Fox Grove</t>
  </si>
  <si>
    <t>7274 Blue Wagon  Villas</t>
  </si>
  <si>
    <t>1855 Silver Manor</t>
  </si>
  <si>
    <t>Marny</t>
  </si>
  <si>
    <t>4970 Silent River Parade</t>
  </si>
  <si>
    <t>Lucy</t>
  </si>
  <si>
    <t>Neal</t>
  </si>
  <si>
    <t>2136 Silver Canyon</t>
  </si>
  <si>
    <t>6025 Cotton Pond Farm</t>
  </si>
  <si>
    <t>Noble</t>
  </si>
  <si>
    <t>4353 Sunny Gate Avenue</t>
  </si>
  <si>
    <t>Roberts</t>
  </si>
  <si>
    <t>6950 Velvet Inlet</t>
  </si>
  <si>
    <t>England</t>
  </si>
  <si>
    <t>6847 Broad Orchard</t>
  </si>
  <si>
    <t>Avila</t>
  </si>
  <si>
    <t>Guaynabo</t>
  </si>
  <si>
    <t>449 Quaking Court</t>
  </si>
  <si>
    <t>7536 Jagged Elk Grove</t>
  </si>
  <si>
    <t>3387 Fallen Pine Walk</t>
  </si>
  <si>
    <t>6547 Sunny Isle</t>
  </si>
  <si>
    <t>Waipahu</t>
  </si>
  <si>
    <t>7871 Quiet Abbey</t>
  </si>
  <si>
    <t>599 Clear Gardens</t>
  </si>
  <si>
    <t>Xena</t>
  </si>
  <si>
    <t>8400 Clear Wagon Row</t>
  </si>
  <si>
    <t>Dahlia</t>
  </si>
  <si>
    <t>5937 Blue Pony Square</t>
  </si>
  <si>
    <t>139 Jagged Island Lane</t>
  </si>
  <si>
    <t>Carissa</t>
  </si>
  <si>
    <t>Villarreal</t>
  </si>
  <si>
    <t>4579 Sunny Link</t>
  </si>
  <si>
    <t>7477 Easy Falls</t>
  </si>
  <si>
    <t>9994 Green Jetty</t>
  </si>
  <si>
    <t>9832 Stony Lake Alley</t>
  </si>
  <si>
    <t>Painesville</t>
  </si>
  <si>
    <t>2983 Stony Townline</t>
  </si>
  <si>
    <t>4581 Emerald Gate Park</t>
  </si>
  <si>
    <t>Dickerson</t>
  </si>
  <si>
    <t>Santa Fe</t>
  </si>
  <si>
    <t>472 Hidden River Plaza</t>
  </si>
  <si>
    <t>Burris</t>
  </si>
  <si>
    <t>2186 Amber Lagoon Mountain</t>
  </si>
  <si>
    <t>9505 Bright Creek Promenade</t>
  </si>
  <si>
    <t>Walnut</t>
  </si>
  <si>
    <t>2199 Silver Autumn Key</t>
  </si>
  <si>
    <t>5103 Burning Embers Green</t>
  </si>
  <si>
    <t>1790 Indian Treasure Pines</t>
  </si>
  <si>
    <t>4951 Shady Spring Path</t>
  </si>
  <si>
    <t>Union</t>
  </si>
  <si>
    <t>8707 Shady Route</t>
  </si>
  <si>
    <t>Hurley</t>
  </si>
  <si>
    <t>7808 Merry Canyon</t>
  </si>
  <si>
    <t>1836 Cozy View Orchard</t>
  </si>
  <si>
    <t>Imogene</t>
  </si>
  <si>
    <t>5259 Bright Deer Crossing</t>
  </si>
  <si>
    <t>7760 Golden Limits</t>
  </si>
  <si>
    <t xml:space="preserve">5583 Burning Zephyr Mall </t>
  </si>
  <si>
    <t>Valentine</t>
  </si>
  <si>
    <t>7533 Clear Goose Lane</t>
  </si>
  <si>
    <t>1118 Pleasant Bluff Heights</t>
  </si>
  <si>
    <t>Piper</t>
  </si>
  <si>
    <t>5149 Dusty Pony Common</t>
  </si>
  <si>
    <t>2544 Broad Brook View</t>
  </si>
  <si>
    <t>7558 Cotton Log Stead</t>
  </si>
  <si>
    <t>7190 Silver Horse Glade</t>
  </si>
  <si>
    <t>Ewa Beach</t>
  </si>
  <si>
    <t>9550 Lazy Pine Chase</t>
  </si>
  <si>
    <t>1249 Dewy Mountain Bay</t>
  </si>
  <si>
    <t>2656 Noble Canyon</t>
  </si>
  <si>
    <t>Reseda</t>
  </si>
  <si>
    <t>5593 Red Byway</t>
  </si>
  <si>
    <t>3042 Rustic Line</t>
  </si>
  <si>
    <t>4174 Dewy Pioneer Court</t>
  </si>
  <si>
    <t>1306 Rustic Towers</t>
  </si>
  <si>
    <t>7701 Rustic Carrefour</t>
  </si>
  <si>
    <t>Witt</t>
  </si>
  <si>
    <t>9218 Round Barn Acres</t>
  </si>
  <si>
    <t>1081 Heather Boulevard</t>
  </si>
  <si>
    <t>4311 Old Edge</t>
  </si>
  <si>
    <t>6030 Honey Pond Thicket</t>
  </si>
  <si>
    <t>3914 Crystal Barn Cove</t>
  </si>
  <si>
    <t>9420 Lazy Horse Drive</t>
  </si>
  <si>
    <t>5875 Grand Campus</t>
  </si>
  <si>
    <t>7391 Fallen Centre</t>
  </si>
  <si>
    <t>4600 Tawny Expressway</t>
  </si>
  <si>
    <t>Schwartz</t>
  </si>
  <si>
    <t>9853 Foggy Anchor Extension</t>
  </si>
  <si>
    <t>4806 Umber Square</t>
  </si>
  <si>
    <t>Williamsport</t>
  </si>
  <si>
    <t>Camilla</t>
  </si>
  <si>
    <t>Logan</t>
  </si>
  <si>
    <t>1804 Iron Quay</t>
  </si>
  <si>
    <t>Stone Mountain</t>
  </si>
  <si>
    <t>7775 Misty Place</t>
  </si>
  <si>
    <t>1875 Jagged Moor</t>
  </si>
  <si>
    <t>7291 Shady Nectar Cape</t>
  </si>
  <si>
    <t>1555 Crystal Rise Forest</t>
  </si>
  <si>
    <t>3296 High Lane</t>
  </si>
  <si>
    <t>3067 Hazy Autoroute</t>
  </si>
  <si>
    <t>Clovis</t>
  </si>
  <si>
    <t>Tana</t>
  </si>
  <si>
    <t>7449 Merry Chase</t>
  </si>
  <si>
    <t>9359 Hidden Landing</t>
  </si>
  <si>
    <t>Everett</t>
  </si>
  <si>
    <t>8849 Middle Pond Corners</t>
  </si>
  <si>
    <t>Rae</t>
  </si>
  <si>
    <t>Byrd</t>
  </si>
  <si>
    <t>La Habra</t>
  </si>
  <si>
    <t>Hanae</t>
  </si>
  <si>
    <t>5163 Velvet Private</t>
  </si>
  <si>
    <t>1812 Sunny River Wharf</t>
  </si>
  <si>
    <t>3385 Merry Falls</t>
  </si>
  <si>
    <t>3880 Rustic Port</t>
  </si>
  <si>
    <t>Johnny</t>
  </si>
  <si>
    <t>2161 Burning Maze</t>
  </si>
  <si>
    <t>8217 Silver Goose Cape</t>
  </si>
  <si>
    <t>Amelia</t>
  </si>
  <si>
    <t>Frederick</t>
  </si>
  <si>
    <t>1187 Wishing Oak Avenue</t>
  </si>
  <si>
    <t>1111 Cotton Vista</t>
  </si>
  <si>
    <t>Yoshi</t>
  </si>
  <si>
    <t>3305 Foggy Vale</t>
  </si>
  <si>
    <t>Frost</t>
  </si>
  <si>
    <t>6286 Bright Anchor Green</t>
  </si>
  <si>
    <t>8477 Middle Court</t>
  </si>
  <si>
    <t>2262 Tawny Jetty</t>
  </si>
  <si>
    <t>5013 Pleasant Fawn Pathway</t>
  </si>
  <si>
    <t>8307 Merry Pointe</t>
  </si>
  <si>
    <t>Ifeoma</t>
  </si>
  <si>
    <t>5768 Gentle Nectar Chase</t>
  </si>
  <si>
    <t>Cailin</t>
  </si>
  <si>
    <t>6933 Honey Turnabout</t>
  </si>
  <si>
    <t>2175 Hazy Deer Valley</t>
  </si>
  <si>
    <t>Mara</t>
  </si>
  <si>
    <t>5274 Easy Beach</t>
  </si>
  <si>
    <t>6888 Crystal Wagon Wynd</t>
  </si>
  <si>
    <t>Avery</t>
  </si>
  <si>
    <t>9235 Red Crossing</t>
  </si>
  <si>
    <t>Demetria</t>
  </si>
  <si>
    <t>9299 Heather Deer Pathway</t>
  </si>
  <si>
    <t>9069 Honey Forest Glade</t>
  </si>
  <si>
    <t>5375 Iron Cloud Mews</t>
  </si>
  <si>
    <t>Zenaida</t>
  </si>
  <si>
    <t>9296 Hazy Goose Bend</t>
  </si>
  <si>
    <t>Brennan</t>
  </si>
  <si>
    <t>4647 Umber View Farms</t>
  </si>
  <si>
    <t>Kelly</t>
  </si>
  <si>
    <t>3702 Burning Passage</t>
  </si>
  <si>
    <t>Wilcox</t>
  </si>
  <si>
    <t>864 Iron Spring Stead</t>
  </si>
  <si>
    <t>9050 Iron Apple Landing</t>
  </si>
  <si>
    <t>Marks</t>
  </si>
  <si>
    <t>6496 Harvest Highlands</t>
  </si>
  <si>
    <t>107 Wishing Gate</t>
  </si>
  <si>
    <t>2205 Broad Square</t>
  </si>
  <si>
    <t>8560 Rustic Pond Promenade</t>
  </si>
  <si>
    <t>Miles</t>
  </si>
  <si>
    <t>3159 Dewy Leaf Plaza</t>
  </si>
  <si>
    <t>2351 Hidden Pike</t>
  </si>
  <si>
    <t>6324 Jagged Orchard</t>
  </si>
  <si>
    <t>1971 Velvet Oak Road</t>
  </si>
  <si>
    <t>Brees</t>
  </si>
  <si>
    <t>Franco</t>
  </si>
  <si>
    <t>1320 Cinder Prairie Mountain</t>
  </si>
  <si>
    <t>9518 Old Corner</t>
  </si>
  <si>
    <t>Lynn</t>
  </si>
  <si>
    <t>9736 Emerald Goose Highlands</t>
  </si>
  <si>
    <t>5292 Cinder Elk Moor</t>
  </si>
  <si>
    <t>Kameko</t>
  </si>
  <si>
    <t>Odonnell</t>
  </si>
  <si>
    <t>4277 Golden Road</t>
  </si>
  <si>
    <t>Upland</t>
  </si>
  <si>
    <t>3959 Shady Pond Village</t>
  </si>
  <si>
    <t>7864 Silent Horse Extension</t>
  </si>
  <si>
    <t>9203 Dusty Vista</t>
  </si>
  <si>
    <t>Gardena</t>
  </si>
  <si>
    <t>5348 Middle Embers Line</t>
  </si>
  <si>
    <t>628 Hidden Private</t>
  </si>
  <si>
    <t>541 Lost Willow Landing</t>
  </si>
  <si>
    <t>2803 Wishing Branch Place</t>
  </si>
  <si>
    <t>6135 Lazy Prairie Ridge</t>
  </si>
  <si>
    <t>1124 Silent Pine Harbour</t>
  </si>
  <si>
    <t>Actual shipping days of the purchased product</t>
  </si>
  <si>
    <t>Days of scheduled delivery of the purchased product</t>
  </si>
  <si>
    <t>Types of Customers: Consumer , Corporate , Home Office</t>
  </si>
  <si>
    <t>Department name of store</t>
  </si>
  <si>
    <t>Date on which the order is made</t>
  </si>
  <si>
    <t>Price of products without discount</t>
  </si>
  <si>
    <t>Number of products per order</t>
  </si>
  <si>
    <t>Value in sales</t>
  </si>
  <si>
    <t>Order Status : COMPLETE , PENDING , CLOSED , PENDING_PAYMENT ,CANCELED , PROCESSING ,SUSPECTED_FRAUD ,ON_HOLD ,PAYMENT_REVIEW</t>
  </si>
  <si>
    <t>The following shipping modes are presented : Standard Class , First Class , Second Class , Same Day</t>
  </si>
  <si>
    <t>Basketball</t>
  </si>
  <si>
    <t>Soccer</t>
  </si>
  <si>
    <t>As Seen on  TV!</t>
  </si>
  <si>
    <t>Strength Training</t>
  </si>
  <si>
    <t>Golf Bags &amp; Carts</t>
  </si>
  <si>
    <t>Mens Footwear</t>
  </si>
  <si>
    <t>Womens Apparel</t>
  </si>
  <si>
    <t>Girls Apparel</t>
  </si>
  <si>
    <t>Mens Golf Clubs</t>
  </si>
  <si>
    <t>Womens Golf Clubs</t>
  </si>
  <si>
    <t>Kids Golf Clubs</t>
  </si>
  <si>
    <t>Childrens Clothing</t>
  </si>
  <si>
    <t>Mens Clothing</t>
  </si>
  <si>
    <t>Womens Clothing</t>
  </si>
  <si>
    <t>San Ramon</t>
  </si>
  <si>
    <t>Germane</t>
  </si>
  <si>
    <t>4058 Quiet Heights</t>
  </si>
  <si>
    <t>Jensen</t>
  </si>
  <si>
    <t>131 Sunny Treasure Green</t>
  </si>
  <si>
    <t>Brynne</t>
  </si>
  <si>
    <t>Giles</t>
  </si>
  <si>
    <t>Yeo</t>
  </si>
  <si>
    <t>6217 Rustic Lake Forest</t>
  </si>
  <si>
    <t>Wilkes Barre</t>
  </si>
  <si>
    <t>9814 Emerald Prairie Limits</t>
  </si>
  <si>
    <t>8271 Tawny Elk Abbey</t>
  </si>
  <si>
    <t>Teagan</t>
  </si>
  <si>
    <t>3722 Thunder Cape</t>
  </si>
  <si>
    <t>2676 Velvet Common</t>
  </si>
  <si>
    <t>830 Quaking Bear Grounds</t>
  </si>
  <si>
    <t>1509 Middle Oak Isle</t>
  </si>
  <si>
    <t>9879 Harvest Deer Farms</t>
  </si>
  <si>
    <t>9731 Honey Fox Towers</t>
  </si>
  <si>
    <t>Pittman</t>
  </si>
  <si>
    <t>7573 Golden Treasure Centre</t>
  </si>
  <si>
    <t>8205 Silver Grove Row</t>
  </si>
  <si>
    <t>7786 Middle Private</t>
  </si>
  <si>
    <t>2991 Silent Deer Landing</t>
  </si>
  <si>
    <t>3909 Hidden Treasure Beach</t>
  </si>
  <si>
    <t>7333 Cinder Way</t>
  </si>
  <si>
    <t>Krueger</t>
  </si>
  <si>
    <t>577 Rustic Nectar Row</t>
  </si>
  <si>
    <t>Vega</t>
  </si>
  <si>
    <t>7509 Iron Concession</t>
  </si>
  <si>
    <t>Tammy</t>
  </si>
  <si>
    <t>1613 Broad Beach</t>
  </si>
  <si>
    <t>1388 Blue Turnabout</t>
  </si>
  <si>
    <t>Dawson</t>
  </si>
  <si>
    <t>2839 Grand Timber Canyon</t>
  </si>
  <si>
    <t>6174 Wishing Front</t>
  </si>
  <si>
    <t>Mack</t>
  </si>
  <si>
    <t>6401 Shady Embers Farms</t>
  </si>
  <si>
    <t>1577 Green Vista</t>
  </si>
  <si>
    <t>9920 Little Lane</t>
  </si>
  <si>
    <t>2127 Middle Goose Mews</t>
  </si>
  <si>
    <t>4316 Misty Way</t>
  </si>
  <si>
    <t>9198 Rocky Run</t>
  </si>
  <si>
    <t>2035 Lazy Diversion</t>
  </si>
  <si>
    <t>9079 Dewy Deer Harbour</t>
  </si>
  <si>
    <t>Hyde</t>
  </si>
  <si>
    <t>Nolan</t>
  </si>
  <si>
    <t>9816 Grand Hills Knoll</t>
  </si>
  <si>
    <t>Booker</t>
  </si>
  <si>
    <t>Jarvis</t>
  </si>
  <si>
    <t>Gay</t>
  </si>
  <si>
    <t>529 Blue Grove Rise</t>
  </si>
  <si>
    <t>Vivian</t>
  </si>
  <si>
    <t>Brock</t>
  </si>
  <si>
    <t>4592 Grand Timber Ramp</t>
  </si>
  <si>
    <t>6998 Old Treasure Crossing</t>
  </si>
  <si>
    <t>Fort Washington</t>
  </si>
  <si>
    <t>9375 Harvest Circuit</t>
  </si>
  <si>
    <t>Rome</t>
  </si>
  <si>
    <t>29 Gentle Spring Mews</t>
  </si>
  <si>
    <t>4502 Hazy Run</t>
  </si>
  <si>
    <t>9899 Hazy Falls</t>
  </si>
  <si>
    <t>Granite City</t>
  </si>
  <si>
    <t>1585 Stony Rabbit Hollow</t>
  </si>
  <si>
    <t>Caldwell</t>
  </si>
  <si>
    <t>469 Crystal Anchor Mountain</t>
  </si>
  <si>
    <t>3601 Cozy Creek Trail</t>
  </si>
  <si>
    <t>Peter</t>
  </si>
  <si>
    <t>1055 Crystal Woods</t>
  </si>
  <si>
    <t>5365 Tawny Apple Limits</t>
  </si>
  <si>
    <t>4845 Thunder Embers Hollow</t>
  </si>
  <si>
    <t>5657 Lost Expressway</t>
  </si>
  <si>
    <t>Moreno</t>
  </si>
  <si>
    <t>Porterville</t>
  </si>
  <si>
    <t>Cochran</t>
  </si>
  <si>
    <t>6414 Jagged Sky Gardens</t>
  </si>
  <si>
    <t>Frye</t>
  </si>
  <si>
    <t>Kent</t>
  </si>
  <si>
    <t>5131 Gentle Limits</t>
  </si>
  <si>
    <t>Plymouth</t>
  </si>
  <si>
    <t>6797 Quiet Mountain Rise</t>
  </si>
  <si>
    <t>Far Rockaway</t>
  </si>
  <si>
    <t>340 Velvet Barn Gate</t>
  </si>
  <si>
    <t>569 Hazy Wynd</t>
  </si>
  <si>
    <t>7262 Emerald Boulevard</t>
  </si>
  <si>
    <t>Koch</t>
  </si>
  <si>
    <t>Mentor</t>
  </si>
  <si>
    <t>Westminster</t>
  </si>
  <si>
    <t>Yoder</t>
  </si>
  <si>
    <t>1010 Rustic Fox View</t>
  </si>
  <si>
    <t>3050 Crystal Fawn Green</t>
  </si>
  <si>
    <t>3139 Golden Autumn Byway</t>
  </si>
  <si>
    <t>8400 Clear Wagon  Row</t>
  </si>
  <si>
    <t>4047 Grand Port</t>
  </si>
  <si>
    <t>4317 Emerald Bay</t>
  </si>
  <si>
    <t>5325 Amber Blossom Way</t>
  </si>
  <si>
    <t>Stockton</t>
  </si>
  <si>
    <t>3087 Hazy Glen</t>
  </si>
  <si>
    <t>9725 Cotton Forest</t>
  </si>
  <si>
    <t>8768 Shady Arbor</t>
  </si>
  <si>
    <t>5263 Middle Road</t>
  </si>
  <si>
    <t>Burns</t>
  </si>
  <si>
    <t>9419 Cinder Hickory Towers</t>
  </si>
  <si>
    <t>Palmer</t>
  </si>
  <si>
    <t>4212 Cozy Corners</t>
  </si>
  <si>
    <t>8706 Harvest Green</t>
  </si>
  <si>
    <t>7094 Round Carrefour</t>
  </si>
  <si>
    <t>7312 Umber Prairie Wynd</t>
  </si>
  <si>
    <t>7409 Cotton Manor</t>
  </si>
  <si>
    <t>5731 Cinder Horse Court</t>
  </si>
  <si>
    <t>Bay Shore</t>
  </si>
  <si>
    <t>9922 Misty Oak Inlet</t>
  </si>
  <si>
    <t>Reid</t>
  </si>
  <si>
    <t>9539 Velvet Trace</t>
  </si>
  <si>
    <t>7676 Colonial Towers</t>
  </si>
  <si>
    <t>Wanda</t>
  </si>
  <si>
    <t>Yetta</t>
  </si>
  <si>
    <t>9780 Misty Pike</t>
  </si>
  <si>
    <t>Woodward</t>
  </si>
  <si>
    <t>Rush</t>
  </si>
  <si>
    <t>7121 Foggy Woods</t>
  </si>
  <si>
    <t>9891 Foggy Hills Acres</t>
  </si>
  <si>
    <t>1497 Sleepy Thicket</t>
  </si>
  <si>
    <t>Tamekah</t>
  </si>
  <si>
    <t>8832 Old Quay</t>
  </si>
  <si>
    <t>4690 Quiet Hickory Campus</t>
  </si>
  <si>
    <t>Holt</t>
  </si>
  <si>
    <t>Springfield</t>
  </si>
  <si>
    <t>5434 Middle Range</t>
  </si>
  <si>
    <t>7108 Cinder Road</t>
  </si>
  <si>
    <t>Higgins</t>
  </si>
  <si>
    <t>Daugherty</t>
  </si>
  <si>
    <t>6449 Merry Lagoon Drive</t>
  </si>
  <si>
    <t>Hester</t>
  </si>
  <si>
    <t>Sopoline</t>
  </si>
  <si>
    <t>2027 Thunder Creek Thicket</t>
  </si>
  <si>
    <t>Violet</t>
  </si>
  <si>
    <t>Melton</t>
  </si>
  <si>
    <t>5002 High Bank</t>
  </si>
  <si>
    <t>Hempstead</t>
  </si>
  <si>
    <t>8776 Green Ridge</t>
  </si>
  <si>
    <t>Marsh</t>
  </si>
  <si>
    <t>2568 Rustic Valley</t>
  </si>
  <si>
    <t>Mcpherson</t>
  </si>
  <si>
    <t>4791 Harvest Quail Limits</t>
  </si>
  <si>
    <t>425 Noble Lane</t>
  </si>
  <si>
    <t>7550 Sleepy View Court</t>
  </si>
  <si>
    <t>9871 Cotton Lagoon End</t>
  </si>
  <si>
    <t>7192 Green Arbor</t>
  </si>
  <si>
    <t>4232 Wishing Creek Campus</t>
  </si>
  <si>
    <t>Billy</t>
  </si>
  <si>
    <t>1112 Cinder Woods</t>
  </si>
  <si>
    <t>4694 Burning Front</t>
  </si>
  <si>
    <t>Macdonald</t>
  </si>
  <si>
    <t>Saunders</t>
  </si>
  <si>
    <t>9234 Green Farm</t>
  </si>
  <si>
    <t>5913 Easy Quail Wynd</t>
  </si>
  <si>
    <t>3200 Amber Pine Vale</t>
  </si>
  <si>
    <t>4210 Dewy Round</t>
  </si>
  <si>
    <t>403 Tawny Hills By-pass</t>
  </si>
  <si>
    <t>3282 Silent Autoroute</t>
  </si>
  <si>
    <t>9505 Broad Timber Highlands</t>
  </si>
  <si>
    <t>Montoya</t>
  </si>
  <si>
    <t>5958 Emerald Nook</t>
  </si>
  <si>
    <t>5105 Tawny Park</t>
  </si>
  <si>
    <t>7173 Fallen Vista</t>
  </si>
  <si>
    <t>772 Rustic Lagoon Crossing</t>
  </si>
  <si>
    <t>285 Crystal Circuit</t>
  </si>
  <si>
    <t>8172 Gentle Elk Beach</t>
  </si>
  <si>
    <t>9494 Bright Stead</t>
  </si>
  <si>
    <t>4103 Rocky View Harbour</t>
  </si>
  <si>
    <t>2519 Cinder Orchard</t>
  </si>
  <si>
    <t>Octavia</t>
  </si>
  <si>
    <t>3980 High Line</t>
  </si>
  <si>
    <t>2861 Velvet Pointe</t>
  </si>
  <si>
    <t>9026 Little Avenue</t>
  </si>
  <si>
    <t>1655 Sleepy Pine Common</t>
  </si>
  <si>
    <t>4393 Pleasant Pioneer Avenue</t>
  </si>
  <si>
    <t>Coffey</t>
  </si>
  <si>
    <t>7761 Silent Hickory Drive</t>
  </si>
  <si>
    <t>4703 Old Route</t>
  </si>
  <si>
    <t>Haas</t>
  </si>
  <si>
    <t>Judith</t>
  </si>
  <si>
    <t>Osborne</t>
  </si>
  <si>
    <t>3506 Heather Berry Round</t>
  </si>
  <si>
    <t>4251 Sleepy View Alley</t>
  </si>
  <si>
    <t>Singh</t>
  </si>
  <si>
    <t>6774 Noble Branch Knoll</t>
  </si>
  <si>
    <t>3413 Silver Lake Carrefour</t>
  </si>
  <si>
    <t>6292 Velvet Wagon  Plaza</t>
  </si>
  <si>
    <t>6336 Thunder Dale</t>
  </si>
  <si>
    <t>2553 Golden Dale</t>
  </si>
  <si>
    <t>382 Rocky Pond By-pass</t>
  </si>
  <si>
    <t>4689 Lost Spring Key</t>
  </si>
  <si>
    <t>914 Round Pony Canyon</t>
  </si>
  <si>
    <t>135 Burning Ridge</t>
  </si>
  <si>
    <t>Mcgrath</t>
  </si>
  <si>
    <t>1235 Honey Mews</t>
  </si>
  <si>
    <t>Berg</t>
  </si>
  <si>
    <t>2387 Silver Freeway</t>
  </si>
  <si>
    <t>1538 Sunny Lagoon Mews</t>
  </si>
  <si>
    <t>3450 Round Gate Close</t>
  </si>
  <si>
    <t>4429 Lost Elk Front</t>
  </si>
  <si>
    <t>1768 Sleepy Zephyr Place</t>
  </si>
  <si>
    <t>Beard</t>
  </si>
  <si>
    <t>Warner</t>
  </si>
  <si>
    <t>1948 Round Nectar Via</t>
  </si>
  <si>
    <t>1063 Fallen Subdivision</t>
  </si>
  <si>
    <t>Gallagher</t>
  </si>
  <si>
    <t>870 Amber Quail Circuit</t>
  </si>
  <si>
    <t>3204 Cinder Line</t>
  </si>
  <si>
    <t>Goodwin</t>
  </si>
  <si>
    <t>2476 Grand Leaf Townline</t>
  </si>
  <si>
    <t>6764 Tawny Link</t>
  </si>
  <si>
    <t>6292 Wishing Branch Via</t>
  </si>
  <si>
    <t>Hurst</t>
  </si>
  <si>
    <t>1490 Amber Forest Forest</t>
  </si>
  <si>
    <t>9831 Sunny Cloud Valley</t>
  </si>
  <si>
    <t>New Bedford</t>
  </si>
  <si>
    <t>Wallace</t>
  </si>
  <si>
    <t>6412 Quiet Swale</t>
  </si>
  <si>
    <t>Lansdale</t>
  </si>
  <si>
    <t>5098 Lazy Pathway</t>
  </si>
  <si>
    <t>Roseburg</t>
  </si>
  <si>
    <t>6324 Golden Line</t>
  </si>
  <si>
    <t>1214 Dusty Crescent</t>
  </si>
  <si>
    <t>6115 Clear River Key</t>
  </si>
  <si>
    <t>4834 Easy Terrace</t>
  </si>
  <si>
    <t>Visalia</t>
  </si>
  <si>
    <t>9540 Little Vista</t>
  </si>
  <si>
    <t>7814 Colonial Autumn Line</t>
  </si>
  <si>
    <t>Hacienda Heights</t>
  </si>
  <si>
    <t>7658 Hazy Mountain Plaza</t>
  </si>
  <si>
    <t>4770 Hidden Heath</t>
  </si>
  <si>
    <t>8212 Broad Circle</t>
  </si>
  <si>
    <t>Weslaco</t>
  </si>
  <si>
    <t>6502 Hazy Promenade</t>
  </si>
  <si>
    <t>6867 Honey Heights</t>
  </si>
  <si>
    <t>Buchanan</t>
  </si>
  <si>
    <t>3796 Lost Hollow</t>
  </si>
  <si>
    <t>5406 Round Bear Parkway</t>
  </si>
  <si>
    <t>Cora</t>
  </si>
  <si>
    <t>Cotton</t>
  </si>
  <si>
    <t>5234 Clear Horse Townline</t>
  </si>
  <si>
    <t>9761 Broad Crossing</t>
  </si>
  <si>
    <t>1202 Quaking Embers Link</t>
  </si>
  <si>
    <t>Stevenson</t>
  </si>
  <si>
    <t>7975 Honey Valley</t>
  </si>
  <si>
    <t>6682 Hidden Estates</t>
  </si>
  <si>
    <t>Chino</t>
  </si>
  <si>
    <t>Poole</t>
  </si>
  <si>
    <t>1108 Lost Campus</t>
  </si>
  <si>
    <t>Delilah</t>
  </si>
  <si>
    <t>Church</t>
  </si>
  <si>
    <t>3047 Foggy Forest Plaza</t>
  </si>
  <si>
    <t>5931 Foggy Shadow Beach</t>
  </si>
  <si>
    <t>Salas</t>
  </si>
  <si>
    <t>4791 Heather Cider Orchard</t>
  </si>
  <si>
    <t>9439 Pleasant Rise Falls</t>
  </si>
  <si>
    <t>3202 Dewy Route</t>
  </si>
  <si>
    <t>Pitts</t>
  </si>
  <si>
    <t>2893 Shady Drive</t>
  </si>
  <si>
    <t>7430 Clear Beacon Vista</t>
  </si>
  <si>
    <t>4101 Crystal Range</t>
  </si>
  <si>
    <t>3309 Grand Circuit</t>
  </si>
  <si>
    <t>5763 Grand Maze</t>
  </si>
  <si>
    <t>4293 Misty Route</t>
  </si>
  <si>
    <t>5926 Emerald Elk Diversion</t>
  </si>
  <si>
    <t>1112 Sunny Pond Wood</t>
  </si>
  <si>
    <t>8927 Broad Embers Corners</t>
  </si>
  <si>
    <t>8584 Golden By-pass</t>
  </si>
  <si>
    <t>5407 Rustic Forest Pines</t>
  </si>
  <si>
    <t>8249 Cotton Wood</t>
  </si>
  <si>
    <t>Massapequa</t>
  </si>
  <si>
    <t>3470 Clear Estates</t>
  </si>
  <si>
    <t>325 Misty Forest</t>
  </si>
  <si>
    <t>Roth</t>
  </si>
  <si>
    <t>4863 Indian Lane</t>
  </si>
  <si>
    <t>5406 Misty Timber End</t>
  </si>
  <si>
    <t>Hanover</t>
  </si>
  <si>
    <t>8598 Harvest Beacon Plaza</t>
  </si>
  <si>
    <t>3482 Indian Pony Towers</t>
  </si>
  <si>
    <t>Moody</t>
  </si>
  <si>
    <t>2704 Silent Pine Corner</t>
  </si>
  <si>
    <t>8688 Amber Creek Round</t>
  </si>
  <si>
    <t>2525 Thunder Loop</t>
  </si>
  <si>
    <t>9706 Honey Alley</t>
  </si>
  <si>
    <t>7368 Blue Road</t>
  </si>
  <si>
    <t>4423 Little Mews</t>
  </si>
  <si>
    <t>Chino Hills</t>
  </si>
  <si>
    <t>1247 Tawny Berry Court</t>
  </si>
  <si>
    <t>1039 Red Towers</t>
  </si>
  <si>
    <t>9133 Cotton Robin Vale</t>
  </si>
  <si>
    <t>3193 Crystal Centre</t>
  </si>
  <si>
    <t>Philip</t>
  </si>
  <si>
    <t>Opelousas</t>
  </si>
  <si>
    <t>Kailua</t>
  </si>
  <si>
    <t>7016 Grand Link</t>
  </si>
  <si>
    <t>Humphrey</t>
  </si>
  <si>
    <t>753 Emerald Pine Glen</t>
  </si>
  <si>
    <t>8183 Umber Link</t>
  </si>
  <si>
    <t>8460 Dewy Nook</t>
  </si>
  <si>
    <t>1096 Cozy Point</t>
  </si>
  <si>
    <t>Sullivan</t>
  </si>
  <si>
    <t>661 Lost Ridge</t>
  </si>
  <si>
    <t>3032 Dusty Loop</t>
  </si>
  <si>
    <t>762 Misty Farm</t>
  </si>
  <si>
    <t>3582 Quiet Cider Lane</t>
  </si>
  <si>
    <t>Longmont</t>
  </si>
  <si>
    <t>Englewood</t>
  </si>
  <si>
    <t>7595 Quiet Nectar Circuit</t>
  </si>
  <si>
    <t>Lyons</t>
  </si>
  <si>
    <t>Lenore</t>
  </si>
  <si>
    <t>3178 Fallen Robin Road</t>
  </si>
  <si>
    <t>2407 Thunder Mountain</t>
  </si>
  <si>
    <t>5436 Hazy Creek Edge</t>
  </si>
  <si>
    <t>5860 Hidden Parkway</t>
  </si>
  <si>
    <t>Forest Hills</t>
  </si>
  <si>
    <t>7861 Grand Point</t>
  </si>
  <si>
    <t>7681 Quaking Pines</t>
  </si>
  <si>
    <t>Jamalia</t>
  </si>
  <si>
    <t>3488 Grand River Townline</t>
  </si>
  <si>
    <t>4186 Wishing Pine Subdivision</t>
  </si>
  <si>
    <t>4629 Dusty Pony Highway</t>
  </si>
  <si>
    <t>Destiny</t>
  </si>
  <si>
    <t>5032 Little Branch Stead</t>
  </si>
  <si>
    <t>Tallulah</t>
  </si>
  <si>
    <t>Pratt</t>
  </si>
  <si>
    <t>2199 Dewy Leaf Orchard</t>
  </si>
  <si>
    <t>3880 Dusty Place</t>
  </si>
  <si>
    <t>2650 Rocky Stead</t>
  </si>
  <si>
    <t>2749 Green Cider Green</t>
  </si>
  <si>
    <t>Yoko</t>
  </si>
  <si>
    <t>7420 Crystal View Acres</t>
  </si>
  <si>
    <t>1996 Crystal Via</t>
  </si>
  <si>
    <t>Raven</t>
  </si>
  <si>
    <t>Sears</t>
  </si>
  <si>
    <t>Cervantes</t>
  </si>
  <si>
    <t>Jeanette</t>
  </si>
  <si>
    <t>Ballard</t>
  </si>
  <si>
    <t>Lynch</t>
  </si>
  <si>
    <t>Penelope</t>
  </si>
  <si>
    <t>Maris</t>
  </si>
  <si>
    <t>Quynn</t>
  </si>
  <si>
    <t>Sage</t>
  </si>
  <si>
    <t>Aphrodite</t>
  </si>
  <si>
    <t>Leon</t>
  </si>
  <si>
    <t>Kelley</t>
  </si>
  <si>
    <t>Yuri</t>
  </si>
  <si>
    <t>Mcintosh</t>
  </si>
  <si>
    <t>9714 Quaking Elk Green</t>
  </si>
  <si>
    <t>5198 Colonial Loop</t>
  </si>
  <si>
    <t>Alika</t>
  </si>
  <si>
    <t>2877 Foggy Hickory Mews</t>
  </si>
  <si>
    <t>Zephr</t>
  </si>
  <si>
    <t>4949 Easy Beacon Crest</t>
  </si>
  <si>
    <t>3271 Amber Downs</t>
  </si>
  <si>
    <t>Sierra</t>
  </si>
  <si>
    <t>Parkville</t>
  </si>
  <si>
    <t>Wiley</t>
  </si>
  <si>
    <t>Chastity</t>
  </si>
  <si>
    <t>Hewitt</t>
  </si>
  <si>
    <t>444 Pleasant Abbey</t>
  </si>
  <si>
    <t>4715 Round Lake Link</t>
  </si>
  <si>
    <t>7096 Foggy Court</t>
  </si>
  <si>
    <t>Russo</t>
  </si>
  <si>
    <t>1525 Golden Nectar Edge</t>
  </si>
  <si>
    <t>1607 Hazy Butterfly Swale</t>
  </si>
  <si>
    <t>5016 Silent Diversion</t>
  </si>
  <si>
    <t>Newton</t>
  </si>
  <si>
    <t>8667 Iron Arbor</t>
  </si>
  <si>
    <t>14 Dusty Lake Beach</t>
  </si>
  <si>
    <t>3440 Emerald Knoll</t>
  </si>
  <si>
    <t>9514 Old Branch Highway</t>
  </si>
  <si>
    <t>Valencia</t>
  </si>
  <si>
    <t>9279 Quaking Key</t>
  </si>
  <si>
    <t>4788 Quaking Stead</t>
  </si>
  <si>
    <t xml:space="preserve">7868 Iron Fawn Mall </t>
  </si>
  <si>
    <t>7628 Foggy Brook Passage</t>
  </si>
  <si>
    <t>Foreman</t>
  </si>
  <si>
    <t>1987 Gentle Passage</t>
  </si>
  <si>
    <t>2060 Cotton Quail Heights</t>
  </si>
  <si>
    <t>Kyla</t>
  </si>
  <si>
    <t>2246 Sunny Lake Via</t>
  </si>
  <si>
    <t xml:space="preserve">6724 High Chase </t>
  </si>
  <si>
    <t>1761 Noble Barn Heath</t>
  </si>
  <si>
    <t>9226 Emerald Pony Farm</t>
  </si>
  <si>
    <t>8547 Misty Carrefour</t>
  </si>
  <si>
    <t>Watkins</t>
  </si>
  <si>
    <t>2977 Emerald Swale</t>
  </si>
  <si>
    <t>4490 Amber Rise</t>
  </si>
  <si>
    <t>Clements</t>
  </si>
  <si>
    <t>1525 Jagged Barn Highlands</t>
  </si>
  <si>
    <t>Steele</t>
  </si>
  <si>
    <t>Wade</t>
  </si>
  <si>
    <t>Boyd</t>
  </si>
  <si>
    <t>6391 Golden Promenade</t>
  </si>
  <si>
    <t>7940 Shady Blossom Lane</t>
  </si>
  <si>
    <t>2789 Honey Cove</t>
  </si>
  <si>
    <t>8679 Colonial Isle</t>
  </si>
  <si>
    <t>2898 Quaking Orchard</t>
  </si>
  <si>
    <t>2225 Quiet Woods</t>
  </si>
  <si>
    <t>7111 Indian Island Glade</t>
  </si>
  <si>
    <t>Wolfe</t>
  </si>
  <si>
    <t>6471 Dusty Limits</t>
  </si>
  <si>
    <t>Melodie</t>
  </si>
  <si>
    <t>7592 Heather Circuit</t>
  </si>
  <si>
    <t>6924 Lazy Embers Pathway</t>
  </si>
  <si>
    <t>5104 Rustic Downs</t>
  </si>
  <si>
    <t>8335 Little Rise Downs</t>
  </si>
  <si>
    <t>5913 Umber Orchard</t>
  </si>
  <si>
    <t>Nadine</t>
  </si>
  <si>
    <t>5319 Grand Dale Street</t>
  </si>
  <si>
    <t>Ewing</t>
  </si>
  <si>
    <t>8533 High Rabbit Cape</t>
  </si>
  <si>
    <t>7814 Old Glen</t>
  </si>
  <si>
    <t>Sparks</t>
  </si>
  <si>
    <t>4189 Bright Rise By-pass</t>
  </si>
  <si>
    <t>3867 Bright Zephyr Ledge</t>
  </si>
  <si>
    <t>2455 Cotton Limits</t>
  </si>
  <si>
    <t>1632 Dewy Lane</t>
  </si>
  <si>
    <t>5546 Gentle Point</t>
  </si>
  <si>
    <t>Sheppard</t>
  </si>
  <si>
    <t>2889 Sleepy Freeway</t>
  </si>
  <si>
    <t>Stanton</t>
  </si>
  <si>
    <t>6715 Blue Run</t>
  </si>
  <si>
    <t>7002 Blue Place</t>
  </si>
  <si>
    <t>Merritt</t>
  </si>
  <si>
    <t>Diamond Bar</t>
  </si>
  <si>
    <t>7373 Heather Nook</t>
  </si>
  <si>
    <t>1690 Cinder Deer Chase</t>
  </si>
  <si>
    <t>18 Amber Orchard</t>
  </si>
  <si>
    <t>Victorville</t>
  </si>
  <si>
    <t>5995 Dusty Highway</t>
  </si>
  <si>
    <t>4554 Indian Point</t>
  </si>
  <si>
    <t>Fontana</t>
  </si>
  <si>
    <t>4720 Noble Hills Wynd</t>
  </si>
  <si>
    <t>9986 Wishing Stead</t>
  </si>
  <si>
    <t>Reynoldsburg</t>
  </si>
  <si>
    <t>4171 Stony Fawn Pike</t>
  </si>
  <si>
    <t>Hanson</t>
  </si>
  <si>
    <t>8908 Lazy By-pass</t>
  </si>
  <si>
    <t>Elk Grove</t>
  </si>
  <si>
    <t>1550 Rustic Grove Farms</t>
  </si>
  <si>
    <t>3856 Heather Island Ridge</t>
  </si>
  <si>
    <t>9077 Honey Route</t>
  </si>
  <si>
    <t>7585 Fallen Berry Green</t>
  </si>
  <si>
    <t>599 Sleepy Townline</t>
  </si>
  <si>
    <t>8056 Golden Log Bend</t>
  </si>
  <si>
    <t>1531 Jagged Dale Heath</t>
  </si>
  <si>
    <t>Santa Cruz</t>
  </si>
  <si>
    <t>6281 Round Farm</t>
  </si>
  <si>
    <t>Carr</t>
  </si>
  <si>
    <t>2122 Red Hollow</t>
  </si>
  <si>
    <t>229 Dewy Road</t>
  </si>
  <si>
    <t>2469 Blue Brook Crossing</t>
  </si>
  <si>
    <t>5995 Shady Anchor Canyon</t>
  </si>
  <si>
    <t>3261 Little Meadow</t>
  </si>
  <si>
    <t>7494 Emerald Terrace</t>
  </si>
  <si>
    <t>2311 Green Zephyr Rise</t>
  </si>
  <si>
    <t>1509 Burning Spring Vista</t>
  </si>
  <si>
    <t>5131 Honey Spring Farm</t>
  </si>
  <si>
    <t>Kane</t>
  </si>
  <si>
    <t>3913 Old Link</t>
  </si>
  <si>
    <t>3460 Misty Elk Diversion</t>
  </si>
  <si>
    <t>4972 Rocky Street</t>
  </si>
  <si>
    <t>Holder</t>
  </si>
  <si>
    <t>6072 Heather Landing</t>
  </si>
  <si>
    <t>7668 Rustic Route</t>
  </si>
  <si>
    <t>4352 Quiet Horse Via</t>
  </si>
  <si>
    <t>4197 Emerald Hollow</t>
  </si>
  <si>
    <t>5224 Sleepy Townline</t>
  </si>
  <si>
    <t>4563 Silver Rabbit Island</t>
  </si>
  <si>
    <t>Ayala</t>
  </si>
  <si>
    <t>3033 Tawny Zephyr Cape</t>
  </si>
  <si>
    <t>3888 Rustic Line</t>
  </si>
  <si>
    <t>5645 Sunny Spring Gate</t>
  </si>
  <si>
    <t>826 Tawny Embers Expressway</t>
  </si>
  <si>
    <t>7620 Thunder Gate</t>
  </si>
  <si>
    <t>7763 Emerald Route</t>
  </si>
  <si>
    <t>595 Sunny Line</t>
  </si>
  <si>
    <t>7588 High Way</t>
  </si>
  <si>
    <t>6997 Middle Acres</t>
  </si>
  <si>
    <t>Eaton</t>
  </si>
  <si>
    <t>4851 Green Rise</t>
  </si>
  <si>
    <t>5717 Quiet Dell</t>
  </si>
  <si>
    <t>7381 Cozy Horse Path</t>
  </si>
  <si>
    <t xml:space="preserve">3758 Sunny Mall </t>
  </si>
  <si>
    <t>San Pablo</t>
  </si>
  <si>
    <t>4600 Fallen Range</t>
  </si>
  <si>
    <t>Lam</t>
  </si>
  <si>
    <t>1825 Quiet By-pass</t>
  </si>
  <si>
    <t>Round Rock</t>
  </si>
  <si>
    <t>182 Bright Embers Cove</t>
  </si>
  <si>
    <t>3493 High Apple Walk</t>
  </si>
  <si>
    <t>5759 Little Timber By-pass</t>
  </si>
  <si>
    <t>6608 Bright Creek Limits</t>
  </si>
  <si>
    <t>1286 Sunny Link</t>
  </si>
  <si>
    <t>2049 Silver Byway</t>
  </si>
  <si>
    <t>1396 Pleasant Barn Beach</t>
  </si>
  <si>
    <t>8187 Merry Pony Field</t>
  </si>
  <si>
    <t>2409 Misty Acres</t>
  </si>
  <si>
    <t>Hendrix</t>
  </si>
  <si>
    <t>6472 Lazy Pine Bank</t>
  </si>
  <si>
    <t>5645 Quaking Anchor Path</t>
  </si>
  <si>
    <t>Barber</t>
  </si>
  <si>
    <t>7658 Foggy Prairie Maze</t>
  </si>
  <si>
    <t>3374 Gentle Elk Centre</t>
  </si>
  <si>
    <t>586 Golden Hickory Valley</t>
  </si>
  <si>
    <t>6759 Foggy Limits</t>
  </si>
  <si>
    <t>40 Gentle Zephyr Moor</t>
  </si>
  <si>
    <t>4545 Middle Pine Chase</t>
  </si>
  <si>
    <t>5666 Hazy Pony Square</t>
  </si>
  <si>
    <t>2690 Blue Cloud By-pass</t>
  </si>
  <si>
    <t>7362 Jagged Cape</t>
  </si>
  <si>
    <t>8407 Silent Elk Woods</t>
  </si>
  <si>
    <t>8460 Blue Lane</t>
  </si>
  <si>
    <t>7122 Iron Villas</t>
  </si>
  <si>
    <t>2929 Easy Barn Byway</t>
  </si>
  <si>
    <t>7497 Sunny Shadow Walk</t>
  </si>
  <si>
    <t>Ramona</t>
  </si>
  <si>
    <t>5352 Silver Acres</t>
  </si>
  <si>
    <t>3387 Hazy Timber Path</t>
  </si>
  <si>
    <t>Zorita</t>
  </si>
  <si>
    <t>New Brunswick</t>
  </si>
  <si>
    <t>5418 Bright Knoll</t>
  </si>
  <si>
    <t>Peterson</t>
  </si>
  <si>
    <t>6580 Thunder Village</t>
  </si>
  <si>
    <t>4922 Burning Gate Dell</t>
  </si>
  <si>
    <t>Westland</t>
  </si>
  <si>
    <t>Clarke</t>
  </si>
  <si>
    <t>Stockbridge</t>
  </si>
  <si>
    <t>5908 Shady Log Forest</t>
  </si>
  <si>
    <t>7640 Honey Apple Route</t>
  </si>
  <si>
    <t>9533 Little Forest</t>
  </si>
  <si>
    <t>Mia</t>
  </si>
  <si>
    <t>Justina</t>
  </si>
  <si>
    <t>Olathe</t>
  </si>
  <si>
    <t>Hooper</t>
  </si>
  <si>
    <t>5779 Hazy Deer Limits</t>
  </si>
  <si>
    <t>Welch</t>
  </si>
  <si>
    <t>4459 Amber Centre</t>
  </si>
  <si>
    <t>Shelby</t>
  </si>
  <si>
    <t>1870 Stony Prairie Bend</t>
  </si>
  <si>
    <t>8233 Grand Beacon Boulevard</t>
  </si>
  <si>
    <t>9674 Little Knoll</t>
  </si>
  <si>
    <t>4741 Red Elk Trail</t>
  </si>
  <si>
    <t>9861 Grand Elk Trace</t>
  </si>
  <si>
    <t>7094 Golden Parade</t>
  </si>
  <si>
    <t>7746 Hazy Prairie Drive</t>
  </si>
  <si>
    <t>5810 Sleepy Hill</t>
  </si>
  <si>
    <t>5808 Grand Sky Field</t>
  </si>
  <si>
    <t>1744 Little Mews</t>
  </si>
  <si>
    <t>2591 Velvet Log Cape</t>
  </si>
  <si>
    <t>3803 Dusty Edge</t>
  </si>
  <si>
    <t>1116 Heather Row</t>
  </si>
  <si>
    <t>Frankfort</t>
  </si>
  <si>
    <t>7790 Broad Pond Crossing</t>
  </si>
  <si>
    <t>Woods</t>
  </si>
  <si>
    <t>8289 Foggy Meadow</t>
  </si>
  <si>
    <t>4971 Indian Campus</t>
  </si>
  <si>
    <t>6472 Fallen Pioneer Campus</t>
  </si>
  <si>
    <t>6281 Amber Autumn Hill</t>
  </si>
  <si>
    <t>7594 Rocky Shadow Vista</t>
  </si>
  <si>
    <t>Zanesville</t>
  </si>
  <si>
    <t>Mora</t>
  </si>
  <si>
    <t>8033 Heather Fox Ridge</t>
  </si>
  <si>
    <t>5907 Broad Pond Chase</t>
  </si>
  <si>
    <t>8341 Lost Forest</t>
  </si>
  <si>
    <t>Massillon</t>
  </si>
  <si>
    <t>1859 Sunny Quay</t>
  </si>
  <si>
    <t>1491 Merry Lake Grove</t>
  </si>
  <si>
    <t>3741 Sunny Lane</t>
  </si>
  <si>
    <t>2584 Round Square</t>
  </si>
  <si>
    <t>Briggs</t>
  </si>
  <si>
    <t>8219 Wishing Creek Close</t>
  </si>
  <si>
    <t>9456 Dewy Gate</t>
  </si>
  <si>
    <t>1744 Shady Dale</t>
  </si>
  <si>
    <t>2974 Honey Villas</t>
  </si>
  <si>
    <t>1381 Rocky Limits</t>
  </si>
  <si>
    <t>4560 Rustic View</t>
  </si>
  <si>
    <t>7358 Wishing Edge</t>
  </si>
  <si>
    <t>1213 Quaking Plaza</t>
  </si>
  <si>
    <t>483 Honey River Hill</t>
  </si>
  <si>
    <t>3892 Harvest Avenue</t>
  </si>
  <si>
    <t>8766 Easy Leaf Knoll</t>
  </si>
  <si>
    <t>1454 Green Jetty</t>
  </si>
  <si>
    <t>7558 Burning Island Harbour</t>
  </si>
  <si>
    <t>7017 Clear Bay</t>
  </si>
  <si>
    <t>Huynh</t>
  </si>
  <si>
    <t>3360 Fallen Manor</t>
  </si>
  <si>
    <t>1185 Rustic River Thicket</t>
  </si>
  <si>
    <t>1531 Foggy Panda Centre</t>
  </si>
  <si>
    <t>7505 Silent Spring Acres</t>
  </si>
  <si>
    <t>8736 Old Deer Trail</t>
  </si>
  <si>
    <t>Ware</t>
  </si>
  <si>
    <t>5234 Foggy Bear Meadow</t>
  </si>
  <si>
    <t>2308 Rocky Spring Corner</t>
  </si>
  <si>
    <t>7004 Dewy Beacon Walk</t>
  </si>
  <si>
    <t>3520 Hidden Circle</t>
  </si>
  <si>
    <t>9772 Noble Prairie Quay</t>
  </si>
  <si>
    <t>6370 Easy Crest</t>
  </si>
  <si>
    <t>San Marcos</t>
  </si>
  <si>
    <t>3112 Easy Turnabout</t>
  </si>
  <si>
    <t>1711 Broad Ledge</t>
  </si>
  <si>
    <t>8428 Honey Freeway</t>
  </si>
  <si>
    <t>9729 Middle Shadow Run</t>
  </si>
  <si>
    <t>7814 Colonial Bluff Concession</t>
  </si>
  <si>
    <t>Annapolis</t>
  </si>
  <si>
    <t>8400 Sunny Quail Lookout</t>
  </si>
  <si>
    <t>7694 Umber Terrace</t>
  </si>
  <si>
    <t>Santee</t>
  </si>
  <si>
    <t>Cox</t>
  </si>
  <si>
    <t>1284 Jagged Butterfly Road</t>
  </si>
  <si>
    <t>523 Sleepy Hills Front</t>
  </si>
  <si>
    <t>Fox</t>
  </si>
  <si>
    <t>3729 Cinder Grove Concession</t>
  </si>
  <si>
    <t>2744 Easy Robin Pathway</t>
  </si>
  <si>
    <t>8547 Foggy Pines</t>
  </si>
  <si>
    <t>8172 Quaking Bluff Diversion</t>
  </si>
  <si>
    <t>2457 Quiet Autumn Highway</t>
  </si>
  <si>
    <t>3342 Bright Robin Stead</t>
  </si>
  <si>
    <t>Rice</t>
  </si>
  <si>
    <t>5488 Thunder Fox Extension</t>
  </si>
  <si>
    <t>9695 Bright Path</t>
  </si>
  <si>
    <t>4692 Stony Island</t>
  </si>
  <si>
    <t>4728 Lazy Elk Circuit</t>
  </si>
  <si>
    <t>23 Old Corners</t>
  </si>
  <si>
    <t>4311 Thunder Heath</t>
  </si>
  <si>
    <t>953 Merry Fawn Harbour</t>
  </si>
  <si>
    <t>3996 Honey Grove Place</t>
  </si>
  <si>
    <t>3930 Cozy Byway</t>
  </si>
  <si>
    <t>8495 Lazy Rabbit Diversion</t>
  </si>
  <si>
    <t>8279 Sleepy Willow Bay</t>
  </si>
  <si>
    <t>9660 Dewy Leaf Freeway</t>
  </si>
  <si>
    <t>9440 Emerald Towers</t>
  </si>
  <si>
    <t>2736 Easy Gardens</t>
  </si>
  <si>
    <t>Trujillo Alto</t>
  </si>
  <si>
    <t>355 Amber Elk Abbey</t>
  </si>
  <si>
    <t>870 Cinder Mountain Avenue</t>
  </si>
  <si>
    <t>1802 Wishing Harbour</t>
  </si>
  <si>
    <t>7074 Sleepy Heights</t>
  </si>
  <si>
    <t>Thornton</t>
  </si>
  <si>
    <t>6711 Blue Passage</t>
  </si>
  <si>
    <t>7056 Hidden Pike</t>
  </si>
  <si>
    <t>3440 Grand Road</t>
  </si>
  <si>
    <t>6828 Tawny Ridge</t>
  </si>
  <si>
    <t>3820 Iron Inlet</t>
  </si>
  <si>
    <t>6877 Crystal Nectar Circle</t>
  </si>
  <si>
    <t>3405 Golden Bear Swale</t>
  </si>
  <si>
    <t>3176 Colonial Quay</t>
  </si>
  <si>
    <t>3614 Silver Bend</t>
  </si>
  <si>
    <t>7474 Grand Spring Falls</t>
  </si>
  <si>
    <t>9761 Little Goose Field</t>
  </si>
  <si>
    <t>357 Quiet Rise</t>
  </si>
  <si>
    <t>7902 Blue Mountain</t>
  </si>
  <si>
    <t>2406 Merry Horse Isle</t>
  </si>
  <si>
    <t>Moyer</t>
  </si>
  <si>
    <t>8373 Round Timber Wharf</t>
  </si>
  <si>
    <t>3838 Sleepy Mountain Centre</t>
  </si>
  <si>
    <t>Orr</t>
  </si>
  <si>
    <t>4920 Gentle Autoroute</t>
  </si>
  <si>
    <t>5074 Cotton Butterfly Place</t>
  </si>
  <si>
    <t>3283 Fallen Bend</t>
  </si>
  <si>
    <t>7197 Honey Quail Round</t>
  </si>
  <si>
    <t>3640 Easy Shadow Expressway</t>
  </si>
  <si>
    <t>4249 Dewy Sky Path</t>
  </si>
  <si>
    <t>Brooke</t>
  </si>
  <si>
    <t>4462 Blue Drive</t>
  </si>
  <si>
    <t>Nomlanga</t>
  </si>
  <si>
    <t>5802 Rocky Bluff Gardens</t>
  </si>
  <si>
    <t>6460 Golden Meadow</t>
  </si>
  <si>
    <t>9317 Stony Townline</t>
  </si>
  <si>
    <t>4110 Silent Pointe</t>
  </si>
  <si>
    <t>4715 Harvest Creek Mews</t>
  </si>
  <si>
    <t>8473 Amber Bluff Manor</t>
  </si>
  <si>
    <t>2743 Hidden Blossom Square</t>
  </si>
  <si>
    <t>3236 Emerald Impasse</t>
  </si>
  <si>
    <t>6285 Bright Link</t>
  </si>
  <si>
    <t>7810 Quaking Terrace</t>
  </si>
  <si>
    <t>3627 Cozy Sky Trace</t>
  </si>
  <si>
    <t>7713 Little Terrace</t>
  </si>
  <si>
    <t>9959 Hazy Port</t>
  </si>
  <si>
    <t>Toa Alta</t>
  </si>
  <si>
    <t>2153 Iron Log Downs</t>
  </si>
  <si>
    <t>8361 Quiet Wynd</t>
  </si>
  <si>
    <t>6682 Shady Trail</t>
  </si>
  <si>
    <t>4971 Lost Acres</t>
  </si>
  <si>
    <t>5364 Heather Quail Court</t>
  </si>
  <si>
    <t>75 Noble Swale</t>
  </si>
  <si>
    <t>6223 Cotton Forest Estates</t>
  </si>
  <si>
    <t>3996 Misty Vale</t>
  </si>
  <si>
    <t>7509 Little Expressway</t>
  </si>
  <si>
    <t>5202 Old Shadow Rise</t>
  </si>
  <si>
    <t>3902 Umber Valley</t>
  </si>
  <si>
    <t>9166 Golden Nectar Corner</t>
  </si>
  <si>
    <t>9236 Little Pony Wharf</t>
  </si>
  <si>
    <t>9890 Clear Knoll</t>
  </si>
  <si>
    <t>381 Dusty Street</t>
  </si>
  <si>
    <t>8647 Thunder Trail</t>
  </si>
  <si>
    <t>3410 Grand Elk Trail</t>
  </si>
  <si>
    <t>9494 Harvest Turnabout</t>
  </si>
  <si>
    <t>2385 Lost Zephyr Green</t>
  </si>
  <si>
    <t>259 Sunny Passage</t>
  </si>
  <si>
    <t>Velasquez</t>
  </si>
  <si>
    <t>3403 Cinder Corner</t>
  </si>
  <si>
    <t>8498 High Quay</t>
  </si>
  <si>
    <t>8205 Wishing Pony Cape</t>
  </si>
  <si>
    <t>6714 Cozy Wynd</t>
  </si>
  <si>
    <t>6214 Little Wharf</t>
  </si>
  <si>
    <t>6336 Fallen Village</t>
  </si>
  <si>
    <t>1467 Hazy Hills By-pass</t>
  </si>
  <si>
    <t>9794 Fallen Wagon  Front</t>
  </si>
  <si>
    <t>3360 Red Dale</t>
  </si>
  <si>
    <t>1811 Tawny Embers Moor</t>
  </si>
  <si>
    <t>4019 Heather Lagoon Mews</t>
  </si>
  <si>
    <t>7683 Sunny Sky Field</t>
  </si>
  <si>
    <t>835 Lost Anchor Meadow</t>
  </si>
  <si>
    <t>Ridgewood</t>
  </si>
  <si>
    <t>3142 Grand Beach</t>
  </si>
  <si>
    <t>9720 Colonial Parade</t>
  </si>
  <si>
    <t>Baird</t>
  </si>
  <si>
    <t>7415 Cotton Fox Corners</t>
  </si>
  <si>
    <t>2199 Dewy Forest Highway</t>
  </si>
  <si>
    <t>3068 Grand Brook Drive</t>
  </si>
  <si>
    <t>6390 Jagged Townline</t>
  </si>
  <si>
    <t>4166 Iron Pioneer Byway</t>
  </si>
  <si>
    <t>5202 Emerald Island Plaza</t>
  </si>
  <si>
    <t>7475 Noble Fawn Parkway</t>
  </si>
  <si>
    <t>Bass</t>
  </si>
  <si>
    <t>Barton</t>
  </si>
  <si>
    <t>TaShya</t>
  </si>
  <si>
    <t>Courtney</t>
  </si>
  <si>
    <t>1564 Gentle Jetty</t>
  </si>
  <si>
    <t>Pate</t>
  </si>
  <si>
    <t>3154 Cinder Cider Harbour</t>
  </si>
  <si>
    <t>1050 Grand Forest Towers</t>
  </si>
  <si>
    <t>2264 Silent Freeway</t>
  </si>
  <si>
    <t>House</t>
  </si>
  <si>
    <t>Melanie</t>
  </si>
  <si>
    <t>2476 Wishing Branch Ledge</t>
  </si>
  <si>
    <t>Crosby</t>
  </si>
  <si>
    <t>4079 Blue End</t>
  </si>
  <si>
    <t>7629 Rocky Drive</t>
  </si>
  <si>
    <t>6140 Pleasant Dale Farm</t>
  </si>
  <si>
    <t>6589 Wishing Highway</t>
  </si>
  <si>
    <t>5078 Bright Park</t>
  </si>
  <si>
    <t>Petty</t>
  </si>
  <si>
    <t>Head</t>
  </si>
  <si>
    <t>3403 Jagged Run</t>
  </si>
  <si>
    <t>2210 Wishing Dale Meadow</t>
  </si>
  <si>
    <t>2792 Stony Range</t>
  </si>
  <si>
    <t>5795 Amber Bluff Expressway</t>
  </si>
  <si>
    <t>7740 Dusty Berry Quay</t>
  </si>
  <si>
    <t>4448 Bright Pike</t>
  </si>
  <si>
    <t>612 Wishing Grove Field</t>
  </si>
  <si>
    <t>4699 Cinder Round</t>
  </si>
  <si>
    <t>Stacey</t>
  </si>
  <si>
    <t>7565 Stony Sky Townline</t>
  </si>
  <si>
    <t>624 Lost Apple Subdivision</t>
  </si>
  <si>
    <t>9688 Silent Lagoon Meadow</t>
  </si>
  <si>
    <t>5103 Tawny Panda Dell</t>
  </si>
  <si>
    <t>8416 Foggy Dale</t>
  </si>
  <si>
    <t>6281 Sunny View Cove</t>
  </si>
  <si>
    <t>5437 Quaking Pony Heights</t>
  </si>
  <si>
    <t>6115 Lazy Embers Meadow</t>
  </si>
  <si>
    <t xml:space="preserve">2647 Emerald Mall </t>
  </si>
  <si>
    <t>7887 Hazy Timber Island</t>
  </si>
  <si>
    <t>3919 Red Branch Corner</t>
  </si>
  <si>
    <t>5032 Crystal Rabbit Private</t>
  </si>
  <si>
    <t>1914 Blue Autumn Harbour</t>
  </si>
  <si>
    <t>Vang</t>
  </si>
  <si>
    <t>New Albany</t>
  </si>
  <si>
    <t>4089 Tawny Prairie Thicket</t>
  </si>
  <si>
    <t>Denton</t>
  </si>
  <si>
    <t>1381 Cozy Oak Key</t>
  </si>
  <si>
    <t>2638 Blue Rise Hollow</t>
  </si>
  <si>
    <t>7851 Stony Prairie Highway</t>
  </si>
  <si>
    <t>4929 Thunder Estates</t>
  </si>
  <si>
    <t>Dundalk</t>
  </si>
  <si>
    <t>8344 Jagged Pony Gardens</t>
  </si>
  <si>
    <t>9117 Rustic Beach</t>
  </si>
  <si>
    <t>9693 Clear Crossing</t>
  </si>
  <si>
    <t>3200 Honey Range</t>
  </si>
  <si>
    <t>6789 Broad Zephyr Grounds</t>
  </si>
  <si>
    <t>6496 Gentle Barn Lookout</t>
  </si>
  <si>
    <t>7894 Misty Dale</t>
  </si>
  <si>
    <t>6651 Iron Port</t>
  </si>
  <si>
    <t>4047 Cozy Falls</t>
  </si>
  <si>
    <t>Bartlett</t>
  </si>
  <si>
    <t>4925 Heather Hickory Way</t>
  </si>
  <si>
    <t>6178 Tawny Villas</t>
  </si>
  <si>
    <t>Passaic</t>
  </si>
  <si>
    <t>9391 Old Branch Court</t>
  </si>
  <si>
    <t>4472 Tawny Jetty</t>
  </si>
  <si>
    <t>Rasmussen</t>
  </si>
  <si>
    <t>Buck</t>
  </si>
  <si>
    <t>5020 Sunny Nectar Vale</t>
  </si>
  <si>
    <t>7236 Middle Gardens</t>
  </si>
  <si>
    <t>Metairie</t>
  </si>
  <si>
    <t>2108 Umber Centre</t>
  </si>
  <si>
    <t>3570 Emerald Oak Pike</t>
  </si>
  <si>
    <t>9595 Lazy Link</t>
  </si>
  <si>
    <t>Wheeling</t>
  </si>
  <si>
    <t>5913 Cinder Landing</t>
  </si>
  <si>
    <t>9847 Old Autumn Chase</t>
  </si>
  <si>
    <t>8383 Lazy Front</t>
  </si>
  <si>
    <t>6450 Sleepy Island Path</t>
  </si>
  <si>
    <t>Bradshaw</t>
  </si>
  <si>
    <t>3491 Hazy Beacon Road</t>
  </si>
  <si>
    <t>9816 Quaking Hickory Pines</t>
  </si>
  <si>
    <t>2486 Silver Carrefour</t>
  </si>
  <si>
    <t>8864 Harvest Chase</t>
  </si>
  <si>
    <t>Apopka</t>
  </si>
  <si>
    <t>5437 Red Berry Canyon</t>
  </si>
  <si>
    <t>1134 Heather Treasure Vale</t>
  </si>
  <si>
    <t>2043 Tawny Shadow Orchard</t>
  </si>
  <si>
    <t>9497 Noble Trace</t>
  </si>
  <si>
    <t>3406 Lazy By-pass</t>
  </si>
  <si>
    <t>9559 Merry Road</t>
  </si>
  <si>
    <t>6695 Indian Zephyr Limits</t>
  </si>
  <si>
    <t>Jackson Heights</t>
  </si>
  <si>
    <t>9381 Clear Glade</t>
  </si>
  <si>
    <t>5497 Wishing Bank</t>
  </si>
  <si>
    <t>4384 Rocky Fox Key</t>
  </si>
  <si>
    <t>2310 Hazy Acres</t>
  </si>
  <si>
    <t>5855 Harvest Circuit</t>
  </si>
  <si>
    <t>2240 Cotton Goose Crossing</t>
  </si>
  <si>
    <t>4569 Indian Walk</t>
  </si>
  <si>
    <t>8702 Silver Apple Square</t>
  </si>
  <si>
    <t>3440 Foggy Autoroute</t>
  </si>
  <si>
    <t>7191 Cinder Woods</t>
  </si>
  <si>
    <t>4291 Jagged Sky Via</t>
  </si>
  <si>
    <t>3151 Sleepy Quail Promenade</t>
  </si>
  <si>
    <t>9375 Heather Extension</t>
  </si>
  <si>
    <t>7773 Merry Autoroute</t>
  </si>
  <si>
    <t>1052 Misty Dale Vista</t>
  </si>
  <si>
    <t>7973 Colonial Wood</t>
  </si>
  <si>
    <t>4986 Harvest Isle</t>
  </si>
  <si>
    <t>8797 Rustic Bear Ramp</t>
  </si>
  <si>
    <t>1846 Clear Bear Falls</t>
  </si>
  <si>
    <t>8022 Hazy Bank</t>
  </si>
  <si>
    <t>6887 Clear Fawn Byway</t>
  </si>
  <si>
    <t>2714 Old Quay</t>
  </si>
  <si>
    <t>2514 Wishing Rabbit Grounds</t>
  </si>
  <si>
    <t>847 Green Creek Bay</t>
  </si>
  <si>
    <t>3403 Iron Quay</t>
  </si>
  <si>
    <t>252 Golden Goose Loop</t>
  </si>
  <si>
    <t>Malone</t>
  </si>
  <si>
    <t>4868 Tawny Park</t>
  </si>
  <si>
    <t>6229 Heather Butterfly Pathway</t>
  </si>
  <si>
    <t>Arroyo</t>
  </si>
  <si>
    <t>3612 Silver Autumn Extension</t>
  </si>
  <si>
    <t>Sandusky</t>
  </si>
  <si>
    <t>4823 Tawny Moor</t>
  </si>
  <si>
    <t>Grove City</t>
  </si>
  <si>
    <t>5423 Heather Falls</t>
  </si>
  <si>
    <t>9672 Green Mountain Pines</t>
  </si>
  <si>
    <t>6115 Burning River Villas</t>
  </si>
  <si>
    <t>9767 Tawny Nook</t>
  </si>
  <si>
    <t>8808 Gentle Crossing</t>
  </si>
  <si>
    <t>1078 Misty Blossom Meadow</t>
  </si>
  <si>
    <t>Herman</t>
  </si>
  <si>
    <t>3865 Harvest Prairie Mount</t>
  </si>
  <si>
    <t>4187 Quiet Butterfly Grove</t>
  </si>
  <si>
    <t>5712 Burning Nook</t>
  </si>
  <si>
    <t>6590 Amber Fawn Meadow</t>
  </si>
  <si>
    <t>5497 Umber Wynd</t>
  </si>
  <si>
    <t>7191 Sunny Loop</t>
  </si>
  <si>
    <t>6468 Quiet Street</t>
  </si>
  <si>
    <t>O Fallon</t>
  </si>
  <si>
    <t>2636 Lazy Terrace</t>
  </si>
  <si>
    <t>8478 Gentle View Dell</t>
  </si>
  <si>
    <t>4173 Misty Valley</t>
  </si>
  <si>
    <t>6468 Dewy Towers</t>
  </si>
  <si>
    <t>Wilkerson</t>
  </si>
  <si>
    <t>8270 Tawny Butterfly Inlet</t>
  </si>
  <si>
    <t>Ochoa</t>
  </si>
  <si>
    <t>7651 Honey Passage</t>
  </si>
  <si>
    <t>8081 Rustic Concession</t>
  </si>
  <si>
    <t>2049 Silver Knoll</t>
  </si>
  <si>
    <t>1492 Fallen Bank</t>
  </si>
  <si>
    <t>8237 Burning Barn Bay</t>
  </si>
  <si>
    <t>Hayden</t>
  </si>
  <si>
    <t>6422 Sleepy Swale</t>
  </si>
  <si>
    <t>2905 Sleepy Route</t>
  </si>
  <si>
    <t>9853 Jagged Wharf</t>
  </si>
  <si>
    <t>1399 Cinder Loop</t>
  </si>
  <si>
    <t>2641 Noble Point</t>
  </si>
  <si>
    <t>2337 Middle Embers Campus</t>
  </si>
  <si>
    <t>1453 Lost Oak Green</t>
  </si>
  <si>
    <t>4152 Round Log Expressway</t>
  </si>
  <si>
    <t>2459 Old Pine Boulevard</t>
  </si>
  <si>
    <t>7383 Green Run</t>
  </si>
  <si>
    <t>4696 Iron Range</t>
  </si>
  <si>
    <t>7016 Rocky Path</t>
  </si>
  <si>
    <t>6312 Noble Apple Woods</t>
  </si>
  <si>
    <t>9993 Clear Round</t>
  </si>
  <si>
    <t>Tulare</t>
  </si>
  <si>
    <t xml:space="preserve">657 Gentle Mountain Mall </t>
  </si>
  <si>
    <t>7668 Fallen Orchard</t>
  </si>
  <si>
    <t>1632 Heather Wharf</t>
  </si>
  <si>
    <t>2414 Harvest Lake Loop</t>
  </si>
  <si>
    <t>8187 Wishing Lagoon Abbey</t>
  </si>
  <si>
    <t>6886 High Place</t>
  </si>
  <si>
    <t>5945 Umber Crossing</t>
  </si>
  <si>
    <t>425 Burning Route</t>
  </si>
  <si>
    <t>8772 Dusty Byway</t>
  </si>
  <si>
    <t>1236 Stony Apple Corners</t>
  </si>
  <si>
    <t>9644 Emerald Harbour</t>
  </si>
  <si>
    <t>4155 Bright Deer Line</t>
  </si>
  <si>
    <t>8970 Colonial Oak Glen</t>
  </si>
  <si>
    <t>Ritter</t>
  </si>
  <si>
    <t>7455 High Promenade</t>
  </si>
  <si>
    <t>245 Hazy Dale</t>
  </si>
  <si>
    <t>Dayton</t>
  </si>
  <si>
    <t>Vaughn</t>
  </si>
  <si>
    <t>Espinoza</t>
  </si>
  <si>
    <t>4173 Quiet Common</t>
  </si>
  <si>
    <t>4906 Emerald Gate Turnabout</t>
  </si>
  <si>
    <t>Solis</t>
  </si>
  <si>
    <t>5020 Hazy Rise Carrefour</t>
  </si>
  <si>
    <t>7935 Crystal Moor</t>
  </si>
  <si>
    <t>Rosario</t>
  </si>
  <si>
    <t>5621 Lost Via</t>
  </si>
  <si>
    <t>Summerville</t>
  </si>
  <si>
    <t>2197 Hidden Panda Mountain</t>
  </si>
  <si>
    <t>4393 Sleepy Sky Bend</t>
  </si>
  <si>
    <t>8368 Colonial Line</t>
  </si>
  <si>
    <t>4661 Iron Landing</t>
  </si>
  <si>
    <t>Merced</t>
  </si>
  <si>
    <t>2926 Golden Townline</t>
  </si>
  <si>
    <t>1782 High River Rise</t>
  </si>
  <si>
    <t>9928 Grand Embers Isle</t>
  </si>
  <si>
    <t>9950 Quiet Spring Wynd</t>
  </si>
  <si>
    <t>5338 Hidden Blossom Edge</t>
  </si>
  <si>
    <t>3750 Colonial Dale Ledge</t>
  </si>
  <si>
    <t>Brockton</t>
  </si>
  <si>
    <t>6613 Sunny Gate Road</t>
  </si>
  <si>
    <t>6747 Old Pine Trace</t>
  </si>
  <si>
    <t>3493 Middle Fawn Line</t>
  </si>
  <si>
    <t>9938 Noble Woods</t>
  </si>
  <si>
    <t>Stephenson</t>
  </si>
  <si>
    <t>6030 Clear Log Close</t>
  </si>
  <si>
    <t>1661 Gentle Rabbit Turnabout</t>
  </si>
  <si>
    <t>8110 Broad Passage</t>
  </si>
  <si>
    <t>6214 Green Maze</t>
  </si>
  <si>
    <t>Byers</t>
  </si>
  <si>
    <t>Regan</t>
  </si>
  <si>
    <t>2714 Dewy Bay</t>
  </si>
  <si>
    <t>West Haven</t>
  </si>
  <si>
    <t>7373 Cinder Edge</t>
  </si>
  <si>
    <t>6639 Green Hills Beach</t>
  </si>
  <si>
    <t>Strickland</t>
  </si>
  <si>
    <t>8139 Round Branch Dell</t>
  </si>
  <si>
    <t>1744 Amber View</t>
  </si>
  <si>
    <t>2122 Green By-pass</t>
  </si>
  <si>
    <t>9154 Colonial Wynd</t>
  </si>
  <si>
    <t>186 Iron Pond Byway</t>
  </si>
  <si>
    <t>5516 Lazy Oak Path</t>
  </si>
  <si>
    <t>Ivana</t>
  </si>
  <si>
    <t>Velma</t>
  </si>
  <si>
    <t>Rhea</t>
  </si>
  <si>
    <t>3503 Fallen Sky Heath</t>
  </si>
  <si>
    <t>Joyner</t>
  </si>
  <si>
    <t>6176 Old Grove Village</t>
  </si>
  <si>
    <t>787 Heather Trail</t>
  </si>
  <si>
    <t>7840 Quiet Island Limits</t>
  </si>
  <si>
    <t>7868 Shady Log Island</t>
  </si>
  <si>
    <t>5407 Umber Cider Quay</t>
  </si>
  <si>
    <t>Rich</t>
  </si>
  <si>
    <t>4149 Gentle Log Cape</t>
  </si>
  <si>
    <t>3772 Silent Dale Walk</t>
  </si>
  <si>
    <t>8950 Stony Forest Edge</t>
  </si>
  <si>
    <t>6721 Golden Line</t>
  </si>
  <si>
    <t>3216 Noble Boulevard</t>
  </si>
  <si>
    <t>1077 Jagged Grove Crescent</t>
  </si>
  <si>
    <t>2954 Blue Anchor Port</t>
  </si>
  <si>
    <t>1469 Cinder Leaf Cape</t>
  </si>
  <si>
    <t>7127 Quiet Zephyr Nook</t>
  </si>
  <si>
    <t>6697 Red Treasure Towers</t>
  </si>
  <si>
    <t>640 Shady Subdivision</t>
  </si>
  <si>
    <t>4895 Stony Passage</t>
  </si>
  <si>
    <t>14 Cinder Timber Valley</t>
  </si>
  <si>
    <t>1607 Dewy Deer Jetty</t>
  </si>
  <si>
    <t>6590 Emerald Mountain Subdivision</t>
  </si>
  <si>
    <t>2211 Lazy Wharf</t>
  </si>
  <si>
    <t>151 Red Deer Landing</t>
  </si>
  <si>
    <t>2329 Blue Anchor Concession</t>
  </si>
  <si>
    <t>3137 Bright Willow Gardens</t>
  </si>
  <si>
    <t>Maisie</t>
  </si>
  <si>
    <t>5129 Indian Maze</t>
  </si>
  <si>
    <t>7469 Misty Log Estates</t>
  </si>
  <si>
    <t>5105 Cozy Line</t>
  </si>
  <si>
    <t>6065 Sleepy Robin Beach</t>
  </si>
  <si>
    <t>5310 Easy Barn Campus</t>
  </si>
  <si>
    <t>660 Indian Chase</t>
  </si>
  <si>
    <t>6567 Red Robin Street</t>
  </si>
  <si>
    <t>6395 Colonial Berry Ledge</t>
  </si>
  <si>
    <t>1626 Misty Hills Round</t>
  </si>
  <si>
    <t>395 Hazy Branch Mews</t>
  </si>
  <si>
    <t>9016 Foggy Robin Expressway</t>
  </si>
  <si>
    <t>9607 Sunny Path</t>
  </si>
  <si>
    <t>8721 Sleepy Passage</t>
  </si>
  <si>
    <t>9879 Foggy Hills Freeway</t>
  </si>
  <si>
    <t>2905 Quaking Concession</t>
  </si>
  <si>
    <t>6076 Sleepy Manor</t>
  </si>
  <si>
    <t>4880 Colonial Grounds</t>
  </si>
  <si>
    <t>1551 Fallen Ridge</t>
  </si>
  <si>
    <t>355 Cozy Square</t>
  </si>
  <si>
    <t>3760 Tawny Harbour</t>
  </si>
  <si>
    <t>7557 Wishing Falls</t>
  </si>
  <si>
    <t>Bean</t>
  </si>
  <si>
    <t>3491 Indian Pony Edge</t>
  </si>
  <si>
    <t>5517 Jagged Hollow</t>
  </si>
  <si>
    <t>9279 Indian Way</t>
  </si>
  <si>
    <t>3257 Quiet Anchor Link</t>
  </si>
  <si>
    <t>421 Pleasant Diversion</t>
  </si>
  <si>
    <t>3392 Hazy Point</t>
  </si>
  <si>
    <t>8839 High Butterfly Forest</t>
  </si>
  <si>
    <t>7627 Quaking Quail Acres</t>
  </si>
  <si>
    <t>547 Cinder Oak Glade</t>
  </si>
  <si>
    <t>6667 Harvest Pioneer Downs</t>
  </si>
  <si>
    <t>Bender</t>
  </si>
  <si>
    <t>2049 Indian Extension</t>
  </si>
  <si>
    <t>4840 Pleasant Vista</t>
  </si>
  <si>
    <t>2659 Jagged Rabbit View</t>
  </si>
  <si>
    <t>1577 Silver Pathway</t>
  </si>
  <si>
    <t>8570 Lost Barn Expressway</t>
  </si>
  <si>
    <t>2972 Silent Blossom Pointe</t>
  </si>
  <si>
    <t>3838 Bright Creek Vista</t>
  </si>
  <si>
    <t>Benitez</t>
  </si>
  <si>
    <t>503 Little Rabbit Campus</t>
  </si>
  <si>
    <t>8056 Burning River Limits</t>
  </si>
  <si>
    <t>1171 Crystal Butterfly Inlet</t>
  </si>
  <si>
    <t>Marcia</t>
  </si>
  <si>
    <t>Herrera</t>
  </si>
  <si>
    <t>3541 Foggy Way</t>
  </si>
  <si>
    <t>3050 Cinder End</t>
  </si>
  <si>
    <t>8706 Tawny Centre</t>
  </si>
  <si>
    <t>4204 Jagged Passage</t>
  </si>
  <si>
    <t>8786 Cotton Byway</t>
  </si>
  <si>
    <t>1056 Quiet Turnabout</t>
  </si>
  <si>
    <t>5008 Hidden Autoroute</t>
  </si>
  <si>
    <t>Harrington</t>
  </si>
  <si>
    <t>3865 Grand Robin Crossing</t>
  </si>
  <si>
    <t>5050 Rustic Log Cove</t>
  </si>
  <si>
    <t>9596 Cotton Island Chase</t>
  </si>
  <si>
    <t>6314 Dusty Nook</t>
  </si>
  <si>
    <t>456 Colonial Glen</t>
  </si>
  <si>
    <t>7770 Tawny Fox Circle</t>
  </si>
  <si>
    <t>948 Thunder Gate Beach</t>
  </si>
  <si>
    <t>8906 Cotton Alley</t>
  </si>
  <si>
    <t>2328 Middle Robin Path</t>
  </si>
  <si>
    <t>4379 Honey Private</t>
  </si>
  <si>
    <t>1187 Hidden Blossom Corner</t>
  </si>
  <si>
    <t>6270 Broad Downs</t>
  </si>
  <si>
    <t>1055 Indian Pointe</t>
  </si>
  <si>
    <t>5074 Grand Rabbit Promenade</t>
  </si>
  <si>
    <t>Serrano</t>
  </si>
  <si>
    <t>3819 Easy Knoll</t>
  </si>
  <si>
    <t>6122 Easy Oak Extension</t>
  </si>
  <si>
    <t>8445 Noble Quail Downs</t>
  </si>
  <si>
    <t>8627 Honey Lane</t>
  </si>
  <si>
    <t>2972 Grand Hills Concession</t>
  </si>
  <si>
    <t>Solomon</t>
  </si>
  <si>
    <t xml:space="preserve">690 Pleasant Autumn Mall </t>
  </si>
  <si>
    <t>South Gate</t>
  </si>
  <si>
    <t>6077 Heather Zephyr Estates</t>
  </si>
  <si>
    <t>Muskegon</t>
  </si>
  <si>
    <t>6564 Hazy Forest Estates</t>
  </si>
  <si>
    <t>4805 Lost Berry Forest</t>
  </si>
  <si>
    <t>8632 Bright Route</t>
  </si>
  <si>
    <t>8615 Amber Spring Link</t>
  </si>
  <si>
    <t>Moon</t>
  </si>
  <si>
    <t>4828 Crystal Island</t>
  </si>
  <si>
    <t>555 Honey Pond Inlet</t>
  </si>
  <si>
    <t>8668 Burning Butterfly Crest</t>
  </si>
  <si>
    <t>7125 Hazy Gate</t>
  </si>
  <si>
    <t>8470 Amber Street</t>
  </si>
  <si>
    <t>2050 Rocky Quay</t>
  </si>
  <si>
    <t>1214 Red Estates</t>
  </si>
  <si>
    <t>1397 Colonial Point</t>
  </si>
  <si>
    <t>Braun</t>
  </si>
  <si>
    <t>2407 Gentle Woods</t>
  </si>
  <si>
    <t>1591 Little Cider Park</t>
  </si>
  <si>
    <t>3888 Quaking Via</t>
  </si>
  <si>
    <t>1295 Pleasant Branch Corners</t>
  </si>
  <si>
    <t>5293 Emerald Concession</t>
  </si>
  <si>
    <t>3040 Cozy Freeway</t>
  </si>
  <si>
    <t>3499 Blue Subdivision</t>
  </si>
  <si>
    <t>2991 Round Hill</t>
  </si>
  <si>
    <t>59 Heather Shadow Concession</t>
  </si>
  <si>
    <t>9972 Colonial Common</t>
  </si>
  <si>
    <t>4924 Little Apple Ramp</t>
  </si>
  <si>
    <t>1156 High Lagoon Ledge</t>
  </si>
  <si>
    <t>6141 Clear Fox Vista</t>
  </si>
  <si>
    <t>2499 Sleepy Diversion</t>
  </si>
  <si>
    <t>2968 Iron Butterfly Close</t>
  </si>
  <si>
    <t>2607 Cinder River Expressway</t>
  </si>
  <si>
    <t>6797 Stony Elk Pike</t>
  </si>
  <si>
    <t>6451 Clear Hills Moor</t>
  </si>
  <si>
    <t>1388 Hazy Swale</t>
  </si>
  <si>
    <t>4742 Gentle Beach</t>
  </si>
  <si>
    <t>8842 Cotton Berry Mount</t>
  </si>
  <si>
    <t>5486 Jagged Lake Avenue</t>
  </si>
  <si>
    <t>3192 Clear Sky Forest</t>
  </si>
  <si>
    <t>5127 Indian Boulevard</t>
  </si>
  <si>
    <t>2319 Jagged Hickory Falls</t>
  </si>
  <si>
    <t>7360 Dewy Island Bank</t>
  </si>
  <si>
    <t>Schaefer</t>
  </si>
  <si>
    <t>5012 Crystal Spring Glade</t>
  </si>
  <si>
    <t>9634 Lost Common</t>
  </si>
  <si>
    <t>5310 Crystal Hills Mount</t>
  </si>
  <si>
    <t>4599 Red Pathway</t>
  </si>
  <si>
    <t>450 Burning Butterfly Moor</t>
  </si>
  <si>
    <t>Mckee</t>
  </si>
  <si>
    <t>8696 Fallen Cloud Circle</t>
  </si>
  <si>
    <t>2406 Rocky Treasure Hollow</t>
  </si>
  <si>
    <t>1816 Sunny Apple Link</t>
  </si>
  <si>
    <t>2455 Stony Fox Crossing</t>
  </si>
  <si>
    <t>283 Honey Goose Crescent</t>
  </si>
  <si>
    <t>3710 Little Nook</t>
  </si>
  <si>
    <t>6502 Red Point</t>
  </si>
  <si>
    <t>1156 Shady Hills Highway</t>
  </si>
  <si>
    <t>9243 Old Gardens</t>
  </si>
  <si>
    <t>3884 Golden Landing</t>
  </si>
  <si>
    <t>5338 Cozy Expressway</t>
  </si>
  <si>
    <t>436 Honey Willow Knoll</t>
  </si>
  <si>
    <t>252 Green Horse Dale</t>
  </si>
  <si>
    <t>2060 Quaking Nectar Estates</t>
  </si>
  <si>
    <t>5621 Cinder Maze</t>
  </si>
  <si>
    <t xml:space="preserve">444 Grand Corner </t>
  </si>
  <si>
    <t>2930 Cotton Limits</t>
  </si>
  <si>
    <t>3683 Thunder Autoroute</t>
  </si>
  <si>
    <t>9468 Quaking Green</t>
  </si>
  <si>
    <t>6630 Quaking Via</t>
  </si>
  <si>
    <t>851 Silver Elk Farms</t>
  </si>
  <si>
    <t>5736 Honey Downs</t>
  </si>
  <si>
    <t>6267 Rustic Fox Swale</t>
  </si>
  <si>
    <t>6091 Harvest Bluff View</t>
  </si>
  <si>
    <t>7570 Iron Fawn Square</t>
  </si>
  <si>
    <t>7786 Harvest Bank</t>
  </si>
  <si>
    <t>903 Rustic Knoll</t>
  </si>
  <si>
    <t>9340 Sleepy Acres</t>
  </si>
  <si>
    <t>7596 Emerald Common</t>
  </si>
  <si>
    <t>376 Jagged Centre</t>
  </si>
  <si>
    <t>10 Pleasant Prairie Link</t>
  </si>
  <si>
    <t>4271 Indian Trail</t>
  </si>
  <si>
    <t>Palo Alto</t>
  </si>
  <si>
    <t>3683 Silent Cove</t>
  </si>
  <si>
    <t>2 Jagged Bank</t>
  </si>
  <si>
    <t>9493 Silver Elk Manor</t>
  </si>
  <si>
    <t>1898 Gentle Stead</t>
  </si>
  <si>
    <t>3361 Crystal Crescent</t>
  </si>
  <si>
    <t>5841 Clear Centre</t>
  </si>
  <si>
    <t>1454 Old Farms</t>
  </si>
  <si>
    <t>4074 Burning River Corners</t>
  </si>
  <si>
    <t>9174 Umber Robin Knoll</t>
  </si>
  <si>
    <t>5902 Silver Embers Diversion</t>
  </si>
  <si>
    <t>9203 Tawny Swale</t>
  </si>
  <si>
    <t>8629 Heather Spring Wharf</t>
  </si>
  <si>
    <t>444 Grand Corner</t>
  </si>
  <si>
    <t>431 Noble Dale Pines</t>
  </si>
  <si>
    <t>3741 Green Parade</t>
  </si>
  <si>
    <t>8777 Silent View</t>
  </si>
  <si>
    <t>989 Cotton Branch Pointe</t>
  </si>
  <si>
    <t>6314 Hidden Private</t>
  </si>
  <si>
    <t>Wiggins</t>
  </si>
  <si>
    <t>8247 Little Cider Close</t>
  </si>
  <si>
    <t>154 Blue Cape</t>
  </si>
  <si>
    <t>7988 Red Boulevard</t>
  </si>
  <si>
    <t>Bernard</t>
  </si>
  <si>
    <t>8818 Easy Oak Point</t>
  </si>
  <si>
    <t>1250 Misty Horse Via</t>
  </si>
  <si>
    <t>9133 Merry Dale</t>
  </si>
  <si>
    <t>779 Golden View Glade</t>
  </si>
  <si>
    <t>8906 Silver Link</t>
  </si>
  <si>
    <t>4101 Colonial By-pass</t>
  </si>
  <si>
    <t>Kessie</t>
  </si>
  <si>
    <t>2576 Misty By-pass</t>
  </si>
  <si>
    <t>257 Stony Beacon Crescent</t>
  </si>
  <si>
    <t>1469 Iron Rise Circle</t>
  </si>
  <si>
    <t>4010 Stony Mountain Wood</t>
  </si>
  <si>
    <t>3688 Thunder Prairie Heights</t>
  </si>
  <si>
    <t>4079 Rocky Inlet</t>
  </si>
  <si>
    <t>2223 Rocky Port</t>
  </si>
  <si>
    <t>799 Hidden Horse Trace</t>
  </si>
  <si>
    <t>7628 Dusty Brook Place</t>
  </si>
  <si>
    <t>9533 Easy Port</t>
  </si>
  <si>
    <t>2563 Pleasant Quail Highway</t>
  </si>
  <si>
    <t>Levine</t>
  </si>
  <si>
    <t>4221 Broad Limits</t>
  </si>
  <si>
    <t>6077 Pleasant Cloud Maze</t>
  </si>
  <si>
    <t>6281 Wishing Sky Byway</t>
  </si>
  <si>
    <t>6676 Grand Vista</t>
  </si>
  <si>
    <t>1338 Silent Fawn Bay</t>
  </si>
  <si>
    <t>1792 High By-pass</t>
  </si>
  <si>
    <t>7859 Silver Treasure Wynd</t>
  </si>
  <si>
    <t>9437 Gentle Edge</t>
  </si>
  <si>
    <t>4715 Harvest Spring Vista</t>
  </si>
  <si>
    <t>1027 Blue Port</t>
  </si>
  <si>
    <t>529 Cotton Branch Grove</t>
  </si>
  <si>
    <t>4075 Silver Hills Heights</t>
  </si>
  <si>
    <t>3327 Pleasant Place</t>
  </si>
  <si>
    <t>2991 Silver Circuit</t>
  </si>
  <si>
    <t>6292 Grand Rabbit Farms</t>
  </si>
  <si>
    <t>3567 Misty Circle</t>
  </si>
  <si>
    <t>7796 Thunder Forest Villas</t>
  </si>
  <si>
    <t>3765 Fallen Branch Round</t>
  </si>
  <si>
    <t xml:space="preserve">6828 Tawny Ridge </t>
  </si>
  <si>
    <t>5078 High Rabbit Mount</t>
  </si>
  <si>
    <t>7258 Grand Pond Acres</t>
  </si>
  <si>
    <t>9875 Thunder Lagoon Parade</t>
  </si>
  <si>
    <t>5877 Honey Close</t>
  </si>
  <si>
    <t xml:space="preserve">3651 Rustic Cape </t>
  </si>
  <si>
    <t>8510 Green River Acres</t>
  </si>
  <si>
    <t>Shoshana</t>
  </si>
  <si>
    <t>7086 Wishing View Villas</t>
  </si>
  <si>
    <t>1285 Green Valley</t>
  </si>
  <si>
    <t>7236 Hidden Parkway</t>
  </si>
  <si>
    <t>7793 Tawny Willow Ridge</t>
  </si>
  <si>
    <t>Larsen</t>
  </si>
  <si>
    <t>3927 Rustic Mews</t>
  </si>
  <si>
    <t>632 Colonial Treasure Line</t>
  </si>
  <si>
    <t>8824 Round Mountain Falls</t>
  </si>
  <si>
    <t>3481 Burning Manor</t>
  </si>
  <si>
    <t>1974 Stony Wharf</t>
  </si>
  <si>
    <t>Bertha</t>
  </si>
  <si>
    <t>151 Colonial Robin Heights</t>
  </si>
  <si>
    <t>907 Umber Beacon Common</t>
  </si>
  <si>
    <t>Lin</t>
  </si>
  <si>
    <t>1336 Cotton Mews</t>
  </si>
  <si>
    <t>8142 Emerald Cider Jetty</t>
  </si>
  <si>
    <t>6481 Silver Log Glen</t>
  </si>
  <si>
    <t>3847 Silver Route</t>
  </si>
  <si>
    <t>858 Red Wynd</t>
  </si>
  <si>
    <t>930 Pleasant Island Chase</t>
  </si>
  <si>
    <t>9086 Iron Ledge</t>
  </si>
  <si>
    <t>2568 Heather Grove</t>
  </si>
  <si>
    <t>3465 Rocky Nectar Crossing</t>
  </si>
  <si>
    <t>9668 Burning Glen</t>
  </si>
  <si>
    <t>5399 Foggy Court</t>
  </si>
  <si>
    <t>3323 Old Willow Mall</t>
  </si>
  <si>
    <t>Quintessa</t>
  </si>
  <si>
    <t>6316 Quiet Pines</t>
  </si>
  <si>
    <t xml:space="preserve">8620 Silent Alley </t>
  </si>
  <si>
    <t>Caryn</t>
  </si>
  <si>
    <t>7011 Burning Park</t>
  </si>
  <si>
    <t>6084 Noble Panda Landing</t>
  </si>
  <si>
    <t>197 High Mount</t>
  </si>
  <si>
    <t>1701 Heather Acres</t>
  </si>
  <si>
    <t>3662 Round Barn Gate</t>
  </si>
  <si>
    <t>6068 Quaking Heath</t>
  </si>
  <si>
    <t>7199 Golden Private</t>
  </si>
  <si>
    <t>5418 Middle Subdivision</t>
  </si>
  <si>
    <t>Escobar</t>
  </si>
  <si>
    <t>7330 Broad Apple Moor</t>
  </si>
  <si>
    <t>5546 Rocky Cloud Beach</t>
  </si>
  <si>
    <t>Villanueva</t>
  </si>
  <si>
    <t>7208 Misty By-pass</t>
  </si>
  <si>
    <t>6286 Gentle Rise Common</t>
  </si>
  <si>
    <t>8840 Middle Zephyr Road</t>
  </si>
  <si>
    <t>5469 Sunny Oak Bay</t>
  </si>
  <si>
    <t>6281 Pleasant Glade</t>
  </si>
  <si>
    <t>7000 Rocky Pond End</t>
  </si>
  <si>
    <t>8852 Iron Port</t>
  </si>
  <si>
    <t>7119 Umber View Mountain</t>
  </si>
  <si>
    <t>5707 Burning Manor</t>
  </si>
  <si>
    <t>2734 Golden Pine Lookout</t>
  </si>
  <si>
    <t>6229 Indian Robin Parade</t>
  </si>
  <si>
    <t>2385 Grand Pine Gate</t>
  </si>
  <si>
    <t>4421 Stony Valley</t>
  </si>
  <si>
    <t>7757 Amber Leaf Ledge</t>
  </si>
  <si>
    <t>6955 Lost Ramp</t>
  </si>
  <si>
    <t>7094 Pleasant Street</t>
  </si>
  <si>
    <t>7309 Velvet Willow Heath</t>
  </si>
  <si>
    <t>9163 Fallen Glen</t>
  </si>
  <si>
    <t>6630 Umber Dale View</t>
  </si>
  <si>
    <t>650 Silent Forest Beach</t>
  </si>
  <si>
    <t>4587 Noble Zephyr Promenade</t>
  </si>
  <si>
    <t>9557 Harvest Mews</t>
  </si>
  <si>
    <t>5597 Fallen Island</t>
  </si>
  <si>
    <t>7656 Heather Leaf Heath</t>
  </si>
  <si>
    <t>7740 Red Creek Link</t>
  </si>
  <si>
    <t>7761 Sunny Creek Meadow</t>
  </si>
  <si>
    <t>2024 Heather Village</t>
  </si>
  <si>
    <t>2543 Foggy Pond Crescent</t>
  </si>
  <si>
    <t>5387 Iron Nook</t>
  </si>
  <si>
    <t>7975 Hazy Mountain</t>
  </si>
  <si>
    <t>620 Green Cider Forest</t>
  </si>
  <si>
    <t>9939 Quaking Chase</t>
  </si>
  <si>
    <t>3982 Middle Horse Line</t>
  </si>
  <si>
    <t>7293 Harvest Valley</t>
  </si>
  <si>
    <t>2328 Rustic Elk Abbey</t>
  </si>
  <si>
    <t>9700 Broad Bear Island</t>
  </si>
  <si>
    <t>5995 Hazy Boulevard</t>
  </si>
  <si>
    <t>3909 High Stead</t>
  </si>
  <si>
    <t>384 Dewy Nectar Trace</t>
  </si>
  <si>
    <t>676 Fallen Swale</t>
  </si>
  <si>
    <t>5299 Velvet Grove Bend</t>
  </si>
  <si>
    <t>6940 Hidden Apple Terrace</t>
  </si>
  <si>
    <t>398 Harvest Mews</t>
  </si>
  <si>
    <t>3412 Merry Quail Inlet</t>
  </si>
  <si>
    <t>6996 Velvet Diversion</t>
  </si>
  <si>
    <t xml:space="preserve">3587 Thunder Rise </t>
  </si>
  <si>
    <t>5182 Noble Prairie Heath</t>
  </si>
  <si>
    <t>450 Harvest Gate Lookout</t>
  </si>
  <si>
    <t>8005 Crystal Wood</t>
  </si>
  <si>
    <t>7971 Cozy Goose Glen</t>
  </si>
  <si>
    <t>2484 High Embers Pines</t>
  </si>
  <si>
    <t>4804 Silent Butterfly Way</t>
  </si>
  <si>
    <t>6159 Harvest Heights</t>
  </si>
  <si>
    <t>Darrel</t>
  </si>
  <si>
    <t>6115 Indian Beacon Close</t>
  </si>
  <si>
    <t>3610 Indian Beach</t>
  </si>
  <si>
    <t>1764 Round Oak Towers</t>
  </si>
  <si>
    <t>Jescie</t>
  </si>
  <si>
    <t>1439 Silent Pathway</t>
  </si>
  <si>
    <t>Fredericka</t>
  </si>
  <si>
    <t>9030 Clear Glade</t>
  </si>
  <si>
    <t>8342 Amber Autoroute</t>
  </si>
  <si>
    <t>4152 Burning Prairie Square</t>
  </si>
  <si>
    <t>8546 Middle Gate Quay</t>
  </si>
  <si>
    <t>2423 Tawny Rabbit Trace</t>
  </si>
  <si>
    <t>Buffy</t>
  </si>
  <si>
    <t>Yael</t>
  </si>
  <si>
    <t>7293 Lazy Orchard</t>
  </si>
  <si>
    <t>3460 Middle Shadow Corner</t>
  </si>
  <si>
    <t>Haviva</t>
  </si>
  <si>
    <t>3983 Wishing Path</t>
  </si>
  <si>
    <t>4145 Lost Treasure Pointe</t>
  </si>
  <si>
    <t>9440 Green Highlands</t>
  </si>
  <si>
    <t>4675 Rocky Field</t>
  </si>
  <si>
    <t>599 Stony Pike</t>
  </si>
  <si>
    <t>4771 Dewy Timber Lane</t>
  </si>
  <si>
    <t>4791 Sunny Downs</t>
  </si>
  <si>
    <t>6590 Dewy Apple Gate</t>
  </si>
  <si>
    <t>7897 Foggy Estates</t>
  </si>
  <si>
    <t>3144 Easy Cider Cove</t>
  </si>
  <si>
    <t>8771 Middle Quail Heath</t>
  </si>
  <si>
    <t>4384 Silver Pond Mountain</t>
  </si>
  <si>
    <t>4696 Red Wharf</t>
  </si>
  <si>
    <t>9297 Easy Wood</t>
  </si>
  <si>
    <t>9127 Sleepy Orchard</t>
  </si>
  <si>
    <t>8906 Rustic Mall</t>
  </si>
  <si>
    <t>Blevins</t>
  </si>
  <si>
    <t>1286 Middle Inlet</t>
  </si>
  <si>
    <t>9044 Easy Road</t>
  </si>
  <si>
    <t xml:space="preserve">8263 Rustic Common </t>
  </si>
  <si>
    <t>8509 Velvet Butterfly Manor</t>
  </si>
  <si>
    <t>Malden</t>
  </si>
  <si>
    <t>8365 Jagged Arbor</t>
  </si>
  <si>
    <t xml:space="preserve">3202 Dewy Route </t>
  </si>
  <si>
    <t>3616 Jagged Circuit</t>
  </si>
  <si>
    <t>7613 Amber Willow Manor</t>
  </si>
  <si>
    <t>Ingrid</t>
  </si>
  <si>
    <t>Chava</t>
  </si>
  <si>
    <t>151 Jagged Rise Stead</t>
  </si>
  <si>
    <t>3569 Red Dell</t>
  </si>
  <si>
    <t>5438 Misty Valley</t>
  </si>
  <si>
    <t>3428 Broad Corners</t>
  </si>
  <si>
    <t>Oconnor</t>
  </si>
  <si>
    <t>Talley</t>
  </si>
  <si>
    <t>1268 Colonial Stead</t>
  </si>
  <si>
    <t xml:space="preserve">2737 Jagged Byway </t>
  </si>
  <si>
    <t>2934 Dusty Autoroute</t>
  </si>
  <si>
    <t>English</t>
  </si>
  <si>
    <t>7236 Hidden Hollow</t>
  </si>
  <si>
    <t>3869 Colonial Robin Cape</t>
  </si>
  <si>
    <t>3253 Stony Trace</t>
  </si>
  <si>
    <t>6417 Silver Corners</t>
  </si>
  <si>
    <t>Tashya</t>
  </si>
  <si>
    <t>1056 Cotton Run</t>
  </si>
  <si>
    <t>8811 Foggy Anchor Limits</t>
  </si>
  <si>
    <t>4712 Burning Pioneer Point</t>
  </si>
  <si>
    <t>6396 Iron Pony Passage</t>
  </si>
  <si>
    <t>4062 Rocky Fox Limits</t>
  </si>
  <si>
    <t>3064 Thunder Centre</t>
  </si>
  <si>
    <t>Wynne</t>
  </si>
  <si>
    <t>5344 Wishing Acres</t>
  </si>
  <si>
    <t>3576 Fallen Fox Avenue</t>
  </si>
  <si>
    <t>8101 Sleepy Run</t>
  </si>
  <si>
    <t>7106 Silent Anchor Promenade</t>
  </si>
  <si>
    <t>8559 High Elk Via</t>
  </si>
  <si>
    <t>9265 High Freeway</t>
  </si>
  <si>
    <t>1966 Easy Trace</t>
  </si>
  <si>
    <t>3040 Easy Port</t>
  </si>
  <si>
    <t>8874 High Blossom View</t>
  </si>
  <si>
    <t>7106 Emerald Pony Mountain</t>
  </si>
  <si>
    <t>7477 Foggy Alley</t>
  </si>
  <si>
    <t>724 Broad Trace</t>
  </si>
  <si>
    <t>7539 Tawny Timber Concession</t>
  </si>
  <si>
    <t>4896 Sleepy Leaf Court</t>
  </si>
  <si>
    <t>6159 Middle Vale</t>
  </si>
  <si>
    <t>9966 Cinder Loop</t>
  </si>
  <si>
    <t>454 Cozy Bluff Hill</t>
  </si>
  <si>
    <t>1513 Thunder Boulevard</t>
  </si>
  <si>
    <t>6138 Harvest Woods</t>
  </si>
  <si>
    <t>9501 Red Island</t>
  </si>
  <si>
    <t>8391 Easy Corners</t>
  </si>
  <si>
    <t>3446 Cozy Centre</t>
  </si>
  <si>
    <t>9627 Honey Trail</t>
  </si>
  <si>
    <t>6580 Wishing Orchard</t>
  </si>
  <si>
    <t>2556 Wishing Zephyr Turnabout</t>
  </si>
  <si>
    <t>7190 Dewy Mountain Lookout</t>
  </si>
  <si>
    <t>3510 Red Deer Link</t>
  </si>
  <si>
    <t>6270 Stony Campus</t>
  </si>
  <si>
    <t>Emerson</t>
  </si>
  <si>
    <t>Madden</t>
  </si>
  <si>
    <t>Nyssa</t>
  </si>
  <si>
    <t>3857 Lazy Pine Bank</t>
  </si>
  <si>
    <t>Vera</t>
  </si>
  <si>
    <t>4063 Hidden Forest Way</t>
  </si>
  <si>
    <t>Bryar</t>
  </si>
  <si>
    <t>7284 Hidden Elk Forest</t>
  </si>
  <si>
    <t>5913 Little Apple Ridge</t>
  </si>
  <si>
    <t>4767 Red Thicket</t>
  </si>
  <si>
    <t>4569 Jagged Mall</t>
  </si>
  <si>
    <t>6770 Cotton Pony Stead</t>
  </si>
  <si>
    <t>4841 Merry Leaf Terrace</t>
  </si>
  <si>
    <t>Toa Baja</t>
  </si>
  <si>
    <t>3099 Silver Horse Autoroute</t>
  </si>
  <si>
    <t>8460 Fallen Bear Gate</t>
  </si>
  <si>
    <t>Emerald</t>
  </si>
  <si>
    <t>3696 Rustic Abbey</t>
  </si>
  <si>
    <t>Slater</t>
  </si>
  <si>
    <t>8274 Bright Canyon</t>
  </si>
  <si>
    <t>Swanson</t>
  </si>
  <si>
    <t>5338 Emerald Lagoon Manor</t>
  </si>
  <si>
    <t>779 Old Anchor View</t>
  </si>
  <si>
    <t>4273 Quiet Vale</t>
  </si>
  <si>
    <t>5737 Misty Alley</t>
  </si>
  <si>
    <t>5707 Iron Brook Harbour</t>
  </si>
  <si>
    <t>5674 Crystal Branch Orchard</t>
  </si>
  <si>
    <t>8289 Emerald Pike</t>
  </si>
  <si>
    <t>7168 Amber Row</t>
  </si>
  <si>
    <t>690 Rocky Lake Villas</t>
  </si>
  <si>
    <t>7861 Honey Acres</t>
  </si>
  <si>
    <t>3750 Harvest Berry Valley</t>
  </si>
  <si>
    <t>8344 Hazy Bear Diversion</t>
  </si>
  <si>
    <t>8849 Shady Embers Villas</t>
  </si>
  <si>
    <t>6135 Silver Oak Gate</t>
  </si>
  <si>
    <t>911 Sleepy Cloud Carrefour</t>
  </si>
  <si>
    <t>3826 Umber Branch View</t>
  </si>
  <si>
    <t>6316 Wishing Rise</t>
  </si>
  <si>
    <t>5919 Thunder Lagoon Vale</t>
  </si>
  <si>
    <t>849 Middle Blossom View</t>
  </si>
  <si>
    <t>5546 Old Rabbit Towers</t>
  </si>
  <si>
    <t>5182 Little Freeway</t>
  </si>
  <si>
    <t>9163 Round Forest</t>
  </si>
  <si>
    <t>9599 Silent Zephyr Circle</t>
  </si>
  <si>
    <t>3369 Round Rabbit Bay</t>
  </si>
  <si>
    <t>7184 Broad Hickory Dell</t>
  </si>
  <si>
    <t>1082 Grand Treasure Row</t>
  </si>
  <si>
    <t>1853 Little Autoroute</t>
  </si>
  <si>
    <t>Taunton</t>
  </si>
  <si>
    <t>938 Rustic Pine Ridge</t>
  </si>
  <si>
    <t>Freehold</t>
  </si>
  <si>
    <t>6496 Colonial Leaf Orchard</t>
  </si>
  <si>
    <t>Odette</t>
  </si>
  <si>
    <t>466 Stony Arbor</t>
  </si>
  <si>
    <t>Kaye</t>
  </si>
  <si>
    <t>4715 Cotton Anchor Towers</t>
  </si>
  <si>
    <t>4384 Lazy Pony Trace</t>
  </si>
  <si>
    <t>9166 Dusty Cape</t>
  </si>
  <si>
    <t>9717 Fallen Ramp</t>
  </si>
  <si>
    <t>3329 Green Butterfly Pines</t>
  </si>
  <si>
    <t xml:space="preserve">6146 Dewy Jetty </t>
  </si>
  <si>
    <t>6540 Cinder Trail</t>
  </si>
  <si>
    <t>Joanha</t>
  </si>
  <si>
    <t>Mirkckociv</t>
  </si>
  <si>
    <t xml:space="preserve">8324 Little Common </t>
  </si>
  <si>
    <t>157 Sunny Highlands</t>
  </si>
  <si>
    <t>8773 Dewy Blossom Line</t>
  </si>
  <si>
    <t>Indira</t>
  </si>
  <si>
    <t>Lunea</t>
  </si>
  <si>
    <t>1356 Bright Lagoon Trail</t>
  </si>
  <si>
    <t>7007 Golden Edge</t>
  </si>
  <si>
    <t>8842 Indian View Corners</t>
  </si>
  <si>
    <t>Yates</t>
  </si>
  <si>
    <t>712 Noble Road</t>
  </si>
  <si>
    <t>9832 Umber Beacon Vale</t>
  </si>
  <si>
    <t>Claire</t>
  </si>
  <si>
    <t>660 Harvest Bay</t>
  </si>
  <si>
    <t>4136 Emerald Key</t>
  </si>
  <si>
    <t>8950 Broad Rabbit Valley</t>
  </si>
  <si>
    <t>6884 Honey Byway</t>
  </si>
  <si>
    <t>8860 Old Road</t>
  </si>
  <si>
    <t>7122 Pleasant Port</t>
  </si>
  <si>
    <t>5603 Silver Beacon Cove</t>
  </si>
  <si>
    <t>8799 Quaking Arbor</t>
  </si>
  <si>
    <t>7072 Noble Bear Gate</t>
  </si>
  <si>
    <t>4096 Green Cove</t>
  </si>
  <si>
    <t>7797 Rustic Shadow Abbey</t>
  </si>
  <si>
    <t>Jaquelyn</t>
  </si>
  <si>
    <t>1898 Velvet Villas</t>
  </si>
  <si>
    <t>151 Bright Anchor Passage</t>
  </si>
  <si>
    <t>6404 Golden Log Vale</t>
  </si>
  <si>
    <t>2726 Middle Route</t>
  </si>
  <si>
    <t>3649 Fallen Street</t>
  </si>
  <si>
    <t>7598 Little Maze</t>
  </si>
  <si>
    <t>8719 Easy Leaf Gate</t>
  </si>
  <si>
    <t>Sonia</t>
  </si>
  <si>
    <t>8707 Harvest Knoll</t>
  </si>
  <si>
    <t>9174 Heather Grove Port</t>
  </si>
  <si>
    <t>9609 Broad Rabbit Common</t>
  </si>
  <si>
    <t>Liberty</t>
  </si>
  <si>
    <t>1191 Golden Butterfly Woods</t>
  </si>
  <si>
    <t>3657 Harvest Crest</t>
  </si>
  <si>
    <t>4672 Fallen Pointe</t>
  </si>
  <si>
    <t>4929 Red Road</t>
  </si>
  <si>
    <t>9133 Bright Hills Townline</t>
  </si>
  <si>
    <t>3937 Sunny Common</t>
  </si>
  <si>
    <t>8566 Shady Bay</t>
  </si>
  <si>
    <t>7072 Thunder Apple Wood</t>
  </si>
  <si>
    <t>1793 Green Freeway</t>
  </si>
  <si>
    <t>9831 Middle River Dell</t>
  </si>
  <si>
    <t>4981 Thunder Point</t>
  </si>
  <si>
    <t xml:space="preserve">409 Iron Park </t>
  </si>
  <si>
    <t xml:space="preserve">1111 Cotton Vista </t>
  </si>
  <si>
    <t>9941 Rustic Cloud Harbour</t>
  </si>
  <si>
    <t>2541 Round Bear Orchard</t>
  </si>
  <si>
    <t>3193 Rocky Ramp</t>
  </si>
  <si>
    <t>Buckner</t>
  </si>
  <si>
    <t>384 Easy Embers Trace</t>
  </si>
  <si>
    <t>8109 Tawny Woods</t>
  </si>
  <si>
    <t>Hopper</t>
  </si>
  <si>
    <t>9533 High Mountain</t>
  </si>
  <si>
    <t>7551 Old Prairie Grounds</t>
  </si>
  <si>
    <t>1906 Amber Dale</t>
  </si>
  <si>
    <t>Kerry</t>
  </si>
  <si>
    <t>4000 Little Barn Bay</t>
  </si>
  <si>
    <t>6470 Dusty Fox Green</t>
  </si>
  <si>
    <t>9089 Grand Branch Meadow</t>
  </si>
  <si>
    <t>5207 Broad Elk Run</t>
  </si>
  <si>
    <t>5621 Hazy Wood</t>
  </si>
  <si>
    <t>Rina</t>
  </si>
  <si>
    <t>8860 Thunder Link</t>
  </si>
  <si>
    <t>9712 Bright Nectar Byway</t>
  </si>
  <si>
    <t>9335 Hidden Crescent</t>
  </si>
  <si>
    <t>9317 Wishing Wood</t>
  </si>
  <si>
    <t>7262 Silent Forest</t>
  </si>
  <si>
    <t>5945 Dusty Falls</t>
  </si>
  <si>
    <t>6815 Fallen Field</t>
  </si>
  <si>
    <t>3178 Round Front</t>
  </si>
  <si>
    <t>8161 Crystal Towers</t>
  </si>
  <si>
    <t>3719 Burning Edge</t>
  </si>
  <si>
    <t>8396 High Corners</t>
  </si>
  <si>
    <t>3453 Thunder Robin Pines</t>
  </si>
  <si>
    <t>6379 Lazy Arbor</t>
  </si>
  <si>
    <t>3866 Cotton Quail Circuit</t>
  </si>
  <si>
    <t>6424 Cinder Oak Island</t>
  </si>
  <si>
    <t>1991 Crystal Gate Boulevard</t>
  </si>
  <si>
    <t>5782 Dewy Ridge</t>
  </si>
  <si>
    <t>417 Quiet Grove Ramp</t>
  </si>
  <si>
    <t>8248 Blue Corners</t>
  </si>
  <si>
    <t>4472 Dewy Campus</t>
  </si>
  <si>
    <t>902 Lazy Port</t>
  </si>
  <si>
    <t>5226 Dusty Wagon  Towers</t>
  </si>
  <si>
    <t>8307 Silent Park</t>
  </si>
  <si>
    <t>1321 Cotton Horse Concession</t>
  </si>
  <si>
    <t>2717 Little Ledge</t>
  </si>
  <si>
    <t>4411 Cinder Front</t>
  </si>
  <si>
    <t>4145 Easy Via</t>
  </si>
  <si>
    <t>2923 Hazy Autoroute</t>
  </si>
  <si>
    <t>236 Harvest Diversion</t>
  </si>
  <si>
    <t>9702 Shady Pond Village</t>
  </si>
  <si>
    <t>6231 Green Meadow</t>
  </si>
  <si>
    <t>Reilly</t>
  </si>
  <si>
    <t>7678 Lazy Farms</t>
  </si>
  <si>
    <t>2099 Honey Anchor Terrace</t>
  </si>
  <si>
    <t>5777 Pleasant Common</t>
  </si>
  <si>
    <t xml:space="preserve">9557 Harvest Mews </t>
  </si>
  <si>
    <t>Mcgowan</t>
  </si>
  <si>
    <t>9381 Cozy Swale</t>
  </si>
  <si>
    <t>7494 Golden Horse Dale</t>
  </si>
  <si>
    <t>Pandora</t>
  </si>
  <si>
    <t>4113 Clear Lagoon Private</t>
  </si>
  <si>
    <t>771 Misty Alley</t>
  </si>
  <si>
    <t>1905 Merry Cloud Plaza</t>
  </si>
  <si>
    <t>6611 Colonial Wharf</t>
  </si>
  <si>
    <t>Veda</t>
  </si>
  <si>
    <t>6442 Emerald Rise Extension</t>
  </si>
  <si>
    <t>8967 Grand Highway</t>
  </si>
  <si>
    <t>1846 Cotton Oak Parkway</t>
  </si>
  <si>
    <t>2355 Amber Panda Vista</t>
  </si>
  <si>
    <t>2205 Velvet Plaza</t>
  </si>
  <si>
    <t>4208 Harvest Grounds</t>
  </si>
  <si>
    <t xml:space="preserve">9293 Umber Alley </t>
  </si>
  <si>
    <t>8550 Tawny Bear Wynd</t>
  </si>
  <si>
    <t>2264 Red Route</t>
  </si>
  <si>
    <t>1552 Burning Dale Highlands</t>
  </si>
  <si>
    <t>4981 Fallen Place</t>
  </si>
  <si>
    <t>7112 Golden Circuit</t>
  </si>
  <si>
    <t>5332 Heather Hills Isle</t>
  </si>
  <si>
    <t>6860 Foggy Pathway</t>
  </si>
  <si>
    <t>Adena</t>
  </si>
  <si>
    <t>Sonya</t>
  </si>
  <si>
    <t>4702 Velvet Mountain Villas</t>
  </si>
  <si>
    <t>5127 Sleepy Via</t>
  </si>
  <si>
    <t>7869 Crystal View Villas</t>
  </si>
  <si>
    <t>24 Merry Oak Loop</t>
  </si>
  <si>
    <t>2407 Bright Blossom Mall</t>
  </si>
  <si>
    <t>2306 Green Lane</t>
  </si>
  <si>
    <t>131 Colonial Pioneer Run</t>
  </si>
  <si>
    <t>6304 Quaking Meadow</t>
  </si>
  <si>
    <t>4381 Burning Concession</t>
  </si>
  <si>
    <t xml:space="preserve">1666 Sunny View </t>
  </si>
  <si>
    <t xml:space="preserve">5512 Misty Plaza </t>
  </si>
  <si>
    <t xml:space="preserve">7002 Blue Place </t>
  </si>
  <si>
    <t xml:space="preserve">599 Clear Gardens </t>
  </si>
  <si>
    <t>Lillith</t>
  </si>
  <si>
    <t>3470 Gentle Place</t>
  </si>
  <si>
    <t>3298 Round Creek Expressway</t>
  </si>
  <si>
    <t>5258 Umber Dale Woods</t>
  </si>
  <si>
    <t>6179 Silver Alley</t>
  </si>
  <si>
    <t>9671 Hidden Glade</t>
  </si>
  <si>
    <t>3316 High Oak Extension</t>
  </si>
  <si>
    <t>4852 Cozy Dale</t>
  </si>
  <si>
    <t>Mckay</t>
  </si>
  <si>
    <t>4189 Amber Leaf Close</t>
  </si>
  <si>
    <t>6657 Merry Treasure Vista</t>
  </si>
  <si>
    <t>Idona</t>
  </si>
  <si>
    <t xml:space="preserve">7509 Harvest Highlands </t>
  </si>
  <si>
    <t xml:space="preserve">8344 Colonial Maze </t>
  </si>
  <si>
    <t xml:space="preserve">9439 Blue Range </t>
  </si>
  <si>
    <t xml:space="preserve">2966 Round Ridge </t>
  </si>
  <si>
    <t>1 Bright Manor</t>
  </si>
  <si>
    <t>5553 Wishing Grove</t>
  </si>
  <si>
    <t>4955 Round Rabbit Hill</t>
  </si>
  <si>
    <t>4834 Lost Farm</t>
  </si>
  <si>
    <t>9416 Easy Freeway</t>
  </si>
  <si>
    <t>153 Hidden Range</t>
  </si>
  <si>
    <t>6828 Cotton Landing</t>
  </si>
  <si>
    <t xml:space="preserve">4439 Tawny Mall </t>
  </si>
  <si>
    <t>7546 Gentle Branch Heights</t>
  </si>
  <si>
    <t>3939 Noble Fox Parade</t>
  </si>
  <si>
    <t>9891 Velvet Pony Trace</t>
  </si>
  <si>
    <t>7427 Bright Robin Landing</t>
  </si>
  <si>
    <t>3369 Hazy Beacon By-pass</t>
  </si>
  <si>
    <t>Shaeleigh</t>
  </si>
  <si>
    <t>229 Shady Forest</t>
  </si>
  <si>
    <t>Blaine</t>
  </si>
  <si>
    <t>2236 Sunny Front</t>
  </si>
  <si>
    <t>6187 Sunny Meadow</t>
  </si>
  <si>
    <t>Gretchen</t>
  </si>
  <si>
    <t>4285 Rocky Round</t>
  </si>
  <si>
    <t>1898 Noble Valley</t>
  </si>
  <si>
    <t>2538 Red Island Corner</t>
  </si>
  <si>
    <t>5270 Bright Manor</t>
  </si>
  <si>
    <t>6876 Wishing Beach</t>
  </si>
  <si>
    <t>1322 Broad Glade</t>
  </si>
  <si>
    <t>2056 Misty Lookout</t>
  </si>
  <si>
    <t>6292 Little Deer Wood</t>
  </si>
  <si>
    <t xml:space="preserve">2783 Foggy Mews </t>
  </si>
  <si>
    <t>5420 Rocky Port</t>
  </si>
  <si>
    <t>2376 Burning Creek Mews</t>
  </si>
  <si>
    <t>443 Foggy Ledge</t>
  </si>
  <si>
    <t>9615 Jagged Downs</t>
  </si>
  <si>
    <t>3278 Misty Port</t>
  </si>
  <si>
    <t>909 Sunny Pony Terrace</t>
  </si>
  <si>
    <t>2556 Bright Butterfly Circuit</t>
  </si>
  <si>
    <t>Martena</t>
  </si>
  <si>
    <t xml:space="preserve">6611 Colonial Wharf </t>
  </si>
  <si>
    <t>2360 Fallen Village</t>
  </si>
  <si>
    <t xml:space="preserve">5463 Rocky Autoroute </t>
  </si>
  <si>
    <t xml:space="preserve">8626 Silent Boulevard </t>
  </si>
  <si>
    <t>2197 Velvet Pine Range</t>
  </si>
  <si>
    <t>4951 Misty Pioneer Mall</t>
  </si>
  <si>
    <t>409 Tawny Range</t>
  </si>
  <si>
    <t>789 Old Deer Acres</t>
  </si>
  <si>
    <t>2049 Quaking Mews</t>
  </si>
  <si>
    <t>3586 Velvet Pointe</t>
  </si>
  <si>
    <t>6414 Colonial Robin Trail</t>
  </si>
  <si>
    <t>7597 Iron River Green</t>
  </si>
  <si>
    <t>1872 Silent View</t>
  </si>
  <si>
    <t>7887 Foggy Bluff Autoroute</t>
  </si>
  <si>
    <t>2070 Velvet Quail Port</t>
  </si>
  <si>
    <t>8802 Foggy Link</t>
  </si>
  <si>
    <t>5543 Golden Pioneer Front</t>
  </si>
  <si>
    <t>7121 Red Pines</t>
  </si>
  <si>
    <t>1763 Dusty Trace</t>
  </si>
  <si>
    <t>8933 Dewy Quay</t>
  </si>
  <si>
    <t>5208 Bright Pioneer Crescent</t>
  </si>
  <si>
    <t>5507 Little Rise Link</t>
  </si>
  <si>
    <t xml:space="preserve">9462 Round Island        </t>
  </si>
  <si>
    <t>6830 Wishing Bluff Nook</t>
  </si>
  <si>
    <t>4132 Broad Branch Route</t>
  </si>
  <si>
    <t>62 Amber Hills Way</t>
  </si>
  <si>
    <t>1865 Honey Willow Thicket</t>
  </si>
  <si>
    <t>5652 Tawny Anchor Plaza</t>
  </si>
  <si>
    <t>9437 Quiet Deer Parade</t>
  </si>
  <si>
    <t>6317 Cinder River Centre</t>
  </si>
  <si>
    <t>5512 Thunder Diversion</t>
  </si>
  <si>
    <t>3453 Lost Concession</t>
  </si>
  <si>
    <t>Quon</t>
  </si>
  <si>
    <t>7027 Sleepy Farm</t>
  </si>
  <si>
    <t>443 Jagged Lane</t>
  </si>
  <si>
    <t>1449 Amber Island</t>
  </si>
  <si>
    <t>Lysandra</t>
  </si>
  <si>
    <t>8342 Crystal Drive</t>
  </si>
  <si>
    <t>Priscilla</t>
  </si>
  <si>
    <t>2265 Foggy Lagoon Bend</t>
  </si>
  <si>
    <t>7533 Thunder Wagon Beach</t>
  </si>
  <si>
    <t>Brell</t>
  </si>
  <si>
    <t>Autumn</t>
  </si>
  <si>
    <t>3680 Emerald Alley</t>
  </si>
  <si>
    <t>3088 Cinder Ridge</t>
  </si>
  <si>
    <t>1879 Round Dale Stead</t>
  </si>
  <si>
    <t>7924 Blue Parade</t>
  </si>
  <si>
    <t>8055 Thunder Farm</t>
  </si>
  <si>
    <t>7000 Merry Nectar Parkway</t>
  </si>
  <si>
    <t>7988 High Jetty</t>
  </si>
  <si>
    <t>5293 Hidden Lane</t>
  </si>
  <si>
    <t>8533 Little Berry Diversion</t>
  </si>
  <si>
    <t>6657 High Mountain Highlands</t>
  </si>
  <si>
    <t>3253 Shady Pioneer End</t>
  </si>
  <si>
    <t>9044 Bright Pointe</t>
  </si>
  <si>
    <t>1027 Green Autoroute</t>
  </si>
  <si>
    <t>8109 Amber Inlet</t>
  </si>
  <si>
    <t>9089 Misty Pioneer Knoll</t>
  </si>
  <si>
    <t>3487 Green Rise</t>
  </si>
  <si>
    <t>1643 Honey Acres</t>
  </si>
  <si>
    <t>4778 Cozy Anchor Manor</t>
  </si>
  <si>
    <t>3957 Bright Zephyr Cove</t>
  </si>
  <si>
    <t>4924 Hazy Fawn Villas</t>
  </si>
  <si>
    <t>2406 Broad Embers Parade</t>
  </si>
  <si>
    <t>8470 Tawny Parkway</t>
  </si>
  <si>
    <t>4508 Fallen Mountain Dale</t>
  </si>
  <si>
    <t>3892 Dusty Berry Farm</t>
  </si>
  <si>
    <t>3926 Cinder Crest</t>
  </si>
  <si>
    <t>1020 Silent Diversion</t>
  </si>
  <si>
    <t xml:space="preserve">9843 Grand Circle </t>
  </si>
  <si>
    <t>266 Hazy Sky Bank</t>
  </si>
  <si>
    <t>8012 Hidden Plaza</t>
  </si>
  <si>
    <t>4530 Quiet Forest Link</t>
  </si>
  <si>
    <t>4491 Silver Via</t>
  </si>
  <si>
    <t>7391 Cotton Hollow</t>
  </si>
  <si>
    <t>2027 Heather Hickory Crescent</t>
  </si>
  <si>
    <t>305 Quaking Walk</t>
  </si>
  <si>
    <t>7497 Umber Robin Bend</t>
  </si>
  <si>
    <t>2714 Lazy Swale</t>
  </si>
  <si>
    <t>2797 Wishing Vista</t>
  </si>
  <si>
    <t>4492 Lazy Grounds</t>
  </si>
  <si>
    <t>5050 Lost Branch Glen</t>
  </si>
  <si>
    <t>2541 Velvet Forest Wynd</t>
  </si>
  <si>
    <t>9198 Rustic Terrace</t>
  </si>
  <si>
    <t xml:space="preserve">6779 Iron Woods </t>
  </si>
  <si>
    <t>5263 Stony View</t>
  </si>
  <si>
    <t>9005 Hazy Branch Private</t>
  </si>
  <si>
    <t>1516 Crystal Mountain</t>
  </si>
  <si>
    <t>Tillman</t>
  </si>
  <si>
    <t xml:space="preserve">4864 Velvet Chase </t>
  </si>
  <si>
    <t xml:space="preserve">3881 Golden Corners </t>
  </si>
  <si>
    <t xml:space="preserve">1356 Easy Plaza </t>
  </si>
  <si>
    <t>3089 Cotton Panda Bend</t>
  </si>
  <si>
    <t>5235 Umber Grounds</t>
  </si>
  <si>
    <t>4675 Misty Parade</t>
  </si>
  <si>
    <t>7155 Cozy Valley</t>
  </si>
  <si>
    <t>4527 Blue Nectar Wynd</t>
  </si>
  <si>
    <t>6942 Amber Cloud Farms</t>
  </si>
  <si>
    <t>2513 Round Butterfly Grove</t>
  </si>
  <si>
    <t>8853 Pleasant Spring Isle</t>
  </si>
  <si>
    <t>2749 Quiet Willow Lane</t>
  </si>
  <si>
    <t>7580 Velvet Anchor Path</t>
  </si>
  <si>
    <t>7105 Crystal Acres</t>
  </si>
  <si>
    <t>9854 Umber Trail</t>
  </si>
  <si>
    <t>1831 Silent Butterfly Inlet</t>
  </si>
  <si>
    <t>2592 Honey Campus</t>
  </si>
  <si>
    <t>6864 High Gate Canyon</t>
  </si>
  <si>
    <t>9552 Golden Hill</t>
  </si>
  <si>
    <t>9430 Merry Leaf Harbour</t>
  </si>
  <si>
    <t>8073 Honey Pond Row</t>
  </si>
  <si>
    <t>6496 Noble Promenade</t>
  </si>
  <si>
    <t>5838 Cozy Grove</t>
  </si>
  <si>
    <t>9022 Lazy Swale</t>
  </si>
  <si>
    <t>9854 Foggy Island</t>
  </si>
  <si>
    <t xml:space="preserve">5382 Hazy Pathway </t>
  </si>
  <si>
    <t xml:space="preserve">4466 Little Grove </t>
  </si>
  <si>
    <t xml:space="preserve">4554 Indian Point </t>
  </si>
  <si>
    <t xml:space="preserve">6289 Tawny Range </t>
  </si>
  <si>
    <t xml:space="preserve">9295 Emerald Downs </t>
  </si>
  <si>
    <t xml:space="preserve">6512 Middle Parade </t>
  </si>
  <si>
    <t xml:space="preserve">8314 Burning Circuit </t>
  </si>
  <si>
    <t xml:space="preserve">7168 Indian Circuit </t>
  </si>
  <si>
    <t xml:space="preserve">3665 Tawny Knoll </t>
  </si>
  <si>
    <t>3021 Red Robin Nook</t>
  </si>
  <si>
    <t>1773 Hazy Bay</t>
  </si>
  <si>
    <t>45 Misty Brook Bend</t>
  </si>
  <si>
    <t xml:space="preserve">2262 Green Wharf </t>
  </si>
  <si>
    <t xml:space="preserve">5420 Rocky Port </t>
  </si>
  <si>
    <t>5582 Hazy Prairie Knoll</t>
  </si>
  <si>
    <t xml:space="preserve">1822 Rustic Lane </t>
  </si>
  <si>
    <t>Battle</t>
  </si>
  <si>
    <t xml:space="preserve">1056 Cotton Run </t>
  </si>
  <si>
    <t xml:space="preserve">3112 Easy Turnabout </t>
  </si>
  <si>
    <t>BlueOneal</t>
  </si>
  <si>
    <t>8274 Middle Pike</t>
  </si>
  <si>
    <t>6453 Dewy Route</t>
  </si>
  <si>
    <t>2647 Emerald Mall</t>
  </si>
  <si>
    <t>3112 Silver Mount</t>
  </si>
  <si>
    <t>6654 Velvet Mountain</t>
  </si>
  <si>
    <t>4938 Silent Bluff Circle</t>
  </si>
  <si>
    <t>3872 Colonial Pioneer Estates</t>
  </si>
  <si>
    <t>212 Umber View Ramp</t>
  </si>
  <si>
    <t>1122 Amber Spring Pointe</t>
  </si>
  <si>
    <t xml:space="preserve">7605 Hidden Cider Mall </t>
  </si>
  <si>
    <t>9644 Gentle End</t>
  </si>
  <si>
    <t>9741 Green Road</t>
  </si>
  <si>
    <t>1966 Iron Gardens</t>
  </si>
  <si>
    <t>5238 Sunny Walk</t>
  </si>
  <si>
    <t xml:space="preserve">4981 Fallen Place </t>
  </si>
  <si>
    <t>8860 Rustic Townline</t>
  </si>
  <si>
    <t>7107 Old Highlands</t>
  </si>
  <si>
    <t>Mally</t>
  </si>
  <si>
    <t>Caro</t>
  </si>
  <si>
    <t xml:space="preserve">2456 Bright Farms </t>
  </si>
  <si>
    <t>1191 Burning Zephyr Loop</t>
  </si>
  <si>
    <t>7436 Quaking Nectar Mall</t>
  </si>
  <si>
    <t xml:space="preserve">2805 Dewy Impasse </t>
  </si>
  <si>
    <t xml:space="preserve">7580 Cozy Inlet </t>
  </si>
  <si>
    <t>4570 Red View Chase</t>
  </si>
  <si>
    <t xml:space="preserve">3913 Old Link </t>
  </si>
  <si>
    <t>6088 Hazy Grove Valley</t>
  </si>
  <si>
    <t xml:space="preserve">1099 High Green </t>
  </si>
  <si>
    <t xml:space="preserve">3176 Colonial Quay </t>
  </si>
  <si>
    <t xml:space="preserve">9456 Dewy Gate </t>
  </si>
  <si>
    <t xml:space="preserve">9394 Foggy Path </t>
  </si>
  <si>
    <t xml:space="preserve">1974 Stony Wharf </t>
  </si>
  <si>
    <t xml:space="preserve">7598 Little Maze </t>
  </si>
  <si>
    <t>City</t>
  </si>
  <si>
    <t>Segment</t>
  </si>
  <si>
    <t>State</t>
  </si>
  <si>
    <t>Street</t>
  </si>
  <si>
    <t>Zipcode</t>
  </si>
  <si>
    <t>Id</t>
  </si>
  <si>
    <t>Name</t>
  </si>
  <si>
    <t>Indoors</t>
  </si>
  <si>
    <t>Dataset</t>
  </si>
  <si>
    <t>Column</t>
  </si>
  <si>
    <t>orders</t>
  </si>
  <si>
    <t>ordered_items</t>
  </si>
  <si>
    <t>Order_Id</t>
  </si>
  <si>
    <t>Category name</t>
  </si>
  <si>
    <t>Details</t>
  </si>
  <si>
    <t>customer_info</t>
  </si>
  <si>
    <t>category</t>
  </si>
  <si>
    <t>department</t>
  </si>
  <si>
    <t>Customer_Id</t>
  </si>
  <si>
    <t>Order_City</t>
  </si>
  <si>
    <t>Order_Region</t>
  </si>
  <si>
    <t>Order_State</t>
  </si>
  <si>
    <t>Order_Status</t>
  </si>
  <si>
    <t>Shipping_Mode</t>
  </si>
  <si>
    <t>Order_Item_Id</t>
  </si>
  <si>
    <t>Product_Name</t>
  </si>
  <si>
    <t>Category_Id</t>
  </si>
  <si>
    <t>Department_Id</t>
  </si>
  <si>
    <t>Real_Shipping_Days</t>
  </si>
  <si>
    <t>Scheduled_Shipping_Days</t>
  </si>
  <si>
    <t>Order_Date</t>
  </si>
  <si>
    <t>Item_Id</t>
  </si>
  <si>
    <t>Quantity</t>
  </si>
  <si>
    <t>Product_Id</t>
  </si>
  <si>
    <t>product_info</t>
  </si>
  <si>
    <t>Product_Price</t>
  </si>
  <si>
    <t>Last_Name</t>
  </si>
  <si>
    <t>First_Name</t>
  </si>
  <si>
    <t>Unique identifier for an order</t>
  </si>
  <si>
    <t>Type of transaction made. It has values like DEBIT, PAYMENT, TRANSFER and CASH</t>
  </si>
  <si>
    <t>Unique identifier for the customer who placed the order; Acts as a foreign key to customer_info table</t>
  </si>
  <si>
    <t>Region of the world from where the order was shipped</t>
  </si>
  <si>
    <t>State of the region from where the order was shipped</t>
  </si>
  <si>
    <t>Customer's City</t>
  </si>
  <si>
    <t>Customer First Name</t>
  </si>
  <si>
    <t>Customer Last Name</t>
  </si>
  <si>
    <t>Customer's State</t>
  </si>
  <si>
    <t>Street Address of the customer</t>
  </si>
  <si>
    <t>Customer's Zipcode</t>
  </si>
  <si>
    <t>Department ID - Primary Key</t>
  </si>
  <si>
    <t>Category ID - Primary Key</t>
  </si>
  <si>
    <t>Customer ID - Primary Key</t>
  </si>
  <si>
    <t>Unique identifier of every product - Primary Key</t>
  </si>
  <si>
    <t>Order item code - Primary key</t>
  </si>
  <si>
    <t>Order Id to which the items ordered belong to; Foreign key to orders table</t>
  </si>
  <si>
    <t>Unique identifier of every product/item; Foreign key to product_info table</t>
  </si>
  <si>
    <t>Product category id - unique identifier of the category of the product; Foreign key to category table</t>
  </si>
  <si>
    <t>Department id - unique identifier of the department of the product; Foreign key to department table</t>
  </si>
  <si>
    <t>adidas Kids F5 Messi FG Soccer Cleat</t>
  </si>
  <si>
    <t>adidas Mens F10 Messi TRX FG Soccer Cleat</t>
  </si>
  <si>
    <t>Under Armour Mens Tech II T-Shirt</t>
  </si>
  <si>
    <t>Nike Mens Comfort 2 Slide</t>
  </si>
  <si>
    <t>Nike Womens Legend V-Neck T-Shirt</t>
  </si>
  <si>
    <t>Nike Womens Tempo Shorts</t>
  </si>
  <si>
    <t>Nike Mens Free 5.0+ Running Shoe</t>
  </si>
  <si>
    <t>Under Armour Womens Micro G Skulpt Running S</t>
  </si>
  <si>
    <t>Under Armour Kids Mercenary Slide</t>
  </si>
  <si>
    <t>Under Armour Womens Ignite Slide</t>
  </si>
  <si>
    <t>Under Armour Mens Compression EV SL Slide</t>
  </si>
  <si>
    <t>Under Armour Womens Ignite PIP VI Slide</t>
  </si>
  <si>
    <t>Nike Mens CJ Elite 2 TD Football Cleat</t>
  </si>
  <si>
    <t>Nike Mens Dri-FIT Victory Golf Polo</t>
  </si>
  <si>
    <t>Nike Mens Deutschland Weltmeister Winners Bl</t>
  </si>
  <si>
    <t>adidas Mens Germany Black Crest Away Tee</t>
  </si>
  <si>
    <t>TYR Boys Team Digi Jammer</t>
  </si>
  <si>
    <t>Under Armour Girls Toddler Spine Surge Runni</t>
  </si>
  <si>
    <t>Columbia Mens PFG Anchor Tough T-Shirt</t>
  </si>
  <si>
    <t>Top Flite Womens 2014 XL Hybrid</t>
  </si>
  <si>
    <t>LIJA Womens Eyelet Sleeveless Golf Polo</t>
  </si>
  <si>
    <t>Hirzl Mens Hybrid Golf Glove</t>
  </si>
  <si>
    <t>Hirzl Womens Hybrid Golf Glove</t>
  </si>
  <si>
    <t>Hirzl Womens Soffft Flex Golf Glove</t>
  </si>
  <si>
    <t>Glove It Womens Imperial Golf Glove</t>
  </si>
  <si>
    <t>Glove It Womens Mod Oval Golf Glove</t>
  </si>
  <si>
    <t>Glove It Womens Mod Oval 3-Zip Carry All Gol</t>
  </si>
  <si>
    <t>Diamondback Womens Serene Classic Comfort Bi</t>
  </si>
  <si>
    <t>OBrien Mens Neoprene Life Vest</t>
  </si>
  <si>
    <t>Childrens heaters</t>
  </si>
  <si>
    <t>Mens gala suit</t>
  </si>
  <si>
    <t>West Bengal</t>
  </si>
  <si>
    <t>Gujarat</t>
  </si>
  <si>
    <t>ammu and Kashmir</t>
  </si>
  <si>
    <t>Punjab</t>
  </si>
  <si>
    <t>Rajastan</t>
  </si>
  <si>
    <t>City from where order was shipped</t>
  </si>
  <si>
    <t>Month</t>
  </si>
  <si>
    <t>Year</t>
  </si>
  <si>
    <t>Row Labels</t>
  </si>
  <si>
    <t>Grand Total</t>
  </si>
  <si>
    <t>SALES</t>
  </si>
  <si>
    <t>Delayed Status</t>
  </si>
  <si>
    <t>Dept Name</t>
  </si>
  <si>
    <t>Sum of Sales</t>
  </si>
  <si>
    <t>Count of Order_Id</t>
  </si>
  <si>
    <t>DELAYED</t>
  </si>
  <si>
    <t xml:space="preserve"> ONTIME</t>
  </si>
  <si>
    <t>Order_Status_check</t>
  </si>
  <si>
    <t>COMPLETED</t>
  </si>
  <si>
    <t>Revenue</t>
  </si>
  <si>
    <t>Rate</t>
  </si>
  <si>
    <t>Dealyed rate</t>
  </si>
  <si>
    <t>Uncompleted Order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</si>
</sst>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16" fillId="0" borderId="0" xfId="0" applyFont="1"/>
    <xf numFmtId="0" fontId="16" fillId="33" borderId="0" xfId="0" applyFont="1" applyFill="1"/>
    <xf numFmtId="0" fontId="16" fillId="34" borderId="0" xfId="0" applyFont="1" applyFill="1"/>
    <xf numFmtId="14" fontId="0" fillId="0" borderId="0" xfId="0" applyNumberFormat="1"/>
    <xf numFmtId="0" fontId="16" fillId="35" borderId="0" xfId="0" applyFont="1" applyFill="1"/>
    <xf numFmtId="0" fontId="0" fillId="0" borderId="0" xfId="0" applyAlignment="1">
      <alignment wrapText="1"/>
    </xf>
    <xf numFmtId="164" fontId="0" fillId="0" borderId="0" xfId="0" applyNumberFormat="1"/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0" fillId="0" borderId="10" xfId="0" applyBorder="1"/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16" fillId="3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16" fillId="36" borderId="14" xfId="0" applyNumberFormat="1" applyFont="1" applyFill="1" applyBorder="1" applyAlignment="1">
      <alignment horizontal="center"/>
    </xf>
    <xf numFmtId="0" fontId="0" fillId="0" borderId="14" xfId="0" applyBorder="1"/>
    <xf numFmtId="9" fontId="0" fillId="0" borderId="0" xfId="42" applyFont="1" applyAlignment="1">
      <alignment horizontal="center"/>
    </xf>
    <xf numFmtId="9" fontId="0" fillId="0" borderId="14" xfId="42" applyFont="1" applyBorder="1" applyAlignment="1">
      <alignment horizontal="center"/>
    </xf>
    <xf numFmtId="0" fontId="0" fillId="0" borderId="15" xfId="0" applyBorder="1"/>
    <xf numFmtId="0" fontId="16" fillId="36" borderId="15" xfId="0" applyFont="1" applyFill="1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65" fontId="0" fillId="0" borderId="14" xfId="42" applyNumberFormat="1" applyFont="1" applyBorder="1" applyAlignment="1">
      <alignment horizontal="center"/>
    </xf>
    <xf numFmtId="9" fontId="0" fillId="0" borderId="14" xfId="42" applyNumberFormat="1" applyFont="1" applyBorder="1" applyAlignment="1">
      <alignment horizontal="center"/>
    </xf>
    <xf numFmtId="9" fontId="0" fillId="0" borderId="0" xfId="42" applyNumberFormat="1" applyFont="1"/>
    <xf numFmtId="0" fontId="0" fillId="0" borderId="0" xfId="0" applyBorder="1"/>
    <xf numFmtId="165" fontId="0" fillId="0" borderId="13" xfId="42" applyNumberFormat="1" applyFont="1" applyBorder="1"/>
    <xf numFmtId="0" fontId="16" fillId="37" borderId="14" xfId="0" applyFont="1" applyFill="1" applyBorder="1" applyAlignment="1">
      <alignment horizontal="center"/>
    </xf>
    <xf numFmtId="0" fontId="16" fillId="38" borderId="14" xfId="0" applyFont="1" applyFill="1" applyBorder="1" applyAlignment="1">
      <alignment horizontal="center"/>
    </xf>
    <xf numFmtId="0" fontId="16" fillId="39" borderId="14" xfId="0" applyFont="1" applyFill="1" applyBorder="1"/>
    <xf numFmtId="0" fontId="16" fillId="40" borderId="14" xfId="0" applyFont="1" applyFill="1" applyBorder="1" applyAlignment="1">
      <alignment horizontal="center"/>
    </xf>
    <xf numFmtId="0" fontId="16" fillId="41" borderId="14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0</xdr:rowOff>
        </xdr:from>
        <xdr:to>
          <xdr:col>1</xdr:col>
          <xdr:colOff>586740</xdr:colOff>
          <xdr:row>2</xdr:row>
          <xdr:rowOff>175260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6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0</xdr:row>
          <xdr:rowOff>15240</xdr:rowOff>
        </xdr:from>
        <xdr:to>
          <xdr:col>13</xdr:col>
          <xdr:colOff>525780</xdr:colOff>
          <xdr:row>3</xdr:row>
          <xdr:rowOff>7620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6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0</xdr:row>
          <xdr:rowOff>0</xdr:rowOff>
        </xdr:from>
        <xdr:to>
          <xdr:col>14</xdr:col>
          <xdr:colOff>22860</xdr:colOff>
          <xdr:row>3</xdr:row>
          <xdr:rowOff>7620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6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PAYMENT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0</xdr:rowOff>
        </xdr:from>
        <xdr:to>
          <xdr:col>8</xdr:col>
          <xdr:colOff>579120</xdr:colOff>
          <xdr:row>2</xdr:row>
          <xdr:rowOff>175260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3399DF2E-4007-8D62-3DE3-EDA8C065F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SHIPPING CHART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35.644622453707" createdVersion="8" refreshedVersion="8" minRefreshableVersion="3" recordCount="2152" xr:uid="{3AB119E0-0241-49E2-8494-C6BB12476DEE}">
  <cacheSource type="worksheet">
    <worksheetSource ref="A1:U2153" sheet="orders"/>
  </cacheSource>
  <cacheFields count="21">
    <cacheField name="Order_Id" numFmtId="0">
      <sharedItems containsSemiMixedTypes="0" containsString="0" containsNumber="1" containsInteger="1" minValue="20337" maxValue="77198"/>
    </cacheField>
    <cacheField name="Type" numFmtId="0">
      <sharedItems/>
    </cacheField>
    <cacheField name="Real_Shipping_Days" numFmtId="0">
      <sharedItems containsSemiMixedTypes="0" containsString="0" containsNumber="1" containsInteger="1" minValue="0" maxValue="6"/>
    </cacheField>
    <cacheField name="Scheduled_Shipping_Days" numFmtId="0">
      <sharedItems containsSemiMixedTypes="0" containsString="0" containsNumber="1" containsInteger="1" minValue="0" maxValue="4"/>
    </cacheField>
    <cacheField name="Delayed Status" numFmtId="0">
      <sharedItems/>
    </cacheField>
    <cacheField name="Item_Id" numFmtId="0">
      <sharedItems containsSemiMixedTypes="0" containsString="0" containsNumber="1" containsInteger="1" minValue="37" maxValue="1363"/>
    </cacheField>
    <cacheField name="Quantity" numFmtId="0">
      <sharedItems containsSemiMixedTypes="0" containsString="0" containsNumber="1" containsInteger="1" minValue="1" maxValue="5"/>
    </cacheField>
    <cacheField name="Sales" numFmtId="0">
      <sharedItems containsSemiMixedTypes="0" containsString="0" containsNumber="1" minValue="9.99" maxValue="1500"/>
    </cacheField>
    <cacheField name="Department_Id" numFmtId="0">
      <sharedItems containsSemiMixedTypes="0" containsString="0" containsNumber="1" containsInteger="1" minValue="2" maxValue="12"/>
    </cacheField>
    <cacheField name="Dept Name" numFmtId="0">
      <sharedItems/>
    </cacheField>
    <cacheField name="Customer_Id" numFmtId="0">
      <sharedItems containsSemiMixedTypes="0" containsString="0" containsNumber="1" containsInteger="1" minValue="1" maxValue="20751"/>
    </cacheField>
    <cacheField name="Order_City" numFmtId="0">
      <sharedItems/>
    </cacheField>
    <cacheField name="Order_Date" numFmtId="14">
      <sharedItems containsSemiMixedTypes="0" containsNonDate="0" containsDate="1" containsString="0" minDate="2018-10-23T00:00:00" maxDate="2021-01-31T00:00:00"/>
    </cacheField>
    <cacheField name="Month" numFmtId="1">
      <sharedItems containsSemiMixedTypes="0" containsString="0" containsNumber="1" containsInteger="1" minValue="1" maxValue="12"/>
    </cacheField>
    <cacheField name="Year" numFmtId="1">
      <sharedItems containsSemiMixedTypes="0" containsString="0" containsNumber="1" containsInteger="1" minValue="2018" maxValue="2021"/>
    </cacheField>
    <cacheField name="Order_Region" numFmtId="0">
      <sharedItems/>
    </cacheField>
    <cacheField name="Order_State" numFmtId="0">
      <sharedItems count="25">
        <s v="Maharashtra"/>
        <s v="Uttar Pradesh"/>
        <s v="Rajastan"/>
        <s v="Tamil Nadu"/>
        <s v="Gujarat"/>
        <s v="Manipur"/>
        <s v="West Bengal"/>
        <s v="Telangana"/>
        <s v="Karnataka"/>
        <s v="Assam"/>
        <s v="Haryana"/>
        <s v="Delhi"/>
        <s v="Jharkhand"/>
        <s v="Odisha"/>
        <s v="Madhya Pradesh"/>
        <s v="Andhra Pradesh"/>
        <s v="Punjab"/>
        <s v="Bihar"/>
        <s v="Chhattisgarh"/>
        <s v="Uttarakhand"/>
        <s v="Kerala"/>
        <s v="ammu and Kashmir"/>
        <s v="Chandigarh"/>
        <s v="Puducherry"/>
        <s v="Tripura"/>
      </sharedItems>
    </cacheField>
    <cacheField name="Order_Status" numFmtId="0">
      <sharedItems/>
    </cacheField>
    <cacheField name="Order_Status_check" numFmtId="0">
      <sharedItems/>
    </cacheField>
    <cacheField name="Shipping_Mode" numFmtId="0">
      <sharedItems/>
    </cacheField>
    <cacheField name="SALES2" numFmtId="0">
      <sharedItems containsSemiMixedTypes="0" containsString="0" containsNumber="1" minValue="9.99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2">
  <r>
    <n v="20337"/>
    <s v="DEBIT"/>
    <n v="3"/>
    <n v="4"/>
    <s v=" ONTIME"/>
    <n v="1004"/>
    <n v="1"/>
    <n v="399.98"/>
    <n v="7"/>
    <s v="Fan Shop"/>
    <n v="8838"/>
    <s v="Kolhapur"/>
    <d v="2018-10-23T00:00:00"/>
    <n v="10"/>
    <n v="2018"/>
    <s v="South Asia"/>
    <x v="0"/>
    <s v="ON_HOLD"/>
    <s v="PENDING"/>
    <s v="Standard Class"/>
    <n v="399.98"/>
  </r>
  <r>
    <n v="20338"/>
    <s v="PAYMENT"/>
    <n v="4"/>
    <n v="4"/>
    <s v=" ONTIME"/>
    <n v="365"/>
    <n v="2"/>
    <n v="119.98"/>
    <n v="4"/>
    <s v="Apparel"/>
    <n v="5231"/>
    <s v="Kolhapur"/>
    <d v="2018-10-23T00:00:00"/>
    <n v="10"/>
    <n v="2018"/>
    <s v="South Asia"/>
    <x v="0"/>
    <s v="PENDING_PAYMENT"/>
    <s v="PENDING"/>
    <s v="Standard Class"/>
    <n v="119.98"/>
  </r>
  <r>
    <n v="20346"/>
    <s v="DEBIT"/>
    <n v="2"/>
    <n v="2"/>
    <s v=" ONTIME"/>
    <n v="1004"/>
    <n v="1"/>
    <n v="399.98"/>
    <n v="7"/>
    <s v="Fan Shop"/>
    <n v="6365"/>
    <s v="Bareilly"/>
    <d v="2018-10-23T00:00:00"/>
    <n v="10"/>
    <n v="2018"/>
    <s v="South Asia"/>
    <x v="1"/>
    <s v="COMPLETE"/>
    <s v="COMPLETED"/>
    <s v="Second Class"/>
    <n v="399.98"/>
  </r>
  <r>
    <n v="20361"/>
    <s v="TRANSFER"/>
    <n v="2"/>
    <n v="2"/>
    <s v=" ONTIME"/>
    <n v="365"/>
    <n v="1"/>
    <n v="59.99"/>
    <n v="4"/>
    <s v="Apparel"/>
    <n v="5217"/>
    <s v="Raipur"/>
    <d v="2018-10-24T00:00:00"/>
    <n v="10"/>
    <n v="2018"/>
    <s v="South Asia"/>
    <x v="2"/>
    <s v="PENDING"/>
    <s v="PENDING"/>
    <s v="Second Class"/>
    <n v="59.99"/>
  </r>
  <r>
    <n v="20363"/>
    <s v="TRANSFER"/>
    <n v="4"/>
    <n v="2"/>
    <s v="DELAYED"/>
    <n v="403"/>
    <n v="1"/>
    <n v="129.99"/>
    <n v="4"/>
    <s v="Apparel"/>
    <n v="7667"/>
    <s v="Raipur"/>
    <d v="2018-10-24T00:00:00"/>
    <n v="10"/>
    <n v="2018"/>
    <s v="South Asia"/>
    <x v="2"/>
    <s v="PENDING"/>
    <s v="PENDING"/>
    <s v="Second Class"/>
    <n v="129.99"/>
  </r>
  <r>
    <n v="20364"/>
    <s v="DEBIT"/>
    <n v="5"/>
    <n v="2"/>
    <s v="DELAYED"/>
    <n v="403"/>
    <n v="1"/>
    <n v="129.99"/>
    <n v="4"/>
    <s v="Apparel"/>
    <n v="12346"/>
    <s v="Raipur"/>
    <d v="2018-10-24T00:00:00"/>
    <n v="10"/>
    <n v="2018"/>
    <s v="South Asia"/>
    <x v="2"/>
    <s v="ON_HOLD"/>
    <s v="PENDING"/>
    <s v="Second Class"/>
    <n v="129.99"/>
  </r>
  <r>
    <n v="20365"/>
    <s v="PAYMENT"/>
    <n v="6"/>
    <n v="2"/>
    <s v="DELAYED"/>
    <n v="502"/>
    <n v="2"/>
    <n v="100"/>
    <n v="5"/>
    <s v="Golf"/>
    <n v="8011"/>
    <s v="Raipur"/>
    <d v="2018-10-24T00:00:00"/>
    <n v="10"/>
    <n v="2018"/>
    <s v="South Asia"/>
    <x v="2"/>
    <s v="PENDING_PAYMENT"/>
    <s v="PENDING"/>
    <s v="Second Class"/>
    <n v="100"/>
  </r>
  <r>
    <n v="20366"/>
    <s v="TRANSFER"/>
    <n v="2"/>
    <n v="2"/>
    <s v=" ONTIME"/>
    <n v="365"/>
    <n v="2"/>
    <n v="119.98"/>
    <n v="4"/>
    <s v="Apparel"/>
    <n v="10746"/>
    <s v="Raipur"/>
    <d v="2018-10-24T00:00:00"/>
    <n v="10"/>
    <n v="2018"/>
    <s v="South Asia"/>
    <x v="2"/>
    <s v="PROCESSING"/>
    <s v="PENDING"/>
    <s v="Second Class"/>
    <n v="119.98"/>
  </r>
  <r>
    <n v="20368"/>
    <s v="DEBIT"/>
    <n v="4"/>
    <n v="4"/>
    <s v=" ONTIME"/>
    <n v="191"/>
    <n v="5"/>
    <n v="499.95"/>
    <n v="3"/>
    <s v="Footwear"/>
    <n v="2497"/>
    <s v="Varanasi"/>
    <d v="2018-10-24T00:00:00"/>
    <n v="10"/>
    <n v="2018"/>
    <s v="South Asia"/>
    <x v="1"/>
    <s v="COMPLETE"/>
    <s v="COMPLETED"/>
    <s v="Standard Class"/>
    <n v="499.95"/>
  </r>
  <r>
    <n v="20380"/>
    <s v="DEBIT"/>
    <n v="6"/>
    <n v="4"/>
    <s v="DELAYED"/>
    <n v="957"/>
    <n v="1"/>
    <n v="299.98"/>
    <n v="7"/>
    <s v="Fan Shop"/>
    <n v="6950"/>
    <s v="Kanpur"/>
    <d v="2018-10-24T00:00:00"/>
    <n v="10"/>
    <n v="2018"/>
    <s v="South Asia"/>
    <x v="1"/>
    <s v="COMPLETE"/>
    <s v="COMPLETED"/>
    <s v="Standard Class"/>
    <n v="299.98"/>
  </r>
  <r>
    <n v="20381"/>
    <s v="DEBIT"/>
    <n v="2"/>
    <n v="4"/>
    <s v=" ONTIME"/>
    <n v="1073"/>
    <n v="1"/>
    <n v="199.99"/>
    <n v="7"/>
    <s v="Fan Shop"/>
    <n v="716"/>
    <s v="Kanpur"/>
    <d v="2018-10-24T00:00:00"/>
    <n v="10"/>
    <n v="2018"/>
    <s v="South Asia"/>
    <x v="1"/>
    <s v="COMPLETE"/>
    <s v="COMPLETED"/>
    <s v="Standard Class"/>
    <n v="199.99"/>
  </r>
  <r>
    <n v="20407"/>
    <s v="TRANSFER"/>
    <n v="3"/>
    <n v="2"/>
    <s v="DELAYED"/>
    <n v="957"/>
    <n v="1"/>
    <n v="299.98"/>
    <n v="7"/>
    <s v="Fan Shop"/>
    <n v="8027"/>
    <s v="Chennai"/>
    <d v="2018-10-24T00:00:00"/>
    <n v="10"/>
    <n v="2018"/>
    <s v="South Asia"/>
    <x v="3"/>
    <s v="PROCESSING"/>
    <s v="PENDING"/>
    <s v="Second Class"/>
    <n v="299.98"/>
  </r>
  <r>
    <n v="20408"/>
    <s v="DEBIT"/>
    <n v="2"/>
    <n v="1"/>
    <s v="DELAYED"/>
    <n v="403"/>
    <n v="1"/>
    <n v="129.99"/>
    <n v="4"/>
    <s v="Apparel"/>
    <n v="1523"/>
    <s v="Chennai"/>
    <d v="2018-10-24T00:00:00"/>
    <n v="10"/>
    <n v="2018"/>
    <s v="South Asia"/>
    <x v="3"/>
    <s v="ON_HOLD"/>
    <s v="PENDING"/>
    <s v="First Class"/>
    <n v="129.99"/>
  </r>
  <r>
    <n v="20424"/>
    <s v="DEBIT"/>
    <n v="5"/>
    <n v="4"/>
    <s v="DELAYED"/>
    <n v="403"/>
    <n v="1"/>
    <n v="129.99"/>
    <n v="4"/>
    <s v="Apparel"/>
    <n v="4830"/>
    <s v="Bhavnagar"/>
    <d v="2018-10-25T00:00:00"/>
    <n v="10"/>
    <n v="2018"/>
    <s v="South Asia"/>
    <x v="4"/>
    <s v="ON_HOLD"/>
    <s v="PENDING"/>
    <s v="Standard Class"/>
    <n v="129.99"/>
  </r>
  <r>
    <n v="20426"/>
    <s v="TRANSFER"/>
    <n v="2"/>
    <n v="4"/>
    <s v=" ONTIME"/>
    <n v="135"/>
    <n v="3"/>
    <n v="66"/>
    <n v="2"/>
    <s v="Fitness"/>
    <n v="8660"/>
    <s v="Imphal"/>
    <d v="2018-10-25T00:00:00"/>
    <n v="10"/>
    <n v="2018"/>
    <s v="South Asia"/>
    <x v="5"/>
    <s v="PENDING"/>
    <s v="PENDING"/>
    <s v="Standard Class"/>
    <n v="66"/>
  </r>
  <r>
    <n v="20428"/>
    <s v="TRANSFER"/>
    <n v="4"/>
    <n v="4"/>
    <s v=" ONTIME"/>
    <n v="1014"/>
    <n v="2"/>
    <n v="99.96"/>
    <n v="7"/>
    <s v="Fan Shop"/>
    <n v="1537"/>
    <s v="Imphal"/>
    <d v="2018-10-25T00:00:00"/>
    <n v="10"/>
    <n v="2018"/>
    <s v="South Asia"/>
    <x v="5"/>
    <s v="PROCESSING"/>
    <s v="PENDING"/>
    <s v="Standard Class"/>
    <n v="99.96"/>
  </r>
  <r>
    <n v="20429"/>
    <s v="TRANSFER"/>
    <n v="5"/>
    <n v="4"/>
    <s v="DELAYED"/>
    <n v="627"/>
    <n v="1"/>
    <n v="39.99"/>
    <n v="5"/>
    <s v="Golf"/>
    <n v="1266"/>
    <s v="Imphal"/>
    <d v="2018-10-25T00:00:00"/>
    <n v="10"/>
    <n v="2018"/>
    <s v="South Asia"/>
    <x v="5"/>
    <s v="CANCELED"/>
    <s v="CANCELED"/>
    <s v="Standard Class"/>
    <n v="39.99"/>
  </r>
  <r>
    <n v="20453"/>
    <s v="CASH"/>
    <n v="4"/>
    <n v="4"/>
    <s v=" ONTIME"/>
    <n v="502"/>
    <n v="1"/>
    <n v="50"/>
    <n v="5"/>
    <s v="Golf"/>
    <n v="11848"/>
    <s v="Barddhaman"/>
    <d v="2018-10-25T00:00:00"/>
    <n v="10"/>
    <n v="2018"/>
    <s v="South Asia"/>
    <x v="6"/>
    <s v="CLOSED"/>
    <s v="PENDING"/>
    <s v="Standard Class"/>
    <n v="50"/>
  </r>
  <r>
    <n v="20454"/>
    <s v="DEBIT"/>
    <n v="2"/>
    <n v="1"/>
    <s v="DELAYED"/>
    <n v="1004"/>
    <n v="1"/>
    <n v="399.98"/>
    <n v="7"/>
    <s v="Fan Shop"/>
    <n v="9249"/>
    <s v="Barddhaman"/>
    <d v="2018-10-25T00:00:00"/>
    <n v="10"/>
    <n v="2018"/>
    <s v="South Asia"/>
    <x v="6"/>
    <s v="COMPLETE"/>
    <s v="COMPLETED"/>
    <s v="First Class"/>
    <n v="399.98"/>
  </r>
  <r>
    <n v="20492"/>
    <s v="DEBIT"/>
    <n v="3"/>
    <n v="4"/>
    <s v=" ONTIME"/>
    <n v="957"/>
    <n v="1"/>
    <n v="299.98"/>
    <n v="7"/>
    <s v="Fan Shop"/>
    <n v="2780"/>
    <s v="Warangal"/>
    <d v="2018-10-26T00:00:00"/>
    <n v="10"/>
    <n v="2018"/>
    <s v="South Asia"/>
    <x v="7"/>
    <s v="COMPLETE"/>
    <s v="COMPLETED"/>
    <s v="Standard Class"/>
    <n v="299.98"/>
  </r>
  <r>
    <n v="20500"/>
    <s v="CASH"/>
    <n v="6"/>
    <n v="4"/>
    <s v="DELAYED"/>
    <n v="797"/>
    <n v="4"/>
    <n v="71.959999999999994"/>
    <n v="6"/>
    <s v="Outdoors"/>
    <n v="2716"/>
    <s v="Kamarhati"/>
    <d v="2018-10-26T00:00:00"/>
    <n v="10"/>
    <n v="2018"/>
    <s v="South Asia"/>
    <x v="6"/>
    <s v="CLOSED"/>
    <s v="PENDING"/>
    <s v="Standard Class"/>
    <n v="71.959999999999994"/>
  </r>
  <r>
    <n v="20513"/>
    <s v="DEBIT"/>
    <n v="4"/>
    <n v="2"/>
    <s v="DELAYED"/>
    <n v="134"/>
    <n v="4"/>
    <n v="100"/>
    <n v="2"/>
    <s v="Fitness"/>
    <n v="9295"/>
    <s v="Hubli"/>
    <d v="2018-10-26T00:00:00"/>
    <n v="10"/>
    <n v="2018"/>
    <s v="South Asia"/>
    <x v="8"/>
    <s v="COMPLETE"/>
    <s v="COMPLETED"/>
    <s v="Second Class"/>
    <n v="100"/>
  </r>
  <r>
    <n v="20514"/>
    <s v="CASH"/>
    <n v="5"/>
    <n v="2"/>
    <s v="DELAYED"/>
    <n v="403"/>
    <n v="1"/>
    <n v="129.99"/>
    <n v="4"/>
    <s v="Apparel"/>
    <n v="10120"/>
    <s v="Hubli"/>
    <d v="2018-10-26T00:00:00"/>
    <n v="10"/>
    <n v="2018"/>
    <s v="South Asia"/>
    <x v="8"/>
    <s v="CLOSED"/>
    <s v="PENDING"/>
    <s v="Second Class"/>
    <n v="129.99"/>
  </r>
  <r>
    <n v="20530"/>
    <s v="PAYMENT"/>
    <n v="6"/>
    <n v="4"/>
    <s v="DELAYED"/>
    <n v="235"/>
    <n v="1"/>
    <n v="34.99"/>
    <n v="3"/>
    <s v="Footwear"/>
    <n v="1301"/>
    <s v="Jaipur"/>
    <d v="2018-10-26T00:00:00"/>
    <n v="10"/>
    <n v="2018"/>
    <s v="South Asia"/>
    <x v="2"/>
    <s v="PENDING_PAYMENT"/>
    <s v="PENDING"/>
    <s v="Standard Class"/>
    <n v="34.99"/>
  </r>
  <r>
    <n v="20548"/>
    <s v="PAYMENT"/>
    <n v="4"/>
    <n v="2"/>
    <s v="DELAYED"/>
    <n v="1073"/>
    <n v="1"/>
    <n v="199.99"/>
    <n v="7"/>
    <s v="Fan Shop"/>
    <n v="3747"/>
    <s v="Kamarhati"/>
    <d v="2018-10-26T00:00:00"/>
    <n v="10"/>
    <n v="2018"/>
    <s v="South Asia"/>
    <x v="6"/>
    <s v="PENDING_PAYMENT"/>
    <s v="PENDING"/>
    <s v="Second Class"/>
    <n v="199.99"/>
  </r>
  <r>
    <n v="20549"/>
    <s v="PAYMENT"/>
    <n v="5"/>
    <n v="4"/>
    <s v="DELAYED"/>
    <n v="1014"/>
    <n v="4"/>
    <n v="199.92"/>
    <n v="7"/>
    <s v="Fan Shop"/>
    <n v="10131"/>
    <s v="Kamarhati"/>
    <d v="2018-10-26T00:00:00"/>
    <n v="10"/>
    <n v="2018"/>
    <s v="South Asia"/>
    <x v="6"/>
    <s v="PENDING_PAYMENT"/>
    <s v="PENDING"/>
    <s v="Standard Class"/>
    <n v="199.92"/>
  </r>
  <r>
    <n v="20567"/>
    <s v="DEBIT"/>
    <n v="3"/>
    <n v="4"/>
    <s v=" ONTIME"/>
    <n v="1004"/>
    <n v="1"/>
    <n v="399.98"/>
    <n v="7"/>
    <s v="Fan Shop"/>
    <n v="10447"/>
    <s v="Madurai"/>
    <d v="2018-10-27T00:00:00"/>
    <n v="10"/>
    <n v="2018"/>
    <s v="South Asia"/>
    <x v="3"/>
    <s v="ON_HOLD"/>
    <s v="PENDING"/>
    <s v="Standard Class"/>
    <n v="399.98"/>
  </r>
  <r>
    <n v="20568"/>
    <s v="DEBIT"/>
    <n v="4"/>
    <n v="4"/>
    <s v=" ONTIME"/>
    <n v="1004"/>
    <n v="1"/>
    <n v="399.98"/>
    <n v="7"/>
    <s v="Fan Shop"/>
    <n v="7124"/>
    <s v="Pune"/>
    <d v="2018-10-27T00:00:00"/>
    <n v="10"/>
    <n v="2018"/>
    <s v="South Asia"/>
    <x v="0"/>
    <s v="COMPLETE"/>
    <s v="COMPLETED"/>
    <s v="Standard Class"/>
    <n v="399.98"/>
  </r>
  <r>
    <n v="20581"/>
    <s v="PAYMENT"/>
    <n v="2"/>
    <n v="4"/>
    <s v=" ONTIME"/>
    <n v="249"/>
    <n v="1"/>
    <n v="54.97"/>
    <n v="3"/>
    <s v="Footwear"/>
    <n v="4903"/>
    <s v="Kanpur"/>
    <d v="2018-10-27T00:00:00"/>
    <n v="10"/>
    <n v="2018"/>
    <s v="South Asia"/>
    <x v="1"/>
    <s v="PENDING_PAYMENT"/>
    <s v="PENDING"/>
    <s v="Standard Class"/>
    <n v="54.97"/>
  </r>
  <r>
    <n v="20583"/>
    <s v="PAYMENT"/>
    <n v="4"/>
    <n v="4"/>
    <s v=" ONTIME"/>
    <n v="1004"/>
    <n v="1"/>
    <n v="399.98"/>
    <n v="7"/>
    <s v="Fan Shop"/>
    <n v="3816"/>
    <s v="Kanpur"/>
    <d v="2018-10-27T00:00:00"/>
    <n v="10"/>
    <n v="2018"/>
    <s v="South Asia"/>
    <x v="1"/>
    <s v="PENDING_PAYMENT"/>
    <s v="PENDING"/>
    <s v="Standard Class"/>
    <n v="399.98"/>
  </r>
  <r>
    <n v="20585"/>
    <s v="TRANSFER"/>
    <n v="6"/>
    <n v="2"/>
    <s v="DELAYED"/>
    <n v="403"/>
    <n v="1"/>
    <n v="129.99"/>
    <n v="4"/>
    <s v="Apparel"/>
    <n v="2058"/>
    <s v="Hyderabad"/>
    <d v="2018-10-27T00:00:00"/>
    <n v="10"/>
    <n v="2018"/>
    <s v="South Asia"/>
    <x v="7"/>
    <s v="PENDING"/>
    <s v="PENDING"/>
    <s v="Second Class"/>
    <n v="129.99"/>
  </r>
  <r>
    <n v="20605"/>
    <s v="TRANSFER"/>
    <n v="6"/>
    <n v="4"/>
    <s v="DELAYED"/>
    <n v="502"/>
    <n v="2"/>
    <n v="100"/>
    <n v="5"/>
    <s v="Golf"/>
    <n v="2688"/>
    <s v="Mumbai"/>
    <d v="2018-10-27T00:00:00"/>
    <n v="10"/>
    <n v="2018"/>
    <s v="South Asia"/>
    <x v="0"/>
    <s v="PENDING"/>
    <s v="PENDING"/>
    <s v="Standard Class"/>
    <n v="100"/>
  </r>
  <r>
    <n v="20624"/>
    <s v="DEBIT"/>
    <n v="5"/>
    <n v="4"/>
    <s v="DELAYED"/>
    <n v="1014"/>
    <n v="3"/>
    <n v="149.94"/>
    <n v="7"/>
    <s v="Fan Shop"/>
    <n v="6803"/>
    <s v="Lucknow"/>
    <d v="2018-10-28T00:00:00"/>
    <n v="10"/>
    <n v="2018"/>
    <s v="South Asia"/>
    <x v="1"/>
    <s v="COMPLETE"/>
    <s v="COMPLETED"/>
    <s v="Standard Class"/>
    <n v="149.94"/>
  </r>
  <r>
    <n v="20625"/>
    <s v="DEBIT"/>
    <n v="6"/>
    <n v="4"/>
    <s v="DELAYED"/>
    <n v="365"/>
    <n v="4"/>
    <n v="239.96"/>
    <n v="4"/>
    <s v="Apparel"/>
    <n v="545"/>
    <s v="Chennai"/>
    <d v="2018-10-28T00:00:00"/>
    <n v="10"/>
    <n v="2018"/>
    <s v="South Asia"/>
    <x v="3"/>
    <s v="COMPLETE"/>
    <s v="COMPLETED"/>
    <s v="Standard Class"/>
    <n v="239.96"/>
  </r>
  <r>
    <n v="20631"/>
    <s v="PAYMENT"/>
    <n v="2"/>
    <n v="1"/>
    <s v="DELAYED"/>
    <n v="403"/>
    <n v="1"/>
    <n v="129.99"/>
    <n v="4"/>
    <s v="Apparel"/>
    <n v="8754"/>
    <s v="Guwahati"/>
    <d v="2018-10-28T00:00:00"/>
    <n v="10"/>
    <n v="2018"/>
    <s v="South Asia"/>
    <x v="9"/>
    <s v="PENDING_PAYMENT"/>
    <s v="PENDING"/>
    <s v="First Class"/>
    <n v="129.99"/>
  </r>
  <r>
    <n v="20678"/>
    <s v="DEBIT"/>
    <n v="2"/>
    <n v="1"/>
    <s v="DELAYED"/>
    <n v="403"/>
    <n v="1"/>
    <n v="129.99"/>
    <n v="4"/>
    <s v="Apparel"/>
    <n v="4768"/>
    <s v="Faridabad"/>
    <d v="2018-10-28T00:00:00"/>
    <n v="10"/>
    <n v="2018"/>
    <s v="South Asia"/>
    <x v="10"/>
    <s v="ON_HOLD"/>
    <s v="PENDING"/>
    <s v="First Class"/>
    <n v="129.99"/>
  </r>
  <r>
    <n v="20691"/>
    <s v="TRANSFER"/>
    <n v="2"/>
    <n v="4"/>
    <s v=" ONTIME"/>
    <n v="365"/>
    <n v="1"/>
    <n v="59.99"/>
    <n v="4"/>
    <s v="Apparel"/>
    <n v="8898"/>
    <s v="Durgapur"/>
    <d v="2018-10-29T00:00:00"/>
    <n v="10"/>
    <n v="2018"/>
    <s v="South Asia"/>
    <x v="6"/>
    <s v="PENDING"/>
    <s v="PENDING"/>
    <s v="Standard Class"/>
    <n v="59.99"/>
  </r>
  <r>
    <n v="20703"/>
    <s v="TRANSFER"/>
    <n v="4"/>
    <n v="4"/>
    <s v=" ONTIME"/>
    <n v="365"/>
    <n v="1"/>
    <n v="59.99"/>
    <n v="4"/>
    <s v="Apparel"/>
    <n v="6765"/>
    <s v="Surat"/>
    <d v="2018-10-29T00:00:00"/>
    <n v="10"/>
    <n v="2018"/>
    <s v="South Asia"/>
    <x v="4"/>
    <s v="PROCESSING"/>
    <s v="PENDING"/>
    <s v="Standard Class"/>
    <n v="59.99"/>
  </r>
  <r>
    <n v="20704"/>
    <s v="DEBIT"/>
    <n v="5"/>
    <n v="4"/>
    <s v="DELAYED"/>
    <n v="502"/>
    <n v="5"/>
    <n v="250"/>
    <n v="5"/>
    <s v="Golf"/>
    <n v="1480"/>
    <s v="Hyderabad"/>
    <d v="2018-10-29T00:00:00"/>
    <n v="10"/>
    <n v="2018"/>
    <s v="South Asia"/>
    <x v="7"/>
    <s v="COMPLETE"/>
    <s v="COMPLETED"/>
    <s v="Standard Class"/>
    <n v="250"/>
  </r>
  <r>
    <n v="20721"/>
    <s v="CASH"/>
    <n v="2"/>
    <n v="2"/>
    <s v=" ONTIME"/>
    <n v="191"/>
    <n v="5"/>
    <n v="499.95"/>
    <n v="3"/>
    <s v="Footwear"/>
    <n v="1390"/>
    <s v="Kanpur"/>
    <d v="2018-10-29T00:00:00"/>
    <n v="10"/>
    <n v="2018"/>
    <s v="South Asia"/>
    <x v="1"/>
    <s v="CLOSED"/>
    <s v="PENDING"/>
    <s v="Second Class"/>
    <n v="499.95"/>
  </r>
  <r>
    <n v="20727"/>
    <s v="TRANSFER"/>
    <n v="3"/>
    <n v="4"/>
    <s v=" ONTIME"/>
    <n v="403"/>
    <n v="1"/>
    <n v="129.99"/>
    <n v="4"/>
    <s v="Apparel"/>
    <n v="11148"/>
    <s v="Bellary"/>
    <d v="2018-10-29T00:00:00"/>
    <n v="10"/>
    <n v="2018"/>
    <s v="South Asia"/>
    <x v="8"/>
    <s v="PENDING"/>
    <s v="PENDING"/>
    <s v="Standard Class"/>
    <n v="129.99"/>
  </r>
  <r>
    <n v="20730"/>
    <s v="CASH"/>
    <n v="6"/>
    <n v="4"/>
    <s v="DELAYED"/>
    <n v="403"/>
    <n v="1"/>
    <n v="129.99"/>
    <n v="4"/>
    <s v="Apparel"/>
    <n v="8460"/>
    <s v="Hapur"/>
    <d v="2018-10-29T00:00:00"/>
    <n v="10"/>
    <n v="2018"/>
    <s v="South Asia"/>
    <x v="1"/>
    <s v="CLOSED"/>
    <s v="PENDING"/>
    <s v="Standard Class"/>
    <n v="129.99"/>
  </r>
  <r>
    <n v="20745"/>
    <s v="PAYMENT"/>
    <n v="2"/>
    <n v="1"/>
    <s v="DELAYED"/>
    <n v="403"/>
    <n v="1"/>
    <n v="129.99"/>
    <n v="4"/>
    <s v="Apparel"/>
    <n v="10373"/>
    <s v="Delhi"/>
    <d v="2018-10-29T00:00:00"/>
    <n v="10"/>
    <n v="2018"/>
    <s v="South Asia"/>
    <x v="11"/>
    <s v="PENDING_PAYMENT"/>
    <s v="PENDING"/>
    <s v="First Class"/>
    <n v="129.99"/>
  </r>
  <r>
    <n v="20752"/>
    <s v="CASH"/>
    <n v="3"/>
    <n v="4"/>
    <s v=" ONTIME"/>
    <n v="1014"/>
    <n v="5"/>
    <n v="249.9"/>
    <n v="7"/>
    <s v="Fan Shop"/>
    <n v="6786"/>
    <s v="Allahabad"/>
    <d v="2018-10-29T00:00:00"/>
    <n v="10"/>
    <n v="2018"/>
    <s v="South Asia"/>
    <x v="1"/>
    <s v="CLOSED"/>
    <s v="PENDING"/>
    <s v="Standard Class"/>
    <n v="249.9"/>
  </r>
  <r>
    <n v="20753"/>
    <s v="TRANSFER"/>
    <n v="4"/>
    <n v="4"/>
    <s v=" ONTIME"/>
    <n v="365"/>
    <n v="1"/>
    <n v="59.99"/>
    <n v="4"/>
    <s v="Apparel"/>
    <n v="5831"/>
    <s v="Allahabad"/>
    <d v="2018-10-29T00:00:00"/>
    <n v="10"/>
    <n v="2018"/>
    <s v="South Asia"/>
    <x v="1"/>
    <s v="SUSPECTED_FRAUD"/>
    <s v="PENDING"/>
    <s v="Standard Class"/>
    <n v="59.99"/>
  </r>
  <r>
    <n v="20758"/>
    <s v="TRANSFER"/>
    <n v="4"/>
    <n v="4"/>
    <s v=" ONTIME"/>
    <n v="44"/>
    <n v="4"/>
    <n v="239.96"/>
    <n v="2"/>
    <s v="Fitness"/>
    <n v="1028"/>
    <s v="Ranchi"/>
    <d v="2018-10-30T00:00:00"/>
    <n v="10"/>
    <n v="2018"/>
    <s v="South Asia"/>
    <x v="12"/>
    <s v="PROCESSING"/>
    <s v="PENDING"/>
    <s v="Standard Class"/>
    <n v="239.96"/>
  </r>
  <r>
    <n v="20780"/>
    <s v="DEBIT"/>
    <n v="6"/>
    <n v="2"/>
    <s v="DELAYED"/>
    <n v="1004"/>
    <n v="1"/>
    <n v="399.98"/>
    <n v="7"/>
    <s v="Fan Shop"/>
    <n v="9759"/>
    <s v="Brahmapur"/>
    <d v="2018-10-30T00:00:00"/>
    <n v="10"/>
    <n v="2018"/>
    <s v="South Asia"/>
    <x v="13"/>
    <s v="COMPLETE"/>
    <s v="COMPLETED"/>
    <s v="Second Class"/>
    <n v="399.98"/>
  </r>
  <r>
    <n v="20781"/>
    <s v="TRANSFER"/>
    <n v="2"/>
    <n v="2"/>
    <s v=" ONTIME"/>
    <n v="778"/>
    <n v="3"/>
    <n v="74.97"/>
    <n v="6"/>
    <s v="Outdoors"/>
    <n v="10213"/>
    <s v="Bhatpara"/>
    <d v="2018-10-30T00:00:00"/>
    <n v="10"/>
    <n v="2018"/>
    <s v="South Asia"/>
    <x v="6"/>
    <s v="PROCESSING"/>
    <s v="PENDING"/>
    <s v="Second Class"/>
    <n v="74.97"/>
  </r>
  <r>
    <n v="20799"/>
    <s v="DEBIT"/>
    <n v="5"/>
    <n v="2"/>
    <s v="DELAYED"/>
    <n v="365"/>
    <n v="1"/>
    <n v="59.99"/>
    <n v="4"/>
    <s v="Apparel"/>
    <n v="10442"/>
    <s v="Jodhpur"/>
    <d v="2018-10-30T00:00:00"/>
    <n v="10"/>
    <n v="2018"/>
    <s v="South Asia"/>
    <x v="2"/>
    <s v="COMPLETE"/>
    <s v="COMPLETED"/>
    <s v="Second Class"/>
    <n v="59.99"/>
  </r>
  <r>
    <n v="20827"/>
    <s v="DEBIT"/>
    <n v="3"/>
    <n v="2"/>
    <s v="DELAYED"/>
    <n v="365"/>
    <n v="1"/>
    <n v="59.99"/>
    <n v="4"/>
    <s v="Apparel"/>
    <n v="8715"/>
    <s v="Ujjain"/>
    <d v="2018-10-31T00:00:00"/>
    <n v="10"/>
    <n v="2018"/>
    <s v="South Asia"/>
    <x v="14"/>
    <s v="COMPLETE"/>
    <s v="COMPLETED"/>
    <s v="Second Class"/>
    <n v="59.99"/>
  </r>
  <r>
    <n v="20828"/>
    <s v="TRANSFER"/>
    <n v="4"/>
    <n v="2"/>
    <s v="DELAYED"/>
    <n v="37"/>
    <n v="5"/>
    <n v="174.95"/>
    <n v="2"/>
    <s v="Fitness"/>
    <n v="3833"/>
    <s v="Ujjain"/>
    <d v="2018-10-31T00:00:00"/>
    <n v="10"/>
    <n v="2018"/>
    <s v="South Asia"/>
    <x v="14"/>
    <s v="PROCESSING"/>
    <s v="PENDING"/>
    <s v="Second Class"/>
    <n v="174.95"/>
  </r>
  <r>
    <n v="20829"/>
    <s v="DEBIT"/>
    <n v="5"/>
    <n v="2"/>
    <s v="DELAYED"/>
    <n v="1004"/>
    <n v="1"/>
    <n v="399.98"/>
    <n v="7"/>
    <s v="Fan Shop"/>
    <n v="11489"/>
    <s v="Ujjain"/>
    <d v="2018-10-31T00:00:00"/>
    <n v="10"/>
    <n v="2018"/>
    <s v="South Asia"/>
    <x v="14"/>
    <s v="COMPLETE"/>
    <s v="COMPLETED"/>
    <s v="Second Class"/>
    <n v="399.98"/>
  </r>
  <r>
    <n v="20833"/>
    <s v="DEBIT"/>
    <n v="4"/>
    <n v="4"/>
    <s v=" ONTIME"/>
    <n v="957"/>
    <n v="1"/>
    <n v="299.98"/>
    <n v="7"/>
    <s v="Fan Shop"/>
    <n v="1577"/>
    <s v="Avadi"/>
    <d v="2018-10-31T00:00:00"/>
    <n v="10"/>
    <n v="2018"/>
    <s v="South Asia"/>
    <x v="3"/>
    <s v="COMPLETE"/>
    <s v="COMPLETED"/>
    <s v="Standard Class"/>
    <n v="299.98"/>
  </r>
  <r>
    <n v="20836"/>
    <s v="PAYMENT"/>
    <n v="2"/>
    <n v="4"/>
    <s v=" ONTIME"/>
    <n v="365"/>
    <n v="1"/>
    <n v="59.99"/>
    <n v="4"/>
    <s v="Apparel"/>
    <n v="3175"/>
    <s v="Bhubaneswar"/>
    <d v="2018-10-31T00:00:00"/>
    <n v="10"/>
    <n v="2018"/>
    <s v="South Asia"/>
    <x v="13"/>
    <s v="PENDING_PAYMENT"/>
    <s v="PENDING"/>
    <s v="Standard Class"/>
    <n v="59.99"/>
  </r>
  <r>
    <n v="20851"/>
    <s v="CASH"/>
    <n v="2"/>
    <n v="4"/>
    <s v=" ONTIME"/>
    <n v="403"/>
    <n v="1"/>
    <n v="129.99"/>
    <n v="4"/>
    <s v="Apparel"/>
    <n v="12380"/>
    <s v="Amravati"/>
    <d v="2018-10-31T00:00:00"/>
    <n v="10"/>
    <n v="2018"/>
    <s v="South Asia"/>
    <x v="0"/>
    <s v="CLOSED"/>
    <s v="PENDING"/>
    <s v="Standard Class"/>
    <n v="129.99"/>
  </r>
  <r>
    <n v="20852"/>
    <s v="TRANSFER"/>
    <n v="3"/>
    <n v="4"/>
    <s v=" ONTIME"/>
    <n v="1014"/>
    <n v="4"/>
    <n v="199.92"/>
    <n v="7"/>
    <s v="Fan Shop"/>
    <n v="1371"/>
    <s v="Amravati"/>
    <d v="2018-10-31T00:00:00"/>
    <n v="10"/>
    <n v="2018"/>
    <s v="South Asia"/>
    <x v="0"/>
    <s v="PENDING"/>
    <s v="PENDING"/>
    <s v="Standard Class"/>
    <n v="199.92"/>
  </r>
  <r>
    <n v="20853"/>
    <s v="DEBIT"/>
    <n v="4"/>
    <n v="4"/>
    <s v=" ONTIME"/>
    <n v="403"/>
    <n v="1"/>
    <n v="129.99"/>
    <n v="4"/>
    <s v="Apparel"/>
    <n v="5519"/>
    <s v="Amravati"/>
    <d v="2018-10-31T00:00:00"/>
    <n v="10"/>
    <n v="2018"/>
    <s v="South Asia"/>
    <x v="0"/>
    <s v="ON_HOLD"/>
    <s v="PENDING"/>
    <s v="Standard Class"/>
    <n v="129.99"/>
  </r>
  <r>
    <n v="20854"/>
    <s v="TRANSFER"/>
    <n v="5"/>
    <n v="4"/>
    <s v="DELAYED"/>
    <n v="403"/>
    <n v="1"/>
    <n v="129.99"/>
    <n v="4"/>
    <s v="Apparel"/>
    <n v="1192"/>
    <s v="Amravati"/>
    <d v="2018-10-31T00:00:00"/>
    <n v="10"/>
    <n v="2018"/>
    <s v="South Asia"/>
    <x v="0"/>
    <s v="CANCELED"/>
    <s v="CANCELED"/>
    <s v="Standard Class"/>
    <n v="129.99"/>
  </r>
  <r>
    <n v="20855"/>
    <s v="PAYMENT"/>
    <n v="6"/>
    <n v="4"/>
    <s v="DELAYED"/>
    <n v="1014"/>
    <n v="4"/>
    <n v="199.92"/>
    <n v="7"/>
    <s v="Fan Shop"/>
    <n v="6586"/>
    <s v="Mau"/>
    <d v="2018-10-31T00:00:00"/>
    <n v="10"/>
    <n v="2018"/>
    <s v="South Asia"/>
    <x v="14"/>
    <s v="PENDING_PAYMENT"/>
    <s v="PENDING"/>
    <s v="Standard Class"/>
    <n v="199.92"/>
  </r>
  <r>
    <n v="20869"/>
    <s v="TRANSFER"/>
    <n v="5"/>
    <n v="4"/>
    <s v="DELAYED"/>
    <n v="728"/>
    <n v="3"/>
    <n v="195"/>
    <n v="6"/>
    <s v="Outdoors"/>
    <n v="5968"/>
    <s v="Lucknow"/>
    <d v="2018-10-31T00:00:00"/>
    <n v="10"/>
    <n v="2018"/>
    <s v="South Asia"/>
    <x v="1"/>
    <s v="PROCESSING"/>
    <s v="PENDING"/>
    <s v="Standard Class"/>
    <n v="195"/>
  </r>
  <r>
    <n v="20870"/>
    <s v="PAYMENT"/>
    <n v="2"/>
    <n v="1"/>
    <s v="DELAYED"/>
    <n v="1014"/>
    <n v="4"/>
    <n v="199.92"/>
    <n v="7"/>
    <s v="Fan Shop"/>
    <n v="7057"/>
    <s v="Lucknow"/>
    <d v="2018-10-31T00:00:00"/>
    <n v="10"/>
    <n v="2018"/>
    <s v="South Asia"/>
    <x v="1"/>
    <s v="PENDING_PAYMENT"/>
    <s v="PENDING"/>
    <s v="First Class"/>
    <n v="199.92"/>
  </r>
  <r>
    <n v="20877"/>
    <s v="PAYMENT"/>
    <n v="3"/>
    <n v="4"/>
    <s v=" ONTIME"/>
    <n v="403"/>
    <n v="1"/>
    <n v="129.99"/>
    <n v="4"/>
    <s v="Apparel"/>
    <n v="3461"/>
    <s v="Vijayawada"/>
    <d v="2018-10-31T00:00:00"/>
    <n v="10"/>
    <n v="2018"/>
    <s v="South Asia"/>
    <x v="15"/>
    <s v="PENDING_PAYMENT"/>
    <s v="PENDING"/>
    <s v="Standard Class"/>
    <n v="129.99"/>
  </r>
  <r>
    <n v="20887"/>
    <s v="PAYMENT"/>
    <n v="3"/>
    <n v="4"/>
    <s v=" ONTIME"/>
    <n v="403"/>
    <n v="1"/>
    <n v="129.99"/>
    <n v="4"/>
    <s v="Apparel"/>
    <n v="1558"/>
    <s v="Bhatinda"/>
    <d v="2018-10-31T00:00:00"/>
    <n v="10"/>
    <n v="2018"/>
    <s v="South Asia"/>
    <x v="16"/>
    <s v="PENDING_PAYMENT"/>
    <s v="PENDING"/>
    <s v="Standard Class"/>
    <n v="129.99"/>
  </r>
  <r>
    <n v="20935"/>
    <s v="DEBIT"/>
    <n v="6"/>
    <n v="4"/>
    <s v="DELAYED"/>
    <n v="502"/>
    <n v="5"/>
    <n v="250"/>
    <n v="5"/>
    <s v="Golf"/>
    <n v="12301"/>
    <s v="Gorakhpur"/>
    <d v="2018-11-01T00:00:00"/>
    <n v="11"/>
    <n v="2018"/>
    <s v="South Asia"/>
    <x v="10"/>
    <s v="COMPLETE"/>
    <s v="COMPLETED"/>
    <s v="Standard Class"/>
    <n v="250"/>
  </r>
  <r>
    <n v="20937"/>
    <s v="DEBIT"/>
    <n v="3"/>
    <n v="4"/>
    <s v=" ONTIME"/>
    <n v="365"/>
    <n v="5"/>
    <n v="299.95"/>
    <n v="4"/>
    <s v="Apparel"/>
    <n v="10142"/>
    <s v="Delhi"/>
    <d v="2018-11-01T00:00:00"/>
    <n v="11"/>
    <n v="2018"/>
    <s v="South Asia"/>
    <x v="11"/>
    <s v="ON_HOLD"/>
    <s v="PENDING"/>
    <s v="Standard Class"/>
    <n v="299.95"/>
  </r>
  <r>
    <n v="20938"/>
    <s v="PAYMENT"/>
    <n v="4"/>
    <n v="4"/>
    <s v=" ONTIME"/>
    <n v="502"/>
    <n v="1"/>
    <n v="50"/>
    <n v="5"/>
    <s v="Golf"/>
    <n v="12148"/>
    <s v="Delhi"/>
    <d v="2018-11-01T00:00:00"/>
    <n v="11"/>
    <n v="2018"/>
    <s v="South Asia"/>
    <x v="11"/>
    <s v="PENDING_PAYMENT"/>
    <s v="PENDING"/>
    <s v="Standard Class"/>
    <n v="50"/>
  </r>
  <r>
    <n v="20939"/>
    <s v="TRANSFER"/>
    <n v="5"/>
    <n v="4"/>
    <s v="DELAYED"/>
    <n v="365"/>
    <n v="3"/>
    <n v="179.97"/>
    <n v="4"/>
    <s v="Apparel"/>
    <n v="343"/>
    <s v="Kalyan"/>
    <d v="2018-11-01T00:00:00"/>
    <n v="11"/>
    <n v="2018"/>
    <s v="South Asia"/>
    <x v="0"/>
    <s v="PROCESSING"/>
    <s v="PENDING"/>
    <s v="Standard Class"/>
    <n v="179.97"/>
  </r>
  <r>
    <n v="20940"/>
    <s v="TRANSFER"/>
    <n v="6"/>
    <n v="4"/>
    <s v="DELAYED"/>
    <n v="1073"/>
    <n v="1"/>
    <n v="199.99"/>
    <n v="7"/>
    <s v="Fan Shop"/>
    <n v="12072"/>
    <s v="Aurangabad"/>
    <d v="2018-11-01T00:00:00"/>
    <n v="11"/>
    <n v="2018"/>
    <s v="South Asia"/>
    <x v="17"/>
    <s v="PROCESSING"/>
    <s v="PENDING"/>
    <s v="Standard Class"/>
    <n v="199.99"/>
  </r>
  <r>
    <n v="20942"/>
    <s v="DEBIT"/>
    <n v="3"/>
    <n v="4"/>
    <s v=" ONTIME"/>
    <n v="403"/>
    <n v="1"/>
    <n v="129.99"/>
    <n v="4"/>
    <s v="Apparel"/>
    <n v="2435"/>
    <s v="Delhi"/>
    <d v="2018-11-01T00:00:00"/>
    <n v="11"/>
    <n v="2018"/>
    <s v="South Asia"/>
    <x v="11"/>
    <s v="COMPLETE"/>
    <s v="COMPLETED"/>
    <s v="Standard Class"/>
    <n v="129.99"/>
  </r>
  <r>
    <n v="20943"/>
    <s v="PAYMENT"/>
    <n v="4"/>
    <n v="4"/>
    <s v=" ONTIME"/>
    <n v="1073"/>
    <n v="1"/>
    <n v="199.99"/>
    <n v="7"/>
    <s v="Fan Shop"/>
    <n v="9058"/>
    <s v="Delhi"/>
    <d v="2018-11-01T00:00:00"/>
    <n v="11"/>
    <n v="2018"/>
    <s v="South Asia"/>
    <x v="11"/>
    <s v="PENDING_PAYMENT"/>
    <s v="PENDING"/>
    <s v="Standard Class"/>
    <n v="199.99"/>
  </r>
  <r>
    <n v="20953"/>
    <s v="DEBIT"/>
    <n v="4"/>
    <n v="2"/>
    <s v="DELAYED"/>
    <n v="403"/>
    <n v="1"/>
    <n v="129.99"/>
    <n v="4"/>
    <s v="Apparel"/>
    <n v="8554"/>
    <s v="Pimpri"/>
    <d v="2018-11-01T00:00:00"/>
    <n v="11"/>
    <n v="2018"/>
    <s v="South Asia"/>
    <x v="0"/>
    <s v="COMPLETE"/>
    <s v="COMPLETED"/>
    <s v="Second Class"/>
    <n v="129.99"/>
  </r>
  <r>
    <n v="20954"/>
    <s v="CASH"/>
    <n v="5"/>
    <n v="2"/>
    <s v="DELAYED"/>
    <n v="249"/>
    <n v="1"/>
    <n v="54.97"/>
    <n v="3"/>
    <s v="Footwear"/>
    <n v="7854"/>
    <s v="Bhilai"/>
    <d v="2018-11-01T00:00:00"/>
    <n v="11"/>
    <n v="2018"/>
    <s v="South Asia"/>
    <x v="18"/>
    <s v="CLOSED"/>
    <s v="PENDING"/>
    <s v="Second Class"/>
    <n v="54.97"/>
  </r>
  <r>
    <n v="20964"/>
    <s v="DEBIT"/>
    <n v="2"/>
    <n v="1"/>
    <s v="DELAYED"/>
    <n v="957"/>
    <n v="1"/>
    <n v="299.98"/>
    <n v="7"/>
    <s v="Fan Shop"/>
    <n v="821"/>
    <s v="Mangalore"/>
    <d v="2018-11-02T00:00:00"/>
    <n v="11"/>
    <n v="2018"/>
    <s v="South Asia"/>
    <x v="8"/>
    <s v="ON_HOLD"/>
    <s v="PENDING"/>
    <s v="First Class"/>
    <n v="299.98"/>
  </r>
  <r>
    <n v="20966"/>
    <s v="TRANSFER"/>
    <n v="2"/>
    <n v="1"/>
    <s v="DELAYED"/>
    <n v="1004"/>
    <n v="1"/>
    <n v="399.98"/>
    <n v="7"/>
    <s v="Fan Shop"/>
    <n v="10952"/>
    <s v="Karnal"/>
    <d v="2018-11-02T00:00:00"/>
    <n v="11"/>
    <n v="2018"/>
    <s v="South Asia"/>
    <x v="10"/>
    <s v="PROCESSING"/>
    <s v="PENDING"/>
    <s v="First Class"/>
    <n v="399.98"/>
  </r>
  <r>
    <n v="20967"/>
    <s v="PAYMENT"/>
    <n v="2"/>
    <n v="1"/>
    <s v="DELAYED"/>
    <n v="957"/>
    <n v="1"/>
    <n v="299.98"/>
    <n v="7"/>
    <s v="Fan Shop"/>
    <n v="2735"/>
    <s v="Karnal"/>
    <d v="2018-11-02T00:00:00"/>
    <n v="11"/>
    <n v="2018"/>
    <s v="South Asia"/>
    <x v="10"/>
    <s v="PAYMENT_REVIEW"/>
    <s v="PENDING"/>
    <s v="First Class"/>
    <n v="299.98"/>
  </r>
  <r>
    <n v="20970"/>
    <s v="TRANSFER"/>
    <n v="6"/>
    <n v="2"/>
    <s v="DELAYED"/>
    <n v="403"/>
    <n v="1"/>
    <n v="129.99"/>
    <n v="4"/>
    <s v="Apparel"/>
    <n v="7371"/>
    <s v="Kulti"/>
    <d v="2018-11-02T00:00:00"/>
    <n v="11"/>
    <n v="2018"/>
    <s v="South Asia"/>
    <x v="6"/>
    <s v="PENDING"/>
    <s v="PENDING"/>
    <s v="Second Class"/>
    <n v="129.99"/>
  </r>
  <r>
    <n v="20971"/>
    <s v="PAYMENT"/>
    <n v="2"/>
    <n v="4"/>
    <s v=" ONTIME"/>
    <n v="191"/>
    <n v="5"/>
    <n v="499.95"/>
    <n v="3"/>
    <s v="Footwear"/>
    <n v="7929"/>
    <s v="Kulti"/>
    <d v="2018-11-02T00:00:00"/>
    <n v="11"/>
    <n v="2018"/>
    <s v="South Asia"/>
    <x v="6"/>
    <s v="PENDING_PAYMENT"/>
    <s v="PENDING"/>
    <s v="Standard Class"/>
    <n v="499.95"/>
  </r>
  <r>
    <n v="20972"/>
    <s v="CASH"/>
    <n v="3"/>
    <n v="4"/>
    <s v=" ONTIME"/>
    <n v="502"/>
    <n v="1"/>
    <n v="50"/>
    <n v="5"/>
    <s v="Golf"/>
    <n v="11584"/>
    <s v="Kulti"/>
    <d v="2018-11-02T00:00:00"/>
    <n v="11"/>
    <n v="2018"/>
    <s v="South Asia"/>
    <x v="6"/>
    <s v="CLOSED"/>
    <s v="PENDING"/>
    <s v="Standard Class"/>
    <n v="50"/>
  </r>
  <r>
    <n v="20974"/>
    <s v="TRANSFER"/>
    <n v="2"/>
    <n v="1"/>
    <s v="DELAYED"/>
    <n v="135"/>
    <n v="4"/>
    <n v="88"/>
    <n v="2"/>
    <s v="Fitness"/>
    <n v="3282"/>
    <s v="Kulti"/>
    <d v="2018-11-02T00:00:00"/>
    <n v="11"/>
    <n v="2018"/>
    <s v="South Asia"/>
    <x v="6"/>
    <s v="PENDING"/>
    <s v="PENDING"/>
    <s v="First Class"/>
    <n v="88"/>
  </r>
  <r>
    <n v="20975"/>
    <s v="PAYMENT"/>
    <n v="2"/>
    <n v="1"/>
    <s v="DELAYED"/>
    <n v="905"/>
    <n v="4"/>
    <n v="99.96"/>
    <n v="6"/>
    <s v="Outdoors"/>
    <n v="8291"/>
    <s v="Kulti"/>
    <d v="2018-11-02T00:00:00"/>
    <n v="11"/>
    <n v="2018"/>
    <s v="South Asia"/>
    <x v="6"/>
    <s v="PENDING_PAYMENT"/>
    <s v="PENDING"/>
    <s v="First Class"/>
    <n v="99.96"/>
  </r>
  <r>
    <n v="20982"/>
    <s v="PAYMENT"/>
    <n v="2"/>
    <n v="1"/>
    <s v="DELAYED"/>
    <n v="191"/>
    <n v="1"/>
    <n v="99.99"/>
    <n v="3"/>
    <s v="Footwear"/>
    <n v="12361"/>
    <s v="Bhilai"/>
    <d v="2018-11-02T00:00:00"/>
    <n v="11"/>
    <n v="2018"/>
    <s v="South Asia"/>
    <x v="18"/>
    <s v="PENDING_PAYMENT"/>
    <s v="PENDING"/>
    <s v="First Class"/>
    <n v="99.99"/>
  </r>
  <r>
    <n v="20983"/>
    <s v="DEBIT"/>
    <n v="2"/>
    <n v="1"/>
    <s v="DELAYED"/>
    <n v="1004"/>
    <n v="1"/>
    <n v="399.98"/>
    <n v="7"/>
    <s v="Fan Shop"/>
    <n v="5710"/>
    <s v="Bhilai"/>
    <d v="2018-11-02T00:00:00"/>
    <n v="11"/>
    <n v="2018"/>
    <s v="South Asia"/>
    <x v="18"/>
    <s v="COMPLETE"/>
    <s v="COMPLETED"/>
    <s v="First Class"/>
    <n v="399.98"/>
  </r>
  <r>
    <n v="20984"/>
    <s v="CASH"/>
    <n v="5"/>
    <n v="2"/>
    <s v="DELAYED"/>
    <n v="403"/>
    <n v="1"/>
    <n v="129.99"/>
    <n v="4"/>
    <s v="Apparel"/>
    <n v="1937"/>
    <s v="Bhilai"/>
    <d v="2018-11-02T00:00:00"/>
    <n v="11"/>
    <n v="2018"/>
    <s v="South Asia"/>
    <x v="18"/>
    <s v="CLOSED"/>
    <s v="PENDING"/>
    <s v="Second Class"/>
    <n v="129.99"/>
  </r>
  <r>
    <n v="21010"/>
    <s v="DEBIT"/>
    <n v="6"/>
    <n v="4"/>
    <s v="DELAYED"/>
    <n v="1004"/>
    <n v="1"/>
    <n v="399.98"/>
    <n v="7"/>
    <s v="Fan Shop"/>
    <n v="5612"/>
    <s v="Salem"/>
    <d v="2018-11-02T00:00:00"/>
    <n v="11"/>
    <n v="2018"/>
    <s v="South Asia"/>
    <x v="3"/>
    <s v="COMPLETE"/>
    <s v="COMPLETED"/>
    <s v="Standard Class"/>
    <n v="399.98"/>
  </r>
  <r>
    <n v="21011"/>
    <s v="TRANSFER"/>
    <n v="2"/>
    <n v="4"/>
    <s v=" ONTIME"/>
    <n v="1073"/>
    <n v="1"/>
    <n v="199.99"/>
    <n v="7"/>
    <s v="Fan Shop"/>
    <n v="2607"/>
    <s v="Salem"/>
    <d v="2018-11-02T00:00:00"/>
    <n v="11"/>
    <n v="2018"/>
    <s v="South Asia"/>
    <x v="3"/>
    <s v="PROCESSING"/>
    <s v="PENDING"/>
    <s v="Standard Class"/>
    <n v="199.99"/>
  </r>
  <r>
    <n v="21012"/>
    <s v="TRANSFER"/>
    <n v="3"/>
    <n v="4"/>
    <s v=" ONTIME"/>
    <n v="1073"/>
    <n v="1"/>
    <n v="199.99"/>
    <n v="7"/>
    <s v="Fan Shop"/>
    <n v="8206"/>
    <s v="Salem"/>
    <d v="2018-11-02T00:00:00"/>
    <n v="11"/>
    <n v="2018"/>
    <s v="South Asia"/>
    <x v="3"/>
    <s v="PENDING"/>
    <s v="PENDING"/>
    <s v="Standard Class"/>
    <n v="199.99"/>
  </r>
  <r>
    <n v="21013"/>
    <s v="TRANSFER"/>
    <n v="1"/>
    <n v="0"/>
    <s v="DELAYED"/>
    <n v="1073"/>
    <n v="1"/>
    <n v="199.99"/>
    <n v="7"/>
    <s v="Fan Shop"/>
    <n v="8029"/>
    <s v="Salem"/>
    <d v="2018-11-02T00:00:00"/>
    <n v="11"/>
    <n v="2018"/>
    <s v="South Asia"/>
    <x v="3"/>
    <s v="PENDING"/>
    <s v="PENDING"/>
    <s v="Same Day"/>
    <n v="199.99"/>
  </r>
  <r>
    <n v="21016"/>
    <s v="TRANSFER"/>
    <n v="2"/>
    <n v="4"/>
    <s v=" ONTIME"/>
    <n v="365"/>
    <n v="2"/>
    <n v="119.98"/>
    <n v="4"/>
    <s v="Apparel"/>
    <n v="3153"/>
    <s v="Belgaum"/>
    <d v="2018-11-02T00:00:00"/>
    <n v="11"/>
    <n v="2018"/>
    <s v="South Asia"/>
    <x v="8"/>
    <s v="PROCESSING"/>
    <s v="PENDING"/>
    <s v="Standard Class"/>
    <n v="119.98"/>
  </r>
  <r>
    <n v="21017"/>
    <s v="TRANSFER"/>
    <n v="3"/>
    <n v="4"/>
    <s v=" ONTIME"/>
    <n v="775"/>
    <n v="2"/>
    <n v="19.98"/>
    <n v="6"/>
    <s v="Outdoors"/>
    <n v="8012"/>
    <s v="Belgaum"/>
    <d v="2018-11-02T00:00:00"/>
    <n v="11"/>
    <n v="2018"/>
    <s v="South Asia"/>
    <x v="8"/>
    <s v="PENDING"/>
    <s v="PENDING"/>
    <s v="Standard Class"/>
    <n v="19.98"/>
  </r>
  <r>
    <n v="21018"/>
    <s v="DEBIT"/>
    <n v="4"/>
    <n v="4"/>
    <s v=" ONTIME"/>
    <n v="403"/>
    <n v="1"/>
    <n v="129.99"/>
    <n v="4"/>
    <s v="Apparel"/>
    <n v="9440"/>
    <s v="Belgaum"/>
    <d v="2018-11-02T00:00:00"/>
    <n v="11"/>
    <n v="2018"/>
    <s v="South Asia"/>
    <x v="8"/>
    <s v="COMPLETE"/>
    <s v="COMPLETED"/>
    <s v="Standard Class"/>
    <n v="129.99"/>
  </r>
  <r>
    <n v="21019"/>
    <s v="PAYMENT"/>
    <n v="5"/>
    <n v="4"/>
    <s v="DELAYED"/>
    <n v="627"/>
    <n v="1"/>
    <n v="39.99"/>
    <n v="5"/>
    <s v="Golf"/>
    <n v="8369"/>
    <s v="Madurai"/>
    <d v="2018-11-02T00:00:00"/>
    <n v="11"/>
    <n v="2018"/>
    <s v="South Asia"/>
    <x v="3"/>
    <s v="PENDING_PAYMENT"/>
    <s v="PENDING"/>
    <s v="Standard Class"/>
    <n v="39.99"/>
  </r>
  <r>
    <n v="21087"/>
    <s v="DEBIT"/>
    <n v="3"/>
    <n v="4"/>
    <s v=" ONTIME"/>
    <n v="403"/>
    <n v="1"/>
    <n v="129.99"/>
    <n v="4"/>
    <s v="Apparel"/>
    <n v="9519"/>
    <s v="Bhavnagar"/>
    <d v="2018-11-03T00:00:00"/>
    <n v="11"/>
    <n v="2018"/>
    <s v="South Asia"/>
    <x v="4"/>
    <s v="COMPLETE"/>
    <s v="COMPLETED"/>
    <s v="Standard Class"/>
    <n v="129.99"/>
  </r>
  <r>
    <n v="21106"/>
    <s v="DEBIT"/>
    <n v="2"/>
    <n v="2"/>
    <s v=" ONTIME"/>
    <n v="403"/>
    <n v="1"/>
    <n v="129.99"/>
    <n v="4"/>
    <s v="Apparel"/>
    <n v="10609"/>
    <s v="Chennai"/>
    <d v="2018-11-04T00:00:00"/>
    <n v="11"/>
    <n v="2018"/>
    <s v="South Asia"/>
    <x v="3"/>
    <s v="ON_HOLD"/>
    <s v="PENDING"/>
    <s v="Second Class"/>
    <n v="129.99"/>
  </r>
  <r>
    <n v="21108"/>
    <s v="PAYMENT"/>
    <n v="4"/>
    <n v="2"/>
    <s v="DELAYED"/>
    <n v="627"/>
    <n v="1"/>
    <n v="39.99"/>
    <n v="5"/>
    <s v="Golf"/>
    <n v="10978"/>
    <s v="Mumbai"/>
    <d v="2018-11-04T00:00:00"/>
    <n v="11"/>
    <n v="2018"/>
    <s v="South Asia"/>
    <x v="0"/>
    <s v="PENDING_PAYMENT"/>
    <s v="PENDING"/>
    <s v="Second Class"/>
    <n v="39.99"/>
  </r>
  <r>
    <n v="21110"/>
    <s v="DEBIT"/>
    <n v="6"/>
    <n v="2"/>
    <s v="DELAYED"/>
    <n v="1004"/>
    <n v="1"/>
    <n v="399.98"/>
    <n v="7"/>
    <s v="Fan Shop"/>
    <n v="11281"/>
    <s v="Mumbai"/>
    <d v="2018-11-04T00:00:00"/>
    <n v="11"/>
    <n v="2018"/>
    <s v="South Asia"/>
    <x v="0"/>
    <s v="COMPLETE"/>
    <s v="COMPLETED"/>
    <s v="Second Class"/>
    <n v="399.98"/>
  </r>
  <r>
    <n v="21111"/>
    <s v="TRANSFER"/>
    <n v="2"/>
    <n v="4"/>
    <s v=" ONTIME"/>
    <n v="1073"/>
    <n v="1"/>
    <n v="199.99"/>
    <n v="7"/>
    <s v="Fan Shop"/>
    <n v="5454"/>
    <s v="Mumbai"/>
    <d v="2018-11-04T00:00:00"/>
    <n v="11"/>
    <n v="2018"/>
    <s v="South Asia"/>
    <x v="0"/>
    <s v="PROCESSING"/>
    <s v="PENDING"/>
    <s v="Standard Class"/>
    <n v="199.99"/>
  </r>
  <r>
    <n v="21112"/>
    <s v="DEBIT"/>
    <n v="3"/>
    <n v="4"/>
    <s v=" ONTIME"/>
    <n v="1073"/>
    <n v="1"/>
    <n v="199.99"/>
    <n v="7"/>
    <s v="Fan Shop"/>
    <n v="2809"/>
    <s v="Mumbai"/>
    <d v="2018-11-04T00:00:00"/>
    <n v="11"/>
    <n v="2018"/>
    <s v="South Asia"/>
    <x v="0"/>
    <s v="COMPLETE"/>
    <s v="COMPLETED"/>
    <s v="Standard Class"/>
    <n v="199.99"/>
  </r>
  <r>
    <n v="21130"/>
    <s v="PAYMENT"/>
    <n v="6"/>
    <n v="4"/>
    <s v="DELAYED"/>
    <n v="365"/>
    <n v="1"/>
    <n v="59.99"/>
    <n v="4"/>
    <s v="Apparel"/>
    <n v="6635"/>
    <s v="Ratlam"/>
    <d v="2018-11-04T00:00:00"/>
    <n v="11"/>
    <n v="2018"/>
    <s v="South Asia"/>
    <x v="14"/>
    <s v="PENDING_PAYMENT"/>
    <s v="PENDING"/>
    <s v="Standard Class"/>
    <n v="59.99"/>
  </r>
  <r>
    <n v="21131"/>
    <s v="TRANSFER"/>
    <n v="2"/>
    <n v="4"/>
    <s v=" ONTIME"/>
    <n v="403"/>
    <n v="1"/>
    <n v="129.99"/>
    <n v="4"/>
    <s v="Apparel"/>
    <n v="2048"/>
    <s v="Ratlam"/>
    <d v="2018-11-04T00:00:00"/>
    <n v="11"/>
    <n v="2018"/>
    <s v="South Asia"/>
    <x v="14"/>
    <s v="SUSPECTED_FRAUD"/>
    <s v="PENDING"/>
    <s v="Standard Class"/>
    <n v="129.99"/>
  </r>
  <r>
    <n v="21132"/>
    <s v="CASH"/>
    <n v="3"/>
    <n v="4"/>
    <s v=" ONTIME"/>
    <n v="825"/>
    <n v="2"/>
    <n v="63.98"/>
    <n v="6"/>
    <s v="Outdoors"/>
    <n v="11773"/>
    <s v="Ratlam"/>
    <d v="2018-11-04T00:00:00"/>
    <n v="11"/>
    <n v="2018"/>
    <s v="South Asia"/>
    <x v="14"/>
    <s v="CLOSED"/>
    <s v="PENDING"/>
    <s v="Standard Class"/>
    <n v="63.98"/>
  </r>
  <r>
    <n v="21138"/>
    <s v="DEBIT"/>
    <n v="4"/>
    <n v="4"/>
    <s v=" ONTIME"/>
    <n v="778"/>
    <n v="4"/>
    <n v="99.96"/>
    <n v="6"/>
    <s v="Outdoors"/>
    <n v="8883"/>
    <s v="Solapur"/>
    <d v="2018-11-04T00:00:00"/>
    <n v="11"/>
    <n v="2018"/>
    <s v="South Asia"/>
    <x v="0"/>
    <s v="COMPLETE"/>
    <s v="COMPLETED"/>
    <s v="Standard Class"/>
    <n v="99.96"/>
  </r>
  <r>
    <n v="21139"/>
    <s v="PAYMENT"/>
    <n v="5"/>
    <n v="4"/>
    <s v="DELAYED"/>
    <n v="403"/>
    <n v="1"/>
    <n v="129.99"/>
    <n v="4"/>
    <s v="Apparel"/>
    <n v="3414"/>
    <s v="Solapur"/>
    <d v="2018-11-04T00:00:00"/>
    <n v="11"/>
    <n v="2018"/>
    <s v="South Asia"/>
    <x v="0"/>
    <s v="PENDING_PAYMENT"/>
    <s v="PENDING"/>
    <s v="Standard Class"/>
    <n v="129.99"/>
  </r>
  <r>
    <n v="21140"/>
    <s v="DEBIT"/>
    <n v="6"/>
    <n v="4"/>
    <s v="DELAYED"/>
    <n v="1073"/>
    <n v="1"/>
    <n v="199.99"/>
    <n v="7"/>
    <s v="Fan Shop"/>
    <n v="664"/>
    <s v="Solapur"/>
    <d v="2018-11-04T00:00:00"/>
    <n v="11"/>
    <n v="2018"/>
    <s v="South Asia"/>
    <x v="0"/>
    <s v="COMPLETE"/>
    <s v="COMPLETED"/>
    <s v="Standard Class"/>
    <n v="199.99"/>
  </r>
  <r>
    <n v="21141"/>
    <s v="TRANSFER"/>
    <n v="2"/>
    <n v="2"/>
    <s v=" ONTIME"/>
    <n v="1073"/>
    <n v="1"/>
    <n v="199.99"/>
    <n v="7"/>
    <s v="Fan Shop"/>
    <n v="3942"/>
    <s v="Solapur"/>
    <d v="2018-11-04T00:00:00"/>
    <n v="11"/>
    <n v="2018"/>
    <s v="South Asia"/>
    <x v="0"/>
    <s v="PENDING"/>
    <s v="PENDING"/>
    <s v="Second Class"/>
    <n v="199.99"/>
  </r>
  <r>
    <n v="21161"/>
    <s v="TRANSFER"/>
    <n v="2"/>
    <n v="4"/>
    <s v=" ONTIME"/>
    <n v="1004"/>
    <n v="1"/>
    <n v="399.98"/>
    <n v="7"/>
    <s v="Fan Shop"/>
    <n v="3165"/>
    <s v="Nellore"/>
    <d v="2018-11-04T00:00:00"/>
    <n v="11"/>
    <n v="2018"/>
    <s v="South Asia"/>
    <x v="15"/>
    <s v="PROCESSING"/>
    <s v="PENDING"/>
    <s v="Standard Class"/>
    <n v="399.98"/>
  </r>
  <r>
    <n v="21170"/>
    <s v="TRANSFER"/>
    <n v="0"/>
    <n v="0"/>
    <s v=" ONTIME"/>
    <n v="897"/>
    <n v="3"/>
    <n v="74.97"/>
    <n v="6"/>
    <s v="Outdoors"/>
    <n v="6372"/>
    <s v="Mumbai"/>
    <d v="2018-11-05T00:00:00"/>
    <n v="11"/>
    <n v="2018"/>
    <s v="South Asia"/>
    <x v="0"/>
    <s v="PENDING"/>
    <s v="PENDING"/>
    <s v="Same Day"/>
    <n v="74.97"/>
  </r>
  <r>
    <n v="21192"/>
    <s v="TRANSFER"/>
    <n v="3"/>
    <n v="4"/>
    <s v=" ONTIME"/>
    <n v="365"/>
    <n v="5"/>
    <n v="299.95"/>
    <n v="4"/>
    <s v="Apparel"/>
    <n v="8992"/>
    <s v="Jaipur"/>
    <d v="2018-11-05T00:00:00"/>
    <n v="11"/>
    <n v="2018"/>
    <s v="South Asia"/>
    <x v="2"/>
    <s v="PENDING"/>
    <s v="PENDING"/>
    <s v="Standard Class"/>
    <n v="299.95"/>
  </r>
  <r>
    <n v="21210"/>
    <s v="TRANSFER"/>
    <n v="6"/>
    <n v="4"/>
    <s v="DELAYED"/>
    <n v="1014"/>
    <n v="4"/>
    <n v="199.92"/>
    <n v="7"/>
    <s v="Fan Shop"/>
    <n v="4728"/>
    <s v="Nagpur"/>
    <d v="2018-11-05T00:00:00"/>
    <n v="11"/>
    <n v="2018"/>
    <s v="South Asia"/>
    <x v="0"/>
    <s v="PENDING"/>
    <s v="PENDING"/>
    <s v="Standard Class"/>
    <n v="199.92"/>
  </r>
  <r>
    <n v="21214"/>
    <s v="DEBIT"/>
    <n v="5"/>
    <n v="4"/>
    <s v="DELAYED"/>
    <n v="365"/>
    <n v="4"/>
    <n v="239.96"/>
    <n v="4"/>
    <s v="Apparel"/>
    <n v="9333"/>
    <s v="Gorakhpur"/>
    <d v="2018-11-05T00:00:00"/>
    <n v="11"/>
    <n v="2018"/>
    <s v="South Asia"/>
    <x v="1"/>
    <s v="COMPLETE"/>
    <s v="COMPLETED"/>
    <s v="Standard Class"/>
    <n v="239.96"/>
  </r>
  <r>
    <n v="21230"/>
    <s v="DEBIT"/>
    <n v="6"/>
    <n v="4"/>
    <s v="DELAYED"/>
    <n v="1004"/>
    <n v="1"/>
    <n v="399.98"/>
    <n v="7"/>
    <s v="Fan Shop"/>
    <n v="10484"/>
    <s v="Durg"/>
    <d v="2018-11-05T00:00:00"/>
    <n v="11"/>
    <n v="2018"/>
    <s v="South Asia"/>
    <x v="18"/>
    <s v="ON_HOLD"/>
    <s v="PENDING"/>
    <s v="Standard Class"/>
    <n v="399.98"/>
  </r>
  <r>
    <n v="21239"/>
    <s v="PAYMENT"/>
    <n v="5"/>
    <n v="4"/>
    <s v="DELAYED"/>
    <n v="957"/>
    <n v="1"/>
    <n v="299.98"/>
    <n v="7"/>
    <s v="Fan Shop"/>
    <n v="12038"/>
    <s v="Nellore"/>
    <d v="2018-11-06T00:00:00"/>
    <n v="11"/>
    <n v="2018"/>
    <s v="South Asia"/>
    <x v="15"/>
    <s v="PENDING_PAYMENT"/>
    <s v="PENDING"/>
    <s v="Standard Class"/>
    <n v="299.98"/>
  </r>
  <r>
    <n v="21240"/>
    <s v="PAYMENT"/>
    <n v="6"/>
    <n v="4"/>
    <s v="DELAYED"/>
    <n v="1073"/>
    <n v="1"/>
    <n v="199.99"/>
    <n v="7"/>
    <s v="Fan Shop"/>
    <n v="8377"/>
    <s v="Nellore"/>
    <d v="2018-11-06T00:00:00"/>
    <n v="11"/>
    <n v="2018"/>
    <s v="South Asia"/>
    <x v="15"/>
    <s v="PENDING_PAYMENT"/>
    <s v="PENDING"/>
    <s v="Standard Class"/>
    <n v="199.99"/>
  </r>
  <r>
    <n v="21257"/>
    <s v="TRANSFER"/>
    <n v="3"/>
    <n v="4"/>
    <s v=" ONTIME"/>
    <n v="1073"/>
    <n v="1"/>
    <n v="199.99"/>
    <n v="7"/>
    <s v="Fan Shop"/>
    <n v="1811"/>
    <s v="Mangalore"/>
    <d v="2018-11-06T00:00:00"/>
    <n v="11"/>
    <n v="2018"/>
    <s v="South Asia"/>
    <x v="8"/>
    <s v="PROCESSING"/>
    <s v="PENDING"/>
    <s v="Standard Class"/>
    <n v="199.99"/>
  </r>
  <r>
    <n v="21276"/>
    <s v="TRANSFER"/>
    <n v="2"/>
    <n v="4"/>
    <s v=" ONTIME"/>
    <n v="403"/>
    <n v="1"/>
    <n v="129.99"/>
    <n v="4"/>
    <s v="Apparel"/>
    <n v="9079"/>
    <s v="Delhi"/>
    <d v="2018-11-06T00:00:00"/>
    <n v="11"/>
    <n v="2018"/>
    <s v="South Asia"/>
    <x v="11"/>
    <s v="PENDING"/>
    <s v="PENDING"/>
    <s v="Standard Class"/>
    <n v="129.99"/>
  </r>
  <r>
    <n v="21278"/>
    <s v="DEBIT"/>
    <n v="1"/>
    <n v="0"/>
    <s v="DELAYED"/>
    <n v="282"/>
    <n v="1"/>
    <n v="31.99"/>
    <n v="3"/>
    <s v="Footwear"/>
    <n v="11205"/>
    <s v="Kalyan"/>
    <d v="2018-11-06T00:00:00"/>
    <n v="11"/>
    <n v="2018"/>
    <s v="South Asia"/>
    <x v="0"/>
    <s v="COMPLETE"/>
    <s v="COMPLETED"/>
    <s v="Same Day"/>
    <n v="31.99"/>
  </r>
  <r>
    <n v="21280"/>
    <s v="DEBIT"/>
    <n v="6"/>
    <n v="2"/>
    <s v="DELAYED"/>
    <n v="44"/>
    <n v="1"/>
    <n v="59.99"/>
    <n v="2"/>
    <s v="Fitness"/>
    <n v="3685"/>
    <s v="Bihar Sharif"/>
    <d v="2018-11-06T00:00:00"/>
    <n v="11"/>
    <n v="2018"/>
    <s v="South Asia"/>
    <x v="17"/>
    <s v="COMPLETE"/>
    <s v="COMPLETED"/>
    <s v="Second Class"/>
    <n v="59.99"/>
  </r>
  <r>
    <n v="21281"/>
    <s v="CASH"/>
    <n v="2"/>
    <n v="4"/>
    <s v=" ONTIME"/>
    <n v="897"/>
    <n v="5"/>
    <n v="124.95"/>
    <n v="6"/>
    <s v="Outdoors"/>
    <n v="12305"/>
    <s v="Bihar Sharif"/>
    <d v="2018-11-06T00:00:00"/>
    <n v="11"/>
    <n v="2018"/>
    <s v="South Asia"/>
    <x v="17"/>
    <s v="CLOSED"/>
    <s v="PENDING"/>
    <s v="Standard Class"/>
    <n v="124.95"/>
  </r>
  <r>
    <n v="21282"/>
    <s v="DEBIT"/>
    <n v="3"/>
    <n v="4"/>
    <s v=" ONTIME"/>
    <n v="403"/>
    <n v="1"/>
    <n v="129.99"/>
    <n v="4"/>
    <s v="Apparel"/>
    <n v="1908"/>
    <s v="Bihar Sharif"/>
    <d v="2018-11-06T00:00:00"/>
    <n v="11"/>
    <n v="2018"/>
    <s v="South Asia"/>
    <x v="17"/>
    <s v="COMPLETE"/>
    <s v="COMPLETED"/>
    <s v="Standard Class"/>
    <n v="129.99"/>
  </r>
  <r>
    <n v="21317"/>
    <s v="PAYMENT"/>
    <n v="2"/>
    <n v="1"/>
    <s v="DELAYED"/>
    <n v="403"/>
    <n v="1"/>
    <n v="129.99"/>
    <n v="4"/>
    <s v="Apparel"/>
    <n v="9156"/>
    <s v="Ludhiana"/>
    <d v="2018-11-07T00:00:00"/>
    <n v="11"/>
    <n v="2018"/>
    <s v="South Asia"/>
    <x v="16"/>
    <s v="PENDING_PAYMENT"/>
    <s v="PENDING"/>
    <s v="First Class"/>
    <n v="129.99"/>
  </r>
  <r>
    <n v="21318"/>
    <s v="TRANSFER"/>
    <n v="2"/>
    <n v="1"/>
    <s v="DELAYED"/>
    <n v="403"/>
    <n v="1"/>
    <n v="129.99"/>
    <n v="4"/>
    <s v="Apparel"/>
    <n v="11987"/>
    <s v="Ludhiana"/>
    <d v="2018-11-07T00:00:00"/>
    <n v="11"/>
    <n v="2018"/>
    <s v="South Asia"/>
    <x v="16"/>
    <s v="SUSPECTED_FRAUD"/>
    <s v="PENDING"/>
    <s v="First Class"/>
    <n v="129.99"/>
  </r>
  <r>
    <n v="21319"/>
    <s v="DEBIT"/>
    <n v="5"/>
    <n v="2"/>
    <s v="DELAYED"/>
    <n v="771"/>
    <n v="2"/>
    <n v="79.98"/>
    <n v="6"/>
    <s v="Outdoors"/>
    <n v="2453"/>
    <s v="Ludhiana"/>
    <d v="2018-11-07T00:00:00"/>
    <n v="11"/>
    <n v="2018"/>
    <s v="South Asia"/>
    <x v="16"/>
    <s v="COMPLETE"/>
    <s v="COMPLETED"/>
    <s v="Second Class"/>
    <n v="79.98"/>
  </r>
  <r>
    <n v="21320"/>
    <s v="CASH"/>
    <n v="6"/>
    <n v="4"/>
    <s v="DELAYED"/>
    <n v="403"/>
    <n v="1"/>
    <n v="129.99"/>
    <n v="4"/>
    <s v="Apparel"/>
    <n v="11628"/>
    <s v="Ludhiana"/>
    <d v="2018-11-07T00:00:00"/>
    <n v="11"/>
    <n v="2018"/>
    <s v="South Asia"/>
    <x v="16"/>
    <s v="CLOSED"/>
    <s v="PENDING"/>
    <s v="Standard Class"/>
    <n v="129.99"/>
  </r>
  <r>
    <n v="21321"/>
    <s v="PAYMENT"/>
    <n v="2"/>
    <n v="1"/>
    <s v="DELAYED"/>
    <n v="957"/>
    <n v="1"/>
    <n v="299.98"/>
    <n v="7"/>
    <s v="Fan Shop"/>
    <n v="10677"/>
    <s v="Ludhiana"/>
    <d v="2018-11-07T00:00:00"/>
    <n v="11"/>
    <n v="2018"/>
    <s v="South Asia"/>
    <x v="16"/>
    <s v="PENDING_PAYMENT"/>
    <s v="PENDING"/>
    <s v="First Class"/>
    <n v="299.98"/>
  </r>
  <r>
    <n v="21322"/>
    <s v="DEBIT"/>
    <n v="2"/>
    <n v="1"/>
    <s v="DELAYED"/>
    <n v="502"/>
    <n v="4"/>
    <n v="200"/>
    <n v="5"/>
    <s v="Golf"/>
    <n v="3409"/>
    <s v="Ludhiana"/>
    <d v="2018-11-07T00:00:00"/>
    <n v="11"/>
    <n v="2018"/>
    <s v="South Asia"/>
    <x v="16"/>
    <s v="ON_HOLD"/>
    <s v="PENDING"/>
    <s v="First Class"/>
    <n v="200"/>
  </r>
  <r>
    <n v="21361"/>
    <s v="DEBIT"/>
    <n v="2"/>
    <n v="1"/>
    <s v="DELAYED"/>
    <n v="403"/>
    <n v="1"/>
    <n v="129.99"/>
    <n v="4"/>
    <s v="Apparel"/>
    <n v="4020"/>
    <s v="Hyderabad"/>
    <d v="2018-11-07T00:00:00"/>
    <n v="11"/>
    <n v="2018"/>
    <s v="South Asia"/>
    <x v="7"/>
    <s v="COMPLETE"/>
    <s v="COMPLETED"/>
    <s v="First Class"/>
    <n v="129.99"/>
  </r>
  <r>
    <n v="21362"/>
    <s v="TRANSFER"/>
    <n v="2"/>
    <n v="1"/>
    <s v="DELAYED"/>
    <n v="771"/>
    <n v="5"/>
    <n v="199.95"/>
    <n v="6"/>
    <s v="Outdoors"/>
    <n v="813"/>
    <s v="Hyderabad"/>
    <d v="2018-11-07T00:00:00"/>
    <n v="11"/>
    <n v="2018"/>
    <s v="South Asia"/>
    <x v="7"/>
    <s v="CANCELED"/>
    <s v="CANCELED"/>
    <s v="First Class"/>
    <n v="199.95"/>
  </r>
  <r>
    <n v="21363"/>
    <s v="TRANSFER"/>
    <n v="2"/>
    <n v="1"/>
    <s v="DELAYED"/>
    <n v="403"/>
    <n v="1"/>
    <n v="129.99"/>
    <n v="4"/>
    <s v="Apparel"/>
    <n v="5459"/>
    <s v="Hyderabad"/>
    <d v="2018-11-07T00:00:00"/>
    <n v="11"/>
    <n v="2018"/>
    <s v="South Asia"/>
    <x v="7"/>
    <s v="PROCESSING"/>
    <s v="PENDING"/>
    <s v="First Class"/>
    <n v="129.99"/>
  </r>
  <r>
    <n v="21374"/>
    <s v="PAYMENT"/>
    <n v="5"/>
    <n v="4"/>
    <s v="DELAYED"/>
    <n v="1073"/>
    <n v="1"/>
    <n v="199.99"/>
    <n v="7"/>
    <s v="Fan Shop"/>
    <n v="9502"/>
    <s v="Bijapur"/>
    <d v="2018-11-07T00:00:00"/>
    <n v="11"/>
    <n v="2018"/>
    <s v="South Asia"/>
    <x v="8"/>
    <s v="PENDING_PAYMENT"/>
    <s v="PENDING"/>
    <s v="Standard Class"/>
    <n v="199.99"/>
  </r>
  <r>
    <n v="21375"/>
    <s v="TRANSFER"/>
    <n v="6"/>
    <n v="4"/>
    <s v="DELAYED"/>
    <n v="1014"/>
    <n v="4"/>
    <n v="199.92"/>
    <n v="7"/>
    <s v="Fan Shop"/>
    <n v="3889"/>
    <s v="Bijapur"/>
    <d v="2018-11-08T00:00:00"/>
    <n v="11"/>
    <n v="2018"/>
    <s v="South Asia"/>
    <x v="8"/>
    <s v="SUSPECTED_FRAUD"/>
    <s v="PENDING"/>
    <s v="Standard Class"/>
    <n v="199.92"/>
  </r>
  <r>
    <n v="21376"/>
    <s v="DEBIT"/>
    <n v="2"/>
    <n v="4"/>
    <s v=" ONTIME"/>
    <n v="403"/>
    <n v="1"/>
    <n v="129.99"/>
    <n v="4"/>
    <s v="Apparel"/>
    <n v="4295"/>
    <s v="Bijapur"/>
    <d v="2018-11-08T00:00:00"/>
    <n v="11"/>
    <n v="2018"/>
    <s v="South Asia"/>
    <x v="8"/>
    <s v="COMPLETE"/>
    <s v="COMPLETED"/>
    <s v="Standard Class"/>
    <n v="129.99"/>
  </r>
  <r>
    <n v="21377"/>
    <s v="DEBIT"/>
    <n v="3"/>
    <n v="4"/>
    <s v=" ONTIME"/>
    <n v="403"/>
    <n v="1"/>
    <n v="129.99"/>
    <n v="4"/>
    <s v="Apparel"/>
    <n v="3813"/>
    <s v="Bijapur"/>
    <d v="2018-11-08T00:00:00"/>
    <n v="11"/>
    <n v="2018"/>
    <s v="South Asia"/>
    <x v="8"/>
    <s v="COMPLETE"/>
    <s v="COMPLETED"/>
    <s v="Standard Class"/>
    <n v="129.99"/>
  </r>
  <r>
    <n v="21378"/>
    <s v="DEBIT"/>
    <n v="4"/>
    <n v="4"/>
    <s v=" ONTIME"/>
    <n v="957"/>
    <n v="1"/>
    <n v="299.98"/>
    <n v="7"/>
    <s v="Fan Shop"/>
    <n v="10156"/>
    <s v="Agra"/>
    <d v="2018-11-08T00:00:00"/>
    <n v="11"/>
    <n v="2018"/>
    <s v="South Asia"/>
    <x v="1"/>
    <s v="COMPLETE"/>
    <s v="COMPLETED"/>
    <s v="Standard Class"/>
    <n v="299.98"/>
  </r>
  <r>
    <n v="21380"/>
    <s v="DEBIT"/>
    <n v="6"/>
    <n v="4"/>
    <s v="DELAYED"/>
    <n v="627"/>
    <n v="1"/>
    <n v="39.99"/>
    <n v="5"/>
    <s v="Golf"/>
    <n v="2919"/>
    <s v="Agra"/>
    <d v="2018-11-08T00:00:00"/>
    <n v="11"/>
    <n v="2018"/>
    <s v="South Asia"/>
    <x v="1"/>
    <s v="COMPLETE"/>
    <s v="COMPLETED"/>
    <s v="Standard Class"/>
    <n v="39.99"/>
  </r>
  <r>
    <n v="21384"/>
    <s v="TRANSFER"/>
    <n v="5"/>
    <n v="4"/>
    <s v="DELAYED"/>
    <n v="825"/>
    <n v="5"/>
    <n v="159.94999999999999"/>
    <n v="6"/>
    <s v="Outdoors"/>
    <n v="10881"/>
    <s v="Panihati"/>
    <d v="2018-11-08T00:00:00"/>
    <n v="11"/>
    <n v="2018"/>
    <s v="South Asia"/>
    <x v="6"/>
    <s v="PROCESSING"/>
    <s v="PENDING"/>
    <s v="Standard Class"/>
    <n v="159.94999999999999"/>
  </r>
  <r>
    <n v="21385"/>
    <s v="TRANSFER"/>
    <n v="6"/>
    <n v="4"/>
    <s v="DELAYED"/>
    <n v="1004"/>
    <n v="1"/>
    <n v="399.98"/>
    <n v="7"/>
    <s v="Fan Shop"/>
    <n v="4027"/>
    <s v="Jamshedpur"/>
    <d v="2018-11-08T00:00:00"/>
    <n v="11"/>
    <n v="2018"/>
    <s v="South Asia"/>
    <x v="12"/>
    <s v="PROCESSING"/>
    <s v="PENDING"/>
    <s v="Standard Class"/>
    <n v="399.98"/>
  </r>
  <r>
    <n v="21386"/>
    <s v="CASH"/>
    <n v="2"/>
    <n v="4"/>
    <s v=" ONTIME"/>
    <n v="403"/>
    <n v="1"/>
    <n v="129.99"/>
    <n v="4"/>
    <s v="Apparel"/>
    <n v="8717"/>
    <s v="Jamshedpur"/>
    <d v="2018-11-08T00:00:00"/>
    <n v="11"/>
    <n v="2018"/>
    <s v="South Asia"/>
    <x v="12"/>
    <s v="CLOSED"/>
    <s v="PENDING"/>
    <s v="Standard Class"/>
    <n v="129.99"/>
  </r>
  <r>
    <n v="21407"/>
    <s v="DEBIT"/>
    <n v="3"/>
    <n v="4"/>
    <s v=" ONTIME"/>
    <n v="403"/>
    <n v="1"/>
    <n v="129.99"/>
    <n v="4"/>
    <s v="Apparel"/>
    <n v="6956"/>
    <s v="Bhavnagar"/>
    <d v="2018-11-08T00:00:00"/>
    <n v="11"/>
    <n v="2018"/>
    <s v="South Asia"/>
    <x v="4"/>
    <s v="COMPLETE"/>
    <s v="COMPLETED"/>
    <s v="Standard Class"/>
    <n v="129.99"/>
  </r>
  <r>
    <n v="21408"/>
    <s v="TRANSFER"/>
    <n v="4"/>
    <n v="4"/>
    <s v=" ONTIME"/>
    <n v="778"/>
    <n v="1"/>
    <n v="24.99"/>
    <n v="6"/>
    <s v="Outdoors"/>
    <n v="9408"/>
    <s v="Bhavnagar"/>
    <d v="2018-11-08T00:00:00"/>
    <n v="11"/>
    <n v="2018"/>
    <s v="South Asia"/>
    <x v="4"/>
    <s v="PROCESSING"/>
    <s v="PENDING"/>
    <s v="Standard Class"/>
    <n v="24.99"/>
  </r>
  <r>
    <n v="21412"/>
    <s v="DEBIT"/>
    <n v="2"/>
    <n v="1"/>
    <s v="DELAYED"/>
    <n v="1004"/>
    <n v="1"/>
    <n v="399.98"/>
    <n v="7"/>
    <s v="Fan Shop"/>
    <n v="246"/>
    <s v="Pune"/>
    <d v="2018-11-08T00:00:00"/>
    <n v="11"/>
    <n v="2018"/>
    <s v="South Asia"/>
    <x v="0"/>
    <s v="COMPLETE"/>
    <s v="COMPLETED"/>
    <s v="First Class"/>
    <n v="399.98"/>
  </r>
  <r>
    <n v="21413"/>
    <s v="DEBIT"/>
    <n v="2"/>
    <n v="1"/>
    <s v="DELAYED"/>
    <n v="1073"/>
    <n v="1"/>
    <n v="199.99"/>
    <n v="7"/>
    <s v="Fan Shop"/>
    <n v="11989"/>
    <s v="Pune"/>
    <d v="2018-11-08T00:00:00"/>
    <n v="11"/>
    <n v="2018"/>
    <s v="South Asia"/>
    <x v="0"/>
    <s v="COMPLETE"/>
    <s v="COMPLETED"/>
    <s v="First Class"/>
    <n v="199.99"/>
  </r>
  <r>
    <n v="21414"/>
    <s v="CASH"/>
    <n v="5"/>
    <n v="4"/>
    <s v="DELAYED"/>
    <n v="403"/>
    <n v="1"/>
    <n v="129.99"/>
    <n v="4"/>
    <s v="Apparel"/>
    <n v="6350"/>
    <s v="Pune"/>
    <d v="2018-11-08T00:00:00"/>
    <n v="11"/>
    <n v="2018"/>
    <s v="South Asia"/>
    <x v="0"/>
    <s v="CLOSED"/>
    <s v="PENDING"/>
    <s v="Standard Class"/>
    <n v="129.99"/>
  </r>
  <r>
    <n v="21415"/>
    <s v="PAYMENT"/>
    <n v="6"/>
    <n v="4"/>
    <s v="DELAYED"/>
    <n v="191"/>
    <n v="1"/>
    <n v="99.99"/>
    <n v="3"/>
    <s v="Footwear"/>
    <n v="9460"/>
    <s v="Pune"/>
    <d v="2018-11-08T00:00:00"/>
    <n v="11"/>
    <n v="2018"/>
    <s v="South Asia"/>
    <x v="0"/>
    <s v="PENDING_PAYMENT"/>
    <s v="PENDING"/>
    <s v="Standard Class"/>
    <n v="99.99"/>
  </r>
  <r>
    <n v="21416"/>
    <s v="PAYMENT"/>
    <n v="2"/>
    <n v="4"/>
    <s v=" ONTIME"/>
    <n v="1073"/>
    <n v="1"/>
    <n v="199.99"/>
    <n v="7"/>
    <s v="Fan Shop"/>
    <n v="1832"/>
    <s v="Pune"/>
    <d v="2018-11-08T00:00:00"/>
    <n v="11"/>
    <n v="2018"/>
    <s v="South Asia"/>
    <x v="0"/>
    <s v="PENDING_PAYMENT"/>
    <s v="PENDING"/>
    <s v="Standard Class"/>
    <n v="199.99"/>
  </r>
  <r>
    <n v="21417"/>
    <s v="TRANSFER"/>
    <n v="2"/>
    <n v="1"/>
    <s v="DELAYED"/>
    <n v="1073"/>
    <n v="1"/>
    <n v="199.99"/>
    <n v="7"/>
    <s v="Fan Shop"/>
    <n v="5840"/>
    <s v="Pune"/>
    <d v="2018-11-08T00:00:00"/>
    <n v="11"/>
    <n v="2018"/>
    <s v="South Asia"/>
    <x v="0"/>
    <s v="SUSPECTED_FRAUD"/>
    <s v="PENDING"/>
    <s v="First Class"/>
    <n v="199.99"/>
  </r>
  <r>
    <n v="21419"/>
    <s v="CASH"/>
    <n v="2"/>
    <n v="1"/>
    <s v="DELAYED"/>
    <n v="365"/>
    <n v="1"/>
    <n v="59.99"/>
    <n v="4"/>
    <s v="Apparel"/>
    <n v="5182"/>
    <s v="Pune"/>
    <d v="2018-11-08T00:00:00"/>
    <n v="11"/>
    <n v="2018"/>
    <s v="South Asia"/>
    <x v="0"/>
    <s v="CLOSED"/>
    <s v="PENDING"/>
    <s v="First Class"/>
    <n v="59.99"/>
  </r>
  <r>
    <n v="21420"/>
    <s v="CASH"/>
    <n v="2"/>
    <n v="1"/>
    <s v="DELAYED"/>
    <n v="191"/>
    <n v="1"/>
    <n v="99.99"/>
    <n v="3"/>
    <s v="Footwear"/>
    <n v="1277"/>
    <s v="Pune"/>
    <d v="2018-11-08T00:00:00"/>
    <n v="11"/>
    <n v="2018"/>
    <s v="South Asia"/>
    <x v="0"/>
    <s v="CLOSED"/>
    <s v="PENDING"/>
    <s v="First Class"/>
    <n v="99.99"/>
  </r>
  <r>
    <n v="21421"/>
    <s v="DEBIT"/>
    <n v="2"/>
    <n v="2"/>
    <s v=" ONTIME"/>
    <n v="403"/>
    <n v="1"/>
    <n v="129.99"/>
    <n v="4"/>
    <s v="Apparel"/>
    <n v="5987"/>
    <s v="Pune"/>
    <d v="2018-11-08T00:00:00"/>
    <n v="11"/>
    <n v="2018"/>
    <s v="South Asia"/>
    <x v="0"/>
    <s v="COMPLETE"/>
    <s v="COMPLETED"/>
    <s v="Second Class"/>
    <n v="129.99"/>
  </r>
  <r>
    <n v="21422"/>
    <s v="PAYMENT"/>
    <n v="2"/>
    <n v="1"/>
    <s v="DELAYED"/>
    <n v="957"/>
    <n v="1"/>
    <n v="299.98"/>
    <n v="7"/>
    <s v="Fan Shop"/>
    <n v="4107"/>
    <s v="Pune"/>
    <d v="2018-11-08T00:00:00"/>
    <n v="11"/>
    <n v="2018"/>
    <s v="South Asia"/>
    <x v="0"/>
    <s v="PENDING_PAYMENT"/>
    <s v="PENDING"/>
    <s v="First Class"/>
    <n v="299.98"/>
  </r>
  <r>
    <n v="21468"/>
    <s v="DEBIT"/>
    <n v="4"/>
    <n v="2"/>
    <s v="DELAYED"/>
    <n v="403"/>
    <n v="1"/>
    <n v="129.99"/>
    <n v="4"/>
    <s v="Apparel"/>
    <n v="1075"/>
    <s v="Bilaspur"/>
    <d v="2018-11-09T00:00:00"/>
    <n v="11"/>
    <n v="2018"/>
    <s v="South Asia"/>
    <x v="1"/>
    <s v="COMPLETE"/>
    <s v="COMPLETED"/>
    <s v="Second Class"/>
    <n v="129.99"/>
  </r>
  <r>
    <n v="21469"/>
    <s v="DEBIT"/>
    <n v="5"/>
    <n v="2"/>
    <s v="DELAYED"/>
    <n v="403"/>
    <n v="1"/>
    <n v="129.99"/>
    <n v="4"/>
    <s v="Apparel"/>
    <n v="4086"/>
    <s v="Bilaspur"/>
    <d v="2018-11-09T00:00:00"/>
    <n v="11"/>
    <n v="2018"/>
    <s v="South Asia"/>
    <x v="1"/>
    <s v="COMPLETE"/>
    <s v="COMPLETED"/>
    <s v="Second Class"/>
    <n v="129.99"/>
  </r>
  <r>
    <n v="21500"/>
    <s v="PAYMENT"/>
    <n v="2"/>
    <n v="1"/>
    <s v="DELAYED"/>
    <n v="1014"/>
    <n v="5"/>
    <n v="249.9"/>
    <n v="7"/>
    <s v="Fan Shop"/>
    <n v="3085"/>
    <s v="Dehra Dun"/>
    <d v="2018-11-09T00:00:00"/>
    <n v="11"/>
    <n v="2018"/>
    <s v="South Asia"/>
    <x v="19"/>
    <s v="PENDING_PAYMENT"/>
    <s v="PENDING"/>
    <s v="First Class"/>
    <n v="249.9"/>
  </r>
  <r>
    <n v="21504"/>
    <s v="TRANSFER"/>
    <n v="5"/>
    <n v="2"/>
    <s v="DELAYED"/>
    <n v="403"/>
    <n v="1"/>
    <n v="129.99"/>
    <n v="4"/>
    <s v="Apparel"/>
    <n v="9376"/>
    <s v="Kollam"/>
    <d v="2018-11-09T00:00:00"/>
    <n v="11"/>
    <n v="2018"/>
    <s v="South Asia"/>
    <x v="20"/>
    <s v="PENDING"/>
    <s v="PENDING"/>
    <s v="Second Class"/>
    <n v="129.99"/>
  </r>
  <r>
    <n v="21505"/>
    <s v="CASH"/>
    <n v="6"/>
    <n v="2"/>
    <s v="DELAYED"/>
    <n v="957"/>
    <n v="1"/>
    <n v="299.98"/>
    <n v="7"/>
    <s v="Fan Shop"/>
    <n v="2384"/>
    <s v="Kollam"/>
    <d v="2018-11-09T00:00:00"/>
    <n v="11"/>
    <n v="2018"/>
    <s v="South Asia"/>
    <x v="20"/>
    <s v="CLOSED"/>
    <s v="PENDING"/>
    <s v="Second Class"/>
    <n v="299.98"/>
  </r>
  <r>
    <n v="21506"/>
    <s v="CASH"/>
    <n v="2"/>
    <n v="2"/>
    <s v=" ONTIME"/>
    <n v="365"/>
    <n v="4"/>
    <n v="239.96"/>
    <n v="4"/>
    <s v="Apparel"/>
    <n v="1283"/>
    <s v="Kollam"/>
    <d v="2018-11-09T00:00:00"/>
    <n v="11"/>
    <n v="2018"/>
    <s v="South Asia"/>
    <x v="20"/>
    <s v="CLOSED"/>
    <s v="PENDING"/>
    <s v="Second Class"/>
    <n v="239.96"/>
  </r>
  <r>
    <n v="21509"/>
    <s v="CASH"/>
    <n v="5"/>
    <n v="2"/>
    <s v="DELAYED"/>
    <n v="403"/>
    <n v="1"/>
    <n v="129.99"/>
    <n v="4"/>
    <s v="Apparel"/>
    <n v="1184"/>
    <s v="Jodhpur"/>
    <d v="2018-11-09T00:00:00"/>
    <n v="11"/>
    <n v="2018"/>
    <s v="South Asia"/>
    <x v="2"/>
    <s v="CLOSED"/>
    <s v="PENDING"/>
    <s v="Second Class"/>
    <n v="129.99"/>
  </r>
  <r>
    <n v="21510"/>
    <s v="PAYMENT"/>
    <n v="6"/>
    <n v="2"/>
    <s v="DELAYED"/>
    <n v="403"/>
    <n v="1"/>
    <n v="129.99"/>
    <n v="4"/>
    <s v="Apparel"/>
    <n v="11955"/>
    <s v="Jodhpur"/>
    <d v="2018-11-09T00:00:00"/>
    <n v="11"/>
    <n v="2018"/>
    <s v="South Asia"/>
    <x v="2"/>
    <s v="PENDING_PAYMENT"/>
    <s v="PENDING"/>
    <s v="Second Class"/>
    <n v="129.99"/>
  </r>
  <r>
    <n v="21511"/>
    <s v="DEBIT"/>
    <n v="2"/>
    <n v="2"/>
    <s v=" ONTIME"/>
    <n v="1014"/>
    <n v="4"/>
    <n v="199.92"/>
    <n v="7"/>
    <s v="Fan Shop"/>
    <n v="5857"/>
    <s v="Jodhpur"/>
    <d v="2018-11-09T00:00:00"/>
    <n v="11"/>
    <n v="2018"/>
    <s v="South Asia"/>
    <x v="2"/>
    <s v="COMPLETE"/>
    <s v="COMPLETED"/>
    <s v="Second Class"/>
    <n v="199.92"/>
  </r>
  <r>
    <n v="21513"/>
    <s v="CASH"/>
    <n v="2"/>
    <n v="1"/>
    <s v="DELAYED"/>
    <n v="957"/>
    <n v="1"/>
    <n v="299.98"/>
    <n v="7"/>
    <s v="Fan Shop"/>
    <n v="6491"/>
    <s v="Jamnagar"/>
    <d v="2018-11-10T00:00:00"/>
    <n v="11"/>
    <n v="2018"/>
    <s v="South Asia"/>
    <x v="4"/>
    <s v="CLOSED"/>
    <s v="PENDING"/>
    <s v="First Class"/>
    <n v="299.98"/>
  </r>
  <r>
    <n v="21514"/>
    <s v="PAYMENT"/>
    <n v="5"/>
    <n v="4"/>
    <s v="DELAYED"/>
    <n v="1014"/>
    <n v="2"/>
    <n v="99.96"/>
    <n v="7"/>
    <s v="Fan Shop"/>
    <n v="5342"/>
    <s v="Jamnagar"/>
    <d v="2018-11-10T00:00:00"/>
    <n v="11"/>
    <n v="2018"/>
    <s v="South Asia"/>
    <x v="4"/>
    <s v="PENDING_PAYMENT"/>
    <s v="PENDING"/>
    <s v="Standard Class"/>
    <n v="99.96"/>
  </r>
  <r>
    <n v="21557"/>
    <s v="DEBIT"/>
    <n v="3"/>
    <n v="4"/>
    <s v=" ONTIME"/>
    <n v="778"/>
    <n v="1"/>
    <n v="24.99"/>
    <n v="6"/>
    <s v="Outdoors"/>
    <n v="3776"/>
    <s v="Jodhpur"/>
    <d v="2018-11-10T00:00:00"/>
    <n v="11"/>
    <n v="2018"/>
    <s v="South Asia"/>
    <x v="4"/>
    <s v="COMPLETE"/>
    <s v="COMPLETED"/>
    <s v="Standard Class"/>
    <n v="24.99"/>
  </r>
  <r>
    <n v="21558"/>
    <s v="DEBIT"/>
    <n v="4"/>
    <n v="4"/>
    <s v=" ONTIME"/>
    <n v="1004"/>
    <n v="1"/>
    <n v="399.98"/>
    <n v="7"/>
    <s v="Fan Shop"/>
    <n v="9180"/>
    <s v="Madurai"/>
    <d v="2018-11-10T00:00:00"/>
    <n v="11"/>
    <n v="2018"/>
    <s v="South Asia"/>
    <x v="3"/>
    <s v="ON_HOLD"/>
    <s v="PENDING"/>
    <s v="Standard Class"/>
    <n v="399.98"/>
  </r>
  <r>
    <n v="21579"/>
    <s v="PAYMENT"/>
    <n v="5"/>
    <n v="2"/>
    <s v="DELAYED"/>
    <n v="957"/>
    <n v="1"/>
    <n v="299.98"/>
    <n v="7"/>
    <s v="Fan Shop"/>
    <n v="4123"/>
    <s v="Jaipur"/>
    <d v="2018-11-10T00:00:00"/>
    <n v="11"/>
    <n v="2018"/>
    <s v="South Asia"/>
    <x v="2"/>
    <s v="PENDING_PAYMENT"/>
    <s v="PENDING"/>
    <s v="Second Class"/>
    <n v="299.98"/>
  </r>
  <r>
    <n v="21601"/>
    <s v="DEBIT"/>
    <n v="2"/>
    <n v="4"/>
    <s v=" ONTIME"/>
    <n v="821"/>
    <n v="3"/>
    <n v="155.97"/>
    <n v="6"/>
    <s v="Outdoors"/>
    <n v="11705"/>
    <s v="Mau"/>
    <d v="2018-11-11T00:00:00"/>
    <n v="11"/>
    <n v="2018"/>
    <s v="South Asia"/>
    <x v="1"/>
    <s v="COMPLETE"/>
    <s v="COMPLETED"/>
    <s v="Standard Class"/>
    <n v="155.97"/>
  </r>
  <r>
    <n v="21625"/>
    <s v="TRANSFER"/>
    <n v="6"/>
    <n v="4"/>
    <s v="DELAYED"/>
    <n v="403"/>
    <n v="1"/>
    <n v="129.99"/>
    <n v="4"/>
    <s v="Apparel"/>
    <n v="2438"/>
    <s v="Allahabad"/>
    <d v="2018-11-11T00:00:00"/>
    <n v="11"/>
    <n v="2018"/>
    <s v="South Asia"/>
    <x v="1"/>
    <s v="PROCESSING"/>
    <s v="PENDING"/>
    <s v="Standard Class"/>
    <n v="129.99"/>
  </r>
  <r>
    <n v="21691"/>
    <s v="TRANSFER"/>
    <n v="2"/>
    <n v="4"/>
    <s v=" ONTIME"/>
    <n v="365"/>
    <n v="2"/>
    <n v="119.98"/>
    <n v="4"/>
    <s v="Apparel"/>
    <n v="532"/>
    <s v="Durg"/>
    <d v="2018-11-12T00:00:00"/>
    <n v="11"/>
    <n v="2018"/>
    <s v="South Asia"/>
    <x v="18"/>
    <s v="PENDING"/>
    <s v="PENDING"/>
    <s v="Standard Class"/>
    <n v="119.98"/>
  </r>
  <r>
    <n v="21692"/>
    <s v="PAYMENT"/>
    <n v="3"/>
    <n v="4"/>
    <s v=" ONTIME"/>
    <n v="1004"/>
    <n v="1"/>
    <n v="399.98"/>
    <n v="7"/>
    <s v="Fan Shop"/>
    <n v="1489"/>
    <s v="Durg"/>
    <d v="2018-11-12T00:00:00"/>
    <n v="11"/>
    <n v="2018"/>
    <s v="South Asia"/>
    <x v="18"/>
    <s v="PENDING_PAYMENT"/>
    <s v="PENDING"/>
    <s v="Standard Class"/>
    <n v="399.98"/>
  </r>
  <r>
    <n v="21693"/>
    <s v="DEBIT"/>
    <n v="4"/>
    <n v="4"/>
    <s v=" ONTIME"/>
    <n v="502"/>
    <n v="5"/>
    <n v="250"/>
    <n v="5"/>
    <s v="Golf"/>
    <n v="2003"/>
    <s v="Durg"/>
    <d v="2018-11-12T00:00:00"/>
    <n v="11"/>
    <n v="2018"/>
    <s v="South Asia"/>
    <x v="18"/>
    <s v="COMPLETE"/>
    <s v="COMPLETED"/>
    <s v="Standard Class"/>
    <n v="250"/>
  </r>
  <r>
    <n v="21708"/>
    <s v="PAYMENT"/>
    <n v="4"/>
    <n v="4"/>
    <s v=" ONTIME"/>
    <n v="1014"/>
    <n v="5"/>
    <n v="249.9"/>
    <n v="7"/>
    <s v="Fan Shop"/>
    <n v="1269"/>
    <s v="Amritsar"/>
    <d v="2018-11-12T00:00:00"/>
    <n v="11"/>
    <n v="2018"/>
    <s v="South Asia"/>
    <x v="16"/>
    <s v="PENDING_PAYMENT"/>
    <s v="PENDING"/>
    <s v="Standard Class"/>
    <n v="249.9"/>
  </r>
  <r>
    <n v="21723"/>
    <s v="TRANSFER"/>
    <n v="4"/>
    <n v="4"/>
    <s v=" ONTIME"/>
    <n v="502"/>
    <n v="4"/>
    <n v="200"/>
    <n v="5"/>
    <s v="Golf"/>
    <n v="10250"/>
    <s v="Faridabad"/>
    <d v="2018-11-13T00:00:00"/>
    <n v="11"/>
    <n v="2018"/>
    <s v="South Asia"/>
    <x v="10"/>
    <s v="PROCESSING"/>
    <s v="PENDING"/>
    <s v="Standard Class"/>
    <n v="200"/>
  </r>
  <r>
    <n v="21726"/>
    <s v="TRANSFER"/>
    <n v="2"/>
    <n v="4"/>
    <s v=" ONTIME"/>
    <n v="957"/>
    <n v="1"/>
    <n v="299.98"/>
    <n v="7"/>
    <s v="Fan Shop"/>
    <n v="831"/>
    <s v="Faridabad"/>
    <d v="2018-11-13T00:00:00"/>
    <n v="11"/>
    <n v="2018"/>
    <s v="South Asia"/>
    <x v="10"/>
    <s v="CANCELED"/>
    <s v="CANCELED"/>
    <s v="Standard Class"/>
    <n v="299.98"/>
  </r>
  <r>
    <n v="21738"/>
    <s v="TRANSFER"/>
    <n v="4"/>
    <n v="4"/>
    <s v=" ONTIME"/>
    <n v="1073"/>
    <n v="1"/>
    <n v="199.99"/>
    <n v="7"/>
    <s v="Fan Shop"/>
    <n v="7566"/>
    <s v="Bangalore"/>
    <d v="2018-11-13T00:00:00"/>
    <n v="11"/>
    <n v="2018"/>
    <s v="South Asia"/>
    <x v="8"/>
    <s v="PROCESSING"/>
    <s v="PENDING"/>
    <s v="Standard Class"/>
    <n v="199.99"/>
  </r>
  <r>
    <n v="21739"/>
    <s v="TRANSFER"/>
    <n v="5"/>
    <n v="4"/>
    <s v="DELAYED"/>
    <n v="1073"/>
    <n v="1"/>
    <n v="199.99"/>
    <n v="7"/>
    <s v="Fan Shop"/>
    <n v="2854"/>
    <s v="Bangalore"/>
    <d v="2018-11-13T00:00:00"/>
    <n v="11"/>
    <n v="2018"/>
    <s v="South Asia"/>
    <x v="8"/>
    <s v="PENDING"/>
    <s v="PENDING"/>
    <s v="Standard Class"/>
    <n v="199.99"/>
  </r>
  <r>
    <n v="21746"/>
    <s v="DEBIT"/>
    <n v="0"/>
    <n v="0"/>
    <s v=" ONTIME"/>
    <n v="365"/>
    <n v="2"/>
    <n v="119.98"/>
    <n v="4"/>
    <s v="Apparel"/>
    <n v="6071"/>
    <s v="Kanpur"/>
    <d v="2018-11-13T00:00:00"/>
    <n v="11"/>
    <n v="2018"/>
    <s v="South Asia"/>
    <x v="1"/>
    <s v="COMPLETE"/>
    <s v="COMPLETED"/>
    <s v="Same Day"/>
    <n v="119.98"/>
  </r>
  <r>
    <n v="21787"/>
    <s v="TRANSFER"/>
    <n v="3"/>
    <n v="2"/>
    <s v="DELAYED"/>
    <n v="1073"/>
    <n v="1"/>
    <n v="199.99"/>
    <n v="7"/>
    <s v="Fan Shop"/>
    <n v="6131"/>
    <s v="Mumbai"/>
    <d v="2018-11-14T00:00:00"/>
    <n v="11"/>
    <n v="2018"/>
    <s v="South Asia"/>
    <x v="0"/>
    <s v="PENDING"/>
    <s v="PENDING"/>
    <s v="Second Class"/>
    <n v="199.99"/>
  </r>
  <r>
    <n v="21790"/>
    <s v="TRANSFER"/>
    <n v="6"/>
    <n v="4"/>
    <s v="DELAYED"/>
    <n v="1073"/>
    <n v="1"/>
    <n v="199.99"/>
    <n v="7"/>
    <s v="Fan Shop"/>
    <n v="11384"/>
    <s v="Rohtak"/>
    <d v="2018-11-14T00:00:00"/>
    <n v="11"/>
    <n v="2018"/>
    <s v="South Asia"/>
    <x v="10"/>
    <s v="PENDING"/>
    <s v="PENDING"/>
    <s v="Standard Class"/>
    <n v="199.99"/>
  </r>
  <r>
    <n v="21810"/>
    <s v="PAYMENT"/>
    <n v="2"/>
    <n v="1"/>
    <s v="DELAYED"/>
    <n v="365"/>
    <n v="1"/>
    <n v="59.99"/>
    <n v="4"/>
    <s v="Apparel"/>
    <n v="11238"/>
    <s v="Kota"/>
    <d v="2018-11-14T00:00:00"/>
    <n v="11"/>
    <n v="2018"/>
    <s v="South Asia"/>
    <x v="2"/>
    <s v="PENDING_PAYMENT"/>
    <s v="PENDING"/>
    <s v="First Class"/>
    <n v="59.99"/>
  </r>
  <r>
    <n v="21812"/>
    <s v="TRANSFER"/>
    <n v="2"/>
    <n v="1"/>
    <s v="DELAYED"/>
    <n v="403"/>
    <n v="1"/>
    <n v="129.99"/>
    <n v="4"/>
    <s v="Apparel"/>
    <n v="5753"/>
    <s v="Ichalkaranji"/>
    <d v="2018-11-14T00:00:00"/>
    <n v="11"/>
    <n v="2018"/>
    <s v="South Asia"/>
    <x v="0"/>
    <s v="PENDING"/>
    <s v="PENDING"/>
    <s v="First Class"/>
    <n v="129.99"/>
  </r>
  <r>
    <n v="21853"/>
    <s v="DEBIT"/>
    <n v="4"/>
    <n v="4"/>
    <s v=" ONTIME"/>
    <n v="191"/>
    <n v="1"/>
    <n v="99.99"/>
    <n v="3"/>
    <s v="Footwear"/>
    <n v="619"/>
    <s v="Fatehpur"/>
    <d v="2018-11-14T00:00:00"/>
    <n v="11"/>
    <n v="2018"/>
    <s v="South Asia"/>
    <x v="2"/>
    <s v="ON_HOLD"/>
    <s v="PENDING"/>
    <s v="Standard Class"/>
    <n v="99.99"/>
  </r>
  <r>
    <n v="21883"/>
    <s v="TRANSFER"/>
    <n v="4"/>
    <n v="4"/>
    <s v=" ONTIME"/>
    <n v="1014"/>
    <n v="1"/>
    <n v="49.98"/>
    <n v="7"/>
    <s v="Fan Shop"/>
    <n v="1040"/>
    <s v="Madurai"/>
    <d v="2018-11-15T00:00:00"/>
    <n v="11"/>
    <n v="2018"/>
    <s v="South Asia"/>
    <x v="3"/>
    <s v="PENDING"/>
    <s v="PENDING"/>
    <s v="Standard Class"/>
    <n v="49.98"/>
  </r>
  <r>
    <n v="21887"/>
    <s v="DEBIT"/>
    <n v="2"/>
    <n v="1"/>
    <s v="DELAYED"/>
    <n v="403"/>
    <n v="1"/>
    <n v="129.99"/>
    <n v="4"/>
    <s v="Apparel"/>
    <n v="464"/>
    <s v="Hubli"/>
    <d v="2018-11-15T00:00:00"/>
    <n v="11"/>
    <n v="2018"/>
    <s v="South Asia"/>
    <x v="8"/>
    <s v="COMPLETE"/>
    <s v="COMPLETED"/>
    <s v="First Class"/>
    <n v="129.99"/>
  </r>
  <r>
    <n v="21888"/>
    <s v="DEBIT"/>
    <n v="2"/>
    <n v="1"/>
    <s v="DELAYED"/>
    <n v="1004"/>
    <n v="1"/>
    <n v="399.98"/>
    <n v="7"/>
    <s v="Fan Shop"/>
    <n v="5389"/>
    <s v="Hubli"/>
    <d v="2018-11-15T00:00:00"/>
    <n v="11"/>
    <n v="2018"/>
    <s v="South Asia"/>
    <x v="8"/>
    <s v="COMPLETE"/>
    <s v="COMPLETED"/>
    <s v="First Class"/>
    <n v="399.98"/>
  </r>
  <r>
    <n v="21906"/>
    <s v="DEBIT"/>
    <n v="2"/>
    <n v="4"/>
    <s v=" ONTIME"/>
    <n v="365"/>
    <n v="1"/>
    <n v="59.99"/>
    <n v="4"/>
    <s v="Apparel"/>
    <n v="6961"/>
    <s v="Thane"/>
    <d v="2018-11-15T00:00:00"/>
    <n v="11"/>
    <n v="2018"/>
    <s v="South Asia"/>
    <x v="0"/>
    <s v="COMPLETE"/>
    <s v="COMPLETED"/>
    <s v="Standard Class"/>
    <n v="59.99"/>
  </r>
  <r>
    <n v="21921"/>
    <s v="TRANSFER"/>
    <n v="2"/>
    <n v="1"/>
    <s v="DELAYED"/>
    <n v="1073"/>
    <n v="1"/>
    <n v="199.99"/>
    <n v="7"/>
    <s v="Fan Shop"/>
    <n v="4380"/>
    <s v="Faridabad"/>
    <d v="2018-11-15T00:00:00"/>
    <n v="11"/>
    <n v="2018"/>
    <s v="South Asia"/>
    <x v="10"/>
    <s v="PROCESSING"/>
    <s v="PENDING"/>
    <s v="First Class"/>
    <n v="199.99"/>
  </r>
  <r>
    <n v="21922"/>
    <s v="TRANSFER"/>
    <n v="2"/>
    <n v="1"/>
    <s v="DELAYED"/>
    <n v="1073"/>
    <n v="1"/>
    <n v="199.99"/>
    <n v="7"/>
    <s v="Fan Shop"/>
    <n v="6541"/>
    <s v="Faridabad"/>
    <d v="2018-11-15T00:00:00"/>
    <n v="11"/>
    <n v="2018"/>
    <s v="South Asia"/>
    <x v="10"/>
    <s v="PROCESSING"/>
    <s v="PENDING"/>
    <s v="First Class"/>
    <n v="199.99"/>
  </r>
  <r>
    <n v="21924"/>
    <s v="DEBIT"/>
    <n v="5"/>
    <n v="4"/>
    <s v="DELAYED"/>
    <n v="627"/>
    <n v="1"/>
    <n v="39.99"/>
    <n v="5"/>
    <s v="Golf"/>
    <n v="694"/>
    <s v="Patna"/>
    <d v="2018-11-16T00:00:00"/>
    <n v="11"/>
    <n v="2018"/>
    <s v="South Asia"/>
    <x v="17"/>
    <s v="COMPLETE"/>
    <s v="COMPLETED"/>
    <s v="Standard Class"/>
    <n v="39.99"/>
  </r>
  <r>
    <n v="21925"/>
    <s v="TRANSFER"/>
    <n v="6"/>
    <n v="4"/>
    <s v="DELAYED"/>
    <n v="1073"/>
    <n v="1"/>
    <n v="199.99"/>
    <n v="7"/>
    <s v="Fan Shop"/>
    <n v="11230"/>
    <s v="Patna"/>
    <d v="2018-11-16T00:00:00"/>
    <n v="11"/>
    <n v="2018"/>
    <s v="South Asia"/>
    <x v="17"/>
    <s v="PROCESSING"/>
    <s v="PENDING"/>
    <s v="Standard Class"/>
    <n v="199.99"/>
  </r>
  <r>
    <n v="21926"/>
    <s v="DEBIT"/>
    <n v="2"/>
    <n v="4"/>
    <s v=" ONTIME"/>
    <n v="957"/>
    <n v="1"/>
    <n v="299.98"/>
    <n v="7"/>
    <s v="Fan Shop"/>
    <n v="6303"/>
    <s v="Patna"/>
    <d v="2018-11-16T00:00:00"/>
    <n v="11"/>
    <n v="2018"/>
    <s v="South Asia"/>
    <x v="17"/>
    <s v="COMPLETE"/>
    <s v="COMPLETED"/>
    <s v="Standard Class"/>
    <n v="299.98"/>
  </r>
  <r>
    <n v="21927"/>
    <s v="PAYMENT"/>
    <n v="0"/>
    <n v="0"/>
    <s v=" ONTIME"/>
    <n v="365"/>
    <n v="1"/>
    <n v="59.99"/>
    <n v="4"/>
    <s v="Apparel"/>
    <n v="4732"/>
    <s v="Patna"/>
    <d v="2018-11-16T00:00:00"/>
    <n v="11"/>
    <n v="2018"/>
    <s v="South Asia"/>
    <x v="17"/>
    <s v="PENDING_PAYMENT"/>
    <s v="PENDING"/>
    <s v="Same Day"/>
    <n v="59.99"/>
  </r>
  <r>
    <n v="21929"/>
    <s v="TRANSFER"/>
    <n v="5"/>
    <n v="2"/>
    <s v="DELAYED"/>
    <n v="1073"/>
    <n v="1"/>
    <n v="199.99"/>
    <n v="7"/>
    <s v="Fan Shop"/>
    <n v="6003"/>
    <s v="Patna"/>
    <d v="2018-11-16T00:00:00"/>
    <n v="11"/>
    <n v="2018"/>
    <s v="South Asia"/>
    <x v="17"/>
    <s v="PROCESSING"/>
    <s v="PENDING"/>
    <s v="Second Class"/>
    <n v="199.99"/>
  </r>
  <r>
    <n v="21930"/>
    <s v="DEBIT"/>
    <n v="6"/>
    <n v="2"/>
    <s v="DELAYED"/>
    <n v="403"/>
    <n v="1"/>
    <n v="129.99"/>
    <n v="4"/>
    <s v="Apparel"/>
    <n v="1873"/>
    <s v="Patna"/>
    <d v="2018-11-16T00:00:00"/>
    <n v="11"/>
    <n v="2018"/>
    <s v="South Asia"/>
    <x v="17"/>
    <s v="COMPLETE"/>
    <s v="COMPLETED"/>
    <s v="Second Class"/>
    <n v="129.99"/>
  </r>
  <r>
    <n v="21931"/>
    <s v="DEBIT"/>
    <n v="2"/>
    <n v="4"/>
    <s v=" ONTIME"/>
    <n v="502"/>
    <n v="5"/>
    <n v="250"/>
    <n v="5"/>
    <s v="Golf"/>
    <n v="4623"/>
    <s v="Patna"/>
    <d v="2018-11-16T00:00:00"/>
    <n v="11"/>
    <n v="2018"/>
    <s v="South Asia"/>
    <x v="17"/>
    <s v="COMPLETE"/>
    <s v="COMPLETED"/>
    <s v="Standard Class"/>
    <n v="250"/>
  </r>
  <r>
    <n v="21980"/>
    <s v="CASH"/>
    <n v="2"/>
    <n v="1"/>
    <s v="DELAYED"/>
    <n v="957"/>
    <n v="1"/>
    <n v="299.98"/>
    <n v="7"/>
    <s v="Fan Shop"/>
    <n v="7173"/>
    <s v="Bellary"/>
    <d v="2018-11-16T00:00:00"/>
    <n v="11"/>
    <n v="2018"/>
    <s v="South Asia"/>
    <x v="8"/>
    <s v="CLOSED"/>
    <s v="PENDING"/>
    <s v="First Class"/>
    <n v="299.98"/>
  </r>
  <r>
    <n v="21981"/>
    <s v="PAYMENT"/>
    <n v="2"/>
    <n v="1"/>
    <s v="DELAYED"/>
    <n v="810"/>
    <n v="3"/>
    <n v="59.97"/>
    <n v="6"/>
    <s v="Outdoors"/>
    <n v="12154"/>
    <s v="Tiruppur"/>
    <d v="2018-11-16T00:00:00"/>
    <n v="11"/>
    <n v="2018"/>
    <s v="South Asia"/>
    <x v="3"/>
    <s v="PENDING_PAYMENT"/>
    <s v="PENDING"/>
    <s v="First Class"/>
    <n v="59.97"/>
  </r>
  <r>
    <n v="21982"/>
    <s v="DEBIT"/>
    <n v="2"/>
    <n v="1"/>
    <s v="DELAYED"/>
    <n v="775"/>
    <n v="3"/>
    <n v="29.97"/>
    <n v="6"/>
    <s v="Outdoors"/>
    <n v="7627"/>
    <s v="Tiruppur"/>
    <d v="2018-11-16T00:00:00"/>
    <n v="11"/>
    <n v="2018"/>
    <s v="South Asia"/>
    <x v="3"/>
    <s v="COMPLETE"/>
    <s v="COMPLETED"/>
    <s v="First Class"/>
    <n v="29.97"/>
  </r>
  <r>
    <n v="21995"/>
    <s v="PAYMENT"/>
    <n v="6"/>
    <n v="4"/>
    <s v="DELAYED"/>
    <n v="403"/>
    <n v="1"/>
    <n v="129.99"/>
    <n v="4"/>
    <s v="Apparel"/>
    <n v="7865"/>
    <s v="Agra"/>
    <d v="2018-11-17T00:00:00"/>
    <n v="11"/>
    <n v="2018"/>
    <s v="South Asia"/>
    <x v="1"/>
    <s v="PENDING_PAYMENT"/>
    <s v="PENDING"/>
    <s v="Standard Class"/>
    <n v="129.99"/>
  </r>
  <r>
    <n v="21996"/>
    <s v="TRANSFER"/>
    <n v="2"/>
    <n v="4"/>
    <s v=" ONTIME"/>
    <n v="365"/>
    <n v="2"/>
    <n v="119.98"/>
    <n v="4"/>
    <s v="Apparel"/>
    <n v="5622"/>
    <s v="Agra"/>
    <d v="2018-11-17T00:00:00"/>
    <n v="11"/>
    <n v="2018"/>
    <s v="South Asia"/>
    <x v="1"/>
    <s v="PROCESSING"/>
    <s v="PENDING"/>
    <s v="Standard Class"/>
    <n v="119.98"/>
  </r>
  <r>
    <n v="22006"/>
    <s v="PAYMENT"/>
    <n v="2"/>
    <n v="1"/>
    <s v="DELAYED"/>
    <n v="403"/>
    <n v="1"/>
    <n v="129.99"/>
    <n v="4"/>
    <s v="Apparel"/>
    <n v="11273"/>
    <s v="Indore"/>
    <d v="2018-11-17T00:00:00"/>
    <n v="11"/>
    <n v="2018"/>
    <s v="South Asia"/>
    <x v="14"/>
    <s v="PENDING_PAYMENT"/>
    <s v="PENDING"/>
    <s v="First Class"/>
    <n v="129.99"/>
  </r>
  <r>
    <n v="22008"/>
    <s v="TRANSFER"/>
    <n v="4"/>
    <n v="2"/>
    <s v="DELAYED"/>
    <n v="1004"/>
    <n v="1"/>
    <n v="399.98"/>
    <n v="7"/>
    <s v="Fan Shop"/>
    <n v="10123"/>
    <s v="Indore"/>
    <d v="2018-11-17T00:00:00"/>
    <n v="11"/>
    <n v="2018"/>
    <s v="South Asia"/>
    <x v="14"/>
    <s v="PROCESSING"/>
    <s v="PENDING"/>
    <s v="Second Class"/>
    <n v="399.98"/>
  </r>
  <r>
    <n v="22019"/>
    <s v="DEBIT"/>
    <n v="5"/>
    <n v="4"/>
    <s v="DELAYED"/>
    <n v="403"/>
    <n v="1"/>
    <n v="129.99"/>
    <n v="4"/>
    <s v="Apparel"/>
    <n v="9494"/>
    <s v="Ulhasnagar"/>
    <d v="2018-11-17T00:00:00"/>
    <n v="11"/>
    <n v="2018"/>
    <s v="South Asia"/>
    <x v="0"/>
    <s v="COMPLETE"/>
    <s v="COMPLETED"/>
    <s v="Standard Class"/>
    <n v="129.99"/>
  </r>
  <r>
    <n v="22020"/>
    <s v="DEBIT"/>
    <n v="6"/>
    <n v="4"/>
    <s v="DELAYED"/>
    <n v="627"/>
    <n v="4"/>
    <n v="159.96"/>
    <n v="5"/>
    <s v="Golf"/>
    <n v="5984"/>
    <s v="Ulhasnagar"/>
    <d v="2018-11-17T00:00:00"/>
    <n v="11"/>
    <n v="2018"/>
    <s v="South Asia"/>
    <x v="0"/>
    <s v="COMPLETE"/>
    <s v="COMPLETED"/>
    <s v="Standard Class"/>
    <n v="159.96"/>
  </r>
  <r>
    <n v="22023"/>
    <s v="PAYMENT"/>
    <n v="4"/>
    <n v="4"/>
    <s v=" ONTIME"/>
    <n v="957"/>
    <n v="1"/>
    <n v="299.98"/>
    <n v="7"/>
    <s v="Fan Shop"/>
    <n v="4140"/>
    <s v="Vadodara"/>
    <d v="2018-11-17T00:00:00"/>
    <n v="11"/>
    <n v="2018"/>
    <s v="South Asia"/>
    <x v="4"/>
    <s v="PENDING_PAYMENT"/>
    <s v="PENDING"/>
    <s v="Standard Class"/>
    <n v="299.98"/>
  </r>
  <r>
    <n v="22035"/>
    <s v="TRANSFER"/>
    <n v="6"/>
    <n v="4"/>
    <s v="DELAYED"/>
    <n v="1073"/>
    <n v="1"/>
    <n v="199.99"/>
    <n v="7"/>
    <s v="Fan Shop"/>
    <n v="1871"/>
    <s v="Bareilly"/>
    <d v="2018-11-17T00:00:00"/>
    <n v="11"/>
    <n v="2018"/>
    <s v="South Asia"/>
    <x v="1"/>
    <s v="PROCESSING"/>
    <s v="PENDING"/>
    <s v="Standard Class"/>
    <n v="199.99"/>
  </r>
  <r>
    <n v="22036"/>
    <s v="DEBIT"/>
    <n v="2"/>
    <n v="4"/>
    <s v=" ONTIME"/>
    <n v="403"/>
    <n v="1"/>
    <n v="129.99"/>
    <n v="4"/>
    <s v="Apparel"/>
    <n v="1145"/>
    <s v="Bareilly"/>
    <d v="2018-11-17T00:00:00"/>
    <n v="11"/>
    <n v="2018"/>
    <s v="South Asia"/>
    <x v="1"/>
    <s v="COMPLETE"/>
    <s v="COMPLETED"/>
    <s v="Standard Class"/>
    <n v="129.99"/>
  </r>
  <r>
    <n v="22037"/>
    <s v="PAYMENT"/>
    <n v="2"/>
    <n v="1"/>
    <s v="DELAYED"/>
    <n v="1004"/>
    <n v="1"/>
    <n v="399.98"/>
    <n v="7"/>
    <s v="Fan Shop"/>
    <n v="12351"/>
    <s v="Bareilly"/>
    <d v="2018-11-17T00:00:00"/>
    <n v="11"/>
    <n v="2018"/>
    <s v="South Asia"/>
    <x v="1"/>
    <s v="PENDING_PAYMENT"/>
    <s v="PENDING"/>
    <s v="First Class"/>
    <n v="399.98"/>
  </r>
  <r>
    <n v="22038"/>
    <s v="TRANSFER"/>
    <n v="2"/>
    <n v="1"/>
    <s v="DELAYED"/>
    <n v="403"/>
    <n v="1"/>
    <n v="129.99"/>
    <n v="4"/>
    <s v="Apparel"/>
    <n v="7341"/>
    <s v="Ajmer"/>
    <d v="2018-11-17T00:00:00"/>
    <n v="11"/>
    <n v="2018"/>
    <s v="South Asia"/>
    <x v="2"/>
    <s v="PENDING"/>
    <s v="PENDING"/>
    <s v="First Class"/>
    <n v="129.99"/>
  </r>
  <r>
    <n v="22039"/>
    <s v="PAYMENT"/>
    <n v="5"/>
    <n v="4"/>
    <s v="DELAYED"/>
    <n v="502"/>
    <n v="1"/>
    <n v="50"/>
    <n v="5"/>
    <s v="Golf"/>
    <n v="4613"/>
    <s v="Ajmer"/>
    <d v="2018-11-17T00:00:00"/>
    <n v="11"/>
    <n v="2018"/>
    <s v="South Asia"/>
    <x v="2"/>
    <s v="PENDING_PAYMENT"/>
    <s v="PENDING"/>
    <s v="Standard Class"/>
    <n v="50"/>
  </r>
  <r>
    <n v="22040"/>
    <s v="TRANSFER"/>
    <n v="6"/>
    <n v="4"/>
    <s v="DELAYED"/>
    <n v="627"/>
    <n v="2"/>
    <n v="79.98"/>
    <n v="5"/>
    <s v="Golf"/>
    <n v="455"/>
    <s v="Anantapur"/>
    <d v="2018-11-17T00:00:00"/>
    <n v="11"/>
    <n v="2018"/>
    <s v="South Asia"/>
    <x v="15"/>
    <s v="PENDING"/>
    <s v="PENDING"/>
    <s v="Standard Class"/>
    <n v="79.98"/>
  </r>
  <r>
    <n v="22041"/>
    <s v="PAYMENT"/>
    <n v="2"/>
    <n v="4"/>
    <s v=" ONTIME"/>
    <n v="502"/>
    <n v="5"/>
    <n v="250"/>
    <n v="5"/>
    <s v="Golf"/>
    <n v="2072"/>
    <s v="Anantapur"/>
    <d v="2018-11-17T00:00:00"/>
    <n v="11"/>
    <n v="2018"/>
    <s v="South Asia"/>
    <x v="15"/>
    <s v="PENDING_PAYMENT"/>
    <s v="PENDING"/>
    <s v="Standard Class"/>
    <n v="250"/>
  </r>
  <r>
    <n v="22045"/>
    <s v="PAYMENT"/>
    <n v="6"/>
    <n v="4"/>
    <s v="DELAYED"/>
    <n v="502"/>
    <n v="1"/>
    <n v="50"/>
    <n v="5"/>
    <s v="Golf"/>
    <n v="7700"/>
    <s v="Hyderabad"/>
    <d v="2018-11-17T00:00:00"/>
    <n v="11"/>
    <n v="2018"/>
    <s v="South Asia"/>
    <x v="7"/>
    <s v="PENDING_PAYMENT"/>
    <s v="PENDING"/>
    <s v="Standard Class"/>
    <n v="50"/>
  </r>
  <r>
    <n v="22055"/>
    <s v="DEBIT"/>
    <n v="2"/>
    <n v="1"/>
    <s v="DELAYED"/>
    <n v="403"/>
    <n v="1"/>
    <n v="129.99"/>
    <n v="4"/>
    <s v="Apparel"/>
    <n v="5282"/>
    <s v="Pune"/>
    <d v="2018-11-17T00:00:00"/>
    <n v="11"/>
    <n v="2018"/>
    <s v="South Asia"/>
    <x v="0"/>
    <s v="COMPLETE"/>
    <s v="COMPLETED"/>
    <s v="First Class"/>
    <n v="129.99"/>
  </r>
  <r>
    <n v="22060"/>
    <s v="DEBIT"/>
    <n v="2"/>
    <n v="1"/>
    <s v="DELAYED"/>
    <n v="1014"/>
    <n v="2"/>
    <n v="99.96"/>
    <n v="7"/>
    <s v="Fan Shop"/>
    <n v="8113"/>
    <s v="Chennai"/>
    <d v="2018-11-18T00:00:00"/>
    <n v="11"/>
    <n v="2018"/>
    <s v="South Asia"/>
    <x v="3"/>
    <s v="COMPLETE"/>
    <s v="COMPLETED"/>
    <s v="First Class"/>
    <n v="99.96"/>
  </r>
  <r>
    <n v="22061"/>
    <s v="CASH"/>
    <n v="2"/>
    <n v="1"/>
    <s v="DELAYED"/>
    <n v="403"/>
    <n v="1"/>
    <n v="129.99"/>
    <n v="4"/>
    <s v="Apparel"/>
    <n v="40"/>
    <s v="Panihati"/>
    <d v="2018-11-18T00:00:00"/>
    <n v="11"/>
    <n v="2018"/>
    <s v="South Asia"/>
    <x v="6"/>
    <s v="CLOSED"/>
    <s v="PENDING"/>
    <s v="First Class"/>
    <n v="129.99"/>
  </r>
  <r>
    <n v="22065"/>
    <s v="DEBIT"/>
    <n v="6"/>
    <n v="2"/>
    <s v="DELAYED"/>
    <n v="1014"/>
    <n v="4"/>
    <n v="199.92"/>
    <n v="7"/>
    <s v="Fan Shop"/>
    <n v="3088"/>
    <s v="Mumbai"/>
    <d v="2018-11-18T00:00:00"/>
    <n v="11"/>
    <n v="2018"/>
    <s v="South Asia"/>
    <x v="0"/>
    <s v="ON_HOLD"/>
    <s v="PENDING"/>
    <s v="Second Class"/>
    <n v="199.92"/>
  </r>
  <r>
    <n v="22067"/>
    <s v="DEBIT"/>
    <n v="3"/>
    <n v="2"/>
    <s v="DELAYED"/>
    <n v="403"/>
    <n v="1"/>
    <n v="129.99"/>
    <n v="4"/>
    <s v="Apparel"/>
    <n v="3649"/>
    <s v="Delhi"/>
    <d v="2018-11-18T00:00:00"/>
    <n v="11"/>
    <n v="2018"/>
    <s v="South Asia"/>
    <x v="11"/>
    <s v="COMPLETE"/>
    <s v="COMPLETED"/>
    <s v="Second Class"/>
    <n v="129.99"/>
  </r>
  <r>
    <n v="22068"/>
    <s v="DEBIT"/>
    <n v="4"/>
    <n v="4"/>
    <s v=" ONTIME"/>
    <n v="365"/>
    <n v="5"/>
    <n v="299.95"/>
    <n v="4"/>
    <s v="Apparel"/>
    <n v="11423"/>
    <s v="Delhi"/>
    <d v="2018-11-18T00:00:00"/>
    <n v="11"/>
    <n v="2018"/>
    <s v="South Asia"/>
    <x v="11"/>
    <s v="COMPLETE"/>
    <s v="COMPLETED"/>
    <s v="Standard Class"/>
    <n v="299.95"/>
  </r>
  <r>
    <n v="22082"/>
    <s v="CASH"/>
    <n v="3"/>
    <n v="4"/>
    <s v=" ONTIME"/>
    <n v="502"/>
    <n v="1"/>
    <n v="50"/>
    <n v="5"/>
    <s v="Golf"/>
    <n v="10429"/>
    <s v="Pune"/>
    <d v="2018-11-18T00:00:00"/>
    <n v="11"/>
    <n v="2018"/>
    <s v="South Asia"/>
    <x v="0"/>
    <s v="CLOSED"/>
    <s v="PENDING"/>
    <s v="Standard Class"/>
    <n v="50"/>
  </r>
  <r>
    <n v="22093"/>
    <s v="TRANSFER"/>
    <n v="0"/>
    <n v="0"/>
    <s v=" ONTIME"/>
    <n v="627"/>
    <n v="1"/>
    <n v="39.99"/>
    <n v="5"/>
    <s v="Golf"/>
    <n v="11116"/>
    <s v="Korba"/>
    <d v="2018-11-18T00:00:00"/>
    <n v="11"/>
    <n v="2018"/>
    <s v="South Asia"/>
    <x v="18"/>
    <s v="PENDING"/>
    <s v="PENDING"/>
    <s v="Same Day"/>
    <n v="39.99"/>
  </r>
  <r>
    <n v="22094"/>
    <s v="DEBIT"/>
    <n v="5"/>
    <n v="2"/>
    <s v="DELAYED"/>
    <n v="703"/>
    <n v="2"/>
    <n v="39.979999999999997"/>
    <n v="6"/>
    <s v="Outdoors"/>
    <n v="4721"/>
    <s v="Korba"/>
    <d v="2018-11-18T00:00:00"/>
    <n v="11"/>
    <n v="2018"/>
    <s v="South Asia"/>
    <x v="18"/>
    <s v="COMPLETE"/>
    <s v="COMPLETED"/>
    <s v="Second Class"/>
    <n v="39.979999999999997"/>
  </r>
  <r>
    <n v="22122"/>
    <s v="DEBIT"/>
    <n v="1"/>
    <n v="0"/>
    <s v="DELAYED"/>
    <n v="403"/>
    <n v="1"/>
    <n v="129.99"/>
    <n v="4"/>
    <s v="Apparel"/>
    <n v="6912"/>
    <s v="Gulbarga"/>
    <d v="2018-11-18T00:00:00"/>
    <n v="11"/>
    <n v="2018"/>
    <s v="South Asia"/>
    <x v="8"/>
    <s v="COMPLETE"/>
    <s v="COMPLETED"/>
    <s v="Same Day"/>
    <n v="129.99"/>
  </r>
  <r>
    <n v="22142"/>
    <s v="DEBIT"/>
    <n v="3"/>
    <n v="4"/>
    <s v=" ONTIME"/>
    <n v="502"/>
    <n v="5"/>
    <n v="250"/>
    <n v="5"/>
    <s v="Golf"/>
    <n v="4599"/>
    <s v="Pune"/>
    <d v="2018-11-19T00:00:00"/>
    <n v="11"/>
    <n v="2018"/>
    <s v="South Asia"/>
    <x v="0"/>
    <s v="COMPLETE"/>
    <s v="COMPLETED"/>
    <s v="Standard Class"/>
    <n v="250"/>
  </r>
  <r>
    <n v="22173"/>
    <s v="DEBIT"/>
    <n v="4"/>
    <n v="2"/>
    <s v="DELAYED"/>
    <n v="703"/>
    <n v="3"/>
    <n v="59.97"/>
    <n v="6"/>
    <s v="Outdoors"/>
    <n v="5683"/>
    <s v="Jaipur"/>
    <d v="2018-11-19T00:00:00"/>
    <n v="11"/>
    <n v="2018"/>
    <s v="South Asia"/>
    <x v="2"/>
    <s v="COMPLETE"/>
    <s v="COMPLETED"/>
    <s v="Second Class"/>
    <n v="59.97"/>
  </r>
  <r>
    <n v="22187"/>
    <s v="DEBIT"/>
    <n v="3"/>
    <n v="4"/>
    <s v=" ONTIME"/>
    <n v="957"/>
    <n v="1"/>
    <n v="299.98"/>
    <n v="7"/>
    <s v="Fan Shop"/>
    <n v="3755"/>
    <s v="Bhilai"/>
    <d v="2018-11-19T00:00:00"/>
    <n v="11"/>
    <n v="2018"/>
    <s v="South Asia"/>
    <x v="18"/>
    <s v="COMPLETE"/>
    <s v="COMPLETED"/>
    <s v="Standard Class"/>
    <n v="299.98"/>
  </r>
  <r>
    <n v="22188"/>
    <s v="TRANSFER"/>
    <n v="4"/>
    <n v="4"/>
    <s v=" ONTIME"/>
    <n v="134"/>
    <n v="2"/>
    <n v="50"/>
    <n v="2"/>
    <s v="Fitness"/>
    <n v="12237"/>
    <s v="Bhilai"/>
    <d v="2018-11-19T00:00:00"/>
    <n v="11"/>
    <n v="2018"/>
    <s v="South Asia"/>
    <x v="18"/>
    <s v="SUSPECTED_FRAUD"/>
    <s v="PENDING"/>
    <s v="Standard Class"/>
    <n v="50"/>
  </r>
  <r>
    <n v="22204"/>
    <s v="DEBIT"/>
    <n v="0"/>
    <n v="0"/>
    <s v=" ONTIME"/>
    <n v="627"/>
    <n v="1"/>
    <n v="39.99"/>
    <n v="5"/>
    <s v="Golf"/>
    <n v="9666"/>
    <s v="Bangalore"/>
    <d v="2018-11-20T00:00:00"/>
    <n v="11"/>
    <n v="2018"/>
    <s v="South Asia"/>
    <x v="8"/>
    <s v="COMPLETE"/>
    <s v="COMPLETED"/>
    <s v="Same Day"/>
    <n v="39.99"/>
  </r>
  <r>
    <n v="22205"/>
    <s v="PAYMENT"/>
    <n v="6"/>
    <n v="2"/>
    <s v="DELAYED"/>
    <n v="273"/>
    <n v="4"/>
    <n v="111.96"/>
    <n v="3"/>
    <s v="Footwear"/>
    <n v="3539"/>
    <s v="Bangalore"/>
    <d v="2018-11-20T00:00:00"/>
    <n v="11"/>
    <n v="2018"/>
    <s v="South Asia"/>
    <x v="8"/>
    <s v="PENDING_PAYMENT"/>
    <s v="PENDING"/>
    <s v="Second Class"/>
    <n v="111.96"/>
  </r>
  <r>
    <n v="22206"/>
    <s v="CASH"/>
    <n v="2"/>
    <n v="4"/>
    <s v=" ONTIME"/>
    <n v="917"/>
    <n v="1"/>
    <n v="21.99"/>
    <n v="6"/>
    <s v="Outdoors"/>
    <n v="9929"/>
    <s v="Bangalore"/>
    <d v="2018-11-20T00:00:00"/>
    <n v="11"/>
    <n v="2018"/>
    <s v="South Asia"/>
    <x v="8"/>
    <s v="CLOSED"/>
    <s v="PENDING"/>
    <s v="Standard Class"/>
    <n v="21.99"/>
  </r>
  <r>
    <n v="22219"/>
    <s v="PAYMENT"/>
    <n v="2"/>
    <n v="1"/>
    <s v="DELAYED"/>
    <n v="365"/>
    <n v="3"/>
    <n v="179.97"/>
    <n v="4"/>
    <s v="Apparel"/>
    <n v="4900"/>
    <s v="Madurai"/>
    <d v="2018-11-20T00:00:00"/>
    <n v="11"/>
    <n v="2018"/>
    <s v="South Asia"/>
    <x v="3"/>
    <s v="PENDING_PAYMENT"/>
    <s v="PENDING"/>
    <s v="First Class"/>
    <n v="179.97"/>
  </r>
  <r>
    <n v="22220"/>
    <s v="PAYMENT"/>
    <n v="6"/>
    <n v="4"/>
    <s v="DELAYED"/>
    <n v="1073"/>
    <n v="1"/>
    <n v="199.99"/>
    <n v="7"/>
    <s v="Fan Shop"/>
    <n v="7186"/>
    <s v="Madurai"/>
    <d v="2018-11-20T00:00:00"/>
    <n v="11"/>
    <n v="2018"/>
    <s v="South Asia"/>
    <x v="3"/>
    <s v="PENDING_PAYMENT"/>
    <s v="PENDING"/>
    <s v="Standard Class"/>
    <n v="199.99"/>
  </r>
  <r>
    <n v="22236"/>
    <s v="PAYMENT"/>
    <n v="2"/>
    <n v="1"/>
    <s v="DELAYED"/>
    <n v="403"/>
    <n v="1"/>
    <n v="129.99"/>
    <n v="4"/>
    <s v="Apparel"/>
    <n v="10380"/>
    <s v="Lucknow"/>
    <d v="2018-11-20T00:00:00"/>
    <n v="11"/>
    <n v="2018"/>
    <s v="South Asia"/>
    <x v="1"/>
    <s v="PENDING_PAYMENT"/>
    <s v="PENDING"/>
    <s v="First Class"/>
    <n v="129.99"/>
  </r>
  <r>
    <n v="22243"/>
    <s v="CASH"/>
    <n v="4"/>
    <n v="4"/>
    <s v=" ONTIME"/>
    <n v="957"/>
    <n v="1"/>
    <n v="299.98"/>
    <n v="7"/>
    <s v="Fan Shop"/>
    <n v="9506"/>
    <s v="Jammu"/>
    <d v="2018-11-20T00:00:00"/>
    <n v="11"/>
    <n v="2018"/>
    <s v="South Asia"/>
    <x v="21"/>
    <s v="CLOSED"/>
    <s v="PENDING"/>
    <s v="Standard Class"/>
    <n v="299.98"/>
  </r>
  <r>
    <n v="22244"/>
    <s v="PAYMENT"/>
    <n v="1"/>
    <n v="0"/>
    <s v="DELAYED"/>
    <n v="502"/>
    <n v="2"/>
    <n v="100"/>
    <n v="5"/>
    <s v="Golf"/>
    <n v="7852"/>
    <s v="Jammu"/>
    <d v="2018-11-20T00:00:00"/>
    <n v="11"/>
    <n v="2018"/>
    <s v="South Asia"/>
    <x v="21"/>
    <s v="PENDING_PAYMENT"/>
    <s v="PENDING"/>
    <s v="Same Day"/>
    <n v="100"/>
  </r>
  <r>
    <n v="22288"/>
    <s v="TRANSFER"/>
    <n v="4"/>
    <n v="4"/>
    <s v=" ONTIME"/>
    <n v="924"/>
    <n v="3"/>
    <n v="47.97"/>
    <n v="6"/>
    <s v="Outdoors"/>
    <n v="6016"/>
    <s v="Bilaspur"/>
    <d v="2018-11-21T00:00:00"/>
    <n v="11"/>
    <n v="2018"/>
    <s v="South Asia"/>
    <x v="1"/>
    <s v="CANCELED"/>
    <s v="CANCELED"/>
    <s v="Standard Class"/>
    <n v="47.97"/>
  </r>
  <r>
    <n v="22289"/>
    <s v="PAYMENT"/>
    <n v="5"/>
    <n v="4"/>
    <s v="DELAYED"/>
    <n v="282"/>
    <n v="4"/>
    <n v="127.96"/>
    <n v="3"/>
    <s v="Footwear"/>
    <n v="7711"/>
    <s v="Bilaspur"/>
    <d v="2018-11-21T00:00:00"/>
    <n v="11"/>
    <n v="2018"/>
    <s v="South Asia"/>
    <x v="1"/>
    <s v="PENDING_PAYMENT"/>
    <s v="PENDING"/>
    <s v="Standard Class"/>
    <n v="127.96"/>
  </r>
  <r>
    <n v="22290"/>
    <s v="DEBIT"/>
    <n v="6"/>
    <n v="2"/>
    <s v="DELAYED"/>
    <n v="403"/>
    <n v="1"/>
    <n v="129.99"/>
    <n v="4"/>
    <s v="Apparel"/>
    <n v="4349"/>
    <s v="Bilaspur"/>
    <d v="2018-11-21T00:00:00"/>
    <n v="11"/>
    <n v="2018"/>
    <s v="South Asia"/>
    <x v="1"/>
    <s v="COMPLETE"/>
    <s v="COMPLETED"/>
    <s v="Second Class"/>
    <n v="129.99"/>
  </r>
  <r>
    <n v="22293"/>
    <s v="DEBIT"/>
    <n v="2"/>
    <n v="1"/>
    <s v="DELAYED"/>
    <n v="810"/>
    <n v="1"/>
    <n v="19.989999999999998"/>
    <n v="6"/>
    <s v="Outdoors"/>
    <n v="5886"/>
    <s v="Durgapur"/>
    <d v="2018-11-21T00:00:00"/>
    <n v="11"/>
    <n v="2018"/>
    <s v="South Asia"/>
    <x v="0"/>
    <s v="COMPLETE"/>
    <s v="COMPLETED"/>
    <s v="First Class"/>
    <n v="19.989999999999998"/>
  </r>
  <r>
    <n v="22318"/>
    <s v="TRANSFER"/>
    <n v="4"/>
    <n v="4"/>
    <s v=" ONTIME"/>
    <n v="403"/>
    <n v="1"/>
    <n v="129.99"/>
    <n v="4"/>
    <s v="Apparel"/>
    <n v="7105"/>
    <s v="Mau"/>
    <d v="2018-11-21T00:00:00"/>
    <n v="11"/>
    <n v="2018"/>
    <s v="South Asia"/>
    <x v="14"/>
    <s v="PROCESSING"/>
    <s v="PENDING"/>
    <s v="Standard Class"/>
    <n v="129.99"/>
  </r>
  <r>
    <n v="22337"/>
    <s v="PAYMENT"/>
    <n v="3"/>
    <n v="4"/>
    <s v=" ONTIME"/>
    <n v="403"/>
    <n v="1"/>
    <n v="129.99"/>
    <n v="4"/>
    <s v="Apparel"/>
    <n v="8444"/>
    <s v="Guwahati"/>
    <d v="2018-11-22T00:00:00"/>
    <n v="11"/>
    <n v="2018"/>
    <s v="South Asia"/>
    <x v="9"/>
    <s v="PENDING_PAYMENT"/>
    <s v="PENDING"/>
    <s v="Standard Class"/>
    <n v="129.99"/>
  </r>
  <r>
    <n v="22339"/>
    <s v="TRANSFER"/>
    <n v="5"/>
    <n v="4"/>
    <s v="DELAYED"/>
    <n v="1073"/>
    <n v="1"/>
    <n v="199.99"/>
    <n v="7"/>
    <s v="Fan Shop"/>
    <n v="11373"/>
    <s v="Delhi"/>
    <d v="2018-11-22T00:00:00"/>
    <n v="11"/>
    <n v="2018"/>
    <s v="South Asia"/>
    <x v="11"/>
    <s v="CANCELED"/>
    <s v="CANCELED"/>
    <s v="Standard Class"/>
    <n v="199.99"/>
  </r>
  <r>
    <n v="22340"/>
    <s v="TRANSFER"/>
    <n v="6"/>
    <n v="2"/>
    <s v="DELAYED"/>
    <n v="1073"/>
    <n v="1"/>
    <n v="199.99"/>
    <n v="7"/>
    <s v="Fan Shop"/>
    <n v="4346"/>
    <s v="Delhi"/>
    <d v="2018-11-22T00:00:00"/>
    <n v="11"/>
    <n v="2018"/>
    <s v="South Asia"/>
    <x v="11"/>
    <s v="PENDING"/>
    <s v="PENDING"/>
    <s v="Second Class"/>
    <n v="199.99"/>
  </r>
  <r>
    <n v="22341"/>
    <s v="PAYMENT"/>
    <n v="2"/>
    <n v="2"/>
    <s v=" ONTIME"/>
    <n v="502"/>
    <n v="4"/>
    <n v="200"/>
    <n v="5"/>
    <s v="Golf"/>
    <n v="3903"/>
    <s v="Delhi"/>
    <d v="2018-11-22T00:00:00"/>
    <n v="11"/>
    <n v="2018"/>
    <s v="South Asia"/>
    <x v="11"/>
    <s v="PENDING_PAYMENT"/>
    <s v="PENDING"/>
    <s v="Second Class"/>
    <n v="200"/>
  </r>
  <r>
    <n v="22342"/>
    <s v="TRANSFER"/>
    <n v="3"/>
    <n v="4"/>
    <s v=" ONTIME"/>
    <n v="1073"/>
    <n v="1"/>
    <n v="199.99"/>
    <n v="7"/>
    <s v="Fan Shop"/>
    <n v="9907"/>
    <s v="Delhi"/>
    <d v="2018-11-22T00:00:00"/>
    <n v="11"/>
    <n v="2018"/>
    <s v="South Asia"/>
    <x v="11"/>
    <s v="PROCESSING"/>
    <s v="PENDING"/>
    <s v="Standard Class"/>
    <n v="199.99"/>
  </r>
  <r>
    <n v="22343"/>
    <s v="PAYMENT"/>
    <n v="4"/>
    <n v="4"/>
    <s v=" ONTIME"/>
    <n v="403"/>
    <n v="1"/>
    <n v="129.99"/>
    <n v="4"/>
    <s v="Apparel"/>
    <n v="8776"/>
    <s v="Delhi"/>
    <d v="2018-11-22T00:00:00"/>
    <n v="11"/>
    <n v="2018"/>
    <s v="South Asia"/>
    <x v="11"/>
    <s v="PENDING_PAYMENT"/>
    <s v="PENDING"/>
    <s v="Standard Class"/>
    <n v="129.99"/>
  </r>
  <r>
    <n v="22386"/>
    <s v="TRANSFER"/>
    <n v="2"/>
    <n v="4"/>
    <s v=" ONTIME"/>
    <n v="1014"/>
    <n v="5"/>
    <n v="249.9"/>
    <n v="7"/>
    <s v="Fan Shop"/>
    <n v="7095"/>
    <s v="Mysore"/>
    <d v="2018-11-22T00:00:00"/>
    <n v="11"/>
    <n v="2018"/>
    <s v="South Asia"/>
    <x v="8"/>
    <s v="PENDING"/>
    <s v="PENDING"/>
    <s v="Standard Class"/>
    <n v="249.9"/>
  </r>
  <r>
    <n v="22452"/>
    <s v="TRANSFER"/>
    <n v="3"/>
    <n v="2"/>
    <s v="DELAYED"/>
    <n v="1073"/>
    <n v="1"/>
    <n v="199.99"/>
    <n v="7"/>
    <s v="Fan Shop"/>
    <n v="9302"/>
    <s v="Lucknow"/>
    <d v="2018-11-23T00:00:00"/>
    <n v="11"/>
    <n v="2018"/>
    <s v="South Asia"/>
    <x v="1"/>
    <s v="PENDING"/>
    <s v="PENDING"/>
    <s v="Second Class"/>
    <n v="199.99"/>
  </r>
  <r>
    <n v="22454"/>
    <s v="DEBIT"/>
    <n v="2"/>
    <n v="1"/>
    <s v="DELAYED"/>
    <n v="276"/>
    <n v="1"/>
    <n v="31.99"/>
    <n v="3"/>
    <s v="Footwear"/>
    <n v="3527"/>
    <s v="Hyderabad"/>
    <d v="2018-11-23T00:00:00"/>
    <n v="11"/>
    <n v="2018"/>
    <s v="South Asia"/>
    <x v="7"/>
    <s v="COMPLETE"/>
    <s v="COMPLETED"/>
    <s v="First Class"/>
    <n v="31.99"/>
  </r>
  <r>
    <n v="22455"/>
    <s v="DEBIT"/>
    <n v="2"/>
    <n v="1"/>
    <s v="DELAYED"/>
    <n v="365"/>
    <n v="5"/>
    <n v="299.95"/>
    <n v="4"/>
    <s v="Apparel"/>
    <n v="11638"/>
    <s v="Hyderabad"/>
    <d v="2018-11-23T00:00:00"/>
    <n v="11"/>
    <n v="2018"/>
    <s v="South Asia"/>
    <x v="7"/>
    <s v="COMPLETE"/>
    <s v="COMPLETED"/>
    <s v="First Class"/>
    <n v="299.95"/>
  </r>
  <r>
    <n v="22473"/>
    <s v="TRANSFER"/>
    <n v="4"/>
    <n v="4"/>
    <s v=" ONTIME"/>
    <n v="502"/>
    <n v="5"/>
    <n v="250"/>
    <n v="5"/>
    <s v="Golf"/>
    <n v="8129"/>
    <s v="Gorakhpur"/>
    <d v="2018-11-24T00:00:00"/>
    <n v="11"/>
    <n v="2018"/>
    <s v="South Asia"/>
    <x v="1"/>
    <s v="PENDING"/>
    <s v="PENDING"/>
    <s v="Standard Class"/>
    <n v="250"/>
  </r>
  <r>
    <n v="22474"/>
    <s v="DEBIT"/>
    <n v="5"/>
    <n v="4"/>
    <s v="DELAYED"/>
    <n v="957"/>
    <n v="1"/>
    <n v="299.98"/>
    <n v="7"/>
    <s v="Fan Shop"/>
    <n v="11643"/>
    <s v="Gorakhpur"/>
    <d v="2018-11-24T00:00:00"/>
    <n v="11"/>
    <n v="2018"/>
    <s v="South Asia"/>
    <x v="1"/>
    <s v="COMPLETE"/>
    <s v="COMPLETED"/>
    <s v="Standard Class"/>
    <n v="299.98"/>
  </r>
  <r>
    <n v="22475"/>
    <s v="PAYMENT"/>
    <n v="6"/>
    <n v="4"/>
    <s v="DELAYED"/>
    <n v="1004"/>
    <n v="1"/>
    <n v="399.98"/>
    <n v="7"/>
    <s v="Fan Shop"/>
    <n v="3666"/>
    <s v="Nagpur"/>
    <d v="2018-11-24T00:00:00"/>
    <n v="11"/>
    <n v="2018"/>
    <s v="South Asia"/>
    <x v="0"/>
    <s v="PENDING_PAYMENT"/>
    <s v="PENDING"/>
    <s v="Standard Class"/>
    <n v="399.98"/>
  </r>
  <r>
    <n v="22486"/>
    <s v="DEBIT"/>
    <n v="2"/>
    <n v="2"/>
    <s v=" ONTIME"/>
    <n v="365"/>
    <n v="5"/>
    <n v="299.95"/>
    <n v="4"/>
    <s v="Apparel"/>
    <n v="11422"/>
    <s v="Anantapur"/>
    <d v="2018-11-24T00:00:00"/>
    <n v="11"/>
    <n v="2018"/>
    <s v="South Asia"/>
    <x v="15"/>
    <s v="COMPLETE"/>
    <s v="COMPLETED"/>
    <s v="Second Class"/>
    <n v="299.95"/>
  </r>
  <r>
    <n v="22490"/>
    <s v="PAYMENT"/>
    <n v="6"/>
    <n v="4"/>
    <s v="DELAYED"/>
    <n v="403"/>
    <n v="1"/>
    <n v="129.99"/>
    <n v="4"/>
    <s v="Apparel"/>
    <n v="9243"/>
    <s v="Bhatpara"/>
    <d v="2018-11-24T00:00:00"/>
    <n v="11"/>
    <n v="2018"/>
    <s v="South Asia"/>
    <x v="6"/>
    <s v="PENDING_PAYMENT"/>
    <s v="PENDING"/>
    <s v="Standard Class"/>
    <n v="129.99"/>
  </r>
  <r>
    <n v="22497"/>
    <s v="TRANSFER"/>
    <n v="3"/>
    <n v="2"/>
    <s v="DELAYED"/>
    <n v="627"/>
    <n v="3"/>
    <n v="119.97"/>
    <n v="5"/>
    <s v="Golf"/>
    <n v="11099"/>
    <s v="Chennai"/>
    <d v="2018-11-24T00:00:00"/>
    <n v="11"/>
    <n v="2018"/>
    <s v="South Asia"/>
    <x v="3"/>
    <s v="PENDING"/>
    <s v="PENDING"/>
    <s v="Second Class"/>
    <n v="119.97"/>
  </r>
  <r>
    <n v="22498"/>
    <s v="PAYMENT"/>
    <n v="4"/>
    <n v="4"/>
    <s v=" ONTIME"/>
    <n v="365"/>
    <n v="1"/>
    <n v="59.99"/>
    <n v="4"/>
    <s v="Apparel"/>
    <n v="3090"/>
    <s v="Chennai"/>
    <d v="2018-11-24T00:00:00"/>
    <n v="11"/>
    <n v="2018"/>
    <s v="South Asia"/>
    <x v="3"/>
    <s v="PENDING_PAYMENT"/>
    <s v="PENDING"/>
    <s v="Standard Class"/>
    <n v="59.99"/>
  </r>
  <r>
    <n v="22499"/>
    <s v="DEBIT"/>
    <n v="5"/>
    <n v="4"/>
    <s v="DELAYED"/>
    <n v="365"/>
    <n v="1"/>
    <n v="59.99"/>
    <n v="4"/>
    <s v="Apparel"/>
    <n v="5222"/>
    <s v="Chennai"/>
    <d v="2018-11-24T00:00:00"/>
    <n v="11"/>
    <n v="2018"/>
    <s v="South Asia"/>
    <x v="3"/>
    <s v="COMPLETE"/>
    <s v="COMPLETED"/>
    <s v="Standard Class"/>
    <n v="59.99"/>
  </r>
  <r>
    <n v="22518"/>
    <s v="DEBIT"/>
    <n v="4"/>
    <n v="2"/>
    <s v="DELAYED"/>
    <n v="403"/>
    <n v="1"/>
    <n v="129.99"/>
    <n v="4"/>
    <s v="Apparel"/>
    <n v="3547"/>
    <s v="Surat"/>
    <d v="2018-11-24T00:00:00"/>
    <n v="11"/>
    <n v="2018"/>
    <s v="South Asia"/>
    <x v="4"/>
    <s v="ON_HOLD"/>
    <s v="PENDING"/>
    <s v="Second Class"/>
    <n v="129.99"/>
  </r>
  <r>
    <n v="22533"/>
    <s v="TRANSFER"/>
    <n v="4"/>
    <n v="4"/>
    <s v=" ONTIME"/>
    <n v="627"/>
    <n v="3"/>
    <n v="119.97"/>
    <n v="5"/>
    <s v="Golf"/>
    <n v="10068"/>
    <s v="Lucknow"/>
    <d v="2018-11-24T00:00:00"/>
    <n v="11"/>
    <n v="2018"/>
    <s v="South Asia"/>
    <x v="1"/>
    <s v="PENDING"/>
    <s v="PENDING"/>
    <s v="Standard Class"/>
    <n v="119.97"/>
  </r>
  <r>
    <n v="22549"/>
    <s v="DEBIT"/>
    <n v="5"/>
    <n v="4"/>
    <s v="DELAYED"/>
    <n v="282"/>
    <n v="5"/>
    <n v="159.94999999999999"/>
    <n v="3"/>
    <s v="Footwear"/>
    <n v="6295"/>
    <s v="Vadodara"/>
    <d v="2018-11-25T00:00:00"/>
    <n v="11"/>
    <n v="2018"/>
    <s v="South Asia"/>
    <x v="4"/>
    <s v="COMPLETE"/>
    <s v="COMPLETED"/>
    <s v="Standard Class"/>
    <n v="159.94999999999999"/>
  </r>
  <r>
    <n v="22550"/>
    <s v="PAYMENT"/>
    <n v="6"/>
    <n v="4"/>
    <s v="DELAYED"/>
    <n v="365"/>
    <n v="1"/>
    <n v="59.99"/>
    <n v="4"/>
    <s v="Apparel"/>
    <n v="3011"/>
    <s v="Vadodara"/>
    <d v="2018-11-25T00:00:00"/>
    <n v="11"/>
    <n v="2018"/>
    <s v="South Asia"/>
    <x v="4"/>
    <s v="PENDING_PAYMENT"/>
    <s v="PENDING"/>
    <s v="Standard Class"/>
    <n v="59.99"/>
  </r>
  <r>
    <n v="22554"/>
    <s v="PAYMENT"/>
    <n v="5"/>
    <n v="4"/>
    <s v="DELAYED"/>
    <n v="1014"/>
    <n v="4"/>
    <n v="199.92"/>
    <n v="7"/>
    <s v="Fan Shop"/>
    <n v="2028"/>
    <s v="Bangalore"/>
    <d v="2018-11-25T00:00:00"/>
    <n v="11"/>
    <n v="2018"/>
    <s v="South Asia"/>
    <x v="8"/>
    <s v="PENDING_PAYMENT"/>
    <s v="PENDING"/>
    <s v="Standard Class"/>
    <n v="199.92"/>
  </r>
  <r>
    <n v="22573"/>
    <s v="DEBIT"/>
    <n v="4"/>
    <n v="4"/>
    <s v=" ONTIME"/>
    <n v="191"/>
    <n v="5"/>
    <n v="499.95"/>
    <n v="3"/>
    <s v="Footwear"/>
    <n v="5778"/>
    <s v="Bhopal"/>
    <d v="2018-11-25T00:00:00"/>
    <n v="11"/>
    <n v="2018"/>
    <s v="South Asia"/>
    <x v="14"/>
    <s v="COMPLETE"/>
    <s v="COMPLETED"/>
    <s v="Standard Class"/>
    <n v="499.95"/>
  </r>
  <r>
    <n v="22575"/>
    <s v="TRANSFER"/>
    <n v="6"/>
    <n v="4"/>
    <s v="DELAYED"/>
    <n v="886"/>
    <n v="3"/>
    <n v="74.97"/>
    <n v="6"/>
    <s v="Outdoors"/>
    <n v="8487"/>
    <s v="Bhopal"/>
    <d v="2018-11-25T00:00:00"/>
    <n v="11"/>
    <n v="2018"/>
    <s v="South Asia"/>
    <x v="14"/>
    <s v="SUSPECTED_FRAUD"/>
    <s v="PENDING"/>
    <s v="Standard Class"/>
    <n v="74.97"/>
  </r>
  <r>
    <n v="22576"/>
    <s v="PAYMENT"/>
    <n v="2"/>
    <n v="4"/>
    <s v=" ONTIME"/>
    <n v="957"/>
    <n v="1"/>
    <n v="299.98"/>
    <n v="7"/>
    <s v="Fan Shop"/>
    <n v="4375"/>
    <s v="Bhopal"/>
    <d v="2018-11-25T00:00:00"/>
    <n v="11"/>
    <n v="2018"/>
    <s v="South Asia"/>
    <x v="14"/>
    <s v="PENDING_PAYMENT"/>
    <s v="PENDING"/>
    <s v="Standard Class"/>
    <n v="299.98"/>
  </r>
  <r>
    <n v="22601"/>
    <s v="TRANSFER"/>
    <n v="2"/>
    <n v="4"/>
    <s v=" ONTIME"/>
    <n v="365"/>
    <n v="4"/>
    <n v="239.96"/>
    <n v="4"/>
    <s v="Apparel"/>
    <n v="6657"/>
    <s v="Firozabad"/>
    <d v="2018-11-25T00:00:00"/>
    <n v="11"/>
    <n v="2018"/>
    <s v="South Asia"/>
    <x v="1"/>
    <s v="PROCESSING"/>
    <s v="PENDING"/>
    <s v="Standard Class"/>
    <n v="239.96"/>
  </r>
  <r>
    <n v="22602"/>
    <s v="PAYMENT"/>
    <n v="3"/>
    <n v="4"/>
    <s v=" ONTIME"/>
    <n v="403"/>
    <n v="1"/>
    <n v="129.99"/>
    <n v="4"/>
    <s v="Apparel"/>
    <n v="7928"/>
    <s v="Delhi"/>
    <d v="2018-11-25T00:00:00"/>
    <n v="11"/>
    <n v="2018"/>
    <s v="South Asia"/>
    <x v="11"/>
    <s v="PENDING_PAYMENT"/>
    <s v="PENDING"/>
    <s v="Standard Class"/>
    <n v="129.99"/>
  </r>
  <r>
    <n v="22642"/>
    <s v="CASH"/>
    <n v="2"/>
    <n v="1"/>
    <s v="DELAYED"/>
    <n v="957"/>
    <n v="1"/>
    <n v="299.98"/>
    <n v="7"/>
    <s v="Fan Shop"/>
    <n v="8273"/>
    <s v="Fatehpur"/>
    <d v="2018-11-26T00:00:00"/>
    <n v="11"/>
    <n v="2018"/>
    <s v="South Asia"/>
    <x v="2"/>
    <s v="CLOSED"/>
    <s v="PENDING"/>
    <s v="First Class"/>
    <n v="299.98"/>
  </r>
  <r>
    <n v="22668"/>
    <s v="DEBIT"/>
    <n v="2"/>
    <n v="1"/>
    <s v="DELAYED"/>
    <n v="1004"/>
    <n v="1"/>
    <n v="399.98"/>
    <n v="7"/>
    <s v="Fan Shop"/>
    <n v="1063"/>
    <s v="Bilaspur"/>
    <d v="2018-11-26T00:00:00"/>
    <n v="11"/>
    <n v="2018"/>
    <s v="South Asia"/>
    <x v="1"/>
    <s v="COMPLETE"/>
    <s v="COMPLETED"/>
    <s v="First Class"/>
    <n v="399.98"/>
  </r>
  <r>
    <n v="22670"/>
    <s v="TRANSFER"/>
    <n v="6"/>
    <n v="4"/>
    <s v="DELAYED"/>
    <n v="191"/>
    <n v="1"/>
    <n v="99.99"/>
    <n v="3"/>
    <s v="Footwear"/>
    <n v="2645"/>
    <s v="Brahmapur"/>
    <d v="2018-11-26T00:00:00"/>
    <n v="11"/>
    <n v="2018"/>
    <s v="South Asia"/>
    <x v="13"/>
    <s v="PROCESSING"/>
    <s v="PENDING"/>
    <s v="Standard Class"/>
    <n v="99.99"/>
  </r>
  <r>
    <n v="22671"/>
    <s v="CASH"/>
    <n v="2"/>
    <n v="4"/>
    <s v=" ONTIME"/>
    <n v="1004"/>
    <n v="1"/>
    <n v="399.98"/>
    <n v="7"/>
    <s v="Fan Shop"/>
    <n v="7305"/>
    <s v="Brahmapur"/>
    <d v="2018-11-26T00:00:00"/>
    <n v="11"/>
    <n v="2018"/>
    <s v="South Asia"/>
    <x v="13"/>
    <s v="CLOSED"/>
    <s v="PENDING"/>
    <s v="Standard Class"/>
    <n v="399.98"/>
  </r>
  <r>
    <n v="22672"/>
    <s v="DEBIT"/>
    <n v="3"/>
    <n v="4"/>
    <s v=" ONTIME"/>
    <n v="191"/>
    <n v="1"/>
    <n v="99.99"/>
    <n v="3"/>
    <s v="Footwear"/>
    <n v="4872"/>
    <s v="Brahmapur"/>
    <d v="2018-11-26T00:00:00"/>
    <n v="11"/>
    <n v="2018"/>
    <s v="South Asia"/>
    <x v="13"/>
    <s v="COMPLETE"/>
    <s v="COMPLETED"/>
    <s v="Standard Class"/>
    <n v="99.99"/>
  </r>
  <r>
    <n v="22673"/>
    <s v="PAYMENT"/>
    <n v="4"/>
    <n v="4"/>
    <s v=" ONTIME"/>
    <n v="1014"/>
    <n v="4"/>
    <n v="199.92"/>
    <n v="7"/>
    <s v="Fan Shop"/>
    <n v="3881"/>
    <s v="Brahmapur"/>
    <d v="2018-11-26T00:00:00"/>
    <n v="11"/>
    <n v="2018"/>
    <s v="South Asia"/>
    <x v="13"/>
    <s v="PENDING_PAYMENT"/>
    <s v="PENDING"/>
    <s v="Standard Class"/>
    <n v="199.92"/>
  </r>
  <r>
    <n v="22685"/>
    <s v="DEBIT"/>
    <n v="6"/>
    <n v="4"/>
    <s v="DELAYED"/>
    <n v="1073"/>
    <n v="1"/>
    <n v="199.99"/>
    <n v="7"/>
    <s v="Fan Shop"/>
    <n v="5570"/>
    <s v="Bijapur"/>
    <d v="2018-11-27T00:00:00"/>
    <n v="11"/>
    <n v="2018"/>
    <s v="South Asia"/>
    <x v="8"/>
    <s v="COMPLETE"/>
    <s v="COMPLETED"/>
    <s v="Standard Class"/>
    <n v="199.99"/>
  </r>
  <r>
    <n v="22686"/>
    <s v="DEBIT"/>
    <n v="2"/>
    <n v="4"/>
    <s v=" ONTIME"/>
    <n v="191"/>
    <n v="4"/>
    <n v="399.96"/>
    <n v="3"/>
    <s v="Footwear"/>
    <n v="8747"/>
    <s v="Bijapur"/>
    <d v="2018-11-27T00:00:00"/>
    <n v="11"/>
    <n v="2018"/>
    <s v="South Asia"/>
    <x v="8"/>
    <s v="ON_HOLD"/>
    <s v="PENDING"/>
    <s v="Standard Class"/>
    <n v="399.96"/>
  </r>
  <r>
    <n v="22687"/>
    <s v="DEBIT"/>
    <n v="3"/>
    <n v="2"/>
    <s v="DELAYED"/>
    <n v="502"/>
    <n v="4"/>
    <n v="200"/>
    <n v="5"/>
    <s v="Golf"/>
    <n v="7035"/>
    <s v="Bijapur"/>
    <d v="2018-11-27T00:00:00"/>
    <n v="11"/>
    <n v="2018"/>
    <s v="South Asia"/>
    <x v="8"/>
    <s v="COMPLETE"/>
    <s v="COMPLETED"/>
    <s v="Second Class"/>
    <n v="200"/>
  </r>
  <r>
    <n v="22710"/>
    <s v="DEBIT"/>
    <n v="0"/>
    <n v="0"/>
    <s v=" ONTIME"/>
    <n v="191"/>
    <n v="1"/>
    <n v="99.99"/>
    <n v="3"/>
    <s v="Footwear"/>
    <n v="6501"/>
    <s v="Nagpur"/>
    <d v="2018-11-27T00:00:00"/>
    <n v="11"/>
    <n v="2018"/>
    <s v="South Asia"/>
    <x v="0"/>
    <s v="COMPLETE"/>
    <s v="COMPLETED"/>
    <s v="Same Day"/>
    <n v="99.99"/>
  </r>
  <r>
    <n v="22712"/>
    <s v="DEBIT"/>
    <n v="3"/>
    <n v="4"/>
    <s v=" ONTIME"/>
    <n v="1073"/>
    <n v="1"/>
    <n v="199.99"/>
    <n v="7"/>
    <s v="Fan Shop"/>
    <n v="8971"/>
    <s v="Nagpur"/>
    <d v="2018-11-27T00:00:00"/>
    <n v="11"/>
    <n v="2018"/>
    <s v="South Asia"/>
    <x v="0"/>
    <s v="COMPLETE"/>
    <s v="COMPLETED"/>
    <s v="Standard Class"/>
    <n v="199.99"/>
  </r>
  <r>
    <n v="22718"/>
    <s v="DEBIT"/>
    <n v="4"/>
    <n v="4"/>
    <s v=" ONTIME"/>
    <n v="1004"/>
    <n v="1"/>
    <n v="399.98"/>
    <n v="7"/>
    <s v="Fan Shop"/>
    <n v="2627"/>
    <s v="Mysore"/>
    <d v="2018-11-27T00:00:00"/>
    <n v="11"/>
    <n v="2018"/>
    <s v="South Asia"/>
    <x v="8"/>
    <s v="COMPLETE"/>
    <s v="COMPLETED"/>
    <s v="Standard Class"/>
    <n v="399.98"/>
  </r>
  <r>
    <n v="22719"/>
    <s v="TRANSFER"/>
    <n v="5"/>
    <n v="4"/>
    <s v="DELAYED"/>
    <n v="627"/>
    <n v="3"/>
    <n v="119.97"/>
    <n v="5"/>
    <s v="Golf"/>
    <n v="4756"/>
    <s v="Mysore"/>
    <d v="2018-11-27T00:00:00"/>
    <n v="11"/>
    <n v="2018"/>
    <s v="South Asia"/>
    <x v="8"/>
    <s v="PROCESSING"/>
    <s v="PENDING"/>
    <s v="Standard Class"/>
    <n v="119.97"/>
  </r>
  <r>
    <n v="22761"/>
    <s v="PAYMENT"/>
    <n v="2"/>
    <n v="4"/>
    <s v=" ONTIME"/>
    <n v="365"/>
    <n v="4"/>
    <n v="239.96"/>
    <n v="4"/>
    <s v="Apparel"/>
    <n v="152"/>
    <s v="Durgapur"/>
    <d v="2018-11-28T00:00:00"/>
    <n v="11"/>
    <n v="2018"/>
    <s v="South Asia"/>
    <x v="0"/>
    <s v="PENDING_PAYMENT"/>
    <s v="PENDING"/>
    <s v="Standard Class"/>
    <n v="239.96"/>
  </r>
  <r>
    <n v="22781"/>
    <s v="PAYMENT"/>
    <n v="2"/>
    <n v="2"/>
    <s v=" ONTIME"/>
    <n v="403"/>
    <n v="1"/>
    <n v="129.99"/>
    <n v="4"/>
    <s v="Apparel"/>
    <n v="10017"/>
    <s v="Ranchi"/>
    <d v="2018-11-28T00:00:00"/>
    <n v="11"/>
    <n v="2018"/>
    <s v="South Asia"/>
    <x v="12"/>
    <s v="PENDING_PAYMENT"/>
    <s v="PENDING"/>
    <s v="Second Class"/>
    <n v="129.99"/>
  </r>
  <r>
    <n v="22782"/>
    <s v="DEBIT"/>
    <n v="3"/>
    <n v="4"/>
    <s v=" ONTIME"/>
    <n v="502"/>
    <n v="5"/>
    <n v="250"/>
    <n v="5"/>
    <s v="Golf"/>
    <n v="6193"/>
    <s v="Pune"/>
    <d v="2018-11-28T00:00:00"/>
    <n v="11"/>
    <n v="2018"/>
    <s v="South Asia"/>
    <x v="0"/>
    <s v="COMPLETE"/>
    <s v="COMPLETED"/>
    <s v="Standard Class"/>
    <n v="250"/>
  </r>
  <r>
    <n v="22789"/>
    <s v="TRANSFER"/>
    <n v="5"/>
    <n v="4"/>
    <s v="DELAYED"/>
    <n v="957"/>
    <n v="1"/>
    <n v="299.98"/>
    <n v="7"/>
    <s v="Fan Shop"/>
    <n v="847"/>
    <s v="Ludhiana"/>
    <d v="2018-11-28T00:00:00"/>
    <n v="11"/>
    <n v="2018"/>
    <s v="South Asia"/>
    <x v="16"/>
    <s v="PROCESSING"/>
    <s v="PENDING"/>
    <s v="Standard Class"/>
    <n v="299.98"/>
  </r>
  <r>
    <n v="22790"/>
    <s v="PAYMENT"/>
    <n v="6"/>
    <n v="4"/>
    <s v="DELAYED"/>
    <n v="627"/>
    <n v="2"/>
    <n v="79.98"/>
    <n v="5"/>
    <s v="Golf"/>
    <n v="10224"/>
    <s v="Ludhiana"/>
    <d v="2018-11-28T00:00:00"/>
    <n v="11"/>
    <n v="2018"/>
    <s v="South Asia"/>
    <x v="16"/>
    <s v="PENDING_PAYMENT"/>
    <s v="PENDING"/>
    <s v="Standard Class"/>
    <n v="79.98"/>
  </r>
  <r>
    <n v="22791"/>
    <s v="DEBIT"/>
    <n v="2"/>
    <n v="4"/>
    <s v=" ONTIME"/>
    <n v="957"/>
    <n v="1"/>
    <n v="299.98"/>
    <n v="7"/>
    <s v="Fan Shop"/>
    <n v="7902"/>
    <s v="Mumbai"/>
    <d v="2018-11-28T00:00:00"/>
    <n v="11"/>
    <n v="2018"/>
    <s v="South Asia"/>
    <x v="0"/>
    <s v="ON_HOLD"/>
    <s v="PENDING"/>
    <s v="Standard Class"/>
    <n v="299.98"/>
  </r>
  <r>
    <n v="22797"/>
    <s v="PAYMENT"/>
    <n v="2"/>
    <n v="1"/>
    <s v="DELAYED"/>
    <n v="627"/>
    <n v="2"/>
    <n v="79.98"/>
    <n v="5"/>
    <s v="Golf"/>
    <n v="10146"/>
    <s v="Gorakhpur"/>
    <d v="2018-11-28T00:00:00"/>
    <n v="11"/>
    <n v="2018"/>
    <s v="South Asia"/>
    <x v="10"/>
    <s v="PENDING_PAYMENT"/>
    <s v="PENDING"/>
    <s v="First Class"/>
    <n v="79.98"/>
  </r>
  <r>
    <n v="22798"/>
    <s v="TRANSFER"/>
    <n v="4"/>
    <n v="2"/>
    <s v="DELAYED"/>
    <n v="1073"/>
    <n v="1"/>
    <n v="199.99"/>
    <n v="7"/>
    <s v="Fan Shop"/>
    <n v="12158"/>
    <s v="Chennai"/>
    <d v="2018-11-28T00:00:00"/>
    <n v="11"/>
    <n v="2018"/>
    <s v="South Asia"/>
    <x v="3"/>
    <s v="PROCESSING"/>
    <s v="PENDING"/>
    <s v="Second Class"/>
    <n v="199.99"/>
  </r>
  <r>
    <n v="22828"/>
    <s v="DEBIT"/>
    <n v="2"/>
    <n v="1"/>
    <s v="DELAYED"/>
    <n v="793"/>
    <n v="2"/>
    <n v="29.98"/>
    <n v="6"/>
    <s v="Outdoors"/>
    <n v="1926"/>
    <s v="Etawah"/>
    <d v="2018-11-29T00:00:00"/>
    <n v="11"/>
    <n v="2018"/>
    <s v="South Asia"/>
    <x v="1"/>
    <s v="COMPLETE"/>
    <s v="COMPLETED"/>
    <s v="First Class"/>
    <n v="29.98"/>
  </r>
  <r>
    <n v="22831"/>
    <s v="DEBIT"/>
    <n v="2"/>
    <n v="4"/>
    <s v=" ONTIME"/>
    <n v="957"/>
    <n v="1"/>
    <n v="299.98"/>
    <n v="7"/>
    <s v="Fan Shop"/>
    <n v="435"/>
    <s v="Hyderabad"/>
    <d v="2018-11-29T00:00:00"/>
    <n v="11"/>
    <n v="2018"/>
    <s v="South Asia"/>
    <x v="7"/>
    <s v="COMPLETE"/>
    <s v="COMPLETED"/>
    <s v="Standard Class"/>
    <n v="299.98"/>
  </r>
  <r>
    <n v="22903"/>
    <s v="PAYMENT"/>
    <n v="4"/>
    <n v="2"/>
    <s v="DELAYED"/>
    <n v="1073"/>
    <n v="1"/>
    <n v="199.99"/>
    <n v="7"/>
    <s v="Fan Shop"/>
    <n v="8381"/>
    <s v="Mangalore"/>
    <d v="2018-11-30T00:00:00"/>
    <n v="11"/>
    <n v="2018"/>
    <s v="South Asia"/>
    <x v="8"/>
    <s v="PENDING_PAYMENT"/>
    <s v="PENDING"/>
    <s v="Second Class"/>
    <n v="199.99"/>
  </r>
  <r>
    <n v="22904"/>
    <s v="PAYMENT"/>
    <n v="5"/>
    <n v="2"/>
    <s v="DELAYED"/>
    <n v="728"/>
    <n v="2"/>
    <n v="130"/>
    <n v="6"/>
    <s v="Outdoors"/>
    <n v="7658"/>
    <s v="Mangalore"/>
    <d v="2018-11-30T00:00:00"/>
    <n v="11"/>
    <n v="2018"/>
    <s v="South Asia"/>
    <x v="8"/>
    <s v="PENDING_PAYMENT"/>
    <s v="PENDING"/>
    <s v="Second Class"/>
    <n v="130"/>
  </r>
  <r>
    <n v="22905"/>
    <s v="DEBIT"/>
    <n v="6"/>
    <n v="2"/>
    <s v="DELAYED"/>
    <n v="502"/>
    <n v="3"/>
    <n v="150"/>
    <n v="5"/>
    <s v="Golf"/>
    <n v="10102"/>
    <s v="Mangalore"/>
    <d v="2018-11-30T00:00:00"/>
    <n v="11"/>
    <n v="2018"/>
    <s v="South Asia"/>
    <x v="8"/>
    <s v="COMPLETE"/>
    <s v="COMPLETED"/>
    <s v="Second Class"/>
    <n v="150"/>
  </r>
  <r>
    <n v="22906"/>
    <s v="PAYMENT"/>
    <n v="2"/>
    <n v="4"/>
    <s v=" ONTIME"/>
    <n v="627"/>
    <n v="5"/>
    <n v="199.95"/>
    <n v="5"/>
    <s v="Golf"/>
    <n v="12176"/>
    <s v="Mangalore"/>
    <d v="2018-11-30T00:00:00"/>
    <n v="11"/>
    <n v="2018"/>
    <s v="South Asia"/>
    <x v="8"/>
    <s v="PENDING_PAYMENT"/>
    <s v="PENDING"/>
    <s v="Standard Class"/>
    <n v="199.95"/>
  </r>
  <r>
    <n v="22907"/>
    <s v="DEBIT"/>
    <n v="3"/>
    <n v="4"/>
    <s v=" ONTIME"/>
    <n v="1073"/>
    <n v="1"/>
    <n v="199.99"/>
    <n v="7"/>
    <s v="Fan Shop"/>
    <n v="1714"/>
    <s v="Mangalore"/>
    <d v="2018-11-30T00:00:00"/>
    <n v="11"/>
    <n v="2018"/>
    <s v="South Asia"/>
    <x v="8"/>
    <s v="ON_HOLD"/>
    <s v="PENDING"/>
    <s v="Standard Class"/>
    <n v="199.99"/>
  </r>
  <r>
    <n v="22921"/>
    <s v="PAYMENT"/>
    <n v="2"/>
    <n v="1"/>
    <s v="DELAYED"/>
    <n v="403"/>
    <n v="1"/>
    <n v="129.99"/>
    <n v="4"/>
    <s v="Apparel"/>
    <n v="3401"/>
    <s v="Patiala"/>
    <d v="2018-11-30T00:00:00"/>
    <n v="11"/>
    <n v="2018"/>
    <s v="South Asia"/>
    <x v="16"/>
    <s v="PENDING_PAYMENT"/>
    <s v="PENDING"/>
    <s v="First Class"/>
    <n v="129.99"/>
  </r>
  <r>
    <n v="22922"/>
    <s v="DEBIT"/>
    <n v="2"/>
    <n v="1"/>
    <s v="DELAYED"/>
    <n v="1073"/>
    <n v="1"/>
    <n v="199.99"/>
    <n v="7"/>
    <s v="Fan Shop"/>
    <n v="1679"/>
    <s v="Patiala"/>
    <d v="2018-11-30T00:00:00"/>
    <n v="11"/>
    <n v="2018"/>
    <s v="South Asia"/>
    <x v="16"/>
    <s v="COMPLETE"/>
    <s v="COMPLETED"/>
    <s v="First Class"/>
    <n v="199.99"/>
  </r>
  <r>
    <n v="22934"/>
    <s v="TRANSFER"/>
    <n v="5"/>
    <n v="4"/>
    <s v="DELAYED"/>
    <n v="957"/>
    <n v="1"/>
    <n v="299.98"/>
    <n v="7"/>
    <s v="Fan Shop"/>
    <n v="10214"/>
    <s v="Chandigarh"/>
    <d v="2018-11-30T00:00:00"/>
    <n v="11"/>
    <n v="2018"/>
    <s v="South Asia"/>
    <x v="22"/>
    <s v="PENDING"/>
    <s v="PENDING"/>
    <s v="Standard Class"/>
    <n v="299.98"/>
  </r>
  <r>
    <n v="22935"/>
    <s v="DEBIT"/>
    <n v="6"/>
    <n v="4"/>
    <s v="DELAYED"/>
    <n v="957"/>
    <n v="1"/>
    <n v="299.98"/>
    <n v="7"/>
    <s v="Fan Shop"/>
    <n v="6060"/>
    <s v="Chandigarh"/>
    <d v="2018-11-30T00:00:00"/>
    <n v="11"/>
    <n v="2018"/>
    <s v="South Asia"/>
    <x v="22"/>
    <s v="COMPLETE"/>
    <s v="COMPLETED"/>
    <s v="Standard Class"/>
    <n v="299.98"/>
  </r>
  <r>
    <n v="22944"/>
    <s v="PAYMENT"/>
    <n v="5"/>
    <n v="4"/>
    <s v="DELAYED"/>
    <n v="403"/>
    <n v="1"/>
    <n v="129.99"/>
    <n v="4"/>
    <s v="Apparel"/>
    <n v="1225"/>
    <s v="Mumbai"/>
    <d v="2018-11-30T00:00:00"/>
    <n v="11"/>
    <n v="2018"/>
    <s v="South Asia"/>
    <x v="0"/>
    <s v="PENDING_PAYMENT"/>
    <s v="PENDING"/>
    <s v="Standard Class"/>
    <n v="129.99"/>
  </r>
  <r>
    <n v="22945"/>
    <s v="DEBIT"/>
    <n v="6"/>
    <n v="4"/>
    <s v="DELAYED"/>
    <n v="191"/>
    <n v="5"/>
    <n v="499.95"/>
    <n v="3"/>
    <s v="Footwear"/>
    <n v="1"/>
    <s v="Mumbai"/>
    <d v="2018-11-30T00:00:00"/>
    <n v="11"/>
    <n v="2018"/>
    <s v="South Asia"/>
    <x v="0"/>
    <s v="COMPLETE"/>
    <s v="COMPLETED"/>
    <s v="Standard Class"/>
    <n v="499.95"/>
  </r>
  <r>
    <n v="22964"/>
    <s v="DEBIT"/>
    <n v="5"/>
    <n v="4"/>
    <s v="DELAYED"/>
    <n v="1004"/>
    <n v="1"/>
    <n v="399.98"/>
    <n v="7"/>
    <s v="Fan Shop"/>
    <n v="2248"/>
    <s v="Ajmer"/>
    <d v="2018-12-01T00:00:00"/>
    <n v="12"/>
    <n v="2018"/>
    <s v="South Asia"/>
    <x v="2"/>
    <s v="COMPLETE"/>
    <s v="COMPLETED"/>
    <s v="Standard Class"/>
    <n v="399.98"/>
  </r>
  <r>
    <n v="22970"/>
    <s v="DEBIT"/>
    <n v="2"/>
    <n v="1"/>
    <s v="DELAYED"/>
    <n v="403"/>
    <n v="1"/>
    <n v="129.99"/>
    <n v="4"/>
    <s v="Apparel"/>
    <n v="1162"/>
    <s v="Ludhiana"/>
    <d v="2018-12-01T00:00:00"/>
    <n v="12"/>
    <n v="2018"/>
    <s v="South Asia"/>
    <x v="16"/>
    <s v="COMPLETE"/>
    <s v="COMPLETED"/>
    <s v="First Class"/>
    <n v="129.99"/>
  </r>
  <r>
    <n v="22978"/>
    <s v="CASH"/>
    <n v="2"/>
    <n v="1"/>
    <s v="DELAYED"/>
    <n v="403"/>
    <n v="1"/>
    <n v="129.99"/>
    <n v="4"/>
    <s v="Apparel"/>
    <n v="10628"/>
    <s v="Meerut"/>
    <d v="2018-12-01T00:00:00"/>
    <n v="12"/>
    <n v="2018"/>
    <s v="South Asia"/>
    <x v="1"/>
    <s v="CLOSED"/>
    <s v="PENDING"/>
    <s v="First Class"/>
    <n v="129.99"/>
  </r>
  <r>
    <n v="22998"/>
    <s v="DEBIT"/>
    <n v="4"/>
    <n v="4"/>
    <s v=" ONTIME"/>
    <n v="403"/>
    <n v="1"/>
    <n v="129.99"/>
    <n v="4"/>
    <s v="Apparel"/>
    <n v="12234"/>
    <s v="Surat"/>
    <d v="2018-12-01T00:00:00"/>
    <n v="12"/>
    <n v="2018"/>
    <s v="South Asia"/>
    <x v="4"/>
    <s v="COMPLETE"/>
    <s v="COMPLETED"/>
    <s v="Standard Class"/>
    <n v="129.99"/>
  </r>
  <r>
    <n v="22999"/>
    <s v="DEBIT"/>
    <n v="5"/>
    <n v="2"/>
    <s v="DELAYED"/>
    <n v="403"/>
    <n v="1"/>
    <n v="129.99"/>
    <n v="4"/>
    <s v="Apparel"/>
    <n v="8606"/>
    <s v="Surat"/>
    <d v="2018-12-01T00:00:00"/>
    <n v="12"/>
    <n v="2018"/>
    <s v="South Asia"/>
    <x v="4"/>
    <s v="COMPLETE"/>
    <s v="COMPLETED"/>
    <s v="Second Class"/>
    <n v="129.99"/>
  </r>
  <r>
    <n v="23000"/>
    <s v="TRANSFER"/>
    <n v="6"/>
    <n v="4"/>
    <s v="DELAYED"/>
    <n v="1073"/>
    <n v="1"/>
    <n v="199.99"/>
    <n v="7"/>
    <s v="Fan Shop"/>
    <n v="11827"/>
    <s v="Surat"/>
    <d v="2018-12-01T00:00:00"/>
    <n v="12"/>
    <n v="2018"/>
    <s v="South Asia"/>
    <x v="4"/>
    <s v="PROCESSING"/>
    <s v="PENDING"/>
    <s v="Standard Class"/>
    <n v="199.99"/>
  </r>
  <r>
    <n v="23039"/>
    <s v="PAYMENT"/>
    <n v="0"/>
    <n v="0"/>
    <s v=" ONTIME"/>
    <n v="1014"/>
    <n v="1"/>
    <n v="49.98"/>
    <n v="7"/>
    <s v="Fan Shop"/>
    <n v="6025"/>
    <s v="Visakhapatnam"/>
    <d v="2018-12-02T00:00:00"/>
    <n v="12"/>
    <n v="2018"/>
    <s v="South Asia"/>
    <x v="15"/>
    <s v="PENDING_PAYMENT"/>
    <s v="PENDING"/>
    <s v="Same Day"/>
    <n v="49.98"/>
  </r>
  <r>
    <n v="23040"/>
    <s v="TRANSFER"/>
    <n v="0"/>
    <n v="0"/>
    <s v=" ONTIME"/>
    <n v="1004"/>
    <n v="1"/>
    <n v="399.98"/>
    <n v="7"/>
    <s v="Fan Shop"/>
    <n v="4432"/>
    <s v="Visakhapatnam"/>
    <d v="2018-12-02T00:00:00"/>
    <n v="12"/>
    <n v="2018"/>
    <s v="South Asia"/>
    <x v="15"/>
    <s v="PENDING"/>
    <s v="PENDING"/>
    <s v="Same Day"/>
    <n v="399.98"/>
  </r>
  <r>
    <n v="23041"/>
    <s v="CASH"/>
    <n v="0"/>
    <n v="0"/>
    <s v=" ONTIME"/>
    <n v="1073"/>
    <n v="1"/>
    <n v="199.99"/>
    <n v="7"/>
    <s v="Fan Shop"/>
    <n v="5171"/>
    <s v="Visakhapatnam"/>
    <d v="2018-12-02T00:00:00"/>
    <n v="12"/>
    <n v="2018"/>
    <s v="South Asia"/>
    <x v="15"/>
    <s v="CLOSED"/>
    <s v="PENDING"/>
    <s v="Same Day"/>
    <n v="199.99"/>
  </r>
  <r>
    <n v="23042"/>
    <s v="DEBIT"/>
    <n v="3"/>
    <n v="2"/>
    <s v="DELAYED"/>
    <n v="403"/>
    <n v="1"/>
    <n v="129.99"/>
    <n v="4"/>
    <s v="Apparel"/>
    <n v="9106"/>
    <s v="Visakhapatnam"/>
    <d v="2018-12-02T00:00:00"/>
    <n v="12"/>
    <n v="2018"/>
    <s v="South Asia"/>
    <x v="15"/>
    <s v="COMPLETE"/>
    <s v="COMPLETED"/>
    <s v="Second Class"/>
    <n v="129.99"/>
  </r>
  <r>
    <n v="23044"/>
    <s v="TRANSFER"/>
    <n v="5"/>
    <n v="2"/>
    <s v="DELAYED"/>
    <n v="957"/>
    <n v="1"/>
    <n v="299.98"/>
    <n v="7"/>
    <s v="Fan Shop"/>
    <n v="8945"/>
    <s v="Visakhapatnam"/>
    <d v="2018-12-02T00:00:00"/>
    <n v="12"/>
    <n v="2018"/>
    <s v="South Asia"/>
    <x v="15"/>
    <s v="PENDING"/>
    <s v="PENDING"/>
    <s v="Second Class"/>
    <n v="299.98"/>
  </r>
  <r>
    <n v="23045"/>
    <s v="TRANSFER"/>
    <n v="6"/>
    <n v="2"/>
    <s v="DELAYED"/>
    <n v="1073"/>
    <n v="1"/>
    <n v="199.99"/>
    <n v="7"/>
    <s v="Fan Shop"/>
    <n v="10865"/>
    <s v="Visakhapatnam"/>
    <d v="2018-12-02T00:00:00"/>
    <n v="12"/>
    <n v="2018"/>
    <s v="South Asia"/>
    <x v="15"/>
    <s v="PENDING"/>
    <s v="PENDING"/>
    <s v="Second Class"/>
    <n v="199.99"/>
  </r>
  <r>
    <n v="23046"/>
    <s v="TRANSFER"/>
    <n v="2"/>
    <n v="2"/>
    <s v=" ONTIME"/>
    <n v="282"/>
    <n v="2"/>
    <n v="63.98"/>
    <n v="3"/>
    <s v="Footwear"/>
    <n v="5324"/>
    <s v="Visakhapatnam"/>
    <d v="2018-12-02T00:00:00"/>
    <n v="12"/>
    <n v="2018"/>
    <s v="South Asia"/>
    <x v="15"/>
    <s v="PROCESSING"/>
    <s v="PENDING"/>
    <s v="Second Class"/>
    <n v="63.98"/>
  </r>
  <r>
    <n v="23047"/>
    <s v="CASH"/>
    <n v="3"/>
    <n v="2"/>
    <s v="DELAYED"/>
    <n v="823"/>
    <n v="5"/>
    <n v="259.95"/>
    <n v="6"/>
    <s v="Outdoors"/>
    <n v="242"/>
    <s v="Visakhapatnam"/>
    <d v="2018-12-02T00:00:00"/>
    <n v="12"/>
    <n v="2018"/>
    <s v="South Asia"/>
    <x v="15"/>
    <s v="CLOSED"/>
    <s v="PENDING"/>
    <s v="Second Class"/>
    <n v="259.95"/>
  </r>
  <r>
    <n v="23071"/>
    <s v="PAYMENT"/>
    <n v="2"/>
    <n v="1"/>
    <s v="DELAYED"/>
    <n v="1004"/>
    <n v="1"/>
    <n v="399.98"/>
    <n v="7"/>
    <s v="Fan Shop"/>
    <n v="11368"/>
    <s v="Panipat"/>
    <d v="2018-12-02T00:00:00"/>
    <n v="12"/>
    <n v="2018"/>
    <s v="South Asia"/>
    <x v="10"/>
    <s v="PENDING_PAYMENT"/>
    <s v="PENDING"/>
    <s v="First Class"/>
    <n v="399.98"/>
  </r>
  <r>
    <n v="23072"/>
    <s v="PAYMENT"/>
    <n v="2"/>
    <n v="1"/>
    <s v="DELAYED"/>
    <n v="403"/>
    <n v="1"/>
    <n v="129.99"/>
    <n v="4"/>
    <s v="Apparel"/>
    <n v="4537"/>
    <s v="Ajmer"/>
    <d v="2018-12-02T00:00:00"/>
    <n v="12"/>
    <n v="2018"/>
    <s v="South Asia"/>
    <x v="2"/>
    <s v="PENDING_PAYMENT"/>
    <s v="PENDING"/>
    <s v="First Class"/>
    <n v="129.99"/>
  </r>
  <r>
    <n v="23073"/>
    <s v="TRANSFER"/>
    <n v="2"/>
    <n v="1"/>
    <s v="DELAYED"/>
    <n v="1014"/>
    <n v="2"/>
    <n v="99.96"/>
    <n v="7"/>
    <s v="Fan Shop"/>
    <n v="1433"/>
    <s v="Ajmer"/>
    <d v="2018-12-02T00:00:00"/>
    <n v="12"/>
    <n v="2018"/>
    <s v="South Asia"/>
    <x v="2"/>
    <s v="PROCESSING"/>
    <s v="PENDING"/>
    <s v="First Class"/>
    <n v="99.96"/>
  </r>
  <r>
    <n v="23074"/>
    <s v="PAYMENT"/>
    <n v="5"/>
    <n v="2"/>
    <s v="DELAYED"/>
    <n v="365"/>
    <n v="2"/>
    <n v="119.98"/>
    <n v="4"/>
    <s v="Apparel"/>
    <n v="6888"/>
    <s v="Ajmer"/>
    <d v="2018-12-02T00:00:00"/>
    <n v="12"/>
    <n v="2018"/>
    <s v="South Asia"/>
    <x v="2"/>
    <s v="PENDING_PAYMENT"/>
    <s v="PENDING"/>
    <s v="Second Class"/>
    <n v="119.98"/>
  </r>
  <r>
    <n v="23078"/>
    <s v="TRANSFER"/>
    <n v="4"/>
    <n v="2"/>
    <s v="DELAYED"/>
    <n v="627"/>
    <n v="2"/>
    <n v="79.98"/>
    <n v="5"/>
    <s v="Golf"/>
    <n v="11662"/>
    <s v="Patiala"/>
    <d v="2018-12-02T00:00:00"/>
    <n v="12"/>
    <n v="2018"/>
    <s v="South Asia"/>
    <x v="16"/>
    <s v="SUSPECTED_FRAUD"/>
    <s v="PENDING"/>
    <s v="Second Class"/>
    <n v="79.98"/>
  </r>
  <r>
    <n v="23079"/>
    <s v="TRANSFER"/>
    <n v="5"/>
    <n v="2"/>
    <s v="DELAYED"/>
    <n v="365"/>
    <n v="1"/>
    <n v="59.99"/>
    <n v="4"/>
    <s v="Apparel"/>
    <n v="409"/>
    <s v="Patiala"/>
    <d v="2018-12-02T00:00:00"/>
    <n v="12"/>
    <n v="2018"/>
    <s v="South Asia"/>
    <x v="16"/>
    <s v="PENDING"/>
    <s v="PENDING"/>
    <s v="Second Class"/>
    <n v="59.99"/>
  </r>
  <r>
    <n v="23080"/>
    <s v="CASH"/>
    <n v="6"/>
    <n v="2"/>
    <s v="DELAYED"/>
    <n v="627"/>
    <n v="2"/>
    <n v="79.98"/>
    <n v="5"/>
    <s v="Golf"/>
    <n v="9432"/>
    <s v="Patiala"/>
    <d v="2018-12-02T00:00:00"/>
    <n v="12"/>
    <n v="2018"/>
    <s v="South Asia"/>
    <x v="16"/>
    <s v="CLOSED"/>
    <s v="PENDING"/>
    <s v="Second Class"/>
    <n v="79.98"/>
  </r>
  <r>
    <n v="23081"/>
    <s v="CASH"/>
    <n v="2"/>
    <n v="2"/>
    <s v=" ONTIME"/>
    <n v="627"/>
    <n v="1"/>
    <n v="39.99"/>
    <n v="5"/>
    <s v="Golf"/>
    <n v="3389"/>
    <s v="Patiala"/>
    <d v="2018-12-02T00:00:00"/>
    <n v="12"/>
    <n v="2018"/>
    <s v="South Asia"/>
    <x v="16"/>
    <s v="CLOSED"/>
    <s v="PENDING"/>
    <s v="Second Class"/>
    <n v="39.99"/>
  </r>
  <r>
    <n v="23126"/>
    <s v="DEBIT"/>
    <n v="2"/>
    <n v="4"/>
    <s v=" ONTIME"/>
    <n v="957"/>
    <n v="1"/>
    <n v="299.98"/>
    <n v="7"/>
    <s v="Fan Shop"/>
    <n v="10837"/>
    <s v="Pimpri"/>
    <d v="2018-12-03T00:00:00"/>
    <n v="12"/>
    <n v="2018"/>
    <s v="South Asia"/>
    <x v="0"/>
    <s v="ON_HOLD"/>
    <s v="PENDING"/>
    <s v="Standard Class"/>
    <n v="299.98"/>
  </r>
  <r>
    <n v="23127"/>
    <s v="PAYMENT"/>
    <n v="3"/>
    <n v="4"/>
    <s v=" ONTIME"/>
    <n v="403"/>
    <n v="1"/>
    <n v="129.99"/>
    <n v="4"/>
    <s v="Apparel"/>
    <n v="1139"/>
    <s v="Pimpri"/>
    <d v="2018-12-03T00:00:00"/>
    <n v="12"/>
    <n v="2018"/>
    <s v="South Asia"/>
    <x v="0"/>
    <s v="PENDING_PAYMENT"/>
    <s v="PENDING"/>
    <s v="Standard Class"/>
    <n v="129.99"/>
  </r>
  <r>
    <n v="23128"/>
    <s v="PAYMENT"/>
    <n v="4"/>
    <n v="4"/>
    <s v=" ONTIME"/>
    <n v="1014"/>
    <n v="3"/>
    <n v="149.94"/>
    <n v="7"/>
    <s v="Fan Shop"/>
    <n v="6547"/>
    <s v="Pimpri"/>
    <d v="2018-12-03T00:00:00"/>
    <n v="12"/>
    <n v="2018"/>
    <s v="South Asia"/>
    <x v="0"/>
    <s v="PENDING_PAYMENT"/>
    <s v="PENDING"/>
    <s v="Standard Class"/>
    <n v="149.94"/>
  </r>
  <r>
    <n v="23129"/>
    <s v="CASH"/>
    <n v="1"/>
    <n v="0"/>
    <s v="DELAYED"/>
    <n v="134"/>
    <n v="2"/>
    <n v="50"/>
    <n v="2"/>
    <s v="Fitness"/>
    <n v="2102"/>
    <s v="Pimpri"/>
    <d v="2018-12-03T00:00:00"/>
    <n v="12"/>
    <n v="2018"/>
    <s v="South Asia"/>
    <x v="0"/>
    <s v="CLOSED"/>
    <s v="PENDING"/>
    <s v="Same Day"/>
    <n v="50"/>
  </r>
  <r>
    <n v="23130"/>
    <s v="CASH"/>
    <n v="1"/>
    <n v="0"/>
    <s v="DELAYED"/>
    <n v="1073"/>
    <n v="1"/>
    <n v="199.99"/>
    <n v="7"/>
    <s v="Fan Shop"/>
    <n v="8429"/>
    <s v="Pimpri"/>
    <d v="2018-12-03T00:00:00"/>
    <n v="12"/>
    <n v="2018"/>
    <s v="South Asia"/>
    <x v="0"/>
    <s v="CLOSED"/>
    <s v="PENDING"/>
    <s v="Same Day"/>
    <n v="199.99"/>
  </r>
  <r>
    <n v="23131"/>
    <s v="PAYMENT"/>
    <n v="2"/>
    <n v="2"/>
    <s v=" ONTIME"/>
    <n v="502"/>
    <n v="4"/>
    <n v="200"/>
    <n v="5"/>
    <s v="Golf"/>
    <n v="8081"/>
    <s v="Pimpri"/>
    <d v="2018-12-03T00:00:00"/>
    <n v="12"/>
    <n v="2018"/>
    <s v="South Asia"/>
    <x v="0"/>
    <s v="PENDING_PAYMENT"/>
    <s v="PENDING"/>
    <s v="Second Class"/>
    <n v="200"/>
  </r>
  <r>
    <n v="23164"/>
    <s v="DEBIT"/>
    <n v="2"/>
    <n v="1"/>
    <s v="DELAYED"/>
    <n v="403"/>
    <n v="1"/>
    <n v="129.99"/>
    <n v="4"/>
    <s v="Apparel"/>
    <n v="6285"/>
    <s v="Vijayawada"/>
    <d v="2018-12-04T00:00:00"/>
    <n v="12"/>
    <n v="2018"/>
    <s v="South Asia"/>
    <x v="15"/>
    <s v="COMPLETE"/>
    <s v="COMPLETED"/>
    <s v="First Class"/>
    <n v="129.99"/>
  </r>
  <r>
    <n v="23165"/>
    <s v="TRANSFER"/>
    <n v="6"/>
    <n v="4"/>
    <s v="DELAYED"/>
    <n v="1073"/>
    <n v="1"/>
    <n v="199.99"/>
    <n v="7"/>
    <s v="Fan Shop"/>
    <n v="4907"/>
    <s v="Vijayawada"/>
    <d v="2018-12-04T00:00:00"/>
    <n v="12"/>
    <n v="2018"/>
    <s v="South Asia"/>
    <x v="15"/>
    <s v="PROCESSING"/>
    <s v="PENDING"/>
    <s v="Standard Class"/>
    <n v="199.99"/>
  </r>
  <r>
    <n v="23166"/>
    <s v="DEBIT"/>
    <n v="2"/>
    <n v="4"/>
    <s v=" ONTIME"/>
    <n v="365"/>
    <n v="1"/>
    <n v="59.99"/>
    <n v="4"/>
    <s v="Apparel"/>
    <n v="3280"/>
    <s v="Vijayawada"/>
    <d v="2018-12-04T00:00:00"/>
    <n v="12"/>
    <n v="2018"/>
    <s v="South Asia"/>
    <x v="15"/>
    <s v="COMPLETE"/>
    <s v="COMPLETED"/>
    <s v="Standard Class"/>
    <n v="59.99"/>
  </r>
  <r>
    <n v="23206"/>
    <s v="PAYMENT"/>
    <n v="2"/>
    <n v="4"/>
    <s v=" ONTIME"/>
    <n v="403"/>
    <n v="1"/>
    <n v="129.99"/>
    <n v="4"/>
    <s v="Apparel"/>
    <n v="8229"/>
    <s v="Gulbarga"/>
    <d v="2018-12-04T00:00:00"/>
    <n v="12"/>
    <n v="2018"/>
    <s v="South Asia"/>
    <x v="8"/>
    <s v="PENDING_PAYMENT"/>
    <s v="PENDING"/>
    <s v="Standard Class"/>
    <n v="129.99"/>
  </r>
  <r>
    <n v="23212"/>
    <s v="CASH"/>
    <n v="1"/>
    <n v="0"/>
    <s v="DELAYED"/>
    <n v="1004"/>
    <n v="1"/>
    <n v="399.98"/>
    <n v="7"/>
    <s v="Fan Shop"/>
    <n v="6537"/>
    <s v="Kota"/>
    <d v="2018-12-04T00:00:00"/>
    <n v="12"/>
    <n v="2018"/>
    <s v="South Asia"/>
    <x v="18"/>
    <s v="CLOSED"/>
    <s v="PENDING"/>
    <s v="Same Day"/>
    <n v="399.98"/>
  </r>
  <r>
    <n v="23225"/>
    <s v="TRANSFER"/>
    <n v="6"/>
    <n v="4"/>
    <s v="DELAYED"/>
    <n v="1073"/>
    <n v="1"/>
    <n v="199.99"/>
    <n v="7"/>
    <s v="Fan Shop"/>
    <n v="1473"/>
    <s v="Lucknow"/>
    <d v="2018-12-05T00:00:00"/>
    <n v="12"/>
    <n v="2018"/>
    <s v="South Asia"/>
    <x v="1"/>
    <s v="SUSPECTED_FRAUD"/>
    <s v="PENDING"/>
    <s v="Standard Class"/>
    <n v="199.99"/>
  </r>
  <r>
    <n v="23226"/>
    <s v="PAYMENT"/>
    <n v="2"/>
    <n v="2"/>
    <s v=" ONTIME"/>
    <n v="627"/>
    <n v="4"/>
    <n v="159.96"/>
    <n v="5"/>
    <s v="Golf"/>
    <n v="759"/>
    <s v="Nizamabad"/>
    <d v="2018-12-05T00:00:00"/>
    <n v="12"/>
    <n v="2018"/>
    <s v="South Asia"/>
    <x v="7"/>
    <s v="PENDING_PAYMENT"/>
    <s v="PENDING"/>
    <s v="Second Class"/>
    <n v="159.96"/>
  </r>
  <r>
    <n v="23244"/>
    <s v="DEBIT"/>
    <n v="5"/>
    <n v="4"/>
    <s v="DELAYED"/>
    <n v="403"/>
    <n v="1"/>
    <n v="129.99"/>
    <n v="4"/>
    <s v="Apparel"/>
    <n v="9618"/>
    <s v="Surat"/>
    <d v="2018-12-05T00:00:00"/>
    <n v="12"/>
    <n v="2018"/>
    <s v="South Asia"/>
    <x v="4"/>
    <s v="COMPLETE"/>
    <s v="COMPLETED"/>
    <s v="Standard Class"/>
    <n v="129.99"/>
  </r>
  <r>
    <n v="23245"/>
    <s v="DEBIT"/>
    <n v="6"/>
    <n v="4"/>
    <s v="DELAYED"/>
    <n v="728"/>
    <n v="4"/>
    <n v="260"/>
    <n v="6"/>
    <s v="Outdoors"/>
    <n v="10991"/>
    <s v="Surat"/>
    <d v="2018-12-05T00:00:00"/>
    <n v="12"/>
    <n v="2018"/>
    <s v="South Asia"/>
    <x v="4"/>
    <s v="COMPLETE"/>
    <s v="COMPLETED"/>
    <s v="Standard Class"/>
    <n v="260"/>
  </r>
  <r>
    <n v="23290"/>
    <s v="DEBIT"/>
    <n v="6"/>
    <n v="4"/>
    <s v="DELAYED"/>
    <n v="403"/>
    <n v="1"/>
    <n v="129.99"/>
    <n v="4"/>
    <s v="Apparel"/>
    <n v="4275"/>
    <s v="Hyderabad"/>
    <d v="2018-12-05T00:00:00"/>
    <n v="12"/>
    <n v="2018"/>
    <s v="South Asia"/>
    <x v="7"/>
    <s v="COMPLETE"/>
    <s v="COMPLETED"/>
    <s v="Standard Class"/>
    <n v="129.99"/>
  </r>
  <r>
    <n v="23300"/>
    <s v="PAYMENT"/>
    <n v="6"/>
    <n v="4"/>
    <s v="DELAYED"/>
    <n v="365"/>
    <n v="1"/>
    <n v="59.99"/>
    <n v="4"/>
    <s v="Apparel"/>
    <n v="161"/>
    <s v="Hisar"/>
    <d v="2018-12-06T00:00:00"/>
    <n v="12"/>
    <n v="2018"/>
    <s v="South Asia"/>
    <x v="10"/>
    <s v="PENDING_PAYMENT"/>
    <s v="PENDING"/>
    <s v="Standard Class"/>
    <n v="59.99"/>
  </r>
  <r>
    <n v="23325"/>
    <s v="PAYMENT"/>
    <n v="6"/>
    <n v="2"/>
    <s v="DELAYED"/>
    <n v="365"/>
    <n v="1"/>
    <n v="59.99"/>
    <n v="4"/>
    <s v="Apparel"/>
    <n v="4794"/>
    <s v="Cuttack"/>
    <d v="2018-12-06T00:00:00"/>
    <n v="12"/>
    <n v="2018"/>
    <s v="South Asia"/>
    <x v="13"/>
    <s v="PENDING_PAYMENT"/>
    <s v="PENDING"/>
    <s v="Second Class"/>
    <n v="59.99"/>
  </r>
  <r>
    <n v="23326"/>
    <s v="PAYMENT"/>
    <n v="2"/>
    <n v="2"/>
    <s v=" ONTIME"/>
    <n v="957"/>
    <n v="1"/>
    <n v="299.98"/>
    <n v="7"/>
    <s v="Fan Shop"/>
    <n v="10584"/>
    <s v="Cuttack"/>
    <d v="2018-12-06T00:00:00"/>
    <n v="12"/>
    <n v="2018"/>
    <s v="South Asia"/>
    <x v="13"/>
    <s v="PENDING_PAYMENT"/>
    <s v="PENDING"/>
    <s v="Second Class"/>
    <n v="299.98"/>
  </r>
  <r>
    <n v="23327"/>
    <s v="DEBIT"/>
    <n v="3"/>
    <n v="2"/>
    <s v="DELAYED"/>
    <n v="1014"/>
    <n v="4"/>
    <n v="199.92"/>
    <n v="7"/>
    <s v="Fan Shop"/>
    <n v="4511"/>
    <s v="Cuttack"/>
    <d v="2018-12-06T00:00:00"/>
    <n v="12"/>
    <n v="2018"/>
    <s v="South Asia"/>
    <x v="13"/>
    <s v="COMPLETE"/>
    <s v="COMPLETED"/>
    <s v="Second Class"/>
    <n v="199.92"/>
  </r>
  <r>
    <n v="23331"/>
    <s v="CASH"/>
    <n v="2"/>
    <n v="2"/>
    <s v=" ONTIME"/>
    <n v="917"/>
    <n v="1"/>
    <n v="21.99"/>
    <n v="6"/>
    <s v="Outdoors"/>
    <n v="3242"/>
    <s v="Ludhiana"/>
    <d v="2018-12-06T00:00:00"/>
    <n v="12"/>
    <n v="2018"/>
    <s v="South Asia"/>
    <x v="16"/>
    <s v="CLOSED"/>
    <s v="PENDING"/>
    <s v="Second Class"/>
    <n v="21.99"/>
  </r>
  <r>
    <n v="23357"/>
    <s v="PAYMENT"/>
    <n v="3"/>
    <n v="2"/>
    <s v="DELAYED"/>
    <n v="403"/>
    <n v="1"/>
    <n v="129.99"/>
    <n v="4"/>
    <s v="Apparel"/>
    <n v="1011"/>
    <s v="Mumbai"/>
    <d v="2018-12-06T00:00:00"/>
    <n v="12"/>
    <n v="2018"/>
    <s v="South Asia"/>
    <x v="0"/>
    <s v="PAYMENT_REVIEW"/>
    <s v="PENDING"/>
    <s v="Second Class"/>
    <n v="129.99"/>
  </r>
  <r>
    <n v="23358"/>
    <s v="TRANSFER"/>
    <n v="4"/>
    <n v="2"/>
    <s v="DELAYED"/>
    <n v="403"/>
    <n v="1"/>
    <n v="129.99"/>
    <n v="4"/>
    <s v="Apparel"/>
    <n v="9343"/>
    <s v="Mumbai"/>
    <d v="2018-12-06T00:00:00"/>
    <n v="12"/>
    <n v="2018"/>
    <s v="South Asia"/>
    <x v="0"/>
    <s v="PROCESSING"/>
    <s v="PENDING"/>
    <s v="Second Class"/>
    <n v="129.99"/>
  </r>
  <r>
    <n v="23359"/>
    <s v="PAYMENT"/>
    <n v="5"/>
    <n v="2"/>
    <s v="DELAYED"/>
    <n v="403"/>
    <n v="1"/>
    <n v="129.99"/>
    <n v="4"/>
    <s v="Apparel"/>
    <n v="6221"/>
    <s v="Kochi"/>
    <d v="2018-12-06T00:00:00"/>
    <n v="12"/>
    <n v="2018"/>
    <s v="South Asia"/>
    <x v="20"/>
    <s v="PENDING_PAYMENT"/>
    <s v="PENDING"/>
    <s v="Second Class"/>
    <n v="129.99"/>
  </r>
  <r>
    <n v="23381"/>
    <s v="CASH"/>
    <n v="2"/>
    <n v="4"/>
    <s v=" ONTIME"/>
    <n v="792"/>
    <n v="2"/>
    <n v="29.98"/>
    <n v="6"/>
    <s v="Outdoors"/>
    <n v="11593"/>
    <s v="Delhi"/>
    <d v="2018-12-07T00:00:00"/>
    <n v="12"/>
    <n v="2018"/>
    <s v="South Asia"/>
    <x v="11"/>
    <s v="CLOSED"/>
    <s v="PENDING"/>
    <s v="Standard Class"/>
    <n v="29.98"/>
  </r>
  <r>
    <n v="23389"/>
    <s v="TRANSFER"/>
    <n v="5"/>
    <n v="4"/>
    <s v="DELAYED"/>
    <n v="1014"/>
    <n v="1"/>
    <n v="49.98"/>
    <n v="7"/>
    <s v="Fan Shop"/>
    <n v="1979"/>
    <s v="Rajkot"/>
    <d v="2018-12-07T00:00:00"/>
    <n v="12"/>
    <n v="2018"/>
    <s v="South Asia"/>
    <x v="4"/>
    <s v="PROCESSING"/>
    <s v="PENDING"/>
    <s v="Standard Class"/>
    <n v="49.98"/>
  </r>
  <r>
    <n v="23391"/>
    <s v="DEBIT"/>
    <n v="2"/>
    <n v="1"/>
    <s v="DELAYED"/>
    <n v="191"/>
    <n v="1"/>
    <n v="99.99"/>
    <n v="3"/>
    <s v="Footwear"/>
    <n v="9956"/>
    <s v="Hubli"/>
    <d v="2018-12-07T00:00:00"/>
    <n v="12"/>
    <n v="2018"/>
    <s v="South Asia"/>
    <x v="8"/>
    <s v="COMPLETE"/>
    <s v="COMPLETED"/>
    <s v="First Class"/>
    <n v="99.99"/>
  </r>
  <r>
    <n v="23393"/>
    <s v="TRANSFER"/>
    <n v="2"/>
    <n v="1"/>
    <s v="DELAYED"/>
    <n v="403"/>
    <n v="1"/>
    <n v="129.99"/>
    <n v="4"/>
    <s v="Apparel"/>
    <n v="8971"/>
    <s v="Hubli"/>
    <d v="2018-12-07T00:00:00"/>
    <n v="12"/>
    <n v="2018"/>
    <s v="South Asia"/>
    <x v="8"/>
    <s v="PENDING"/>
    <s v="PENDING"/>
    <s v="First Class"/>
    <n v="129.99"/>
  </r>
  <r>
    <n v="23396"/>
    <s v="DEBIT"/>
    <n v="1"/>
    <n v="0"/>
    <s v="DELAYED"/>
    <n v="235"/>
    <n v="1"/>
    <n v="34.99"/>
    <n v="3"/>
    <s v="Footwear"/>
    <n v="3232"/>
    <s v="Bellary"/>
    <d v="2018-12-07T00:00:00"/>
    <n v="12"/>
    <n v="2018"/>
    <s v="South Asia"/>
    <x v="8"/>
    <s v="COMPLETE"/>
    <s v="COMPLETED"/>
    <s v="Same Day"/>
    <n v="34.99"/>
  </r>
  <r>
    <n v="23397"/>
    <s v="PAYMENT"/>
    <n v="1"/>
    <n v="0"/>
    <s v="DELAYED"/>
    <n v="957"/>
    <n v="1"/>
    <n v="299.98"/>
    <n v="7"/>
    <s v="Fan Shop"/>
    <n v="6780"/>
    <s v="Faridabad"/>
    <d v="2018-12-07T00:00:00"/>
    <n v="12"/>
    <n v="2018"/>
    <s v="South Asia"/>
    <x v="10"/>
    <s v="PENDING_PAYMENT"/>
    <s v="PENDING"/>
    <s v="Same Day"/>
    <n v="299.98"/>
  </r>
  <r>
    <n v="23404"/>
    <s v="PAYMENT"/>
    <n v="5"/>
    <n v="2"/>
    <s v="DELAYED"/>
    <n v="403"/>
    <n v="1"/>
    <n v="129.99"/>
    <n v="4"/>
    <s v="Apparel"/>
    <n v="3066"/>
    <s v="Agra"/>
    <d v="2018-12-07T00:00:00"/>
    <n v="12"/>
    <n v="2018"/>
    <s v="South Asia"/>
    <x v="1"/>
    <s v="PENDING_PAYMENT"/>
    <s v="PENDING"/>
    <s v="Second Class"/>
    <n v="129.99"/>
  </r>
  <r>
    <n v="23405"/>
    <s v="PAYMENT"/>
    <n v="6"/>
    <n v="2"/>
    <s v="DELAYED"/>
    <n v="403"/>
    <n v="1"/>
    <n v="129.99"/>
    <n v="4"/>
    <s v="Apparel"/>
    <n v="8470"/>
    <s v="Agra"/>
    <d v="2018-12-07T00:00:00"/>
    <n v="12"/>
    <n v="2018"/>
    <s v="South Asia"/>
    <x v="1"/>
    <s v="PENDING_PAYMENT"/>
    <s v="PENDING"/>
    <s v="Second Class"/>
    <n v="129.99"/>
  </r>
  <r>
    <n v="23406"/>
    <s v="TRANSFER"/>
    <n v="2"/>
    <n v="4"/>
    <s v=" ONTIME"/>
    <n v="403"/>
    <n v="1"/>
    <n v="129.99"/>
    <n v="4"/>
    <s v="Apparel"/>
    <n v="2676"/>
    <s v="Agra"/>
    <d v="2018-12-07T00:00:00"/>
    <n v="12"/>
    <n v="2018"/>
    <s v="South Asia"/>
    <x v="1"/>
    <s v="SUSPECTED_FRAUD"/>
    <s v="PENDING"/>
    <s v="Standard Class"/>
    <n v="129.99"/>
  </r>
  <r>
    <n v="23407"/>
    <s v="DEBIT"/>
    <n v="3"/>
    <n v="4"/>
    <s v=" ONTIME"/>
    <n v="191"/>
    <n v="1"/>
    <n v="99.99"/>
    <n v="3"/>
    <s v="Footwear"/>
    <n v="6330"/>
    <s v="Agra"/>
    <d v="2018-12-07T00:00:00"/>
    <n v="12"/>
    <n v="2018"/>
    <s v="South Asia"/>
    <x v="1"/>
    <s v="COMPLETE"/>
    <s v="COMPLETED"/>
    <s v="Standard Class"/>
    <n v="99.99"/>
  </r>
  <r>
    <n v="23418"/>
    <s v="CASH"/>
    <n v="2"/>
    <n v="1"/>
    <s v="DELAYED"/>
    <n v="403"/>
    <n v="1"/>
    <n v="129.99"/>
    <n v="4"/>
    <s v="Apparel"/>
    <n v="7005"/>
    <s v="Jaipur"/>
    <d v="2018-12-07T00:00:00"/>
    <n v="12"/>
    <n v="2018"/>
    <s v="South Asia"/>
    <x v="2"/>
    <s v="CLOSED"/>
    <s v="PENDING"/>
    <s v="First Class"/>
    <n v="129.99"/>
  </r>
  <r>
    <n v="23419"/>
    <s v="CASH"/>
    <n v="2"/>
    <n v="1"/>
    <s v="DELAYED"/>
    <n v="365"/>
    <n v="1"/>
    <n v="59.99"/>
    <n v="4"/>
    <s v="Apparel"/>
    <n v="9571"/>
    <s v="Jaipur"/>
    <d v="2018-12-07T00:00:00"/>
    <n v="12"/>
    <n v="2018"/>
    <s v="South Asia"/>
    <x v="2"/>
    <s v="CLOSED"/>
    <s v="PENDING"/>
    <s v="First Class"/>
    <n v="59.99"/>
  </r>
  <r>
    <n v="23439"/>
    <s v="CASH"/>
    <n v="2"/>
    <n v="1"/>
    <s v="DELAYED"/>
    <n v="1014"/>
    <n v="2"/>
    <n v="99.96"/>
    <n v="7"/>
    <s v="Fan Shop"/>
    <n v="12365"/>
    <s v="Jodhpur"/>
    <d v="2018-12-08T00:00:00"/>
    <n v="12"/>
    <n v="2018"/>
    <s v="South Asia"/>
    <x v="2"/>
    <s v="CLOSED"/>
    <s v="PENDING"/>
    <s v="First Class"/>
    <n v="99.96"/>
  </r>
  <r>
    <n v="23440"/>
    <s v="DEBIT"/>
    <n v="2"/>
    <n v="1"/>
    <s v="DELAYED"/>
    <n v="403"/>
    <n v="1"/>
    <n v="129.99"/>
    <n v="4"/>
    <s v="Apparel"/>
    <n v="9580"/>
    <s v="Jodhpur"/>
    <d v="2018-12-08T00:00:00"/>
    <n v="12"/>
    <n v="2018"/>
    <s v="South Asia"/>
    <x v="2"/>
    <s v="ON_HOLD"/>
    <s v="PENDING"/>
    <s v="First Class"/>
    <n v="129.99"/>
  </r>
  <r>
    <n v="23443"/>
    <s v="TRANSFER"/>
    <n v="4"/>
    <n v="2"/>
    <s v="DELAYED"/>
    <n v="957"/>
    <n v="1"/>
    <n v="299.98"/>
    <n v="7"/>
    <s v="Fan Shop"/>
    <n v="2027"/>
    <s v="Bokaro"/>
    <d v="2018-12-08T00:00:00"/>
    <n v="12"/>
    <n v="2018"/>
    <s v="South Asia"/>
    <x v="12"/>
    <s v="PENDING"/>
    <s v="PENDING"/>
    <s v="Second Class"/>
    <n v="299.98"/>
  </r>
  <r>
    <n v="23457"/>
    <s v="DEBIT"/>
    <n v="3"/>
    <n v="4"/>
    <s v=" ONTIME"/>
    <n v="403"/>
    <n v="1"/>
    <n v="129.99"/>
    <n v="4"/>
    <s v="Apparel"/>
    <n v="8834"/>
    <s v="Bhiwandi"/>
    <d v="2018-12-08T00:00:00"/>
    <n v="12"/>
    <n v="2018"/>
    <s v="South Asia"/>
    <x v="0"/>
    <s v="COMPLETE"/>
    <s v="COMPLETED"/>
    <s v="Standard Class"/>
    <n v="129.99"/>
  </r>
  <r>
    <n v="23466"/>
    <s v="CASH"/>
    <n v="2"/>
    <n v="4"/>
    <s v=" ONTIME"/>
    <n v="37"/>
    <n v="3"/>
    <n v="104.97"/>
    <n v="2"/>
    <s v="Fitness"/>
    <n v="7022"/>
    <s v="Visakhapatnam"/>
    <d v="2018-12-08T00:00:00"/>
    <n v="12"/>
    <n v="2018"/>
    <s v="South Asia"/>
    <x v="15"/>
    <s v="CLOSED"/>
    <s v="PENDING"/>
    <s v="Standard Class"/>
    <n v="104.97"/>
  </r>
  <r>
    <n v="23470"/>
    <s v="DEBIT"/>
    <n v="6"/>
    <n v="4"/>
    <s v="DELAYED"/>
    <n v="957"/>
    <n v="1"/>
    <n v="299.98"/>
    <n v="7"/>
    <s v="Fan Shop"/>
    <n v="1433"/>
    <s v="Mumbai"/>
    <d v="2018-12-08T00:00:00"/>
    <n v="12"/>
    <n v="2018"/>
    <s v="South Asia"/>
    <x v="0"/>
    <s v="COMPLETE"/>
    <s v="COMPLETED"/>
    <s v="Standard Class"/>
    <n v="299.98"/>
  </r>
  <r>
    <n v="23515"/>
    <s v="TRANSFER"/>
    <n v="6"/>
    <n v="4"/>
    <s v="DELAYED"/>
    <n v="191"/>
    <n v="1"/>
    <n v="99.99"/>
    <n v="3"/>
    <s v="Footwear"/>
    <n v="10441"/>
    <s v="Gorakhpur"/>
    <d v="2018-12-09T00:00:00"/>
    <n v="12"/>
    <n v="2018"/>
    <s v="South Asia"/>
    <x v="10"/>
    <s v="PENDING"/>
    <s v="PENDING"/>
    <s v="Standard Class"/>
    <n v="99.99"/>
  </r>
  <r>
    <n v="23518"/>
    <s v="TRANSFER"/>
    <n v="2"/>
    <n v="1"/>
    <s v="DELAYED"/>
    <n v="502"/>
    <n v="2"/>
    <n v="100"/>
    <n v="5"/>
    <s v="Golf"/>
    <n v="6242"/>
    <s v="Varanasi"/>
    <d v="2018-12-09T00:00:00"/>
    <n v="12"/>
    <n v="2018"/>
    <s v="South Asia"/>
    <x v="1"/>
    <s v="CANCELED"/>
    <s v="CANCELED"/>
    <s v="First Class"/>
    <n v="100"/>
  </r>
  <r>
    <n v="23530"/>
    <s v="CASH"/>
    <n v="0"/>
    <n v="0"/>
    <s v=" ONTIME"/>
    <n v="403"/>
    <n v="1"/>
    <n v="129.99"/>
    <n v="4"/>
    <s v="Apparel"/>
    <n v="11052"/>
    <s v="Bhavnagar"/>
    <d v="2018-12-09T00:00:00"/>
    <n v="12"/>
    <n v="2018"/>
    <s v="South Asia"/>
    <x v="4"/>
    <s v="CLOSED"/>
    <s v="PENDING"/>
    <s v="Same Day"/>
    <n v="129.99"/>
  </r>
  <r>
    <n v="23531"/>
    <s v="TRANSFER"/>
    <n v="0"/>
    <n v="0"/>
    <s v=" ONTIME"/>
    <n v="1004"/>
    <n v="1"/>
    <n v="399.98"/>
    <n v="7"/>
    <s v="Fan Shop"/>
    <n v="7613"/>
    <s v="Bhavnagar"/>
    <d v="2018-12-09T00:00:00"/>
    <n v="12"/>
    <n v="2018"/>
    <s v="South Asia"/>
    <x v="4"/>
    <s v="PROCESSING"/>
    <s v="PENDING"/>
    <s v="Same Day"/>
    <n v="399.98"/>
  </r>
  <r>
    <n v="23532"/>
    <s v="TRANSFER"/>
    <n v="0"/>
    <n v="0"/>
    <s v=" ONTIME"/>
    <n v="1073"/>
    <n v="1"/>
    <n v="199.99"/>
    <n v="7"/>
    <s v="Fan Shop"/>
    <n v="10994"/>
    <s v="Bhavnagar"/>
    <d v="2018-12-09T00:00:00"/>
    <n v="12"/>
    <n v="2018"/>
    <s v="South Asia"/>
    <x v="4"/>
    <s v="PROCESSING"/>
    <s v="PENDING"/>
    <s v="Same Day"/>
    <n v="199.99"/>
  </r>
  <r>
    <n v="23533"/>
    <s v="TRANSFER"/>
    <n v="4"/>
    <n v="4"/>
    <s v=" ONTIME"/>
    <n v="823"/>
    <n v="2"/>
    <n v="103.98"/>
    <n v="6"/>
    <s v="Outdoors"/>
    <n v="1394"/>
    <s v="Bhavnagar"/>
    <d v="2018-12-09T00:00:00"/>
    <n v="12"/>
    <n v="2018"/>
    <s v="South Asia"/>
    <x v="4"/>
    <s v="PROCESSING"/>
    <s v="PENDING"/>
    <s v="Standard Class"/>
    <n v="103.98"/>
  </r>
  <r>
    <n v="23557"/>
    <s v="CASH"/>
    <n v="3"/>
    <n v="4"/>
    <s v=" ONTIME"/>
    <n v="403"/>
    <n v="1"/>
    <n v="129.99"/>
    <n v="4"/>
    <s v="Apparel"/>
    <n v="3755"/>
    <s v="Lucknow"/>
    <d v="2018-12-09T00:00:00"/>
    <n v="12"/>
    <n v="2018"/>
    <s v="South Asia"/>
    <x v="1"/>
    <s v="CLOSED"/>
    <s v="PENDING"/>
    <s v="Standard Class"/>
    <n v="129.99"/>
  </r>
  <r>
    <n v="23576"/>
    <s v="DEBIT"/>
    <n v="2"/>
    <n v="4"/>
    <s v=" ONTIME"/>
    <n v="191"/>
    <n v="1"/>
    <n v="99.99"/>
    <n v="3"/>
    <s v="Footwear"/>
    <n v="317"/>
    <s v="Ichalkaranji"/>
    <d v="2018-12-10T00:00:00"/>
    <n v="12"/>
    <n v="2018"/>
    <s v="South Asia"/>
    <x v="0"/>
    <s v="COMPLETE"/>
    <s v="COMPLETED"/>
    <s v="Standard Class"/>
    <n v="99.99"/>
  </r>
  <r>
    <n v="23579"/>
    <s v="PAYMENT"/>
    <n v="5"/>
    <n v="4"/>
    <s v="DELAYED"/>
    <n v="135"/>
    <n v="5"/>
    <n v="110"/>
    <n v="2"/>
    <s v="Fitness"/>
    <n v="1906"/>
    <s v="Bangalore"/>
    <d v="2018-12-10T00:00:00"/>
    <n v="12"/>
    <n v="2018"/>
    <s v="South Asia"/>
    <x v="8"/>
    <s v="PENDING_PAYMENT"/>
    <s v="PENDING"/>
    <s v="Standard Class"/>
    <n v="110"/>
  </r>
  <r>
    <n v="23590"/>
    <s v="PAYMENT"/>
    <n v="6"/>
    <n v="4"/>
    <s v="DELAYED"/>
    <n v="957"/>
    <n v="1"/>
    <n v="299.98"/>
    <n v="7"/>
    <s v="Fan Shop"/>
    <n v="8869"/>
    <s v="Pimpri"/>
    <d v="2018-12-10T00:00:00"/>
    <n v="12"/>
    <n v="2018"/>
    <s v="South Asia"/>
    <x v="0"/>
    <s v="PENDING_PAYMENT"/>
    <s v="PENDING"/>
    <s v="Standard Class"/>
    <n v="299.98"/>
  </r>
  <r>
    <n v="23592"/>
    <s v="DEBIT"/>
    <n v="3"/>
    <n v="4"/>
    <s v=" ONTIME"/>
    <n v="627"/>
    <n v="5"/>
    <n v="199.95"/>
    <n v="5"/>
    <s v="Golf"/>
    <n v="4044"/>
    <s v="Pimpri"/>
    <d v="2018-12-10T00:00:00"/>
    <n v="12"/>
    <n v="2018"/>
    <s v="South Asia"/>
    <x v="0"/>
    <s v="COMPLETE"/>
    <s v="COMPLETED"/>
    <s v="Standard Class"/>
    <n v="199.95"/>
  </r>
  <r>
    <n v="23638"/>
    <s v="DEBIT"/>
    <n v="4"/>
    <n v="2"/>
    <s v="DELAYED"/>
    <n v="403"/>
    <n v="1"/>
    <n v="129.99"/>
    <n v="4"/>
    <s v="Apparel"/>
    <n v="9875"/>
    <s v="Jaipur"/>
    <d v="2018-12-11T00:00:00"/>
    <n v="12"/>
    <n v="2018"/>
    <s v="South Asia"/>
    <x v="2"/>
    <s v="COMPLETE"/>
    <s v="COMPLETED"/>
    <s v="Second Class"/>
    <n v="129.99"/>
  </r>
  <r>
    <n v="23643"/>
    <s v="CASH"/>
    <n v="4"/>
    <n v="4"/>
    <s v=" ONTIME"/>
    <n v="1004"/>
    <n v="1"/>
    <n v="399.98"/>
    <n v="7"/>
    <s v="Fan Shop"/>
    <n v="4081"/>
    <s v="Satna"/>
    <d v="2018-12-11T00:00:00"/>
    <n v="12"/>
    <n v="2018"/>
    <s v="South Asia"/>
    <x v="14"/>
    <s v="CLOSED"/>
    <s v="PENDING"/>
    <s v="Standard Class"/>
    <n v="399.98"/>
  </r>
  <r>
    <n v="23645"/>
    <s v="CASH"/>
    <n v="6"/>
    <n v="4"/>
    <s v="DELAYED"/>
    <n v="403"/>
    <n v="1"/>
    <n v="129.99"/>
    <n v="4"/>
    <s v="Apparel"/>
    <n v="1901"/>
    <s v="Satna"/>
    <d v="2018-12-11T00:00:00"/>
    <n v="12"/>
    <n v="2018"/>
    <s v="South Asia"/>
    <x v="14"/>
    <s v="CLOSED"/>
    <s v="PENDING"/>
    <s v="Standard Class"/>
    <n v="129.99"/>
  </r>
  <r>
    <n v="23646"/>
    <s v="TRANSFER"/>
    <n v="2"/>
    <n v="4"/>
    <s v=" ONTIME"/>
    <n v="1073"/>
    <n v="1"/>
    <n v="199.99"/>
    <n v="7"/>
    <s v="Fan Shop"/>
    <n v="8884"/>
    <s v="Satna"/>
    <d v="2018-12-11T00:00:00"/>
    <n v="12"/>
    <n v="2018"/>
    <s v="South Asia"/>
    <x v="14"/>
    <s v="PENDING"/>
    <s v="PENDING"/>
    <s v="Standard Class"/>
    <n v="199.99"/>
  </r>
  <r>
    <n v="23649"/>
    <s v="TRANSFER"/>
    <n v="5"/>
    <n v="4"/>
    <s v="DELAYED"/>
    <n v="1014"/>
    <n v="2"/>
    <n v="99.96"/>
    <n v="7"/>
    <s v="Fan Shop"/>
    <n v="7222"/>
    <s v="Belgaum"/>
    <d v="2018-12-11T00:00:00"/>
    <n v="12"/>
    <n v="2018"/>
    <s v="South Asia"/>
    <x v="8"/>
    <s v="PENDING"/>
    <s v="PENDING"/>
    <s v="Standard Class"/>
    <n v="99.96"/>
  </r>
  <r>
    <n v="23650"/>
    <s v="TRANSFER"/>
    <n v="6"/>
    <n v="4"/>
    <s v="DELAYED"/>
    <n v="403"/>
    <n v="1"/>
    <n v="129.99"/>
    <n v="4"/>
    <s v="Apparel"/>
    <n v="7049"/>
    <s v="Belgaum"/>
    <d v="2018-12-11T00:00:00"/>
    <n v="12"/>
    <n v="2018"/>
    <s v="South Asia"/>
    <x v="8"/>
    <s v="SUSPECTED_FRAUD"/>
    <s v="PENDING"/>
    <s v="Standard Class"/>
    <n v="129.99"/>
  </r>
  <r>
    <n v="23651"/>
    <s v="DEBIT"/>
    <n v="2"/>
    <n v="4"/>
    <s v=" ONTIME"/>
    <n v="403"/>
    <n v="1"/>
    <n v="129.99"/>
    <n v="4"/>
    <s v="Apparel"/>
    <n v="7787"/>
    <s v="Belgaum"/>
    <d v="2018-12-11T00:00:00"/>
    <n v="12"/>
    <n v="2018"/>
    <s v="South Asia"/>
    <x v="8"/>
    <s v="COMPLETE"/>
    <s v="COMPLETED"/>
    <s v="Standard Class"/>
    <n v="129.99"/>
  </r>
  <r>
    <n v="23659"/>
    <s v="TRANSFER"/>
    <n v="2"/>
    <n v="1"/>
    <s v="DELAYED"/>
    <n v="403"/>
    <n v="1"/>
    <n v="129.99"/>
    <n v="4"/>
    <s v="Apparel"/>
    <n v="670"/>
    <s v="Visakhapatnam"/>
    <d v="2018-12-11T00:00:00"/>
    <n v="12"/>
    <n v="2018"/>
    <s v="South Asia"/>
    <x v="15"/>
    <s v="PROCESSING"/>
    <s v="PENDING"/>
    <s v="First Class"/>
    <n v="129.99"/>
  </r>
  <r>
    <n v="23660"/>
    <s v="CASH"/>
    <n v="6"/>
    <n v="2"/>
    <s v="DELAYED"/>
    <n v="191"/>
    <n v="4"/>
    <n v="399.96"/>
    <n v="3"/>
    <s v="Footwear"/>
    <n v="3326"/>
    <s v="Visakhapatnam"/>
    <d v="2018-12-11T00:00:00"/>
    <n v="12"/>
    <n v="2018"/>
    <s v="South Asia"/>
    <x v="15"/>
    <s v="CLOSED"/>
    <s v="PENDING"/>
    <s v="Second Class"/>
    <n v="399.96"/>
  </r>
  <r>
    <n v="23666"/>
    <s v="PAYMENT"/>
    <n v="2"/>
    <n v="4"/>
    <s v=" ONTIME"/>
    <n v="728"/>
    <n v="2"/>
    <n v="130"/>
    <n v="6"/>
    <s v="Outdoors"/>
    <n v="4038"/>
    <s v="Ganganagar"/>
    <d v="2018-12-11T00:00:00"/>
    <n v="12"/>
    <n v="2018"/>
    <s v="South Asia"/>
    <x v="2"/>
    <s v="PENDING_PAYMENT"/>
    <s v="PENDING"/>
    <s v="Standard Class"/>
    <n v="130"/>
  </r>
  <r>
    <n v="23667"/>
    <s v="TRANSFER"/>
    <n v="3"/>
    <n v="4"/>
    <s v=" ONTIME"/>
    <n v="1073"/>
    <n v="1"/>
    <n v="199.99"/>
    <n v="7"/>
    <s v="Fan Shop"/>
    <n v="3691"/>
    <s v="Ganganagar"/>
    <d v="2018-12-11T00:00:00"/>
    <n v="12"/>
    <n v="2018"/>
    <s v="South Asia"/>
    <x v="2"/>
    <s v="PENDING"/>
    <s v="PENDING"/>
    <s v="Standard Class"/>
    <n v="199.99"/>
  </r>
  <r>
    <n v="23668"/>
    <s v="TRANSFER"/>
    <n v="4"/>
    <n v="2"/>
    <s v="DELAYED"/>
    <n v="365"/>
    <n v="1"/>
    <n v="59.99"/>
    <n v="4"/>
    <s v="Apparel"/>
    <n v="1793"/>
    <s v="Ganganagar"/>
    <d v="2018-12-11T00:00:00"/>
    <n v="12"/>
    <n v="2018"/>
    <s v="South Asia"/>
    <x v="2"/>
    <s v="PROCESSING"/>
    <s v="PENDING"/>
    <s v="Second Class"/>
    <n v="59.99"/>
  </r>
  <r>
    <n v="23669"/>
    <s v="DEBIT"/>
    <n v="5"/>
    <n v="4"/>
    <s v="DELAYED"/>
    <n v="818"/>
    <n v="1"/>
    <n v="47.99"/>
    <n v="6"/>
    <s v="Outdoors"/>
    <n v="2917"/>
    <s v="Ganganagar"/>
    <d v="2018-12-11T00:00:00"/>
    <n v="12"/>
    <n v="2018"/>
    <s v="South Asia"/>
    <x v="2"/>
    <s v="COMPLETE"/>
    <s v="COMPLETED"/>
    <s v="Standard Class"/>
    <n v="47.99"/>
  </r>
  <r>
    <n v="23670"/>
    <s v="CASH"/>
    <n v="6"/>
    <n v="4"/>
    <s v="DELAYED"/>
    <n v="403"/>
    <n v="1"/>
    <n v="129.99"/>
    <n v="4"/>
    <s v="Apparel"/>
    <n v="7314"/>
    <s v="Ganganagar"/>
    <d v="2018-12-11T00:00:00"/>
    <n v="12"/>
    <n v="2018"/>
    <s v="South Asia"/>
    <x v="2"/>
    <s v="CLOSED"/>
    <s v="PENDING"/>
    <s v="Standard Class"/>
    <n v="129.99"/>
  </r>
  <r>
    <n v="23672"/>
    <s v="DEBIT"/>
    <n v="3"/>
    <n v="2"/>
    <s v="DELAYED"/>
    <n v="1004"/>
    <n v="1"/>
    <n v="399.98"/>
    <n v="7"/>
    <s v="Fan Shop"/>
    <n v="3027"/>
    <s v="Bhiwandi"/>
    <d v="2018-12-11T00:00:00"/>
    <n v="12"/>
    <n v="2018"/>
    <s v="South Asia"/>
    <x v="0"/>
    <s v="COMPLETE"/>
    <s v="COMPLETED"/>
    <s v="Second Class"/>
    <n v="399.98"/>
  </r>
  <r>
    <n v="23673"/>
    <s v="DEBIT"/>
    <n v="4"/>
    <n v="4"/>
    <s v=" ONTIME"/>
    <n v="403"/>
    <n v="1"/>
    <n v="129.99"/>
    <n v="4"/>
    <s v="Apparel"/>
    <n v="7550"/>
    <s v="Bhiwandi"/>
    <d v="2018-12-11T00:00:00"/>
    <n v="12"/>
    <n v="2018"/>
    <s v="South Asia"/>
    <x v="0"/>
    <s v="COMPLETE"/>
    <s v="COMPLETED"/>
    <s v="Standard Class"/>
    <n v="129.99"/>
  </r>
  <r>
    <n v="23679"/>
    <s v="PAYMENT"/>
    <n v="5"/>
    <n v="2"/>
    <s v="DELAYED"/>
    <n v="403"/>
    <n v="1"/>
    <n v="129.99"/>
    <n v="4"/>
    <s v="Apparel"/>
    <n v="6848"/>
    <s v="Vijayawada"/>
    <d v="2018-12-11T00:00:00"/>
    <n v="12"/>
    <n v="2018"/>
    <s v="South Asia"/>
    <x v="15"/>
    <s v="PENDING_PAYMENT"/>
    <s v="PENDING"/>
    <s v="Second Class"/>
    <n v="129.99"/>
  </r>
  <r>
    <n v="23680"/>
    <s v="DEBIT"/>
    <n v="6"/>
    <n v="2"/>
    <s v="DELAYED"/>
    <n v="365"/>
    <n v="1"/>
    <n v="59.99"/>
    <n v="4"/>
    <s v="Apparel"/>
    <n v="6978"/>
    <s v="Vijayawada"/>
    <d v="2018-12-11T00:00:00"/>
    <n v="12"/>
    <n v="2018"/>
    <s v="South Asia"/>
    <x v="15"/>
    <s v="COMPLETE"/>
    <s v="COMPLETED"/>
    <s v="Second Class"/>
    <n v="59.99"/>
  </r>
  <r>
    <n v="23681"/>
    <s v="DEBIT"/>
    <n v="2"/>
    <n v="4"/>
    <s v=" ONTIME"/>
    <n v="403"/>
    <n v="1"/>
    <n v="129.99"/>
    <n v="4"/>
    <s v="Apparel"/>
    <n v="11397"/>
    <s v="Vijayawada"/>
    <d v="2018-12-11T00:00:00"/>
    <n v="12"/>
    <n v="2018"/>
    <s v="South Asia"/>
    <x v="15"/>
    <s v="COMPLETE"/>
    <s v="COMPLETED"/>
    <s v="Standard Class"/>
    <n v="129.99"/>
  </r>
  <r>
    <n v="23682"/>
    <s v="DEBIT"/>
    <n v="3"/>
    <n v="4"/>
    <s v=" ONTIME"/>
    <n v="191"/>
    <n v="1"/>
    <n v="99.99"/>
    <n v="3"/>
    <s v="Footwear"/>
    <n v="1361"/>
    <s v="Vijayawada"/>
    <d v="2018-12-11T00:00:00"/>
    <n v="12"/>
    <n v="2018"/>
    <s v="South Asia"/>
    <x v="15"/>
    <s v="ON_HOLD"/>
    <s v="PENDING"/>
    <s v="Standard Class"/>
    <n v="99.99"/>
  </r>
  <r>
    <n v="23683"/>
    <s v="PAYMENT"/>
    <n v="4"/>
    <n v="2"/>
    <s v="DELAYED"/>
    <n v="1073"/>
    <n v="1"/>
    <n v="199.99"/>
    <n v="7"/>
    <s v="Fan Shop"/>
    <n v="1882"/>
    <s v="Vijayawada"/>
    <d v="2018-12-11T00:00:00"/>
    <n v="12"/>
    <n v="2018"/>
    <s v="South Asia"/>
    <x v="15"/>
    <s v="PENDING_PAYMENT"/>
    <s v="PENDING"/>
    <s v="Second Class"/>
    <n v="199.99"/>
  </r>
  <r>
    <n v="23684"/>
    <s v="TRANSFER"/>
    <n v="5"/>
    <n v="2"/>
    <s v="DELAYED"/>
    <n v="134"/>
    <n v="5"/>
    <n v="125"/>
    <n v="2"/>
    <s v="Fitness"/>
    <n v="10269"/>
    <s v="Pune"/>
    <d v="2018-12-11T00:00:00"/>
    <n v="12"/>
    <n v="2018"/>
    <s v="South Asia"/>
    <x v="0"/>
    <s v="SUSPECTED_FRAUD"/>
    <s v="PENDING"/>
    <s v="Second Class"/>
    <n v="125"/>
  </r>
  <r>
    <n v="23712"/>
    <s v="DEBIT"/>
    <n v="3"/>
    <n v="4"/>
    <s v=" ONTIME"/>
    <n v="957"/>
    <n v="1"/>
    <n v="299.98"/>
    <n v="7"/>
    <s v="Fan Shop"/>
    <n v="8925"/>
    <s v="Korba"/>
    <d v="2018-12-12T00:00:00"/>
    <n v="12"/>
    <n v="2018"/>
    <s v="South Asia"/>
    <x v="18"/>
    <s v="COMPLETE"/>
    <s v="COMPLETED"/>
    <s v="Standard Class"/>
    <n v="299.98"/>
  </r>
  <r>
    <n v="23713"/>
    <s v="DEBIT"/>
    <n v="2"/>
    <n v="1"/>
    <s v="DELAYED"/>
    <n v="403"/>
    <n v="1"/>
    <n v="129.99"/>
    <n v="4"/>
    <s v="Apparel"/>
    <n v="4626"/>
    <s v="Korba"/>
    <d v="2018-12-12T00:00:00"/>
    <n v="12"/>
    <n v="2018"/>
    <s v="South Asia"/>
    <x v="18"/>
    <s v="COMPLETE"/>
    <s v="COMPLETED"/>
    <s v="First Class"/>
    <n v="129.99"/>
  </r>
  <r>
    <n v="23714"/>
    <s v="TRANSFER"/>
    <n v="5"/>
    <n v="2"/>
    <s v="DELAYED"/>
    <n v="1014"/>
    <n v="5"/>
    <n v="249.9"/>
    <n v="7"/>
    <s v="Fan Shop"/>
    <n v="6109"/>
    <s v="Korba"/>
    <d v="2018-12-12T00:00:00"/>
    <n v="12"/>
    <n v="2018"/>
    <s v="South Asia"/>
    <x v="18"/>
    <s v="PENDING"/>
    <s v="PENDING"/>
    <s v="Second Class"/>
    <n v="249.9"/>
  </r>
  <r>
    <n v="23715"/>
    <s v="TRANSFER"/>
    <n v="6"/>
    <n v="2"/>
    <s v="DELAYED"/>
    <n v="191"/>
    <n v="1"/>
    <n v="99.99"/>
    <n v="3"/>
    <s v="Footwear"/>
    <n v="1772"/>
    <s v="Korba"/>
    <d v="2018-12-12T00:00:00"/>
    <n v="12"/>
    <n v="2018"/>
    <s v="South Asia"/>
    <x v="18"/>
    <s v="PROCESSING"/>
    <s v="PENDING"/>
    <s v="Second Class"/>
    <n v="99.99"/>
  </r>
  <r>
    <n v="23716"/>
    <s v="DEBIT"/>
    <n v="2"/>
    <n v="2"/>
    <s v=" ONTIME"/>
    <n v="957"/>
    <n v="1"/>
    <n v="299.98"/>
    <n v="7"/>
    <s v="Fan Shop"/>
    <n v="2008"/>
    <s v="Korba"/>
    <d v="2018-12-12T00:00:00"/>
    <n v="12"/>
    <n v="2018"/>
    <s v="South Asia"/>
    <x v="18"/>
    <s v="COMPLETE"/>
    <s v="COMPLETED"/>
    <s v="Second Class"/>
    <n v="299.98"/>
  </r>
  <r>
    <n v="23717"/>
    <s v="DEBIT"/>
    <n v="3"/>
    <n v="4"/>
    <s v=" ONTIME"/>
    <n v="502"/>
    <n v="1"/>
    <n v="50"/>
    <n v="5"/>
    <s v="Golf"/>
    <n v="6697"/>
    <s v="Ranchi"/>
    <d v="2018-12-12T00:00:00"/>
    <n v="12"/>
    <n v="2018"/>
    <s v="South Asia"/>
    <x v="12"/>
    <s v="COMPLETE"/>
    <s v="COMPLETED"/>
    <s v="Standard Class"/>
    <n v="50"/>
  </r>
  <r>
    <n v="23724"/>
    <s v="DEBIT"/>
    <n v="5"/>
    <n v="4"/>
    <s v="DELAYED"/>
    <n v="502"/>
    <n v="3"/>
    <n v="150"/>
    <n v="5"/>
    <s v="Golf"/>
    <n v="4120"/>
    <s v="Ranchi"/>
    <d v="2018-12-12T00:00:00"/>
    <n v="12"/>
    <n v="2018"/>
    <s v="South Asia"/>
    <x v="12"/>
    <s v="COMPLETE"/>
    <s v="COMPLETED"/>
    <s v="Standard Class"/>
    <n v="150"/>
  </r>
  <r>
    <n v="23769"/>
    <s v="DEBIT"/>
    <n v="5"/>
    <n v="4"/>
    <s v="DELAYED"/>
    <n v="1004"/>
    <n v="1"/>
    <n v="399.98"/>
    <n v="7"/>
    <s v="Fan Shop"/>
    <n v="5765"/>
    <s v="Bangalore"/>
    <d v="2018-12-12T00:00:00"/>
    <n v="12"/>
    <n v="2018"/>
    <s v="South Asia"/>
    <x v="8"/>
    <s v="COMPLETE"/>
    <s v="COMPLETED"/>
    <s v="Standard Class"/>
    <n v="399.98"/>
  </r>
  <r>
    <n v="23831"/>
    <s v="DEBIT"/>
    <n v="2"/>
    <n v="1"/>
    <s v="DELAYED"/>
    <n v="957"/>
    <n v="1"/>
    <n v="299.98"/>
    <n v="7"/>
    <s v="Fan Shop"/>
    <n v="5612"/>
    <s v="Kollam"/>
    <d v="2018-12-13T00:00:00"/>
    <n v="12"/>
    <n v="2018"/>
    <s v="South Asia"/>
    <x v="20"/>
    <s v="COMPLETE"/>
    <s v="COMPLETED"/>
    <s v="First Class"/>
    <n v="299.98"/>
  </r>
  <r>
    <n v="23832"/>
    <s v="DEBIT"/>
    <n v="2"/>
    <n v="1"/>
    <s v="DELAYED"/>
    <n v="403"/>
    <n v="1"/>
    <n v="129.99"/>
    <n v="4"/>
    <s v="Apparel"/>
    <n v="3581"/>
    <s v="Kollam"/>
    <d v="2018-12-13T00:00:00"/>
    <n v="12"/>
    <n v="2018"/>
    <s v="South Asia"/>
    <x v="20"/>
    <s v="COMPLETE"/>
    <s v="COMPLETED"/>
    <s v="First Class"/>
    <n v="129.99"/>
  </r>
  <r>
    <n v="23834"/>
    <s v="PAYMENT"/>
    <n v="5"/>
    <n v="2"/>
    <s v="DELAYED"/>
    <n v="403"/>
    <n v="1"/>
    <n v="129.99"/>
    <n v="4"/>
    <s v="Apparel"/>
    <n v="10823"/>
    <s v="Surat"/>
    <d v="2018-12-13T00:00:00"/>
    <n v="12"/>
    <n v="2018"/>
    <s v="South Asia"/>
    <x v="4"/>
    <s v="PENDING_PAYMENT"/>
    <s v="PENDING"/>
    <s v="Second Class"/>
    <n v="129.99"/>
  </r>
  <r>
    <n v="23835"/>
    <s v="TRANSFER"/>
    <n v="6"/>
    <n v="2"/>
    <s v="DELAYED"/>
    <n v="365"/>
    <n v="1"/>
    <n v="59.99"/>
    <n v="4"/>
    <s v="Apparel"/>
    <n v="33"/>
    <s v="Surat"/>
    <d v="2018-12-13T00:00:00"/>
    <n v="12"/>
    <n v="2018"/>
    <s v="South Asia"/>
    <x v="4"/>
    <s v="PENDING"/>
    <s v="PENDING"/>
    <s v="Second Class"/>
    <n v="59.99"/>
  </r>
  <r>
    <n v="23836"/>
    <s v="TRANSFER"/>
    <n v="2"/>
    <n v="2"/>
    <s v=" ONTIME"/>
    <n v="957"/>
    <n v="1"/>
    <n v="299.98"/>
    <n v="7"/>
    <s v="Fan Shop"/>
    <n v="8858"/>
    <s v="Surat"/>
    <d v="2018-12-13T00:00:00"/>
    <n v="12"/>
    <n v="2018"/>
    <s v="South Asia"/>
    <x v="4"/>
    <s v="CANCELED"/>
    <s v="CANCELED"/>
    <s v="Second Class"/>
    <n v="299.98"/>
  </r>
  <r>
    <n v="23837"/>
    <s v="CASH"/>
    <n v="3"/>
    <n v="2"/>
    <s v="DELAYED"/>
    <n v="1014"/>
    <n v="3"/>
    <n v="149.94"/>
    <n v="7"/>
    <s v="Fan Shop"/>
    <n v="4109"/>
    <s v="Surat"/>
    <d v="2018-12-13T00:00:00"/>
    <n v="12"/>
    <n v="2018"/>
    <s v="South Asia"/>
    <x v="4"/>
    <s v="CLOSED"/>
    <s v="PENDING"/>
    <s v="Second Class"/>
    <n v="149.94"/>
  </r>
  <r>
    <n v="23838"/>
    <s v="PAYMENT"/>
    <n v="4"/>
    <n v="2"/>
    <s v="DELAYED"/>
    <n v="1004"/>
    <n v="1"/>
    <n v="399.98"/>
    <n v="7"/>
    <s v="Fan Shop"/>
    <n v="7333"/>
    <s v="Surat"/>
    <d v="2018-12-13T00:00:00"/>
    <n v="12"/>
    <n v="2018"/>
    <s v="South Asia"/>
    <x v="4"/>
    <s v="PENDING_PAYMENT"/>
    <s v="PENDING"/>
    <s v="Second Class"/>
    <n v="399.98"/>
  </r>
  <r>
    <n v="23839"/>
    <s v="TRANSFER"/>
    <n v="5"/>
    <n v="4"/>
    <s v="DELAYED"/>
    <n v="822"/>
    <n v="5"/>
    <n v="239.95"/>
    <n v="6"/>
    <s v="Outdoors"/>
    <n v="1094"/>
    <s v="Surat"/>
    <d v="2018-12-13T00:00:00"/>
    <n v="12"/>
    <n v="2018"/>
    <s v="South Asia"/>
    <x v="4"/>
    <s v="PROCESSING"/>
    <s v="PENDING"/>
    <s v="Standard Class"/>
    <n v="239.95"/>
  </r>
  <r>
    <n v="23840"/>
    <s v="TRANSFER"/>
    <n v="6"/>
    <n v="4"/>
    <s v="DELAYED"/>
    <n v="1073"/>
    <n v="1"/>
    <n v="199.99"/>
    <n v="7"/>
    <s v="Fan Shop"/>
    <n v="9222"/>
    <s v="Surat"/>
    <d v="2018-12-13T00:00:00"/>
    <n v="12"/>
    <n v="2018"/>
    <s v="South Asia"/>
    <x v="4"/>
    <s v="PENDING"/>
    <s v="PENDING"/>
    <s v="Standard Class"/>
    <n v="199.99"/>
  </r>
  <r>
    <n v="23841"/>
    <s v="TRANSFER"/>
    <n v="2"/>
    <n v="1"/>
    <s v="DELAYED"/>
    <n v="502"/>
    <n v="1"/>
    <n v="50"/>
    <n v="5"/>
    <s v="Golf"/>
    <n v="4406"/>
    <s v="Surat"/>
    <d v="2018-12-14T00:00:00"/>
    <n v="12"/>
    <n v="2018"/>
    <s v="South Asia"/>
    <x v="4"/>
    <s v="PROCESSING"/>
    <s v="PENDING"/>
    <s v="First Class"/>
    <n v="50"/>
  </r>
  <r>
    <n v="23842"/>
    <s v="CASH"/>
    <n v="2"/>
    <n v="1"/>
    <s v="DELAYED"/>
    <n v="403"/>
    <n v="1"/>
    <n v="129.99"/>
    <n v="4"/>
    <s v="Apparel"/>
    <n v="11841"/>
    <s v="Surat"/>
    <d v="2018-12-14T00:00:00"/>
    <n v="12"/>
    <n v="2018"/>
    <s v="South Asia"/>
    <x v="4"/>
    <s v="CLOSED"/>
    <s v="PENDING"/>
    <s v="First Class"/>
    <n v="129.99"/>
  </r>
  <r>
    <n v="23843"/>
    <s v="PAYMENT"/>
    <n v="4"/>
    <n v="2"/>
    <s v="DELAYED"/>
    <n v="403"/>
    <n v="1"/>
    <n v="129.99"/>
    <n v="4"/>
    <s v="Apparel"/>
    <n v="9777"/>
    <s v="Surat"/>
    <d v="2018-12-14T00:00:00"/>
    <n v="12"/>
    <n v="2018"/>
    <s v="South Asia"/>
    <x v="4"/>
    <s v="PENDING_PAYMENT"/>
    <s v="PENDING"/>
    <s v="Second Class"/>
    <n v="129.99"/>
  </r>
  <r>
    <n v="23844"/>
    <s v="PAYMENT"/>
    <n v="5"/>
    <n v="2"/>
    <s v="DELAYED"/>
    <n v="403"/>
    <n v="1"/>
    <n v="129.99"/>
    <n v="4"/>
    <s v="Apparel"/>
    <n v="8362"/>
    <s v="Bangalore"/>
    <d v="2018-12-14T00:00:00"/>
    <n v="12"/>
    <n v="2018"/>
    <s v="South Asia"/>
    <x v="8"/>
    <s v="PENDING_PAYMENT"/>
    <s v="PENDING"/>
    <s v="Second Class"/>
    <n v="129.99"/>
  </r>
  <r>
    <n v="23870"/>
    <s v="TRANSFER"/>
    <n v="6"/>
    <n v="4"/>
    <s v="DELAYED"/>
    <n v="403"/>
    <n v="1"/>
    <n v="129.99"/>
    <n v="4"/>
    <s v="Apparel"/>
    <n v="8418"/>
    <s v="Thane"/>
    <d v="2018-12-14T00:00:00"/>
    <n v="12"/>
    <n v="2018"/>
    <s v="South Asia"/>
    <x v="0"/>
    <s v="PROCESSING"/>
    <s v="PENDING"/>
    <s v="Standard Class"/>
    <n v="129.99"/>
  </r>
  <r>
    <n v="23871"/>
    <s v="DEBIT"/>
    <n v="2"/>
    <n v="4"/>
    <s v=" ONTIME"/>
    <n v="1014"/>
    <n v="4"/>
    <n v="199.92"/>
    <n v="7"/>
    <s v="Fan Shop"/>
    <n v="3217"/>
    <s v="Thane"/>
    <d v="2018-12-14T00:00:00"/>
    <n v="12"/>
    <n v="2018"/>
    <s v="South Asia"/>
    <x v="0"/>
    <s v="COMPLETE"/>
    <s v="COMPLETED"/>
    <s v="Standard Class"/>
    <n v="199.92"/>
  </r>
  <r>
    <n v="23872"/>
    <s v="PAYMENT"/>
    <n v="3"/>
    <n v="4"/>
    <s v=" ONTIME"/>
    <n v="365"/>
    <n v="1"/>
    <n v="59.99"/>
    <n v="4"/>
    <s v="Apparel"/>
    <n v="5146"/>
    <s v="Thane"/>
    <d v="2018-12-14T00:00:00"/>
    <n v="12"/>
    <n v="2018"/>
    <s v="South Asia"/>
    <x v="0"/>
    <s v="PENDING_PAYMENT"/>
    <s v="PENDING"/>
    <s v="Standard Class"/>
    <n v="59.99"/>
  </r>
  <r>
    <n v="23873"/>
    <s v="PAYMENT"/>
    <n v="4"/>
    <n v="2"/>
    <s v="DELAYED"/>
    <n v="365"/>
    <n v="1"/>
    <n v="59.99"/>
    <n v="4"/>
    <s v="Apparel"/>
    <n v="6012"/>
    <s v="Thane"/>
    <d v="2018-12-14T00:00:00"/>
    <n v="12"/>
    <n v="2018"/>
    <s v="South Asia"/>
    <x v="0"/>
    <s v="PENDING_PAYMENT"/>
    <s v="PENDING"/>
    <s v="Second Class"/>
    <n v="59.99"/>
  </r>
  <r>
    <n v="23874"/>
    <s v="TRANSFER"/>
    <n v="5"/>
    <n v="2"/>
    <s v="DELAYED"/>
    <n v="191"/>
    <n v="3"/>
    <n v="299.97000000000003"/>
    <n v="3"/>
    <s v="Footwear"/>
    <n v="685"/>
    <s v="Thane"/>
    <d v="2018-12-14T00:00:00"/>
    <n v="12"/>
    <n v="2018"/>
    <s v="South Asia"/>
    <x v="0"/>
    <s v="PENDING"/>
    <s v="PENDING"/>
    <s v="Second Class"/>
    <n v="299.97000000000003"/>
  </r>
  <r>
    <n v="23875"/>
    <s v="TRANSFER"/>
    <n v="6"/>
    <n v="2"/>
    <s v="DELAYED"/>
    <n v="365"/>
    <n v="3"/>
    <n v="179.97"/>
    <n v="4"/>
    <s v="Apparel"/>
    <n v="2160"/>
    <s v="Thane"/>
    <d v="2018-12-14T00:00:00"/>
    <n v="12"/>
    <n v="2018"/>
    <s v="South Asia"/>
    <x v="0"/>
    <s v="PROCESSING"/>
    <s v="PENDING"/>
    <s v="Second Class"/>
    <n v="179.97"/>
  </r>
  <r>
    <n v="23880"/>
    <s v="DEBIT"/>
    <n v="6"/>
    <n v="2"/>
    <s v="DELAYED"/>
    <n v="728"/>
    <n v="1"/>
    <n v="65"/>
    <n v="6"/>
    <s v="Outdoors"/>
    <n v="5256"/>
    <s v="Vadodara"/>
    <d v="2018-12-14T00:00:00"/>
    <n v="12"/>
    <n v="2018"/>
    <s v="South Asia"/>
    <x v="4"/>
    <s v="COMPLETE"/>
    <s v="COMPLETED"/>
    <s v="Second Class"/>
    <n v="65"/>
  </r>
  <r>
    <n v="23881"/>
    <s v="DEBIT"/>
    <n v="2"/>
    <n v="4"/>
    <s v=" ONTIME"/>
    <n v="502"/>
    <n v="1"/>
    <n v="50"/>
    <n v="5"/>
    <s v="Golf"/>
    <n v="1608"/>
    <s v="Vadodara"/>
    <d v="2018-12-14T00:00:00"/>
    <n v="12"/>
    <n v="2018"/>
    <s v="South Asia"/>
    <x v="4"/>
    <s v="ON_HOLD"/>
    <s v="PENDING"/>
    <s v="Standard Class"/>
    <n v="50"/>
  </r>
  <r>
    <n v="23882"/>
    <s v="CASH"/>
    <n v="3"/>
    <n v="4"/>
    <s v=" ONTIME"/>
    <n v="1004"/>
    <n v="1"/>
    <n v="399.98"/>
    <n v="7"/>
    <s v="Fan Shop"/>
    <n v="5345"/>
    <s v="Vadodara"/>
    <d v="2018-12-14T00:00:00"/>
    <n v="12"/>
    <n v="2018"/>
    <s v="South Asia"/>
    <x v="4"/>
    <s v="CLOSED"/>
    <s v="PENDING"/>
    <s v="Standard Class"/>
    <n v="399.98"/>
  </r>
  <r>
    <n v="23905"/>
    <s v="TRANSFER"/>
    <n v="2"/>
    <n v="1"/>
    <s v="DELAYED"/>
    <n v="957"/>
    <n v="1"/>
    <n v="299.98"/>
    <n v="7"/>
    <s v="Fan Shop"/>
    <n v="9628"/>
    <s v="Kanpur"/>
    <d v="2018-12-14T00:00:00"/>
    <n v="12"/>
    <n v="2018"/>
    <s v="South Asia"/>
    <x v="1"/>
    <s v="PENDING"/>
    <s v="PENDING"/>
    <s v="First Class"/>
    <n v="299.98"/>
  </r>
  <r>
    <n v="23947"/>
    <s v="PAYMENT"/>
    <n v="2"/>
    <n v="1"/>
    <s v="DELAYED"/>
    <n v="502"/>
    <n v="2"/>
    <n v="100"/>
    <n v="5"/>
    <s v="Golf"/>
    <n v="8282"/>
    <s v="Raipur"/>
    <d v="2018-12-15T00:00:00"/>
    <n v="12"/>
    <n v="2018"/>
    <s v="South Asia"/>
    <x v="19"/>
    <s v="PENDING_PAYMENT"/>
    <s v="PENDING"/>
    <s v="First Class"/>
    <n v="100"/>
  </r>
  <r>
    <n v="23948"/>
    <s v="TRANSFER"/>
    <n v="4"/>
    <n v="4"/>
    <s v=" ONTIME"/>
    <n v="642"/>
    <n v="5"/>
    <n v="150"/>
    <n v="5"/>
    <s v="Golf"/>
    <n v="5361"/>
    <s v="Raipur"/>
    <d v="2018-12-15T00:00:00"/>
    <n v="12"/>
    <n v="2018"/>
    <s v="South Asia"/>
    <x v="19"/>
    <s v="PROCESSING"/>
    <s v="PENDING"/>
    <s v="Standard Class"/>
    <n v="150"/>
  </r>
  <r>
    <n v="23952"/>
    <s v="PAYMENT"/>
    <n v="3"/>
    <n v="4"/>
    <s v=" ONTIME"/>
    <n v="365"/>
    <n v="1"/>
    <n v="59.99"/>
    <n v="4"/>
    <s v="Apparel"/>
    <n v="8027"/>
    <s v="Ajmer"/>
    <d v="2018-12-15T00:00:00"/>
    <n v="12"/>
    <n v="2018"/>
    <s v="South Asia"/>
    <x v="2"/>
    <s v="PENDING_PAYMENT"/>
    <s v="PENDING"/>
    <s v="Standard Class"/>
    <n v="59.99"/>
  </r>
  <r>
    <n v="23971"/>
    <s v="TRANSFER"/>
    <n v="2"/>
    <n v="4"/>
    <s v=" ONTIME"/>
    <n v="502"/>
    <n v="5"/>
    <n v="250"/>
    <n v="5"/>
    <s v="Golf"/>
    <n v="256"/>
    <s v="Aligarh"/>
    <d v="2018-12-15T00:00:00"/>
    <n v="12"/>
    <n v="2018"/>
    <s v="South Asia"/>
    <x v="1"/>
    <s v="PENDING"/>
    <s v="PENDING"/>
    <s v="Standard Class"/>
    <n v="250"/>
  </r>
  <r>
    <n v="23972"/>
    <s v="DEBIT"/>
    <n v="3"/>
    <n v="4"/>
    <s v=" ONTIME"/>
    <n v="1073"/>
    <n v="1"/>
    <n v="199.99"/>
    <n v="7"/>
    <s v="Fan Shop"/>
    <n v="5672"/>
    <s v="Aligarh"/>
    <d v="2018-12-15T00:00:00"/>
    <n v="12"/>
    <n v="2018"/>
    <s v="South Asia"/>
    <x v="1"/>
    <s v="COMPLETE"/>
    <s v="COMPLETED"/>
    <s v="Standard Class"/>
    <n v="199.99"/>
  </r>
  <r>
    <n v="23973"/>
    <s v="DEBIT"/>
    <n v="4"/>
    <n v="4"/>
    <s v=" ONTIME"/>
    <n v="957"/>
    <n v="1"/>
    <n v="299.98"/>
    <n v="7"/>
    <s v="Fan Shop"/>
    <n v="4019"/>
    <s v="Aligarh"/>
    <d v="2018-12-15T00:00:00"/>
    <n v="12"/>
    <n v="2018"/>
    <s v="South Asia"/>
    <x v="1"/>
    <s v="COMPLETE"/>
    <s v="COMPLETED"/>
    <s v="Standard Class"/>
    <n v="299.98"/>
  </r>
  <r>
    <n v="23974"/>
    <s v="TRANSFER"/>
    <n v="1"/>
    <n v="0"/>
    <s v="DELAYED"/>
    <n v="191"/>
    <n v="3"/>
    <n v="299.97000000000003"/>
    <n v="3"/>
    <s v="Footwear"/>
    <n v="8749"/>
    <s v="Aligarh"/>
    <d v="2018-12-15T00:00:00"/>
    <n v="12"/>
    <n v="2018"/>
    <s v="South Asia"/>
    <x v="1"/>
    <s v="PROCESSING"/>
    <s v="PENDING"/>
    <s v="Same Day"/>
    <n v="299.97000000000003"/>
  </r>
  <r>
    <n v="23978"/>
    <s v="DEBIT"/>
    <n v="4"/>
    <n v="4"/>
    <s v=" ONTIME"/>
    <n v="771"/>
    <n v="1"/>
    <n v="39.99"/>
    <n v="6"/>
    <s v="Outdoors"/>
    <n v="6086"/>
    <s v="Karimnagar"/>
    <d v="2018-12-16T00:00:00"/>
    <n v="12"/>
    <n v="2018"/>
    <s v="South Asia"/>
    <x v="7"/>
    <s v="COMPLETE"/>
    <s v="COMPLETED"/>
    <s v="Standard Class"/>
    <n v="39.99"/>
  </r>
  <r>
    <n v="23981"/>
    <s v="PAYMENT"/>
    <n v="2"/>
    <n v="2"/>
    <s v=" ONTIME"/>
    <n v="1014"/>
    <n v="5"/>
    <n v="249.9"/>
    <n v="7"/>
    <s v="Fan Shop"/>
    <n v="686"/>
    <s v="Chennai"/>
    <d v="2018-12-16T00:00:00"/>
    <n v="12"/>
    <n v="2018"/>
    <s v="South Asia"/>
    <x v="3"/>
    <s v="PENDING_PAYMENT"/>
    <s v="PENDING"/>
    <s v="Second Class"/>
    <n v="249.9"/>
  </r>
  <r>
    <n v="24008"/>
    <s v="TRANSFER"/>
    <n v="0"/>
    <n v="0"/>
    <s v=" ONTIME"/>
    <n v="403"/>
    <n v="1"/>
    <n v="129.99"/>
    <n v="4"/>
    <s v="Apparel"/>
    <n v="8526"/>
    <s v="Hyderabad"/>
    <d v="2018-12-16T00:00:00"/>
    <n v="12"/>
    <n v="2018"/>
    <s v="South Asia"/>
    <x v="7"/>
    <s v="CANCELED"/>
    <s v="CANCELED"/>
    <s v="Same Day"/>
    <n v="129.99"/>
  </r>
  <r>
    <n v="24016"/>
    <s v="DEBIT"/>
    <n v="2"/>
    <n v="4"/>
    <s v=" ONTIME"/>
    <n v="627"/>
    <n v="4"/>
    <n v="159.96"/>
    <n v="5"/>
    <s v="Golf"/>
    <n v="604"/>
    <s v="Bangalore"/>
    <d v="2018-12-16T00:00:00"/>
    <n v="12"/>
    <n v="2018"/>
    <s v="South Asia"/>
    <x v="8"/>
    <s v="COMPLETE"/>
    <s v="COMPLETED"/>
    <s v="Standard Class"/>
    <n v="159.96"/>
  </r>
  <r>
    <n v="24030"/>
    <s v="DEBIT"/>
    <n v="1"/>
    <n v="0"/>
    <s v="DELAYED"/>
    <n v="365"/>
    <n v="2"/>
    <n v="119.98"/>
    <n v="4"/>
    <s v="Apparel"/>
    <n v="11001"/>
    <s v="Kozhikode"/>
    <d v="2018-12-16T00:00:00"/>
    <n v="12"/>
    <n v="2018"/>
    <s v="South Asia"/>
    <x v="20"/>
    <s v="COMPLETE"/>
    <s v="COMPLETED"/>
    <s v="Same Day"/>
    <n v="119.98"/>
  </r>
  <r>
    <n v="24044"/>
    <s v="DEBIT"/>
    <n v="5"/>
    <n v="4"/>
    <s v="DELAYED"/>
    <n v="191"/>
    <n v="5"/>
    <n v="499.95"/>
    <n v="3"/>
    <s v="Footwear"/>
    <n v="11358"/>
    <s v="Bhiwandi"/>
    <d v="2018-12-16T00:00:00"/>
    <n v="12"/>
    <n v="2018"/>
    <s v="South Asia"/>
    <x v="0"/>
    <s v="COMPLETE"/>
    <s v="COMPLETED"/>
    <s v="Standard Class"/>
    <n v="499.95"/>
  </r>
  <r>
    <n v="24047"/>
    <s v="PAYMENT"/>
    <n v="0"/>
    <n v="0"/>
    <s v=" ONTIME"/>
    <n v="365"/>
    <n v="5"/>
    <n v="299.95"/>
    <n v="4"/>
    <s v="Apparel"/>
    <n v="10620"/>
    <s v="Bangalore"/>
    <d v="2018-12-17T00:00:00"/>
    <n v="12"/>
    <n v="2018"/>
    <s v="South Asia"/>
    <x v="8"/>
    <s v="PENDING_PAYMENT"/>
    <s v="PENDING"/>
    <s v="Same Day"/>
    <n v="299.95"/>
  </r>
  <r>
    <n v="24057"/>
    <s v="DEBIT"/>
    <n v="3"/>
    <n v="2"/>
    <s v="DELAYED"/>
    <n v="191"/>
    <n v="1"/>
    <n v="99.99"/>
    <n v="3"/>
    <s v="Footwear"/>
    <n v="10119"/>
    <s v="Ajmer"/>
    <d v="2018-12-17T00:00:00"/>
    <n v="12"/>
    <n v="2018"/>
    <s v="South Asia"/>
    <x v="2"/>
    <s v="ON_HOLD"/>
    <s v="PENDING"/>
    <s v="Second Class"/>
    <n v="99.99"/>
  </r>
  <r>
    <n v="24058"/>
    <s v="PAYMENT"/>
    <n v="4"/>
    <n v="2"/>
    <s v="DELAYED"/>
    <n v="1073"/>
    <n v="1"/>
    <n v="199.99"/>
    <n v="7"/>
    <s v="Fan Shop"/>
    <n v="6297"/>
    <s v="Ajmer"/>
    <d v="2018-12-17T00:00:00"/>
    <n v="12"/>
    <n v="2018"/>
    <s v="South Asia"/>
    <x v="2"/>
    <s v="PENDING_PAYMENT"/>
    <s v="PENDING"/>
    <s v="Second Class"/>
    <n v="199.99"/>
  </r>
  <r>
    <n v="24059"/>
    <s v="TRANSFER"/>
    <n v="5"/>
    <n v="2"/>
    <s v="DELAYED"/>
    <n v="403"/>
    <n v="1"/>
    <n v="129.99"/>
    <n v="4"/>
    <s v="Apparel"/>
    <n v="5636"/>
    <s v="Ajmer"/>
    <d v="2018-12-17T00:00:00"/>
    <n v="12"/>
    <n v="2018"/>
    <s v="South Asia"/>
    <x v="2"/>
    <s v="PENDING"/>
    <s v="PENDING"/>
    <s v="Second Class"/>
    <n v="129.99"/>
  </r>
  <r>
    <n v="24060"/>
    <s v="PAYMENT"/>
    <n v="6"/>
    <n v="4"/>
    <s v="DELAYED"/>
    <n v="134"/>
    <n v="2"/>
    <n v="50"/>
    <n v="2"/>
    <s v="Fitness"/>
    <n v="3756"/>
    <s v="Ajmer"/>
    <d v="2018-12-17T00:00:00"/>
    <n v="12"/>
    <n v="2018"/>
    <s v="South Asia"/>
    <x v="2"/>
    <s v="PENDING_PAYMENT"/>
    <s v="PENDING"/>
    <s v="Standard Class"/>
    <n v="50"/>
  </r>
  <r>
    <n v="24061"/>
    <s v="PAYMENT"/>
    <n v="2"/>
    <n v="4"/>
    <s v=" ONTIME"/>
    <n v="365"/>
    <n v="1"/>
    <n v="59.99"/>
    <n v="4"/>
    <s v="Apparel"/>
    <n v="758"/>
    <s v="Ajmer"/>
    <d v="2018-12-17T00:00:00"/>
    <n v="12"/>
    <n v="2018"/>
    <s v="South Asia"/>
    <x v="2"/>
    <s v="PENDING_PAYMENT"/>
    <s v="PENDING"/>
    <s v="Standard Class"/>
    <n v="59.99"/>
  </r>
  <r>
    <n v="24062"/>
    <s v="DEBIT"/>
    <n v="3"/>
    <n v="4"/>
    <s v=" ONTIME"/>
    <n v="502"/>
    <n v="5"/>
    <n v="250"/>
    <n v="5"/>
    <s v="Golf"/>
    <n v="4561"/>
    <s v="Ajmer"/>
    <d v="2018-12-17T00:00:00"/>
    <n v="12"/>
    <n v="2018"/>
    <s v="South Asia"/>
    <x v="2"/>
    <s v="COMPLETE"/>
    <s v="COMPLETED"/>
    <s v="Standard Class"/>
    <n v="250"/>
  </r>
  <r>
    <n v="24063"/>
    <s v="DEBIT"/>
    <n v="4"/>
    <n v="4"/>
    <s v=" ONTIME"/>
    <n v="403"/>
    <n v="1"/>
    <n v="129.99"/>
    <n v="4"/>
    <s v="Apparel"/>
    <n v="8358"/>
    <s v="Ajmer"/>
    <d v="2018-12-17T00:00:00"/>
    <n v="12"/>
    <n v="2018"/>
    <s v="South Asia"/>
    <x v="2"/>
    <s v="COMPLETE"/>
    <s v="COMPLETED"/>
    <s v="Standard Class"/>
    <n v="129.99"/>
  </r>
  <r>
    <n v="24079"/>
    <s v="PAYMENT"/>
    <n v="5"/>
    <n v="4"/>
    <s v="DELAYED"/>
    <n v="134"/>
    <n v="3"/>
    <n v="75"/>
    <n v="2"/>
    <s v="Fitness"/>
    <n v="10436"/>
    <s v="Ulhasnagar"/>
    <d v="2018-12-17T00:00:00"/>
    <n v="12"/>
    <n v="2018"/>
    <s v="South Asia"/>
    <x v="0"/>
    <s v="PENDING_PAYMENT"/>
    <s v="PENDING"/>
    <s v="Standard Class"/>
    <n v="75"/>
  </r>
  <r>
    <n v="24091"/>
    <s v="TRANSFER"/>
    <n v="2"/>
    <n v="4"/>
    <s v=" ONTIME"/>
    <n v="1014"/>
    <n v="4"/>
    <n v="199.92"/>
    <n v="7"/>
    <s v="Fan Shop"/>
    <n v="3245"/>
    <s v="Parbhani"/>
    <d v="2018-12-17T00:00:00"/>
    <n v="12"/>
    <n v="2018"/>
    <s v="South Asia"/>
    <x v="0"/>
    <s v="PENDING"/>
    <s v="PENDING"/>
    <s v="Standard Class"/>
    <n v="199.92"/>
  </r>
  <r>
    <n v="24092"/>
    <s v="DEBIT"/>
    <n v="3"/>
    <n v="4"/>
    <s v=" ONTIME"/>
    <n v="1004"/>
    <n v="1"/>
    <n v="399.98"/>
    <n v="7"/>
    <s v="Fan Shop"/>
    <n v="1660"/>
    <s v="Parbhani"/>
    <d v="2018-12-17T00:00:00"/>
    <n v="12"/>
    <n v="2018"/>
    <s v="South Asia"/>
    <x v="0"/>
    <s v="COMPLETE"/>
    <s v="COMPLETED"/>
    <s v="Standard Class"/>
    <n v="399.98"/>
  </r>
  <r>
    <n v="24098"/>
    <s v="TRANSFER"/>
    <n v="4"/>
    <n v="4"/>
    <s v=" ONTIME"/>
    <n v="365"/>
    <n v="5"/>
    <n v="299.95"/>
    <n v="4"/>
    <s v="Apparel"/>
    <n v="4153"/>
    <s v="Darbhanga"/>
    <d v="2018-12-17T00:00:00"/>
    <n v="12"/>
    <n v="2018"/>
    <s v="South Asia"/>
    <x v="17"/>
    <s v="PENDING"/>
    <s v="PENDING"/>
    <s v="Standard Class"/>
    <n v="299.95"/>
  </r>
  <r>
    <n v="24100"/>
    <s v="TRANSFER"/>
    <n v="6"/>
    <n v="4"/>
    <s v="DELAYED"/>
    <n v="1014"/>
    <n v="4"/>
    <n v="199.92"/>
    <n v="7"/>
    <s v="Fan Shop"/>
    <n v="5230"/>
    <s v="Darbhanga"/>
    <d v="2018-12-17T00:00:00"/>
    <n v="12"/>
    <n v="2018"/>
    <s v="South Asia"/>
    <x v="17"/>
    <s v="PROCESSING"/>
    <s v="PENDING"/>
    <s v="Standard Class"/>
    <n v="199.92"/>
  </r>
  <r>
    <n v="24101"/>
    <s v="DEBIT"/>
    <n v="2"/>
    <n v="4"/>
    <s v=" ONTIME"/>
    <n v="403"/>
    <n v="1"/>
    <n v="129.99"/>
    <n v="4"/>
    <s v="Apparel"/>
    <n v="6239"/>
    <s v="Darbhanga"/>
    <d v="2018-12-17T00:00:00"/>
    <n v="12"/>
    <n v="2018"/>
    <s v="South Asia"/>
    <x v="17"/>
    <s v="COMPLETE"/>
    <s v="COMPLETED"/>
    <s v="Standard Class"/>
    <n v="129.99"/>
  </r>
  <r>
    <n v="24102"/>
    <s v="PAYMENT"/>
    <n v="3"/>
    <n v="4"/>
    <s v=" ONTIME"/>
    <n v="778"/>
    <n v="5"/>
    <n v="124.95"/>
    <n v="6"/>
    <s v="Outdoors"/>
    <n v="6100"/>
    <s v="Darbhanga"/>
    <d v="2018-12-17T00:00:00"/>
    <n v="12"/>
    <n v="2018"/>
    <s v="South Asia"/>
    <x v="17"/>
    <s v="PENDING_PAYMENT"/>
    <s v="PENDING"/>
    <s v="Standard Class"/>
    <n v="124.95"/>
  </r>
  <r>
    <n v="24103"/>
    <s v="TRANSFER"/>
    <n v="2"/>
    <n v="1"/>
    <s v="DELAYED"/>
    <n v="1073"/>
    <n v="1"/>
    <n v="199.99"/>
    <n v="7"/>
    <s v="Fan Shop"/>
    <n v="12067"/>
    <s v="Darbhanga"/>
    <d v="2018-12-17T00:00:00"/>
    <n v="12"/>
    <n v="2018"/>
    <s v="South Asia"/>
    <x v="17"/>
    <s v="PENDING"/>
    <s v="PENDING"/>
    <s v="First Class"/>
    <n v="199.99"/>
  </r>
  <r>
    <n v="24104"/>
    <s v="PAYMENT"/>
    <n v="2"/>
    <n v="1"/>
    <s v="DELAYED"/>
    <n v="792"/>
    <n v="3"/>
    <n v="44.97"/>
    <n v="6"/>
    <s v="Outdoors"/>
    <n v="10910"/>
    <s v="Darbhanga"/>
    <d v="2018-12-17T00:00:00"/>
    <n v="12"/>
    <n v="2018"/>
    <s v="South Asia"/>
    <x v="17"/>
    <s v="PENDING_PAYMENT"/>
    <s v="PENDING"/>
    <s v="First Class"/>
    <n v="44.97"/>
  </r>
  <r>
    <n v="24105"/>
    <s v="TRANSFER"/>
    <n v="6"/>
    <n v="2"/>
    <s v="DELAYED"/>
    <n v="1004"/>
    <n v="1"/>
    <n v="399.98"/>
    <n v="7"/>
    <s v="Fan Shop"/>
    <n v="11857"/>
    <s v="Lucknow"/>
    <d v="2018-12-17T00:00:00"/>
    <n v="12"/>
    <n v="2018"/>
    <s v="South Asia"/>
    <x v="1"/>
    <s v="PENDING"/>
    <s v="PENDING"/>
    <s v="Second Class"/>
    <n v="399.98"/>
  </r>
  <r>
    <n v="24120"/>
    <s v="DEBIT"/>
    <n v="6"/>
    <n v="4"/>
    <s v="DELAYED"/>
    <n v="403"/>
    <n v="1"/>
    <n v="129.99"/>
    <n v="4"/>
    <s v="Apparel"/>
    <n v="5402"/>
    <s v="Dhule"/>
    <d v="2018-12-18T00:00:00"/>
    <n v="12"/>
    <n v="2018"/>
    <s v="South Asia"/>
    <x v="0"/>
    <s v="ON_HOLD"/>
    <s v="PENDING"/>
    <s v="Standard Class"/>
    <n v="129.99"/>
  </r>
  <r>
    <n v="24121"/>
    <s v="CASH"/>
    <n v="2"/>
    <n v="4"/>
    <s v=" ONTIME"/>
    <n v="1004"/>
    <n v="1"/>
    <n v="399.98"/>
    <n v="7"/>
    <s v="Fan Shop"/>
    <n v="10951"/>
    <s v="Dhule"/>
    <d v="2018-12-18T00:00:00"/>
    <n v="12"/>
    <n v="2018"/>
    <s v="South Asia"/>
    <x v="0"/>
    <s v="CLOSED"/>
    <s v="PENDING"/>
    <s v="Standard Class"/>
    <n v="399.98"/>
  </r>
  <r>
    <n v="24122"/>
    <s v="PAYMENT"/>
    <n v="2"/>
    <n v="1"/>
    <s v="DELAYED"/>
    <n v="502"/>
    <n v="1"/>
    <n v="50"/>
    <n v="5"/>
    <s v="Golf"/>
    <n v="6464"/>
    <s v="Dhule"/>
    <d v="2018-12-18T00:00:00"/>
    <n v="12"/>
    <n v="2018"/>
    <s v="South Asia"/>
    <x v="0"/>
    <s v="PENDING_PAYMENT"/>
    <s v="PENDING"/>
    <s v="First Class"/>
    <n v="50"/>
  </r>
  <r>
    <n v="24144"/>
    <s v="DEBIT"/>
    <n v="5"/>
    <n v="4"/>
    <s v="DELAYED"/>
    <n v="191"/>
    <n v="1"/>
    <n v="99.99"/>
    <n v="3"/>
    <s v="Footwear"/>
    <n v="2110"/>
    <s v="Hubli"/>
    <d v="2018-12-18T00:00:00"/>
    <n v="12"/>
    <n v="2018"/>
    <s v="South Asia"/>
    <x v="8"/>
    <s v="COMPLETE"/>
    <s v="COMPLETED"/>
    <s v="Standard Class"/>
    <n v="99.99"/>
  </r>
  <r>
    <n v="24145"/>
    <s v="TRANSFER"/>
    <n v="6"/>
    <n v="4"/>
    <s v="DELAYED"/>
    <n v="1014"/>
    <n v="5"/>
    <n v="249.9"/>
    <n v="7"/>
    <s v="Fan Shop"/>
    <n v="878"/>
    <s v="Hubli"/>
    <d v="2018-12-18T00:00:00"/>
    <n v="12"/>
    <n v="2018"/>
    <s v="South Asia"/>
    <x v="8"/>
    <s v="SUSPECTED_FRAUD"/>
    <s v="PENDING"/>
    <s v="Standard Class"/>
    <n v="249.9"/>
  </r>
  <r>
    <n v="24159"/>
    <s v="DEBIT"/>
    <n v="5"/>
    <n v="2"/>
    <s v="DELAYED"/>
    <n v="957"/>
    <n v="1"/>
    <n v="299.98"/>
    <n v="7"/>
    <s v="Fan Shop"/>
    <n v="6119"/>
    <s v="Bhatpara"/>
    <d v="2018-12-18T00:00:00"/>
    <n v="12"/>
    <n v="2018"/>
    <s v="South Asia"/>
    <x v="6"/>
    <s v="COMPLETE"/>
    <s v="COMPLETED"/>
    <s v="Second Class"/>
    <n v="299.98"/>
  </r>
  <r>
    <n v="24164"/>
    <s v="CASH"/>
    <n v="5"/>
    <n v="4"/>
    <s v="DELAYED"/>
    <n v="957"/>
    <n v="1"/>
    <n v="299.98"/>
    <n v="7"/>
    <s v="Fan Shop"/>
    <n v="6701"/>
    <s v="Aligarh"/>
    <d v="2018-12-18T00:00:00"/>
    <n v="12"/>
    <n v="2018"/>
    <s v="South Asia"/>
    <x v="1"/>
    <s v="CLOSED"/>
    <s v="PENDING"/>
    <s v="Standard Class"/>
    <n v="299.98"/>
  </r>
  <r>
    <n v="24165"/>
    <s v="PAYMENT"/>
    <n v="6"/>
    <n v="4"/>
    <s v="DELAYED"/>
    <n v="1004"/>
    <n v="1"/>
    <n v="399.98"/>
    <n v="7"/>
    <s v="Fan Shop"/>
    <n v="9760"/>
    <s v="Aligarh"/>
    <d v="2018-12-18T00:00:00"/>
    <n v="12"/>
    <n v="2018"/>
    <s v="South Asia"/>
    <x v="1"/>
    <s v="PENDING_PAYMENT"/>
    <s v="PENDING"/>
    <s v="Standard Class"/>
    <n v="399.98"/>
  </r>
  <r>
    <n v="24166"/>
    <s v="DEBIT"/>
    <n v="2"/>
    <n v="4"/>
    <s v=" ONTIME"/>
    <n v="1004"/>
    <n v="1"/>
    <n v="399.98"/>
    <n v="7"/>
    <s v="Fan Shop"/>
    <n v="247"/>
    <s v="Aligarh"/>
    <d v="2018-12-18T00:00:00"/>
    <n v="12"/>
    <n v="2018"/>
    <s v="South Asia"/>
    <x v="1"/>
    <s v="COMPLETE"/>
    <s v="COMPLETED"/>
    <s v="Standard Class"/>
    <n v="399.98"/>
  </r>
  <r>
    <n v="24172"/>
    <s v="CASH"/>
    <n v="3"/>
    <n v="4"/>
    <s v=" ONTIME"/>
    <n v="1073"/>
    <n v="1"/>
    <n v="199.99"/>
    <n v="7"/>
    <s v="Fan Shop"/>
    <n v="2435"/>
    <s v="Satna"/>
    <d v="2018-12-18T00:00:00"/>
    <n v="12"/>
    <n v="2018"/>
    <s v="South Asia"/>
    <x v="14"/>
    <s v="CLOSED"/>
    <s v="PENDING"/>
    <s v="Standard Class"/>
    <n v="199.99"/>
  </r>
  <r>
    <n v="24174"/>
    <s v="DEBIT"/>
    <n v="5"/>
    <n v="4"/>
    <s v="DELAYED"/>
    <n v="403"/>
    <n v="1"/>
    <n v="129.99"/>
    <n v="4"/>
    <s v="Apparel"/>
    <n v="6940"/>
    <s v="Latur"/>
    <d v="2018-12-18T00:00:00"/>
    <n v="12"/>
    <n v="2018"/>
    <s v="South Asia"/>
    <x v="0"/>
    <s v="COMPLETE"/>
    <s v="COMPLETED"/>
    <s v="Standard Class"/>
    <n v="129.99"/>
  </r>
  <r>
    <n v="24176"/>
    <s v="TRANSFER"/>
    <n v="2"/>
    <n v="4"/>
    <s v=" ONTIME"/>
    <n v="810"/>
    <n v="5"/>
    <n v="99.95"/>
    <n v="6"/>
    <s v="Outdoors"/>
    <n v="7200"/>
    <s v="Guwahati"/>
    <d v="2018-12-18T00:00:00"/>
    <n v="12"/>
    <n v="2018"/>
    <s v="South Asia"/>
    <x v="9"/>
    <s v="PENDING"/>
    <s v="PENDING"/>
    <s v="Standard Class"/>
    <n v="99.95"/>
  </r>
  <r>
    <n v="24177"/>
    <s v="TRANSFER"/>
    <n v="3"/>
    <n v="4"/>
    <s v=" ONTIME"/>
    <n v="792"/>
    <n v="1"/>
    <n v="14.99"/>
    <n v="6"/>
    <s v="Outdoors"/>
    <n v="2376"/>
    <s v="Guwahati"/>
    <d v="2018-12-18T00:00:00"/>
    <n v="12"/>
    <n v="2018"/>
    <s v="South Asia"/>
    <x v="9"/>
    <s v="PENDING"/>
    <s v="PENDING"/>
    <s v="Standard Class"/>
    <n v="14.99"/>
  </r>
  <r>
    <n v="24178"/>
    <s v="DEBIT"/>
    <n v="4"/>
    <n v="4"/>
    <s v=" ONTIME"/>
    <n v="1014"/>
    <n v="2"/>
    <n v="99.96"/>
    <n v="7"/>
    <s v="Fan Shop"/>
    <n v="2183"/>
    <s v="Guwahati"/>
    <d v="2018-12-18T00:00:00"/>
    <n v="12"/>
    <n v="2018"/>
    <s v="South Asia"/>
    <x v="9"/>
    <s v="ON_HOLD"/>
    <s v="PENDING"/>
    <s v="Standard Class"/>
    <n v="99.96"/>
  </r>
  <r>
    <n v="24189"/>
    <s v="CASH"/>
    <n v="5"/>
    <n v="4"/>
    <s v="DELAYED"/>
    <n v="1014"/>
    <n v="1"/>
    <n v="49.98"/>
    <n v="7"/>
    <s v="Fan Shop"/>
    <n v="6295"/>
    <s v="Aurangabad"/>
    <d v="2018-12-19T00:00:00"/>
    <n v="12"/>
    <n v="2018"/>
    <s v="South Asia"/>
    <x v="0"/>
    <s v="CLOSED"/>
    <s v="PENDING"/>
    <s v="Standard Class"/>
    <n v="49.98"/>
  </r>
  <r>
    <n v="24190"/>
    <s v="PAYMENT"/>
    <n v="6"/>
    <n v="4"/>
    <s v="DELAYED"/>
    <n v="403"/>
    <n v="1"/>
    <n v="129.99"/>
    <n v="4"/>
    <s v="Apparel"/>
    <n v="12211"/>
    <s v="Aurangabad"/>
    <d v="2018-12-19T00:00:00"/>
    <n v="12"/>
    <n v="2018"/>
    <s v="South Asia"/>
    <x v="0"/>
    <s v="PENDING_PAYMENT"/>
    <s v="PENDING"/>
    <s v="Standard Class"/>
    <n v="129.99"/>
  </r>
  <r>
    <n v="24195"/>
    <s v="DEBIT"/>
    <n v="2"/>
    <n v="1"/>
    <s v="DELAYED"/>
    <n v="1004"/>
    <n v="1"/>
    <n v="399.98"/>
    <n v="7"/>
    <s v="Fan Shop"/>
    <n v="1031"/>
    <s v="Kalyan"/>
    <d v="2018-12-19T00:00:00"/>
    <n v="12"/>
    <n v="2018"/>
    <s v="South Asia"/>
    <x v="0"/>
    <s v="COMPLETE"/>
    <s v="COMPLETED"/>
    <s v="First Class"/>
    <n v="399.98"/>
  </r>
  <r>
    <n v="24200"/>
    <s v="PAYMENT"/>
    <n v="2"/>
    <n v="1"/>
    <s v="DELAYED"/>
    <n v="1004"/>
    <n v="1"/>
    <n v="399.98"/>
    <n v="7"/>
    <s v="Fan Shop"/>
    <n v="2629"/>
    <s v="Kota"/>
    <d v="2018-12-19T00:00:00"/>
    <n v="12"/>
    <n v="2018"/>
    <s v="South Asia"/>
    <x v="18"/>
    <s v="PENDING_PAYMENT"/>
    <s v="PENDING"/>
    <s v="First Class"/>
    <n v="399.98"/>
  </r>
  <r>
    <n v="24202"/>
    <s v="DEBIT"/>
    <n v="3"/>
    <n v="4"/>
    <s v=" ONTIME"/>
    <n v="365"/>
    <n v="2"/>
    <n v="119.98"/>
    <n v="4"/>
    <s v="Apparel"/>
    <n v="9089"/>
    <s v="Durgapur"/>
    <d v="2018-12-19T00:00:00"/>
    <n v="12"/>
    <n v="2018"/>
    <s v="South Asia"/>
    <x v="0"/>
    <s v="ON_HOLD"/>
    <s v="PENDING"/>
    <s v="Standard Class"/>
    <n v="119.98"/>
  </r>
  <r>
    <n v="24203"/>
    <s v="DEBIT"/>
    <n v="4"/>
    <n v="4"/>
    <s v=" ONTIME"/>
    <n v="886"/>
    <n v="4"/>
    <n v="99.96"/>
    <n v="6"/>
    <s v="Outdoors"/>
    <n v="11263"/>
    <s v="Durgapur"/>
    <d v="2018-12-19T00:00:00"/>
    <n v="12"/>
    <n v="2018"/>
    <s v="South Asia"/>
    <x v="0"/>
    <s v="COMPLETE"/>
    <s v="COMPLETED"/>
    <s v="Standard Class"/>
    <n v="99.96"/>
  </r>
  <r>
    <n v="24204"/>
    <s v="DEBIT"/>
    <n v="5"/>
    <n v="4"/>
    <s v="DELAYED"/>
    <n v="502"/>
    <n v="1"/>
    <n v="50"/>
    <n v="5"/>
    <s v="Golf"/>
    <n v="4531"/>
    <s v="Durgapur"/>
    <d v="2018-12-19T00:00:00"/>
    <n v="12"/>
    <n v="2018"/>
    <s v="South Asia"/>
    <x v="0"/>
    <s v="COMPLETE"/>
    <s v="COMPLETED"/>
    <s v="Standard Class"/>
    <n v="50"/>
  </r>
  <r>
    <n v="24235"/>
    <s v="PAYMENT"/>
    <n v="6"/>
    <n v="4"/>
    <s v="DELAYED"/>
    <n v="502"/>
    <n v="1"/>
    <n v="50"/>
    <n v="5"/>
    <s v="Golf"/>
    <n v="7790"/>
    <s v="Ujjain"/>
    <d v="2018-12-19T00:00:00"/>
    <n v="12"/>
    <n v="2018"/>
    <s v="South Asia"/>
    <x v="14"/>
    <s v="PENDING_PAYMENT"/>
    <s v="PENDING"/>
    <s v="Standard Class"/>
    <n v="50"/>
  </r>
  <r>
    <n v="24236"/>
    <s v="DEBIT"/>
    <n v="2"/>
    <n v="1"/>
    <s v="DELAYED"/>
    <n v="1014"/>
    <n v="5"/>
    <n v="249.9"/>
    <n v="7"/>
    <s v="Fan Shop"/>
    <n v="3551"/>
    <s v="Ujjain"/>
    <d v="2018-12-19T00:00:00"/>
    <n v="12"/>
    <n v="2018"/>
    <s v="South Asia"/>
    <x v="14"/>
    <s v="COMPLETE"/>
    <s v="COMPLETED"/>
    <s v="First Class"/>
    <n v="249.9"/>
  </r>
  <r>
    <n v="24238"/>
    <s v="TRANSFER"/>
    <n v="4"/>
    <n v="4"/>
    <s v=" ONTIME"/>
    <n v="1073"/>
    <n v="1"/>
    <n v="199.99"/>
    <n v="7"/>
    <s v="Fan Shop"/>
    <n v="2006"/>
    <s v="Ujjain"/>
    <d v="2018-12-19T00:00:00"/>
    <n v="12"/>
    <n v="2018"/>
    <s v="South Asia"/>
    <x v="14"/>
    <s v="PENDING"/>
    <s v="PENDING"/>
    <s v="Standard Class"/>
    <n v="199.99"/>
  </r>
  <r>
    <n v="24249"/>
    <s v="DEBIT"/>
    <n v="5"/>
    <n v="4"/>
    <s v="DELAYED"/>
    <n v="502"/>
    <n v="1"/>
    <n v="50"/>
    <n v="5"/>
    <s v="Golf"/>
    <n v="3303"/>
    <s v="Vadodara"/>
    <d v="2018-12-19T00:00:00"/>
    <n v="12"/>
    <n v="2018"/>
    <s v="South Asia"/>
    <x v="4"/>
    <s v="COMPLETE"/>
    <s v="COMPLETED"/>
    <s v="Standard Class"/>
    <n v="50"/>
  </r>
  <r>
    <n v="24250"/>
    <s v="DEBIT"/>
    <n v="6"/>
    <n v="4"/>
    <s v="DELAYED"/>
    <n v="502"/>
    <n v="1"/>
    <n v="50"/>
    <n v="5"/>
    <s v="Golf"/>
    <n v="5062"/>
    <s v="Vadodara"/>
    <d v="2018-12-19T00:00:00"/>
    <n v="12"/>
    <n v="2018"/>
    <s v="South Asia"/>
    <x v="4"/>
    <s v="COMPLETE"/>
    <s v="COMPLETED"/>
    <s v="Standard Class"/>
    <n v="50"/>
  </r>
  <r>
    <n v="24253"/>
    <s v="PAYMENT"/>
    <n v="4"/>
    <n v="4"/>
    <s v=" ONTIME"/>
    <n v="627"/>
    <n v="1"/>
    <n v="39.99"/>
    <n v="5"/>
    <s v="Golf"/>
    <n v="8380"/>
    <s v="Jamnagar"/>
    <d v="2018-12-20T00:00:00"/>
    <n v="12"/>
    <n v="2018"/>
    <s v="South Asia"/>
    <x v="4"/>
    <s v="PENDING_PAYMENT"/>
    <s v="PENDING"/>
    <s v="Standard Class"/>
    <n v="39.99"/>
  </r>
  <r>
    <n v="24266"/>
    <s v="TRANSFER"/>
    <n v="2"/>
    <n v="4"/>
    <s v=" ONTIME"/>
    <n v="365"/>
    <n v="5"/>
    <n v="299.95"/>
    <n v="4"/>
    <s v="Apparel"/>
    <n v="431"/>
    <s v="Bangalore"/>
    <d v="2018-12-20T00:00:00"/>
    <n v="12"/>
    <n v="2018"/>
    <s v="South Asia"/>
    <x v="8"/>
    <s v="PENDING"/>
    <s v="PENDING"/>
    <s v="Standard Class"/>
    <n v="299.95"/>
  </r>
  <r>
    <n v="24267"/>
    <s v="DEBIT"/>
    <n v="3"/>
    <n v="4"/>
    <s v=" ONTIME"/>
    <n v="403"/>
    <n v="1"/>
    <n v="129.99"/>
    <n v="4"/>
    <s v="Apparel"/>
    <n v="1471"/>
    <s v="Bangalore"/>
    <d v="2018-12-20T00:00:00"/>
    <n v="12"/>
    <n v="2018"/>
    <s v="South Asia"/>
    <x v="8"/>
    <s v="COMPLETE"/>
    <s v="COMPLETED"/>
    <s v="Standard Class"/>
    <n v="129.99"/>
  </r>
  <r>
    <n v="24276"/>
    <s v="PAYMENT"/>
    <n v="2"/>
    <n v="2"/>
    <s v=" ONTIME"/>
    <n v="627"/>
    <n v="3"/>
    <n v="119.97"/>
    <n v="5"/>
    <s v="Golf"/>
    <n v="2434"/>
    <s v="Mangalore"/>
    <d v="2018-12-20T00:00:00"/>
    <n v="12"/>
    <n v="2018"/>
    <s v="South Asia"/>
    <x v="8"/>
    <s v="PENDING_PAYMENT"/>
    <s v="PENDING"/>
    <s v="Second Class"/>
    <n v="119.97"/>
  </r>
  <r>
    <n v="24284"/>
    <s v="CASH"/>
    <n v="5"/>
    <n v="4"/>
    <s v="DELAYED"/>
    <n v="1014"/>
    <n v="4"/>
    <n v="199.92"/>
    <n v="7"/>
    <s v="Fan Shop"/>
    <n v="2991"/>
    <s v="Imphal"/>
    <d v="2018-12-20T00:00:00"/>
    <n v="12"/>
    <n v="2018"/>
    <s v="South Asia"/>
    <x v="5"/>
    <s v="CLOSED"/>
    <s v="PENDING"/>
    <s v="Standard Class"/>
    <n v="199.92"/>
  </r>
  <r>
    <n v="24291"/>
    <s v="DEBIT"/>
    <n v="2"/>
    <n v="4"/>
    <s v=" ONTIME"/>
    <n v="924"/>
    <n v="2"/>
    <n v="31.98"/>
    <n v="6"/>
    <s v="Outdoors"/>
    <n v="4751"/>
    <s v="Avadi"/>
    <d v="2018-12-20T00:00:00"/>
    <n v="12"/>
    <n v="2018"/>
    <s v="South Asia"/>
    <x v="3"/>
    <s v="COMPLETE"/>
    <s v="COMPLETED"/>
    <s v="Standard Class"/>
    <n v="31.98"/>
  </r>
  <r>
    <n v="24292"/>
    <s v="PAYMENT"/>
    <n v="3"/>
    <n v="4"/>
    <s v=" ONTIME"/>
    <n v="403"/>
    <n v="1"/>
    <n v="129.99"/>
    <n v="4"/>
    <s v="Apparel"/>
    <n v="1559"/>
    <s v="Avadi"/>
    <d v="2018-12-20T00:00:00"/>
    <n v="12"/>
    <n v="2018"/>
    <s v="South Asia"/>
    <x v="3"/>
    <s v="PENDING_PAYMENT"/>
    <s v="PENDING"/>
    <s v="Standard Class"/>
    <n v="129.99"/>
  </r>
  <r>
    <n v="24315"/>
    <s v="PAYMENT"/>
    <n v="6"/>
    <n v="2"/>
    <s v="DELAYED"/>
    <n v="1004"/>
    <n v="1"/>
    <n v="399.98"/>
    <n v="7"/>
    <s v="Fan Shop"/>
    <n v="8704"/>
    <s v="Warangal"/>
    <d v="2018-12-20T00:00:00"/>
    <n v="12"/>
    <n v="2018"/>
    <s v="South Asia"/>
    <x v="7"/>
    <s v="PENDING_PAYMENT"/>
    <s v="PENDING"/>
    <s v="Second Class"/>
    <n v="399.98"/>
  </r>
  <r>
    <n v="24343"/>
    <s v="DEBIT"/>
    <n v="4"/>
    <n v="4"/>
    <s v=" ONTIME"/>
    <n v="403"/>
    <n v="1"/>
    <n v="129.99"/>
    <n v="4"/>
    <s v="Apparel"/>
    <n v="1581"/>
    <s v="Thane"/>
    <d v="2018-12-21T00:00:00"/>
    <n v="12"/>
    <n v="2018"/>
    <s v="South Asia"/>
    <x v="0"/>
    <s v="COMPLETE"/>
    <s v="COMPLETED"/>
    <s v="Standard Class"/>
    <n v="129.99"/>
  </r>
  <r>
    <n v="24364"/>
    <s v="CASH"/>
    <n v="2"/>
    <n v="1"/>
    <s v="DELAYED"/>
    <n v="403"/>
    <n v="1"/>
    <n v="129.99"/>
    <n v="4"/>
    <s v="Apparel"/>
    <n v="863"/>
    <s v="Puducherry"/>
    <d v="2018-12-21T00:00:00"/>
    <n v="12"/>
    <n v="2018"/>
    <s v="South Asia"/>
    <x v="23"/>
    <s v="CLOSED"/>
    <s v="PENDING"/>
    <s v="First Class"/>
    <n v="129.99"/>
  </r>
  <r>
    <n v="24366"/>
    <s v="DEBIT"/>
    <n v="2"/>
    <n v="1"/>
    <s v="DELAYED"/>
    <n v="1014"/>
    <n v="4"/>
    <n v="199.92"/>
    <n v="7"/>
    <s v="Fan Shop"/>
    <n v="2314"/>
    <s v="Nagpur"/>
    <d v="2018-12-21T00:00:00"/>
    <n v="12"/>
    <n v="2018"/>
    <s v="South Asia"/>
    <x v="0"/>
    <s v="COMPLETE"/>
    <s v="COMPLETED"/>
    <s v="First Class"/>
    <n v="199.92"/>
  </r>
  <r>
    <n v="24368"/>
    <s v="TRANSFER"/>
    <n v="4"/>
    <n v="2"/>
    <s v="DELAYED"/>
    <n v="1073"/>
    <n v="1"/>
    <n v="199.99"/>
    <n v="7"/>
    <s v="Fan Shop"/>
    <n v="2670"/>
    <s v="Bangalore"/>
    <d v="2018-12-21T00:00:00"/>
    <n v="12"/>
    <n v="2018"/>
    <s v="South Asia"/>
    <x v="8"/>
    <s v="PENDING"/>
    <s v="PENDING"/>
    <s v="Second Class"/>
    <n v="199.99"/>
  </r>
  <r>
    <n v="24369"/>
    <s v="DEBIT"/>
    <n v="5"/>
    <n v="2"/>
    <s v="DELAYED"/>
    <n v="1004"/>
    <n v="1"/>
    <n v="399.98"/>
    <n v="7"/>
    <s v="Fan Shop"/>
    <n v="3519"/>
    <s v="Bangalore"/>
    <d v="2018-12-21T00:00:00"/>
    <n v="12"/>
    <n v="2018"/>
    <s v="South Asia"/>
    <x v="8"/>
    <s v="COMPLETE"/>
    <s v="COMPLETED"/>
    <s v="Second Class"/>
    <n v="399.98"/>
  </r>
  <r>
    <n v="24370"/>
    <s v="PAYMENT"/>
    <n v="6"/>
    <n v="2"/>
    <s v="DELAYED"/>
    <n v="44"/>
    <n v="4"/>
    <n v="239.96"/>
    <n v="2"/>
    <s v="Fitness"/>
    <n v="1081"/>
    <s v="Bangalore"/>
    <d v="2018-12-21T00:00:00"/>
    <n v="12"/>
    <n v="2018"/>
    <s v="South Asia"/>
    <x v="8"/>
    <s v="PENDING_PAYMENT"/>
    <s v="PENDING"/>
    <s v="Second Class"/>
    <n v="239.96"/>
  </r>
  <r>
    <n v="24371"/>
    <s v="CASH"/>
    <n v="2"/>
    <n v="2"/>
    <s v=" ONTIME"/>
    <n v="1073"/>
    <n v="1"/>
    <n v="199.99"/>
    <n v="7"/>
    <s v="Fan Shop"/>
    <n v="6294"/>
    <s v="Bangalore"/>
    <d v="2018-12-21T00:00:00"/>
    <n v="12"/>
    <n v="2018"/>
    <s v="South Asia"/>
    <x v="8"/>
    <s v="CLOSED"/>
    <s v="PENDING"/>
    <s v="Second Class"/>
    <n v="199.99"/>
  </r>
  <r>
    <n v="24372"/>
    <s v="PAYMENT"/>
    <n v="2"/>
    <n v="1"/>
    <s v="DELAYED"/>
    <n v="1004"/>
    <n v="1"/>
    <n v="399.98"/>
    <n v="7"/>
    <s v="Fan Shop"/>
    <n v="12335"/>
    <s v="Bangalore"/>
    <d v="2018-12-21T00:00:00"/>
    <n v="12"/>
    <n v="2018"/>
    <s v="South Asia"/>
    <x v="8"/>
    <s v="PENDING_PAYMENT"/>
    <s v="PENDING"/>
    <s v="First Class"/>
    <n v="399.98"/>
  </r>
  <r>
    <n v="24373"/>
    <s v="TRANSFER"/>
    <n v="2"/>
    <n v="1"/>
    <s v="DELAYED"/>
    <n v="365"/>
    <n v="3"/>
    <n v="179.97"/>
    <n v="4"/>
    <s v="Apparel"/>
    <n v="7170"/>
    <s v="Bangalore"/>
    <d v="2018-12-21T00:00:00"/>
    <n v="12"/>
    <n v="2018"/>
    <s v="South Asia"/>
    <x v="8"/>
    <s v="SUSPECTED_FRAUD"/>
    <s v="PENDING"/>
    <s v="First Class"/>
    <n v="179.97"/>
  </r>
  <r>
    <n v="24374"/>
    <s v="DEBIT"/>
    <n v="2"/>
    <n v="1"/>
    <s v="DELAYED"/>
    <n v="191"/>
    <n v="1"/>
    <n v="99.99"/>
    <n v="3"/>
    <s v="Footwear"/>
    <n v="7007"/>
    <s v="Bangalore"/>
    <d v="2018-12-21T00:00:00"/>
    <n v="12"/>
    <n v="2018"/>
    <s v="South Asia"/>
    <x v="8"/>
    <s v="COMPLETE"/>
    <s v="COMPLETED"/>
    <s v="First Class"/>
    <n v="99.99"/>
  </r>
  <r>
    <n v="24375"/>
    <s v="DEBIT"/>
    <n v="6"/>
    <n v="4"/>
    <s v="DELAYED"/>
    <n v="1073"/>
    <n v="1"/>
    <n v="199.99"/>
    <n v="7"/>
    <s v="Fan Shop"/>
    <n v="11454"/>
    <s v="Bangalore"/>
    <d v="2018-12-21T00:00:00"/>
    <n v="12"/>
    <n v="2018"/>
    <s v="South Asia"/>
    <x v="8"/>
    <s v="COMPLETE"/>
    <s v="COMPLETED"/>
    <s v="Standard Class"/>
    <n v="199.99"/>
  </r>
  <r>
    <n v="24403"/>
    <s v="DEBIT"/>
    <n v="4"/>
    <n v="4"/>
    <s v=" ONTIME"/>
    <n v="365"/>
    <n v="2"/>
    <n v="119.98"/>
    <n v="4"/>
    <s v="Apparel"/>
    <n v="2510"/>
    <s v="Parbhani"/>
    <d v="2018-12-22T00:00:00"/>
    <n v="12"/>
    <n v="2018"/>
    <s v="South Asia"/>
    <x v="0"/>
    <s v="COMPLETE"/>
    <s v="COMPLETED"/>
    <s v="Standard Class"/>
    <n v="119.98"/>
  </r>
  <r>
    <n v="24404"/>
    <s v="CASH"/>
    <n v="5"/>
    <n v="2"/>
    <s v="DELAYED"/>
    <n v="403"/>
    <n v="1"/>
    <n v="129.99"/>
    <n v="4"/>
    <s v="Apparel"/>
    <n v="2746"/>
    <s v="Parbhani"/>
    <d v="2018-12-22T00:00:00"/>
    <n v="12"/>
    <n v="2018"/>
    <s v="South Asia"/>
    <x v="0"/>
    <s v="CLOSED"/>
    <s v="PENDING"/>
    <s v="Second Class"/>
    <n v="129.99"/>
  </r>
  <r>
    <n v="24414"/>
    <s v="PAYMENT"/>
    <n v="5"/>
    <n v="4"/>
    <s v="DELAYED"/>
    <n v="403"/>
    <n v="1"/>
    <n v="129.99"/>
    <n v="4"/>
    <s v="Apparel"/>
    <n v="10843"/>
    <s v="Patna"/>
    <d v="2018-12-22T00:00:00"/>
    <n v="12"/>
    <n v="2018"/>
    <s v="South Asia"/>
    <x v="17"/>
    <s v="PENDING_PAYMENT"/>
    <s v="PENDING"/>
    <s v="Standard Class"/>
    <n v="129.99"/>
  </r>
  <r>
    <n v="24457"/>
    <s v="DEBIT"/>
    <n v="3"/>
    <n v="4"/>
    <s v=" ONTIME"/>
    <n v="365"/>
    <n v="1"/>
    <n v="59.99"/>
    <n v="4"/>
    <s v="Apparel"/>
    <n v="70"/>
    <s v="Delhi"/>
    <d v="2018-12-23T00:00:00"/>
    <n v="12"/>
    <n v="2018"/>
    <s v="South Asia"/>
    <x v="11"/>
    <s v="ON_HOLD"/>
    <s v="PENDING"/>
    <s v="Standard Class"/>
    <n v="59.99"/>
  </r>
  <r>
    <n v="24477"/>
    <s v="DEBIT"/>
    <n v="3"/>
    <n v="4"/>
    <s v=" ONTIME"/>
    <n v="403"/>
    <n v="1"/>
    <n v="129.99"/>
    <n v="4"/>
    <s v="Apparel"/>
    <n v="3830"/>
    <s v="Pune"/>
    <d v="2018-12-23T00:00:00"/>
    <n v="12"/>
    <n v="2018"/>
    <s v="South Asia"/>
    <x v="0"/>
    <s v="ON_HOLD"/>
    <s v="PENDING"/>
    <s v="Standard Class"/>
    <n v="129.99"/>
  </r>
  <r>
    <n v="24494"/>
    <s v="TRANSFER"/>
    <n v="5"/>
    <n v="4"/>
    <s v="DELAYED"/>
    <n v="365"/>
    <n v="3"/>
    <n v="179.97"/>
    <n v="4"/>
    <s v="Apparel"/>
    <n v="5859"/>
    <s v="Solapur"/>
    <d v="2018-12-23T00:00:00"/>
    <n v="12"/>
    <n v="2018"/>
    <s v="South Asia"/>
    <x v="0"/>
    <s v="PROCESSING"/>
    <s v="PENDING"/>
    <s v="Standard Class"/>
    <n v="179.97"/>
  </r>
  <r>
    <n v="24495"/>
    <s v="DEBIT"/>
    <n v="6"/>
    <n v="4"/>
    <s v="DELAYED"/>
    <n v="403"/>
    <n v="1"/>
    <n v="129.99"/>
    <n v="4"/>
    <s v="Apparel"/>
    <n v="9962"/>
    <s v="Solapur"/>
    <d v="2018-12-23T00:00:00"/>
    <n v="12"/>
    <n v="2018"/>
    <s v="South Asia"/>
    <x v="0"/>
    <s v="COMPLETE"/>
    <s v="COMPLETED"/>
    <s v="Standard Class"/>
    <n v="129.99"/>
  </r>
  <r>
    <n v="24508"/>
    <s v="PAYMENT"/>
    <n v="4"/>
    <n v="4"/>
    <s v=" ONTIME"/>
    <n v="897"/>
    <n v="1"/>
    <n v="24.99"/>
    <n v="6"/>
    <s v="Outdoors"/>
    <n v="7097"/>
    <s v="Raipur"/>
    <d v="2018-12-23T00:00:00"/>
    <n v="12"/>
    <n v="2018"/>
    <s v="South Asia"/>
    <x v="18"/>
    <s v="PENDING_PAYMENT"/>
    <s v="PENDING"/>
    <s v="Standard Class"/>
    <n v="24.99"/>
  </r>
  <r>
    <n v="24510"/>
    <s v="PAYMENT"/>
    <n v="6"/>
    <n v="4"/>
    <s v="DELAYED"/>
    <n v="502"/>
    <n v="3"/>
    <n v="150"/>
    <n v="5"/>
    <s v="Golf"/>
    <n v="8385"/>
    <s v="Jaipur"/>
    <d v="2018-12-23T00:00:00"/>
    <n v="12"/>
    <n v="2018"/>
    <s v="South Asia"/>
    <x v="2"/>
    <s v="PENDING_PAYMENT"/>
    <s v="PENDING"/>
    <s v="Standard Class"/>
    <n v="150"/>
  </r>
  <r>
    <n v="24511"/>
    <s v="DEBIT"/>
    <n v="2"/>
    <n v="4"/>
    <s v=" ONTIME"/>
    <n v="1004"/>
    <n v="1"/>
    <n v="399.98"/>
    <n v="7"/>
    <s v="Fan Shop"/>
    <n v="5382"/>
    <s v="Jaipur"/>
    <d v="2018-12-23T00:00:00"/>
    <n v="12"/>
    <n v="2018"/>
    <s v="South Asia"/>
    <x v="2"/>
    <s v="COMPLETE"/>
    <s v="COMPLETED"/>
    <s v="Standard Class"/>
    <n v="399.98"/>
  </r>
  <r>
    <n v="24531"/>
    <s v="DEBIT"/>
    <n v="2"/>
    <n v="2"/>
    <s v=" ONTIME"/>
    <n v="957"/>
    <n v="1"/>
    <n v="299.98"/>
    <n v="7"/>
    <s v="Fan Shop"/>
    <n v="8136"/>
    <s v="Nagpur"/>
    <d v="2018-12-24T00:00:00"/>
    <n v="12"/>
    <n v="2018"/>
    <s v="South Asia"/>
    <x v="0"/>
    <s v="COMPLETE"/>
    <s v="COMPLETED"/>
    <s v="Second Class"/>
    <n v="299.98"/>
  </r>
  <r>
    <n v="24532"/>
    <s v="TRANSFER"/>
    <n v="3"/>
    <n v="2"/>
    <s v="DELAYED"/>
    <n v="957"/>
    <n v="1"/>
    <n v="299.98"/>
    <n v="7"/>
    <s v="Fan Shop"/>
    <n v="7971"/>
    <s v="Nagpur"/>
    <d v="2018-12-24T00:00:00"/>
    <n v="12"/>
    <n v="2018"/>
    <s v="South Asia"/>
    <x v="0"/>
    <s v="PENDING"/>
    <s v="PENDING"/>
    <s v="Second Class"/>
    <n v="299.98"/>
  </r>
  <r>
    <n v="24542"/>
    <s v="DEBIT"/>
    <n v="3"/>
    <n v="2"/>
    <s v="DELAYED"/>
    <n v="403"/>
    <n v="1"/>
    <n v="129.99"/>
    <n v="4"/>
    <s v="Apparel"/>
    <n v="3678"/>
    <s v="Rajkot"/>
    <d v="2018-12-24T00:00:00"/>
    <n v="12"/>
    <n v="2018"/>
    <s v="South Asia"/>
    <x v="4"/>
    <s v="COMPLETE"/>
    <s v="COMPLETED"/>
    <s v="Second Class"/>
    <n v="129.99"/>
  </r>
  <r>
    <n v="24543"/>
    <s v="TRANSFER"/>
    <n v="4"/>
    <n v="2"/>
    <s v="DELAYED"/>
    <n v="1004"/>
    <n v="1"/>
    <n v="399.98"/>
    <n v="7"/>
    <s v="Fan Shop"/>
    <n v="7511"/>
    <s v="Rajkot"/>
    <d v="2018-12-24T00:00:00"/>
    <n v="12"/>
    <n v="2018"/>
    <s v="South Asia"/>
    <x v="4"/>
    <s v="PROCESSING"/>
    <s v="PENDING"/>
    <s v="Second Class"/>
    <n v="399.98"/>
  </r>
  <r>
    <n v="24545"/>
    <s v="TRANSFER"/>
    <n v="6"/>
    <n v="2"/>
    <s v="DELAYED"/>
    <n v="403"/>
    <n v="1"/>
    <n v="129.99"/>
    <n v="4"/>
    <s v="Apparel"/>
    <n v="12424"/>
    <s v="Rajkot"/>
    <d v="2018-12-24T00:00:00"/>
    <n v="12"/>
    <n v="2018"/>
    <s v="South Asia"/>
    <x v="4"/>
    <s v="PENDING"/>
    <s v="PENDING"/>
    <s v="Second Class"/>
    <n v="129.99"/>
  </r>
  <r>
    <n v="24556"/>
    <s v="TRANSFER"/>
    <n v="2"/>
    <n v="4"/>
    <s v=" ONTIME"/>
    <n v="572"/>
    <n v="4"/>
    <n v="159.96"/>
    <n v="5"/>
    <s v="Golf"/>
    <n v="4101"/>
    <s v="Bangalore"/>
    <d v="2018-12-24T00:00:00"/>
    <n v="12"/>
    <n v="2018"/>
    <s v="South Asia"/>
    <x v="8"/>
    <s v="PENDING"/>
    <s v="PENDING"/>
    <s v="Standard Class"/>
    <n v="159.96"/>
  </r>
  <r>
    <n v="24558"/>
    <s v="DEBIT"/>
    <n v="4"/>
    <n v="4"/>
    <s v=" ONTIME"/>
    <n v="403"/>
    <n v="1"/>
    <n v="129.99"/>
    <n v="4"/>
    <s v="Apparel"/>
    <n v="8720"/>
    <s v="Bangalore"/>
    <d v="2018-12-24T00:00:00"/>
    <n v="12"/>
    <n v="2018"/>
    <s v="South Asia"/>
    <x v="8"/>
    <s v="COMPLETE"/>
    <s v="COMPLETED"/>
    <s v="Standard Class"/>
    <n v="129.99"/>
  </r>
  <r>
    <n v="24559"/>
    <s v="TRANSFER"/>
    <n v="5"/>
    <n v="4"/>
    <s v="DELAYED"/>
    <n v="957"/>
    <n v="1"/>
    <n v="299.98"/>
    <n v="7"/>
    <s v="Fan Shop"/>
    <n v="9872"/>
    <s v="Bangalore"/>
    <d v="2018-12-24T00:00:00"/>
    <n v="12"/>
    <n v="2018"/>
    <s v="South Asia"/>
    <x v="8"/>
    <s v="PENDING"/>
    <s v="PENDING"/>
    <s v="Standard Class"/>
    <n v="299.98"/>
  </r>
  <r>
    <n v="24560"/>
    <s v="DEBIT"/>
    <n v="6"/>
    <n v="4"/>
    <s v="DELAYED"/>
    <n v="403"/>
    <n v="1"/>
    <n v="129.99"/>
    <n v="4"/>
    <s v="Apparel"/>
    <n v="5890"/>
    <s v="Bangalore"/>
    <d v="2018-12-24T00:00:00"/>
    <n v="12"/>
    <n v="2018"/>
    <s v="South Asia"/>
    <x v="8"/>
    <s v="COMPLETE"/>
    <s v="COMPLETED"/>
    <s v="Standard Class"/>
    <n v="129.99"/>
  </r>
  <r>
    <n v="24580"/>
    <s v="DEBIT"/>
    <n v="6"/>
    <n v="4"/>
    <s v="DELAYED"/>
    <n v="403"/>
    <n v="1"/>
    <n v="129.99"/>
    <n v="4"/>
    <s v="Apparel"/>
    <n v="7548"/>
    <s v="Pune"/>
    <d v="2018-12-24T00:00:00"/>
    <n v="12"/>
    <n v="2018"/>
    <s v="South Asia"/>
    <x v="0"/>
    <s v="COMPLETE"/>
    <s v="COMPLETED"/>
    <s v="Standard Class"/>
    <n v="129.99"/>
  </r>
  <r>
    <n v="24581"/>
    <s v="TRANSFER"/>
    <n v="2"/>
    <n v="4"/>
    <s v=" ONTIME"/>
    <n v="365"/>
    <n v="1"/>
    <n v="59.99"/>
    <n v="4"/>
    <s v="Apparel"/>
    <n v="5488"/>
    <s v="Pune"/>
    <d v="2018-12-24T00:00:00"/>
    <n v="12"/>
    <n v="2018"/>
    <s v="South Asia"/>
    <x v="0"/>
    <s v="PENDING"/>
    <s v="PENDING"/>
    <s v="Standard Class"/>
    <n v="59.99"/>
  </r>
  <r>
    <n v="24582"/>
    <s v="PAYMENT"/>
    <n v="3"/>
    <n v="4"/>
    <s v=" ONTIME"/>
    <n v="1073"/>
    <n v="1"/>
    <n v="199.99"/>
    <n v="7"/>
    <s v="Fan Shop"/>
    <n v="7922"/>
    <s v="Pune"/>
    <d v="2018-12-24T00:00:00"/>
    <n v="12"/>
    <n v="2018"/>
    <s v="South Asia"/>
    <x v="0"/>
    <s v="PENDING_PAYMENT"/>
    <s v="PENDING"/>
    <s v="Standard Class"/>
    <n v="199.99"/>
  </r>
  <r>
    <n v="24583"/>
    <s v="PAYMENT"/>
    <n v="4"/>
    <n v="4"/>
    <s v=" ONTIME"/>
    <n v="502"/>
    <n v="1"/>
    <n v="50"/>
    <n v="5"/>
    <s v="Golf"/>
    <n v="10291"/>
    <s v="Pune"/>
    <d v="2018-12-24T00:00:00"/>
    <n v="12"/>
    <n v="2018"/>
    <s v="South Asia"/>
    <x v="0"/>
    <s v="PENDING_PAYMENT"/>
    <s v="PENDING"/>
    <s v="Standard Class"/>
    <n v="50"/>
  </r>
  <r>
    <n v="24589"/>
    <s v="TRANSFER"/>
    <n v="5"/>
    <n v="4"/>
    <s v="DELAYED"/>
    <n v="1014"/>
    <n v="5"/>
    <n v="249.9"/>
    <n v="7"/>
    <s v="Fan Shop"/>
    <n v="4359"/>
    <s v="Ujjain"/>
    <d v="2018-12-24T00:00:00"/>
    <n v="12"/>
    <n v="2018"/>
    <s v="South Asia"/>
    <x v="14"/>
    <s v="PROCESSING"/>
    <s v="PENDING"/>
    <s v="Standard Class"/>
    <n v="249.9"/>
  </r>
  <r>
    <n v="24602"/>
    <s v="PAYMENT"/>
    <n v="3"/>
    <n v="4"/>
    <s v=" ONTIME"/>
    <n v="1004"/>
    <n v="1"/>
    <n v="399.98"/>
    <n v="7"/>
    <s v="Fan Shop"/>
    <n v="9563"/>
    <s v="Bhilai"/>
    <d v="2018-12-25T00:00:00"/>
    <n v="12"/>
    <n v="2018"/>
    <s v="South Asia"/>
    <x v="18"/>
    <s v="PENDING_PAYMENT"/>
    <s v="PENDING"/>
    <s v="Standard Class"/>
    <n v="399.98"/>
  </r>
  <r>
    <n v="24604"/>
    <s v="TRANSFER"/>
    <n v="5"/>
    <n v="4"/>
    <s v="DELAYED"/>
    <n v="502"/>
    <n v="4"/>
    <n v="200"/>
    <n v="5"/>
    <s v="Golf"/>
    <n v="3762"/>
    <s v="Bangalore"/>
    <d v="2018-12-25T00:00:00"/>
    <n v="12"/>
    <n v="2018"/>
    <s v="South Asia"/>
    <x v="8"/>
    <s v="PROCESSING"/>
    <s v="PENDING"/>
    <s v="Standard Class"/>
    <n v="200"/>
  </r>
  <r>
    <n v="24618"/>
    <s v="CASH"/>
    <n v="4"/>
    <n v="4"/>
    <s v=" ONTIME"/>
    <n v="957"/>
    <n v="1"/>
    <n v="299.98"/>
    <n v="7"/>
    <s v="Fan Shop"/>
    <n v="2555"/>
    <s v="Delhi"/>
    <d v="2018-12-25T00:00:00"/>
    <n v="12"/>
    <n v="2018"/>
    <s v="South Asia"/>
    <x v="11"/>
    <s v="CLOSED"/>
    <s v="PENDING"/>
    <s v="Standard Class"/>
    <n v="299.98"/>
  </r>
  <r>
    <n v="24619"/>
    <s v="DEBIT"/>
    <n v="5"/>
    <n v="4"/>
    <s v="DELAYED"/>
    <n v="365"/>
    <n v="1"/>
    <n v="59.99"/>
    <n v="4"/>
    <s v="Apparel"/>
    <n v="3695"/>
    <s v="Delhi"/>
    <d v="2018-12-25T00:00:00"/>
    <n v="12"/>
    <n v="2018"/>
    <s v="South Asia"/>
    <x v="11"/>
    <s v="COMPLETE"/>
    <s v="COMPLETED"/>
    <s v="Standard Class"/>
    <n v="59.99"/>
  </r>
  <r>
    <n v="24629"/>
    <s v="TRANSFER"/>
    <n v="5"/>
    <n v="4"/>
    <s v="DELAYED"/>
    <n v="502"/>
    <n v="1"/>
    <n v="50"/>
    <n v="5"/>
    <s v="Golf"/>
    <n v="9092"/>
    <s v="Jabalpur"/>
    <d v="2018-12-25T00:00:00"/>
    <n v="12"/>
    <n v="2018"/>
    <s v="South Asia"/>
    <x v="14"/>
    <s v="PENDING"/>
    <s v="PENDING"/>
    <s v="Standard Class"/>
    <n v="50"/>
  </r>
  <r>
    <n v="24630"/>
    <s v="TRANSFER"/>
    <n v="6"/>
    <n v="4"/>
    <s v="DELAYED"/>
    <n v="502"/>
    <n v="4"/>
    <n v="200"/>
    <n v="5"/>
    <s v="Golf"/>
    <n v="8005"/>
    <s v="Jabalpur"/>
    <d v="2018-12-25T00:00:00"/>
    <n v="12"/>
    <n v="2018"/>
    <s v="South Asia"/>
    <x v="14"/>
    <s v="CANCELED"/>
    <s v="CANCELED"/>
    <s v="Standard Class"/>
    <n v="200"/>
  </r>
  <r>
    <n v="24631"/>
    <s v="CASH"/>
    <n v="2"/>
    <n v="4"/>
    <s v=" ONTIME"/>
    <n v="1073"/>
    <n v="1"/>
    <n v="199.99"/>
    <n v="7"/>
    <s v="Fan Shop"/>
    <n v="8459"/>
    <s v="Jabalpur"/>
    <d v="2018-12-25T00:00:00"/>
    <n v="12"/>
    <n v="2018"/>
    <s v="South Asia"/>
    <x v="14"/>
    <s v="CLOSED"/>
    <s v="PENDING"/>
    <s v="Standard Class"/>
    <n v="199.99"/>
  </r>
  <r>
    <n v="24632"/>
    <s v="TRANSFER"/>
    <n v="3"/>
    <n v="4"/>
    <s v=" ONTIME"/>
    <n v="365"/>
    <n v="5"/>
    <n v="299.95"/>
    <n v="4"/>
    <s v="Apparel"/>
    <n v="4670"/>
    <s v="Jabalpur"/>
    <d v="2018-12-25T00:00:00"/>
    <n v="12"/>
    <n v="2018"/>
    <s v="South Asia"/>
    <x v="14"/>
    <s v="PENDING"/>
    <s v="PENDING"/>
    <s v="Standard Class"/>
    <n v="299.95"/>
  </r>
  <r>
    <n v="24635"/>
    <s v="DEBIT"/>
    <n v="6"/>
    <n v="4"/>
    <s v="DELAYED"/>
    <n v="191"/>
    <n v="5"/>
    <n v="499.95"/>
    <n v="3"/>
    <s v="Footwear"/>
    <n v="7470"/>
    <s v="Sangli"/>
    <d v="2018-12-25T00:00:00"/>
    <n v="12"/>
    <n v="2018"/>
    <s v="South Asia"/>
    <x v="0"/>
    <s v="COMPLETE"/>
    <s v="COMPLETED"/>
    <s v="Standard Class"/>
    <n v="499.95"/>
  </r>
  <r>
    <n v="24636"/>
    <s v="DEBIT"/>
    <n v="2"/>
    <n v="4"/>
    <s v=" ONTIME"/>
    <n v="403"/>
    <n v="1"/>
    <n v="129.99"/>
    <n v="4"/>
    <s v="Apparel"/>
    <n v="2417"/>
    <s v="Sangli"/>
    <d v="2018-12-25T00:00:00"/>
    <n v="12"/>
    <n v="2018"/>
    <s v="South Asia"/>
    <x v="0"/>
    <s v="COMPLETE"/>
    <s v="COMPLETED"/>
    <s v="Standard Class"/>
    <n v="129.99"/>
  </r>
  <r>
    <n v="24637"/>
    <s v="TRANSFER"/>
    <n v="3"/>
    <n v="2"/>
    <s v="DELAYED"/>
    <n v="403"/>
    <n v="1"/>
    <n v="129.99"/>
    <n v="4"/>
    <s v="Apparel"/>
    <n v="4369"/>
    <s v="Sangli"/>
    <d v="2018-12-25T00:00:00"/>
    <n v="12"/>
    <n v="2018"/>
    <s v="South Asia"/>
    <x v="0"/>
    <s v="SUSPECTED_FRAUD"/>
    <s v="PENDING"/>
    <s v="Second Class"/>
    <n v="129.99"/>
  </r>
  <r>
    <n v="24648"/>
    <s v="TRANSFER"/>
    <n v="4"/>
    <n v="4"/>
    <s v=" ONTIME"/>
    <n v="502"/>
    <n v="3"/>
    <n v="150"/>
    <n v="5"/>
    <s v="Golf"/>
    <n v="7602"/>
    <s v="Bikaner"/>
    <d v="2018-12-25T00:00:00"/>
    <n v="12"/>
    <n v="2018"/>
    <s v="South Asia"/>
    <x v="2"/>
    <s v="PROCESSING"/>
    <s v="PENDING"/>
    <s v="Standard Class"/>
    <n v="150"/>
  </r>
  <r>
    <n v="24650"/>
    <s v="TRANSFER"/>
    <n v="6"/>
    <n v="4"/>
    <s v="DELAYED"/>
    <n v="365"/>
    <n v="5"/>
    <n v="299.95"/>
    <n v="4"/>
    <s v="Apparel"/>
    <n v="7270"/>
    <s v="Nellore"/>
    <d v="2018-12-25T00:00:00"/>
    <n v="12"/>
    <n v="2018"/>
    <s v="South Asia"/>
    <x v="15"/>
    <s v="SUSPECTED_FRAUD"/>
    <s v="PENDING"/>
    <s v="Standard Class"/>
    <n v="299.95"/>
  </r>
  <r>
    <n v="24651"/>
    <s v="DEBIT"/>
    <n v="2"/>
    <n v="4"/>
    <s v=" ONTIME"/>
    <n v="403"/>
    <n v="1"/>
    <n v="129.99"/>
    <n v="4"/>
    <s v="Apparel"/>
    <n v="2229"/>
    <s v="Nellore"/>
    <d v="2018-12-25T00:00:00"/>
    <n v="12"/>
    <n v="2018"/>
    <s v="South Asia"/>
    <x v="15"/>
    <s v="ON_HOLD"/>
    <s v="PENDING"/>
    <s v="Standard Class"/>
    <n v="129.99"/>
  </r>
  <r>
    <n v="24652"/>
    <s v="DEBIT"/>
    <n v="3"/>
    <n v="2"/>
    <s v="DELAYED"/>
    <n v="365"/>
    <n v="4"/>
    <n v="239.96"/>
    <n v="4"/>
    <s v="Apparel"/>
    <n v="935"/>
    <s v="Nellore"/>
    <d v="2018-12-25T00:00:00"/>
    <n v="12"/>
    <n v="2018"/>
    <s v="South Asia"/>
    <x v="15"/>
    <s v="COMPLETE"/>
    <s v="COMPLETED"/>
    <s v="Second Class"/>
    <n v="239.96"/>
  </r>
  <r>
    <n v="24653"/>
    <s v="TRANSFER"/>
    <n v="4"/>
    <n v="2"/>
    <s v="DELAYED"/>
    <n v="1073"/>
    <n v="1"/>
    <n v="199.99"/>
    <n v="7"/>
    <s v="Fan Shop"/>
    <n v="2703"/>
    <s v="Agra"/>
    <d v="2018-12-25T00:00:00"/>
    <n v="12"/>
    <n v="2018"/>
    <s v="South Asia"/>
    <x v="1"/>
    <s v="SUSPECTED_FRAUD"/>
    <s v="PENDING"/>
    <s v="Second Class"/>
    <n v="199.99"/>
  </r>
  <r>
    <n v="24654"/>
    <s v="PAYMENT"/>
    <n v="5"/>
    <n v="4"/>
    <s v="DELAYED"/>
    <n v="1073"/>
    <n v="1"/>
    <n v="199.99"/>
    <n v="7"/>
    <s v="Fan Shop"/>
    <n v="2620"/>
    <s v="Agra"/>
    <d v="2018-12-25T00:00:00"/>
    <n v="12"/>
    <n v="2018"/>
    <s v="South Asia"/>
    <x v="1"/>
    <s v="PENDING_PAYMENT"/>
    <s v="PENDING"/>
    <s v="Standard Class"/>
    <n v="199.99"/>
  </r>
  <r>
    <n v="24686"/>
    <s v="PAYMENT"/>
    <n v="2"/>
    <n v="4"/>
    <s v=" ONTIME"/>
    <n v="191"/>
    <n v="2"/>
    <n v="199.98"/>
    <n v="3"/>
    <s v="Footwear"/>
    <n v="6871"/>
    <s v="Aligarh"/>
    <d v="2018-12-26T00:00:00"/>
    <n v="12"/>
    <n v="2018"/>
    <s v="South Asia"/>
    <x v="1"/>
    <s v="PENDING_PAYMENT"/>
    <s v="PENDING"/>
    <s v="Standard Class"/>
    <n v="199.98"/>
  </r>
  <r>
    <n v="24687"/>
    <s v="TRANSFER"/>
    <n v="3"/>
    <n v="4"/>
    <s v=" ONTIME"/>
    <n v="365"/>
    <n v="2"/>
    <n v="119.98"/>
    <n v="4"/>
    <s v="Apparel"/>
    <n v="8821"/>
    <s v="Aligarh"/>
    <d v="2018-12-26T00:00:00"/>
    <n v="12"/>
    <n v="2018"/>
    <s v="South Asia"/>
    <x v="1"/>
    <s v="SUSPECTED_FRAUD"/>
    <s v="PENDING"/>
    <s v="Standard Class"/>
    <n v="119.98"/>
  </r>
  <r>
    <n v="24726"/>
    <s v="PAYMENT"/>
    <n v="2"/>
    <n v="4"/>
    <s v=" ONTIME"/>
    <n v="1014"/>
    <n v="3"/>
    <n v="149.94"/>
    <n v="7"/>
    <s v="Fan Shop"/>
    <n v="5179"/>
    <s v="Bilaspur"/>
    <d v="2018-12-26T00:00:00"/>
    <n v="12"/>
    <n v="2018"/>
    <s v="South Asia"/>
    <x v="1"/>
    <s v="PENDING_PAYMENT"/>
    <s v="PENDING"/>
    <s v="Standard Class"/>
    <n v="149.94"/>
  </r>
  <r>
    <n v="24727"/>
    <s v="CASH"/>
    <n v="3"/>
    <n v="2"/>
    <s v="DELAYED"/>
    <n v="1014"/>
    <n v="5"/>
    <n v="249.9"/>
    <n v="7"/>
    <s v="Fan Shop"/>
    <n v="5644"/>
    <s v="Bilaspur"/>
    <d v="2018-12-26T00:00:00"/>
    <n v="12"/>
    <n v="2018"/>
    <s v="South Asia"/>
    <x v="1"/>
    <s v="CLOSED"/>
    <s v="PENDING"/>
    <s v="Second Class"/>
    <n v="249.9"/>
  </r>
  <r>
    <n v="24728"/>
    <s v="PAYMENT"/>
    <n v="4"/>
    <n v="4"/>
    <s v=" ONTIME"/>
    <n v="957"/>
    <n v="1"/>
    <n v="299.98"/>
    <n v="7"/>
    <s v="Fan Shop"/>
    <n v="12233"/>
    <s v="Bilaspur"/>
    <d v="2018-12-26T00:00:00"/>
    <n v="12"/>
    <n v="2018"/>
    <s v="South Asia"/>
    <x v="1"/>
    <s v="PENDING_PAYMENT"/>
    <s v="PENDING"/>
    <s v="Standard Class"/>
    <n v="299.98"/>
  </r>
  <r>
    <n v="24754"/>
    <s v="CASH"/>
    <n v="0"/>
    <n v="0"/>
    <s v=" ONTIME"/>
    <n v="502"/>
    <n v="3"/>
    <n v="150"/>
    <n v="5"/>
    <s v="Golf"/>
    <n v="8750"/>
    <s v="Solapur"/>
    <d v="2018-12-27T00:00:00"/>
    <n v="12"/>
    <n v="2018"/>
    <s v="South Asia"/>
    <x v="0"/>
    <s v="CLOSED"/>
    <s v="PENDING"/>
    <s v="Same Day"/>
    <n v="150"/>
  </r>
  <r>
    <n v="24755"/>
    <s v="DEBIT"/>
    <n v="0"/>
    <n v="0"/>
    <s v=" ONTIME"/>
    <n v="135"/>
    <n v="3"/>
    <n v="66"/>
    <n v="2"/>
    <s v="Fitness"/>
    <n v="4012"/>
    <s v="Solapur"/>
    <d v="2018-12-27T00:00:00"/>
    <n v="12"/>
    <n v="2018"/>
    <s v="South Asia"/>
    <x v="0"/>
    <s v="COMPLETE"/>
    <s v="COMPLETED"/>
    <s v="Same Day"/>
    <n v="66"/>
  </r>
  <r>
    <n v="24756"/>
    <s v="DEBIT"/>
    <n v="0"/>
    <n v="0"/>
    <s v=" ONTIME"/>
    <n v="1014"/>
    <n v="1"/>
    <n v="49.98"/>
    <n v="7"/>
    <s v="Fan Shop"/>
    <n v="10137"/>
    <s v="Solapur"/>
    <d v="2018-12-27T00:00:00"/>
    <n v="12"/>
    <n v="2018"/>
    <s v="South Asia"/>
    <x v="0"/>
    <s v="COMPLETE"/>
    <s v="COMPLETED"/>
    <s v="Same Day"/>
    <n v="49.98"/>
  </r>
  <r>
    <n v="24757"/>
    <s v="PAYMENT"/>
    <n v="3"/>
    <n v="2"/>
    <s v="DELAYED"/>
    <n v="502"/>
    <n v="2"/>
    <n v="100"/>
    <n v="5"/>
    <s v="Golf"/>
    <n v="6471"/>
    <s v="Solapur"/>
    <d v="2018-12-27T00:00:00"/>
    <n v="12"/>
    <n v="2018"/>
    <s v="South Asia"/>
    <x v="0"/>
    <s v="PENDING_PAYMENT"/>
    <s v="PENDING"/>
    <s v="Second Class"/>
    <n v="100"/>
  </r>
  <r>
    <n v="24789"/>
    <s v="DEBIT"/>
    <n v="2"/>
    <n v="1"/>
    <s v="DELAYED"/>
    <n v="1004"/>
    <n v="1"/>
    <n v="399.98"/>
    <n v="7"/>
    <s v="Fan Shop"/>
    <n v="9377"/>
    <s v="Chennai"/>
    <d v="2018-12-27T00:00:00"/>
    <n v="12"/>
    <n v="2018"/>
    <s v="South Asia"/>
    <x v="3"/>
    <s v="COMPLETE"/>
    <s v="COMPLETED"/>
    <s v="First Class"/>
    <n v="399.98"/>
  </r>
  <r>
    <n v="24811"/>
    <s v="PAYMENT"/>
    <n v="2"/>
    <n v="4"/>
    <s v=" ONTIME"/>
    <n v="403"/>
    <n v="1"/>
    <n v="129.99"/>
    <n v="4"/>
    <s v="Apparel"/>
    <n v="12207"/>
    <s v="Mumbai"/>
    <d v="2018-12-28T00:00:00"/>
    <n v="12"/>
    <n v="2018"/>
    <s v="South Asia"/>
    <x v="0"/>
    <s v="PENDING_PAYMENT"/>
    <s v="PENDING"/>
    <s v="Standard Class"/>
    <n v="129.99"/>
  </r>
  <r>
    <n v="24815"/>
    <s v="CASH"/>
    <n v="6"/>
    <n v="4"/>
    <s v="DELAYED"/>
    <n v="191"/>
    <n v="4"/>
    <n v="399.96"/>
    <n v="3"/>
    <s v="Footwear"/>
    <n v="1553"/>
    <s v="Delhi"/>
    <d v="2018-12-28T00:00:00"/>
    <n v="12"/>
    <n v="2018"/>
    <s v="South Asia"/>
    <x v="11"/>
    <s v="CLOSED"/>
    <s v="PENDING"/>
    <s v="Standard Class"/>
    <n v="399.96"/>
  </r>
  <r>
    <n v="24827"/>
    <s v="PAYMENT"/>
    <n v="3"/>
    <n v="4"/>
    <s v=" ONTIME"/>
    <n v="365"/>
    <n v="1"/>
    <n v="59.99"/>
    <n v="4"/>
    <s v="Apparel"/>
    <n v="1715"/>
    <s v="Pune"/>
    <d v="2018-12-28T00:00:00"/>
    <n v="12"/>
    <n v="2018"/>
    <s v="South Asia"/>
    <x v="0"/>
    <s v="PENDING_PAYMENT"/>
    <s v="PENDING"/>
    <s v="Standard Class"/>
    <n v="59.99"/>
  </r>
  <r>
    <n v="24852"/>
    <s v="DEBIT"/>
    <n v="3"/>
    <n v="4"/>
    <s v=" ONTIME"/>
    <n v="728"/>
    <n v="4"/>
    <n v="260"/>
    <n v="6"/>
    <s v="Outdoors"/>
    <n v="8563"/>
    <s v="Ranchi"/>
    <d v="2018-12-28T00:00:00"/>
    <n v="12"/>
    <n v="2018"/>
    <s v="South Asia"/>
    <x v="12"/>
    <s v="COMPLETE"/>
    <s v="COMPLETED"/>
    <s v="Standard Class"/>
    <n v="260"/>
  </r>
  <r>
    <n v="24853"/>
    <s v="TRANSFER"/>
    <n v="4"/>
    <n v="4"/>
    <s v=" ONTIME"/>
    <n v="191"/>
    <n v="2"/>
    <n v="199.98"/>
    <n v="3"/>
    <s v="Footwear"/>
    <n v="4029"/>
    <s v="Ranchi"/>
    <d v="2018-12-28T00:00:00"/>
    <n v="12"/>
    <n v="2018"/>
    <s v="South Asia"/>
    <x v="12"/>
    <s v="PENDING"/>
    <s v="PENDING"/>
    <s v="Standard Class"/>
    <n v="199.98"/>
  </r>
  <r>
    <n v="24872"/>
    <s v="DEBIT"/>
    <n v="3"/>
    <n v="2"/>
    <s v="DELAYED"/>
    <n v="502"/>
    <n v="1"/>
    <n v="50"/>
    <n v="5"/>
    <s v="Golf"/>
    <n v="5355"/>
    <s v="Chennai"/>
    <d v="2018-12-29T00:00:00"/>
    <n v="12"/>
    <n v="2018"/>
    <s v="South Asia"/>
    <x v="3"/>
    <s v="COMPLETE"/>
    <s v="COMPLETED"/>
    <s v="Second Class"/>
    <n v="50"/>
  </r>
  <r>
    <n v="24873"/>
    <s v="CASH"/>
    <n v="4"/>
    <n v="2"/>
    <s v="DELAYED"/>
    <n v="957"/>
    <n v="1"/>
    <n v="299.98"/>
    <n v="7"/>
    <s v="Fan Shop"/>
    <n v="1346"/>
    <s v="Mumbai"/>
    <d v="2018-12-29T00:00:00"/>
    <n v="12"/>
    <n v="2018"/>
    <s v="South Asia"/>
    <x v="0"/>
    <s v="CLOSED"/>
    <s v="PENDING"/>
    <s v="Second Class"/>
    <n v="299.98"/>
  </r>
  <r>
    <n v="24874"/>
    <s v="PAYMENT"/>
    <n v="5"/>
    <n v="4"/>
    <s v="DELAYED"/>
    <n v="1073"/>
    <n v="1"/>
    <n v="199.99"/>
    <n v="7"/>
    <s v="Fan Shop"/>
    <n v="11376"/>
    <s v="Mumbai"/>
    <d v="2018-12-29T00:00:00"/>
    <n v="12"/>
    <n v="2018"/>
    <s v="South Asia"/>
    <x v="0"/>
    <s v="PENDING_PAYMENT"/>
    <s v="PENDING"/>
    <s v="Standard Class"/>
    <n v="199.99"/>
  </r>
  <r>
    <n v="24876"/>
    <s v="TRANSFER"/>
    <n v="2"/>
    <n v="4"/>
    <s v=" ONTIME"/>
    <n v="191"/>
    <n v="1"/>
    <n v="99.99"/>
    <n v="3"/>
    <s v="Footwear"/>
    <n v="8586"/>
    <s v="Jodhpur"/>
    <d v="2018-12-29T00:00:00"/>
    <n v="12"/>
    <n v="2018"/>
    <s v="South Asia"/>
    <x v="2"/>
    <s v="PROCESSING"/>
    <s v="PENDING"/>
    <s v="Standard Class"/>
    <n v="99.99"/>
  </r>
  <r>
    <n v="24877"/>
    <s v="DEBIT"/>
    <n v="2"/>
    <n v="1"/>
    <s v="DELAYED"/>
    <n v="191"/>
    <n v="2"/>
    <n v="199.98"/>
    <n v="3"/>
    <s v="Footwear"/>
    <n v="11396"/>
    <s v="Jodhpur"/>
    <d v="2018-12-29T00:00:00"/>
    <n v="12"/>
    <n v="2018"/>
    <s v="South Asia"/>
    <x v="2"/>
    <s v="COMPLETE"/>
    <s v="COMPLETED"/>
    <s v="First Class"/>
    <n v="199.98"/>
  </r>
  <r>
    <n v="24914"/>
    <s v="TRANSFER"/>
    <n v="2"/>
    <n v="1"/>
    <s v="DELAYED"/>
    <n v="403"/>
    <n v="1"/>
    <n v="129.99"/>
    <n v="4"/>
    <s v="Apparel"/>
    <n v="11751"/>
    <s v="Mangalore"/>
    <d v="2018-12-29T00:00:00"/>
    <n v="12"/>
    <n v="2018"/>
    <s v="South Asia"/>
    <x v="8"/>
    <s v="PROCESSING"/>
    <s v="PENDING"/>
    <s v="First Class"/>
    <n v="129.99"/>
  </r>
  <r>
    <n v="24935"/>
    <s v="DEBIT"/>
    <n v="6"/>
    <n v="2"/>
    <s v="DELAYED"/>
    <n v="957"/>
    <n v="1"/>
    <n v="299.98"/>
    <n v="7"/>
    <s v="Fan Shop"/>
    <n v="9928"/>
    <s v="Kanpur"/>
    <d v="2018-12-29T00:00:00"/>
    <n v="12"/>
    <n v="2018"/>
    <s v="South Asia"/>
    <x v="1"/>
    <s v="COMPLETE"/>
    <s v="COMPLETED"/>
    <s v="Second Class"/>
    <n v="299.98"/>
  </r>
  <r>
    <n v="24937"/>
    <s v="PAYMENT"/>
    <n v="3"/>
    <n v="4"/>
    <s v=" ONTIME"/>
    <n v="886"/>
    <n v="2"/>
    <n v="49.98"/>
    <n v="6"/>
    <s v="Outdoors"/>
    <n v="3898"/>
    <s v="Kanpur"/>
    <d v="2018-12-30T00:00:00"/>
    <n v="12"/>
    <n v="2018"/>
    <s v="South Asia"/>
    <x v="1"/>
    <s v="PENDING_PAYMENT"/>
    <s v="PENDING"/>
    <s v="Standard Class"/>
    <n v="49.98"/>
  </r>
  <r>
    <n v="24938"/>
    <s v="TRANSFER"/>
    <n v="4"/>
    <n v="4"/>
    <s v=" ONTIME"/>
    <n v="191"/>
    <n v="2"/>
    <n v="199.98"/>
    <n v="3"/>
    <s v="Footwear"/>
    <n v="11081"/>
    <s v="Kanpur"/>
    <d v="2018-12-30T00:00:00"/>
    <n v="12"/>
    <n v="2018"/>
    <s v="South Asia"/>
    <x v="1"/>
    <s v="PROCESSING"/>
    <s v="PENDING"/>
    <s v="Standard Class"/>
    <n v="199.98"/>
  </r>
  <r>
    <n v="24940"/>
    <s v="DEBIT"/>
    <n v="6"/>
    <n v="4"/>
    <s v="DELAYED"/>
    <n v="282"/>
    <n v="1"/>
    <n v="31.99"/>
    <n v="3"/>
    <s v="Footwear"/>
    <n v="12212"/>
    <s v="Srinagar"/>
    <d v="2018-12-30T00:00:00"/>
    <n v="12"/>
    <n v="2018"/>
    <s v="South Asia"/>
    <x v="19"/>
    <s v="COMPLETE"/>
    <s v="COMPLETED"/>
    <s v="Standard Class"/>
    <n v="31.99"/>
  </r>
  <r>
    <n v="24958"/>
    <s v="CASH"/>
    <n v="4"/>
    <n v="2"/>
    <s v="DELAYED"/>
    <n v="403"/>
    <n v="1"/>
    <n v="129.99"/>
    <n v="4"/>
    <s v="Apparel"/>
    <n v="5876"/>
    <s v="Indore"/>
    <d v="2018-12-30T00:00:00"/>
    <n v="12"/>
    <n v="2018"/>
    <s v="South Asia"/>
    <x v="14"/>
    <s v="CLOSED"/>
    <s v="PENDING"/>
    <s v="Second Class"/>
    <n v="129.99"/>
  </r>
  <r>
    <n v="24959"/>
    <s v="DEBIT"/>
    <n v="5"/>
    <n v="2"/>
    <s v="DELAYED"/>
    <n v="957"/>
    <n v="1"/>
    <n v="299.98"/>
    <n v="7"/>
    <s v="Fan Shop"/>
    <n v="1236"/>
    <s v="Indore"/>
    <d v="2018-12-30T00:00:00"/>
    <n v="12"/>
    <n v="2018"/>
    <s v="South Asia"/>
    <x v="14"/>
    <s v="COMPLETE"/>
    <s v="COMPLETED"/>
    <s v="Second Class"/>
    <n v="299.98"/>
  </r>
  <r>
    <n v="24970"/>
    <s v="TRANSFER"/>
    <n v="6"/>
    <n v="4"/>
    <s v="DELAYED"/>
    <n v="728"/>
    <n v="5"/>
    <n v="325"/>
    <n v="6"/>
    <s v="Outdoors"/>
    <n v="4064"/>
    <s v="Hyderabad"/>
    <d v="2018-12-30T00:00:00"/>
    <n v="12"/>
    <n v="2018"/>
    <s v="South Asia"/>
    <x v="7"/>
    <s v="PENDING"/>
    <s v="PENDING"/>
    <s v="Standard Class"/>
    <n v="325"/>
  </r>
  <r>
    <n v="24980"/>
    <s v="DEBIT"/>
    <n v="6"/>
    <n v="4"/>
    <s v="DELAYED"/>
    <n v="365"/>
    <n v="1"/>
    <n v="59.99"/>
    <n v="4"/>
    <s v="Apparel"/>
    <n v="8316"/>
    <s v="Mumbai"/>
    <d v="2018-12-30T00:00:00"/>
    <n v="12"/>
    <n v="2018"/>
    <s v="South Asia"/>
    <x v="0"/>
    <s v="COMPLETE"/>
    <s v="COMPLETED"/>
    <s v="Standard Class"/>
    <n v="59.99"/>
  </r>
  <r>
    <n v="24982"/>
    <s v="PAYMENT"/>
    <n v="3"/>
    <n v="4"/>
    <s v=" ONTIME"/>
    <n v="191"/>
    <n v="1"/>
    <n v="99.99"/>
    <n v="3"/>
    <s v="Footwear"/>
    <n v="1920"/>
    <s v="Aurangabad"/>
    <d v="2018-12-30T00:00:00"/>
    <n v="12"/>
    <n v="2018"/>
    <s v="South Asia"/>
    <x v="17"/>
    <s v="PENDING_PAYMENT"/>
    <s v="PENDING"/>
    <s v="Standard Class"/>
    <n v="99.99"/>
  </r>
  <r>
    <n v="24983"/>
    <s v="DEBIT"/>
    <n v="4"/>
    <n v="4"/>
    <s v=" ONTIME"/>
    <n v="502"/>
    <n v="1"/>
    <n v="50"/>
    <n v="5"/>
    <s v="Golf"/>
    <n v="1128"/>
    <s v="Aurangabad"/>
    <d v="2018-12-30T00:00:00"/>
    <n v="12"/>
    <n v="2018"/>
    <s v="South Asia"/>
    <x v="17"/>
    <s v="COMPLETE"/>
    <s v="COMPLETED"/>
    <s v="Standard Class"/>
    <n v="50"/>
  </r>
  <r>
    <n v="24984"/>
    <s v="DEBIT"/>
    <n v="5"/>
    <n v="4"/>
    <s v="DELAYED"/>
    <n v="1004"/>
    <n v="1"/>
    <n v="399.98"/>
    <n v="7"/>
    <s v="Fan Shop"/>
    <n v="970"/>
    <s v="Aurangabad"/>
    <d v="2018-12-30T00:00:00"/>
    <n v="12"/>
    <n v="2018"/>
    <s v="South Asia"/>
    <x v="17"/>
    <s v="COMPLETE"/>
    <s v="COMPLETED"/>
    <s v="Standard Class"/>
    <n v="399.98"/>
  </r>
  <r>
    <n v="24985"/>
    <s v="PAYMENT"/>
    <n v="6"/>
    <n v="4"/>
    <s v="DELAYED"/>
    <n v="957"/>
    <n v="1"/>
    <n v="299.98"/>
    <n v="7"/>
    <s v="Fan Shop"/>
    <n v="6857"/>
    <s v="Aurangabad"/>
    <d v="2018-12-30T00:00:00"/>
    <n v="12"/>
    <n v="2018"/>
    <s v="South Asia"/>
    <x v="17"/>
    <s v="PENDING_PAYMENT"/>
    <s v="PENDING"/>
    <s v="Standard Class"/>
    <n v="299.98"/>
  </r>
  <r>
    <n v="24996"/>
    <s v="TRANSFER"/>
    <n v="2"/>
    <n v="4"/>
    <s v=" ONTIME"/>
    <n v="502"/>
    <n v="2"/>
    <n v="100"/>
    <n v="5"/>
    <s v="Golf"/>
    <n v="10965"/>
    <s v="Kanpur"/>
    <d v="2018-12-30T00:00:00"/>
    <n v="12"/>
    <n v="2018"/>
    <s v="South Asia"/>
    <x v="1"/>
    <s v="PENDING"/>
    <s v="PENDING"/>
    <s v="Standard Class"/>
    <n v="100"/>
  </r>
  <r>
    <n v="24997"/>
    <s v="DEBIT"/>
    <n v="3"/>
    <n v="4"/>
    <s v=" ONTIME"/>
    <n v="926"/>
    <n v="1"/>
    <n v="15.99"/>
    <n v="6"/>
    <s v="Outdoors"/>
    <n v="3993"/>
    <s v="Kanpur"/>
    <d v="2018-12-30T00:00:00"/>
    <n v="12"/>
    <n v="2018"/>
    <s v="South Asia"/>
    <x v="1"/>
    <s v="COMPLETE"/>
    <s v="COMPLETED"/>
    <s v="Standard Class"/>
    <n v="15.99"/>
  </r>
  <r>
    <n v="25018"/>
    <s v="PAYMENT"/>
    <n v="4"/>
    <n v="4"/>
    <s v=" ONTIME"/>
    <n v="502"/>
    <n v="2"/>
    <n v="100"/>
    <n v="5"/>
    <s v="Golf"/>
    <n v="4207"/>
    <s v="Salem"/>
    <d v="2018-12-31T00:00:00"/>
    <n v="12"/>
    <n v="2018"/>
    <s v="South Asia"/>
    <x v="3"/>
    <s v="PENDING_PAYMENT"/>
    <s v="PENDING"/>
    <s v="Standard Class"/>
    <n v="100"/>
  </r>
  <r>
    <n v="25041"/>
    <s v="TRANSFER"/>
    <n v="2"/>
    <n v="1"/>
    <s v="DELAYED"/>
    <n v="365"/>
    <n v="1"/>
    <n v="59.99"/>
    <n v="4"/>
    <s v="Apparel"/>
    <n v="8476"/>
    <s v="Kota"/>
    <d v="2018-12-31T00:00:00"/>
    <n v="12"/>
    <n v="2018"/>
    <s v="South Asia"/>
    <x v="18"/>
    <s v="CANCELED"/>
    <s v="CANCELED"/>
    <s v="First Class"/>
    <n v="59.99"/>
  </r>
  <r>
    <n v="25042"/>
    <s v="PAYMENT"/>
    <n v="2"/>
    <n v="1"/>
    <s v="DELAYED"/>
    <n v="1004"/>
    <n v="1"/>
    <n v="399.98"/>
    <n v="7"/>
    <s v="Fan Shop"/>
    <n v="10291"/>
    <s v="Ujjain"/>
    <d v="2018-12-31T00:00:00"/>
    <n v="12"/>
    <n v="2018"/>
    <s v="South Asia"/>
    <x v="14"/>
    <s v="PENDING_PAYMENT"/>
    <s v="PENDING"/>
    <s v="First Class"/>
    <n v="399.98"/>
  </r>
  <r>
    <n v="25048"/>
    <s v="DEBIT"/>
    <n v="4"/>
    <n v="4"/>
    <s v=" ONTIME"/>
    <n v="403"/>
    <n v="1"/>
    <n v="129.99"/>
    <n v="4"/>
    <s v="Apparel"/>
    <n v="737"/>
    <s v="Kanpur"/>
    <d v="2018-12-31T00:00:00"/>
    <n v="12"/>
    <n v="2018"/>
    <s v="South Asia"/>
    <x v="1"/>
    <s v="COMPLETE"/>
    <s v="COMPLETED"/>
    <s v="Standard Class"/>
    <n v="129.99"/>
  </r>
  <r>
    <n v="25050"/>
    <s v="DEBIT"/>
    <n v="6"/>
    <n v="4"/>
    <s v="DELAYED"/>
    <n v="403"/>
    <n v="1"/>
    <n v="129.99"/>
    <n v="4"/>
    <s v="Apparel"/>
    <n v="10082"/>
    <s v="Mumbai"/>
    <d v="2018-12-31T00:00:00"/>
    <n v="12"/>
    <n v="2018"/>
    <s v="South Asia"/>
    <x v="0"/>
    <s v="COMPLETE"/>
    <s v="COMPLETED"/>
    <s v="Standard Class"/>
    <n v="129.99"/>
  </r>
  <r>
    <n v="25051"/>
    <s v="TRANSFER"/>
    <n v="2"/>
    <n v="4"/>
    <s v=" ONTIME"/>
    <n v="1004"/>
    <n v="1"/>
    <n v="399.98"/>
    <n v="7"/>
    <s v="Fan Shop"/>
    <n v="12295"/>
    <s v="Bhubaneswar"/>
    <d v="2018-12-31T00:00:00"/>
    <n v="12"/>
    <n v="2018"/>
    <s v="South Asia"/>
    <x v="13"/>
    <s v="PROCESSING"/>
    <s v="PENDING"/>
    <s v="Standard Class"/>
    <n v="399.98"/>
  </r>
  <r>
    <n v="25067"/>
    <s v="CASH"/>
    <n v="3"/>
    <n v="4"/>
    <s v=" ONTIME"/>
    <n v="365"/>
    <n v="1"/>
    <n v="59.99"/>
    <n v="4"/>
    <s v="Apparel"/>
    <n v="5608"/>
    <s v="Coimbatore"/>
    <d v="2018-12-31T00:00:00"/>
    <n v="12"/>
    <n v="2018"/>
    <s v="South Asia"/>
    <x v="3"/>
    <s v="CLOSED"/>
    <s v="PENDING"/>
    <s v="Standard Class"/>
    <n v="59.99"/>
  </r>
  <r>
    <n v="25096"/>
    <s v="TRANSFER"/>
    <n v="2"/>
    <n v="4"/>
    <s v=" ONTIME"/>
    <n v="365"/>
    <n v="4"/>
    <n v="239.96"/>
    <n v="4"/>
    <s v="Apparel"/>
    <n v="7000"/>
    <s v="Guwahati"/>
    <d v="2019-01-01T00:00:00"/>
    <n v="1"/>
    <n v="2019"/>
    <s v="South Asia"/>
    <x v="9"/>
    <s v="PROCESSING"/>
    <s v="PENDING"/>
    <s v="Standard Class"/>
    <n v="239.96"/>
  </r>
  <r>
    <n v="25097"/>
    <s v="DEBIT"/>
    <n v="3"/>
    <n v="4"/>
    <s v=" ONTIME"/>
    <n v="191"/>
    <n v="3"/>
    <n v="299.97000000000003"/>
    <n v="3"/>
    <s v="Footwear"/>
    <n v="5632"/>
    <s v="Guwahati"/>
    <d v="2019-01-01T00:00:00"/>
    <n v="1"/>
    <n v="2019"/>
    <s v="South Asia"/>
    <x v="9"/>
    <s v="COMPLETE"/>
    <s v="COMPLETED"/>
    <s v="Standard Class"/>
    <n v="299.97000000000003"/>
  </r>
  <r>
    <n v="25098"/>
    <s v="TRANSFER"/>
    <n v="4"/>
    <n v="4"/>
    <s v=" ONTIME"/>
    <n v="403"/>
    <n v="1"/>
    <n v="129.99"/>
    <n v="4"/>
    <s v="Apparel"/>
    <n v="11268"/>
    <s v="Guwahati"/>
    <d v="2019-01-01T00:00:00"/>
    <n v="1"/>
    <n v="2019"/>
    <s v="South Asia"/>
    <x v="9"/>
    <s v="PENDING"/>
    <s v="PENDING"/>
    <s v="Standard Class"/>
    <n v="129.99"/>
  </r>
  <r>
    <n v="25099"/>
    <s v="DEBIT"/>
    <n v="5"/>
    <n v="4"/>
    <s v="DELAYED"/>
    <n v="1014"/>
    <n v="3"/>
    <n v="149.94"/>
    <n v="7"/>
    <s v="Fan Shop"/>
    <n v="7716"/>
    <s v="Guwahati"/>
    <d v="2019-01-01T00:00:00"/>
    <n v="1"/>
    <n v="2019"/>
    <s v="South Asia"/>
    <x v="9"/>
    <s v="COMPLETE"/>
    <s v="COMPLETED"/>
    <s v="Standard Class"/>
    <n v="149.94"/>
  </r>
  <r>
    <n v="25102"/>
    <s v="TRANSFER"/>
    <n v="2"/>
    <n v="1"/>
    <s v="DELAYED"/>
    <n v="1073"/>
    <n v="1"/>
    <n v="199.99"/>
    <n v="7"/>
    <s v="Fan Shop"/>
    <n v="5309"/>
    <s v="Chennai"/>
    <d v="2019-01-01T00:00:00"/>
    <n v="1"/>
    <n v="2019"/>
    <s v="South Asia"/>
    <x v="3"/>
    <s v="PROCESSING"/>
    <s v="PENDING"/>
    <s v="First Class"/>
    <n v="199.99"/>
  </r>
  <r>
    <n v="25103"/>
    <s v="CASH"/>
    <n v="4"/>
    <n v="2"/>
    <s v="DELAYED"/>
    <n v="1004"/>
    <n v="1"/>
    <n v="399.98"/>
    <n v="7"/>
    <s v="Fan Shop"/>
    <n v="7841"/>
    <s v="Chennai"/>
    <d v="2019-01-01T00:00:00"/>
    <n v="1"/>
    <n v="2019"/>
    <s v="South Asia"/>
    <x v="3"/>
    <s v="CLOSED"/>
    <s v="PENDING"/>
    <s v="Second Class"/>
    <n v="399.98"/>
  </r>
  <r>
    <n v="25106"/>
    <s v="TRANSFER"/>
    <n v="2"/>
    <n v="4"/>
    <s v=" ONTIME"/>
    <n v="835"/>
    <n v="4"/>
    <n v="127.96"/>
    <n v="6"/>
    <s v="Outdoors"/>
    <n v="6450"/>
    <s v="Gorakhpur"/>
    <d v="2019-01-01T00:00:00"/>
    <n v="1"/>
    <n v="2019"/>
    <s v="South Asia"/>
    <x v="10"/>
    <s v="PROCESSING"/>
    <s v="PENDING"/>
    <s v="Standard Class"/>
    <n v="127.96"/>
  </r>
  <r>
    <n v="25108"/>
    <s v="TRANSFER"/>
    <n v="4"/>
    <n v="4"/>
    <s v=" ONTIME"/>
    <n v="1073"/>
    <n v="1"/>
    <n v="199.99"/>
    <n v="7"/>
    <s v="Fan Shop"/>
    <n v="2835"/>
    <s v="Thiruvananthapuram"/>
    <d v="2019-01-01T00:00:00"/>
    <n v="1"/>
    <n v="2019"/>
    <s v="South Asia"/>
    <x v="20"/>
    <s v="PROCESSING"/>
    <s v="PENDING"/>
    <s v="Standard Class"/>
    <n v="199.99"/>
  </r>
  <r>
    <n v="25110"/>
    <s v="DEBIT"/>
    <n v="2"/>
    <n v="1"/>
    <s v="DELAYED"/>
    <n v="134"/>
    <n v="2"/>
    <n v="50"/>
    <n v="2"/>
    <s v="Fitness"/>
    <n v="3561"/>
    <s v="Thiruvananthapuram"/>
    <d v="2019-01-01T00:00:00"/>
    <n v="1"/>
    <n v="2019"/>
    <s v="South Asia"/>
    <x v="20"/>
    <s v="COMPLETE"/>
    <s v="COMPLETED"/>
    <s v="First Class"/>
    <n v="50"/>
  </r>
  <r>
    <n v="25111"/>
    <s v="CASH"/>
    <n v="2"/>
    <n v="1"/>
    <s v="DELAYED"/>
    <n v="1014"/>
    <n v="2"/>
    <n v="99.96"/>
    <n v="7"/>
    <s v="Fan Shop"/>
    <n v="9586"/>
    <s v="Tiruppur"/>
    <d v="2019-01-01T00:00:00"/>
    <n v="1"/>
    <n v="2019"/>
    <s v="South Asia"/>
    <x v="3"/>
    <s v="CLOSED"/>
    <s v="PENDING"/>
    <s v="First Class"/>
    <n v="99.96"/>
  </r>
  <r>
    <n v="25113"/>
    <s v="DEBIT"/>
    <n v="2"/>
    <n v="1"/>
    <s v="DELAYED"/>
    <n v="502"/>
    <n v="1"/>
    <n v="50"/>
    <n v="5"/>
    <s v="Golf"/>
    <n v="11937"/>
    <s v="Tiruppur"/>
    <d v="2019-01-01T00:00:00"/>
    <n v="1"/>
    <n v="2019"/>
    <s v="South Asia"/>
    <x v="3"/>
    <s v="COMPLETE"/>
    <s v="COMPLETED"/>
    <s v="First Class"/>
    <n v="50"/>
  </r>
  <r>
    <n v="25114"/>
    <s v="PAYMENT"/>
    <n v="2"/>
    <n v="1"/>
    <s v="DELAYED"/>
    <n v="1004"/>
    <n v="1"/>
    <n v="399.98"/>
    <n v="7"/>
    <s v="Fan Shop"/>
    <n v="7963"/>
    <s v="Tiruppur"/>
    <d v="2019-01-01T00:00:00"/>
    <n v="1"/>
    <n v="2019"/>
    <s v="South Asia"/>
    <x v="3"/>
    <s v="PENDING_PAYMENT"/>
    <s v="PENDING"/>
    <s v="First Class"/>
    <n v="399.98"/>
  </r>
  <r>
    <n v="25115"/>
    <s v="CASH"/>
    <n v="2"/>
    <n v="1"/>
    <s v="DELAYED"/>
    <n v="885"/>
    <n v="1"/>
    <n v="24.99"/>
    <n v="6"/>
    <s v="Outdoors"/>
    <n v="7436"/>
    <s v="Tiruppur"/>
    <d v="2019-01-01T00:00:00"/>
    <n v="1"/>
    <n v="2019"/>
    <s v="South Asia"/>
    <x v="3"/>
    <s v="CLOSED"/>
    <s v="PENDING"/>
    <s v="First Class"/>
    <n v="24.99"/>
  </r>
  <r>
    <n v="25116"/>
    <s v="PAYMENT"/>
    <n v="2"/>
    <n v="1"/>
    <s v="DELAYED"/>
    <n v="885"/>
    <n v="4"/>
    <n v="99.96"/>
    <n v="6"/>
    <s v="Outdoors"/>
    <n v="9427"/>
    <s v="Tiruppur"/>
    <d v="2019-01-01T00:00:00"/>
    <n v="1"/>
    <n v="2019"/>
    <s v="South Asia"/>
    <x v="3"/>
    <s v="PENDING_PAYMENT"/>
    <s v="PENDING"/>
    <s v="First Class"/>
    <n v="99.96"/>
  </r>
  <r>
    <n v="25117"/>
    <s v="CASH"/>
    <n v="2"/>
    <n v="1"/>
    <s v="DELAYED"/>
    <n v="627"/>
    <n v="2"/>
    <n v="79.98"/>
    <n v="5"/>
    <s v="Golf"/>
    <n v="4435"/>
    <s v="Tiruppur"/>
    <d v="2019-01-01T00:00:00"/>
    <n v="1"/>
    <n v="2019"/>
    <s v="South Asia"/>
    <x v="3"/>
    <s v="CLOSED"/>
    <s v="PENDING"/>
    <s v="First Class"/>
    <n v="79.98"/>
  </r>
  <r>
    <n v="25131"/>
    <s v="TRANSFER"/>
    <n v="2"/>
    <n v="2"/>
    <s v=" ONTIME"/>
    <n v="403"/>
    <n v="1"/>
    <n v="129.99"/>
    <n v="4"/>
    <s v="Apparel"/>
    <n v="6696"/>
    <s v="Rajkot"/>
    <d v="2019-01-01T00:00:00"/>
    <n v="1"/>
    <n v="2019"/>
    <s v="South Asia"/>
    <x v="4"/>
    <s v="PROCESSING"/>
    <s v="PENDING"/>
    <s v="Second Class"/>
    <n v="129.99"/>
  </r>
  <r>
    <n v="25132"/>
    <s v="DEBIT"/>
    <n v="2"/>
    <n v="1"/>
    <s v="DELAYED"/>
    <n v="957"/>
    <n v="1"/>
    <n v="299.98"/>
    <n v="7"/>
    <s v="Fan Shop"/>
    <n v="11268"/>
    <s v="Rajkot"/>
    <d v="2019-01-01T00:00:00"/>
    <n v="1"/>
    <n v="2019"/>
    <s v="South Asia"/>
    <x v="4"/>
    <s v="ON_HOLD"/>
    <s v="PENDING"/>
    <s v="First Class"/>
    <n v="299.98"/>
  </r>
  <r>
    <n v="25133"/>
    <s v="TRANSFER"/>
    <n v="4"/>
    <n v="2"/>
    <s v="DELAYED"/>
    <n v="771"/>
    <n v="2"/>
    <n v="79.98"/>
    <n v="6"/>
    <s v="Outdoors"/>
    <n v="8292"/>
    <s v="Rajkot"/>
    <d v="2019-01-01T00:00:00"/>
    <n v="1"/>
    <n v="2019"/>
    <s v="South Asia"/>
    <x v="4"/>
    <s v="PROCESSING"/>
    <s v="PENDING"/>
    <s v="Second Class"/>
    <n v="79.98"/>
  </r>
  <r>
    <n v="25140"/>
    <s v="TRANSFER"/>
    <n v="6"/>
    <n v="4"/>
    <s v="DELAYED"/>
    <n v="365"/>
    <n v="1"/>
    <n v="59.99"/>
    <n v="4"/>
    <s v="Apparel"/>
    <n v="39"/>
    <s v="Srinagar"/>
    <d v="2019-01-01T00:00:00"/>
    <n v="1"/>
    <n v="2019"/>
    <s v="South Asia"/>
    <x v="19"/>
    <s v="PROCESSING"/>
    <s v="PENDING"/>
    <s v="Standard Class"/>
    <n v="59.99"/>
  </r>
  <r>
    <n v="25141"/>
    <s v="DEBIT"/>
    <n v="2"/>
    <n v="4"/>
    <s v=" ONTIME"/>
    <n v="627"/>
    <n v="1"/>
    <n v="39.99"/>
    <n v="5"/>
    <s v="Golf"/>
    <n v="8700"/>
    <s v="Srinagar"/>
    <d v="2019-01-01T00:00:00"/>
    <n v="1"/>
    <n v="2019"/>
    <s v="South Asia"/>
    <x v="19"/>
    <s v="COMPLETE"/>
    <s v="COMPLETED"/>
    <s v="Standard Class"/>
    <n v="39.99"/>
  </r>
  <r>
    <n v="25183"/>
    <s v="TRANSFER"/>
    <n v="2"/>
    <n v="1"/>
    <s v="DELAYED"/>
    <n v="1073"/>
    <n v="1"/>
    <n v="199.99"/>
    <n v="7"/>
    <s v="Fan Shop"/>
    <n v="11442"/>
    <s v="Lucknow"/>
    <d v="2019-01-02T00:00:00"/>
    <n v="1"/>
    <n v="2019"/>
    <s v="South Asia"/>
    <x v="1"/>
    <s v="PENDING"/>
    <s v="PENDING"/>
    <s v="First Class"/>
    <n v="199.99"/>
  </r>
  <r>
    <n v="25184"/>
    <s v="PAYMENT"/>
    <n v="2"/>
    <n v="1"/>
    <s v="DELAYED"/>
    <n v="797"/>
    <n v="1"/>
    <n v="17.989999999999998"/>
    <n v="6"/>
    <s v="Outdoors"/>
    <n v="3818"/>
    <s v="Lucknow"/>
    <d v="2019-01-02T00:00:00"/>
    <n v="1"/>
    <n v="2019"/>
    <s v="South Asia"/>
    <x v="1"/>
    <s v="PENDING_PAYMENT"/>
    <s v="PENDING"/>
    <s v="First Class"/>
    <n v="17.989999999999998"/>
  </r>
  <r>
    <n v="25203"/>
    <s v="TRANSFER"/>
    <n v="1"/>
    <n v="0"/>
    <s v="DELAYED"/>
    <n v="403"/>
    <n v="1"/>
    <n v="129.99"/>
    <n v="4"/>
    <s v="Apparel"/>
    <n v="12013"/>
    <s v="Jaipur"/>
    <d v="2019-01-02T00:00:00"/>
    <n v="1"/>
    <n v="2019"/>
    <s v="South Asia"/>
    <x v="2"/>
    <s v="SUSPECTED_FRAUD"/>
    <s v="PENDING"/>
    <s v="Same Day"/>
    <n v="129.99"/>
  </r>
  <r>
    <n v="25204"/>
    <s v="CASH"/>
    <n v="5"/>
    <n v="4"/>
    <s v="DELAYED"/>
    <n v="502"/>
    <n v="2"/>
    <n v="100"/>
    <n v="5"/>
    <s v="Golf"/>
    <n v="7629"/>
    <s v="Jaipur"/>
    <d v="2019-01-02T00:00:00"/>
    <n v="1"/>
    <n v="2019"/>
    <s v="South Asia"/>
    <x v="2"/>
    <s v="CLOSED"/>
    <s v="PENDING"/>
    <s v="Standard Class"/>
    <n v="100"/>
  </r>
  <r>
    <n v="25205"/>
    <s v="PAYMENT"/>
    <n v="6"/>
    <n v="4"/>
    <s v="DELAYED"/>
    <n v="403"/>
    <n v="1"/>
    <n v="129.99"/>
    <n v="4"/>
    <s v="Apparel"/>
    <n v="427"/>
    <s v="Jaipur"/>
    <d v="2019-01-02T00:00:00"/>
    <n v="1"/>
    <n v="2019"/>
    <s v="South Asia"/>
    <x v="2"/>
    <s v="PENDING_PAYMENT"/>
    <s v="PENDING"/>
    <s v="Standard Class"/>
    <n v="129.99"/>
  </r>
  <r>
    <n v="25206"/>
    <s v="TRANSFER"/>
    <n v="2"/>
    <n v="4"/>
    <s v=" ONTIME"/>
    <n v="403"/>
    <n v="1"/>
    <n v="129.99"/>
    <n v="4"/>
    <s v="Apparel"/>
    <n v="3074"/>
    <s v="Jaipur"/>
    <d v="2019-01-02T00:00:00"/>
    <n v="1"/>
    <n v="2019"/>
    <s v="South Asia"/>
    <x v="2"/>
    <s v="PROCESSING"/>
    <s v="PENDING"/>
    <s v="Standard Class"/>
    <n v="129.99"/>
  </r>
  <r>
    <n v="25207"/>
    <s v="DEBIT"/>
    <n v="3"/>
    <n v="4"/>
    <s v=" ONTIME"/>
    <n v="957"/>
    <n v="1"/>
    <n v="299.98"/>
    <n v="7"/>
    <s v="Fan Shop"/>
    <n v="9162"/>
    <s v="Jaipur"/>
    <d v="2019-01-02T00:00:00"/>
    <n v="1"/>
    <n v="2019"/>
    <s v="South Asia"/>
    <x v="2"/>
    <s v="COMPLETE"/>
    <s v="COMPLETED"/>
    <s v="Standard Class"/>
    <n v="299.98"/>
  </r>
  <r>
    <n v="25228"/>
    <s v="PAYMENT"/>
    <n v="4"/>
    <n v="4"/>
    <s v=" ONTIME"/>
    <n v="365"/>
    <n v="3"/>
    <n v="179.97"/>
    <n v="4"/>
    <s v="Apparel"/>
    <n v="4936"/>
    <s v="Ujjain"/>
    <d v="2019-01-03T00:00:00"/>
    <n v="1"/>
    <n v="2019"/>
    <s v="South Asia"/>
    <x v="14"/>
    <s v="PENDING_PAYMENT"/>
    <s v="PENDING"/>
    <s v="Standard Class"/>
    <n v="179.97"/>
  </r>
  <r>
    <n v="25243"/>
    <s v="DEBIT"/>
    <n v="4"/>
    <n v="2"/>
    <s v="DELAYED"/>
    <n v="365"/>
    <n v="1"/>
    <n v="59.99"/>
    <n v="4"/>
    <s v="Apparel"/>
    <n v="4593"/>
    <s v="Mathura"/>
    <d v="2019-01-03T00:00:00"/>
    <n v="1"/>
    <n v="2019"/>
    <s v="South Asia"/>
    <x v="1"/>
    <s v="COMPLETE"/>
    <s v="COMPLETED"/>
    <s v="Second Class"/>
    <n v="59.99"/>
  </r>
  <r>
    <n v="25244"/>
    <s v="DEBIT"/>
    <n v="5"/>
    <n v="2"/>
    <s v="DELAYED"/>
    <n v="403"/>
    <n v="1"/>
    <n v="129.99"/>
    <n v="4"/>
    <s v="Apparel"/>
    <n v="2300"/>
    <s v="Mathura"/>
    <d v="2019-01-03T00:00:00"/>
    <n v="1"/>
    <n v="2019"/>
    <s v="South Asia"/>
    <x v="1"/>
    <s v="COMPLETE"/>
    <s v="COMPLETED"/>
    <s v="Second Class"/>
    <n v="129.99"/>
  </r>
  <r>
    <n v="25246"/>
    <s v="TRANSFER"/>
    <n v="2"/>
    <n v="2"/>
    <s v=" ONTIME"/>
    <n v="1004"/>
    <n v="1"/>
    <n v="399.98"/>
    <n v="7"/>
    <s v="Fan Shop"/>
    <n v="9708"/>
    <s v="Dewas"/>
    <d v="2019-01-03T00:00:00"/>
    <n v="1"/>
    <n v="2019"/>
    <s v="South Asia"/>
    <x v="14"/>
    <s v="PROCESSING"/>
    <s v="PENDING"/>
    <s v="Second Class"/>
    <n v="399.98"/>
  </r>
  <r>
    <n v="25247"/>
    <s v="TRANSFER"/>
    <n v="3"/>
    <n v="2"/>
    <s v="DELAYED"/>
    <n v="403"/>
    <n v="1"/>
    <n v="129.99"/>
    <n v="4"/>
    <s v="Apparel"/>
    <n v="715"/>
    <s v="Dewas"/>
    <d v="2019-01-03T00:00:00"/>
    <n v="1"/>
    <n v="2019"/>
    <s v="South Asia"/>
    <x v="14"/>
    <s v="PROCESSING"/>
    <s v="PENDING"/>
    <s v="Second Class"/>
    <n v="129.99"/>
  </r>
  <r>
    <n v="25248"/>
    <s v="PAYMENT"/>
    <n v="4"/>
    <n v="2"/>
    <s v="DELAYED"/>
    <n v="403"/>
    <n v="1"/>
    <n v="129.99"/>
    <n v="4"/>
    <s v="Apparel"/>
    <n v="8397"/>
    <s v="Dewas"/>
    <d v="2019-01-03T00:00:00"/>
    <n v="1"/>
    <n v="2019"/>
    <s v="South Asia"/>
    <x v="14"/>
    <s v="PENDING_PAYMENT"/>
    <s v="PENDING"/>
    <s v="Second Class"/>
    <n v="129.99"/>
  </r>
  <r>
    <n v="25249"/>
    <s v="DEBIT"/>
    <n v="5"/>
    <n v="2"/>
    <s v="DELAYED"/>
    <n v="502"/>
    <n v="1"/>
    <n v="50"/>
    <n v="5"/>
    <s v="Golf"/>
    <n v="8481"/>
    <s v="Dewas"/>
    <d v="2019-01-03T00:00:00"/>
    <n v="1"/>
    <n v="2019"/>
    <s v="South Asia"/>
    <x v="14"/>
    <s v="COMPLETE"/>
    <s v="COMPLETED"/>
    <s v="Second Class"/>
    <n v="50"/>
  </r>
  <r>
    <n v="25250"/>
    <s v="TRANSFER"/>
    <n v="6"/>
    <n v="4"/>
    <s v="DELAYED"/>
    <n v="1073"/>
    <n v="1"/>
    <n v="199.99"/>
    <n v="7"/>
    <s v="Fan Shop"/>
    <n v="9023"/>
    <s v="Dewas"/>
    <d v="2019-01-03T00:00:00"/>
    <n v="1"/>
    <n v="2019"/>
    <s v="South Asia"/>
    <x v="14"/>
    <s v="PENDING"/>
    <s v="PENDING"/>
    <s v="Standard Class"/>
    <n v="199.99"/>
  </r>
  <r>
    <n v="25277"/>
    <s v="PAYMENT"/>
    <n v="3"/>
    <n v="4"/>
    <s v=" ONTIME"/>
    <n v="957"/>
    <n v="1"/>
    <n v="299.98"/>
    <n v="7"/>
    <s v="Fan Shop"/>
    <n v="11130"/>
    <s v="Nasik"/>
    <d v="2019-01-03T00:00:00"/>
    <n v="1"/>
    <n v="2019"/>
    <s v="South Asia"/>
    <x v="0"/>
    <s v="PENDING_PAYMENT"/>
    <s v="PENDING"/>
    <s v="Standard Class"/>
    <n v="299.98"/>
  </r>
  <r>
    <n v="25299"/>
    <s v="DEBIT"/>
    <n v="5"/>
    <n v="4"/>
    <s v="DELAYED"/>
    <n v="365"/>
    <n v="5"/>
    <n v="299.95"/>
    <n v="4"/>
    <s v="Apparel"/>
    <n v="3177"/>
    <s v="Guntur"/>
    <d v="2019-01-04T00:00:00"/>
    <n v="1"/>
    <n v="2019"/>
    <s v="South Asia"/>
    <x v="15"/>
    <s v="COMPLETE"/>
    <s v="COMPLETED"/>
    <s v="Standard Class"/>
    <n v="299.95"/>
  </r>
  <r>
    <n v="25300"/>
    <s v="DEBIT"/>
    <n v="6"/>
    <n v="4"/>
    <s v="DELAYED"/>
    <n v="957"/>
    <n v="1"/>
    <n v="299.98"/>
    <n v="7"/>
    <s v="Fan Shop"/>
    <n v="12335"/>
    <s v="Guntur"/>
    <d v="2019-01-04T00:00:00"/>
    <n v="1"/>
    <n v="2019"/>
    <s v="South Asia"/>
    <x v="15"/>
    <s v="COMPLETE"/>
    <s v="COMPLETED"/>
    <s v="Standard Class"/>
    <n v="299.98"/>
  </r>
  <r>
    <n v="25301"/>
    <s v="DEBIT"/>
    <n v="2"/>
    <n v="4"/>
    <s v=" ONTIME"/>
    <n v="1014"/>
    <n v="5"/>
    <n v="249.9"/>
    <n v="7"/>
    <s v="Fan Shop"/>
    <n v="2848"/>
    <s v="Guntur"/>
    <d v="2019-01-04T00:00:00"/>
    <n v="1"/>
    <n v="2019"/>
    <s v="South Asia"/>
    <x v="15"/>
    <s v="COMPLETE"/>
    <s v="COMPLETED"/>
    <s v="Standard Class"/>
    <n v="249.9"/>
  </r>
  <r>
    <n v="25344"/>
    <s v="DEBIT"/>
    <n v="2"/>
    <n v="1"/>
    <s v="DELAYED"/>
    <n v="627"/>
    <n v="4"/>
    <n v="159.96"/>
    <n v="5"/>
    <s v="Golf"/>
    <n v="7434"/>
    <s v="Baranagar"/>
    <d v="2019-01-04T00:00:00"/>
    <n v="1"/>
    <n v="2019"/>
    <s v="South Asia"/>
    <x v="6"/>
    <s v="COMPLETE"/>
    <s v="COMPLETED"/>
    <s v="First Class"/>
    <n v="159.96"/>
  </r>
  <r>
    <n v="25350"/>
    <s v="DEBIT"/>
    <n v="6"/>
    <n v="4"/>
    <s v="DELAYED"/>
    <n v="627"/>
    <n v="5"/>
    <n v="199.95"/>
    <n v="5"/>
    <s v="Golf"/>
    <n v="11059"/>
    <s v="Bhiwandi"/>
    <d v="2019-01-05T00:00:00"/>
    <n v="1"/>
    <n v="2019"/>
    <s v="South Asia"/>
    <x v="0"/>
    <s v="COMPLETE"/>
    <s v="COMPLETED"/>
    <s v="Standard Class"/>
    <n v="199.95"/>
  </r>
  <r>
    <n v="25351"/>
    <s v="DEBIT"/>
    <n v="2"/>
    <n v="4"/>
    <s v=" ONTIME"/>
    <n v="365"/>
    <n v="1"/>
    <n v="59.99"/>
    <n v="4"/>
    <s v="Apparel"/>
    <n v="2309"/>
    <s v="Bhiwandi"/>
    <d v="2019-01-05T00:00:00"/>
    <n v="1"/>
    <n v="2019"/>
    <s v="South Asia"/>
    <x v="0"/>
    <s v="COMPLETE"/>
    <s v="COMPLETED"/>
    <s v="Standard Class"/>
    <n v="59.99"/>
  </r>
  <r>
    <n v="25353"/>
    <s v="PAYMENT"/>
    <n v="4"/>
    <n v="4"/>
    <s v=" ONTIME"/>
    <n v="365"/>
    <n v="3"/>
    <n v="179.97"/>
    <n v="4"/>
    <s v="Apparel"/>
    <n v="1707"/>
    <s v="Bhiwandi"/>
    <d v="2019-01-05T00:00:00"/>
    <n v="1"/>
    <n v="2019"/>
    <s v="South Asia"/>
    <x v="0"/>
    <s v="PENDING_PAYMENT"/>
    <s v="PENDING"/>
    <s v="Standard Class"/>
    <n v="179.97"/>
  </r>
  <r>
    <n v="25360"/>
    <s v="DEBIT"/>
    <n v="6"/>
    <n v="2"/>
    <s v="DELAYED"/>
    <n v="1004"/>
    <n v="1"/>
    <n v="399.98"/>
    <n v="7"/>
    <s v="Fan Shop"/>
    <n v="9990"/>
    <s v="Jodhpur"/>
    <d v="2019-01-05T00:00:00"/>
    <n v="1"/>
    <n v="2019"/>
    <s v="South Asia"/>
    <x v="2"/>
    <s v="ON_HOLD"/>
    <s v="PENDING"/>
    <s v="Second Class"/>
    <n v="399.98"/>
  </r>
  <r>
    <n v="25376"/>
    <s v="DEBIT"/>
    <n v="2"/>
    <n v="4"/>
    <s v=" ONTIME"/>
    <n v="957"/>
    <n v="1"/>
    <n v="299.98"/>
    <n v="7"/>
    <s v="Fan Shop"/>
    <n v="7217"/>
    <s v="Chennai"/>
    <d v="2019-01-05T00:00:00"/>
    <n v="1"/>
    <n v="2019"/>
    <s v="South Asia"/>
    <x v="3"/>
    <s v="COMPLETE"/>
    <s v="COMPLETED"/>
    <s v="Standard Class"/>
    <n v="299.98"/>
  </r>
  <r>
    <n v="25398"/>
    <s v="DEBIT"/>
    <n v="4"/>
    <n v="4"/>
    <s v=" ONTIME"/>
    <n v="365"/>
    <n v="1"/>
    <n v="59.99"/>
    <n v="4"/>
    <s v="Apparel"/>
    <n v="12082"/>
    <s v="Rajkot"/>
    <d v="2019-01-05T00:00:00"/>
    <n v="1"/>
    <n v="2019"/>
    <s v="South Asia"/>
    <x v="4"/>
    <s v="COMPLETE"/>
    <s v="COMPLETED"/>
    <s v="Standard Class"/>
    <n v="59.99"/>
  </r>
  <r>
    <n v="25405"/>
    <s v="DEBIT"/>
    <n v="6"/>
    <n v="2"/>
    <s v="DELAYED"/>
    <n v="403"/>
    <n v="1"/>
    <n v="129.99"/>
    <n v="4"/>
    <s v="Apparel"/>
    <n v="227"/>
    <s v="Belgaum"/>
    <d v="2019-01-05T00:00:00"/>
    <n v="1"/>
    <n v="2019"/>
    <s v="South Asia"/>
    <x v="8"/>
    <s v="COMPLETE"/>
    <s v="COMPLETED"/>
    <s v="Second Class"/>
    <n v="129.99"/>
  </r>
  <r>
    <n v="25416"/>
    <s v="PAYMENT"/>
    <n v="2"/>
    <n v="4"/>
    <s v=" ONTIME"/>
    <n v="191"/>
    <n v="4"/>
    <n v="399.96"/>
    <n v="3"/>
    <s v="Footwear"/>
    <n v="11522"/>
    <s v="Ludhiana"/>
    <d v="2019-01-06T00:00:00"/>
    <n v="1"/>
    <n v="2019"/>
    <s v="South Asia"/>
    <x v="16"/>
    <s v="PENDING_PAYMENT"/>
    <s v="PENDING"/>
    <s v="Standard Class"/>
    <n v="399.96"/>
  </r>
  <r>
    <n v="25417"/>
    <s v="PAYMENT"/>
    <n v="3"/>
    <n v="4"/>
    <s v=" ONTIME"/>
    <n v="627"/>
    <n v="1"/>
    <n v="39.99"/>
    <n v="5"/>
    <s v="Golf"/>
    <n v="684"/>
    <s v="Ludhiana"/>
    <d v="2019-01-06T00:00:00"/>
    <n v="1"/>
    <n v="2019"/>
    <s v="South Asia"/>
    <x v="16"/>
    <s v="PENDING_PAYMENT"/>
    <s v="PENDING"/>
    <s v="Standard Class"/>
    <n v="39.99"/>
  </r>
  <r>
    <n v="25434"/>
    <s v="PAYMENT"/>
    <n v="5"/>
    <n v="4"/>
    <s v="DELAYED"/>
    <n v="403"/>
    <n v="1"/>
    <n v="129.99"/>
    <n v="4"/>
    <s v="Apparel"/>
    <n v="7910"/>
    <s v="Surat"/>
    <d v="2019-01-06T00:00:00"/>
    <n v="1"/>
    <n v="2019"/>
    <s v="South Asia"/>
    <x v="4"/>
    <s v="PENDING_PAYMENT"/>
    <s v="PENDING"/>
    <s v="Standard Class"/>
    <n v="129.99"/>
  </r>
  <r>
    <n v="25443"/>
    <s v="TRANSFER"/>
    <n v="4"/>
    <n v="4"/>
    <s v=" ONTIME"/>
    <n v="365"/>
    <n v="3"/>
    <n v="179.97"/>
    <n v="4"/>
    <s v="Apparel"/>
    <n v="11723"/>
    <s v="Kochi"/>
    <d v="2019-01-06T00:00:00"/>
    <n v="1"/>
    <n v="2019"/>
    <s v="South Asia"/>
    <x v="20"/>
    <s v="CANCELED"/>
    <s v="CANCELED"/>
    <s v="Standard Class"/>
    <n v="179.97"/>
  </r>
  <r>
    <n v="25444"/>
    <s v="DEBIT"/>
    <n v="5"/>
    <n v="4"/>
    <s v="DELAYED"/>
    <n v="403"/>
    <n v="1"/>
    <n v="129.99"/>
    <n v="4"/>
    <s v="Apparel"/>
    <n v="8930"/>
    <s v="Kochi"/>
    <d v="2019-01-06T00:00:00"/>
    <n v="1"/>
    <n v="2019"/>
    <s v="South Asia"/>
    <x v="20"/>
    <s v="COMPLETE"/>
    <s v="COMPLETED"/>
    <s v="Standard Class"/>
    <n v="129.99"/>
  </r>
  <r>
    <n v="25445"/>
    <s v="DEBIT"/>
    <n v="6"/>
    <n v="4"/>
    <s v="DELAYED"/>
    <n v="703"/>
    <n v="1"/>
    <n v="19.989999999999998"/>
    <n v="6"/>
    <s v="Outdoors"/>
    <n v="10042"/>
    <s v="Kochi"/>
    <d v="2019-01-06T00:00:00"/>
    <n v="1"/>
    <n v="2019"/>
    <s v="South Asia"/>
    <x v="20"/>
    <s v="COMPLETE"/>
    <s v="COMPLETED"/>
    <s v="Standard Class"/>
    <n v="19.989999999999998"/>
  </r>
  <r>
    <n v="25446"/>
    <s v="PAYMENT"/>
    <n v="2"/>
    <n v="4"/>
    <s v=" ONTIME"/>
    <n v="1073"/>
    <n v="1"/>
    <n v="199.99"/>
    <n v="7"/>
    <s v="Fan Shop"/>
    <n v="11134"/>
    <s v="Kochi"/>
    <d v="2019-01-06T00:00:00"/>
    <n v="1"/>
    <n v="2019"/>
    <s v="South Asia"/>
    <x v="20"/>
    <s v="PENDING_PAYMENT"/>
    <s v="PENDING"/>
    <s v="Standard Class"/>
    <n v="199.99"/>
  </r>
  <r>
    <n v="25450"/>
    <s v="TRANSFER"/>
    <n v="6"/>
    <n v="4"/>
    <s v="DELAYED"/>
    <n v="1073"/>
    <n v="1"/>
    <n v="199.99"/>
    <n v="7"/>
    <s v="Fan Shop"/>
    <n v="8166"/>
    <s v="Meerut"/>
    <d v="2019-01-06T00:00:00"/>
    <n v="1"/>
    <n v="2019"/>
    <s v="South Asia"/>
    <x v="1"/>
    <s v="PROCESSING"/>
    <s v="PENDING"/>
    <s v="Standard Class"/>
    <n v="199.99"/>
  </r>
  <r>
    <n v="25468"/>
    <s v="PAYMENT"/>
    <n v="4"/>
    <n v="4"/>
    <s v=" ONTIME"/>
    <n v="365"/>
    <n v="1"/>
    <n v="59.99"/>
    <n v="4"/>
    <s v="Apparel"/>
    <n v="3992"/>
    <s v="Bihar Sharif"/>
    <d v="2019-01-06T00:00:00"/>
    <n v="1"/>
    <n v="2019"/>
    <s v="South Asia"/>
    <x v="17"/>
    <s v="PENDING_PAYMENT"/>
    <s v="PENDING"/>
    <s v="Standard Class"/>
    <n v="59.99"/>
  </r>
  <r>
    <n v="25469"/>
    <s v="DEBIT"/>
    <n v="1"/>
    <n v="0"/>
    <s v="DELAYED"/>
    <n v="403"/>
    <n v="1"/>
    <n v="129.99"/>
    <n v="4"/>
    <s v="Apparel"/>
    <n v="821"/>
    <s v="Bihar Sharif"/>
    <d v="2019-01-06T00:00:00"/>
    <n v="1"/>
    <n v="2019"/>
    <s v="South Asia"/>
    <x v="17"/>
    <s v="COMPLETE"/>
    <s v="COMPLETED"/>
    <s v="Same Day"/>
    <n v="129.99"/>
  </r>
  <r>
    <n v="25470"/>
    <s v="PAYMENT"/>
    <n v="1"/>
    <n v="0"/>
    <s v="DELAYED"/>
    <n v="365"/>
    <n v="1"/>
    <n v="59.99"/>
    <n v="4"/>
    <s v="Apparel"/>
    <n v="2055"/>
    <s v="Bihar Sharif"/>
    <d v="2019-01-06T00:00:00"/>
    <n v="1"/>
    <n v="2019"/>
    <s v="South Asia"/>
    <x v="17"/>
    <s v="PENDING_PAYMENT"/>
    <s v="PENDING"/>
    <s v="Same Day"/>
    <n v="59.99"/>
  </r>
  <r>
    <n v="25471"/>
    <s v="DEBIT"/>
    <n v="2"/>
    <n v="2"/>
    <s v=" ONTIME"/>
    <n v="957"/>
    <n v="1"/>
    <n v="299.98"/>
    <n v="7"/>
    <s v="Fan Shop"/>
    <n v="891"/>
    <s v="Bihar Sharif"/>
    <d v="2019-01-06T00:00:00"/>
    <n v="1"/>
    <n v="2019"/>
    <s v="South Asia"/>
    <x v="17"/>
    <s v="ON_HOLD"/>
    <s v="PENDING"/>
    <s v="Second Class"/>
    <n v="299.98"/>
  </r>
  <r>
    <n v="25473"/>
    <s v="TRANSFER"/>
    <n v="4"/>
    <n v="2"/>
    <s v="DELAYED"/>
    <n v="1073"/>
    <n v="1"/>
    <n v="199.99"/>
    <n v="7"/>
    <s v="Fan Shop"/>
    <n v="12290"/>
    <s v="Ranchi"/>
    <d v="2019-01-06T00:00:00"/>
    <n v="1"/>
    <n v="2019"/>
    <s v="South Asia"/>
    <x v="12"/>
    <s v="CANCELED"/>
    <s v="CANCELED"/>
    <s v="Second Class"/>
    <n v="199.99"/>
  </r>
  <r>
    <n v="25474"/>
    <s v="DEBIT"/>
    <n v="2"/>
    <n v="1"/>
    <s v="DELAYED"/>
    <n v="703"/>
    <n v="3"/>
    <n v="59.97"/>
    <n v="6"/>
    <s v="Outdoors"/>
    <n v="11112"/>
    <s v="Chennai"/>
    <d v="2019-01-06T00:00:00"/>
    <n v="1"/>
    <n v="2019"/>
    <s v="South Asia"/>
    <x v="3"/>
    <s v="COMPLETE"/>
    <s v="COMPLETED"/>
    <s v="First Class"/>
    <n v="59.97"/>
  </r>
  <r>
    <n v="25477"/>
    <s v="PAYMENT"/>
    <n v="3"/>
    <n v="4"/>
    <s v=" ONTIME"/>
    <n v="403"/>
    <n v="1"/>
    <n v="129.99"/>
    <n v="4"/>
    <s v="Apparel"/>
    <n v="6694"/>
    <s v="Warangal"/>
    <d v="2019-01-06T00:00:00"/>
    <n v="1"/>
    <n v="2019"/>
    <s v="South Asia"/>
    <x v="7"/>
    <s v="PENDING_PAYMENT"/>
    <s v="PENDING"/>
    <s v="Standard Class"/>
    <n v="129.99"/>
  </r>
  <r>
    <n v="25483"/>
    <s v="DEBIT"/>
    <n v="4"/>
    <n v="4"/>
    <s v=" ONTIME"/>
    <n v="1004"/>
    <n v="1"/>
    <n v="399.98"/>
    <n v="7"/>
    <s v="Fan Shop"/>
    <n v="5530"/>
    <s v="Ajmer"/>
    <d v="2019-01-06T00:00:00"/>
    <n v="1"/>
    <n v="2019"/>
    <s v="South Asia"/>
    <x v="2"/>
    <s v="COMPLETE"/>
    <s v="COMPLETED"/>
    <s v="Standard Class"/>
    <n v="399.98"/>
  </r>
  <r>
    <n v="25484"/>
    <s v="DEBIT"/>
    <n v="5"/>
    <n v="4"/>
    <s v="DELAYED"/>
    <n v="821"/>
    <n v="4"/>
    <n v="207.96"/>
    <n v="6"/>
    <s v="Outdoors"/>
    <n v="2236"/>
    <s v="Ajmer"/>
    <d v="2019-01-06T00:00:00"/>
    <n v="1"/>
    <n v="2019"/>
    <s v="South Asia"/>
    <x v="2"/>
    <s v="COMPLETE"/>
    <s v="COMPLETED"/>
    <s v="Standard Class"/>
    <n v="207.96"/>
  </r>
  <r>
    <n v="25485"/>
    <s v="PAYMENT"/>
    <n v="6"/>
    <n v="4"/>
    <s v="DELAYED"/>
    <n v="502"/>
    <n v="1"/>
    <n v="50"/>
    <n v="5"/>
    <s v="Golf"/>
    <n v="6448"/>
    <s v="Ajmer"/>
    <d v="2019-01-07T00:00:00"/>
    <n v="1"/>
    <n v="2019"/>
    <s v="South Asia"/>
    <x v="2"/>
    <s v="PENDING_PAYMENT"/>
    <s v="PENDING"/>
    <s v="Standard Class"/>
    <n v="50"/>
  </r>
  <r>
    <n v="25486"/>
    <s v="DEBIT"/>
    <n v="2"/>
    <n v="4"/>
    <s v=" ONTIME"/>
    <n v="627"/>
    <n v="1"/>
    <n v="39.99"/>
    <n v="5"/>
    <s v="Golf"/>
    <n v="3549"/>
    <s v="Kanpur"/>
    <d v="2019-01-07T00:00:00"/>
    <n v="1"/>
    <n v="2019"/>
    <s v="South Asia"/>
    <x v="1"/>
    <s v="COMPLETE"/>
    <s v="COMPLETED"/>
    <s v="Standard Class"/>
    <n v="39.99"/>
  </r>
  <r>
    <n v="25487"/>
    <s v="PAYMENT"/>
    <n v="2"/>
    <n v="1"/>
    <s v="DELAYED"/>
    <n v="1004"/>
    <n v="1"/>
    <n v="399.98"/>
    <n v="7"/>
    <s v="Fan Shop"/>
    <n v="10796"/>
    <s v="Kanpur"/>
    <d v="2019-01-07T00:00:00"/>
    <n v="1"/>
    <n v="2019"/>
    <s v="South Asia"/>
    <x v="1"/>
    <s v="PENDING_PAYMENT"/>
    <s v="PENDING"/>
    <s v="First Class"/>
    <n v="399.98"/>
  </r>
  <r>
    <n v="25488"/>
    <s v="TRANSFER"/>
    <n v="2"/>
    <n v="1"/>
    <s v="DELAYED"/>
    <n v="403"/>
    <n v="1"/>
    <n v="129.99"/>
    <n v="4"/>
    <s v="Apparel"/>
    <n v="8394"/>
    <s v="Kanpur"/>
    <d v="2019-01-07T00:00:00"/>
    <n v="1"/>
    <n v="2019"/>
    <s v="South Asia"/>
    <x v="1"/>
    <s v="PENDING"/>
    <s v="PENDING"/>
    <s v="First Class"/>
    <n v="129.99"/>
  </r>
  <r>
    <n v="25489"/>
    <s v="CASH"/>
    <n v="2"/>
    <n v="1"/>
    <s v="DELAYED"/>
    <n v="957"/>
    <n v="1"/>
    <n v="299.98"/>
    <n v="7"/>
    <s v="Fan Shop"/>
    <n v="11898"/>
    <s v="Kanpur"/>
    <d v="2019-01-07T00:00:00"/>
    <n v="1"/>
    <n v="2019"/>
    <s v="South Asia"/>
    <x v="1"/>
    <s v="CLOSED"/>
    <s v="PENDING"/>
    <s v="First Class"/>
    <n v="299.98"/>
  </r>
  <r>
    <n v="25490"/>
    <s v="PAYMENT"/>
    <n v="2"/>
    <n v="1"/>
    <s v="DELAYED"/>
    <n v="403"/>
    <n v="1"/>
    <n v="129.99"/>
    <n v="4"/>
    <s v="Apparel"/>
    <n v="10508"/>
    <s v="Kanpur"/>
    <d v="2019-01-07T00:00:00"/>
    <n v="1"/>
    <n v="2019"/>
    <s v="South Asia"/>
    <x v="1"/>
    <s v="PENDING_PAYMENT"/>
    <s v="PENDING"/>
    <s v="First Class"/>
    <n v="129.99"/>
  </r>
  <r>
    <n v="25503"/>
    <s v="DEBIT"/>
    <n v="4"/>
    <n v="4"/>
    <s v=" ONTIME"/>
    <n v="1004"/>
    <n v="1"/>
    <n v="399.98"/>
    <n v="7"/>
    <s v="Fan Shop"/>
    <n v="8791"/>
    <s v="Coimbatore"/>
    <d v="2019-01-07T00:00:00"/>
    <n v="1"/>
    <n v="2019"/>
    <s v="South Asia"/>
    <x v="3"/>
    <s v="COMPLETE"/>
    <s v="COMPLETED"/>
    <s v="Standard Class"/>
    <n v="399.98"/>
  </r>
  <r>
    <n v="25504"/>
    <s v="DEBIT"/>
    <n v="5"/>
    <n v="4"/>
    <s v="DELAYED"/>
    <n v="502"/>
    <n v="5"/>
    <n v="250"/>
    <n v="5"/>
    <s v="Golf"/>
    <n v="4323"/>
    <s v="Coimbatore"/>
    <d v="2019-01-07T00:00:00"/>
    <n v="1"/>
    <n v="2019"/>
    <s v="South Asia"/>
    <x v="3"/>
    <s v="ON_HOLD"/>
    <s v="PENDING"/>
    <s v="Standard Class"/>
    <n v="250"/>
  </r>
  <r>
    <n v="25505"/>
    <s v="PAYMENT"/>
    <n v="6"/>
    <n v="4"/>
    <s v="DELAYED"/>
    <n v="627"/>
    <n v="3"/>
    <n v="119.97"/>
    <n v="5"/>
    <s v="Golf"/>
    <n v="9619"/>
    <s v="Visakhapatnam"/>
    <d v="2019-01-07T00:00:00"/>
    <n v="1"/>
    <n v="2019"/>
    <s v="South Asia"/>
    <x v="15"/>
    <s v="PENDING_PAYMENT"/>
    <s v="PENDING"/>
    <s v="Standard Class"/>
    <n v="119.97"/>
  </r>
  <r>
    <n v="25506"/>
    <s v="DEBIT"/>
    <n v="2"/>
    <n v="4"/>
    <s v=" ONTIME"/>
    <n v="502"/>
    <n v="5"/>
    <n v="250"/>
    <n v="5"/>
    <s v="Golf"/>
    <n v="4945"/>
    <s v="Korba"/>
    <d v="2019-01-07T00:00:00"/>
    <n v="1"/>
    <n v="2019"/>
    <s v="South Asia"/>
    <x v="18"/>
    <s v="COMPLETE"/>
    <s v="COMPLETED"/>
    <s v="Standard Class"/>
    <n v="250"/>
  </r>
  <r>
    <n v="25507"/>
    <s v="TRANSFER"/>
    <n v="2"/>
    <n v="1"/>
    <s v="DELAYED"/>
    <n v="502"/>
    <n v="1"/>
    <n v="50"/>
    <n v="5"/>
    <s v="Golf"/>
    <n v="6691"/>
    <s v="Korba"/>
    <d v="2019-01-07T00:00:00"/>
    <n v="1"/>
    <n v="2019"/>
    <s v="South Asia"/>
    <x v="18"/>
    <s v="PENDING"/>
    <s v="PENDING"/>
    <s v="First Class"/>
    <n v="50"/>
  </r>
  <r>
    <n v="25508"/>
    <s v="TRANSFER"/>
    <n v="2"/>
    <n v="1"/>
    <s v="DELAYED"/>
    <n v="1014"/>
    <n v="5"/>
    <n v="249.9"/>
    <n v="7"/>
    <s v="Fan Shop"/>
    <n v="3493"/>
    <s v="Korba"/>
    <d v="2019-01-07T00:00:00"/>
    <n v="1"/>
    <n v="2019"/>
    <s v="South Asia"/>
    <x v="18"/>
    <s v="PROCESSING"/>
    <s v="PENDING"/>
    <s v="First Class"/>
    <n v="249.9"/>
  </r>
  <r>
    <n v="25510"/>
    <s v="TRANSFER"/>
    <n v="6"/>
    <n v="4"/>
    <s v="DELAYED"/>
    <n v="1004"/>
    <n v="1"/>
    <n v="399.98"/>
    <n v="7"/>
    <s v="Fan Shop"/>
    <n v="477"/>
    <s v="Pune"/>
    <d v="2019-01-07T00:00:00"/>
    <n v="1"/>
    <n v="2019"/>
    <s v="South Asia"/>
    <x v="0"/>
    <s v="PROCESSING"/>
    <s v="PENDING"/>
    <s v="Standard Class"/>
    <n v="399.98"/>
  </r>
  <r>
    <n v="25511"/>
    <s v="TRANSFER"/>
    <n v="2"/>
    <n v="2"/>
    <s v=" ONTIME"/>
    <n v="1014"/>
    <n v="4"/>
    <n v="199.92"/>
    <n v="7"/>
    <s v="Fan Shop"/>
    <n v="7226"/>
    <s v="Pune"/>
    <d v="2019-01-07T00:00:00"/>
    <n v="1"/>
    <n v="2019"/>
    <s v="South Asia"/>
    <x v="0"/>
    <s v="PENDING"/>
    <s v="PENDING"/>
    <s v="Second Class"/>
    <n v="199.92"/>
  </r>
  <r>
    <n v="25528"/>
    <s v="PAYMENT"/>
    <n v="4"/>
    <n v="4"/>
    <s v=" ONTIME"/>
    <n v="957"/>
    <n v="1"/>
    <n v="299.98"/>
    <n v="7"/>
    <s v="Fan Shop"/>
    <n v="4232"/>
    <s v="Dhule"/>
    <d v="2019-01-07T00:00:00"/>
    <n v="1"/>
    <n v="2019"/>
    <s v="South Asia"/>
    <x v="0"/>
    <s v="PENDING_PAYMENT"/>
    <s v="PENDING"/>
    <s v="Standard Class"/>
    <n v="299.98"/>
  </r>
  <r>
    <n v="25540"/>
    <s v="TRANSFER"/>
    <n v="6"/>
    <n v="4"/>
    <s v="DELAYED"/>
    <n v="1004"/>
    <n v="1"/>
    <n v="399.98"/>
    <n v="7"/>
    <s v="Fan Shop"/>
    <n v="6348"/>
    <s v="Guwahati"/>
    <d v="2019-01-07T00:00:00"/>
    <n v="1"/>
    <n v="2019"/>
    <s v="South Asia"/>
    <x v="9"/>
    <s v="PROCESSING"/>
    <s v="PENDING"/>
    <s v="Standard Class"/>
    <n v="399.98"/>
  </r>
  <r>
    <n v="25541"/>
    <s v="DEBIT"/>
    <n v="1"/>
    <n v="0"/>
    <s v="DELAYED"/>
    <n v="1014"/>
    <n v="3"/>
    <n v="149.94"/>
    <n v="7"/>
    <s v="Fan Shop"/>
    <n v="3508"/>
    <s v="Guwahati"/>
    <d v="2019-01-07T00:00:00"/>
    <n v="1"/>
    <n v="2019"/>
    <s v="South Asia"/>
    <x v="9"/>
    <s v="COMPLETE"/>
    <s v="COMPLETED"/>
    <s v="Same Day"/>
    <n v="149.94"/>
  </r>
  <r>
    <n v="25542"/>
    <s v="DEBIT"/>
    <n v="1"/>
    <n v="0"/>
    <s v="DELAYED"/>
    <n v="403"/>
    <n v="1"/>
    <n v="129.99"/>
    <n v="4"/>
    <s v="Apparel"/>
    <n v="4022"/>
    <s v="Guwahati"/>
    <d v="2019-01-07T00:00:00"/>
    <n v="1"/>
    <n v="2019"/>
    <s v="South Asia"/>
    <x v="9"/>
    <s v="COMPLETE"/>
    <s v="COMPLETED"/>
    <s v="Same Day"/>
    <n v="129.99"/>
  </r>
  <r>
    <n v="25543"/>
    <s v="PAYMENT"/>
    <n v="1"/>
    <n v="0"/>
    <s v="DELAYED"/>
    <n v="1073"/>
    <n v="1"/>
    <n v="199.99"/>
    <n v="7"/>
    <s v="Fan Shop"/>
    <n v="6597"/>
    <s v="Guwahati"/>
    <d v="2019-01-07T00:00:00"/>
    <n v="1"/>
    <n v="2019"/>
    <s v="South Asia"/>
    <x v="9"/>
    <s v="PENDING_PAYMENT"/>
    <s v="PENDING"/>
    <s v="Same Day"/>
    <n v="199.99"/>
  </r>
  <r>
    <n v="25552"/>
    <s v="DEBIT"/>
    <n v="3"/>
    <n v="4"/>
    <s v=" ONTIME"/>
    <n v="365"/>
    <n v="5"/>
    <n v="299.95"/>
    <n v="4"/>
    <s v="Apparel"/>
    <n v="4190"/>
    <s v="Bhavnagar"/>
    <d v="2019-01-07T00:00:00"/>
    <n v="1"/>
    <n v="2019"/>
    <s v="South Asia"/>
    <x v="4"/>
    <s v="COMPLETE"/>
    <s v="COMPLETED"/>
    <s v="Standard Class"/>
    <n v="299.95"/>
  </r>
  <r>
    <n v="25553"/>
    <s v="PAYMENT"/>
    <n v="4"/>
    <n v="4"/>
    <s v=" ONTIME"/>
    <n v="403"/>
    <n v="1"/>
    <n v="129.99"/>
    <n v="4"/>
    <s v="Apparel"/>
    <n v="6707"/>
    <s v="Bhavnagar"/>
    <d v="2019-01-08T00:00:00"/>
    <n v="1"/>
    <n v="2019"/>
    <s v="South Asia"/>
    <x v="4"/>
    <s v="PENDING_PAYMENT"/>
    <s v="PENDING"/>
    <s v="Standard Class"/>
    <n v="129.99"/>
  </r>
  <r>
    <n v="25570"/>
    <s v="TRANSFER"/>
    <n v="6"/>
    <n v="4"/>
    <s v="DELAYED"/>
    <n v="365"/>
    <n v="2"/>
    <n v="119.98"/>
    <n v="4"/>
    <s v="Apparel"/>
    <n v="5372"/>
    <s v="Jammu"/>
    <d v="2019-01-08T00:00:00"/>
    <n v="1"/>
    <n v="2019"/>
    <s v="South Asia"/>
    <x v="21"/>
    <s v="PENDING"/>
    <s v="PENDING"/>
    <s v="Standard Class"/>
    <n v="119.98"/>
  </r>
  <r>
    <n v="25587"/>
    <s v="PAYMENT"/>
    <n v="2"/>
    <n v="1"/>
    <s v="DELAYED"/>
    <n v="1004"/>
    <n v="1"/>
    <n v="399.98"/>
    <n v="7"/>
    <s v="Fan Shop"/>
    <n v="2569"/>
    <s v="Visakhapatnam"/>
    <d v="2019-01-08T00:00:00"/>
    <n v="1"/>
    <n v="2019"/>
    <s v="South Asia"/>
    <x v="15"/>
    <s v="PENDING_PAYMENT"/>
    <s v="PENDING"/>
    <s v="First Class"/>
    <n v="399.98"/>
  </r>
  <r>
    <n v="25588"/>
    <s v="DEBIT"/>
    <n v="2"/>
    <n v="1"/>
    <s v="DELAYED"/>
    <n v="957"/>
    <n v="1"/>
    <n v="299.98"/>
    <n v="7"/>
    <s v="Fan Shop"/>
    <n v="607"/>
    <s v="Visakhapatnam"/>
    <d v="2019-01-08T00:00:00"/>
    <n v="1"/>
    <n v="2019"/>
    <s v="South Asia"/>
    <x v="15"/>
    <s v="COMPLETE"/>
    <s v="COMPLETED"/>
    <s v="First Class"/>
    <n v="299.98"/>
  </r>
  <r>
    <n v="25589"/>
    <s v="PAYMENT"/>
    <n v="2"/>
    <n v="1"/>
    <s v="DELAYED"/>
    <n v="502"/>
    <n v="4"/>
    <n v="200"/>
    <n v="5"/>
    <s v="Golf"/>
    <n v="8397"/>
    <s v="Visakhapatnam"/>
    <d v="2019-01-08T00:00:00"/>
    <n v="1"/>
    <n v="2019"/>
    <s v="South Asia"/>
    <x v="15"/>
    <s v="PENDING_PAYMENT"/>
    <s v="PENDING"/>
    <s v="First Class"/>
    <n v="200"/>
  </r>
  <r>
    <n v="25591"/>
    <s v="CASH"/>
    <n v="2"/>
    <n v="1"/>
    <s v="DELAYED"/>
    <n v="191"/>
    <n v="1"/>
    <n v="99.99"/>
    <n v="3"/>
    <s v="Footwear"/>
    <n v="3704"/>
    <s v="Visakhapatnam"/>
    <d v="2019-01-08T00:00:00"/>
    <n v="1"/>
    <n v="2019"/>
    <s v="South Asia"/>
    <x v="15"/>
    <s v="CLOSED"/>
    <s v="PENDING"/>
    <s v="First Class"/>
    <n v="99.99"/>
  </r>
  <r>
    <n v="25596"/>
    <s v="DEBIT"/>
    <n v="2"/>
    <n v="4"/>
    <s v=" ONTIME"/>
    <n v="365"/>
    <n v="1"/>
    <n v="59.99"/>
    <n v="4"/>
    <s v="Apparel"/>
    <n v="9106"/>
    <s v="Agra"/>
    <d v="2019-01-08T00:00:00"/>
    <n v="1"/>
    <n v="2019"/>
    <s v="South Asia"/>
    <x v="1"/>
    <s v="COMPLETE"/>
    <s v="COMPLETED"/>
    <s v="Standard Class"/>
    <n v="59.99"/>
  </r>
  <r>
    <n v="25597"/>
    <s v="DEBIT"/>
    <n v="3"/>
    <n v="4"/>
    <s v=" ONTIME"/>
    <n v="502"/>
    <n v="5"/>
    <n v="250"/>
    <n v="5"/>
    <s v="Golf"/>
    <n v="6308"/>
    <s v="Agra"/>
    <d v="2019-01-08T00:00:00"/>
    <n v="1"/>
    <n v="2019"/>
    <s v="South Asia"/>
    <x v="1"/>
    <s v="ON_HOLD"/>
    <s v="PENDING"/>
    <s v="Standard Class"/>
    <n v="250"/>
  </r>
  <r>
    <n v="25616"/>
    <s v="DEBIT"/>
    <n v="2"/>
    <n v="1"/>
    <s v="DELAYED"/>
    <n v="1073"/>
    <n v="1"/>
    <n v="199.99"/>
    <n v="7"/>
    <s v="Fan Shop"/>
    <n v="4929"/>
    <s v="Srinagar"/>
    <d v="2019-01-08T00:00:00"/>
    <n v="1"/>
    <n v="2019"/>
    <s v="South Asia"/>
    <x v="21"/>
    <s v="COMPLETE"/>
    <s v="COMPLETED"/>
    <s v="First Class"/>
    <n v="199.99"/>
  </r>
  <r>
    <n v="25617"/>
    <s v="TRANSFER"/>
    <n v="2"/>
    <n v="1"/>
    <s v="DELAYED"/>
    <n v="403"/>
    <n v="1"/>
    <n v="129.99"/>
    <n v="4"/>
    <s v="Apparel"/>
    <n v="7842"/>
    <s v="Srinagar"/>
    <d v="2019-01-08T00:00:00"/>
    <n v="1"/>
    <n v="2019"/>
    <s v="South Asia"/>
    <x v="21"/>
    <s v="PENDING"/>
    <s v="PENDING"/>
    <s v="First Class"/>
    <n v="129.99"/>
  </r>
  <r>
    <n v="25619"/>
    <s v="PAYMENT"/>
    <n v="2"/>
    <n v="1"/>
    <s v="DELAYED"/>
    <n v="191"/>
    <n v="5"/>
    <n v="499.95"/>
    <n v="3"/>
    <s v="Footwear"/>
    <n v="7349"/>
    <s v="Durg"/>
    <d v="2019-01-08T00:00:00"/>
    <n v="1"/>
    <n v="2019"/>
    <s v="South Asia"/>
    <x v="18"/>
    <s v="PAYMENT_REVIEW"/>
    <s v="PENDING"/>
    <s v="First Class"/>
    <n v="499.95"/>
  </r>
  <r>
    <n v="25620"/>
    <s v="TRANSFER"/>
    <n v="6"/>
    <n v="2"/>
    <s v="DELAYED"/>
    <n v="365"/>
    <n v="1"/>
    <n v="59.99"/>
    <n v="4"/>
    <s v="Apparel"/>
    <n v="4469"/>
    <s v="Durg"/>
    <d v="2019-01-08T00:00:00"/>
    <n v="1"/>
    <n v="2019"/>
    <s v="South Asia"/>
    <x v="18"/>
    <s v="PROCESSING"/>
    <s v="PENDING"/>
    <s v="Second Class"/>
    <n v="59.99"/>
  </r>
  <r>
    <n v="25659"/>
    <s v="TRANSFER"/>
    <n v="5"/>
    <n v="4"/>
    <s v="DELAYED"/>
    <n v="627"/>
    <n v="1"/>
    <n v="39.99"/>
    <n v="5"/>
    <s v="Golf"/>
    <n v="8697"/>
    <s v="Raipur"/>
    <d v="2019-01-09T00:00:00"/>
    <n v="1"/>
    <n v="2019"/>
    <s v="South Asia"/>
    <x v="19"/>
    <s v="PROCESSING"/>
    <s v="PENDING"/>
    <s v="Standard Class"/>
    <n v="39.99"/>
  </r>
  <r>
    <n v="25662"/>
    <s v="TRANSFER"/>
    <n v="3"/>
    <n v="4"/>
    <s v=" ONTIME"/>
    <n v="1073"/>
    <n v="1"/>
    <n v="199.99"/>
    <n v="7"/>
    <s v="Fan Shop"/>
    <n v="8268"/>
    <s v="Chennai"/>
    <d v="2019-01-09T00:00:00"/>
    <n v="1"/>
    <n v="2019"/>
    <s v="South Asia"/>
    <x v="3"/>
    <s v="PROCESSING"/>
    <s v="PENDING"/>
    <s v="Standard Class"/>
    <n v="199.99"/>
  </r>
  <r>
    <n v="25663"/>
    <s v="DEBIT"/>
    <n v="4"/>
    <n v="2"/>
    <s v="DELAYED"/>
    <n v="403"/>
    <n v="1"/>
    <n v="129.99"/>
    <n v="4"/>
    <s v="Apparel"/>
    <n v="8079"/>
    <s v="Chennai"/>
    <d v="2019-01-09T00:00:00"/>
    <n v="1"/>
    <n v="2019"/>
    <s v="South Asia"/>
    <x v="3"/>
    <s v="COMPLETE"/>
    <s v="COMPLETED"/>
    <s v="Second Class"/>
    <n v="129.99"/>
  </r>
  <r>
    <n v="25664"/>
    <s v="CASH"/>
    <n v="5"/>
    <n v="2"/>
    <s v="DELAYED"/>
    <n v="365"/>
    <n v="1"/>
    <n v="59.99"/>
    <n v="4"/>
    <s v="Apparel"/>
    <n v="7110"/>
    <s v="Chennai"/>
    <d v="2019-01-09T00:00:00"/>
    <n v="1"/>
    <n v="2019"/>
    <s v="South Asia"/>
    <x v="3"/>
    <s v="CLOSED"/>
    <s v="PENDING"/>
    <s v="Second Class"/>
    <n v="59.99"/>
  </r>
  <r>
    <n v="25710"/>
    <s v="DEBIT"/>
    <n v="6"/>
    <n v="4"/>
    <s v="DELAYED"/>
    <n v="403"/>
    <n v="1"/>
    <n v="129.99"/>
    <n v="4"/>
    <s v="Apparel"/>
    <n v="1849"/>
    <s v="Malegaon"/>
    <d v="2019-01-10T00:00:00"/>
    <n v="1"/>
    <n v="2019"/>
    <s v="South Asia"/>
    <x v="0"/>
    <s v="COMPLETE"/>
    <s v="COMPLETED"/>
    <s v="Standard Class"/>
    <n v="129.99"/>
  </r>
  <r>
    <n v="25712"/>
    <s v="DEBIT"/>
    <n v="3"/>
    <n v="4"/>
    <s v=" ONTIME"/>
    <n v="821"/>
    <n v="5"/>
    <n v="259.95"/>
    <n v="6"/>
    <s v="Outdoors"/>
    <n v="2444"/>
    <s v="Malegaon"/>
    <d v="2019-01-10T00:00:00"/>
    <n v="1"/>
    <n v="2019"/>
    <s v="South Asia"/>
    <x v="0"/>
    <s v="COMPLETE"/>
    <s v="COMPLETED"/>
    <s v="Standard Class"/>
    <n v="259.95"/>
  </r>
  <r>
    <n v="25724"/>
    <s v="PAYMENT"/>
    <n v="5"/>
    <n v="4"/>
    <s v="DELAYED"/>
    <n v="403"/>
    <n v="1"/>
    <n v="129.99"/>
    <n v="4"/>
    <s v="Apparel"/>
    <n v="7866"/>
    <s v="Bhubaneswar"/>
    <d v="2019-01-10T00:00:00"/>
    <n v="1"/>
    <n v="2019"/>
    <s v="South Asia"/>
    <x v="13"/>
    <s v="PENDING_PAYMENT"/>
    <s v="PENDING"/>
    <s v="Standard Class"/>
    <n v="129.99"/>
  </r>
  <r>
    <n v="25729"/>
    <s v="CASH"/>
    <n v="5"/>
    <n v="4"/>
    <s v="DELAYED"/>
    <n v="403"/>
    <n v="1"/>
    <n v="129.99"/>
    <n v="4"/>
    <s v="Apparel"/>
    <n v="866"/>
    <s v="Sangli"/>
    <d v="2019-01-10T00:00:00"/>
    <n v="1"/>
    <n v="2019"/>
    <s v="South Asia"/>
    <x v="0"/>
    <s v="CLOSED"/>
    <s v="PENDING"/>
    <s v="Standard Class"/>
    <n v="129.99"/>
  </r>
  <r>
    <n v="25745"/>
    <s v="TRANSFER"/>
    <n v="6"/>
    <n v="2"/>
    <s v="DELAYED"/>
    <n v="1073"/>
    <n v="1"/>
    <n v="199.99"/>
    <n v="7"/>
    <s v="Fan Shop"/>
    <n v="9834"/>
    <s v="Coimbatore"/>
    <d v="2019-01-10T00:00:00"/>
    <n v="1"/>
    <n v="2019"/>
    <s v="South Asia"/>
    <x v="3"/>
    <s v="SUSPECTED_FRAUD"/>
    <s v="PENDING"/>
    <s v="Second Class"/>
    <n v="199.99"/>
  </r>
  <r>
    <n v="25746"/>
    <s v="CASH"/>
    <n v="2"/>
    <n v="2"/>
    <s v=" ONTIME"/>
    <n v="365"/>
    <n v="1"/>
    <n v="59.99"/>
    <n v="4"/>
    <s v="Apparel"/>
    <n v="1430"/>
    <s v="Coimbatore"/>
    <d v="2019-01-10T00:00:00"/>
    <n v="1"/>
    <n v="2019"/>
    <s v="South Asia"/>
    <x v="3"/>
    <s v="CLOSED"/>
    <s v="PENDING"/>
    <s v="Second Class"/>
    <n v="59.99"/>
  </r>
  <r>
    <n v="25763"/>
    <s v="CASH"/>
    <n v="4"/>
    <n v="2"/>
    <s v="DELAYED"/>
    <n v="957"/>
    <n v="1"/>
    <n v="299.98"/>
    <n v="7"/>
    <s v="Fan Shop"/>
    <n v="6220"/>
    <s v="Vadodara"/>
    <d v="2019-01-11T00:00:00"/>
    <n v="1"/>
    <n v="2019"/>
    <s v="South Asia"/>
    <x v="4"/>
    <s v="CLOSED"/>
    <s v="PENDING"/>
    <s v="Second Class"/>
    <n v="299.98"/>
  </r>
  <r>
    <n v="25765"/>
    <s v="CASH"/>
    <n v="6"/>
    <n v="4"/>
    <s v="DELAYED"/>
    <n v="365"/>
    <n v="5"/>
    <n v="299.95"/>
    <n v="4"/>
    <s v="Apparel"/>
    <n v="3893"/>
    <s v="Thane"/>
    <d v="2019-01-11T00:00:00"/>
    <n v="1"/>
    <n v="2019"/>
    <s v="South Asia"/>
    <x v="0"/>
    <s v="CLOSED"/>
    <s v="PENDING"/>
    <s v="Standard Class"/>
    <n v="299.95"/>
  </r>
  <r>
    <n v="25784"/>
    <s v="DEBIT"/>
    <n v="5"/>
    <n v="2"/>
    <s v="DELAYED"/>
    <n v="627"/>
    <n v="4"/>
    <n v="159.96"/>
    <n v="5"/>
    <s v="Golf"/>
    <n v="10165"/>
    <s v="Chennai"/>
    <d v="2019-01-11T00:00:00"/>
    <n v="1"/>
    <n v="2019"/>
    <s v="South Asia"/>
    <x v="3"/>
    <s v="COMPLETE"/>
    <s v="COMPLETED"/>
    <s v="Second Class"/>
    <n v="159.96"/>
  </r>
  <r>
    <n v="25788"/>
    <s v="DEBIT"/>
    <n v="4"/>
    <n v="2"/>
    <s v="DELAYED"/>
    <n v="1004"/>
    <n v="1"/>
    <n v="399.98"/>
    <n v="7"/>
    <s v="Fan Shop"/>
    <n v="1560"/>
    <s v="Bangalore"/>
    <d v="2019-01-11T00:00:00"/>
    <n v="1"/>
    <n v="2019"/>
    <s v="South Asia"/>
    <x v="8"/>
    <s v="COMPLETE"/>
    <s v="COMPLETED"/>
    <s v="Second Class"/>
    <n v="399.98"/>
  </r>
  <r>
    <n v="25789"/>
    <s v="PAYMENT"/>
    <n v="2"/>
    <n v="1"/>
    <s v="DELAYED"/>
    <n v="502"/>
    <n v="4"/>
    <n v="200"/>
    <n v="5"/>
    <s v="Golf"/>
    <n v="12172"/>
    <s v="Amritsar"/>
    <d v="2019-01-11T00:00:00"/>
    <n v="1"/>
    <n v="2019"/>
    <s v="South Asia"/>
    <x v="16"/>
    <s v="PENDING_PAYMENT"/>
    <s v="PENDING"/>
    <s v="First Class"/>
    <n v="200"/>
  </r>
  <r>
    <n v="25790"/>
    <s v="DEBIT"/>
    <n v="6"/>
    <n v="2"/>
    <s v="DELAYED"/>
    <n v="502"/>
    <n v="1"/>
    <n v="50"/>
    <n v="5"/>
    <s v="Golf"/>
    <n v="10807"/>
    <s v="Amritsar"/>
    <d v="2019-01-11T00:00:00"/>
    <n v="1"/>
    <n v="2019"/>
    <s v="South Asia"/>
    <x v="16"/>
    <s v="COMPLETE"/>
    <s v="COMPLETED"/>
    <s v="Second Class"/>
    <n v="50"/>
  </r>
  <r>
    <n v="25793"/>
    <s v="DEBIT"/>
    <n v="4"/>
    <n v="2"/>
    <s v="DELAYED"/>
    <n v="1004"/>
    <n v="1"/>
    <n v="399.98"/>
    <n v="7"/>
    <s v="Fan Shop"/>
    <n v="10036"/>
    <s v="Kakinada"/>
    <d v="2019-01-11T00:00:00"/>
    <n v="1"/>
    <n v="2019"/>
    <s v="South Asia"/>
    <x v="15"/>
    <s v="COMPLETE"/>
    <s v="COMPLETED"/>
    <s v="Second Class"/>
    <n v="399.98"/>
  </r>
  <r>
    <n v="25795"/>
    <s v="DEBIT"/>
    <n v="6"/>
    <n v="4"/>
    <s v="DELAYED"/>
    <n v="502"/>
    <n v="1"/>
    <n v="50"/>
    <n v="5"/>
    <s v="Golf"/>
    <n v="8275"/>
    <s v="Thiruvananthapuram"/>
    <d v="2019-01-11T00:00:00"/>
    <n v="1"/>
    <n v="2019"/>
    <s v="South Asia"/>
    <x v="20"/>
    <s v="COMPLETE"/>
    <s v="COMPLETED"/>
    <s v="Standard Class"/>
    <n v="50"/>
  </r>
  <r>
    <n v="25796"/>
    <s v="DEBIT"/>
    <n v="2"/>
    <n v="4"/>
    <s v=" ONTIME"/>
    <n v="502"/>
    <n v="5"/>
    <n v="250"/>
    <n v="5"/>
    <s v="Golf"/>
    <n v="11122"/>
    <s v="Thiruvananthapuram"/>
    <d v="2019-01-11T00:00:00"/>
    <n v="1"/>
    <n v="2019"/>
    <s v="South Asia"/>
    <x v="20"/>
    <s v="COMPLETE"/>
    <s v="COMPLETED"/>
    <s v="Standard Class"/>
    <n v="250"/>
  </r>
  <r>
    <n v="25797"/>
    <s v="TRANSFER"/>
    <n v="3"/>
    <n v="4"/>
    <s v=" ONTIME"/>
    <n v="1004"/>
    <n v="1"/>
    <n v="399.98"/>
    <n v="7"/>
    <s v="Fan Shop"/>
    <n v="10236"/>
    <s v="Thiruvananthapuram"/>
    <d v="2019-01-11T00:00:00"/>
    <n v="1"/>
    <n v="2019"/>
    <s v="South Asia"/>
    <x v="20"/>
    <s v="PENDING"/>
    <s v="PENDING"/>
    <s v="Standard Class"/>
    <n v="399.98"/>
  </r>
  <r>
    <n v="25798"/>
    <s v="DEBIT"/>
    <n v="4"/>
    <n v="4"/>
    <s v=" ONTIME"/>
    <n v="627"/>
    <n v="5"/>
    <n v="199.95"/>
    <n v="5"/>
    <s v="Golf"/>
    <n v="9619"/>
    <s v="Thiruvananthapuram"/>
    <d v="2019-01-11T00:00:00"/>
    <n v="1"/>
    <n v="2019"/>
    <s v="South Asia"/>
    <x v="20"/>
    <s v="COMPLETE"/>
    <s v="COMPLETED"/>
    <s v="Standard Class"/>
    <n v="199.95"/>
  </r>
  <r>
    <n v="25804"/>
    <s v="DEBIT"/>
    <n v="2"/>
    <n v="1"/>
    <s v="DELAYED"/>
    <n v="403"/>
    <n v="1"/>
    <n v="129.99"/>
    <n v="4"/>
    <s v="Apparel"/>
    <n v="9453"/>
    <s v="Akola"/>
    <d v="2019-01-11T00:00:00"/>
    <n v="1"/>
    <n v="2019"/>
    <s v="South Asia"/>
    <x v="0"/>
    <s v="COMPLETE"/>
    <s v="COMPLETED"/>
    <s v="First Class"/>
    <n v="129.99"/>
  </r>
  <r>
    <n v="25805"/>
    <s v="TRANSFER"/>
    <n v="2"/>
    <n v="1"/>
    <s v="DELAYED"/>
    <n v="1073"/>
    <n v="1"/>
    <n v="199.99"/>
    <n v="7"/>
    <s v="Fan Shop"/>
    <n v="11311"/>
    <s v="Fatehpur"/>
    <d v="2019-01-11T00:00:00"/>
    <n v="1"/>
    <n v="2019"/>
    <s v="South Asia"/>
    <x v="2"/>
    <s v="PROCESSING"/>
    <s v="PENDING"/>
    <s v="First Class"/>
    <n v="199.99"/>
  </r>
  <r>
    <n v="25806"/>
    <s v="DEBIT"/>
    <n v="2"/>
    <n v="1"/>
    <s v="DELAYED"/>
    <n v="1014"/>
    <n v="5"/>
    <n v="249.9"/>
    <n v="7"/>
    <s v="Fan Shop"/>
    <n v="7519"/>
    <s v="Fatehpur"/>
    <d v="2019-01-11T00:00:00"/>
    <n v="1"/>
    <n v="2019"/>
    <s v="South Asia"/>
    <x v="2"/>
    <s v="COMPLETE"/>
    <s v="COMPLETED"/>
    <s v="First Class"/>
    <n v="249.9"/>
  </r>
  <r>
    <n v="25816"/>
    <s v="PAYMENT"/>
    <n v="2"/>
    <n v="1"/>
    <s v="DELAYED"/>
    <n v="1073"/>
    <n v="1"/>
    <n v="199.99"/>
    <n v="7"/>
    <s v="Fan Shop"/>
    <n v="7465"/>
    <s v="Bhavnagar"/>
    <d v="2019-01-11T00:00:00"/>
    <n v="1"/>
    <n v="2019"/>
    <s v="South Asia"/>
    <x v="4"/>
    <s v="PENDING_PAYMENT"/>
    <s v="PENDING"/>
    <s v="First Class"/>
    <n v="199.99"/>
  </r>
  <r>
    <n v="25817"/>
    <s v="TRANSFER"/>
    <n v="2"/>
    <n v="1"/>
    <s v="DELAYED"/>
    <n v="977"/>
    <n v="2"/>
    <n v="59.98"/>
    <n v="7"/>
    <s v="Fan Shop"/>
    <n v="365"/>
    <s v="Meerut"/>
    <d v="2019-01-11T00:00:00"/>
    <n v="1"/>
    <n v="2019"/>
    <s v="South Asia"/>
    <x v="1"/>
    <s v="PENDING"/>
    <s v="PENDING"/>
    <s v="First Class"/>
    <n v="59.98"/>
  </r>
  <r>
    <n v="25819"/>
    <s v="DEBIT"/>
    <n v="2"/>
    <n v="1"/>
    <s v="DELAYED"/>
    <n v="403"/>
    <n v="1"/>
    <n v="129.99"/>
    <n v="4"/>
    <s v="Apparel"/>
    <n v="5044"/>
    <s v="Ratlam"/>
    <d v="2019-01-11T00:00:00"/>
    <n v="1"/>
    <n v="2019"/>
    <s v="South Asia"/>
    <x v="14"/>
    <s v="COMPLETE"/>
    <s v="COMPLETED"/>
    <s v="First Class"/>
    <n v="129.99"/>
  </r>
  <r>
    <n v="25825"/>
    <s v="CASH"/>
    <n v="6"/>
    <n v="4"/>
    <s v="DELAYED"/>
    <n v="403"/>
    <n v="1"/>
    <n v="129.99"/>
    <n v="4"/>
    <s v="Apparel"/>
    <n v="2136"/>
    <s v="Pune"/>
    <d v="2019-01-11T00:00:00"/>
    <n v="1"/>
    <n v="2019"/>
    <s v="South Asia"/>
    <x v="0"/>
    <s v="CLOSED"/>
    <s v="PENDING"/>
    <s v="Standard Class"/>
    <n v="129.99"/>
  </r>
  <r>
    <n v="25847"/>
    <s v="TRANSFER"/>
    <n v="3"/>
    <n v="4"/>
    <s v=" ONTIME"/>
    <n v="365"/>
    <n v="2"/>
    <n v="119.98"/>
    <n v="4"/>
    <s v="Apparel"/>
    <n v="6180"/>
    <s v="Aurangabad"/>
    <d v="2019-01-12T00:00:00"/>
    <n v="1"/>
    <n v="2019"/>
    <s v="South Asia"/>
    <x v="17"/>
    <s v="PROCESSING"/>
    <s v="PENDING"/>
    <s v="Standard Class"/>
    <n v="119.98"/>
  </r>
  <r>
    <n v="25848"/>
    <s v="DEBIT"/>
    <n v="4"/>
    <n v="4"/>
    <s v=" ONTIME"/>
    <n v="1073"/>
    <n v="1"/>
    <n v="199.99"/>
    <n v="7"/>
    <s v="Fan Shop"/>
    <n v="4259"/>
    <s v="Aurangabad"/>
    <d v="2019-01-12T00:00:00"/>
    <n v="1"/>
    <n v="2019"/>
    <s v="South Asia"/>
    <x v="17"/>
    <s v="ON_HOLD"/>
    <s v="PENDING"/>
    <s v="Standard Class"/>
    <n v="199.99"/>
  </r>
  <r>
    <n v="25849"/>
    <s v="DEBIT"/>
    <n v="5"/>
    <n v="4"/>
    <s v="DELAYED"/>
    <n v="191"/>
    <n v="1"/>
    <n v="99.99"/>
    <n v="3"/>
    <s v="Footwear"/>
    <n v="10526"/>
    <s v="Aurangabad"/>
    <d v="2019-01-12T00:00:00"/>
    <n v="1"/>
    <n v="2019"/>
    <s v="South Asia"/>
    <x v="17"/>
    <s v="COMPLETE"/>
    <s v="COMPLETED"/>
    <s v="Standard Class"/>
    <n v="99.99"/>
  </r>
  <r>
    <n v="25850"/>
    <s v="DEBIT"/>
    <n v="6"/>
    <n v="4"/>
    <s v="DELAYED"/>
    <n v="728"/>
    <n v="5"/>
    <n v="325"/>
    <n v="6"/>
    <s v="Outdoors"/>
    <n v="1838"/>
    <s v="Aurangabad"/>
    <d v="2019-01-12T00:00:00"/>
    <n v="1"/>
    <n v="2019"/>
    <s v="South Asia"/>
    <x v="17"/>
    <s v="COMPLETE"/>
    <s v="COMPLETED"/>
    <s v="Standard Class"/>
    <n v="325"/>
  </r>
  <r>
    <n v="25851"/>
    <s v="DEBIT"/>
    <n v="2"/>
    <n v="4"/>
    <s v=" ONTIME"/>
    <n v="403"/>
    <n v="1"/>
    <n v="129.99"/>
    <n v="4"/>
    <s v="Apparel"/>
    <n v="4833"/>
    <s v="Aurangabad"/>
    <d v="2019-01-12T00:00:00"/>
    <n v="1"/>
    <n v="2019"/>
    <s v="South Asia"/>
    <x v="17"/>
    <s v="COMPLETE"/>
    <s v="COMPLETED"/>
    <s v="Standard Class"/>
    <n v="129.99"/>
  </r>
  <r>
    <n v="25863"/>
    <s v="CASH"/>
    <n v="2"/>
    <n v="1"/>
    <s v="DELAYED"/>
    <n v="502"/>
    <n v="1"/>
    <n v="50"/>
    <n v="5"/>
    <s v="Golf"/>
    <n v="11519"/>
    <s v="Srinagar"/>
    <d v="2019-01-12T00:00:00"/>
    <n v="1"/>
    <n v="2019"/>
    <s v="South Asia"/>
    <x v="21"/>
    <s v="CLOSED"/>
    <s v="PENDING"/>
    <s v="First Class"/>
    <n v="50"/>
  </r>
  <r>
    <n v="25865"/>
    <s v="PAYMENT"/>
    <n v="6"/>
    <n v="2"/>
    <s v="DELAYED"/>
    <n v="403"/>
    <n v="1"/>
    <n v="129.99"/>
    <n v="4"/>
    <s v="Apparel"/>
    <n v="4159"/>
    <s v="Jodhpur"/>
    <d v="2019-01-12T00:00:00"/>
    <n v="1"/>
    <n v="2019"/>
    <s v="South Asia"/>
    <x v="2"/>
    <s v="PENDING_PAYMENT"/>
    <s v="PENDING"/>
    <s v="Second Class"/>
    <n v="129.99"/>
  </r>
  <r>
    <n v="25874"/>
    <s v="PAYMENT"/>
    <n v="5"/>
    <n v="4"/>
    <s v="DELAYED"/>
    <n v="134"/>
    <n v="3"/>
    <n v="75"/>
    <n v="2"/>
    <s v="Fitness"/>
    <n v="11565"/>
    <s v="Mumbai"/>
    <d v="2019-01-12T00:00:00"/>
    <n v="1"/>
    <n v="2019"/>
    <s v="South Asia"/>
    <x v="0"/>
    <s v="PENDING_PAYMENT"/>
    <s v="PENDING"/>
    <s v="Standard Class"/>
    <n v="75"/>
  </r>
  <r>
    <n v="25892"/>
    <s v="DEBIT"/>
    <n v="3"/>
    <n v="4"/>
    <s v=" ONTIME"/>
    <n v="403"/>
    <n v="1"/>
    <n v="129.99"/>
    <n v="4"/>
    <s v="Apparel"/>
    <n v="3853"/>
    <s v="Nagpur"/>
    <d v="2019-01-12T00:00:00"/>
    <n v="1"/>
    <n v="2019"/>
    <s v="South Asia"/>
    <x v="0"/>
    <s v="ON_HOLD"/>
    <s v="PENDING"/>
    <s v="Standard Class"/>
    <n v="129.99"/>
  </r>
  <r>
    <n v="25895"/>
    <s v="DEBIT"/>
    <n v="1"/>
    <n v="0"/>
    <s v="DELAYED"/>
    <n v="1073"/>
    <n v="1"/>
    <n v="199.99"/>
    <n v="7"/>
    <s v="Fan Shop"/>
    <n v="1044"/>
    <s v="Guwahati"/>
    <d v="2019-01-12T00:00:00"/>
    <n v="1"/>
    <n v="2019"/>
    <s v="South Asia"/>
    <x v="9"/>
    <s v="COMPLETE"/>
    <s v="COMPLETED"/>
    <s v="Same Day"/>
    <n v="199.99"/>
  </r>
  <r>
    <n v="25908"/>
    <s v="TRANSFER"/>
    <n v="4"/>
    <n v="4"/>
    <s v=" ONTIME"/>
    <n v="502"/>
    <n v="1"/>
    <n v="50"/>
    <n v="5"/>
    <s v="Golf"/>
    <n v="11055"/>
    <s v="Delhi"/>
    <d v="2019-01-13T00:00:00"/>
    <n v="1"/>
    <n v="2019"/>
    <s v="South Asia"/>
    <x v="11"/>
    <s v="PENDING"/>
    <s v="PENDING"/>
    <s v="Standard Class"/>
    <n v="50"/>
  </r>
  <r>
    <n v="25916"/>
    <s v="DEBIT"/>
    <n v="2"/>
    <n v="4"/>
    <s v=" ONTIME"/>
    <n v="957"/>
    <n v="1"/>
    <n v="299.98"/>
    <n v="7"/>
    <s v="Fan Shop"/>
    <n v="3219"/>
    <s v="Panihati"/>
    <d v="2019-01-13T00:00:00"/>
    <n v="1"/>
    <n v="2019"/>
    <s v="South Asia"/>
    <x v="6"/>
    <s v="COMPLETE"/>
    <s v="COMPLETED"/>
    <s v="Standard Class"/>
    <n v="299.98"/>
  </r>
  <r>
    <n v="25917"/>
    <s v="DEBIT"/>
    <n v="3"/>
    <n v="4"/>
    <s v=" ONTIME"/>
    <n v="957"/>
    <n v="1"/>
    <n v="299.98"/>
    <n v="7"/>
    <s v="Fan Shop"/>
    <n v="1708"/>
    <s v="Panihati"/>
    <d v="2019-01-13T00:00:00"/>
    <n v="1"/>
    <n v="2019"/>
    <s v="South Asia"/>
    <x v="6"/>
    <s v="ON_HOLD"/>
    <s v="PENDING"/>
    <s v="Standard Class"/>
    <n v="299.98"/>
  </r>
  <r>
    <n v="25918"/>
    <s v="DEBIT"/>
    <n v="4"/>
    <n v="4"/>
    <s v=" ONTIME"/>
    <n v="502"/>
    <n v="1"/>
    <n v="50"/>
    <n v="5"/>
    <s v="Golf"/>
    <n v="279"/>
    <s v="Meerut"/>
    <d v="2019-01-13T00:00:00"/>
    <n v="1"/>
    <n v="2019"/>
    <s v="South Asia"/>
    <x v="1"/>
    <s v="COMPLETE"/>
    <s v="COMPLETED"/>
    <s v="Standard Class"/>
    <n v="50"/>
  </r>
  <r>
    <n v="25919"/>
    <s v="DEBIT"/>
    <n v="5"/>
    <n v="4"/>
    <s v="DELAYED"/>
    <n v="502"/>
    <n v="1"/>
    <n v="50"/>
    <n v="5"/>
    <s v="Golf"/>
    <n v="3052"/>
    <s v="Meerut"/>
    <d v="2019-01-13T00:00:00"/>
    <n v="1"/>
    <n v="2019"/>
    <s v="South Asia"/>
    <x v="1"/>
    <s v="COMPLETE"/>
    <s v="COMPLETED"/>
    <s v="Standard Class"/>
    <n v="50"/>
  </r>
  <r>
    <n v="25924"/>
    <s v="DEBIT"/>
    <n v="5"/>
    <n v="2"/>
    <s v="DELAYED"/>
    <n v="365"/>
    <n v="4"/>
    <n v="239.96"/>
    <n v="4"/>
    <s v="Apparel"/>
    <n v="3826"/>
    <s v="Mau"/>
    <d v="2019-01-13T00:00:00"/>
    <n v="1"/>
    <n v="2019"/>
    <s v="South Asia"/>
    <x v="14"/>
    <s v="COMPLETE"/>
    <s v="COMPLETED"/>
    <s v="Second Class"/>
    <n v="239.96"/>
  </r>
  <r>
    <n v="25927"/>
    <s v="DEBIT"/>
    <n v="3"/>
    <n v="4"/>
    <s v=" ONTIME"/>
    <n v="365"/>
    <n v="5"/>
    <n v="299.95"/>
    <n v="4"/>
    <s v="Apparel"/>
    <n v="10278"/>
    <s v="Ambattur"/>
    <d v="2019-01-13T00:00:00"/>
    <n v="1"/>
    <n v="2019"/>
    <s v="South Asia"/>
    <x v="3"/>
    <s v="COMPLETE"/>
    <s v="COMPLETED"/>
    <s v="Standard Class"/>
    <n v="299.95"/>
  </r>
  <r>
    <n v="25928"/>
    <s v="PAYMENT"/>
    <n v="4"/>
    <n v="4"/>
    <s v=" ONTIME"/>
    <n v="1073"/>
    <n v="1"/>
    <n v="199.99"/>
    <n v="7"/>
    <s v="Fan Shop"/>
    <n v="3354"/>
    <s v="Ambattur"/>
    <d v="2019-01-13T00:00:00"/>
    <n v="1"/>
    <n v="2019"/>
    <s v="South Asia"/>
    <x v="3"/>
    <s v="PENDING_PAYMENT"/>
    <s v="PENDING"/>
    <s v="Standard Class"/>
    <n v="199.99"/>
  </r>
  <r>
    <n v="25930"/>
    <s v="PAYMENT"/>
    <n v="1"/>
    <n v="0"/>
    <s v="DELAYED"/>
    <n v="403"/>
    <n v="1"/>
    <n v="129.99"/>
    <n v="4"/>
    <s v="Apparel"/>
    <n v="10508"/>
    <s v="Coimbatore"/>
    <d v="2019-01-13T00:00:00"/>
    <n v="1"/>
    <n v="2019"/>
    <s v="South Asia"/>
    <x v="3"/>
    <s v="PENDING_PAYMENT"/>
    <s v="PENDING"/>
    <s v="Same Day"/>
    <n v="129.99"/>
  </r>
  <r>
    <n v="25968"/>
    <s v="PAYMENT"/>
    <n v="4"/>
    <n v="4"/>
    <s v=" ONTIME"/>
    <n v="403"/>
    <n v="1"/>
    <n v="129.99"/>
    <n v="4"/>
    <s v="Apparel"/>
    <n v="10158"/>
    <s v="Fatehpur"/>
    <d v="2019-01-14T00:00:00"/>
    <n v="1"/>
    <n v="2019"/>
    <s v="South Asia"/>
    <x v="2"/>
    <s v="PENDING_PAYMENT"/>
    <s v="PENDING"/>
    <s v="Standard Class"/>
    <n v="129.99"/>
  </r>
  <r>
    <n v="25977"/>
    <s v="TRANSFER"/>
    <n v="2"/>
    <n v="1"/>
    <s v="DELAYED"/>
    <n v="1004"/>
    <n v="1"/>
    <n v="399.98"/>
    <n v="7"/>
    <s v="Fan Shop"/>
    <n v="9030"/>
    <s v="Faridabad"/>
    <d v="2019-01-14T00:00:00"/>
    <n v="1"/>
    <n v="2019"/>
    <s v="South Asia"/>
    <x v="10"/>
    <s v="PENDING"/>
    <s v="PENDING"/>
    <s v="First Class"/>
    <n v="399.98"/>
  </r>
  <r>
    <n v="25979"/>
    <s v="TRANSFER"/>
    <n v="5"/>
    <n v="2"/>
    <s v="DELAYED"/>
    <n v="191"/>
    <n v="3"/>
    <n v="299.97000000000003"/>
    <n v="3"/>
    <s v="Footwear"/>
    <n v="8216"/>
    <s v="Faridabad"/>
    <d v="2019-01-14T00:00:00"/>
    <n v="1"/>
    <n v="2019"/>
    <s v="South Asia"/>
    <x v="10"/>
    <s v="PENDING"/>
    <s v="PENDING"/>
    <s v="Second Class"/>
    <n v="299.97000000000003"/>
  </r>
  <r>
    <n v="25980"/>
    <s v="DEBIT"/>
    <n v="2"/>
    <n v="1"/>
    <s v="DELAYED"/>
    <n v="1073"/>
    <n v="1"/>
    <n v="199.99"/>
    <n v="7"/>
    <s v="Fan Shop"/>
    <n v="363"/>
    <s v="Faridabad"/>
    <d v="2019-01-14T00:00:00"/>
    <n v="1"/>
    <n v="2019"/>
    <s v="South Asia"/>
    <x v="10"/>
    <s v="COMPLETE"/>
    <s v="COMPLETED"/>
    <s v="First Class"/>
    <n v="199.99"/>
  </r>
  <r>
    <n v="25999"/>
    <s v="DEBIT"/>
    <n v="5"/>
    <n v="4"/>
    <s v="DELAYED"/>
    <n v="1004"/>
    <n v="1"/>
    <n v="399.98"/>
    <n v="7"/>
    <s v="Fan Shop"/>
    <n v="6921"/>
    <s v="Ludhiana"/>
    <d v="2019-01-14T00:00:00"/>
    <n v="1"/>
    <n v="2019"/>
    <s v="South Asia"/>
    <x v="16"/>
    <s v="COMPLETE"/>
    <s v="COMPLETED"/>
    <s v="Standard Class"/>
    <n v="399.98"/>
  </r>
  <r>
    <n v="26003"/>
    <s v="PAYMENT"/>
    <n v="4"/>
    <n v="4"/>
    <s v=" ONTIME"/>
    <n v="1014"/>
    <n v="4"/>
    <n v="199.92"/>
    <n v="7"/>
    <s v="Fan Shop"/>
    <n v="2567"/>
    <s v="Jaipur"/>
    <d v="2019-01-14T00:00:00"/>
    <n v="1"/>
    <n v="2019"/>
    <s v="South Asia"/>
    <x v="2"/>
    <s v="PENDING_PAYMENT"/>
    <s v="PENDING"/>
    <s v="Standard Class"/>
    <n v="199.92"/>
  </r>
  <r>
    <n v="26006"/>
    <s v="CASH"/>
    <n v="2"/>
    <n v="4"/>
    <s v=" ONTIME"/>
    <n v="1004"/>
    <n v="1"/>
    <n v="399.98"/>
    <n v="7"/>
    <s v="Fan Shop"/>
    <n v="7999"/>
    <s v="Lucknow"/>
    <d v="2019-01-14T00:00:00"/>
    <n v="1"/>
    <n v="2019"/>
    <s v="South Asia"/>
    <x v="1"/>
    <s v="CLOSED"/>
    <s v="PENDING"/>
    <s v="Standard Class"/>
    <n v="399.98"/>
  </r>
  <r>
    <n v="26007"/>
    <s v="TRANSFER"/>
    <n v="3"/>
    <n v="4"/>
    <s v=" ONTIME"/>
    <n v="403"/>
    <n v="1"/>
    <n v="129.99"/>
    <n v="4"/>
    <s v="Apparel"/>
    <n v="6903"/>
    <s v="Lucknow"/>
    <d v="2019-01-14T00:00:00"/>
    <n v="1"/>
    <n v="2019"/>
    <s v="South Asia"/>
    <x v="1"/>
    <s v="PENDING"/>
    <s v="PENDING"/>
    <s v="Standard Class"/>
    <n v="129.99"/>
  </r>
  <r>
    <n v="26014"/>
    <s v="TRANSFER"/>
    <n v="2"/>
    <n v="1"/>
    <s v="DELAYED"/>
    <n v="1004"/>
    <n v="1"/>
    <n v="399.98"/>
    <n v="7"/>
    <s v="Fan Shop"/>
    <n v="10006"/>
    <s v="Durgapur"/>
    <d v="2019-01-14T00:00:00"/>
    <n v="1"/>
    <n v="2019"/>
    <s v="South Asia"/>
    <x v="0"/>
    <s v="SUSPECTED_FRAUD"/>
    <s v="PENDING"/>
    <s v="First Class"/>
    <n v="399.98"/>
  </r>
  <r>
    <n v="26015"/>
    <s v="TRANSFER"/>
    <n v="2"/>
    <n v="1"/>
    <s v="DELAYED"/>
    <n v="365"/>
    <n v="1"/>
    <n v="59.99"/>
    <n v="4"/>
    <s v="Apparel"/>
    <n v="5321"/>
    <s v="Durgapur"/>
    <d v="2019-01-14T00:00:00"/>
    <n v="1"/>
    <n v="2019"/>
    <s v="South Asia"/>
    <x v="0"/>
    <s v="PENDING"/>
    <s v="PENDING"/>
    <s v="First Class"/>
    <n v="59.99"/>
  </r>
  <r>
    <n v="26016"/>
    <s v="DEBIT"/>
    <n v="2"/>
    <n v="2"/>
    <s v=" ONTIME"/>
    <n v="403"/>
    <n v="1"/>
    <n v="129.99"/>
    <n v="4"/>
    <s v="Apparel"/>
    <n v="12394"/>
    <s v="Durgapur"/>
    <d v="2019-01-14T00:00:00"/>
    <n v="1"/>
    <n v="2019"/>
    <s v="South Asia"/>
    <x v="0"/>
    <s v="COMPLETE"/>
    <s v="COMPLETED"/>
    <s v="Second Class"/>
    <n v="129.99"/>
  </r>
  <r>
    <n v="26018"/>
    <s v="PAYMENT"/>
    <n v="4"/>
    <n v="4"/>
    <s v=" ONTIME"/>
    <n v="403"/>
    <n v="1"/>
    <n v="129.99"/>
    <n v="4"/>
    <s v="Apparel"/>
    <n v="7547"/>
    <s v="Nagercoil"/>
    <d v="2019-01-14T00:00:00"/>
    <n v="1"/>
    <n v="2019"/>
    <s v="South Asia"/>
    <x v="3"/>
    <s v="PENDING_PAYMENT"/>
    <s v="PENDING"/>
    <s v="Standard Class"/>
    <n v="129.99"/>
  </r>
  <r>
    <n v="26019"/>
    <s v="TRANSFER"/>
    <n v="5"/>
    <n v="4"/>
    <s v="DELAYED"/>
    <n v="403"/>
    <n v="1"/>
    <n v="129.99"/>
    <n v="4"/>
    <s v="Apparel"/>
    <n v="2590"/>
    <s v="Nagercoil"/>
    <d v="2019-01-14T00:00:00"/>
    <n v="1"/>
    <n v="2019"/>
    <s v="South Asia"/>
    <x v="3"/>
    <s v="SUSPECTED_FRAUD"/>
    <s v="PENDING"/>
    <s v="Standard Class"/>
    <n v="129.99"/>
  </r>
  <r>
    <n v="26020"/>
    <s v="CASH"/>
    <n v="6"/>
    <n v="4"/>
    <s v="DELAYED"/>
    <n v="135"/>
    <n v="5"/>
    <n v="110"/>
    <n v="2"/>
    <s v="Fitness"/>
    <n v="7481"/>
    <s v="Nagercoil"/>
    <d v="2019-01-14T00:00:00"/>
    <n v="1"/>
    <n v="2019"/>
    <s v="South Asia"/>
    <x v="3"/>
    <s v="CLOSED"/>
    <s v="PENDING"/>
    <s v="Standard Class"/>
    <n v="110"/>
  </r>
  <r>
    <n v="26032"/>
    <s v="DEBIT"/>
    <n v="3"/>
    <n v="2"/>
    <s v="DELAYED"/>
    <n v="403"/>
    <n v="1"/>
    <n v="129.99"/>
    <n v="4"/>
    <s v="Apparel"/>
    <n v="2424"/>
    <s v="Jodhpur"/>
    <d v="2019-01-14T00:00:00"/>
    <n v="1"/>
    <n v="2019"/>
    <s v="South Asia"/>
    <x v="4"/>
    <s v="COMPLETE"/>
    <s v="COMPLETED"/>
    <s v="Second Class"/>
    <n v="129.99"/>
  </r>
  <r>
    <n v="26061"/>
    <s v="DEBIT"/>
    <n v="2"/>
    <n v="4"/>
    <s v=" ONTIME"/>
    <n v="191"/>
    <n v="3"/>
    <n v="299.97000000000003"/>
    <n v="3"/>
    <s v="Footwear"/>
    <n v="7996"/>
    <s v="Tirupati"/>
    <d v="2019-01-15T00:00:00"/>
    <n v="1"/>
    <n v="2019"/>
    <s v="South Asia"/>
    <x v="15"/>
    <s v="COMPLETE"/>
    <s v="COMPLETED"/>
    <s v="Standard Class"/>
    <n v="299.97000000000003"/>
  </r>
  <r>
    <n v="26066"/>
    <s v="DEBIT"/>
    <n v="2"/>
    <n v="2"/>
    <s v=" ONTIME"/>
    <n v="957"/>
    <n v="1"/>
    <n v="299.98"/>
    <n v="7"/>
    <s v="Fan Shop"/>
    <n v="5951"/>
    <s v="Bangalore"/>
    <d v="2019-01-15T00:00:00"/>
    <n v="1"/>
    <n v="2019"/>
    <s v="South Asia"/>
    <x v="8"/>
    <s v="COMPLETE"/>
    <s v="COMPLETED"/>
    <s v="Second Class"/>
    <n v="299.98"/>
  </r>
  <r>
    <n v="26067"/>
    <s v="CASH"/>
    <n v="2"/>
    <n v="1"/>
    <s v="DELAYED"/>
    <n v="403"/>
    <n v="1"/>
    <n v="129.99"/>
    <n v="4"/>
    <s v="Apparel"/>
    <n v="11849"/>
    <s v="Bangalore"/>
    <d v="2019-01-15T00:00:00"/>
    <n v="1"/>
    <n v="2019"/>
    <s v="South Asia"/>
    <x v="8"/>
    <s v="CLOSED"/>
    <s v="PENDING"/>
    <s v="First Class"/>
    <n v="129.99"/>
  </r>
  <r>
    <n v="26100"/>
    <s v="DEBIT"/>
    <n v="6"/>
    <n v="4"/>
    <s v="DELAYED"/>
    <n v="771"/>
    <n v="2"/>
    <n v="79.98"/>
    <n v="6"/>
    <s v="Outdoors"/>
    <n v="7434"/>
    <s v="Patna"/>
    <d v="2019-01-15T00:00:00"/>
    <n v="1"/>
    <n v="2019"/>
    <s v="South Asia"/>
    <x v="17"/>
    <s v="COMPLETE"/>
    <s v="COMPLETED"/>
    <s v="Standard Class"/>
    <n v="79.98"/>
  </r>
  <r>
    <n v="26101"/>
    <s v="DEBIT"/>
    <n v="2"/>
    <n v="4"/>
    <s v=" ONTIME"/>
    <n v="1073"/>
    <n v="1"/>
    <n v="199.99"/>
    <n v="7"/>
    <s v="Fan Shop"/>
    <n v="6244"/>
    <s v="Tirupati"/>
    <d v="2019-01-15T00:00:00"/>
    <n v="1"/>
    <n v="2019"/>
    <s v="South Asia"/>
    <x v="15"/>
    <s v="COMPLETE"/>
    <s v="COMPLETED"/>
    <s v="Standard Class"/>
    <n v="199.99"/>
  </r>
  <r>
    <n v="26108"/>
    <s v="DEBIT"/>
    <n v="4"/>
    <n v="2"/>
    <s v="DELAYED"/>
    <n v="502"/>
    <n v="1"/>
    <n v="50"/>
    <n v="5"/>
    <s v="Golf"/>
    <n v="1225"/>
    <s v="Allahabad"/>
    <d v="2019-01-16T00:00:00"/>
    <n v="1"/>
    <n v="2019"/>
    <s v="South Asia"/>
    <x v="1"/>
    <s v="COMPLETE"/>
    <s v="COMPLETED"/>
    <s v="Second Class"/>
    <n v="50"/>
  </r>
  <r>
    <n v="26110"/>
    <s v="DEBIT"/>
    <n v="6"/>
    <n v="2"/>
    <s v="DELAYED"/>
    <n v="502"/>
    <n v="2"/>
    <n v="100"/>
    <n v="5"/>
    <s v="Golf"/>
    <n v="5777"/>
    <s v="Allahabad"/>
    <d v="2019-01-16T00:00:00"/>
    <n v="1"/>
    <n v="2019"/>
    <s v="South Asia"/>
    <x v="1"/>
    <s v="ON_HOLD"/>
    <s v="PENDING"/>
    <s v="Second Class"/>
    <n v="100"/>
  </r>
  <r>
    <n v="26118"/>
    <s v="TRANSFER"/>
    <n v="4"/>
    <n v="4"/>
    <s v=" ONTIME"/>
    <n v="1004"/>
    <n v="1"/>
    <n v="399.98"/>
    <n v="7"/>
    <s v="Fan Shop"/>
    <n v="6251"/>
    <s v="Ratlam"/>
    <d v="2019-01-16T00:00:00"/>
    <n v="1"/>
    <n v="2019"/>
    <s v="South Asia"/>
    <x v="14"/>
    <s v="SUSPECTED_FRAUD"/>
    <s v="PENDING"/>
    <s v="Standard Class"/>
    <n v="399.98"/>
  </r>
  <r>
    <n v="26128"/>
    <s v="PAYMENT"/>
    <n v="4"/>
    <n v="4"/>
    <s v=" ONTIME"/>
    <n v="804"/>
    <n v="3"/>
    <n v="59.97"/>
    <n v="6"/>
    <s v="Outdoors"/>
    <n v="2753"/>
    <s v="Durgapur"/>
    <d v="2019-01-16T00:00:00"/>
    <n v="1"/>
    <n v="2019"/>
    <s v="South Asia"/>
    <x v="6"/>
    <s v="PENDING_PAYMENT"/>
    <s v="PENDING"/>
    <s v="Standard Class"/>
    <n v="59.97"/>
  </r>
  <r>
    <n v="26131"/>
    <s v="PAYMENT"/>
    <n v="2"/>
    <n v="4"/>
    <s v=" ONTIME"/>
    <n v="502"/>
    <n v="3"/>
    <n v="150"/>
    <n v="5"/>
    <s v="Golf"/>
    <n v="1938"/>
    <s v="Ranchi"/>
    <d v="2019-01-16T00:00:00"/>
    <n v="1"/>
    <n v="2019"/>
    <s v="South Asia"/>
    <x v="12"/>
    <s v="PENDING_PAYMENT"/>
    <s v="PENDING"/>
    <s v="Standard Class"/>
    <n v="150"/>
  </r>
  <r>
    <n v="26134"/>
    <s v="TRANSFER"/>
    <n v="5"/>
    <n v="2"/>
    <s v="DELAYED"/>
    <n v="191"/>
    <n v="1"/>
    <n v="99.99"/>
    <n v="3"/>
    <s v="Footwear"/>
    <n v="8789"/>
    <s v="Kukatpalli"/>
    <d v="2019-01-16T00:00:00"/>
    <n v="1"/>
    <n v="2019"/>
    <s v="South Asia"/>
    <x v="7"/>
    <s v="PROCESSING"/>
    <s v="PENDING"/>
    <s v="Second Class"/>
    <n v="99.99"/>
  </r>
  <r>
    <n v="26135"/>
    <s v="DEBIT"/>
    <n v="6"/>
    <n v="2"/>
    <s v="DELAYED"/>
    <n v="191"/>
    <n v="3"/>
    <n v="299.97000000000003"/>
    <n v="3"/>
    <s v="Footwear"/>
    <n v="4066"/>
    <s v="Kukatpalli"/>
    <d v="2019-01-16T00:00:00"/>
    <n v="1"/>
    <n v="2019"/>
    <s v="South Asia"/>
    <x v="7"/>
    <s v="COMPLETE"/>
    <s v="COMPLETED"/>
    <s v="Second Class"/>
    <n v="299.97000000000003"/>
  </r>
  <r>
    <n v="26136"/>
    <s v="DEBIT"/>
    <n v="2"/>
    <n v="4"/>
    <s v=" ONTIME"/>
    <n v="365"/>
    <n v="2"/>
    <n v="119.98"/>
    <n v="4"/>
    <s v="Apparel"/>
    <n v="6316"/>
    <s v="Kukatpalli"/>
    <d v="2019-01-16T00:00:00"/>
    <n v="1"/>
    <n v="2019"/>
    <s v="South Asia"/>
    <x v="7"/>
    <s v="ON_HOLD"/>
    <s v="PENDING"/>
    <s v="Standard Class"/>
    <n v="119.98"/>
  </r>
  <r>
    <n v="26137"/>
    <s v="TRANSFER"/>
    <n v="3"/>
    <n v="4"/>
    <s v=" ONTIME"/>
    <n v="365"/>
    <n v="5"/>
    <n v="299.95"/>
    <n v="4"/>
    <s v="Apparel"/>
    <n v="853"/>
    <s v="Kukatpalli"/>
    <d v="2019-01-16T00:00:00"/>
    <n v="1"/>
    <n v="2019"/>
    <s v="South Asia"/>
    <x v="7"/>
    <s v="PROCESSING"/>
    <s v="PENDING"/>
    <s v="Standard Class"/>
    <n v="299.95"/>
  </r>
  <r>
    <n v="26138"/>
    <s v="DEBIT"/>
    <n v="4"/>
    <n v="4"/>
    <s v=" ONTIME"/>
    <n v="957"/>
    <n v="1"/>
    <n v="299.98"/>
    <n v="7"/>
    <s v="Fan Shop"/>
    <n v="9375"/>
    <s v="Kukatpalli"/>
    <d v="2019-01-16T00:00:00"/>
    <n v="1"/>
    <n v="2019"/>
    <s v="South Asia"/>
    <x v="7"/>
    <s v="COMPLETE"/>
    <s v="COMPLETED"/>
    <s v="Standard Class"/>
    <n v="299.98"/>
  </r>
  <r>
    <n v="26139"/>
    <s v="PAYMENT"/>
    <n v="5"/>
    <n v="4"/>
    <s v="DELAYED"/>
    <n v="365"/>
    <n v="2"/>
    <n v="119.98"/>
    <n v="4"/>
    <s v="Apparel"/>
    <n v="1546"/>
    <s v="Kukatpalli"/>
    <d v="2019-01-16T00:00:00"/>
    <n v="1"/>
    <n v="2019"/>
    <s v="South Asia"/>
    <x v="7"/>
    <s v="PENDING_PAYMENT"/>
    <s v="PENDING"/>
    <s v="Standard Class"/>
    <n v="119.98"/>
  </r>
  <r>
    <n v="26140"/>
    <s v="DEBIT"/>
    <n v="6"/>
    <n v="4"/>
    <s v="DELAYED"/>
    <n v="1014"/>
    <n v="4"/>
    <n v="199.92"/>
    <n v="7"/>
    <s v="Fan Shop"/>
    <n v="8853"/>
    <s v="Kukatpalli"/>
    <d v="2019-01-16T00:00:00"/>
    <n v="1"/>
    <n v="2019"/>
    <s v="South Asia"/>
    <x v="7"/>
    <s v="COMPLETE"/>
    <s v="COMPLETED"/>
    <s v="Standard Class"/>
    <n v="199.92"/>
  </r>
  <r>
    <n v="26141"/>
    <s v="TRANSFER"/>
    <n v="2"/>
    <n v="4"/>
    <s v=" ONTIME"/>
    <n v="403"/>
    <n v="1"/>
    <n v="129.99"/>
    <n v="4"/>
    <s v="Apparel"/>
    <n v="803"/>
    <s v="Kukatpalli"/>
    <d v="2019-01-16T00:00:00"/>
    <n v="1"/>
    <n v="2019"/>
    <s v="South Asia"/>
    <x v="7"/>
    <s v="PROCESSING"/>
    <s v="PENDING"/>
    <s v="Standard Class"/>
    <n v="129.99"/>
  </r>
  <r>
    <n v="26159"/>
    <s v="TRANSFER"/>
    <n v="5"/>
    <n v="4"/>
    <s v="DELAYED"/>
    <n v="627"/>
    <n v="4"/>
    <n v="159.96"/>
    <n v="5"/>
    <s v="Golf"/>
    <n v="12330"/>
    <s v="Kalyan"/>
    <d v="2019-01-16T00:00:00"/>
    <n v="1"/>
    <n v="2019"/>
    <s v="South Asia"/>
    <x v="0"/>
    <s v="PROCESSING"/>
    <s v="PENDING"/>
    <s v="Standard Class"/>
    <n v="159.96"/>
  </r>
  <r>
    <n v="26160"/>
    <s v="TRANSFER"/>
    <n v="6"/>
    <n v="2"/>
    <s v="DELAYED"/>
    <n v="1073"/>
    <n v="1"/>
    <n v="199.99"/>
    <n v="7"/>
    <s v="Fan Shop"/>
    <n v="2371"/>
    <s v="Kalyan"/>
    <d v="2019-01-16T00:00:00"/>
    <n v="1"/>
    <n v="2019"/>
    <s v="South Asia"/>
    <x v="0"/>
    <s v="PROCESSING"/>
    <s v="PENDING"/>
    <s v="Second Class"/>
    <n v="199.99"/>
  </r>
  <r>
    <n v="26163"/>
    <s v="PAYMENT"/>
    <n v="4"/>
    <n v="4"/>
    <s v=" ONTIME"/>
    <n v="1073"/>
    <n v="1"/>
    <n v="199.99"/>
    <n v="7"/>
    <s v="Fan Shop"/>
    <n v="11373"/>
    <s v="Hyderabad"/>
    <d v="2019-01-16T00:00:00"/>
    <n v="1"/>
    <n v="2019"/>
    <s v="South Asia"/>
    <x v="7"/>
    <s v="PENDING_PAYMENT"/>
    <s v="PENDING"/>
    <s v="Standard Class"/>
    <n v="199.99"/>
  </r>
  <r>
    <n v="26178"/>
    <s v="DEBIT"/>
    <n v="4"/>
    <n v="4"/>
    <s v=" ONTIME"/>
    <n v="191"/>
    <n v="1"/>
    <n v="99.99"/>
    <n v="3"/>
    <s v="Footwear"/>
    <n v="7940"/>
    <s v="Guntur"/>
    <d v="2019-01-17T00:00:00"/>
    <n v="1"/>
    <n v="2019"/>
    <s v="South Asia"/>
    <x v="15"/>
    <s v="ON_HOLD"/>
    <s v="PENDING"/>
    <s v="Standard Class"/>
    <n v="99.99"/>
  </r>
  <r>
    <n v="26179"/>
    <s v="DEBIT"/>
    <n v="0"/>
    <n v="0"/>
    <s v=" ONTIME"/>
    <n v="365"/>
    <n v="2"/>
    <n v="119.98"/>
    <n v="4"/>
    <s v="Apparel"/>
    <n v="7478"/>
    <s v="Guntur"/>
    <d v="2019-01-17T00:00:00"/>
    <n v="1"/>
    <n v="2019"/>
    <s v="South Asia"/>
    <x v="15"/>
    <s v="ON_HOLD"/>
    <s v="PENDING"/>
    <s v="Same Day"/>
    <n v="119.98"/>
  </r>
  <r>
    <n v="26180"/>
    <s v="CASH"/>
    <n v="6"/>
    <n v="4"/>
    <s v="DELAYED"/>
    <n v="403"/>
    <n v="1"/>
    <n v="129.99"/>
    <n v="4"/>
    <s v="Apparel"/>
    <n v="12091"/>
    <s v="Guntur"/>
    <d v="2019-01-17T00:00:00"/>
    <n v="1"/>
    <n v="2019"/>
    <s v="South Asia"/>
    <x v="15"/>
    <s v="CLOSED"/>
    <s v="PENDING"/>
    <s v="Standard Class"/>
    <n v="129.99"/>
  </r>
  <r>
    <n v="26191"/>
    <s v="PAYMENT"/>
    <n v="2"/>
    <n v="4"/>
    <s v=" ONTIME"/>
    <n v="249"/>
    <n v="1"/>
    <n v="54.97"/>
    <n v="3"/>
    <s v="Footwear"/>
    <n v="2845"/>
    <s v="Chennai"/>
    <d v="2019-01-17T00:00:00"/>
    <n v="1"/>
    <n v="2019"/>
    <s v="South Asia"/>
    <x v="3"/>
    <s v="PENDING_PAYMENT"/>
    <s v="PENDING"/>
    <s v="Standard Class"/>
    <n v="54.97"/>
  </r>
  <r>
    <n v="26223"/>
    <s v="DEBIT"/>
    <n v="4"/>
    <n v="2"/>
    <s v="DELAYED"/>
    <n v="502"/>
    <n v="2"/>
    <n v="100"/>
    <n v="5"/>
    <s v="Golf"/>
    <n v="7727"/>
    <s v="Nagpur"/>
    <d v="2019-01-17T00:00:00"/>
    <n v="1"/>
    <n v="2019"/>
    <s v="South Asia"/>
    <x v="0"/>
    <s v="COMPLETE"/>
    <s v="COMPLETED"/>
    <s v="Second Class"/>
    <n v="100"/>
  </r>
  <r>
    <n v="26224"/>
    <s v="CASH"/>
    <n v="2"/>
    <n v="1"/>
    <s v="DELAYED"/>
    <n v="135"/>
    <n v="2"/>
    <n v="44"/>
    <n v="2"/>
    <s v="Fitness"/>
    <n v="4164"/>
    <s v="Nagpur"/>
    <d v="2019-01-17T00:00:00"/>
    <n v="1"/>
    <n v="2019"/>
    <s v="South Asia"/>
    <x v="0"/>
    <s v="CLOSED"/>
    <s v="PENDING"/>
    <s v="First Class"/>
    <n v="44"/>
  </r>
  <r>
    <n v="26241"/>
    <s v="DEBIT"/>
    <n v="2"/>
    <n v="4"/>
    <s v=" ONTIME"/>
    <n v="502"/>
    <n v="5"/>
    <n v="250"/>
    <n v="5"/>
    <s v="Golf"/>
    <n v="2373"/>
    <s v="Nagpur"/>
    <d v="2019-01-18T00:00:00"/>
    <n v="1"/>
    <n v="2019"/>
    <s v="South Asia"/>
    <x v="0"/>
    <s v="ON_HOLD"/>
    <s v="PENDING"/>
    <s v="Standard Class"/>
    <n v="250"/>
  </r>
  <r>
    <n v="26242"/>
    <s v="TRANSFER"/>
    <n v="3"/>
    <n v="4"/>
    <s v=" ONTIME"/>
    <n v="1073"/>
    <n v="1"/>
    <n v="199.99"/>
    <n v="7"/>
    <s v="Fan Shop"/>
    <n v="5773"/>
    <s v="Nagpur"/>
    <d v="2019-01-18T00:00:00"/>
    <n v="1"/>
    <n v="2019"/>
    <s v="South Asia"/>
    <x v="0"/>
    <s v="SUSPECTED_FRAUD"/>
    <s v="PENDING"/>
    <s v="Standard Class"/>
    <n v="199.99"/>
  </r>
  <r>
    <n v="26259"/>
    <s v="CASH"/>
    <n v="5"/>
    <n v="4"/>
    <s v="DELAYED"/>
    <n v="957"/>
    <n v="1"/>
    <n v="299.98"/>
    <n v="7"/>
    <s v="Fan Shop"/>
    <n v="5582"/>
    <s v="Tirunelveli"/>
    <d v="2019-01-18T00:00:00"/>
    <n v="1"/>
    <n v="2019"/>
    <s v="South Asia"/>
    <x v="3"/>
    <s v="CLOSED"/>
    <s v="PENDING"/>
    <s v="Standard Class"/>
    <n v="299.98"/>
  </r>
  <r>
    <n v="26260"/>
    <s v="DEBIT"/>
    <n v="6"/>
    <n v="4"/>
    <s v="DELAYED"/>
    <n v="502"/>
    <n v="1"/>
    <n v="50"/>
    <n v="5"/>
    <s v="Golf"/>
    <n v="9325"/>
    <s v="Tirunelveli"/>
    <d v="2019-01-18T00:00:00"/>
    <n v="1"/>
    <n v="2019"/>
    <s v="South Asia"/>
    <x v="3"/>
    <s v="ON_HOLD"/>
    <s v="PENDING"/>
    <s v="Standard Class"/>
    <n v="50"/>
  </r>
  <r>
    <n v="26261"/>
    <s v="PAYMENT"/>
    <n v="2"/>
    <n v="4"/>
    <s v=" ONTIME"/>
    <n v="191"/>
    <n v="5"/>
    <n v="499.95"/>
    <n v="3"/>
    <s v="Footwear"/>
    <n v="1880"/>
    <s v="Tirunelveli"/>
    <d v="2019-01-18T00:00:00"/>
    <n v="1"/>
    <n v="2019"/>
    <s v="South Asia"/>
    <x v="3"/>
    <s v="PENDING_PAYMENT"/>
    <s v="PENDING"/>
    <s v="Standard Class"/>
    <n v="499.95"/>
  </r>
  <r>
    <n v="26281"/>
    <s v="DEBIT"/>
    <n v="2"/>
    <n v="2"/>
    <s v=" ONTIME"/>
    <n v="502"/>
    <n v="4"/>
    <n v="200"/>
    <n v="5"/>
    <s v="Golf"/>
    <n v="8742"/>
    <s v="Nagpur"/>
    <d v="2019-01-18T00:00:00"/>
    <n v="1"/>
    <n v="2019"/>
    <s v="South Asia"/>
    <x v="0"/>
    <s v="COMPLETE"/>
    <s v="COMPLETED"/>
    <s v="Second Class"/>
    <n v="200"/>
  </r>
  <r>
    <n v="26282"/>
    <s v="DEBIT"/>
    <n v="2"/>
    <n v="1"/>
    <s v="DELAYED"/>
    <n v="235"/>
    <n v="1"/>
    <n v="34.99"/>
    <n v="3"/>
    <s v="Footwear"/>
    <n v="10313"/>
    <s v="Nagpur"/>
    <d v="2019-01-18T00:00:00"/>
    <n v="1"/>
    <n v="2019"/>
    <s v="South Asia"/>
    <x v="0"/>
    <s v="ON_HOLD"/>
    <s v="PENDING"/>
    <s v="First Class"/>
    <n v="34.99"/>
  </r>
  <r>
    <n v="26284"/>
    <s v="DEBIT"/>
    <n v="5"/>
    <n v="4"/>
    <s v="DELAYED"/>
    <n v="403"/>
    <n v="1"/>
    <n v="129.99"/>
    <n v="4"/>
    <s v="Apparel"/>
    <n v="4256"/>
    <s v="Nizamabad"/>
    <d v="2019-01-18T00:00:00"/>
    <n v="1"/>
    <n v="2019"/>
    <s v="South Asia"/>
    <x v="7"/>
    <s v="COMPLETE"/>
    <s v="COMPLETED"/>
    <s v="Standard Class"/>
    <n v="129.99"/>
  </r>
  <r>
    <n v="26292"/>
    <s v="DEBIT"/>
    <n v="3"/>
    <n v="4"/>
    <s v=" ONTIME"/>
    <n v="502"/>
    <n v="1"/>
    <n v="50"/>
    <n v="5"/>
    <s v="Golf"/>
    <n v="12314"/>
    <s v="Rajkot"/>
    <d v="2019-01-18T00:00:00"/>
    <n v="1"/>
    <n v="2019"/>
    <s v="South Asia"/>
    <x v="4"/>
    <s v="ON_HOLD"/>
    <s v="PENDING"/>
    <s v="Standard Class"/>
    <n v="50"/>
  </r>
  <r>
    <n v="26297"/>
    <s v="PAYMENT"/>
    <n v="3"/>
    <n v="2"/>
    <s v="DELAYED"/>
    <n v="191"/>
    <n v="4"/>
    <n v="399.96"/>
    <n v="3"/>
    <s v="Footwear"/>
    <n v="4506"/>
    <s v="Warangal"/>
    <d v="2019-01-18T00:00:00"/>
    <n v="1"/>
    <n v="2019"/>
    <s v="South Asia"/>
    <x v="7"/>
    <s v="PENDING_PAYMENT"/>
    <s v="PENDING"/>
    <s v="Second Class"/>
    <n v="399.96"/>
  </r>
  <r>
    <n v="26306"/>
    <s v="TRANSFER"/>
    <n v="2"/>
    <n v="4"/>
    <s v=" ONTIME"/>
    <n v="627"/>
    <n v="2"/>
    <n v="79.98"/>
    <n v="5"/>
    <s v="Golf"/>
    <n v="6378"/>
    <s v="Kota"/>
    <d v="2019-01-18T00:00:00"/>
    <n v="1"/>
    <n v="2019"/>
    <s v="South Asia"/>
    <x v="2"/>
    <s v="PENDING"/>
    <s v="PENDING"/>
    <s v="Standard Class"/>
    <n v="79.98"/>
  </r>
  <r>
    <n v="26308"/>
    <s v="DEBIT"/>
    <n v="4"/>
    <n v="2"/>
    <s v="DELAYED"/>
    <n v="627"/>
    <n v="1"/>
    <n v="39.99"/>
    <n v="5"/>
    <s v="Golf"/>
    <n v="2222"/>
    <s v="Sangli"/>
    <d v="2019-01-19T00:00:00"/>
    <n v="1"/>
    <n v="2019"/>
    <s v="South Asia"/>
    <x v="0"/>
    <s v="COMPLETE"/>
    <s v="COMPLETED"/>
    <s v="Second Class"/>
    <n v="39.99"/>
  </r>
  <r>
    <n v="26317"/>
    <s v="TRANSFER"/>
    <n v="3"/>
    <n v="4"/>
    <s v=" ONTIME"/>
    <n v="567"/>
    <n v="4"/>
    <n v="100"/>
    <n v="5"/>
    <s v="Golf"/>
    <n v="2485"/>
    <s v="Raipur"/>
    <d v="2019-01-19T00:00:00"/>
    <n v="1"/>
    <n v="2019"/>
    <s v="South Asia"/>
    <x v="18"/>
    <s v="PROCESSING"/>
    <s v="PENDING"/>
    <s v="Standard Class"/>
    <n v="100"/>
  </r>
  <r>
    <n v="26324"/>
    <s v="DEBIT"/>
    <n v="5"/>
    <n v="4"/>
    <s v="DELAYED"/>
    <n v="365"/>
    <n v="5"/>
    <n v="299.95"/>
    <n v="4"/>
    <s v="Apparel"/>
    <n v="7434"/>
    <s v="Jabalpur"/>
    <d v="2019-01-19T00:00:00"/>
    <n v="1"/>
    <n v="2019"/>
    <s v="South Asia"/>
    <x v="14"/>
    <s v="ON_HOLD"/>
    <s v="PENDING"/>
    <s v="Standard Class"/>
    <n v="299.95"/>
  </r>
  <r>
    <n v="26325"/>
    <s v="TRANSFER"/>
    <n v="6"/>
    <n v="4"/>
    <s v="DELAYED"/>
    <n v="957"/>
    <n v="1"/>
    <n v="299.98"/>
    <n v="7"/>
    <s v="Fan Shop"/>
    <n v="10893"/>
    <s v="Jabalpur"/>
    <d v="2019-01-19T00:00:00"/>
    <n v="1"/>
    <n v="2019"/>
    <s v="South Asia"/>
    <x v="14"/>
    <s v="PENDING"/>
    <s v="PENDING"/>
    <s v="Standard Class"/>
    <n v="299.98"/>
  </r>
  <r>
    <n v="26343"/>
    <s v="DEBIT"/>
    <n v="4"/>
    <n v="2"/>
    <s v="DELAYED"/>
    <n v="771"/>
    <n v="3"/>
    <n v="119.97"/>
    <n v="6"/>
    <s v="Outdoors"/>
    <n v="11503"/>
    <s v="Guntur"/>
    <d v="2019-01-19T00:00:00"/>
    <n v="1"/>
    <n v="2019"/>
    <s v="South Asia"/>
    <x v="15"/>
    <s v="ON_HOLD"/>
    <s v="PENDING"/>
    <s v="Second Class"/>
    <n v="119.97"/>
  </r>
  <r>
    <n v="26344"/>
    <s v="PAYMENT"/>
    <n v="5"/>
    <n v="4"/>
    <s v="DELAYED"/>
    <n v="1014"/>
    <n v="4"/>
    <n v="199.92"/>
    <n v="7"/>
    <s v="Fan Shop"/>
    <n v="8944"/>
    <s v="Kulti"/>
    <d v="2019-01-19T00:00:00"/>
    <n v="1"/>
    <n v="2019"/>
    <s v="South Asia"/>
    <x v="6"/>
    <s v="PENDING_PAYMENT"/>
    <s v="PENDING"/>
    <s v="Standard Class"/>
    <n v="199.92"/>
  </r>
  <r>
    <n v="26345"/>
    <s v="DEBIT"/>
    <n v="6"/>
    <n v="4"/>
    <s v="DELAYED"/>
    <n v="365"/>
    <n v="2"/>
    <n v="119.98"/>
    <n v="4"/>
    <s v="Apparel"/>
    <n v="8828"/>
    <s v="Kulti"/>
    <d v="2019-01-19T00:00:00"/>
    <n v="1"/>
    <n v="2019"/>
    <s v="South Asia"/>
    <x v="6"/>
    <s v="COMPLETE"/>
    <s v="COMPLETED"/>
    <s v="Standard Class"/>
    <n v="119.98"/>
  </r>
  <r>
    <n v="26346"/>
    <s v="PAYMENT"/>
    <n v="2"/>
    <n v="4"/>
    <s v=" ONTIME"/>
    <n v="403"/>
    <n v="1"/>
    <n v="129.99"/>
    <n v="4"/>
    <s v="Apparel"/>
    <n v="6788"/>
    <s v="Kulti"/>
    <d v="2019-01-19T00:00:00"/>
    <n v="1"/>
    <n v="2019"/>
    <s v="South Asia"/>
    <x v="6"/>
    <s v="PENDING_PAYMENT"/>
    <s v="PENDING"/>
    <s v="Standard Class"/>
    <n v="129.99"/>
  </r>
  <r>
    <n v="26347"/>
    <s v="TRANSFER"/>
    <n v="3"/>
    <n v="4"/>
    <s v=" ONTIME"/>
    <n v="1014"/>
    <n v="2"/>
    <n v="99.96"/>
    <n v="7"/>
    <s v="Fan Shop"/>
    <n v="3520"/>
    <s v="Kulti"/>
    <d v="2019-01-19T00:00:00"/>
    <n v="1"/>
    <n v="2019"/>
    <s v="South Asia"/>
    <x v="6"/>
    <s v="PENDING"/>
    <s v="PENDING"/>
    <s v="Standard Class"/>
    <n v="99.96"/>
  </r>
  <r>
    <n v="26366"/>
    <s v="DEBIT"/>
    <n v="2"/>
    <n v="1"/>
    <s v="DELAYED"/>
    <n v="627"/>
    <n v="3"/>
    <n v="119.97"/>
    <n v="5"/>
    <s v="Golf"/>
    <n v="7368"/>
    <s v="Surat"/>
    <d v="2019-01-19T00:00:00"/>
    <n v="1"/>
    <n v="2019"/>
    <s v="South Asia"/>
    <x v="4"/>
    <s v="COMPLETE"/>
    <s v="COMPLETED"/>
    <s v="First Class"/>
    <n v="119.97"/>
  </r>
  <r>
    <n v="26402"/>
    <s v="TRANSFER"/>
    <n v="3"/>
    <n v="4"/>
    <s v=" ONTIME"/>
    <n v="365"/>
    <n v="5"/>
    <n v="299.95"/>
    <n v="4"/>
    <s v="Apparel"/>
    <n v="3230"/>
    <s v="Gwalior"/>
    <d v="2019-01-20T00:00:00"/>
    <n v="1"/>
    <n v="2019"/>
    <s v="South Asia"/>
    <x v="14"/>
    <s v="PROCESSING"/>
    <s v="PENDING"/>
    <s v="Standard Class"/>
    <n v="299.95"/>
  </r>
  <r>
    <n v="26403"/>
    <s v="PAYMENT"/>
    <n v="4"/>
    <n v="4"/>
    <s v=" ONTIME"/>
    <n v="403"/>
    <n v="1"/>
    <n v="129.99"/>
    <n v="4"/>
    <s v="Apparel"/>
    <n v="4580"/>
    <s v="Gwalior"/>
    <d v="2019-01-20T00:00:00"/>
    <n v="1"/>
    <n v="2019"/>
    <s v="South Asia"/>
    <x v="14"/>
    <s v="PENDING_PAYMENT"/>
    <s v="PENDING"/>
    <s v="Standard Class"/>
    <n v="129.99"/>
  </r>
  <r>
    <n v="26404"/>
    <s v="PAYMENT"/>
    <n v="5"/>
    <n v="2"/>
    <s v="DELAYED"/>
    <n v="191"/>
    <n v="3"/>
    <n v="299.97000000000003"/>
    <n v="3"/>
    <s v="Footwear"/>
    <n v="3593"/>
    <s v="Gwalior"/>
    <d v="2019-01-20T00:00:00"/>
    <n v="1"/>
    <n v="2019"/>
    <s v="South Asia"/>
    <x v="14"/>
    <s v="PENDING_PAYMENT"/>
    <s v="PENDING"/>
    <s v="Second Class"/>
    <n v="299.97000000000003"/>
  </r>
  <r>
    <n v="26405"/>
    <s v="CASH"/>
    <n v="6"/>
    <n v="4"/>
    <s v="DELAYED"/>
    <n v="957"/>
    <n v="1"/>
    <n v="299.98"/>
    <n v="7"/>
    <s v="Fan Shop"/>
    <n v="4795"/>
    <s v="Bikaner"/>
    <d v="2019-01-20T00:00:00"/>
    <n v="1"/>
    <n v="2019"/>
    <s v="South Asia"/>
    <x v="2"/>
    <s v="CLOSED"/>
    <s v="PENDING"/>
    <s v="Standard Class"/>
    <n v="299.98"/>
  </r>
  <r>
    <n v="26420"/>
    <s v="CASH"/>
    <n v="6"/>
    <n v="4"/>
    <s v="DELAYED"/>
    <n v="191"/>
    <n v="1"/>
    <n v="99.99"/>
    <n v="3"/>
    <s v="Footwear"/>
    <n v="11380"/>
    <s v="Kollam"/>
    <d v="2019-01-20T00:00:00"/>
    <n v="1"/>
    <n v="2019"/>
    <s v="South Asia"/>
    <x v="20"/>
    <s v="CLOSED"/>
    <s v="PENDING"/>
    <s v="Standard Class"/>
    <n v="99.99"/>
  </r>
  <r>
    <n v="26421"/>
    <s v="PAYMENT"/>
    <n v="2"/>
    <n v="2"/>
    <s v=" ONTIME"/>
    <n v="502"/>
    <n v="4"/>
    <n v="200"/>
    <n v="5"/>
    <s v="Golf"/>
    <n v="3331"/>
    <s v="Kollam"/>
    <d v="2019-01-20T00:00:00"/>
    <n v="1"/>
    <n v="2019"/>
    <s v="South Asia"/>
    <x v="20"/>
    <s v="PENDING_PAYMENT"/>
    <s v="PENDING"/>
    <s v="Second Class"/>
    <n v="200"/>
  </r>
  <r>
    <n v="26436"/>
    <s v="TRANSFER"/>
    <n v="2"/>
    <n v="4"/>
    <s v=" ONTIME"/>
    <n v="627"/>
    <n v="5"/>
    <n v="199.95"/>
    <n v="5"/>
    <s v="Golf"/>
    <n v="4565"/>
    <s v="Mumbai"/>
    <d v="2019-01-20T00:00:00"/>
    <n v="1"/>
    <n v="2019"/>
    <s v="South Asia"/>
    <x v="0"/>
    <s v="PROCESSING"/>
    <s v="PENDING"/>
    <s v="Standard Class"/>
    <n v="199.95"/>
  </r>
  <r>
    <n v="26437"/>
    <s v="TRANSFER"/>
    <n v="3"/>
    <n v="2"/>
    <s v="DELAYED"/>
    <n v="403"/>
    <n v="1"/>
    <n v="129.99"/>
    <n v="4"/>
    <s v="Apparel"/>
    <n v="1159"/>
    <s v="Mumbai"/>
    <d v="2019-01-20T00:00:00"/>
    <n v="1"/>
    <n v="2019"/>
    <s v="South Asia"/>
    <x v="0"/>
    <s v="PROCESSING"/>
    <s v="PENDING"/>
    <s v="Second Class"/>
    <n v="129.99"/>
  </r>
  <r>
    <n v="26480"/>
    <s v="TRANSFER"/>
    <n v="6"/>
    <n v="4"/>
    <s v="DELAYED"/>
    <n v="365"/>
    <n v="2"/>
    <n v="119.98"/>
    <n v="4"/>
    <s v="Apparel"/>
    <n v="9749"/>
    <s v="Patna"/>
    <d v="2019-01-21T00:00:00"/>
    <n v="1"/>
    <n v="2019"/>
    <s v="South Asia"/>
    <x v="17"/>
    <s v="SUSPECTED_FRAUD"/>
    <s v="PENDING"/>
    <s v="Standard Class"/>
    <n v="119.98"/>
  </r>
  <r>
    <n v="26481"/>
    <s v="TRANSFER"/>
    <n v="2"/>
    <n v="4"/>
    <s v=" ONTIME"/>
    <n v="365"/>
    <n v="3"/>
    <n v="179.97"/>
    <n v="4"/>
    <s v="Apparel"/>
    <n v="2798"/>
    <s v="Patna"/>
    <d v="2019-01-21T00:00:00"/>
    <n v="1"/>
    <n v="2019"/>
    <s v="South Asia"/>
    <x v="17"/>
    <s v="PENDING"/>
    <s v="PENDING"/>
    <s v="Standard Class"/>
    <n v="179.97"/>
  </r>
  <r>
    <n v="26482"/>
    <s v="DEBIT"/>
    <n v="3"/>
    <n v="4"/>
    <s v=" ONTIME"/>
    <n v="1073"/>
    <n v="1"/>
    <n v="199.99"/>
    <n v="7"/>
    <s v="Fan Shop"/>
    <n v="3187"/>
    <s v="Patna"/>
    <d v="2019-01-21T00:00:00"/>
    <n v="1"/>
    <n v="2019"/>
    <s v="South Asia"/>
    <x v="17"/>
    <s v="COMPLETE"/>
    <s v="COMPLETED"/>
    <s v="Standard Class"/>
    <n v="199.99"/>
  </r>
  <r>
    <n v="26483"/>
    <s v="TRANSFER"/>
    <n v="2"/>
    <n v="1"/>
    <s v="DELAYED"/>
    <n v="403"/>
    <n v="1"/>
    <n v="129.99"/>
    <n v="4"/>
    <s v="Apparel"/>
    <n v="9379"/>
    <s v="Patna"/>
    <d v="2019-01-21T00:00:00"/>
    <n v="1"/>
    <n v="2019"/>
    <s v="South Asia"/>
    <x v="17"/>
    <s v="CANCELED"/>
    <s v="CANCELED"/>
    <s v="First Class"/>
    <n v="129.99"/>
  </r>
  <r>
    <n v="26487"/>
    <s v="PAYMENT"/>
    <n v="1"/>
    <n v="0"/>
    <s v="DELAYED"/>
    <n v="502"/>
    <n v="2"/>
    <n v="100"/>
    <n v="5"/>
    <s v="Golf"/>
    <n v="6466"/>
    <s v="Delhi"/>
    <d v="2019-01-21T00:00:00"/>
    <n v="1"/>
    <n v="2019"/>
    <s v="South Asia"/>
    <x v="11"/>
    <s v="PENDING_PAYMENT"/>
    <s v="PENDING"/>
    <s v="Same Day"/>
    <n v="100"/>
  </r>
  <r>
    <n v="26497"/>
    <s v="DEBIT"/>
    <n v="3"/>
    <n v="4"/>
    <s v=" ONTIME"/>
    <n v="191"/>
    <n v="1"/>
    <n v="99.99"/>
    <n v="3"/>
    <s v="Footwear"/>
    <n v="4268"/>
    <s v="Barddhaman"/>
    <d v="2019-01-21T00:00:00"/>
    <n v="1"/>
    <n v="2019"/>
    <s v="South Asia"/>
    <x v="6"/>
    <s v="COMPLETE"/>
    <s v="COMPLETED"/>
    <s v="Standard Class"/>
    <n v="99.99"/>
  </r>
  <r>
    <n v="26498"/>
    <s v="PAYMENT"/>
    <n v="4"/>
    <n v="4"/>
    <s v=" ONTIME"/>
    <n v="191"/>
    <n v="1"/>
    <n v="99.99"/>
    <n v="3"/>
    <s v="Footwear"/>
    <n v="10684"/>
    <s v="Hyderabad"/>
    <d v="2019-01-21T00:00:00"/>
    <n v="1"/>
    <n v="2019"/>
    <s v="South Asia"/>
    <x v="7"/>
    <s v="PENDING_PAYMENT"/>
    <s v="PENDING"/>
    <s v="Standard Class"/>
    <n v="99.99"/>
  </r>
  <r>
    <n v="26499"/>
    <s v="DEBIT"/>
    <n v="5"/>
    <n v="4"/>
    <s v="DELAYED"/>
    <n v="365"/>
    <n v="3"/>
    <n v="179.97"/>
    <n v="4"/>
    <s v="Apparel"/>
    <n v="4925"/>
    <s v="Hyderabad"/>
    <d v="2019-01-21T00:00:00"/>
    <n v="1"/>
    <n v="2019"/>
    <s v="South Asia"/>
    <x v="7"/>
    <s v="COMPLETE"/>
    <s v="COMPLETED"/>
    <s v="Standard Class"/>
    <n v="179.97"/>
  </r>
  <r>
    <n v="26523"/>
    <s v="DEBIT"/>
    <n v="2"/>
    <n v="1"/>
    <s v="DELAYED"/>
    <n v="771"/>
    <n v="2"/>
    <n v="79.98"/>
    <n v="6"/>
    <s v="Outdoors"/>
    <n v="2268"/>
    <s v="Moradabad"/>
    <d v="2019-01-22T00:00:00"/>
    <n v="1"/>
    <n v="2019"/>
    <s v="South Asia"/>
    <x v="1"/>
    <s v="COMPLETE"/>
    <s v="COMPLETED"/>
    <s v="First Class"/>
    <n v="79.98"/>
  </r>
  <r>
    <n v="26524"/>
    <s v="DEBIT"/>
    <n v="2"/>
    <n v="1"/>
    <s v="DELAYED"/>
    <n v="403"/>
    <n v="1"/>
    <n v="129.99"/>
    <n v="4"/>
    <s v="Apparel"/>
    <n v="3171"/>
    <s v="Moradabad"/>
    <d v="2019-01-22T00:00:00"/>
    <n v="1"/>
    <n v="2019"/>
    <s v="South Asia"/>
    <x v="1"/>
    <s v="COMPLETE"/>
    <s v="COMPLETED"/>
    <s v="First Class"/>
    <n v="129.99"/>
  </r>
  <r>
    <n v="26525"/>
    <s v="DEBIT"/>
    <n v="6"/>
    <n v="2"/>
    <s v="DELAYED"/>
    <n v="135"/>
    <n v="4"/>
    <n v="88"/>
    <n v="2"/>
    <s v="Fitness"/>
    <n v="8184"/>
    <s v="Moradabad"/>
    <d v="2019-01-22T00:00:00"/>
    <n v="1"/>
    <n v="2019"/>
    <s v="South Asia"/>
    <x v="1"/>
    <s v="COMPLETE"/>
    <s v="COMPLETED"/>
    <s v="Second Class"/>
    <n v="88"/>
  </r>
  <r>
    <n v="26526"/>
    <s v="TRANSFER"/>
    <n v="2"/>
    <n v="2"/>
    <s v=" ONTIME"/>
    <n v="792"/>
    <n v="1"/>
    <n v="14.99"/>
    <n v="6"/>
    <s v="Outdoors"/>
    <n v="11097"/>
    <s v="Moradabad"/>
    <d v="2019-01-22T00:00:00"/>
    <n v="1"/>
    <n v="2019"/>
    <s v="South Asia"/>
    <x v="1"/>
    <s v="PENDING"/>
    <s v="PENDING"/>
    <s v="Second Class"/>
    <n v="14.99"/>
  </r>
  <r>
    <n v="26546"/>
    <s v="DEBIT"/>
    <n v="2"/>
    <n v="2"/>
    <s v=" ONTIME"/>
    <n v="403"/>
    <n v="1"/>
    <n v="129.99"/>
    <n v="4"/>
    <s v="Apparel"/>
    <n v="2265"/>
    <s v="Mumbai"/>
    <d v="2019-01-22T00:00:00"/>
    <n v="1"/>
    <n v="2019"/>
    <s v="South Asia"/>
    <x v="0"/>
    <s v="COMPLETE"/>
    <s v="COMPLETED"/>
    <s v="Second Class"/>
    <n v="129.99"/>
  </r>
  <r>
    <n v="26553"/>
    <s v="DEBIT"/>
    <n v="4"/>
    <n v="4"/>
    <s v=" ONTIME"/>
    <n v="403"/>
    <n v="1"/>
    <n v="129.99"/>
    <n v="4"/>
    <s v="Apparel"/>
    <n v="4353"/>
    <s v="Surat"/>
    <d v="2019-01-22T00:00:00"/>
    <n v="1"/>
    <n v="2019"/>
    <s v="South Asia"/>
    <x v="4"/>
    <s v="COMPLETE"/>
    <s v="COMPLETED"/>
    <s v="Standard Class"/>
    <n v="129.99"/>
  </r>
  <r>
    <n v="26555"/>
    <s v="PAYMENT"/>
    <n v="6"/>
    <n v="4"/>
    <s v="DELAYED"/>
    <n v="191"/>
    <n v="1"/>
    <n v="99.99"/>
    <n v="3"/>
    <s v="Footwear"/>
    <n v="174"/>
    <s v="Surat"/>
    <d v="2019-01-22T00:00:00"/>
    <n v="1"/>
    <n v="2019"/>
    <s v="South Asia"/>
    <x v="4"/>
    <s v="PENDING_PAYMENT"/>
    <s v="PENDING"/>
    <s v="Standard Class"/>
    <n v="99.99"/>
  </r>
  <r>
    <n v="26561"/>
    <s v="DEBIT"/>
    <n v="2"/>
    <n v="4"/>
    <s v=" ONTIME"/>
    <n v="1014"/>
    <n v="3"/>
    <n v="149.94"/>
    <n v="7"/>
    <s v="Fan Shop"/>
    <n v="10969"/>
    <s v="Bharatpur"/>
    <d v="2019-01-22T00:00:00"/>
    <n v="1"/>
    <n v="2019"/>
    <s v="South Asia"/>
    <x v="2"/>
    <s v="ON_HOLD"/>
    <s v="PENDING"/>
    <s v="Standard Class"/>
    <n v="149.94"/>
  </r>
  <r>
    <n v="26562"/>
    <s v="PAYMENT"/>
    <n v="3"/>
    <n v="4"/>
    <s v=" ONTIME"/>
    <n v="191"/>
    <n v="3"/>
    <n v="299.97000000000003"/>
    <n v="3"/>
    <s v="Footwear"/>
    <n v="10213"/>
    <s v="Bharatpur"/>
    <d v="2019-01-22T00:00:00"/>
    <n v="1"/>
    <n v="2019"/>
    <s v="South Asia"/>
    <x v="2"/>
    <s v="PAYMENT_REVIEW"/>
    <s v="PENDING"/>
    <s v="Standard Class"/>
    <n v="299.97000000000003"/>
  </r>
  <r>
    <n v="26563"/>
    <s v="PAYMENT"/>
    <n v="4"/>
    <n v="4"/>
    <s v=" ONTIME"/>
    <n v="403"/>
    <n v="1"/>
    <n v="129.99"/>
    <n v="4"/>
    <s v="Apparel"/>
    <n v="2575"/>
    <s v="Bharatpur"/>
    <d v="2019-01-22T00:00:00"/>
    <n v="1"/>
    <n v="2019"/>
    <s v="South Asia"/>
    <x v="2"/>
    <s v="PENDING_PAYMENT"/>
    <s v="PENDING"/>
    <s v="Standard Class"/>
    <n v="129.99"/>
  </r>
  <r>
    <n v="26572"/>
    <s v="PAYMENT"/>
    <n v="3"/>
    <n v="2"/>
    <s v="DELAYED"/>
    <n v="627"/>
    <n v="1"/>
    <n v="39.99"/>
    <n v="5"/>
    <s v="Golf"/>
    <n v="8538"/>
    <s v="Delhi"/>
    <d v="2019-01-22T00:00:00"/>
    <n v="1"/>
    <n v="2019"/>
    <s v="South Asia"/>
    <x v="11"/>
    <s v="PENDING_PAYMENT"/>
    <s v="PENDING"/>
    <s v="Second Class"/>
    <n v="39.99"/>
  </r>
  <r>
    <n v="26573"/>
    <s v="PAYMENT"/>
    <n v="4"/>
    <n v="2"/>
    <s v="DELAYED"/>
    <n v="1014"/>
    <n v="5"/>
    <n v="249.9"/>
    <n v="7"/>
    <s v="Fan Shop"/>
    <n v="9233"/>
    <s v="Delhi"/>
    <d v="2019-01-22T00:00:00"/>
    <n v="1"/>
    <n v="2019"/>
    <s v="South Asia"/>
    <x v="11"/>
    <s v="PENDING_PAYMENT"/>
    <s v="PENDING"/>
    <s v="Second Class"/>
    <n v="249.9"/>
  </r>
  <r>
    <n v="26599"/>
    <s v="PAYMENT"/>
    <n v="5"/>
    <n v="2"/>
    <s v="DELAYED"/>
    <n v="135"/>
    <n v="5"/>
    <n v="110"/>
    <n v="2"/>
    <s v="Fitness"/>
    <n v="9713"/>
    <s v="Delhi"/>
    <d v="2019-01-23T00:00:00"/>
    <n v="1"/>
    <n v="2019"/>
    <s v="South Asia"/>
    <x v="11"/>
    <s v="PENDING_PAYMENT"/>
    <s v="PENDING"/>
    <s v="Second Class"/>
    <n v="110"/>
  </r>
  <r>
    <n v="26600"/>
    <s v="DEBIT"/>
    <n v="2"/>
    <n v="1"/>
    <s v="DELAYED"/>
    <n v="365"/>
    <n v="1"/>
    <n v="59.99"/>
    <n v="4"/>
    <s v="Apparel"/>
    <n v="6708"/>
    <s v="Delhi"/>
    <d v="2019-01-23T00:00:00"/>
    <n v="1"/>
    <n v="2019"/>
    <s v="South Asia"/>
    <x v="11"/>
    <s v="ON_HOLD"/>
    <s v="PENDING"/>
    <s v="First Class"/>
    <n v="59.99"/>
  </r>
  <r>
    <n v="26608"/>
    <s v="DEBIT"/>
    <n v="4"/>
    <n v="4"/>
    <s v=" ONTIME"/>
    <n v="365"/>
    <n v="5"/>
    <n v="299.95"/>
    <n v="4"/>
    <s v="Apparel"/>
    <n v="9317"/>
    <s v="Meerut"/>
    <d v="2019-01-23T00:00:00"/>
    <n v="1"/>
    <n v="2019"/>
    <s v="South Asia"/>
    <x v="1"/>
    <s v="COMPLETE"/>
    <s v="COMPLETED"/>
    <s v="Standard Class"/>
    <n v="299.95"/>
  </r>
  <r>
    <n v="26614"/>
    <s v="PAYMENT"/>
    <n v="5"/>
    <n v="2"/>
    <s v="DELAYED"/>
    <n v="191"/>
    <n v="1"/>
    <n v="99.99"/>
    <n v="3"/>
    <s v="Footwear"/>
    <n v="2484"/>
    <s v="Mumbai"/>
    <d v="2019-01-23T00:00:00"/>
    <n v="1"/>
    <n v="2019"/>
    <s v="South Asia"/>
    <x v="0"/>
    <s v="PENDING_PAYMENT"/>
    <s v="PENDING"/>
    <s v="Second Class"/>
    <n v="99.99"/>
  </r>
  <r>
    <n v="26623"/>
    <s v="PAYMENT"/>
    <n v="2"/>
    <n v="1"/>
    <s v="DELAYED"/>
    <n v="502"/>
    <n v="2"/>
    <n v="100"/>
    <n v="5"/>
    <s v="Golf"/>
    <n v="5403"/>
    <s v="Akola"/>
    <d v="2019-01-23T00:00:00"/>
    <n v="1"/>
    <n v="2019"/>
    <s v="South Asia"/>
    <x v="0"/>
    <s v="PENDING_PAYMENT"/>
    <s v="PENDING"/>
    <s v="First Class"/>
    <n v="100"/>
  </r>
  <r>
    <n v="26644"/>
    <s v="TRANSFER"/>
    <n v="5"/>
    <n v="4"/>
    <s v="DELAYED"/>
    <n v="403"/>
    <n v="1"/>
    <n v="129.99"/>
    <n v="4"/>
    <s v="Apparel"/>
    <n v="336"/>
    <s v="Nasik"/>
    <d v="2019-01-23T00:00:00"/>
    <n v="1"/>
    <n v="2019"/>
    <s v="South Asia"/>
    <x v="0"/>
    <s v="PENDING"/>
    <s v="PENDING"/>
    <s v="Standard Class"/>
    <n v="129.99"/>
  </r>
  <r>
    <n v="26672"/>
    <s v="DEBIT"/>
    <n v="3"/>
    <n v="4"/>
    <s v=" ONTIME"/>
    <n v="403"/>
    <n v="1"/>
    <n v="129.99"/>
    <n v="4"/>
    <s v="Apparel"/>
    <n v="876"/>
    <s v="Udaipur"/>
    <d v="2019-01-24T00:00:00"/>
    <n v="1"/>
    <n v="2019"/>
    <s v="South Asia"/>
    <x v="24"/>
    <s v="COMPLETE"/>
    <s v="COMPLETED"/>
    <s v="Standard Class"/>
    <n v="129.99"/>
  </r>
  <r>
    <n v="26676"/>
    <s v="TRANSFER"/>
    <n v="2"/>
    <n v="4"/>
    <s v=" ONTIME"/>
    <n v="1073"/>
    <n v="1"/>
    <n v="199.99"/>
    <n v="7"/>
    <s v="Fan Shop"/>
    <n v="9727"/>
    <s v="Kanpur"/>
    <d v="2019-01-24T00:00:00"/>
    <n v="1"/>
    <n v="2019"/>
    <s v="South Asia"/>
    <x v="1"/>
    <s v="PROCESSING"/>
    <s v="PENDING"/>
    <s v="Standard Class"/>
    <n v="199.99"/>
  </r>
  <r>
    <n v="26677"/>
    <s v="DEBIT"/>
    <n v="3"/>
    <n v="4"/>
    <s v=" ONTIME"/>
    <n v="1014"/>
    <n v="2"/>
    <n v="99.96"/>
    <n v="7"/>
    <s v="Fan Shop"/>
    <n v="7578"/>
    <s v="Kanpur"/>
    <d v="2019-01-24T00:00:00"/>
    <n v="1"/>
    <n v="2019"/>
    <s v="South Asia"/>
    <x v="1"/>
    <s v="COMPLETE"/>
    <s v="COMPLETED"/>
    <s v="Standard Class"/>
    <n v="99.96"/>
  </r>
  <r>
    <n v="26699"/>
    <s v="TRANSFER"/>
    <n v="5"/>
    <n v="2"/>
    <s v="DELAYED"/>
    <n v="365"/>
    <n v="2"/>
    <n v="119.98"/>
    <n v="4"/>
    <s v="Apparel"/>
    <n v="11257"/>
    <s v="Delhi"/>
    <d v="2019-01-24T00:00:00"/>
    <n v="1"/>
    <n v="2019"/>
    <s v="South Asia"/>
    <x v="11"/>
    <s v="PENDING"/>
    <s v="PENDING"/>
    <s v="Second Class"/>
    <n v="119.98"/>
  </r>
  <r>
    <n v="26709"/>
    <s v="PAYMENT"/>
    <n v="5"/>
    <n v="4"/>
    <s v="DELAYED"/>
    <n v="365"/>
    <n v="3"/>
    <n v="179.97"/>
    <n v="4"/>
    <s v="Apparel"/>
    <n v="4311"/>
    <s v="Mathura"/>
    <d v="2019-01-24T00:00:00"/>
    <n v="1"/>
    <n v="2019"/>
    <s v="South Asia"/>
    <x v="1"/>
    <s v="PENDING_PAYMENT"/>
    <s v="PENDING"/>
    <s v="Standard Class"/>
    <n v="179.97"/>
  </r>
  <r>
    <n v="26714"/>
    <s v="CASH"/>
    <n v="5"/>
    <n v="4"/>
    <s v="DELAYED"/>
    <n v="365"/>
    <n v="1"/>
    <n v="59.99"/>
    <n v="4"/>
    <s v="Apparel"/>
    <n v="4399"/>
    <s v="Tiruchchirappalli"/>
    <d v="2019-01-24T00:00:00"/>
    <n v="1"/>
    <n v="2019"/>
    <s v="South Asia"/>
    <x v="3"/>
    <s v="CLOSED"/>
    <s v="PENDING"/>
    <s v="Standard Class"/>
    <n v="59.99"/>
  </r>
  <r>
    <n v="26715"/>
    <s v="DEBIT"/>
    <n v="6"/>
    <n v="4"/>
    <s v="DELAYED"/>
    <n v="403"/>
    <n v="1"/>
    <n v="129.99"/>
    <n v="4"/>
    <s v="Apparel"/>
    <n v="9231"/>
    <s v="Tiruchchirappalli"/>
    <d v="2019-01-24T00:00:00"/>
    <n v="1"/>
    <n v="2019"/>
    <s v="South Asia"/>
    <x v="3"/>
    <s v="ON_HOLD"/>
    <s v="PENDING"/>
    <s v="Standard Class"/>
    <n v="129.99"/>
  </r>
  <r>
    <n v="26716"/>
    <s v="DEBIT"/>
    <n v="2"/>
    <n v="4"/>
    <s v=" ONTIME"/>
    <n v="365"/>
    <n v="4"/>
    <n v="239.96"/>
    <n v="4"/>
    <s v="Apparel"/>
    <n v="3289"/>
    <s v="Indore"/>
    <d v="2019-01-24T00:00:00"/>
    <n v="1"/>
    <n v="2019"/>
    <s v="South Asia"/>
    <x v="14"/>
    <s v="COMPLETE"/>
    <s v="COMPLETED"/>
    <s v="Standard Class"/>
    <n v="239.96"/>
  </r>
  <r>
    <n v="26717"/>
    <s v="DEBIT"/>
    <n v="3"/>
    <n v="2"/>
    <s v="DELAYED"/>
    <n v="365"/>
    <n v="1"/>
    <n v="59.99"/>
    <n v="4"/>
    <s v="Apparel"/>
    <n v="9869"/>
    <s v="Indore"/>
    <d v="2019-01-24T00:00:00"/>
    <n v="1"/>
    <n v="2019"/>
    <s v="South Asia"/>
    <x v="14"/>
    <s v="COMPLETE"/>
    <s v="COMPLETED"/>
    <s v="Second Class"/>
    <n v="59.99"/>
  </r>
  <r>
    <n v="26721"/>
    <s v="CASH"/>
    <n v="2"/>
    <n v="4"/>
    <s v=" ONTIME"/>
    <n v="403"/>
    <n v="1"/>
    <n v="129.99"/>
    <n v="4"/>
    <s v="Apparel"/>
    <n v="9480"/>
    <s v="Ajmer"/>
    <d v="2019-01-25T00:00:00"/>
    <n v="1"/>
    <n v="2019"/>
    <s v="South Asia"/>
    <x v="2"/>
    <s v="CLOSED"/>
    <s v="PENDING"/>
    <s v="Standard Class"/>
    <n v="129.99"/>
  </r>
  <r>
    <n v="26722"/>
    <s v="TRANSFER"/>
    <n v="3"/>
    <n v="4"/>
    <s v=" ONTIME"/>
    <n v="403"/>
    <n v="1"/>
    <n v="129.99"/>
    <n v="4"/>
    <s v="Apparel"/>
    <n v="6951"/>
    <s v="Ajmer"/>
    <d v="2019-01-25T00:00:00"/>
    <n v="1"/>
    <n v="2019"/>
    <s v="South Asia"/>
    <x v="2"/>
    <s v="PENDING"/>
    <s v="PENDING"/>
    <s v="Standard Class"/>
    <n v="129.99"/>
  </r>
  <r>
    <n v="26723"/>
    <s v="DEBIT"/>
    <n v="4"/>
    <n v="4"/>
    <s v=" ONTIME"/>
    <n v="365"/>
    <n v="1"/>
    <n v="59.99"/>
    <n v="4"/>
    <s v="Apparel"/>
    <n v="11161"/>
    <s v="Ajmer"/>
    <d v="2019-01-25T00:00:00"/>
    <n v="1"/>
    <n v="2019"/>
    <s v="South Asia"/>
    <x v="2"/>
    <s v="COMPLETE"/>
    <s v="COMPLETED"/>
    <s v="Standard Class"/>
    <n v="59.99"/>
  </r>
  <r>
    <n v="26810"/>
    <s v="PAYMENT"/>
    <n v="0"/>
    <n v="0"/>
    <s v=" ONTIME"/>
    <n v="703"/>
    <n v="1"/>
    <n v="19.989999999999998"/>
    <n v="6"/>
    <s v="Outdoors"/>
    <n v="1046"/>
    <s v="Hyderabad"/>
    <d v="2019-01-26T00:00:00"/>
    <n v="1"/>
    <n v="2019"/>
    <s v="South Asia"/>
    <x v="7"/>
    <s v="PENDING_PAYMENT"/>
    <s v="PENDING"/>
    <s v="Same Day"/>
    <n v="19.989999999999998"/>
  </r>
  <r>
    <n v="26824"/>
    <s v="DEBIT"/>
    <n v="2"/>
    <n v="1"/>
    <s v="DELAYED"/>
    <n v="957"/>
    <n v="1"/>
    <n v="299.98"/>
    <n v="7"/>
    <s v="Fan Shop"/>
    <n v="9614"/>
    <s v="Durgapur"/>
    <d v="2019-01-26T00:00:00"/>
    <n v="1"/>
    <n v="2019"/>
    <s v="South Asia"/>
    <x v="6"/>
    <s v="COMPLETE"/>
    <s v="COMPLETED"/>
    <s v="First Class"/>
    <n v="299.98"/>
  </r>
  <r>
    <n v="26843"/>
    <s v="CASH"/>
    <n v="4"/>
    <n v="4"/>
    <s v=" ONTIME"/>
    <n v="502"/>
    <n v="2"/>
    <n v="100"/>
    <n v="5"/>
    <s v="Golf"/>
    <n v="4484"/>
    <s v="Agra"/>
    <d v="2019-01-26T00:00:00"/>
    <n v="1"/>
    <n v="2019"/>
    <s v="South Asia"/>
    <x v="1"/>
    <s v="CLOSED"/>
    <s v="PENDING"/>
    <s v="Standard Class"/>
    <n v="100"/>
  </r>
  <r>
    <n v="26845"/>
    <s v="TRANSFER"/>
    <n v="6"/>
    <n v="4"/>
    <s v="DELAYED"/>
    <n v="627"/>
    <n v="4"/>
    <n v="159.96"/>
    <n v="5"/>
    <s v="Golf"/>
    <n v="7133"/>
    <s v="Akola"/>
    <d v="2019-01-26T00:00:00"/>
    <n v="1"/>
    <n v="2019"/>
    <s v="South Asia"/>
    <x v="0"/>
    <s v="PROCESSING"/>
    <s v="PENDING"/>
    <s v="Standard Class"/>
    <n v="159.96"/>
  </r>
  <r>
    <n v="26857"/>
    <s v="DEBIT"/>
    <n v="3"/>
    <n v="4"/>
    <s v=" ONTIME"/>
    <n v="957"/>
    <n v="1"/>
    <n v="299.98"/>
    <n v="7"/>
    <s v="Fan Shop"/>
    <n v="7217"/>
    <s v="Kanpur"/>
    <d v="2019-01-27T00:00:00"/>
    <n v="1"/>
    <n v="2019"/>
    <s v="South Asia"/>
    <x v="1"/>
    <s v="COMPLETE"/>
    <s v="COMPLETED"/>
    <s v="Standard Class"/>
    <n v="299.98"/>
  </r>
  <r>
    <n v="26861"/>
    <s v="DEBIT"/>
    <n v="2"/>
    <n v="4"/>
    <s v=" ONTIME"/>
    <n v="403"/>
    <n v="1"/>
    <n v="129.99"/>
    <n v="4"/>
    <s v="Apparel"/>
    <n v="7931"/>
    <s v="Durgapur"/>
    <d v="2019-01-27T00:00:00"/>
    <n v="1"/>
    <n v="2019"/>
    <s v="South Asia"/>
    <x v="6"/>
    <s v="COMPLETE"/>
    <s v="COMPLETED"/>
    <s v="Standard Class"/>
    <n v="129.99"/>
  </r>
  <r>
    <n v="26862"/>
    <s v="DEBIT"/>
    <n v="3"/>
    <n v="2"/>
    <s v="DELAYED"/>
    <n v="1073"/>
    <n v="1"/>
    <n v="199.99"/>
    <n v="7"/>
    <s v="Fan Shop"/>
    <n v="3465"/>
    <s v="Durgapur"/>
    <d v="2019-01-27T00:00:00"/>
    <n v="1"/>
    <n v="2019"/>
    <s v="South Asia"/>
    <x v="6"/>
    <s v="COMPLETE"/>
    <s v="COMPLETED"/>
    <s v="Second Class"/>
    <n v="199.99"/>
  </r>
  <r>
    <n v="26863"/>
    <s v="DEBIT"/>
    <n v="4"/>
    <n v="2"/>
    <s v="DELAYED"/>
    <n v="502"/>
    <n v="4"/>
    <n v="200"/>
    <n v="5"/>
    <s v="Golf"/>
    <n v="3895"/>
    <s v="Durgapur"/>
    <d v="2019-01-27T00:00:00"/>
    <n v="1"/>
    <n v="2019"/>
    <s v="South Asia"/>
    <x v="6"/>
    <s v="COMPLETE"/>
    <s v="COMPLETED"/>
    <s v="Second Class"/>
    <n v="200"/>
  </r>
  <r>
    <n v="26864"/>
    <s v="PAYMENT"/>
    <n v="5"/>
    <n v="2"/>
    <s v="DELAYED"/>
    <n v="135"/>
    <n v="3"/>
    <n v="66"/>
    <n v="2"/>
    <s v="Fitness"/>
    <n v="9906"/>
    <s v="Durgapur"/>
    <d v="2019-01-27T00:00:00"/>
    <n v="1"/>
    <n v="2019"/>
    <s v="South Asia"/>
    <x v="6"/>
    <s v="PENDING_PAYMENT"/>
    <s v="PENDING"/>
    <s v="Second Class"/>
    <n v="66"/>
  </r>
  <r>
    <n v="26887"/>
    <s v="DEBIT"/>
    <n v="3"/>
    <n v="4"/>
    <s v=" ONTIME"/>
    <n v="134"/>
    <n v="5"/>
    <n v="125"/>
    <n v="2"/>
    <s v="Fitness"/>
    <n v="5612"/>
    <s v="Thane"/>
    <d v="2019-01-27T00:00:00"/>
    <n v="1"/>
    <n v="2019"/>
    <s v="South Asia"/>
    <x v="0"/>
    <s v="COMPLETE"/>
    <s v="COMPLETED"/>
    <s v="Standard Class"/>
    <n v="125"/>
  </r>
  <r>
    <n v="26888"/>
    <s v="PAYMENT"/>
    <n v="4"/>
    <n v="4"/>
    <s v=" ONTIME"/>
    <n v="1073"/>
    <n v="1"/>
    <n v="199.99"/>
    <n v="7"/>
    <s v="Fan Shop"/>
    <n v="3135"/>
    <s v="Thane"/>
    <d v="2019-01-27T00:00:00"/>
    <n v="1"/>
    <n v="2019"/>
    <s v="South Asia"/>
    <x v="0"/>
    <s v="PENDING_PAYMENT"/>
    <s v="PENDING"/>
    <s v="Standard Class"/>
    <n v="199.99"/>
  </r>
  <r>
    <n v="26889"/>
    <s v="PAYMENT"/>
    <n v="5"/>
    <n v="4"/>
    <s v="DELAYED"/>
    <n v="403"/>
    <n v="1"/>
    <n v="129.99"/>
    <n v="4"/>
    <s v="Apparel"/>
    <n v="8399"/>
    <s v="Thane"/>
    <d v="2019-01-27T00:00:00"/>
    <n v="1"/>
    <n v="2019"/>
    <s v="South Asia"/>
    <x v="0"/>
    <s v="PENDING_PAYMENT"/>
    <s v="PENDING"/>
    <s v="Standard Class"/>
    <n v="129.99"/>
  </r>
  <r>
    <n v="26907"/>
    <s v="PAYMENT"/>
    <n v="3"/>
    <n v="4"/>
    <s v=" ONTIME"/>
    <n v="403"/>
    <n v="1"/>
    <n v="129.99"/>
    <n v="4"/>
    <s v="Apparel"/>
    <n v="7954"/>
    <s v="Amravati"/>
    <d v="2019-01-27T00:00:00"/>
    <n v="1"/>
    <n v="2019"/>
    <s v="South Asia"/>
    <x v="0"/>
    <s v="PENDING_PAYMENT"/>
    <s v="PENDING"/>
    <s v="Standard Class"/>
    <n v="129.99"/>
  </r>
  <r>
    <n v="26909"/>
    <s v="TRANSFER"/>
    <n v="5"/>
    <n v="4"/>
    <s v="DELAYED"/>
    <n v="502"/>
    <n v="5"/>
    <n v="250"/>
    <n v="5"/>
    <s v="Golf"/>
    <n v="11378"/>
    <s v="Amravati"/>
    <d v="2019-01-27T00:00:00"/>
    <n v="1"/>
    <n v="2019"/>
    <s v="South Asia"/>
    <x v="0"/>
    <s v="PROCESSING"/>
    <s v="PENDING"/>
    <s v="Standard Class"/>
    <n v="250"/>
  </r>
  <r>
    <n v="26917"/>
    <s v="DEBIT"/>
    <n v="3"/>
    <n v="4"/>
    <s v=" ONTIME"/>
    <n v="1014"/>
    <n v="4"/>
    <n v="199.92"/>
    <n v="7"/>
    <s v="Fan Shop"/>
    <n v="6404"/>
    <s v="Mirzapur"/>
    <d v="2019-01-27T00:00:00"/>
    <n v="1"/>
    <n v="2019"/>
    <s v="South Asia"/>
    <x v="1"/>
    <s v="ON_HOLD"/>
    <s v="PENDING"/>
    <s v="Standard Class"/>
    <n v="199.92"/>
  </r>
  <r>
    <n v="26923"/>
    <s v="PAYMENT"/>
    <n v="4"/>
    <n v="4"/>
    <s v=" ONTIME"/>
    <n v="403"/>
    <n v="1"/>
    <n v="129.99"/>
    <n v="4"/>
    <s v="Apparel"/>
    <n v="9708"/>
    <s v="Durgapur"/>
    <d v="2019-01-27T00:00:00"/>
    <n v="1"/>
    <n v="2019"/>
    <s v="South Asia"/>
    <x v="0"/>
    <s v="PENDING_PAYMENT"/>
    <s v="PENDING"/>
    <s v="Standard Class"/>
    <n v="129.99"/>
  </r>
  <r>
    <n v="26924"/>
    <s v="TRANSFER"/>
    <n v="5"/>
    <n v="4"/>
    <s v="DELAYED"/>
    <n v="1073"/>
    <n v="1"/>
    <n v="199.99"/>
    <n v="7"/>
    <s v="Fan Shop"/>
    <n v="9310"/>
    <s v="Durgapur"/>
    <d v="2019-01-28T00:00:00"/>
    <n v="1"/>
    <n v="2019"/>
    <s v="South Asia"/>
    <x v="0"/>
    <s v="PENDING"/>
    <s v="PENDING"/>
    <s v="Standard Class"/>
    <n v="199.99"/>
  </r>
  <r>
    <n v="26941"/>
    <s v="DEBIT"/>
    <n v="2"/>
    <n v="4"/>
    <s v=" ONTIME"/>
    <n v="1073"/>
    <n v="1"/>
    <n v="199.99"/>
    <n v="7"/>
    <s v="Fan Shop"/>
    <n v="7633"/>
    <s v="Gaya"/>
    <d v="2019-01-28T00:00:00"/>
    <n v="1"/>
    <n v="2019"/>
    <s v="South Asia"/>
    <x v="17"/>
    <s v="COMPLETE"/>
    <s v="COMPLETED"/>
    <s v="Standard Class"/>
    <n v="199.99"/>
  </r>
  <r>
    <n v="26942"/>
    <s v="DEBIT"/>
    <n v="3"/>
    <n v="4"/>
    <s v=" ONTIME"/>
    <n v="1014"/>
    <n v="5"/>
    <n v="249.9"/>
    <n v="7"/>
    <s v="Fan Shop"/>
    <n v="1362"/>
    <s v="Gaya"/>
    <d v="2019-01-28T00:00:00"/>
    <n v="1"/>
    <n v="2019"/>
    <s v="South Asia"/>
    <x v="17"/>
    <s v="COMPLETE"/>
    <s v="COMPLETED"/>
    <s v="Standard Class"/>
    <n v="249.9"/>
  </r>
  <r>
    <n v="26943"/>
    <s v="TRANSFER"/>
    <n v="4"/>
    <n v="2"/>
    <s v="DELAYED"/>
    <n v="1073"/>
    <n v="1"/>
    <n v="199.99"/>
    <n v="7"/>
    <s v="Fan Shop"/>
    <n v="6543"/>
    <s v="Gaya"/>
    <d v="2019-01-28T00:00:00"/>
    <n v="1"/>
    <n v="2019"/>
    <s v="South Asia"/>
    <x v="17"/>
    <s v="PROCESSING"/>
    <s v="PENDING"/>
    <s v="Second Class"/>
    <n v="199.99"/>
  </r>
  <r>
    <n v="26945"/>
    <s v="TRANSFER"/>
    <n v="6"/>
    <n v="2"/>
    <s v="DELAYED"/>
    <n v="365"/>
    <n v="1"/>
    <n v="59.99"/>
    <n v="4"/>
    <s v="Apparel"/>
    <n v="10950"/>
    <s v="Jammu"/>
    <d v="2019-01-28T00:00:00"/>
    <n v="1"/>
    <n v="2019"/>
    <s v="South Asia"/>
    <x v="21"/>
    <s v="PROCESSING"/>
    <s v="PENDING"/>
    <s v="Second Class"/>
    <n v="59.99"/>
  </r>
  <r>
    <n v="26984"/>
    <s v="DEBIT"/>
    <n v="1"/>
    <n v="0"/>
    <s v="DELAYED"/>
    <n v="1014"/>
    <n v="2"/>
    <n v="99.96"/>
    <n v="7"/>
    <s v="Fan Shop"/>
    <n v="5325"/>
    <s v="Chennai"/>
    <d v="2019-01-28T00:00:00"/>
    <n v="1"/>
    <n v="2019"/>
    <s v="South Asia"/>
    <x v="3"/>
    <s v="COMPLETE"/>
    <s v="COMPLETED"/>
    <s v="Same Day"/>
    <n v="99.96"/>
  </r>
  <r>
    <n v="26985"/>
    <s v="PAYMENT"/>
    <n v="1"/>
    <n v="0"/>
    <s v="DELAYED"/>
    <n v="365"/>
    <n v="5"/>
    <n v="299.95"/>
    <n v="4"/>
    <s v="Apparel"/>
    <n v="3330"/>
    <s v="Chennai"/>
    <d v="2019-01-28T00:00:00"/>
    <n v="1"/>
    <n v="2019"/>
    <s v="South Asia"/>
    <x v="3"/>
    <s v="PENDING_PAYMENT"/>
    <s v="PENDING"/>
    <s v="Same Day"/>
    <n v="299.95"/>
  </r>
  <r>
    <n v="27013"/>
    <s v="CASH"/>
    <n v="2"/>
    <n v="1"/>
    <s v="DELAYED"/>
    <n v="957"/>
    <n v="1"/>
    <n v="299.98"/>
    <n v="7"/>
    <s v="Fan Shop"/>
    <n v="6364"/>
    <s v="Bangalore"/>
    <d v="2019-01-29T00:00:00"/>
    <n v="1"/>
    <n v="2019"/>
    <s v="South Asia"/>
    <x v="8"/>
    <s v="CLOSED"/>
    <s v="PENDING"/>
    <s v="First Class"/>
    <n v="299.98"/>
  </r>
  <r>
    <n v="27014"/>
    <s v="PAYMENT"/>
    <n v="5"/>
    <n v="4"/>
    <s v="DELAYED"/>
    <n v="957"/>
    <n v="1"/>
    <n v="299.98"/>
    <n v="7"/>
    <s v="Fan Shop"/>
    <n v="217"/>
    <s v="Bangalore"/>
    <d v="2019-01-29T00:00:00"/>
    <n v="1"/>
    <n v="2019"/>
    <s v="South Asia"/>
    <x v="8"/>
    <s v="PENDING_PAYMENT"/>
    <s v="PENDING"/>
    <s v="Standard Class"/>
    <n v="299.98"/>
  </r>
  <r>
    <n v="27015"/>
    <s v="CASH"/>
    <n v="0"/>
    <n v="0"/>
    <s v=" ONTIME"/>
    <n v="1073"/>
    <n v="1"/>
    <n v="199.99"/>
    <n v="7"/>
    <s v="Fan Shop"/>
    <n v="9639"/>
    <s v="Bangalore"/>
    <d v="2019-01-29T00:00:00"/>
    <n v="1"/>
    <n v="2019"/>
    <s v="South Asia"/>
    <x v="8"/>
    <s v="CLOSED"/>
    <s v="PENDING"/>
    <s v="Same Day"/>
    <n v="199.99"/>
  </r>
  <r>
    <n v="27024"/>
    <s v="PAYMENT"/>
    <n v="5"/>
    <n v="4"/>
    <s v="DELAYED"/>
    <n v="1073"/>
    <n v="1"/>
    <n v="199.99"/>
    <n v="7"/>
    <s v="Fan Shop"/>
    <n v="11442"/>
    <s v="Gorakhpur"/>
    <d v="2019-01-29T00:00:00"/>
    <n v="1"/>
    <n v="2019"/>
    <s v="South Asia"/>
    <x v="10"/>
    <s v="PENDING_PAYMENT"/>
    <s v="PENDING"/>
    <s v="Standard Class"/>
    <n v="199.99"/>
  </r>
  <r>
    <n v="27033"/>
    <s v="DEBIT"/>
    <n v="4"/>
    <n v="4"/>
    <s v=" ONTIME"/>
    <n v="1073"/>
    <n v="1"/>
    <n v="199.99"/>
    <n v="7"/>
    <s v="Fan Shop"/>
    <n v="10821"/>
    <s v="Pune"/>
    <d v="2019-01-29T00:00:00"/>
    <n v="1"/>
    <n v="2019"/>
    <s v="South Asia"/>
    <x v="0"/>
    <s v="COMPLETE"/>
    <s v="COMPLETED"/>
    <s v="Standard Class"/>
    <n v="199.99"/>
  </r>
  <r>
    <n v="27034"/>
    <s v="TRANSFER"/>
    <n v="5"/>
    <n v="2"/>
    <s v="DELAYED"/>
    <n v="1073"/>
    <n v="1"/>
    <n v="199.99"/>
    <n v="7"/>
    <s v="Fan Shop"/>
    <n v="12283"/>
    <s v="Pune"/>
    <d v="2019-01-29T00:00:00"/>
    <n v="1"/>
    <n v="2019"/>
    <s v="South Asia"/>
    <x v="0"/>
    <s v="PENDING"/>
    <s v="PENDING"/>
    <s v="Second Class"/>
    <n v="199.99"/>
  </r>
  <r>
    <n v="27038"/>
    <s v="DEBIT"/>
    <n v="4"/>
    <n v="2"/>
    <s v="DELAYED"/>
    <n v="365"/>
    <n v="2"/>
    <n v="119.98"/>
    <n v="4"/>
    <s v="Apparel"/>
    <n v="7952"/>
    <s v="Lucknow"/>
    <d v="2019-01-29T00:00:00"/>
    <n v="1"/>
    <n v="2019"/>
    <s v="South Asia"/>
    <x v="1"/>
    <s v="COMPLETE"/>
    <s v="COMPLETED"/>
    <s v="Second Class"/>
    <n v="119.98"/>
  </r>
  <r>
    <n v="27039"/>
    <s v="PAYMENT"/>
    <n v="5"/>
    <n v="2"/>
    <s v="DELAYED"/>
    <n v="403"/>
    <n v="1"/>
    <n v="129.99"/>
    <n v="4"/>
    <s v="Apparel"/>
    <n v="2134"/>
    <s v="Lucknow"/>
    <d v="2019-01-29T00:00:00"/>
    <n v="1"/>
    <n v="2019"/>
    <s v="South Asia"/>
    <x v="1"/>
    <s v="PENDING_PAYMENT"/>
    <s v="PENDING"/>
    <s v="Second Class"/>
    <n v="129.99"/>
  </r>
  <r>
    <n v="27040"/>
    <s v="TRANSFER"/>
    <n v="6"/>
    <n v="4"/>
    <s v="DELAYED"/>
    <n v="365"/>
    <n v="2"/>
    <n v="119.98"/>
    <n v="4"/>
    <s v="Apparel"/>
    <n v="11400"/>
    <s v="Lucknow"/>
    <d v="2019-01-29T00:00:00"/>
    <n v="1"/>
    <n v="2019"/>
    <s v="South Asia"/>
    <x v="1"/>
    <s v="CANCELED"/>
    <s v="CANCELED"/>
    <s v="Standard Class"/>
    <n v="119.98"/>
  </r>
  <r>
    <n v="27041"/>
    <s v="TRANSFER"/>
    <n v="2"/>
    <n v="2"/>
    <s v=" ONTIME"/>
    <n v="1014"/>
    <n v="1"/>
    <n v="49.98"/>
    <n v="7"/>
    <s v="Fan Shop"/>
    <n v="7582"/>
    <s v="Shimoga"/>
    <d v="2019-01-29T00:00:00"/>
    <n v="1"/>
    <n v="2019"/>
    <s v="South Asia"/>
    <x v="8"/>
    <s v="PENDING"/>
    <s v="PENDING"/>
    <s v="Second Class"/>
    <n v="49.98"/>
  </r>
  <r>
    <n v="27043"/>
    <s v="TRANSFER"/>
    <n v="4"/>
    <n v="2"/>
    <s v="DELAYED"/>
    <n v="1073"/>
    <n v="1"/>
    <n v="199.99"/>
    <n v="7"/>
    <s v="Fan Shop"/>
    <n v="1078"/>
    <s v="Dewas"/>
    <d v="2019-01-29T00:00:00"/>
    <n v="1"/>
    <n v="2019"/>
    <s v="South Asia"/>
    <x v="14"/>
    <s v="PROCESSING"/>
    <s v="PENDING"/>
    <s v="Second Class"/>
    <n v="199.99"/>
  </r>
  <r>
    <n v="27044"/>
    <s v="TRANSFER"/>
    <n v="5"/>
    <n v="2"/>
    <s v="DELAYED"/>
    <n v="627"/>
    <n v="2"/>
    <n v="79.98"/>
    <n v="5"/>
    <s v="Golf"/>
    <n v="5891"/>
    <s v="Dewas"/>
    <d v="2019-01-29T00:00:00"/>
    <n v="1"/>
    <n v="2019"/>
    <s v="South Asia"/>
    <x v="14"/>
    <s v="PENDING"/>
    <s v="PENDING"/>
    <s v="Second Class"/>
    <n v="79.98"/>
  </r>
  <r>
    <n v="27049"/>
    <s v="DEBIT"/>
    <n v="5"/>
    <n v="4"/>
    <s v="DELAYED"/>
    <n v="1073"/>
    <n v="1"/>
    <n v="199.99"/>
    <n v="7"/>
    <s v="Fan Shop"/>
    <n v="1524"/>
    <s v="Ludhiana"/>
    <d v="2019-01-29T00:00:00"/>
    <n v="1"/>
    <n v="2019"/>
    <s v="South Asia"/>
    <x v="16"/>
    <s v="COMPLETE"/>
    <s v="COMPLETED"/>
    <s v="Standard Class"/>
    <n v="199.99"/>
  </r>
  <r>
    <n v="27050"/>
    <s v="TRANSFER"/>
    <n v="6"/>
    <n v="4"/>
    <s v="DELAYED"/>
    <n v="93"/>
    <n v="4"/>
    <n v="99.96"/>
    <n v="2"/>
    <s v="Fitness"/>
    <n v="7989"/>
    <s v="Ludhiana"/>
    <d v="2019-01-29T00:00:00"/>
    <n v="1"/>
    <n v="2019"/>
    <s v="South Asia"/>
    <x v="16"/>
    <s v="PROCESSING"/>
    <s v="PENDING"/>
    <s v="Standard Class"/>
    <n v="99.96"/>
  </r>
  <r>
    <n v="27051"/>
    <s v="TRANSFER"/>
    <n v="2"/>
    <n v="4"/>
    <s v=" ONTIME"/>
    <n v="1014"/>
    <n v="1"/>
    <n v="49.98"/>
    <n v="7"/>
    <s v="Fan Shop"/>
    <n v="700"/>
    <s v="Ludhiana"/>
    <d v="2019-01-29T00:00:00"/>
    <n v="1"/>
    <n v="2019"/>
    <s v="South Asia"/>
    <x v="16"/>
    <s v="CANCELED"/>
    <s v="CANCELED"/>
    <s v="Standard Class"/>
    <n v="49.98"/>
  </r>
  <r>
    <n v="27069"/>
    <s v="TRANSFER"/>
    <n v="5"/>
    <n v="4"/>
    <s v="DELAYED"/>
    <n v="191"/>
    <n v="5"/>
    <n v="499.95"/>
    <n v="3"/>
    <s v="Footwear"/>
    <n v="9820"/>
    <s v="Pune"/>
    <d v="2019-01-30T00:00:00"/>
    <n v="1"/>
    <n v="2019"/>
    <s v="South Asia"/>
    <x v="0"/>
    <s v="PENDING"/>
    <s v="PENDING"/>
    <s v="Standard Class"/>
    <n v="499.95"/>
  </r>
  <r>
    <n v="27070"/>
    <s v="PAYMENT"/>
    <n v="6"/>
    <n v="4"/>
    <s v="DELAYED"/>
    <n v="365"/>
    <n v="5"/>
    <n v="299.95"/>
    <n v="4"/>
    <s v="Apparel"/>
    <n v="3635"/>
    <s v="Pune"/>
    <d v="2019-01-30T00:00:00"/>
    <n v="1"/>
    <n v="2019"/>
    <s v="South Asia"/>
    <x v="0"/>
    <s v="PENDING_PAYMENT"/>
    <s v="PENDING"/>
    <s v="Standard Class"/>
    <n v="299.95"/>
  </r>
  <r>
    <n v="27072"/>
    <s v="DEBIT"/>
    <n v="3"/>
    <n v="4"/>
    <s v=" ONTIME"/>
    <n v="403"/>
    <n v="1"/>
    <n v="129.99"/>
    <n v="4"/>
    <s v="Apparel"/>
    <n v="6345"/>
    <s v="Pune"/>
    <d v="2019-01-30T00:00:00"/>
    <n v="1"/>
    <n v="2019"/>
    <s v="South Asia"/>
    <x v="0"/>
    <s v="COMPLETE"/>
    <s v="COMPLETED"/>
    <s v="Standard Class"/>
    <n v="129.99"/>
  </r>
  <r>
    <n v="27115"/>
    <s v="DEBIT"/>
    <n v="6"/>
    <n v="4"/>
    <s v="DELAYED"/>
    <n v="957"/>
    <n v="1"/>
    <n v="299.98"/>
    <n v="7"/>
    <s v="Fan Shop"/>
    <n v="1818"/>
    <s v="Bareilly"/>
    <d v="2019-01-30T00:00:00"/>
    <n v="1"/>
    <n v="2019"/>
    <s v="South Asia"/>
    <x v="1"/>
    <s v="COMPLETE"/>
    <s v="COMPLETED"/>
    <s v="Standard Class"/>
    <n v="299.98"/>
  </r>
  <r>
    <n v="27142"/>
    <s v="DEBIT"/>
    <n v="3"/>
    <n v="2"/>
    <s v="DELAYED"/>
    <n v="403"/>
    <n v="1"/>
    <n v="129.99"/>
    <n v="4"/>
    <s v="Apparel"/>
    <n v="11660"/>
    <s v="Guntur"/>
    <d v="2019-01-31T00:00:00"/>
    <n v="1"/>
    <n v="2019"/>
    <s v="South Asia"/>
    <x v="15"/>
    <s v="COMPLETE"/>
    <s v="COMPLETED"/>
    <s v="Second Class"/>
    <n v="129.99"/>
  </r>
  <r>
    <n v="27160"/>
    <s v="DEBIT"/>
    <n v="2"/>
    <n v="1"/>
    <s v="DELAYED"/>
    <n v="1004"/>
    <n v="1"/>
    <n v="399.98"/>
    <n v="7"/>
    <s v="Fan Shop"/>
    <n v="6251"/>
    <s v="Delhi"/>
    <d v="2019-01-31T00:00:00"/>
    <n v="1"/>
    <n v="2019"/>
    <s v="South Asia"/>
    <x v="11"/>
    <s v="ON_HOLD"/>
    <s v="PENDING"/>
    <s v="First Class"/>
    <n v="399.98"/>
  </r>
  <r>
    <n v="27161"/>
    <s v="DEBIT"/>
    <n v="2"/>
    <n v="1"/>
    <s v="DELAYED"/>
    <n v="403"/>
    <n v="1"/>
    <n v="129.99"/>
    <n v="4"/>
    <s v="Apparel"/>
    <n v="10617"/>
    <s v="Raipur"/>
    <d v="2019-01-31T00:00:00"/>
    <n v="1"/>
    <n v="2019"/>
    <s v="South Asia"/>
    <x v="19"/>
    <s v="COMPLETE"/>
    <s v="COMPLETED"/>
    <s v="First Class"/>
    <n v="129.99"/>
  </r>
  <r>
    <n v="27162"/>
    <s v="CASH"/>
    <n v="3"/>
    <n v="2"/>
    <s v="DELAYED"/>
    <n v="365"/>
    <n v="5"/>
    <n v="299.95"/>
    <n v="4"/>
    <s v="Apparel"/>
    <n v="8523"/>
    <s v="Raipur"/>
    <d v="2019-01-31T00:00:00"/>
    <n v="1"/>
    <n v="2019"/>
    <s v="South Asia"/>
    <x v="19"/>
    <s v="CLOSED"/>
    <s v="PENDING"/>
    <s v="Second Class"/>
    <n v="299.95"/>
  </r>
  <r>
    <n v="27163"/>
    <s v="PAYMENT"/>
    <n v="2"/>
    <n v="1"/>
    <s v="DELAYED"/>
    <n v="627"/>
    <n v="1"/>
    <n v="39.99"/>
    <n v="5"/>
    <s v="Golf"/>
    <n v="6202"/>
    <s v="Raipur"/>
    <d v="2019-01-31T00:00:00"/>
    <n v="1"/>
    <n v="2019"/>
    <s v="South Asia"/>
    <x v="19"/>
    <s v="PENDING_PAYMENT"/>
    <s v="PENDING"/>
    <s v="First Class"/>
    <n v="39.99"/>
  </r>
  <r>
    <n v="27165"/>
    <s v="DEBIT"/>
    <n v="6"/>
    <n v="4"/>
    <s v="DELAYED"/>
    <n v="191"/>
    <n v="1"/>
    <n v="99.99"/>
    <n v="3"/>
    <s v="Footwear"/>
    <n v="11293"/>
    <s v="Raipur"/>
    <d v="2019-01-31T00:00:00"/>
    <n v="1"/>
    <n v="2019"/>
    <s v="South Asia"/>
    <x v="19"/>
    <s v="COMPLETE"/>
    <s v="COMPLETED"/>
    <s v="Standard Class"/>
    <n v="99.99"/>
  </r>
  <r>
    <n v="27194"/>
    <s v="TRANSFER"/>
    <n v="5"/>
    <n v="2"/>
    <s v="DELAYED"/>
    <n v="502"/>
    <n v="3"/>
    <n v="150"/>
    <n v="5"/>
    <s v="Golf"/>
    <n v="4216"/>
    <s v="Brahmapur"/>
    <d v="2019-01-31T00:00:00"/>
    <n v="1"/>
    <n v="2019"/>
    <s v="South Asia"/>
    <x v="13"/>
    <s v="PROCESSING"/>
    <s v="PENDING"/>
    <s v="Second Class"/>
    <n v="150"/>
  </r>
  <r>
    <n v="27200"/>
    <s v="TRANSFER"/>
    <n v="6"/>
    <n v="4"/>
    <s v="DELAYED"/>
    <n v="191"/>
    <n v="5"/>
    <n v="499.95"/>
    <n v="3"/>
    <s v="Footwear"/>
    <n v="4704"/>
    <s v="Tirunelveli"/>
    <d v="2019-02-01T00:00:00"/>
    <n v="2"/>
    <n v="2019"/>
    <s v="South Asia"/>
    <x v="3"/>
    <s v="PENDING"/>
    <s v="PENDING"/>
    <s v="Standard Class"/>
    <n v="499.95"/>
  </r>
  <r>
    <n v="27201"/>
    <s v="TRANSFER"/>
    <n v="2"/>
    <n v="4"/>
    <s v=" ONTIME"/>
    <n v="775"/>
    <n v="1"/>
    <n v="9.99"/>
    <n v="6"/>
    <s v="Outdoors"/>
    <n v="5105"/>
    <s v="Salem"/>
    <d v="2019-02-01T00:00:00"/>
    <n v="2"/>
    <n v="2019"/>
    <s v="South Asia"/>
    <x v="3"/>
    <s v="PROCESSING"/>
    <s v="PENDING"/>
    <s v="Standard Class"/>
    <n v="9.99"/>
  </r>
  <r>
    <n v="27202"/>
    <s v="DEBIT"/>
    <n v="3"/>
    <n v="4"/>
    <s v=" ONTIME"/>
    <n v="957"/>
    <n v="1"/>
    <n v="299.98"/>
    <n v="7"/>
    <s v="Fan Shop"/>
    <n v="6561"/>
    <s v="Tiruchchirappalli"/>
    <d v="2019-02-01T00:00:00"/>
    <n v="2"/>
    <n v="2019"/>
    <s v="South Asia"/>
    <x v="3"/>
    <s v="COMPLETE"/>
    <s v="COMPLETED"/>
    <s v="Standard Class"/>
    <n v="299.98"/>
  </r>
  <r>
    <n v="27235"/>
    <s v="DEBIT"/>
    <n v="1"/>
    <n v="0"/>
    <s v="DELAYED"/>
    <n v="191"/>
    <n v="1"/>
    <n v="99.99"/>
    <n v="3"/>
    <s v="Footwear"/>
    <n v="5019"/>
    <s v="Aurangabad"/>
    <d v="2019-02-01T00:00:00"/>
    <n v="2"/>
    <n v="2019"/>
    <s v="South Asia"/>
    <x v="17"/>
    <s v="COMPLETE"/>
    <s v="COMPLETED"/>
    <s v="Same Day"/>
    <n v="99.99"/>
  </r>
  <r>
    <n v="27239"/>
    <s v="DEBIT"/>
    <n v="5"/>
    <n v="2"/>
    <s v="DELAYED"/>
    <n v="191"/>
    <n v="1"/>
    <n v="99.99"/>
    <n v="3"/>
    <s v="Footwear"/>
    <n v="7043"/>
    <s v="Pune"/>
    <d v="2019-02-01T00:00:00"/>
    <n v="2"/>
    <n v="2019"/>
    <s v="South Asia"/>
    <x v="0"/>
    <s v="COMPLETE"/>
    <s v="COMPLETED"/>
    <s v="Second Class"/>
    <n v="99.99"/>
  </r>
  <r>
    <n v="27261"/>
    <s v="TRANSFER"/>
    <n v="2"/>
    <n v="4"/>
    <s v=" ONTIME"/>
    <n v="365"/>
    <n v="1"/>
    <n v="59.99"/>
    <n v="4"/>
    <s v="Apparel"/>
    <n v="2983"/>
    <s v="Thane"/>
    <d v="2019-02-01T00:00:00"/>
    <n v="2"/>
    <n v="2019"/>
    <s v="South Asia"/>
    <x v="0"/>
    <s v="PROCESSING"/>
    <s v="PENDING"/>
    <s v="Standard Class"/>
    <n v="59.99"/>
  </r>
  <r>
    <n v="27264"/>
    <s v="TRANSFER"/>
    <n v="5"/>
    <n v="2"/>
    <s v="DELAYED"/>
    <n v="957"/>
    <n v="1"/>
    <n v="299.98"/>
    <n v="7"/>
    <s v="Fan Shop"/>
    <n v="164"/>
    <s v="Thane"/>
    <d v="2019-02-01T00:00:00"/>
    <n v="2"/>
    <n v="2019"/>
    <s v="South Asia"/>
    <x v="0"/>
    <s v="PROCESSING"/>
    <s v="PENDING"/>
    <s v="Second Class"/>
    <n v="299.98"/>
  </r>
  <r>
    <n v="27270"/>
    <s v="DEBIT"/>
    <n v="6"/>
    <n v="4"/>
    <s v="DELAYED"/>
    <n v="365"/>
    <n v="1"/>
    <n v="59.99"/>
    <n v="4"/>
    <s v="Apparel"/>
    <n v="8949"/>
    <s v="Delhi"/>
    <d v="2019-02-02T00:00:00"/>
    <n v="2"/>
    <n v="2019"/>
    <s v="South Asia"/>
    <x v="11"/>
    <s v="COMPLETE"/>
    <s v="COMPLETED"/>
    <s v="Standard Class"/>
    <n v="59.99"/>
  </r>
  <r>
    <n v="27271"/>
    <s v="TRANSFER"/>
    <n v="2"/>
    <n v="4"/>
    <s v=" ONTIME"/>
    <n v="957"/>
    <n v="1"/>
    <n v="299.98"/>
    <n v="7"/>
    <s v="Fan Shop"/>
    <n v="7428"/>
    <s v="Delhi"/>
    <d v="2019-02-02T00:00:00"/>
    <n v="2"/>
    <n v="2019"/>
    <s v="South Asia"/>
    <x v="11"/>
    <s v="SUSPECTED_FRAUD"/>
    <s v="PENDING"/>
    <s v="Standard Class"/>
    <n v="299.98"/>
  </r>
  <r>
    <n v="27272"/>
    <s v="CASH"/>
    <n v="3"/>
    <n v="4"/>
    <s v=" ONTIME"/>
    <n v="957"/>
    <n v="1"/>
    <n v="299.98"/>
    <n v="7"/>
    <s v="Fan Shop"/>
    <n v="7862"/>
    <s v="Delhi"/>
    <d v="2019-02-02T00:00:00"/>
    <n v="2"/>
    <n v="2019"/>
    <s v="South Asia"/>
    <x v="11"/>
    <s v="CLOSED"/>
    <s v="PENDING"/>
    <s v="Standard Class"/>
    <n v="299.98"/>
  </r>
  <r>
    <n v="27273"/>
    <s v="PAYMENT"/>
    <n v="2"/>
    <n v="1"/>
    <s v="DELAYED"/>
    <n v="403"/>
    <n v="1"/>
    <n v="129.99"/>
    <n v="4"/>
    <s v="Apparel"/>
    <n v="12380"/>
    <s v="Delhi"/>
    <d v="2019-02-02T00:00:00"/>
    <n v="2"/>
    <n v="2019"/>
    <s v="South Asia"/>
    <x v="11"/>
    <s v="PENDING_PAYMENT"/>
    <s v="PENDING"/>
    <s v="First Class"/>
    <n v="129.99"/>
  </r>
  <r>
    <n v="27281"/>
    <s v="CASH"/>
    <n v="2"/>
    <n v="2"/>
    <s v=" ONTIME"/>
    <n v="1073"/>
    <n v="1"/>
    <n v="199.99"/>
    <n v="7"/>
    <s v="Fan Shop"/>
    <n v="1328"/>
    <s v="Pune"/>
    <d v="2019-02-02T00:00:00"/>
    <n v="2"/>
    <n v="2019"/>
    <s v="South Asia"/>
    <x v="0"/>
    <s v="CLOSED"/>
    <s v="PENDING"/>
    <s v="Second Class"/>
    <n v="199.99"/>
  </r>
  <r>
    <n v="27288"/>
    <s v="PAYMENT"/>
    <n v="4"/>
    <n v="4"/>
    <s v=" ONTIME"/>
    <n v="403"/>
    <n v="1"/>
    <n v="129.99"/>
    <n v="4"/>
    <s v="Apparel"/>
    <n v="11285"/>
    <s v="Jaipur"/>
    <d v="2019-02-02T00:00:00"/>
    <n v="2"/>
    <n v="2019"/>
    <s v="South Asia"/>
    <x v="2"/>
    <s v="PENDING_PAYMENT"/>
    <s v="PENDING"/>
    <s v="Standard Class"/>
    <n v="129.99"/>
  </r>
  <r>
    <n v="27289"/>
    <s v="DEBIT"/>
    <n v="5"/>
    <n v="4"/>
    <s v="DELAYED"/>
    <n v="502"/>
    <n v="5"/>
    <n v="250"/>
    <n v="5"/>
    <s v="Golf"/>
    <n v="7180"/>
    <s v="Delhi"/>
    <d v="2019-02-02T00:00:00"/>
    <n v="2"/>
    <n v="2019"/>
    <s v="South Asia"/>
    <x v="11"/>
    <s v="COMPLETE"/>
    <s v="COMPLETED"/>
    <s v="Standard Class"/>
    <n v="250"/>
  </r>
  <r>
    <n v="27290"/>
    <s v="PAYMENT"/>
    <n v="6"/>
    <n v="2"/>
    <s v="DELAYED"/>
    <n v="403"/>
    <n v="1"/>
    <n v="129.99"/>
    <n v="4"/>
    <s v="Apparel"/>
    <n v="3300"/>
    <s v="Delhi"/>
    <d v="2019-02-02T00:00:00"/>
    <n v="2"/>
    <n v="2019"/>
    <s v="South Asia"/>
    <x v="11"/>
    <s v="PENDING_PAYMENT"/>
    <s v="PENDING"/>
    <s v="Second Class"/>
    <n v="129.99"/>
  </r>
  <r>
    <n v="27291"/>
    <s v="DEBIT"/>
    <n v="2"/>
    <n v="2"/>
    <s v=" ONTIME"/>
    <n v="403"/>
    <n v="1"/>
    <n v="129.99"/>
    <n v="4"/>
    <s v="Apparel"/>
    <n v="3572"/>
    <s v="Delhi"/>
    <d v="2019-02-02T00:00:00"/>
    <n v="2"/>
    <n v="2019"/>
    <s v="South Asia"/>
    <x v="11"/>
    <s v="COMPLETE"/>
    <s v="COMPLETED"/>
    <s v="Second Class"/>
    <n v="129.99"/>
  </r>
  <r>
    <n v="27292"/>
    <s v="PAYMENT"/>
    <n v="2"/>
    <n v="1"/>
    <s v="DELAYED"/>
    <n v="191"/>
    <n v="1"/>
    <n v="99.99"/>
    <n v="3"/>
    <s v="Footwear"/>
    <n v="3649"/>
    <s v="Delhi"/>
    <d v="2019-02-02T00:00:00"/>
    <n v="2"/>
    <n v="2019"/>
    <s v="South Asia"/>
    <x v="11"/>
    <s v="PENDING_PAYMENT"/>
    <s v="PENDING"/>
    <s v="First Class"/>
    <n v="99.99"/>
  </r>
  <r>
    <n v="27293"/>
    <s v="TRANSFER"/>
    <n v="2"/>
    <n v="1"/>
    <s v="DELAYED"/>
    <n v="1073"/>
    <n v="1"/>
    <n v="199.99"/>
    <n v="7"/>
    <s v="Fan Shop"/>
    <n v="8698"/>
    <s v="Delhi"/>
    <d v="2019-02-02T00:00:00"/>
    <n v="2"/>
    <n v="2019"/>
    <s v="South Asia"/>
    <x v="11"/>
    <s v="PROCESSING"/>
    <s v="PENDING"/>
    <s v="First Class"/>
    <n v="199.99"/>
  </r>
  <r>
    <n v="27300"/>
    <s v="DEBIT"/>
    <n v="6"/>
    <n v="4"/>
    <s v="DELAYED"/>
    <n v="365"/>
    <n v="3"/>
    <n v="179.97"/>
    <n v="4"/>
    <s v="Apparel"/>
    <n v="8156"/>
    <s v="Srinagar"/>
    <d v="2019-02-02T00:00:00"/>
    <n v="2"/>
    <n v="2019"/>
    <s v="South Asia"/>
    <x v="21"/>
    <s v="COMPLETE"/>
    <s v="COMPLETED"/>
    <s v="Standard Class"/>
    <n v="179.97"/>
  </r>
  <r>
    <n v="27351"/>
    <s v="DEBIT"/>
    <n v="2"/>
    <n v="2"/>
    <s v=" ONTIME"/>
    <n v="365"/>
    <n v="1"/>
    <n v="59.99"/>
    <n v="4"/>
    <s v="Apparel"/>
    <n v="11183"/>
    <s v="Solapur"/>
    <d v="2019-02-03T00:00:00"/>
    <n v="2"/>
    <n v="2019"/>
    <s v="South Asia"/>
    <x v="0"/>
    <s v="COMPLETE"/>
    <s v="COMPLETED"/>
    <s v="Second Class"/>
    <n v="59.99"/>
  </r>
  <r>
    <n v="27353"/>
    <s v="DEBIT"/>
    <n v="4"/>
    <n v="2"/>
    <s v="DELAYED"/>
    <n v="1004"/>
    <n v="1"/>
    <n v="399.98"/>
    <n v="7"/>
    <s v="Fan Shop"/>
    <n v="333"/>
    <s v="Solapur"/>
    <d v="2019-02-03T00:00:00"/>
    <n v="2"/>
    <n v="2019"/>
    <s v="South Asia"/>
    <x v="0"/>
    <s v="COMPLETE"/>
    <s v="COMPLETED"/>
    <s v="Second Class"/>
    <n v="399.98"/>
  </r>
  <r>
    <n v="27366"/>
    <s v="DEBIT"/>
    <n v="2"/>
    <n v="4"/>
    <s v=" ONTIME"/>
    <n v="793"/>
    <n v="1"/>
    <n v="14.99"/>
    <n v="6"/>
    <s v="Outdoors"/>
    <n v="10625"/>
    <s v="Akola"/>
    <d v="2019-02-03T00:00:00"/>
    <n v="2"/>
    <n v="2019"/>
    <s v="South Asia"/>
    <x v="0"/>
    <s v="ON_HOLD"/>
    <s v="PENDING"/>
    <s v="Standard Class"/>
    <n v="14.99"/>
  </r>
  <r>
    <n v="27367"/>
    <s v="DEBIT"/>
    <n v="3"/>
    <n v="4"/>
    <s v=" ONTIME"/>
    <n v="1073"/>
    <n v="1"/>
    <n v="199.99"/>
    <n v="7"/>
    <s v="Fan Shop"/>
    <n v="9059"/>
    <s v="Akola"/>
    <d v="2019-02-03T00:00:00"/>
    <n v="2"/>
    <n v="2019"/>
    <s v="South Asia"/>
    <x v="0"/>
    <s v="COMPLETE"/>
    <s v="COMPLETED"/>
    <s v="Standard Class"/>
    <n v="199.99"/>
  </r>
  <r>
    <n v="27368"/>
    <s v="PAYMENT"/>
    <n v="0"/>
    <n v="0"/>
    <s v=" ONTIME"/>
    <n v="1014"/>
    <n v="4"/>
    <n v="199.92"/>
    <n v="7"/>
    <s v="Fan Shop"/>
    <n v="5670"/>
    <s v="Akola"/>
    <d v="2019-02-03T00:00:00"/>
    <n v="2"/>
    <n v="2019"/>
    <s v="South Asia"/>
    <x v="0"/>
    <s v="PENDING_PAYMENT"/>
    <s v="PENDING"/>
    <s v="Same Day"/>
    <n v="199.92"/>
  </r>
  <r>
    <n v="27381"/>
    <s v="TRANSFER"/>
    <n v="2"/>
    <n v="4"/>
    <s v=" ONTIME"/>
    <n v="1073"/>
    <n v="1"/>
    <n v="199.99"/>
    <n v="7"/>
    <s v="Fan Shop"/>
    <n v="558"/>
    <s v="Kanpur"/>
    <d v="2019-02-03T00:00:00"/>
    <n v="2"/>
    <n v="2019"/>
    <s v="South Asia"/>
    <x v="1"/>
    <s v="PENDING"/>
    <s v="PENDING"/>
    <s v="Standard Class"/>
    <n v="199.99"/>
  </r>
  <r>
    <n v="27412"/>
    <s v="CASH"/>
    <n v="3"/>
    <n v="4"/>
    <s v=" ONTIME"/>
    <n v="403"/>
    <n v="1"/>
    <n v="129.99"/>
    <n v="4"/>
    <s v="Apparel"/>
    <n v="3266"/>
    <s v="Surat"/>
    <d v="2019-02-04T00:00:00"/>
    <n v="2"/>
    <n v="2019"/>
    <s v="South Asia"/>
    <x v="4"/>
    <s v="CLOSED"/>
    <s v="PENDING"/>
    <s v="Standard Class"/>
    <n v="129.99"/>
  </r>
  <r>
    <n v="27413"/>
    <s v="DEBIT"/>
    <n v="4"/>
    <n v="4"/>
    <s v=" ONTIME"/>
    <n v="403"/>
    <n v="1"/>
    <n v="129.99"/>
    <n v="4"/>
    <s v="Apparel"/>
    <n v="10932"/>
    <s v="Surat"/>
    <d v="2019-02-04T00:00:00"/>
    <n v="2"/>
    <n v="2019"/>
    <s v="South Asia"/>
    <x v="4"/>
    <s v="COMPLETE"/>
    <s v="COMPLETED"/>
    <s v="Standard Class"/>
    <n v="129.99"/>
  </r>
  <r>
    <n v="27426"/>
    <s v="TRANSFER"/>
    <n v="2"/>
    <n v="4"/>
    <s v=" ONTIME"/>
    <n v="1004"/>
    <n v="1"/>
    <n v="399.98"/>
    <n v="7"/>
    <s v="Fan Shop"/>
    <n v="4825"/>
    <s v="Durgapur"/>
    <d v="2019-02-04T00:00:00"/>
    <n v="2"/>
    <n v="2019"/>
    <s v="South Asia"/>
    <x v="6"/>
    <s v="PROCESSING"/>
    <s v="PENDING"/>
    <s v="Standard Class"/>
    <n v="399.98"/>
  </r>
  <r>
    <n v="27428"/>
    <s v="DEBIT"/>
    <n v="4"/>
    <n v="4"/>
    <s v=" ONTIME"/>
    <n v="191"/>
    <n v="2"/>
    <n v="199.98"/>
    <n v="3"/>
    <s v="Footwear"/>
    <n v="10380"/>
    <s v="Agra"/>
    <d v="2019-02-04T00:00:00"/>
    <n v="2"/>
    <n v="2019"/>
    <s v="South Asia"/>
    <x v="1"/>
    <s v="COMPLETE"/>
    <s v="COMPLETED"/>
    <s v="Standard Class"/>
    <n v="199.98"/>
  </r>
  <r>
    <n v="27429"/>
    <s v="CASH"/>
    <n v="5"/>
    <n v="4"/>
    <s v="DELAYED"/>
    <n v="1014"/>
    <n v="4"/>
    <n v="199.92"/>
    <n v="7"/>
    <s v="Fan Shop"/>
    <n v="4875"/>
    <s v="Agra"/>
    <d v="2019-02-04T00:00:00"/>
    <n v="2"/>
    <n v="2019"/>
    <s v="South Asia"/>
    <x v="1"/>
    <s v="CLOSED"/>
    <s v="PENDING"/>
    <s v="Standard Class"/>
    <n v="199.92"/>
  </r>
  <r>
    <n v="27430"/>
    <s v="TRANSFER"/>
    <n v="6"/>
    <n v="4"/>
    <s v="DELAYED"/>
    <n v="1014"/>
    <n v="1"/>
    <n v="49.98"/>
    <n v="7"/>
    <s v="Fan Shop"/>
    <n v="8764"/>
    <s v="Agra"/>
    <d v="2019-02-04T00:00:00"/>
    <n v="2"/>
    <n v="2019"/>
    <s v="South Asia"/>
    <x v="1"/>
    <s v="CANCELED"/>
    <s v="CANCELED"/>
    <s v="Standard Class"/>
    <n v="49.98"/>
  </r>
  <r>
    <n v="27431"/>
    <s v="TRANSFER"/>
    <n v="2"/>
    <n v="1"/>
    <s v="DELAYED"/>
    <n v="1073"/>
    <n v="1"/>
    <n v="199.99"/>
    <n v="7"/>
    <s v="Fan Shop"/>
    <n v="10679"/>
    <s v="Agra"/>
    <d v="2019-02-04T00:00:00"/>
    <n v="2"/>
    <n v="2019"/>
    <s v="South Asia"/>
    <x v="1"/>
    <s v="PENDING"/>
    <s v="PENDING"/>
    <s v="First Class"/>
    <n v="199.99"/>
  </r>
  <r>
    <n v="27432"/>
    <s v="TRANSFER"/>
    <n v="2"/>
    <n v="1"/>
    <s v="DELAYED"/>
    <n v="1014"/>
    <n v="5"/>
    <n v="249.9"/>
    <n v="7"/>
    <s v="Fan Shop"/>
    <n v="11766"/>
    <s v="Agra"/>
    <d v="2019-02-04T00:00:00"/>
    <n v="2"/>
    <n v="2019"/>
    <s v="South Asia"/>
    <x v="1"/>
    <s v="PENDING"/>
    <s v="PENDING"/>
    <s v="First Class"/>
    <n v="249.9"/>
  </r>
  <r>
    <n v="27449"/>
    <s v="TRANSFER"/>
    <n v="5"/>
    <n v="4"/>
    <s v="DELAYED"/>
    <n v="365"/>
    <n v="5"/>
    <n v="299.95"/>
    <n v="4"/>
    <s v="Apparel"/>
    <n v="9973"/>
    <s v="Puducherry"/>
    <d v="2019-02-04T00:00:00"/>
    <n v="2"/>
    <n v="2019"/>
    <s v="South Asia"/>
    <x v="23"/>
    <s v="PENDING"/>
    <s v="PENDING"/>
    <s v="Standard Class"/>
    <n v="299.95"/>
  </r>
  <r>
    <n v="27450"/>
    <s v="TRANSFER"/>
    <n v="6"/>
    <n v="4"/>
    <s v="DELAYED"/>
    <n v="502"/>
    <n v="4"/>
    <n v="200"/>
    <n v="5"/>
    <s v="Golf"/>
    <n v="4734"/>
    <s v="Puducherry"/>
    <d v="2019-02-04T00:00:00"/>
    <n v="2"/>
    <n v="2019"/>
    <s v="South Asia"/>
    <x v="23"/>
    <s v="PROCESSING"/>
    <s v="PENDING"/>
    <s v="Standard Class"/>
    <n v="200"/>
  </r>
  <r>
    <n v="27451"/>
    <s v="PAYMENT"/>
    <n v="2"/>
    <n v="4"/>
    <s v=" ONTIME"/>
    <n v="365"/>
    <n v="4"/>
    <n v="239.96"/>
    <n v="4"/>
    <s v="Apparel"/>
    <n v="11829"/>
    <s v="Puducherry"/>
    <d v="2019-02-04T00:00:00"/>
    <n v="2"/>
    <n v="2019"/>
    <s v="South Asia"/>
    <x v="23"/>
    <s v="PENDING_PAYMENT"/>
    <s v="PENDING"/>
    <s v="Standard Class"/>
    <n v="239.96"/>
  </r>
  <r>
    <n v="27452"/>
    <s v="TRANSFER"/>
    <n v="3"/>
    <n v="4"/>
    <s v=" ONTIME"/>
    <n v="403"/>
    <n v="1"/>
    <n v="129.99"/>
    <n v="4"/>
    <s v="Apparel"/>
    <n v="2111"/>
    <s v="Puducherry"/>
    <d v="2019-02-04T00:00:00"/>
    <n v="2"/>
    <n v="2019"/>
    <s v="South Asia"/>
    <x v="23"/>
    <s v="PROCESSING"/>
    <s v="PENDING"/>
    <s v="Standard Class"/>
    <n v="129.99"/>
  </r>
  <r>
    <n v="27454"/>
    <s v="DEBIT"/>
    <n v="2"/>
    <n v="1"/>
    <s v="DELAYED"/>
    <n v="403"/>
    <n v="1"/>
    <n v="129.99"/>
    <n v="4"/>
    <s v="Apparel"/>
    <n v="8262"/>
    <s v="Vijayawada"/>
    <d v="2019-02-04T00:00:00"/>
    <n v="2"/>
    <n v="2019"/>
    <s v="South Asia"/>
    <x v="15"/>
    <s v="COMPLETE"/>
    <s v="COMPLETED"/>
    <s v="First Class"/>
    <n v="129.99"/>
  </r>
  <r>
    <n v="27462"/>
    <s v="PAYMENT"/>
    <n v="3"/>
    <n v="2"/>
    <s v="DELAYED"/>
    <n v="1073"/>
    <n v="1"/>
    <n v="199.99"/>
    <n v="7"/>
    <s v="Fan Shop"/>
    <n v="8902"/>
    <s v="Hyderabad"/>
    <d v="2019-02-04T00:00:00"/>
    <n v="2"/>
    <n v="2019"/>
    <s v="South Asia"/>
    <x v="7"/>
    <s v="PENDING_PAYMENT"/>
    <s v="PENDING"/>
    <s v="Second Class"/>
    <n v="199.99"/>
  </r>
  <r>
    <n v="27464"/>
    <s v="DEBIT"/>
    <n v="5"/>
    <n v="2"/>
    <s v="DELAYED"/>
    <n v="502"/>
    <n v="1"/>
    <n v="50"/>
    <n v="5"/>
    <s v="Golf"/>
    <n v="7274"/>
    <s v="Mumbai"/>
    <d v="2019-02-04T00:00:00"/>
    <n v="2"/>
    <n v="2019"/>
    <s v="South Asia"/>
    <x v="0"/>
    <s v="COMPLETE"/>
    <s v="COMPLETED"/>
    <s v="Second Class"/>
    <n v="50"/>
  </r>
  <r>
    <n v="27480"/>
    <s v="TRANSFER"/>
    <n v="6"/>
    <n v="4"/>
    <s v="DELAYED"/>
    <n v="1073"/>
    <n v="1"/>
    <n v="199.99"/>
    <n v="7"/>
    <s v="Fan Shop"/>
    <n v="10098"/>
    <s v="Tirunelveli"/>
    <d v="2019-02-05T00:00:00"/>
    <n v="2"/>
    <n v="2019"/>
    <s v="South Asia"/>
    <x v="3"/>
    <s v="PROCESSING"/>
    <s v="PENDING"/>
    <s v="Standard Class"/>
    <n v="199.99"/>
  </r>
  <r>
    <n v="27481"/>
    <s v="DEBIT"/>
    <n v="2"/>
    <n v="4"/>
    <s v=" ONTIME"/>
    <n v="191"/>
    <n v="1"/>
    <n v="99.99"/>
    <n v="3"/>
    <s v="Footwear"/>
    <n v="10573"/>
    <s v="Tirunelveli"/>
    <d v="2019-02-05T00:00:00"/>
    <n v="2"/>
    <n v="2019"/>
    <s v="South Asia"/>
    <x v="3"/>
    <s v="COMPLETE"/>
    <s v="COMPLETED"/>
    <s v="Standard Class"/>
    <n v="99.99"/>
  </r>
  <r>
    <n v="27483"/>
    <s v="PAYMENT"/>
    <n v="4"/>
    <n v="4"/>
    <s v=" ONTIME"/>
    <n v="957"/>
    <n v="1"/>
    <n v="299.98"/>
    <n v="7"/>
    <s v="Fan Shop"/>
    <n v="1178"/>
    <s v="Tirunelveli"/>
    <d v="2019-02-05T00:00:00"/>
    <n v="2"/>
    <n v="2019"/>
    <s v="South Asia"/>
    <x v="3"/>
    <s v="PENDING_PAYMENT"/>
    <s v="PENDING"/>
    <s v="Standard Class"/>
    <n v="299.98"/>
  </r>
  <r>
    <n v="27522"/>
    <s v="TRANSFER"/>
    <n v="3"/>
    <n v="4"/>
    <s v=" ONTIME"/>
    <n v="1073"/>
    <n v="1"/>
    <n v="199.99"/>
    <n v="7"/>
    <s v="Fan Shop"/>
    <n v="5917"/>
    <s v="Bhubaneswar"/>
    <d v="2019-02-05T00:00:00"/>
    <n v="2"/>
    <n v="2019"/>
    <s v="South Asia"/>
    <x v="13"/>
    <s v="SUSPECTED_FRAUD"/>
    <s v="PENDING"/>
    <s v="Standard Class"/>
    <n v="199.99"/>
  </r>
  <r>
    <n v="27523"/>
    <s v="TRANSFER"/>
    <n v="4"/>
    <n v="4"/>
    <s v=" ONTIME"/>
    <n v="365"/>
    <n v="1"/>
    <n v="59.99"/>
    <n v="4"/>
    <s v="Apparel"/>
    <n v="10511"/>
    <s v="Bhubaneswar"/>
    <d v="2019-02-05T00:00:00"/>
    <n v="2"/>
    <n v="2019"/>
    <s v="South Asia"/>
    <x v="13"/>
    <s v="PENDING"/>
    <s v="PENDING"/>
    <s v="Standard Class"/>
    <n v="59.99"/>
  </r>
  <r>
    <n v="27547"/>
    <s v="DEBIT"/>
    <n v="3"/>
    <n v="4"/>
    <s v=" ONTIME"/>
    <n v="957"/>
    <n v="1"/>
    <n v="299.98"/>
    <n v="7"/>
    <s v="Fan Shop"/>
    <n v="9879"/>
    <s v="Allahabad"/>
    <d v="2019-02-06T00:00:00"/>
    <n v="2"/>
    <n v="2019"/>
    <s v="South Asia"/>
    <x v="1"/>
    <s v="ON_HOLD"/>
    <s v="PENDING"/>
    <s v="Standard Class"/>
    <n v="299.98"/>
  </r>
  <r>
    <n v="27548"/>
    <s v="CASH"/>
    <n v="4"/>
    <n v="4"/>
    <s v=" ONTIME"/>
    <n v="1004"/>
    <n v="1"/>
    <n v="399.98"/>
    <n v="7"/>
    <s v="Fan Shop"/>
    <n v="5849"/>
    <s v="Allahabad"/>
    <d v="2019-02-06T00:00:00"/>
    <n v="2"/>
    <n v="2019"/>
    <s v="South Asia"/>
    <x v="1"/>
    <s v="CLOSED"/>
    <s v="PENDING"/>
    <s v="Standard Class"/>
    <n v="399.98"/>
  </r>
  <r>
    <n v="27549"/>
    <s v="TRANSFER"/>
    <n v="5"/>
    <n v="4"/>
    <s v="DELAYED"/>
    <n v="1004"/>
    <n v="1"/>
    <n v="399.98"/>
    <n v="7"/>
    <s v="Fan Shop"/>
    <n v="7302"/>
    <s v="Chennai"/>
    <d v="2019-02-06T00:00:00"/>
    <n v="2"/>
    <n v="2019"/>
    <s v="South Asia"/>
    <x v="3"/>
    <s v="PENDING"/>
    <s v="PENDING"/>
    <s v="Standard Class"/>
    <n v="399.98"/>
  </r>
  <r>
    <n v="27550"/>
    <s v="DEBIT"/>
    <n v="6"/>
    <n v="4"/>
    <s v="DELAYED"/>
    <n v="403"/>
    <n v="1"/>
    <n v="129.99"/>
    <n v="4"/>
    <s v="Apparel"/>
    <n v="9559"/>
    <s v="Vadodara"/>
    <d v="2019-02-06T00:00:00"/>
    <n v="2"/>
    <n v="2019"/>
    <s v="South Asia"/>
    <x v="4"/>
    <s v="COMPLETE"/>
    <s v="COMPLETED"/>
    <s v="Standard Class"/>
    <n v="129.99"/>
  </r>
  <r>
    <n v="27551"/>
    <s v="CASH"/>
    <n v="2"/>
    <n v="1"/>
    <s v="DELAYED"/>
    <n v="1014"/>
    <n v="5"/>
    <n v="249.9"/>
    <n v="7"/>
    <s v="Fan Shop"/>
    <n v="8299"/>
    <s v="Vadodara"/>
    <d v="2019-02-06T00:00:00"/>
    <n v="2"/>
    <n v="2019"/>
    <s v="South Asia"/>
    <x v="4"/>
    <s v="CLOSED"/>
    <s v="PENDING"/>
    <s v="First Class"/>
    <n v="249.9"/>
  </r>
  <r>
    <n v="27552"/>
    <s v="DEBIT"/>
    <n v="3"/>
    <n v="4"/>
    <s v=" ONTIME"/>
    <n v="365"/>
    <n v="5"/>
    <n v="299.95"/>
    <n v="4"/>
    <s v="Apparel"/>
    <n v="5073"/>
    <s v="Mangalore"/>
    <d v="2019-02-06T00:00:00"/>
    <n v="2"/>
    <n v="2019"/>
    <s v="South Asia"/>
    <x v="8"/>
    <s v="ON_HOLD"/>
    <s v="PENDING"/>
    <s v="Standard Class"/>
    <n v="299.95"/>
  </r>
  <r>
    <n v="27553"/>
    <s v="PAYMENT"/>
    <n v="4"/>
    <n v="4"/>
    <s v=" ONTIME"/>
    <n v="403"/>
    <n v="1"/>
    <n v="129.99"/>
    <n v="4"/>
    <s v="Apparel"/>
    <n v="4560"/>
    <s v="Mangalore"/>
    <d v="2019-02-06T00:00:00"/>
    <n v="2"/>
    <n v="2019"/>
    <s v="South Asia"/>
    <x v="8"/>
    <s v="PENDING_PAYMENT"/>
    <s v="PENDING"/>
    <s v="Standard Class"/>
    <n v="129.99"/>
  </r>
  <r>
    <n v="27554"/>
    <s v="CASH"/>
    <n v="5"/>
    <n v="4"/>
    <s v="DELAYED"/>
    <n v="403"/>
    <n v="1"/>
    <n v="129.99"/>
    <n v="4"/>
    <s v="Apparel"/>
    <n v="8584"/>
    <s v="Coimbatore"/>
    <d v="2019-02-06T00:00:00"/>
    <n v="2"/>
    <n v="2019"/>
    <s v="South Asia"/>
    <x v="3"/>
    <s v="CLOSED"/>
    <s v="PENDING"/>
    <s v="Standard Class"/>
    <n v="129.99"/>
  </r>
  <r>
    <n v="27558"/>
    <s v="DEBIT"/>
    <n v="4"/>
    <n v="4"/>
    <s v=" ONTIME"/>
    <n v="403"/>
    <n v="1"/>
    <n v="129.99"/>
    <n v="4"/>
    <s v="Apparel"/>
    <n v="10308"/>
    <s v="Sonipat"/>
    <d v="2019-02-06T00:00:00"/>
    <n v="2"/>
    <n v="2019"/>
    <s v="South Asia"/>
    <x v="10"/>
    <s v="COMPLETE"/>
    <s v="COMPLETED"/>
    <s v="Standard Class"/>
    <n v="129.99"/>
  </r>
  <r>
    <n v="27571"/>
    <s v="CASH"/>
    <n v="2"/>
    <n v="4"/>
    <s v=" ONTIME"/>
    <n v="403"/>
    <n v="1"/>
    <n v="129.99"/>
    <n v="4"/>
    <s v="Apparel"/>
    <n v="2882"/>
    <s v="Kolhapur"/>
    <d v="2019-02-06T00:00:00"/>
    <n v="2"/>
    <n v="2019"/>
    <s v="South Asia"/>
    <x v="0"/>
    <s v="CLOSED"/>
    <s v="PENDING"/>
    <s v="Standard Class"/>
    <n v="129.99"/>
  </r>
  <r>
    <n v="27577"/>
    <s v="PAYMENT"/>
    <n v="2"/>
    <n v="1"/>
    <s v="DELAYED"/>
    <n v="1014"/>
    <n v="2"/>
    <n v="99.96"/>
    <n v="7"/>
    <s v="Fan Shop"/>
    <n v="10544"/>
    <s v="Mumbai"/>
    <d v="2019-02-06T00:00:00"/>
    <n v="2"/>
    <n v="2019"/>
    <s v="South Asia"/>
    <x v="0"/>
    <s v="PENDING_PAYMENT"/>
    <s v="PENDING"/>
    <s v="First Class"/>
    <n v="99.96"/>
  </r>
  <r>
    <n v="27578"/>
    <s v="PAYMENT"/>
    <n v="2"/>
    <n v="1"/>
    <s v="DELAYED"/>
    <n v="502"/>
    <n v="2"/>
    <n v="100"/>
    <n v="5"/>
    <s v="Golf"/>
    <n v="2352"/>
    <s v="Mangalore"/>
    <d v="2019-02-06T00:00:00"/>
    <n v="2"/>
    <n v="2019"/>
    <s v="South Asia"/>
    <x v="8"/>
    <s v="PENDING_PAYMENT"/>
    <s v="PENDING"/>
    <s v="First Class"/>
    <n v="100"/>
  </r>
  <r>
    <n v="27609"/>
    <s v="CASH"/>
    <n v="5"/>
    <n v="4"/>
    <s v="DELAYED"/>
    <n v="502"/>
    <n v="2"/>
    <n v="100"/>
    <n v="5"/>
    <s v="Golf"/>
    <n v="8845"/>
    <s v="Aurangabad"/>
    <d v="2019-02-07T00:00:00"/>
    <n v="2"/>
    <n v="2019"/>
    <s v="South Asia"/>
    <x v="0"/>
    <s v="CLOSED"/>
    <s v="PENDING"/>
    <s v="Standard Class"/>
    <n v="100"/>
  </r>
  <r>
    <n v="27610"/>
    <s v="DEBIT"/>
    <n v="6"/>
    <n v="4"/>
    <s v="DELAYED"/>
    <n v="403"/>
    <n v="1"/>
    <n v="129.99"/>
    <n v="4"/>
    <s v="Apparel"/>
    <n v="8758"/>
    <s v="Aurangabad"/>
    <d v="2019-02-07T00:00:00"/>
    <n v="2"/>
    <n v="2019"/>
    <s v="South Asia"/>
    <x v="0"/>
    <s v="ON_HOLD"/>
    <s v="PENDING"/>
    <s v="Standard Class"/>
    <n v="129.99"/>
  </r>
  <r>
    <n v="27617"/>
    <s v="CASH"/>
    <n v="3"/>
    <n v="4"/>
    <s v=" ONTIME"/>
    <n v="1073"/>
    <n v="1"/>
    <n v="199.99"/>
    <n v="7"/>
    <s v="Fan Shop"/>
    <n v="626"/>
    <s v="Kalyan"/>
    <d v="2019-02-07T00:00:00"/>
    <n v="2"/>
    <n v="2019"/>
    <s v="South Asia"/>
    <x v="0"/>
    <s v="CLOSED"/>
    <s v="PENDING"/>
    <s v="Standard Class"/>
    <n v="199.99"/>
  </r>
  <r>
    <n v="27618"/>
    <s v="TRANSFER"/>
    <n v="4"/>
    <n v="4"/>
    <s v=" ONTIME"/>
    <n v="957"/>
    <n v="1"/>
    <n v="299.98"/>
    <n v="7"/>
    <s v="Fan Shop"/>
    <n v="6968"/>
    <s v="Kalyan"/>
    <d v="2019-02-07T00:00:00"/>
    <n v="2"/>
    <n v="2019"/>
    <s v="South Asia"/>
    <x v="0"/>
    <s v="SUSPECTED_FRAUD"/>
    <s v="PENDING"/>
    <s v="Standard Class"/>
    <n v="299.98"/>
  </r>
  <r>
    <n v="27619"/>
    <s v="DEBIT"/>
    <n v="5"/>
    <n v="4"/>
    <s v="DELAYED"/>
    <n v="502"/>
    <n v="3"/>
    <n v="150"/>
    <n v="5"/>
    <s v="Golf"/>
    <n v="10977"/>
    <s v="Kalyan"/>
    <d v="2019-02-07T00:00:00"/>
    <n v="2"/>
    <n v="2019"/>
    <s v="South Asia"/>
    <x v="0"/>
    <s v="COMPLETE"/>
    <s v="COMPLETED"/>
    <s v="Standard Class"/>
    <n v="150"/>
  </r>
  <r>
    <n v="27646"/>
    <s v="TRANSFER"/>
    <n v="2"/>
    <n v="4"/>
    <s v=" ONTIME"/>
    <n v="1073"/>
    <n v="1"/>
    <n v="199.99"/>
    <n v="7"/>
    <s v="Fan Shop"/>
    <n v="3951"/>
    <s v="Puducherry"/>
    <d v="2019-02-07T00:00:00"/>
    <n v="2"/>
    <n v="2019"/>
    <s v="South Asia"/>
    <x v="23"/>
    <s v="PROCESSING"/>
    <s v="PENDING"/>
    <s v="Standard Class"/>
    <n v="199.99"/>
  </r>
  <r>
    <n v="27672"/>
    <s v="TRANSFER"/>
    <n v="3"/>
    <n v="2"/>
    <s v="DELAYED"/>
    <n v="365"/>
    <n v="1"/>
    <n v="59.99"/>
    <n v="4"/>
    <s v="Apparel"/>
    <n v="3776"/>
    <s v="Agra"/>
    <d v="2019-02-07T00:00:00"/>
    <n v="2"/>
    <n v="2019"/>
    <s v="South Asia"/>
    <x v="1"/>
    <s v="SUSPECTED_FRAUD"/>
    <s v="PENDING"/>
    <s v="Second Class"/>
    <n v="59.99"/>
  </r>
  <r>
    <n v="27724"/>
    <s v="TRANSFER"/>
    <n v="5"/>
    <n v="4"/>
    <s v="DELAYED"/>
    <n v="1073"/>
    <n v="1"/>
    <n v="199.99"/>
    <n v="7"/>
    <s v="Fan Shop"/>
    <n v="8541"/>
    <s v="Bangalore"/>
    <d v="2019-02-08T00:00:00"/>
    <n v="2"/>
    <n v="2019"/>
    <s v="South Asia"/>
    <x v="8"/>
    <s v="PROCESSING"/>
    <s v="PENDING"/>
    <s v="Standard Class"/>
    <n v="199.99"/>
  </r>
  <r>
    <n v="27742"/>
    <s v="TRANSFER"/>
    <n v="3"/>
    <n v="4"/>
    <s v=" ONTIME"/>
    <n v="191"/>
    <n v="5"/>
    <n v="499.95"/>
    <n v="3"/>
    <s v="Footwear"/>
    <n v="9495"/>
    <s v="Hyderabad"/>
    <d v="2019-02-08T00:00:00"/>
    <n v="2"/>
    <n v="2019"/>
    <s v="South Asia"/>
    <x v="7"/>
    <s v="CANCELED"/>
    <s v="CANCELED"/>
    <s v="Standard Class"/>
    <n v="499.95"/>
  </r>
  <r>
    <n v="27743"/>
    <s v="TRANSFER"/>
    <n v="4"/>
    <n v="4"/>
    <s v=" ONTIME"/>
    <n v="403"/>
    <n v="1"/>
    <n v="129.99"/>
    <n v="4"/>
    <s v="Apparel"/>
    <n v="2534"/>
    <s v="Hyderabad"/>
    <d v="2019-02-08T00:00:00"/>
    <n v="2"/>
    <n v="2019"/>
    <s v="South Asia"/>
    <x v="7"/>
    <s v="PENDING"/>
    <s v="PENDING"/>
    <s v="Standard Class"/>
    <n v="129.99"/>
  </r>
  <r>
    <n v="27744"/>
    <s v="DEBIT"/>
    <n v="5"/>
    <n v="4"/>
    <s v="DELAYED"/>
    <n v="403"/>
    <n v="1"/>
    <n v="129.99"/>
    <n v="4"/>
    <s v="Apparel"/>
    <n v="10034"/>
    <s v="Hyderabad"/>
    <d v="2019-02-08T00:00:00"/>
    <n v="2"/>
    <n v="2019"/>
    <s v="South Asia"/>
    <x v="7"/>
    <s v="COMPLETE"/>
    <s v="COMPLETED"/>
    <s v="Standard Class"/>
    <n v="129.99"/>
  </r>
  <r>
    <n v="27763"/>
    <s v="PAYMENT"/>
    <n v="4"/>
    <n v="2"/>
    <s v="DELAYED"/>
    <n v="1073"/>
    <n v="1"/>
    <n v="199.99"/>
    <n v="7"/>
    <s v="Fan Shop"/>
    <n v="5201"/>
    <s v="Srinagar"/>
    <d v="2019-02-09T00:00:00"/>
    <n v="2"/>
    <n v="2019"/>
    <s v="South Asia"/>
    <x v="21"/>
    <s v="PENDING_PAYMENT"/>
    <s v="PENDING"/>
    <s v="Second Class"/>
    <n v="199.99"/>
  </r>
  <r>
    <n v="27785"/>
    <s v="CASH"/>
    <n v="6"/>
    <n v="2"/>
    <s v="DELAYED"/>
    <n v="403"/>
    <n v="1"/>
    <n v="129.99"/>
    <n v="4"/>
    <s v="Apparel"/>
    <n v="9116"/>
    <s v="Mangalore"/>
    <d v="2019-02-09T00:00:00"/>
    <n v="2"/>
    <n v="2019"/>
    <s v="South Asia"/>
    <x v="8"/>
    <s v="CLOSED"/>
    <s v="PENDING"/>
    <s v="Second Class"/>
    <n v="129.99"/>
  </r>
  <r>
    <n v="27787"/>
    <s v="DEBIT"/>
    <n v="3"/>
    <n v="4"/>
    <s v=" ONTIME"/>
    <n v="1073"/>
    <n v="1"/>
    <n v="199.99"/>
    <n v="7"/>
    <s v="Fan Shop"/>
    <n v="141"/>
    <s v="Mangalore"/>
    <d v="2019-02-09T00:00:00"/>
    <n v="2"/>
    <n v="2019"/>
    <s v="South Asia"/>
    <x v="8"/>
    <s v="COMPLETE"/>
    <s v="COMPLETED"/>
    <s v="Standard Class"/>
    <n v="199.99"/>
  </r>
  <r>
    <n v="27796"/>
    <s v="DEBIT"/>
    <n v="1"/>
    <n v="0"/>
    <s v="DELAYED"/>
    <n v="403"/>
    <n v="1"/>
    <n v="129.99"/>
    <n v="4"/>
    <s v="Apparel"/>
    <n v="11383"/>
    <s v="Bhilwara"/>
    <d v="2019-02-09T00:00:00"/>
    <n v="2"/>
    <n v="2019"/>
    <s v="South Asia"/>
    <x v="2"/>
    <s v="COMPLETE"/>
    <s v="COMPLETED"/>
    <s v="Same Day"/>
    <n v="129.99"/>
  </r>
  <r>
    <n v="27800"/>
    <s v="DEBIT"/>
    <n v="6"/>
    <n v="2"/>
    <s v="DELAYED"/>
    <n v="502"/>
    <n v="4"/>
    <n v="200"/>
    <n v="5"/>
    <s v="Golf"/>
    <n v="3431"/>
    <s v="Puducherry"/>
    <d v="2019-02-09T00:00:00"/>
    <n v="2"/>
    <n v="2019"/>
    <s v="South Asia"/>
    <x v="23"/>
    <s v="COMPLETE"/>
    <s v="COMPLETED"/>
    <s v="Second Class"/>
    <n v="200"/>
  </r>
  <r>
    <n v="27801"/>
    <s v="DEBIT"/>
    <n v="2"/>
    <n v="2"/>
    <s v=" ONTIME"/>
    <n v="502"/>
    <n v="4"/>
    <n v="200"/>
    <n v="5"/>
    <s v="Golf"/>
    <n v="7394"/>
    <s v="Puducherry"/>
    <d v="2019-02-09T00:00:00"/>
    <n v="2"/>
    <n v="2019"/>
    <s v="South Asia"/>
    <x v="23"/>
    <s v="COMPLETE"/>
    <s v="COMPLETED"/>
    <s v="Second Class"/>
    <n v="200"/>
  </r>
  <r>
    <n v="27802"/>
    <s v="TRANSFER"/>
    <n v="3"/>
    <n v="2"/>
    <s v="DELAYED"/>
    <n v="235"/>
    <n v="2"/>
    <n v="69.98"/>
    <n v="3"/>
    <s v="Footwear"/>
    <n v="10932"/>
    <s v="Puducherry"/>
    <d v="2019-02-09T00:00:00"/>
    <n v="2"/>
    <n v="2019"/>
    <s v="South Asia"/>
    <x v="23"/>
    <s v="SUSPECTED_FRAUD"/>
    <s v="PENDING"/>
    <s v="Second Class"/>
    <n v="69.98"/>
  </r>
  <r>
    <n v="27803"/>
    <s v="DEBIT"/>
    <n v="4"/>
    <n v="2"/>
    <s v="DELAYED"/>
    <n v="403"/>
    <n v="1"/>
    <n v="129.99"/>
    <n v="4"/>
    <s v="Apparel"/>
    <n v="7282"/>
    <s v="Puducherry"/>
    <d v="2019-02-09T00:00:00"/>
    <n v="2"/>
    <n v="2019"/>
    <s v="South Asia"/>
    <x v="23"/>
    <s v="COMPLETE"/>
    <s v="COMPLETED"/>
    <s v="Second Class"/>
    <n v="129.99"/>
  </r>
  <r>
    <n v="27804"/>
    <s v="DEBIT"/>
    <n v="5"/>
    <n v="2"/>
    <s v="DELAYED"/>
    <n v="44"/>
    <n v="4"/>
    <n v="239.96"/>
    <n v="2"/>
    <s v="Fitness"/>
    <n v="8339"/>
    <s v="Puducherry"/>
    <d v="2019-02-09T00:00:00"/>
    <n v="2"/>
    <n v="2019"/>
    <s v="South Asia"/>
    <x v="23"/>
    <s v="COMPLETE"/>
    <s v="COMPLETED"/>
    <s v="Second Class"/>
    <n v="239.96"/>
  </r>
  <r>
    <n v="27807"/>
    <s v="PAYMENT"/>
    <n v="3"/>
    <n v="2"/>
    <s v="DELAYED"/>
    <n v="365"/>
    <n v="3"/>
    <n v="179.97"/>
    <n v="4"/>
    <s v="Apparel"/>
    <n v="7985"/>
    <s v="Chandigarh"/>
    <d v="2019-02-09T00:00:00"/>
    <n v="2"/>
    <n v="2019"/>
    <s v="South Asia"/>
    <x v="22"/>
    <s v="PENDING_PAYMENT"/>
    <s v="PENDING"/>
    <s v="Second Class"/>
    <n v="179.97"/>
  </r>
  <r>
    <n v="27808"/>
    <s v="PAYMENT"/>
    <n v="4"/>
    <n v="4"/>
    <s v=" ONTIME"/>
    <n v="502"/>
    <n v="3"/>
    <n v="150"/>
    <n v="5"/>
    <s v="Golf"/>
    <n v="644"/>
    <s v="Chandigarh"/>
    <d v="2019-02-09T00:00:00"/>
    <n v="2"/>
    <n v="2019"/>
    <s v="South Asia"/>
    <x v="22"/>
    <s v="PENDING_PAYMENT"/>
    <s v="PENDING"/>
    <s v="Standard Class"/>
    <n v="150"/>
  </r>
  <r>
    <n v="27819"/>
    <s v="PAYMENT"/>
    <n v="2"/>
    <n v="1"/>
    <s v="DELAYED"/>
    <n v="191"/>
    <n v="1"/>
    <n v="99.99"/>
    <n v="3"/>
    <s v="Footwear"/>
    <n v="11318"/>
    <s v="Delhi"/>
    <d v="2019-02-10T00:00:00"/>
    <n v="2"/>
    <n v="2019"/>
    <s v="South Asia"/>
    <x v="11"/>
    <s v="PAYMENT_REVIEW"/>
    <s v="PENDING"/>
    <s v="First Class"/>
    <n v="99.99"/>
  </r>
  <r>
    <n v="27820"/>
    <s v="DEBIT"/>
    <n v="2"/>
    <n v="1"/>
    <s v="DELAYED"/>
    <n v="1014"/>
    <n v="2"/>
    <n v="99.96"/>
    <n v="7"/>
    <s v="Fan Shop"/>
    <n v="6731"/>
    <s v="Delhi"/>
    <d v="2019-02-10T00:00:00"/>
    <n v="2"/>
    <n v="2019"/>
    <s v="South Asia"/>
    <x v="11"/>
    <s v="COMPLETE"/>
    <s v="COMPLETED"/>
    <s v="First Class"/>
    <n v="99.96"/>
  </r>
  <r>
    <n v="27847"/>
    <s v="PAYMENT"/>
    <n v="3"/>
    <n v="4"/>
    <s v=" ONTIME"/>
    <n v="1073"/>
    <n v="1"/>
    <n v="199.99"/>
    <n v="7"/>
    <s v="Fan Shop"/>
    <n v="8099"/>
    <s v="Bhopal"/>
    <d v="2019-02-10T00:00:00"/>
    <n v="2"/>
    <n v="2019"/>
    <s v="South Asia"/>
    <x v="14"/>
    <s v="PENDING_PAYMENT"/>
    <s v="PENDING"/>
    <s v="Standard Class"/>
    <n v="199.99"/>
  </r>
  <r>
    <n v="27850"/>
    <s v="DEBIT"/>
    <n v="6"/>
    <n v="4"/>
    <s v="DELAYED"/>
    <n v="191"/>
    <n v="5"/>
    <n v="499.95"/>
    <n v="3"/>
    <s v="Footwear"/>
    <n v="7750"/>
    <s v="Lucknow"/>
    <d v="2019-02-10T00:00:00"/>
    <n v="2"/>
    <n v="2019"/>
    <s v="South Asia"/>
    <x v="1"/>
    <s v="COMPLETE"/>
    <s v="COMPLETED"/>
    <s v="Standard Class"/>
    <n v="499.95"/>
  </r>
  <r>
    <n v="27857"/>
    <s v="TRANSFER"/>
    <n v="3"/>
    <n v="4"/>
    <s v=" ONTIME"/>
    <n v="1014"/>
    <n v="1"/>
    <n v="49.98"/>
    <n v="7"/>
    <s v="Fan Shop"/>
    <n v="7940"/>
    <s v="Mumbai"/>
    <d v="2019-02-10T00:00:00"/>
    <n v="2"/>
    <n v="2019"/>
    <s v="South Asia"/>
    <x v="0"/>
    <s v="PROCESSING"/>
    <s v="PENDING"/>
    <s v="Standard Class"/>
    <n v="49.98"/>
  </r>
  <r>
    <n v="27858"/>
    <s v="TRANSFER"/>
    <n v="4"/>
    <n v="4"/>
    <s v=" ONTIME"/>
    <n v="365"/>
    <n v="5"/>
    <n v="299.95"/>
    <n v="4"/>
    <s v="Apparel"/>
    <n v="142"/>
    <s v="Mumbai"/>
    <d v="2019-02-10T00:00:00"/>
    <n v="2"/>
    <n v="2019"/>
    <s v="South Asia"/>
    <x v="0"/>
    <s v="PENDING"/>
    <s v="PENDING"/>
    <s v="Standard Class"/>
    <n v="299.95"/>
  </r>
  <r>
    <n v="27859"/>
    <s v="DEBIT"/>
    <n v="5"/>
    <n v="4"/>
    <s v="DELAYED"/>
    <n v="1014"/>
    <n v="3"/>
    <n v="149.94"/>
    <n v="7"/>
    <s v="Fan Shop"/>
    <n v="10957"/>
    <s v="Mumbai"/>
    <d v="2019-02-10T00:00:00"/>
    <n v="2"/>
    <n v="2019"/>
    <s v="South Asia"/>
    <x v="0"/>
    <s v="COMPLETE"/>
    <s v="COMPLETED"/>
    <s v="Standard Class"/>
    <n v="149.94"/>
  </r>
  <r>
    <n v="27860"/>
    <s v="DEBIT"/>
    <n v="6"/>
    <n v="4"/>
    <s v="DELAYED"/>
    <n v="365"/>
    <n v="5"/>
    <n v="299.95"/>
    <n v="4"/>
    <s v="Apparel"/>
    <n v="10424"/>
    <s v="Durg"/>
    <d v="2019-02-10T00:00:00"/>
    <n v="2"/>
    <n v="2019"/>
    <s v="South Asia"/>
    <x v="18"/>
    <s v="ON_HOLD"/>
    <s v="PENDING"/>
    <s v="Standard Class"/>
    <n v="299.95"/>
  </r>
  <r>
    <n v="27880"/>
    <s v="DEBIT"/>
    <n v="6"/>
    <n v="4"/>
    <s v="DELAYED"/>
    <n v="403"/>
    <n v="1"/>
    <n v="129.99"/>
    <n v="4"/>
    <s v="Apparel"/>
    <n v="12038"/>
    <s v="Meerut"/>
    <d v="2019-02-10T00:00:00"/>
    <n v="2"/>
    <n v="2019"/>
    <s v="South Asia"/>
    <x v="1"/>
    <s v="ON_HOLD"/>
    <s v="PENDING"/>
    <s v="Standard Class"/>
    <n v="129.99"/>
  </r>
  <r>
    <n v="27881"/>
    <s v="TRANSFER"/>
    <n v="2"/>
    <n v="2"/>
    <s v=" ONTIME"/>
    <n v="1073"/>
    <n v="1"/>
    <n v="199.99"/>
    <n v="7"/>
    <s v="Fan Shop"/>
    <n v="11941"/>
    <s v="Meerut"/>
    <d v="2019-02-10T00:00:00"/>
    <n v="2"/>
    <n v="2019"/>
    <s v="South Asia"/>
    <x v="1"/>
    <s v="PROCESSING"/>
    <s v="PENDING"/>
    <s v="Second Class"/>
    <n v="199.99"/>
  </r>
  <r>
    <n v="27882"/>
    <s v="DEBIT"/>
    <n v="3"/>
    <n v="4"/>
    <s v=" ONTIME"/>
    <n v="191"/>
    <n v="2"/>
    <n v="199.98"/>
    <n v="3"/>
    <s v="Footwear"/>
    <n v="995"/>
    <s v="Meerut"/>
    <d v="2019-02-10T00:00:00"/>
    <n v="2"/>
    <n v="2019"/>
    <s v="South Asia"/>
    <x v="1"/>
    <s v="ON_HOLD"/>
    <s v="PENDING"/>
    <s v="Standard Class"/>
    <n v="199.98"/>
  </r>
  <r>
    <n v="27885"/>
    <s v="PAYMENT"/>
    <n v="6"/>
    <n v="4"/>
    <s v="DELAYED"/>
    <n v="885"/>
    <n v="2"/>
    <n v="49.98"/>
    <n v="6"/>
    <s v="Outdoors"/>
    <n v="11225"/>
    <s v="Kalyan"/>
    <d v="2019-02-11T00:00:00"/>
    <n v="2"/>
    <n v="2019"/>
    <s v="South Asia"/>
    <x v="0"/>
    <s v="PENDING_PAYMENT"/>
    <s v="PENDING"/>
    <s v="Standard Class"/>
    <n v="49.98"/>
  </r>
  <r>
    <n v="27886"/>
    <s v="CASH"/>
    <n v="2"/>
    <n v="4"/>
    <s v=" ONTIME"/>
    <n v="502"/>
    <n v="1"/>
    <n v="50"/>
    <n v="5"/>
    <s v="Golf"/>
    <n v="8750"/>
    <s v="Kalyan"/>
    <d v="2019-02-11T00:00:00"/>
    <n v="2"/>
    <n v="2019"/>
    <s v="South Asia"/>
    <x v="0"/>
    <s v="CLOSED"/>
    <s v="PENDING"/>
    <s v="Standard Class"/>
    <n v="50"/>
  </r>
  <r>
    <n v="27887"/>
    <s v="CASH"/>
    <n v="3"/>
    <n v="4"/>
    <s v=" ONTIME"/>
    <n v="191"/>
    <n v="1"/>
    <n v="99.99"/>
    <n v="3"/>
    <s v="Footwear"/>
    <n v="2561"/>
    <s v="Bokaro"/>
    <d v="2019-02-11T00:00:00"/>
    <n v="2"/>
    <n v="2019"/>
    <s v="South Asia"/>
    <x v="12"/>
    <s v="CLOSED"/>
    <s v="PENDING"/>
    <s v="Standard Class"/>
    <n v="99.99"/>
  </r>
  <r>
    <n v="27888"/>
    <s v="DEBIT"/>
    <n v="4"/>
    <n v="4"/>
    <s v=" ONTIME"/>
    <n v="403"/>
    <n v="1"/>
    <n v="129.99"/>
    <n v="4"/>
    <s v="Apparel"/>
    <n v="4226"/>
    <s v="Bokaro"/>
    <d v="2019-02-11T00:00:00"/>
    <n v="2"/>
    <n v="2019"/>
    <s v="South Asia"/>
    <x v="12"/>
    <s v="COMPLETE"/>
    <s v="COMPLETED"/>
    <s v="Standard Class"/>
    <n v="129.99"/>
  </r>
  <r>
    <n v="27889"/>
    <s v="PAYMENT"/>
    <n v="5"/>
    <n v="4"/>
    <s v="DELAYED"/>
    <n v="793"/>
    <n v="1"/>
    <n v="14.99"/>
    <n v="6"/>
    <s v="Outdoors"/>
    <n v="2727"/>
    <s v="Bokaro"/>
    <d v="2019-02-11T00:00:00"/>
    <n v="2"/>
    <n v="2019"/>
    <s v="South Asia"/>
    <x v="12"/>
    <s v="PENDING_PAYMENT"/>
    <s v="PENDING"/>
    <s v="Standard Class"/>
    <n v="14.99"/>
  </r>
  <r>
    <n v="27890"/>
    <s v="DEBIT"/>
    <n v="6"/>
    <n v="4"/>
    <s v="DELAYED"/>
    <n v="365"/>
    <n v="4"/>
    <n v="239.96"/>
    <n v="4"/>
    <s v="Apparel"/>
    <n v="11751"/>
    <s v="Dewas"/>
    <d v="2019-02-11T00:00:00"/>
    <n v="2"/>
    <n v="2019"/>
    <s v="South Asia"/>
    <x v="14"/>
    <s v="ON_HOLD"/>
    <s v="PENDING"/>
    <s v="Standard Class"/>
    <n v="239.96"/>
  </r>
  <r>
    <n v="27892"/>
    <s v="TRANSFER"/>
    <n v="2"/>
    <n v="1"/>
    <s v="DELAYED"/>
    <n v="1014"/>
    <n v="2"/>
    <n v="99.96"/>
    <n v="7"/>
    <s v="Fan Shop"/>
    <n v="1424"/>
    <s v="Ludhiana"/>
    <d v="2019-02-11T00:00:00"/>
    <n v="2"/>
    <n v="2019"/>
    <s v="South Asia"/>
    <x v="16"/>
    <s v="PROCESSING"/>
    <s v="PENDING"/>
    <s v="First Class"/>
    <n v="99.96"/>
  </r>
  <r>
    <n v="27902"/>
    <s v="PAYMENT"/>
    <n v="3"/>
    <n v="4"/>
    <s v=" ONTIME"/>
    <n v="1073"/>
    <n v="1"/>
    <n v="199.99"/>
    <n v="7"/>
    <s v="Fan Shop"/>
    <n v="5330"/>
    <s v="Nagpur"/>
    <d v="2019-02-11T00:00:00"/>
    <n v="2"/>
    <n v="2019"/>
    <s v="South Asia"/>
    <x v="0"/>
    <s v="PENDING_PAYMENT"/>
    <s v="PENDING"/>
    <s v="Standard Class"/>
    <n v="199.99"/>
  </r>
  <r>
    <n v="27921"/>
    <s v="PAYMENT"/>
    <n v="2"/>
    <n v="4"/>
    <s v=" ONTIME"/>
    <n v="403"/>
    <n v="1"/>
    <n v="129.99"/>
    <n v="4"/>
    <s v="Apparel"/>
    <n v="6611"/>
    <s v="Parbhani"/>
    <d v="2019-02-11T00:00:00"/>
    <n v="2"/>
    <n v="2019"/>
    <s v="South Asia"/>
    <x v="0"/>
    <s v="PENDING_PAYMENT"/>
    <s v="PENDING"/>
    <s v="Standard Class"/>
    <n v="129.99"/>
  </r>
  <r>
    <n v="27942"/>
    <s v="DEBIT"/>
    <n v="3"/>
    <n v="4"/>
    <s v=" ONTIME"/>
    <n v="403"/>
    <n v="1"/>
    <n v="129.99"/>
    <n v="4"/>
    <s v="Apparel"/>
    <n v="2774"/>
    <s v="Korba"/>
    <d v="2019-02-11T00:00:00"/>
    <n v="2"/>
    <n v="2019"/>
    <s v="South Asia"/>
    <x v="18"/>
    <s v="COMPLETE"/>
    <s v="COMPLETED"/>
    <s v="Standard Class"/>
    <n v="129.99"/>
  </r>
  <r>
    <n v="27943"/>
    <s v="PAYMENT"/>
    <n v="4"/>
    <n v="4"/>
    <s v=" ONTIME"/>
    <n v="1073"/>
    <n v="1"/>
    <n v="199.99"/>
    <n v="7"/>
    <s v="Fan Shop"/>
    <n v="3347"/>
    <s v="Korba"/>
    <d v="2019-02-11T00:00:00"/>
    <n v="2"/>
    <n v="2019"/>
    <s v="South Asia"/>
    <x v="18"/>
    <s v="PENDING_PAYMENT"/>
    <s v="PENDING"/>
    <s v="Standard Class"/>
    <n v="199.99"/>
  </r>
  <r>
    <n v="27946"/>
    <s v="DEBIT"/>
    <n v="2"/>
    <n v="4"/>
    <s v=" ONTIME"/>
    <n v="191"/>
    <n v="2"/>
    <n v="199.98"/>
    <n v="3"/>
    <s v="Footwear"/>
    <n v="6200"/>
    <s v="Hyderabad"/>
    <d v="2019-02-11T00:00:00"/>
    <n v="2"/>
    <n v="2019"/>
    <s v="South Asia"/>
    <x v="7"/>
    <s v="COMPLETE"/>
    <s v="COMPLETED"/>
    <s v="Standard Class"/>
    <n v="199.98"/>
  </r>
  <r>
    <n v="27969"/>
    <s v="TRANSFER"/>
    <n v="5"/>
    <n v="2"/>
    <s v="DELAYED"/>
    <n v="1073"/>
    <n v="1"/>
    <n v="199.99"/>
    <n v="7"/>
    <s v="Fan Shop"/>
    <n v="8221"/>
    <s v="Coimbatore"/>
    <d v="2019-02-12T00:00:00"/>
    <n v="2"/>
    <n v="2019"/>
    <s v="South Asia"/>
    <x v="3"/>
    <s v="PENDING"/>
    <s v="PENDING"/>
    <s v="Second Class"/>
    <n v="199.99"/>
  </r>
  <r>
    <n v="27994"/>
    <s v="TRANSFER"/>
    <n v="2"/>
    <n v="1"/>
    <s v="DELAYED"/>
    <n v="135"/>
    <n v="3"/>
    <n v="66"/>
    <n v="2"/>
    <s v="Fitness"/>
    <n v="9602"/>
    <s v="Gorakhpur"/>
    <d v="2019-02-12T00:00:00"/>
    <n v="2"/>
    <n v="2019"/>
    <s v="South Asia"/>
    <x v="10"/>
    <s v="PROCESSING"/>
    <s v="PENDING"/>
    <s v="First Class"/>
    <n v="66"/>
  </r>
  <r>
    <n v="27995"/>
    <s v="DEBIT"/>
    <n v="6"/>
    <n v="4"/>
    <s v="DELAYED"/>
    <n v="1073"/>
    <n v="1"/>
    <n v="199.99"/>
    <n v="7"/>
    <s v="Fan Shop"/>
    <n v="1518"/>
    <s v="Gorakhpur"/>
    <d v="2019-02-12T00:00:00"/>
    <n v="2"/>
    <n v="2019"/>
    <s v="South Asia"/>
    <x v="10"/>
    <s v="COMPLETE"/>
    <s v="COMPLETED"/>
    <s v="Standard Class"/>
    <n v="199.99"/>
  </r>
  <r>
    <n v="28004"/>
    <s v="TRANSFER"/>
    <n v="5"/>
    <n v="4"/>
    <s v="DELAYED"/>
    <n v="249"/>
    <n v="2"/>
    <n v="109.94"/>
    <n v="3"/>
    <s v="Footwear"/>
    <n v="6047"/>
    <s v="Asansol"/>
    <d v="2019-02-12T00:00:00"/>
    <n v="2"/>
    <n v="2019"/>
    <s v="South Asia"/>
    <x v="6"/>
    <s v="PROCESSING"/>
    <s v="PENDING"/>
    <s v="Standard Class"/>
    <n v="109.94"/>
  </r>
  <r>
    <n v="28008"/>
    <s v="PAYMENT"/>
    <n v="4"/>
    <n v="4"/>
    <s v=" ONTIME"/>
    <n v="1073"/>
    <n v="1"/>
    <n v="199.99"/>
    <n v="7"/>
    <s v="Fan Shop"/>
    <n v="3794"/>
    <s v="Nasik"/>
    <d v="2019-02-12T00:00:00"/>
    <n v="2"/>
    <n v="2019"/>
    <s v="South Asia"/>
    <x v="0"/>
    <s v="PENDING_PAYMENT"/>
    <s v="PENDING"/>
    <s v="Standard Class"/>
    <n v="199.99"/>
  </r>
  <r>
    <n v="28009"/>
    <s v="TRANSFER"/>
    <n v="5"/>
    <n v="4"/>
    <s v="DELAYED"/>
    <n v="1073"/>
    <n v="1"/>
    <n v="199.99"/>
    <n v="7"/>
    <s v="Fan Shop"/>
    <n v="8638"/>
    <s v="Nasik"/>
    <d v="2019-02-12T00:00:00"/>
    <n v="2"/>
    <n v="2019"/>
    <s v="South Asia"/>
    <x v="0"/>
    <s v="PENDING"/>
    <s v="PENDING"/>
    <s v="Standard Class"/>
    <n v="199.99"/>
  </r>
  <r>
    <n v="28016"/>
    <s v="PAYMENT"/>
    <n v="2"/>
    <n v="4"/>
    <s v=" ONTIME"/>
    <n v="1073"/>
    <n v="1"/>
    <n v="199.99"/>
    <n v="7"/>
    <s v="Fan Shop"/>
    <n v="4907"/>
    <s v="Kollam"/>
    <d v="2019-02-12T00:00:00"/>
    <n v="2"/>
    <n v="2019"/>
    <s v="South Asia"/>
    <x v="20"/>
    <s v="PENDING_PAYMENT"/>
    <s v="PENDING"/>
    <s v="Standard Class"/>
    <n v="199.99"/>
  </r>
  <r>
    <n v="28017"/>
    <s v="TRANSFER"/>
    <n v="3"/>
    <n v="4"/>
    <s v=" ONTIME"/>
    <n v="926"/>
    <n v="5"/>
    <n v="79.95"/>
    <n v="6"/>
    <s v="Outdoors"/>
    <n v="8845"/>
    <s v="Kollam"/>
    <d v="2019-02-12T00:00:00"/>
    <n v="2"/>
    <n v="2019"/>
    <s v="South Asia"/>
    <x v="20"/>
    <s v="PROCESSING"/>
    <s v="PENDING"/>
    <s v="Standard Class"/>
    <n v="79.95"/>
  </r>
  <r>
    <n v="28018"/>
    <s v="PAYMENT"/>
    <n v="1"/>
    <n v="0"/>
    <s v="DELAYED"/>
    <n v="957"/>
    <n v="1"/>
    <n v="299.98"/>
    <n v="7"/>
    <s v="Fan Shop"/>
    <n v="5974"/>
    <s v="Kollam"/>
    <d v="2019-02-12T00:00:00"/>
    <n v="2"/>
    <n v="2019"/>
    <s v="South Asia"/>
    <x v="20"/>
    <s v="PENDING_PAYMENT"/>
    <s v="PENDING"/>
    <s v="Same Day"/>
    <n v="299.98"/>
  </r>
  <r>
    <n v="28025"/>
    <s v="DEBIT"/>
    <n v="6"/>
    <n v="4"/>
    <s v="DELAYED"/>
    <n v="924"/>
    <n v="1"/>
    <n v="15.99"/>
    <n v="6"/>
    <s v="Outdoors"/>
    <n v="3421"/>
    <s v="Bhilai"/>
    <d v="2019-02-13T00:00:00"/>
    <n v="2"/>
    <n v="2019"/>
    <s v="South Asia"/>
    <x v="18"/>
    <s v="COMPLETE"/>
    <s v="COMPLETED"/>
    <s v="Standard Class"/>
    <n v="15.99"/>
  </r>
  <r>
    <n v="28033"/>
    <s v="PAYMENT"/>
    <n v="4"/>
    <n v="4"/>
    <s v=" ONTIME"/>
    <n v="191"/>
    <n v="1"/>
    <n v="99.99"/>
    <n v="3"/>
    <s v="Footwear"/>
    <n v="5040"/>
    <s v="Kanpur"/>
    <d v="2019-02-13T00:00:00"/>
    <n v="2"/>
    <n v="2019"/>
    <s v="South Asia"/>
    <x v="1"/>
    <s v="PENDING_PAYMENT"/>
    <s v="PENDING"/>
    <s v="Standard Class"/>
    <n v="99.99"/>
  </r>
  <r>
    <n v="28034"/>
    <s v="TRANSFER"/>
    <n v="5"/>
    <n v="4"/>
    <s v="DELAYED"/>
    <n v="403"/>
    <n v="1"/>
    <n v="129.99"/>
    <n v="4"/>
    <s v="Apparel"/>
    <n v="1151"/>
    <s v="Kanpur"/>
    <d v="2019-02-13T00:00:00"/>
    <n v="2"/>
    <n v="2019"/>
    <s v="South Asia"/>
    <x v="1"/>
    <s v="PROCESSING"/>
    <s v="PENDING"/>
    <s v="Standard Class"/>
    <n v="129.99"/>
  </r>
  <r>
    <n v="28035"/>
    <s v="PAYMENT"/>
    <n v="6"/>
    <n v="4"/>
    <s v="DELAYED"/>
    <n v="1004"/>
    <n v="1"/>
    <n v="399.98"/>
    <n v="7"/>
    <s v="Fan Shop"/>
    <n v="6821"/>
    <s v="Kanpur"/>
    <d v="2019-02-13T00:00:00"/>
    <n v="2"/>
    <n v="2019"/>
    <s v="South Asia"/>
    <x v="1"/>
    <s v="PENDING_PAYMENT"/>
    <s v="PENDING"/>
    <s v="Standard Class"/>
    <n v="399.98"/>
  </r>
  <r>
    <n v="28036"/>
    <s v="DEBIT"/>
    <n v="2"/>
    <n v="4"/>
    <s v=" ONTIME"/>
    <n v="403"/>
    <n v="1"/>
    <n v="129.99"/>
    <n v="4"/>
    <s v="Apparel"/>
    <n v="702"/>
    <s v="Kanpur"/>
    <d v="2019-02-13T00:00:00"/>
    <n v="2"/>
    <n v="2019"/>
    <s v="South Asia"/>
    <x v="1"/>
    <s v="COMPLETE"/>
    <s v="COMPLETED"/>
    <s v="Standard Class"/>
    <n v="129.99"/>
  </r>
  <r>
    <n v="28038"/>
    <s v="PAYMENT"/>
    <n v="4"/>
    <n v="4"/>
    <s v=" ONTIME"/>
    <n v="1073"/>
    <n v="1"/>
    <n v="199.99"/>
    <n v="7"/>
    <s v="Fan Shop"/>
    <n v="2612"/>
    <s v="Kanpur"/>
    <d v="2019-02-13T00:00:00"/>
    <n v="2"/>
    <n v="2019"/>
    <s v="South Asia"/>
    <x v="1"/>
    <s v="PENDING_PAYMENT"/>
    <s v="PENDING"/>
    <s v="Standard Class"/>
    <n v="199.99"/>
  </r>
  <r>
    <n v="28041"/>
    <s v="TRANSFER"/>
    <n v="2"/>
    <n v="2"/>
    <s v=" ONTIME"/>
    <n v="365"/>
    <n v="5"/>
    <n v="299.95"/>
    <n v="4"/>
    <s v="Apparel"/>
    <n v="11232"/>
    <s v="Kalyan"/>
    <d v="2019-02-13T00:00:00"/>
    <n v="2"/>
    <n v="2019"/>
    <s v="South Asia"/>
    <x v="0"/>
    <s v="PROCESSING"/>
    <s v="PENDING"/>
    <s v="Second Class"/>
    <n v="299.95"/>
  </r>
  <r>
    <n v="28042"/>
    <s v="DEBIT"/>
    <n v="3"/>
    <n v="2"/>
    <s v="DELAYED"/>
    <n v="957"/>
    <n v="1"/>
    <n v="299.98"/>
    <n v="7"/>
    <s v="Fan Shop"/>
    <n v="12025"/>
    <s v="Kalyan"/>
    <d v="2019-02-13T00:00:00"/>
    <n v="2"/>
    <n v="2019"/>
    <s v="South Asia"/>
    <x v="0"/>
    <s v="COMPLETE"/>
    <s v="COMPLETED"/>
    <s v="Second Class"/>
    <n v="299.98"/>
  </r>
  <r>
    <n v="28049"/>
    <s v="TRANSFER"/>
    <n v="5"/>
    <n v="4"/>
    <s v="DELAYED"/>
    <n v="885"/>
    <n v="5"/>
    <n v="124.95"/>
    <n v="6"/>
    <s v="Outdoors"/>
    <n v="6846"/>
    <s v="Guwahati"/>
    <d v="2019-02-13T00:00:00"/>
    <n v="2"/>
    <n v="2019"/>
    <s v="South Asia"/>
    <x v="9"/>
    <s v="PROCESSING"/>
    <s v="PENDING"/>
    <s v="Standard Class"/>
    <n v="124.95"/>
  </r>
  <r>
    <n v="28051"/>
    <s v="TRANSFER"/>
    <n v="2"/>
    <n v="4"/>
    <s v=" ONTIME"/>
    <n v="797"/>
    <n v="3"/>
    <n v="53.97"/>
    <n v="6"/>
    <s v="Outdoors"/>
    <n v="5104"/>
    <s v="Mumbai"/>
    <d v="2019-02-13T00:00:00"/>
    <n v="2"/>
    <n v="2019"/>
    <s v="South Asia"/>
    <x v="0"/>
    <s v="PROCESSING"/>
    <s v="PENDING"/>
    <s v="Standard Class"/>
    <n v="53.97"/>
  </r>
  <r>
    <n v="28074"/>
    <s v="DEBIT"/>
    <n v="2"/>
    <n v="1"/>
    <s v="DELAYED"/>
    <n v="502"/>
    <n v="3"/>
    <n v="150"/>
    <n v="5"/>
    <s v="Golf"/>
    <n v="2786"/>
    <s v="Visakhapatnam"/>
    <d v="2019-02-13T00:00:00"/>
    <n v="2"/>
    <n v="2019"/>
    <s v="South Asia"/>
    <x v="15"/>
    <s v="COMPLETE"/>
    <s v="COMPLETED"/>
    <s v="First Class"/>
    <n v="150"/>
  </r>
  <r>
    <n v="28075"/>
    <s v="DEBIT"/>
    <n v="2"/>
    <n v="1"/>
    <s v="DELAYED"/>
    <n v="1004"/>
    <n v="1"/>
    <n v="399.98"/>
    <n v="7"/>
    <s v="Fan Shop"/>
    <n v="1877"/>
    <s v="Visakhapatnam"/>
    <d v="2019-02-13T00:00:00"/>
    <n v="2"/>
    <n v="2019"/>
    <s v="South Asia"/>
    <x v="15"/>
    <s v="COMPLETE"/>
    <s v="COMPLETED"/>
    <s v="First Class"/>
    <n v="399.98"/>
  </r>
  <r>
    <n v="28077"/>
    <s v="PAYMENT"/>
    <n v="2"/>
    <n v="1"/>
    <s v="DELAYED"/>
    <n v="1073"/>
    <n v="1"/>
    <n v="199.99"/>
    <n v="7"/>
    <s v="Fan Shop"/>
    <n v="376"/>
    <s v="Delhi"/>
    <d v="2019-02-13T00:00:00"/>
    <n v="2"/>
    <n v="2019"/>
    <s v="South Asia"/>
    <x v="11"/>
    <s v="PENDING_PAYMENT"/>
    <s v="PENDING"/>
    <s v="First Class"/>
    <n v="199.99"/>
  </r>
  <r>
    <n v="28139"/>
    <s v="DEBIT"/>
    <n v="5"/>
    <n v="4"/>
    <s v="DELAYED"/>
    <n v="1004"/>
    <n v="1"/>
    <n v="399.98"/>
    <n v="7"/>
    <s v="Fan Shop"/>
    <n v="2906"/>
    <s v="Patna"/>
    <d v="2019-02-14T00:00:00"/>
    <n v="2"/>
    <n v="2019"/>
    <s v="South Asia"/>
    <x v="17"/>
    <s v="COMPLETE"/>
    <s v="COMPLETED"/>
    <s v="Standard Class"/>
    <n v="399.98"/>
  </r>
  <r>
    <n v="28153"/>
    <s v="DEBIT"/>
    <n v="4"/>
    <n v="2"/>
    <s v="DELAYED"/>
    <n v="924"/>
    <n v="5"/>
    <n v="79.95"/>
    <n v="6"/>
    <s v="Outdoors"/>
    <n v="3288"/>
    <s v="Agra"/>
    <d v="2019-02-14T00:00:00"/>
    <n v="2"/>
    <n v="2019"/>
    <s v="South Asia"/>
    <x v="1"/>
    <s v="COMPLETE"/>
    <s v="COMPLETED"/>
    <s v="Second Class"/>
    <n v="79.95"/>
  </r>
  <r>
    <n v="28158"/>
    <s v="CASH"/>
    <n v="4"/>
    <n v="4"/>
    <s v=" ONTIME"/>
    <n v="1014"/>
    <n v="4"/>
    <n v="199.92"/>
    <n v="7"/>
    <s v="Fan Shop"/>
    <n v="8867"/>
    <s v="Surat"/>
    <d v="2019-02-15T00:00:00"/>
    <n v="2"/>
    <n v="2019"/>
    <s v="South Asia"/>
    <x v="4"/>
    <s v="CLOSED"/>
    <s v="PENDING"/>
    <s v="Standard Class"/>
    <n v="199.92"/>
  </r>
  <r>
    <n v="28160"/>
    <s v="DEBIT"/>
    <n v="6"/>
    <n v="4"/>
    <s v="DELAYED"/>
    <n v="403"/>
    <n v="1"/>
    <n v="129.99"/>
    <n v="4"/>
    <s v="Apparel"/>
    <n v="11404"/>
    <s v="Coimbatore"/>
    <d v="2019-02-15T00:00:00"/>
    <n v="2"/>
    <n v="2019"/>
    <s v="South Asia"/>
    <x v="3"/>
    <s v="COMPLETE"/>
    <s v="COMPLETED"/>
    <s v="Standard Class"/>
    <n v="129.99"/>
  </r>
  <r>
    <n v="28161"/>
    <s v="TRANSFER"/>
    <n v="2"/>
    <n v="4"/>
    <s v=" ONTIME"/>
    <n v="1004"/>
    <n v="1"/>
    <n v="399.98"/>
    <n v="7"/>
    <s v="Fan Shop"/>
    <n v="8544"/>
    <s v="Coimbatore"/>
    <d v="2019-02-15T00:00:00"/>
    <n v="2"/>
    <n v="2019"/>
    <s v="South Asia"/>
    <x v="3"/>
    <s v="PROCESSING"/>
    <s v="PENDING"/>
    <s v="Standard Class"/>
    <n v="399.98"/>
  </r>
  <r>
    <n v="28165"/>
    <s v="PAYMENT"/>
    <n v="6"/>
    <n v="4"/>
    <s v="DELAYED"/>
    <n v="1073"/>
    <n v="1"/>
    <n v="199.99"/>
    <n v="7"/>
    <s v="Fan Shop"/>
    <n v="1163"/>
    <s v="Sangli"/>
    <d v="2019-02-15T00:00:00"/>
    <n v="2"/>
    <n v="2019"/>
    <s v="South Asia"/>
    <x v="0"/>
    <s v="PENDING_PAYMENT"/>
    <s v="PENDING"/>
    <s v="Standard Class"/>
    <n v="199.99"/>
  </r>
  <r>
    <n v="28169"/>
    <s v="DEBIT"/>
    <n v="5"/>
    <n v="4"/>
    <s v="DELAYED"/>
    <n v="403"/>
    <n v="1"/>
    <n v="129.99"/>
    <n v="4"/>
    <s v="Apparel"/>
    <n v="12305"/>
    <s v="Asansol"/>
    <d v="2019-02-15T00:00:00"/>
    <n v="2"/>
    <n v="2019"/>
    <s v="South Asia"/>
    <x v="6"/>
    <s v="COMPLETE"/>
    <s v="COMPLETED"/>
    <s v="Standard Class"/>
    <n v="129.99"/>
  </r>
  <r>
    <n v="28170"/>
    <s v="TRANSFER"/>
    <n v="6"/>
    <n v="4"/>
    <s v="DELAYED"/>
    <n v="1073"/>
    <n v="1"/>
    <n v="199.99"/>
    <n v="7"/>
    <s v="Fan Shop"/>
    <n v="7579"/>
    <s v="Kota"/>
    <d v="2019-02-15T00:00:00"/>
    <n v="2"/>
    <n v="2019"/>
    <s v="South Asia"/>
    <x v="18"/>
    <s v="PENDING"/>
    <s v="PENDING"/>
    <s v="Standard Class"/>
    <n v="199.99"/>
  </r>
  <r>
    <n v="28185"/>
    <s v="TRANSFER"/>
    <n v="6"/>
    <n v="4"/>
    <s v="DELAYED"/>
    <n v="957"/>
    <n v="1"/>
    <n v="299.98"/>
    <n v="7"/>
    <s v="Fan Shop"/>
    <n v="1058"/>
    <s v="Jodhpur"/>
    <d v="2019-02-15T00:00:00"/>
    <n v="2"/>
    <n v="2019"/>
    <s v="South Asia"/>
    <x v="4"/>
    <s v="PENDING"/>
    <s v="PENDING"/>
    <s v="Standard Class"/>
    <n v="299.98"/>
  </r>
  <r>
    <n v="28212"/>
    <s v="CASH"/>
    <n v="3"/>
    <n v="2"/>
    <s v="DELAYED"/>
    <n v="191"/>
    <n v="1"/>
    <n v="99.99"/>
    <n v="3"/>
    <s v="Footwear"/>
    <n v="10779"/>
    <s v="Kozhikode"/>
    <d v="2019-02-15T00:00:00"/>
    <n v="2"/>
    <n v="2019"/>
    <s v="South Asia"/>
    <x v="20"/>
    <s v="CLOSED"/>
    <s v="PENDING"/>
    <s v="Second Class"/>
    <n v="99.99"/>
  </r>
  <r>
    <n v="28255"/>
    <s v="PAYMENT"/>
    <n v="0"/>
    <n v="0"/>
    <s v=" ONTIME"/>
    <n v="502"/>
    <n v="2"/>
    <n v="100"/>
    <n v="5"/>
    <s v="Golf"/>
    <n v="3162"/>
    <s v="Tirunelveli"/>
    <d v="2019-02-16T00:00:00"/>
    <n v="2"/>
    <n v="2019"/>
    <s v="South Asia"/>
    <x v="3"/>
    <s v="PENDING_PAYMENT"/>
    <s v="PENDING"/>
    <s v="Same Day"/>
    <n v="100"/>
  </r>
  <r>
    <n v="28279"/>
    <s v="TRANSFER"/>
    <n v="1"/>
    <n v="0"/>
    <s v="DELAYED"/>
    <n v="1014"/>
    <n v="4"/>
    <n v="199.92"/>
    <n v="7"/>
    <s v="Fan Shop"/>
    <n v="7640"/>
    <s v="Hyderabad"/>
    <d v="2019-02-16T00:00:00"/>
    <n v="2"/>
    <n v="2019"/>
    <s v="South Asia"/>
    <x v="7"/>
    <s v="PROCESSING"/>
    <s v="PENDING"/>
    <s v="Same Day"/>
    <n v="199.92"/>
  </r>
  <r>
    <n v="28280"/>
    <s v="PAYMENT"/>
    <n v="6"/>
    <n v="2"/>
    <s v="DELAYED"/>
    <n v="365"/>
    <n v="2"/>
    <n v="119.98"/>
    <n v="4"/>
    <s v="Apparel"/>
    <n v="1682"/>
    <s v="Hyderabad"/>
    <d v="2019-02-16T00:00:00"/>
    <n v="2"/>
    <n v="2019"/>
    <s v="South Asia"/>
    <x v="7"/>
    <s v="PENDING_PAYMENT"/>
    <s v="PENDING"/>
    <s v="Second Class"/>
    <n v="119.98"/>
  </r>
  <r>
    <n v="28281"/>
    <s v="CASH"/>
    <n v="2"/>
    <n v="2"/>
    <s v=" ONTIME"/>
    <n v="403"/>
    <n v="1"/>
    <n v="129.99"/>
    <n v="4"/>
    <s v="Apparel"/>
    <n v="4225"/>
    <s v="Hyderabad"/>
    <d v="2019-02-16T00:00:00"/>
    <n v="2"/>
    <n v="2019"/>
    <s v="South Asia"/>
    <x v="7"/>
    <s v="CLOSED"/>
    <s v="PENDING"/>
    <s v="Second Class"/>
    <n v="129.99"/>
  </r>
  <r>
    <n v="28282"/>
    <s v="DEBIT"/>
    <n v="3"/>
    <n v="2"/>
    <s v="DELAYED"/>
    <n v="1073"/>
    <n v="1"/>
    <n v="199.99"/>
    <n v="7"/>
    <s v="Fan Shop"/>
    <n v="11901"/>
    <s v="Hyderabad"/>
    <d v="2019-02-16T00:00:00"/>
    <n v="2"/>
    <n v="2019"/>
    <s v="South Asia"/>
    <x v="7"/>
    <s v="COMPLETE"/>
    <s v="COMPLETED"/>
    <s v="Second Class"/>
    <n v="199.99"/>
  </r>
  <r>
    <n v="28291"/>
    <s v="PAYMENT"/>
    <n v="2"/>
    <n v="1"/>
    <s v="DELAYED"/>
    <n v="1014"/>
    <n v="5"/>
    <n v="249.9"/>
    <n v="7"/>
    <s v="Fan Shop"/>
    <n v="3218"/>
    <s v="Aurangabad"/>
    <d v="2019-02-16T00:00:00"/>
    <n v="2"/>
    <n v="2019"/>
    <s v="South Asia"/>
    <x v="17"/>
    <s v="PENDING_PAYMENT"/>
    <s v="PENDING"/>
    <s v="First Class"/>
    <n v="249.9"/>
  </r>
  <r>
    <n v="28292"/>
    <s v="PAYMENT"/>
    <n v="3"/>
    <n v="2"/>
    <s v="DELAYED"/>
    <n v="924"/>
    <n v="3"/>
    <n v="47.97"/>
    <n v="6"/>
    <s v="Outdoors"/>
    <n v="10533"/>
    <s v="Aurangabad"/>
    <d v="2019-02-16T00:00:00"/>
    <n v="2"/>
    <n v="2019"/>
    <s v="South Asia"/>
    <x v="17"/>
    <s v="PENDING_PAYMENT"/>
    <s v="PENDING"/>
    <s v="Second Class"/>
    <n v="47.97"/>
  </r>
  <r>
    <n v="28294"/>
    <s v="DEBIT"/>
    <n v="5"/>
    <n v="4"/>
    <s v="DELAYED"/>
    <n v="957"/>
    <n v="1"/>
    <n v="299.98"/>
    <n v="7"/>
    <s v="Fan Shop"/>
    <n v="255"/>
    <s v="Rajkot"/>
    <d v="2019-02-17T00:00:00"/>
    <n v="2"/>
    <n v="2019"/>
    <s v="South Asia"/>
    <x v="4"/>
    <s v="COMPLETE"/>
    <s v="COMPLETED"/>
    <s v="Standard Class"/>
    <n v="299.98"/>
  </r>
  <r>
    <n v="28296"/>
    <s v="TRANSFER"/>
    <n v="2"/>
    <n v="4"/>
    <s v=" ONTIME"/>
    <n v="1073"/>
    <n v="1"/>
    <n v="199.99"/>
    <n v="7"/>
    <s v="Fan Shop"/>
    <n v="43"/>
    <s v="Hyderabad"/>
    <d v="2019-02-17T00:00:00"/>
    <n v="2"/>
    <n v="2019"/>
    <s v="South Asia"/>
    <x v="7"/>
    <s v="PENDING"/>
    <s v="PENDING"/>
    <s v="Standard Class"/>
    <n v="199.99"/>
  </r>
  <r>
    <n v="28317"/>
    <s v="PAYMENT"/>
    <n v="3"/>
    <n v="4"/>
    <s v=" ONTIME"/>
    <n v="365"/>
    <n v="2"/>
    <n v="119.98"/>
    <n v="4"/>
    <s v="Apparel"/>
    <n v="3202"/>
    <s v="Patna"/>
    <d v="2019-02-17T00:00:00"/>
    <n v="2"/>
    <n v="2019"/>
    <s v="South Asia"/>
    <x v="17"/>
    <s v="PENDING_PAYMENT"/>
    <s v="PENDING"/>
    <s v="Standard Class"/>
    <n v="119.98"/>
  </r>
  <r>
    <n v="28318"/>
    <s v="DEBIT"/>
    <n v="4"/>
    <n v="4"/>
    <s v=" ONTIME"/>
    <n v="1014"/>
    <n v="4"/>
    <n v="199.92"/>
    <n v="7"/>
    <s v="Fan Shop"/>
    <n v="3413"/>
    <s v="Patna"/>
    <d v="2019-02-17T00:00:00"/>
    <n v="2"/>
    <n v="2019"/>
    <s v="South Asia"/>
    <x v="17"/>
    <s v="COMPLETE"/>
    <s v="COMPLETED"/>
    <s v="Standard Class"/>
    <n v="199.92"/>
  </r>
  <r>
    <n v="28329"/>
    <s v="DEBIT"/>
    <n v="5"/>
    <n v="2"/>
    <s v="DELAYED"/>
    <n v="403"/>
    <n v="1"/>
    <n v="129.99"/>
    <n v="4"/>
    <s v="Apparel"/>
    <n v="4212"/>
    <s v="Thanjavur"/>
    <d v="2019-02-17T00:00:00"/>
    <n v="2"/>
    <n v="2019"/>
    <s v="South Asia"/>
    <x v="3"/>
    <s v="COMPLETE"/>
    <s v="COMPLETED"/>
    <s v="Second Class"/>
    <n v="129.99"/>
  </r>
  <r>
    <n v="28330"/>
    <s v="CASH"/>
    <n v="6"/>
    <n v="4"/>
    <s v="DELAYED"/>
    <n v="823"/>
    <n v="3"/>
    <n v="155.97"/>
    <n v="6"/>
    <s v="Outdoors"/>
    <n v="1640"/>
    <s v="Thanjavur"/>
    <d v="2019-02-17T00:00:00"/>
    <n v="2"/>
    <n v="2019"/>
    <s v="South Asia"/>
    <x v="3"/>
    <s v="CLOSED"/>
    <s v="PENDING"/>
    <s v="Standard Class"/>
    <n v="155.97"/>
  </r>
  <r>
    <n v="28331"/>
    <s v="DEBIT"/>
    <n v="2"/>
    <n v="4"/>
    <s v=" ONTIME"/>
    <n v="1014"/>
    <n v="1"/>
    <n v="49.98"/>
    <n v="7"/>
    <s v="Fan Shop"/>
    <n v="8386"/>
    <s v="Thanjavur"/>
    <d v="2019-02-17T00:00:00"/>
    <n v="2"/>
    <n v="2019"/>
    <s v="South Asia"/>
    <x v="3"/>
    <s v="ON_HOLD"/>
    <s v="PENDING"/>
    <s v="Standard Class"/>
    <n v="49.98"/>
  </r>
  <r>
    <n v="28332"/>
    <s v="DEBIT"/>
    <n v="3"/>
    <n v="4"/>
    <s v=" ONTIME"/>
    <n v="365"/>
    <n v="4"/>
    <n v="239.96"/>
    <n v="4"/>
    <s v="Apparel"/>
    <n v="11758"/>
    <s v="Indore"/>
    <d v="2019-02-17T00:00:00"/>
    <n v="2"/>
    <n v="2019"/>
    <s v="South Asia"/>
    <x v="14"/>
    <s v="COMPLETE"/>
    <s v="COMPLETED"/>
    <s v="Standard Class"/>
    <n v="239.96"/>
  </r>
  <r>
    <n v="28333"/>
    <s v="DEBIT"/>
    <n v="4"/>
    <n v="4"/>
    <s v=" ONTIME"/>
    <n v="957"/>
    <n v="1"/>
    <n v="299.98"/>
    <n v="7"/>
    <s v="Fan Shop"/>
    <n v="3745"/>
    <s v="Indore"/>
    <d v="2019-02-17T00:00:00"/>
    <n v="2"/>
    <n v="2019"/>
    <s v="South Asia"/>
    <x v="14"/>
    <s v="COMPLETE"/>
    <s v="COMPLETED"/>
    <s v="Standard Class"/>
    <n v="299.98"/>
  </r>
  <r>
    <n v="28334"/>
    <s v="DEBIT"/>
    <n v="5"/>
    <n v="4"/>
    <s v="DELAYED"/>
    <n v="403"/>
    <n v="1"/>
    <n v="129.99"/>
    <n v="4"/>
    <s v="Apparel"/>
    <n v="6430"/>
    <s v="Indore"/>
    <d v="2019-02-17T00:00:00"/>
    <n v="2"/>
    <n v="2019"/>
    <s v="South Asia"/>
    <x v="14"/>
    <s v="COMPLETE"/>
    <s v="COMPLETED"/>
    <s v="Standard Class"/>
    <n v="129.99"/>
  </r>
  <r>
    <n v="28336"/>
    <s v="PAYMENT"/>
    <n v="2"/>
    <n v="2"/>
    <s v=" ONTIME"/>
    <n v="403"/>
    <n v="1"/>
    <n v="129.99"/>
    <n v="4"/>
    <s v="Apparel"/>
    <n v="7634"/>
    <s v="Bhiwandi"/>
    <d v="2019-02-17T00:00:00"/>
    <n v="2"/>
    <n v="2019"/>
    <s v="South Asia"/>
    <x v="0"/>
    <s v="PENDING_PAYMENT"/>
    <s v="PENDING"/>
    <s v="Second Class"/>
    <n v="129.99"/>
  </r>
  <r>
    <n v="28337"/>
    <s v="PAYMENT"/>
    <n v="3"/>
    <n v="2"/>
    <s v="DELAYED"/>
    <n v="403"/>
    <n v="1"/>
    <n v="129.99"/>
    <n v="4"/>
    <s v="Apparel"/>
    <n v="1971"/>
    <s v="Bhiwandi"/>
    <d v="2019-02-17T00:00:00"/>
    <n v="2"/>
    <n v="2019"/>
    <s v="South Asia"/>
    <x v="0"/>
    <s v="PENDING_PAYMENT"/>
    <s v="PENDING"/>
    <s v="Second Class"/>
    <n v="129.99"/>
  </r>
  <r>
    <n v="28344"/>
    <s v="TRANSFER"/>
    <n v="2"/>
    <n v="1"/>
    <s v="DELAYED"/>
    <n v="502"/>
    <n v="2"/>
    <n v="100"/>
    <n v="5"/>
    <s v="Golf"/>
    <n v="972"/>
    <s v="Gorakhpur"/>
    <d v="2019-02-17T00:00:00"/>
    <n v="2"/>
    <n v="2019"/>
    <s v="South Asia"/>
    <x v="1"/>
    <s v="CANCELED"/>
    <s v="CANCELED"/>
    <s v="First Class"/>
    <n v="100"/>
  </r>
  <r>
    <n v="28345"/>
    <s v="DEBIT"/>
    <n v="6"/>
    <n v="4"/>
    <s v="DELAYED"/>
    <n v="365"/>
    <n v="1"/>
    <n v="59.99"/>
    <n v="4"/>
    <s v="Apparel"/>
    <n v="5817"/>
    <s v="Gorakhpur"/>
    <d v="2019-02-17T00:00:00"/>
    <n v="2"/>
    <n v="2019"/>
    <s v="South Asia"/>
    <x v="1"/>
    <s v="COMPLETE"/>
    <s v="COMPLETED"/>
    <s v="Standard Class"/>
    <n v="59.99"/>
  </r>
  <r>
    <n v="28346"/>
    <s v="PAYMENT"/>
    <n v="2"/>
    <n v="4"/>
    <s v=" ONTIME"/>
    <n v="1073"/>
    <n v="1"/>
    <n v="199.99"/>
    <n v="7"/>
    <s v="Fan Shop"/>
    <n v="1936"/>
    <s v="Gorakhpur"/>
    <d v="2019-02-17T00:00:00"/>
    <n v="2"/>
    <n v="2019"/>
    <s v="South Asia"/>
    <x v="1"/>
    <s v="PENDING_PAYMENT"/>
    <s v="PENDING"/>
    <s v="Standard Class"/>
    <n v="199.99"/>
  </r>
  <r>
    <n v="28347"/>
    <s v="PAYMENT"/>
    <n v="3"/>
    <n v="4"/>
    <s v=" ONTIME"/>
    <n v="957"/>
    <n v="1"/>
    <n v="299.98"/>
    <n v="7"/>
    <s v="Fan Shop"/>
    <n v="8579"/>
    <s v="Gorakhpur"/>
    <d v="2019-02-17T00:00:00"/>
    <n v="2"/>
    <n v="2019"/>
    <s v="South Asia"/>
    <x v="1"/>
    <s v="PAYMENT_REVIEW"/>
    <s v="PENDING"/>
    <s v="Standard Class"/>
    <n v="299.98"/>
  </r>
  <r>
    <n v="28364"/>
    <s v="PAYMENT"/>
    <n v="5"/>
    <n v="4"/>
    <s v="DELAYED"/>
    <n v="627"/>
    <n v="5"/>
    <n v="199.95"/>
    <n v="5"/>
    <s v="Golf"/>
    <n v="1940"/>
    <s v="Allahabad"/>
    <d v="2019-02-18T00:00:00"/>
    <n v="2"/>
    <n v="2019"/>
    <s v="South Asia"/>
    <x v="1"/>
    <s v="PENDING_PAYMENT"/>
    <s v="PENDING"/>
    <s v="Standard Class"/>
    <n v="199.95"/>
  </r>
  <r>
    <n v="28376"/>
    <s v="TRANSFER"/>
    <n v="2"/>
    <n v="2"/>
    <s v=" ONTIME"/>
    <n v="1073"/>
    <n v="1"/>
    <n v="199.99"/>
    <n v="7"/>
    <s v="Fan Shop"/>
    <n v="6163"/>
    <s v="Delhi"/>
    <d v="2019-02-18T00:00:00"/>
    <n v="2"/>
    <n v="2019"/>
    <s v="South Asia"/>
    <x v="11"/>
    <s v="PENDING"/>
    <s v="PENDING"/>
    <s v="Second Class"/>
    <n v="199.99"/>
  </r>
  <r>
    <n v="28381"/>
    <s v="TRANSFER"/>
    <n v="2"/>
    <n v="2"/>
    <s v=" ONTIME"/>
    <n v="1073"/>
    <n v="1"/>
    <n v="199.99"/>
    <n v="7"/>
    <s v="Fan Shop"/>
    <n v="6074"/>
    <s v="Asansol"/>
    <d v="2019-02-18T00:00:00"/>
    <n v="2"/>
    <n v="2019"/>
    <s v="South Asia"/>
    <x v="6"/>
    <s v="PROCESSING"/>
    <s v="PENDING"/>
    <s v="Second Class"/>
    <n v="199.99"/>
  </r>
  <r>
    <n v="28382"/>
    <s v="TRANSFER"/>
    <n v="3"/>
    <n v="4"/>
    <s v=" ONTIME"/>
    <n v="627"/>
    <n v="5"/>
    <n v="199.95"/>
    <n v="5"/>
    <s v="Golf"/>
    <n v="6637"/>
    <s v="Asansol"/>
    <d v="2019-02-18T00:00:00"/>
    <n v="2"/>
    <n v="2019"/>
    <s v="South Asia"/>
    <x v="6"/>
    <s v="SUSPECTED_FRAUD"/>
    <s v="PENDING"/>
    <s v="Standard Class"/>
    <n v="199.95"/>
  </r>
  <r>
    <n v="28385"/>
    <s v="PAYMENT"/>
    <n v="6"/>
    <n v="2"/>
    <s v="DELAYED"/>
    <n v="365"/>
    <n v="1"/>
    <n v="59.99"/>
    <n v="4"/>
    <s v="Apparel"/>
    <n v="8603"/>
    <s v="Mumbai"/>
    <d v="2019-02-18T00:00:00"/>
    <n v="2"/>
    <n v="2019"/>
    <s v="South Asia"/>
    <x v="0"/>
    <s v="PENDING_PAYMENT"/>
    <s v="PENDING"/>
    <s v="Second Class"/>
    <n v="59.99"/>
  </r>
  <r>
    <n v="28387"/>
    <s v="DEBIT"/>
    <n v="3"/>
    <n v="4"/>
    <s v=" ONTIME"/>
    <n v="957"/>
    <n v="1"/>
    <n v="299.98"/>
    <n v="7"/>
    <s v="Fan Shop"/>
    <n v="439"/>
    <s v="Raipur"/>
    <d v="2019-02-18T00:00:00"/>
    <n v="2"/>
    <n v="2019"/>
    <s v="South Asia"/>
    <x v="19"/>
    <s v="COMPLETE"/>
    <s v="COMPLETED"/>
    <s v="Standard Class"/>
    <n v="299.98"/>
  </r>
  <r>
    <n v="28388"/>
    <s v="DEBIT"/>
    <n v="4"/>
    <n v="2"/>
    <s v="DELAYED"/>
    <n v="403"/>
    <n v="1"/>
    <n v="129.99"/>
    <n v="4"/>
    <s v="Apparel"/>
    <n v="2877"/>
    <s v="Raipur"/>
    <d v="2019-02-18T00:00:00"/>
    <n v="2"/>
    <n v="2019"/>
    <s v="South Asia"/>
    <x v="19"/>
    <s v="COMPLETE"/>
    <s v="COMPLETED"/>
    <s v="Second Class"/>
    <n v="129.99"/>
  </r>
  <r>
    <n v="28390"/>
    <s v="TRANSFER"/>
    <n v="6"/>
    <n v="2"/>
    <s v="DELAYED"/>
    <n v="502"/>
    <n v="2"/>
    <n v="100"/>
    <n v="5"/>
    <s v="Golf"/>
    <n v="7260"/>
    <s v="Jabalpur"/>
    <d v="2019-02-18T00:00:00"/>
    <n v="2"/>
    <n v="2019"/>
    <s v="South Asia"/>
    <x v="14"/>
    <s v="PENDING"/>
    <s v="PENDING"/>
    <s v="Second Class"/>
    <n v="100"/>
  </r>
  <r>
    <n v="28391"/>
    <s v="DEBIT"/>
    <n v="2"/>
    <n v="2"/>
    <s v=" ONTIME"/>
    <n v="1014"/>
    <n v="3"/>
    <n v="149.94"/>
    <n v="7"/>
    <s v="Fan Shop"/>
    <n v="5217"/>
    <s v="Darbhanga"/>
    <d v="2019-02-18T00:00:00"/>
    <n v="2"/>
    <n v="2019"/>
    <s v="South Asia"/>
    <x v="17"/>
    <s v="COMPLETE"/>
    <s v="COMPLETED"/>
    <s v="Second Class"/>
    <n v="149.94"/>
  </r>
  <r>
    <n v="28392"/>
    <s v="CASH"/>
    <n v="3"/>
    <n v="4"/>
    <s v=" ONTIME"/>
    <n v="957"/>
    <n v="1"/>
    <n v="299.98"/>
    <n v="7"/>
    <s v="Fan Shop"/>
    <n v="4026"/>
    <s v="Darbhanga"/>
    <d v="2019-02-18T00:00:00"/>
    <n v="2"/>
    <n v="2019"/>
    <s v="South Asia"/>
    <x v="17"/>
    <s v="CLOSED"/>
    <s v="PENDING"/>
    <s v="Standard Class"/>
    <n v="299.98"/>
  </r>
  <r>
    <n v="28424"/>
    <s v="DEBIT"/>
    <n v="2"/>
    <n v="1"/>
    <s v="DELAYED"/>
    <n v="1073"/>
    <n v="1"/>
    <n v="199.99"/>
    <n v="7"/>
    <s v="Fan Shop"/>
    <n v="9693"/>
    <s v="Saharanpur"/>
    <d v="2019-02-18T00:00:00"/>
    <n v="2"/>
    <n v="2019"/>
    <s v="South Asia"/>
    <x v="1"/>
    <s v="ON_HOLD"/>
    <s v="PENDING"/>
    <s v="First Class"/>
    <n v="199.99"/>
  </r>
  <r>
    <n v="28425"/>
    <s v="PAYMENT"/>
    <n v="2"/>
    <n v="1"/>
    <s v="DELAYED"/>
    <n v="403"/>
    <n v="1"/>
    <n v="129.99"/>
    <n v="4"/>
    <s v="Apparel"/>
    <n v="7192"/>
    <s v="Saharanpur"/>
    <d v="2019-02-18T00:00:00"/>
    <n v="2"/>
    <n v="2019"/>
    <s v="South Asia"/>
    <x v="1"/>
    <s v="PENDING_PAYMENT"/>
    <s v="PENDING"/>
    <s v="First Class"/>
    <n v="129.99"/>
  </r>
  <r>
    <n v="28427"/>
    <s v="DEBIT"/>
    <n v="2"/>
    <n v="1"/>
    <s v="DELAYED"/>
    <n v="116"/>
    <n v="1"/>
    <n v="44.99"/>
    <n v="2"/>
    <s v="Fitness"/>
    <n v="12396"/>
    <s v="Dehra Dun"/>
    <d v="2019-02-18T00:00:00"/>
    <n v="2"/>
    <n v="2019"/>
    <s v="South Asia"/>
    <x v="19"/>
    <s v="COMPLETE"/>
    <s v="COMPLETED"/>
    <s v="First Class"/>
    <n v="44.99"/>
  </r>
  <r>
    <n v="28428"/>
    <s v="DEBIT"/>
    <n v="2"/>
    <n v="1"/>
    <s v="DELAYED"/>
    <n v="403"/>
    <n v="1"/>
    <n v="129.99"/>
    <n v="4"/>
    <s v="Apparel"/>
    <n v="7684"/>
    <s v="Fatehpur"/>
    <d v="2019-02-18T00:00:00"/>
    <n v="2"/>
    <n v="2019"/>
    <s v="South Asia"/>
    <x v="2"/>
    <s v="COMPLETE"/>
    <s v="COMPLETED"/>
    <s v="First Class"/>
    <n v="129.99"/>
  </r>
  <r>
    <n v="28430"/>
    <s v="DEBIT"/>
    <n v="6"/>
    <n v="4"/>
    <s v="DELAYED"/>
    <n v="565"/>
    <n v="4"/>
    <n v="280"/>
    <n v="5"/>
    <s v="Golf"/>
    <n v="7747"/>
    <s v="Fatehpur"/>
    <d v="2019-02-18T00:00:00"/>
    <n v="2"/>
    <n v="2019"/>
    <s v="South Asia"/>
    <x v="2"/>
    <s v="COMPLETE"/>
    <s v="COMPLETED"/>
    <s v="Standard Class"/>
    <n v="280"/>
  </r>
  <r>
    <n v="28443"/>
    <s v="DEBIT"/>
    <n v="4"/>
    <n v="2"/>
    <s v="DELAYED"/>
    <n v="403"/>
    <n v="1"/>
    <n v="129.99"/>
    <n v="4"/>
    <s v="Apparel"/>
    <n v="10721"/>
    <s v="Varanasi"/>
    <d v="2019-02-19T00:00:00"/>
    <n v="2"/>
    <n v="2019"/>
    <s v="South Asia"/>
    <x v="1"/>
    <s v="COMPLETE"/>
    <s v="COMPLETED"/>
    <s v="Second Class"/>
    <n v="129.99"/>
  </r>
  <r>
    <n v="28444"/>
    <s v="CASH"/>
    <n v="5"/>
    <n v="4"/>
    <s v="DELAYED"/>
    <n v="403"/>
    <n v="1"/>
    <n v="129.99"/>
    <n v="4"/>
    <s v="Apparel"/>
    <n v="11542"/>
    <s v="Varanasi"/>
    <d v="2019-02-19T00:00:00"/>
    <n v="2"/>
    <n v="2019"/>
    <s v="South Asia"/>
    <x v="1"/>
    <s v="CLOSED"/>
    <s v="PENDING"/>
    <s v="Standard Class"/>
    <n v="129.99"/>
  </r>
  <r>
    <n v="28458"/>
    <s v="PAYMENT"/>
    <n v="4"/>
    <n v="4"/>
    <s v=" ONTIME"/>
    <n v="957"/>
    <n v="1"/>
    <n v="299.98"/>
    <n v="7"/>
    <s v="Fan Shop"/>
    <n v="2783"/>
    <s v="Moradabad"/>
    <d v="2019-02-19T00:00:00"/>
    <n v="2"/>
    <n v="2019"/>
    <s v="South Asia"/>
    <x v="1"/>
    <s v="PENDING_PAYMENT"/>
    <s v="PENDING"/>
    <s v="Standard Class"/>
    <n v="299.98"/>
  </r>
  <r>
    <n v="28459"/>
    <s v="DEBIT"/>
    <n v="5"/>
    <n v="4"/>
    <s v="DELAYED"/>
    <n v="365"/>
    <n v="1"/>
    <n v="59.99"/>
    <n v="4"/>
    <s v="Apparel"/>
    <n v="2280"/>
    <s v="Nagpur"/>
    <d v="2019-02-19T00:00:00"/>
    <n v="2"/>
    <n v="2019"/>
    <s v="South Asia"/>
    <x v="0"/>
    <s v="COMPLETE"/>
    <s v="COMPLETED"/>
    <s v="Standard Class"/>
    <n v="59.99"/>
  </r>
  <r>
    <n v="28480"/>
    <s v="TRANSFER"/>
    <n v="6"/>
    <n v="4"/>
    <s v="DELAYED"/>
    <n v="502"/>
    <n v="1"/>
    <n v="50"/>
    <n v="5"/>
    <s v="Golf"/>
    <n v="8157"/>
    <s v="Mumbai"/>
    <d v="2019-02-19T00:00:00"/>
    <n v="2"/>
    <n v="2019"/>
    <s v="South Asia"/>
    <x v="0"/>
    <s v="PENDING"/>
    <s v="PENDING"/>
    <s v="Standard Class"/>
    <n v="50"/>
  </r>
  <r>
    <n v="28481"/>
    <s v="TRANSFER"/>
    <n v="2"/>
    <n v="1"/>
    <s v="DELAYED"/>
    <n v="365"/>
    <n v="5"/>
    <n v="299.95"/>
    <n v="4"/>
    <s v="Apparel"/>
    <n v="12028"/>
    <s v="Mumbai"/>
    <d v="2019-02-19T00:00:00"/>
    <n v="2"/>
    <n v="2019"/>
    <s v="South Asia"/>
    <x v="0"/>
    <s v="SUSPECTED_FRAUD"/>
    <s v="PENDING"/>
    <s v="First Class"/>
    <n v="299.95"/>
  </r>
  <r>
    <n v="28484"/>
    <s v="TRANSFER"/>
    <n v="5"/>
    <n v="4"/>
    <s v="DELAYED"/>
    <n v="1073"/>
    <n v="1"/>
    <n v="199.99"/>
    <n v="7"/>
    <s v="Fan Shop"/>
    <n v="5618"/>
    <s v="Mumbai"/>
    <d v="2019-02-19T00:00:00"/>
    <n v="2"/>
    <n v="2019"/>
    <s v="South Asia"/>
    <x v="0"/>
    <s v="PROCESSING"/>
    <s v="PENDING"/>
    <s v="Standard Class"/>
    <n v="199.99"/>
  </r>
  <r>
    <n v="28485"/>
    <s v="PAYMENT"/>
    <n v="6"/>
    <n v="4"/>
    <s v="DELAYED"/>
    <n v="825"/>
    <n v="1"/>
    <n v="31.99"/>
    <n v="6"/>
    <s v="Outdoors"/>
    <n v="9352"/>
    <s v="Mumbai"/>
    <d v="2019-02-19T00:00:00"/>
    <n v="2"/>
    <n v="2019"/>
    <s v="South Asia"/>
    <x v="0"/>
    <s v="PENDING_PAYMENT"/>
    <s v="PENDING"/>
    <s v="Standard Class"/>
    <n v="31.99"/>
  </r>
  <r>
    <n v="28486"/>
    <s v="TRANSFER"/>
    <n v="2"/>
    <n v="2"/>
    <s v=" ONTIME"/>
    <n v="792"/>
    <n v="2"/>
    <n v="29.98"/>
    <n v="6"/>
    <s v="Outdoors"/>
    <n v="400"/>
    <s v="Mumbai"/>
    <d v="2019-02-19T00:00:00"/>
    <n v="2"/>
    <n v="2019"/>
    <s v="South Asia"/>
    <x v="0"/>
    <s v="PROCESSING"/>
    <s v="PENDING"/>
    <s v="Second Class"/>
    <n v="29.98"/>
  </r>
  <r>
    <n v="28487"/>
    <s v="TRANSFER"/>
    <n v="3"/>
    <n v="2"/>
    <s v="DELAYED"/>
    <n v="957"/>
    <n v="1"/>
    <n v="299.98"/>
    <n v="7"/>
    <s v="Fan Shop"/>
    <n v="3929"/>
    <s v="Mumbai"/>
    <d v="2019-02-19T00:00:00"/>
    <n v="2"/>
    <n v="2019"/>
    <s v="South Asia"/>
    <x v="0"/>
    <s v="CANCELED"/>
    <s v="CANCELED"/>
    <s v="Second Class"/>
    <n v="299.98"/>
  </r>
  <r>
    <n v="28491"/>
    <s v="DEBIT"/>
    <n v="2"/>
    <n v="4"/>
    <s v=" ONTIME"/>
    <n v="502"/>
    <n v="1"/>
    <n v="50"/>
    <n v="5"/>
    <s v="Golf"/>
    <n v="11725"/>
    <s v="Visakhapatnam"/>
    <d v="2019-02-19T00:00:00"/>
    <n v="2"/>
    <n v="2019"/>
    <s v="South Asia"/>
    <x v="15"/>
    <s v="COMPLETE"/>
    <s v="COMPLETED"/>
    <s v="Standard Class"/>
    <n v="50"/>
  </r>
  <r>
    <n v="28492"/>
    <s v="TRANSFER"/>
    <n v="3"/>
    <n v="4"/>
    <s v=" ONTIME"/>
    <n v="365"/>
    <n v="3"/>
    <n v="179.97"/>
    <n v="4"/>
    <s v="Apparel"/>
    <n v="1886"/>
    <s v="Visakhapatnam"/>
    <d v="2019-02-19T00:00:00"/>
    <n v="2"/>
    <n v="2019"/>
    <s v="South Asia"/>
    <x v="15"/>
    <s v="CANCELED"/>
    <s v="CANCELED"/>
    <s v="Standard Class"/>
    <n v="179.97"/>
  </r>
  <r>
    <n v="28503"/>
    <s v="PAYMENT"/>
    <n v="4"/>
    <n v="2"/>
    <s v="DELAYED"/>
    <n v="1073"/>
    <n v="1"/>
    <n v="199.99"/>
    <n v="7"/>
    <s v="Fan Shop"/>
    <n v="7680"/>
    <s v="Mumbai"/>
    <d v="2019-02-20T00:00:00"/>
    <n v="2"/>
    <n v="2019"/>
    <s v="South Asia"/>
    <x v="0"/>
    <s v="PENDING_PAYMENT"/>
    <s v="PENDING"/>
    <s v="Second Class"/>
    <n v="199.99"/>
  </r>
  <r>
    <n v="28511"/>
    <s v="CASH"/>
    <n v="2"/>
    <n v="4"/>
    <s v=" ONTIME"/>
    <n v="1004"/>
    <n v="1"/>
    <n v="399.98"/>
    <n v="7"/>
    <s v="Fan Shop"/>
    <n v="2769"/>
    <s v="Belgaum"/>
    <d v="2019-02-20T00:00:00"/>
    <n v="2"/>
    <n v="2019"/>
    <s v="South Asia"/>
    <x v="8"/>
    <s v="CLOSED"/>
    <s v="PENDING"/>
    <s v="Standard Class"/>
    <n v="399.98"/>
  </r>
  <r>
    <n v="28512"/>
    <s v="PAYMENT"/>
    <n v="0"/>
    <n v="0"/>
    <s v=" ONTIME"/>
    <n v="957"/>
    <n v="1"/>
    <n v="299.98"/>
    <n v="7"/>
    <s v="Fan Shop"/>
    <n v="833"/>
    <s v="Belgaum"/>
    <d v="2019-02-20T00:00:00"/>
    <n v="2"/>
    <n v="2019"/>
    <s v="South Asia"/>
    <x v="8"/>
    <s v="PENDING_PAYMENT"/>
    <s v="PENDING"/>
    <s v="Same Day"/>
    <n v="299.98"/>
  </r>
  <r>
    <n v="28521"/>
    <s v="CASH"/>
    <n v="0"/>
    <n v="0"/>
    <s v=" ONTIME"/>
    <n v="1073"/>
    <n v="1"/>
    <n v="199.99"/>
    <n v="7"/>
    <s v="Fan Shop"/>
    <n v="12258"/>
    <s v="Mumbai"/>
    <d v="2019-02-20T00:00:00"/>
    <n v="2"/>
    <n v="2019"/>
    <s v="South Asia"/>
    <x v="0"/>
    <s v="CLOSED"/>
    <s v="PENDING"/>
    <s v="Same Day"/>
    <n v="199.99"/>
  </r>
  <r>
    <n v="28537"/>
    <s v="CASH"/>
    <n v="3"/>
    <n v="4"/>
    <s v=" ONTIME"/>
    <n v="191"/>
    <n v="1"/>
    <n v="99.99"/>
    <n v="3"/>
    <s v="Footwear"/>
    <n v="4125"/>
    <s v="Delhi"/>
    <d v="2019-02-20T00:00:00"/>
    <n v="2"/>
    <n v="2019"/>
    <s v="South Asia"/>
    <x v="11"/>
    <s v="CLOSED"/>
    <s v="PENDING"/>
    <s v="Standard Class"/>
    <n v="99.99"/>
  </r>
  <r>
    <n v="28552"/>
    <s v="DEBIT"/>
    <n v="3"/>
    <n v="4"/>
    <s v=" ONTIME"/>
    <n v="191"/>
    <n v="3"/>
    <n v="299.97000000000003"/>
    <n v="3"/>
    <s v="Footwear"/>
    <n v="2775"/>
    <s v="Jalna"/>
    <d v="2019-02-20T00:00:00"/>
    <n v="2"/>
    <n v="2019"/>
    <s v="South Asia"/>
    <x v="0"/>
    <s v="COMPLETE"/>
    <s v="COMPLETED"/>
    <s v="Standard Class"/>
    <n v="299.97000000000003"/>
  </r>
  <r>
    <n v="28553"/>
    <s v="DEBIT"/>
    <n v="4"/>
    <n v="4"/>
    <s v=" ONTIME"/>
    <n v="703"/>
    <n v="2"/>
    <n v="39.979999999999997"/>
    <n v="6"/>
    <s v="Outdoors"/>
    <n v="5783"/>
    <s v="Jalna"/>
    <d v="2019-02-20T00:00:00"/>
    <n v="2"/>
    <n v="2019"/>
    <s v="South Asia"/>
    <x v="0"/>
    <s v="COMPLETE"/>
    <s v="COMPLETED"/>
    <s v="Standard Class"/>
    <n v="39.979999999999997"/>
  </r>
  <r>
    <n v="28554"/>
    <s v="PAYMENT"/>
    <n v="5"/>
    <n v="4"/>
    <s v="DELAYED"/>
    <n v="1004"/>
    <n v="1"/>
    <n v="399.98"/>
    <n v="7"/>
    <s v="Fan Shop"/>
    <n v="7211"/>
    <s v="Jalna"/>
    <d v="2019-02-20T00:00:00"/>
    <n v="2"/>
    <n v="2019"/>
    <s v="South Asia"/>
    <x v="0"/>
    <s v="PENDING_PAYMENT"/>
    <s v="PENDING"/>
    <s v="Standard Class"/>
    <n v="399.98"/>
  </r>
  <r>
    <n v="28555"/>
    <s v="DEBIT"/>
    <n v="6"/>
    <n v="4"/>
    <s v="DELAYED"/>
    <n v="276"/>
    <n v="5"/>
    <n v="159.94999999999999"/>
    <n v="3"/>
    <s v="Footwear"/>
    <n v="8448"/>
    <s v="Chandigarh"/>
    <d v="2019-02-20T00:00:00"/>
    <n v="2"/>
    <n v="2019"/>
    <s v="South Asia"/>
    <x v="22"/>
    <s v="COMPLETE"/>
    <s v="COMPLETED"/>
    <s v="Standard Class"/>
    <n v="159.94999999999999"/>
  </r>
  <r>
    <n v="28557"/>
    <s v="DEBIT"/>
    <n v="2"/>
    <n v="1"/>
    <s v="DELAYED"/>
    <n v="1004"/>
    <n v="1"/>
    <n v="399.98"/>
    <n v="7"/>
    <s v="Fan Shop"/>
    <n v="1405"/>
    <s v="Muzaffarpur"/>
    <d v="2019-02-20T00:00:00"/>
    <n v="2"/>
    <n v="2019"/>
    <s v="South Asia"/>
    <x v="17"/>
    <s v="COMPLETE"/>
    <s v="COMPLETED"/>
    <s v="First Class"/>
    <n v="399.98"/>
  </r>
  <r>
    <n v="28558"/>
    <s v="TRANSFER"/>
    <n v="2"/>
    <n v="1"/>
    <s v="DELAYED"/>
    <n v="627"/>
    <n v="1"/>
    <n v="39.99"/>
    <n v="5"/>
    <s v="Golf"/>
    <n v="6178"/>
    <s v="Muzaffarpur"/>
    <d v="2019-02-20T00:00:00"/>
    <n v="2"/>
    <n v="2019"/>
    <s v="South Asia"/>
    <x v="17"/>
    <s v="PROCESSING"/>
    <s v="PENDING"/>
    <s v="First Class"/>
    <n v="39.99"/>
  </r>
  <r>
    <n v="28589"/>
    <s v="CASH"/>
    <n v="2"/>
    <n v="1"/>
    <s v="DELAYED"/>
    <n v="502"/>
    <n v="1"/>
    <n v="50"/>
    <n v="5"/>
    <s v="Golf"/>
    <n v="6648"/>
    <s v="Nagpur"/>
    <d v="2019-02-21T00:00:00"/>
    <n v="2"/>
    <n v="2019"/>
    <s v="South Asia"/>
    <x v="0"/>
    <s v="CLOSED"/>
    <s v="PENDING"/>
    <s v="First Class"/>
    <n v="50"/>
  </r>
  <r>
    <n v="28590"/>
    <s v="DEBIT"/>
    <n v="2"/>
    <n v="1"/>
    <s v="DELAYED"/>
    <n v="502"/>
    <n v="1"/>
    <n v="50"/>
    <n v="5"/>
    <s v="Golf"/>
    <n v="11182"/>
    <s v="Nagpur"/>
    <d v="2019-02-21T00:00:00"/>
    <n v="2"/>
    <n v="2019"/>
    <s v="South Asia"/>
    <x v="0"/>
    <s v="COMPLETE"/>
    <s v="COMPLETED"/>
    <s v="First Class"/>
    <n v="50"/>
  </r>
  <r>
    <n v="28601"/>
    <s v="PAYMENT"/>
    <n v="2"/>
    <n v="4"/>
    <s v=" ONTIME"/>
    <n v="1073"/>
    <n v="1"/>
    <n v="199.99"/>
    <n v="7"/>
    <s v="Fan Shop"/>
    <n v="3195"/>
    <s v="Ratlam"/>
    <d v="2019-02-21T00:00:00"/>
    <n v="2"/>
    <n v="2019"/>
    <s v="South Asia"/>
    <x v="14"/>
    <s v="PENDING_PAYMENT"/>
    <s v="PENDING"/>
    <s v="Standard Class"/>
    <n v="199.99"/>
  </r>
  <r>
    <n v="28602"/>
    <s v="DEBIT"/>
    <n v="3"/>
    <n v="4"/>
    <s v=" ONTIME"/>
    <n v="365"/>
    <n v="3"/>
    <n v="179.97"/>
    <n v="4"/>
    <s v="Apparel"/>
    <n v="5749"/>
    <s v="Ratlam"/>
    <d v="2019-02-21T00:00:00"/>
    <n v="2"/>
    <n v="2019"/>
    <s v="South Asia"/>
    <x v="14"/>
    <s v="COMPLETE"/>
    <s v="COMPLETED"/>
    <s v="Standard Class"/>
    <n v="179.97"/>
  </r>
  <r>
    <n v="28604"/>
    <s v="DEBIT"/>
    <n v="5"/>
    <n v="4"/>
    <s v="DELAYED"/>
    <n v="1073"/>
    <n v="1"/>
    <n v="199.99"/>
    <n v="7"/>
    <s v="Fan Shop"/>
    <n v="1054"/>
    <s v="Agra"/>
    <d v="2019-02-21T00:00:00"/>
    <n v="2"/>
    <n v="2019"/>
    <s v="South Asia"/>
    <x v="1"/>
    <s v="COMPLETE"/>
    <s v="COMPLETED"/>
    <s v="Standard Class"/>
    <n v="199.99"/>
  </r>
  <r>
    <n v="28605"/>
    <s v="CASH"/>
    <n v="6"/>
    <n v="4"/>
    <s v="DELAYED"/>
    <n v="191"/>
    <n v="1"/>
    <n v="99.99"/>
    <n v="3"/>
    <s v="Footwear"/>
    <n v="6302"/>
    <s v="Agra"/>
    <d v="2019-02-21T00:00:00"/>
    <n v="2"/>
    <n v="2019"/>
    <s v="South Asia"/>
    <x v="1"/>
    <s v="CLOSED"/>
    <s v="PENDING"/>
    <s v="Standard Class"/>
    <n v="99.99"/>
  </r>
  <r>
    <n v="28606"/>
    <s v="DEBIT"/>
    <n v="2"/>
    <n v="2"/>
    <s v=" ONTIME"/>
    <n v="893"/>
    <n v="2"/>
    <n v="49.98"/>
    <n v="6"/>
    <s v="Outdoors"/>
    <n v="1757"/>
    <s v="Agra"/>
    <d v="2019-02-21T00:00:00"/>
    <n v="2"/>
    <n v="2019"/>
    <s v="South Asia"/>
    <x v="1"/>
    <s v="COMPLETE"/>
    <s v="COMPLETED"/>
    <s v="Second Class"/>
    <n v="49.98"/>
  </r>
  <r>
    <n v="28638"/>
    <s v="DEBIT"/>
    <n v="4"/>
    <n v="4"/>
    <s v=" ONTIME"/>
    <n v="502"/>
    <n v="4"/>
    <n v="200"/>
    <n v="5"/>
    <s v="Golf"/>
    <n v="1744"/>
    <s v="Gorakhpur"/>
    <d v="2019-02-22T00:00:00"/>
    <n v="2"/>
    <n v="2019"/>
    <s v="South Asia"/>
    <x v="1"/>
    <s v="COMPLETE"/>
    <s v="COMPLETED"/>
    <s v="Standard Class"/>
    <n v="200"/>
  </r>
  <r>
    <n v="28639"/>
    <s v="TRANSFER"/>
    <n v="5"/>
    <n v="4"/>
    <s v="DELAYED"/>
    <n v="365"/>
    <n v="2"/>
    <n v="119.98"/>
    <n v="4"/>
    <s v="Apparel"/>
    <n v="6474"/>
    <s v="Gorakhpur"/>
    <d v="2019-02-22T00:00:00"/>
    <n v="2"/>
    <n v="2019"/>
    <s v="South Asia"/>
    <x v="1"/>
    <s v="PENDING"/>
    <s v="PENDING"/>
    <s v="Standard Class"/>
    <n v="119.98"/>
  </r>
  <r>
    <n v="28640"/>
    <s v="DEBIT"/>
    <n v="6"/>
    <n v="4"/>
    <s v="DELAYED"/>
    <n v="191"/>
    <n v="1"/>
    <n v="99.99"/>
    <n v="3"/>
    <s v="Footwear"/>
    <n v="11426"/>
    <s v="Gorakhpur"/>
    <d v="2019-02-22T00:00:00"/>
    <n v="2"/>
    <n v="2019"/>
    <s v="South Asia"/>
    <x v="1"/>
    <s v="COMPLETE"/>
    <s v="COMPLETED"/>
    <s v="Standard Class"/>
    <n v="99.99"/>
  </r>
  <r>
    <n v="28641"/>
    <s v="TRANSFER"/>
    <n v="2"/>
    <n v="4"/>
    <s v=" ONTIME"/>
    <n v="403"/>
    <n v="1"/>
    <n v="129.99"/>
    <n v="4"/>
    <s v="Apparel"/>
    <n v="10898"/>
    <s v="Gorakhpur"/>
    <d v="2019-02-22T00:00:00"/>
    <n v="2"/>
    <n v="2019"/>
    <s v="South Asia"/>
    <x v="1"/>
    <s v="PROCESSING"/>
    <s v="PENDING"/>
    <s v="Standard Class"/>
    <n v="129.99"/>
  </r>
  <r>
    <n v="28642"/>
    <s v="TRANSFER"/>
    <n v="3"/>
    <n v="4"/>
    <s v=" ONTIME"/>
    <n v="403"/>
    <n v="1"/>
    <n v="129.99"/>
    <n v="4"/>
    <s v="Apparel"/>
    <n v="11851"/>
    <s v="Chennai"/>
    <d v="2019-02-22T00:00:00"/>
    <n v="2"/>
    <n v="2019"/>
    <s v="South Asia"/>
    <x v="3"/>
    <s v="PENDING"/>
    <s v="PENDING"/>
    <s v="Standard Class"/>
    <n v="129.99"/>
  </r>
  <r>
    <n v="28643"/>
    <s v="DEBIT"/>
    <n v="4"/>
    <n v="4"/>
    <s v=" ONTIME"/>
    <n v="191"/>
    <n v="1"/>
    <n v="99.99"/>
    <n v="3"/>
    <s v="Footwear"/>
    <n v="11438"/>
    <s v="Chennai"/>
    <d v="2019-02-22T00:00:00"/>
    <n v="2"/>
    <n v="2019"/>
    <s v="South Asia"/>
    <x v="3"/>
    <s v="COMPLETE"/>
    <s v="COMPLETED"/>
    <s v="Standard Class"/>
    <n v="99.99"/>
  </r>
  <r>
    <n v="28644"/>
    <s v="TRANSFER"/>
    <n v="5"/>
    <n v="4"/>
    <s v="DELAYED"/>
    <n v="44"/>
    <n v="5"/>
    <n v="299.95"/>
    <n v="2"/>
    <s v="Fitness"/>
    <n v="254"/>
    <s v="Tiruchchirappalli"/>
    <d v="2019-02-22T00:00:00"/>
    <n v="2"/>
    <n v="2019"/>
    <s v="South Asia"/>
    <x v="3"/>
    <s v="PROCESSING"/>
    <s v="PENDING"/>
    <s v="Standard Class"/>
    <n v="299.95"/>
  </r>
  <r>
    <n v="28645"/>
    <s v="DEBIT"/>
    <n v="2"/>
    <n v="1"/>
    <s v="DELAYED"/>
    <n v="1073"/>
    <n v="1"/>
    <n v="199.99"/>
    <n v="7"/>
    <s v="Fan Shop"/>
    <n v="634"/>
    <s v="Tiruchchirappalli"/>
    <d v="2019-02-22T00:00:00"/>
    <n v="2"/>
    <n v="2019"/>
    <s v="South Asia"/>
    <x v="3"/>
    <s v="COMPLETE"/>
    <s v="COMPLETED"/>
    <s v="First Class"/>
    <n v="199.99"/>
  </r>
  <r>
    <n v="28646"/>
    <s v="DEBIT"/>
    <n v="2"/>
    <n v="2"/>
    <s v=" ONTIME"/>
    <n v="502"/>
    <n v="4"/>
    <n v="200"/>
    <n v="5"/>
    <s v="Golf"/>
    <n v="5514"/>
    <s v="Tiruchchirappalli"/>
    <d v="2019-02-22T00:00:00"/>
    <n v="2"/>
    <n v="2019"/>
    <s v="South Asia"/>
    <x v="3"/>
    <s v="COMPLETE"/>
    <s v="COMPLETED"/>
    <s v="Second Class"/>
    <n v="200"/>
  </r>
  <r>
    <n v="28672"/>
    <s v="DEBIT"/>
    <n v="2"/>
    <n v="1"/>
    <s v="DELAYED"/>
    <n v="1073"/>
    <n v="1"/>
    <n v="199.99"/>
    <n v="7"/>
    <s v="Fan Shop"/>
    <n v="6111"/>
    <s v="Ludhiana"/>
    <d v="2019-02-22T00:00:00"/>
    <n v="2"/>
    <n v="2019"/>
    <s v="South Asia"/>
    <x v="16"/>
    <s v="COMPLETE"/>
    <s v="COMPLETED"/>
    <s v="First Class"/>
    <n v="199.99"/>
  </r>
  <r>
    <n v="28689"/>
    <s v="DEBIT"/>
    <n v="5"/>
    <n v="4"/>
    <s v="DELAYED"/>
    <n v="502"/>
    <n v="2"/>
    <n v="100"/>
    <n v="5"/>
    <s v="Golf"/>
    <n v="6956"/>
    <s v="Bhilai"/>
    <d v="2019-02-22T00:00:00"/>
    <n v="2"/>
    <n v="2019"/>
    <s v="South Asia"/>
    <x v="18"/>
    <s v="COMPLETE"/>
    <s v="COMPLETED"/>
    <s v="Standard Class"/>
    <n v="100"/>
  </r>
  <r>
    <n v="28690"/>
    <s v="PAYMENT"/>
    <n v="6"/>
    <n v="4"/>
    <s v="DELAYED"/>
    <n v="924"/>
    <n v="4"/>
    <n v="63.96"/>
    <n v="6"/>
    <s v="Outdoors"/>
    <n v="10767"/>
    <s v="Bhilai"/>
    <d v="2019-02-22T00:00:00"/>
    <n v="2"/>
    <n v="2019"/>
    <s v="South Asia"/>
    <x v="18"/>
    <s v="PENDING_PAYMENT"/>
    <s v="PENDING"/>
    <s v="Standard Class"/>
    <n v="63.96"/>
  </r>
  <r>
    <n v="28691"/>
    <s v="TRANSFER"/>
    <n v="2"/>
    <n v="4"/>
    <s v=" ONTIME"/>
    <n v="897"/>
    <n v="5"/>
    <n v="124.95"/>
    <n v="6"/>
    <s v="Outdoors"/>
    <n v="10462"/>
    <s v="Saharanpur"/>
    <d v="2019-02-22T00:00:00"/>
    <n v="2"/>
    <n v="2019"/>
    <s v="South Asia"/>
    <x v="1"/>
    <s v="PENDING"/>
    <s v="PENDING"/>
    <s v="Standard Class"/>
    <n v="124.95"/>
  </r>
  <r>
    <n v="28692"/>
    <s v="CASH"/>
    <n v="2"/>
    <n v="1"/>
    <s v="DELAYED"/>
    <n v="957"/>
    <n v="1"/>
    <n v="299.98"/>
    <n v="7"/>
    <s v="Fan Shop"/>
    <n v="674"/>
    <s v="Saharanpur"/>
    <d v="2019-02-22T00:00:00"/>
    <n v="2"/>
    <n v="2019"/>
    <s v="South Asia"/>
    <x v="1"/>
    <s v="CLOSED"/>
    <s v="PENDING"/>
    <s v="First Class"/>
    <n v="299.98"/>
  </r>
  <r>
    <n v="28694"/>
    <s v="PAYMENT"/>
    <n v="5"/>
    <n v="2"/>
    <s v="DELAYED"/>
    <n v="957"/>
    <n v="1"/>
    <n v="299.98"/>
    <n v="7"/>
    <s v="Fan Shop"/>
    <n v="2572"/>
    <s v="Saharanpur"/>
    <d v="2019-02-22T00:00:00"/>
    <n v="2"/>
    <n v="2019"/>
    <s v="South Asia"/>
    <x v="1"/>
    <s v="PENDING_PAYMENT"/>
    <s v="PENDING"/>
    <s v="Second Class"/>
    <n v="299.98"/>
  </r>
  <r>
    <n v="28701"/>
    <s v="PAYMENT"/>
    <n v="2"/>
    <n v="4"/>
    <s v=" ONTIME"/>
    <n v="565"/>
    <n v="2"/>
    <n v="140"/>
    <n v="5"/>
    <s v="Golf"/>
    <n v="1492"/>
    <s v="Jamshedpur"/>
    <d v="2019-02-22T00:00:00"/>
    <n v="2"/>
    <n v="2019"/>
    <s v="South Asia"/>
    <x v="12"/>
    <s v="PENDING_PAYMENT"/>
    <s v="PENDING"/>
    <s v="Standard Class"/>
    <n v="140"/>
  </r>
  <r>
    <n v="28702"/>
    <s v="DEBIT"/>
    <n v="3"/>
    <n v="4"/>
    <s v=" ONTIME"/>
    <n v="191"/>
    <n v="2"/>
    <n v="199.98"/>
    <n v="3"/>
    <s v="Footwear"/>
    <n v="404"/>
    <s v="Jamshedpur"/>
    <d v="2019-02-22T00:00:00"/>
    <n v="2"/>
    <n v="2019"/>
    <s v="South Asia"/>
    <x v="12"/>
    <s v="COMPLETE"/>
    <s v="COMPLETED"/>
    <s v="Standard Class"/>
    <n v="199.98"/>
  </r>
  <r>
    <n v="28708"/>
    <s v="DEBIT"/>
    <n v="2"/>
    <n v="1"/>
    <s v="DELAYED"/>
    <n v="403"/>
    <n v="1"/>
    <n v="129.99"/>
    <n v="4"/>
    <s v="Apparel"/>
    <n v="3837"/>
    <s v="Pune"/>
    <d v="2019-02-23T00:00:00"/>
    <n v="2"/>
    <n v="2019"/>
    <s v="South Asia"/>
    <x v="0"/>
    <s v="COMPLETE"/>
    <s v="COMPLETED"/>
    <s v="First Class"/>
    <n v="129.99"/>
  </r>
  <r>
    <n v="28709"/>
    <s v="DEBIT"/>
    <n v="5"/>
    <n v="4"/>
    <s v="DELAYED"/>
    <n v="822"/>
    <n v="1"/>
    <n v="47.99"/>
    <n v="6"/>
    <s v="Outdoors"/>
    <n v="9932"/>
    <s v="Pune"/>
    <d v="2019-02-23T00:00:00"/>
    <n v="2"/>
    <n v="2019"/>
    <s v="South Asia"/>
    <x v="0"/>
    <s v="ON_HOLD"/>
    <s v="PENDING"/>
    <s v="Standard Class"/>
    <n v="47.99"/>
  </r>
  <r>
    <n v="28710"/>
    <s v="TRANSFER"/>
    <n v="6"/>
    <n v="4"/>
    <s v="DELAYED"/>
    <n v="1073"/>
    <n v="1"/>
    <n v="199.99"/>
    <n v="7"/>
    <s v="Fan Shop"/>
    <n v="6867"/>
    <s v="Pune"/>
    <d v="2019-02-23T00:00:00"/>
    <n v="2"/>
    <n v="2019"/>
    <s v="South Asia"/>
    <x v="0"/>
    <s v="PENDING"/>
    <s v="PENDING"/>
    <s v="Standard Class"/>
    <n v="199.99"/>
  </r>
  <r>
    <n v="28736"/>
    <s v="DEBIT"/>
    <n v="2"/>
    <n v="2"/>
    <s v=" ONTIME"/>
    <n v="191"/>
    <n v="4"/>
    <n v="399.96"/>
    <n v="3"/>
    <s v="Footwear"/>
    <n v="10511"/>
    <s v="Thane"/>
    <d v="2019-02-23T00:00:00"/>
    <n v="2"/>
    <n v="2019"/>
    <s v="South Asia"/>
    <x v="0"/>
    <s v="COMPLETE"/>
    <s v="COMPLETED"/>
    <s v="Second Class"/>
    <n v="399.96"/>
  </r>
  <r>
    <n v="28737"/>
    <s v="DEBIT"/>
    <n v="3"/>
    <n v="4"/>
    <s v=" ONTIME"/>
    <n v="403"/>
    <n v="1"/>
    <n v="129.99"/>
    <n v="4"/>
    <s v="Apparel"/>
    <n v="7572"/>
    <s v="Chennai"/>
    <d v="2019-02-23T00:00:00"/>
    <n v="2"/>
    <n v="2019"/>
    <s v="South Asia"/>
    <x v="3"/>
    <s v="ON_HOLD"/>
    <s v="PENDING"/>
    <s v="Standard Class"/>
    <n v="129.99"/>
  </r>
  <r>
    <n v="28743"/>
    <s v="PAYMENT"/>
    <n v="4"/>
    <n v="2"/>
    <s v="DELAYED"/>
    <n v="1004"/>
    <n v="1"/>
    <n v="399.98"/>
    <n v="7"/>
    <s v="Fan Shop"/>
    <n v="9108"/>
    <s v="Mirzapur"/>
    <d v="2019-02-23T00:00:00"/>
    <n v="2"/>
    <n v="2019"/>
    <s v="South Asia"/>
    <x v="1"/>
    <s v="PENDING_PAYMENT"/>
    <s v="PENDING"/>
    <s v="Second Class"/>
    <n v="399.98"/>
  </r>
  <r>
    <n v="28744"/>
    <s v="PAYMENT"/>
    <n v="5"/>
    <n v="2"/>
    <s v="DELAYED"/>
    <n v="365"/>
    <n v="2"/>
    <n v="119.98"/>
    <n v="4"/>
    <s v="Apparel"/>
    <n v="9083"/>
    <s v="Mirzapur"/>
    <d v="2019-02-23T00:00:00"/>
    <n v="2"/>
    <n v="2019"/>
    <s v="South Asia"/>
    <x v="1"/>
    <s v="PENDING_PAYMENT"/>
    <s v="PENDING"/>
    <s v="Second Class"/>
    <n v="119.98"/>
  </r>
  <r>
    <n v="28746"/>
    <s v="CASH"/>
    <n v="2"/>
    <n v="4"/>
    <s v=" ONTIME"/>
    <n v="365"/>
    <n v="2"/>
    <n v="119.98"/>
    <n v="4"/>
    <s v="Apparel"/>
    <n v="442"/>
    <s v="Varanasi"/>
    <d v="2019-02-23T00:00:00"/>
    <n v="2"/>
    <n v="2019"/>
    <s v="South Asia"/>
    <x v="1"/>
    <s v="CLOSED"/>
    <s v="PENDING"/>
    <s v="Standard Class"/>
    <n v="119.98"/>
  </r>
  <r>
    <n v="28760"/>
    <s v="CASH"/>
    <n v="2"/>
    <n v="1"/>
    <s v="DELAYED"/>
    <n v="502"/>
    <n v="2"/>
    <n v="100"/>
    <n v="5"/>
    <s v="Golf"/>
    <n v="12362"/>
    <s v="Jodhpur"/>
    <d v="2019-02-23T00:00:00"/>
    <n v="2"/>
    <n v="2019"/>
    <s v="South Asia"/>
    <x v="2"/>
    <s v="CLOSED"/>
    <s v="PENDING"/>
    <s v="First Class"/>
    <n v="100"/>
  </r>
  <r>
    <n v="28761"/>
    <s v="PAYMENT"/>
    <n v="2"/>
    <n v="4"/>
    <s v=" ONTIME"/>
    <n v="1014"/>
    <n v="3"/>
    <n v="149.94"/>
    <n v="7"/>
    <s v="Fan Shop"/>
    <n v="10841"/>
    <s v="Jodhpur"/>
    <d v="2019-02-23T00:00:00"/>
    <n v="2"/>
    <n v="2019"/>
    <s v="South Asia"/>
    <x v="2"/>
    <s v="PAYMENT_REVIEW"/>
    <s v="PENDING"/>
    <s v="Standard Class"/>
    <n v="149.94"/>
  </r>
  <r>
    <n v="28763"/>
    <s v="TRANSFER"/>
    <n v="4"/>
    <n v="4"/>
    <s v=" ONTIME"/>
    <n v="502"/>
    <n v="5"/>
    <n v="250"/>
    <n v="5"/>
    <s v="Golf"/>
    <n v="5573"/>
    <s v="Jodhpur"/>
    <d v="2019-02-23T00:00:00"/>
    <n v="2"/>
    <n v="2019"/>
    <s v="South Asia"/>
    <x v="2"/>
    <s v="PROCESSING"/>
    <s v="PENDING"/>
    <s v="Standard Class"/>
    <n v="250"/>
  </r>
  <r>
    <n v="28771"/>
    <s v="DEBIT"/>
    <n v="2"/>
    <n v="4"/>
    <s v=" ONTIME"/>
    <n v="502"/>
    <n v="5"/>
    <n v="250"/>
    <n v="5"/>
    <s v="Golf"/>
    <n v="9771"/>
    <s v="Bhopal"/>
    <d v="2019-02-23T00:00:00"/>
    <n v="2"/>
    <n v="2019"/>
    <s v="South Asia"/>
    <x v="14"/>
    <s v="COMPLETE"/>
    <s v="COMPLETED"/>
    <s v="Standard Class"/>
    <n v="250"/>
  </r>
  <r>
    <n v="28772"/>
    <s v="PAYMENT"/>
    <n v="3"/>
    <n v="4"/>
    <s v=" ONTIME"/>
    <n v="778"/>
    <n v="5"/>
    <n v="124.95"/>
    <n v="6"/>
    <s v="Outdoors"/>
    <n v="1942"/>
    <s v="Bhopal"/>
    <d v="2019-02-23T00:00:00"/>
    <n v="2"/>
    <n v="2019"/>
    <s v="South Asia"/>
    <x v="14"/>
    <s v="PENDING_PAYMENT"/>
    <s v="PENDING"/>
    <s v="Standard Class"/>
    <n v="124.95"/>
  </r>
  <r>
    <n v="28773"/>
    <s v="PAYMENT"/>
    <n v="4"/>
    <n v="4"/>
    <s v=" ONTIME"/>
    <n v="502"/>
    <n v="1"/>
    <n v="50"/>
    <n v="5"/>
    <s v="Golf"/>
    <n v="10964"/>
    <s v="Chennai"/>
    <d v="2019-02-24T00:00:00"/>
    <n v="2"/>
    <n v="2019"/>
    <s v="South Asia"/>
    <x v="3"/>
    <s v="PENDING_PAYMENT"/>
    <s v="PENDING"/>
    <s v="Standard Class"/>
    <n v="50"/>
  </r>
  <r>
    <n v="28779"/>
    <s v="PAYMENT"/>
    <n v="2"/>
    <n v="1"/>
    <s v="DELAYED"/>
    <n v="403"/>
    <n v="1"/>
    <n v="129.99"/>
    <n v="4"/>
    <s v="Apparel"/>
    <n v="301"/>
    <s v="Bangalore"/>
    <d v="2019-02-24T00:00:00"/>
    <n v="2"/>
    <n v="2019"/>
    <s v="South Asia"/>
    <x v="8"/>
    <s v="PENDING_PAYMENT"/>
    <s v="PENDING"/>
    <s v="First Class"/>
    <n v="129.99"/>
  </r>
  <r>
    <n v="28780"/>
    <s v="PAYMENT"/>
    <n v="2"/>
    <n v="1"/>
    <s v="DELAYED"/>
    <n v="403"/>
    <n v="1"/>
    <n v="129.99"/>
    <n v="4"/>
    <s v="Apparel"/>
    <n v="11606"/>
    <s v="Bangalore"/>
    <d v="2019-02-24T00:00:00"/>
    <n v="2"/>
    <n v="2019"/>
    <s v="South Asia"/>
    <x v="8"/>
    <s v="PENDING_PAYMENT"/>
    <s v="PENDING"/>
    <s v="First Class"/>
    <n v="129.99"/>
  </r>
  <r>
    <n v="28781"/>
    <s v="TRANSFER"/>
    <n v="2"/>
    <n v="4"/>
    <s v=" ONTIME"/>
    <n v="1014"/>
    <n v="4"/>
    <n v="199.92"/>
    <n v="7"/>
    <s v="Fan Shop"/>
    <n v="9019"/>
    <s v="Bangalore"/>
    <d v="2019-02-24T00:00:00"/>
    <n v="2"/>
    <n v="2019"/>
    <s v="South Asia"/>
    <x v="8"/>
    <s v="PROCESSING"/>
    <s v="PENDING"/>
    <s v="Standard Class"/>
    <n v="199.92"/>
  </r>
  <r>
    <n v="28782"/>
    <s v="TRANSFER"/>
    <n v="3"/>
    <n v="4"/>
    <s v=" ONTIME"/>
    <n v="627"/>
    <n v="5"/>
    <n v="199.95"/>
    <n v="5"/>
    <s v="Golf"/>
    <n v="4196"/>
    <s v="Lucknow"/>
    <d v="2019-02-24T00:00:00"/>
    <n v="2"/>
    <n v="2019"/>
    <s v="South Asia"/>
    <x v="1"/>
    <s v="PENDING"/>
    <s v="PENDING"/>
    <s v="Standard Class"/>
    <n v="199.95"/>
  </r>
  <r>
    <n v="28783"/>
    <s v="PAYMENT"/>
    <n v="0"/>
    <n v="0"/>
    <s v=" ONTIME"/>
    <n v="627"/>
    <n v="4"/>
    <n v="159.96"/>
    <n v="5"/>
    <s v="Golf"/>
    <n v="2531"/>
    <s v="Lucknow"/>
    <d v="2019-02-24T00:00:00"/>
    <n v="2"/>
    <n v="2019"/>
    <s v="South Asia"/>
    <x v="1"/>
    <s v="PENDING_PAYMENT"/>
    <s v="PENDING"/>
    <s v="Same Day"/>
    <n v="159.96"/>
  </r>
  <r>
    <n v="28785"/>
    <s v="CASH"/>
    <n v="6"/>
    <n v="2"/>
    <s v="DELAYED"/>
    <n v="1073"/>
    <n v="1"/>
    <n v="199.99"/>
    <n v="7"/>
    <s v="Fan Shop"/>
    <n v="9852"/>
    <s v="Thane"/>
    <d v="2019-02-24T00:00:00"/>
    <n v="2"/>
    <n v="2019"/>
    <s v="South Asia"/>
    <x v="0"/>
    <s v="CLOSED"/>
    <s v="PENDING"/>
    <s v="Second Class"/>
    <n v="199.99"/>
  </r>
  <r>
    <n v="28786"/>
    <s v="PAYMENT"/>
    <n v="2"/>
    <n v="2"/>
    <s v=" ONTIME"/>
    <n v="1073"/>
    <n v="1"/>
    <n v="199.99"/>
    <n v="7"/>
    <s v="Fan Shop"/>
    <n v="5906"/>
    <s v="Thane"/>
    <d v="2019-02-24T00:00:00"/>
    <n v="2"/>
    <n v="2019"/>
    <s v="South Asia"/>
    <x v="0"/>
    <s v="PENDING_PAYMENT"/>
    <s v="PENDING"/>
    <s v="Second Class"/>
    <n v="199.99"/>
  </r>
  <r>
    <n v="28787"/>
    <s v="DEBIT"/>
    <n v="3"/>
    <n v="2"/>
    <s v="DELAYED"/>
    <n v="365"/>
    <n v="1"/>
    <n v="59.99"/>
    <n v="4"/>
    <s v="Apparel"/>
    <n v="287"/>
    <s v="Thane"/>
    <d v="2019-02-24T00:00:00"/>
    <n v="2"/>
    <n v="2019"/>
    <s v="South Asia"/>
    <x v="0"/>
    <s v="COMPLETE"/>
    <s v="COMPLETED"/>
    <s v="Second Class"/>
    <n v="59.99"/>
  </r>
  <r>
    <n v="28802"/>
    <s v="CASH"/>
    <n v="3"/>
    <n v="4"/>
    <s v=" ONTIME"/>
    <n v="627"/>
    <n v="3"/>
    <n v="119.97"/>
    <n v="5"/>
    <s v="Golf"/>
    <n v="5332"/>
    <s v="Delhi"/>
    <d v="2019-02-24T00:00:00"/>
    <n v="2"/>
    <n v="2019"/>
    <s v="South Asia"/>
    <x v="11"/>
    <s v="CLOSED"/>
    <s v="PENDING"/>
    <s v="Standard Class"/>
    <n v="119.97"/>
  </r>
  <r>
    <n v="28814"/>
    <s v="DEBIT"/>
    <n v="5"/>
    <n v="4"/>
    <s v="DELAYED"/>
    <n v="403"/>
    <n v="1"/>
    <n v="129.99"/>
    <n v="4"/>
    <s v="Apparel"/>
    <n v="8814"/>
    <s v="Mangalore"/>
    <d v="2019-02-24T00:00:00"/>
    <n v="2"/>
    <n v="2019"/>
    <s v="South Asia"/>
    <x v="8"/>
    <s v="COMPLETE"/>
    <s v="COMPLETED"/>
    <s v="Standard Class"/>
    <n v="129.99"/>
  </r>
  <r>
    <n v="28816"/>
    <s v="DEBIT"/>
    <n v="2"/>
    <n v="4"/>
    <s v=" ONTIME"/>
    <n v="403"/>
    <n v="1"/>
    <n v="129.99"/>
    <n v="4"/>
    <s v="Apparel"/>
    <n v="1591"/>
    <s v="Nagercoil"/>
    <d v="2019-02-24T00:00:00"/>
    <n v="2"/>
    <n v="2019"/>
    <s v="South Asia"/>
    <x v="3"/>
    <s v="COMPLETE"/>
    <s v="COMPLETED"/>
    <s v="Standard Class"/>
    <n v="129.99"/>
  </r>
  <r>
    <n v="28849"/>
    <s v="PAYMENT"/>
    <n v="5"/>
    <n v="2"/>
    <s v="DELAYED"/>
    <n v="1073"/>
    <n v="1"/>
    <n v="199.99"/>
    <n v="7"/>
    <s v="Fan Shop"/>
    <n v="9056"/>
    <s v="Malegaon"/>
    <d v="2019-02-25T00:00:00"/>
    <n v="2"/>
    <n v="2019"/>
    <s v="South Asia"/>
    <x v="0"/>
    <s v="PENDING_PAYMENT"/>
    <s v="PENDING"/>
    <s v="Second Class"/>
    <n v="199.99"/>
  </r>
  <r>
    <n v="28850"/>
    <s v="TRANSFER"/>
    <n v="6"/>
    <n v="2"/>
    <s v="DELAYED"/>
    <n v="957"/>
    <n v="1"/>
    <n v="299.98"/>
    <n v="7"/>
    <s v="Fan Shop"/>
    <n v="8867"/>
    <s v="Malegaon"/>
    <d v="2019-02-25T00:00:00"/>
    <n v="2"/>
    <n v="2019"/>
    <s v="South Asia"/>
    <x v="0"/>
    <s v="PENDING"/>
    <s v="PENDING"/>
    <s v="Second Class"/>
    <n v="299.98"/>
  </r>
  <r>
    <n v="28851"/>
    <s v="CASH"/>
    <n v="2"/>
    <n v="2"/>
    <s v=" ONTIME"/>
    <n v="502"/>
    <n v="3"/>
    <n v="150"/>
    <n v="5"/>
    <s v="Golf"/>
    <n v="149"/>
    <s v="Malegaon"/>
    <d v="2019-02-25T00:00:00"/>
    <n v="2"/>
    <n v="2019"/>
    <s v="South Asia"/>
    <x v="0"/>
    <s v="CLOSED"/>
    <s v="PENDING"/>
    <s v="Second Class"/>
    <n v="150"/>
  </r>
  <r>
    <n v="28852"/>
    <s v="PAYMENT"/>
    <n v="2"/>
    <n v="1"/>
    <s v="DELAYED"/>
    <n v="191"/>
    <n v="5"/>
    <n v="499.95"/>
    <n v="3"/>
    <s v="Footwear"/>
    <n v="261"/>
    <s v="Malegaon"/>
    <d v="2019-02-25T00:00:00"/>
    <n v="2"/>
    <n v="2019"/>
    <s v="South Asia"/>
    <x v="0"/>
    <s v="PENDING_PAYMENT"/>
    <s v="PENDING"/>
    <s v="First Class"/>
    <n v="499.95"/>
  </r>
  <r>
    <n v="28853"/>
    <s v="TRANSFER"/>
    <n v="4"/>
    <n v="4"/>
    <s v=" ONTIME"/>
    <n v="1073"/>
    <n v="1"/>
    <n v="199.99"/>
    <n v="7"/>
    <s v="Fan Shop"/>
    <n v="1381"/>
    <s v="Malegaon"/>
    <d v="2019-02-25T00:00:00"/>
    <n v="2"/>
    <n v="2019"/>
    <s v="South Asia"/>
    <x v="0"/>
    <s v="PENDING"/>
    <s v="PENDING"/>
    <s v="Standard Class"/>
    <n v="199.99"/>
  </r>
  <r>
    <n v="28857"/>
    <s v="TRANSFER"/>
    <n v="3"/>
    <n v="4"/>
    <s v=" ONTIME"/>
    <n v="502"/>
    <n v="4"/>
    <n v="200"/>
    <n v="5"/>
    <s v="Golf"/>
    <n v="77"/>
    <s v="Bhiwandi"/>
    <d v="2019-02-25T00:00:00"/>
    <n v="2"/>
    <n v="2019"/>
    <s v="South Asia"/>
    <x v="0"/>
    <s v="PENDING"/>
    <s v="PENDING"/>
    <s v="Standard Class"/>
    <n v="200"/>
  </r>
  <r>
    <n v="28862"/>
    <s v="DEBIT"/>
    <n v="3"/>
    <n v="4"/>
    <s v=" ONTIME"/>
    <n v="1014"/>
    <n v="3"/>
    <n v="149.94"/>
    <n v="7"/>
    <s v="Fan Shop"/>
    <n v="1780"/>
    <s v="Kalyan"/>
    <d v="2019-02-25T00:00:00"/>
    <n v="2"/>
    <n v="2019"/>
    <s v="South Asia"/>
    <x v="0"/>
    <s v="COMPLETE"/>
    <s v="COMPLETED"/>
    <s v="Standard Class"/>
    <n v="149.94"/>
  </r>
  <r>
    <n v="28867"/>
    <s v="DEBIT"/>
    <n v="3"/>
    <n v="4"/>
    <s v=" ONTIME"/>
    <n v="1014"/>
    <n v="3"/>
    <n v="149.94"/>
    <n v="7"/>
    <s v="Fan Shop"/>
    <n v="6016"/>
    <s v="Surat"/>
    <d v="2019-02-25T00:00:00"/>
    <n v="2"/>
    <n v="2019"/>
    <s v="South Asia"/>
    <x v="4"/>
    <s v="COMPLETE"/>
    <s v="COMPLETED"/>
    <s v="Standard Class"/>
    <n v="149.94"/>
  </r>
  <r>
    <n v="28923"/>
    <s v="DEBIT"/>
    <n v="4"/>
    <n v="4"/>
    <s v=" ONTIME"/>
    <n v="403"/>
    <n v="1"/>
    <n v="129.99"/>
    <n v="4"/>
    <s v="Apparel"/>
    <n v="8024"/>
    <s v="Mumbai"/>
    <d v="2019-02-26T00:00:00"/>
    <n v="2"/>
    <n v="2019"/>
    <s v="South Asia"/>
    <x v="0"/>
    <s v="ON_HOLD"/>
    <s v="PENDING"/>
    <s v="Standard Class"/>
    <n v="129.99"/>
  </r>
  <r>
    <n v="28926"/>
    <s v="DEBIT"/>
    <n v="2"/>
    <n v="4"/>
    <s v=" ONTIME"/>
    <n v="565"/>
    <n v="4"/>
    <n v="280"/>
    <n v="5"/>
    <s v="Golf"/>
    <n v="2873"/>
    <s v="Delhi"/>
    <d v="2019-02-26T00:00:00"/>
    <n v="2"/>
    <n v="2019"/>
    <s v="South Asia"/>
    <x v="11"/>
    <s v="ON_HOLD"/>
    <s v="PENDING"/>
    <s v="Standard Class"/>
    <n v="280"/>
  </r>
  <r>
    <n v="28929"/>
    <s v="TRANSFER"/>
    <n v="2"/>
    <n v="1"/>
    <s v="DELAYED"/>
    <n v="1014"/>
    <n v="3"/>
    <n v="149.94"/>
    <n v="7"/>
    <s v="Fan Shop"/>
    <n v="6970"/>
    <s v="Ambattur"/>
    <d v="2019-02-26T00:00:00"/>
    <n v="2"/>
    <n v="2019"/>
    <s v="South Asia"/>
    <x v="3"/>
    <s v="CANCELED"/>
    <s v="CANCELED"/>
    <s v="First Class"/>
    <n v="149.94"/>
  </r>
  <r>
    <n v="28932"/>
    <s v="DEBIT"/>
    <n v="2"/>
    <n v="1"/>
    <s v="DELAYED"/>
    <n v="403"/>
    <n v="1"/>
    <n v="129.99"/>
    <n v="4"/>
    <s v="Apparel"/>
    <n v="4473"/>
    <s v="Raipur"/>
    <d v="2019-02-26T00:00:00"/>
    <n v="2"/>
    <n v="2019"/>
    <s v="South Asia"/>
    <x v="19"/>
    <s v="COMPLETE"/>
    <s v="COMPLETED"/>
    <s v="First Class"/>
    <n v="129.99"/>
  </r>
  <r>
    <n v="28933"/>
    <s v="CASH"/>
    <n v="2"/>
    <n v="1"/>
    <s v="DELAYED"/>
    <n v="403"/>
    <n v="1"/>
    <n v="129.99"/>
    <n v="4"/>
    <s v="Apparel"/>
    <n v="2048"/>
    <s v="Raipur"/>
    <d v="2019-02-26T00:00:00"/>
    <n v="2"/>
    <n v="2019"/>
    <s v="South Asia"/>
    <x v="19"/>
    <s v="CLOSED"/>
    <s v="PENDING"/>
    <s v="First Class"/>
    <n v="129.99"/>
  </r>
  <r>
    <n v="28947"/>
    <s v="DEBIT"/>
    <n v="3"/>
    <n v="2"/>
    <s v="DELAYED"/>
    <n v="957"/>
    <n v="1"/>
    <n v="299.98"/>
    <n v="7"/>
    <s v="Fan Shop"/>
    <n v="3533"/>
    <s v="Hyderabad"/>
    <d v="2019-02-26T00:00:00"/>
    <n v="2"/>
    <n v="2019"/>
    <s v="South Asia"/>
    <x v="7"/>
    <s v="ON_HOLD"/>
    <s v="PENDING"/>
    <s v="Second Class"/>
    <n v="299.98"/>
  </r>
  <r>
    <n v="28953"/>
    <s v="PAYMENT"/>
    <n v="4"/>
    <n v="4"/>
    <s v=" ONTIME"/>
    <n v="365"/>
    <n v="4"/>
    <n v="239.96"/>
    <n v="4"/>
    <s v="Apparel"/>
    <n v="9610"/>
    <s v="Ludhiana"/>
    <d v="2019-02-26T00:00:00"/>
    <n v="2"/>
    <n v="2019"/>
    <s v="South Asia"/>
    <x v="16"/>
    <s v="PENDING_PAYMENT"/>
    <s v="PENDING"/>
    <s v="Standard Class"/>
    <n v="239.96"/>
  </r>
  <r>
    <n v="28963"/>
    <s v="TRANSFER"/>
    <n v="4"/>
    <n v="4"/>
    <s v=" ONTIME"/>
    <n v="957"/>
    <n v="1"/>
    <n v="299.98"/>
    <n v="7"/>
    <s v="Fan Shop"/>
    <n v="11242"/>
    <s v="Srinagar"/>
    <d v="2019-02-26T00:00:00"/>
    <n v="2"/>
    <n v="2019"/>
    <s v="South Asia"/>
    <x v="21"/>
    <s v="SUSPECTED_FRAUD"/>
    <s v="PENDING"/>
    <s v="Standard Class"/>
    <n v="299.98"/>
  </r>
  <r>
    <n v="28990"/>
    <s v="TRANSFER"/>
    <n v="6"/>
    <n v="4"/>
    <s v="DELAYED"/>
    <n v="403"/>
    <n v="1"/>
    <n v="129.99"/>
    <n v="4"/>
    <s v="Apparel"/>
    <n v="9524"/>
    <s v="Kolhapur"/>
    <d v="2019-02-27T00:00:00"/>
    <n v="2"/>
    <n v="2019"/>
    <s v="South Asia"/>
    <x v="0"/>
    <s v="PENDING"/>
    <s v="PENDING"/>
    <s v="Standard Class"/>
    <n v="129.99"/>
  </r>
  <r>
    <n v="28991"/>
    <s v="DEBIT"/>
    <n v="2"/>
    <n v="4"/>
    <s v=" ONTIME"/>
    <n v="957"/>
    <n v="1"/>
    <n v="299.98"/>
    <n v="7"/>
    <s v="Fan Shop"/>
    <n v="3965"/>
    <s v="Kolhapur"/>
    <d v="2019-02-27T00:00:00"/>
    <n v="2"/>
    <n v="2019"/>
    <s v="South Asia"/>
    <x v="0"/>
    <s v="COMPLETE"/>
    <s v="COMPLETED"/>
    <s v="Standard Class"/>
    <n v="299.98"/>
  </r>
  <r>
    <n v="28992"/>
    <s v="TRANSFER"/>
    <n v="3"/>
    <n v="4"/>
    <s v=" ONTIME"/>
    <n v="627"/>
    <n v="3"/>
    <n v="119.97"/>
    <n v="5"/>
    <s v="Golf"/>
    <n v="4318"/>
    <s v="Kolhapur"/>
    <d v="2019-02-27T00:00:00"/>
    <n v="2"/>
    <n v="2019"/>
    <s v="South Asia"/>
    <x v="0"/>
    <s v="PROCESSING"/>
    <s v="PENDING"/>
    <s v="Standard Class"/>
    <n v="119.97"/>
  </r>
  <r>
    <n v="28997"/>
    <s v="PAYMENT"/>
    <n v="3"/>
    <n v="4"/>
    <s v=" ONTIME"/>
    <n v="116"/>
    <n v="1"/>
    <n v="44.99"/>
    <n v="2"/>
    <s v="Fitness"/>
    <n v="3129"/>
    <s v="Lucknow"/>
    <d v="2019-02-27T00:00:00"/>
    <n v="2"/>
    <n v="2019"/>
    <s v="South Asia"/>
    <x v="1"/>
    <s v="PENDING_PAYMENT"/>
    <s v="PENDING"/>
    <s v="Standard Class"/>
    <n v="44.99"/>
  </r>
  <r>
    <n v="28998"/>
    <s v="DEBIT"/>
    <n v="4"/>
    <n v="4"/>
    <s v=" ONTIME"/>
    <n v="365"/>
    <n v="2"/>
    <n v="119.98"/>
    <n v="4"/>
    <s v="Apparel"/>
    <n v="3465"/>
    <s v="Lucknow"/>
    <d v="2019-02-27T00:00:00"/>
    <n v="2"/>
    <n v="2019"/>
    <s v="South Asia"/>
    <x v="1"/>
    <s v="COMPLETE"/>
    <s v="COMPLETED"/>
    <s v="Standard Class"/>
    <n v="119.98"/>
  </r>
  <r>
    <n v="29013"/>
    <s v="PAYMENT"/>
    <n v="1"/>
    <n v="0"/>
    <s v="DELAYED"/>
    <n v="403"/>
    <n v="1"/>
    <n v="129.99"/>
    <n v="4"/>
    <s v="Apparel"/>
    <n v="4364"/>
    <s v="Pune"/>
    <d v="2019-02-27T00:00:00"/>
    <n v="2"/>
    <n v="2019"/>
    <s v="South Asia"/>
    <x v="0"/>
    <s v="PENDING_PAYMENT"/>
    <s v="PENDING"/>
    <s v="Same Day"/>
    <n v="129.99"/>
  </r>
  <r>
    <n v="29014"/>
    <s v="DEBIT"/>
    <n v="5"/>
    <n v="2"/>
    <s v="DELAYED"/>
    <n v="957"/>
    <n v="1"/>
    <n v="299.98"/>
    <n v="7"/>
    <s v="Fan Shop"/>
    <n v="6359"/>
    <s v="Pune"/>
    <d v="2019-02-27T00:00:00"/>
    <n v="2"/>
    <n v="2019"/>
    <s v="South Asia"/>
    <x v="0"/>
    <s v="COMPLETE"/>
    <s v="COMPLETED"/>
    <s v="Second Class"/>
    <n v="299.98"/>
  </r>
  <r>
    <n v="29046"/>
    <s v="DEBIT"/>
    <n v="2"/>
    <n v="4"/>
    <s v=" ONTIME"/>
    <n v="403"/>
    <n v="1"/>
    <n v="129.99"/>
    <n v="4"/>
    <s v="Apparel"/>
    <n v="1762"/>
    <s v="Bhopal"/>
    <d v="2019-02-27T00:00:00"/>
    <n v="2"/>
    <n v="2019"/>
    <s v="South Asia"/>
    <x v="14"/>
    <s v="COMPLETE"/>
    <s v="COMPLETED"/>
    <s v="Standard Class"/>
    <n v="129.99"/>
  </r>
  <r>
    <n v="29047"/>
    <s v="DEBIT"/>
    <n v="3"/>
    <n v="4"/>
    <s v=" ONTIME"/>
    <n v="1014"/>
    <n v="2"/>
    <n v="99.96"/>
    <n v="7"/>
    <s v="Fan Shop"/>
    <n v="1432"/>
    <s v="Bhopal"/>
    <d v="2019-02-28T00:00:00"/>
    <n v="2"/>
    <n v="2019"/>
    <s v="South Asia"/>
    <x v="14"/>
    <s v="COMPLETE"/>
    <s v="COMPLETED"/>
    <s v="Standard Class"/>
    <n v="99.96"/>
  </r>
  <r>
    <n v="29082"/>
    <s v="DEBIT"/>
    <n v="3"/>
    <n v="2"/>
    <s v="DELAYED"/>
    <n v="627"/>
    <n v="4"/>
    <n v="159.96"/>
    <n v="5"/>
    <s v="Golf"/>
    <n v="10622"/>
    <s v="Cuttack"/>
    <d v="2019-02-28T00:00:00"/>
    <n v="2"/>
    <n v="2019"/>
    <s v="South Asia"/>
    <x v="13"/>
    <s v="COMPLETE"/>
    <s v="COMPLETED"/>
    <s v="Second Class"/>
    <n v="159.96"/>
  </r>
  <r>
    <n v="29086"/>
    <s v="CASH"/>
    <n v="2"/>
    <n v="4"/>
    <s v=" ONTIME"/>
    <n v="502"/>
    <n v="2"/>
    <n v="100"/>
    <n v="5"/>
    <s v="Golf"/>
    <n v="3054"/>
    <s v="Ulhasnagar"/>
    <d v="2019-02-28T00:00:00"/>
    <n v="2"/>
    <n v="2019"/>
    <s v="South Asia"/>
    <x v="0"/>
    <s v="CLOSED"/>
    <s v="PENDING"/>
    <s v="Standard Class"/>
    <n v="100"/>
  </r>
  <r>
    <n v="29087"/>
    <s v="TRANSFER"/>
    <n v="3"/>
    <n v="4"/>
    <s v=" ONTIME"/>
    <n v="1014"/>
    <n v="4"/>
    <n v="199.92"/>
    <n v="7"/>
    <s v="Fan Shop"/>
    <n v="1022"/>
    <s v="Ulhasnagar"/>
    <d v="2019-02-28T00:00:00"/>
    <n v="2"/>
    <n v="2019"/>
    <s v="South Asia"/>
    <x v="0"/>
    <s v="PENDING"/>
    <s v="PENDING"/>
    <s v="Standard Class"/>
    <n v="199.92"/>
  </r>
  <r>
    <n v="29089"/>
    <s v="DEBIT"/>
    <n v="5"/>
    <n v="4"/>
    <s v="DELAYED"/>
    <n v="191"/>
    <n v="5"/>
    <n v="499.95"/>
    <n v="3"/>
    <s v="Footwear"/>
    <n v="40"/>
    <s v="Ulhasnagar"/>
    <d v="2019-02-28T00:00:00"/>
    <n v="2"/>
    <n v="2019"/>
    <s v="South Asia"/>
    <x v="0"/>
    <s v="ON_HOLD"/>
    <s v="PENDING"/>
    <s v="Standard Class"/>
    <n v="499.95"/>
  </r>
  <r>
    <n v="29090"/>
    <s v="PAYMENT"/>
    <n v="6"/>
    <n v="4"/>
    <s v="DELAYED"/>
    <n v="792"/>
    <n v="3"/>
    <n v="44.97"/>
    <n v="6"/>
    <s v="Outdoors"/>
    <n v="5163"/>
    <s v="Ulhasnagar"/>
    <d v="2019-02-28T00:00:00"/>
    <n v="2"/>
    <n v="2019"/>
    <s v="South Asia"/>
    <x v="0"/>
    <s v="PENDING_PAYMENT"/>
    <s v="PENDING"/>
    <s v="Standard Class"/>
    <n v="44.97"/>
  </r>
  <r>
    <n v="29091"/>
    <s v="PAYMENT"/>
    <n v="2"/>
    <n v="4"/>
    <s v=" ONTIME"/>
    <n v="365"/>
    <n v="3"/>
    <n v="179.97"/>
    <n v="4"/>
    <s v="Apparel"/>
    <n v="3382"/>
    <s v="Amravati"/>
    <d v="2019-02-28T00:00:00"/>
    <n v="2"/>
    <n v="2019"/>
    <s v="South Asia"/>
    <x v="0"/>
    <s v="PENDING_PAYMENT"/>
    <s v="PENDING"/>
    <s v="Standard Class"/>
    <n v="179.97"/>
  </r>
  <r>
    <n v="29103"/>
    <s v="DEBIT"/>
    <n v="4"/>
    <n v="4"/>
    <s v=" ONTIME"/>
    <n v="365"/>
    <n v="2"/>
    <n v="119.98"/>
    <n v="4"/>
    <s v="Apparel"/>
    <n v="908"/>
    <s v="Mumbai"/>
    <d v="2019-02-28T00:00:00"/>
    <n v="2"/>
    <n v="2019"/>
    <s v="South Asia"/>
    <x v="0"/>
    <s v="COMPLETE"/>
    <s v="COMPLETED"/>
    <s v="Standard Class"/>
    <n v="119.98"/>
  </r>
  <r>
    <n v="29104"/>
    <s v="DEBIT"/>
    <n v="5"/>
    <n v="4"/>
    <s v="DELAYED"/>
    <n v="1073"/>
    <n v="1"/>
    <n v="199.99"/>
    <n v="7"/>
    <s v="Fan Shop"/>
    <n v="2545"/>
    <s v="Mumbai"/>
    <d v="2019-02-28T00:00:00"/>
    <n v="2"/>
    <n v="2019"/>
    <s v="South Asia"/>
    <x v="0"/>
    <s v="COMPLETE"/>
    <s v="COMPLETED"/>
    <s v="Standard Class"/>
    <n v="199.99"/>
  </r>
  <r>
    <n v="29125"/>
    <s v="TRANSFER"/>
    <n v="6"/>
    <n v="2"/>
    <s v="DELAYED"/>
    <n v="1004"/>
    <n v="1"/>
    <n v="399.98"/>
    <n v="7"/>
    <s v="Fan Shop"/>
    <n v="7295"/>
    <s v="Akola"/>
    <d v="2019-03-01T00:00:00"/>
    <n v="3"/>
    <n v="2019"/>
    <s v="South Asia"/>
    <x v="0"/>
    <s v="PROCESSING"/>
    <s v="PENDING"/>
    <s v="Second Class"/>
    <n v="399.98"/>
  </r>
  <r>
    <n v="29151"/>
    <s v="DEBIT"/>
    <n v="2"/>
    <n v="4"/>
    <s v=" ONTIME"/>
    <n v="642"/>
    <n v="1"/>
    <n v="30"/>
    <n v="5"/>
    <s v="Golf"/>
    <n v="11636"/>
    <s v="Kozhikode"/>
    <d v="2019-03-01T00:00:00"/>
    <n v="3"/>
    <n v="2019"/>
    <s v="South Asia"/>
    <x v="20"/>
    <s v="COMPLETE"/>
    <s v="COMPLETED"/>
    <s v="Standard Class"/>
    <n v="30"/>
  </r>
  <r>
    <n v="29161"/>
    <s v="PAYMENT"/>
    <n v="2"/>
    <n v="4"/>
    <s v=" ONTIME"/>
    <n v="1004"/>
    <n v="1"/>
    <n v="399.98"/>
    <n v="7"/>
    <s v="Fan Shop"/>
    <n v="9676"/>
    <s v="Bangalore"/>
    <d v="2019-03-01T00:00:00"/>
    <n v="3"/>
    <n v="2019"/>
    <s v="South Asia"/>
    <x v="8"/>
    <s v="PENDING_PAYMENT"/>
    <s v="PENDING"/>
    <s v="Standard Class"/>
    <n v="399.98"/>
  </r>
  <r>
    <n v="29163"/>
    <s v="TRANSFER"/>
    <n v="2"/>
    <n v="1"/>
    <s v="DELAYED"/>
    <n v="191"/>
    <n v="2"/>
    <n v="199.98"/>
    <n v="3"/>
    <s v="Footwear"/>
    <n v="377"/>
    <s v="Bhatpara"/>
    <d v="2019-03-01T00:00:00"/>
    <n v="3"/>
    <n v="2019"/>
    <s v="South Asia"/>
    <x v="6"/>
    <s v="PROCESSING"/>
    <s v="PENDING"/>
    <s v="First Class"/>
    <n v="199.98"/>
  </r>
  <r>
    <n v="29173"/>
    <s v="PAYMENT"/>
    <n v="4"/>
    <n v="4"/>
    <s v=" ONTIME"/>
    <n v="1014"/>
    <n v="2"/>
    <n v="99.96"/>
    <n v="7"/>
    <s v="Fan Shop"/>
    <n v="2744"/>
    <s v="Chennai"/>
    <d v="2019-03-01T00:00:00"/>
    <n v="3"/>
    <n v="2019"/>
    <s v="South Asia"/>
    <x v="3"/>
    <s v="PENDING_PAYMENT"/>
    <s v="PENDING"/>
    <s v="Standard Class"/>
    <n v="99.96"/>
  </r>
  <r>
    <n v="29174"/>
    <s v="DEBIT"/>
    <n v="5"/>
    <n v="4"/>
    <s v="DELAYED"/>
    <n v="403"/>
    <n v="1"/>
    <n v="129.99"/>
    <n v="4"/>
    <s v="Apparel"/>
    <n v="7566"/>
    <s v="Chennai"/>
    <d v="2019-03-01T00:00:00"/>
    <n v="3"/>
    <n v="2019"/>
    <s v="South Asia"/>
    <x v="3"/>
    <s v="ON_HOLD"/>
    <s v="PENDING"/>
    <s v="Standard Class"/>
    <n v="129.99"/>
  </r>
  <r>
    <n v="29203"/>
    <s v="TRANSFER"/>
    <n v="4"/>
    <n v="4"/>
    <s v=" ONTIME"/>
    <n v="502"/>
    <n v="2"/>
    <n v="100"/>
    <n v="5"/>
    <s v="Golf"/>
    <n v="8996"/>
    <s v="Jaipur"/>
    <d v="2019-03-02T00:00:00"/>
    <n v="3"/>
    <n v="2019"/>
    <s v="South Asia"/>
    <x v="2"/>
    <s v="PROCESSING"/>
    <s v="PENDING"/>
    <s v="Standard Class"/>
    <n v="100"/>
  </r>
  <r>
    <n v="29204"/>
    <s v="DEBIT"/>
    <n v="5"/>
    <n v="4"/>
    <s v="DELAYED"/>
    <n v="403"/>
    <n v="1"/>
    <n v="129.99"/>
    <n v="4"/>
    <s v="Apparel"/>
    <n v="9926"/>
    <s v="Jaipur"/>
    <d v="2019-03-02T00:00:00"/>
    <n v="3"/>
    <n v="2019"/>
    <s v="South Asia"/>
    <x v="2"/>
    <s v="COMPLETE"/>
    <s v="COMPLETED"/>
    <s v="Standard Class"/>
    <n v="129.99"/>
  </r>
  <r>
    <n v="29216"/>
    <s v="TRANSFER"/>
    <n v="2"/>
    <n v="4"/>
    <s v=" ONTIME"/>
    <n v="403"/>
    <n v="1"/>
    <n v="129.99"/>
    <n v="4"/>
    <s v="Apparel"/>
    <n v="2220"/>
    <s v="Mumbai"/>
    <d v="2019-03-02T00:00:00"/>
    <n v="3"/>
    <n v="2019"/>
    <s v="South Asia"/>
    <x v="0"/>
    <s v="CANCELED"/>
    <s v="CANCELED"/>
    <s v="Standard Class"/>
    <n v="129.99"/>
  </r>
  <r>
    <n v="29218"/>
    <s v="TRANSFER"/>
    <n v="1"/>
    <n v="0"/>
    <s v="DELAYED"/>
    <n v="1014"/>
    <n v="1"/>
    <n v="49.98"/>
    <n v="7"/>
    <s v="Fan Shop"/>
    <n v="10500"/>
    <s v="Raipur"/>
    <d v="2019-03-02T00:00:00"/>
    <n v="3"/>
    <n v="2019"/>
    <s v="South Asia"/>
    <x v="18"/>
    <s v="PENDING"/>
    <s v="PENDING"/>
    <s v="Same Day"/>
    <n v="49.98"/>
  </r>
  <r>
    <n v="29220"/>
    <s v="DEBIT"/>
    <n v="6"/>
    <n v="4"/>
    <s v="DELAYED"/>
    <n v="502"/>
    <n v="5"/>
    <n v="250"/>
    <n v="5"/>
    <s v="Golf"/>
    <n v="9244"/>
    <s v="Raipur"/>
    <d v="2019-03-02T00:00:00"/>
    <n v="3"/>
    <n v="2019"/>
    <s v="South Asia"/>
    <x v="18"/>
    <s v="COMPLETE"/>
    <s v="COMPLETED"/>
    <s v="Standard Class"/>
    <n v="250"/>
  </r>
  <r>
    <n v="29224"/>
    <s v="PAYMENT"/>
    <n v="5"/>
    <n v="4"/>
    <s v="DELAYED"/>
    <n v="365"/>
    <n v="1"/>
    <n v="59.99"/>
    <n v="4"/>
    <s v="Apparel"/>
    <n v="9713"/>
    <s v="Bokaro"/>
    <d v="2019-03-02T00:00:00"/>
    <n v="3"/>
    <n v="2019"/>
    <s v="South Asia"/>
    <x v="12"/>
    <s v="PENDING_PAYMENT"/>
    <s v="PENDING"/>
    <s v="Standard Class"/>
    <n v="59.99"/>
  </r>
  <r>
    <n v="29225"/>
    <s v="DEBIT"/>
    <n v="6"/>
    <n v="4"/>
    <s v="DELAYED"/>
    <n v="804"/>
    <n v="3"/>
    <n v="59.97"/>
    <n v="6"/>
    <s v="Outdoors"/>
    <n v="4522"/>
    <s v="Bokaro"/>
    <d v="2019-03-02T00:00:00"/>
    <n v="3"/>
    <n v="2019"/>
    <s v="South Asia"/>
    <x v="12"/>
    <s v="ON_HOLD"/>
    <s v="PENDING"/>
    <s v="Standard Class"/>
    <n v="59.97"/>
  </r>
  <r>
    <n v="29226"/>
    <s v="CASH"/>
    <n v="2"/>
    <n v="4"/>
    <s v=" ONTIME"/>
    <n v="627"/>
    <n v="3"/>
    <n v="119.97"/>
    <n v="5"/>
    <s v="Golf"/>
    <n v="225"/>
    <s v="Bokaro"/>
    <d v="2019-03-02T00:00:00"/>
    <n v="3"/>
    <n v="2019"/>
    <s v="South Asia"/>
    <x v="12"/>
    <s v="CLOSED"/>
    <s v="PENDING"/>
    <s v="Standard Class"/>
    <n v="119.97"/>
  </r>
  <r>
    <n v="29227"/>
    <s v="TRANSFER"/>
    <n v="3"/>
    <n v="2"/>
    <s v="DELAYED"/>
    <n v="926"/>
    <n v="2"/>
    <n v="31.98"/>
    <n v="6"/>
    <s v="Outdoors"/>
    <n v="9367"/>
    <s v="Bokaro"/>
    <d v="2019-03-02T00:00:00"/>
    <n v="3"/>
    <n v="2019"/>
    <s v="South Asia"/>
    <x v="12"/>
    <s v="CANCELED"/>
    <s v="CANCELED"/>
    <s v="Second Class"/>
    <n v="31.98"/>
  </r>
  <r>
    <n v="29234"/>
    <s v="DEBIT"/>
    <n v="5"/>
    <n v="2"/>
    <s v="DELAYED"/>
    <n v="403"/>
    <n v="1"/>
    <n v="129.99"/>
    <n v="4"/>
    <s v="Apparel"/>
    <n v="3877"/>
    <s v="Dewas"/>
    <d v="2019-03-02T00:00:00"/>
    <n v="3"/>
    <n v="2019"/>
    <s v="South Asia"/>
    <x v="14"/>
    <s v="COMPLETE"/>
    <s v="COMPLETED"/>
    <s v="Second Class"/>
    <n v="129.99"/>
  </r>
  <r>
    <n v="29235"/>
    <s v="TRANSFER"/>
    <n v="6"/>
    <n v="2"/>
    <s v="DELAYED"/>
    <n v="365"/>
    <n v="3"/>
    <n v="179.97"/>
    <n v="4"/>
    <s v="Apparel"/>
    <n v="6106"/>
    <s v="Dewas"/>
    <d v="2019-03-02T00:00:00"/>
    <n v="3"/>
    <n v="2019"/>
    <s v="South Asia"/>
    <x v="14"/>
    <s v="PENDING"/>
    <s v="PENDING"/>
    <s v="Second Class"/>
    <n v="179.97"/>
  </r>
  <r>
    <n v="29269"/>
    <s v="CASH"/>
    <n v="0"/>
    <n v="0"/>
    <s v=" ONTIME"/>
    <n v="957"/>
    <n v="1"/>
    <n v="299.98"/>
    <n v="7"/>
    <s v="Fan Shop"/>
    <n v="5003"/>
    <s v="Gorakhpur"/>
    <d v="2019-03-03T00:00:00"/>
    <n v="3"/>
    <n v="2019"/>
    <s v="South Asia"/>
    <x v="10"/>
    <s v="CLOSED"/>
    <s v="PENDING"/>
    <s v="Same Day"/>
    <n v="299.98"/>
  </r>
  <r>
    <n v="29270"/>
    <s v="TRANSFER"/>
    <n v="6"/>
    <n v="4"/>
    <s v="DELAYED"/>
    <n v="365"/>
    <n v="2"/>
    <n v="119.98"/>
    <n v="4"/>
    <s v="Apparel"/>
    <n v="6187"/>
    <s v="Gorakhpur"/>
    <d v="2019-03-03T00:00:00"/>
    <n v="3"/>
    <n v="2019"/>
    <s v="South Asia"/>
    <x v="10"/>
    <s v="PROCESSING"/>
    <s v="PENDING"/>
    <s v="Standard Class"/>
    <n v="119.98"/>
  </r>
  <r>
    <n v="29271"/>
    <s v="CASH"/>
    <n v="2"/>
    <n v="4"/>
    <s v=" ONTIME"/>
    <n v="365"/>
    <n v="4"/>
    <n v="239.96"/>
    <n v="4"/>
    <s v="Apparel"/>
    <n v="7800"/>
    <s v="Gorakhpur"/>
    <d v="2019-03-03T00:00:00"/>
    <n v="3"/>
    <n v="2019"/>
    <s v="South Asia"/>
    <x v="10"/>
    <s v="CLOSED"/>
    <s v="PENDING"/>
    <s v="Standard Class"/>
    <n v="239.96"/>
  </r>
  <r>
    <n v="29272"/>
    <s v="DEBIT"/>
    <n v="3"/>
    <n v="4"/>
    <s v=" ONTIME"/>
    <n v="116"/>
    <n v="4"/>
    <n v="179.96"/>
    <n v="2"/>
    <s v="Fitness"/>
    <n v="8166"/>
    <s v="Gorakhpur"/>
    <d v="2019-03-03T00:00:00"/>
    <n v="3"/>
    <n v="2019"/>
    <s v="South Asia"/>
    <x v="10"/>
    <s v="COMPLETE"/>
    <s v="COMPLETED"/>
    <s v="Standard Class"/>
    <n v="179.96"/>
  </r>
  <r>
    <n v="29273"/>
    <s v="DEBIT"/>
    <n v="4"/>
    <n v="4"/>
    <s v=" ONTIME"/>
    <n v="191"/>
    <n v="5"/>
    <n v="499.95"/>
    <n v="3"/>
    <s v="Footwear"/>
    <n v="8417"/>
    <s v="Gorakhpur"/>
    <d v="2019-03-03T00:00:00"/>
    <n v="3"/>
    <n v="2019"/>
    <s v="South Asia"/>
    <x v="10"/>
    <s v="COMPLETE"/>
    <s v="COMPLETED"/>
    <s v="Standard Class"/>
    <n v="499.95"/>
  </r>
  <r>
    <n v="29284"/>
    <s v="TRANSFER"/>
    <n v="0"/>
    <n v="0"/>
    <s v=" ONTIME"/>
    <n v="1073"/>
    <n v="1"/>
    <n v="199.99"/>
    <n v="7"/>
    <s v="Fan Shop"/>
    <n v="9883"/>
    <s v="Amritsar"/>
    <d v="2019-03-03T00:00:00"/>
    <n v="3"/>
    <n v="2019"/>
    <s v="South Asia"/>
    <x v="16"/>
    <s v="PENDING"/>
    <s v="PENDING"/>
    <s v="Same Day"/>
    <n v="199.99"/>
  </r>
  <r>
    <n v="29286"/>
    <s v="TRANSFER"/>
    <n v="2"/>
    <n v="4"/>
    <s v=" ONTIME"/>
    <n v="365"/>
    <n v="5"/>
    <n v="299.95"/>
    <n v="4"/>
    <s v="Apparel"/>
    <n v="10053"/>
    <s v="Raipur"/>
    <d v="2019-03-03T00:00:00"/>
    <n v="3"/>
    <n v="2019"/>
    <s v="South Asia"/>
    <x v="2"/>
    <s v="PROCESSING"/>
    <s v="PENDING"/>
    <s v="Standard Class"/>
    <n v="299.95"/>
  </r>
  <r>
    <n v="29293"/>
    <s v="PAYMENT"/>
    <n v="1"/>
    <n v="0"/>
    <s v="DELAYED"/>
    <n v="403"/>
    <n v="1"/>
    <n v="129.99"/>
    <n v="4"/>
    <s v="Apparel"/>
    <n v="3102"/>
    <s v="Guwahati"/>
    <d v="2019-03-03T00:00:00"/>
    <n v="3"/>
    <n v="2019"/>
    <s v="South Asia"/>
    <x v="9"/>
    <s v="PENDING_PAYMENT"/>
    <s v="PENDING"/>
    <s v="Same Day"/>
    <n v="129.99"/>
  </r>
  <r>
    <n v="29309"/>
    <s v="CASH"/>
    <n v="5"/>
    <n v="2"/>
    <s v="DELAYED"/>
    <n v="627"/>
    <n v="1"/>
    <n v="39.99"/>
    <n v="5"/>
    <s v="Golf"/>
    <n v="6518"/>
    <s v="Chennai"/>
    <d v="2019-03-03T00:00:00"/>
    <n v="3"/>
    <n v="2019"/>
    <s v="South Asia"/>
    <x v="3"/>
    <s v="CLOSED"/>
    <s v="PENDING"/>
    <s v="Second Class"/>
    <n v="39.99"/>
  </r>
  <r>
    <n v="29310"/>
    <s v="DEBIT"/>
    <n v="6"/>
    <n v="2"/>
    <s v="DELAYED"/>
    <n v="403"/>
    <n v="1"/>
    <n v="129.99"/>
    <n v="4"/>
    <s v="Apparel"/>
    <n v="6617"/>
    <s v="Chennai"/>
    <d v="2019-03-03T00:00:00"/>
    <n v="3"/>
    <n v="2019"/>
    <s v="South Asia"/>
    <x v="3"/>
    <s v="COMPLETE"/>
    <s v="COMPLETED"/>
    <s v="Second Class"/>
    <n v="129.99"/>
  </r>
  <r>
    <n v="29311"/>
    <s v="DEBIT"/>
    <n v="2"/>
    <n v="4"/>
    <s v=" ONTIME"/>
    <n v="403"/>
    <n v="1"/>
    <n v="129.99"/>
    <n v="4"/>
    <s v="Apparel"/>
    <n v="9612"/>
    <s v="Chennai"/>
    <d v="2019-03-03T00:00:00"/>
    <n v="3"/>
    <n v="2019"/>
    <s v="South Asia"/>
    <x v="3"/>
    <s v="COMPLETE"/>
    <s v="COMPLETED"/>
    <s v="Standard Class"/>
    <n v="129.99"/>
  </r>
  <r>
    <n v="29316"/>
    <s v="DEBIT"/>
    <n v="2"/>
    <n v="4"/>
    <s v=" ONTIME"/>
    <n v="191"/>
    <n v="5"/>
    <n v="499.95"/>
    <n v="3"/>
    <s v="Footwear"/>
    <n v="8016"/>
    <s v="Bhatpara"/>
    <d v="2019-03-03T00:00:00"/>
    <n v="3"/>
    <n v="2019"/>
    <s v="South Asia"/>
    <x v="6"/>
    <s v="COMPLETE"/>
    <s v="COMPLETED"/>
    <s v="Standard Class"/>
    <n v="499.95"/>
  </r>
  <r>
    <n v="29317"/>
    <s v="TRANSFER"/>
    <n v="3"/>
    <n v="4"/>
    <s v=" ONTIME"/>
    <n v="1014"/>
    <n v="1"/>
    <n v="49.98"/>
    <n v="7"/>
    <s v="Fan Shop"/>
    <n v="620"/>
    <s v="Jhansi"/>
    <d v="2019-03-03T00:00:00"/>
    <n v="3"/>
    <n v="2019"/>
    <s v="South Asia"/>
    <x v="1"/>
    <s v="CANCELED"/>
    <s v="CANCELED"/>
    <s v="Standard Class"/>
    <n v="49.98"/>
  </r>
  <r>
    <n v="29318"/>
    <s v="DEBIT"/>
    <n v="4"/>
    <n v="4"/>
    <s v=" ONTIME"/>
    <n v="403"/>
    <n v="1"/>
    <n v="129.99"/>
    <n v="4"/>
    <s v="Apparel"/>
    <n v="12324"/>
    <s v="Jhansi"/>
    <d v="2019-03-03T00:00:00"/>
    <n v="3"/>
    <n v="2019"/>
    <s v="South Asia"/>
    <x v="1"/>
    <s v="COMPLETE"/>
    <s v="COMPLETED"/>
    <s v="Standard Class"/>
    <n v="129.99"/>
  </r>
  <r>
    <n v="29320"/>
    <s v="TRANSFER"/>
    <n v="6"/>
    <n v="4"/>
    <s v="DELAYED"/>
    <n v="1073"/>
    <n v="1"/>
    <n v="199.99"/>
    <n v="7"/>
    <s v="Fan Shop"/>
    <n v="11343"/>
    <s v="Jhansi"/>
    <d v="2019-03-03T00:00:00"/>
    <n v="3"/>
    <n v="2019"/>
    <s v="South Asia"/>
    <x v="1"/>
    <s v="PROCESSING"/>
    <s v="PENDING"/>
    <s v="Standard Class"/>
    <n v="199.99"/>
  </r>
  <r>
    <n v="29324"/>
    <s v="TRANSFER"/>
    <n v="5"/>
    <n v="4"/>
    <s v="DELAYED"/>
    <n v="778"/>
    <n v="5"/>
    <n v="124.95"/>
    <n v="6"/>
    <s v="Outdoors"/>
    <n v="6759"/>
    <s v="Kanpur"/>
    <d v="2019-03-04T00:00:00"/>
    <n v="3"/>
    <n v="2019"/>
    <s v="South Asia"/>
    <x v="1"/>
    <s v="PENDING"/>
    <s v="PENDING"/>
    <s v="Standard Class"/>
    <n v="124.95"/>
  </r>
  <r>
    <n v="29325"/>
    <s v="DEBIT"/>
    <n v="6"/>
    <n v="2"/>
    <s v="DELAYED"/>
    <n v="403"/>
    <n v="1"/>
    <n v="129.99"/>
    <n v="4"/>
    <s v="Apparel"/>
    <n v="1721"/>
    <s v="Kanpur"/>
    <d v="2019-03-04T00:00:00"/>
    <n v="3"/>
    <n v="2019"/>
    <s v="South Asia"/>
    <x v="1"/>
    <s v="ON_HOLD"/>
    <s v="PENDING"/>
    <s v="Second Class"/>
    <n v="129.99"/>
  </r>
  <r>
    <n v="29326"/>
    <s v="TRANSFER"/>
    <n v="2"/>
    <n v="2"/>
    <s v=" ONTIME"/>
    <n v="191"/>
    <n v="1"/>
    <n v="99.99"/>
    <n v="3"/>
    <s v="Footwear"/>
    <n v="8161"/>
    <s v="Kanpur"/>
    <d v="2019-03-04T00:00:00"/>
    <n v="3"/>
    <n v="2019"/>
    <s v="South Asia"/>
    <x v="1"/>
    <s v="PENDING"/>
    <s v="PENDING"/>
    <s v="Second Class"/>
    <n v="99.99"/>
  </r>
  <r>
    <n v="29327"/>
    <s v="TRANSFER"/>
    <n v="3"/>
    <n v="4"/>
    <s v=" ONTIME"/>
    <n v="403"/>
    <n v="1"/>
    <n v="129.99"/>
    <n v="4"/>
    <s v="Apparel"/>
    <n v="10936"/>
    <s v="Kanpur"/>
    <d v="2019-03-04T00:00:00"/>
    <n v="3"/>
    <n v="2019"/>
    <s v="South Asia"/>
    <x v="1"/>
    <s v="PROCESSING"/>
    <s v="PENDING"/>
    <s v="Standard Class"/>
    <n v="129.99"/>
  </r>
  <r>
    <n v="29328"/>
    <s v="PAYMENT"/>
    <n v="4"/>
    <n v="4"/>
    <s v=" ONTIME"/>
    <n v="403"/>
    <n v="1"/>
    <n v="129.99"/>
    <n v="4"/>
    <s v="Apparel"/>
    <n v="2776"/>
    <s v="Kanpur"/>
    <d v="2019-03-04T00:00:00"/>
    <n v="3"/>
    <n v="2019"/>
    <s v="South Asia"/>
    <x v="1"/>
    <s v="PENDING_PAYMENT"/>
    <s v="PENDING"/>
    <s v="Standard Class"/>
    <n v="129.99"/>
  </r>
  <r>
    <n v="29352"/>
    <s v="PAYMENT"/>
    <n v="3"/>
    <n v="4"/>
    <s v=" ONTIME"/>
    <n v="365"/>
    <n v="3"/>
    <n v="179.97"/>
    <n v="4"/>
    <s v="Apparel"/>
    <n v="10921"/>
    <s v="Warangal"/>
    <d v="2019-03-04T00:00:00"/>
    <n v="3"/>
    <n v="2019"/>
    <s v="South Asia"/>
    <x v="7"/>
    <s v="PENDING_PAYMENT"/>
    <s v="PENDING"/>
    <s v="Standard Class"/>
    <n v="179.97"/>
  </r>
  <r>
    <n v="29354"/>
    <s v="DEBIT"/>
    <n v="5"/>
    <n v="4"/>
    <s v="DELAYED"/>
    <n v="502"/>
    <n v="5"/>
    <n v="250"/>
    <n v="5"/>
    <s v="Golf"/>
    <n v="9018"/>
    <s v="Jammu"/>
    <d v="2019-03-04T00:00:00"/>
    <n v="3"/>
    <n v="2019"/>
    <s v="South Asia"/>
    <x v="21"/>
    <s v="COMPLETE"/>
    <s v="COMPLETED"/>
    <s v="Standard Class"/>
    <n v="250"/>
  </r>
  <r>
    <n v="29355"/>
    <s v="CASH"/>
    <n v="6"/>
    <n v="4"/>
    <s v="DELAYED"/>
    <n v="502"/>
    <n v="1"/>
    <n v="50"/>
    <n v="5"/>
    <s v="Golf"/>
    <n v="4796"/>
    <s v="Indore"/>
    <d v="2019-03-04T00:00:00"/>
    <n v="3"/>
    <n v="2019"/>
    <s v="South Asia"/>
    <x v="14"/>
    <s v="CLOSED"/>
    <s v="PENDING"/>
    <s v="Standard Class"/>
    <n v="50"/>
  </r>
  <r>
    <n v="29358"/>
    <s v="TRANSFER"/>
    <n v="4"/>
    <n v="4"/>
    <s v=" ONTIME"/>
    <n v="957"/>
    <n v="1"/>
    <n v="299.98"/>
    <n v="7"/>
    <s v="Fan Shop"/>
    <n v="2063"/>
    <s v="Bangalore"/>
    <d v="2019-03-04T00:00:00"/>
    <n v="3"/>
    <n v="2019"/>
    <s v="South Asia"/>
    <x v="8"/>
    <s v="PENDING"/>
    <s v="PENDING"/>
    <s v="Standard Class"/>
    <n v="299.98"/>
  </r>
  <r>
    <n v="29376"/>
    <s v="DEBIT"/>
    <n v="2"/>
    <n v="2"/>
    <s v=" ONTIME"/>
    <n v="1073"/>
    <n v="1"/>
    <n v="199.99"/>
    <n v="7"/>
    <s v="Fan Shop"/>
    <n v="1485"/>
    <s v="Raipur"/>
    <d v="2019-03-04T00:00:00"/>
    <n v="3"/>
    <n v="2019"/>
    <s v="South Asia"/>
    <x v="18"/>
    <s v="COMPLETE"/>
    <s v="COMPLETED"/>
    <s v="Second Class"/>
    <n v="199.99"/>
  </r>
  <r>
    <n v="29377"/>
    <s v="PAYMENT"/>
    <n v="3"/>
    <n v="2"/>
    <s v="DELAYED"/>
    <n v="365"/>
    <n v="1"/>
    <n v="59.99"/>
    <n v="4"/>
    <s v="Apparel"/>
    <n v="44"/>
    <s v="Raipur"/>
    <d v="2019-03-04T00:00:00"/>
    <n v="3"/>
    <n v="2019"/>
    <s v="South Asia"/>
    <x v="18"/>
    <s v="PENDING_PAYMENT"/>
    <s v="PENDING"/>
    <s v="Second Class"/>
    <n v="59.99"/>
  </r>
  <r>
    <n v="29395"/>
    <s v="PAYMENT"/>
    <n v="6"/>
    <n v="4"/>
    <s v="DELAYED"/>
    <n v="191"/>
    <n v="3"/>
    <n v="299.97000000000003"/>
    <n v="3"/>
    <s v="Footwear"/>
    <n v="8179"/>
    <s v="Surat"/>
    <d v="2019-03-05T00:00:00"/>
    <n v="3"/>
    <n v="2019"/>
    <s v="South Asia"/>
    <x v="4"/>
    <s v="PENDING_PAYMENT"/>
    <s v="PENDING"/>
    <s v="Standard Class"/>
    <n v="299.97000000000003"/>
  </r>
  <r>
    <n v="29446"/>
    <s v="DEBIT"/>
    <n v="2"/>
    <n v="2"/>
    <s v=" ONTIME"/>
    <n v="365"/>
    <n v="1"/>
    <n v="59.99"/>
    <n v="4"/>
    <s v="Apparel"/>
    <n v="2267"/>
    <s v="Jaipur"/>
    <d v="2019-03-05T00:00:00"/>
    <n v="3"/>
    <n v="2019"/>
    <s v="South Asia"/>
    <x v="2"/>
    <s v="COMPLETE"/>
    <s v="COMPLETED"/>
    <s v="Second Class"/>
    <n v="59.99"/>
  </r>
  <r>
    <n v="29448"/>
    <s v="DEBIT"/>
    <n v="1"/>
    <n v="0"/>
    <s v="DELAYED"/>
    <n v="793"/>
    <n v="2"/>
    <n v="29.98"/>
    <n v="6"/>
    <s v="Outdoors"/>
    <n v="4937"/>
    <s v="Jaipur"/>
    <d v="2019-03-05T00:00:00"/>
    <n v="3"/>
    <n v="2019"/>
    <s v="South Asia"/>
    <x v="2"/>
    <s v="COMPLETE"/>
    <s v="COMPLETED"/>
    <s v="Same Day"/>
    <n v="29.98"/>
  </r>
  <r>
    <n v="29449"/>
    <s v="PAYMENT"/>
    <n v="1"/>
    <n v="0"/>
    <s v="DELAYED"/>
    <n v="403"/>
    <n v="1"/>
    <n v="129.99"/>
    <n v="4"/>
    <s v="Apparel"/>
    <n v="5914"/>
    <s v="Gaya"/>
    <d v="2019-03-05T00:00:00"/>
    <n v="3"/>
    <n v="2019"/>
    <s v="South Asia"/>
    <x v="17"/>
    <s v="PENDING_PAYMENT"/>
    <s v="PENDING"/>
    <s v="Same Day"/>
    <n v="129.99"/>
  </r>
  <r>
    <n v="29473"/>
    <s v="PAYMENT"/>
    <n v="2"/>
    <n v="1"/>
    <s v="DELAYED"/>
    <n v="957"/>
    <n v="1"/>
    <n v="299.98"/>
    <n v="7"/>
    <s v="Fan Shop"/>
    <n v="103"/>
    <s v="Nasik"/>
    <d v="2019-03-06T00:00:00"/>
    <n v="3"/>
    <n v="2019"/>
    <s v="South Asia"/>
    <x v="0"/>
    <s v="PENDING_PAYMENT"/>
    <s v="PENDING"/>
    <s v="First Class"/>
    <n v="299.98"/>
  </r>
  <r>
    <n v="29474"/>
    <s v="CASH"/>
    <n v="5"/>
    <n v="2"/>
    <s v="DELAYED"/>
    <n v="502"/>
    <n v="1"/>
    <n v="50"/>
    <n v="5"/>
    <s v="Golf"/>
    <n v="11354"/>
    <s v="Nasik"/>
    <d v="2019-03-06T00:00:00"/>
    <n v="3"/>
    <n v="2019"/>
    <s v="South Asia"/>
    <x v="0"/>
    <s v="CLOSED"/>
    <s v="PENDING"/>
    <s v="Second Class"/>
    <n v="50"/>
  </r>
  <r>
    <n v="29510"/>
    <s v="PAYMENT"/>
    <n v="6"/>
    <n v="2"/>
    <s v="DELAYED"/>
    <n v="365"/>
    <n v="2"/>
    <n v="119.98"/>
    <n v="4"/>
    <s v="Apparel"/>
    <n v="10329"/>
    <s v="Delhi"/>
    <d v="2019-03-06T00:00:00"/>
    <n v="3"/>
    <n v="2019"/>
    <s v="South Asia"/>
    <x v="11"/>
    <s v="PENDING_PAYMENT"/>
    <s v="PENDING"/>
    <s v="Second Class"/>
    <n v="119.98"/>
  </r>
  <r>
    <n v="29523"/>
    <s v="CASH"/>
    <n v="4"/>
    <n v="2"/>
    <s v="DELAYED"/>
    <n v="1073"/>
    <n v="1"/>
    <n v="199.99"/>
    <n v="7"/>
    <s v="Fan Shop"/>
    <n v="12316"/>
    <s v="Nagercoil"/>
    <d v="2019-03-06T00:00:00"/>
    <n v="3"/>
    <n v="2019"/>
    <s v="South Asia"/>
    <x v="3"/>
    <s v="CLOSED"/>
    <s v="PENDING"/>
    <s v="Second Class"/>
    <n v="199.99"/>
  </r>
  <r>
    <n v="29524"/>
    <s v="PAYMENT"/>
    <n v="5"/>
    <n v="2"/>
    <s v="DELAYED"/>
    <n v="502"/>
    <n v="2"/>
    <n v="100"/>
    <n v="5"/>
    <s v="Golf"/>
    <n v="10211"/>
    <s v="Nagercoil"/>
    <d v="2019-03-06T00:00:00"/>
    <n v="3"/>
    <n v="2019"/>
    <s v="South Asia"/>
    <x v="3"/>
    <s v="PENDING_PAYMENT"/>
    <s v="PENDING"/>
    <s v="Second Class"/>
    <n v="100"/>
  </r>
  <r>
    <n v="29527"/>
    <s v="DEBIT"/>
    <n v="3"/>
    <n v="4"/>
    <s v=" ONTIME"/>
    <n v="1073"/>
    <n v="1"/>
    <n v="199.99"/>
    <n v="7"/>
    <s v="Fan Shop"/>
    <n v="5952"/>
    <s v="Chennai"/>
    <d v="2019-03-07T00:00:00"/>
    <n v="3"/>
    <n v="2019"/>
    <s v="South Asia"/>
    <x v="3"/>
    <s v="COMPLETE"/>
    <s v="COMPLETED"/>
    <s v="Standard Class"/>
    <n v="199.99"/>
  </r>
  <r>
    <n v="29539"/>
    <s v="PAYMENT"/>
    <n v="5"/>
    <n v="4"/>
    <s v="DELAYED"/>
    <n v="403"/>
    <n v="1"/>
    <n v="129.99"/>
    <n v="4"/>
    <s v="Apparel"/>
    <n v="8694"/>
    <s v="Jhansi"/>
    <d v="2019-03-07T00:00:00"/>
    <n v="3"/>
    <n v="2019"/>
    <s v="South Asia"/>
    <x v="1"/>
    <s v="PENDING_PAYMENT"/>
    <s v="PENDING"/>
    <s v="Standard Class"/>
    <n v="129.99"/>
  </r>
  <r>
    <n v="29540"/>
    <s v="PAYMENT"/>
    <n v="6"/>
    <n v="4"/>
    <s v="DELAYED"/>
    <n v="1014"/>
    <n v="4"/>
    <n v="199.92"/>
    <n v="7"/>
    <s v="Fan Shop"/>
    <n v="8582"/>
    <s v="Jhansi"/>
    <d v="2019-03-07T00:00:00"/>
    <n v="3"/>
    <n v="2019"/>
    <s v="South Asia"/>
    <x v="1"/>
    <s v="PENDING_PAYMENT"/>
    <s v="PENDING"/>
    <s v="Standard Class"/>
    <n v="199.92"/>
  </r>
  <r>
    <n v="29541"/>
    <s v="TRANSFER"/>
    <n v="2"/>
    <n v="2"/>
    <s v=" ONTIME"/>
    <n v="1073"/>
    <n v="1"/>
    <n v="199.99"/>
    <n v="7"/>
    <s v="Fan Shop"/>
    <n v="551"/>
    <s v="Jhansi"/>
    <d v="2019-03-07T00:00:00"/>
    <n v="3"/>
    <n v="2019"/>
    <s v="South Asia"/>
    <x v="1"/>
    <s v="PENDING"/>
    <s v="PENDING"/>
    <s v="Second Class"/>
    <n v="199.99"/>
  </r>
  <r>
    <n v="29542"/>
    <s v="CASH"/>
    <n v="3"/>
    <n v="2"/>
    <s v="DELAYED"/>
    <n v="403"/>
    <n v="1"/>
    <n v="129.99"/>
    <n v="4"/>
    <s v="Apparel"/>
    <n v="5388"/>
    <s v="Jhansi"/>
    <d v="2019-03-07T00:00:00"/>
    <n v="3"/>
    <n v="2019"/>
    <s v="South Asia"/>
    <x v="1"/>
    <s v="CLOSED"/>
    <s v="PENDING"/>
    <s v="Second Class"/>
    <n v="129.99"/>
  </r>
  <r>
    <n v="29544"/>
    <s v="DEBIT"/>
    <n v="5"/>
    <n v="2"/>
    <s v="DELAYED"/>
    <n v="502"/>
    <n v="1"/>
    <n v="50"/>
    <n v="5"/>
    <s v="Golf"/>
    <n v="8013"/>
    <s v="Jhansi"/>
    <d v="2019-03-07T00:00:00"/>
    <n v="3"/>
    <n v="2019"/>
    <s v="South Asia"/>
    <x v="1"/>
    <s v="COMPLETE"/>
    <s v="COMPLETED"/>
    <s v="Second Class"/>
    <n v="50"/>
  </r>
  <r>
    <n v="29573"/>
    <s v="TRANSFER"/>
    <n v="1"/>
    <n v="0"/>
    <s v="DELAYED"/>
    <n v="1014"/>
    <n v="1"/>
    <n v="49.98"/>
    <n v="7"/>
    <s v="Fan Shop"/>
    <n v="11830"/>
    <s v="Rajkot"/>
    <d v="2019-03-07T00:00:00"/>
    <n v="3"/>
    <n v="2019"/>
    <s v="South Asia"/>
    <x v="4"/>
    <s v="PROCESSING"/>
    <s v="PENDING"/>
    <s v="Same Day"/>
    <n v="49.98"/>
  </r>
  <r>
    <n v="29574"/>
    <s v="DEBIT"/>
    <n v="5"/>
    <n v="4"/>
    <s v="DELAYED"/>
    <n v="191"/>
    <n v="1"/>
    <n v="99.99"/>
    <n v="3"/>
    <s v="Footwear"/>
    <n v="5475"/>
    <s v="Vijayawada"/>
    <d v="2019-03-07T00:00:00"/>
    <n v="3"/>
    <n v="2019"/>
    <s v="South Asia"/>
    <x v="15"/>
    <s v="ON_HOLD"/>
    <s v="PENDING"/>
    <s v="Standard Class"/>
    <n v="99.99"/>
  </r>
  <r>
    <n v="29579"/>
    <s v="DEBIT"/>
    <n v="5"/>
    <n v="2"/>
    <s v="DELAYED"/>
    <n v="365"/>
    <n v="1"/>
    <n v="59.99"/>
    <n v="4"/>
    <s v="Apparel"/>
    <n v="9356"/>
    <s v="Tumkur"/>
    <d v="2019-03-07T00:00:00"/>
    <n v="3"/>
    <n v="2019"/>
    <s v="South Asia"/>
    <x v="8"/>
    <s v="COMPLETE"/>
    <s v="COMPLETED"/>
    <s v="Second Class"/>
    <n v="59.99"/>
  </r>
  <r>
    <n v="29597"/>
    <s v="TRANSFER"/>
    <n v="3"/>
    <n v="4"/>
    <s v=" ONTIME"/>
    <n v="403"/>
    <n v="1"/>
    <n v="129.99"/>
    <n v="4"/>
    <s v="Apparel"/>
    <n v="2030"/>
    <s v="Jodhpur"/>
    <d v="2019-03-08T00:00:00"/>
    <n v="3"/>
    <n v="2019"/>
    <s v="South Asia"/>
    <x v="2"/>
    <s v="PENDING"/>
    <s v="PENDING"/>
    <s v="Standard Class"/>
    <n v="129.99"/>
  </r>
  <r>
    <n v="29600"/>
    <s v="DEBIT"/>
    <n v="2"/>
    <n v="1"/>
    <s v="DELAYED"/>
    <n v="365"/>
    <n v="1"/>
    <n v="59.99"/>
    <n v="4"/>
    <s v="Apparel"/>
    <n v="3452"/>
    <s v="Delhi"/>
    <d v="2019-03-08T00:00:00"/>
    <n v="3"/>
    <n v="2019"/>
    <s v="South Asia"/>
    <x v="11"/>
    <s v="COMPLETE"/>
    <s v="COMPLETED"/>
    <s v="First Class"/>
    <n v="59.99"/>
  </r>
  <r>
    <n v="29601"/>
    <s v="PAYMENT"/>
    <n v="2"/>
    <n v="1"/>
    <s v="DELAYED"/>
    <n v="957"/>
    <n v="1"/>
    <n v="299.98"/>
    <n v="7"/>
    <s v="Fan Shop"/>
    <n v="11406"/>
    <s v="Delhi"/>
    <d v="2019-03-08T00:00:00"/>
    <n v="3"/>
    <n v="2019"/>
    <s v="South Asia"/>
    <x v="11"/>
    <s v="PENDING_PAYMENT"/>
    <s v="PENDING"/>
    <s v="First Class"/>
    <n v="299.98"/>
  </r>
  <r>
    <n v="29602"/>
    <s v="DEBIT"/>
    <n v="3"/>
    <n v="4"/>
    <s v=" ONTIME"/>
    <n v="403"/>
    <n v="1"/>
    <n v="129.99"/>
    <n v="4"/>
    <s v="Apparel"/>
    <n v="3803"/>
    <s v="Delhi"/>
    <d v="2019-03-08T00:00:00"/>
    <n v="3"/>
    <n v="2019"/>
    <s v="South Asia"/>
    <x v="11"/>
    <s v="COMPLETE"/>
    <s v="COMPLETED"/>
    <s v="Standard Class"/>
    <n v="129.99"/>
  </r>
  <r>
    <n v="29604"/>
    <s v="DEBIT"/>
    <n v="5"/>
    <n v="2"/>
    <s v="DELAYED"/>
    <n v="502"/>
    <n v="4"/>
    <n v="200"/>
    <n v="5"/>
    <s v="Golf"/>
    <n v="10753"/>
    <s v="Delhi"/>
    <d v="2019-03-08T00:00:00"/>
    <n v="3"/>
    <n v="2019"/>
    <s v="South Asia"/>
    <x v="11"/>
    <s v="COMPLETE"/>
    <s v="COMPLETED"/>
    <s v="Second Class"/>
    <n v="200"/>
  </r>
  <r>
    <n v="29618"/>
    <s v="TRANSFER"/>
    <n v="2"/>
    <n v="1"/>
    <s v="DELAYED"/>
    <n v="1014"/>
    <n v="3"/>
    <n v="149.94"/>
    <n v="7"/>
    <s v="Fan Shop"/>
    <n v="954"/>
    <s v="Durgapur"/>
    <d v="2019-03-08T00:00:00"/>
    <n v="3"/>
    <n v="2019"/>
    <s v="South Asia"/>
    <x v="6"/>
    <s v="PROCESSING"/>
    <s v="PENDING"/>
    <s v="First Class"/>
    <n v="149.94"/>
  </r>
  <r>
    <n v="29620"/>
    <s v="DEBIT"/>
    <n v="6"/>
    <n v="4"/>
    <s v="DELAYED"/>
    <n v="1073"/>
    <n v="1"/>
    <n v="199.99"/>
    <n v="7"/>
    <s v="Fan Shop"/>
    <n v="9574"/>
    <s v="Kollam"/>
    <d v="2019-03-08T00:00:00"/>
    <n v="3"/>
    <n v="2019"/>
    <s v="South Asia"/>
    <x v="20"/>
    <s v="COMPLETE"/>
    <s v="COMPLETED"/>
    <s v="Standard Class"/>
    <n v="199.99"/>
  </r>
  <r>
    <n v="29659"/>
    <s v="DEBIT"/>
    <n v="5"/>
    <n v="2"/>
    <s v="DELAYED"/>
    <n v="134"/>
    <n v="3"/>
    <n v="75"/>
    <n v="2"/>
    <s v="Fitness"/>
    <n v="7315"/>
    <s v="Moradabad"/>
    <d v="2019-03-08T00:00:00"/>
    <n v="3"/>
    <n v="2019"/>
    <s v="South Asia"/>
    <x v="1"/>
    <s v="COMPLETE"/>
    <s v="COMPLETED"/>
    <s v="Second Class"/>
    <n v="75"/>
  </r>
  <r>
    <n v="29671"/>
    <s v="CASH"/>
    <n v="2"/>
    <n v="1"/>
    <s v="DELAYED"/>
    <n v="502"/>
    <n v="3"/>
    <n v="150"/>
    <n v="5"/>
    <s v="Golf"/>
    <n v="9298"/>
    <s v="Moradabad"/>
    <d v="2019-03-09T00:00:00"/>
    <n v="3"/>
    <n v="2019"/>
    <s v="South Asia"/>
    <x v="1"/>
    <s v="CLOSED"/>
    <s v="PENDING"/>
    <s v="First Class"/>
    <n v="150"/>
  </r>
  <r>
    <n v="29680"/>
    <s v="DEBIT"/>
    <n v="6"/>
    <n v="4"/>
    <s v="DELAYED"/>
    <n v="502"/>
    <n v="1"/>
    <n v="50"/>
    <n v="5"/>
    <s v="Golf"/>
    <n v="4932"/>
    <s v="Mumbai"/>
    <d v="2019-03-09T00:00:00"/>
    <n v="3"/>
    <n v="2019"/>
    <s v="South Asia"/>
    <x v="0"/>
    <s v="COMPLETE"/>
    <s v="COMPLETED"/>
    <s v="Standard Class"/>
    <n v="50"/>
  </r>
  <r>
    <n v="29686"/>
    <s v="DEBIT"/>
    <n v="2"/>
    <n v="4"/>
    <s v=" ONTIME"/>
    <n v="403"/>
    <n v="1"/>
    <n v="129.99"/>
    <n v="4"/>
    <s v="Apparel"/>
    <n v="7802"/>
    <s v="Avadi"/>
    <d v="2019-03-09T00:00:00"/>
    <n v="3"/>
    <n v="2019"/>
    <s v="South Asia"/>
    <x v="3"/>
    <s v="COMPLETE"/>
    <s v="COMPLETED"/>
    <s v="Standard Class"/>
    <n v="129.99"/>
  </r>
  <r>
    <n v="29687"/>
    <s v="TRANSFER"/>
    <n v="2"/>
    <n v="1"/>
    <s v="DELAYED"/>
    <n v="403"/>
    <n v="1"/>
    <n v="129.99"/>
    <n v="4"/>
    <s v="Apparel"/>
    <n v="9920"/>
    <s v="Avadi"/>
    <d v="2019-03-09T00:00:00"/>
    <n v="3"/>
    <n v="2019"/>
    <s v="South Asia"/>
    <x v="3"/>
    <s v="PROCESSING"/>
    <s v="PENDING"/>
    <s v="First Class"/>
    <n v="129.99"/>
  </r>
  <r>
    <n v="29692"/>
    <s v="DEBIT"/>
    <n v="2"/>
    <n v="1"/>
    <s v="DELAYED"/>
    <n v="191"/>
    <n v="1"/>
    <n v="99.99"/>
    <n v="3"/>
    <s v="Footwear"/>
    <n v="4234"/>
    <s v="Allahabad"/>
    <d v="2019-03-09T00:00:00"/>
    <n v="3"/>
    <n v="2019"/>
    <s v="South Asia"/>
    <x v="1"/>
    <s v="COMPLETE"/>
    <s v="COMPLETED"/>
    <s v="First Class"/>
    <n v="99.99"/>
  </r>
  <r>
    <n v="29699"/>
    <s v="DEBIT"/>
    <n v="5"/>
    <n v="4"/>
    <s v="DELAYED"/>
    <n v="957"/>
    <n v="1"/>
    <n v="299.98"/>
    <n v="7"/>
    <s v="Fan Shop"/>
    <n v="5446"/>
    <s v="Kota"/>
    <d v="2019-03-09T00:00:00"/>
    <n v="3"/>
    <n v="2019"/>
    <s v="South Asia"/>
    <x v="2"/>
    <s v="COMPLETE"/>
    <s v="COMPLETED"/>
    <s v="Standard Class"/>
    <n v="299.98"/>
  </r>
  <r>
    <n v="29712"/>
    <s v="PAYMENT"/>
    <n v="2"/>
    <n v="1"/>
    <s v="DELAYED"/>
    <n v="1073"/>
    <n v="1"/>
    <n v="199.99"/>
    <n v="7"/>
    <s v="Fan Shop"/>
    <n v="3516"/>
    <s v="Udaipur"/>
    <d v="2019-03-09T00:00:00"/>
    <n v="3"/>
    <n v="2019"/>
    <s v="South Asia"/>
    <x v="24"/>
    <s v="PENDING_PAYMENT"/>
    <s v="PENDING"/>
    <s v="First Class"/>
    <n v="199.99"/>
  </r>
  <r>
    <n v="29714"/>
    <s v="CASH"/>
    <n v="2"/>
    <n v="1"/>
    <s v="DELAYED"/>
    <n v="502"/>
    <n v="4"/>
    <n v="200"/>
    <n v="5"/>
    <s v="Golf"/>
    <n v="5148"/>
    <s v="Udaipur"/>
    <d v="2019-03-09T00:00:00"/>
    <n v="3"/>
    <n v="2019"/>
    <s v="South Asia"/>
    <x v="24"/>
    <s v="CLOSED"/>
    <s v="PENDING"/>
    <s v="First Class"/>
    <n v="200"/>
  </r>
  <r>
    <n v="29719"/>
    <s v="PAYMENT"/>
    <n v="2"/>
    <n v="1"/>
    <s v="DELAYED"/>
    <n v="365"/>
    <n v="1"/>
    <n v="59.99"/>
    <n v="4"/>
    <s v="Apparel"/>
    <n v="841"/>
    <s v="Muzaffarpur"/>
    <d v="2019-03-09T00:00:00"/>
    <n v="3"/>
    <n v="2019"/>
    <s v="South Asia"/>
    <x v="17"/>
    <s v="PENDING_PAYMENT"/>
    <s v="PENDING"/>
    <s v="First Class"/>
    <n v="59.99"/>
  </r>
  <r>
    <n v="29720"/>
    <s v="TRANSFER"/>
    <n v="2"/>
    <n v="1"/>
    <s v="DELAYED"/>
    <n v="278"/>
    <n v="5"/>
    <n v="224.95"/>
    <n v="3"/>
    <s v="Footwear"/>
    <n v="7282"/>
    <s v="Muzaffarpur"/>
    <d v="2019-03-09T00:00:00"/>
    <n v="3"/>
    <n v="2019"/>
    <s v="South Asia"/>
    <x v="17"/>
    <s v="PENDING"/>
    <s v="PENDING"/>
    <s v="First Class"/>
    <n v="224.95"/>
  </r>
  <r>
    <n v="29729"/>
    <s v="CASH"/>
    <n v="5"/>
    <n v="2"/>
    <s v="DELAYED"/>
    <n v="1014"/>
    <n v="4"/>
    <n v="199.92"/>
    <n v="7"/>
    <s v="Fan Shop"/>
    <n v="85"/>
    <s v="Mumbai"/>
    <d v="2019-03-09T00:00:00"/>
    <n v="3"/>
    <n v="2019"/>
    <s v="South Asia"/>
    <x v="0"/>
    <s v="CLOSED"/>
    <s v="PENDING"/>
    <s v="Second Class"/>
    <n v="199.92"/>
  </r>
  <r>
    <n v="29747"/>
    <s v="TRANSFER"/>
    <n v="2"/>
    <n v="1"/>
    <s v="DELAYED"/>
    <n v="116"/>
    <n v="1"/>
    <n v="44.99"/>
    <n v="2"/>
    <s v="Fitness"/>
    <n v="7670"/>
    <s v="Pune"/>
    <d v="2019-03-10T00:00:00"/>
    <n v="3"/>
    <n v="2019"/>
    <s v="South Asia"/>
    <x v="0"/>
    <s v="PENDING"/>
    <s v="PENDING"/>
    <s v="First Class"/>
    <n v="44.99"/>
  </r>
  <r>
    <n v="29748"/>
    <s v="PAYMENT"/>
    <n v="2"/>
    <n v="1"/>
    <s v="DELAYED"/>
    <n v="403"/>
    <n v="1"/>
    <n v="129.99"/>
    <n v="4"/>
    <s v="Apparel"/>
    <n v="6792"/>
    <s v="Pune"/>
    <d v="2019-03-10T00:00:00"/>
    <n v="3"/>
    <n v="2019"/>
    <s v="South Asia"/>
    <x v="0"/>
    <s v="PENDING_PAYMENT"/>
    <s v="PENDING"/>
    <s v="First Class"/>
    <n v="129.99"/>
  </r>
  <r>
    <n v="29749"/>
    <s v="TRANSFER"/>
    <n v="2"/>
    <n v="1"/>
    <s v="DELAYED"/>
    <n v="627"/>
    <n v="4"/>
    <n v="159.96"/>
    <n v="5"/>
    <s v="Golf"/>
    <n v="4399"/>
    <s v="Pune"/>
    <d v="2019-03-10T00:00:00"/>
    <n v="3"/>
    <n v="2019"/>
    <s v="South Asia"/>
    <x v="0"/>
    <s v="PENDING"/>
    <s v="PENDING"/>
    <s v="First Class"/>
    <n v="159.96"/>
  </r>
  <r>
    <n v="29750"/>
    <s v="PAYMENT"/>
    <n v="2"/>
    <n v="1"/>
    <s v="DELAYED"/>
    <n v="778"/>
    <n v="3"/>
    <n v="74.97"/>
    <n v="6"/>
    <s v="Outdoors"/>
    <n v="622"/>
    <s v="Srinagar"/>
    <d v="2019-03-10T00:00:00"/>
    <n v="3"/>
    <n v="2019"/>
    <s v="South Asia"/>
    <x v="21"/>
    <s v="PENDING_PAYMENT"/>
    <s v="PENDING"/>
    <s v="First Class"/>
    <n v="74.97"/>
  </r>
  <r>
    <n v="29751"/>
    <s v="CASH"/>
    <n v="2"/>
    <n v="4"/>
    <s v=" ONTIME"/>
    <n v="957"/>
    <n v="1"/>
    <n v="299.98"/>
    <n v="7"/>
    <s v="Fan Shop"/>
    <n v="1860"/>
    <s v="Srinagar"/>
    <d v="2019-03-10T00:00:00"/>
    <n v="3"/>
    <n v="2019"/>
    <s v="South Asia"/>
    <x v="21"/>
    <s v="CLOSED"/>
    <s v="PENDING"/>
    <s v="Standard Class"/>
    <n v="299.98"/>
  </r>
  <r>
    <n v="29752"/>
    <s v="DEBIT"/>
    <n v="3"/>
    <n v="4"/>
    <s v=" ONTIME"/>
    <n v="885"/>
    <n v="2"/>
    <n v="49.98"/>
    <n v="6"/>
    <s v="Outdoors"/>
    <n v="7200"/>
    <s v="Srinagar"/>
    <d v="2019-03-10T00:00:00"/>
    <n v="3"/>
    <n v="2019"/>
    <s v="South Asia"/>
    <x v="21"/>
    <s v="ON_HOLD"/>
    <s v="PENDING"/>
    <s v="Standard Class"/>
    <n v="49.98"/>
  </r>
  <r>
    <n v="29753"/>
    <s v="DEBIT"/>
    <n v="4"/>
    <n v="4"/>
    <s v=" ONTIME"/>
    <n v="1004"/>
    <n v="1"/>
    <n v="399.98"/>
    <n v="7"/>
    <s v="Fan Shop"/>
    <n v="2446"/>
    <s v="Srinagar"/>
    <d v="2019-03-10T00:00:00"/>
    <n v="3"/>
    <n v="2019"/>
    <s v="South Asia"/>
    <x v="21"/>
    <s v="COMPLETE"/>
    <s v="COMPLETED"/>
    <s v="Standard Class"/>
    <n v="399.98"/>
  </r>
  <r>
    <n v="29780"/>
    <s v="DEBIT"/>
    <n v="6"/>
    <n v="4"/>
    <s v="DELAYED"/>
    <n v="365"/>
    <n v="2"/>
    <n v="119.98"/>
    <n v="4"/>
    <s v="Apparel"/>
    <n v="5639"/>
    <s v="Barasat"/>
    <d v="2019-03-10T00:00:00"/>
    <n v="3"/>
    <n v="2019"/>
    <s v="South Asia"/>
    <x v="6"/>
    <s v="COMPLETE"/>
    <s v="COMPLETED"/>
    <s v="Standard Class"/>
    <n v="119.98"/>
  </r>
  <r>
    <n v="29806"/>
    <s v="TRANSFER"/>
    <n v="2"/>
    <n v="4"/>
    <s v=" ONTIME"/>
    <n v="1004"/>
    <n v="1"/>
    <n v="399.98"/>
    <n v="7"/>
    <s v="Fan Shop"/>
    <n v="8460"/>
    <s v="Saharanpur"/>
    <d v="2019-03-11T00:00:00"/>
    <n v="3"/>
    <n v="2019"/>
    <s v="South Asia"/>
    <x v="1"/>
    <s v="PROCESSING"/>
    <s v="PENDING"/>
    <s v="Standard Class"/>
    <n v="399.98"/>
  </r>
  <r>
    <n v="29865"/>
    <s v="TRANSFER"/>
    <n v="6"/>
    <n v="4"/>
    <s v="DELAYED"/>
    <n v="1073"/>
    <n v="1"/>
    <n v="199.99"/>
    <n v="7"/>
    <s v="Fan Shop"/>
    <n v="2050"/>
    <s v="Bangalore"/>
    <d v="2019-03-11T00:00:00"/>
    <n v="3"/>
    <n v="2019"/>
    <s v="South Asia"/>
    <x v="8"/>
    <s v="PENDING"/>
    <s v="PENDING"/>
    <s v="Standard Class"/>
    <n v="199.99"/>
  </r>
  <r>
    <n v="29866"/>
    <s v="TRANSFER"/>
    <n v="2"/>
    <n v="4"/>
    <s v=" ONTIME"/>
    <n v="572"/>
    <n v="1"/>
    <n v="39.99"/>
    <n v="5"/>
    <s v="Golf"/>
    <n v="2676"/>
    <s v="Bangalore"/>
    <d v="2019-03-11T00:00:00"/>
    <n v="3"/>
    <n v="2019"/>
    <s v="South Asia"/>
    <x v="8"/>
    <s v="PENDING"/>
    <s v="PENDING"/>
    <s v="Standard Class"/>
    <n v="39.99"/>
  </r>
  <r>
    <n v="29911"/>
    <s v="PAYMENT"/>
    <n v="1"/>
    <n v="0"/>
    <s v="DELAYED"/>
    <n v="502"/>
    <n v="5"/>
    <n v="250"/>
    <n v="5"/>
    <s v="Golf"/>
    <n v="11046"/>
    <s v="Bhavnagar"/>
    <d v="2019-03-12T00:00:00"/>
    <n v="3"/>
    <n v="2019"/>
    <s v="South Asia"/>
    <x v="4"/>
    <s v="PENDING_PAYMENT"/>
    <s v="PENDING"/>
    <s v="Same Day"/>
    <n v="250"/>
  </r>
  <r>
    <n v="29914"/>
    <s v="DEBIT"/>
    <n v="2"/>
    <n v="1"/>
    <s v="DELAYED"/>
    <n v="403"/>
    <n v="1"/>
    <n v="129.99"/>
    <n v="4"/>
    <s v="Apparel"/>
    <n v="7528"/>
    <s v="Bilaspur"/>
    <d v="2019-03-12T00:00:00"/>
    <n v="3"/>
    <n v="2019"/>
    <s v="South Asia"/>
    <x v="1"/>
    <s v="COMPLETE"/>
    <s v="COMPLETED"/>
    <s v="First Class"/>
    <n v="129.99"/>
  </r>
  <r>
    <n v="29916"/>
    <s v="TRANSFER"/>
    <n v="2"/>
    <n v="4"/>
    <s v=" ONTIME"/>
    <n v="1014"/>
    <n v="2"/>
    <n v="99.96"/>
    <n v="7"/>
    <s v="Fan Shop"/>
    <n v="3660"/>
    <s v="Bilaspur"/>
    <d v="2019-03-12T00:00:00"/>
    <n v="3"/>
    <n v="2019"/>
    <s v="South Asia"/>
    <x v="1"/>
    <s v="PROCESSING"/>
    <s v="PENDING"/>
    <s v="Standard Class"/>
    <n v="99.96"/>
  </r>
  <r>
    <n v="29932"/>
    <s v="PAYMENT"/>
    <n v="3"/>
    <n v="2"/>
    <s v="DELAYED"/>
    <n v="1073"/>
    <n v="1"/>
    <n v="199.99"/>
    <n v="7"/>
    <s v="Fan Shop"/>
    <n v="2224"/>
    <s v="Pimpri"/>
    <d v="2019-03-12T00:00:00"/>
    <n v="3"/>
    <n v="2019"/>
    <s v="South Asia"/>
    <x v="0"/>
    <s v="PENDING_PAYMENT"/>
    <s v="PENDING"/>
    <s v="Second Class"/>
    <n v="199.99"/>
  </r>
  <r>
    <n v="29942"/>
    <s v="CASH"/>
    <n v="0"/>
    <n v="0"/>
    <s v=" ONTIME"/>
    <n v="502"/>
    <n v="4"/>
    <n v="200"/>
    <n v="5"/>
    <s v="Golf"/>
    <n v="409"/>
    <s v="Varanasi"/>
    <d v="2019-03-13T00:00:00"/>
    <n v="3"/>
    <n v="2019"/>
    <s v="South Asia"/>
    <x v="1"/>
    <s v="CLOSED"/>
    <s v="PENDING"/>
    <s v="Same Day"/>
    <n v="200"/>
  </r>
  <r>
    <n v="29988"/>
    <s v="DEBIT"/>
    <n v="2"/>
    <n v="1"/>
    <s v="DELAYED"/>
    <n v="365"/>
    <n v="1"/>
    <n v="59.99"/>
    <n v="4"/>
    <s v="Apparel"/>
    <n v="4016"/>
    <s v="Bikaner"/>
    <d v="2019-03-13T00:00:00"/>
    <n v="3"/>
    <n v="2019"/>
    <s v="South Asia"/>
    <x v="2"/>
    <s v="COMPLETE"/>
    <s v="COMPLETED"/>
    <s v="First Class"/>
    <n v="59.99"/>
  </r>
  <r>
    <n v="29994"/>
    <s v="DEBIT"/>
    <n v="5"/>
    <n v="4"/>
    <s v="DELAYED"/>
    <n v="1073"/>
    <n v="1"/>
    <n v="199.99"/>
    <n v="7"/>
    <s v="Fan Shop"/>
    <n v="6358"/>
    <s v="Visakhapatnam"/>
    <d v="2019-03-13T00:00:00"/>
    <n v="3"/>
    <n v="2019"/>
    <s v="South Asia"/>
    <x v="15"/>
    <s v="COMPLETE"/>
    <s v="COMPLETED"/>
    <s v="Standard Class"/>
    <n v="199.99"/>
  </r>
  <r>
    <n v="29995"/>
    <s v="TRANSFER"/>
    <n v="6"/>
    <n v="4"/>
    <s v="DELAYED"/>
    <n v="924"/>
    <n v="5"/>
    <n v="79.95"/>
    <n v="6"/>
    <s v="Outdoors"/>
    <n v="387"/>
    <s v="Visakhapatnam"/>
    <d v="2019-03-13T00:00:00"/>
    <n v="3"/>
    <n v="2019"/>
    <s v="South Asia"/>
    <x v="15"/>
    <s v="PROCESSING"/>
    <s v="PENDING"/>
    <s v="Standard Class"/>
    <n v="79.95"/>
  </r>
  <r>
    <n v="30000"/>
    <s v="PAYMENT"/>
    <n v="6"/>
    <n v="4"/>
    <s v="DELAYED"/>
    <n v="502"/>
    <n v="3"/>
    <n v="150"/>
    <n v="5"/>
    <s v="Golf"/>
    <n v="9683"/>
    <s v="Chennai"/>
    <d v="2019-03-13T00:00:00"/>
    <n v="3"/>
    <n v="2019"/>
    <s v="South Asia"/>
    <x v="3"/>
    <s v="PENDING_PAYMENT"/>
    <s v="PENDING"/>
    <s v="Standard Class"/>
    <n v="150"/>
  </r>
  <r>
    <n v="30002"/>
    <s v="DEBIT"/>
    <n v="3"/>
    <n v="4"/>
    <s v=" ONTIME"/>
    <n v="403"/>
    <n v="1"/>
    <n v="129.99"/>
    <n v="4"/>
    <s v="Apparel"/>
    <n v="12034"/>
    <s v="Chennai"/>
    <d v="2019-03-13T00:00:00"/>
    <n v="3"/>
    <n v="2019"/>
    <s v="South Asia"/>
    <x v="3"/>
    <s v="ON_HOLD"/>
    <s v="PENDING"/>
    <s v="Standard Class"/>
    <n v="129.99"/>
  </r>
  <r>
    <n v="30010"/>
    <s v="TRANSFER"/>
    <n v="6"/>
    <n v="4"/>
    <s v="DELAYED"/>
    <n v="365"/>
    <n v="4"/>
    <n v="239.96"/>
    <n v="4"/>
    <s v="Apparel"/>
    <n v="12233"/>
    <s v="Kozhikode"/>
    <d v="2019-03-14T00:00:00"/>
    <n v="3"/>
    <n v="2019"/>
    <s v="South Asia"/>
    <x v="20"/>
    <s v="PROCESSING"/>
    <s v="PENDING"/>
    <s v="Standard Class"/>
    <n v="239.96"/>
  </r>
  <r>
    <n v="30013"/>
    <s v="PAYMENT"/>
    <n v="4"/>
    <n v="4"/>
    <s v=" ONTIME"/>
    <n v="1073"/>
    <n v="1"/>
    <n v="199.99"/>
    <n v="7"/>
    <s v="Fan Shop"/>
    <n v="7703"/>
    <s v="Coimbatore"/>
    <d v="2019-03-14T00:00:00"/>
    <n v="3"/>
    <n v="2019"/>
    <s v="South Asia"/>
    <x v="3"/>
    <s v="PENDING_PAYMENT"/>
    <s v="PENDING"/>
    <s v="Standard Class"/>
    <n v="199.99"/>
  </r>
  <r>
    <n v="30017"/>
    <s v="DEBIT"/>
    <n v="3"/>
    <n v="2"/>
    <s v="DELAYED"/>
    <n v="502"/>
    <n v="4"/>
    <n v="200"/>
    <n v="5"/>
    <s v="Golf"/>
    <n v="319"/>
    <s v="Visakhapatnam"/>
    <d v="2019-03-14T00:00:00"/>
    <n v="3"/>
    <n v="2019"/>
    <s v="South Asia"/>
    <x v="15"/>
    <s v="COMPLETE"/>
    <s v="COMPLETED"/>
    <s v="Second Class"/>
    <n v="200"/>
  </r>
  <r>
    <n v="30019"/>
    <s v="CASH"/>
    <n v="5"/>
    <n v="2"/>
    <s v="DELAYED"/>
    <n v="403"/>
    <n v="1"/>
    <n v="129.99"/>
    <n v="4"/>
    <s v="Apparel"/>
    <n v="6968"/>
    <s v="Visakhapatnam"/>
    <d v="2019-03-14T00:00:00"/>
    <n v="3"/>
    <n v="2019"/>
    <s v="South Asia"/>
    <x v="15"/>
    <s v="CLOSED"/>
    <s v="PENDING"/>
    <s v="Second Class"/>
    <n v="129.99"/>
  </r>
  <r>
    <n v="30033"/>
    <s v="CASH"/>
    <n v="4"/>
    <n v="4"/>
    <s v=" ONTIME"/>
    <n v="403"/>
    <n v="1"/>
    <n v="129.99"/>
    <n v="4"/>
    <s v="Apparel"/>
    <n v="4997"/>
    <s v="Hyderabad"/>
    <d v="2019-03-14T00:00:00"/>
    <n v="3"/>
    <n v="2019"/>
    <s v="South Asia"/>
    <x v="7"/>
    <s v="CLOSED"/>
    <s v="PENDING"/>
    <s v="Standard Class"/>
    <n v="129.99"/>
  </r>
  <r>
    <n v="30034"/>
    <s v="TRANSFER"/>
    <n v="5"/>
    <n v="4"/>
    <s v="DELAYED"/>
    <n v="403"/>
    <n v="1"/>
    <n v="129.99"/>
    <n v="4"/>
    <s v="Apparel"/>
    <n v="8997"/>
    <s v="Kota"/>
    <d v="2019-03-14T00:00:00"/>
    <n v="3"/>
    <n v="2019"/>
    <s v="South Asia"/>
    <x v="2"/>
    <s v="PROCESSING"/>
    <s v="PENDING"/>
    <s v="Standard Class"/>
    <n v="129.99"/>
  </r>
  <r>
    <n v="30042"/>
    <s v="DEBIT"/>
    <n v="3"/>
    <n v="4"/>
    <s v=" ONTIME"/>
    <n v="191"/>
    <n v="4"/>
    <n v="399.96"/>
    <n v="3"/>
    <s v="Footwear"/>
    <n v="5579"/>
    <s v="Durgapur"/>
    <d v="2019-03-14T00:00:00"/>
    <n v="3"/>
    <n v="2019"/>
    <s v="South Asia"/>
    <x v="0"/>
    <s v="COMPLETE"/>
    <s v="COMPLETED"/>
    <s v="Standard Class"/>
    <n v="399.96"/>
  </r>
  <r>
    <n v="30043"/>
    <s v="PAYMENT"/>
    <n v="4"/>
    <n v="2"/>
    <s v="DELAYED"/>
    <n v="502"/>
    <n v="5"/>
    <n v="250"/>
    <n v="5"/>
    <s v="Golf"/>
    <n v="10442"/>
    <s v="Durgapur"/>
    <d v="2019-03-14T00:00:00"/>
    <n v="3"/>
    <n v="2019"/>
    <s v="South Asia"/>
    <x v="0"/>
    <s v="PENDING_PAYMENT"/>
    <s v="PENDING"/>
    <s v="Second Class"/>
    <n v="250"/>
  </r>
  <r>
    <n v="30068"/>
    <s v="PAYMENT"/>
    <n v="4"/>
    <n v="2"/>
    <s v="DELAYED"/>
    <n v="1073"/>
    <n v="1"/>
    <n v="199.99"/>
    <n v="7"/>
    <s v="Fan Shop"/>
    <n v="4557"/>
    <s v="Gorakhpur"/>
    <d v="2019-03-14T00:00:00"/>
    <n v="3"/>
    <n v="2019"/>
    <s v="South Asia"/>
    <x v="10"/>
    <s v="PENDING_PAYMENT"/>
    <s v="PENDING"/>
    <s v="Second Class"/>
    <n v="199.99"/>
  </r>
  <r>
    <n v="30069"/>
    <s v="PAYMENT"/>
    <n v="5"/>
    <n v="4"/>
    <s v="DELAYED"/>
    <n v="403"/>
    <n v="1"/>
    <n v="129.99"/>
    <n v="4"/>
    <s v="Apparel"/>
    <n v="1396"/>
    <s v="Gorakhpur"/>
    <d v="2019-03-14T00:00:00"/>
    <n v="3"/>
    <n v="2019"/>
    <s v="South Asia"/>
    <x v="10"/>
    <s v="PENDING_PAYMENT"/>
    <s v="PENDING"/>
    <s v="Standard Class"/>
    <n v="129.99"/>
  </r>
  <r>
    <n v="30070"/>
    <s v="TRANSFER"/>
    <n v="6"/>
    <n v="4"/>
    <s v="DELAYED"/>
    <n v="365"/>
    <n v="4"/>
    <n v="239.96"/>
    <n v="4"/>
    <s v="Apparel"/>
    <n v="6476"/>
    <s v="Gorakhpur"/>
    <d v="2019-03-14T00:00:00"/>
    <n v="3"/>
    <n v="2019"/>
    <s v="South Asia"/>
    <x v="10"/>
    <s v="PENDING"/>
    <s v="PENDING"/>
    <s v="Standard Class"/>
    <n v="239.96"/>
  </r>
  <r>
    <n v="30074"/>
    <s v="TRANSFER"/>
    <n v="5"/>
    <n v="2"/>
    <s v="DELAYED"/>
    <n v="191"/>
    <n v="3"/>
    <n v="299.97000000000003"/>
    <n v="3"/>
    <s v="Footwear"/>
    <n v="8969"/>
    <s v="Nagpur"/>
    <d v="2019-03-14T00:00:00"/>
    <n v="3"/>
    <n v="2019"/>
    <s v="South Asia"/>
    <x v="0"/>
    <s v="PROCESSING"/>
    <s v="PENDING"/>
    <s v="Second Class"/>
    <n v="299.97000000000003"/>
  </r>
  <r>
    <n v="30086"/>
    <s v="PAYMENT"/>
    <n v="2"/>
    <n v="4"/>
    <s v=" ONTIME"/>
    <n v="957"/>
    <n v="1"/>
    <n v="299.98"/>
    <n v="7"/>
    <s v="Fan Shop"/>
    <n v="3336"/>
    <s v="Ghaziabad"/>
    <d v="2019-03-15T00:00:00"/>
    <n v="3"/>
    <n v="2019"/>
    <s v="South Asia"/>
    <x v="1"/>
    <s v="PENDING_PAYMENT"/>
    <s v="PENDING"/>
    <s v="Standard Class"/>
    <n v="299.98"/>
  </r>
  <r>
    <n v="30087"/>
    <s v="TRANSFER"/>
    <n v="3"/>
    <n v="4"/>
    <s v=" ONTIME"/>
    <n v="627"/>
    <n v="3"/>
    <n v="119.97"/>
    <n v="5"/>
    <s v="Golf"/>
    <n v="1184"/>
    <s v="Ghaziabad"/>
    <d v="2019-03-15T00:00:00"/>
    <n v="3"/>
    <n v="2019"/>
    <s v="South Asia"/>
    <x v="1"/>
    <s v="PENDING"/>
    <s v="PENDING"/>
    <s v="Standard Class"/>
    <n v="119.97"/>
  </r>
  <r>
    <n v="30115"/>
    <s v="PAYMENT"/>
    <n v="6"/>
    <n v="2"/>
    <s v="DELAYED"/>
    <n v="365"/>
    <n v="1"/>
    <n v="59.99"/>
    <n v="4"/>
    <s v="Apparel"/>
    <n v="8893"/>
    <s v="Varanasi"/>
    <d v="2019-03-15T00:00:00"/>
    <n v="3"/>
    <n v="2019"/>
    <s v="South Asia"/>
    <x v="1"/>
    <s v="PENDING_PAYMENT"/>
    <s v="PENDING"/>
    <s v="Second Class"/>
    <n v="59.99"/>
  </r>
  <r>
    <n v="30116"/>
    <s v="TRANSFER"/>
    <n v="2"/>
    <n v="4"/>
    <s v=" ONTIME"/>
    <n v="249"/>
    <n v="4"/>
    <n v="219.88"/>
    <n v="3"/>
    <s v="Footwear"/>
    <n v="1658"/>
    <s v="Meerut"/>
    <d v="2019-03-15T00:00:00"/>
    <n v="3"/>
    <n v="2019"/>
    <s v="South Asia"/>
    <x v="1"/>
    <s v="PROCESSING"/>
    <s v="PENDING"/>
    <s v="Standard Class"/>
    <n v="219.88"/>
  </r>
  <r>
    <n v="30123"/>
    <s v="DEBIT"/>
    <n v="4"/>
    <n v="4"/>
    <s v=" ONTIME"/>
    <n v="1014"/>
    <n v="3"/>
    <n v="149.94"/>
    <n v="7"/>
    <s v="Fan Shop"/>
    <n v="8964"/>
    <s v="Bangalore"/>
    <d v="2019-03-15T00:00:00"/>
    <n v="3"/>
    <n v="2019"/>
    <s v="South Asia"/>
    <x v="8"/>
    <s v="COMPLETE"/>
    <s v="COMPLETED"/>
    <s v="Standard Class"/>
    <n v="149.94"/>
  </r>
  <r>
    <n v="30124"/>
    <s v="DEBIT"/>
    <n v="5"/>
    <n v="2"/>
    <s v="DELAYED"/>
    <n v="403"/>
    <n v="1"/>
    <n v="129.99"/>
    <n v="4"/>
    <s v="Apparel"/>
    <n v="1223"/>
    <s v="Nellore"/>
    <d v="2019-03-15T00:00:00"/>
    <n v="3"/>
    <n v="2019"/>
    <s v="South Asia"/>
    <x v="15"/>
    <s v="ON_HOLD"/>
    <s v="PENDING"/>
    <s v="Second Class"/>
    <n v="129.99"/>
  </r>
  <r>
    <n v="30129"/>
    <s v="DEBIT"/>
    <n v="5"/>
    <n v="4"/>
    <s v="DELAYED"/>
    <n v="957"/>
    <n v="1"/>
    <n v="299.98"/>
    <n v="7"/>
    <s v="Fan Shop"/>
    <n v="6671"/>
    <s v="Coimbatore"/>
    <d v="2019-03-15T00:00:00"/>
    <n v="3"/>
    <n v="2019"/>
    <s v="South Asia"/>
    <x v="3"/>
    <s v="COMPLETE"/>
    <s v="COMPLETED"/>
    <s v="Standard Class"/>
    <n v="299.98"/>
  </r>
  <r>
    <n v="30130"/>
    <s v="DEBIT"/>
    <n v="6"/>
    <n v="4"/>
    <s v="DELAYED"/>
    <n v="191"/>
    <n v="1"/>
    <n v="99.99"/>
    <n v="3"/>
    <s v="Footwear"/>
    <n v="3886"/>
    <s v="Coimbatore"/>
    <d v="2019-03-15T00:00:00"/>
    <n v="3"/>
    <n v="2019"/>
    <s v="South Asia"/>
    <x v="3"/>
    <s v="ON_HOLD"/>
    <s v="PENDING"/>
    <s v="Standard Class"/>
    <n v="99.99"/>
  </r>
  <r>
    <n v="30140"/>
    <s v="TRANSFER"/>
    <n v="2"/>
    <n v="1"/>
    <s v="DELAYED"/>
    <n v="957"/>
    <n v="1"/>
    <n v="299.98"/>
    <n v="7"/>
    <s v="Fan Shop"/>
    <n v="10172"/>
    <s v="Amravati"/>
    <d v="2019-03-15T00:00:00"/>
    <n v="3"/>
    <n v="2019"/>
    <s v="South Asia"/>
    <x v="0"/>
    <s v="PROCESSING"/>
    <s v="PENDING"/>
    <s v="First Class"/>
    <n v="299.98"/>
  </r>
  <r>
    <n v="30181"/>
    <s v="PAYMENT"/>
    <n v="2"/>
    <n v="4"/>
    <s v=" ONTIME"/>
    <n v="403"/>
    <n v="1"/>
    <n v="129.99"/>
    <n v="4"/>
    <s v="Apparel"/>
    <n v="3262"/>
    <s v="Salem"/>
    <d v="2019-03-16T00:00:00"/>
    <n v="3"/>
    <n v="2019"/>
    <s v="South Asia"/>
    <x v="3"/>
    <s v="PENDING_PAYMENT"/>
    <s v="PENDING"/>
    <s v="Standard Class"/>
    <n v="129.99"/>
  </r>
  <r>
    <n v="30182"/>
    <s v="TRANSFER"/>
    <n v="3"/>
    <n v="4"/>
    <s v=" ONTIME"/>
    <n v="703"/>
    <n v="4"/>
    <n v="79.959999999999994"/>
    <n v="6"/>
    <s v="Outdoors"/>
    <n v="4973"/>
    <s v="Faridabad"/>
    <d v="2019-03-16T00:00:00"/>
    <n v="3"/>
    <n v="2019"/>
    <s v="South Asia"/>
    <x v="10"/>
    <s v="CANCELED"/>
    <s v="CANCELED"/>
    <s v="Standard Class"/>
    <n v="79.959999999999994"/>
  </r>
  <r>
    <n v="30199"/>
    <s v="DEBIT"/>
    <n v="5"/>
    <n v="4"/>
    <s v="DELAYED"/>
    <n v="564"/>
    <n v="3"/>
    <n v="90"/>
    <n v="5"/>
    <s v="Golf"/>
    <n v="9537"/>
    <s v="Naihati"/>
    <d v="2019-03-16T00:00:00"/>
    <n v="3"/>
    <n v="2019"/>
    <s v="South Asia"/>
    <x v="6"/>
    <s v="COMPLETE"/>
    <s v="COMPLETED"/>
    <s v="Standard Class"/>
    <n v="90"/>
  </r>
  <r>
    <n v="30200"/>
    <s v="PAYMENT"/>
    <n v="6"/>
    <n v="4"/>
    <s v="DELAYED"/>
    <n v="365"/>
    <n v="5"/>
    <n v="299.95"/>
    <n v="4"/>
    <s v="Apparel"/>
    <n v="1782"/>
    <s v="Naihati"/>
    <d v="2019-03-16T00:00:00"/>
    <n v="3"/>
    <n v="2019"/>
    <s v="South Asia"/>
    <x v="6"/>
    <s v="PENDING_PAYMENT"/>
    <s v="PENDING"/>
    <s v="Standard Class"/>
    <n v="299.95"/>
  </r>
  <r>
    <n v="30201"/>
    <s v="DEBIT"/>
    <n v="2"/>
    <n v="4"/>
    <s v=" ONTIME"/>
    <n v="1073"/>
    <n v="1"/>
    <n v="199.99"/>
    <n v="7"/>
    <s v="Fan Shop"/>
    <n v="1745"/>
    <s v="Nagpur"/>
    <d v="2019-03-16T00:00:00"/>
    <n v="3"/>
    <n v="2019"/>
    <s v="South Asia"/>
    <x v="0"/>
    <s v="COMPLETE"/>
    <s v="COMPLETED"/>
    <s v="Standard Class"/>
    <n v="199.99"/>
  </r>
  <r>
    <n v="30263"/>
    <s v="PAYMENT"/>
    <n v="4"/>
    <n v="4"/>
    <s v=" ONTIME"/>
    <n v="1014"/>
    <n v="4"/>
    <n v="199.92"/>
    <n v="7"/>
    <s v="Fan Shop"/>
    <n v="6229"/>
    <s v="Moradabad"/>
    <d v="2019-03-17T00:00:00"/>
    <n v="3"/>
    <n v="2019"/>
    <s v="South Asia"/>
    <x v="1"/>
    <s v="PENDING_PAYMENT"/>
    <s v="PENDING"/>
    <s v="Standard Class"/>
    <n v="199.92"/>
  </r>
  <r>
    <n v="30265"/>
    <s v="DEBIT"/>
    <n v="6"/>
    <n v="2"/>
    <s v="DELAYED"/>
    <n v="134"/>
    <n v="2"/>
    <n v="50"/>
    <n v="2"/>
    <s v="Fitness"/>
    <n v="7352"/>
    <s v="Moradabad"/>
    <d v="2019-03-17T00:00:00"/>
    <n v="3"/>
    <n v="2019"/>
    <s v="South Asia"/>
    <x v="1"/>
    <s v="COMPLETE"/>
    <s v="COMPLETED"/>
    <s v="Second Class"/>
    <n v="50"/>
  </r>
  <r>
    <n v="30282"/>
    <s v="TRANSFER"/>
    <n v="3"/>
    <n v="4"/>
    <s v=" ONTIME"/>
    <n v="365"/>
    <n v="3"/>
    <n v="179.97"/>
    <n v="4"/>
    <s v="Apparel"/>
    <n v="24"/>
    <s v="Ajmer"/>
    <d v="2019-03-18T00:00:00"/>
    <n v="3"/>
    <n v="2019"/>
    <s v="South Asia"/>
    <x v="2"/>
    <s v="PENDING"/>
    <s v="PENDING"/>
    <s v="Standard Class"/>
    <n v="179.97"/>
  </r>
  <r>
    <n v="71590"/>
    <s v="DEBIT"/>
    <n v="6"/>
    <n v="4"/>
    <s v="DELAYED"/>
    <n v="1354"/>
    <n v="1"/>
    <n v="164.38"/>
    <n v="9"/>
    <s v="Discs Shop"/>
    <n v="15143"/>
    <s v="New Delhi"/>
    <d v="2020-11-10T00:00:00"/>
    <n v="11"/>
    <n v="2020"/>
    <s v="South Asia"/>
    <x v="11"/>
    <s v="ON_HOLD"/>
    <s v="PENDING"/>
    <s v="Standard Class"/>
    <n v="164.38"/>
  </r>
  <r>
    <n v="71627"/>
    <s v="CASH"/>
    <n v="3"/>
    <n v="4"/>
    <s v=" ONTIME"/>
    <n v="1354"/>
    <n v="1"/>
    <n v="164.38"/>
    <n v="9"/>
    <s v="Discs Shop"/>
    <n v="15180"/>
    <s v="Kolhapur"/>
    <d v="2020-11-10T00:00:00"/>
    <n v="11"/>
    <n v="2020"/>
    <s v="South Asia"/>
    <x v="0"/>
    <s v="CLOSED"/>
    <s v="PENDING"/>
    <s v="Standard Class"/>
    <n v="164.38"/>
  </r>
  <r>
    <n v="71628"/>
    <s v="DEBIT"/>
    <n v="4"/>
    <n v="4"/>
    <s v=" ONTIME"/>
    <n v="1354"/>
    <n v="1"/>
    <n v="164.38"/>
    <n v="9"/>
    <s v="Discs Shop"/>
    <n v="15181"/>
    <s v="Kolhapur"/>
    <d v="2020-11-10T00:00:00"/>
    <n v="11"/>
    <n v="2020"/>
    <s v="South Asia"/>
    <x v="0"/>
    <s v="COMPLETE"/>
    <s v="COMPLETED"/>
    <s v="Standard Class"/>
    <n v="164.38"/>
  </r>
  <r>
    <n v="71636"/>
    <s v="TRANSFER"/>
    <n v="2"/>
    <n v="1"/>
    <s v="DELAYED"/>
    <n v="1354"/>
    <n v="1"/>
    <n v="164.38"/>
    <n v="9"/>
    <s v="Discs Shop"/>
    <n v="15189"/>
    <s v="Bareilly"/>
    <d v="2020-11-10T00:00:00"/>
    <n v="11"/>
    <n v="2020"/>
    <s v="South Asia"/>
    <x v="1"/>
    <s v="CANCELED"/>
    <s v="CANCELED"/>
    <s v="First Class"/>
    <n v="164.38"/>
  </r>
  <r>
    <n v="71651"/>
    <s v="DEBIT"/>
    <n v="2"/>
    <n v="4"/>
    <s v=" ONTIME"/>
    <n v="1354"/>
    <n v="1"/>
    <n v="164.38"/>
    <n v="9"/>
    <s v="Discs Shop"/>
    <n v="15204"/>
    <s v="Raipur"/>
    <d v="2020-11-10T00:00:00"/>
    <n v="11"/>
    <n v="2020"/>
    <s v="South Asia"/>
    <x v="2"/>
    <s v="COMPLETE"/>
    <s v="COMPLETED"/>
    <s v="Standard Class"/>
    <n v="164.38"/>
  </r>
  <r>
    <n v="71652"/>
    <s v="DEBIT"/>
    <n v="3"/>
    <n v="4"/>
    <s v=" ONTIME"/>
    <n v="1354"/>
    <n v="1"/>
    <n v="164.38"/>
    <n v="9"/>
    <s v="Discs Shop"/>
    <n v="15205"/>
    <s v="Raipur"/>
    <d v="2020-11-10T00:00:00"/>
    <n v="11"/>
    <n v="2020"/>
    <s v="South Asia"/>
    <x v="2"/>
    <s v="COMPLETE"/>
    <s v="COMPLETED"/>
    <s v="Standard Class"/>
    <n v="164.38"/>
  </r>
  <r>
    <n v="71653"/>
    <s v="PAYMENT"/>
    <n v="4"/>
    <n v="4"/>
    <s v=" ONTIME"/>
    <n v="1354"/>
    <n v="1"/>
    <n v="164.38"/>
    <n v="9"/>
    <s v="Discs Shop"/>
    <n v="15206"/>
    <s v="Raipur"/>
    <d v="2020-11-10T00:00:00"/>
    <n v="11"/>
    <n v="2020"/>
    <s v="South Asia"/>
    <x v="2"/>
    <s v="PENDING_PAYMENT"/>
    <s v="PENDING"/>
    <s v="Standard Class"/>
    <n v="164.38"/>
  </r>
  <r>
    <n v="71654"/>
    <s v="TRANSFER"/>
    <n v="5"/>
    <n v="4"/>
    <s v="DELAYED"/>
    <n v="1354"/>
    <n v="1"/>
    <n v="164.38"/>
    <n v="9"/>
    <s v="Discs Shop"/>
    <n v="15207"/>
    <s v="Raipur"/>
    <d v="2020-11-10T00:00:00"/>
    <n v="11"/>
    <n v="2020"/>
    <s v="South Asia"/>
    <x v="2"/>
    <s v="PENDING"/>
    <s v="PENDING"/>
    <s v="Standard Class"/>
    <n v="164.38"/>
  </r>
  <r>
    <n v="71655"/>
    <s v="PAYMENT"/>
    <n v="6"/>
    <n v="4"/>
    <s v="DELAYED"/>
    <n v="1354"/>
    <n v="1"/>
    <n v="164.38"/>
    <n v="9"/>
    <s v="Discs Shop"/>
    <n v="15208"/>
    <s v="Raipur"/>
    <d v="2020-11-10T00:00:00"/>
    <n v="11"/>
    <n v="2020"/>
    <s v="South Asia"/>
    <x v="2"/>
    <s v="PENDING_PAYMENT"/>
    <s v="PENDING"/>
    <s v="Standard Class"/>
    <n v="164.38"/>
  </r>
  <r>
    <n v="71656"/>
    <s v="TRANSFER"/>
    <n v="2"/>
    <n v="2"/>
    <s v=" ONTIME"/>
    <n v="1354"/>
    <n v="1"/>
    <n v="164.38"/>
    <n v="9"/>
    <s v="Discs Shop"/>
    <n v="15209"/>
    <s v="Raipur"/>
    <d v="2020-11-10T00:00:00"/>
    <n v="11"/>
    <n v="2020"/>
    <s v="South Asia"/>
    <x v="2"/>
    <s v="PENDING"/>
    <s v="PENDING"/>
    <s v="Second Class"/>
    <n v="164.38"/>
  </r>
  <r>
    <n v="71658"/>
    <s v="PAYMENT"/>
    <n v="4"/>
    <n v="4"/>
    <s v=" ONTIME"/>
    <n v="1354"/>
    <n v="1"/>
    <n v="164.38"/>
    <n v="9"/>
    <s v="Discs Shop"/>
    <n v="15211"/>
    <s v="Varanasi"/>
    <d v="2020-11-11T00:00:00"/>
    <n v="11"/>
    <n v="2020"/>
    <s v="South Asia"/>
    <x v="1"/>
    <s v="PENDING_PAYMENT"/>
    <s v="PENDING"/>
    <s v="Standard Class"/>
    <n v="164.38"/>
  </r>
  <r>
    <n v="71670"/>
    <s v="TRANSFER"/>
    <n v="6"/>
    <n v="2"/>
    <s v="DELAYED"/>
    <n v="1354"/>
    <n v="1"/>
    <n v="164.38"/>
    <n v="9"/>
    <s v="Discs Shop"/>
    <n v="15223"/>
    <s v="Kanpur"/>
    <d v="2020-11-11T00:00:00"/>
    <n v="11"/>
    <n v="2020"/>
    <s v="South Asia"/>
    <x v="1"/>
    <s v="PENDING"/>
    <s v="PENDING"/>
    <s v="Second Class"/>
    <n v="164.38"/>
  </r>
  <r>
    <n v="71671"/>
    <s v="TRANSFER"/>
    <n v="2"/>
    <n v="1"/>
    <s v="DELAYED"/>
    <n v="1354"/>
    <n v="1"/>
    <n v="164.38"/>
    <n v="9"/>
    <s v="Discs Shop"/>
    <n v="15224"/>
    <s v="Kanpur"/>
    <d v="2020-11-11T00:00:00"/>
    <n v="11"/>
    <n v="2020"/>
    <s v="South Asia"/>
    <x v="1"/>
    <s v="PENDING"/>
    <s v="PENDING"/>
    <s v="First Class"/>
    <n v="164.38"/>
  </r>
  <r>
    <n v="71697"/>
    <s v="TRANSFER"/>
    <n v="3"/>
    <n v="4"/>
    <s v=" ONTIME"/>
    <n v="1354"/>
    <n v="1"/>
    <n v="164.38"/>
    <n v="9"/>
    <s v="Discs Shop"/>
    <n v="15250"/>
    <s v="Chennai"/>
    <d v="2020-11-11T00:00:00"/>
    <n v="11"/>
    <n v="2020"/>
    <s v="South Asia"/>
    <x v="3"/>
    <s v="PENDING"/>
    <s v="PENDING"/>
    <s v="Standard Class"/>
    <n v="164.38"/>
  </r>
  <r>
    <n v="71698"/>
    <s v="PAYMENT"/>
    <n v="4"/>
    <n v="4"/>
    <s v=" ONTIME"/>
    <n v="1354"/>
    <n v="1"/>
    <n v="164.38"/>
    <n v="9"/>
    <s v="Discs Shop"/>
    <n v="15251"/>
    <s v="Chennai"/>
    <d v="2020-11-11T00:00:00"/>
    <n v="11"/>
    <n v="2020"/>
    <s v="South Asia"/>
    <x v="3"/>
    <s v="PENDING_PAYMENT"/>
    <s v="PENDING"/>
    <s v="Standard Class"/>
    <n v="164.38"/>
  </r>
  <r>
    <n v="71714"/>
    <s v="TRANSFER"/>
    <n v="5"/>
    <n v="4"/>
    <s v="DELAYED"/>
    <n v="1354"/>
    <n v="1"/>
    <n v="164.38"/>
    <n v="9"/>
    <s v="Discs Shop"/>
    <n v="15267"/>
    <s v="Bhavnagar"/>
    <d v="2020-11-11T00:00:00"/>
    <n v="11"/>
    <n v="2020"/>
    <s v="South Asia"/>
    <x v="4"/>
    <s v="PENDING"/>
    <s v="PENDING"/>
    <s v="Standard Class"/>
    <n v="164.38"/>
  </r>
  <r>
    <n v="71716"/>
    <s v="PAYMENT"/>
    <n v="1"/>
    <n v="0"/>
    <s v="DELAYED"/>
    <n v="1354"/>
    <n v="1"/>
    <n v="164.38"/>
    <n v="9"/>
    <s v="Discs Shop"/>
    <n v="15269"/>
    <s v="Imphal"/>
    <d v="2020-11-11T00:00:00"/>
    <n v="11"/>
    <n v="2020"/>
    <s v="South Asia"/>
    <x v="5"/>
    <s v="PENDING_PAYMENT"/>
    <s v="PENDING"/>
    <s v="Same Day"/>
    <n v="164.38"/>
  </r>
  <r>
    <n v="71717"/>
    <s v="TRANSFER"/>
    <n v="1"/>
    <n v="0"/>
    <s v="DELAYED"/>
    <n v="1354"/>
    <n v="1"/>
    <n v="164.38"/>
    <n v="9"/>
    <s v="Discs Shop"/>
    <n v="15270"/>
    <s v="Imphal"/>
    <d v="2020-11-11T00:00:00"/>
    <n v="11"/>
    <n v="2020"/>
    <s v="South Asia"/>
    <x v="5"/>
    <s v="PENDING"/>
    <s v="PENDING"/>
    <s v="Same Day"/>
    <n v="164.38"/>
  </r>
  <r>
    <n v="71718"/>
    <s v="DEBIT"/>
    <n v="1"/>
    <n v="0"/>
    <s v="DELAYED"/>
    <n v="1354"/>
    <n v="1"/>
    <n v="164.38"/>
    <n v="9"/>
    <s v="Discs Shop"/>
    <n v="15271"/>
    <s v="Imphal"/>
    <d v="2020-11-11T00:00:00"/>
    <n v="11"/>
    <n v="2020"/>
    <s v="South Asia"/>
    <x v="5"/>
    <s v="COMPLETE"/>
    <s v="COMPLETED"/>
    <s v="Same Day"/>
    <n v="164.38"/>
  </r>
  <r>
    <n v="71719"/>
    <s v="DEBIT"/>
    <n v="2"/>
    <n v="1"/>
    <s v="DELAYED"/>
    <n v="1354"/>
    <n v="1"/>
    <n v="164.38"/>
    <n v="9"/>
    <s v="Discs Shop"/>
    <n v="15272"/>
    <s v="Imphal"/>
    <d v="2020-11-11T00:00:00"/>
    <n v="11"/>
    <n v="2020"/>
    <s v="South Asia"/>
    <x v="5"/>
    <s v="ON_HOLD"/>
    <s v="PENDING"/>
    <s v="First Class"/>
    <n v="164.38"/>
  </r>
  <r>
    <n v="71743"/>
    <s v="CASH"/>
    <n v="4"/>
    <n v="4"/>
    <s v=" ONTIME"/>
    <n v="1355"/>
    <n v="1"/>
    <n v="532.58000000000004"/>
    <n v="6"/>
    <s v="Outdoors"/>
    <n v="15296"/>
    <s v="Barddhaman"/>
    <d v="2020-11-12T00:00:00"/>
    <n v="11"/>
    <n v="2020"/>
    <s v="South Asia"/>
    <x v="6"/>
    <s v="CLOSED"/>
    <s v="PENDING"/>
    <s v="Standard Class"/>
    <n v="532.58000000000004"/>
  </r>
  <r>
    <n v="71744"/>
    <s v="DEBIT"/>
    <n v="5"/>
    <n v="4"/>
    <s v="DELAYED"/>
    <n v="1355"/>
    <n v="1"/>
    <n v="532.58000000000004"/>
    <n v="6"/>
    <s v="Outdoors"/>
    <n v="15297"/>
    <s v="Barddhaman"/>
    <d v="2020-11-12T00:00:00"/>
    <n v="11"/>
    <n v="2020"/>
    <s v="South Asia"/>
    <x v="6"/>
    <s v="ON_HOLD"/>
    <s v="PENDING"/>
    <s v="Standard Class"/>
    <n v="532.58000000000004"/>
  </r>
  <r>
    <n v="71782"/>
    <s v="DEBIT"/>
    <n v="2"/>
    <n v="1"/>
    <s v="DELAYED"/>
    <n v="1355"/>
    <n v="1"/>
    <n v="532.58000000000004"/>
    <n v="6"/>
    <s v="Outdoors"/>
    <n v="15335"/>
    <s v="Warangal"/>
    <d v="2020-11-12T00:00:00"/>
    <n v="11"/>
    <n v="2020"/>
    <s v="South Asia"/>
    <x v="7"/>
    <s v="COMPLETE"/>
    <s v="COMPLETED"/>
    <s v="First Class"/>
    <n v="532.58000000000004"/>
  </r>
  <r>
    <n v="71790"/>
    <s v="TRANSFER"/>
    <n v="6"/>
    <n v="4"/>
    <s v="DELAYED"/>
    <n v="1355"/>
    <n v="1"/>
    <n v="532.58000000000004"/>
    <n v="6"/>
    <s v="Outdoors"/>
    <n v="15343"/>
    <s v="Kamarhati"/>
    <d v="2020-11-12T00:00:00"/>
    <n v="11"/>
    <n v="2020"/>
    <s v="South Asia"/>
    <x v="6"/>
    <s v="PENDING"/>
    <s v="PENDING"/>
    <s v="Standard Class"/>
    <n v="532.58000000000004"/>
  </r>
  <r>
    <n v="71803"/>
    <s v="TRANSFER"/>
    <n v="4"/>
    <n v="4"/>
    <s v=" ONTIME"/>
    <n v="1355"/>
    <n v="1"/>
    <n v="532.58000000000004"/>
    <n v="6"/>
    <s v="Outdoors"/>
    <n v="15356"/>
    <s v="Hubli"/>
    <d v="2020-11-13T00:00:00"/>
    <n v="11"/>
    <n v="2020"/>
    <s v="South Asia"/>
    <x v="8"/>
    <s v="CANCELED"/>
    <s v="CANCELED"/>
    <s v="Standard Class"/>
    <n v="532.58000000000004"/>
  </r>
  <r>
    <n v="71804"/>
    <s v="DEBIT"/>
    <n v="5"/>
    <n v="4"/>
    <s v="DELAYED"/>
    <n v="1355"/>
    <n v="1"/>
    <n v="532.58000000000004"/>
    <n v="6"/>
    <s v="Outdoors"/>
    <n v="15357"/>
    <s v="Hubli"/>
    <d v="2020-11-13T00:00:00"/>
    <n v="11"/>
    <n v="2020"/>
    <s v="South Asia"/>
    <x v="8"/>
    <s v="COMPLETE"/>
    <s v="COMPLETED"/>
    <s v="Standard Class"/>
    <n v="532.58000000000004"/>
  </r>
  <r>
    <n v="71820"/>
    <s v="DEBIT"/>
    <n v="6"/>
    <n v="4"/>
    <s v="DELAYED"/>
    <n v="1355"/>
    <n v="1"/>
    <n v="532.58000000000004"/>
    <n v="6"/>
    <s v="Outdoors"/>
    <n v="15373"/>
    <s v="Jaipur"/>
    <d v="2020-11-13T00:00:00"/>
    <n v="11"/>
    <n v="2020"/>
    <s v="South Asia"/>
    <x v="2"/>
    <s v="COMPLETE"/>
    <s v="COMPLETED"/>
    <s v="Standard Class"/>
    <n v="532.58000000000004"/>
  </r>
  <r>
    <n v="71838"/>
    <s v="TRANSFER"/>
    <n v="4"/>
    <n v="4"/>
    <s v=" ONTIME"/>
    <n v="1355"/>
    <n v="1"/>
    <n v="532.58000000000004"/>
    <n v="6"/>
    <s v="Outdoors"/>
    <n v="15391"/>
    <s v="Kamarhati"/>
    <d v="2020-11-13T00:00:00"/>
    <n v="11"/>
    <n v="2020"/>
    <s v="South Asia"/>
    <x v="6"/>
    <s v="PENDING"/>
    <s v="PENDING"/>
    <s v="Standard Class"/>
    <n v="532.58000000000004"/>
  </r>
  <r>
    <n v="71839"/>
    <s v="DEBIT"/>
    <n v="5"/>
    <n v="4"/>
    <s v="DELAYED"/>
    <n v="1355"/>
    <n v="1"/>
    <n v="532.58000000000004"/>
    <n v="6"/>
    <s v="Outdoors"/>
    <n v="15392"/>
    <s v="Kamarhati"/>
    <d v="2020-11-13T00:00:00"/>
    <n v="11"/>
    <n v="2020"/>
    <s v="South Asia"/>
    <x v="6"/>
    <s v="COMPLETE"/>
    <s v="COMPLETED"/>
    <s v="Standard Class"/>
    <n v="532.58000000000004"/>
  </r>
  <r>
    <n v="71849"/>
    <s v="DEBIT"/>
    <n v="5"/>
    <n v="4"/>
    <s v="DELAYED"/>
    <n v="1355"/>
    <n v="1"/>
    <n v="532.58000000000004"/>
    <n v="6"/>
    <s v="Outdoors"/>
    <n v="15402"/>
    <s v="Jamshedpur"/>
    <d v="2020-11-13T00:00:00"/>
    <n v="11"/>
    <n v="2020"/>
    <s v="South Asia"/>
    <x v="12"/>
    <s v="COMPLETE"/>
    <s v="COMPLETED"/>
    <s v="Standard Class"/>
    <n v="532.58000000000004"/>
  </r>
  <r>
    <n v="71857"/>
    <s v="DEBIT"/>
    <n v="2"/>
    <n v="1"/>
    <s v="DELAYED"/>
    <n v="1355"/>
    <n v="1"/>
    <n v="532.58000000000004"/>
    <n v="6"/>
    <s v="Outdoors"/>
    <n v="15410"/>
    <s v="Madurai"/>
    <d v="2020-11-13T00:00:00"/>
    <n v="11"/>
    <n v="2020"/>
    <s v="South Asia"/>
    <x v="3"/>
    <s v="COMPLETE"/>
    <s v="COMPLETED"/>
    <s v="First Class"/>
    <n v="532.58000000000004"/>
  </r>
  <r>
    <n v="71858"/>
    <s v="TRANSFER"/>
    <n v="2"/>
    <n v="1"/>
    <s v="DELAYED"/>
    <n v="1355"/>
    <n v="1"/>
    <n v="532.58000000000004"/>
    <n v="6"/>
    <s v="Outdoors"/>
    <n v="15411"/>
    <s v="Pune"/>
    <d v="2020-11-13T00:00:00"/>
    <n v="11"/>
    <n v="2020"/>
    <s v="South Asia"/>
    <x v="0"/>
    <s v="PROCESSING"/>
    <s v="PENDING"/>
    <s v="First Class"/>
    <n v="532.58000000000004"/>
  </r>
  <r>
    <n v="71871"/>
    <s v="PAYMENT"/>
    <n v="2"/>
    <n v="1"/>
    <s v="DELAYED"/>
    <n v="1355"/>
    <n v="1"/>
    <n v="532.58000000000004"/>
    <n v="6"/>
    <s v="Outdoors"/>
    <n v="15424"/>
    <s v="Kanpur"/>
    <d v="2020-11-14T00:00:00"/>
    <n v="11"/>
    <n v="2020"/>
    <s v="South Asia"/>
    <x v="1"/>
    <s v="PAYMENT_REVIEW"/>
    <s v="PENDING"/>
    <s v="First Class"/>
    <n v="532.58000000000004"/>
  </r>
  <r>
    <n v="71872"/>
    <s v="TRANSFER"/>
    <n v="3"/>
    <n v="2"/>
    <s v="DELAYED"/>
    <n v="1355"/>
    <n v="1"/>
    <n v="532.58000000000004"/>
    <n v="6"/>
    <s v="Outdoors"/>
    <n v="15425"/>
    <s v="Kanpur"/>
    <d v="2020-11-14T00:00:00"/>
    <n v="11"/>
    <n v="2020"/>
    <s v="South Asia"/>
    <x v="1"/>
    <s v="SUSPECTED_FRAUD"/>
    <s v="PENDING"/>
    <s v="Second Class"/>
    <n v="532.58000000000004"/>
  </r>
  <r>
    <n v="71873"/>
    <s v="DEBIT"/>
    <n v="4"/>
    <n v="4"/>
    <s v=" ONTIME"/>
    <n v="1355"/>
    <n v="1"/>
    <n v="532.58000000000004"/>
    <n v="6"/>
    <s v="Outdoors"/>
    <n v="15426"/>
    <s v="Kanpur"/>
    <d v="2020-11-14T00:00:00"/>
    <n v="11"/>
    <n v="2020"/>
    <s v="South Asia"/>
    <x v="1"/>
    <s v="COMPLETE"/>
    <s v="COMPLETED"/>
    <s v="Standard Class"/>
    <n v="532.58000000000004"/>
  </r>
  <r>
    <n v="71875"/>
    <s v="TRANSFER"/>
    <n v="6"/>
    <n v="4"/>
    <s v="DELAYED"/>
    <n v="1355"/>
    <n v="1"/>
    <n v="532.58000000000004"/>
    <n v="6"/>
    <s v="Outdoors"/>
    <n v="15428"/>
    <s v="Hyderabad"/>
    <d v="2020-11-14T00:00:00"/>
    <n v="11"/>
    <n v="2020"/>
    <s v="South Asia"/>
    <x v="7"/>
    <s v="PROCESSING"/>
    <s v="PENDING"/>
    <s v="Standard Class"/>
    <n v="532.58000000000004"/>
  </r>
  <r>
    <n v="71895"/>
    <s v="DEBIT"/>
    <n v="6"/>
    <n v="4"/>
    <s v="DELAYED"/>
    <n v="1355"/>
    <n v="1"/>
    <n v="532.58000000000004"/>
    <n v="6"/>
    <s v="Outdoors"/>
    <n v="15448"/>
    <s v="Mumbai"/>
    <d v="2020-11-14T00:00:00"/>
    <n v="11"/>
    <n v="2020"/>
    <s v="South Asia"/>
    <x v="0"/>
    <s v="COMPLETE"/>
    <s v="COMPLETED"/>
    <s v="Standard Class"/>
    <n v="532.58000000000004"/>
  </r>
  <r>
    <n v="71914"/>
    <s v="CASH"/>
    <n v="1"/>
    <n v="0"/>
    <s v="DELAYED"/>
    <n v="1355"/>
    <n v="1"/>
    <n v="532.58000000000004"/>
    <n v="6"/>
    <s v="Outdoors"/>
    <n v="15467"/>
    <s v="Lucknow"/>
    <d v="2020-11-14T00:00:00"/>
    <n v="11"/>
    <n v="2020"/>
    <s v="South Asia"/>
    <x v="1"/>
    <s v="CLOSED"/>
    <s v="PENDING"/>
    <s v="Same Day"/>
    <n v="532.58000000000004"/>
  </r>
  <r>
    <n v="71915"/>
    <s v="TRANSFER"/>
    <n v="1"/>
    <n v="0"/>
    <s v="DELAYED"/>
    <n v="1355"/>
    <n v="1"/>
    <n v="532.58000000000004"/>
    <n v="6"/>
    <s v="Outdoors"/>
    <n v="15468"/>
    <s v="Chennai"/>
    <d v="2020-11-14T00:00:00"/>
    <n v="11"/>
    <n v="2020"/>
    <s v="South Asia"/>
    <x v="3"/>
    <s v="PROCESSING"/>
    <s v="PENDING"/>
    <s v="Same Day"/>
    <n v="532.58000000000004"/>
  </r>
  <r>
    <n v="71921"/>
    <s v="PAYMENT"/>
    <n v="2"/>
    <n v="4"/>
    <s v=" ONTIME"/>
    <n v="1355"/>
    <n v="1"/>
    <n v="532.58000000000004"/>
    <n v="6"/>
    <s v="Outdoors"/>
    <n v="15474"/>
    <s v="Guwahati"/>
    <d v="2020-11-14T00:00:00"/>
    <n v="11"/>
    <n v="2020"/>
    <s v="South Asia"/>
    <x v="9"/>
    <s v="PENDING_PAYMENT"/>
    <s v="PENDING"/>
    <s v="Standard Class"/>
    <n v="532.58000000000004"/>
  </r>
  <r>
    <n v="71968"/>
    <s v="TRANSFER"/>
    <n v="4"/>
    <n v="4"/>
    <s v=" ONTIME"/>
    <n v="1355"/>
    <n v="1"/>
    <n v="532.58000000000004"/>
    <n v="6"/>
    <s v="Outdoors"/>
    <n v="15521"/>
    <s v="Faridabad"/>
    <d v="2020-11-15T00:00:00"/>
    <n v="11"/>
    <n v="2020"/>
    <s v="South Asia"/>
    <x v="10"/>
    <s v="CANCELED"/>
    <s v="CANCELED"/>
    <s v="Standard Class"/>
    <n v="532.58000000000004"/>
  </r>
  <r>
    <n v="71981"/>
    <s v="TRANSFER"/>
    <n v="2"/>
    <n v="2"/>
    <s v=" ONTIME"/>
    <n v="1355"/>
    <n v="1"/>
    <n v="532.58000000000004"/>
    <n v="6"/>
    <s v="Outdoors"/>
    <n v="15534"/>
    <s v="Durgapur"/>
    <d v="2020-11-15T00:00:00"/>
    <n v="11"/>
    <n v="2020"/>
    <s v="South Asia"/>
    <x v="6"/>
    <s v="PROCESSING"/>
    <s v="PENDING"/>
    <s v="Second Class"/>
    <n v="532.58000000000004"/>
  </r>
  <r>
    <n v="71992"/>
    <s v="DEBIT"/>
    <n v="3"/>
    <n v="4"/>
    <s v=" ONTIME"/>
    <n v="1355"/>
    <n v="1"/>
    <n v="532.58000000000004"/>
    <n v="6"/>
    <s v="Outdoors"/>
    <n v="15545"/>
    <s v="Surat"/>
    <d v="2020-11-15T00:00:00"/>
    <n v="11"/>
    <n v="2020"/>
    <s v="South Asia"/>
    <x v="4"/>
    <s v="COMPLETE"/>
    <s v="COMPLETED"/>
    <s v="Standard Class"/>
    <n v="532.58000000000004"/>
  </r>
  <r>
    <n v="71993"/>
    <s v="PAYMENT"/>
    <n v="4"/>
    <n v="4"/>
    <s v=" ONTIME"/>
    <n v="1355"/>
    <n v="1"/>
    <n v="532.58000000000004"/>
    <n v="6"/>
    <s v="Outdoors"/>
    <n v="15546"/>
    <s v="Surat"/>
    <d v="2020-11-15T00:00:00"/>
    <n v="11"/>
    <n v="2020"/>
    <s v="South Asia"/>
    <x v="4"/>
    <s v="PENDING_PAYMENT"/>
    <s v="PENDING"/>
    <s v="Standard Class"/>
    <n v="532.58000000000004"/>
  </r>
  <r>
    <n v="71994"/>
    <s v="PAYMENT"/>
    <n v="1"/>
    <n v="0"/>
    <s v="DELAYED"/>
    <n v="1355"/>
    <n v="1"/>
    <n v="532.58000000000004"/>
    <n v="6"/>
    <s v="Outdoors"/>
    <n v="15547"/>
    <s v="Hyderabad"/>
    <d v="2020-11-15T00:00:00"/>
    <n v="11"/>
    <n v="2020"/>
    <s v="South Asia"/>
    <x v="7"/>
    <s v="PENDING_PAYMENT"/>
    <s v="PENDING"/>
    <s v="Same Day"/>
    <n v="532.58000000000004"/>
  </r>
  <r>
    <n v="72010"/>
    <s v="PAYMENT"/>
    <n v="6"/>
    <n v="4"/>
    <s v="DELAYED"/>
    <n v="1355"/>
    <n v="1"/>
    <n v="532.58000000000004"/>
    <n v="6"/>
    <s v="Outdoors"/>
    <n v="15563"/>
    <s v="Naihati"/>
    <d v="2020-11-16T00:00:00"/>
    <n v="11"/>
    <n v="2020"/>
    <s v="South Asia"/>
    <x v="6"/>
    <s v="PENDING_PAYMENT"/>
    <s v="PENDING"/>
    <s v="Standard Class"/>
    <n v="532.58000000000004"/>
  </r>
  <r>
    <n v="72011"/>
    <s v="CASH"/>
    <n v="2"/>
    <n v="4"/>
    <s v=" ONTIME"/>
    <n v="1355"/>
    <n v="1"/>
    <n v="532.58000000000004"/>
    <n v="6"/>
    <s v="Outdoors"/>
    <n v="15564"/>
    <s v="Kanpur"/>
    <d v="2020-11-16T00:00:00"/>
    <n v="11"/>
    <n v="2020"/>
    <s v="South Asia"/>
    <x v="1"/>
    <s v="CLOSED"/>
    <s v="PENDING"/>
    <s v="Standard Class"/>
    <n v="532.58000000000004"/>
  </r>
  <r>
    <n v="72017"/>
    <s v="TRANSFER"/>
    <n v="3"/>
    <n v="2"/>
    <s v="DELAYED"/>
    <n v="1355"/>
    <n v="1"/>
    <n v="532.58000000000004"/>
    <n v="6"/>
    <s v="Outdoors"/>
    <n v="15570"/>
    <s v="Bellary"/>
    <d v="2020-11-16T00:00:00"/>
    <n v="11"/>
    <n v="2020"/>
    <s v="South Asia"/>
    <x v="8"/>
    <s v="PENDING"/>
    <s v="PENDING"/>
    <s v="Second Class"/>
    <n v="532.58000000000004"/>
  </r>
  <r>
    <n v="72020"/>
    <s v="PAYMENT"/>
    <n v="6"/>
    <n v="4"/>
    <s v="DELAYED"/>
    <n v="1355"/>
    <n v="1"/>
    <n v="532.58000000000004"/>
    <n v="6"/>
    <s v="Outdoors"/>
    <n v="15573"/>
    <s v="Hapur"/>
    <d v="2020-11-16T00:00:00"/>
    <n v="11"/>
    <n v="2020"/>
    <s v="South Asia"/>
    <x v="1"/>
    <s v="PENDING_PAYMENT"/>
    <s v="PENDING"/>
    <s v="Standard Class"/>
    <n v="532.58000000000004"/>
  </r>
  <r>
    <n v="72035"/>
    <s v="CASH"/>
    <n v="6"/>
    <n v="2"/>
    <s v="DELAYED"/>
    <n v="1355"/>
    <n v="1"/>
    <n v="532.58000000000004"/>
    <n v="6"/>
    <s v="Outdoors"/>
    <n v="15588"/>
    <s v="Delhi"/>
    <d v="2020-11-16T00:00:00"/>
    <n v="11"/>
    <n v="2020"/>
    <s v="South Asia"/>
    <x v="11"/>
    <s v="CLOSED"/>
    <s v="PENDING"/>
    <s v="Second Class"/>
    <n v="532.58000000000004"/>
  </r>
  <r>
    <n v="72042"/>
    <s v="TRANSFER"/>
    <n v="3"/>
    <n v="4"/>
    <s v=" ONTIME"/>
    <n v="1355"/>
    <n v="1"/>
    <n v="532.58000000000004"/>
    <n v="6"/>
    <s v="Outdoors"/>
    <n v="15595"/>
    <s v="Allahabad"/>
    <d v="2020-11-16T00:00:00"/>
    <n v="11"/>
    <n v="2020"/>
    <s v="South Asia"/>
    <x v="1"/>
    <s v="PROCESSING"/>
    <s v="PENDING"/>
    <s v="Standard Class"/>
    <n v="532.58000000000004"/>
  </r>
  <r>
    <n v="72043"/>
    <s v="TRANSFER"/>
    <n v="1"/>
    <n v="0"/>
    <s v="DELAYED"/>
    <n v="1355"/>
    <n v="1"/>
    <n v="532.58000000000004"/>
    <n v="6"/>
    <s v="Outdoors"/>
    <n v="15596"/>
    <s v="Allahabad"/>
    <d v="2020-11-16T00:00:00"/>
    <n v="11"/>
    <n v="2020"/>
    <s v="South Asia"/>
    <x v="1"/>
    <s v="PROCESSING"/>
    <s v="PENDING"/>
    <s v="Same Day"/>
    <n v="532.58000000000004"/>
  </r>
  <r>
    <n v="72048"/>
    <s v="DEBIT"/>
    <n v="4"/>
    <n v="4"/>
    <s v=" ONTIME"/>
    <n v="1355"/>
    <n v="1"/>
    <n v="532.58000000000004"/>
    <n v="6"/>
    <s v="Outdoors"/>
    <n v="15601"/>
    <s v="Ranchi"/>
    <d v="2020-11-16T00:00:00"/>
    <n v="11"/>
    <n v="2020"/>
    <s v="South Asia"/>
    <x v="12"/>
    <s v="COMPLETE"/>
    <s v="COMPLETED"/>
    <s v="Standard Class"/>
    <n v="532.58000000000004"/>
  </r>
  <r>
    <n v="72070"/>
    <s v="DEBIT"/>
    <n v="6"/>
    <n v="4"/>
    <s v="DELAYED"/>
    <n v="1355"/>
    <n v="1"/>
    <n v="532.58000000000004"/>
    <n v="6"/>
    <s v="Outdoors"/>
    <n v="15623"/>
    <s v="Brahmapur"/>
    <d v="2020-11-17T00:00:00"/>
    <n v="11"/>
    <n v="2020"/>
    <s v="South Asia"/>
    <x v="13"/>
    <s v="COMPLETE"/>
    <s v="COMPLETED"/>
    <s v="Standard Class"/>
    <n v="532.58000000000004"/>
  </r>
  <r>
    <n v="72071"/>
    <s v="CASH"/>
    <n v="2"/>
    <n v="4"/>
    <s v=" ONTIME"/>
    <n v="1355"/>
    <n v="1"/>
    <n v="532.58000000000004"/>
    <n v="6"/>
    <s v="Outdoors"/>
    <n v="15624"/>
    <s v="Bhatpara"/>
    <d v="2020-11-17T00:00:00"/>
    <n v="11"/>
    <n v="2020"/>
    <s v="South Asia"/>
    <x v="6"/>
    <s v="CLOSED"/>
    <s v="PENDING"/>
    <s v="Standard Class"/>
    <n v="532.58000000000004"/>
  </r>
  <r>
    <n v="72086"/>
    <s v="TRANSFER"/>
    <n v="2"/>
    <n v="4"/>
    <s v=" ONTIME"/>
    <n v="1355"/>
    <n v="1"/>
    <n v="532.58000000000004"/>
    <n v="6"/>
    <s v="Outdoors"/>
    <n v="15639"/>
    <s v="Bangalore"/>
    <d v="2020-11-17T00:00:00"/>
    <n v="11"/>
    <n v="2020"/>
    <s v="South Asia"/>
    <x v="8"/>
    <s v="PROCESSING"/>
    <s v="PENDING"/>
    <s v="Standard Class"/>
    <n v="532.58000000000004"/>
  </r>
  <r>
    <n v="72089"/>
    <s v="PAYMENT"/>
    <n v="0"/>
    <n v="0"/>
    <s v=" ONTIME"/>
    <n v="1355"/>
    <n v="1"/>
    <n v="532.58000000000004"/>
    <n v="6"/>
    <s v="Outdoors"/>
    <n v="15642"/>
    <s v="Jodhpur"/>
    <d v="2020-11-17T00:00:00"/>
    <n v="11"/>
    <n v="2020"/>
    <s v="South Asia"/>
    <x v="2"/>
    <s v="PENDING_PAYMENT"/>
    <s v="PENDING"/>
    <s v="Same Day"/>
    <n v="532.58000000000004"/>
  </r>
  <r>
    <n v="72101"/>
    <s v="DEBIT"/>
    <n v="2"/>
    <n v="1"/>
    <s v="DELAYED"/>
    <n v="1355"/>
    <n v="1"/>
    <n v="532.58000000000004"/>
    <n v="6"/>
    <s v="Outdoors"/>
    <n v="15654"/>
    <s v="Bangalore"/>
    <d v="2020-11-17T00:00:00"/>
    <n v="11"/>
    <n v="2020"/>
    <s v="South Asia"/>
    <x v="8"/>
    <s v="COMPLETE"/>
    <s v="COMPLETED"/>
    <s v="First Class"/>
    <n v="532.58000000000004"/>
  </r>
  <r>
    <n v="72117"/>
    <s v="DEBIT"/>
    <n v="3"/>
    <n v="2"/>
    <s v="DELAYED"/>
    <n v="1355"/>
    <n v="1"/>
    <n v="532.58000000000004"/>
    <n v="6"/>
    <s v="Outdoors"/>
    <n v="15670"/>
    <s v="Ujjain"/>
    <d v="2020-11-17T00:00:00"/>
    <n v="11"/>
    <n v="2020"/>
    <s v="South Asia"/>
    <x v="14"/>
    <s v="COMPLETE"/>
    <s v="COMPLETED"/>
    <s v="Second Class"/>
    <n v="532.58000000000004"/>
  </r>
  <r>
    <n v="72118"/>
    <s v="PAYMENT"/>
    <n v="4"/>
    <n v="2"/>
    <s v="DELAYED"/>
    <n v="1355"/>
    <n v="1"/>
    <n v="532.58000000000004"/>
    <n v="6"/>
    <s v="Outdoors"/>
    <n v="15671"/>
    <s v="Ujjain"/>
    <d v="2020-11-17T00:00:00"/>
    <n v="11"/>
    <n v="2020"/>
    <s v="South Asia"/>
    <x v="14"/>
    <s v="PENDING_PAYMENT"/>
    <s v="PENDING"/>
    <s v="Second Class"/>
    <n v="532.58000000000004"/>
  </r>
  <r>
    <n v="72119"/>
    <s v="DEBIT"/>
    <n v="5"/>
    <n v="4"/>
    <s v="DELAYED"/>
    <n v="1355"/>
    <n v="1"/>
    <n v="532.58000000000004"/>
    <n v="6"/>
    <s v="Outdoors"/>
    <n v="15672"/>
    <s v="Ujjain"/>
    <d v="2020-11-17T00:00:00"/>
    <n v="11"/>
    <n v="2020"/>
    <s v="South Asia"/>
    <x v="14"/>
    <s v="COMPLETE"/>
    <s v="COMPLETED"/>
    <s v="Standard Class"/>
    <n v="532.58000000000004"/>
  </r>
  <r>
    <n v="72123"/>
    <s v="TRANSFER"/>
    <n v="4"/>
    <n v="4"/>
    <s v=" ONTIME"/>
    <n v="1355"/>
    <n v="1"/>
    <n v="532.58000000000004"/>
    <n v="6"/>
    <s v="Outdoors"/>
    <n v="15676"/>
    <s v="Avadi"/>
    <d v="2020-11-17T00:00:00"/>
    <n v="11"/>
    <n v="2020"/>
    <s v="South Asia"/>
    <x v="3"/>
    <s v="PROCESSING"/>
    <s v="PENDING"/>
    <s v="Standard Class"/>
    <n v="532.58000000000004"/>
  </r>
  <r>
    <n v="72124"/>
    <s v="PAYMENT"/>
    <n v="5"/>
    <n v="4"/>
    <s v="DELAYED"/>
    <n v="1355"/>
    <n v="1"/>
    <n v="532.58000000000004"/>
    <n v="6"/>
    <s v="Outdoors"/>
    <n v="15677"/>
    <s v="Avadi"/>
    <d v="2020-11-17T00:00:00"/>
    <n v="11"/>
    <n v="2020"/>
    <s v="South Asia"/>
    <x v="3"/>
    <s v="PENDING_PAYMENT"/>
    <s v="PENDING"/>
    <s v="Standard Class"/>
    <n v="532.58000000000004"/>
  </r>
  <r>
    <n v="72125"/>
    <s v="DEBIT"/>
    <n v="6"/>
    <n v="4"/>
    <s v="DELAYED"/>
    <n v="1356"/>
    <n v="1"/>
    <n v="293.04000000000002"/>
    <n v="12"/>
    <s v="Health and Beauty "/>
    <n v="15678"/>
    <s v="Bhubaneswar"/>
    <d v="2020-11-17T00:00:00"/>
    <n v="11"/>
    <n v="2020"/>
    <s v="South Asia"/>
    <x v="13"/>
    <s v="COMPLETE"/>
    <s v="COMPLETED"/>
    <s v="Standard Class"/>
    <n v="293.04000000000002"/>
  </r>
  <r>
    <n v="72126"/>
    <s v="TRANSFER"/>
    <n v="2"/>
    <n v="4"/>
    <s v=" ONTIME"/>
    <n v="1356"/>
    <n v="1"/>
    <n v="293.04000000000002"/>
    <n v="12"/>
    <s v="Health and Beauty "/>
    <n v="15679"/>
    <s v="Bhubaneswar"/>
    <d v="2020-11-17T00:00:00"/>
    <n v="11"/>
    <n v="2020"/>
    <s v="South Asia"/>
    <x v="13"/>
    <s v="PROCESSING"/>
    <s v="PENDING"/>
    <s v="Standard Class"/>
    <n v="293.04000000000002"/>
  </r>
  <r>
    <n v="72141"/>
    <s v="PAYMENT"/>
    <n v="2"/>
    <n v="1"/>
    <s v="DELAYED"/>
    <n v="1356"/>
    <n v="1"/>
    <n v="293.04000000000002"/>
    <n v="12"/>
    <s v="Health and Beauty "/>
    <n v="15694"/>
    <s v="Amravati"/>
    <d v="2020-11-18T00:00:00"/>
    <n v="11"/>
    <n v="2020"/>
    <s v="South Asia"/>
    <x v="0"/>
    <s v="PENDING_PAYMENT"/>
    <s v="PENDING"/>
    <s v="First Class"/>
    <n v="293.04000000000002"/>
  </r>
  <r>
    <n v="72142"/>
    <s v="CASH"/>
    <n v="3"/>
    <n v="2"/>
    <s v="DELAYED"/>
    <n v="1356"/>
    <n v="1"/>
    <n v="293.04000000000002"/>
    <n v="12"/>
    <s v="Health and Beauty "/>
    <n v="15695"/>
    <s v="Amravati"/>
    <d v="2020-11-18T00:00:00"/>
    <n v="11"/>
    <n v="2020"/>
    <s v="South Asia"/>
    <x v="0"/>
    <s v="CLOSED"/>
    <s v="PENDING"/>
    <s v="Second Class"/>
    <n v="293.04000000000002"/>
  </r>
  <r>
    <n v="72143"/>
    <s v="TRANSFER"/>
    <n v="4"/>
    <n v="2"/>
    <s v="DELAYED"/>
    <n v="1356"/>
    <n v="1"/>
    <n v="293.04000000000002"/>
    <n v="12"/>
    <s v="Health and Beauty "/>
    <n v="15696"/>
    <s v="Amravati"/>
    <d v="2020-11-18T00:00:00"/>
    <n v="11"/>
    <n v="2020"/>
    <s v="South Asia"/>
    <x v="0"/>
    <s v="PENDING"/>
    <s v="PENDING"/>
    <s v="Second Class"/>
    <n v="293.04000000000002"/>
  </r>
  <r>
    <n v="72144"/>
    <s v="DEBIT"/>
    <n v="2"/>
    <n v="1"/>
    <s v="DELAYED"/>
    <n v="1356"/>
    <n v="1"/>
    <n v="293.04000000000002"/>
    <n v="12"/>
    <s v="Health and Beauty "/>
    <n v="15697"/>
    <s v="Amravati"/>
    <d v="2020-11-18T00:00:00"/>
    <n v="11"/>
    <n v="2020"/>
    <s v="South Asia"/>
    <x v="0"/>
    <s v="COMPLETE"/>
    <s v="COMPLETED"/>
    <s v="First Class"/>
    <n v="293.04000000000002"/>
  </r>
  <r>
    <n v="72145"/>
    <s v="DEBIT"/>
    <n v="6"/>
    <n v="2"/>
    <s v="DELAYED"/>
    <n v="1356"/>
    <n v="1"/>
    <n v="293.04000000000002"/>
    <n v="12"/>
    <s v="Health and Beauty "/>
    <n v="15698"/>
    <s v="Mau"/>
    <d v="2020-11-18T00:00:00"/>
    <n v="11"/>
    <n v="2020"/>
    <s v="South Asia"/>
    <x v="14"/>
    <s v="COMPLETE"/>
    <s v="COMPLETED"/>
    <s v="Second Class"/>
    <n v="293.04000000000002"/>
  </r>
  <r>
    <n v="72158"/>
    <s v="DEBIT"/>
    <n v="4"/>
    <n v="4"/>
    <s v=" ONTIME"/>
    <n v="1356"/>
    <n v="1"/>
    <n v="293.04000000000002"/>
    <n v="12"/>
    <s v="Health and Beauty "/>
    <n v="15711"/>
    <s v="Lucknow"/>
    <d v="2020-11-18T00:00:00"/>
    <n v="11"/>
    <n v="2020"/>
    <s v="South Asia"/>
    <x v="1"/>
    <s v="ON_HOLD"/>
    <s v="PENDING"/>
    <s v="Standard Class"/>
    <n v="293.04000000000002"/>
  </r>
  <r>
    <n v="72159"/>
    <s v="CASH"/>
    <n v="5"/>
    <n v="4"/>
    <s v="DELAYED"/>
    <n v="1356"/>
    <n v="1"/>
    <n v="293.04000000000002"/>
    <n v="12"/>
    <s v="Health and Beauty "/>
    <n v="15712"/>
    <s v="Lucknow"/>
    <d v="2020-11-18T00:00:00"/>
    <n v="11"/>
    <n v="2020"/>
    <s v="South Asia"/>
    <x v="1"/>
    <s v="CLOSED"/>
    <s v="PENDING"/>
    <s v="Standard Class"/>
    <n v="293.04000000000002"/>
  </r>
  <r>
    <n v="72160"/>
    <s v="PAYMENT"/>
    <n v="6"/>
    <n v="4"/>
    <s v="DELAYED"/>
    <n v="1356"/>
    <n v="1"/>
    <n v="293.04000000000002"/>
    <n v="12"/>
    <s v="Health and Beauty "/>
    <n v="15713"/>
    <s v="Lucknow"/>
    <d v="2020-11-18T00:00:00"/>
    <n v="11"/>
    <n v="2020"/>
    <s v="South Asia"/>
    <x v="1"/>
    <s v="PENDING_PAYMENT"/>
    <s v="PENDING"/>
    <s v="Standard Class"/>
    <n v="293.04000000000002"/>
  </r>
  <r>
    <n v="72167"/>
    <s v="DEBIT"/>
    <n v="3"/>
    <n v="4"/>
    <s v=" ONTIME"/>
    <n v="1356"/>
    <n v="1"/>
    <n v="293.04000000000002"/>
    <n v="12"/>
    <s v="Health and Beauty "/>
    <n v="15720"/>
    <s v="Vijayawada"/>
    <d v="2020-11-18T00:00:00"/>
    <n v="11"/>
    <n v="2020"/>
    <s v="South Asia"/>
    <x v="15"/>
    <s v="COMPLETE"/>
    <s v="COMPLETED"/>
    <s v="Standard Class"/>
    <n v="293.04000000000002"/>
  </r>
  <r>
    <n v="72177"/>
    <s v="TRANSFER"/>
    <n v="3"/>
    <n v="4"/>
    <s v=" ONTIME"/>
    <n v="1356"/>
    <n v="1"/>
    <n v="293.04000000000002"/>
    <n v="12"/>
    <s v="Health and Beauty "/>
    <n v="15730"/>
    <s v="Bhatinda"/>
    <d v="2020-11-18T00:00:00"/>
    <n v="11"/>
    <n v="2020"/>
    <s v="South Asia"/>
    <x v="16"/>
    <s v="CANCELED"/>
    <s v="CANCELED"/>
    <s v="Standard Class"/>
    <n v="293.04000000000002"/>
  </r>
  <r>
    <n v="72223"/>
    <s v="TRANSFER"/>
    <n v="4"/>
    <n v="2"/>
    <s v="DELAYED"/>
    <n v="1356"/>
    <n v="1"/>
    <n v="293.04000000000002"/>
    <n v="12"/>
    <s v="Health and Beauty "/>
    <n v="15776"/>
    <s v="Gorakhpur"/>
    <d v="2020-11-19T00:00:00"/>
    <n v="11"/>
    <n v="2020"/>
    <s v="South Asia"/>
    <x v="10"/>
    <s v="PROCESSING"/>
    <s v="PENDING"/>
    <s v="Second Class"/>
    <n v="293.04000000000002"/>
  </r>
  <r>
    <n v="72224"/>
    <s v="TRANSFER"/>
    <n v="5"/>
    <n v="2"/>
    <s v="DELAYED"/>
    <n v="1356"/>
    <n v="1"/>
    <n v="293.04000000000002"/>
    <n v="12"/>
    <s v="Health and Beauty "/>
    <n v="15777"/>
    <s v="Gorakhpur"/>
    <d v="2020-11-19T00:00:00"/>
    <n v="11"/>
    <n v="2020"/>
    <s v="South Asia"/>
    <x v="10"/>
    <s v="SUSPECTED_FRAUD"/>
    <s v="PENDING"/>
    <s v="Second Class"/>
    <n v="293.04000000000002"/>
  </r>
  <r>
    <n v="72225"/>
    <s v="CASH"/>
    <n v="2"/>
    <n v="1"/>
    <s v="DELAYED"/>
    <n v="1356"/>
    <n v="1"/>
    <n v="293.04000000000002"/>
    <n v="12"/>
    <s v="Health and Beauty "/>
    <n v="15778"/>
    <s v="Gorakhpur"/>
    <d v="2020-11-19T00:00:00"/>
    <n v="11"/>
    <n v="2020"/>
    <s v="South Asia"/>
    <x v="10"/>
    <s v="CLOSED"/>
    <s v="PENDING"/>
    <s v="First Class"/>
    <n v="293.04000000000002"/>
  </r>
  <r>
    <n v="72226"/>
    <s v="PAYMENT"/>
    <n v="2"/>
    <n v="4"/>
    <s v=" ONTIME"/>
    <n v="1356"/>
    <n v="1"/>
    <n v="293.04000000000002"/>
    <n v="12"/>
    <s v="Health and Beauty "/>
    <n v="15779"/>
    <s v="Delhi"/>
    <d v="2020-11-19T00:00:00"/>
    <n v="11"/>
    <n v="2020"/>
    <s v="South Asia"/>
    <x v="11"/>
    <s v="PENDING_PAYMENT"/>
    <s v="PENDING"/>
    <s v="Standard Class"/>
    <n v="293.04000000000002"/>
  </r>
  <r>
    <n v="72227"/>
    <s v="DEBIT"/>
    <n v="3"/>
    <n v="4"/>
    <s v=" ONTIME"/>
    <n v="1356"/>
    <n v="1"/>
    <n v="293.04000000000002"/>
    <n v="12"/>
    <s v="Health and Beauty "/>
    <n v="15780"/>
    <s v="Delhi"/>
    <d v="2020-11-19T00:00:00"/>
    <n v="11"/>
    <n v="2020"/>
    <s v="South Asia"/>
    <x v="11"/>
    <s v="COMPLETE"/>
    <s v="COMPLETED"/>
    <s v="Standard Class"/>
    <n v="293.04000000000002"/>
  </r>
  <r>
    <n v="72228"/>
    <s v="DEBIT"/>
    <n v="4"/>
    <n v="2"/>
    <s v="DELAYED"/>
    <n v="1356"/>
    <n v="1"/>
    <n v="293.04000000000002"/>
    <n v="12"/>
    <s v="Health and Beauty "/>
    <n v="15781"/>
    <s v="Delhi"/>
    <d v="2020-11-19T00:00:00"/>
    <n v="11"/>
    <n v="2020"/>
    <s v="South Asia"/>
    <x v="11"/>
    <s v="COMPLETE"/>
    <s v="COMPLETED"/>
    <s v="Second Class"/>
    <n v="293.04000000000002"/>
  </r>
  <r>
    <n v="72229"/>
    <s v="PAYMENT"/>
    <n v="5"/>
    <n v="2"/>
    <s v="DELAYED"/>
    <n v="1356"/>
    <n v="1"/>
    <n v="293.04000000000002"/>
    <n v="12"/>
    <s v="Health and Beauty "/>
    <n v="15782"/>
    <s v="Kalyan"/>
    <d v="2020-11-19T00:00:00"/>
    <n v="11"/>
    <n v="2020"/>
    <s v="South Asia"/>
    <x v="0"/>
    <s v="PENDING_PAYMENT"/>
    <s v="PENDING"/>
    <s v="Second Class"/>
    <n v="293.04000000000002"/>
  </r>
  <r>
    <n v="72230"/>
    <s v="CASH"/>
    <n v="6"/>
    <n v="2"/>
    <s v="DELAYED"/>
    <n v="1356"/>
    <n v="1"/>
    <n v="293.04000000000002"/>
    <n v="12"/>
    <s v="Health and Beauty "/>
    <n v="15783"/>
    <s v="Aurangabad"/>
    <d v="2020-11-19T00:00:00"/>
    <n v="11"/>
    <n v="2020"/>
    <s v="South Asia"/>
    <x v="17"/>
    <s v="CLOSED"/>
    <s v="PENDING"/>
    <s v="Second Class"/>
    <n v="293.04000000000002"/>
  </r>
  <r>
    <n v="72231"/>
    <s v="TRANSFER"/>
    <n v="2"/>
    <n v="4"/>
    <s v=" ONTIME"/>
    <n v="1356"/>
    <n v="1"/>
    <n v="293.04000000000002"/>
    <n v="12"/>
    <s v="Health and Beauty "/>
    <n v="15784"/>
    <s v="Aurangabad"/>
    <d v="2020-11-19T00:00:00"/>
    <n v="11"/>
    <n v="2020"/>
    <s v="South Asia"/>
    <x v="17"/>
    <s v="PENDING"/>
    <s v="PENDING"/>
    <s v="Standard Class"/>
    <n v="293.04000000000002"/>
  </r>
  <r>
    <n v="72232"/>
    <s v="CASH"/>
    <n v="3"/>
    <n v="4"/>
    <s v=" ONTIME"/>
    <n v="1356"/>
    <n v="1"/>
    <n v="293.04000000000002"/>
    <n v="12"/>
    <s v="Health and Beauty "/>
    <n v="15785"/>
    <s v="Delhi"/>
    <d v="2020-11-19T00:00:00"/>
    <n v="11"/>
    <n v="2020"/>
    <s v="South Asia"/>
    <x v="11"/>
    <s v="CLOSED"/>
    <s v="PENDING"/>
    <s v="Standard Class"/>
    <n v="293.04000000000002"/>
  </r>
  <r>
    <n v="72233"/>
    <s v="PAYMENT"/>
    <n v="4"/>
    <n v="4"/>
    <s v=" ONTIME"/>
    <n v="1356"/>
    <n v="1"/>
    <n v="293.04000000000002"/>
    <n v="12"/>
    <s v="Health and Beauty "/>
    <n v="15786"/>
    <s v="Delhi"/>
    <d v="2020-11-19T00:00:00"/>
    <n v="11"/>
    <n v="2020"/>
    <s v="South Asia"/>
    <x v="11"/>
    <s v="PENDING_PAYMENT"/>
    <s v="PENDING"/>
    <s v="Standard Class"/>
    <n v="293.04000000000002"/>
  </r>
  <r>
    <n v="72243"/>
    <s v="DEBIT"/>
    <n v="4"/>
    <n v="4"/>
    <s v=" ONTIME"/>
    <n v="1356"/>
    <n v="1"/>
    <n v="293.04000000000002"/>
    <n v="12"/>
    <s v="Health and Beauty "/>
    <n v="15796"/>
    <s v="Pimpri"/>
    <d v="2020-11-19T00:00:00"/>
    <n v="11"/>
    <n v="2020"/>
    <s v="South Asia"/>
    <x v="0"/>
    <s v="COMPLETE"/>
    <s v="COMPLETED"/>
    <s v="Standard Class"/>
    <n v="293.04000000000002"/>
  </r>
  <r>
    <n v="72244"/>
    <s v="DEBIT"/>
    <n v="2"/>
    <n v="1"/>
    <s v="DELAYED"/>
    <n v="1356"/>
    <n v="1"/>
    <n v="293.04000000000002"/>
    <n v="12"/>
    <s v="Health and Beauty "/>
    <n v="15797"/>
    <s v="Bhilai"/>
    <d v="2020-11-19T00:00:00"/>
    <n v="11"/>
    <n v="2020"/>
    <s v="South Asia"/>
    <x v="18"/>
    <s v="ON_HOLD"/>
    <s v="PENDING"/>
    <s v="First Class"/>
    <n v="293.04000000000002"/>
  </r>
  <r>
    <n v="72245"/>
    <s v="DEBIT"/>
    <n v="2"/>
    <n v="1"/>
    <s v="DELAYED"/>
    <n v="1356"/>
    <n v="1"/>
    <n v="293.04000000000002"/>
    <n v="12"/>
    <s v="Health and Beauty "/>
    <n v="15798"/>
    <s v="Bhilai"/>
    <d v="2020-11-19T00:00:00"/>
    <n v="11"/>
    <n v="2020"/>
    <s v="South Asia"/>
    <x v="18"/>
    <s v="COMPLETE"/>
    <s v="COMPLETED"/>
    <s v="First Class"/>
    <n v="293.04000000000002"/>
  </r>
  <r>
    <n v="72254"/>
    <s v="TRANSFER"/>
    <n v="5"/>
    <n v="4"/>
    <s v="DELAYED"/>
    <n v="1356"/>
    <n v="1"/>
    <n v="293.04000000000002"/>
    <n v="12"/>
    <s v="Health and Beauty "/>
    <n v="15807"/>
    <s v="Mangalore"/>
    <d v="2020-11-19T00:00:00"/>
    <n v="11"/>
    <n v="2020"/>
    <s v="South Asia"/>
    <x v="8"/>
    <s v="PENDING"/>
    <s v="PENDING"/>
    <s v="Standard Class"/>
    <n v="293.04000000000002"/>
  </r>
  <r>
    <n v="72256"/>
    <s v="CASH"/>
    <n v="2"/>
    <n v="4"/>
    <s v=" ONTIME"/>
    <n v="1356"/>
    <n v="1"/>
    <n v="293.04000000000002"/>
    <n v="12"/>
    <s v="Health and Beauty "/>
    <n v="15809"/>
    <s v="Karnal"/>
    <d v="2020-11-19T00:00:00"/>
    <n v="11"/>
    <n v="2020"/>
    <s v="South Asia"/>
    <x v="10"/>
    <s v="CLOSED"/>
    <s v="PENDING"/>
    <s v="Standard Class"/>
    <n v="293.04000000000002"/>
  </r>
  <r>
    <n v="72257"/>
    <s v="DEBIT"/>
    <n v="3"/>
    <n v="4"/>
    <s v=" ONTIME"/>
    <n v="1356"/>
    <n v="1"/>
    <n v="293.04000000000002"/>
    <n v="12"/>
    <s v="Health and Beauty "/>
    <n v="15810"/>
    <s v="Karnal"/>
    <d v="2020-11-19T00:00:00"/>
    <n v="11"/>
    <n v="2020"/>
    <s v="South Asia"/>
    <x v="10"/>
    <s v="COMPLETE"/>
    <s v="COMPLETED"/>
    <s v="Standard Class"/>
    <n v="293.04000000000002"/>
  </r>
  <r>
    <n v="72260"/>
    <s v="TRANSFER"/>
    <n v="6"/>
    <n v="2"/>
    <s v="DELAYED"/>
    <n v="1356"/>
    <n v="1"/>
    <n v="293.04000000000002"/>
    <n v="12"/>
    <s v="Health and Beauty "/>
    <n v="15813"/>
    <s v="Kulti"/>
    <d v="2020-11-19T00:00:00"/>
    <n v="11"/>
    <n v="2020"/>
    <s v="South Asia"/>
    <x v="6"/>
    <s v="PROCESSING"/>
    <s v="PENDING"/>
    <s v="Second Class"/>
    <n v="293.04000000000002"/>
  </r>
  <r>
    <n v="72261"/>
    <s v="DEBIT"/>
    <n v="2"/>
    <n v="2"/>
    <s v=" ONTIME"/>
    <n v="1356"/>
    <n v="1"/>
    <n v="293.04000000000002"/>
    <n v="12"/>
    <s v="Health and Beauty "/>
    <n v="15814"/>
    <s v="Kulti"/>
    <d v="2020-11-19T00:00:00"/>
    <n v="11"/>
    <n v="2020"/>
    <s v="South Asia"/>
    <x v="6"/>
    <s v="COMPLETE"/>
    <s v="COMPLETED"/>
    <s v="Second Class"/>
    <n v="293.04000000000002"/>
  </r>
  <r>
    <n v="72262"/>
    <s v="CASH"/>
    <n v="2"/>
    <n v="1"/>
    <s v="DELAYED"/>
    <n v="1356"/>
    <n v="1"/>
    <n v="293.04000000000002"/>
    <n v="12"/>
    <s v="Health and Beauty "/>
    <n v="15815"/>
    <s v="Kulti"/>
    <d v="2020-11-19T00:00:00"/>
    <n v="11"/>
    <n v="2020"/>
    <s v="South Asia"/>
    <x v="6"/>
    <s v="CLOSED"/>
    <s v="PENDING"/>
    <s v="First Class"/>
    <n v="293.04000000000002"/>
  </r>
  <r>
    <n v="72263"/>
    <s v="DEBIT"/>
    <n v="2"/>
    <n v="1"/>
    <s v="DELAYED"/>
    <n v="1356"/>
    <n v="1"/>
    <n v="293.04000000000002"/>
    <n v="12"/>
    <s v="Health and Beauty "/>
    <n v="15816"/>
    <s v="Kulti"/>
    <d v="2020-11-19T00:00:00"/>
    <n v="11"/>
    <n v="2020"/>
    <s v="South Asia"/>
    <x v="6"/>
    <s v="ON_HOLD"/>
    <s v="PENDING"/>
    <s v="First Class"/>
    <n v="293.04000000000002"/>
  </r>
  <r>
    <n v="72264"/>
    <s v="TRANSFER"/>
    <n v="5"/>
    <n v="4"/>
    <s v="DELAYED"/>
    <n v="1356"/>
    <n v="1"/>
    <n v="293.04000000000002"/>
    <n v="12"/>
    <s v="Health and Beauty "/>
    <n v="15817"/>
    <s v="Kulti"/>
    <d v="2020-11-19T00:00:00"/>
    <n v="11"/>
    <n v="2020"/>
    <s v="South Asia"/>
    <x v="6"/>
    <s v="PENDING"/>
    <s v="PENDING"/>
    <s v="Standard Class"/>
    <n v="293.04000000000002"/>
  </r>
  <r>
    <n v="72265"/>
    <s v="PAYMENT"/>
    <n v="6"/>
    <n v="2"/>
    <s v="DELAYED"/>
    <n v="1356"/>
    <n v="1"/>
    <n v="293.04000000000002"/>
    <n v="12"/>
    <s v="Health and Beauty "/>
    <n v="15818"/>
    <s v="Kulti"/>
    <d v="2020-11-19T00:00:00"/>
    <n v="11"/>
    <n v="2020"/>
    <s v="South Asia"/>
    <x v="6"/>
    <s v="PENDING_PAYMENT"/>
    <s v="PENDING"/>
    <s v="Second Class"/>
    <n v="293.04000000000002"/>
  </r>
  <r>
    <n v="72272"/>
    <s v="CASH"/>
    <n v="3"/>
    <n v="2"/>
    <s v="DELAYED"/>
    <n v="1356"/>
    <n v="1"/>
    <n v="293.04000000000002"/>
    <n v="12"/>
    <s v="Health and Beauty "/>
    <n v="15825"/>
    <s v="Bhilai"/>
    <d v="2020-11-19T00:00:00"/>
    <n v="11"/>
    <n v="2020"/>
    <s v="South Asia"/>
    <x v="18"/>
    <s v="CLOSED"/>
    <s v="PENDING"/>
    <s v="Second Class"/>
    <n v="293.04000000000002"/>
  </r>
  <r>
    <n v="72273"/>
    <s v="TRANSFER"/>
    <n v="2"/>
    <n v="1"/>
    <s v="DELAYED"/>
    <n v="1356"/>
    <n v="1"/>
    <n v="293.04000000000002"/>
    <n v="12"/>
    <s v="Health and Beauty "/>
    <n v="15826"/>
    <s v="Bhilai"/>
    <d v="2020-11-20T00:00:00"/>
    <n v="11"/>
    <n v="2020"/>
    <s v="South Asia"/>
    <x v="18"/>
    <s v="PROCESSING"/>
    <s v="PENDING"/>
    <s v="First Class"/>
    <n v="293.04000000000002"/>
  </r>
  <r>
    <n v="72274"/>
    <s v="CASH"/>
    <n v="2"/>
    <n v="1"/>
    <s v="DELAYED"/>
    <n v="1356"/>
    <n v="1"/>
    <n v="293.04000000000002"/>
    <n v="12"/>
    <s v="Health and Beauty "/>
    <n v="15827"/>
    <s v="Bhilai"/>
    <d v="2020-11-20T00:00:00"/>
    <n v="11"/>
    <n v="2020"/>
    <s v="South Asia"/>
    <x v="18"/>
    <s v="CLOSED"/>
    <s v="PENDING"/>
    <s v="First Class"/>
    <n v="293.04000000000002"/>
  </r>
  <r>
    <n v="72300"/>
    <s v="CASH"/>
    <n v="6"/>
    <n v="4"/>
    <s v="DELAYED"/>
    <n v="1356"/>
    <n v="1"/>
    <n v="293.04000000000002"/>
    <n v="12"/>
    <s v="Health and Beauty "/>
    <n v="15853"/>
    <s v="Salem"/>
    <d v="2020-11-20T00:00:00"/>
    <n v="11"/>
    <n v="2020"/>
    <s v="South Asia"/>
    <x v="3"/>
    <s v="CLOSED"/>
    <s v="PENDING"/>
    <s v="Standard Class"/>
    <n v="293.04000000000002"/>
  </r>
  <r>
    <n v="72301"/>
    <s v="CASH"/>
    <n v="2"/>
    <n v="1"/>
    <s v="DELAYED"/>
    <n v="1356"/>
    <n v="1"/>
    <n v="293.04000000000002"/>
    <n v="12"/>
    <s v="Health and Beauty "/>
    <n v="15854"/>
    <s v="Salem"/>
    <d v="2020-11-20T00:00:00"/>
    <n v="11"/>
    <n v="2020"/>
    <s v="South Asia"/>
    <x v="3"/>
    <s v="CLOSED"/>
    <s v="PENDING"/>
    <s v="First Class"/>
    <n v="293.04000000000002"/>
  </r>
  <r>
    <n v="72302"/>
    <s v="DEBIT"/>
    <n v="3"/>
    <n v="4"/>
    <s v=" ONTIME"/>
    <n v="1356"/>
    <n v="1"/>
    <n v="293.04000000000002"/>
    <n v="12"/>
    <s v="Health and Beauty "/>
    <n v="15855"/>
    <s v="Salem"/>
    <d v="2020-11-20T00:00:00"/>
    <n v="11"/>
    <n v="2020"/>
    <s v="South Asia"/>
    <x v="3"/>
    <s v="ON_HOLD"/>
    <s v="PENDING"/>
    <s v="Standard Class"/>
    <n v="293.04000000000002"/>
  </r>
  <r>
    <n v="72303"/>
    <s v="DEBIT"/>
    <n v="4"/>
    <n v="4"/>
    <s v=" ONTIME"/>
    <n v="1356"/>
    <n v="1"/>
    <n v="293.04000000000002"/>
    <n v="12"/>
    <s v="Health and Beauty "/>
    <n v="15856"/>
    <s v="Salem"/>
    <d v="2020-11-20T00:00:00"/>
    <n v="11"/>
    <n v="2020"/>
    <s v="South Asia"/>
    <x v="3"/>
    <s v="COMPLETE"/>
    <s v="COMPLETED"/>
    <s v="Standard Class"/>
    <n v="293.04000000000002"/>
  </r>
  <r>
    <n v="72306"/>
    <s v="TRANSFER"/>
    <n v="2"/>
    <n v="4"/>
    <s v=" ONTIME"/>
    <n v="1356"/>
    <n v="1"/>
    <n v="293.04000000000002"/>
    <n v="12"/>
    <s v="Health and Beauty "/>
    <n v="15859"/>
    <s v="Belgaum"/>
    <d v="2020-11-20T00:00:00"/>
    <n v="11"/>
    <n v="2020"/>
    <s v="South Asia"/>
    <x v="8"/>
    <s v="PROCESSING"/>
    <s v="PENDING"/>
    <s v="Standard Class"/>
    <n v="293.04000000000002"/>
  </r>
  <r>
    <n v="72307"/>
    <s v="PAYMENT"/>
    <n v="3"/>
    <n v="4"/>
    <s v=" ONTIME"/>
    <n v="1356"/>
    <n v="1"/>
    <n v="293.04000000000002"/>
    <n v="12"/>
    <s v="Health and Beauty "/>
    <n v="15860"/>
    <s v="Belgaum"/>
    <d v="2020-11-20T00:00:00"/>
    <n v="11"/>
    <n v="2020"/>
    <s v="South Asia"/>
    <x v="8"/>
    <s v="PENDING_PAYMENT"/>
    <s v="PENDING"/>
    <s v="Standard Class"/>
    <n v="293.04000000000002"/>
  </r>
  <r>
    <n v="72308"/>
    <s v="TRANSFER"/>
    <n v="4"/>
    <n v="4"/>
    <s v=" ONTIME"/>
    <n v="1356"/>
    <n v="1"/>
    <n v="293.04000000000002"/>
    <n v="12"/>
    <s v="Health and Beauty "/>
    <n v="15861"/>
    <s v="Belgaum"/>
    <d v="2020-11-20T00:00:00"/>
    <n v="11"/>
    <n v="2020"/>
    <s v="South Asia"/>
    <x v="8"/>
    <s v="PENDING"/>
    <s v="PENDING"/>
    <s v="Standard Class"/>
    <n v="293.04000000000002"/>
  </r>
  <r>
    <n v="72309"/>
    <s v="PAYMENT"/>
    <n v="5"/>
    <n v="4"/>
    <s v="DELAYED"/>
    <n v="1356"/>
    <n v="1"/>
    <n v="293.04000000000002"/>
    <n v="12"/>
    <s v="Health and Beauty "/>
    <n v="15862"/>
    <s v="Madurai"/>
    <d v="2020-11-20T00:00:00"/>
    <n v="11"/>
    <n v="2020"/>
    <s v="South Asia"/>
    <x v="3"/>
    <s v="PENDING_PAYMENT"/>
    <s v="PENDING"/>
    <s v="Standard Class"/>
    <n v="293.04000000000002"/>
  </r>
  <r>
    <n v="72377"/>
    <s v="PAYMENT"/>
    <n v="3"/>
    <n v="2"/>
    <s v="DELAYED"/>
    <n v="1357"/>
    <n v="1"/>
    <n v="210.85"/>
    <n v="4"/>
    <s v="Apparel"/>
    <n v="15930"/>
    <s v="Bhavnagar"/>
    <d v="2020-11-21T00:00:00"/>
    <n v="11"/>
    <n v="2020"/>
    <s v="South Asia"/>
    <x v="4"/>
    <s v="PENDING_PAYMENT"/>
    <s v="PENDING"/>
    <s v="Second Class"/>
    <n v="210.85"/>
  </r>
  <r>
    <n v="72396"/>
    <s v="CASH"/>
    <n v="2"/>
    <n v="2"/>
    <s v=" ONTIME"/>
    <n v="1357"/>
    <n v="1"/>
    <n v="210.85"/>
    <n v="4"/>
    <s v="Apparel"/>
    <n v="15949"/>
    <s v="Chennai"/>
    <d v="2020-11-21T00:00:00"/>
    <n v="11"/>
    <n v="2020"/>
    <s v="South Asia"/>
    <x v="3"/>
    <s v="CLOSED"/>
    <s v="PENDING"/>
    <s v="Second Class"/>
    <n v="210.85"/>
  </r>
  <r>
    <n v="72397"/>
    <s v="TRANSFER"/>
    <n v="3"/>
    <n v="2"/>
    <s v="DELAYED"/>
    <n v="1357"/>
    <n v="1"/>
    <n v="210.85"/>
    <n v="4"/>
    <s v="Apparel"/>
    <n v="15950"/>
    <s v="Nagpur"/>
    <d v="2020-11-21T00:00:00"/>
    <n v="11"/>
    <n v="2020"/>
    <s v="South Asia"/>
    <x v="0"/>
    <s v="PENDING"/>
    <s v="PENDING"/>
    <s v="Second Class"/>
    <n v="210.85"/>
  </r>
  <r>
    <n v="72398"/>
    <s v="TRANSFER"/>
    <n v="4"/>
    <n v="2"/>
    <s v="DELAYED"/>
    <n v="1357"/>
    <n v="1"/>
    <n v="210.85"/>
    <n v="4"/>
    <s v="Apparel"/>
    <n v="15951"/>
    <s v="Mumbai"/>
    <d v="2020-11-21T00:00:00"/>
    <n v="11"/>
    <n v="2020"/>
    <s v="South Asia"/>
    <x v="0"/>
    <s v="PROCESSING"/>
    <s v="PENDING"/>
    <s v="Second Class"/>
    <n v="210.85"/>
  </r>
  <r>
    <n v="72399"/>
    <s v="TRANSFER"/>
    <n v="5"/>
    <n v="2"/>
    <s v="DELAYED"/>
    <n v="1357"/>
    <n v="1"/>
    <n v="210.85"/>
    <n v="4"/>
    <s v="Apparel"/>
    <n v="15952"/>
    <s v="Mumbai"/>
    <d v="2020-11-21T00:00:00"/>
    <n v="11"/>
    <n v="2020"/>
    <s v="South Asia"/>
    <x v="0"/>
    <s v="PROCESSING"/>
    <s v="PENDING"/>
    <s v="Second Class"/>
    <n v="210.85"/>
  </r>
  <r>
    <n v="72400"/>
    <s v="TRANSFER"/>
    <n v="6"/>
    <n v="4"/>
    <s v="DELAYED"/>
    <n v="1357"/>
    <n v="1"/>
    <n v="210.85"/>
    <n v="4"/>
    <s v="Apparel"/>
    <n v="15953"/>
    <s v="Mumbai"/>
    <d v="2020-11-21T00:00:00"/>
    <n v="11"/>
    <n v="2020"/>
    <s v="South Asia"/>
    <x v="0"/>
    <s v="PENDING"/>
    <s v="PENDING"/>
    <s v="Standard Class"/>
    <n v="210.85"/>
  </r>
  <r>
    <n v="72401"/>
    <s v="TRANSFER"/>
    <n v="2"/>
    <n v="4"/>
    <s v=" ONTIME"/>
    <n v="1357"/>
    <n v="1"/>
    <n v="210.85"/>
    <n v="4"/>
    <s v="Apparel"/>
    <n v="15954"/>
    <s v="Mumbai"/>
    <d v="2020-11-21T00:00:00"/>
    <n v="11"/>
    <n v="2020"/>
    <s v="South Asia"/>
    <x v="0"/>
    <s v="PENDING"/>
    <s v="PENDING"/>
    <s v="Standard Class"/>
    <n v="210.85"/>
  </r>
  <r>
    <n v="72402"/>
    <s v="DEBIT"/>
    <n v="3"/>
    <n v="4"/>
    <s v=" ONTIME"/>
    <n v="1357"/>
    <n v="1"/>
    <n v="210.85"/>
    <n v="4"/>
    <s v="Apparel"/>
    <n v="15955"/>
    <s v="Mumbai"/>
    <d v="2020-11-21T00:00:00"/>
    <n v="11"/>
    <n v="2020"/>
    <s v="South Asia"/>
    <x v="0"/>
    <s v="COMPLETE"/>
    <s v="COMPLETED"/>
    <s v="Standard Class"/>
    <n v="210.85"/>
  </r>
  <r>
    <n v="72420"/>
    <s v="PAYMENT"/>
    <n v="2"/>
    <n v="1"/>
    <s v="DELAYED"/>
    <n v="1357"/>
    <n v="1"/>
    <n v="210.85"/>
    <n v="4"/>
    <s v="Apparel"/>
    <n v="15973"/>
    <s v="Ratlam"/>
    <d v="2020-11-22T00:00:00"/>
    <n v="11"/>
    <n v="2020"/>
    <s v="South Asia"/>
    <x v="14"/>
    <s v="PENDING_PAYMENT"/>
    <s v="PENDING"/>
    <s v="First Class"/>
    <n v="210.85"/>
  </r>
  <r>
    <n v="72421"/>
    <s v="TRANSFER"/>
    <n v="2"/>
    <n v="1"/>
    <s v="DELAYED"/>
    <n v="1357"/>
    <n v="1"/>
    <n v="210.85"/>
    <n v="4"/>
    <s v="Apparel"/>
    <n v="15974"/>
    <s v="Ratlam"/>
    <d v="2020-11-22T00:00:00"/>
    <n v="11"/>
    <n v="2020"/>
    <s v="South Asia"/>
    <x v="14"/>
    <s v="PROCESSING"/>
    <s v="PENDING"/>
    <s v="First Class"/>
    <n v="210.85"/>
  </r>
  <r>
    <n v="72422"/>
    <s v="DEBIT"/>
    <n v="3"/>
    <n v="2"/>
    <s v="DELAYED"/>
    <n v="1357"/>
    <n v="1"/>
    <n v="210.85"/>
    <n v="4"/>
    <s v="Apparel"/>
    <n v="15975"/>
    <s v="Ratlam"/>
    <d v="2020-11-22T00:00:00"/>
    <n v="11"/>
    <n v="2020"/>
    <s v="South Asia"/>
    <x v="14"/>
    <s v="COMPLETE"/>
    <s v="COMPLETED"/>
    <s v="Second Class"/>
    <n v="210.85"/>
  </r>
  <r>
    <n v="72428"/>
    <s v="CASH"/>
    <n v="2"/>
    <n v="1"/>
    <s v="DELAYED"/>
    <n v="1357"/>
    <n v="1"/>
    <n v="210.85"/>
    <n v="4"/>
    <s v="Apparel"/>
    <n v="15981"/>
    <s v="Solapur"/>
    <d v="2020-11-22T00:00:00"/>
    <n v="11"/>
    <n v="2020"/>
    <s v="South Asia"/>
    <x v="0"/>
    <s v="CLOSED"/>
    <s v="PENDING"/>
    <s v="First Class"/>
    <n v="210.85"/>
  </r>
  <r>
    <n v="72429"/>
    <s v="DEBIT"/>
    <n v="2"/>
    <n v="1"/>
    <s v="DELAYED"/>
    <n v="1357"/>
    <n v="1"/>
    <n v="210.85"/>
    <n v="4"/>
    <s v="Apparel"/>
    <n v="15982"/>
    <s v="Solapur"/>
    <d v="2020-11-22T00:00:00"/>
    <n v="11"/>
    <n v="2020"/>
    <s v="South Asia"/>
    <x v="0"/>
    <s v="COMPLETE"/>
    <s v="COMPLETED"/>
    <s v="First Class"/>
    <n v="210.85"/>
  </r>
  <r>
    <n v="72430"/>
    <s v="PAYMENT"/>
    <n v="6"/>
    <n v="4"/>
    <s v="DELAYED"/>
    <n v="1357"/>
    <n v="1"/>
    <n v="210.85"/>
    <n v="4"/>
    <s v="Apparel"/>
    <n v="15983"/>
    <s v="Solapur"/>
    <d v="2020-11-22T00:00:00"/>
    <n v="11"/>
    <n v="2020"/>
    <s v="South Asia"/>
    <x v="0"/>
    <s v="PENDING_PAYMENT"/>
    <s v="PENDING"/>
    <s v="Standard Class"/>
    <n v="210.85"/>
  </r>
  <r>
    <n v="72431"/>
    <s v="PAYMENT"/>
    <n v="2"/>
    <n v="4"/>
    <s v=" ONTIME"/>
    <n v="1357"/>
    <n v="1"/>
    <n v="210.85"/>
    <n v="4"/>
    <s v="Apparel"/>
    <n v="15984"/>
    <s v="Solapur"/>
    <d v="2020-11-22T00:00:00"/>
    <n v="11"/>
    <n v="2020"/>
    <s v="South Asia"/>
    <x v="0"/>
    <s v="PAYMENT_REVIEW"/>
    <s v="PENDING"/>
    <s v="Standard Class"/>
    <n v="210.85"/>
  </r>
  <r>
    <n v="72451"/>
    <s v="TRANSFER"/>
    <n v="2"/>
    <n v="4"/>
    <s v=" ONTIME"/>
    <n v="1357"/>
    <n v="1"/>
    <n v="210.85"/>
    <n v="4"/>
    <s v="Apparel"/>
    <n v="16004"/>
    <s v="Nellore"/>
    <d v="2020-11-22T00:00:00"/>
    <n v="11"/>
    <n v="2020"/>
    <s v="South Asia"/>
    <x v="15"/>
    <s v="PROCESSING"/>
    <s v="PENDING"/>
    <s v="Standard Class"/>
    <n v="210.85"/>
  </r>
  <r>
    <n v="72460"/>
    <s v="DEBIT"/>
    <n v="6"/>
    <n v="4"/>
    <s v="DELAYED"/>
    <n v="1357"/>
    <n v="1"/>
    <n v="210.85"/>
    <n v="4"/>
    <s v="Apparel"/>
    <n v="16013"/>
    <s v="Mumbai"/>
    <d v="2020-11-22T00:00:00"/>
    <n v="11"/>
    <n v="2020"/>
    <s v="South Asia"/>
    <x v="0"/>
    <s v="COMPLETE"/>
    <s v="COMPLETED"/>
    <s v="Standard Class"/>
    <n v="210.85"/>
  </r>
  <r>
    <n v="72482"/>
    <s v="DEBIT"/>
    <n v="3"/>
    <n v="4"/>
    <s v=" ONTIME"/>
    <n v="1357"/>
    <n v="1"/>
    <n v="210.85"/>
    <n v="4"/>
    <s v="Apparel"/>
    <n v="16035"/>
    <s v="Jaipur"/>
    <d v="2020-11-23T00:00:00"/>
    <n v="11"/>
    <n v="2020"/>
    <s v="South Asia"/>
    <x v="2"/>
    <s v="COMPLETE"/>
    <s v="COMPLETED"/>
    <s v="Standard Class"/>
    <n v="210.85"/>
  </r>
  <r>
    <n v="72500"/>
    <s v="TRANSFER"/>
    <n v="6"/>
    <n v="2"/>
    <s v="DELAYED"/>
    <n v="1357"/>
    <n v="1"/>
    <n v="210.85"/>
    <n v="4"/>
    <s v="Apparel"/>
    <n v="16053"/>
    <s v="Nagpur"/>
    <d v="2020-11-23T00:00:00"/>
    <n v="11"/>
    <n v="2020"/>
    <s v="South Asia"/>
    <x v="0"/>
    <s v="PENDING"/>
    <s v="PENDING"/>
    <s v="Second Class"/>
    <n v="210.85"/>
  </r>
  <r>
    <n v="72504"/>
    <s v="DEBIT"/>
    <n v="5"/>
    <n v="4"/>
    <s v="DELAYED"/>
    <n v="1357"/>
    <n v="1"/>
    <n v="210.85"/>
    <n v="4"/>
    <s v="Apparel"/>
    <n v="16057"/>
    <s v="Gorakhpur"/>
    <d v="2020-11-23T00:00:00"/>
    <n v="11"/>
    <n v="2020"/>
    <s v="South Asia"/>
    <x v="1"/>
    <s v="COMPLETE"/>
    <s v="COMPLETED"/>
    <s v="Standard Class"/>
    <n v="210.85"/>
  </r>
  <r>
    <n v="72520"/>
    <s v="CASH"/>
    <n v="6"/>
    <n v="4"/>
    <s v="DELAYED"/>
    <n v="1357"/>
    <n v="1"/>
    <n v="210.85"/>
    <n v="4"/>
    <s v="Apparel"/>
    <n v="16073"/>
    <s v="Durg"/>
    <d v="2020-11-23T00:00:00"/>
    <n v="11"/>
    <n v="2020"/>
    <s v="South Asia"/>
    <x v="18"/>
    <s v="CLOSED"/>
    <s v="PENDING"/>
    <s v="Standard Class"/>
    <n v="210.85"/>
  </r>
  <r>
    <n v="72521"/>
    <s v="PAYMENT"/>
    <n v="2"/>
    <n v="4"/>
    <s v=" ONTIME"/>
    <n v="1357"/>
    <n v="1"/>
    <n v="210.85"/>
    <n v="4"/>
    <s v="Apparel"/>
    <n v="16074"/>
    <s v="Bhopal"/>
    <d v="2020-11-23T00:00:00"/>
    <n v="11"/>
    <n v="2020"/>
    <s v="South Asia"/>
    <x v="14"/>
    <s v="PENDING_PAYMENT"/>
    <s v="PENDING"/>
    <s v="Standard Class"/>
    <n v="210.85"/>
  </r>
  <r>
    <n v="72529"/>
    <s v="TRANSFER"/>
    <n v="5"/>
    <n v="2"/>
    <s v="DELAYED"/>
    <n v="1357"/>
    <n v="1"/>
    <n v="210.85"/>
    <n v="4"/>
    <s v="Apparel"/>
    <n v="16082"/>
    <s v="Nellore"/>
    <d v="2020-11-23T00:00:00"/>
    <n v="11"/>
    <n v="2020"/>
    <s v="South Asia"/>
    <x v="15"/>
    <s v="PROCESSING"/>
    <s v="PENDING"/>
    <s v="Second Class"/>
    <n v="210.85"/>
  </r>
  <r>
    <n v="72530"/>
    <s v="TRANSFER"/>
    <n v="6"/>
    <n v="4"/>
    <s v="DELAYED"/>
    <n v="1357"/>
    <n v="1"/>
    <n v="210.85"/>
    <n v="4"/>
    <s v="Apparel"/>
    <n v="16083"/>
    <s v="Nellore"/>
    <d v="2020-11-23T00:00:00"/>
    <n v="11"/>
    <n v="2020"/>
    <s v="South Asia"/>
    <x v="15"/>
    <s v="PENDING"/>
    <s v="PENDING"/>
    <s v="Standard Class"/>
    <n v="210.85"/>
  </r>
  <r>
    <n v="72547"/>
    <s v="PAYMENT"/>
    <n v="3"/>
    <n v="4"/>
    <s v=" ONTIME"/>
    <n v="1358"/>
    <n v="1"/>
    <n v="260.64999999999998"/>
    <n v="9"/>
    <s v="Discs Shop"/>
    <n v="16100"/>
    <s v="Mangalore"/>
    <d v="2020-11-24T00:00:00"/>
    <n v="11"/>
    <n v="2020"/>
    <s v="South Asia"/>
    <x v="8"/>
    <s v="PENDING_PAYMENT"/>
    <s v="PENDING"/>
    <s v="Standard Class"/>
    <n v="260.64999999999998"/>
  </r>
  <r>
    <n v="72566"/>
    <s v="DEBIT"/>
    <n v="2"/>
    <n v="2"/>
    <s v=" ONTIME"/>
    <n v="1358"/>
    <n v="1"/>
    <n v="260.64999999999998"/>
    <n v="9"/>
    <s v="Discs Shop"/>
    <n v="16119"/>
    <s v="Delhi"/>
    <d v="2020-11-24T00:00:00"/>
    <n v="11"/>
    <n v="2020"/>
    <s v="South Asia"/>
    <x v="11"/>
    <s v="COMPLETE"/>
    <s v="COMPLETED"/>
    <s v="Second Class"/>
    <n v="260.64999999999998"/>
  </r>
  <r>
    <n v="72568"/>
    <s v="PAYMENT"/>
    <n v="4"/>
    <n v="4"/>
    <s v=" ONTIME"/>
    <n v="1358"/>
    <n v="1"/>
    <n v="260.64999999999998"/>
    <n v="9"/>
    <s v="Discs Shop"/>
    <n v="16121"/>
    <s v="Kalyan"/>
    <d v="2020-11-24T00:00:00"/>
    <n v="11"/>
    <n v="2020"/>
    <s v="South Asia"/>
    <x v="0"/>
    <s v="PENDING_PAYMENT"/>
    <s v="PENDING"/>
    <s v="Standard Class"/>
    <n v="260.64999999999998"/>
  </r>
  <r>
    <n v="72570"/>
    <s v="DEBIT"/>
    <n v="6"/>
    <n v="4"/>
    <s v="DELAYED"/>
    <n v="1358"/>
    <n v="1"/>
    <n v="260.64999999999998"/>
    <n v="9"/>
    <s v="Discs Shop"/>
    <n v="16123"/>
    <s v="Bihar Sharif"/>
    <d v="2020-11-24T00:00:00"/>
    <n v="11"/>
    <n v="2020"/>
    <s v="South Asia"/>
    <x v="17"/>
    <s v="COMPLETE"/>
    <s v="COMPLETED"/>
    <s v="Standard Class"/>
    <n v="260.64999999999998"/>
  </r>
  <r>
    <n v="72571"/>
    <s v="PAYMENT"/>
    <n v="2"/>
    <n v="4"/>
    <s v=" ONTIME"/>
    <n v="1358"/>
    <n v="1"/>
    <n v="260.64999999999998"/>
    <n v="9"/>
    <s v="Discs Shop"/>
    <n v="16124"/>
    <s v="Bihar Sharif"/>
    <d v="2020-11-24T00:00:00"/>
    <n v="11"/>
    <n v="2020"/>
    <s v="South Asia"/>
    <x v="17"/>
    <s v="PENDING_PAYMENT"/>
    <s v="PENDING"/>
    <s v="Standard Class"/>
    <n v="260.64999999999998"/>
  </r>
  <r>
    <n v="72572"/>
    <s v="DEBIT"/>
    <n v="3"/>
    <n v="4"/>
    <s v=" ONTIME"/>
    <n v="1358"/>
    <n v="1"/>
    <n v="260.64999999999998"/>
    <n v="9"/>
    <s v="Discs Shop"/>
    <n v="16125"/>
    <s v="Bihar Sharif"/>
    <d v="2020-11-24T00:00:00"/>
    <n v="11"/>
    <n v="2020"/>
    <s v="South Asia"/>
    <x v="17"/>
    <s v="COMPLETE"/>
    <s v="COMPLETED"/>
    <s v="Standard Class"/>
    <n v="260.64999999999998"/>
  </r>
  <r>
    <n v="72582"/>
    <s v="TRANSFER"/>
    <n v="3"/>
    <n v="4"/>
    <s v=" ONTIME"/>
    <n v="1358"/>
    <n v="1"/>
    <n v="260.64999999999998"/>
    <n v="9"/>
    <s v="Discs Shop"/>
    <n v="16135"/>
    <s v="Agra"/>
    <d v="2020-11-24T00:00:00"/>
    <n v="11"/>
    <n v="2020"/>
    <s v="South Asia"/>
    <x v="1"/>
    <s v="PENDING"/>
    <s v="PENDING"/>
    <s v="Standard Class"/>
    <n v="260.64999999999998"/>
  </r>
  <r>
    <n v="72607"/>
    <s v="CASH"/>
    <n v="3"/>
    <n v="4"/>
    <s v=" ONTIME"/>
    <n v="1358"/>
    <n v="1"/>
    <n v="260.64999999999998"/>
    <n v="9"/>
    <s v="Discs Shop"/>
    <n v="16160"/>
    <s v="Ludhiana"/>
    <d v="2020-11-24T00:00:00"/>
    <n v="11"/>
    <n v="2020"/>
    <s v="South Asia"/>
    <x v="16"/>
    <s v="CLOSED"/>
    <s v="PENDING"/>
    <s v="Standard Class"/>
    <n v="260.64999999999998"/>
  </r>
  <r>
    <n v="72608"/>
    <s v="PAYMENT"/>
    <n v="4"/>
    <n v="4"/>
    <s v=" ONTIME"/>
    <n v="1358"/>
    <n v="1"/>
    <n v="260.64999999999998"/>
    <n v="9"/>
    <s v="Discs Shop"/>
    <n v="16161"/>
    <s v="Ludhiana"/>
    <d v="2020-11-24T00:00:00"/>
    <n v="11"/>
    <n v="2020"/>
    <s v="South Asia"/>
    <x v="16"/>
    <s v="PENDING_PAYMENT"/>
    <s v="PENDING"/>
    <s v="Standard Class"/>
    <n v="260.64999999999998"/>
  </r>
  <r>
    <n v="72609"/>
    <s v="PAYMENT"/>
    <n v="5"/>
    <n v="4"/>
    <s v="DELAYED"/>
    <n v="1358"/>
    <n v="1"/>
    <n v="260.64999999999998"/>
    <n v="9"/>
    <s v="Discs Shop"/>
    <n v="16162"/>
    <s v="Ludhiana"/>
    <d v="2020-11-24T00:00:00"/>
    <n v="11"/>
    <n v="2020"/>
    <s v="South Asia"/>
    <x v="16"/>
    <s v="PENDING_PAYMENT"/>
    <s v="PENDING"/>
    <s v="Standard Class"/>
    <n v="260.64999999999998"/>
  </r>
  <r>
    <n v="72610"/>
    <s v="TRANSFER"/>
    <n v="2"/>
    <n v="1"/>
    <s v="DELAYED"/>
    <n v="1358"/>
    <n v="1"/>
    <n v="260.64999999999998"/>
    <n v="9"/>
    <s v="Discs Shop"/>
    <n v="16163"/>
    <s v="Ludhiana"/>
    <d v="2020-11-24T00:00:00"/>
    <n v="11"/>
    <n v="2020"/>
    <s v="South Asia"/>
    <x v="16"/>
    <s v="PENDING"/>
    <s v="PENDING"/>
    <s v="First Class"/>
    <n v="260.64999999999998"/>
  </r>
  <r>
    <n v="72611"/>
    <s v="TRANSFER"/>
    <n v="2"/>
    <n v="2"/>
    <s v=" ONTIME"/>
    <n v="1358"/>
    <n v="1"/>
    <n v="260.64999999999998"/>
    <n v="9"/>
    <s v="Discs Shop"/>
    <n v="16164"/>
    <s v="Ludhiana"/>
    <d v="2020-11-24T00:00:00"/>
    <n v="11"/>
    <n v="2020"/>
    <s v="South Asia"/>
    <x v="16"/>
    <s v="PENDING"/>
    <s v="PENDING"/>
    <s v="Second Class"/>
    <n v="260.64999999999998"/>
  </r>
  <r>
    <n v="72612"/>
    <s v="DEBIT"/>
    <n v="2"/>
    <n v="1"/>
    <s v="DELAYED"/>
    <n v="1358"/>
    <n v="1"/>
    <n v="260.64999999999998"/>
    <n v="9"/>
    <s v="Discs Shop"/>
    <n v="16165"/>
    <s v="Ludhiana"/>
    <d v="2020-11-24T00:00:00"/>
    <n v="11"/>
    <n v="2020"/>
    <s v="South Asia"/>
    <x v="16"/>
    <s v="COMPLETE"/>
    <s v="COMPLETED"/>
    <s v="First Class"/>
    <n v="260.64999999999998"/>
  </r>
  <r>
    <n v="72619"/>
    <s v="TRANSFER"/>
    <n v="5"/>
    <n v="4"/>
    <s v="DELAYED"/>
    <n v="1358"/>
    <n v="1"/>
    <n v="260.64999999999998"/>
    <n v="9"/>
    <s v="Discs Shop"/>
    <n v="16172"/>
    <s v="Agra"/>
    <d v="2020-11-25T00:00:00"/>
    <n v="11"/>
    <n v="2020"/>
    <s v="South Asia"/>
    <x v="1"/>
    <s v="PROCESSING"/>
    <s v="PENDING"/>
    <s v="Standard Class"/>
    <n v="260.64999999999998"/>
  </r>
  <r>
    <n v="72651"/>
    <s v="TRANSFER"/>
    <n v="2"/>
    <n v="4"/>
    <s v=" ONTIME"/>
    <n v="1358"/>
    <n v="1"/>
    <n v="260.64999999999998"/>
    <n v="9"/>
    <s v="Discs Shop"/>
    <n v="16204"/>
    <s v="Hyderabad"/>
    <d v="2020-11-25T00:00:00"/>
    <n v="11"/>
    <n v="2020"/>
    <s v="South Asia"/>
    <x v="7"/>
    <s v="PENDING"/>
    <s v="PENDING"/>
    <s v="Standard Class"/>
    <n v="260.64999999999998"/>
  </r>
  <r>
    <n v="72652"/>
    <s v="DEBIT"/>
    <n v="3"/>
    <n v="4"/>
    <s v=" ONTIME"/>
    <n v="1358"/>
    <n v="1"/>
    <n v="260.64999999999998"/>
    <n v="9"/>
    <s v="Discs Shop"/>
    <n v="16205"/>
    <s v="Hyderabad"/>
    <d v="2020-11-25T00:00:00"/>
    <n v="11"/>
    <n v="2020"/>
    <s v="South Asia"/>
    <x v="7"/>
    <s v="COMPLETE"/>
    <s v="COMPLETED"/>
    <s v="Standard Class"/>
    <n v="260.64999999999998"/>
  </r>
  <r>
    <n v="72653"/>
    <s v="CASH"/>
    <n v="4"/>
    <n v="4"/>
    <s v=" ONTIME"/>
    <n v="1358"/>
    <n v="1"/>
    <n v="260.64999999999998"/>
    <n v="9"/>
    <s v="Discs Shop"/>
    <n v="16206"/>
    <s v="Hyderabad"/>
    <d v="2020-11-25T00:00:00"/>
    <n v="11"/>
    <n v="2020"/>
    <s v="South Asia"/>
    <x v="7"/>
    <s v="CLOSED"/>
    <s v="PENDING"/>
    <s v="Standard Class"/>
    <n v="260.64999999999998"/>
  </r>
  <r>
    <n v="72664"/>
    <s v="DEBIT"/>
    <n v="5"/>
    <n v="4"/>
    <s v="DELAYED"/>
    <n v="1358"/>
    <n v="1"/>
    <n v="260.64999999999998"/>
    <n v="9"/>
    <s v="Discs Shop"/>
    <n v="16217"/>
    <s v="Bijapur"/>
    <d v="2020-11-25T00:00:00"/>
    <n v="11"/>
    <n v="2020"/>
    <s v="South Asia"/>
    <x v="8"/>
    <s v="COMPLETE"/>
    <s v="COMPLETED"/>
    <s v="Standard Class"/>
    <n v="260.64999999999998"/>
  </r>
  <r>
    <n v="72665"/>
    <s v="CASH"/>
    <n v="1"/>
    <n v="0"/>
    <s v="DELAYED"/>
    <n v="1358"/>
    <n v="1"/>
    <n v="260.64999999999998"/>
    <n v="9"/>
    <s v="Discs Shop"/>
    <n v="16218"/>
    <s v="Bijapur"/>
    <d v="2020-11-25T00:00:00"/>
    <n v="11"/>
    <n v="2020"/>
    <s v="South Asia"/>
    <x v="8"/>
    <s v="CLOSED"/>
    <s v="PENDING"/>
    <s v="Same Day"/>
    <n v="260.64999999999998"/>
  </r>
  <r>
    <n v="72666"/>
    <s v="PAYMENT"/>
    <n v="1"/>
    <n v="0"/>
    <s v="DELAYED"/>
    <n v="1358"/>
    <n v="1"/>
    <n v="260.64999999999998"/>
    <n v="9"/>
    <s v="Discs Shop"/>
    <n v="16219"/>
    <s v="Bijapur"/>
    <d v="2020-11-25T00:00:00"/>
    <n v="11"/>
    <n v="2020"/>
    <s v="South Asia"/>
    <x v="8"/>
    <s v="PENDING_PAYMENT"/>
    <s v="PENDING"/>
    <s v="Same Day"/>
    <n v="260.64999999999998"/>
  </r>
  <r>
    <n v="72667"/>
    <s v="TRANSFER"/>
    <n v="1"/>
    <n v="0"/>
    <s v="DELAYED"/>
    <n v="1358"/>
    <n v="1"/>
    <n v="260.64999999999998"/>
    <n v="9"/>
    <s v="Discs Shop"/>
    <n v="16220"/>
    <s v="Bijapur"/>
    <d v="2020-11-25T00:00:00"/>
    <n v="11"/>
    <n v="2020"/>
    <s v="South Asia"/>
    <x v="8"/>
    <s v="PROCESSING"/>
    <s v="PENDING"/>
    <s v="Same Day"/>
    <n v="260.64999999999998"/>
  </r>
  <r>
    <n v="72668"/>
    <s v="DEBIT"/>
    <n v="2"/>
    <n v="1"/>
    <s v="DELAYED"/>
    <n v="1358"/>
    <n v="1"/>
    <n v="260.64999999999998"/>
    <n v="9"/>
    <s v="Discs Shop"/>
    <n v="16221"/>
    <s v="Agra"/>
    <d v="2020-11-25T00:00:00"/>
    <n v="11"/>
    <n v="2020"/>
    <s v="South Asia"/>
    <x v="1"/>
    <s v="COMPLETE"/>
    <s v="COMPLETED"/>
    <s v="First Class"/>
    <n v="260.64999999999998"/>
  </r>
  <r>
    <n v="72669"/>
    <s v="DEBIT"/>
    <n v="2"/>
    <n v="1"/>
    <s v="DELAYED"/>
    <n v="1358"/>
    <n v="1"/>
    <n v="260.64999999999998"/>
    <n v="9"/>
    <s v="Discs Shop"/>
    <n v="16222"/>
    <s v="Agra"/>
    <d v="2020-11-25T00:00:00"/>
    <n v="11"/>
    <n v="2020"/>
    <s v="South Asia"/>
    <x v="1"/>
    <s v="COMPLETE"/>
    <s v="COMPLETED"/>
    <s v="First Class"/>
    <n v="260.64999999999998"/>
  </r>
  <r>
    <n v="72670"/>
    <s v="DEBIT"/>
    <n v="6"/>
    <n v="4"/>
    <s v="DELAYED"/>
    <n v="1358"/>
    <n v="1"/>
    <n v="260.64999999999998"/>
    <n v="9"/>
    <s v="Discs Shop"/>
    <n v="16223"/>
    <s v="Agra"/>
    <d v="2020-11-25T00:00:00"/>
    <n v="11"/>
    <n v="2020"/>
    <s v="South Asia"/>
    <x v="1"/>
    <s v="COMPLETE"/>
    <s v="COMPLETED"/>
    <s v="Standard Class"/>
    <n v="260.64999999999998"/>
  </r>
  <r>
    <n v="72674"/>
    <s v="DEBIT"/>
    <n v="5"/>
    <n v="4"/>
    <s v="DELAYED"/>
    <n v="1358"/>
    <n v="1"/>
    <n v="260.64999999999998"/>
    <n v="9"/>
    <s v="Discs Shop"/>
    <n v="16227"/>
    <s v="Panihati"/>
    <d v="2020-11-25T00:00:00"/>
    <n v="11"/>
    <n v="2020"/>
    <s v="South Asia"/>
    <x v="6"/>
    <s v="COMPLETE"/>
    <s v="COMPLETED"/>
    <s v="Standard Class"/>
    <n v="260.64999999999998"/>
  </r>
  <r>
    <n v="72675"/>
    <s v="PAYMENT"/>
    <n v="6"/>
    <n v="4"/>
    <s v="DELAYED"/>
    <n v="1358"/>
    <n v="1"/>
    <n v="260.64999999999998"/>
    <n v="9"/>
    <s v="Discs Shop"/>
    <n v="16228"/>
    <s v="Jamshedpur"/>
    <d v="2020-11-25T00:00:00"/>
    <n v="11"/>
    <n v="2020"/>
    <s v="South Asia"/>
    <x v="12"/>
    <s v="PENDING_PAYMENT"/>
    <s v="PENDING"/>
    <s v="Standard Class"/>
    <n v="260.64999999999998"/>
  </r>
  <r>
    <n v="72676"/>
    <s v="PAYMENT"/>
    <n v="2"/>
    <n v="4"/>
    <s v=" ONTIME"/>
    <n v="1358"/>
    <n v="1"/>
    <n v="260.64999999999998"/>
    <n v="9"/>
    <s v="Discs Shop"/>
    <n v="16229"/>
    <s v="Jamshedpur"/>
    <d v="2020-11-25T00:00:00"/>
    <n v="11"/>
    <n v="2020"/>
    <s v="South Asia"/>
    <x v="12"/>
    <s v="PENDING_PAYMENT"/>
    <s v="PENDING"/>
    <s v="Standard Class"/>
    <n v="260.64999999999998"/>
  </r>
  <r>
    <n v="72697"/>
    <s v="CASH"/>
    <n v="0"/>
    <n v="0"/>
    <s v=" ONTIME"/>
    <n v="1358"/>
    <n v="1"/>
    <n v="260.64999999999998"/>
    <n v="9"/>
    <s v="Discs Shop"/>
    <n v="16250"/>
    <s v="Bhavnagar"/>
    <d v="2020-11-26T00:00:00"/>
    <n v="11"/>
    <n v="2020"/>
    <s v="South Asia"/>
    <x v="4"/>
    <s v="CLOSED"/>
    <s v="PENDING"/>
    <s v="Same Day"/>
    <n v="260.64999999999998"/>
  </r>
  <r>
    <n v="72698"/>
    <s v="DEBIT"/>
    <n v="2"/>
    <n v="1"/>
    <s v="DELAYED"/>
    <n v="1358"/>
    <n v="1"/>
    <n v="260.64999999999998"/>
    <n v="9"/>
    <s v="Discs Shop"/>
    <n v="16251"/>
    <s v="Bhavnagar"/>
    <d v="2020-11-26T00:00:00"/>
    <n v="11"/>
    <n v="2020"/>
    <s v="South Asia"/>
    <x v="4"/>
    <s v="COMPLETE"/>
    <s v="COMPLETED"/>
    <s v="First Class"/>
    <n v="260.64999999999998"/>
  </r>
  <r>
    <n v="72702"/>
    <s v="CASH"/>
    <n v="3"/>
    <n v="4"/>
    <s v=" ONTIME"/>
    <n v="1358"/>
    <n v="1"/>
    <n v="260.64999999999998"/>
    <n v="9"/>
    <s v="Discs Shop"/>
    <n v="16255"/>
    <s v="Pune"/>
    <d v="2020-11-26T00:00:00"/>
    <n v="11"/>
    <n v="2020"/>
    <s v="South Asia"/>
    <x v="0"/>
    <s v="CLOSED"/>
    <s v="PENDING"/>
    <s v="Standard Class"/>
    <n v="260.64999999999998"/>
  </r>
  <r>
    <n v="72703"/>
    <s v="DEBIT"/>
    <n v="4"/>
    <n v="4"/>
    <s v=" ONTIME"/>
    <n v="1358"/>
    <n v="1"/>
    <n v="260.64999999999998"/>
    <n v="9"/>
    <s v="Discs Shop"/>
    <n v="16256"/>
    <s v="Pune"/>
    <d v="2020-11-26T00:00:00"/>
    <n v="11"/>
    <n v="2020"/>
    <s v="South Asia"/>
    <x v="0"/>
    <s v="COMPLETE"/>
    <s v="COMPLETED"/>
    <s v="Standard Class"/>
    <n v="260.64999999999998"/>
  </r>
  <r>
    <n v="72704"/>
    <s v="TRANSFER"/>
    <n v="5"/>
    <n v="4"/>
    <s v="DELAYED"/>
    <n v="1358"/>
    <n v="1"/>
    <n v="260.64999999999998"/>
    <n v="9"/>
    <s v="Discs Shop"/>
    <n v="16257"/>
    <s v="Pune"/>
    <d v="2020-11-26T00:00:00"/>
    <n v="11"/>
    <n v="2020"/>
    <s v="South Asia"/>
    <x v="0"/>
    <s v="PROCESSING"/>
    <s v="PENDING"/>
    <s v="Standard Class"/>
    <n v="260.64999999999998"/>
  </r>
  <r>
    <n v="72705"/>
    <s v="DEBIT"/>
    <n v="6"/>
    <n v="4"/>
    <s v="DELAYED"/>
    <n v="1358"/>
    <n v="1"/>
    <n v="260.64999999999998"/>
    <n v="9"/>
    <s v="Discs Shop"/>
    <n v="16258"/>
    <s v="Pune"/>
    <d v="2020-11-26T00:00:00"/>
    <n v="11"/>
    <n v="2020"/>
    <s v="South Asia"/>
    <x v="0"/>
    <s v="COMPLETE"/>
    <s v="COMPLETED"/>
    <s v="Standard Class"/>
    <n v="260.64999999999998"/>
  </r>
  <r>
    <n v="72706"/>
    <s v="PAYMENT"/>
    <n v="2"/>
    <n v="4"/>
    <s v=" ONTIME"/>
    <n v="1358"/>
    <n v="1"/>
    <n v="260.64999999999998"/>
    <n v="9"/>
    <s v="Discs Shop"/>
    <n v="16259"/>
    <s v="Pune"/>
    <d v="2020-11-26T00:00:00"/>
    <n v="11"/>
    <n v="2020"/>
    <s v="South Asia"/>
    <x v="0"/>
    <s v="PENDING_PAYMENT"/>
    <s v="PENDING"/>
    <s v="Standard Class"/>
    <n v="260.64999999999998"/>
  </r>
  <r>
    <n v="72707"/>
    <s v="DEBIT"/>
    <n v="3"/>
    <n v="4"/>
    <s v=" ONTIME"/>
    <n v="1358"/>
    <n v="1"/>
    <n v="260.64999999999998"/>
    <n v="9"/>
    <s v="Discs Shop"/>
    <n v="16260"/>
    <s v="Pune"/>
    <d v="2020-11-26T00:00:00"/>
    <n v="11"/>
    <n v="2020"/>
    <s v="South Asia"/>
    <x v="0"/>
    <s v="COMPLETE"/>
    <s v="COMPLETED"/>
    <s v="Standard Class"/>
    <n v="260.64999999999998"/>
  </r>
  <r>
    <n v="72708"/>
    <s v="DEBIT"/>
    <n v="4"/>
    <n v="4"/>
    <s v=" ONTIME"/>
    <n v="1358"/>
    <n v="1"/>
    <n v="260.64999999999998"/>
    <n v="9"/>
    <s v="Discs Shop"/>
    <n v="16261"/>
    <s v="Pune"/>
    <d v="2020-11-26T00:00:00"/>
    <n v="11"/>
    <n v="2020"/>
    <s v="South Asia"/>
    <x v="0"/>
    <s v="COMPLETE"/>
    <s v="COMPLETED"/>
    <s v="Standard Class"/>
    <n v="260.64999999999998"/>
  </r>
  <r>
    <n v="72709"/>
    <s v="PAYMENT"/>
    <n v="5"/>
    <n v="4"/>
    <s v="DELAYED"/>
    <n v="1358"/>
    <n v="1"/>
    <n v="260.64999999999998"/>
    <n v="9"/>
    <s v="Discs Shop"/>
    <n v="16262"/>
    <s v="Pune"/>
    <d v="2020-11-26T00:00:00"/>
    <n v="11"/>
    <n v="2020"/>
    <s v="South Asia"/>
    <x v="0"/>
    <s v="PENDING_PAYMENT"/>
    <s v="PENDING"/>
    <s v="Standard Class"/>
    <n v="260.64999999999998"/>
  </r>
  <r>
    <n v="72710"/>
    <s v="TRANSFER"/>
    <n v="6"/>
    <n v="4"/>
    <s v="DELAYED"/>
    <n v="1358"/>
    <n v="1"/>
    <n v="260.64999999999998"/>
    <n v="9"/>
    <s v="Discs Shop"/>
    <n v="16263"/>
    <s v="Pune"/>
    <d v="2020-11-26T00:00:00"/>
    <n v="11"/>
    <n v="2020"/>
    <s v="South Asia"/>
    <x v="0"/>
    <s v="PENDING"/>
    <s v="PENDING"/>
    <s v="Standard Class"/>
    <n v="260.64999999999998"/>
  </r>
  <r>
    <n v="72711"/>
    <s v="TRANSFER"/>
    <n v="2"/>
    <n v="4"/>
    <s v=" ONTIME"/>
    <n v="1358"/>
    <n v="1"/>
    <n v="260.64999999999998"/>
    <n v="9"/>
    <s v="Discs Shop"/>
    <n v="16264"/>
    <s v="Pune"/>
    <d v="2020-11-26T00:00:00"/>
    <n v="11"/>
    <n v="2020"/>
    <s v="South Asia"/>
    <x v="0"/>
    <s v="PROCESSING"/>
    <s v="PENDING"/>
    <s v="Standard Class"/>
    <n v="260.64999999999998"/>
  </r>
  <r>
    <n v="72712"/>
    <s v="TRANSFER"/>
    <n v="3"/>
    <n v="4"/>
    <s v=" ONTIME"/>
    <n v="1358"/>
    <n v="1"/>
    <n v="260.64999999999998"/>
    <n v="9"/>
    <s v="Discs Shop"/>
    <n v="16265"/>
    <s v="Pune"/>
    <d v="2020-11-26T00:00:00"/>
    <n v="11"/>
    <n v="2020"/>
    <s v="South Asia"/>
    <x v="0"/>
    <s v="PROCESSING"/>
    <s v="PENDING"/>
    <s v="Standard Class"/>
    <n v="260.64999999999998"/>
  </r>
  <r>
    <n v="72758"/>
    <s v="DEBIT"/>
    <n v="4"/>
    <n v="4"/>
    <s v=" ONTIME"/>
    <n v="1358"/>
    <n v="1"/>
    <n v="260.64999999999998"/>
    <n v="9"/>
    <s v="Discs Shop"/>
    <n v="16311"/>
    <s v="Bilaspur"/>
    <d v="2020-11-27T00:00:00"/>
    <n v="11"/>
    <n v="2020"/>
    <s v="South Asia"/>
    <x v="1"/>
    <s v="ON_HOLD"/>
    <s v="PENDING"/>
    <s v="Standard Class"/>
    <n v="260.64999999999998"/>
  </r>
  <r>
    <n v="72759"/>
    <s v="CASH"/>
    <n v="5"/>
    <n v="4"/>
    <s v="DELAYED"/>
    <n v="1358"/>
    <n v="1"/>
    <n v="260.64999999999998"/>
    <n v="9"/>
    <s v="Discs Shop"/>
    <n v="16312"/>
    <s v="Bilaspur"/>
    <d v="2020-11-27T00:00:00"/>
    <n v="11"/>
    <n v="2020"/>
    <s v="South Asia"/>
    <x v="1"/>
    <s v="CLOSED"/>
    <s v="PENDING"/>
    <s v="Standard Class"/>
    <n v="260.64999999999998"/>
  </r>
  <r>
    <n v="72790"/>
    <s v="PAYMENT"/>
    <n v="6"/>
    <n v="2"/>
    <s v="DELAYED"/>
    <n v="1358"/>
    <n v="1"/>
    <n v="260.64999999999998"/>
    <n v="9"/>
    <s v="Discs Shop"/>
    <n v="16343"/>
    <s v="Dehra Dun"/>
    <d v="2020-11-27T00:00:00"/>
    <n v="11"/>
    <n v="2020"/>
    <s v="South Asia"/>
    <x v="19"/>
    <s v="PENDING_PAYMENT"/>
    <s v="PENDING"/>
    <s v="Second Class"/>
    <n v="260.64999999999998"/>
  </r>
  <r>
    <n v="72794"/>
    <s v="DEBIT"/>
    <n v="5"/>
    <n v="2"/>
    <s v="DELAYED"/>
    <n v="1358"/>
    <n v="1"/>
    <n v="260.64999999999998"/>
    <n v="9"/>
    <s v="Discs Shop"/>
    <n v="16347"/>
    <s v="Kollam"/>
    <d v="2020-11-27T00:00:00"/>
    <n v="11"/>
    <n v="2020"/>
    <s v="South Asia"/>
    <x v="20"/>
    <s v="COMPLETE"/>
    <s v="COMPLETED"/>
    <s v="Second Class"/>
    <n v="260.64999999999998"/>
  </r>
  <r>
    <n v="72795"/>
    <s v="DEBIT"/>
    <n v="2"/>
    <n v="1"/>
    <s v="DELAYED"/>
    <n v="1358"/>
    <n v="1"/>
    <n v="260.64999999999998"/>
    <n v="9"/>
    <s v="Discs Shop"/>
    <n v="16348"/>
    <s v="Kollam"/>
    <d v="2020-11-27T00:00:00"/>
    <n v="11"/>
    <n v="2020"/>
    <s v="South Asia"/>
    <x v="20"/>
    <s v="COMPLETE"/>
    <s v="COMPLETED"/>
    <s v="First Class"/>
    <n v="260.64999999999998"/>
  </r>
  <r>
    <n v="72796"/>
    <s v="CASH"/>
    <n v="2"/>
    <n v="2"/>
    <s v=" ONTIME"/>
    <n v="1358"/>
    <n v="1"/>
    <n v="260.64999999999998"/>
    <n v="9"/>
    <s v="Discs Shop"/>
    <n v="16349"/>
    <s v="Kollam"/>
    <d v="2020-11-27T00:00:00"/>
    <n v="11"/>
    <n v="2020"/>
    <s v="South Asia"/>
    <x v="20"/>
    <s v="CLOSED"/>
    <s v="PENDING"/>
    <s v="Second Class"/>
    <n v="260.64999999999998"/>
  </r>
  <r>
    <n v="72799"/>
    <s v="TRANSFER"/>
    <n v="2"/>
    <n v="1"/>
    <s v="DELAYED"/>
    <n v="1358"/>
    <n v="1"/>
    <n v="260.64999999999998"/>
    <n v="9"/>
    <s v="Discs Shop"/>
    <n v="16352"/>
    <s v="Jodhpur"/>
    <d v="2020-11-27T00:00:00"/>
    <n v="11"/>
    <n v="2020"/>
    <s v="South Asia"/>
    <x v="2"/>
    <s v="PROCESSING"/>
    <s v="PENDING"/>
    <s v="First Class"/>
    <n v="260.64999999999998"/>
  </r>
  <r>
    <n v="72800"/>
    <s v="DEBIT"/>
    <n v="2"/>
    <n v="1"/>
    <s v="DELAYED"/>
    <n v="1358"/>
    <n v="1"/>
    <n v="260.64999999999998"/>
    <n v="9"/>
    <s v="Discs Shop"/>
    <n v="16353"/>
    <s v="Jodhpur"/>
    <d v="2020-11-27T00:00:00"/>
    <n v="11"/>
    <n v="2020"/>
    <s v="South Asia"/>
    <x v="2"/>
    <s v="COMPLETE"/>
    <s v="COMPLETED"/>
    <s v="First Class"/>
    <n v="260.64999999999998"/>
  </r>
  <r>
    <n v="72801"/>
    <s v="PAYMENT"/>
    <n v="2"/>
    <n v="4"/>
    <s v=" ONTIME"/>
    <n v="1358"/>
    <n v="1"/>
    <n v="260.64999999999998"/>
    <n v="9"/>
    <s v="Discs Shop"/>
    <n v="16354"/>
    <s v="Jodhpur"/>
    <d v="2020-11-27T00:00:00"/>
    <n v="11"/>
    <n v="2020"/>
    <s v="South Asia"/>
    <x v="2"/>
    <s v="PENDING_PAYMENT"/>
    <s v="PENDING"/>
    <s v="Standard Class"/>
    <n v="260.64999999999998"/>
  </r>
  <r>
    <n v="72803"/>
    <s v="DEBIT"/>
    <n v="4"/>
    <n v="4"/>
    <s v=" ONTIME"/>
    <n v="1358"/>
    <n v="1"/>
    <n v="260.64999999999998"/>
    <n v="9"/>
    <s v="Discs Shop"/>
    <n v="16356"/>
    <s v="Jamnagar"/>
    <d v="2020-11-27T00:00:00"/>
    <n v="11"/>
    <n v="2020"/>
    <s v="South Asia"/>
    <x v="4"/>
    <s v="COMPLETE"/>
    <s v="COMPLETED"/>
    <s v="Standard Class"/>
    <n v="260.64999999999998"/>
  </r>
  <r>
    <n v="72804"/>
    <s v="DEBIT"/>
    <n v="5"/>
    <n v="4"/>
    <s v="DELAYED"/>
    <n v="1358"/>
    <n v="1"/>
    <n v="260.64999999999998"/>
    <n v="9"/>
    <s v="Discs Shop"/>
    <n v="16357"/>
    <s v="Jamnagar"/>
    <d v="2020-11-27T00:00:00"/>
    <n v="11"/>
    <n v="2020"/>
    <s v="South Asia"/>
    <x v="4"/>
    <s v="COMPLETE"/>
    <s v="COMPLETED"/>
    <s v="Standard Class"/>
    <n v="260.64999999999998"/>
  </r>
  <r>
    <n v="72847"/>
    <s v="TRANSFER"/>
    <n v="3"/>
    <n v="4"/>
    <s v=" ONTIME"/>
    <n v="1359"/>
    <n v="1"/>
    <n v="84.4"/>
    <n v="11"/>
    <s v="Pet Shop"/>
    <n v="16400"/>
    <s v="Jodhpur"/>
    <d v="2020-11-28T00:00:00"/>
    <n v="11"/>
    <n v="2020"/>
    <s v="South Asia"/>
    <x v="4"/>
    <s v="PENDING"/>
    <s v="PENDING"/>
    <s v="Standard Class"/>
    <n v="84.4"/>
  </r>
  <r>
    <n v="72848"/>
    <s v="PAYMENT"/>
    <n v="4"/>
    <n v="4"/>
    <s v=" ONTIME"/>
    <n v="1359"/>
    <n v="1"/>
    <n v="84.4"/>
    <n v="11"/>
    <s v="Pet Shop"/>
    <n v="16401"/>
    <s v="Madurai"/>
    <d v="2020-11-28T00:00:00"/>
    <n v="11"/>
    <n v="2020"/>
    <s v="South Asia"/>
    <x v="3"/>
    <s v="PENDING_PAYMENT"/>
    <s v="PENDING"/>
    <s v="Standard Class"/>
    <n v="84.4"/>
  </r>
  <r>
    <n v="72868"/>
    <s v="TRANSFER"/>
    <n v="4"/>
    <n v="4"/>
    <s v=" ONTIME"/>
    <n v="1359"/>
    <n v="1"/>
    <n v="84.4"/>
    <n v="11"/>
    <s v="Pet Shop"/>
    <n v="16421"/>
    <s v="Jaipur"/>
    <d v="2020-11-28T00:00:00"/>
    <n v="11"/>
    <n v="2020"/>
    <s v="South Asia"/>
    <x v="2"/>
    <s v="PENDING"/>
    <s v="PENDING"/>
    <s v="Standard Class"/>
    <n v="84.4"/>
  </r>
  <r>
    <n v="72869"/>
    <s v="PAYMENT"/>
    <n v="5"/>
    <n v="4"/>
    <s v="DELAYED"/>
    <n v="1359"/>
    <n v="1"/>
    <n v="84.4"/>
    <n v="11"/>
    <s v="Pet Shop"/>
    <n v="16422"/>
    <s v="Jaipur"/>
    <d v="2020-11-28T00:00:00"/>
    <n v="11"/>
    <n v="2020"/>
    <s v="South Asia"/>
    <x v="2"/>
    <s v="PENDING_PAYMENT"/>
    <s v="PENDING"/>
    <s v="Standard Class"/>
    <n v="84.4"/>
  </r>
  <r>
    <n v="72891"/>
    <s v="CASH"/>
    <n v="2"/>
    <n v="1"/>
    <s v="DELAYED"/>
    <n v="1359"/>
    <n v="1"/>
    <n v="84.4"/>
    <n v="11"/>
    <s v="Pet Shop"/>
    <n v="16444"/>
    <s v="Mau"/>
    <d v="2020-11-29T00:00:00"/>
    <n v="11"/>
    <n v="2020"/>
    <s v="South Asia"/>
    <x v="1"/>
    <s v="CLOSED"/>
    <s v="PENDING"/>
    <s v="First Class"/>
    <n v="84.4"/>
  </r>
  <r>
    <n v="72915"/>
    <s v="DEBIT"/>
    <n v="6"/>
    <n v="4"/>
    <s v="DELAYED"/>
    <n v="1359"/>
    <n v="1"/>
    <n v="84.4"/>
    <n v="11"/>
    <s v="Pet Shop"/>
    <n v="16468"/>
    <s v="Allahabad"/>
    <d v="2020-11-29T00:00:00"/>
    <n v="11"/>
    <n v="2020"/>
    <s v="South Asia"/>
    <x v="1"/>
    <s v="COMPLETE"/>
    <s v="COMPLETED"/>
    <s v="Standard Class"/>
    <n v="84.4"/>
  </r>
  <r>
    <n v="72932"/>
    <s v="PAYMENT"/>
    <n v="3"/>
    <n v="4"/>
    <s v=" ONTIME"/>
    <n v="1359"/>
    <n v="1"/>
    <n v="84.4"/>
    <n v="11"/>
    <s v="Pet Shop"/>
    <n v="16485"/>
    <s v="Chennai"/>
    <d v="2020-11-29T00:00:00"/>
    <n v="11"/>
    <n v="2020"/>
    <s v="South Asia"/>
    <x v="3"/>
    <s v="PENDING_PAYMENT"/>
    <s v="PENDING"/>
    <s v="Standard Class"/>
    <n v="84.4"/>
  </r>
  <r>
    <n v="72981"/>
    <s v="DEBIT"/>
    <n v="2"/>
    <n v="4"/>
    <s v=" ONTIME"/>
    <n v="1359"/>
    <n v="1"/>
    <n v="84.4"/>
    <n v="11"/>
    <s v="Pet Shop"/>
    <n v="16534"/>
    <s v="Durg"/>
    <d v="2020-11-30T00:00:00"/>
    <n v="11"/>
    <n v="2020"/>
    <s v="South Asia"/>
    <x v="18"/>
    <s v="COMPLETE"/>
    <s v="COMPLETED"/>
    <s v="Standard Class"/>
    <n v="84.4"/>
  </r>
  <r>
    <n v="72982"/>
    <s v="DEBIT"/>
    <n v="3"/>
    <n v="4"/>
    <s v=" ONTIME"/>
    <n v="1359"/>
    <n v="1"/>
    <n v="84.4"/>
    <n v="11"/>
    <s v="Pet Shop"/>
    <n v="16535"/>
    <s v="Durg"/>
    <d v="2020-11-30T00:00:00"/>
    <n v="11"/>
    <n v="2020"/>
    <s v="South Asia"/>
    <x v="18"/>
    <s v="COMPLETE"/>
    <s v="COMPLETED"/>
    <s v="Standard Class"/>
    <n v="84.4"/>
  </r>
  <r>
    <n v="72983"/>
    <s v="DEBIT"/>
    <n v="0"/>
    <n v="0"/>
    <s v=" ONTIME"/>
    <n v="1359"/>
    <n v="1"/>
    <n v="84.4"/>
    <n v="11"/>
    <s v="Pet Shop"/>
    <n v="16536"/>
    <s v="Durg"/>
    <d v="2020-11-30T00:00:00"/>
    <n v="11"/>
    <n v="2020"/>
    <s v="South Asia"/>
    <x v="18"/>
    <s v="COMPLETE"/>
    <s v="COMPLETED"/>
    <s v="Same Day"/>
    <n v="84.4"/>
  </r>
  <r>
    <n v="72992"/>
    <s v="DEBIT"/>
    <n v="3"/>
    <n v="2"/>
    <s v="DELAYED"/>
    <n v="1359"/>
    <n v="1"/>
    <n v="84.4"/>
    <n v="11"/>
    <s v="Pet Shop"/>
    <n v="16545"/>
    <s v="Amritsar"/>
    <d v="2020-11-30T00:00:00"/>
    <n v="11"/>
    <n v="2020"/>
    <s v="South Asia"/>
    <x v="16"/>
    <s v="COMPLETE"/>
    <s v="COMPLETED"/>
    <s v="Second Class"/>
    <n v="84.4"/>
  </r>
  <r>
    <n v="72997"/>
    <s v="TRANSFER"/>
    <n v="3"/>
    <n v="2"/>
    <s v="DELAYED"/>
    <n v="1359"/>
    <n v="1"/>
    <n v="84.4"/>
    <n v="11"/>
    <s v="Pet Shop"/>
    <n v="16550"/>
    <s v="Amritsar"/>
    <d v="2020-11-30T00:00:00"/>
    <n v="11"/>
    <n v="2020"/>
    <s v="South Asia"/>
    <x v="16"/>
    <s v="PENDING"/>
    <s v="PENDING"/>
    <s v="Second Class"/>
    <n v="84.4"/>
  </r>
  <r>
    <n v="72998"/>
    <s v="PAYMENT"/>
    <n v="4"/>
    <n v="4"/>
    <s v=" ONTIME"/>
    <n v="1359"/>
    <n v="1"/>
    <n v="84.4"/>
    <n v="11"/>
    <s v="Pet Shop"/>
    <n v="16551"/>
    <s v="Amritsar"/>
    <d v="2020-11-30T00:00:00"/>
    <n v="11"/>
    <n v="2020"/>
    <s v="South Asia"/>
    <x v="16"/>
    <s v="PENDING_PAYMENT"/>
    <s v="PENDING"/>
    <s v="Standard Class"/>
    <n v="84.4"/>
  </r>
  <r>
    <n v="73013"/>
    <s v="TRANSFER"/>
    <n v="4"/>
    <n v="2"/>
    <s v="DELAYED"/>
    <n v="1359"/>
    <n v="1"/>
    <n v="84.4"/>
    <n v="11"/>
    <s v="Pet Shop"/>
    <n v="16566"/>
    <s v="Faridabad"/>
    <d v="2020-11-30T00:00:00"/>
    <n v="11"/>
    <n v="2020"/>
    <s v="South Asia"/>
    <x v="10"/>
    <s v="PENDING"/>
    <s v="PENDING"/>
    <s v="Second Class"/>
    <n v="84.4"/>
  </r>
  <r>
    <n v="73016"/>
    <s v="TRANSFER"/>
    <n v="2"/>
    <n v="2"/>
    <s v=" ONTIME"/>
    <n v="1359"/>
    <n v="1"/>
    <n v="84.4"/>
    <n v="11"/>
    <s v="Pet Shop"/>
    <n v="16569"/>
    <s v="Faridabad"/>
    <d v="2020-11-30T00:00:00"/>
    <n v="11"/>
    <n v="2020"/>
    <s v="South Asia"/>
    <x v="10"/>
    <s v="PENDING"/>
    <s v="PENDING"/>
    <s v="Second Class"/>
    <n v="84.4"/>
  </r>
  <r>
    <n v="73028"/>
    <s v="DEBIT"/>
    <n v="2"/>
    <n v="1"/>
    <s v="DELAYED"/>
    <n v="1359"/>
    <n v="1"/>
    <n v="84.4"/>
    <n v="11"/>
    <s v="Pet Shop"/>
    <n v="16581"/>
    <s v="Bangalore"/>
    <d v="2020-12-01T00:00:00"/>
    <n v="12"/>
    <n v="2020"/>
    <s v="South Asia"/>
    <x v="8"/>
    <s v="COMPLETE"/>
    <s v="COMPLETED"/>
    <s v="First Class"/>
    <n v="84.4"/>
  </r>
  <r>
    <n v="73029"/>
    <s v="DEBIT"/>
    <n v="5"/>
    <n v="2"/>
    <s v="DELAYED"/>
    <n v="1359"/>
    <n v="1"/>
    <n v="84.4"/>
    <n v="11"/>
    <s v="Pet Shop"/>
    <n v="16582"/>
    <s v="Bangalore"/>
    <d v="2020-12-01T00:00:00"/>
    <n v="12"/>
    <n v="2020"/>
    <s v="South Asia"/>
    <x v="8"/>
    <s v="COMPLETE"/>
    <s v="COMPLETED"/>
    <s v="Second Class"/>
    <n v="84.4"/>
  </r>
  <r>
    <n v="73036"/>
    <s v="PAYMENT"/>
    <n v="2"/>
    <n v="2"/>
    <s v=" ONTIME"/>
    <n v="1359"/>
    <n v="1"/>
    <n v="84.4"/>
    <n v="11"/>
    <s v="Pet Shop"/>
    <n v="16589"/>
    <s v="Kanpur"/>
    <d v="2020-12-01T00:00:00"/>
    <n v="12"/>
    <n v="2020"/>
    <s v="South Asia"/>
    <x v="1"/>
    <s v="PENDING_PAYMENT"/>
    <s v="PENDING"/>
    <s v="Second Class"/>
    <n v="84.4"/>
  </r>
  <r>
    <n v="73037"/>
    <s v="CASH"/>
    <n v="3"/>
    <n v="2"/>
    <s v="DELAYED"/>
    <n v="1359"/>
    <n v="1"/>
    <n v="84.4"/>
    <n v="11"/>
    <s v="Pet Shop"/>
    <n v="16590"/>
    <s v="Kanpur"/>
    <d v="2020-12-01T00:00:00"/>
    <n v="12"/>
    <n v="2020"/>
    <s v="South Asia"/>
    <x v="1"/>
    <s v="CLOSED"/>
    <s v="PENDING"/>
    <s v="Second Class"/>
    <n v="84.4"/>
  </r>
  <r>
    <n v="73077"/>
    <s v="TRANSFER"/>
    <n v="3"/>
    <n v="2"/>
    <s v="DELAYED"/>
    <n v="1360"/>
    <n v="1"/>
    <n v="327.75"/>
    <n v="2"/>
    <s v="Fitness"/>
    <n v="16630"/>
    <s v="Mumbai"/>
    <d v="2020-12-01T00:00:00"/>
    <n v="12"/>
    <n v="2020"/>
    <s v="South Asia"/>
    <x v="0"/>
    <s v="PENDING"/>
    <s v="PENDING"/>
    <s v="Second Class"/>
    <n v="327.75"/>
  </r>
  <r>
    <n v="73080"/>
    <s v="TRANSFER"/>
    <n v="2"/>
    <n v="1"/>
    <s v="DELAYED"/>
    <n v="1360"/>
    <n v="1"/>
    <n v="327.75"/>
    <n v="2"/>
    <s v="Fitness"/>
    <n v="16633"/>
    <s v="Rohtak"/>
    <d v="2020-12-01T00:00:00"/>
    <n v="12"/>
    <n v="2020"/>
    <s v="South Asia"/>
    <x v="10"/>
    <s v="PENDING"/>
    <s v="PENDING"/>
    <s v="First Class"/>
    <n v="327.75"/>
  </r>
  <r>
    <n v="73100"/>
    <s v="TRANSFER"/>
    <n v="0"/>
    <n v="0"/>
    <s v=" ONTIME"/>
    <n v="1360"/>
    <n v="1"/>
    <n v="327.75"/>
    <n v="2"/>
    <s v="Fitness"/>
    <n v="16653"/>
    <s v="Kota"/>
    <d v="2020-12-02T00:00:00"/>
    <n v="12"/>
    <n v="2020"/>
    <s v="South Asia"/>
    <x v="2"/>
    <s v="PENDING"/>
    <s v="PENDING"/>
    <s v="Same Day"/>
    <n v="327.75"/>
  </r>
  <r>
    <n v="73102"/>
    <s v="DEBIT"/>
    <n v="3"/>
    <n v="2"/>
    <s v="DELAYED"/>
    <n v="1360"/>
    <n v="1"/>
    <n v="327.75"/>
    <n v="2"/>
    <s v="Fitness"/>
    <n v="16655"/>
    <s v="Ichalkaranji"/>
    <d v="2020-12-02T00:00:00"/>
    <n v="12"/>
    <n v="2020"/>
    <s v="South Asia"/>
    <x v="0"/>
    <s v="COMPLETE"/>
    <s v="COMPLETED"/>
    <s v="Second Class"/>
    <n v="327.75"/>
  </r>
  <r>
    <n v="73124"/>
    <s v="DEBIT"/>
    <n v="5"/>
    <n v="4"/>
    <s v="DELAYED"/>
    <n v="1360"/>
    <n v="1"/>
    <n v="327.75"/>
    <n v="2"/>
    <s v="Fitness"/>
    <n v="16677"/>
    <s v="Thane"/>
    <d v="2020-12-02T00:00:00"/>
    <n v="12"/>
    <n v="2020"/>
    <s v="South Asia"/>
    <x v="0"/>
    <s v="COMPLETE"/>
    <s v="COMPLETED"/>
    <s v="Standard Class"/>
    <n v="327.75"/>
  </r>
  <r>
    <n v="73125"/>
    <s v="DEBIT"/>
    <n v="6"/>
    <n v="4"/>
    <s v="DELAYED"/>
    <n v="1360"/>
    <n v="1"/>
    <n v="327.75"/>
    <n v="2"/>
    <s v="Fitness"/>
    <n v="16678"/>
    <s v="Thane"/>
    <d v="2020-12-02T00:00:00"/>
    <n v="12"/>
    <n v="2020"/>
    <s v="South Asia"/>
    <x v="0"/>
    <s v="ON_HOLD"/>
    <s v="PENDING"/>
    <s v="Standard Class"/>
    <n v="327.75"/>
  </r>
  <r>
    <n v="73143"/>
    <s v="TRANSFER"/>
    <n v="4"/>
    <n v="4"/>
    <s v=" ONTIME"/>
    <n v="1360"/>
    <n v="1"/>
    <n v="327.75"/>
    <n v="2"/>
    <s v="Fitness"/>
    <n v="16696"/>
    <s v="Fatehpur"/>
    <d v="2020-12-02T00:00:00"/>
    <n v="12"/>
    <n v="2020"/>
    <s v="South Asia"/>
    <x v="2"/>
    <s v="PENDING"/>
    <s v="PENDING"/>
    <s v="Standard Class"/>
    <n v="327.75"/>
  </r>
  <r>
    <n v="73144"/>
    <s v="DEBIT"/>
    <n v="5"/>
    <n v="4"/>
    <s v="DELAYED"/>
    <n v="1360"/>
    <n v="1"/>
    <n v="327.75"/>
    <n v="2"/>
    <s v="Fitness"/>
    <n v="16697"/>
    <s v="Fatehpur"/>
    <d v="2020-12-02T00:00:00"/>
    <n v="12"/>
    <n v="2020"/>
    <s v="South Asia"/>
    <x v="2"/>
    <s v="ON_HOLD"/>
    <s v="PENDING"/>
    <s v="Standard Class"/>
    <n v="327.75"/>
  </r>
  <r>
    <n v="73173"/>
    <s v="DEBIT"/>
    <n v="4"/>
    <n v="4"/>
    <s v=" ONTIME"/>
    <n v="1360"/>
    <n v="1"/>
    <n v="327.75"/>
    <n v="2"/>
    <s v="Fitness"/>
    <n v="16726"/>
    <s v="Madurai"/>
    <d v="2020-12-03T00:00:00"/>
    <n v="12"/>
    <n v="2020"/>
    <s v="South Asia"/>
    <x v="3"/>
    <s v="ON_HOLD"/>
    <s v="PENDING"/>
    <s v="Standard Class"/>
    <n v="327.75"/>
  </r>
  <r>
    <n v="73177"/>
    <s v="CASH"/>
    <n v="3"/>
    <n v="4"/>
    <s v=" ONTIME"/>
    <n v="1360"/>
    <n v="1"/>
    <n v="327.75"/>
    <n v="2"/>
    <s v="Fitness"/>
    <n v="16730"/>
    <s v="Hubli"/>
    <d v="2020-12-03T00:00:00"/>
    <n v="12"/>
    <n v="2020"/>
    <s v="South Asia"/>
    <x v="8"/>
    <s v="CLOSED"/>
    <s v="PENDING"/>
    <s v="Standard Class"/>
    <n v="327.75"/>
  </r>
  <r>
    <n v="73178"/>
    <s v="DEBIT"/>
    <n v="4"/>
    <n v="4"/>
    <s v=" ONTIME"/>
    <n v="1360"/>
    <n v="1"/>
    <n v="327.75"/>
    <n v="2"/>
    <s v="Fitness"/>
    <n v="16731"/>
    <s v="Hubli"/>
    <d v="2020-12-03T00:00:00"/>
    <n v="12"/>
    <n v="2020"/>
    <s v="South Asia"/>
    <x v="8"/>
    <s v="COMPLETE"/>
    <s v="COMPLETED"/>
    <s v="Standard Class"/>
    <n v="327.75"/>
  </r>
  <r>
    <n v="73195"/>
    <s v="PAYMENT"/>
    <n v="6"/>
    <n v="4"/>
    <s v="DELAYED"/>
    <n v="1360"/>
    <n v="1"/>
    <n v="327.75"/>
    <n v="2"/>
    <s v="Fitness"/>
    <n v="16748"/>
    <s v="Thane"/>
    <d v="2020-12-03T00:00:00"/>
    <n v="12"/>
    <n v="2020"/>
    <s v="South Asia"/>
    <x v="0"/>
    <s v="PENDING_PAYMENT"/>
    <s v="PENDING"/>
    <s v="Standard Class"/>
    <n v="327.75"/>
  </r>
  <r>
    <n v="73196"/>
    <s v="DEBIT"/>
    <n v="2"/>
    <n v="2"/>
    <s v=" ONTIME"/>
    <n v="1360"/>
    <n v="1"/>
    <n v="327.75"/>
    <n v="2"/>
    <s v="Fitness"/>
    <n v="16749"/>
    <s v="Thane"/>
    <d v="2020-12-03T00:00:00"/>
    <n v="12"/>
    <n v="2020"/>
    <s v="South Asia"/>
    <x v="0"/>
    <s v="COMPLETE"/>
    <s v="COMPLETED"/>
    <s v="Second Class"/>
    <n v="327.75"/>
  </r>
  <r>
    <n v="73211"/>
    <s v="DEBIT"/>
    <n v="2"/>
    <n v="4"/>
    <s v=" ONTIME"/>
    <n v="1360"/>
    <n v="1"/>
    <n v="327.75"/>
    <n v="2"/>
    <s v="Fitness"/>
    <n v="16764"/>
    <s v="Faridabad"/>
    <d v="2020-12-03T00:00:00"/>
    <n v="12"/>
    <n v="2020"/>
    <s v="South Asia"/>
    <x v="10"/>
    <s v="COMPLETE"/>
    <s v="COMPLETED"/>
    <s v="Standard Class"/>
    <n v="327.75"/>
  </r>
  <r>
    <n v="73212"/>
    <s v="TRANSFER"/>
    <n v="3"/>
    <n v="4"/>
    <s v=" ONTIME"/>
    <n v="1360"/>
    <n v="1"/>
    <n v="327.75"/>
    <n v="2"/>
    <s v="Fitness"/>
    <n v="16765"/>
    <s v="Faridabad"/>
    <d v="2020-12-03T00:00:00"/>
    <n v="12"/>
    <n v="2020"/>
    <s v="South Asia"/>
    <x v="10"/>
    <s v="PENDING"/>
    <s v="PENDING"/>
    <s v="Standard Class"/>
    <n v="327.75"/>
  </r>
  <r>
    <n v="73214"/>
    <s v="TRANSFER"/>
    <n v="5"/>
    <n v="4"/>
    <s v="DELAYED"/>
    <n v="1360"/>
    <n v="1"/>
    <n v="327.75"/>
    <n v="2"/>
    <s v="Fitness"/>
    <n v="16767"/>
    <s v="Patna"/>
    <d v="2020-12-03T00:00:00"/>
    <n v="12"/>
    <n v="2020"/>
    <s v="South Asia"/>
    <x v="17"/>
    <s v="PROCESSING"/>
    <s v="PENDING"/>
    <s v="Standard Class"/>
    <n v="327.75"/>
  </r>
  <r>
    <n v="73215"/>
    <s v="PAYMENT"/>
    <n v="6"/>
    <n v="4"/>
    <s v="DELAYED"/>
    <n v="1360"/>
    <n v="1"/>
    <n v="327.75"/>
    <n v="2"/>
    <s v="Fitness"/>
    <n v="16768"/>
    <s v="Patna"/>
    <d v="2020-12-03T00:00:00"/>
    <n v="12"/>
    <n v="2020"/>
    <s v="South Asia"/>
    <x v="17"/>
    <s v="PENDING_PAYMENT"/>
    <s v="PENDING"/>
    <s v="Standard Class"/>
    <n v="327.75"/>
  </r>
  <r>
    <n v="73216"/>
    <s v="TRANSFER"/>
    <n v="2"/>
    <n v="4"/>
    <s v=" ONTIME"/>
    <n v="1360"/>
    <n v="1"/>
    <n v="327.75"/>
    <n v="2"/>
    <s v="Fitness"/>
    <n v="16769"/>
    <s v="Patna"/>
    <d v="2020-12-03T00:00:00"/>
    <n v="12"/>
    <n v="2020"/>
    <s v="South Asia"/>
    <x v="17"/>
    <s v="PENDING"/>
    <s v="PENDING"/>
    <s v="Standard Class"/>
    <n v="327.75"/>
  </r>
  <r>
    <n v="73217"/>
    <s v="PAYMENT"/>
    <n v="3"/>
    <n v="4"/>
    <s v=" ONTIME"/>
    <n v="1360"/>
    <n v="1"/>
    <n v="327.75"/>
    <n v="2"/>
    <s v="Fitness"/>
    <n v="16770"/>
    <s v="Patna"/>
    <d v="2020-12-03T00:00:00"/>
    <n v="12"/>
    <n v="2020"/>
    <s v="South Asia"/>
    <x v="17"/>
    <s v="PENDING_PAYMENT"/>
    <s v="PENDING"/>
    <s v="Standard Class"/>
    <n v="327.75"/>
  </r>
  <r>
    <n v="73218"/>
    <s v="TRANSFER"/>
    <n v="4"/>
    <n v="4"/>
    <s v=" ONTIME"/>
    <n v="1360"/>
    <n v="1"/>
    <n v="327.75"/>
    <n v="2"/>
    <s v="Fitness"/>
    <n v="16771"/>
    <s v="Patna"/>
    <d v="2020-12-03T00:00:00"/>
    <n v="12"/>
    <n v="2020"/>
    <s v="South Asia"/>
    <x v="17"/>
    <s v="PENDING"/>
    <s v="PENDING"/>
    <s v="Standard Class"/>
    <n v="327.75"/>
  </r>
  <r>
    <n v="73219"/>
    <s v="DEBIT"/>
    <n v="5"/>
    <n v="4"/>
    <s v="DELAYED"/>
    <n v="1360"/>
    <n v="1"/>
    <n v="327.75"/>
    <n v="2"/>
    <s v="Fitness"/>
    <n v="16772"/>
    <s v="Patna"/>
    <d v="2020-12-03T00:00:00"/>
    <n v="12"/>
    <n v="2020"/>
    <s v="South Asia"/>
    <x v="17"/>
    <s v="COMPLETE"/>
    <s v="COMPLETED"/>
    <s v="Standard Class"/>
    <n v="327.75"/>
  </r>
  <r>
    <n v="73220"/>
    <s v="TRANSFER"/>
    <n v="6"/>
    <n v="4"/>
    <s v="DELAYED"/>
    <n v="1360"/>
    <n v="1"/>
    <n v="327.75"/>
    <n v="2"/>
    <s v="Fitness"/>
    <n v="16773"/>
    <s v="Patna"/>
    <d v="2020-12-03T00:00:00"/>
    <n v="12"/>
    <n v="2020"/>
    <s v="South Asia"/>
    <x v="17"/>
    <s v="PROCESSING"/>
    <s v="PENDING"/>
    <s v="Standard Class"/>
    <n v="327.75"/>
  </r>
  <r>
    <n v="73221"/>
    <s v="PAYMENT"/>
    <n v="2"/>
    <n v="4"/>
    <s v=" ONTIME"/>
    <n v="1360"/>
    <n v="1"/>
    <n v="327.75"/>
    <n v="2"/>
    <s v="Fitness"/>
    <n v="16774"/>
    <s v="Patna"/>
    <d v="2020-12-03T00:00:00"/>
    <n v="12"/>
    <n v="2020"/>
    <s v="South Asia"/>
    <x v="17"/>
    <s v="PENDING_PAYMENT"/>
    <s v="PENDING"/>
    <s v="Standard Class"/>
    <n v="327.75"/>
  </r>
  <r>
    <n v="73270"/>
    <s v="PAYMENT"/>
    <n v="6"/>
    <n v="4"/>
    <s v="DELAYED"/>
    <n v="1361"/>
    <n v="1"/>
    <n v="11.54"/>
    <n v="7"/>
    <s v="Fan Shop"/>
    <n v="16823"/>
    <s v="Bellary"/>
    <d v="2020-12-04T00:00:00"/>
    <n v="12"/>
    <n v="2020"/>
    <s v="South Asia"/>
    <x v="8"/>
    <s v="PENDING_PAYMENT"/>
    <s v="PENDING"/>
    <s v="Standard Class"/>
    <n v="11.54"/>
  </r>
  <r>
    <n v="73271"/>
    <s v="CASH"/>
    <n v="2"/>
    <n v="4"/>
    <s v=" ONTIME"/>
    <n v="1361"/>
    <n v="1"/>
    <n v="11.54"/>
    <n v="7"/>
    <s v="Fan Shop"/>
    <n v="16824"/>
    <s v="Tiruppur"/>
    <d v="2020-12-04T00:00:00"/>
    <n v="12"/>
    <n v="2020"/>
    <s v="South Asia"/>
    <x v="3"/>
    <s v="CLOSED"/>
    <s v="PENDING"/>
    <s v="Standard Class"/>
    <n v="11.54"/>
  </r>
  <r>
    <n v="73272"/>
    <s v="CASH"/>
    <n v="3"/>
    <n v="4"/>
    <s v=" ONTIME"/>
    <n v="1361"/>
    <n v="1"/>
    <n v="11.54"/>
    <n v="7"/>
    <s v="Fan Shop"/>
    <n v="16825"/>
    <s v="Tiruppur"/>
    <d v="2020-12-04T00:00:00"/>
    <n v="12"/>
    <n v="2020"/>
    <s v="South Asia"/>
    <x v="3"/>
    <s v="CLOSED"/>
    <s v="PENDING"/>
    <s v="Standard Class"/>
    <n v="11.54"/>
  </r>
  <r>
    <n v="73280"/>
    <s v="TRANSFER"/>
    <n v="1"/>
    <n v="0"/>
    <s v="DELAYED"/>
    <n v="1361"/>
    <n v="1"/>
    <n v="11.54"/>
    <n v="7"/>
    <s v="Fan Shop"/>
    <n v="16833"/>
    <s v="Jamnagar"/>
    <d v="2020-12-04T00:00:00"/>
    <n v="12"/>
    <n v="2020"/>
    <s v="South Asia"/>
    <x v="4"/>
    <s v="PENDING"/>
    <s v="PENDING"/>
    <s v="Same Day"/>
    <n v="11.54"/>
  </r>
  <r>
    <n v="73284"/>
    <s v="DEBIT"/>
    <n v="2"/>
    <n v="1"/>
    <s v="DELAYED"/>
    <n v="1361"/>
    <n v="1"/>
    <n v="11.54"/>
    <n v="7"/>
    <s v="Fan Shop"/>
    <n v="16837"/>
    <s v="Agra"/>
    <d v="2020-12-04T00:00:00"/>
    <n v="12"/>
    <n v="2020"/>
    <s v="South Asia"/>
    <x v="1"/>
    <s v="COMPLETE"/>
    <s v="COMPLETED"/>
    <s v="First Class"/>
    <n v="11.54"/>
  </r>
  <r>
    <n v="73285"/>
    <s v="CASH"/>
    <n v="2"/>
    <n v="1"/>
    <s v="DELAYED"/>
    <n v="1361"/>
    <n v="1"/>
    <n v="11.54"/>
    <n v="7"/>
    <s v="Fan Shop"/>
    <n v="16838"/>
    <s v="Agra"/>
    <d v="2020-12-04T00:00:00"/>
    <n v="12"/>
    <n v="2020"/>
    <s v="South Asia"/>
    <x v="1"/>
    <s v="CLOSED"/>
    <s v="PENDING"/>
    <s v="First Class"/>
    <n v="11.54"/>
  </r>
  <r>
    <n v="73286"/>
    <s v="TRANSFER"/>
    <n v="2"/>
    <n v="1"/>
    <s v="DELAYED"/>
    <n v="1361"/>
    <n v="1"/>
    <n v="11.54"/>
    <n v="7"/>
    <s v="Fan Shop"/>
    <n v="16839"/>
    <s v="Agra"/>
    <d v="2020-12-04T00:00:00"/>
    <n v="12"/>
    <n v="2020"/>
    <s v="South Asia"/>
    <x v="1"/>
    <s v="PROCESSING"/>
    <s v="PENDING"/>
    <s v="First Class"/>
    <n v="11.54"/>
  </r>
  <r>
    <n v="73296"/>
    <s v="PAYMENT"/>
    <n v="2"/>
    <n v="2"/>
    <s v=" ONTIME"/>
    <n v="1361"/>
    <n v="1"/>
    <n v="11.54"/>
    <n v="7"/>
    <s v="Fan Shop"/>
    <n v="16849"/>
    <s v="Indore"/>
    <d v="2020-12-04T00:00:00"/>
    <n v="12"/>
    <n v="2020"/>
    <s v="South Asia"/>
    <x v="14"/>
    <s v="PENDING_PAYMENT"/>
    <s v="PENDING"/>
    <s v="Second Class"/>
    <n v="11.54"/>
  </r>
  <r>
    <n v="73297"/>
    <s v="DEBIT"/>
    <n v="3"/>
    <n v="2"/>
    <s v="DELAYED"/>
    <n v="1361"/>
    <n v="1"/>
    <n v="11.54"/>
    <n v="7"/>
    <s v="Fan Shop"/>
    <n v="16850"/>
    <s v="Indore"/>
    <d v="2020-12-04T00:00:00"/>
    <n v="12"/>
    <n v="2020"/>
    <s v="South Asia"/>
    <x v="14"/>
    <s v="ON_HOLD"/>
    <s v="PENDING"/>
    <s v="Second Class"/>
    <n v="11.54"/>
  </r>
  <r>
    <n v="73298"/>
    <s v="TRANSFER"/>
    <n v="4"/>
    <n v="2"/>
    <s v="DELAYED"/>
    <n v="1361"/>
    <n v="1"/>
    <n v="11.54"/>
    <n v="7"/>
    <s v="Fan Shop"/>
    <n v="16851"/>
    <s v="Indore"/>
    <d v="2020-12-04T00:00:00"/>
    <n v="12"/>
    <n v="2020"/>
    <s v="South Asia"/>
    <x v="14"/>
    <s v="PROCESSING"/>
    <s v="PENDING"/>
    <s v="Second Class"/>
    <n v="11.54"/>
  </r>
  <r>
    <n v="73309"/>
    <s v="TRANSFER"/>
    <n v="5"/>
    <n v="2"/>
    <s v="DELAYED"/>
    <n v="1361"/>
    <n v="1"/>
    <n v="11.54"/>
    <n v="7"/>
    <s v="Fan Shop"/>
    <n v="16862"/>
    <s v="Ulhasnagar"/>
    <d v="2020-12-05T00:00:00"/>
    <n v="12"/>
    <n v="2020"/>
    <s v="South Asia"/>
    <x v="0"/>
    <s v="PROCESSING"/>
    <s v="PENDING"/>
    <s v="Second Class"/>
    <n v="11.54"/>
  </r>
  <r>
    <n v="73310"/>
    <s v="PAYMENT"/>
    <n v="0"/>
    <n v="0"/>
    <s v=" ONTIME"/>
    <n v="1361"/>
    <n v="1"/>
    <n v="11.54"/>
    <n v="7"/>
    <s v="Fan Shop"/>
    <n v="16863"/>
    <s v="Ulhasnagar"/>
    <d v="2020-12-05T00:00:00"/>
    <n v="12"/>
    <n v="2020"/>
    <s v="South Asia"/>
    <x v="0"/>
    <s v="PENDING_PAYMENT"/>
    <s v="PENDING"/>
    <s v="Same Day"/>
    <n v="11.54"/>
  </r>
  <r>
    <n v="73313"/>
    <s v="PAYMENT"/>
    <n v="2"/>
    <n v="1"/>
    <s v="DELAYED"/>
    <n v="1361"/>
    <n v="1"/>
    <n v="11.54"/>
    <n v="7"/>
    <s v="Fan Shop"/>
    <n v="16866"/>
    <s v="Vadodara"/>
    <d v="2020-12-05T00:00:00"/>
    <n v="12"/>
    <n v="2020"/>
    <s v="South Asia"/>
    <x v="4"/>
    <s v="PENDING_PAYMENT"/>
    <s v="PENDING"/>
    <s v="First Class"/>
    <n v="11.54"/>
  </r>
  <r>
    <n v="73325"/>
    <s v="DEBIT"/>
    <n v="6"/>
    <n v="4"/>
    <s v="DELAYED"/>
    <n v="1361"/>
    <n v="1"/>
    <n v="11.54"/>
    <n v="7"/>
    <s v="Fan Shop"/>
    <n v="16878"/>
    <s v="Bareilly"/>
    <d v="2020-12-05T00:00:00"/>
    <n v="12"/>
    <n v="2020"/>
    <s v="South Asia"/>
    <x v="1"/>
    <s v="ON_HOLD"/>
    <s v="PENDING"/>
    <s v="Standard Class"/>
    <n v="11.54"/>
  </r>
  <r>
    <n v="73326"/>
    <s v="DEBIT"/>
    <n v="2"/>
    <n v="1"/>
    <s v="DELAYED"/>
    <n v="1361"/>
    <n v="1"/>
    <n v="11.54"/>
    <n v="7"/>
    <s v="Fan Shop"/>
    <n v="16879"/>
    <s v="Bareilly"/>
    <d v="2020-12-05T00:00:00"/>
    <n v="12"/>
    <n v="2020"/>
    <s v="South Asia"/>
    <x v="1"/>
    <s v="COMPLETE"/>
    <s v="COMPLETED"/>
    <s v="First Class"/>
    <n v="11.54"/>
  </r>
  <r>
    <n v="73327"/>
    <s v="DEBIT"/>
    <n v="3"/>
    <n v="2"/>
    <s v="DELAYED"/>
    <n v="1361"/>
    <n v="1"/>
    <n v="11.54"/>
    <n v="7"/>
    <s v="Fan Shop"/>
    <n v="16880"/>
    <s v="Bareilly"/>
    <d v="2020-12-05T00:00:00"/>
    <n v="12"/>
    <n v="2020"/>
    <s v="South Asia"/>
    <x v="1"/>
    <s v="COMPLETE"/>
    <s v="COMPLETED"/>
    <s v="Second Class"/>
    <n v="11.54"/>
  </r>
  <r>
    <n v="73328"/>
    <s v="TRANSFER"/>
    <n v="4"/>
    <n v="2"/>
    <s v="DELAYED"/>
    <n v="1361"/>
    <n v="1"/>
    <n v="11.54"/>
    <n v="7"/>
    <s v="Fan Shop"/>
    <n v="16881"/>
    <s v="Ajmer"/>
    <d v="2020-12-05T00:00:00"/>
    <n v="12"/>
    <n v="2020"/>
    <s v="South Asia"/>
    <x v="2"/>
    <s v="PENDING"/>
    <s v="PENDING"/>
    <s v="Second Class"/>
    <n v="11.54"/>
  </r>
  <r>
    <n v="73329"/>
    <s v="DEBIT"/>
    <n v="5"/>
    <n v="2"/>
    <s v="DELAYED"/>
    <n v="1361"/>
    <n v="1"/>
    <n v="11.54"/>
    <n v="7"/>
    <s v="Fan Shop"/>
    <n v="16882"/>
    <s v="Ajmer"/>
    <d v="2020-12-05T00:00:00"/>
    <n v="12"/>
    <n v="2020"/>
    <s v="South Asia"/>
    <x v="2"/>
    <s v="COMPLETE"/>
    <s v="COMPLETED"/>
    <s v="Second Class"/>
    <n v="11.54"/>
  </r>
  <r>
    <n v="73330"/>
    <s v="DEBIT"/>
    <n v="6"/>
    <n v="2"/>
    <s v="DELAYED"/>
    <n v="1361"/>
    <n v="1"/>
    <n v="11.54"/>
    <n v="7"/>
    <s v="Fan Shop"/>
    <n v="16883"/>
    <s v="Anantapur"/>
    <d v="2020-12-05T00:00:00"/>
    <n v="12"/>
    <n v="2020"/>
    <s v="South Asia"/>
    <x v="15"/>
    <s v="COMPLETE"/>
    <s v="COMPLETED"/>
    <s v="Second Class"/>
    <n v="11.54"/>
  </r>
  <r>
    <n v="73331"/>
    <s v="TRANSFER"/>
    <n v="2"/>
    <n v="2"/>
    <s v=" ONTIME"/>
    <n v="1361"/>
    <n v="1"/>
    <n v="11.54"/>
    <n v="7"/>
    <s v="Fan Shop"/>
    <n v="16884"/>
    <s v="Anantapur"/>
    <d v="2020-12-05T00:00:00"/>
    <n v="12"/>
    <n v="2020"/>
    <s v="South Asia"/>
    <x v="15"/>
    <s v="PROCESSING"/>
    <s v="PENDING"/>
    <s v="Second Class"/>
    <n v="11.54"/>
  </r>
  <r>
    <n v="73335"/>
    <s v="DEBIT"/>
    <n v="6"/>
    <n v="4"/>
    <s v="DELAYED"/>
    <n v="1361"/>
    <n v="1"/>
    <n v="11.54"/>
    <n v="7"/>
    <s v="Fan Shop"/>
    <n v="16888"/>
    <s v="Hyderabad"/>
    <d v="2020-12-05T00:00:00"/>
    <n v="12"/>
    <n v="2020"/>
    <s v="South Asia"/>
    <x v="7"/>
    <s v="COMPLETE"/>
    <s v="COMPLETED"/>
    <s v="Standard Class"/>
    <n v="11.54"/>
  </r>
  <r>
    <n v="73345"/>
    <s v="DEBIT"/>
    <n v="6"/>
    <n v="2"/>
    <s v="DELAYED"/>
    <n v="1361"/>
    <n v="1"/>
    <n v="11.54"/>
    <n v="7"/>
    <s v="Fan Shop"/>
    <n v="16898"/>
    <s v="Pune"/>
    <d v="2020-12-05T00:00:00"/>
    <n v="12"/>
    <n v="2020"/>
    <s v="South Asia"/>
    <x v="0"/>
    <s v="COMPLETE"/>
    <s v="COMPLETED"/>
    <s v="Second Class"/>
    <n v="11.54"/>
  </r>
  <r>
    <n v="73350"/>
    <s v="TRANSFER"/>
    <n v="6"/>
    <n v="4"/>
    <s v="DELAYED"/>
    <n v="1361"/>
    <n v="1"/>
    <n v="11.54"/>
    <n v="7"/>
    <s v="Fan Shop"/>
    <n v="16903"/>
    <s v="Chennai"/>
    <d v="2020-12-05T00:00:00"/>
    <n v="12"/>
    <n v="2020"/>
    <s v="South Asia"/>
    <x v="3"/>
    <s v="PROCESSING"/>
    <s v="PENDING"/>
    <s v="Standard Class"/>
    <n v="11.54"/>
  </r>
  <r>
    <n v="73351"/>
    <s v="DEBIT"/>
    <n v="2"/>
    <n v="4"/>
    <s v=" ONTIME"/>
    <n v="1361"/>
    <n v="1"/>
    <n v="11.54"/>
    <n v="7"/>
    <s v="Fan Shop"/>
    <n v="16904"/>
    <s v="Panihati"/>
    <d v="2020-12-05T00:00:00"/>
    <n v="12"/>
    <n v="2020"/>
    <s v="South Asia"/>
    <x v="6"/>
    <s v="COMPLETE"/>
    <s v="COMPLETED"/>
    <s v="Standard Class"/>
    <n v="11.54"/>
  </r>
  <r>
    <n v="73355"/>
    <s v="TRANSFER"/>
    <n v="6"/>
    <n v="4"/>
    <s v="DELAYED"/>
    <n v="1361"/>
    <n v="1"/>
    <n v="11.54"/>
    <n v="7"/>
    <s v="Fan Shop"/>
    <n v="16908"/>
    <s v="Mumbai"/>
    <d v="2020-12-05T00:00:00"/>
    <n v="12"/>
    <n v="2020"/>
    <s v="South Asia"/>
    <x v="0"/>
    <s v="PENDING"/>
    <s v="PENDING"/>
    <s v="Standard Class"/>
    <n v="11.54"/>
  </r>
  <r>
    <n v="73356"/>
    <s v="TRANSFER"/>
    <n v="2"/>
    <n v="4"/>
    <s v=" ONTIME"/>
    <n v="1361"/>
    <n v="1"/>
    <n v="11.54"/>
    <n v="7"/>
    <s v="Fan Shop"/>
    <n v="16909"/>
    <s v="Delhi"/>
    <d v="2020-12-05T00:00:00"/>
    <n v="12"/>
    <n v="2020"/>
    <s v="South Asia"/>
    <x v="11"/>
    <s v="PROCESSING"/>
    <s v="PENDING"/>
    <s v="Standard Class"/>
    <n v="11.54"/>
  </r>
  <r>
    <n v="73357"/>
    <s v="TRANSFER"/>
    <n v="3"/>
    <n v="4"/>
    <s v=" ONTIME"/>
    <n v="1361"/>
    <n v="1"/>
    <n v="11.54"/>
    <n v="7"/>
    <s v="Fan Shop"/>
    <n v="16910"/>
    <s v="Delhi"/>
    <d v="2020-12-05T00:00:00"/>
    <n v="12"/>
    <n v="2020"/>
    <s v="South Asia"/>
    <x v="11"/>
    <s v="PROCESSING"/>
    <s v="PENDING"/>
    <s v="Standard Class"/>
    <n v="11.54"/>
  </r>
  <r>
    <n v="73358"/>
    <s v="PAYMENT"/>
    <n v="4"/>
    <n v="4"/>
    <s v=" ONTIME"/>
    <n v="1361"/>
    <n v="1"/>
    <n v="11.54"/>
    <n v="7"/>
    <s v="Fan Shop"/>
    <n v="16911"/>
    <s v="Delhi"/>
    <d v="2020-12-05T00:00:00"/>
    <n v="12"/>
    <n v="2020"/>
    <s v="South Asia"/>
    <x v="11"/>
    <s v="PENDING_PAYMENT"/>
    <s v="PENDING"/>
    <s v="Standard Class"/>
    <n v="11.54"/>
  </r>
  <r>
    <n v="73359"/>
    <s v="TRANSFER"/>
    <n v="5"/>
    <n v="4"/>
    <s v="DELAYED"/>
    <n v="1361"/>
    <n v="1"/>
    <n v="11.54"/>
    <n v="7"/>
    <s v="Fan Shop"/>
    <n v="16912"/>
    <s v="Delhi"/>
    <d v="2020-12-05T00:00:00"/>
    <n v="12"/>
    <n v="2020"/>
    <s v="South Asia"/>
    <x v="11"/>
    <s v="CANCELED"/>
    <s v="CANCELED"/>
    <s v="Standard Class"/>
    <n v="11.54"/>
  </r>
  <r>
    <n v="73372"/>
    <s v="TRANSFER"/>
    <n v="3"/>
    <n v="2"/>
    <s v="DELAYED"/>
    <n v="1361"/>
    <n v="1"/>
    <n v="11.54"/>
    <n v="7"/>
    <s v="Fan Shop"/>
    <n v="16925"/>
    <s v="Pune"/>
    <d v="2020-12-06T00:00:00"/>
    <n v="12"/>
    <n v="2020"/>
    <s v="South Asia"/>
    <x v="0"/>
    <s v="PROCESSING"/>
    <s v="PENDING"/>
    <s v="Second Class"/>
    <n v="11.54"/>
  </r>
  <r>
    <n v="73383"/>
    <s v="DEBIT"/>
    <n v="2"/>
    <n v="1"/>
    <s v="DELAYED"/>
    <n v="1361"/>
    <n v="1"/>
    <n v="11.54"/>
    <n v="7"/>
    <s v="Fan Shop"/>
    <n v="16936"/>
    <s v="Korba"/>
    <d v="2020-12-06T00:00:00"/>
    <n v="12"/>
    <n v="2020"/>
    <s v="South Asia"/>
    <x v="18"/>
    <s v="ON_HOLD"/>
    <s v="PENDING"/>
    <s v="First Class"/>
    <n v="11.54"/>
  </r>
  <r>
    <n v="73384"/>
    <s v="TRANSFER"/>
    <n v="5"/>
    <n v="4"/>
    <s v="DELAYED"/>
    <n v="1361"/>
    <n v="1"/>
    <n v="11.54"/>
    <n v="7"/>
    <s v="Fan Shop"/>
    <n v="16937"/>
    <s v="Korba"/>
    <d v="2020-12-06T00:00:00"/>
    <n v="12"/>
    <n v="2020"/>
    <s v="South Asia"/>
    <x v="18"/>
    <s v="PENDING"/>
    <s v="PENDING"/>
    <s v="Standard Class"/>
    <n v="11.54"/>
  </r>
  <r>
    <n v="73412"/>
    <s v="TRANSFER"/>
    <n v="2"/>
    <n v="1"/>
    <s v="DELAYED"/>
    <n v="1361"/>
    <n v="1"/>
    <n v="11.54"/>
    <n v="7"/>
    <s v="Fan Shop"/>
    <n v="16965"/>
    <s v="Gulbarga"/>
    <d v="2020-12-06T00:00:00"/>
    <n v="12"/>
    <n v="2020"/>
    <s v="South Asia"/>
    <x v="8"/>
    <s v="PROCESSING"/>
    <s v="PENDING"/>
    <s v="First Class"/>
    <n v="11.54"/>
  </r>
  <r>
    <n v="73432"/>
    <s v="TRANSFER"/>
    <n v="2"/>
    <n v="1"/>
    <s v="DELAYED"/>
    <n v="1361"/>
    <n v="1"/>
    <n v="11.54"/>
    <n v="7"/>
    <s v="Fan Shop"/>
    <n v="16985"/>
    <s v="Pune"/>
    <d v="2020-12-06T00:00:00"/>
    <n v="12"/>
    <n v="2020"/>
    <s v="South Asia"/>
    <x v="0"/>
    <s v="PROCESSING"/>
    <s v="PENDING"/>
    <s v="First Class"/>
    <n v="11.54"/>
  </r>
  <r>
    <n v="73463"/>
    <s v="TRANSFER"/>
    <n v="4"/>
    <n v="4"/>
    <s v=" ONTIME"/>
    <n v="1361"/>
    <n v="1"/>
    <n v="11.54"/>
    <n v="7"/>
    <s v="Fan Shop"/>
    <n v="17016"/>
    <s v="Jaipur"/>
    <d v="2020-12-07T00:00:00"/>
    <n v="12"/>
    <n v="2020"/>
    <s v="South Asia"/>
    <x v="2"/>
    <s v="PENDING"/>
    <s v="PENDING"/>
    <s v="Standard Class"/>
    <n v="11.54"/>
  </r>
  <r>
    <n v="73476"/>
    <s v="CASH"/>
    <n v="1"/>
    <n v="0"/>
    <s v="DELAYED"/>
    <n v="1362"/>
    <n v="1"/>
    <n v="39.75"/>
    <n v="9"/>
    <s v="Discs Shop"/>
    <n v="17029"/>
    <s v="Delhi"/>
    <d v="2020-12-07T00:00:00"/>
    <n v="12"/>
    <n v="2020"/>
    <s v="South Asia"/>
    <x v="11"/>
    <s v="CLOSED"/>
    <s v="PENDING"/>
    <s v="Same Day"/>
    <n v="39.75"/>
  </r>
  <r>
    <n v="73477"/>
    <s v="DEBIT"/>
    <n v="1"/>
    <n v="0"/>
    <s v="DELAYED"/>
    <n v="1362"/>
    <n v="1"/>
    <n v="39.75"/>
    <n v="9"/>
    <s v="Discs Shop"/>
    <n v="17030"/>
    <s v="Bhilai"/>
    <d v="2020-12-07T00:00:00"/>
    <n v="12"/>
    <n v="2020"/>
    <s v="South Asia"/>
    <x v="18"/>
    <s v="COMPLETE"/>
    <s v="COMPLETED"/>
    <s v="Same Day"/>
    <n v="39.75"/>
  </r>
  <r>
    <n v="73478"/>
    <s v="CASH"/>
    <n v="1"/>
    <n v="0"/>
    <s v="DELAYED"/>
    <n v="1362"/>
    <n v="1"/>
    <n v="39.75"/>
    <n v="9"/>
    <s v="Discs Shop"/>
    <n v="17031"/>
    <s v="Bhilai"/>
    <d v="2020-12-07T00:00:00"/>
    <n v="12"/>
    <n v="2020"/>
    <s v="South Asia"/>
    <x v="18"/>
    <s v="CLOSED"/>
    <s v="PENDING"/>
    <s v="Same Day"/>
    <n v="39.75"/>
  </r>
  <r>
    <n v="73494"/>
    <s v="TRANSFER"/>
    <n v="5"/>
    <n v="4"/>
    <s v="DELAYED"/>
    <n v="1362"/>
    <n v="1"/>
    <n v="39.75"/>
    <n v="9"/>
    <s v="Discs Shop"/>
    <n v="17047"/>
    <s v="Bangalore"/>
    <d v="2020-12-07T00:00:00"/>
    <n v="12"/>
    <n v="2020"/>
    <s v="South Asia"/>
    <x v="8"/>
    <s v="PENDING"/>
    <s v="PENDING"/>
    <s v="Standard Class"/>
    <n v="39.75"/>
  </r>
  <r>
    <n v="73495"/>
    <s v="DEBIT"/>
    <n v="6"/>
    <n v="4"/>
    <s v="DELAYED"/>
    <n v="1362"/>
    <n v="1"/>
    <n v="39.75"/>
    <n v="9"/>
    <s v="Discs Shop"/>
    <n v="17048"/>
    <s v="Bangalore"/>
    <d v="2020-12-07T00:00:00"/>
    <n v="12"/>
    <n v="2020"/>
    <s v="South Asia"/>
    <x v="8"/>
    <s v="ON_HOLD"/>
    <s v="PENDING"/>
    <s v="Standard Class"/>
    <n v="39.75"/>
  </r>
  <r>
    <n v="73496"/>
    <s v="DEBIT"/>
    <n v="2"/>
    <n v="4"/>
    <s v=" ONTIME"/>
    <n v="1362"/>
    <n v="1"/>
    <n v="39.75"/>
    <n v="9"/>
    <s v="Discs Shop"/>
    <n v="17049"/>
    <s v="Bangalore"/>
    <d v="2020-12-07T00:00:00"/>
    <n v="12"/>
    <n v="2020"/>
    <s v="South Asia"/>
    <x v="8"/>
    <s v="COMPLETE"/>
    <s v="COMPLETED"/>
    <s v="Standard Class"/>
    <n v="39.75"/>
  </r>
  <r>
    <n v="73509"/>
    <s v="CASH"/>
    <n v="5"/>
    <n v="4"/>
    <s v="DELAYED"/>
    <n v="1362"/>
    <n v="1"/>
    <n v="39.75"/>
    <n v="9"/>
    <s v="Discs Shop"/>
    <n v="17062"/>
    <s v="Madurai"/>
    <d v="2020-12-08T00:00:00"/>
    <n v="12"/>
    <n v="2020"/>
    <s v="South Asia"/>
    <x v="3"/>
    <s v="CLOSED"/>
    <s v="PENDING"/>
    <s v="Standard Class"/>
    <n v="39.75"/>
  </r>
  <r>
    <n v="73510"/>
    <s v="TRANSFER"/>
    <n v="6"/>
    <n v="4"/>
    <s v="DELAYED"/>
    <n v="1362"/>
    <n v="1"/>
    <n v="39.75"/>
    <n v="9"/>
    <s v="Discs Shop"/>
    <n v="17063"/>
    <s v="Madurai"/>
    <d v="2020-12-08T00:00:00"/>
    <n v="12"/>
    <n v="2020"/>
    <s v="South Asia"/>
    <x v="3"/>
    <s v="PROCESSING"/>
    <s v="PENDING"/>
    <s v="Standard Class"/>
    <n v="39.75"/>
  </r>
  <r>
    <n v="73526"/>
    <s v="TRANSFER"/>
    <n v="2"/>
    <n v="4"/>
    <s v=" ONTIME"/>
    <n v="1362"/>
    <n v="1"/>
    <n v="39.75"/>
    <n v="9"/>
    <s v="Discs Shop"/>
    <n v="17079"/>
    <s v="Lucknow"/>
    <d v="2020-12-08T00:00:00"/>
    <n v="12"/>
    <n v="2020"/>
    <s v="South Asia"/>
    <x v="1"/>
    <s v="PROCESSING"/>
    <s v="PENDING"/>
    <s v="Standard Class"/>
    <n v="39.75"/>
  </r>
  <r>
    <n v="73533"/>
    <s v="PAYMENT"/>
    <n v="4"/>
    <n v="4"/>
    <s v=" ONTIME"/>
    <n v="1362"/>
    <n v="1"/>
    <n v="39.75"/>
    <n v="9"/>
    <s v="Discs Shop"/>
    <n v="17086"/>
    <s v="Jammu"/>
    <d v="2020-12-08T00:00:00"/>
    <n v="12"/>
    <n v="2020"/>
    <s v="South Asia"/>
    <x v="21"/>
    <s v="PENDING_PAYMENT"/>
    <s v="PENDING"/>
    <s v="Standard Class"/>
    <n v="39.75"/>
  </r>
  <r>
    <n v="73534"/>
    <s v="PAYMENT"/>
    <n v="5"/>
    <n v="4"/>
    <s v="DELAYED"/>
    <n v="1362"/>
    <n v="1"/>
    <n v="39.75"/>
    <n v="9"/>
    <s v="Discs Shop"/>
    <n v="17087"/>
    <s v="Jammu"/>
    <d v="2020-12-08T00:00:00"/>
    <n v="12"/>
    <n v="2020"/>
    <s v="South Asia"/>
    <x v="21"/>
    <s v="PAYMENT_REVIEW"/>
    <s v="PENDING"/>
    <s v="Standard Class"/>
    <n v="39.75"/>
  </r>
  <r>
    <n v="73541"/>
    <s v="PAYMENT"/>
    <n v="2"/>
    <n v="4"/>
    <s v=" ONTIME"/>
    <n v="1362"/>
    <n v="1"/>
    <n v="39.75"/>
    <n v="9"/>
    <s v="Discs Shop"/>
    <n v="17094"/>
    <s v="Mumbai"/>
    <d v="2020-12-08T00:00:00"/>
    <n v="12"/>
    <n v="2020"/>
    <s v="South Asia"/>
    <x v="0"/>
    <s v="PENDING_PAYMENT"/>
    <s v="PENDING"/>
    <s v="Standard Class"/>
    <n v="39.75"/>
  </r>
  <r>
    <n v="73542"/>
    <s v="TRANSFER"/>
    <n v="3"/>
    <n v="4"/>
    <s v=" ONTIME"/>
    <n v="1362"/>
    <n v="1"/>
    <n v="39.75"/>
    <n v="9"/>
    <s v="Discs Shop"/>
    <n v="17095"/>
    <s v="Mumbai"/>
    <d v="2020-12-08T00:00:00"/>
    <n v="12"/>
    <n v="2020"/>
    <s v="South Asia"/>
    <x v="0"/>
    <s v="PROCESSING"/>
    <s v="PENDING"/>
    <s v="Standard Class"/>
    <n v="39.75"/>
  </r>
  <r>
    <n v="73578"/>
    <s v="TRANSFER"/>
    <n v="4"/>
    <n v="2"/>
    <s v="DELAYED"/>
    <n v="1362"/>
    <n v="1"/>
    <n v="39.75"/>
    <n v="9"/>
    <s v="Discs Shop"/>
    <n v="17131"/>
    <s v="Bilaspur"/>
    <d v="2020-12-09T00:00:00"/>
    <n v="12"/>
    <n v="2020"/>
    <s v="South Asia"/>
    <x v="1"/>
    <s v="PROCESSING"/>
    <s v="PENDING"/>
    <s v="Second Class"/>
    <n v="39.75"/>
  </r>
  <r>
    <n v="73579"/>
    <s v="PAYMENT"/>
    <n v="5"/>
    <n v="4"/>
    <s v="DELAYED"/>
    <n v="1362"/>
    <n v="1"/>
    <n v="39.75"/>
    <n v="9"/>
    <s v="Discs Shop"/>
    <n v="17132"/>
    <s v="Bilaspur"/>
    <d v="2020-12-09T00:00:00"/>
    <n v="12"/>
    <n v="2020"/>
    <s v="South Asia"/>
    <x v="1"/>
    <s v="PENDING_PAYMENT"/>
    <s v="PENDING"/>
    <s v="Standard Class"/>
    <n v="39.75"/>
  </r>
  <r>
    <n v="73580"/>
    <s v="TRANSFER"/>
    <n v="6"/>
    <n v="4"/>
    <s v="DELAYED"/>
    <n v="1362"/>
    <n v="1"/>
    <n v="39.75"/>
    <n v="9"/>
    <s v="Discs Shop"/>
    <n v="17133"/>
    <s v="Bilaspur"/>
    <d v="2020-12-09T00:00:00"/>
    <n v="12"/>
    <n v="2020"/>
    <s v="South Asia"/>
    <x v="1"/>
    <s v="CANCELED"/>
    <s v="CANCELED"/>
    <s v="Standard Class"/>
    <n v="39.75"/>
  </r>
  <r>
    <n v="73583"/>
    <s v="DEBIT"/>
    <n v="4"/>
    <n v="4"/>
    <s v=" ONTIME"/>
    <n v="1362"/>
    <n v="1"/>
    <n v="39.75"/>
    <n v="9"/>
    <s v="Discs Shop"/>
    <n v="17136"/>
    <s v="Durgapur"/>
    <d v="2020-12-09T00:00:00"/>
    <n v="12"/>
    <n v="2020"/>
    <s v="South Asia"/>
    <x v="0"/>
    <s v="ON_HOLD"/>
    <s v="PENDING"/>
    <s v="Standard Class"/>
    <n v="39.75"/>
  </r>
  <r>
    <n v="73605"/>
    <s v="TRANSFER"/>
    <n v="6"/>
    <n v="4"/>
    <s v="DELAYED"/>
    <n v="1362"/>
    <n v="1"/>
    <n v="39.75"/>
    <n v="9"/>
    <s v="Discs Shop"/>
    <n v="17158"/>
    <s v="Bangalore"/>
    <d v="2020-12-09T00:00:00"/>
    <n v="12"/>
    <n v="2020"/>
    <s v="South Asia"/>
    <x v="8"/>
    <s v="PROCESSING"/>
    <s v="PENDING"/>
    <s v="Standard Class"/>
    <n v="39.75"/>
  </r>
  <r>
    <n v="73608"/>
    <s v="PAYMENT"/>
    <n v="4"/>
    <n v="2"/>
    <s v="DELAYED"/>
    <n v="1362"/>
    <n v="1"/>
    <n v="39.75"/>
    <n v="9"/>
    <s v="Discs Shop"/>
    <n v="17161"/>
    <s v="Mau"/>
    <d v="2020-12-09T00:00:00"/>
    <n v="12"/>
    <n v="2020"/>
    <s v="South Asia"/>
    <x v="14"/>
    <s v="PENDING_PAYMENT"/>
    <s v="PENDING"/>
    <s v="Second Class"/>
    <n v="39.75"/>
  </r>
  <r>
    <n v="73627"/>
    <s v="DEBIT"/>
    <n v="2"/>
    <n v="1"/>
    <s v="DELAYED"/>
    <n v="1362"/>
    <n v="1"/>
    <n v="39.75"/>
    <n v="9"/>
    <s v="Discs Shop"/>
    <n v="17180"/>
    <s v="Guwahati"/>
    <d v="2020-12-09T00:00:00"/>
    <n v="12"/>
    <n v="2020"/>
    <s v="South Asia"/>
    <x v="9"/>
    <s v="COMPLETE"/>
    <s v="COMPLETED"/>
    <s v="First Class"/>
    <n v="39.75"/>
  </r>
  <r>
    <n v="73629"/>
    <s v="TRANSFER"/>
    <n v="2"/>
    <n v="1"/>
    <s v="DELAYED"/>
    <n v="1362"/>
    <n v="1"/>
    <n v="39.75"/>
    <n v="9"/>
    <s v="Discs Shop"/>
    <n v="17182"/>
    <s v="Delhi"/>
    <d v="2020-12-09T00:00:00"/>
    <n v="12"/>
    <n v="2020"/>
    <s v="South Asia"/>
    <x v="11"/>
    <s v="PROCESSING"/>
    <s v="PENDING"/>
    <s v="First Class"/>
    <n v="39.75"/>
  </r>
  <r>
    <n v="73630"/>
    <s v="TRANSFER"/>
    <n v="6"/>
    <n v="2"/>
    <s v="DELAYED"/>
    <n v="1362"/>
    <n v="1"/>
    <n v="39.75"/>
    <n v="9"/>
    <s v="Discs Shop"/>
    <n v="17183"/>
    <s v="Delhi"/>
    <d v="2020-12-09T00:00:00"/>
    <n v="12"/>
    <n v="2020"/>
    <s v="South Asia"/>
    <x v="11"/>
    <s v="PROCESSING"/>
    <s v="PENDING"/>
    <s v="Second Class"/>
    <n v="39.75"/>
  </r>
  <r>
    <n v="73631"/>
    <s v="DEBIT"/>
    <n v="2"/>
    <n v="2"/>
    <s v=" ONTIME"/>
    <n v="1362"/>
    <n v="1"/>
    <n v="39.75"/>
    <n v="9"/>
    <s v="Discs Shop"/>
    <n v="17184"/>
    <s v="Delhi"/>
    <d v="2020-12-09T00:00:00"/>
    <n v="12"/>
    <n v="2020"/>
    <s v="South Asia"/>
    <x v="11"/>
    <s v="ON_HOLD"/>
    <s v="PENDING"/>
    <s v="Second Class"/>
    <n v="39.75"/>
  </r>
  <r>
    <n v="73632"/>
    <s v="DEBIT"/>
    <n v="3"/>
    <n v="4"/>
    <s v=" ONTIME"/>
    <n v="1362"/>
    <n v="1"/>
    <n v="39.75"/>
    <n v="9"/>
    <s v="Discs Shop"/>
    <n v="17185"/>
    <s v="Delhi"/>
    <d v="2020-12-09T00:00:00"/>
    <n v="12"/>
    <n v="2020"/>
    <s v="South Asia"/>
    <x v="11"/>
    <s v="COMPLETE"/>
    <s v="COMPLETED"/>
    <s v="Standard Class"/>
    <n v="39.75"/>
  </r>
  <r>
    <n v="73633"/>
    <s v="TRANSFER"/>
    <n v="4"/>
    <n v="4"/>
    <s v=" ONTIME"/>
    <n v="1362"/>
    <n v="1"/>
    <n v="39.75"/>
    <n v="9"/>
    <s v="Discs Shop"/>
    <n v="17186"/>
    <s v="Delhi"/>
    <d v="2020-12-09T00:00:00"/>
    <n v="12"/>
    <n v="2020"/>
    <s v="South Asia"/>
    <x v="11"/>
    <s v="PENDING"/>
    <s v="PENDING"/>
    <s v="Standard Class"/>
    <n v="39.75"/>
  </r>
  <r>
    <n v="73676"/>
    <s v="DEBIT"/>
    <n v="2"/>
    <n v="4"/>
    <s v=" ONTIME"/>
    <n v="1362"/>
    <n v="1"/>
    <n v="39.75"/>
    <n v="9"/>
    <s v="Discs Shop"/>
    <n v="17229"/>
    <s v="Mysore"/>
    <d v="2020-12-10T00:00:00"/>
    <n v="12"/>
    <n v="2020"/>
    <s v="South Asia"/>
    <x v="8"/>
    <s v="COMPLETE"/>
    <s v="COMPLETED"/>
    <s v="Standard Class"/>
    <n v="39.75"/>
  </r>
  <r>
    <n v="73720"/>
    <s v="CASH"/>
    <n v="6"/>
    <n v="4"/>
    <s v="DELAYED"/>
    <n v="1363"/>
    <n v="1"/>
    <n v="215.82"/>
    <n v="4"/>
    <s v="Apparel"/>
    <n v="17273"/>
    <s v="Bhiwandi"/>
    <d v="2020-12-11T00:00:00"/>
    <n v="12"/>
    <n v="2020"/>
    <s v="South Asia"/>
    <x v="0"/>
    <s v="CLOSED"/>
    <s v="PENDING"/>
    <s v="Standard Class"/>
    <n v="215.82"/>
  </r>
  <r>
    <n v="73742"/>
    <s v="PAYMENT"/>
    <n v="0"/>
    <n v="0"/>
    <s v=" ONTIME"/>
    <n v="1363"/>
    <n v="1"/>
    <n v="215.82"/>
    <n v="4"/>
    <s v="Apparel"/>
    <n v="17295"/>
    <s v="Lucknow"/>
    <d v="2020-12-11T00:00:00"/>
    <n v="12"/>
    <n v="2020"/>
    <s v="South Asia"/>
    <x v="1"/>
    <s v="PENDING_PAYMENT"/>
    <s v="PENDING"/>
    <s v="Same Day"/>
    <n v="215.82"/>
  </r>
  <r>
    <n v="73744"/>
    <s v="TRANSFER"/>
    <n v="0"/>
    <n v="0"/>
    <s v=" ONTIME"/>
    <n v="1363"/>
    <n v="1"/>
    <n v="215.82"/>
    <n v="4"/>
    <s v="Apparel"/>
    <n v="17297"/>
    <s v="Hyderabad"/>
    <d v="2020-12-11T00:00:00"/>
    <n v="12"/>
    <n v="2020"/>
    <s v="South Asia"/>
    <x v="7"/>
    <s v="PENDING"/>
    <s v="PENDING"/>
    <s v="Same Day"/>
    <n v="215.82"/>
  </r>
  <r>
    <n v="73745"/>
    <s v="DEBIT"/>
    <n v="0"/>
    <n v="0"/>
    <s v=" ONTIME"/>
    <n v="1363"/>
    <n v="1"/>
    <n v="215.82"/>
    <n v="4"/>
    <s v="Apparel"/>
    <n v="17298"/>
    <s v="Hyderabad"/>
    <d v="2020-12-11T00:00:00"/>
    <n v="12"/>
    <n v="2020"/>
    <s v="South Asia"/>
    <x v="7"/>
    <s v="COMPLETE"/>
    <s v="COMPLETED"/>
    <s v="Same Day"/>
    <n v="215.82"/>
  </r>
  <r>
    <n v="73762"/>
    <s v="DEBIT"/>
    <n v="1"/>
    <n v="0"/>
    <s v="DELAYED"/>
    <n v="1363"/>
    <n v="1"/>
    <n v="215.82"/>
    <n v="4"/>
    <s v="Apparel"/>
    <n v="17315"/>
    <s v="Gorakhpur"/>
    <d v="2020-12-11T00:00:00"/>
    <n v="12"/>
    <n v="2020"/>
    <s v="South Asia"/>
    <x v="1"/>
    <s v="COMPLETE"/>
    <s v="COMPLETED"/>
    <s v="Same Day"/>
    <n v="215.82"/>
  </r>
  <r>
    <n v="73763"/>
    <s v="CASH"/>
    <n v="2"/>
    <n v="1"/>
    <s v="DELAYED"/>
    <n v="1363"/>
    <n v="1"/>
    <n v="215.82"/>
    <n v="4"/>
    <s v="Apparel"/>
    <n v="17316"/>
    <s v="Gorakhpur"/>
    <d v="2020-12-11T00:00:00"/>
    <n v="12"/>
    <n v="2020"/>
    <s v="South Asia"/>
    <x v="1"/>
    <s v="CLOSED"/>
    <s v="PENDING"/>
    <s v="First Class"/>
    <n v="215.82"/>
  </r>
  <r>
    <n v="73764"/>
    <s v="DEBIT"/>
    <n v="5"/>
    <n v="2"/>
    <s v="DELAYED"/>
    <n v="1363"/>
    <n v="1"/>
    <n v="215.82"/>
    <n v="4"/>
    <s v="Apparel"/>
    <n v="17317"/>
    <s v="Gorakhpur"/>
    <d v="2020-12-11T00:00:00"/>
    <n v="12"/>
    <n v="2020"/>
    <s v="South Asia"/>
    <x v="1"/>
    <s v="COMPLETE"/>
    <s v="COMPLETED"/>
    <s v="Second Class"/>
    <n v="215.82"/>
  </r>
  <r>
    <n v="73765"/>
    <s v="DEBIT"/>
    <n v="6"/>
    <n v="2"/>
    <s v="DELAYED"/>
    <n v="1363"/>
    <n v="1"/>
    <n v="215.82"/>
    <n v="4"/>
    <s v="Apparel"/>
    <n v="17318"/>
    <s v="Nagpur"/>
    <d v="2020-12-11T00:00:00"/>
    <n v="12"/>
    <n v="2020"/>
    <s v="South Asia"/>
    <x v="0"/>
    <s v="COMPLETE"/>
    <s v="COMPLETED"/>
    <s v="Second Class"/>
    <n v="215.82"/>
  </r>
  <r>
    <n v="73776"/>
    <s v="TRANSFER"/>
    <n v="2"/>
    <n v="4"/>
    <s v=" ONTIME"/>
    <n v="1363"/>
    <n v="1"/>
    <n v="215.82"/>
    <n v="4"/>
    <s v="Apparel"/>
    <n v="17329"/>
    <s v="Anantapur"/>
    <d v="2020-12-11T00:00:00"/>
    <n v="12"/>
    <n v="2020"/>
    <s v="South Asia"/>
    <x v="15"/>
    <s v="PENDING"/>
    <s v="PENDING"/>
    <s v="Standard Class"/>
    <n v="215.82"/>
  </r>
  <r>
    <n v="73780"/>
    <s v="DEBIT"/>
    <n v="6"/>
    <n v="4"/>
    <s v="DELAYED"/>
    <n v="1363"/>
    <n v="1"/>
    <n v="215.82"/>
    <n v="4"/>
    <s v="Apparel"/>
    <n v="17333"/>
    <s v="Bhatpara"/>
    <d v="2020-12-12T00:00:00"/>
    <n v="12"/>
    <n v="2020"/>
    <s v="South Asia"/>
    <x v="6"/>
    <s v="COMPLETE"/>
    <s v="COMPLETED"/>
    <s v="Standard Class"/>
    <n v="215.82"/>
  </r>
  <r>
    <n v="73787"/>
    <s v="PAYMENT"/>
    <n v="3"/>
    <n v="4"/>
    <s v=" ONTIME"/>
    <n v="1363"/>
    <n v="1"/>
    <n v="215.82"/>
    <n v="4"/>
    <s v="Apparel"/>
    <n v="17340"/>
    <s v="Chennai"/>
    <d v="2020-12-12T00:00:00"/>
    <n v="12"/>
    <n v="2020"/>
    <s v="South Asia"/>
    <x v="3"/>
    <s v="PENDING_PAYMENT"/>
    <s v="PENDING"/>
    <s v="Standard Class"/>
    <n v="215.82"/>
  </r>
  <r>
    <n v="73788"/>
    <s v="PAYMENT"/>
    <n v="4"/>
    <n v="4"/>
    <s v=" ONTIME"/>
    <n v="1363"/>
    <n v="1"/>
    <n v="215.82"/>
    <n v="4"/>
    <s v="Apparel"/>
    <n v="17341"/>
    <s v="Chennai"/>
    <d v="2020-12-12T00:00:00"/>
    <n v="12"/>
    <n v="2020"/>
    <s v="South Asia"/>
    <x v="3"/>
    <s v="PENDING_PAYMENT"/>
    <s v="PENDING"/>
    <s v="Standard Class"/>
    <n v="215.82"/>
  </r>
  <r>
    <n v="73789"/>
    <s v="DEBIT"/>
    <n v="5"/>
    <n v="4"/>
    <s v="DELAYED"/>
    <n v="1363"/>
    <n v="1"/>
    <n v="215.82"/>
    <n v="4"/>
    <s v="Apparel"/>
    <n v="17342"/>
    <s v="Chennai"/>
    <d v="2020-12-12T00:00:00"/>
    <n v="12"/>
    <n v="2020"/>
    <s v="South Asia"/>
    <x v="3"/>
    <s v="COMPLETE"/>
    <s v="COMPLETED"/>
    <s v="Standard Class"/>
    <n v="215.82"/>
  </r>
  <r>
    <n v="73808"/>
    <s v="TRANSFER"/>
    <n v="4"/>
    <n v="2"/>
    <s v="DELAYED"/>
    <n v="1363"/>
    <n v="1"/>
    <n v="215.82"/>
    <n v="4"/>
    <s v="Apparel"/>
    <n v="17361"/>
    <s v="Surat"/>
    <d v="2020-12-12T00:00:00"/>
    <n v="12"/>
    <n v="2020"/>
    <s v="South Asia"/>
    <x v="4"/>
    <s v="PROCESSING"/>
    <s v="PENDING"/>
    <s v="Second Class"/>
    <n v="215.82"/>
  </r>
  <r>
    <n v="73812"/>
    <s v="DEBIT"/>
    <n v="2"/>
    <n v="1"/>
    <s v="DELAYED"/>
    <n v="1363"/>
    <n v="1"/>
    <n v="215.82"/>
    <n v="4"/>
    <s v="Apparel"/>
    <n v="17365"/>
    <s v="Shahjahanpur"/>
    <d v="2020-12-12T00:00:00"/>
    <n v="12"/>
    <n v="2020"/>
    <s v="South Asia"/>
    <x v="1"/>
    <s v="COMPLETE"/>
    <s v="COMPLETED"/>
    <s v="First Class"/>
    <n v="215.82"/>
  </r>
  <r>
    <n v="73823"/>
    <s v="DEBIT"/>
    <n v="2"/>
    <n v="1"/>
    <s v="DELAYED"/>
    <n v="1363"/>
    <n v="1"/>
    <n v="215.82"/>
    <n v="4"/>
    <s v="Apparel"/>
    <n v="17376"/>
    <s v="Lucknow"/>
    <d v="2020-12-12T00:00:00"/>
    <n v="12"/>
    <n v="2020"/>
    <s v="South Asia"/>
    <x v="1"/>
    <s v="COMPLETE"/>
    <s v="COMPLETED"/>
    <s v="First Class"/>
    <n v="215.82"/>
  </r>
  <r>
    <n v="73825"/>
    <s v="TRANSFER"/>
    <n v="6"/>
    <n v="4"/>
    <s v="DELAYED"/>
    <n v="1363"/>
    <n v="1"/>
    <n v="215.82"/>
    <n v="4"/>
    <s v="Apparel"/>
    <n v="17378"/>
    <s v="Hyderabad"/>
    <d v="2020-12-12T00:00:00"/>
    <n v="12"/>
    <n v="2020"/>
    <s v="South Asia"/>
    <x v="7"/>
    <s v="PROCESSING"/>
    <s v="PENDING"/>
    <s v="Standard Class"/>
    <n v="215.82"/>
  </r>
  <r>
    <n v="73828"/>
    <s v="DEBIT"/>
    <n v="2"/>
    <n v="1"/>
    <s v="DELAYED"/>
    <n v="1363"/>
    <n v="1"/>
    <n v="215.82"/>
    <n v="4"/>
    <s v="Apparel"/>
    <n v="17381"/>
    <s v="Baranagar"/>
    <d v="2020-12-12T00:00:00"/>
    <n v="12"/>
    <n v="2020"/>
    <s v="South Asia"/>
    <x v="6"/>
    <s v="COMPLETE"/>
    <s v="COMPLETED"/>
    <s v="First Class"/>
    <n v="215.82"/>
  </r>
  <r>
    <n v="73839"/>
    <s v="DEBIT"/>
    <n v="5"/>
    <n v="4"/>
    <s v="DELAYED"/>
    <n v="1363"/>
    <n v="1"/>
    <n v="215.82"/>
    <n v="4"/>
    <s v="Apparel"/>
    <n v="17392"/>
    <s v="Vadodara"/>
    <d v="2020-12-12T00:00:00"/>
    <n v="12"/>
    <n v="2020"/>
    <s v="South Asia"/>
    <x v="4"/>
    <s v="COMPLETE"/>
    <s v="COMPLETED"/>
    <s v="Standard Class"/>
    <n v="215.82"/>
  </r>
  <r>
    <n v="73840"/>
    <s v="CASH"/>
    <n v="6"/>
    <n v="4"/>
    <s v="DELAYED"/>
    <n v="1363"/>
    <n v="1"/>
    <n v="215.82"/>
    <n v="4"/>
    <s v="Apparel"/>
    <n v="17393"/>
    <s v="Vadodara"/>
    <d v="2020-12-12T00:00:00"/>
    <n v="12"/>
    <n v="2020"/>
    <s v="South Asia"/>
    <x v="4"/>
    <s v="CLOSED"/>
    <s v="PENDING"/>
    <s v="Standard Class"/>
    <n v="215.82"/>
  </r>
  <r>
    <n v="73841"/>
    <s v="PAYMENT"/>
    <n v="2"/>
    <n v="4"/>
    <s v=" ONTIME"/>
    <n v="1363"/>
    <n v="1"/>
    <n v="215.82"/>
    <n v="4"/>
    <s v="Apparel"/>
    <n v="17394"/>
    <s v="Bhilwara"/>
    <d v="2020-12-12T00:00:00"/>
    <n v="12"/>
    <n v="2020"/>
    <s v="South Asia"/>
    <x v="2"/>
    <s v="PENDING_PAYMENT"/>
    <s v="PENDING"/>
    <s v="Standard Class"/>
    <n v="215.82"/>
  </r>
  <r>
    <n v="73843"/>
    <s v="DEBIT"/>
    <n v="4"/>
    <n v="2"/>
    <s v="DELAYED"/>
    <n v="1363"/>
    <n v="1"/>
    <n v="215.82"/>
    <n v="4"/>
    <s v="Apparel"/>
    <n v="17396"/>
    <s v="Bangalore"/>
    <d v="2020-12-12T00:00:00"/>
    <n v="12"/>
    <n v="2020"/>
    <s v="South Asia"/>
    <x v="8"/>
    <s v="COMPLETE"/>
    <s v="COMPLETED"/>
    <s v="Second Class"/>
    <n v="215.82"/>
  </r>
  <r>
    <n v="73844"/>
    <s v="TRANSFER"/>
    <n v="5"/>
    <n v="2"/>
    <s v="DELAYED"/>
    <n v="1363"/>
    <n v="1"/>
    <n v="215.82"/>
    <n v="4"/>
    <s v="Apparel"/>
    <n v="17397"/>
    <s v="Bangalore"/>
    <d v="2020-12-12T00:00:00"/>
    <n v="12"/>
    <n v="2020"/>
    <s v="South Asia"/>
    <x v="8"/>
    <s v="PENDING"/>
    <s v="PENDING"/>
    <s v="Second Class"/>
    <n v="215.82"/>
  </r>
  <r>
    <n v="73860"/>
    <s v="DEBIT"/>
    <n v="6"/>
    <n v="4"/>
    <s v="DELAYED"/>
    <n v="1363"/>
    <n v="1"/>
    <n v="215.82"/>
    <n v="4"/>
    <s v="Apparel"/>
    <n v="17413"/>
    <s v="Coimbatore"/>
    <d v="2020-12-13T00:00:00"/>
    <n v="12"/>
    <n v="2020"/>
    <s v="South Asia"/>
    <x v="3"/>
    <s v="COMPLETE"/>
    <s v="COMPLETED"/>
    <s v="Standard Class"/>
    <n v="215.82"/>
  </r>
  <r>
    <n v="73863"/>
    <s v="CASH"/>
    <n v="4"/>
    <n v="2"/>
    <s v="DELAYED"/>
    <n v="1363"/>
    <n v="1"/>
    <n v="215.82"/>
    <n v="4"/>
    <s v="Apparel"/>
    <n v="17416"/>
    <s v="Bhopal"/>
    <d v="2020-12-13T00:00:00"/>
    <n v="12"/>
    <n v="2020"/>
    <s v="South Asia"/>
    <x v="14"/>
    <s v="CLOSED"/>
    <s v="PENDING"/>
    <s v="Second Class"/>
    <n v="215.82"/>
  </r>
  <r>
    <n v="73864"/>
    <s v="DEBIT"/>
    <n v="5"/>
    <n v="2"/>
    <s v="DELAYED"/>
    <n v="1363"/>
    <n v="1"/>
    <n v="215.82"/>
    <n v="4"/>
    <s v="Apparel"/>
    <n v="17417"/>
    <s v="Bhopal"/>
    <d v="2020-12-13T00:00:00"/>
    <n v="12"/>
    <n v="2020"/>
    <s v="South Asia"/>
    <x v="14"/>
    <s v="COMPLETE"/>
    <s v="COMPLETED"/>
    <s v="Second Class"/>
    <n v="215.82"/>
  </r>
  <r>
    <n v="73865"/>
    <s v="CASH"/>
    <n v="6"/>
    <n v="2"/>
    <s v="DELAYED"/>
    <n v="1363"/>
    <n v="1"/>
    <n v="215.82"/>
    <n v="4"/>
    <s v="Apparel"/>
    <n v="17418"/>
    <s v="Bhopal"/>
    <d v="2020-12-13T00:00:00"/>
    <n v="12"/>
    <n v="2020"/>
    <s v="South Asia"/>
    <x v="14"/>
    <s v="CLOSED"/>
    <s v="PENDING"/>
    <s v="Second Class"/>
    <n v="215.82"/>
  </r>
  <r>
    <n v="73866"/>
    <s v="DEBIT"/>
    <n v="2"/>
    <n v="2"/>
    <s v=" ONTIME"/>
    <n v="1363"/>
    <n v="1"/>
    <n v="215.82"/>
    <n v="4"/>
    <s v="Apparel"/>
    <n v="17419"/>
    <s v="Bhopal"/>
    <d v="2020-12-13T00:00:00"/>
    <n v="12"/>
    <n v="2020"/>
    <s v="South Asia"/>
    <x v="14"/>
    <s v="COMPLETE"/>
    <s v="COMPLETED"/>
    <s v="Second Class"/>
    <n v="215.82"/>
  </r>
  <r>
    <n v="73867"/>
    <s v="TRANSFER"/>
    <n v="3"/>
    <n v="4"/>
    <s v=" ONTIME"/>
    <n v="1363"/>
    <n v="1"/>
    <n v="215.82"/>
    <n v="4"/>
    <s v="Apparel"/>
    <n v="17420"/>
    <s v="Bhopal"/>
    <d v="2020-12-13T00:00:00"/>
    <n v="12"/>
    <n v="2020"/>
    <s v="South Asia"/>
    <x v="14"/>
    <s v="PENDING"/>
    <s v="PENDING"/>
    <s v="Standard Class"/>
    <n v="215.82"/>
  </r>
  <r>
    <n v="73891"/>
    <s v="PAYMENT"/>
    <n v="2"/>
    <n v="2"/>
    <s v=" ONTIME"/>
    <n v="1363"/>
    <n v="1"/>
    <n v="215.82"/>
    <n v="4"/>
    <s v="Apparel"/>
    <n v="17444"/>
    <s v="Firozabad"/>
    <d v="2020-12-13T00:00:00"/>
    <n v="12"/>
    <n v="2020"/>
    <s v="South Asia"/>
    <x v="1"/>
    <s v="PENDING_PAYMENT"/>
    <s v="PENDING"/>
    <s v="Second Class"/>
    <n v="215.82"/>
  </r>
  <r>
    <n v="73892"/>
    <s v="DEBIT"/>
    <n v="3"/>
    <n v="2"/>
    <s v="DELAYED"/>
    <n v="1363"/>
    <n v="1"/>
    <n v="215.82"/>
    <n v="4"/>
    <s v="Apparel"/>
    <n v="17445"/>
    <s v="Delhi"/>
    <d v="2020-12-13T00:00:00"/>
    <n v="12"/>
    <n v="2020"/>
    <s v="South Asia"/>
    <x v="11"/>
    <s v="COMPLETE"/>
    <s v="COMPLETED"/>
    <s v="Second Class"/>
    <n v="215.82"/>
  </r>
  <r>
    <n v="73932"/>
    <s v="DEBIT"/>
    <n v="3"/>
    <n v="2"/>
    <s v="DELAYED"/>
    <n v="1363"/>
    <n v="1"/>
    <n v="215.82"/>
    <n v="4"/>
    <s v="Apparel"/>
    <n v="17485"/>
    <s v="Fatehpur"/>
    <d v="2020-12-14T00:00:00"/>
    <n v="12"/>
    <n v="2020"/>
    <s v="South Asia"/>
    <x v="2"/>
    <s v="COMPLETE"/>
    <s v="COMPLETED"/>
    <s v="Second Class"/>
    <n v="215.82"/>
  </r>
  <r>
    <n v="73934"/>
    <s v="DEBIT"/>
    <n v="5"/>
    <n v="2"/>
    <s v="DELAYED"/>
    <n v="1363"/>
    <n v="1"/>
    <n v="215.82"/>
    <n v="4"/>
    <s v="Apparel"/>
    <n v="17487"/>
    <s v="Firozabad"/>
    <d v="2020-12-14T00:00:00"/>
    <n v="12"/>
    <n v="2020"/>
    <s v="South Asia"/>
    <x v="1"/>
    <s v="COMPLETE"/>
    <s v="COMPLETED"/>
    <s v="Second Class"/>
    <n v="215.82"/>
  </r>
  <r>
    <n v="73958"/>
    <s v="TRANSFER"/>
    <n v="4"/>
    <n v="4"/>
    <s v=" ONTIME"/>
    <n v="1363"/>
    <n v="1"/>
    <n v="215.82"/>
    <n v="4"/>
    <s v="Apparel"/>
    <n v="17511"/>
    <s v="Bilaspur"/>
    <d v="2020-12-14T00:00:00"/>
    <n v="12"/>
    <n v="2020"/>
    <s v="South Asia"/>
    <x v="1"/>
    <s v="PENDING"/>
    <s v="PENDING"/>
    <s v="Standard Class"/>
    <n v="215.82"/>
  </r>
  <r>
    <n v="73960"/>
    <s v="CASH"/>
    <n v="6"/>
    <n v="4"/>
    <s v="DELAYED"/>
    <n v="1363"/>
    <n v="1"/>
    <n v="215.82"/>
    <n v="4"/>
    <s v="Apparel"/>
    <n v="17513"/>
    <s v="Brahmapur"/>
    <d v="2020-12-14T00:00:00"/>
    <n v="12"/>
    <n v="2020"/>
    <s v="South Asia"/>
    <x v="13"/>
    <s v="CLOSED"/>
    <s v="PENDING"/>
    <s v="Standard Class"/>
    <n v="215.82"/>
  </r>
  <r>
    <n v="73961"/>
    <s v="TRANSFER"/>
    <n v="2"/>
    <n v="4"/>
    <s v=" ONTIME"/>
    <n v="1363"/>
    <n v="1"/>
    <n v="215.82"/>
    <n v="4"/>
    <s v="Apparel"/>
    <n v="17514"/>
    <s v="Brahmapur"/>
    <d v="2020-12-14T00:00:00"/>
    <n v="12"/>
    <n v="2020"/>
    <s v="South Asia"/>
    <x v="13"/>
    <s v="PENDING"/>
    <s v="PENDING"/>
    <s v="Standard Class"/>
    <n v="215.82"/>
  </r>
  <r>
    <n v="73962"/>
    <s v="TRANSFER"/>
    <n v="3"/>
    <n v="4"/>
    <s v=" ONTIME"/>
    <n v="1363"/>
    <n v="1"/>
    <n v="215.82"/>
    <n v="4"/>
    <s v="Apparel"/>
    <n v="17515"/>
    <s v="Brahmapur"/>
    <d v="2020-12-14T00:00:00"/>
    <n v="12"/>
    <n v="2020"/>
    <s v="South Asia"/>
    <x v="13"/>
    <s v="PROCESSING"/>
    <s v="PENDING"/>
    <s v="Standard Class"/>
    <n v="215.82"/>
  </r>
  <r>
    <n v="73963"/>
    <s v="TRANSFER"/>
    <n v="4"/>
    <n v="4"/>
    <s v=" ONTIME"/>
    <n v="1363"/>
    <n v="1"/>
    <n v="215.82"/>
    <n v="4"/>
    <s v="Apparel"/>
    <n v="17516"/>
    <s v="Brahmapur"/>
    <d v="2020-12-14T00:00:00"/>
    <n v="12"/>
    <n v="2020"/>
    <s v="South Asia"/>
    <x v="13"/>
    <s v="PROCESSING"/>
    <s v="PENDING"/>
    <s v="Standard Class"/>
    <n v="215.82"/>
  </r>
  <r>
    <n v="73975"/>
    <s v="DEBIT"/>
    <n v="1"/>
    <n v="0"/>
    <s v="DELAYED"/>
    <n v="1346"/>
    <n v="1"/>
    <n v="31.08"/>
    <n v="8"/>
    <s v="Book Shop"/>
    <n v="17528"/>
    <s v="Bijapur"/>
    <d v="2020-12-14T00:00:00"/>
    <n v="12"/>
    <n v="2020"/>
    <s v="South Asia"/>
    <x v="8"/>
    <s v="COMPLETE"/>
    <s v="COMPLETED"/>
    <s v="Same Day"/>
    <n v="31.08"/>
  </r>
  <r>
    <n v="73976"/>
    <s v="DEBIT"/>
    <n v="1"/>
    <n v="0"/>
    <s v="DELAYED"/>
    <n v="1346"/>
    <n v="1"/>
    <n v="31.08"/>
    <n v="8"/>
    <s v="Book Shop"/>
    <n v="17529"/>
    <s v="Bijapur"/>
    <d v="2020-12-14T00:00:00"/>
    <n v="12"/>
    <n v="2020"/>
    <s v="South Asia"/>
    <x v="8"/>
    <s v="COMPLETE"/>
    <s v="COMPLETED"/>
    <s v="Same Day"/>
    <n v="31.08"/>
  </r>
  <r>
    <n v="73977"/>
    <s v="PAYMENT"/>
    <n v="1"/>
    <n v="0"/>
    <s v="DELAYED"/>
    <n v="1346"/>
    <n v="1"/>
    <n v="31.08"/>
    <n v="8"/>
    <s v="Book Shop"/>
    <n v="17530"/>
    <s v="Bijapur"/>
    <d v="2020-12-14T00:00:00"/>
    <n v="12"/>
    <n v="2020"/>
    <s v="South Asia"/>
    <x v="8"/>
    <s v="PENDING_PAYMENT"/>
    <s v="PENDING"/>
    <s v="Same Day"/>
    <n v="31.08"/>
  </r>
  <r>
    <n v="74000"/>
    <s v="DEBIT"/>
    <n v="0"/>
    <n v="0"/>
    <s v=" ONTIME"/>
    <n v="1346"/>
    <n v="1"/>
    <n v="31.08"/>
    <n v="8"/>
    <s v="Book Shop"/>
    <n v="17553"/>
    <s v="Nagpur"/>
    <d v="2020-12-15T00:00:00"/>
    <n v="12"/>
    <n v="2020"/>
    <s v="South Asia"/>
    <x v="0"/>
    <s v="COMPLETE"/>
    <s v="COMPLETED"/>
    <s v="Same Day"/>
    <n v="31.08"/>
  </r>
  <r>
    <n v="74001"/>
    <s v="TRANSFER"/>
    <n v="2"/>
    <n v="1"/>
    <s v="DELAYED"/>
    <n v="1346"/>
    <n v="1"/>
    <n v="31.08"/>
    <n v="8"/>
    <s v="Book Shop"/>
    <n v="17554"/>
    <s v="Nagpur"/>
    <d v="2020-12-15T00:00:00"/>
    <n v="12"/>
    <n v="2020"/>
    <s v="South Asia"/>
    <x v="0"/>
    <s v="PENDING"/>
    <s v="PENDING"/>
    <s v="First Class"/>
    <n v="31.08"/>
  </r>
  <r>
    <n v="74002"/>
    <s v="TRANSFER"/>
    <n v="2"/>
    <n v="1"/>
    <s v="DELAYED"/>
    <n v="1346"/>
    <n v="1"/>
    <n v="31.08"/>
    <n v="8"/>
    <s v="Book Shop"/>
    <n v="17555"/>
    <s v="Nagpur"/>
    <d v="2020-12-15T00:00:00"/>
    <n v="12"/>
    <n v="2020"/>
    <s v="South Asia"/>
    <x v="0"/>
    <s v="PENDING"/>
    <s v="PENDING"/>
    <s v="First Class"/>
    <n v="31.08"/>
  </r>
  <r>
    <n v="74007"/>
    <s v="TRANSFER"/>
    <n v="3"/>
    <n v="4"/>
    <s v=" ONTIME"/>
    <n v="1346"/>
    <n v="1"/>
    <n v="31.08"/>
    <n v="8"/>
    <s v="Book Shop"/>
    <n v="17560"/>
    <s v="Mysore"/>
    <d v="2020-12-15T00:00:00"/>
    <n v="12"/>
    <n v="2020"/>
    <s v="South Asia"/>
    <x v="8"/>
    <s v="PROCESSING"/>
    <s v="PENDING"/>
    <s v="Standard Class"/>
    <n v="31.08"/>
  </r>
  <r>
    <n v="74008"/>
    <s v="TRANSFER"/>
    <n v="4"/>
    <n v="4"/>
    <s v=" ONTIME"/>
    <n v="1346"/>
    <n v="1"/>
    <n v="31.08"/>
    <n v="8"/>
    <s v="Book Shop"/>
    <n v="17561"/>
    <s v="Mysore"/>
    <d v="2020-12-15T00:00:00"/>
    <n v="12"/>
    <n v="2020"/>
    <s v="South Asia"/>
    <x v="8"/>
    <s v="SUSPECTED_FRAUD"/>
    <s v="PENDING"/>
    <s v="Standard Class"/>
    <n v="31.08"/>
  </r>
  <r>
    <n v="74009"/>
    <s v="PAYMENT"/>
    <n v="5"/>
    <n v="4"/>
    <s v="DELAYED"/>
    <n v="1346"/>
    <n v="1"/>
    <n v="31.08"/>
    <n v="8"/>
    <s v="Book Shop"/>
    <n v="17562"/>
    <s v="Mysore"/>
    <d v="2020-12-15T00:00:00"/>
    <n v="12"/>
    <n v="2020"/>
    <s v="South Asia"/>
    <x v="8"/>
    <s v="PAYMENT_REVIEW"/>
    <s v="PENDING"/>
    <s v="Standard Class"/>
    <n v="31.08"/>
  </r>
  <r>
    <n v="74051"/>
    <s v="TRANSFER"/>
    <n v="2"/>
    <n v="4"/>
    <s v=" ONTIME"/>
    <n v="1346"/>
    <n v="1"/>
    <n v="31.08"/>
    <n v="8"/>
    <s v="Book Shop"/>
    <n v="17604"/>
    <s v="Durgapur"/>
    <d v="2020-12-15T00:00:00"/>
    <n v="12"/>
    <n v="2020"/>
    <s v="South Asia"/>
    <x v="0"/>
    <s v="PROCESSING"/>
    <s v="PENDING"/>
    <s v="Standard Class"/>
    <n v="31.08"/>
  </r>
  <r>
    <n v="74070"/>
    <s v="DEBIT"/>
    <n v="6"/>
    <n v="4"/>
    <s v="DELAYED"/>
    <n v="1346"/>
    <n v="1"/>
    <n v="31.08"/>
    <n v="8"/>
    <s v="Book Shop"/>
    <n v="17623"/>
    <s v="Ranchi"/>
    <d v="2020-12-16T00:00:00"/>
    <n v="12"/>
    <n v="2020"/>
    <s v="South Asia"/>
    <x v="12"/>
    <s v="COMPLETE"/>
    <s v="COMPLETED"/>
    <s v="Standard Class"/>
    <n v="31.08"/>
  </r>
  <r>
    <n v="74071"/>
    <s v="TRANSFER"/>
    <n v="2"/>
    <n v="4"/>
    <s v=" ONTIME"/>
    <n v="1346"/>
    <n v="1"/>
    <n v="31.08"/>
    <n v="8"/>
    <s v="Book Shop"/>
    <n v="17624"/>
    <s v="Ranchi"/>
    <d v="2020-12-16T00:00:00"/>
    <n v="12"/>
    <n v="2020"/>
    <s v="South Asia"/>
    <x v="12"/>
    <s v="SUSPECTED_FRAUD"/>
    <s v="PENDING"/>
    <s v="Standard Class"/>
    <n v="31.08"/>
  </r>
  <r>
    <n v="74072"/>
    <s v="PAYMENT"/>
    <n v="3"/>
    <n v="4"/>
    <s v=" ONTIME"/>
    <n v="1347"/>
    <n v="1"/>
    <n v="59.08"/>
    <n v="4"/>
    <s v="Apparel"/>
    <n v="17625"/>
    <s v="Pune"/>
    <d v="2020-12-16T00:00:00"/>
    <n v="12"/>
    <n v="2020"/>
    <s v="South Asia"/>
    <x v="0"/>
    <s v="PENDING_PAYMENT"/>
    <s v="PENDING"/>
    <s v="Standard Class"/>
    <n v="59.08"/>
  </r>
  <r>
    <n v="74079"/>
    <s v="TRANSFER"/>
    <n v="5"/>
    <n v="4"/>
    <s v="DELAYED"/>
    <n v="1347"/>
    <n v="1"/>
    <n v="59.08"/>
    <n v="4"/>
    <s v="Apparel"/>
    <n v="17632"/>
    <s v="Ludhiana"/>
    <d v="2020-12-16T00:00:00"/>
    <n v="12"/>
    <n v="2020"/>
    <s v="South Asia"/>
    <x v="16"/>
    <s v="SUSPECTED_FRAUD"/>
    <s v="PENDING"/>
    <s v="Standard Class"/>
    <n v="59.08"/>
  </r>
  <r>
    <n v="74080"/>
    <s v="PAYMENT"/>
    <n v="6"/>
    <n v="2"/>
    <s v="DELAYED"/>
    <n v="1347"/>
    <n v="1"/>
    <n v="59.08"/>
    <n v="4"/>
    <s v="Apparel"/>
    <n v="17633"/>
    <s v="Ludhiana"/>
    <d v="2020-12-16T00:00:00"/>
    <n v="12"/>
    <n v="2020"/>
    <s v="South Asia"/>
    <x v="16"/>
    <s v="PENDING_PAYMENT"/>
    <s v="PENDING"/>
    <s v="Second Class"/>
    <n v="59.08"/>
  </r>
  <r>
    <n v="74081"/>
    <s v="PAYMENT"/>
    <n v="2"/>
    <n v="2"/>
    <s v=" ONTIME"/>
    <n v="1347"/>
    <n v="1"/>
    <n v="59.08"/>
    <n v="4"/>
    <s v="Apparel"/>
    <n v="17634"/>
    <s v="Mumbai"/>
    <d v="2020-12-16T00:00:00"/>
    <n v="12"/>
    <n v="2020"/>
    <s v="South Asia"/>
    <x v="0"/>
    <s v="PENDING_PAYMENT"/>
    <s v="PENDING"/>
    <s v="Second Class"/>
    <n v="59.08"/>
  </r>
  <r>
    <n v="74087"/>
    <s v="TRANSFER"/>
    <n v="2"/>
    <n v="1"/>
    <s v="DELAYED"/>
    <n v="1347"/>
    <n v="1"/>
    <n v="59.08"/>
    <n v="4"/>
    <s v="Apparel"/>
    <n v="17640"/>
    <s v="Gorakhpur"/>
    <d v="2020-12-16T00:00:00"/>
    <n v="12"/>
    <n v="2020"/>
    <s v="South Asia"/>
    <x v="10"/>
    <s v="SUSPECTED_FRAUD"/>
    <s v="PENDING"/>
    <s v="First Class"/>
    <n v="59.08"/>
  </r>
  <r>
    <n v="74088"/>
    <s v="CASH"/>
    <n v="4"/>
    <n v="4"/>
    <s v=" ONTIME"/>
    <n v="1347"/>
    <n v="1"/>
    <n v="59.08"/>
    <n v="4"/>
    <s v="Apparel"/>
    <n v="17641"/>
    <s v="Chennai"/>
    <d v="2020-12-16T00:00:00"/>
    <n v="12"/>
    <n v="2020"/>
    <s v="South Asia"/>
    <x v="3"/>
    <s v="CLOSED"/>
    <s v="PENDING"/>
    <s v="Standard Class"/>
    <n v="59.08"/>
  </r>
  <r>
    <n v="74118"/>
    <s v="CASH"/>
    <n v="1"/>
    <n v="0"/>
    <s v="DELAYED"/>
    <n v="1347"/>
    <n v="1"/>
    <n v="59.08"/>
    <n v="4"/>
    <s v="Apparel"/>
    <n v="17671"/>
    <s v="Etawah"/>
    <d v="2020-12-16T00:00:00"/>
    <n v="12"/>
    <n v="2020"/>
    <s v="South Asia"/>
    <x v="1"/>
    <s v="CLOSED"/>
    <s v="PENDING"/>
    <s v="Same Day"/>
    <n v="59.08"/>
  </r>
  <r>
    <n v="74121"/>
    <s v="DEBIT"/>
    <n v="1"/>
    <n v="0"/>
    <s v="DELAYED"/>
    <n v="1347"/>
    <n v="1"/>
    <n v="59.08"/>
    <n v="4"/>
    <s v="Apparel"/>
    <n v="17674"/>
    <s v="Hyderabad"/>
    <d v="2020-12-16T00:00:00"/>
    <n v="12"/>
    <n v="2020"/>
    <s v="South Asia"/>
    <x v="7"/>
    <s v="ON_HOLD"/>
    <s v="PENDING"/>
    <s v="Same Day"/>
    <n v="59.08"/>
  </r>
  <r>
    <n v="74122"/>
    <s v="DEBIT"/>
    <n v="1"/>
    <n v="0"/>
    <s v="DELAYED"/>
    <n v="1347"/>
    <n v="1"/>
    <n v="59.08"/>
    <n v="4"/>
    <s v="Apparel"/>
    <n v="17675"/>
    <s v="Hyderabad"/>
    <d v="2020-12-16T00:00:00"/>
    <n v="12"/>
    <n v="2020"/>
    <s v="South Asia"/>
    <x v="7"/>
    <s v="COMPLETE"/>
    <s v="COMPLETED"/>
    <s v="Same Day"/>
    <n v="59.08"/>
  </r>
  <r>
    <n v="74193"/>
    <s v="DEBIT"/>
    <n v="4"/>
    <n v="4"/>
    <s v=" ONTIME"/>
    <n v="1347"/>
    <n v="1"/>
    <n v="59.08"/>
    <n v="4"/>
    <s v="Apparel"/>
    <n v="17746"/>
    <s v="Mangalore"/>
    <d v="2020-12-18T00:00:00"/>
    <n v="12"/>
    <n v="2020"/>
    <s v="South Asia"/>
    <x v="8"/>
    <s v="COMPLETE"/>
    <s v="COMPLETED"/>
    <s v="Standard Class"/>
    <n v="59.08"/>
  </r>
  <r>
    <n v="74194"/>
    <s v="DEBIT"/>
    <n v="5"/>
    <n v="4"/>
    <s v="DELAYED"/>
    <n v="1347"/>
    <n v="1"/>
    <n v="59.08"/>
    <n v="4"/>
    <s v="Apparel"/>
    <n v="17747"/>
    <s v="Mangalore"/>
    <d v="2020-12-18T00:00:00"/>
    <n v="12"/>
    <n v="2020"/>
    <s v="South Asia"/>
    <x v="8"/>
    <s v="COMPLETE"/>
    <s v="COMPLETED"/>
    <s v="Standard Class"/>
    <n v="59.08"/>
  </r>
  <r>
    <n v="74195"/>
    <s v="TRANSFER"/>
    <n v="6"/>
    <n v="4"/>
    <s v="DELAYED"/>
    <n v="1347"/>
    <n v="1"/>
    <n v="59.08"/>
    <n v="4"/>
    <s v="Apparel"/>
    <n v="17748"/>
    <s v="Mangalore"/>
    <d v="2020-12-18T00:00:00"/>
    <n v="12"/>
    <n v="2020"/>
    <s v="South Asia"/>
    <x v="8"/>
    <s v="PENDING"/>
    <s v="PENDING"/>
    <s v="Standard Class"/>
    <n v="59.08"/>
  </r>
  <r>
    <n v="74196"/>
    <s v="PAYMENT"/>
    <n v="2"/>
    <n v="4"/>
    <s v=" ONTIME"/>
    <n v="1347"/>
    <n v="1"/>
    <n v="59.08"/>
    <n v="4"/>
    <s v="Apparel"/>
    <n v="17749"/>
    <s v="Mangalore"/>
    <d v="2020-12-18T00:00:00"/>
    <n v="12"/>
    <n v="2020"/>
    <s v="South Asia"/>
    <x v="8"/>
    <s v="PENDING_PAYMENT"/>
    <s v="PENDING"/>
    <s v="Standard Class"/>
    <n v="59.08"/>
  </r>
  <r>
    <n v="74197"/>
    <s v="PAYMENT"/>
    <n v="3"/>
    <n v="4"/>
    <s v=" ONTIME"/>
    <n v="1348"/>
    <n v="1"/>
    <n v="11.29"/>
    <n v="9"/>
    <s v="Discs Shop"/>
    <n v="17750"/>
    <s v="Mangalore"/>
    <d v="2020-12-18T00:00:00"/>
    <n v="12"/>
    <n v="2020"/>
    <s v="South Asia"/>
    <x v="8"/>
    <s v="PENDING_PAYMENT"/>
    <s v="PENDING"/>
    <s v="Standard Class"/>
    <n v="11.29"/>
  </r>
  <r>
    <n v="74211"/>
    <s v="DEBIT"/>
    <n v="2"/>
    <n v="4"/>
    <s v=" ONTIME"/>
    <n v="1348"/>
    <n v="1"/>
    <n v="11.29"/>
    <n v="9"/>
    <s v="Discs Shop"/>
    <n v="17764"/>
    <s v="Patiala"/>
    <d v="2020-12-18T00:00:00"/>
    <n v="12"/>
    <n v="2020"/>
    <s v="South Asia"/>
    <x v="16"/>
    <s v="COMPLETE"/>
    <s v="COMPLETED"/>
    <s v="Standard Class"/>
    <n v="11.29"/>
  </r>
  <r>
    <n v="74212"/>
    <s v="TRANSFER"/>
    <n v="3"/>
    <n v="4"/>
    <s v=" ONTIME"/>
    <n v="1348"/>
    <n v="1"/>
    <n v="11.29"/>
    <n v="9"/>
    <s v="Discs Shop"/>
    <n v="17765"/>
    <s v="Patiala"/>
    <d v="2020-12-18T00:00:00"/>
    <n v="12"/>
    <n v="2020"/>
    <s v="South Asia"/>
    <x v="16"/>
    <s v="PROCESSING"/>
    <s v="PENDING"/>
    <s v="Standard Class"/>
    <n v="11.29"/>
  </r>
  <r>
    <n v="74224"/>
    <s v="DEBIT"/>
    <n v="0"/>
    <n v="0"/>
    <s v=" ONTIME"/>
    <n v="1348"/>
    <n v="1"/>
    <n v="11.29"/>
    <n v="9"/>
    <s v="Discs Shop"/>
    <n v="17777"/>
    <s v="Chandigarh"/>
    <d v="2020-12-18T00:00:00"/>
    <n v="12"/>
    <n v="2020"/>
    <s v="South Asia"/>
    <x v="22"/>
    <s v="COMPLETE"/>
    <s v="COMPLETED"/>
    <s v="Same Day"/>
    <n v="11.29"/>
  </r>
  <r>
    <n v="74225"/>
    <s v="CASH"/>
    <n v="2"/>
    <n v="1"/>
    <s v="DELAYED"/>
    <n v="1348"/>
    <n v="1"/>
    <n v="11.29"/>
    <n v="9"/>
    <s v="Discs Shop"/>
    <n v="17778"/>
    <s v="Chandigarh"/>
    <d v="2020-12-18T00:00:00"/>
    <n v="12"/>
    <n v="2020"/>
    <s v="South Asia"/>
    <x v="22"/>
    <s v="CLOSED"/>
    <s v="PENDING"/>
    <s v="First Class"/>
    <n v="11.29"/>
  </r>
  <r>
    <n v="74227"/>
    <s v="CASH"/>
    <n v="3"/>
    <n v="4"/>
    <s v=" ONTIME"/>
    <n v="1348"/>
    <n v="1"/>
    <n v="11.29"/>
    <n v="9"/>
    <s v="Discs Shop"/>
    <n v="17780"/>
    <s v="Brahmapur"/>
    <d v="2020-12-18T00:00:00"/>
    <n v="12"/>
    <n v="2020"/>
    <s v="South Asia"/>
    <x v="13"/>
    <s v="CLOSED"/>
    <s v="PENDING"/>
    <s v="Standard Class"/>
    <n v="11.29"/>
  </r>
  <r>
    <n v="74234"/>
    <s v="DEBIT"/>
    <n v="5"/>
    <n v="2"/>
    <s v="DELAYED"/>
    <n v="1348"/>
    <n v="1"/>
    <n v="11.29"/>
    <n v="9"/>
    <s v="Discs Shop"/>
    <n v="17787"/>
    <s v="Mumbai"/>
    <d v="2020-12-18T00:00:00"/>
    <n v="12"/>
    <n v="2020"/>
    <s v="South Asia"/>
    <x v="0"/>
    <s v="COMPLETE"/>
    <s v="COMPLETED"/>
    <s v="Second Class"/>
    <n v="11.29"/>
  </r>
  <r>
    <n v="74235"/>
    <s v="PAYMENT"/>
    <n v="6"/>
    <n v="2"/>
    <s v="DELAYED"/>
    <n v="1348"/>
    <n v="1"/>
    <n v="11.29"/>
    <n v="9"/>
    <s v="Discs Shop"/>
    <n v="17788"/>
    <s v="Mumbai"/>
    <d v="2020-12-18T00:00:00"/>
    <n v="12"/>
    <n v="2020"/>
    <s v="South Asia"/>
    <x v="0"/>
    <s v="PENDING_PAYMENT"/>
    <s v="PENDING"/>
    <s v="Second Class"/>
    <n v="11.29"/>
  </r>
  <r>
    <n v="74254"/>
    <s v="DEBIT"/>
    <n v="5"/>
    <n v="4"/>
    <s v="DELAYED"/>
    <n v="1348"/>
    <n v="1"/>
    <n v="11.29"/>
    <n v="9"/>
    <s v="Discs Shop"/>
    <n v="17807"/>
    <s v="Ajmer"/>
    <d v="2020-12-18T00:00:00"/>
    <n v="12"/>
    <n v="2020"/>
    <s v="South Asia"/>
    <x v="2"/>
    <s v="COMPLETE"/>
    <s v="COMPLETED"/>
    <s v="Standard Class"/>
    <n v="11.29"/>
  </r>
  <r>
    <n v="74255"/>
    <s v="DEBIT"/>
    <n v="6"/>
    <n v="4"/>
    <s v="DELAYED"/>
    <n v="1348"/>
    <n v="1"/>
    <n v="11.29"/>
    <n v="9"/>
    <s v="Discs Shop"/>
    <n v="17808"/>
    <s v="Ajmer"/>
    <d v="2020-12-18T00:00:00"/>
    <n v="12"/>
    <n v="2020"/>
    <s v="South Asia"/>
    <x v="2"/>
    <s v="COMPLETE"/>
    <s v="COMPLETED"/>
    <s v="Standard Class"/>
    <n v="11.29"/>
  </r>
  <r>
    <n v="74260"/>
    <s v="DEBIT"/>
    <n v="6"/>
    <n v="4"/>
    <s v="DELAYED"/>
    <n v="1348"/>
    <n v="1"/>
    <n v="11.29"/>
    <n v="9"/>
    <s v="Discs Shop"/>
    <n v="17813"/>
    <s v="Ludhiana"/>
    <d v="2020-12-19T00:00:00"/>
    <n v="12"/>
    <n v="2020"/>
    <s v="South Asia"/>
    <x v="16"/>
    <s v="ON_HOLD"/>
    <s v="PENDING"/>
    <s v="Standard Class"/>
    <n v="11.29"/>
  </r>
  <r>
    <n v="74268"/>
    <s v="PAYMENT"/>
    <n v="4"/>
    <n v="4"/>
    <s v=" ONTIME"/>
    <n v="1348"/>
    <n v="1"/>
    <n v="11.29"/>
    <n v="9"/>
    <s v="Discs Shop"/>
    <n v="17821"/>
    <s v="Meerut"/>
    <d v="2020-12-19T00:00:00"/>
    <n v="12"/>
    <n v="2020"/>
    <s v="South Asia"/>
    <x v="1"/>
    <s v="PENDING_PAYMENT"/>
    <s v="PENDING"/>
    <s v="Standard Class"/>
    <n v="11.29"/>
  </r>
  <r>
    <n v="74288"/>
    <s v="TRANSFER"/>
    <n v="4"/>
    <n v="4"/>
    <s v=" ONTIME"/>
    <n v="1348"/>
    <n v="1"/>
    <n v="11.29"/>
    <n v="9"/>
    <s v="Discs Shop"/>
    <n v="17841"/>
    <s v="Surat"/>
    <d v="2020-12-19T00:00:00"/>
    <n v="12"/>
    <n v="2020"/>
    <s v="South Asia"/>
    <x v="4"/>
    <s v="PROCESSING"/>
    <s v="PENDING"/>
    <s v="Standard Class"/>
    <n v="11.29"/>
  </r>
  <r>
    <n v="74289"/>
    <s v="DEBIT"/>
    <n v="5"/>
    <n v="4"/>
    <s v="DELAYED"/>
    <n v="1348"/>
    <n v="1"/>
    <n v="11.29"/>
    <n v="9"/>
    <s v="Discs Shop"/>
    <n v="17842"/>
    <s v="Surat"/>
    <d v="2020-12-19T00:00:00"/>
    <n v="12"/>
    <n v="2020"/>
    <s v="South Asia"/>
    <x v="4"/>
    <s v="COMPLETE"/>
    <s v="COMPLETED"/>
    <s v="Standard Class"/>
    <n v="11.29"/>
  </r>
  <r>
    <n v="74290"/>
    <s v="TRANSFER"/>
    <n v="2"/>
    <n v="1"/>
    <s v="DELAYED"/>
    <n v="1348"/>
    <n v="1"/>
    <n v="11.29"/>
    <n v="9"/>
    <s v="Discs Shop"/>
    <n v="17843"/>
    <s v="Surat"/>
    <d v="2020-12-19T00:00:00"/>
    <n v="12"/>
    <n v="2020"/>
    <s v="South Asia"/>
    <x v="4"/>
    <s v="PROCESSING"/>
    <s v="PENDING"/>
    <s v="First Class"/>
    <n v="11.29"/>
  </r>
  <r>
    <n v="74329"/>
    <s v="TRANSFER"/>
    <n v="2"/>
    <n v="1"/>
    <s v="DELAYED"/>
    <n v="1348"/>
    <n v="1"/>
    <n v="11.29"/>
    <n v="9"/>
    <s v="Discs Shop"/>
    <n v="17882"/>
    <s v="Visakhapatnam"/>
    <d v="2020-12-20T00:00:00"/>
    <n v="12"/>
    <n v="2020"/>
    <s v="South Asia"/>
    <x v="15"/>
    <s v="PROCESSING"/>
    <s v="PENDING"/>
    <s v="First Class"/>
    <n v="11.29"/>
  </r>
  <r>
    <n v="74330"/>
    <s v="DEBIT"/>
    <n v="2"/>
    <n v="1"/>
    <s v="DELAYED"/>
    <n v="1348"/>
    <n v="1"/>
    <n v="11.29"/>
    <n v="9"/>
    <s v="Discs Shop"/>
    <n v="17883"/>
    <s v="Visakhapatnam"/>
    <d v="2020-12-20T00:00:00"/>
    <n v="12"/>
    <n v="2020"/>
    <s v="South Asia"/>
    <x v="15"/>
    <s v="COMPLETE"/>
    <s v="COMPLETED"/>
    <s v="First Class"/>
    <n v="11.29"/>
  </r>
  <r>
    <n v="74331"/>
    <s v="CASH"/>
    <n v="2"/>
    <n v="1"/>
    <s v="DELAYED"/>
    <n v="1348"/>
    <n v="1"/>
    <n v="11.29"/>
    <n v="9"/>
    <s v="Discs Shop"/>
    <n v="17884"/>
    <s v="Visakhapatnam"/>
    <d v="2020-12-20T00:00:00"/>
    <n v="12"/>
    <n v="2020"/>
    <s v="South Asia"/>
    <x v="15"/>
    <s v="CLOSED"/>
    <s v="PENDING"/>
    <s v="First Class"/>
    <n v="11.29"/>
  </r>
  <r>
    <n v="74332"/>
    <s v="DEBIT"/>
    <n v="2"/>
    <n v="1"/>
    <s v="DELAYED"/>
    <n v="1348"/>
    <n v="1"/>
    <n v="11.29"/>
    <n v="9"/>
    <s v="Discs Shop"/>
    <n v="17885"/>
    <s v="Visakhapatnam"/>
    <d v="2020-12-20T00:00:00"/>
    <n v="12"/>
    <n v="2020"/>
    <s v="South Asia"/>
    <x v="15"/>
    <s v="COMPLETE"/>
    <s v="COMPLETED"/>
    <s v="First Class"/>
    <n v="11.29"/>
  </r>
  <r>
    <n v="74333"/>
    <s v="TRANSFER"/>
    <n v="2"/>
    <n v="1"/>
    <s v="DELAYED"/>
    <n v="1348"/>
    <n v="1"/>
    <n v="11.29"/>
    <n v="9"/>
    <s v="Discs Shop"/>
    <n v="17886"/>
    <s v="Visakhapatnam"/>
    <d v="2020-12-20T00:00:00"/>
    <n v="12"/>
    <n v="2020"/>
    <s v="South Asia"/>
    <x v="15"/>
    <s v="CANCELED"/>
    <s v="CANCELED"/>
    <s v="First Class"/>
    <n v="11.29"/>
  </r>
  <r>
    <n v="74334"/>
    <s v="DEBIT"/>
    <n v="2"/>
    <n v="1"/>
    <s v="DELAYED"/>
    <n v="1348"/>
    <n v="1"/>
    <n v="11.29"/>
    <n v="9"/>
    <s v="Discs Shop"/>
    <n v="17887"/>
    <s v="Visakhapatnam"/>
    <d v="2020-12-20T00:00:00"/>
    <n v="12"/>
    <n v="2020"/>
    <s v="South Asia"/>
    <x v="15"/>
    <s v="ON_HOLD"/>
    <s v="PENDING"/>
    <s v="First Class"/>
    <n v="11.29"/>
  </r>
  <r>
    <n v="74335"/>
    <s v="PAYMENT"/>
    <n v="2"/>
    <n v="1"/>
    <s v="DELAYED"/>
    <n v="1349"/>
    <n v="1"/>
    <n v="452.04"/>
    <n v="10"/>
    <s v="Technology"/>
    <n v="17888"/>
    <s v="Visakhapatnam"/>
    <d v="2020-12-20T00:00:00"/>
    <n v="12"/>
    <n v="2020"/>
    <s v="South Asia"/>
    <x v="15"/>
    <s v="PENDING_PAYMENT"/>
    <s v="PENDING"/>
    <s v="First Class"/>
    <n v="452.04"/>
  </r>
  <r>
    <n v="74336"/>
    <s v="CASH"/>
    <n v="2"/>
    <n v="1"/>
    <s v="DELAYED"/>
    <n v="1349"/>
    <n v="1"/>
    <n v="452.04"/>
    <n v="10"/>
    <s v="Technology"/>
    <n v="17889"/>
    <s v="Visakhapatnam"/>
    <d v="2020-12-20T00:00:00"/>
    <n v="12"/>
    <n v="2020"/>
    <s v="South Asia"/>
    <x v="15"/>
    <s v="CLOSED"/>
    <s v="PENDING"/>
    <s v="First Class"/>
    <n v="452.04"/>
  </r>
  <r>
    <n v="74337"/>
    <s v="DEBIT"/>
    <n v="3"/>
    <n v="4"/>
    <s v=" ONTIME"/>
    <n v="1349"/>
    <n v="1"/>
    <n v="452.04"/>
    <n v="10"/>
    <s v="Technology"/>
    <n v="17890"/>
    <s v="Visakhapatnam"/>
    <d v="2020-12-20T00:00:00"/>
    <n v="12"/>
    <n v="2020"/>
    <s v="South Asia"/>
    <x v="15"/>
    <s v="COMPLETE"/>
    <s v="COMPLETED"/>
    <s v="Standard Class"/>
    <n v="452.04"/>
  </r>
  <r>
    <n v="74360"/>
    <s v="DEBIT"/>
    <n v="6"/>
    <n v="2"/>
    <s v="DELAYED"/>
    <n v="1350"/>
    <n v="1"/>
    <n v="357.1"/>
    <n v="4"/>
    <s v="Apparel"/>
    <n v="17913"/>
    <s v="Panipat"/>
    <d v="2020-12-20T00:00:00"/>
    <n v="12"/>
    <n v="2020"/>
    <s v="South Asia"/>
    <x v="10"/>
    <s v="COMPLETE"/>
    <s v="COMPLETED"/>
    <s v="Second Class"/>
    <n v="357.1"/>
  </r>
  <r>
    <n v="74361"/>
    <s v="TRANSFER"/>
    <n v="2"/>
    <n v="4"/>
    <s v=" ONTIME"/>
    <n v="1350"/>
    <n v="1"/>
    <n v="357.1"/>
    <n v="4"/>
    <s v="Apparel"/>
    <n v="17914"/>
    <s v="Panipat"/>
    <d v="2020-12-20T00:00:00"/>
    <n v="12"/>
    <n v="2020"/>
    <s v="South Asia"/>
    <x v="10"/>
    <s v="PROCESSING"/>
    <s v="PENDING"/>
    <s v="Standard Class"/>
    <n v="357.1"/>
  </r>
  <r>
    <n v="74362"/>
    <s v="CASH"/>
    <n v="3"/>
    <n v="4"/>
    <s v=" ONTIME"/>
    <n v="1350"/>
    <n v="1"/>
    <n v="357.1"/>
    <n v="4"/>
    <s v="Apparel"/>
    <n v="17915"/>
    <s v="Ajmer"/>
    <d v="2020-12-20T00:00:00"/>
    <n v="12"/>
    <n v="2020"/>
    <s v="South Asia"/>
    <x v="2"/>
    <s v="CLOSED"/>
    <s v="PENDING"/>
    <s v="Standard Class"/>
    <n v="357.1"/>
  </r>
  <r>
    <n v="74363"/>
    <s v="DEBIT"/>
    <n v="4"/>
    <n v="4"/>
    <s v=" ONTIME"/>
    <n v="1350"/>
    <n v="1"/>
    <n v="357.1"/>
    <n v="4"/>
    <s v="Apparel"/>
    <n v="17916"/>
    <s v="Ajmer"/>
    <d v="2020-12-20T00:00:00"/>
    <n v="12"/>
    <n v="2020"/>
    <s v="South Asia"/>
    <x v="2"/>
    <s v="ON_HOLD"/>
    <s v="PENDING"/>
    <s v="Standard Class"/>
    <n v="357.1"/>
  </r>
  <r>
    <n v="74364"/>
    <s v="TRANSFER"/>
    <n v="5"/>
    <n v="4"/>
    <s v="DELAYED"/>
    <n v="1350"/>
    <n v="1"/>
    <n v="357.1"/>
    <n v="4"/>
    <s v="Apparel"/>
    <n v="17917"/>
    <s v="Ajmer"/>
    <d v="2020-12-20T00:00:00"/>
    <n v="12"/>
    <n v="2020"/>
    <s v="South Asia"/>
    <x v="2"/>
    <s v="PENDING"/>
    <s v="PENDING"/>
    <s v="Standard Class"/>
    <n v="357.1"/>
  </r>
  <r>
    <n v="74368"/>
    <s v="DEBIT"/>
    <n v="4"/>
    <n v="2"/>
    <s v="DELAYED"/>
    <n v="1350"/>
    <n v="1"/>
    <n v="357.1"/>
    <n v="4"/>
    <s v="Apparel"/>
    <n v="17921"/>
    <s v="Patiala"/>
    <d v="2020-12-20T00:00:00"/>
    <n v="12"/>
    <n v="2020"/>
    <s v="South Asia"/>
    <x v="16"/>
    <s v="COMPLETE"/>
    <s v="COMPLETED"/>
    <s v="Second Class"/>
    <n v="357.1"/>
  </r>
  <r>
    <n v="74369"/>
    <s v="DEBIT"/>
    <n v="5"/>
    <n v="2"/>
    <s v="DELAYED"/>
    <n v="1350"/>
    <n v="1"/>
    <n v="357.1"/>
    <n v="4"/>
    <s v="Apparel"/>
    <n v="17922"/>
    <s v="Patiala"/>
    <d v="2020-12-20T00:00:00"/>
    <n v="12"/>
    <n v="2020"/>
    <s v="South Asia"/>
    <x v="16"/>
    <s v="COMPLETE"/>
    <s v="COMPLETED"/>
    <s v="Second Class"/>
    <n v="357.1"/>
  </r>
  <r>
    <n v="74370"/>
    <s v="CASH"/>
    <n v="6"/>
    <n v="2"/>
    <s v="DELAYED"/>
    <n v="1350"/>
    <n v="1"/>
    <n v="357.1"/>
    <n v="4"/>
    <s v="Apparel"/>
    <n v="17923"/>
    <s v="Patiala"/>
    <d v="2020-12-20T00:00:00"/>
    <n v="12"/>
    <n v="2020"/>
    <s v="South Asia"/>
    <x v="16"/>
    <s v="CLOSED"/>
    <s v="PENDING"/>
    <s v="Second Class"/>
    <n v="357.1"/>
  </r>
  <r>
    <n v="74371"/>
    <s v="PAYMENT"/>
    <n v="2"/>
    <n v="2"/>
    <s v=" ONTIME"/>
    <n v="1350"/>
    <n v="1"/>
    <n v="357.1"/>
    <n v="4"/>
    <s v="Apparel"/>
    <n v="17924"/>
    <s v="Patiala"/>
    <d v="2020-12-20T00:00:00"/>
    <n v="12"/>
    <n v="2020"/>
    <s v="South Asia"/>
    <x v="16"/>
    <s v="PENDING_PAYMENT"/>
    <s v="PENDING"/>
    <s v="Second Class"/>
    <n v="357.1"/>
  </r>
  <r>
    <n v="74416"/>
    <s v="CASH"/>
    <n v="2"/>
    <n v="2"/>
    <s v=" ONTIME"/>
    <n v="1350"/>
    <n v="1"/>
    <n v="357.1"/>
    <n v="4"/>
    <s v="Apparel"/>
    <n v="17969"/>
    <s v="Pimpri"/>
    <d v="2020-12-21T00:00:00"/>
    <n v="12"/>
    <n v="2020"/>
    <s v="South Asia"/>
    <x v="0"/>
    <s v="CLOSED"/>
    <s v="PENDING"/>
    <s v="Second Class"/>
    <n v="357.1"/>
  </r>
  <r>
    <n v="74417"/>
    <s v="PAYMENT"/>
    <n v="3"/>
    <n v="2"/>
    <s v="DELAYED"/>
    <n v="1350"/>
    <n v="1"/>
    <n v="357.1"/>
    <n v="4"/>
    <s v="Apparel"/>
    <n v="17970"/>
    <s v="Pimpri"/>
    <d v="2020-12-21T00:00:00"/>
    <n v="12"/>
    <n v="2020"/>
    <s v="South Asia"/>
    <x v="0"/>
    <s v="PENDING_PAYMENT"/>
    <s v="PENDING"/>
    <s v="Second Class"/>
    <n v="357.1"/>
  </r>
  <r>
    <n v="74418"/>
    <s v="CASH"/>
    <n v="4"/>
    <n v="2"/>
    <s v="DELAYED"/>
    <n v="1350"/>
    <n v="1"/>
    <n v="357.1"/>
    <n v="4"/>
    <s v="Apparel"/>
    <n v="17971"/>
    <s v="Pimpri"/>
    <d v="2020-12-21T00:00:00"/>
    <n v="12"/>
    <n v="2020"/>
    <s v="South Asia"/>
    <x v="0"/>
    <s v="CLOSED"/>
    <s v="PENDING"/>
    <s v="Second Class"/>
    <n v="357.1"/>
  </r>
  <r>
    <n v="74419"/>
    <s v="DEBIT"/>
    <n v="5"/>
    <n v="4"/>
    <s v="DELAYED"/>
    <n v="1350"/>
    <n v="1"/>
    <n v="357.1"/>
    <n v="4"/>
    <s v="Apparel"/>
    <n v="17972"/>
    <s v="Pimpri"/>
    <d v="2020-12-21T00:00:00"/>
    <n v="12"/>
    <n v="2020"/>
    <s v="South Asia"/>
    <x v="0"/>
    <s v="COMPLETE"/>
    <s v="COMPLETED"/>
    <s v="Standard Class"/>
    <n v="357.1"/>
  </r>
  <r>
    <n v="74420"/>
    <s v="PAYMENT"/>
    <n v="6"/>
    <n v="4"/>
    <s v="DELAYED"/>
    <n v="1350"/>
    <n v="1"/>
    <n v="357.1"/>
    <n v="4"/>
    <s v="Apparel"/>
    <n v="17973"/>
    <s v="Pimpri"/>
    <d v="2020-12-21T00:00:00"/>
    <n v="12"/>
    <n v="2020"/>
    <s v="South Asia"/>
    <x v="0"/>
    <s v="PENDING_PAYMENT"/>
    <s v="PENDING"/>
    <s v="Standard Class"/>
    <n v="357.1"/>
  </r>
  <r>
    <n v="74421"/>
    <s v="TRANSFER"/>
    <n v="2"/>
    <n v="4"/>
    <s v=" ONTIME"/>
    <n v="1350"/>
    <n v="1"/>
    <n v="357.1"/>
    <n v="4"/>
    <s v="Apparel"/>
    <n v="17974"/>
    <s v="Pimpri"/>
    <d v="2020-12-21T00:00:00"/>
    <n v="12"/>
    <n v="2020"/>
    <s v="South Asia"/>
    <x v="0"/>
    <s v="PROCESSING"/>
    <s v="PENDING"/>
    <s v="Standard Class"/>
    <n v="357.1"/>
  </r>
  <r>
    <n v="74454"/>
    <s v="DEBIT"/>
    <n v="5"/>
    <n v="4"/>
    <s v="DELAYED"/>
    <n v="1350"/>
    <n v="1"/>
    <n v="357.1"/>
    <n v="4"/>
    <s v="Apparel"/>
    <n v="18007"/>
    <s v="Vijayawada"/>
    <d v="2020-12-21T00:00:00"/>
    <n v="12"/>
    <n v="2020"/>
    <s v="South Asia"/>
    <x v="15"/>
    <s v="COMPLETE"/>
    <s v="COMPLETED"/>
    <s v="Standard Class"/>
    <n v="357.1"/>
  </r>
  <r>
    <n v="74455"/>
    <s v="CASH"/>
    <n v="6"/>
    <n v="4"/>
    <s v="DELAYED"/>
    <n v="1350"/>
    <n v="1"/>
    <n v="357.1"/>
    <n v="4"/>
    <s v="Apparel"/>
    <n v="18008"/>
    <s v="Vijayawada"/>
    <d v="2020-12-21T00:00:00"/>
    <n v="12"/>
    <n v="2020"/>
    <s v="South Asia"/>
    <x v="15"/>
    <s v="CLOSED"/>
    <s v="PENDING"/>
    <s v="Standard Class"/>
    <n v="357.1"/>
  </r>
  <r>
    <n v="74456"/>
    <s v="PAYMENT"/>
    <n v="2"/>
    <n v="4"/>
    <s v=" ONTIME"/>
    <n v="1350"/>
    <n v="1"/>
    <n v="357.1"/>
    <n v="4"/>
    <s v="Apparel"/>
    <n v="18009"/>
    <s v="Vijayawada"/>
    <d v="2020-12-21T00:00:00"/>
    <n v="12"/>
    <n v="2020"/>
    <s v="South Asia"/>
    <x v="15"/>
    <s v="PENDING_PAYMENT"/>
    <s v="PENDING"/>
    <s v="Standard Class"/>
    <n v="357.1"/>
  </r>
  <r>
    <n v="74496"/>
    <s v="TRANSFER"/>
    <n v="2"/>
    <n v="4"/>
    <s v=" ONTIME"/>
    <n v="1351"/>
    <n v="1"/>
    <n v="1500"/>
    <n v="10"/>
    <s v="Technology"/>
    <n v="18049"/>
    <s v="Gulbarga"/>
    <d v="2020-12-22T00:00:00"/>
    <n v="12"/>
    <n v="2020"/>
    <s v="South Asia"/>
    <x v="8"/>
    <s v="PENDING"/>
    <s v="PENDING"/>
    <s v="Standard Class"/>
    <n v="1500"/>
  </r>
  <r>
    <n v="74502"/>
    <s v="DEBIT"/>
    <n v="3"/>
    <n v="2"/>
    <s v="DELAYED"/>
    <n v="1351"/>
    <n v="1"/>
    <n v="1500"/>
    <n v="10"/>
    <s v="Technology"/>
    <n v="18055"/>
    <s v="Kota"/>
    <d v="2020-12-22T00:00:00"/>
    <n v="12"/>
    <n v="2020"/>
    <s v="South Asia"/>
    <x v="18"/>
    <s v="COMPLETE"/>
    <s v="COMPLETED"/>
    <s v="Second Class"/>
    <n v="1500"/>
  </r>
  <r>
    <n v="74515"/>
    <s v="TRANSFER"/>
    <n v="6"/>
    <n v="2"/>
    <s v="DELAYED"/>
    <n v="1351"/>
    <n v="1"/>
    <n v="1500"/>
    <n v="10"/>
    <s v="Technology"/>
    <n v="18068"/>
    <s v="Lucknow"/>
    <d v="2020-12-22T00:00:00"/>
    <n v="12"/>
    <n v="2020"/>
    <s v="South Asia"/>
    <x v="1"/>
    <s v="PROCESSING"/>
    <s v="PENDING"/>
    <s v="Second Class"/>
    <n v="1500"/>
  </r>
  <r>
    <n v="74516"/>
    <s v="PAYMENT"/>
    <n v="2"/>
    <n v="2"/>
    <s v=" ONTIME"/>
    <n v="1351"/>
    <n v="1"/>
    <n v="1500"/>
    <n v="10"/>
    <s v="Technology"/>
    <n v="18069"/>
    <s v="Nizamabad"/>
    <d v="2020-12-22T00:00:00"/>
    <n v="12"/>
    <n v="2020"/>
    <s v="South Asia"/>
    <x v="7"/>
    <s v="PENDING_PAYMENT"/>
    <s v="PENDING"/>
    <s v="Second Class"/>
    <n v="1500"/>
  </r>
  <r>
    <n v="74534"/>
    <s v="DEBIT"/>
    <n v="5"/>
    <n v="2"/>
    <s v="DELAYED"/>
    <n v="1351"/>
    <n v="1"/>
    <n v="1500"/>
    <n v="10"/>
    <s v="Technology"/>
    <n v="18087"/>
    <s v="Surat"/>
    <d v="2020-12-23T00:00:00"/>
    <n v="12"/>
    <n v="2020"/>
    <s v="South Asia"/>
    <x v="4"/>
    <s v="COMPLETE"/>
    <s v="COMPLETED"/>
    <s v="Second Class"/>
    <n v="1500"/>
  </r>
  <r>
    <n v="74535"/>
    <s v="DEBIT"/>
    <n v="2"/>
    <n v="1"/>
    <s v="DELAYED"/>
    <n v="1351"/>
    <n v="1"/>
    <n v="1500"/>
    <n v="10"/>
    <s v="Technology"/>
    <n v="18088"/>
    <s v="Surat"/>
    <d v="2020-12-23T00:00:00"/>
    <n v="12"/>
    <n v="2020"/>
    <s v="South Asia"/>
    <x v="4"/>
    <s v="COMPLETE"/>
    <s v="COMPLETED"/>
    <s v="First Class"/>
    <n v="1500"/>
  </r>
  <r>
    <n v="74536"/>
    <s v="DEBIT"/>
    <n v="2"/>
    <n v="2"/>
    <s v=" ONTIME"/>
    <n v="1351"/>
    <n v="1"/>
    <n v="1500"/>
    <n v="10"/>
    <s v="Technology"/>
    <n v="18089"/>
    <s v="Surat"/>
    <d v="2020-12-23T00:00:00"/>
    <n v="12"/>
    <n v="2020"/>
    <s v="South Asia"/>
    <x v="4"/>
    <s v="COMPLETE"/>
    <s v="COMPLETED"/>
    <s v="Second Class"/>
    <n v="1500"/>
  </r>
  <r>
    <n v="74580"/>
    <s v="PAYMENT"/>
    <n v="6"/>
    <n v="4"/>
    <s v="DELAYED"/>
    <n v="1352"/>
    <n v="1"/>
    <n v="252.88"/>
    <n v="10"/>
    <s v="Technology"/>
    <n v="18133"/>
    <s v="Hyderabad"/>
    <d v="2020-12-23T00:00:00"/>
    <n v="12"/>
    <n v="2020"/>
    <s v="South Asia"/>
    <x v="7"/>
    <s v="PENDING_PAYMENT"/>
    <s v="PENDING"/>
    <s v="Standard Class"/>
    <n v="252.88"/>
  </r>
  <r>
    <n v="74590"/>
    <s v="TRANSFER"/>
    <n v="6"/>
    <n v="4"/>
    <s v="DELAYED"/>
    <n v="1352"/>
    <n v="1"/>
    <n v="252.88"/>
    <n v="10"/>
    <s v="Technology"/>
    <n v="18143"/>
    <s v="Hisar"/>
    <d v="2020-12-23T00:00:00"/>
    <n v="12"/>
    <n v="2020"/>
    <s v="South Asia"/>
    <x v="10"/>
    <s v="PENDING"/>
    <s v="PENDING"/>
    <s v="Standard Class"/>
    <n v="252.88"/>
  </r>
  <r>
    <n v="74591"/>
    <s v="DEBIT"/>
    <n v="2"/>
    <n v="4"/>
    <s v=" ONTIME"/>
    <n v="1352"/>
    <n v="1"/>
    <n v="252.88"/>
    <n v="10"/>
    <s v="Technology"/>
    <n v="18144"/>
    <s v="Hisar"/>
    <d v="2020-12-23T00:00:00"/>
    <n v="12"/>
    <n v="2020"/>
    <s v="South Asia"/>
    <x v="10"/>
    <s v="COMPLETE"/>
    <s v="COMPLETED"/>
    <s v="Standard Class"/>
    <n v="252.88"/>
  </r>
  <r>
    <n v="74615"/>
    <s v="PAYMENT"/>
    <n v="6"/>
    <n v="2"/>
    <s v="DELAYED"/>
    <n v="1352"/>
    <n v="1"/>
    <n v="252.88"/>
    <n v="10"/>
    <s v="Technology"/>
    <n v="18168"/>
    <s v="Cuttack"/>
    <d v="2020-12-24T00:00:00"/>
    <n v="12"/>
    <n v="2020"/>
    <s v="South Asia"/>
    <x v="13"/>
    <s v="PENDING_PAYMENT"/>
    <s v="PENDING"/>
    <s v="Second Class"/>
    <n v="252.88"/>
  </r>
  <r>
    <n v="74616"/>
    <s v="PAYMENT"/>
    <n v="2"/>
    <n v="4"/>
    <s v=" ONTIME"/>
    <n v="1352"/>
    <n v="1"/>
    <n v="252.88"/>
    <n v="10"/>
    <s v="Technology"/>
    <n v="18169"/>
    <s v="Cuttack"/>
    <d v="2020-12-24T00:00:00"/>
    <n v="12"/>
    <n v="2020"/>
    <s v="South Asia"/>
    <x v="13"/>
    <s v="PENDING_PAYMENT"/>
    <s v="PENDING"/>
    <s v="Standard Class"/>
    <n v="252.88"/>
  </r>
  <r>
    <n v="74617"/>
    <s v="CASH"/>
    <n v="3"/>
    <n v="4"/>
    <s v=" ONTIME"/>
    <n v="1352"/>
    <n v="1"/>
    <n v="252.88"/>
    <n v="10"/>
    <s v="Technology"/>
    <n v="18170"/>
    <s v="Cuttack"/>
    <d v="2020-12-24T00:00:00"/>
    <n v="12"/>
    <n v="2020"/>
    <s v="South Asia"/>
    <x v="13"/>
    <s v="CLOSED"/>
    <s v="PENDING"/>
    <s v="Standard Class"/>
    <n v="252.88"/>
  </r>
  <r>
    <n v="74620"/>
    <s v="DEBIT"/>
    <n v="6"/>
    <n v="4"/>
    <s v="DELAYED"/>
    <n v="1352"/>
    <n v="1"/>
    <n v="252.88"/>
    <n v="10"/>
    <s v="Technology"/>
    <n v="18173"/>
    <s v="Ludhiana"/>
    <d v="2020-12-24T00:00:00"/>
    <n v="12"/>
    <n v="2020"/>
    <s v="South Asia"/>
    <x v="16"/>
    <s v="COMPLETE"/>
    <s v="COMPLETED"/>
    <s v="Standard Class"/>
    <n v="252.88"/>
  </r>
  <r>
    <n v="74621"/>
    <s v="CASH"/>
    <n v="2"/>
    <n v="4"/>
    <s v=" ONTIME"/>
    <n v="1352"/>
    <n v="1"/>
    <n v="252.88"/>
    <n v="10"/>
    <s v="Technology"/>
    <n v="18174"/>
    <s v="Ludhiana"/>
    <d v="2020-12-24T00:00:00"/>
    <n v="12"/>
    <n v="2020"/>
    <s v="South Asia"/>
    <x v="16"/>
    <s v="CLOSED"/>
    <s v="PENDING"/>
    <s v="Standard Class"/>
    <n v="252.88"/>
  </r>
  <r>
    <n v="74647"/>
    <s v="CASH"/>
    <n v="3"/>
    <n v="4"/>
    <s v=" ONTIME"/>
    <n v="1352"/>
    <n v="1"/>
    <n v="252.88"/>
    <n v="10"/>
    <s v="Technology"/>
    <n v="18200"/>
    <s v="Mumbai"/>
    <d v="2020-12-24T00:00:00"/>
    <n v="12"/>
    <n v="2020"/>
    <s v="South Asia"/>
    <x v="0"/>
    <s v="CLOSED"/>
    <s v="PENDING"/>
    <s v="Standard Class"/>
    <n v="252.88"/>
  </r>
  <r>
    <n v="74648"/>
    <s v="CASH"/>
    <n v="4"/>
    <n v="4"/>
    <s v=" ONTIME"/>
    <n v="1352"/>
    <n v="1"/>
    <n v="252.88"/>
    <n v="10"/>
    <s v="Technology"/>
    <n v="18201"/>
    <s v="Mumbai"/>
    <d v="2020-12-24T00:00:00"/>
    <n v="12"/>
    <n v="2020"/>
    <s v="South Asia"/>
    <x v="0"/>
    <s v="CLOSED"/>
    <s v="PENDING"/>
    <s v="Standard Class"/>
    <n v="252.88"/>
  </r>
  <r>
    <n v="74649"/>
    <s v="PAYMENT"/>
    <n v="5"/>
    <n v="4"/>
    <s v="DELAYED"/>
    <n v="1352"/>
    <n v="1"/>
    <n v="252.88"/>
    <n v="10"/>
    <s v="Technology"/>
    <n v="18202"/>
    <s v="Kochi"/>
    <d v="2020-12-24T00:00:00"/>
    <n v="12"/>
    <n v="2020"/>
    <s v="South Asia"/>
    <x v="20"/>
    <s v="PENDING_PAYMENT"/>
    <s v="PENDING"/>
    <s v="Standard Class"/>
    <n v="252.88"/>
  </r>
  <r>
    <n v="74671"/>
    <s v="PAYMENT"/>
    <n v="2"/>
    <n v="4"/>
    <s v=" ONTIME"/>
    <n v="1352"/>
    <n v="1"/>
    <n v="252.88"/>
    <n v="10"/>
    <s v="Technology"/>
    <n v="18224"/>
    <s v="Delhi"/>
    <d v="2020-12-25T00:00:00"/>
    <n v="12"/>
    <n v="2020"/>
    <s v="South Asia"/>
    <x v="11"/>
    <s v="PENDING_PAYMENT"/>
    <s v="PENDING"/>
    <s v="Standard Class"/>
    <n v="252.88"/>
  </r>
  <r>
    <n v="74676"/>
    <s v="DEBIT"/>
    <n v="2"/>
    <n v="2"/>
    <s v=" ONTIME"/>
    <n v="1352"/>
    <n v="1"/>
    <n v="252.88"/>
    <n v="10"/>
    <s v="Technology"/>
    <n v="18229"/>
    <s v="Mysore"/>
    <d v="2020-12-25T00:00:00"/>
    <n v="12"/>
    <n v="2020"/>
    <s v="South Asia"/>
    <x v="8"/>
    <s v="COMPLETE"/>
    <s v="COMPLETED"/>
    <s v="Second Class"/>
    <n v="252.88"/>
  </r>
  <r>
    <n v="74677"/>
    <s v="DEBIT"/>
    <n v="2"/>
    <n v="1"/>
    <s v="DELAYED"/>
    <n v="1352"/>
    <n v="1"/>
    <n v="252.88"/>
    <n v="10"/>
    <s v="Technology"/>
    <n v="18230"/>
    <s v="Mysore"/>
    <d v="2020-12-25T00:00:00"/>
    <n v="12"/>
    <n v="2020"/>
    <s v="South Asia"/>
    <x v="8"/>
    <s v="COMPLETE"/>
    <s v="COMPLETED"/>
    <s v="First Class"/>
    <n v="252.88"/>
  </r>
  <r>
    <n v="74679"/>
    <s v="TRANSFER"/>
    <n v="5"/>
    <n v="4"/>
    <s v="DELAYED"/>
    <n v="1352"/>
    <n v="1"/>
    <n v="252.88"/>
    <n v="10"/>
    <s v="Technology"/>
    <n v="18232"/>
    <s v="Rajkot"/>
    <d v="2020-12-25T00:00:00"/>
    <n v="12"/>
    <n v="2020"/>
    <s v="South Asia"/>
    <x v="4"/>
    <s v="SUSPECTED_FRAUD"/>
    <s v="PENDING"/>
    <s v="Standard Class"/>
    <n v="252.88"/>
  </r>
  <r>
    <n v="74680"/>
    <s v="PAYMENT"/>
    <n v="6"/>
    <n v="4"/>
    <s v="DELAYED"/>
    <n v="1352"/>
    <n v="1"/>
    <n v="252.88"/>
    <n v="10"/>
    <s v="Technology"/>
    <n v="18233"/>
    <s v="Hubli"/>
    <d v="2020-12-25T00:00:00"/>
    <n v="12"/>
    <n v="2020"/>
    <s v="South Asia"/>
    <x v="8"/>
    <s v="PENDING_PAYMENT"/>
    <s v="PENDING"/>
    <s v="Standard Class"/>
    <n v="252.88"/>
  </r>
  <r>
    <n v="74681"/>
    <s v="DEBIT"/>
    <n v="2"/>
    <n v="4"/>
    <s v=" ONTIME"/>
    <n v="1352"/>
    <n v="1"/>
    <n v="252.88"/>
    <n v="10"/>
    <s v="Technology"/>
    <n v="18234"/>
    <s v="Hubli"/>
    <d v="2020-12-25T00:00:00"/>
    <n v="12"/>
    <n v="2020"/>
    <s v="South Asia"/>
    <x v="8"/>
    <s v="COMPLETE"/>
    <s v="COMPLETED"/>
    <s v="Standard Class"/>
    <n v="252.88"/>
  </r>
  <r>
    <n v="74682"/>
    <s v="CASH"/>
    <n v="3"/>
    <n v="4"/>
    <s v=" ONTIME"/>
    <n v="1352"/>
    <n v="1"/>
    <n v="252.88"/>
    <n v="10"/>
    <s v="Technology"/>
    <n v="18235"/>
    <s v="Hubli"/>
    <d v="2020-12-25T00:00:00"/>
    <n v="12"/>
    <n v="2020"/>
    <s v="South Asia"/>
    <x v="8"/>
    <s v="CLOSED"/>
    <s v="PENDING"/>
    <s v="Standard Class"/>
    <n v="252.88"/>
  </r>
  <r>
    <n v="74683"/>
    <s v="DEBIT"/>
    <n v="4"/>
    <n v="4"/>
    <s v=" ONTIME"/>
    <n v="1352"/>
    <n v="1"/>
    <n v="252.88"/>
    <n v="10"/>
    <s v="Technology"/>
    <n v="18236"/>
    <s v="Hubli"/>
    <d v="2020-12-25T00:00:00"/>
    <n v="12"/>
    <n v="2020"/>
    <s v="South Asia"/>
    <x v="8"/>
    <s v="COMPLETE"/>
    <s v="COMPLETED"/>
    <s v="Standard Class"/>
    <n v="252.88"/>
  </r>
  <r>
    <n v="74685"/>
    <s v="TRANSFER"/>
    <n v="6"/>
    <n v="2"/>
    <s v="DELAYED"/>
    <n v="1352"/>
    <n v="1"/>
    <n v="252.88"/>
    <n v="10"/>
    <s v="Technology"/>
    <n v="18238"/>
    <s v="Aligarh"/>
    <d v="2020-12-25T00:00:00"/>
    <n v="12"/>
    <n v="2020"/>
    <s v="South Asia"/>
    <x v="1"/>
    <s v="PENDING"/>
    <s v="PENDING"/>
    <s v="Second Class"/>
    <n v="252.88"/>
  </r>
  <r>
    <n v="74686"/>
    <s v="DEBIT"/>
    <n v="2"/>
    <n v="4"/>
    <s v=" ONTIME"/>
    <n v="1352"/>
    <n v="1"/>
    <n v="252.88"/>
    <n v="10"/>
    <s v="Technology"/>
    <n v="18239"/>
    <s v="Bellary"/>
    <d v="2020-12-25T00:00:00"/>
    <n v="12"/>
    <n v="2020"/>
    <s v="South Asia"/>
    <x v="8"/>
    <s v="COMPLETE"/>
    <s v="COMPLETED"/>
    <s v="Standard Class"/>
    <n v="252.88"/>
  </r>
  <r>
    <n v="74687"/>
    <s v="PAYMENT"/>
    <n v="3"/>
    <n v="4"/>
    <s v=" ONTIME"/>
    <n v="1352"/>
    <n v="1"/>
    <n v="252.88"/>
    <n v="10"/>
    <s v="Technology"/>
    <n v="18240"/>
    <s v="Faridabad"/>
    <d v="2020-12-25T00:00:00"/>
    <n v="12"/>
    <n v="2020"/>
    <s v="South Asia"/>
    <x v="10"/>
    <s v="PENDING_PAYMENT"/>
    <s v="PENDING"/>
    <s v="Standard Class"/>
    <n v="252.88"/>
  </r>
  <r>
    <n v="74688"/>
    <s v="DEBIT"/>
    <n v="4"/>
    <n v="4"/>
    <s v=" ONTIME"/>
    <n v="1352"/>
    <n v="1"/>
    <n v="252.88"/>
    <n v="10"/>
    <s v="Technology"/>
    <n v="18241"/>
    <s v="Faridabad"/>
    <d v="2020-12-25T00:00:00"/>
    <n v="12"/>
    <n v="2020"/>
    <s v="South Asia"/>
    <x v="10"/>
    <s v="COMPLETE"/>
    <s v="COMPLETED"/>
    <s v="Standard Class"/>
    <n v="252.88"/>
  </r>
  <r>
    <n v="74694"/>
    <s v="CASH"/>
    <n v="5"/>
    <n v="2"/>
    <s v="DELAYED"/>
    <n v="1352"/>
    <n v="1"/>
    <n v="252.88"/>
    <n v="10"/>
    <s v="Technology"/>
    <n v="18247"/>
    <s v="Agra"/>
    <d v="2020-12-25T00:00:00"/>
    <n v="12"/>
    <n v="2020"/>
    <s v="South Asia"/>
    <x v="1"/>
    <s v="CLOSED"/>
    <s v="PENDING"/>
    <s v="Second Class"/>
    <n v="252.88"/>
  </r>
  <r>
    <n v="74695"/>
    <s v="PAYMENT"/>
    <n v="6"/>
    <n v="2"/>
    <s v="DELAYED"/>
    <n v="1352"/>
    <n v="1"/>
    <n v="252.88"/>
    <n v="10"/>
    <s v="Technology"/>
    <n v="18248"/>
    <s v="Agra"/>
    <d v="2020-12-25T00:00:00"/>
    <n v="12"/>
    <n v="2020"/>
    <s v="South Asia"/>
    <x v="1"/>
    <s v="PENDING_PAYMENT"/>
    <s v="PENDING"/>
    <s v="Second Class"/>
    <n v="252.88"/>
  </r>
  <r>
    <n v="74696"/>
    <s v="DEBIT"/>
    <n v="2"/>
    <n v="4"/>
    <s v=" ONTIME"/>
    <n v="1352"/>
    <n v="1"/>
    <n v="252.88"/>
    <n v="10"/>
    <s v="Technology"/>
    <n v="18249"/>
    <s v="Agra"/>
    <d v="2020-12-25T00:00:00"/>
    <n v="12"/>
    <n v="2020"/>
    <s v="South Asia"/>
    <x v="1"/>
    <s v="COMPLETE"/>
    <s v="COMPLETED"/>
    <s v="Standard Class"/>
    <n v="252.88"/>
  </r>
  <r>
    <n v="74697"/>
    <s v="DEBIT"/>
    <n v="3"/>
    <n v="2"/>
    <s v="DELAYED"/>
    <n v="1352"/>
    <n v="1"/>
    <n v="252.88"/>
    <n v="10"/>
    <s v="Technology"/>
    <n v="18250"/>
    <s v="Agra"/>
    <d v="2020-12-25T00:00:00"/>
    <n v="12"/>
    <n v="2020"/>
    <s v="South Asia"/>
    <x v="1"/>
    <s v="COMPLETE"/>
    <s v="COMPLETED"/>
    <s v="Second Class"/>
    <n v="252.88"/>
  </r>
  <r>
    <n v="74708"/>
    <s v="CASH"/>
    <n v="1"/>
    <n v="0"/>
    <s v="DELAYED"/>
    <n v="1352"/>
    <n v="1"/>
    <n v="252.88"/>
    <n v="10"/>
    <s v="Technology"/>
    <n v="18261"/>
    <s v="Jaipur"/>
    <d v="2020-12-25T00:00:00"/>
    <n v="12"/>
    <n v="2020"/>
    <s v="South Asia"/>
    <x v="2"/>
    <s v="CLOSED"/>
    <s v="PENDING"/>
    <s v="Same Day"/>
    <n v="252.88"/>
  </r>
  <r>
    <n v="74709"/>
    <s v="TRANSFER"/>
    <n v="1"/>
    <n v="0"/>
    <s v="DELAYED"/>
    <n v="1352"/>
    <n v="1"/>
    <n v="252.88"/>
    <n v="10"/>
    <s v="Technology"/>
    <n v="18262"/>
    <s v="Jaipur"/>
    <d v="2020-12-25T00:00:00"/>
    <n v="12"/>
    <n v="2020"/>
    <s v="South Asia"/>
    <x v="2"/>
    <s v="PENDING"/>
    <s v="PENDING"/>
    <s v="Same Day"/>
    <n v="252.88"/>
  </r>
  <r>
    <n v="74729"/>
    <s v="PAYMENT"/>
    <n v="2"/>
    <n v="1"/>
    <s v="DELAYED"/>
    <n v="1353"/>
    <n v="1"/>
    <n v="461.48"/>
    <n v="4"/>
    <s v="Apparel"/>
    <n v="18282"/>
    <s v="Jodhpur"/>
    <d v="2020-12-25T00:00:00"/>
    <n v="12"/>
    <n v="2020"/>
    <s v="South Asia"/>
    <x v="2"/>
    <s v="PENDING_PAYMENT"/>
    <s v="PENDING"/>
    <s v="First Class"/>
    <n v="461.48"/>
  </r>
  <r>
    <n v="74730"/>
    <s v="CASH"/>
    <n v="6"/>
    <n v="2"/>
    <s v="DELAYED"/>
    <n v="1353"/>
    <n v="1"/>
    <n v="461.48"/>
    <n v="4"/>
    <s v="Apparel"/>
    <n v="18283"/>
    <s v="Jodhpur"/>
    <d v="2020-12-25T00:00:00"/>
    <n v="12"/>
    <n v="2020"/>
    <s v="South Asia"/>
    <x v="2"/>
    <s v="CLOSED"/>
    <s v="PENDING"/>
    <s v="Second Class"/>
    <n v="461.48"/>
  </r>
  <r>
    <n v="74733"/>
    <s v="DEBIT"/>
    <n v="2"/>
    <n v="1"/>
    <s v="DELAYED"/>
    <n v="1353"/>
    <n v="1"/>
    <n v="461.48"/>
    <n v="4"/>
    <s v="Apparel"/>
    <n v="18286"/>
    <s v="Bokaro"/>
    <d v="2020-12-25T00:00:00"/>
    <n v="12"/>
    <n v="2020"/>
    <s v="South Asia"/>
    <x v="12"/>
    <s v="COMPLETE"/>
    <s v="COMPLETED"/>
    <s v="First Class"/>
    <n v="461.48"/>
  </r>
  <r>
    <n v="74747"/>
    <s v="DEBIT"/>
    <n v="2"/>
    <n v="1"/>
    <s v="DELAYED"/>
    <n v="1353"/>
    <n v="1"/>
    <n v="461.48"/>
    <n v="4"/>
    <s v="Apparel"/>
    <n v="18300"/>
    <s v="Bhiwandi"/>
    <d v="2020-12-26T00:00:00"/>
    <n v="12"/>
    <n v="2020"/>
    <s v="South Asia"/>
    <x v="0"/>
    <s v="COMPLETE"/>
    <s v="COMPLETED"/>
    <s v="First Class"/>
    <n v="461.48"/>
  </r>
  <r>
    <n v="74756"/>
    <s v="DEBIT"/>
    <n v="2"/>
    <n v="4"/>
    <s v=" ONTIME"/>
    <n v="1353"/>
    <n v="1"/>
    <n v="461.48"/>
    <n v="4"/>
    <s v="Apparel"/>
    <n v="18309"/>
    <s v="Visakhapatnam"/>
    <d v="2020-12-26T00:00:00"/>
    <n v="12"/>
    <n v="2020"/>
    <s v="South Asia"/>
    <x v="15"/>
    <s v="COMPLETE"/>
    <s v="COMPLETED"/>
    <s v="Standard Class"/>
    <n v="461.48"/>
  </r>
  <r>
    <n v="74760"/>
    <s v="DEBIT"/>
    <n v="2"/>
    <n v="1"/>
    <s v="DELAYED"/>
    <n v="1353"/>
    <n v="1"/>
    <n v="461.48"/>
    <n v="4"/>
    <s v="Apparel"/>
    <n v="18313"/>
    <s v="Mumbai"/>
    <d v="2020-12-26T00:00:00"/>
    <n v="12"/>
    <n v="2020"/>
    <s v="South Asia"/>
    <x v="0"/>
    <s v="ON_HOLD"/>
    <s v="PENDING"/>
    <s v="First Class"/>
    <n v="461.48"/>
  </r>
  <r>
    <n v="74805"/>
    <s v="CASH"/>
    <n v="6"/>
    <n v="4"/>
    <s v="DELAYED"/>
    <n v="1353"/>
    <n v="1"/>
    <n v="461.48"/>
    <n v="4"/>
    <s v="Apparel"/>
    <n v="18358"/>
    <s v="Gorakhpur"/>
    <d v="2020-12-26T00:00:00"/>
    <n v="12"/>
    <n v="2020"/>
    <s v="South Asia"/>
    <x v="10"/>
    <s v="CLOSED"/>
    <s v="PENDING"/>
    <s v="Standard Class"/>
    <n v="461.48"/>
  </r>
  <r>
    <n v="74806"/>
    <s v="TRANSFER"/>
    <n v="2"/>
    <n v="2"/>
    <s v=" ONTIME"/>
    <n v="1353"/>
    <n v="1"/>
    <n v="461.48"/>
    <n v="4"/>
    <s v="Apparel"/>
    <n v="18359"/>
    <s v="Gorakhpur"/>
    <d v="2020-12-26T00:00:00"/>
    <n v="12"/>
    <n v="2020"/>
    <s v="South Asia"/>
    <x v="10"/>
    <s v="PENDING"/>
    <s v="PENDING"/>
    <s v="Second Class"/>
    <n v="461.48"/>
  </r>
  <r>
    <n v="74807"/>
    <s v="TRANSFER"/>
    <n v="3"/>
    <n v="2"/>
    <s v="DELAYED"/>
    <n v="1353"/>
    <n v="1"/>
    <n v="461.48"/>
    <n v="4"/>
    <s v="Apparel"/>
    <n v="18360"/>
    <s v="Gorakhpur"/>
    <d v="2020-12-26T00:00:00"/>
    <n v="12"/>
    <n v="2020"/>
    <s v="South Asia"/>
    <x v="10"/>
    <s v="PENDING"/>
    <s v="PENDING"/>
    <s v="Second Class"/>
    <n v="461.48"/>
  </r>
  <r>
    <n v="74808"/>
    <s v="CASH"/>
    <n v="4"/>
    <n v="4"/>
    <s v=" ONTIME"/>
    <n v="1353"/>
    <n v="1"/>
    <n v="461.48"/>
    <n v="4"/>
    <s v="Apparel"/>
    <n v="18361"/>
    <s v="Varanasi"/>
    <d v="2020-12-27T00:00:00"/>
    <n v="12"/>
    <n v="2020"/>
    <s v="South Asia"/>
    <x v="1"/>
    <s v="CLOSED"/>
    <s v="PENDING"/>
    <s v="Standard Class"/>
    <n v="461.48"/>
  </r>
  <r>
    <n v="74820"/>
    <s v="PAYMENT"/>
    <n v="2"/>
    <n v="1"/>
    <s v="DELAYED"/>
    <n v="1353"/>
    <n v="1"/>
    <n v="461.48"/>
    <n v="4"/>
    <s v="Apparel"/>
    <n v="18373"/>
    <s v="Bhavnagar"/>
    <d v="2020-12-27T00:00:00"/>
    <n v="12"/>
    <n v="2020"/>
    <s v="South Asia"/>
    <x v="4"/>
    <s v="PENDING_PAYMENT"/>
    <s v="PENDING"/>
    <s v="First Class"/>
    <n v="461.48"/>
  </r>
  <r>
    <n v="74821"/>
    <s v="DEBIT"/>
    <n v="2"/>
    <n v="4"/>
    <s v=" ONTIME"/>
    <n v="1353"/>
    <n v="1"/>
    <n v="461.48"/>
    <n v="4"/>
    <s v="Apparel"/>
    <n v="18374"/>
    <s v="Bhavnagar"/>
    <d v="2020-12-27T00:00:00"/>
    <n v="12"/>
    <n v="2020"/>
    <s v="South Asia"/>
    <x v="4"/>
    <s v="COMPLETE"/>
    <s v="COMPLETED"/>
    <s v="Standard Class"/>
    <n v="461.48"/>
  </r>
  <r>
    <n v="74822"/>
    <s v="PAYMENT"/>
    <n v="3"/>
    <n v="4"/>
    <s v=" ONTIME"/>
    <n v="1353"/>
    <n v="1"/>
    <n v="461.48"/>
    <n v="4"/>
    <s v="Apparel"/>
    <n v="18375"/>
    <s v="Bhavnagar"/>
    <d v="2020-12-27T00:00:00"/>
    <n v="12"/>
    <n v="2020"/>
    <s v="South Asia"/>
    <x v="4"/>
    <s v="PENDING_PAYMENT"/>
    <s v="PENDING"/>
    <s v="Standard Class"/>
    <n v="461.48"/>
  </r>
  <r>
    <n v="74823"/>
    <s v="TRANSFER"/>
    <n v="4"/>
    <n v="4"/>
    <s v=" ONTIME"/>
    <n v="1353"/>
    <n v="1"/>
    <n v="461.48"/>
    <n v="4"/>
    <s v="Apparel"/>
    <n v="18376"/>
    <s v="Bhavnagar"/>
    <d v="2020-12-27T00:00:00"/>
    <n v="12"/>
    <n v="2020"/>
    <s v="South Asia"/>
    <x v="4"/>
    <s v="PENDING"/>
    <s v="PENDING"/>
    <s v="Standard Class"/>
    <n v="461.48"/>
  </r>
  <r>
    <n v="74847"/>
    <s v="DEBIT"/>
    <n v="2"/>
    <n v="1"/>
    <s v="DELAYED"/>
    <n v="1353"/>
    <n v="1"/>
    <n v="461.48"/>
    <n v="4"/>
    <s v="Apparel"/>
    <n v="18400"/>
    <s v="Lucknow"/>
    <d v="2020-12-27T00:00:00"/>
    <n v="12"/>
    <n v="2020"/>
    <s v="South Asia"/>
    <x v="1"/>
    <s v="ON_HOLD"/>
    <s v="PENDING"/>
    <s v="First Class"/>
    <n v="461.48"/>
  </r>
  <r>
    <n v="74866"/>
    <s v="DEBIT"/>
    <n v="2"/>
    <n v="2"/>
    <s v=" ONTIME"/>
    <n v="1353"/>
    <n v="1"/>
    <n v="461.48"/>
    <n v="4"/>
    <s v="Apparel"/>
    <n v="18419"/>
    <s v="Ichalkaranji"/>
    <d v="2020-12-27T00:00:00"/>
    <n v="12"/>
    <n v="2020"/>
    <s v="South Asia"/>
    <x v="0"/>
    <s v="COMPLETE"/>
    <s v="COMPLETED"/>
    <s v="Second Class"/>
    <n v="461.48"/>
  </r>
  <r>
    <n v="74869"/>
    <s v="DEBIT"/>
    <n v="5"/>
    <n v="2"/>
    <s v="DELAYED"/>
    <n v="1353"/>
    <n v="1"/>
    <n v="461.48"/>
    <n v="4"/>
    <s v="Apparel"/>
    <n v="18422"/>
    <s v="Bangalore"/>
    <d v="2020-12-27T00:00:00"/>
    <n v="12"/>
    <n v="2020"/>
    <s v="South Asia"/>
    <x v="8"/>
    <s v="COMPLETE"/>
    <s v="COMPLETED"/>
    <s v="Second Class"/>
    <n v="461.48"/>
  </r>
  <r>
    <n v="74880"/>
    <s v="TRANSFER"/>
    <n v="6"/>
    <n v="2"/>
    <s v="DELAYED"/>
    <n v="1353"/>
    <n v="1"/>
    <n v="461.48"/>
    <n v="4"/>
    <s v="Apparel"/>
    <n v="18433"/>
    <s v="Pimpri"/>
    <d v="2020-12-28T00:00:00"/>
    <n v="12"/>
    <n v="2020"/>
    <s v="South Asia"/>
    <x v="0"/>
    <s v="PENDING"/>
    <s v="PENDING"/>
    <s v="Second Class"/>
    <n v="461.48"/>
  </r>
  <r>
    <n v="74881"/>
    <s v="CASH"/>
    <n v="2"/>
    <n v="1"/>
    <s v="DELAYED"/>
    <n v="1353"/>
    <n v="1"/>
    <n v="461.48"/>
    <n v="4"/>
    <s v="Apparel"/>
    <n v="18434"/>
    <s v="Pimpri"/>
    <d v="2020-12-28T00:00:00"/>
    <n v="12"/>
    <n v="2020"/>
    <s v="South Asia"/>
    <x v="0"/>
    <s v="CLOSED"/>
    <s v="PENDING"/>
    <s v="First Class"/>
    <n v="461.48"/>
  </r>
  <r>
    <n v="74882"/>
    <s v="TRANSFER"/>
    <n v="2"/>
    <n v="1"/>
    <s v="DELAYED"/>
    <n v="1353"/>
    <n v="1"/>
    <n v="461.48"/>
    <n v="4"/>
    <s v="Apparel"/>
    <n v="18435"/>
    <s v="Pimpri"/>
    <d v="2020-12-28T00:00:00"/>
    <n v="12"/>
    <n v="2020"/>
    <s v="South Asia"/>
    <x v="0"/>
    <s v="SUSPECTED_FRAUD"/>
    <s v="PENDING"/>
    <s v="First Class"/>
    <n v="461.48"/>
  </r>
  <r>
    <n v="74883"/>
    <s v="PAYMENT"/>
    <n v="2"/>
    <n v="1"/>
    <s v="DELAYED"/>
    <n v="1353"/>
    <n v="1"/>
    <n v="461.48"/>
    <n v="4"/>
    <s v="Apparel"/>
    <n v="18436"/>
    <s v="Pimpri"/>
    <d v="2020-12-28T00:00:00"/>
    <n v="12"/>
    <n v="2020"/>
    <s v="South Asia"/>
    <x v="0"/>
    <s v="PENDING_PAYMENT"/>
    <s v="PENDING"/>
    <s v="First Class"/>
    <n v="461.48"/>
  </r>
  <r>
    <n v="74928"/>
    <s v="CASH"/>
    <n v="4"/>
    <n v="2"/>
    <s v="DELAYED"/>
    <n v="1353"/>
    <n v="1"/>
    <n v="461.48"/>
    <n v="4"/>
    <s v="Apparel"/>
    <n v="18481"/>
    <s v="Jaipur"/>
    <d v="2020-12-28T00:00:00"/>
    <n v="12"/>
    <n v="2020"/>
    <s v="South Asia"/>
    <x v="2"/>
    <s v="CLOSED"/>
    <s v="PENDING"/>
    <s v="Second Class"/>
    <n v="461.48"/>
  </r>
  <r>
    <n v="74933"/>
    <s v="TRANSFER"/>
    <n v="2"/>
    <n v="1"/>
    <s v="DELAYED"/>
    <n v="1353"/>
    <n v="1"/>
    <n v="461.48"/>
    <n v="4"/>
    <s v="Apparel"/>
    <n v="18486"/>
    <s v="Satna"/>
    <d v="2020-12-28T00:00:00"/>
    <n v="12"/>
    <n v="2020"/>
    <s v="South Asia"/>
    <x v="14"/>
    <s v="PROCESSING"/>
    <s v="PENDING"/>
    <s v="First Class"/>
    <n v="461.48"/>
  </r>
  <r>
    <n v="74934"/>
    <s v="TRANSFER"/>
    <n v="2"/>
    <n v="1"/>
    <s v="DELAYED"/>
    <n v="1353"/>
    <n v="1"/>
    <n v="461.48"/>
    <n v="4"/>
    <s v="Apparel"/>
    <n v="18487"/>
    <s v="Satna"/>
    <d v="2020-12-28T00:00:00"/>
    <n v="12"/>
    <n v="2020"/>
    <s v="South Asia"/>
    <x v="14"/>
    <s v="PENDING"/>
    <s v="PENDING"/>
    <s v="First Class"/>
    <n v="461.48"/>
  </r>
  <r>
    <n v="74935"/>
    <s v="PAYMENT"/>
    <n v="2"/>
    <n v="1"/>
    <s v="DELAYED"/>
    <n v="1353"/>
    <n v="1"/>
    <n v="461.48"/>
    <n v="4"/>
    <s v="Apparel"/>
    <n v="18488"/>
    <s v="Satna"/>
    <d v="2020-12-28T00:00:00"/>
    <n v="12"/>
    <n v="2020"/>
    <s v="South Asia"/>
    <x v="14"/>
    <s v="PENDING_PAYMENT"/>
    <s v="PENDING"/>
    <s v="First Class"/>
    <n v="461.48"/>
  </r>
  <r>
    <n v="74936"/>
    <s v="DEBIT"/>
    <n v="2"/>
    <n v="4"/>
    <s v=" ONTIME"/>
    <n v="1353"/>
    <n v="1"/>
    <n v="461.48"/>
    <n v="4"/>
    <s v="Apparel"/>
    <n v="18489"/>
    <s v="Satna"/>
    <d v="2020-12-28T00:00:00"/>
    <n v="12"/>
    <n v="2020"/>
    <s v="South Asia"/>
    <x v="14"/>
    <s v="COMPLETE"/>
    <s v="COMPLETED"/>
    <s v="Standard Class"/>
    <n v="461.48"/>
  </r>
  <r>
    <n v="74939"/>
    <s v="DEBIT"/>
    <n v="5"/>
    <n v="4"/>
    <s v="DELAYED"/>
    <n v="1353"/>
    <n v="1"/>
    <n v="461.48"/>
    <n v="4"/>
    <s v="Apparel"/>
    <n v="18492"/>
    <s v="Belgaum"/>
    <d v="2020-12-28T00:00:00"/>
    <n v="12"/>
    <n v="2020"/>
    <s v="South Asia"/>
    <x v="8"/>
    <s v="ON_HOLD"/>
    <s v="PENDING"/>
    <s v="Standard Class"/>
    <n v="461.48"/>
  </r>
  <r>
    <n v="74940"/>
    <s v="TRANSFER"/>
    <n v="6"/>
    <n v="4"/>
    <s v="DELAYED"/>
    <n v="1353"/>
    <n v="1"/>
    <n v="461.48"/>
    <n v="4"/>
    <s v="Apparel"/>
    <n v="18493"/>
    <s v="Belgaum"/>
    <d v="2020-12-28T00:00:00"/>
    <n v="12"/>
    <n v="2020"/>
    <s v="South Asia"/>
    <x v="8"/>
    <s v="PROCESSING"/>
    <s v="PENDING"/>
    <s v="Standard Class"/>
    <n v="461.48"/>
  </r>
  <r>
    <n v="74941"/>
    <s v="DEBIT"/>
    <n v="2"/>
    <n v="4"/>
    <s v=" ONTIME"/>
    <n v="1353"/>
    <n v="1"/>
    <n v="461.48"/>
    <n v="4"/>
    <s v="Apparel"/>
    <n v="18494"/>
    <s v="Belgaum"/>
    <d v="2020-12-28T00:00:00"/>
    <n v="12"/>
    <n v="2020"/>
    <s v="South Asia"/>
    <x v="8"/>
    <s v="COMPLETE"/>
    <s v="COMPLETED"/>
    <s v="Standard Class"/>
    <n v="461.48"/>
  </r>
  <r>
    <n v="74949"/>
    <s v="TRANSFER"/>
    <n v="2"/>
    <n v="1"/>
    <s v="DELAYED"/>
    <n v="1353"/>
    <n v="1"/>
    <n v="461.48"/>
    <n v="4"/>
    <s v="Apparel"/>
    <n v="18502"/>
    <s v="Visakhapatnam"/>
    <d v="2020-12-29T00:00:00"/>
    <n v="12"/>
    <n v="2020"/>
    <s v="South Asia"/>
    <x v="15"/>
    <s v="CANCELED"/>
    <s v="CANCELED"/>
    <s v="First Class"/>
    <n v="461.48"/>
  </r>
  <r>
    <n v="74950"/>
    <s v="TRANSFER"/>
    <n v="6"/>
    <n v="4"/>
    <s v="DELAYED"/>
    <n v="1353"/>
    <n v="1"/>
    <n v="461.48"/>
    <n v="4"/>
    <s v="Apparel"/>
    <n v="18503"/>
    <s v="Visakhapatnam"/>
    <d v="2020-12-29T00:00:00"/>
    <n v="12"/>
    <n v="2020"/>
    <s v="South Asia"/>
    <x v="15"/>
    <s v="SUSPECTED_FRAUD"/>
    <s v="PENDING"/>
    <s v="Standard Class"/>
    <n v="461.48"/>
  </r>
  <r>
    <n v="74956"/>
    <s v="PAYMENT"/>
    <n v="2"/>
    <n v="4"/>
    <s v=" ONTIME"/>
    <n v="1353"/>
    <n v="1"/>
    <n v="461.48"/>
    <n v="4"/>
    <s v="Apparel"/>
    <n v="18509"/>
    <s v="Ganganagar"/>
    <d v="2020-12-29T00:00:00"/>
    <n v="12"/>
    <n v="2020"/>
    <s v="South Asia"/>
    <x v="2"/>
    <s v="PENDING_PAYMENT"/>
    <s v="PENDING"/>
    <s v="Standard Class"/>
    <n v="461.48"/>
  </r>
  <r>
    <n v="74957"/>
    <s v="DEBIT"/>
    <n v="3"/>
    <n v="4"/>
    <s v=" ONTIME"/>
    <n v="1353"/>
    <n v="1"/>
    <n v="461.48"/>
    <n v="4"/>
    <s v="Apparel"/>
    <n v="18510"/>
    <s v="Ganganagar"/>
    <d v="2020-12-29T00:00:00"/>
    <n v="12"/>
    <n v="2020"/>
    <s v="South Asia"/>
    <x v="2"/>
    <s v="COMPLETE"/>
    <s v="COMPLETED"/>
    <s v="Standard Class"/>
    <n v="461.48"/>
  </r>
  <r>
    <n v="74958"/>
    <s v="DEBIT"/>
    <n v="4"/>
    <n v="4"/>
    <s v=" ONTIME"/>
    <n v="1353"/>
    <n v="1"/>
    <n v="461.48"/>
    <n v="4"/>
    <s v="Apparel"/>
    <n v="18511"/>
    <s v="Ganganagar"/>
    <d v="2020-12-29T00:00:00"/>
    <n v="12"/>
    <n v="2020"/>
    <s v="South Asia"/>
    <x v="2"/>
    <s v="COMPLETE"/>
    <s v="COMPLETED"/>
    <s v="Standard Class"/>
    <n v="461.48"/>
  </r>
  <r>
    <n v="74959"/>
    <s v="CASH"/>
    <n v="2"/>
    <n v="1"/>
    <s v="DELAYED"/>
    <n v="1353"/>
    <n v="1"/>
    <n v="461.48"/>
    <n v="4"/>
    <s v="Apparel"/>
    <n v="18512"/>
    <s v="Ganganagar"/>
    <d v="2020-12-29T00:00:00"/>
    <n v="12"/>
    <n v="2020"/>
    <s v="South Asia"/>
    <x v="2"/>
    <s v="CLOSED"/>
    <s v="PENDING"/>
    <s v="First Class"/>
    <n v="461.48"/>
  </r>
  <r>
    <n v="74960"/>
    <s v="CASH"/>
    <n v="6"/>
    <n v="2"/>
    <s v="DELAYED"/>
    <n v="1353"/>
    <n v="1"/>
    <n v="461.48"/>
    <n v="4"/>
    <s v="Apparel"/>
    <n v="18513"/>
    <s v="Ganganagar"/>
    <d v="2020-12-29T00:00:00"/>
    <n v="12"/>
    <n v="2020"/>
    <s v="South Asia"/>
    <x v="2"/>
    <s v="CLOSED"/>
    <s v="PENDING"/>
    <s v="Second Class"/>
    <n v="461.48"/>
  </r>
  <r>
    <n v="74962"/>
    <s v="DEBIT"/>
    <n v="3"/>
    <n v="4"/>
    <s v=" ONTIME"/>
    <n v="1353"/>
    <n v="1"/>
    <n v="461.48"/>
    <n v="4"/>
    <s v="Apparel"/>
    <n v="18515"/>
    <s v="Bhiwandi"/>
    <d v="2020-12-29T00:00:00"/>
    <n v="12"/>
    <n v="2020"/>
    <s v="South Asia"/>
    <x v="0"/>
    <s v="COMPLETE"/>
    <s v="COMPLETED"/>
    <s v="Standard Class"/>
    <n v="461.48"/>
  </r>
  <r>
    <n v="74963"/>
    <s v="TRANSFER"/>
    <n v="4"/>
    <n v="4"/>
    <s v=" ONTIME"/>
    <n v="1353"/>
    <n v="1"/>
    <n v="461.48"/>
    <n v="4"/>
    <s v="Apparel"/>
    <n v="18516"/>
    <s v="Bhiwandi"/>
    <d v="2020-12-29T00:00:00"/>
    <n v="12"/>
    <n v="2020"/>
    <s v="South Asia"/>
    <x v="0"/>
    <s v="PROCESSING"/>
    <s v="PENDING"/>
    <s v="Standard Class"/>
    <n v="461.48"/>
  </r>
  <r>
    <n v="74964"/>
    <s v="TRANSFER"/>
    <n v="5"/>
    <n v="4"/>
    <s v="DELAYED"/>
    <n v="1353"/>
    <n v="1"/>
    <n v="461.48"/>
    <n v="4"/>
    <s v="Apparel"/>
    <n v="18517"/>
    <s v="Bhiwandi"/>
    <d v="2020-12-29T00:00:00"/>
    <n v="12"/>
    <n v="2020"/>
    <s v="South Asia"/>
    <x v="0"/>
    <s v="PENDING"/>
    <s v="PENDING"/>
    <s v="Standard Class"/>
    <n v="461.48"/>
  </r>
  <r>
    <n v="74969"/>
    <s v="DEBIT"/>
    <n v="5"/>
    <n v="2"/>
    <s v="DELAYED"/>
    <n v="1353"/>
    <n v="1"/>
    <n v="461.48"/>
    <n v="4"/>
    <s v="Apparel"/>
    <n v="18522"/>
    <s v="Vijayawada"/>
    <d v="2020-12-29T00:00:00"/>
    <n v="12"/>
    <n v="2020"/>
    <s v="South Asia"/>
    <x v="15"/>
    <s v="COMPLETE"/>
    <s v="COMPLETED"/>
    <s v="Second Class"/>
    <n v="461.48"/>
  </r>
  <r>
    <n v="74970"/>
    <s v="DEBIT"/>
    <n v="6"/>
    <n v="2"/>
    <s v="DELAYED"/>
    <n v="1353"/>
    <n v="1"/>
    <n v="461.48"/>
    <n v="4"/>
    <s v="Apparel"/>
    <n v="18523"/>
    <s v="Vijayawada"/>
    <d v="2020-12-29T00:00:00"/>
    <n v="12"/>
    <n v="2020"/>
    <s v="South Asia"/>
    <x v="15"/>
    <s v="COMPLETE"/>
    <s v="COMPLETED"/>
    <s v="Second Class"/>
    <n v="461.48"/>
  </r>
  <r>
    <n v="74971"/>
    <s v="DEBIT"/>
    <n v="2"/>
    <n v="4"/>
    <s v=" ONTIME"/>
    <n v="1353"/>
    <n v="1"/>
    <n v="461.48"/>
    <n v="4"/>
    <s v="Apparel"/>
    <n v="18524"/>
    <s v="Vijayawada"/>
    <d v="2020-12-29T00:00:00"/>
    <n v="12"/>
    <n v="2020"/>
    <s v="South Asia"/>
    <x v="15"/>
    <s v="COMPLETE"/>
    <s v="COMPLETED"/>
    <s v="Standard Class"/>
    <n v="461.48"/>
  </r>
  <r>
    <n v="74972"/>
    <s v="CASH"/>
    <n v="3"/>
    <n v="4"/>
    <s v=" ONTIME"/>
    <n v="1353"/>
    <n v="1"/>
    <n v="461.48"/>
    <n v="4"/>
    <s v="Apparel"/>
    <n v="18525"/>
    <s v="Vijayawada"/>
    <d v="2020-12-29T00:00:00"/>
    <n v="12"/>
    <n v="2020"/>
    <s v="South Asia"/>
    <x v="15"/>
    <s v="CLOSED"/>
    <s v="PENDING"/>
    <s v="Standard Class"/>
    <n v="461.48"/>
  </r>
  <r>
    <n v="74973"/>
    <s v="DEBIT"/>
    <n v="4"/>
    <n v="4"/>
    <s v=" ONTIME"/>
    <n v="1354"/>
    <n v="1"/>
    <n v="164.38"/>
    <n v="9"/>
    <s v="Discs Shop"/>
    <n v="18526"/>
    <s v="Vijayawada"/>
    <d v="2020-12-29T00:00:00"/>
    <n v="12"/>
    <n v="2020"/>
    <s v="South Asia"/>
    <x v="15"/>
    <s v="COMPLETE"/>
    <s v="COMPLETED"/>
    <s v="Standard Class"/>
    <n v="164.38"/>
  </r>
  <r>
    <n v="74974"/>
    <s v="PAYMENT"/>
    <n v="5"/>
    <n v="4"/>
    <s v="DELAYED"/>
    <n v="1354"/>
    <n v="1"/>
    <n v="164.38"/>
    <n v="9"/>
    <s v="Discs Shop"/>
    <n v="18527"/>
    <s v="Pune"/>
    <d v="2020-12-29T00:00:00"/>
    <n v="12"/>
    <n v="2020"/>
    <s v="South Asia"/>
    <x v="0"/>
    <s v="PENDING_PAYMENT"/>
    <s v="PENDING"/>
    <s v="Standard Class"/>
    <n v="164.38"/>
  </r>
  <r>
    <n v="74997"/>
    <s v="TRANSFER"/>
    <n v="2"/>
    <n v="1"/>
    <s v="DELAYED"/>
    <n v="1354"/>
    <n v="1"/>
    <n v="164.38"/>
    <n v="9"/>
    <s v="Discs Shop"/>
    <n v="18550"/>
    <s v="Mumbai"/>
    <d v="2020-12-29T00:00:00"/>
    <n v="12"/>
    <n v="2020"/>
    <s v="South Asia"/>
    <x v="0"/>
    <s v="PENDING"/>
    <s v="PENDING"/>
    <s v="First Class"/>
    <n v="164.38"/>
  </r>
  <r>
    <n v="75002"/>
    <s v="DEBIT"/>
    <n v="3"/>
    <n v="2"/>
    <s v="DELAYED"/>
    <n v="1354"/>
    <n v="1"/>
    <n v="164.38"/>
    <n v="9"/>
    <s v="Discs Shop"/>
    <n v="18555"/>
    <s v="Korba"/>
    <d v="2020-12-29T00:00:00"/>
    <n v="12"/>
    <n v="2020"/>
    <s v="South Asia"/>
    <x v="18"/>
    <s v="COMPLETE"/>
    <s v="COMPLETED"/>
    <s v="Second Class"/>
    <n v="164.38"/>
  </r>
  <r>
    <n v="75003"/>
    <s v="PAYMENT"/>
    <n v="4"/>
    <n v="2"/>
    <s v="DELAYED"/>
    <n v="1354"/>
    <n v="1"/>
    <n v="164.38"/>
    <n v="9"/>
    <s v="Discs Shop"/>
    <n v="18556"/>
    <s v="Korba"/>
    <d v="2020-12-29T00:00:00"/>
    <n v="12"/>
    <n v="2020"/>
    <s v="South Asia"/>
    <x v="18"/>
    <s v="PENDING_PAYMENT"/>
    <s v="PENDING"/>
    <s v="Second Class"/>
    <n v="164.38"/>
  </r>
  <r>
    <n v="75004"/>
    <s v="CASH"/>
    <n v="5"/>
    <n v="4"/>
    <s v="DELAYED"/>
    <n v="1354"/>
    <n v="1"/>
    <n v="164.38"/>
    <n v="9"/>
    <s v="Discs Shop"/>
    <n v="18557"/>
    <s v="Korba"/>
    <d v="2020-12-29T00:00:00"/>
    <n v="12"/>
    <n v="2020"/>
    <s v="South Asia"/>
    <x v="18"/>
    <s v="CLOSED"/>
    <s v="PENDING"/>
    <s v="Standard Class"/>
    <n v="164.38"/>
  </r>
  <r>
    <n v="75005"/>
    <s v="PAYMENT"/>
    <n v="6"/>
    <n v="2"/>
    <s v="DELAYED"/>
    <n v="1354"/>
    <n v="1"/>
    <n v="164.38"/>
    <n v="9"/>
    <s v="Discs Shop"/>
    <n v="18558"/>
    <s v="Korba"/>
    <d v="2020-12-29T00:00:00"/>
    <n v="12"/>
    <n v="2020"/>
    <s v="South Asia"/>
    <x v="18"/>
    <s v="PENDING_PAYMENT"/>
    <s v="PENDING"/>
    <s v="Second Class"/>
    <n v="164.38"/>
  </r>
  <r>
    <n v="75006"/>
    <s v="DEBIT"/>
    <n v="2"/>
    <n v="4"/>
    <s v=" ONTIME"/>
    <n v="1354"/>
    <n v="1"/>
    <n v="164.38"/>
    <n v="9"/>
    <s v="Discs Shop"/>
    <n v="18559"/>
    <s v="Korba"/>
    <d v="2020-12-29T00:00:00"/>
    <n v="12"/>
    <n v="2020"/>
    <s v="South Asia"/>
    <x v="18"/>
    <s v="COMPLETE"/>
    <s v="COMPLETED"/>
    <s v="Standard Class"/>
    <n v="164.38"/>
  </r>
  <r>
    <n v="75007"/>
    <s v="TRANSFER"/>
    <n v="3"/>
    <n v="4"/>
    <s v=" ONTIME"/>
    <n v="1354"/>
    <n v="1"/>
    <n v="164.38"/>
    <n v="9"/>
    <s v="Discs Shop"/>
    <n v="18560"/>
    <s v="Ranchi"/>
    <d v="2020-12-29T00:00:00"/>
    <n v="12"/>
    <n v="2020"/>
    <s v="South Asia"/>
    <x v="12"/>
    <s v="PROCESSING"/>
    <s v="PENDING"/>
    <s v="Standard Class"/>
    <n v="164.38"/>
  </r>
  <r>
    <n v="75013"/>
    <s v="PAYMENT"/>
    <n v="2"/>
    <n v="1"/>
    <s v="DELAYED"/>
    <n v="1354"/>
    <n v="1"/>
    <n v="164.38"/>
    <n v="9"/>
    <s v="Discs Shop"/>
    <n v="18566"/>
    <s v="Ranchi"/>
    <d v="2020-12-30T00:00:00"/>
    <n v="12"/>
    <n v="2020"/>
    <s v="South Asia"/>
    <x v="12"/>
    <s v="PENDING_PAYMENT"/>
    <s v="PENDING"/>
    <s v="First Class"/>
    <n v="164.38"/>
  </r>
  <r>
    <n v="75014"/>
    <s v="DEBIT"/>
    <n v="2"/>
    <n v="1"/>
    <s v="DELAYED"/>
    <n v="1354"/>
    <n v="1"/>
    <n v="164.38"/>
    <n v="9"/>
    <s v="Discs Shop"/>
    <n v="18567"/>
    <s v="Ranchi"/>
    <d v="2020-12-30T00:00:00"/>
    <n v="12"/>
    <n v="2020"/>
    <s v="South Asia"/>
    <x v="12"/>
    <s v="COMPLETE"/>
    <s v="COMPLETED"/>
    <s v="First Class"/>
    <n v="164.38"/>
  </r>
  <r>
    <n v="75015"/>
    <s v="PAYMENT"/>
    <n v="6"/>
    <n v="2"/>
    <s v="DELAYED"/>
    <n v="1354"/>
    <n v="1"/>
    <n v="164.38"/>
    <n v="9"/>
    <s v="Discs Shop"/>
    <n v="18568"/>
    <s v="Ranchi"/>
    <d v="2020-12-30T00:00:00"/>
    <n v="12"/>
    <n v="2020"/>
    <s v="South Asia"/>
    <x v="12"/>
    <s v="PENDING_PAYMENT"/>
    <s v="PENDING"/>
    <s v="Second Class"/>
    <n v="164.38"/>
  </r>
  <r>
    <n v="75059"/>
    <s v="PAYMENT"/>
    <n v="5"/>
    <n v="4"/>
    <s v="DELAYED"/>
    <n v="1354"/>
    <n v="1"/>
    <n v="164.38"/>
    <n v="9"/>
    <s v="Discs Shop"/>
    <n v="18612"/>
    <s v="Bangalore"/>
    <d v="2020-12-30T00:00:00"/>
    <n v="12"/>
    <n v="2020"/>
    <s v="South Asia"/>
    <x v="8"/>
    <s v="PENDING_PAYMENT"/>
    <s v="PENDING"/>
    <s v="Standard Class"/>
    <n v="164.38"/>
  </r>
  <r>
    <n v="75121"/>
    <s v="PAYMENT"/>
    <n v="2"/>
    <n v="4"/>
    <s v=" ONTIME"/>
    <n v="1355"/>
    <n v="1"/>
    <n v="532.58000000000004"/>
    <n v="6"/>
    <s v="Outdoors"/>
    <n v="18674"/>
    <s v="Kollam"/>
    <d v="2020-12-31T00:00:00"/>
    <n v="12"/>
    <n v="2020"/>
    <s v="South Asia"/>
    <x v="20"/>
    <s v="PENDING_PAYMENT"/>
    <s v="PENDING"/>
    <s v="Standard Class"/>
    <n v="532.58000000000004"/>
  </r>
  <r>
    <n v="75122"/>
    <s v="DEBIT"/>
    <n v="3"/>
    <n v="4"/>
    <s v=" ONTIME"/>
    <n v="1355"/>
    <n v="1"/>
    <n v="532.58000000000004"/>
    <n v="6"/>
    <s v="Outdoors"/>
    <n v="18675"/>
    <s v="Kollam"/>
    <d v="2020-12-31T00:00:00"/>
    <n v="12"/>
    <n v="2020"/>
    <s v="South Asia"/>
    <x v="20"/>
    <s v="ON_HOLD"/>
    <s v="PENDING"/>
    <s v="Standard Class"/>
    <n v="532.58000000000004"/>
  </r>
  <r>
    <n v="75124"/>
    <s v="DEBIT"/>
    <n v="2"/>
    <n v="1"/>
    <s v="DELAYED"/>
    <n v="1355"/>
    <n v="1"/>
    <n v="532.58000000000004"/>
    <n v="6"/>
    <s v="Outdoors"/>
    <n v="18677"/>
    <s v="Surat"/>
    <d v="2020-12-31T00:00:00"/>
    <n v="12"/>
    <n v="2020"/>
    <s v="South Asia"/>
    <x v="4"/>
    <s v="COMPLETE"/>
    <s v="COMPLETED"/>
    <s v="First Class"/>
    <n v="532.58000000000004"/>
  </r>
  <r>
    <n v="75125"/>
    <s v="CASH"/>
    <n v="2"/>
    <n v="1"/>
    <s v="DELAYED"/>
    <n v="1355"/>
    <n v="1"/>
    <n v="532.58000000000004"/>
    <n v="6"/>
    <s v="Outdoors"/>
    <n v="18678"/>
    <s v="Surat"/>
    <d v="2020-12-31T00:00:00"/>
    <n v="12"/>
    <n v="2020"/>
    <s v="South Asia"/>
    <x v="4"/>
    <s v="CLOSED"/>
    <s v="PENDING"/>
    <s v="First Class"/>
    <n v="532.58000000000004"/>
  </r>
  <r>
    <n v="75126"/>
    <s v="PAYMENT"/>
    <n v="2"/>
    <n v="1"/>
    <s v="DELAYED"/>
    <n v="1355"/>
    <n v="1"/>
    <n v="532.58000000000004"/>
    <n v="6"/>
    <s v="Outdoors"/>
    <n v="18679"/>
    <s v="Surat"/>
    <d v="2020-12-31T00:00:00"/>
    <n v="12"/>
    <n v="2020"/>
    <s v="South Asia"/>
    <x v="4"/>
    <s v="PENDING_PAYMENT"/>
    <s v="PENDING"/>
    <s v="First Class"/>
    <n v="532.58000000000004"/>
  </r>
  <r>
    <n v="75127"/>
    <s v="TRANSFER"/>
    <n v="2"/>
    <n v="1"/>
    <s v="DELAYED"/>
    <n v="1355"/>
    <n v="1"/>
    <n v="532.58000000000004"/>
    <n v="6"/>
    <s v="Outdoors"/>
    <n v="18680"/>
    <s v="Surat"/>
    <d v="2020-12-31T00:00:00"/>
    <n v="12"/>
    <n v="2020"/>
    <s v="South Asia"/>
    <x v="4"/>
    <s v="PENDING"/>
    <s v="PENDING"/>
    <s v="First Class"/>
    <n v="532.58000000000004"/>
  </r>
  <r>
    <n v="75128"/>
    <s v="TRANSFER"/>
    <n v="4"/>
    <n v="2"/>
    <s v="DELAYED"/>
    <n v="1355"/>
    <n v="1"/>
    <n v="532.58000000000004"/>
    <n v="6"/>
    <s v="Outdoors"/>
    <n v="18681"/>
    <s v="Surat"/>
    <d v="2020-12-31T00:00:00"/>
    <n v="12"/>
    <n v="2020"/>
    <s v="South Asia"/>
    <x v="4"/>
    <s v="PROCESSING"/>
    <s v="PENDING"/>
    <s v="Second Class"/>
    <n v="532.58000000000004"/>
  </r>
  <r>
    <n v="75129"/>
    <s v="DEBIT"/>
    <n v="2"/>
    <n v="1"/>
    <s v="DELAYED"/>
    <n v="1355"/>
    <n v="1"/>
    <n v="532.58000000000004"/>
    <n v="6"/>
    <s v="Outdoors"/>
    <n v="18682"/>
    <s v="Surat"/>
    <d v="2020-12-31T00:00:00"/>
    <n v="12"/>
    <n v="2020"/>
    <s v="South Asia"/>
    <x v="4"/>
    <s v="COMPLETE"/>
    <s v="COMPLETED"/>
    <s v="First Class"/>
    <n v="532.58000000000004"/>
  </r>
  <r>
    <n v="75130"/>
    <s v="TRANSFER"/>
    <n v="2"/>
    <n v="1"/>
    <s v="DELAYED"/>
    <n v="1355"/>
    <n v="1"/>
    <n v="532.58000000000004"/>
    <n v="6"/>
    <s v="Outdoors"/>
    <n v="18683"/>
    <s v="Surat"/>
    <d v="2020-12-31T00:00:00"/>
    <n v="12"/>
    <n v="2020"/>
    <s v="South Asia"/>
    <x v="4"/>
    <s v="PENDING"/>
    <s v="PENDING"/>
    <s v="First Class"/>
    <n v="532.58000000000004"/>
  </r>
  <r>
    <n v="75131"/>
    <s v="DEBIT"/>
    <n v="2"/>
    <n v="2"/>
    <s v=" ONTIME"/>
    <n v="1355"/>
    <n v="1"/>
    <n v="532.58000000000004"/>
    <n v="6"/>
    <s v="Outdoors"/>
    <n v="18684"/>
    <s v="Surat"/>
    <d v="2020-12-31T00:00:00"/>
    <n v="12"/>
    <n v="2020"/>
    <s v="South Asia"/>
    <x v="4"/>
    <s v="COMPLETE"/>
    <s v="COMPLETED"/>
    <s v="Second Class"/>
    <n v="532.58000000000004"/>
  </r>
  <r>
    <n v="75132"/>
    <s v="PAYMENT"/>
    <n v="3"/>
    <n v="4"/>
    <s v=" ONTIME"/>
    <n v="1355"/>
    <n v="1"/>
    <n v="532.58000000000004"/>
    <n v="6"/>
    <s v="Outdoors"/>
    <n v="18685"/>
    <s v="Surat"/>
    <d v="2020-12-31T00:00:00"/>
    <n v="12"/>
    <n v="2020"/>
    <s v="South Asia"/>
    <x v="4"/>
    <s v="PENDING_PAYMENT"/>
    <s v="PENDING"/>
    <s v="Standard Class"/>
    <n v="532.58000000000004"/>
  </r>
  <r>
    <n v="75133"/>
    <s v="DEBIT"/>
    <n v="4"/>
    <n v="4"/>
    <s v=" ONTIME"/>
    <n v="1355"/>
    <n v="1"/>
    <n v="532.58000000000004"/>
    <n v="6"/>
    <s v="Outdoors"/>
    <n v="18686"/>
    <s v="Surat"/>
    <d v="2020-12-31T00:00:00"/>
    <n v="12"/>
    <n v="2020"/>
    <s v="South Asia"/>
    <x v="4"/>
    <s v="COMPLETE"/>
    <s v="COMPLETED"/>
    <s v="Standard Class"/>
    <n v="532.58000000000004"/>
  </r>
  <r>
    <n v="75134"/>
    <s v="DEBIT"/>
    <n v="5"/>
    <n v="4"/>
    <s v="DELAYED"/>
    <n v="1355"/>
    <n v="1"/>
    <n v="532.58000000000004"/>
    <n v="6"/>
    <s v="Outdoors"/>
    <n v="18687"/>
    <s v="Bangalore"/>
    <d v="2020-12-31T00:00:00"/>
    <n v="12"/>
    <n v="2020"/>
    <s v="South Asia"/>
    <x v="8"/>
    <s v="COMPLETE"/>
    <s v="COMPLETED"/>
    <s v="Standard Class"/>
    <n v="532.58000000000004"/>
  </r>
  <r>
    <n v="75150"/>
    <s v="PAYMENT"/>
    <n v="6"/>
    <n v="2"/>
    <s v="DELAYED"/>
    <n v="1355"/>
    <n v="1"/>
    <n v="532.58000000000004"/>
    <n v="6"/>
    <s v="Outdoors"/>
    <n v="18703"/>
    <s v="Hyderabad"/>
    <d v="2021-01-01T00:00:00"/>
    <n v="1"/>
    <n v="2021"/>
    <s v="South Asia"/>
    <x v="7"/>
    <s v="PENDING_PAYMENT"/>
    <s v="PENDING"/>
    <s v="Second Class"/>
    <n v="532.58000000000004"/>
  </r>
  <r>
    <n v="75160"/>
    <s v="DEBIT"/>
    <n v="6"/>
    <n v="4"/>
    <s v="DELAYED"/>
    <n v="1355"/>
    <n v="1"/>
    <n v="532.58000000000004"/>
    <n v="6"/>
    <s v="Outdoors"/>
    <n v="18713"/>
    <s v="Thane"/>
    <d v="2021-01-01T00:00:00"/>
    <n v="1"/>
    <n v="2021"/>
    <s v="South Asia"/>
    <x v="0"/>
    <s v="COMPLETE"/>
    <s v="COMPLETED"/>
    <s v="Standard Class"/>
    <n v="532.58000000000004"/>
  </r>
  <r>
    <n v="75161"/>
    <s v="DEBIT"/>
    <n v="2"/>
    <n v="4"/>
    <s v=" ONTIME"/>
    <n v="1355"/>
    <n v="1"/>
    <n v="532.58000000000004"/>
    <n v="6"/>
    <s v="Outdoors"/>
    <n v="18714"/>
    <s v="Thane"/>
    <d v="2021-01-01T00:00:00"/>
    <n v="1"/>
    <n v="2021"/>
    <s v="South Asia"/>
    <x v="0"/>
    <s v="COMPLETE"/>
    <s v="COMPLETED"/>
    <s v="Standard Class"/>
    <n v="532.58000000000004"/>
  </r>
  <r>
    <n v="75162"/>
    <s v="CASH"/>
    <n v="3"/>
    <n v="4"/>
    <s v=" ONTIME"/>
    <n v="1355"/>
    <n v="1"/>
    <n v="532.58000000000004"/>
    <n v="6"/>
    <s v="Outdoors"/>
    <n v="18715"/>
    <s v="Thane"/>
    <d v="2021-01-01T00:00:00"/>
    <n v="1"/>
    <n v="2021"/>
    <s v="South Asia"/>
    <x v="0"/>
    <s v="CLOSED"/>
    <s v="PENDING"/>
    <s v="Standard Class"/>
    <n v="532.58000000000004"/>
  </r>
  <r>
    <n v="75163"/>
    <s v="DEBIT"/>
    <n v="4"/>
    <n v="4"/>
    <s v=" ONTIME"/>
    <n v="1355"/>
    <n v="1"/>
    <n v="532.58000000000004"/>
    <n v="6"/>
    <s v="Outdoors"/>
    <n v="18716"/>
    <s v="Thane"/>
    <d v="2021-01-01T00:00:00"/>
    <n v="1"/>
    <n v="2021"/>
    <s v="South Asia"/>
    <x v="0"/>
    <s v="COMPLETE"/>
    <s v="COMPLETED"/>
    <s v="Standard Class"/>
    <n v="532.58000000000004"/>
  </r>
  <r>
    <n v="75164"/>
    <s v="DEBIT"/>
    <n v="5"/>
    <n v="4"/>
    <s v="DELAYED"/>
    <n v="1355"/>
    <n v="1"/>
    <n v="532.58000000000004"/>
    <n v="6"/>
    <s v="Outdoors"/>
    <n v="18717"/>
    <s v="Thane"/>
    <d v="2021-01-01T00:00:00"/>
    <n v="1"/>
    <n v="2021"/>
    <s v="South Asia"/>
    <x v="0"/>
    <s v="COMPLETE"/>
    <s v="COMPLETED"/>
    <s v="Standard Class"/>
    <n v="532.58000000000004"/>
  </r>
  <r>
    <n v="75165"/>
    <s v="TRANSFER"/>
    <n v="6"/>
    <n v="4"/>
    <s v="DELAYED"/>
    <n v="1355"/>
    <n v="1"/>
    <n v="532.58000000000004"/>
    <n v="6"/>
    <s v="Outdoors"/>
    <n v="18718"/>
    <s v="Thane"/>
    <d v="2021-01-01T00:00:00"/>
    <n v="1"/>
    <n v="2021"/>
    <s v="South Asia"/>
    <x v="0"/>
    <s v="PROCESSING"/>
    <s v="PENDING"/>
    <s v="Standard Class"/>
    <n v="532.58000000000004"/>
  </r>
  <r>
    <n v="75170"/>
    <s v="PAYMENT"/>
    <n v="6"/>
    <n v="4"/>
    <s v="DELAYED"/>
    <n v="1355"/>
    <n v="1"/>
    <n v="532.58000000000004"/>
    <n v="6"/>
    <s v="Outdoors"/>
    <n v="18723"/>
    <s v="Vadodara"/>
    <d v="2021-01-01T00:00:00"/>
    <n v="1"/>
    <n v="2021"/>
    <s v="South Asia"/>
    <x v="4"/>
    <s v="PENDING_PAYMENT"/>
    <s v="PENDING"/>
    <s v="Standard Class"/>
    <n v="532.58000000000004"/>
  </r>
  <r>
    <n v="75171"/>
    <s v="PAYMENT"/>
    <n v="2"/>
    <n v="4"/>
    <s v=" ONTIME"/>
    <n v="1355"/>
    <n v="1"/>
    <n v="532.58000000000004"/>
    <n v="6"/>
    <s v="Outdoors"/>
    <n v="18724"/>
    <s v="Vadodara"/>
    <d v="2021-01-01T00:00:00"/>
    <n v="1"/>
    <n v="2021"/>
    <s v="South Asia"/>
    <x v="4"/>
    <s v="PENDING_PAYMENT"/>
    <s v="PENDING"/>
    <s v="Standard Class"/>
    <n v="532.58000000000004"/>
  </r>
  <r>
    <n v="75172"/>
    <s v="CASH"/>
    <n v="3"/>
    <n v="4"/>
    <s v=" ONTIME"/>
    <n v="1355"/>
    <n v="1"/>
    <n v="532.58000000000004"/>
    <n v="6"/>
    <s v="Outdoors"/>
    <n v="18725"/>
    <s v="Vadodara"/>
    <d v="2021-01-01T00:00:00"/>
    <n v="1"/>
    <n v="2021"/>
    <s v="South Asia"/>
    <x v="4"/>
    <s v="CLOSED"/>
    <s v="PENDING"/>
    <s v="Standard Class"/>
    <n v="532.58000000000004"/>
  </r>
  <r>
    <n v="75195"/>
    <s v="DEBIT"/>
    <n v="6"/>
    <n v="4"/>
    <s v="DELAYED"/>
    <n v="1356"/>
    <n v="1"/>
    <n v="293.04000000000002"/>
    <n v="12"/>
    <s v="Health and Beauty "/>
    <n v="18748"/>
    <s v="Kanpur"/>
    <d v="2021-01-01T00:00:00"/>
    <n v="1"/>
    <n v="2021"/>
    <s v="South Asia"/>
    <x v="1"/>
    <s v="COMPLETE"/>
    <s v="COMPLETED"/>
    <s v="Standard Class"/>
    <n v="293.04000000000002"/>
  </r>
  <r>
    <n v="75208"/>
    <s v="PAYMENT"/>
    <n v="4"/>
    <n v="4"/>
    <s v=" ONTIME"/>
    <n v="1356"/>
    <n v="1"/>
    <n v="293.04000000000002"/>
    <n v="12"/>
    <s v="Health and Beauty "/>
    <n v="18761"/>
    <s v="Hyderabad"/>
    <d v="2021-01-01T00:00:00"/>
    <n v="1"/>
    <n v="2021"/>
    <s v="South Asia"/>
    <x v="7"/>
    <s v="PENDING_PAYMENT"/>
    <s v="PENDING"/>
    <s v="Standard Class"/>
    <n v="293.04000000000002"/>
  </r>
  <r>
    <n v="75237"/>
    <s v="CASH"/>
    <n v="3"/>
    <n v="2"/>
    <s v="DELAYED"/>
    <n v="1356"/>
    <n v="1"/>
    <n v="293.04000000000002"/>
    <n v="12"/>
    <s v="Health and Beauty "/>
    <n v="18790"/>
    <s v="Raipur"/>
    <d v="2021-01-02T00:00:00"/>
    <n v="1"/>
    <n v="2021"/>
    <s v="South Asia"/>
    <x v="19"/>
    <s v="CLOSED"/>
    <s v="PENDING"/>
    <s v="Second Class"/>
    <n v="293.04000000000002"/>
  </r>
  <r>
    <n v="75238"/>
    <s v="DEBIT"/>
    <n v="2"/>
    <n v="1"/>
    <s v="DELAYED"/>
    <n v="1356"/>
    <n v="1"/>
    <n v="293.04000000000002"/>
    <n v="12"/>
    <s v="Health and Beauty "/>
    <n v="18791"/>
    <s v="Raipur"/>
    <d v="2021-01-02T00:00:00"/>
    <n v="1"/>
    <n v="2021"/>
    <s v="South Asia"/>
    <x v="19"/>
    <s v="ON_HOLD"/>
    <s v="PENDING"/>
    <s v="First Class"/>
    <n v="293.04000000000002"/>
  </r>
  <r>
    <n v="75242"/>
    <s v="DEBIT"/>
    <n v="3"/>
    <n v="4"/>
    <s v=" ONTIME"/>
    <n v="1356"/>
    <n v="1"/>
    <n v="293.04000000000002"/>
    <n v="12"/>
    <s v="Health and Beauty "/>
    <n v="18795"/>
    <s v="Ajmer"/>
    <d v="2021-01-02T00:00:00"/>
    <n v="1"/>
    <n v="2021"/>
    <s v="South Asia"/>
    <x v="2"/>
    <s v="COMPLETE"/>
    <s v="COMPLETED"/>
    <s v="Standard Class"/>
    <n v="293.04000000000002"/>
  </r>
  <r>
    <n v="75261"/>
    <s v="TRANSFER"/>
    <n v="2"/>
    <n v="4"/>
    <s v=" ONTIME"/>
    <n v="1356"/>
    <n v="1"/>
    <n v="293.04000000000002"/>
    <n v="12"/>
    <s v="Health and Beauty "/>
    <n v="18814"/>
    <s v="Aligarh"/>
    <d v="2021-01-02T00:00:00"/>
    <n v="1"/>
    <n v="2021"/>
    <s v="South Asia"/>
    <x v="1"/>
    <s v="PROCESSING"/>
    <s v="PENDING"/>
    <s v="Standard Class"/>
    <n v="293.04000000000002"/>
  </r>
  <r>
    <n v="75262"/>
    <s v="DEBIT"/>
    <n v="3"/>
    <n v="4"/>
    <s v=" ONTIME"/>
    <n v="1356"/>
    <n v="1"/>
    <n v="293.04000000000002"/>
    <n v="12"/>
    <s v="Health and Beauty "/>
    <n v="18815"/>
    <s v="Aligarh"/>
    <d v="2021-01-02T00:00:00"/>
    <n v="1"/>
    <n v="2021"/>
    <s v="South Asia"/>
    <x v="1"/>
    <s v="COMPLETE"/>
    <s v="COMPLETED"/>
    <s v="Standard Class"/>
    <n v="293.04000000000002"/>
  </r>
  <r>
    <n v="75263"/>
    <s v="PAYMENT"/>
    <n v="4"/>
    <n v="4"/>
    <s v=" ONTIME"/>
    <n v="1356"/>
    <n v="1"/>
    <n v="293.04000000000002"/>
    <n v="12"/>
    <s v="Health and Beauty "/>
    <n v="18816"/>
    <s v="Aligarh"/>
    <d v="2021-01-02T00:00:00"/>
    <n v="1"/>
    <n v="2021"/>
    <s v="South Asia"/>
    <x v="1"/>
    <s v="PENDING_PAYMENT"/>
    <s v="PENDING"/>
    <s v="Standard Class"/>
    <n v="293.04000000000002"/>
  </r>
  <r>
    <n v="75264"/>
    <s v="DEBIT"/>
    <n v="5"/>
    <n v="4"/>
    <s v="DELAYED"/>
    <n v="1356"/>
    <n v="1"/>
    <n v="293.04000000000002"/>
    <n v="12"/>
    <s v="Health and Beauty "/>
    <n v="18817"/>
    <s v="Aligarh"/>
    <d v="2021-01-02T00:00:00"/>
    <n v="1"/>
    <n v="2021"/>
    <s v="South Asia"/>
    <x v="1"/>
    <s v="ON_HOLD"/>
    <s v="PENDING"/>
    <s v="Standard Class"/>
    <n v="293.04000000000002"/>
  </r>
  <r>
    <n v="75267"/>
    <s v="TRANSFER"/>
    <n v="3"/>
    <n v="2"/>
    <s v="DELAYED"/>
    <n v="1356"/>
    <n v="1"/>
    <n v="293.04000000000002"/>
    <n v="12"/>
    <s v="Health and Beauty "/>
    <n v="18820"/>
    <s v="Hyderabad"/>
    <d v="2021-01-02T00:00:00"/>
    <n v="1"/>
    <n v="2021"/>
    <s v="South Asia"/>
    <x v="7"/>
    <s v="PROCESSING"/>
    <s v="PENDING"/>
    <s v="Second Class"/>
    <n v="293.04000000000002"/>
  </r>
  <r>
    <n v="75268"/>
    <s v="TRANSFER"/>
    <n v="4"/>
    <n v="4"/>
    <s v=" ONTIME"/>
    <n v="1356"/>
    <n v="1"/>
    <n v="293.04000000000002"/>
    <n v="12"/>
    <s v="Health and Beauty "/>
    <n v="18821"/>
    <s v="Karimnagar"/>
    <d v="2021-01-02T00:00:00"/>
    <n v="1"/>
    <n v="2021"/>
    <s v="South Asia"/>
    <x v="7"/>
    <s v="PROCESSING"/>
    <s v="PENDING"/>
    <s v="Standard Class"/>
    <n v="293.04000000000002"/>
  </r>
  <r>
    <n v="75269"/>
    <s v="TRANSFER"/>
    <n v="5"/>
    <n v="4"/>
    <s v="DELAYED"/>
    <n v="1356"/>
    <n v="1"/>
    <n v="293.04000000000002"/>
    <n v="12"/>
    <s v="Health and Beauty "/>
    <n v="18822"/>
    <s v="Karimnagar"/>
    <d v="2021-01-02T00:00:00"/>
    <n v="1"/>
    <n v="2021"/>
    <s v="South Asia"/>
    <x v="7"/>
    <s v="PROCESSING"/>
    <s v="PENDING"/>
    <s v="Standard Class"/>
    <n v="293.04000000000002"/>
  </r>
  <r>
    <n v="75270"/>
    <s v="DEBIT"/>
    <n v="6"/>
    <n v="4"/>
    <s v="DELAYED"/>
    <n v="1356"/>
    <n v="1"/>
    <n v="293.04000000000002"/>
    <n v="12"/>
    <s v="Health and Beauty "/>
    <n v="18823"/>
    <s v="Chennai"/>
    <d v="2021-01-02T00:00:00"/>
    <n v="1"/>
    <n v="2021"/>
    <s v="South Asia"/>
    <x v="3"/>
    <s v="COMPLETE"/>
    <s v="COMPLETED"/>
    <s v="Standard Class"/>
    <n v="293.04000000000002"/>
  </r>
  <r>
    <n v="75271"/>
    <s v="TRANSFER"/>
    <n v="2"/>
    <n v="4"/>
    <s v=" ONTIME"/>
    <n v="1356"/>
    <n v="1"/>
    <n v="293.04000000000002"/>
    <n v="12"/>
    <s v="Health and Beauty "/>
    <n v="18824"/>
    <s v="Chennai"/>
    <d v="2021-01-02T00:00:00"/>
    <n v="1"/>
    <n v="2021"/>
    <s v="South Asia"/>
    <x v="3"/>
    <s v="PENDING"/>
    <s v="PENDING"/>
    <s v="Standard Class"/>
    <n v="293.04000000000002"/>
  </r>
  <r>
    <n v="75292"/>
    <s v="PAYMENT"/>
    <n v="0"/>
    <n v="0"/>
    <s v=" ONTIME"/>
    <n v="1356"/>
    <n v="1"/>
    <n v="293.04000000000002"/>
    <n v="12"/>
    <s v="Health and Beauty "/>
    <n v="18845"/>
    <s v="Lucknow"/>
    <d v="2021-01-03T00:00:00"/>
    <n v="1"/>
    <n v="2021"/>
    <s v="South Asia"/>
    <x v="1"/>
    <s v="PENDING_PAYMENT"/>
    <s v="PENDING"/>
    <s v="Same Day"/>
    <n v="293.04000000000002"/>
  </r>
  <r>
    <n v="75298"/>
    <s v="TRANSFER"/>
    <n v="2"/>
    <n v="1"/>
    <s v="DELAYED"/>
    <n v="1356"/>
    <n v="1"/>
    <n v="293.04000000000002"/>
    <n v="12"/>
    <s v="Health and Beauty "/>
    <n v="18851"/>
    <s v="Hyderabad"/>
    <d v="2021-01-03T00:00:00"/>
    <n v="1"/>
    <n v="2021"/>
    <s v="South Asia"/>
    <x v="7"/>
    <s v="SUSPECTED_FRAUD"/>
    <s v="PENDING"/>
    <s v="First Class"/>
    <n v="293.04000000000002"/>
  </r>
  <r>
    <n v="75299"/>
    <s v="DEBIT"/>
    <n v="2"/>
    <n v="1"/>
    <s v="DELAYED"/>
    <n v="1356"/>
    <n v="1"/>
    <n v="293.04000000000002"/>
    <n v="12"/>
    <s v="Health and Beauty "/>
    <n v="18852"/>
    <s v="Hyderabad"/>
    <d v="2021-01-03T00:00:00"/>
    <n v="1"/>
    <n v="2021"/>
    <s v="South Asia"/>
    <x v="7"/>
    <s v="COMPLETE"/>
    <s v="COMPLETED"/>
    <s v="First Class"/>
    <n v="293.04000000000002"/>
  </r>
  <r>
    <n v="75306"/>
    <s v="DEBIT"/>
    <n v="2"/>
    <n v="4"/>
    <s v=" ONTIME"/>
    <n v="1356"/>
    <n v="1"/>
    <n v="293.04000000000002"/>
    <n v="12"/>
    <s v="Health and Beauty "/>
    <n v="18859"/>
    <s v="Bangalore"/>
    <d v="2021-01-03T00:00:00"/>
    <n v="1"/>
    <n v="2021"/>
    <s v="South Asia"/>
    <x v="8"/>
    <s v="COMPLETE"/>
    <s v="COMPLETED"/>
    <s v="Standard Class"/>
    <n v="293.04000000000002"/>
  </r>
  <r>
    <n v="75319"/>
    <s v="TRANSFER"/>
    <n v="2"/>
    <n v="1"/>
    <s v="DELAYED"/>
    <n v="1357"/>
    <n v="1"/>
    <n v="210.85"/>
    <n v="4"/>
    <s v="Apparel"/>
    <n v="18872"/>
    <s v="Kozhikode"/>
    <d v="2021-01-03T00:00:00"/>
    <n v="1"/>
    <n v="2021"/>
    <s v="South Asia"/>
    <x v="20"/>
    <s v="PROCESSING"/>
    <s v="PENDING"/>
    <s v="First Class"/>
    <n v="210.85"/>
  </r>
  <r>
    <n v="75320"/>
    <s v="DEBIT"/>
    <n v="6"/>
    <n v="4"/>
    <s v="DELAYED"/>
    <n v="1357"/>
    <n v="1"/>
    <n v="210.85"/>
    <n v="4"/>
    <s v="Apparel"/>
    <n v="18873"/>
    <s v="Kozhikode"/>
    <d v="2021-01-03T00:00:00"/>
    <n v="1"/>
    <n v="2021"/>
    <s v="South Asia"/>
    <x v="20"/>
    <s v="COMPLETE"/>
    <s v="COMPLETED"/>
    <s v="Standard Class"/>
    <n v="210.85"/>
  </r>
  <r>
    <n v="75334"/>
    <s v="TRANSFER"/>
    <n v="5"/>
    <n v="4"/>
    <s v="DELAYED"/>
    <n v="1357"/>
    <n v="1"/>
    <n v="210.85"/>
    <n v="4"/>
    <s v="Apparel"/>
    <n v="18887"/>
    <s v="Bhiwandi"/>
    <d v="2021-01-03T00:00:00"/>
    <n v="1"/>
    <n v="2021"/>
    <s v="South Asia"/>
    <x v="0"/>
    <s v="PROCESSING"/>
    <s v="PENDING"/>
    <s v="Standard Class"/>
    <n v="210.85"/>
  </r>
  <r>
    <n v="75337"/>
    <s v="DEBIT"/>
    <n v="2"/>
    <n v="1"/>
    <s v="DELAYED"/>
    <n v="1357"/>
    <n v="1"/>
    <n v="210.85"/>
    <n v="4"/>
    <s v="Apparel"/>
    <n v="18890"/>
    <s v="Bangalore"/>
    <d v="2021-01-03T00:00:00"/>
    <n v="1"/>
    <n v="2021"/>
    <s v="South Asia"/>
    <x v="8"/>
    <s v="ON_HOLD"/>
    <s v="PENDING"/>
    <s v="First Class"/>
    <n v="210.85"/>
  </r>
  <r>
    <n v="75347"/>
    <s v="TRANSFER"/>
    <n v="3"/>
    <n v="2"/>
    <s v="DELAYED"/>
    <n v="1358"/>
    <n v="1"/>
    <n v="260.64999999999998"/>
    <n v="9"/>
    <s v="Discs Shop"/>
    <n v="18900"/>
    <s v="Ajmer"/>
    <d v="2021-01-03T00:00:00"/>
    <n v="1"/>
    <n v="2021"/>
    <s v="South Asia"/>
    <x v="2"/>
    <s v="PENDING"/>
    <s v="PENDING"/>
    <s v="Second Class"/>
    <n v="260.64999999999998"/>
  </r>
  <r>
    <n v="75348"/>
    <s v="DEBIT"/>
    <n v="4"/>
    <n v="2"/>
    <s v="DELAYED"/>
    <n v="1358"/>
    <n v="1"/>
    <n v="260.64999999999998"/>
    <n v="9"/>
    <s v="Discs Shop"/>
    <n v="18901"/>
    <s v="Ajmer"/>
    <d v="2021-01-03T00:00:00"/>
    <n v="1"/>
    <n v="2021"/>
    <s v="South Asia"/>
    <x v="2"/>
    <s v="COMPLETE"/>
    <s v="COMPLETED"/>
    <s v="Second Class"/>
    <n v="260.64999999999998"/>
  </r>
  <r>
    <n v="75349"/>
    <s v="TRANSFER"/>
    <n v="2"/>
    <n v="1"/>
    <s v="DELAYED"/>
    <n v="1358"/>
    <n v="1"/>
    <n v="260.64999999999998"/>
    <n v="9"/>
    <s v="Discs Shop"/>
    <n v="18902"/>
    <s v="Ajmer"/>
    <d v="2021-01-03T00:00:00"/>
    <n v="1"/>
    <n v="2021"/>
    <s v="South Asia"/>
    <x v="2"/>
    <s v="PENDING"/>
    <s v="PENDING"/>
    <s v="First Class"/>
    <n v="260.64999999999998"/>
  </r>
  <r>
    <n v="75350"/>
    <s v="PAYMENT"/>
    <n v="2"/>
    <n v="1"/>
    <s v="DELAYED"/>
    <n v="1358"/>
    <n v="1"/>
    <n v="260.64999999999998"/>
    <n v="9"/>
    <s v="Discs Shop"/>
    <n v="18903"/>
    <s v="Ajmer"/>
    <d v="2021-01-03T00:00:00"/>
    <n v="1"/>
    <n v="2021"/>
    <s v="South Asia"/>
    <x v="2"/>
    <s v="PAYMENT_REVIEW"/>
    <s v="PENDING"/>
    <s v="First Class"/>
    <n v="260.64999999999998"/>
  </r>
  <r>
    <n v="75351"/>
    <s v="PAYMENT"/>
    <n v="2"/>
    <n v="1"/>
    <s v="DELAYED"/>
    <n v="1358"/>
    <n v="1"/>
    <n v="260.64999999999998"/>
    <n v="9"/>
    <s v="Discs Shop"/>
    <n v="18904"/>
    <s v="Ajmer"/>
    <d v="2021-01-03T00:00:00"/>
    <n v="1"/>
    <n v="2021"/>
    <s v="South Asia"/>
    <x v="2"/>
    <s v="PENDING_PAYMENT"/>
    <s v="PENDING"/>
    <s v="First Class"/>
    <n v="260.64999999999998"/>
  </r>
  <r>
    <n v="75352"/>
    <s v="TRANSFER"/>
    <n v="2"/>
    <n v="1"/>
    <s v="DELAYED"/>
    <n v="1358"/>
    <n v="1"/>
    <n v="260.64999999999998"/>
    <n v="9"/>
    <s v="Discs Shop"/>
    <n v="18905"/>
    <s v="Ajmer"/>
    <d v="2021-01-03T00:00:00"/>
    <n v="1"/>
    <n v="2021"/>
    <s v="South Asia"/>
    <x v="2"/>
    <s v="PENDING"/>
    <s v="PENDING"/>
    <s v="First Class"/>
    <n v="260.64999999999998"/>
  </r>
  <r>
    <n v="75353"/>
    <s v="DEBIT"/>
    <n v="2"/>
    <n v="1"/>
    <s v="DELAYED"/>
    <n v="1358"/>
    <n v="1"/>
    <n v="260.64999999999998"/>
    <n v="9"/>
    <s v="Discs Shop"/>
    <n v="18906"/>
    <s v="Ajmer"/>
    <d v="2021-01-03T00:00:00"/>
    <n v="1"/>
    <n v="2021"/>
    <s v="South Asia"/>
    <x v="2"/>
    <s v="COMPLETE"/>
    <s v="COMPLETED"/>
    <s v="First Class"/>
    <n v="260.64999999999998"/>
  </r>
  <r>
    <n v="75369"/>
    <s v="TRANSFER"/>
    <n v="5"/>
    <n v="4"/>
    <s v="DELAYED"/>
    <n v="1358"/>
    <n v="1"/>
    <n v="260.64999999999998"/>
    <n v="9"/>
    <s v="Discs Shop"/>
    <n v="18922"/>
    <s v="Ulhasnagar"/>
    <d v="2021-01-04T00:00:00"/>
    <n v="1"/>
    <n v="2021"/>
    <s v="South Asia"/>
    <x v="0"/>
    <s v="PROCESSING"/>
    <s v="PENDING"/>
    <s v="Standard Class"/>
    <n v="260.64999999999998"/>
  </r>
  <r>
    <n v="75381"/>
    <s v="TRANSFER"/>
    <n v="2"/>
    <n v="4"/>
    <s v=" ONTIME"/>
    <n v="1358"/>
    <n v="1"/>
    <n v="260.64999999999998"/>
    <n v="9"/>
    <s v="Discs Shop"/>
    <n v="18934"/>
    <s v="Parbhani"/>
    <d v="2021-01-04T00:00:00"/>
    <n v="1"/>
    <n v="2021"/>
    <s v="South Asia"/>
    <x v="0"/>
    <s v="PROCESSING"/>
    <s v="PENDING"/>
    <s v="Standard Class"/>
    <n v="260.64999999999998"/>
  </r>
  <r>
    <n v="75382"/>
    <s v="TRANSFER"/>
    <n v="3"/>
    <n v="4"/>
    <s v=" ONTIME"/>
    <n v="1358"/>
    <n v="1"/>
    <n v="260.64999999999998"/>
    <n v="9"/>
    <s v="Discs Shop"/>
    <n v="18935"/>
    <s v="Parbhani"/>
    <d v="2021-01-04T00:00:00"/>
    <n v="1"/>
    <n v="2021"/>
    <s v="South Asia"/>
    <x v="0"/>
    <s v="PROCESSING"/>
    <s v="PENDING"/>
    <s v="Standard Class"/>
    <n v="260.64999999999998"/>
  </r>
  <r>
    <n v="75388"/>
    <s v="PAYMENT"/>
    <n v="4"/>
    <n v="4"/>
    <s v=" ONTIME"/>
    <n v="1358"/>
    <n v="1"/>
    <n v="260.64999999999998"/>
    <n v="9"/>
    <s v="Discs Shop"/>
    <n v="18941"/>
    <s v="Darbhanga"/>
    <d v="2021-01-04T00:00:00"/>
    <n v="1"/>
    <n v="2021"/>
    <s v="South Asia"/>
    <x v="17"/>
    <s v="PENDING_PAYMENT"/>
    <s v="PENDING"/>
    <s v="Standard Class"/>
    <n v="260.64999999999998"/>
  </r>
  <r>
    <n v="75389"/>
    <s v="TRANSFER"/>
    <n v="5"/>
    <n v="4"/>
    <s v="DELAYED"/>
    <n v="1358"/>
    <n v="1"/>
    <n v="260.64999999999998"/>
    <n v="9"/>
    <s v="Discs Shop"/>
    <n v="18942"/>
    <s v="Darbhanga"/>
    <d v="2021-01-04T00:00:00"/>
    <n v="1"/>
    <n v="2021"/>
    <s v="South Asia"/>
    <x v="17"/>
    <s v="PROCESSING"/>
    <s v="PENDING"/>
    <s v="Standard Class"/>
    <n v="260.64999999999998"/>
  </r>
  <r>
    <n v="75390"/>
    <s v="DEBIT"/>
    <n v="6"/>
    <n v="4"/>
    <s v="DELAYED"/>
    <n v="1358"/>
    <n v="1"/>
    <n v="260.64999999999998"/>
    <n v="9"/>
    <s v="Discs Shop"/>
    <n v="18943"/>
    <s v="Darbhanga"/>
    <d v="2021-01-04T00:00:00"/>
    <n v="1"/>
    <n v="2021"/>
    <s v="South Asia"/>
    <x v="17"/>
    <s v="COMPLETE"/>
    <s v="COMPLETED"/>
    <s v="Standard Class"/>
    <n v="260.64999999999998"/>
  </r>
  <r>
    <n v="75391"/>
    <s v="CASH"/>
    <n v="2"/>
    <n v="4"/>
    <s v=" ONTIME"/>
    <n v="1358"/>
    <n v="1"/>
    <n v="260.64999999999998"/>
    <n v="9"/>
    <s v="Discs Shop"/>
    <n v="18944"/>
    <s v="Darbhanga"/>
    <d v="2021-01-04T00:00:00"/>
    <n v="1"/>
    <n v="2021"/>
    <s v="South Asia"/>
    <x v="17"/>
    <s v="CLOSED"/>
    <s v="PENDING"/>
    <s v="Standard Class"/>
    <n v="260.64999999999998"/>
  </r>
  <r>
    <n v="75392"/>
    <s v="DEBIT"/>
    <n v="3"/>
    <n v="4"/>
    <s v=" ONTIME"/>
    <n v="1358"/>
    <n v="1"/>
    <n v="260.64999999999998"/>
    <n v="9"/>
    <s v="Discs Shop"/>
    <n v="18945"/>
    <s v="Darbhanga"/>
    <d v="2021-01-04T00:00:00"/>
    <n v="1"/>
    <n v="2021"/>
    <s v="South Asia"/>
    <x v="17"/>
    <s v="COMPLETE"/>
    <s v="COMPLETED"/>
    <s v="Standard Class"/>
    <n v="260.64999999999998"/>
  </r>
  <r>
    <n v="75393"/>
    <s v="DEBIT"/>
    <n v="4"/>
    <n v="4"/>
    <s v=" ONTIME"/>
    <n v="1358"/>
    <n v="1"/>
    <n v="260.64999999999998"/>
    <n v="9"/>
    <s v="Discs Shop"/>
    <n v="18946"/>
    <s v="Darbhanga"/>
    <d v="2021-01-04T00:00:00"/>
    <n v="1"/>
    <n v="2021"/>
    <s v="South Asia"/>
    <x v="17"/>
    <s v="COMPLETE"/>
    <s v="COMPLETED"/>
    <s v="Standard Class"/>
    <n v="260.64999999999998"/>
  </r>
  <r>
    <n v="75394"/>
    <s v="PAYMENT"/>
    <n v="5"/>
    <n v="4"/>
    <s v="DELAYED"/>
    <n v="1358"/>
    <n v="1"/>
    <n v="260.64999999999998"/>
    <n v="9"/>
    <s v="Discs Shop"/>
    <n v="18947"/>
    <s v="Darbhanga"/>
    <d v="2021-01-04T00:00:00"/>
    <n v="1"/>
    <n v="2021"/>
    <s v="South Asia"/>
    <x v="17"/>
    <s v="PENDING_PAYMENT"/>
    <s v="PENDING"/>
    <s v="Standard Class"/>
    <n v="260.64999999999998"/>
  </r>
  <r>
    <n v="75395"/>
    <s v="CASH"/>
    <n v="6"/>
    <n v="4"/>
    <s v="DELAYED"/>
    <n v="1358"/>
    <n v="1"/>
    <n v="260.64999999999998"/>
    <n v="9"/>
    <s v="Discs Shop"/>
    <n v="18948"/>
    <s v="Lucknow"/>
    <d v="2021-01-04T00:00:00"/>
    <n v="1"/>
    <n v="2021"/>
    <s v="South Asia"/>
    <x v="1"/>
    <s v="CLOSED"/>
    <s v="PENDING"/>
    <s v="Standard Class"/>
    <n v="260.64999999999998"/>
  </r>
  <r>
    <n v="75410"/>
    <s v="DEBIT"/>
    <n v="6"/>
    <n v="4"/>
    <s v="DELAYED"/>
    <n v="1358"/>
    <n v="1"/>
    <n v="260.64999999999998"/>
    <n v="9"/>
    <s v="Discs Shop"/>
    <n v="18963"/>
    <s v="Dhule"/>
    <d v="2021-01-04T00:00:00"/>
    <n v="1"/>
    <n v="2021"/>
    <s v="South Asia"/>
    <x v="0"/>
    <s v="COMPLETE"/>
    <s v="COMPLETED"/>
    <s v="Standard Class"/>
    <n v="260.64999999999998"/>
  </r>
  <r>
    <n v="75411"/>
    <s v="CASH"/>
    <n v="2"/>
    <n v="4"/>
    <s v=" ONTIME"/>
    <n v="1358"/>
    <n v="1"/>
    <n v="260.64999999999998"/>
    <n v="9"/>
    <s v="Discs Shop"/>
    <n v="18964"/>
    <s v="Dhule"/>
    <d v="2021-01-04T00:00:00"/>
    <n v="1"/>
    <n v="2021"/>
    <s v="South Asia"/>
    <x v="0"/>
    <s v="CLOSED"/>
    <s v="PENDING"/>
    <s v="Standard Class"/>
    <n v="260.64999999999998"/>
  </r>
  <r>
    <n v="75412"/>
    <s v="CASH"/>
    <n v="3"/>
    <n v="4"/>
    <s v=" ONTIME"/>
    <n v="1358"/>
    <n v="1"/>
    <n v="260.64999999999998"/>
    <n v="9"/>
    <s v="Discs Shop"/>
    <n v="18965"/>
    <s v="Dhule"/>
    <d v="2021-01-04T00:00:00"/>
    <n v="1"/>
    <n v="2021"/>
    <s v="South Asia"/>
    <x v="0"/>
    <s v="CLOSED"/>
    <s v="PENDING"/>
    <s v="Standard Class"/>
    <n v="260.64999999999998"/>
  </r>
  <r>
    <n v="75434"/>
    <s v="CASH"/>
    <n v="5"/>
    <n v="4"/>
    <s v="DELAYED"/>
    <n v="1358"/>
    <n v="1"/>
    <n v="260.64999999999998"/>
    <n v="9"/>
    <s v="Discs Shop"/>
    <n v="18987"/>
    <s v="Hubli"/>
    <d v="2021-01-05T00:00:00"/>
    <n v="1"/>
    <n v="2021"/>
    <s v="South Asia"/>
    <x v="8"/>
    <s v="CLOSED"/>
    <s v="PENDING"/>
    <s v="Standard Class"/>
    <n v="260.64999999999998"/>
  </r>
  <r>
    <n v="75435"/>
    <s v="DEBIT"/>
    <n v="6"/>
    <n v="4"/>
    <s v="DELAYED"/>
    <n v="1358"/>
    <n v="1"/>
    <n v="260.64999999999998"/>
    <n v="9"/>
    <s v="Discs Shop"/>
    <n v="18988"/>
    <s v="Hubli"/>
    <d v="2021-01-05T00:00:00"/>
    <n v="1"/>
    <n v="2021"/>
    <s v="South Asia"/>
    <x v="8"/>
    <s v="COMPLETE"/>
    <s v="COMPLETED"/>
    <s v="Standard Class"/>
    <n v="260.64999999999998"/>
  </r>
  <r>
    <n v="75436"/>
    <s v="TRANSFER"/>
    <n v="2"/>
    <n v="4"/>
    <s v=" ONTIME"/>
    <n v="1358"/>
    <n v="1"/>
    <n v="260.64999999999998"/>
    <n v="9"/>
    <s v="Discs Shop"/>
    <n v="18989"/>
    <s v="Meerut"/>
    <d v="2021-01-05T00:00:00"/>
    <n v="1"/>
    <n v="2021"/>
    <s v="South Asia"/>
    <x v="1"/>
    <s v="PROCESSING"/>
    <s v="PENDING"/>
    <s v="Standard Class"/>
    <n v="260.64999999999998"/>
  </r>
  <r>
    <n v="75437"/>
    <s v="PAYMENT"/>
    <n v="3"/>
    <n v="4"/>
    <s v=" ONTIME"/>
    <n v="1358"/>
    <n v="1"/>
    <n v="260.64999999999998"/>
    <n v="9"/>
    <s v="Discs Shop"/>
    <n v="18990"/>
    <s v="Meerut"/>
    <d v="2021-01-05T00:00:00"/>
    <n v="1"/>
    <n v="2021"/>
    <s v="South Asia"/>
    <x v="1"/>
    <s v="PENDING_PAYMENT"/>
    <s v="PENDING"/>
    <s v="Standard Class"/>
    <n v="260.64999999999998"/>
  </r>
  <r>
    <n v="75449"/>
    <s v="DEBIT"/>
    <n v="5"/>
    <n v="4"/>
    <s v="DELAYED"/>
    <n v="1358"/>
    <n v="1"/>
    <n v="260.64999999999998"/>
    <n v="9"/>
    <s v="Discs Shop"/>
    <n v="19002"/>
    <s v="Bhatpara"/>
    <d v="2021-01-05T00:00:00"/>
    <n v="1"/>
    <n v="2021"/>
    <s v="South Asia"/>
    <x v="6"/>
    <s v="COMPLETE"/>
    <s v="COMPLETED"/>
    <s v="Standard Class"/>
    <n v="260.64999999999998"/>
  </r>
  <r>
    <n v="75454"/>
    <s v="CASH"/>
    <n v="5"/>
    <n v="4"/>
    <s v="DELAYED"/>
    <n v="1358"/>
    <n v="1"/>
    <n v="260.64999999999998"/>
    <n v="9"/>
    <s v="Discs Shop"/>
    <n v="19007"/>
    <s v="Aligarh"/>
    <d v="2021-01-05T00:00:00"/>
    <n v="1"/>
    <n v="2021"/>
    <s v="South Asia"/>
    <x v="1"/>
    <s v="CLOSED"/>
    <s v="PENDING"/>
    <s v="Standard Class"/>
    <n v="260.64999999999998"/>
  </r>
  <r>
    <n v="75455"/>
    <s v="DEBIT"/>
    <n v="6"/>
    <n v="4"/>
    <s v="DELAYED"/>
    <n v="1358"/>
    <n v="1"/>
    <n v="260.64999999999998"/>
    <n v="9"/>
    <s v="Discs Shop"/>
    <n v="19008"/>
    <s v="Aligarh"/>
    <d v="2021-01-05T00:00:00"/>
    <n v="1"/>
    <n v="2021"/>
    <s v="South Asia"/>
    <x v="1"/>
    <s v="COMPLETE"/>
    <s v="COMPLETED"/>
    <s v="Standard Class"/>
    <n v="260.64999999999998"/>
  </r>
  <r>
    <n v="75456"/>
    <s v="CASH"/>
    <n v="2"/>
    <n v="4"/>
    <s v=" ONTIME"/>
    <n v="1358"/>
    <n v="1"/>
    <n v="260.64999999999998"/>
    <n v="9"/>
    <s v="Discs Shop"/>
    <n v="19009"/>
    <s v="Aligarh"/>
    <d v="2021-01-05T00:00:00"/>
    <n v="1"/>
    <n v="2021"/>
    <s v="South Asia"/>
    <x v="1"/>
    <s v="CLOSED"/>
    <s v="PENDING"/>
    <s v="Standard Class"/>
    <n v="260.64999999999998"/>
  </r>
  <r>
    <n v="75462"/>
    <s v="PAYMENT"/>
    <n v="2"/>
    <n v="1"/>
    <s v="DELAYED"/>
    <n v="1358"/>
    <n v="1"/>
    <n v="260.64999999999998"/>
    <n v="9"/>
    <s v="Discs Shop"/>
    <n v="19015"/>
    <s v="Satna"/>
    <d v="2021-01-05T00:00:00"/>
    <n v="1"/>
    <n v="2021"/>
    <s v="South Asia"/>
    <x v="14"/>
    <s v="PAYMENT_REVIEW"/>
    <s v="PENDING"/>
    <s v="First Class"/>
    <n v="260.64999999999998"/>
  </r>
  <r>
    <n v="75464"/>
    <s v="TRANSFER"/>
    <n v="2"/>
    <n v="1"/>
    <s v="DELAYED"/>
    <n v="1358"/>
    <n v="1"/>
    <n v="260.64999999999998"/>
    <n v="9"/>
    <s v="Discs Shop"/>
    <n v="19017"/>
    <s v="Latur"/>
    <d v="2021-01-05T00:00:00"/>
    <n v="1"/>
    <n v="2021"/>
    <s v="South Asia"/>
    <x v="0"/>
    <s v="PROCESSING"/>
    <s v="PENDING"/>
    <s v="First Class"/>
    <n v="260.64999999999998"/>
  </r>
  <r>
    <n v="75466"/>
    <s v="CASH"/>
    <n v="2"/>
    <n v="4"/>
    <s v=" ONTIME"/>
    <n v="1358"/>
    <n v="1"/>
    <n v="260.64999999999998"/>
    <n v="9"/>
    <s v="Discs Shop"/>
    <n v="19019"/>
    <s v="Guwahati"/>
    <d v="2021-01-05T00:00:00"/>
    <n v="1"/>
    <n v="2021"/>
    <s v="South Asia"/>
    <x v="9"/>
    <s v="CLOSED"/>
    <s v="PENDING"/>
    <s v="Standard Class"/>
    <n v="260.64999999999998"/>
  </r>
  <r>
    <n v="75467"/>
    <s v="CASH"/>
    <n v="3"/>
    <n v="4"/>
    <s v=" ONTIME"/>
    <n v="1358"/>
    <n v="1"/>
    <n v="260.64999999999998"/>
    <n v="9"/>
    <s v="Discs Shop"/>
    <n v="19020"/>
    <s v="Guwahati"/>
    <d v="2021-01-05T00:00:00"/>
    <n v="1"/>
    <n v="2021"/>
    <s v="South Asia"/>
    <x v="9"/>
    <s v="CLOSED"/>
    <s v="PENDING"/>
    <s v="Standard Class"/>
    <n v="260.64999999999998"/>
  </r>
  <r>
    <n v="75468"/>
    <s v="PAYMENT"/>
    <n v="4"/>
    <n v="4"/>
    <s v=" ONTIME"/>
    <n v="1358"/>
    <n v="1"/>
    <n v="260.64999999999998"/>
    <n v="9"/>
    <s v="Discs Shop"/>
    <n v="19021"/>
    <s v="Guwahati"/>
    <d v="2021-01-05T00:00:00"/>
    <n v="1"/>
    <n v="2021"/>
    <s v="South Asia"/>
    <x v="9"/>
    <s v="PENDING_PAYMENT"/>
    <s v="PENDING"/>
    <s v="Standard Class"/>
    <n v="260.64999999999998"/>
  </r>
  <r>
    <n v="75479"/>
    <s v="TRANSFER"/>
    <n v="5"/>
    <n v="2"/>
    <s v="DELAYED"/>
    <n v="1358"/>
    <n v="1"/>
    <n v="260.64999999999998"/>
    <n v="9"/>
    <s v="Discs Shop"/>
    <n v="19032"/>
    <s v="Aurangabad"/>
    <d v="2021-01-05T00:00:00"/>
    <n v="1"/>
    <n v="2021"/>
    <s v="South Asia"/>
    <x v="0"/>
    <s v="PROCESSING"/>
    <s v="PENDING"/>
    <s v="Second Class"/>
    <n v="260.64999999999998"/>
  </r>
  <r>
    <n v="75480"/>
    <s v="PAYMENT"/>
    <n v="6"/>
    <n v="4"/>
    <s v="DELAYED"/>
    <n v="1358"/>
    <n v="1"/>
    <n v="260.64999999999998"/>
    <n v="9"/>
    <s v="Discs Shop"/>
    <n v="19033"/>
    <s v="Aurangabad"/>
    <d v="2021-01-05T00:00:00"/>
    <n v="1"/>
    <n v="2021"/>
    <s v="South Asia"/>
    <x v="0"/>
    <s v="PENDING_PAYMENT"/>
    <s v="PENDING"/>
    <s v="Standard Class"/>
    <n v="260.64999999999998"/>
  </r>
  <r>
    <n v="75485"/>
    <s v="DEBIT"/>
    <n v="2"/>
    <n v="1"/>
    <s v="DELAYED"/>
    <n v="1359"/>
    <n v="1"/>
    <n v="84.4"/>
    <n v="11"/>
    <s v="Pet Shop"/>
    <n v="19038"/>
    <s v="Kalyan"/>
    <d v="2021-01-05T00:00:00"/>
    <n v="1"/>
    <n v="2021"/>
    <s v="South Asia"/>
    <x v="0"/>
    <s v="COMPLETE"/>
    <s v="COMPLETED"/>
    <s v="First Class"/>
    <n v="84.4"/>
  </r>
  <r>
    <n v="75490"/>
    <s v="DEBIT"/>
    <n v="6"/>
    <n v="4"/>
    <s v="DELAYED"/>
    <n v="1359"/>
    <n v="1"/>
    <n v="84.4"/>
    <n v="11"/>
    <s v="Pet Shop"/>
    <n v="19043"/>
    <s v="Kota"/>
    <d v="2021-01-05T00:00:00"/>
    <n v="1"/>
    <n v="2021"/>
    <s v="South Asia"/>
    <x v="18"/>
    <s v="ON_HOLD"/>
    <s v="PENDING"/>
    <s v="Standard Class"/>
    <n v="84.4"/>
  </r>
  <r>
    <n v="75492"/>
    <s v="DEBIT"/>
    <n v="3"/>
    <n v="2"/>
    <s v="DELAYED"/>
    <n v="1359"/>
    <n v="1"/>
    <n v="84.4"/>
    <n v="11"/>
    <s v="Pet Shop"/>
    <n v="19045"/>
    <s v="Durgapur"/>
    <d v="2021-01-05T00:00:00"/>
    <n v="1"/>
    <n v="2021"/>
    <s v="South Asia"/>
    <x v="0"/>
    <s v="COMPLETE"/>
    <s v="COMPLETED"/>
    <s v="Second Class"/>
    <n v="84.4"/>
  </r>
  <r>
    <n v="75493"/>
    <s v="PAYMENT"/>
    <n v="4"/>
    <n v="2"/>
    <s v="DELAYED"/>
    <n v="1359"/>
    <n v="1"/>
    <n v="84.4"/>
    <n v="11"/>
    <s v="Pet Shop"/>
    <n v="19046"/>
    <s v="Durgapur"/>
    <d v="2021-01-06T00:00:00"/>
    <n v="1"/>
    <n v="2021"/>
    <s v="South Asia"/>
    <x v="0"/>
    <s v="PENDING_PAYMENT"/>
    <s v="PENDING"/>
    <s v="Second Class"/>
    <n v="84.4"/>
  </r>
  <r>
    <n v="75494"/>
    <s v="PAYMENT"/>
    <n v="5"/>
    <n v="2"/>
    <s v="DELAYED"/>
    <n v="1359"/>
    <n v="1"/>
    <n v="84.4"/>
    <n v="11"/>
    <s v="Pet Shop"/>
    <n v="19047"/>
    <s v="Durgapur"/>
    <d v="2021-01-06T00:00:00"/>
    <n v="1"/>
    <n v="2021"/>
    <s v="South Asia"/>
    <x v="0"/>
    <s v="PENDING_PAYMENT"/>
    <s v="PENDING"/>
    <s v="Second Class"/>
    <n v="84.4"/>
  </r>
  <r>
    <n v="75525"/>
    <s v="CASH"/>
    <n v="6"/>
    <n v="4"/>
    <s v="DELAYED"/>
    <n v="1359"/>
    <n v="1"/>
    <n v="84.4"/>
    <n v="11"/>
    <s v="Pet Shop"/>
    <n v="19078"/>
    <s v="Ujjain"/>
    <d v="2021-01-06T00:00:00"/>
    <n v="1"/>
    <n v="2021"/>
    <s v="South Asia"/>
    <x v="14"/>
    <s v="CLOSED"/>
    <s v="PENDING"/>
    <s v="Standard Class"/>
    <n v="84.4"/>
  </r>
  <r>
    <n v="75526"/>
    <s v="DEBIT"/>
    <n v="0"/>
    <n v="0"/>
    <s v=" ONTIME"/>
    <n v="1359"/>
    <n v="1"/>
    <n v="84.4"/>
    <n v="11"/>
    <s v="Pet Shop"/>
    <n v="19079"/>
    <s v="Ujjain"/>
    <d v="2021-01-06T00:00:00"/>
    <n v="1"/>
    <n v="2021"/>
    <s v="South Asia"/>
    <x v="14"/>
    <s v="ON_HOLD"/>
    <s v="PENDING"/>
    <s v="Same Day"/>
    <n v="84.4"/>
  </r>
  <r>
    <n v="75527"/>
    <s v="DEBIT"/>
    <n v="1"/>
    <n v="0"/>
    <s v="DELAYED"/>
    <n v="1359"/>
    <n v="1"/>
    <n v="84.4"/>
    <n v="11"/>
    <s v="Pet Shop"/>
    <n v="19080"/>
    <s v="Ujjain"/>
    <d v="2021-01-06T00:00:00"/>
    <n v="1"/>
    <n v="2021"/>
    <s v="South Asia"/>
    <x v="14"/>
    <s v="COMPLETE"/>
    <s v="COMPLETED"/>
    <s v="Same Day"/>
    <n v="84.4"/>
  </r>
  <r>
    <n v="75528"/>
    <s v="TRANSFER"/>
    <n v="2"/>
    <n v="1"/>
    <s v="DELAYED"/>
    <n v="1359"/>
    <n v="1"/>
    <n v="84.4"/>
    <n v="11"/>
    <s v="Pet Shop"/>
    <n v="19081"/>
    <s v="Ujjain"/>
    <d v="2021-01-06T00:00:00"/>
    <n v="1"/>
    <n v="2021"/>
    <s v="South Asia"/>
    <x v="14"/>
    <s v="PENDING"/>
    <s v="PENDING"/>
    <s v="First Class"/>
    <n v="84.4"/>
  </r>
  <r>
    <n v="75539"/>
    <s v="DEBIT"/>
    <n v="5"/>
    <n v="4"/>
    <s v="DELAYED"/>
    <n v="1359"/>
    <n v="1"/>
    <n v="84.4"/>
    <n v="11"/>
    <s v="Pet Shop"/>
    <n v="19092"/>
    <s v="Vadodara"/>
    <d v="2021-01-06T00:00:00"/>
    <n v="1"/>
    <n v="2021"/>
    <s v="South Asia"/>
    <x v="4"/>
    <s v="COMPLETE"/>
    <s v="COMPLETED"/>
    <s v="Standard Class"/>
    <n v="84.4"/>
  </r>
  <r>
    <n v="75540"/>
    <s v="TRANSFER"/>
    <n v="6"/>
    <n v="4"/>
    <s v="DELAYED"/>
    <n v="1359"/>
    <n v="1"/>
    <n v="84.4"/>
    <n v="11"/>
    <s v="Pet Shop"/>
    <n v="19093"/>
    <s v="Vadodara"/>
    <d v="2021-01-06T00:00:00"/>
    <n v="1"/>
    <n v="2021"/>
    <s v="South Asia"/>
    <x v="4"/>
    <s v="PENDING"/>
    <s v="PENDING"/>
    <s v="Standard Class"/>
    <n v="84.4"/>
  </r>
  <r>
    <n v="75541"/>
    <s v="PAYMENT"/>
    <n v="2"/>
    <n v="4"/>
    <s v=" ONTIME"/>
    <n v="1359"/>
    <n v="1"/>
    <n v="84.4"/>
    <n v="11"/>
    <s v="Pet Shop"/>
    <n v="19094"/>
    <s v="Vadodara"/>
    <d v="2021-01-06T00:00:00"/>
    <n v="1"/>
    <n v="2021"/>
    <s v="South Asia"/>
    <x v="4"/>
    <s v="PENDING_PAYMENT"/>
    <s v="PENDING"/>
    <s v="Standard Class"/>
    <n v="84.4"/>
  </r>
  <r>
    <n v="75543"/>
    <s v="PAYMENT"/>
    <n v="4"/>
    <n v="4"/>
    <s v=" ONTIME"/>
    <n v="1359"/>
    <n v="1"/>
    <n v="84.4"/>
    <n v="11"/>
    <s v="Pet Shop"/>
    <n v="19096"/>
    <s v="Jamnagar"/>
    <d v="2021-01-06T00:00:00"/>
    <n v="1"/>
    <n v="2021"/>
    <s v="South Asia"/>
    <x v="4"/>
    <s v="PENDING_PAYMENT"/>
    <s v="PENDING"/>
    <s v="Standard Class"/>
    <n v="84.4"/>
  </r>
  <r>
    <n v="75556"/>
    <s v="DEBIT"/>
    <n v="2"/>
    <n v="1"/>
    <s v="DELAYED"/>
    <n v="1359"/>
    <n v="1"/>
    <n v="84.4"/>
    <n v="11"/>
    <s v="Pet Shop"/>
    <n v="19109"/>
    <s v="Bangalore"/>
    <d v="2021-01-06T00:00:00"/>
    <n v="1"/>
    <n v="2021"/>
    <s v="South Asia"/>
    <x v="8"/>
    <s v="ON_HOLD"/>
    <s v="PENDING"/>
    <s v="First Class"/>
    <n v="84.4"/>
  </r>
  <r>
    <n v="75557"/>
    <s v="DEBIT"/>
    <n v="2"/>
    <n v="1"/>
    <s v="DELAYED"/>
    <n v="1359"/>
    <n v="1"/>
    <n v="84.4"/>
    <n v="11"/>
    <s v="Pet Shop"/>
    <n v="19110"/>
    <s v="Bangalore"/>
    <d v="2021-01-06T00:00:00"/>
    <n v="1"/>
    <n v="2021"/>
    <s v="South Asia"/>
    <x v="8"/>
    <s v="COMPLETE"/>
    <s v="COMPLETED"/>
    <s v="First Class"/>
    <n v="84.4"/>
  </r>
  <r>
    <n v="75566"/>
    <s v="DEBIT"/>
    <n v="2"/>
    <n v="4"/>
    <s v=" ONTIME"/>
    <n v="1359"/>
    <n v="1"/>
    <n v="84.4"/>
    <n v="11"/>
    <s v="Pet Shop"/>
    <n v="19119"/>
    <s v="Mangalore"/>
    <d v="2021-01-07T00:00:00"/>
    <n v="1"/>
    <n v="2021"/>
    <s v="South Asia"/>
    <x v="8"/>
    <s v="COMPLETE"/>
    <s v="COMPLETED"/>
    <s v="Standard Class"/>
    <n v="84.4"/>
  </r>
  <r>
    <n v="75574"/>
    <s v="PAYMENT"/>
    <n v="2"/>
    <n v="1"/>
    <s v="DELAYED"/>
    <n v="1359"/>
    <n v="1"/>
    <n v="84.4"/>
    <n v="11"/>
    <s v="Pet Shop"/>
    <n v="19127"/>
    <s v="Imphal"/>
    <d v="2021-01-07T00:00:00"/>
    <n v="1"/>
    <n v="2021"/>
    <s v="South Asia"/>
    <x v="5"/>
    <s v="PENDING_PAYMENT"/>
    <s v="PENDING"/>
    <s v="First Class"/>
    <n v="84.4"/>
  </r>
  <r>
    <n v="75581"/>
    <s v="DEBIT"/>
    <n v="2"/>
    <n v="4"/>
    <s v=" ONTIME"/>
    <n v="1359"/>
    <n v="1"/>
    <n v="84.4"/>
    <n v="11"/>
    <s v="Pet Shop"/>
    <n v="19134"/>
    <s v="Avadi"/>
    <d v="2021-01-07T00:00:00"/>
    <n v="1"/>
    <n v="2021"/>
    <s v="South Asia"/>
    <x v="3"/>
    <s v="COMPLETE"/>
    <s v="COMPLETED"/>
    <s v="Standard Class"/>
    <n v="84.4"/>
  </r>
  <r>
    <n v="75582"/>
    <s v="PAYMENT"/>
    <n v="3"/>
    <n v="4"/>
    <s v=" ONTIME"/>
    <n v="1359"/>
    <n v="1"/>
    <n v="84.4"/>
    <n v="11"/>
    <s v="Pet Shop"/>
    <n v="19135"/>
    <s v="Avadi"/>
    <d v="2021-01-07T00:00:00"/>
    <n v="1"/>
    <n v="2021"/>
    <s v="South Asia"/>
    <x v="3"/>
    <s v="PENDING_PAYMENT"/>
    <s v="PENDING"/>
    <s v="Standard Class"/>
    <n v="84.4"/>
  </r>
  <r>
    <n v="75605"/>
    <s v="TRANSFER"/>
    <n v="6"/>
    <n v="2"/>
    <s v="DELAYED"/>
    <n v="1359"/>
    <n v="1"/>
    <n v="84.4"/>
    <n v="11"/>
    <s v="Pet Shop"/>
    <n v="19158"/>
    <s v="Warangal"/>
    <d v="2021-01-07T00:00:00"/>
    <n v="1"/>
    <n v="2021"/>
    <s v="South Asia"/>
    <x v="7"/>
    <s v="PENDING"/>
    <s v="PENDING"/>
    <s v="Second Class"/>
    <n v="84.4"/>
  </r>
  <r>
    <n v="75633"/>
    <s v="DEBIT"/>
    <n v="4"/>
    <n v="2"/>
    <s v="DELAYED"/>
    <n v="1359"/>
    <n v="1"/>
    <n v="84.4"/>
    <n v="11"/>
    <s v="Pet Shop"/>
    <n v="19186"/>
    <s v="Thane"/>
    <d v="2021-01-08T00:00:00"/>
    <n v="1"/>
    <n v="2021"/>
    <s v="South Asia"/>
    <x v="0"/>
    <s v="COMPLETE"/>
    <s v="COMPLETED"/>
    <s v="Second Class"/>
    <n v="84.4"/>
  </r>
  <r>
    <n v="75654"/>
    <s v="TRANSFER"/>
    <n v="5"/>
    <n v="2"/>
    <s v="DELAYED"/>
    <n v="1359"/>
    <n v="1"/>
    <n v="84.4"/>
    <n v="11"/>
    <s v="Pet Shop"/>
    <n v="19207"/>
    <s v="Puducherry"/>
    <d v="2021-01-08T00:00:00"/>
    <n v="1"/>
    <n v="2021"/>
    <s v="South Asia"/>
    <x v="23"/>
    <s v="PROCESSING"/>
    <s v="PENDING"/>
    <s v="Second Class"/>
    <n v="84.4"/>
  </r>
  <r>
    <n v="75656"/>
    <s v="PAYMENT"/>
    <n v="2"/>
    <n v="4"/>
    <s v=" ONTIME"/>
    <n v="1359"/>
    <n v="1"/>
    <n v="84.4"/>
    <n v="11"/>
    <s v="Pet Shop"/>
    <n v="19209"/>
    <s v="Nagpur"/>
    <d v="2021-01-08T00:00:00"/>
    <n v="1"/>
    <n v="2021"/>
    <s v="South Asia"/>
    <x v="0"/>
    <s v="PENDING_PAYMENT"/>
    <s v="PENDING"/>
    <s v="Standard Class"/>
    <n v="84.4"/>
  </r>
  <r>
    <n v="75657"/>
    <s v="CASH"/>
    <n v="3"/>
    <n v="4"/>
    <s v=" ONTIME"/>
    <n v="1359"/>
    <n v="1"/>
    <n v="84.4"/>
    <n v="11"/>
    <s v="Pet Shop"/>
    <n v="19210"/>
    <s v="Bangalore"/>
    <d v="2021-01-08T00:00:00"/>
    <n v="1"/>
    <n v="2021"/>
    <s v="South Asia"/>
    <x v="8"/>
    <s v="CLOSED"/>
    <s v="PENDING"/>
    <s v="Standard Class"/>
    <n v="84.4"/>
  </r>
  <r>
    <n v="75658"/>
    <s v="TRANSFER"/>
    <n v="4"/>
    <n v="4"/>
    <s v=" ONTIME"/>
    <n v="1359"/>
    <n v="1"/>
    <n v="84.4"/>
    <n v="11"/>
    <s v="Pet Shop"/>
    <n v="19211"/>
    <s v="Bangalore"/>
    <d v="2021-01-08T00:00:00"/>
    <n v="1"/>
    <n v="2021"/>
    <s v="South Asia"/>
    <x v="8"/>
    <s v="PROCESSING"/>
    <s v="PENDING"/>
    <s v="Standard Class"/>
    <n v="84.4"/>
  </r>
  <r>
    <n v="75659"/>
    <s v="CASH"/>
    <n v="5"/>
    <n v="2"/>
    <s v="DELAYED"/>
    <n v="1359"/>
    <n v="1"/>
    <n v="84.4"/>
    <n v="11"/>
    <s v="Pet Shop"/>
    <n v="19212"/>
    <s v="Bangalore"/>
    <d v="2021-01-08T00:00:00"/>
    <n v="1"/>
    <n v="2021"/>
    <s v="South Asia"/>
    <x v="8"/>
    <s v="CLOSED"/>
    <s v="PENDING"/>
    <s v="Second Class"/>
    <n v="84.4"/>
  </r>
  <r>
    <n v="75660"/>
    <s v="CASH"/>
    <n v="6"/>
    <n v="4"/>
    <s v="DELAYED"/>
    <n v="1359"/>
    <n v="1"/>
    <n v="84.4"/>
    <n v="11"/>
    <s v="Pet Shop"/>
    <n v="19213"/>
    <s v="Bangalore"/>
    <d v="2021-01-08T00:00:00"/>
    <n v="1"/>
    <n v="2021"/>
    <s v="South Asia"/>
    <x v="8"/>
    <s v="CLOSED"/>
    <s v="PENDING"/>
    <s v="Standard Class"/>
    <n v="84.4"/>
  </r>
  <r>
    <n v="75661"/>
    <s v="DEBIT"/>
    <n v="2"/>
    <n v="4"/>
    <s v=" ONTIME"/>
    <n v="1359"/>
    <n v="1"/>
    <n v="84.4"/>
    <n v="11"/>
    <s v="Pet Shop"/>
    <n v="19214"/>
    <s v="Bangalore"/>
    <d v="2021-01-08T00:00:00"/>
    <n v="1"/>
    <n v="2021"/>
    <s v="South Asia"/>
    <x v="8"/>
    <s v="COMPLETE"/>
    <s v="COMPLETED"/>
    <s v="Standard Class"/>
    <n v="84.4"/>
  </r>
  <r>
    <n v="75662"/>
    <s v="PAYMENT"/>
    <n v="3"/>
    <n v="2"/>
    <s v="DELAYED"/>
    <n v="1359"/>
    <n v="1"/>
    <n v="84.4"/>
    <n v="11"/>
    <s v="Pet Shop"/>
    <n v="19215"/>
    <s v="Bangalore"/>
    <d v="2021-01-08T00:00:00"/>
    <n v="1"/>
    <n v="2021"/>
    <s v="South Asia"/>
    <x v="8"/>
    <s v="PENDING_PAYMENT"/>
    <s v="PENDING"/>
    <s v="Second Class"/>
    <n v="84.4"/>
  </r>
  <r>
    <n v="75663"/>
    <s v="DEBIT"/>
    <n v="2"/>
    <n v="1"/>
    <s v="DELAYED"/>
    <n v="1359"/>
    <n v="1"/>
    <n v="84.4"/>
    <n v="11"/>
    <s v="Pet Shop"/>
    <n v="19216"/>
    <s v="Bangalore"/>
    <d v="2021-01-08T00:00:00"/>
    <n v="1"/>
    <n v="2021"/>
    <s v="South Asia"/>
    <x v="8"/>
    <s v="COMPLETE"/>
    <s v="COMPLETED"/>
    <s v="First Class"/>
    <n v="84.4"/>
  </r>
  <r>
    <n v="75664"/>
    <s v="PAYMENT"/>
    <n v="5"/>
    <n v="2"/>
    <s v="DELAYED"/>
    <n v="1359"/>
    <n v="1"/>
    <n v="84.4"/>
    <n v="11"/>
    <s v="Pet Shop"/>
    <n v="19217"/>
    <s v="Bangalore"/>
    <d v="2021-01-08T00:00:00"/>
    <n v="1"/>
    <n v="2021"/>
    <s v="South Asia"/>
    <x v="8"/>
    <s v="PENDING_PAYMENT"/>
    <s v="PENDING"/>
    <s v="Second Class"/>
    <n v="84.4"/>
  </r>
  <r>
    <n v="75665"/>
    <s v="PAYMENT"/>
    <n v="6"/>
    <n v="2"/>
    <s v="DELAYED"/>
    <n v="1359"/>
    <n v="1"/>
    <n v="84.4"/>
    <n v="11"/>
    <s v="Pet Shop"/>
    <n v="19218"/>
    <s v="Bangalore"/>
    <d v="2021-01-08T00:00:00"/>
    <n v="1"/>
    <n v="2021"/>
    <s v="South Asia"/>
    <x v="8"/>
    <s v="PENDING_PAYMENT"/>
    <s v="PENDING"/>
    <s v="Second Class"/>
    <n v="84.4"/>
  </r>
  <r>
    <n v="75693"/>
    <s v="PAYMENT"/>
    <n v="4"/>
    <n v="4"/>
    <s v=" ONTIME"/>
    <n v="1359"/>
    <n v="1"/>
    <n v="84.4"/>
    <n v="11"/>
    <s v="Pet Shop"/>
    <n v="19246"/>
    <s v="Parbhani"/>
    <d v="2021-01-08T00:00:00"/>
    <n v="1"/>
    <n v="2021"/>
    <s v="South Asia"/>
    <x v="0"/>
    <s v="PENDING_PAYMENT"/>
    <s v="PENDING"/>
    <s v="Standard Class"/>
    <n v="84.4"/>
  </r>
  <r>
    <n v="75694"/>
    <s v="PAYMENT"/>
    <n v="5"/>
    <n v="4"/>
    <s v="DELAYED"/>
    <n v="1359"/>
    <n v="1"/>
    <n v="84.4"/>
    <n v="11"/>
    <s v="Pet Shop"/>
    <n v="19247"/>
    <s v="Parbhani"/>
    <d v="2021-01-08T00:00:00"/>
    <n v="1"/>
    <n v="2021"/>
    <s v="South Asia"/>
    <x v="0"/>
    <s v="PENDING_PAYMENT"/>
    <s v="PENDING"/>
    <s v="Standard Class"/>
    <n v="84.4"/>
  </r>
  <r>
    <n v="75704"/>
    <s v="TRANSFER"/>
    <n v="2"/>
    <n v="1"/>
    <s v="DELAYED"/>
    <n v="1359"/>
    <n v="1"/>
    <n v="84.4"/>
    <n v="11"/>
    <s v="Pet Shop"/>
    <n v="19257"/>
    <s v="Patna"/>
    <d v="2021-01-09T00:00:00"/>
    <n v="1"/>
    <n v="2021"/>
    <s v="South Asia"/>
    <x v="17"/>
    <s v="PENDING"/>
    <s v="PENDING"/>
    <s v="First Class"/>
    <n v="84.4"/>
  </r>
  <r>
    <n v="75747"/>
    <s v="PAYMENT"/>
    <n v="1"/>
    <n v="0"/>
    <s v="DELAYED"/>
    <n v="1360"/>
    <n v="1"/>
    <n v="327.75"/>
    <n v="2"/>
    <s v="Fitness"/>
    <n v="19300"/>
    <s v="Delhi"/>
    <d v="2021-01-09T00:00:00"/>
    <n v="1"/>
    <n v="2021"/>
    <s v="South Asia"/>
    <x v="11"/>
    <s v="PENDING_PAYMENT"/>
    <s v="PENDING"/>
    <s v="Same Day"/>
    <n v="327.75"/>
  </r>
  <r>
    <n v="75767"/>
    <s v="TRANSFER"/>
    <n v="3"/>
    <n v="4"/>
    <s v=" ONTIME"/>
    <n v="1360"/>
    <n v="1"/>
    <n v="327.75"/>
    <n v="2"/>
    <s v="Fitness"/>
    <n v="19320"/>
    <s v="Pune"/>
    <d v="2021-01-10T00:00:00"/>
    <n v="1"/>
    <n v="2021"/>
    <s v="South Asia"/>
    <x v="0"/>
    <s v="PROCESSING"/>
    <s v="PENDING"/>
    <s v="Standard Class"/>
    <n v="327.75"/>
  </r>
  <r>
    <n v="75768"/>
    <s v="DEBIT"/>
    <n v="4"/>
    <n v="4"/>
    <s v=" ONTIME"/>
    <n v="1360"/>
    <n v="1"/>
    <n v="327.75"/>
    <n v="2"/>
    <s v="Fitness"/>
    <n v="19321"/>
    <s v="Bihar Sharif"/>
    <d v="2021-01-10T00:00:00"/>
    <n v="1"/>
    <n v="2021"/>
    <s v="South Asia"/>
    <x v="17"/>
    <s v="COMPLETE"/>
    <s v="COMPLETED"/>
    <s v="Standard Class"/>
    <n v="327.75"/>
  </r>
  <r>
    <n v="75784"/>
    <s v="PAYMENT"/>
    <n v="5"/>
    <n v="4"/>
    <s v="DELAYED"/>
    <n v="1360"/>
    <n v="1"/>
    <n v="327.75"/>
    <n v="2"/>
    <s v="Fitness"/>
    <n v="19337"/>
    <s v="Solapur"/>
    <d v="2021-01-10T00:00:00"/>
    <n v="1"/>
    <n v="2021"/>
    <s v="South Asia"/>
    <x v="0"/>
    <s v="PENDING_PAYMENT"/>
    <s v="PENDING"/>
    <s v="Standard Class"/>
    <n v="327.75"/>
  </r>
  <r>
    <n v="75785"/>
    <s v="DEBIT"/>
    <n v="6"/>
    <n v="4"/>
    <s v="DELAYED"/>
    <n v="1360"/>
    <n v="1"/>
    <n v="327.75"/>
    <n v="2"/>
    <s v="Fitness"/>
    <n v="19338"/>
    <s v="Solapur"/>
    <d v="2021-01-10T00:00:00"/>
    <n v="1"/>
    <n v="2021"/>
    <s v="South Asia"/>
    <x v="0"/>
    <s v="COMPLETE"/>
    <s v="COMPLETED"/>
    <s v="Standard Class"/>
    <n v="327.75"/>
  </r>
  <r>
    <n v="75786"/>
    <s v="TRANSFER"/>
    <n v="2"/>
    <n v="1"/>
    <s v="DELAYED"/>
    <n v="1360"/>
    <n v="1"/>
    <n v="327.75"/>
    <n v="2"/>
    <s v="Fitness"/>
    <n v="19339"/>
    <s v="Solapur"/>
    <d v="2021-01-10T00:00:00"/>
    <n v="1"/>
    <n v="2021"/>
    <s v="South Asia"/>
    <x v="0"/>
    <s v="PROCESSING"/>
    <s v="PENDING"/>
    <s v="First Class"/>
    <n v="327.75"/>
  </r>
  <r>
    <n v="75798"/>
    <s v="TRANSFER"/>
    <n v="4"/>
    <n v="4"/>
    <s v=" ONTIME"/>
    <n v="1360"/>
    <n v="1"/>
    <n v="327.75"/>
    <n v="2"/>
    <s v="Fitness"/>
    <n v="19351"/>
    <s v="Raipur"/>
    <d v="2021-01-10T00:00:00"/>
    <n v="1"/>
    <n v="2021"/>
    <s v="South Asia"/>
    <x v="18"/>
    <s v="PROCESSING"/>
    <s v="PENDING"/>
    <s v="Standard Class"/>
    <n v="327.75"/>
  </r>
  <r>
    <n v="75800"/>
    <s v="DEBIT"/>
    <n v="6"/>
    <n v="4"/>
    <s v="DELAYED"/>
    <n v="1360"/>
    <n v="1"/>
    <n v="327.75"/>
    <n v="2"/>
    <s v="Fitness"/>
    <n v="19353"/>
    <s v="Jaipur"/>
    <d v="2021-01-10T00:00:00"/>
    <n v="1"/>
    <n v="2021"/>
    <s v="South Asia"/>
    <x v="2"/>
    <s v="COMPLETE"/>
    <s v="COMPLETED"/>
    <s v="Standard Class"/>
    <n v="327.75"/>
  </r>
  <r>
    <n v="75801"/>
    <s v="DEBIT"/>
    <n v="1"/>
    <n v="0"/>
    <s v="DELAYED"/>
    <n v="1360"/>
    <n v="1"/>
    <n v="327.75"/>
    <n v="2"/>
    <s v="Fitness"/>
    <n v="19354"/>
    <s v="Jaipur"/>
    <d v="2021-01-10T00:00:00"/>
    <n v="1"/>
    <n v="2021"/>
    <s v="South Asia"/>
    <x v="2"/>
    <s v="COMPLETE"/>
    <s v="COMPLETED"/>
    <s v="Same Day"/>
    <n v="327.75"/>
  </r>
  <r>
    <n v="75821"/>
    <s v="DEBIT"/>
    <n v="2"/>
    <n v="4"/>
    <s v=" ONTIME"/>
    <n v="1360"/>
    <n v="1"/>
    <n v="327.75"/>
    <n v="2"/>
    <s v="Fitness"/>
    <n v="19374"/>
    <s v="Nagpur"/>
    <d v="2021-01-10T00:00:00"/>
    <n v="1"/>
    <n v="2021"/>
    <s v="South Asia"/>
    <x v="0"/>
    <s v="COMPLETE"/>
    <s v="COMPLETED"/>
    <s v="Standard Class"/>
    <n v="327.75"/>
  </r>
  <r>
    <n v="75822"/>
    <s v="DEBIT"/>
    <n v="3"/>
    <n v="4"/>
    <s v=" ONTIME"/>
    <n v="1360"/>
    <n v="1"/>
    <n v="327.75"/>
    <n v="2"/>
    <s v="Fitness"/>
    <n v="19375"/>
    <s v="Nagpur"/>
    <d v="2021-01-10T00:00:00"/>
    <n v="1"/>
    <n v="2021"/>
    <s v="South Asia"/>
    <x v="0"/>
    <s v="COMPLETE"/>
    <s v="COMPLETED"/>
    <s v="Standard Class"/>
    <n v="327.75"/>
  </r>
  <r>
    <n v="75831"/>
    <s v="PAYMENT"/>
    <n v="2"/>
    <n v="1"/>
    <s v="DELAYED"/>
    <n v="1360"/>
    <n v="1"/>
    <n v="327.75"/>
    <n v="2"/>
    <s v="Fitness"/>
    <n v="19384"/>
    <s v="Gorakhpur"/>
    <d v="2021-01-10T00:00:00"/>
    <n v="1"/>
    <n v="2021"/>
    <s v="South Asia"/>
    <x v="10"/>
    <s v="PENDING_PAYMENT"/>
    <s v="PENDING"/>
    <s v="First Class"/>
    <n v="327.75"/>
  </r>
  <r>
    <n v="75832"/>
    <s v="CASH"/>
    <n v="2"/>
    <n v="1"/>
    <s v="DELAYED"/>
    <n v="1360"/>
    <n v="1"/>
    <n v="327.75"/>
    <n v="2"/>
    <s v="Fitness"/>
    <n v="19385"/>
    <s v="Rajkot"/>
    <d v="2021-01-10T00:00:00"/>
    <n v="1"/>
    <n v="2021"/>
    <s v="South Asia"/>
    <x v="4"/>
    <s v="CLOSED"/>
    <s v="PENDING"/>
    <s v="First Class"/>
    <n v="327.75"/>
  </r>
  <r>
    <n v="75833"/>
    <s v="DEBIT"/>
    <n v="2"/>
    <n v="1"/>
    <s v="DELAYED"/>
    <n v="1360"/>
    <n v="1"/>
    <n v="327.75"/>
    <n v="2"/>
    <s v="Fitness"/>
    <n v="19386"/>
    <s v="Rajkot"/>
    <d v="2021-01-10T00:00:00"/>
    <n v="1"/>
    <n v="2021"/>
    <s v="South Asia"/>
    <x v="4"/>
    <s v="COMPLETE"/>
    <s v="COMPLETED"/>
    <s v="First Class"/>
    <n v="327.75"/>
  </r>
  <r>
    <n v="75834"/>
    <s v="PAYMENT"/>
    <n v="5"/>
    <n v="2"/>
    <s v="DELAYED"/>
    <n v="1360"/>
    <n v="1"/>
    <n v="327.75"/>
    <n v="2"/>
    <s v="Fitness"/>
    <n v="19387"/>
    <s v="Rajkot"/>
    <d v="2021-01-10T00:00:00"/>
    <n v="1"/>
    <n v="2021"/>
    <s v="South Asia"/>
    <x v="4"/>
    <s v="PENDING_PAYMENT"/>
    <s v="PENDING"/>
    <s v="Second Class"/>
    <n v="327.75"/>
  </r>
  <r>
    <n v="75835"/>
    <s v="DEBIT"/>
    <n v="6"/>
    <n v="2"/>
    <s v="DELAYED"/>
    <n v="1360"/>
    <n v="1"/>
    <n v="327.75"/>
    <n v="2"/>
    <s v="Fitness"/>
    <n v="19388"/>
    <s v="Rajkot"/>
    <d v="2021-01-11T00:00:00"/>
    <n v="1"/>
    <n v="2021"/>
    <s v="South Asia"/>
    <x v="4"/>
    <s v="COMPLETE"/>
    <s v="COMPLETED"/>
    <s v="Second Class"/>
    <n v="327.75"/>
  </r>
  <r>
    <n v="75846"/>
    <s v="TRANSFER"/>
    <n v="2"/>
    <n v="4"/>
    <s v=" ONTIME"/>
    <n v="1360"/>
    <n v="1"/>
    <n v="327.75"/>
    <n v="2"/>
    <s v="Fitness"/>
    <n v="19399"/>
    <s v="Bangalore"/>
    <d v="2021-01-11T00:00:00"/>
    <n v="1"/>
    <n v="2021"/>
    <s v="South Asia"/>
    <x v="8"/>
    <s v="PROCESSING"/>
    <s v="PENDING"/>
    <s v="Standard Class"/>
    <n v="327.75"/>
  </r>
  <r>
    <n v="75847"/>
    <s v="TRANSFER"/>
    <n v="3"/>
    <n v="2"/>
    <s v="DELAYED"/>
    <n v="1360"/>
    <n v="1"/>
    <n v="327.75"/>
    <n v="2"/>
    <s v="Fitness"/>
    <n v="19400"/>
    <s v="Bangalore"/>
    <d v="2021-01-11T00:00:00"/>
    <n v="1"/>
    <n v="2021"/>
    <s v="South Asia"/>
    <x v="8"/>
    <s v="SUSPECTED_FRAUD"/>
    <s v="PENDING"/>
    <s v="Second Class"/>
    <n v="327.75"/>
  </r>
  <r>
    <n v="75848"/>
    <s v="PAYMENT"/>
    <n v="4"/>
    <n v="2"/>
    <s v="DELAYED"/>
    <n v="1360"/>
    <n v="1"/>
    <n v="327.75"/>
    <n v="2"/>
    <s v="Fitness"/>
    <n v="19401"/>
    <s v="Bangalore"/>
    <d v="2021-01-11T00:00:00"/>
    <n v="1"/>
    <n v="2021"/>
    <s v="South Asia"/>
    <x v="8"/>
    <s v="PENDING_PAYMENT"/>
    <s v="PENDING"/>
    <s v="Second Class"/>
    <n v="327.75"/>
  </r>
  <r>
    <n v="75849"/>
    <s v="PAYMENT"/>
    <n v="5"/>
    <n v="4"/>
    <s v="DELAYED"/>
    <n v="1360"/>
    <n v="1"/>
    <n v="327.75"/>
    <n v="2"/>
    <s v="Fitness"/>
    <n v="19402"/>
    <s v="Bangalore"/>
    <d v="2021-01-11T00:00:00"/>
    <n v="1"/>
    <n v="2021"/>
    <s v="South Asia"/>
    <x v="8"/>
    <s v="PENDING_PAYMENT"/>
    <s v="PENDING"/>
    <s v="Standard Class"/>
    <n v="327.75"/>
  </r>
  <r>
    <n v="75850"/>
    <s v="DEBIT"/>
    <n v="6"/>
    <n v="4"/>
    <s v="DELAYED"/>
    <n v="1360"/>
    <n v="1"/>
    <n v="327.75"/>
    <n v="2"/>
    <s v="Fitness"/>
    <n v="19403"/>
    <s v="Bangalore"/>
    <d v="2021-01-11T00:00:00"/>
    <n v="1"/>
    <n v="2021"/>
    <s v="South Asia"/>
    <x v="8"/>
    <s v="COMPLETE"/>
    <s v="COMPLETED"/>
    <s v="Standard Class"/>
    <n v="327.75"/>
  </r>
  <r>
    <n v="75869"/>
    <s v="DEBIT"/>
    <n v="2"/>
    <n v="1"/>
    <s v="DELAYED"/>
    <n v="1360"/>
    <n v="1"/>
    <n v="327.75"/>
    <n v="2"/>
    <s v="Fitness"/>
    <n v="19422"/>
    <s v="Pune"/>
    <d v="2021-01-11T00:00:00"/>
    <n v="1"/>
    <n v="2021"/>
    <s v="South Asia"/>
    <x v="0"/>
    <s v="COMPLETE"/>
    <s v="COMPLETED"/>
    <s v="First Class"/>
    <n v="327.75"/>
  </r>
  <r>
    <n v="75870"/>
    <s v="DEBIT"/>
    <n v="2"/>
    <n v="1"/>
    <s v="DELAYED"/>
    <n v="1360"/>
    <n v="1"/>
    <n v="327.75"/>
    <n v="2"/>
    <s v="Fitness"/>
    <n v="19423"/>
    <s v="Pune"/>
    <d v="2021-01-11T00:00:00"/>
    <n v="1"/>
    <n v="2021"/>
    <s v="South Asia"/>
    <x v="0"/>
    <s v="COMPLETE"/>
    <s v="COMPLETED"/>
    <s v="First Class"/>
    <n v="327.75"/>
  </r>
  <r>
    <n v="75871"/>
    <s v="DEBIT"/>
    <n v="2"/>
    <n v="1"/>
    <s v="DELAYED"/>
    <n v="1360"/>
    <n v="1"/>
    <n v="327.75"/>
    <n v="2"/>
    <s v="Fitness"/>
    <n v="19424"/>
    <s v="Pune"/>
    <d v="2021-01-11T00:00:00"/>
    <n v="1"/>
    <n v="2021"/>
    <s v="South Asia"/>
    <x v="0"/>
    <s v="COMPLETE"/>
    <s v="COMPLETED"/>
    <s v="First Class"/>
    <n v="327.75"/>
  </r>
  <r>
    <n v="75872"/>
    <s v="TRANSFER"/>
    <n v="3"/>
    <n v="4"/>
    <s v=" ONTIME"/>
    <n v="1360"/>
    <n v="1"/>
    <n v="327.75"/>
    <n v="2"/>
    <s v="Fitness"/>
    <n v="19425"/>
    <s v="Pune"/>
    <d v="2021-01-11T00:00:00"/>
    <n v="1"/>
    <n v="2021"/>
    <s v="South Asia"/>
    <x v="0"/>
    <s v="PENDING"/>
    <s v="PENDING"/>
    <s v="Standard Class"/>
    <n v="327.75"/>
  </r>
  <r>
    <n v="75873"/>
    <s v="TRANSFER"/>
    <n v="4"/>
    <n v="4"/>
    <s v=" ONTIME"/>
    <n v="1360"/>
    <n v="1"/>
    <n v="327.75"/>
    <n v="2"/>
    <s v="Fitness"/>
    <n v="19426"/>
    <s v="Pune"/>
    <d v="2021-01-11T00:00:00"/>
    <n v="1"/>
    <n v="2021"/>
    <s v="South Asia"/>
    <x v="0"/>
    <s v="PROCESSING"/>
    <s v="PENDING"/>
    <s v="Standard Class"/>
    <n v="327.75"/>
  </r>
  <r>
    <n v="75878"/>
    <s v="DEBIT"/>
    <n v="4"/>
    <n v="4"/>
    <s v=" ONTIME"/>
    <n v="1360"/>
    <n v="1"/>
    <n v="327.75"/>
    <n v="2"/>
    <s v="Fitness"/>
    <n v="19431"/>
    <s v="Ujjain"/>
    <d v="2021-01-11T00:00:00"/>
    <n v="1"/>
    <n v="2021"/>
    <s v="South Asia"/>
    <x v="14"/>
    <s v="COMPLETE"/>
    <s v="COMPLETED"/>
    <s v="Standard Class"/>
    <n v="327.75"/>
  </r>
  <r>
    <n v="75879"/>
    <s v="TRANSFER"/>
    <n v="5"/>
    <n v="4"/>
    <s v="DELAYED"/>
    <n v="1360"/>
    <n v="1"/>
    <n v="327.75"/>
    <n v="2"/>
    <s v="Fitness"/>
    <n v="19432"/>
    <s v="Ujjain"/>
    <d v="2021-01-11T00:00:00"/>
    <n v="1"/>
    <n v="2021"/>
    <s v="South Asia"/>
    <x v="14"/>
    <s v="PROCESSING"/>
    <s v="PENDING"/>
    <s v="Standard Class"/>
    <n v="327.75"/>
  </r>
  <r>
    <n v="75892"/>
    <s v="TRANSFER"/>
    <n v="3"/>
    <n v="4"/>
    <s v=" ONTIME"/>
    <n v="1360"/>
    <n v="1"/>
    <n v="327.75"/>
    <n v="2"/>
    <s v="Fitness"/>
    <n v="19445"/>
    <s v="Bhilai"/>
    <d v="2021-01-11T00:00:00"/>
    <n v="1"/>
    <n v="2021"/>
    <s v="South Asia"/>
    <x v="18"/>
    <s v="PROCESSING"/>
    <s v="PENDING"/>
    <s v="Standard Class"/>
    <n v="327.75"/>
  </r>
  <r>
    <n v="75894"/>
    <s v="TRANSFER"/>
    <n v="5"/>
    <n v="2"/>
    <s v="DELAYED"/>
    <n v="1360"/>
    <n v="1"/>
    <n v="327.75"/>
    <n v="2"/>
    <s v="Fitness"/>
    <n v="19447"/>
    <s v="Bangalore"/>
    <d v="2021-01-11T00:00:00"/>
    <n v="1"/>
    <n v="2021"/>
    <s v="South Asia"/>
    <x v="8"/>
    <s v="PENDING"/>
    <s v="PENDING"/>
    <s v="Second Class"/>
    <n v="327.75"/>
  </r>
  <r>
    <n v="75895"/>
    <s v="TRANSFER"/>
    <n v="6"/>
    <n v="4"/>
    <s v="DELAYED"/>
    <n v="1360"/>
    <n v="1"/>
    <n v="327.75"/>
    <n v="2"/>
    <s v="Fitness"/>
    <n v="19448"/>
    <s v="Bangalore"/>
    <d v="2021-01-11T00:00:00"/>
    <n v="1"/>
    <n v="2021"/>
    <s v="South Asia"/>
    <x v="8"/>
    <s v="PENDING"/>
    <s v="PENDING"/>
    <s v="Standard Class"/>
    <n v="327.75"/>
  </r>
  <r>
    <n v="75904"/>
    <s v="CASH"/>
    <n v="2"/>
    <n v="1"/>
    <s v="DELAYED"/>
    <n v="1360"/>
    <n v="1"/>
    <n v="327.75"/>
    <n v="2"/>
    <s v="Fitness"/>
    <n v="19457"/>
    <s v="Hubli"/>
    <d v="2021-01-12T00:00:00"/>
    <n v="1"/>
    <n v="2021"/>
    <s v="South Asia"/>
    <x v="8"/>
    <s v="CLOSED"/>
    <s v="PENDING"/>
    <s v="First Class"/>
    <n v="327.75"/>
  </r>
  <r>
    <n v="75908"/>
    <s v="PAYMENT"/>
    <n v="4"/>
    <n v="4"/>
    <s v=" ONTIME"/>
    <n v="1360"/>
    <n v="1"/>
    <n v="327.75"/>
    <n v="2"/>
    <s v="Fitness"/>
    <n v="19461"/>
    <s v="Delhi"/>
    <d v="2021-01-12T00:00:00"/>
    <n v="1"/>
    <n v="2021"/>
    <s v="South Asia"/>
    <x v="11"/>
    <s v="PENDING_PAYMENT"/>
    <s v="PENDING"/>
    <s v="Standard Class"/>
    <n v="327.75"/>
  </r>
  <r>
    <n v="75909"/>
    <s v="DEBIT"/>
    <n v="5"/>
    <n v="4"/>
    <s v="DELAYED"/>
    <n v="1360"/>
    <n v="1"/>
    <n v="327.75"/>
    <n v="2"/>
    <s v="Fitness"/>
    <n v="19462"/>
    <s v="Delhi"/>
    <d v="2021-01-12T00:00:00"/>
    <n v="1"/>
    <n v="2021"/>
    <s v="South Asia"/>
    <x v="11"/>
    <s v="COMPLETE"/>
    <s v="COMPLETED"/>
    <s v="Standard Class"/>
    <n v="327.75"/>
  </r>
  <r>
    <n v="75919"/>
    <s v="TRANSFER"/>
    <n v="5"/>
    <n v="4"/>
    <s v="DELAYED"/>
    <n v="1360"/>
    <n v="1"/>
    <n v="327.75"/>
    <n v="2"/>
    <s v="Fitness"/>
    <n v="19472"/>
    <s v="Jabalpur"/>
    <d v="2021-01-12T00:00:00"/>
    <n v="1"/>
    <n v="2021"/>
    <s v="South Asia"/>
    <x v="14"/>
    <s v="PENDING"/>
    <s v="PENDING"/>
    <s v="Standard Class"/>
    <n v="327.75"/>
  </r>
  <r>
    <n v="75920"/>
    <s v="TRANSFER"/>
    <n v="0"/>
    <n v="0"/>
    <s v=" ONTIME"/>
    <n v="1360"/>
    <n v="1"/>
    <n v="327.75"/>
    <n v="2"/>
    <s v="Fitness"/>
    <n v="19473"/>
    <s v="Jabalpur"/>
    <d v="2021-01-12T00:00:00"/>
    <n v="1"/>
    <n v="2021"/>
    <s v="South Asia"/>
    <x v="14"/>
    <s v="PROCESSING"/>
    <s v="PENDING"/>
    <s v="Same Day"/>
    <n v="327.75"/>
  </r>
  <r>
    <n v="75921"/>
    <s v="PAYMENT"/>
    <n v="0"/>
    <n v="0"/>
    <s v=" ONTIME"/>
    <n v="1360"/>
    <n v="1"/>
    <n v="327.75"/>
    <n v="2"/>
    <s v="Fitness"/>
    <n v="19474"/>
    <s v="Jabalpur"/>
    <d v="2021-01-12T00:00:00"/>
    <n v="1"/>
    <n v="2021"/>
    <s v="South Asia"/>
    <x v="14"/>
    <s v="PENDING_PAYMENT"/>
    <s v="PENDING"/>
    <s v="Same Day"/>
    <n v="327.75"/>
  </r>
  <r>
    <n v="75922"/>
    <s v="DEBIT"/>
    <n v="2"/>
    <n v="1"/>
    <s v="DELAYED"/>
    <n v="1360"/>
    <n v="1"/>
    <n v="327.75"/>
    <n v="2"/>
    <s v="Fitness"/>
    <n v="19475"/>
    <s v="Jabalpur"/>
    <d v="2021-01-12T00:00:00"/>
    <n v="1"/>
    <n v="2021"/>
    <s v="South Asia"/>
    <x v="14"/>
    <s v="COMPLETE"/>
    <s v="COMPLETED"/>
    <s v="First Class"/>
    <n v="327.75"/>
  </r>
  <r>
    <n v="75923"/>
    <s v="CASH"/>
    <n v="2"/>
    <n v="1"/>
    <s v="DELAYED"/>
    <n v="1360"/>
    <n v="1"/>
    <n v="327.75"/>
    <n v="2"/>
    <s v="Fitness"/>
    <n v="19476"/>
    <s v="Jabalpur"/>
    <d v="2021-01-12T00:00:00"/>
    <n v="1"/>
    <n v="2021"/>
    <s v="South Asia"/>
    <x v="14"/>
    <s v="CLOSED"/>
    <s v="PENDING"/>
    <s v="First Class"/>
    <n v="327.75"/>
  </r>
  <r>
    <n v="75925"/>
    <s v="DEBIT"/>
    <n v="2"/>
    <n v="1"/>
    <s v="DELAYED"/>
    <n v="1360"/>
    <n v="1"/>
    <n v="327.75"/>
    <n v="2"/>
    <s v="Fitness"/>
    <n v="19478"/>
    <s v="Sangli"/>
    <d v="2021-01-12T00:00:00"/>
    <n v="1"/>
    <n v="2021"/>
    <s v="South Asia"/>
    <x v="0"/>
    <s v="COMPLETE"/>
    <s v="COMPLETED"/>
    <s v="First Class"/>
    <n v="327.75"/>
  </r>
  <r>
    <n v="75926"/>
    <s v="TRANSFER"/>
    <n v="2"/>
    <n v="1"/>
    <s v="DELAYED"/>
    <n v="1360"/>
    <n v="1"/>
    <n v="327.75"/>
    <n v="2"/>
    <s v="Fitness"/>
    <n v="19479"/>
    <s v="Sangli"/>
    <d v="2021-01-12T00:00:00"/>
    <n v="1"/>
    <n v="2021"/>
    <s v="South Asia"/>
    <x v="0"/>
    <s v="PROCESSING"/>
    <s v="PENDING"/>
    <s v="First Class"/>
    <n v="327.75"/>
  </r>
  <r>
    <n v="75927"/>
    <s v="DEBIT"/>
    <n v="2"/>
    <n v="1"/>
    <s v="DELAYED"/>
    <n v="1360"/>
    <n v="1"/>
    <n v="327.75"/>
    <n v="2"/>
    <s v="Fitness"/>
    <n v="19480"/>
    <s v="Sangli"/>
    <d v="2021-01-12T00:00:00"/>
    <n v="1"/>
    <n v="2021"/>
    <s v="South Asia"/>
    <x v="0"/>
    <s v="COMPLETE"/>
    <s v="COMPLETED"/>
    <s v="First Class"/>
    <n v="327.75"/>
  </r>
  <r>
    <n v="75938"/>
    <s v="CASH"/>
    <n v="4"/>
    <n v="4"/>
    <s v=" ONTIME"/>
    <n v="1360"/>
    <n v="1"/>
    <n v="327.75"/>
    <n v="2"/>
    <s v="Fitness"/>
    <n v="19491"/>
    <s v="Bikaner"/>
    <d v="2021-01-12T00:00:00"/>
    <n v="1"/>
    <n v="2021"/>
    <s v="South Asia"/>
    <x v="2"/>
    <s v="CLOSED"/>
    <s v="PENDING"/>
    <s v="Standard Class"/>
    <n v="327.75"/>
  </r>
  <r>
    <n v="75939"/>
    <s v="TRANSFER"/>
    <n v="5"/>
    <n v="4"/>
    <s v="DELAYED"/>
    <n v="1360"/>
    <n v="1"/>
    <n v="327.75"/>
    <n v="2"/>
    <s v="Fitness"/>
    <n v="19492"/>
    <s v="Bikaner"/>
    <d v="2021-01-12T00:00:00"/>
    <n v="1"/>
    <n v="2021"/>
    <s v="South Asia"/>
    <x v="2"/>
    <s v="PENDING"/>
    <s v="PENDING"/>
    <s v="Standard Class"/>
    <n v="327.75"/>
  </r>
  <r>
    <n v="75940"/>
    <s v="DEBIT"/>
    <n v="6"/>
    <n v="4"/>
    <s v="DELAYED"/>
    <n v="1361"/>
    <n v="1"/>
    <n v="11.54"/>
    <n v="7"/>
    <s v="Fan Shop"/>
    <n v="19493"/>
    <s v="Nellore"/>
    <d v="2021-01-12T00:00:00"/>
    <n v="1"/>
    <n v="2021"/>
    <s v="South Asia"/>
    <x v="15"/>
    <s v="COMPLETE"/>
    <s v="COMPLETED"/>
    <s v="Standard Class"/>
    <n v="11.54"/>
  </r>
  <r>
    <n v="75941"/>
    <s v="TRANSFER"/>
    <n v="2"/>
    <n v="4"/>
    <s v=" ONTIME"/>
    <n v="1361"/>
    <n v="1"/>
    <n v="11.54"/>
    <n v="7"/>
    <s v="Fan Shop"/>
    <n v="19494"/>
    <s v="Nellore"/>
    <d v="2021-01-12T00:00:00"/>
    <n v="1"/>
    <n v="2021"/>
    <s v="South Asia"/>
    <x v="15"/>
    <s v="PENDING"/>
    <s v="PENDING"/>
    <s v="Standard Class"/>
    <n v="11.54"/>
  </r>
  <r>
    <n v="75942"/>
    <s v="TRANSFER"/>
    <n v="3"/>
    <n v="4"/>
    <s v=" ONTIME"/>
    <n v="1361"/>
    <n v="1"/>
    <n v="11.54"/>
    <n v="7"/>
    <s v="Fan Shop"/>
    <n v="19495"/>
    <s v="Nellore"/>
    <d v="2021-01-12T00:00:00"/>
    <n v="1"/>
    <n v="2021"/>
    <s v="South Asia"/>
    <x v="15"/>
    <s v="PENDING"/>
    <s v="PENDING"/>
    <s v="Standard Class"/>
    <n v="11.54"/>
  </r>
  <r>
    <n v="75943"/>
    <s v="DEBIT"/>
    <n v="4"/>
    <n v="4"/>
    <s v=" ONTIME"/>
    <n v="1361"/>
    <n v="1"/>
    <n v="11.54"/>
    <n v="7"/>
    <s v="Fan Shop"/>
    <n v="19496"/>
    <s v="Agra"/>
    <d v="2021-01-12T00:00:00"/>
    <n v="1"/>
    <n v="2021"/>
    <s v="South Asia"/>
    <x v="1"/>
    <s v="COMPLETE"/>
    <s v="COMPLETED"/>
    <s v="Standard Class"/>
    <n v="11.54"/>
  </r>
  <r>
    <n v="75944"/>
    <s v="PAYMENT"/>
    <n v="5"/>
    <n v="4"/>
    <s v="DELAYED"/>
    <n v="1361"/>
    <n v="1"/>
    <n v="11.54"/>
    <n v="7"/>
    <s v="Fan Shop"/>
    <n v="19497"/>
    <s v="Agra"/>
    <d v="2021-01-12T00:00:00"/>
    <n v="1"/>
    <n v="2021"/>
    <s v="South Asia"/>
    <x v="1"/>
    <s v="PENDING_PAYMENT"/>
    <s v="PENDING"/>
    <s v="Standard Class"/>
    <n v="11.54"/>
  </r>
  <r>
    <n v="75974"/>
    <s v="PAYMENT"/>
    <n v="5"/>
    <n v="4"/>
    <s v="DELAYED"/>
    <n v="1361"/>
    <n v="1"/>
    <n v="11.54"/>
    <n v="7"/>
    <s v="Fan Shop"/>
    <n v="19527"/>
    <s v="Aligarh"/>
    <d v="2021-01-13T00:00:00"/>
    <n v="1"/>
    <n v="2021"/>
    <s v="South Asia"/>
    <x v="1"/>
    <s v="PENDING_PAYMENT"/>
    <s v="PENDING"/>
    <s v="Standard Class"/>
    <n v="11.54"/>
  </r>
  <r>
    <n v="75975"/>
    <s v="TRANSFER"/>
    <n v="6"/>
    <n v="4"/>
    <s v="DELAYED"/>
    <n v="1361"/>
    <n v="1"/>
    <n v="11.54"/>
    <n v="7"/>
    <s v="Fan Shop"/>
    <n v="19528"/>
    <s v="Aligarh"/>
    <d v="2021-01-13T00:00:00"/>
    <n v="1"/>
    <n v="2021"/>
    <s v="South Asia"/>
    <x v="1"/>
    <s v="CANCELED"/>
    <s v="CANCELED"/>
    <s v="Standard Class"/>
    <n v="11.54"/>
  </r>
  <r>
    <n v="75976"/>
    <s v="DEBIT"/>
    <n v="2"/>
    <n v="4"/>
    <s v=" ONTIME"/>
    <n v="1361"/>
    <n v="1"/>
    <n v="11.54"/>
    <n v="7"/>
    <s v="Fan Shop"/>
    <n v="19529"/>
    <s v="Aligarh"/>
    <d v="2021-01-13T00:00:00"/>
    <n v="1"/>
    <n v="2021"/>
    <s v="South Asia"/>
    <x v="1"/>
    <s v="COMPLETE"/>
    <s v="COMPLETED"/>
    <s v="Standard Class"/>
    <n v="11.54"/>
  </r>
  <r>
    <n v="75977"/>
    <s v="TRANSFER"/>
    <n v="3"/>
    <n v="4"/>
    <s v=" ONTIME"/>
    <n v="1361"/>
    <n v="1"/>
    <n v="11.54"/>
    <n v="7"/>
    <s v="Fan Shop"/>
    <n v="19530"/>
    <s v="Aligarh"/>
    <d v="2021-01-13T00:00:00"/>
    <n v="1"/>
    <n v="2021"/>
    <s v="South Asia"/>
    <x v="1"/>
    <s v="PROCESSING"/>
    <s v="PENDING"/>
    <s v="Standard Class"/>
    <n v="11.54"/>
  </r>
  <r>
    <n v="76016"/>
    <s v="DEBIT"/>
    <n v="2"/>
    <n v="4"/>
    <s v=" ONTIME"/>
    <n v="1361"/>
    <n v="1"/>
    <n v="11.54"/>
    <n v="7"/>
    <s v="Fan Shop"/>
    <n v="19569"/>
    <s v="Bilaspur"/>
    <d v="2021-01-13T00:00:00"/>
    <n v="1"/>
    <n v="2021"/>
    <s v="South Asia"/>
    <x v="1"/>
    <s v="COMPLETE"/>
    <s v="COMPLETED"/>
    <s v="Standard Class"/>
    <n v="11.54"/>
  </r>
  <r>
    <n v="76017"/>
    <s v="DEBIT"/>
    <n v="3"/>
    <n v="4"/>
    <s v=" ONTIME"/>
    <n v="1361"/>
    <n v="1"/>
    <n v="11.54"/>
    <n v="7"/>
    <s v="Fan Shop"/>
    <n v="19570"/>
    <s v="Bilaspur"/>
    <d v="2021-01-13T00:00:00"/>
    <n v="1"/>
    <n v="2021"/>
    <s v="South Asia"/>
    <x v="1"/>
    <s v="COMPLETE"/>
    <s v="COMPLETED"/>
    <s v="Standard Class"/>
    <n v="11.54"/>
  </r>
  <r>
    <n v="76018"/>
    <s v="PAYMENT"/>
    <n v="4"/>
    <n v="4"/>
    <s v=" ONTIME"/>
    <n v="1361"/>
    <n v="1"/>
    <n v="11.54"/>
    <n v="7"/>
    <s v="Fan Shop"/>
    <n v="19571"/>
    <s v="Bilaspur"/>
    <d v="2021-01-13T00:00:00"/>
    <n v="1"/>
    <n v="2021"/>
    <s v="South Asia"/>
    <x v="1"/>
    <s v="PAYMENT_REVIEW"/>
    <s v="PENDING"/>
    <s v="Standard Class"/>
    <n v="11.54"/>
  </r>
  <r>
    <n v="76044"/>
    <s v="DEBIT"/>
    <n v="5"/>
    <n v="4"/>
    <s v="DELAYED"/>
    <n v="1361"/>
    <n v="1"/>
    <n v="11.54"/>
    <n v="7"/>
    <s v="Fan Shop"/>
    <n v="19597"/>
    <s v="Solapur"/>
    <d v="2021-01-14T00:00:00"/>
    <n v="1"/>
    <n v="2021"/>
    <s v="South Asia"/>
    <x v="0"/>
    <s v="ON_HOLD"/>
    <s v="PENDING"/>
    <s v="Standard Class"/>
    <n v="11.54"/>
  </r>
  <r>
    <n v="76045"/>
    <s v="DEBIT"/>
    <n v="6"/>
    <n v="4"/>
    <s v="DELAYED"/>
    <n v="1361"/>
    <n v="1"/>
    <n v="11.54"/>
    <n v="7"/>
    <s v="Fan Shop"/>
    <n v="19598"/>
    <s v="Solapur"/>
    <d v="2021-01-14T00:00:00"/>
    <n v="1"/>
    <n v="2021"/>
    <s v="South Asia"/>
    <x v="0"/>
    <s v="COMPLETE"/>
    <s v="COMPLETED"/>
    <s v="Standard Class"/>
    <n v="11.54"/>
  </r>
  <r>
    <n v="76046"/>
    <s v="DEBIT"/>
    <n v="2"/>
    <n v="4"/>
    <s v=" ONTIME"/>
    <n v="1361"/>
    <n v="1"/>
    <n v="11.54"/>
    <n v="7"/>
    <s v="Fan Shop"/>
    <n v="19599"/>
    <s v="Solapur"/>
    <d v="2021-01-14T00:00:00"/>
    <n v="1"/>
    <n v="2021"/>
    <s v="South Asia"/>
    <x v="0"/>
    <s v="COMPLETE"/>
    <s v="COMPLETED"/>
    <s v="Standard Class"/>
    <n v="11.54"/>
  </r>
  <r>
    <n v="76047"/>
    <s v="DEBIT"/>
    <n v="3"/>
    <n v="4"/>
    <s v=" ONTIME"/>
    <n v="1361"/>
    <n v="1"/>
    <n v="11.54"/>
    <n v="7"/>
    <s v="Fan Shop"/>
    <n v="19600"/>
    <s v="Solapur"/>
    <d v="2021-01-14T00:00:00"/>
    <n v="1"/>
    <n v="2021"/>
    <s v="South Asia"/>
    <x v="0"/>
    <s v="COMPLETE"/>
    <s v="COMPLETED"/>
    <s v="Standard Class"/>
    <n v="11.54"/>
  </r>
  <r>
    <n v="76078"/>
    <s v="CASH"/>
    <n v="4"/>
    <n v="2"/>
    <s v="DELAYED"/>
    <n v="1361"/>
    <n v="1"/>
    <n v="11.54"/>
    <n v="7"/>
    <s v="Fan Shop"/>
    <n v="19631"/>
    <s v="Chennai"/>
    <d v="2021-01-14T00:00:00"/>
    <n v="1"/>
    <n v="2021"/>
    <s v="South Asia"/>
    <x v="3"/>
    <s v="CLOSED"/>
    <s v="PENDING"/>
    <s v="Second Class"/>
    <n v="11.54"/>
  </r>
  <r>
    <n v="76079"/>
    <s v="DEBIT"/>
    <n v="5"/>
    <n v="2"/>
    <s v="DELAYED"/>
    <n v="1361"/>
    <n v="1"/>
    <n v="11.54"/>
    <n v="7"/>
    <s v="Fan Shop"/>
    <n v="19632"/>
    <s v="Chennai"/>
    <d v="2021-01-14T00:00:00"/>
    <n v="1"/>
    <n v="2021"/>
    <s v="South Asia"/>
    <x v="3"/>
    <s v="COMPLETE"/>
    <s v="COMPLETED"/>
    <s v="Second Class"/>
    <n v="11.54"/>
  </r>
  <r>
    <n v="76101"/>
    <s v="CASH"/>
    <n v="2"/>
    <n v="4"/>
    <s v=" ONTIME"/>
    <n v="1361"/>
    <n v="1"/>
    <n v="11.54"/>
    <n v="7"/>
    <s v="Fan Shop"/>
    <n v="19654"/>
    <s v="Mumbai"/>
    <d v="2021-01-14T00:00:00"/>
    <n v="1"/>
    <n v="2021"/>
    <s v="South Asia"/>
    <x v="0"/>
    <s v="CLOSED"/>
    <s v="PENDING"/>
    <s v="Standard Class"/>
    <n v="11.54"/>
  </r>
  <r>
    <n v="76105"/>
    <s v="PAYMENT"/>
    <n v="6"/>
    <n v="2"/>
    <s v="DELAYED"/>
    <n v="1361"/>
    <n v="1"/>
    <n v="11.54"/>
    <n v="7"/>
    <s v="Fan Shop"/>
    <n v="19658"/>
    <s v="Delhi"/>
    <d v="2021-01-14T00:00:00"/>
    <n v="1"/>
    <n v="2021"/>
    <s v="South Asia"/>
    <x v="11"/>
    <s v="PENDING_PAYMENT"/>
    <s v="PENDING"/>
    <s v="Second Class"/>
    <n v="11.54"/>
  </r>
  <r>
    <n v="76117"/>
    <s v="DEBIT"/>
    <n v="3"/>
    <n v="4"/>
    <s v=" ONTIME"/>
    <n v="1361"/>
    <n v="1"/>
    <n v="11.54"/>
    <n v="7"/>
    <s v="Fan Shop"/>
    <n v="19670"/>
    <s v="Pune"/>
    <d v="2021-01-15T00:00:00"/>
    <n v="1"/>
    <n v="2021"/>
    <s v="South Asia"/>
    <x v="0"/>
    <s v="COMPLETE"/>
    <s v="COMPLETED"/>
    <s v="Standard Class"/>
    <n v="11.54"/>
  </r>
  <r>
    <n v="76141"/>
    <s v="TRANSFER"/>
    <n v="2"/>
    <n v="4"/>
    <s v=" ONTIME"/>
    <n v="1361"/>
    <n v="1"/>
    <n v="11.54"/>
    <n v="7"/>
    <s v="Fan Shop"/>
    <n v="19694"/>
    <s v="Panipat"/>
    <d v="2021-01-15T00:00:00"/>
    <n v="1"/>
    <n v="2021"/>
    <s v="South Asia"/>
    <x v="10"/>
    <s v="PROCESSING"/>
    <s v="PENDING"/>
    <s v="Standard Class"/>
    <n v="11.54"/>
  </r>
  <r>
    <n v="76142"/>
    <s v="PAYMENT"/>
    <n v="3"/>
    <n v="4"/>
    <s v=" ONTIME"/>
    <n v="1361"/>
    <n v="1"/>
    <n v="11.54"/>
    <n v="7"/>
    <s v="Fan Shop"/>
    <n v="19695"/>
    <s v="Ranchi"/>
    <d v="2021-01-15T00:00:00"/>
    <n v="1"/>
    <n v="2021"/>
    <s v="South Asia"/>
    <x v="12"/>
    <s v="PENDING_PAYMENT"/>
    <s v="PENDING"/>
    <s v="Standard Class"/>
    <n v="11.54"/>
  </r>
  <r>
    <n v="76143"/>
    <s v="DEBIT"/>
    <n v="4"/>
    <n v="4"/>
    <s v=" ONTIME"/>
    <n v="1361"/>
    <n v="1"/>
    <n v="11.54"/>
    <n v="7"/>
    <s v="Fan Shop"/>
    <n v="19696"/>
    <s v="Ranchi"/>
    <d v="2021-01-15T00:00:00"/>
    <n v="1"/>
    <n v="2021"/>
    <s v="South Asia"/>
    <x v="12"/>
    <s v="ON_HOLD"/>
    <s v="PENDING"/>
    <s v="Standard Class"/>
    <n v="11.54"/>
  </r>
  <r>
    <n v="76162"/>
    <s v="TRANSFER"/>
    <n v="3"/>
    <n v="4"/>
    <s v=" ONTIME"/>
    <n v="1361"/>
    <n v="1"/>
    <n v="11.54"/>
    <n v="7"/>
    <s v="Fan Shop"/>
    <n v="19715"/>
    <s v="Chennai"/>
    <d v="2021-01-15T00:00:00"/>
    <n v="1"/>
    <n v="2021"/>
    <s v="South Asia"/>
    <x v="3"/>
    <s v="PROCESSING"/>
    <s v="PENDING"/>
    <s v="Standard Class"/>
    <n v="11.54"/>
  </r>
  <r>
    <n v="76163"/>
    <s v="CASH"/>
    <n v="4"/>
    <n v="4"/>
    <s v=" ONTIME"/>
    <n v="1361"/>
    <n v="1"/>
    <n v="11.54"/>
    <n v="7"/>
    <s v="Fan Shop"/>
    <n v="19716"/>
    <s v="Mumbai"/>
    <d v="2021-01-15T00:00:00"/>
    <n v="1"/>
    <n v="2021"/>
    <s v="South Asia"/>
    <x v="0"/>
    <s v="CLOSED"/>
    <s v="PENDING"/>
    <s v="Standard Class"/>
    <n v="11.54"/>
  </r>
  <r>
    <n v="76164"/>
    <s v="CASH"/>
    <n v="5"/>
    <n v="4"/>
    <s v="DELAYED"/>
    <n v="1361"/>
    <n v="1"/>
    <n v="11.54"/>
    <n v="7"/>
    <s v="Fan Shop"/>
    <n v="19717"/>
    <s v="Mumbai"/>
    <d v="2021-01-15T00:00:00"/>
    <n v="1"/>
    <n v="2021"/>
    <s v="South Asia"/>
    <x v="0"/>
    <s v="CLOSED"/>
    <s v="PENDING"/>
    <s v="Standard Class"/>
    <n v="11.54"/>
  </r>
  <r>
    <n v="76166"/>
    <s v="TRANSFER"/>
    <n v="2"/>
    <n v="4"/>
    <s v=" ONTIME"/>
    <n v="1361"/>
    <n v="1"/>
    <n v="11.54"/>
    <n v="7"/>
    <s v="Fan Shop"/>
    <n v="19719"/>
    <s v="Jodhpur"/>
    <d v="2021-01-15T00:00:00"/>
    <n v="1"/>
    <n v="2021"/>
    <s v="South Asia"/>
    <x v="2"/>
    <s v="PENDING"/>
    <s v="PENDING"/>
    <s v="Standard Class"/>
    <n v="11.54"/>
  </r>
  <r>
    <n v="76167"/>
    <s v="TRANSFER"/>
    <n v="3"/>
    <n v="4"/>
    <s v=" ONTIME"/>
    <n v="1361"/>
    <n v="1"/>
    <n v="11.54"/>
    <n v="7"/>
    <s v="Fan Shop"/>
    <n v="19720"/>
    <s v="Jodhpur"/>
    <d v="2021-01-15T00:00:00"/>
    <n v="1"/>
    <n v="2021"/>
    <s v="South Asia"/>
    <x v="2"/>
    <s v="PROCESSING"/>
    <s v="PENDING"/>
    <s v="Standard Class"/>
    <n v="11.54"/>
  </r>
  <r>
    <n v="76204"/>
    <s v="CASH"/>
    <n v="5"/>
    <n v="4"/>
    <s v="DELAYED"/>
    <n v="1361"/>
    <n v="1"/>
    <n v="11.54"/>
    <n v="7"/>
    <s v="Fan Shop"/>
    <n v="19757"/>
    <s v="Mangalore"/>
    <d v="2021-01-16T00:00:00"/>
    <n v="1"/>
    <n v="2021"/>
    <s v="South Asia"/>
    <x v="8"/>
    <s v="CLOSED"/>
    <s v="PENDING"/>
    <s v="Standard Class"/>
    <n v="11.54"/>
  </r>
  <r>
    <n v="76225"/>
    <s v="TRANSFER"/>
    <n v="6"/>
    <n v="4"/>
    <s v="DELAYED"/>
    <n v="1362"/>
    <n v="1"/>
    <n v="39.75"/>
    <n v="9"/>
    <s v="Discs Shop"/>
    <n v="19778"/>
    <s v="Kanpur"/>
    <d v="2021-01-16T00:00:00"/>
    <n v="1"/>
    <n v="2021"/>
    <s v="South Asia"/>
    <x v="1"/>
    <s v="SUSPECTED_FRAUD"/>
    <s v="PENDING"/>
    <s v="Standard Class"/>
    <n v="39.75"/>
  </r>
  <r>
    <n v="76226"/>
    <s v="DEBIT"/>
    <n v="2"/>
    <n v="4"/>
    <s v=" ONTIME"/>
    <n v="1362"/>
    <n v="1"/>
    <n v="39.75"/>
    <n v="9"/>
    <s v="Discs Shop"/>
    <n v="19779"/>
    <s v="Kanpur"/>
    <d v="2021-01-16T00:00:00"/>
    <n v="1"/>
    <n v="2021"/>
    <s v="South Asia"/>
    <x v="1"/>
    <s v="COMPLETE"/>
    <s v="COMPLETED"/>
    <s v="Standard Class"/>
    <n v="39.75"/>
  </r>
  <r>
    <n v="76227"/>
    <s v="DEBIT"/>
    <n v="3"/>
    <n v="4"/>
    <s v=" ONTIME"/>
    <n v="1362"/>
    <n v="1"/>
    <n v="39.75"/>
    <n v="9"/>
    <s v="Discs Shop"/>
    <n v="19780"/>
    <s v="Kanpur"/>
    <d v="2021-01-16T00:00:00"/>
    <n v="1"/>
    <n v="2021"/>
    <s v="South Asia"/>
    <x v="1"/>
    <s v="COMPLETE"/>
    <s v="COMPLETED"/>
    <s v="Standard Class"/>
    <n v="39.75"/>
  </r>
  <r>
    <n v="76228"/>
    <s v="DEBIT"/>
    <n v="4"/>
    <n v="4"/>
    <s v=" ONTIME"/>
    <n v="1362"/>
    <n v="1"/>
    <n v="39.75"/>
    <n v="9"/>
    <s v="Discs Shop"/>
    <n v="19781"/>
    <s v="Kanpur"/>
    <d v="2021-01-16T00:00:00"/>
    <n v="1"/>
    <n v="2021"/>
    <s v="South Asia"/>
    <x v="1"/>
    <s v="COMPLETE"/>
    <s v="COMPLETED"/>
    <s v="Standard Class"/>
    <n v="39.75"/>
  </r>
  <r>
    <n v="76230"/>
    <s v="CASH"/>
    <n v="6"/>
    <n v="4"/>
    <s v="DELAYED"/>
    <n v="1362"/>
    <n v="1"/>
    <n v="39.75"/>
    <n v="9"/>
    <s v="Discs Shop"/>
    <n v="19783"/>
    <s v="Srinagar"/>
    <d v="2021-01-16T00:00:00"/>
    <n v="1"/>
    <n v="2021"/>
    <s v="South Asia"/>
    <x v="19"/>
    <s v="CLOSED"/>
    <s v="PENDING"/>
    <s v="Standard Class"/>
    <n v="39.75"/>
  </r>
  <r>
    <n v="76247"/>
    <s v="DEBIT"/>
    <n v="3"/>
    <n v="2"/>
    <s v="DELAYED"/>
    <n v="1362"/>
    <n v="1"/>
    <n v="39.75"/>
    <n v="9"/>
    <s v="Discs Shop"/>
    <n v="19800"/>
    <s v="Indore"/>
    <d v="2021-01-17T00:00:00"/>
    <n v="1"/>
    <n v="2021"/>
    <s v="South Asia"/>
    <x v="14"/>
    <s v="COMPLETE"/>
    <s v="COMPLETED"/>
    <s v="Second Class"/>
    <n v="39.75"/>
  </r>
  <r>
    <n v="76248"/>
    <s v="DEBIT"/>
    <n v="4"/>
    <n v="2"/>
    <s v="DELAYED"/>
    <n v="1362"/>
    <n v="1"/>
    <n v="39.75"/>
    <n v="9"/>
    <s v="Discs Shop"/>
    <n v="19801"/>
    <s v="Indore"/>
    <d v="2021-01-17T00:00:00"/>
    <n v="1"/>
    <n v="2021"/>
    <s v="South Asia"/>
    <x v="14"/>
    <s v="COMPLETE"/>
    <s v="COMPLETED"/>
    <s v="Second Class"/>
    <n v="39.75"/>
  </r>
  <r>
    <n v="76249"/>
    <s v="DEBIT"/>
    <n v="5"/>
    <n v="2"/>
    <s v="DELAYED"/>
    <n v="1362"/>
    <n v="1"/>
    <n v="39.75"/>
    <n v="9"/>
    <s v="Discs Shop"/>
    <n v="19802"/>
    <s v="Indore"/>
    <d v="2021-01-17T00:00:00"/>
    <n v="1"/>
    <n v="2021"/>
    <s v="South Asia"/>
    <x v="14"/>
    <s v="ON_HOLD"/>
    <s v="PENDING"/>
    <s v="Second Class"/>
    <n v="39.75"/>
  </r>
  <r>
    <n v="76253"/>
    <s v="PAYMENT"/>
    <n v="4"/>
    <n v="4"/>
    <s v=" ONTIME"/>
    <n v="1362"/>
    <n v="1"/>
    <n v="39.75"/>
    <n v="9"/>
    <s v="Discs Shop"/>
    <n v="19806"/>
    <s v="Kota"/>
    <d v="2021-01-17T00:00:00"/>
    <n v="1"/>
    <n v="2021"/>
    <s v="South Asia"/>
    <x v="2"/>
    <s v="PENDING_PAYMENT"/>
    <s v="PENDING"/>
    <s v="Standard Class"/>
    <n v="39.75"/>
  </r>
  <r>
    <n v="76254"/>
    <s v="DEBIT"/>
    <n v="5"/>
    <n v="4"/>
    <s v="DELAYED"/>
    <n v="1362"/>
    <n v="1"/>
    <n v="39.75"/>
    <n v="9"/>
    <s v="Discs Shop"/>
    <n v="19807"/>
    <s v="Chennai"/>
    <d v="2021-01-17T00:00:00"/>
    <n v="1"/>
    <n v="2021"/>
    <s v="South Asia"/>
    <x v="3"/>
    <s v="COMPLETE"/>
    <s v="COMPLETED"/>
    <s v="Standard Class"/>
    <n v="39.75"/>
  </r>
  <r>
    <n v="76260"/>
    <s v="DEBIT"/>
    <n v="6"/>
    <n v="4"/>
    <s v="DELAYED"/>
    <n v="1362"/>
    <n v="1"/>
    <n v="39.75"/>
    <n v="9"/>
    <s v="Discs Shop"/>
    <n v="19813"/>
    <s v="Hyderabad"/>
    <d v="2021-01-17T00:00:00"/>
    <n v="1"/>
    <n v="2021"/>
    <s v="South Asia"/>
    <x v="7"/>
    <s v="COMPLETE"/>
    <s v="COMPLETED"/>
    <s v="Standard Class"/>
    <n v="39.75"/>
  </r>
  <r>
    <n v="76270"/>
    <s v="DEBIT"/>
    <n v="6"/>
    <n v="4"/>
    <s v="DELAYED"/>
    <n v="1362"/>
    <n v="1"/>
    <n v="39.75"/>
    <n v="9"/>
    <s v="Discs Shop"/>
    <n v="19823"/>
    <s v="Mumbai"/>
    <d v="2021-01-17T00:00:00"/>
    <n v="1"/>
    <n v="2021"/>
    <s v="South Asia"/>
    <x v="0"/>
    <s v="COMPLETE"/>
    <s v="COMPLETED"/>
    <s v="Standard Class"/>
    <n v="39.75"/>
  </r>
  <r>
    <n v="76272"/>
    <s v="PAYMENT"/>
    <n v="3"/>
    <n v="4"/>
    <s v=" ONTIME"/>
    <n v="1362"/>
    <n v="1"/>
    <n v="39.75"/>
    <n v="9"/>
    <s v="Discs Shop"/>
    <n v="19825"/>
    <s v="Aurangabad"/>
    <d v="2021-01-17T00:00:00"/>
    <n v="1"/>
    <n v="2021"/>
    <s v="South Asia"/>
    <x v="17"/>
    <s v="PENDING_PAYMENT"/>
    <s v="PENDING"/>
    <s v="Standard Class"/>
    <n v="39.75"/>
  </r>
  <r>
    <n v="76273"/>
    <s v="CASH"/>
    <n v="4"/>
    <n v="4"/>
    <s v=" ONTIME"/>
    <n v="1362"/>
    <n v="1"/>
    <n v="39.75"/>
    <n v="9"/>
    <s v="Discs Shop"/>
    <n v="19826"/>
    <s v="Aurangabad"/>
    <d v="2021-01-17T00:00:00"/>
    <n v="1"/>
    <n v="2021"/>
    <s v="South Asia"/>
    <x v="17"/>
    <s v="CLOSED"/>
    <s v="PENDING"/>
    <s v="Standard Class"/>
    <n v="39.75"/>
  </r>
  <r>
    <n v="76274"/>
    <s v="PAYMENT"/>
    <n v="5"/>
    <n v="4"/>
    <s v="DELAYED"/>
    <n v="1362"/>
    <n v="1"/>
    <n v="39.75"/>
    <n v="9"/>
    <s v="Discs Shop"/>
    <n v="19827"/>
    <s v="Aurangabad"/>
    <d v="2021-01-17T00:00:00"/>
    <n v="1"/>
    <n v="2021"/>
    <s v="South Asia"/>
    <x v="17"/>
    <s v="PENDING_PAYMENT"/>
    <s v="PENDING"/>
    <s v="Standard Class"/>
    <n v="39.75"/>
  </r>
  <r>
    <n v="76275"/>
    <s v="DEBIT"/>
    <n v="6"/>
    <n v="4"/>
    <s v="DELAYED"/>
    <n v="1362"/>
    <n v="1"/>
    <n v="39.75"/>
    <n v="9"/>
    <s v="Discs Shop"/>
    <n v="19828"/>
    <s v="Aurangabad"/>
    <d v="2021-01-17T00:00:00"/>
    <n v="1"/>
    <n v="2021"/>
    <s v="South Asia"/>
    <x v="17"/>
    <s v="COMPLETE"/>
    <s v="COMPLETED"/>
    <s v="Standard Class"/>
    <n v="39.75"/>
  </r>
  <r>
    <n v="76286"/>
    <s v="TRANSFER"/>
    <n v="2"/>
    <n v="4"/>
    <s v=" ONTIME"/>
    <n v="1362"/>
    <n v="1"/>
    <n v="39.75"/>
    <n v="9"/>
    <s v="Discs Shop"/>
    <n v="19839"/>
    <s v="Kanpur"/>
    <d v="2021-01-17T00:00:00"/>
    <n v="1"/>
    <n v="2021"/>
    <s v="South Asia"/>
    <x v="1"/>
    <s v="PROCESSING"/>
    <s v="PENDING"/>
    <s v="Standard Class"/>
    <n v="39.75"/>
  </r>
  <r>
    <n v="76287"/>
    <s v="DEBIT"/>
    <n v="3"/>
    <n v="4"/>
    <s v=" ONTIME"/>
    <n v="1362"/>
    <n v="1"/>
    <n v="39.75"/>
    <n v="9"/>
    <s v="Discs Shop"/>
    <n v="19840"/>
    <s v="Kanpur"/>
    <d v="2021-01-17T00:00:00"/>
    <n v="1"/>
    <n v="2021"/>
    <s v="South Asia"/>
    <x v="1"/>
    <s v="COMPLETE"/>
    <s v="COMPLETED"/>
    <s v="Standard Class"/>
    <n v="39.75"/>
  </r>
  <r>
    <n v="76288"/>
    <s v="CASH"/>
    <n v="4"/>
    <n v="4"/>
    <s v=" ONTIME"/>
    <n v="1362"/>
    <n v="1"/>
    <n v="39.75"/>
    <n v="9"/>
    <s v="Discs Shop"/>
    <n v="19841"/>
    <s v="Kanpur"/>
    <d v="2021-01-17T00:00:00"/>
    <n v="1"/>
    <n v="2021"/>
    <s v="South Asia"/>
    <x v="1"/>
    <s v="CLOSED"/>
    <s v="PENDING"/>
    <s v="Standard Class"/>
    <n v="39.75"/>
  </r>
  <r>
    <n v="76308"/>
    <s v="TRANSFER"/>
    <n v="4"/>
    <n v="2"/>
    <s v="DELAYED"/>
    <n v="1362"/>
    <n v="1"/>
    <n v="39.75"/>
    <n v="9"/>
    <s v="Discs Shop"/>
    <n v="19861"/>
    <s v="Salem"/>
    <d v="2021-01-17T00:00:00"/>
    <n v="1"/>
    <n v="2021"/>
    <s v="South Asia"/>
    <x v="3"/>
    <s v="PROCESSING"/>
    <s v="PENDING"/>
    <s v="Second Class"/>
    <n v="39.75"/>
  </r>
  <r>
    <n v="76331"/>
    <s v="DEBIT"/>
    <n v="2"/>
    <n v="4"/>
    <s v=" ONTIME"/>
    <n v="1362"/>
    <n v="1"/>
    <n v="39.75"/>
    <n v="9"/>
    <s v="Discs Shop"/>
    <n v="19884"/>
    <s v="Kota"/>
    <d v="2021-01-18T00:00:00"/>
    <n v="1"/>
    <n v="2021"/>
    <s v="South Asia"/>
    <x v="18"/>
    <s v="ON_HOLD"/>
    <s v="PENDING"/>
    <s v="Standard Class"/>
    <n v="39.75"/>
  </r>
  <r>
    <n v="76332"/>
    <s v="TRANSFER"/>
    <n v="3"/>
    <n v="4"/>
    <s v=" ONTIME"/>
    <n v="1362"/>
    <n v="1"/>
    <n v="39.75"/>
    <n v="9"/>
    <s v="Discs Shop"/>
    <n v="19885"/>
    <s v="Ujjain"/>
    <d v="2021-01-18T00:00:00"/>
    <n v="1"/>
    <n v="2021"/>
    <s v="South Asia"/>
    <x v="14"/>
    <s v="PROCESSING"/>
    <s v="PENDING"/>
    <s v="Standard Class"/>
    <n v="39.75"/>
  </r>
  <r>
    <n v="76337"/>
    <s v="DEBIT"/>
    <n v="0"/>
    <n v="0"/>
    <s v=" ONTIME"/>
    <n v="1362"/>
    <n v="1"/>
    <n v="39.75"/>
    <n v="9"/>
    <s v="Discs Shop"/>
    <n v="19890"/>
    <s v="Chennai"/>
    <d v="2021-01-18T00:00:00"/>
    <n v="1"/>
    <n v="2021"/>
    <s v="South Asia"/>
    <x v="3"/>
    <s v="COMPLETE"/>
    <s v="COMPLETED"/>
    <s v="Same Day"/>
    <n v="39.75"/>
  </r>
  <r>
    <n v="76338"/>
    <s v="TRANSFER"/>
    <n v="2"/>
    <n v="1"/>
    <s v="DELAYED"/>
    <n v="1362"/>
    <n v="1"/>
    <n v="39.75"/>
    <n v="9"/>
    <s v="Discs Shop"/>
    <n v="19891"/>
    <s v="Kanpur"/>
    <d v="2021-01-18T00:00:00"/>
    <n v="1"/>
    <n v="2021"/>
    <s v="South Asia"/>
    <x v="1"/>
    <s v="PENDING"/>
    <s v="PENDING"/>
    <s v="First Class"/>
    <n v="39.75"/>
  </r>
  <r>
    <n v="76340"/>
    <s v="PAYMENT"/>
    <n v="6"/>
    <n v="4"/>
    <s v="DELAYED"/>
    <n v="1362"/>
    <n v="1"/>
    <n v="39.75"/>
    <n v="9"/>
    <s v="Discs Shop"/>
    <n v="19893"/>
    <s v="Mumbai"/>
    <d v="2021-01-18T00:00:00"/>
    <n v="1"/>
    <n v="2021"/>
    <s v="South Asia"/>
    <x v="0"/>
    <s v="PENDING_PAYMENT"/>
    <s v="PENDING"/>
    <s v="Standard Class"/>
    <n v="39.75"/>
  </r>
  <r>
    <n v="76341"/>
    <s v="TRANSFER"/>
    <n v="2"/>
    <n v="4"/>
    <s v=" ONTIME"/>
    <n v="1362"/>
    <n v="1"/>
    <n v="39.75"/>
    <n v="9"/>
    <s v="Discs Shop"/>
    <n v="19894"/>
    <s v="Bhubaneswar"/>
    <d v="2021-01-18T00:00:00"/>
    <n v="1"/>
    <n v="2021"/>
    <s v="South Asia"/>
    <x v="13"/>
    <s v="PENDING"/>
    <s v="PENDING"/>
    <s v="Standard Class"/>
    <n v="39.75"/>
  </r>
  <r>
    <n v="76357"/>
    <s v="DEBIT"/>
    <n v="3"/>
    <n v="4"/>
    <s v=" ONTIME"/>
    <n v="1362"/>
    <n v="1"/>
    <n v="39.75"/>
    <n v="9"/>
    <s v="Discs Shop"/>
    <n v="19910"/>
    <s v="Coimbatore"/>
    <d v="2021-01-18T00:00:00"/>
    <n v="1"/>
    <n v="2021"/>
    <s v="South Asia"/>
    <x v="3"/>
    <s v="COMPLETE"/>
    <s v="COMPLETED"/>
    <s v="Standard Class"/>
    <n v="39.75"/>
  </r>
  <r>
    <n v="76386"/>
    <s v="DEBIT"/>
    <n v="2"/>
    <n v="2"/>
    <s v=" ONTIME"/>
    <n v="1362"/>
    <n v="1"/>
    <n v="39.75"/>
    <n v="9"/>
    <s v="Discs Shop"/>
    <n v="19939"/>
    <s v="Guwahati"/>
    <d v="2021-01-19T00:00:00"/>
    <n v="1"/>
    <n v="2021"/>
    <s v="South Asia"/>
    <x v="9"/>
    <s v="COMPLETE"/>
    <s v="COMPLETED"/>
    <s v="Second Class"/>
    <n v="39.75"/>
  </r>
  <r>
    <n v="76387"/>
    <s v="PAYMENT"/>
    <n v="3"/>
    <n v="2"/>
    <s v="DELAYED"/>
    <n v="1362"/>
    <n v="1"/>
    <n v="39.75"/>
    <n v="9"/>
    <s v="Discs Shop"/>
    <n v="19940"/>
    <s v="Guwahati"/>
    <d v="2021-01-19T00:00:00"/>
    <n v="1"/>
    <n v="2021"/>
    <s v="South Asia"/>
    <x v="9"/>
    <s v="PAYMENT_REVIEW"/>
    <s v="PENDING"/>
    <s v="Second Class"/>
    <n v="39.75"/>
  </r>
  <r>
    <n v="76388"/>
    <s v="DEBIT"/>
    <n v="4"/>
    <n v="4"/>
    <s v=" ONTIME"/>
    <n v="1362"/>
    <n v="1"/>
    <n v="39.75"/>
    <n v="9"/>
    <s v="Discs Shop"/>
    <n v="19941"/>
    <s v="Guwahati"/>
    <d v="2021-01-19T00:00:00"/>
    <n v="1"/>
    <n v="2021"/>
    <s v="South Asia"/>
    <x v="9"/>
    <s v="COMPLETE"/>
    <s v="COMPLETED"/>
    <s v="Standard Class"/>
    <n v="39.75"/>
  </r>
  <r>
    <n v="76389"/>
    <s v="PAYMENT"/>
    <n v="5"/>
    <n v="2"/>
    <s v="DELAYED"/>
    <n v="1362"/>
    <n v="1"/>
    <n v="39.75"/>
    <n v="9"/>
    <s v="Discs Shop"/>
    <n v="19942"/>
    <s v="Guwahati"/>
    <d v="2021-01-19T00:00:00"/>
    <n v="1"/>
    <n v="2021"/>
    <s v="South Asia"/>
    <x v="9"/>
    <s v="PENDING_PAYMENT"/>
    <s v="PENDING"/>
    <s v="Second Class"/>
    <n v="39.75"/>
  </r>
  <r>
    <n v="76392"/>
    <s v="TRANSFER"/>
    <n v="3"/>
    <n v="2"/>
    <s v="DELAYED"/>
    <n v="1362"/>
    <n v="1"/>
    <n v="39.75"/>
    <n v="9"/>
    <s v="Discs Shop"/>
    <n v="19945"/>
    <s v="Chennai"/>
    <d v="2021-01-19T00:00:00"/>
    <n v="1"/>
    <n v="2021"/>
    <s v="South Asia"/>
    <x v="3"/>
    <s v="PROCESSING"/>
    <s v="PENDING"/>
    <s v="Second Class"/>
    <n v="39.75"/>
  </r>
  <r>
    <n v="76393"/>
    <s v="PAYMENT"/>
    <n v="4"/>
    <n v="4"/>
    <s v=" ONTIME"/>
    <n v="1362"/>
    <n v="1"/>
    <n v="39.75"/>
    <n v="9"/>
    <s v="Discs Shop"/>
    <n v="19946"/>
    <s v="Chennai"/>
    <d v="2021-01-19T00:00:00"/>
    <n v="1"/>
    <n v="2021"/>
    <s v="South Asia"/>
    <x v="3"/>
    <s v="PENDING_PAYMENT"/>
    <s v="PENDING"/>
    <s v="Standard Class"/>
    <n v="39.75"/>
  </r>
  <r>
    <n v="76396"/>
    <s v="TRANSFER"/>
    <n v="2"/>
    <n v="2"/>
    <s v=" ONTIME"/>
    <n v="1362"/>
    <n v="1"/>
    <n v="39.75"/>
    <n v="9"/>
    <s v="Discs Shop"/>
    <n v="19949"/>
    <s v="Gorakhpur"/>
    <d v="2021-01-19T00:00:00"/>
    <n v="1"/>
    <n v="2021"/>
    <s v="South Asia"/>
    <x v="10"/>
    <s v="PROCESSING"/>
    <s v="PENDING"/>
    <s v="Second Class"/>
    <n v="39.75"/>
  </r>
  <r>
    <n v="76398"/>
    <s v="PAYMENT"/>
    <n v="4"/>
    <n v="4"/>
    <s v=" ONTIME"/>
    <n v="1362"/>
    <n v="1"/>
    <n v="39.75"/>
    <n v="9"/>
    <s v="Discs Shop"/>
    <n v="19951"/>
    <s v="Thiruvananthapuram"/>
    <d v="2021-01-19T00:00:00"/>
    <n v="1"/>
    <n v="2021"/>
    <s v="South Asia"/>
    <x v="20"/>
    <s v="PAYMENT_REVIEW"/>
    <s v="PENDING"/>
    <s v="Standard Class"/>
    <n v="39.75"/>
  </r>
  <r>
    <n v="76399"/>
    <s v="DEBIT"/>
    <n v="5"/>
    <n v="4"/>
    <s v="DELAYED"/>
    <n v="1362"/>
    <n v="1"/>
    <n v="39.75"/>
    <n v="9"/>
    <s v="Discs Shop"/>
    <n v="19952"/>
    <s v="Thiruvananthapuram"/>
    <d v="2021-01-19T00:00:00"/>
    <n v="1"/>
    <n v="2021"/>
    <s v="South Asia"/>
    <x v="20"/>
    <s v="COMPLETE"/>
    <s v="COMPLETED"/>
    <s v="Standard Class"/>
    <n v="39.75"/>
  </r>
  <r>
    <n v="76400"/>
    <s v="PAYMENT"/>
    <n v="6"/>
    <n v="4"/>
    <s v="DELAYED"/>
    <n v="1362"/>
    <n v="1"/>
    <n v="39.75"/>
    <n v="9"/>
    <s v="Discs Shop"/>
    <n v="19953"/>
    <s v="Thiruvananthapuram"/>
    <d v="2021-01-19T00:00:00"/>
    <n v="1"/>
    <n v="2021"/>
    <s v="South Asia"/>
    <x v="20"/>
    <s v="PENDING_PAYMENT"/>
    <s v="PENDING"/>
    <s v="Standard Class"/>
    <n v="39.75"/>
  </r>
  <r>
    <n v="76401"/>
    <s v="DEBIT"/>
    <n v="2"/>
    <n v="4"/>
    <s v=" ONTIME"/>
    <n v="1362"/>
    <n v="1"/>
    <n v="39.75"/>
    <n v="9"/>
    <s v="Discs Shop"/>
    <n v="19954"/>
    <s v="Tiruppur"/>
    <d v="2021-01-19T00:00:00"/>
    <n v="1"/>
    <n v="2021"/>
    <s v="South Asia"/>
    <x v="3"/>
    <s v="ON_HOLD"/>
    <s v="PENDING"/>
    <s v="Standard Class"/>
    <n v="39.75"/>
  </r>
  <r>
    <n v="76402"/>
    <s v="CASH"/>
    <n v="2"/>
    <n v="1"/>
    <s v="DELAYED"/>
    <n v="1362"/>
    <n v="1"/>
    <n v="39.75"/>
    <n v="9"/>
    <s v="Discs Shop"/>
    <n v="19955"/>
    <s v="Tiruppur"/>
    <d v="2021-01-19T00:00:00"/>
    <n v="1"/>
    <n v="2021"/>
    <s v="South Asia"/>
    <x v="3"/>
    <s v="CLOSED"/>
    <s v="PENDING"/>
    <s v="First Class"/>
    <n v="39.75"/>
  </r>
  <r>
    <n v="76403"/>
    <s v="TRANSFER"/>
    <n v="2"/>
    <n v="1"/>
    <s v="DELAYED"/>
    <n v="1362"/>
    <n v="1"/>
    <n v="39.75"/>
    <n v="9"/>
    <s v="Discs Shop"/>
    <n v="19956"/>
    <s v="Tiruppur"/>
    <d v="2021-01-19T00:00:00"/>
    <n v="1"/>
    <n v="2021"/>
    <s v="South Asia"/>
    <x v="3"/>
    <s v="PROCESSING"/>
    <s v="PENDING"/>
    <s v="First Class"/>
    <n v="39.75"/>
  </r>
  <r>
    <n v="76404"/>
    <s v="DEBIT"/>
    <n v="2"/>
    <n v="1"/>
    <s v="DELAYED"/>
    <n v="1362"/>
    <n v="1"/>
    <n v="39.75"/>
    <n v="9"/>
    <s v="Discs Shop"/>
    <n v="19957"/>
    <s v="Tiruppur"/>
    <d v="2021-01-19T00:00:00"/>
    <n v="1"/>
    <n v="2021"/>
    <s v="South Asia"/>
    <x v="3"/>
    <s v="ON_HOLD"/>
    <s v="PENDING"/>
    <s v="First Class"/>
    <n v="39.75"/>
  </r>
  <r>
    <n v="76405"/>
    <s v="PAYMENT"/>
    <n v="6"/>
    <n v="2"/>
    <s v="DELAYED"/>
    <n v="1362"/>
    <n v="1"/>
    <n v="39.75"/>
    <n v="9"/>
    <s v="Discs Shop"/>
    <n v="19958"/>
    <s v="Tiruppur"/>
    <d v="2021-01-19T00:00:00"/>
    <n v="1"/>
    <n v="2021"/>
    <s v="South Asia"/>
    <x v="3"/>
    <s v="PENDING_PAYMENT"/>
    <s v="PENDING"/>
    <s v="Second Class"/>
    <n v="39.75"/>
  </r>
  <r>
    <n v="76406"/>
    <s v="DEBIT"/>
    <n v="2"/>
    <n v="4"/>
    <s v=" ONTIME"/>
    <n v="1362"/>
    <n v="1"/>
    <n v="39.75"/>
    <n v="9"/>
    <s v="Discs Shop"/>
    <n v="19959"/>
    <s v="Tiruppur"/>
    <d v="2021-01-19T00:00:00"/>
    <n v="1"/>
    <n v="2021"/>
    <s v="South Asia"/>
    <x v="3"/>
    <s v="ON_HOLD"/>
    <s v="PENDING"/>
    <s v="Standard Class"/>
    <n v="39.75"/>
  </r>
  <r>
    <n v="76407"/>
    <s v="TRANSFER"/>
    <n v="3"/>
    <n v="2"/>
    <s v="DELAYED"/>
    <n v="1362"/>
    <n v="1"/>
    <n v="39.75"/>
    <n v="9"/>
    <s v="Discs Shop"/>
    <n v="19960"/>
    <s v="Tiruppur"/>
    <d v="2021-01-19T00:00:00"/>
    <n v="1"/>
    <n v="2021"/>
    <s v="South Asia"/>
    <x v="3"/>
    <s v="PENDING"/>
    <s v="PENDING"/>
    <s v="Second Class"/>
    <n v="39.75"/>
  </r>
  <r>
    <n v="76421"/>
    <s v="DEBIT"/>
    <n v="2"/>
    <n v="4"/>
    <s v=" ONTIME"/>
    <n v="1362"/>
    <n v="1"/>
    <n v="39.75"/>
    <n v="9"/>
    <s v="Discs Shop"/>
    <n v="19974"/>
    <s v="Rajkot"/>
    <d v="2021-01-19T00:00:00"/>
    <n v="1"/>
    <n v="2021"/>
    <s v="South Asia"/>
    <x v="4"/>
    <s v="COMPLETE"/>
    <s v="COMPLETED"/>
    <s v="Standard Class"/>
    <n v="39.75"/>
  </r>
  <r>
    <n v="76422"/>
    <s v="TRANSFER"/>
    <n v="3"/>
    <n v="4"/>
    <s v=" ONTIME"/>
    <n v="1362"/>
    <n v="1"/>
    <n v="39.75"/>
    <n v="9"/>
    <s v="Discs Shop"/>
    <n v="19975"/>
    <s v="Rajkot"/>
    <d v="2021-01-19T00:00:00"/>
    <n v="1"/>
    <n v="2021"/>
    <s v="South Asia"/>
    <x v="4"/>
    <s v="PROCESSING"/>
    <s v="PENDING"/>
    <s v="Standard Class"/>
    <n v="39.75"/>
  </r>
  <r>
    <n v="76423"/>
    <s v="TRANSFER"/>
    <n v="4"/>
    <n v="4"/>
    <s v=" ONTIME"/>
    <n v="1362"/>
    <n v="1"/>
    <n v="39.75"/>
    <n v="9"/>
    <s v="Discs Shop"/>
    <n v="19976"/>
    <s v="Rajkot"/>
    <d v="2021-01-19T00:00:00"/>
    <n v="1"/>
    <n v="2021"/>
    <s v="South Asia"/>
    <x v="4"/>
    <s v="PROCESSING"/>
    <s v="PENDING"/>
    <s v="Standard Class"/>
    <n v="39.75"/>
  </r>
  <r>
    <n v="76428"/>
    <s v="DEBIT"/>
    <n v="4"/>
    <n v="4"/>
    <s v=" ONTIME"/>
    <n v="1362"/>
    <n v="1"/>
    <n v="39.75"/>
    <n v="9"/>
    <s v="Discs Shop"/>
    <n v="19981"/>
    <s v="Guwahati"/>
    <d v="2021-01-19T00:00:00"/>
    <n v="1"/>
    <n v="2021"/>
    <s v="South Asia"/>
    <x v="9"/>
    <s v="COMPLETE"/>
    <s v="COMPLETED"/>
    <s v="Standard Class"/>
    <n v="39.75"/>
  </r>
  <r>
    <n v="76430"/>
    <s v="DEBIT"/>
    <n v="6"/>
    <n v="4"/>
    <s v="DELAYED"/>
    <n v="1362"/>
    <n v="1"/>
    <n v="39.75"/>
    <n v="9"/>
    <s v="Discs Shop"/>
    <n v="19983"/>
    <s v="Srinagar"/>
    <d v="2021-01-19T00:00:00"/>
    <n v="1"/>
    <n v="2021"/>
    <s v="South Asia"/>
    <x v="19"/>
    <s v="COMPLETE"/>
    <s v="COMPLETED"/>
    <s v="Standard Class"/>
    <n v="39.75"/>
  </r>
  <r>
    <n v="76431"/>
    <s v="DEBIT"/>
    <n v="2"/>
    <n v="4"/>
    <s v=" ONTIME"/>
    <n v="1362"/>
    <n v="1"/>
    <n v="39.75"/>
    <n v="9"/>
    <s v="Discs Shop"/>
    <n v="19984"/>
    <s v="Srinagar"/>
    <d v="2021-01-19T00:00:00"/>
    <n v="1"/>
    <n v="2021"/>
    <s v="South Asia"/>
    <x v="19"/>
    <s v="COMPLETE"/>
    <s v="COMPLETED"/>
    <s v="Standard Class"/>
    <n v="39.75"/>
  </r>
  <r>
    <n v="76472"/>
    <s v="DEBIT"/>
    <n v="3"/>
    <n v="4"/>
    <s v=" ONTIME"/>
    <n v="1362"/>
    <n v="1"/>
    <n v="39.75"/>
    <n v="9"/>
    <s v="Discs Shop"/>
    <n v="20025"/>
    <s v="Lucknow"/>
    <d v="2021-01-20T00:00:00"/>
    <n v="1"/>
    <n v="2021"/>
    <s v="South Asia"/>
    <x v="1"/>
    <s v="COMPLETE"/>
    <s v="COMPLETED"/>
    <s v="Standard Class"/>
    <n v="39.75"/>
  </r>
  <r>
    <n v="76473"/>
    <s v="DEBIT"/>
    <n v="4"/>
    <n v="4"/>
    <s v=" ONTIME"/>
    <n v="1362"/>
    <n v="1"/>
    <n v="39.75"/>
    <n v="9"/>
    <s v="Discs Shop"/>
    <n v="20026"/>
    <s v="Lucknow"/>
    <d v="2021-01-20T00:00:00"/>
    <n v="1"/>
    <n v="2021"/>
    <s v="South Asia"/>
    <x v="1"/>
    <s v="COMPLETE"/>
    <s v="COMPLETED"/>
    <s v="Standard Class"/>
    <n v="39.75"/>
  </r>
  <r>
    <n v="76474"/>
    <s v="PAYMENT"/>
    <n v="0"/>
    <n v="0"/>
    <s v=" ONTIME"/>
    <n v="1362"/>
    <n v="1"/>
    <n v="39.75"/>
    <n v="9"/>
    <s v="Discs Shop"/>
    <n v="20027"/>
    <s v="Lucknow"/>
    <d v="2021-01-20T00:00:00"/>
    <n v="1"/>
    <n v="2021"/>
    <s v="South Asia"/>
    <x v="1"/>
    <s v="PENDING_PAYMENT"/>
    <s v="PENDING"/>
    <s v="Same Day"/>
    <n v="39.75"/>
  </r>
  <r>
    <n v="76492"/>
    <s v="TRANSFER"/>
    <n v="2"/>
    <n v="1"/>
    <s v="DELAYED"/>
    <n v="1362"/>
    <n v="1"/>
    <n v="39.75"/>
    <n v="9"/>
    <s v="Discs Shop"/>
    <n v="20045"/>
    <s v="Jaipur"/>
    <d v="2021-01-20T00:00:00"/>
    <n v="1"/>
    <n v="2021"/>
    <s v="South Asia"/>
    <x v="2"/>
    <s v="PENDING"/>
    <s v="PENDING"/>
    <s v="First Class"/>
    <n v="39.75"/>
  </r>
  <r>
    <n v="76493"/>
    <s v="DEBIT"/>
    <n v="2"/>
    <n v="1"/>
    <s v="DELAYED"/>
    <n v="1362"/>
    <n v="1"/>
    <n v="39.75"/>
    <n v="9"/>
    <s v="Discs Shop"/>
    <n v="20046"/>
    <s v="Jaipur"/>
    <d v="2021-01-20T00:00:00"/>
    <n v="1"/>
    <n v="2021"/>
    <s v="South Asia"/>
    <x v="2"/>
    <s v="COMPLETE"/>
    <s v="COMPLETED"/>
    <s v="First Class"/>
    <n v="39.75"/>
  </r>
  <r>
    <n v="76494"/>
    <s v="TRANSFER"/>
    <n v="2"/>
    <n v="1"/>
    <s v="DELAYED"/>
    <n v="1362"/>
    <n v="1"/>
    <n v="39.75"/>
    <n v="9"/>
    <s v="Discs Shop"/>
    <n v="20047"/>
    <s v="Jaipur"/>
    <d v="2021-01-20T00:00:00"/>
    <n v="1"/>
    <n v="2021"/>
    <s v="South Asia"/>
    <x v="2"/>
    <s v="PENDING"/>
    <s v="PENDING"/>
    <s v="First Class"/>
    <n v="39.75"/>
  </r>
  <r>
    <n v="76495"/>
    <s v="TRANSFER"/>
    <n v="6"/>
    <n v="2"/>
    <s v="DELAYED"/>
    <n v="1362"/>
    <n v="1"/>
    <n v="39.75"/>
    <n v="9"/>
    <s v="Discs Shop"/>
    <n v="20048"/>
    <s v="Jaipur"/>
    <d v="2021-01-20T00:00:00"/>
    <n v="1"/>
    <n v="2021"/>
    <s v="South Asia"/>
    <x v="2"/>
    <s v="PROCESSING"/>
    <s v="PENDING"/>
    <s v="Second Class"/>
    <n v="39.75"/>
  </r>
  <r>
    <n v="76496"/>
    <s v="PAYMENT"/>
    <n v="2"/>
    <n v="2"/>
    <s v=" ONTIME"/>
    <n v="1362"/>
    <n v="1"/>
    <n v="39.75"/>
    <n v="9"/>
    <s v="Discs Shop"/>
    <n v="20049"/>
    <s v="Jaipur"/>
    <d v="2021-01-20T00:00:00"/>
    <n v="1"/>
    <n v="2021"/>
    <s v="South Asia"/>
    <x v="2"/>
    <s v="PENDING_PAYMENT"/>
    <s v="PENDING"/>
    <s v="Second Class"/>
    <n v="39.75"/>
  </r>
  <r>
    <n v="76497"/>
    <s v="DEBIT"/>
    <n v="2"/>
    <n v="1"/>
    <s v="DELAYED"/>
    <n v="1362"/>
    <n v="1"/>
    <n v="39.75"/>
    <n v="9"/>
    <s v="Discs Shop"/>
    <n v="20050"/>
    <s v="Jaipur"/>
    <d v="2021-01-20T00:00:00"/>
    <n v="1"/>
    <n v="2021"/>
    <s v="South Asia"/>
    <x v="2"/>
    <s v="COMPLETE"/>
    <s v="COMPLETED"/>
    <s v="First Class"/>
    <n v="39.75"/>
  </r>
  <r>
    <n v="76500"/>
    <s v="PAYMENT"/>
    <n v="6"/>
    <n v="2"/>
    <s v="DELAYED"/>
    <n v="1362"/>
    <n v="1"/>
    <n v="39.75"/>
    <n v="9"/>
    <s v="Discs Shop"/>
    <n v="20053"/>
    <s v="Aurangabad"/>
    <d v="2021-01-20T00:00:00"/>
    <n v="1"/>
    <n v="2021"/>
    <s v="South Asia"/>
    <x v="0"/>
    <s v="PENDING_PAYMENT"/>
    <s v="PENDING"/>
    <s v="Second Class"/>
    <n v="39.75"/>
  </r>
  <r>
    <n v="76518"/>
    <s v="DEBIT"/>
    <n v="4"/>
    <n v="2"/>
    <s v="DELAYED"/>
    <n v="1362"/>
    <n v="1"/>
    <n v="39.75"/>
    <n v="9"/>
    <s v="Discs Shop"/>
    <n v="20071"/>
    <s v="Ujjain"/>
    <d v="2021-01-20T00:00:00"/>
    <n v="1"/>
    <n v="2021"/>
    <s v="South Asia"/>
    <x v="14"/>
    <s v="COMPLETE"/>
    <s v="COMPLETED"/>
    <s v="Second Class"/>
    <n v="39.75"/>
  </r>
  <r>
    <n v="76533"/>
    <s v="CASH"/>
    <n v="4"/>
    <n v="4"/>
    <s v=" ONTIME"/>
    <n v="1362"/>
    <n v="1"/>
    <n v="39.75"/>
    <n v="9"/>
    <s v="Discs Shop"/>
    <n v="20086"/>
    <s v="Mathura"/>
    <d v="2021-01-21T00:00:00"/>
    <n v="1"/>
    <n v="2021"/>
    <s v="South Asia"/>
    <x v="1"/>
    <s v="CLOSED"/>
    <s v="PENDING"/>
    <s v="Standard Class"/>
    <n v="39.75"/>
  </r>
  <r>
    <n v="76534"/>
    <s v="PAYMENT"/>
    <n v="5"/>
    <n v="4"/>
    <s v="DELAYED"/>
    <n v="1362"/>
    <n v="1"/>
    <n v="39.75"/>
    <n v="9"/>
    <s v="Discs Shop"/>
    <n v="20087"/>
    <s v="Mathura"/>
    <d v="2021-01-21T00:00:00"/>
    <n v="1"/>
    <n v="2021"/>
    <s v="South Asia"/>
    <x v="1"/>
    <s v="PENDING_PAYMENT"/>
    <s v="PENDING"/>
    <s v="Standard Class"/>
    <n v="39.75"/>
  </r>
  <r>
    <n v="76535"/>
    <s v="PAYMENT"/>
    <n v="6"/>
    <n v="4"/>
    <s v="DELAYED"/>
    <n v="1362"/>
    <n v="1"/>
    <n v="39.75"/>
    <n v="9"/>
    <s v="Discs Shop"/>
    <n v="20088"/>
    <s v="Gwalior"/>
    <d v="2021-01-21T00:00:00"/>
    <n v="1"/>
    <n v="2021"/>
    <s v="South Asia"/>
    <x v="14"/>
    <s v="PENDING_PAYMENT"/>
    <s v="PENDING"/>
    <s v="Standard Class"/>
    <n v="39.75"/>
  </r>
  <r>
    <n v="76536"/>
    <s v="DEBIT"/>
    <n v="2"/>
    <n v="1"/>
    <s v="DELAYED"/>
    <n v="1362"/>
    <n v="1"/>
    <n v="39.75"/>
    <n v="9"/>
    <s v="Discs Shop"/>
    <n v="20089"/>
    <s v="Dewas"/>
    <d v="2021-01-21T00:00:00"/>
    <n v="1"/>
    <n v="2021"/>
    <s v="South Asia"/>
    <x v="14"/>
    <s v="COMPLETE"/>
    <s v="COMPLETED"/>
    <s v="First Class"/>
    <n v="39.75"/>
  </r>
  <r>
    <n v="76537"/>
    <s v="DEBIT"/>
    <n v="0"/>
    <n v="0"/>
    <s v=" ONTIME"/>
    <n v="1362"/>
    <n v="1"/>
    <n v="39.75"/>
    <n v="9"/>
    <s v="Discs Shop"/>
    <n v="20090"/>
    <s v="Dewas"/>
    <d v="2021-01-21T00:00:00"/>
    <n v="1"/>
    <n v="2021"/>
    <s v="South Asia"/>
    <x v="14"/>
    <s v="COMPLETE"/>
    <s v="COMPLETED"/>
    <s v="Same Day"/>
    <n v="39.75"/>
  </r>
  <r>
    <n v="76538"/>
    <s v="DEBIT"/>
    <n v="0"/>
    <n v="0"/>
    <s v=" ONTIME"/>
    <n v="1362"/>
    <n v="1"/>
    <n v="39.75"/>
    <n v="9"/>
    <s v="Discs Shop"/>
    <n v="20091"/>
    <s v="Dewas"/>
    <d v="2021-01-21T00:00:00"/>
    <n v="1"/>
    <n v="2021"/>
    <s v="South Asia"/>
    <x v="14"/>
    <s v="COMPLETE"/>
    <s v="COMPLETED"/>
    <s v="Same Day"/>
    <n v="39.75"/>
  </r>
  <r>
    <n v="76539"/>
    <s v="DEBIT"/>
    <n v="0"/>
    <n v="0"/>
    <s v=" ONTIME"/>
    <n v="1362"/>
    <n v="1"/>
    <n v="39.75"/>
    <n v="9"/>
    <s v="Discs Shop"/>
    <n v="20092"/>
    <s v="Dewas"/>
    <d v="2021-01-21T00:00:00"/>
    <n v="1"/>
    <n v="2021"/>
    <s v="South Asia"/>
    <x v="14"/>
    <s v="COMPLETE"/>
    <s v="COMPLETED"/>
    <s v="Same Day"/>
    <n v="39.75"/>
  </r>
  <r>
    <n v="76540"/>
    <s v="PAYMENT"/>
    <n v="0"/>
    <n v="0"/>
    <s v=" ONTIME"/>
    <n v="1362"/>
    <n v="1"/>
    <n v="39.75"/>
    <n v="9"/>
    <s v="Discs Shop"/>
    <n v="20093"/>
    <s v="Dewas"/>
    <d v="2021-01-21T00:00:00"/>
    <n v="1"/>
    <n v="2021"/>
    <s v="South Asia"/>
    <x v="14"/>
    <s v="PENDING_PAYMENT"/>
    <s v="PENDING"/>
    <s v="Same Day"/>
    <n v="39.75"/>
  </r>
  <r>
    <n v="76566"/>
    <s v="DEBIT"/>
    <n v="2"/>
    <n v="2"/>
    <s v=" ONTIME"/>
    <n v="1362"/>
    <n v="1"/>
    <n v="39.75"/>
    <n v="9"/>
    <s v="Discs Shop"/>
    <n v="20119"/>
    <s v="Nasik"/>
    <d v="2021-01-21T00:00:00"/>
    <n v="1"/>
    <n v="2021"/>
    <s v="South Asia"/>
    <x v="0"/>
    <s v="COMPLETE"/>
    <s v="COMPLETED"/>
    <s v="Second Class"/>
    <n v="39.75"/>
  </r>
  <r>
    <n v="76567"/>
    <s v="TRANSFER"/>
    <n v="3"/>
    <n v="4"/>
    <s v=" ONTIME"/>
    <n v="1362"/>
    <n v="1"/>
    <n v="39.75"/>
    <n v="9"/>
    <s v="Discs Shop"/>
    <n v="20120"/>
    <s v="Nasik"/>
    <d v="2021-01-21T00:00:00"/>
    <n v="1"/>
    <n v="2021"/>
    <s v="South Asia"/>
    <x v="0"/>
    <s v="PENDING"/>
    <s v="PENDING"/>
    <s v="Standard Class"/>
    <n v="39.75"/>
  </r>
  <r>
    <n v="76589"/>
    <s v="PAYMENT"/>
    <n v="5"/>
    <n v="2"/>
    <s v="DELAYED"/>
    <n v="1362"/>
    <n v="1"/>
    <n v="39.75"/>
    <n v="9"/>
    <s v="Discs Shop"/>
    <n v="20142"/>
    <s v="Guntur"/>
    <d v="2021-01-22T00:00:00"/>
    <n v="1"/>
    <n v="2021"/>
    <s v="South Asia"/>
    <x v="15"/>
    <s v="PENDING_PAYMENT"/>
    <s v="PENDING"/>
    <s v="Second Class"/>
    <n v="39.75"/>
  </r>
  <r>
    <n v="76590"/>
    <s v="DEBIT"/>
    <n v="6"/>
    <n v="4"/>
    <s v="DELAYED"/>
    <n v="1362"/>
    <n v="1"/>
    <n v="39.75"/>
    <n v="9"/>
    <s v="Discs Shop"/>
    <n v="20143"/>
    <s v="Guntur"/>
    <d v="2021-01-22T00:00:00"/>
    <n v="1"/>
    <n v="2021"/>
    <s v="South Asia"/>
    <x v="15"/>
    <s v="COMPLETE"/>
    <s v="COMPLETED"/>
    <s v="Standard Class"/>
    <n v="39.75"/>
  </r>
  <r>
    <n v="76591"/>
    <s v="CASH"/>
    <n v="2"/>
    <n v="4"/>
    <s v=" ONTIME"/>
    <n v="1362"/>
    <n v="1"/>
    <n v="39.75"/>
    <n v="9"/>
    <s v="Discs Shop"/>
    <n v="20144"/>
    <s v="Guntur"/>
    <d v="2021-01-22T00:00:00"/>
    <n v="1"/>
    <n v="2021"/>
    <s v="South Asia"/>
    <x v="15"/>
    <s v="CLOSED"/>
    <s v="PENDING"/>
    <s v="Standard Class"/>
    <n v="39.75"/>
  </r>
  <r>
    <n v="76634"/>
    <s v="DEBIT"/>
    <n v="5"/>
    <n v="4"/>
    <s v="DELAYED"/>
    <n v="1362"/>
    <n v="1"/>
    <n v="39.75"/>
    <n v="9"/>
    <s v="Discs Shop"/>
    <n v="20187"/>
    <s v="Baranagar"/>
    <d v="2021-01-22T00:00:00"/>
    <n v="1"/>
    <n v="2021"/>
    <s v="South Asia"/>
    <x v="6"/>
    <s v="COMPLETE"/>
    <s v="COMPLETED"/>
    <s v="Standard Class"/>
    <n v="39.75"/>
  </r>
  <r>
    <n v="76640"/>
    <s v="DEBIT"/>
    <n v="6"/>
    <n v="4"/>
    <s v="DELAYED"/>
    <n v="1362"/>
    <n v="1"/>
    <n v="39.75"/>
    <n v="9"/>
    <s v="Discs Shop"/>
    <n v="20193"/>
    <s v="Bhiwandi"/>
    <d v="2021-01-22T00:00:00"/>
    <n v="1"/>
    <n v="2021"/>
    <s v="South Asia"/>
    <x v="0"/>
    <s v="COMPLETE"/>
    <s v="COMPLETED"/>
    <s v="Standard Class"/>
    <n v="39.75"/>
  </r>
  <r>
    <n v="76641"/>
    <s v="PAYMENT"/>
    <n v="2"/>
    <n v="4"/>
    <s v=" ONTIME"/>
    <n v="1362"/>
    <n v="1"/>
    <n v="39.75"/>
    <n v="9"/>
    <s v="Discs Shop"/>
    <n v="20194"/>
    <s v="Bhiwandi"/>
    <d v="2021-01-22T00:00:00"/>
    <n v="1"/>
    <n v="2021"/>
    <s v="South Asia"/>
    <x v="0"/>
    <s v="PENDING_PAYMENT"/>
    <s v="PENDING"/>
    <s v="Standard Class"/>
    <n v="39.75"/>
  </r>
  <r>
    <n v="76642"/>
    <s v="PAYMENT"/>
    <n v="3"/>
    <n v="4"/>
    <s v=" ONTIME"/>
    <n v="1362"/>
    <n v="1"/>
    <n v="39.75"/>
    <n v="9"/>
    <s v="Discs Shop"/>
    <n v="20195"/>
    <s v="Bhiwandi"/>
    <d v="2021-01-22T00:00:00"/>
    <n v="1"/>
    <n v="2021"/>
    <s v="South Asia"/>
    <x v="0"/>
    <s v="PENDING_PAYMENT"/>
    <s v="PENDING"/>
    <s v="Standard Class"/>
    <n v="39.75"/>
  </r>
  <r>
    <n v="76643"/>
    <s v="DEBIT"/>
    <n v="4"/>
    <n v="4"/>
    <s v=" ONTIME"/>
    <n v="1362"/>
    <n v="1"/>
    <n v="39.75"/>
    <n v="9"/>
    <s v="Discs Shop"/>
    <n v="20196"/>
    <s v="Bhiwandi"/>
    <d v="2021-01-22T00:00:00"/>
    <n v="1"/>
    <n v="2021"/>
    <s v="South Asia"/>
    <x v="0"/>
    <s v="COMPLETE"/>
    <s v="COMPLETED"/>
    <s v="Standard Class"/>
    <n v="39.75"/>
  </r>
  <r>
    <n v="76650"/>
    <s v="DEBIT"/>
    <n v="6"/>
    <n v="4"/>
    <s v="DELAYED"/>
    <n v="1362"/>
    <n v="1"/>
    <n v="39.75"/>
    <n v="9"/>
    <s v="Discs Shop"/>
    <n v="20203"/>
    <s v="Jodhpur"/>
    <d v="2021-01-22T00:00:00"/>
    <n v="1"/>
    <n v="2021"/>
    <s v="South Asia"/>
    <x v="2"/>
    <s v="COMPLETE"/>
    <s v="COMPLETED"/>
    <s v="Standard Class"/>
    <n v="39.75"/>
  </r>
  <r>
    <n v="76666"/>
    <s v="DEBIT"/>
    <n v="2"/>
    <n v="2"/>
    <s v=" ONTIME"/>
    <n v="1362"/>
    <n v="1"/>
    <n v="39.75"/>
    <n v="9"/>
    <s v="Discs Shop"/>
    <n v="20219"/>
    <s v="Chennai"/>
    <d v="2021-01-23T00:00:00"/>
    <n v="1"/>
    <n v="2021"/>
    <s v="South Asia"/>
    <x v="3"/>
    <s v="COMPLETE"/>
    <s v="COMPLETED"/>
    <s v="Second Class"/>
    <n v="39.75"/>
  </r>
  <r>
    <n v="76688"/>
    <s v="DEBIT"/>
    <n v="4"/>
    <n v="2"/>
    <s v="DELAYED"/>
    <n v="1362"/>
    <n v="1"/>
    <n v="39.75"/>
    <n v="9"/>
    <s v="Discs Shop"/>
    <n v="20241"/>
    <s v="Rajkot"/>
    <d v="2021-01-23T00:00:00"/>
    <n v="1"/>
    <n v="2021"/>
    <s v="South Asia"/>
    <x v="4"/>
    <s v="ON_HOLD"/>
    <s v="PENDING"/>
    <s v="Second Class"/>
    <n v="39.75"/>
  </r>
  <r>
    <n v="76695"/>
    <s v="PAYMENT"/>
    <n v="6"/>
    <n v="4"/>
    <s v="DELAYED"/>
    <n v="1362"/>
    <n v="1"/>
    <n v="39.75"/>
    <n v="9"/>
    <s v="Discs Shop"/>
    <n v="20248"/>
    <s v="Belgaum"/>
    <d v="2021-01-23T00:00:00"/>
    <n v="1"/>
    <n v="2021"/>
    <s v="South Asia"/>
    <x v="8"/>
    <s v="PENDING_PAYMENT"/>
    <s v="PENDING"/>
    <s v="Standard Class"/>
    <n v="39.75"/>
  </r>
  <r>
    <n v="76696"/>
    <s v="PAYMENT"/>
    <n v="2"/>
    <n v="4"/>
    <s v=" ONTIME"/>
    <n v="1362"/>
    <n v="1"/>
    <n v="39.75"/>
    <n v="9"/>
    <s v="Discs Shop"/>
    <n v="20249"/>
    <s v="Belgaum"/>
    <d v="2021-01-23T00:00:00"/>
    <n v="1"/>
    <n v="2021"/>
    <s v="South Asia"/>
    <x v="8"/>
    <s v="PENDING_PAYMENT"/>
    <s v="PENDING"/>
    <s v="Standard Class"/>
    <n v="39.75"/>
  </r>
  <r>
    <n v="76706"/>
    <s v="PAYMENT"/>
    <n v="2"/>
    <n v="2"/>
    <s v=" ONTIME"/>
    <n v="1362"/>
    <n v="1"/>
    <n v="39.75"/>
    <n v="9"/>
    <s v="Discs Shop"/>
    <n v="20259"/>
    <s v="Ludhiana"/>
    <d v="2021-01-23T00:00:00"/>
    <n v="1"/>
    <n v="2021"/>
    <s v="South Asia"/>
    <x v="16"/>
    <s v="PENDING_PAYMENT"/>
    <s v="PENDING"/>
    <s v="Second Class"/>
    <n v="39.75"/>
  </r>
  <r>
    <n v="76707"/>
    <s v="CASH"/>
    <n v="3"/>
    <n v="4"/>
    <s v=" ONTIME"/>
    <n v="1362"/>
    <n v="1"/>
    <n v="39.75"/>
    <n v="9"/>
    <s v="Discs Shop"/>
    <n v="20260"/>
    <s v="Ludhiana"/>
    <d v="2021-01-23T00:00:00"/>
    <n v="1"/>
    <n v="2021"/>
    <s v="South Asia"/>
    <x v="16"/>
    <s v="CLOSED"/>
    <s v="PENDING"/>
    <s v="Standard Class"/>
    <n v="39.75"/>
  </r>
  <r>
    <n v="76724"/>
    <s v="PAYMENT"/>
    <n v="5"/>
    <n v="2"/>
    <s v="DELAYED"/>
    <n v="1362"/>
    <n v="1"/>
    <n v="39.75"/>
    <n v="9"/>
    <s v="Discs Shop"/>
    <n v="20277"/>
    <s v="Surat"/>
    <d v="2021-01-23T00:00:00"/>
    <n v="1"/>
    <n v="2021"/>
    <s v="South Asia"/>
    <x v="4"/>
    <s v="PENDING_PAYMENT"/>
    <s v="PENDING"/>
    <s v="Second Class"/>
    <n v="39.75"/>
  </r>
  <r>
    <n v="76733"/>
    <s v="DEBIT"/>
    <n v="4"/>
    <n v="4"/>
    <s v=" ONTIME"/>
    <n v="1362"/>
    <n v="1"/>
    <n v="39.75"/>
    <n v="9"/>
    <s v="Discs Shop"/>
    <n v="20286"/>
    <s v="Kochi"/>
    <d v="2021-01-24T00:00:00"/>
    <n v="1"/>
    <n v="2021"/>
    <s v="South Asia"/>
    <x v="20"/>
    <s v="COMPLETE"/>
    <s v="COMPLETED"/>
    <s v="Standard Class"/>
    <n v="39.75"/>
  </r>
  <r>
    <n v="76734"/>
    <s v="DEBIT"/>
    <n v="5"/>
    <n v="4"/>
    <s v="DELAYED"/>
    <n v="1362"/>
    <n v="1"/>
    <n v="39.75"/>
    <n v="9"/>
    <s v="Discs Shop"/>
    <n v="20287"/>
    <s v="Kochi"/>
    <d v="2021-01-24T00:00:00"/>
    <n v="1"/>
    <n v="2021"/>
    <s v="South Asia"/>
    <x v="20"/>
    <s v="COMPLETE"/>
    <s v="COMPLETED"/>
    <s v="Standard Class"/>
    <n v="39.75"/>
  </r>
  <r>
    <n v="76735"/>
    <s v="CASH"/>
    <n v="6"/>
    <n v="4"/>
    <s v="DELAYED"/>
    <n v="1362"/>
    <n v="1"/>
    <n v="39.75"/>
    <n v="9"/>
    <s v="Discs Shop"/>
    <n v="20288"/>
    <s v="Kochi"/>
    <d v="2021-01-24T00:00:00"/>
    <n v="1"/>
    <n v="2021"/>
    <s v="South Asia"/>
    <x v="20"/>
    <s v="CLOSED"/>
    <s v="PENDING"/>
    <s v="Standard Class"/>
    <n v="39.75"/>
  </r>
  <r>
    <n v="76736"/>
    <s v="PAYMENT"/>
    <n v="2"/>
    <n v="4"/>
    <s v=" ONTIME"/>
    <n v="1362"/>
    <n v="1"/>
    <n v="39.75"/>
    <n v="9"/>
    <s v="Discs Shop"/>
    <n v="20289"/>
    <s v="Kochi"/>
    <d v="2021-01-24T00:00:00"/>
    <n v="1"/>
    <n v="2021"/>
    <s v="South Asia"/>
    <x v="20"/>
    <s v="PENDING_PAYMENT"/>
    <s v="PENDING"/>
    <s v="Standard Class"/>
    <n v="39.75"/>
  </r>
  <r>
    <n v="76740"/>
    <s v="TRANSFER"/>
    <n v="6"/>
    <n v="4"/>
    <s v="DELAYED"/>
    <n v="1362"/>
    <n v="1"/>
    <n v="39.75"/>
    <n v="9"/>
    <s v="Discs Shop"/>
    <n v="20293"/>
    <s v="Meerut"/>
    <d v="2021-01-24T00:00:00"/>
    <n v="1"/>
    <n v="2021"/>
    <s v="South Asia"/>
    <x v="1"/>
    <s v="PENDING"/>
    <s v="PENDING"/>
    <s v="Standard Class"/>
    <n v="39.75"/>
  </r>
  <r>
    <n v="76758"/>
    <s v="TRANSFER"/>
    <n v="4"/>
    <n v="4"/>
    <s v=" ONTIME"/>
    <n v="1362"/>
    <n v="1"/>
    <n v="39.75"/>
    <n v="9"/>
    <s v="Discs Shop"/>
    <n v="20311"/>
    <s v="Bihar Sharif"/>
    <d v="2021-01-24T00:00:00"/>
    <n v="1"/>
    <n v="2021"/>
    <s v="South Asia"/>
    <x v="17"/>
    <s v="PENDING"/>
    <s v="PENDING"/>
    <s v="Standard Class"/>
    <n v="39.75"/>
  </r>
  <r>
    <n v="76759"/>
    <s v="PAYMENT"/>
    <n v="5"/>
    <n v="2"/>
    <s v="DELAYED"/>
    <n v="1362"/>
    <n v="1"/>
    <n v="39.75"/>
    <n v="9"/>
    <s v="Discs Shop"/>
    <n v="20312"/>
    <s v="Bihar Sharif"/>
    <d v="2021-01-24T00:00:00"/>
    <n v="1"/>
    <n v="2021"/>
    <s v="South Asia"/>
    <x v="17"/>
    <s v="PENDING_PAYMENT"/>
    <s v="PENDING"/>
    <s v="Second Class"/>
    <n v="39.75"/>
  </r>
  <r>
    <n v="76760"/>
    <s v="CASH"/>
    <n v="6"/>
    <n v="2"/>
    <s v="DELAYED"/>
    <n v="1362"/>
    <n v="1"/>
    <n v="39.75"/>
    <n v="9"/>
    <s v="Discs Shop"/>
    <n v="20313"/>
    <s v="Bihar Sharif"/>
    <d v="2021-01-24T00:00:00"/>
    <n v="1"/>
    <n v="2021"/>
    <s v="South Asia"/>
    <x v="17"/>
    <s v="CLOSED"/>
    <s v="PENDING"/>
    <s v="Second Class"/>
    <n v="39.75"/>
  </r>
  <r>
    <n v="76761"/>
    <s v="TRANSFER"/>
    <n v="2"/>
    <n v="4"/>
    <s v=" ONTIME"/>
    <n v="1362"/>
    <n v="1"/>
    <n v="39.75"/>
    <n v="9"/>
    <s v="Discs Shop"/>
    <n v="20314"/>
    <s v="Bihar Sharif"/>
    <d v="2021-01-24T00:00:00"/>
    <n v="1"/>
    <n v="2021"/>
    <s v="South Asia"/>
    <x v="17"/>
    <s v="PENDING"/>
    <s v="PENDING"/>
    <s v="Standard Class"/>
    <n v="39.75"/>
  </r>
  <r>
    <n v="76763"/>
    <s v="PAYMENT"/>
    <n v="4"/>
    <n v="4"/>
    <s v=" ONTIME"/>
    <n v="1362"/>
    <n v="1"/>
    <n v="39.75"/>
    <n v="9"/>
    <s v="Discs Shop"/>
    <n v="20316"/>
    <s v="Ranchi"/>
    <d v="2021-01-24T00:00:00"/>
    <n v="1"/>
    <n v="2021"/>
    <s v="South Asia"/>
    <x v="12"/>
    <s v="PENDING_PAYMENT"/>
    <s v="PENDING"/>
    <s v="Standard Class"/>
    <n v="39.75"/>
  </r>
  <r>
    <n v="76764"/>
    <s v="DEBIT"/>
    <n v="5"/>
    <n v="4"/>
    <s v="DELAYED"/>
    <n v="1362"/>
    <n v="1"/>
    <n v="39.75"/>
    <n v="9"/>
    <s v="Discs Shop"/>
    <n v="20317"/>
    <s v="Chennai"/>
    <d v="2021-01-24T00:00:00"/>
    <n v="1"/>
    <n v="2021"/>
    <s v="South Asia"/>
    <x v="3"/>
    <s v="COMPLETE"/>
    <s v="COMPLETED"/>
    <s v="Standard Class"/>
    <n v="39.75"/>
  </r>
  <r>
    <n v="76767"/>
    <s v="PAYMENT"/>
    <n v="3"/>
    <n v="2"/>
    <s v="DELAYED"/>
    <n v="1362"/>
    <n v="1"/>
    <n v="39.75"/>
    <n v="9"/>
    <s v="Discs Shop"/>
    <n v="20320"/>
    <s v="Warangal"/>
    <d v="2021-01-24T00:00:00"/>
    <n v="1"/>
    <n v="2021"/>
    <s v="South Asia"/>
    <x v="7"/>
    <s v="PENDING_PAYMENT"/>
    <s v="PENDING"/>
    <s v="Second Class"/>
    <n v="39.75"/>
  </r>
  <r>
    <n v="76773"/>
    <s v="TRANSFER"/>
    <n v="4"/>
    <n v="4"/>
    <s v=" ONTIME"/>
    <n v="1362"/>
    <n v="1"/>
    <n v="39.75"/>
    <n v="9"/>
    <s v="Discs Shop"/>
    <n v="20326"/>
    <s v="Ajmer"/>
    <d v="2021-01-24T00:00:00"/>
    <n v="1"/>
    <n v="2021"/>
    <s v="South Asia"/>
    <x v="2"/>
    <s v="PENDING"/>
    <s v="PENDING"/>
    <s v="Standard Class"/>
    <n v="39.75"/>
  </r>
  <r>
    <n v="76774"/>
    <s v="DEBIT"/>
    <n v="5"/>
    <n v="4"/>
    <s v="DELAYED"/>
    <n v="1362"/>
    <n v="1"/>
    <n v="39.75"/>
    <n v="9"/>
    <s v="Discs Shop"/>
    <n v="20327"/>
    <s v="Ajmer"/>
    <d v="2021-01-24T00:00:00"/>
    <n v="1"/>
    <n v="2021"/>
    <s v="South Asia"/>
    <x v="2"/>
    <s v="COMPLETE"/>
    <s v="COMPLETED"/>
    <s v="Standard Class"/>
    <n v="39.75"/>
  </r>
  <r>
    <n v="76775"/>
    <s v="PAYMENT"/>
    <n v="6"/>
    <n v="4"/>
    <s v="DELAYED"/>
    <n v="1362"/>
    <n v="1"/>
    <n v="39.75"/>
    <n v="9"/>
    <s v="Discs Shop"/>
    <n v="20328"/>
    <s v="Ajmer"/>
    <d v="2021-01-24T00:00:00"/>
    <n v="1"/>
    <n v="2021"/>
    <s v="South Asia"/>
    <x v="2"/>
    <s v="PENDING_PAYMENT"/>
    <s v="PENDING"/>
    <s v="Standard Class"/>
    <n v="39.75"/>
  </r>
  <r>
    <n v="76776"/>
    <s v="PAYMENT"/>
    <n v="1"/>
    <n v="0"/>
    <s v="DELAYED"/>
    <n v="1362"/>
    <n v="1"/>
    <n v="39.75"/>
    <n v="9"/>
    <s v="Discs Shop"/>
    <n v="20329"/>
    <s v="Kanpur"/>
    <d v="2021-01-24T00:00:00"/>
    <n v="1"/>
    <n v="2021"/>
    <s v="South Asia"/>
    <x v="1"/>
    <s v="PENDING_PAYMENT"/>
    <s v="PENDING"/>
    <s v="Same Day"/>
    <n v="39.75"/>
  </r>
  <r>
    <n v="76777"/>
    <s v="CASH"/>
    <n v="1"/>
    <n v="0"/>
    <s v="DELAYED"/>
    <n v="1362"/>
    <n v="1"/>
    <n v="39.75"/>
    <n v="9"/>
    <s v="Discs Shop"/>
    <n v="20330"/>
    <s v="Kanpur"/>
    <d v="2021-01-24T00:00:00"/>
    <n v="1"/>
    <n v="2021"/>
    <s v="South Asia"/>
    <x v="1"/>
    <s v="CLOSED"/>
    <s v="PENDING"/>
    <s v="Same Day"/>
    <n v="39.75"/>
  </r>
  <r>
    <n v="76778"/>
    <s v="PAYMENT"/>
    <n v="1"/>
    <n v="0"/>
    <s v="DELAYED"/>
    <n v="1362"/>
    <n v="1"/>
    <n v="39.75"/>
    <n v="9"/>
    <s v="Discs Shop"/>
    <n v="20331"/>
    <s v="Kanpur"/>
    <d v="2021-01-24T00:00:00"/>
    <n v="1"/>
    <n v="2021"/>
    <s v="South Asia"/>
    <x v="1"/>
    <s v="PENDING_PAYMENT"/>
    <s v="PENDING"/>
    <s v="Same Day"/>
    <n v="39.75"/>
  </r>
  <r>
    <n v="76779"/>
    <s v="DEBIT"/>
    <n v="1"/>
    <n v="0"/>
    <s v="DELAYED"/>
    <n v="1362"/>
    <n v="1"/>
    <n v="39.75"/>
    <n v="9"/>
    <s v="Discs Shop"/>
    <n v="20332"/>
    <s v="Kanpur"/>
    <d v="2021-01-24T00:00:00"/>
    <n v="1"/>
    <n v="2021"/>
    <s v="South Asia"/>
    <x v="1"/>
    <s v="COMPLETE"/>
    <s v="COMPLETED"/>
    <s v="Same Day"/>
    <n v="39.75"/>
  </r>
  <r>
    <n v="76780"/>
    <s v="DEBIT"/>
    <n v="1"/>
    <n v="0"/>
    <s v="DELAYED"/>
    <n v="1362"/>
    <n v="1"/>
    <n v="39.75"/>
    <n v="9"/>
    <s v="Discs Shop"/>
    <n v="20333"/>
    <s v="Kanpur"/>
    <d v="2021-01-24T00:00:00"/>
    <n v="1"/>
    <n v="2021"/>
    <s v="South Asia"/>
    <x v="1"/>
    <s v="COMPLETE"/>
    <s v="COMPLETED"/>
    <s v="Same Day"/>
    <n v="39.75"/>
  </r>
  <r>
    <n v="76793"/>
    <s v="DEBIT"/>
    <n v="1"/>
    <n v="0"/>
    <s v="DELAYED"/>
    <n v="1362"/>
    <n v="1"/>
    <n v="39.75"/>
    <n v="9"/>
    <s v="Discs Shop"/>
    <n v="20346"/>
    <s v="Coimbatore"/>
    <d v="2021-01-24T00:00:00"/>
    <n v="1"/>
    <n v="2021"/>
    <s v="South Asia"/>
    <x v="3"/>
    <s v="COMPLETE"/>
    <s v="COMPLETED"/>
    <s v="Same Day"/>
    <n v="39.75"/>
  </r>
  <r>
    <n v="76794"/>
    <s v="CASH"/>
    <n v="2"/>
    <n v="1"/>
    <s v="DELAYED"/>
    <n v="1362"/>
    <n v="1"/>
    <n v="39.75"/>
    <n v="9"/>
    <s v="Discs Shop"/>
    <n v="20347"/>
    <s v="Coimbatore"/>
    <d v="2021-01-25T00:00:00"/>
    <n v="1"/>
    <n v="2021"/>
    <s v="South Asia"/>
    <x v="3"/>
    <s v="CLOSED"/>
    <s v="PENDING"/>
    <s v="First Class"/>
    <n v="39.75"/>
  </r>
  <r>
    <n v="76795"/>
    <s v="CASH"/>
    <n v="6"/>
    <n v="2"/>
    <s v="DELAYED"/>
    <n v="1362"/>
    <n v="1"/>
    <n v="39.75"/>
    <n v="9"/>
    <s v="Discs Shop"/>
    <n v="20348"/>
    <s v="Visakhapatnam"/>
    <d v="2021-01-25T00:00:00"/>
    <n v="1"/>
    <n v="2021"/>
    <s v="South Asia"/>
    <x v="15"/>
    <s v="CLOSED"/>
    <s v="PENDING"/>
    <s v="Second Class"/>
    <n v="39.75"/>
  </r>
  <r>
    <n v="76796"/>
    <s v="DEBIT"/>
    <n v="2"/>
    <n v="2"/>
    <s v=" ONTIME"/>
    <n v="1362"/>
    <n v="1"/>
    <n v="39.75"/>
    <n v="9"/>
    <s v="Discs Shop"/>
    <n v="20349"/>
    <s v="Korba"/>
    <d v="2021-01-25T00:00:00"/>
    <n v="1"/>
    <n v="2021"/>
    <s v="South Asia"/>
    <x v="18"/>
    <s v="ON_HOLD"/>
    <s v="PENDING"/>
    <s v="Second Class"/>
    <n v="39.75"/>
  </r>
  <r>
    <n v="76797"/>
    <s v="PAYMENT"/>
    <n v="3"/>
    <n v="4"/>
    <s v=" ONTIME"/>
    <n v="1362"/>
    <n v="1"/>
    <n v="39.75"/>
    <n v="9"/>
    <s v="Discs Shop"/>
    <n v="20350"/>
    <s v="Korba"/>
    <d v="2021-01-25T00:00:00"/>
    <n v="1"/>
    <n v="2021"/>
    <s v="South Asia"/>
    <x v="18"/>
    <s v="PENDING_PAYMENT"/>
    <s v="PENDING"/>
    <s v="Standard Class"/>
    <n v="39.75"/>
  </r>
  <r>
    <n v="76798"/>
    <s v="CASH"/>
    <n v="4"/>
    <n v="4"/>
    <s v=" ONTIME"/>
    <n v="1362"/>
    <n v="1"/>
    <n v="39.75"/>
    <n v="9"/>
    <s v="Discs Shop"/>
    <n v="20351"/>
    <s v="Korba"/>
    <d v="2021-01-25T00:00:00"/>
    <n v="1"/>
    <n v="2021"/>
    <s v="South Asia"/>
    <x v="18"/>
    <s v="CLOSED"/>
    <s v="PENDING"/>
    <s v="Standard Class"/>
    <n v="39.75"/>
  </r>
  <r>
    <n v="76799"/>
    <s v="CASH"/>
    <n v="5"/>
    <n v="4"/>
    <s v="DELAYED"/>
    <n v="1362"/>
    <n v="1"/>
    <n v="39.75"/>
    <n v="9"/>
    <s v="Discs Shop"/>
    <n v="20352"/>
    <s v="Korba"/>
    <d v="2021-01-25T00:00:00"/>
    <n v="1"/>
    <n v="2021"/>
    <s v="South Asia"/>
    <x v="18"/>
    <s v="CLOSED"/>
    <s v="PENDING"/>
    <s v="Standard Class"/>
    <n v="39.75"/>
  </r>
  <r>
    <n v="76800"/>
    <s v="TRANSFER"/>
    <n v="2"/>
    <n v="1"/>
    <s v="DELAYED"/>
    <n v="1362"/>
    <n v="1"/>
    <n v="39.75"/>
    <n v="9"/>
    <s v="Discs Shop"/>
    <n v="20353"/>
    <s v="Pune"/>
    <d v="2021-01-25T00:00:00"/>
    <n v="1"/>
    <n v="2021"/>
    <s v="South Asia"/>
    <x v="0"/>
    <s v="PENDING"/>
    <s v="PENDING"/>
    <s v="First Class"/>
    <n v="39.75"/>
  </r>
  <r>
    <n v="76801"/>
    <s v="PAYMENT"/>
    <n v="2"/>
    <n v="1"/>
    <s v="DELAYED"/>
    <n v="1362"/>
    <n v="1"/>
    <n v="39.75"/>
    <n v="9"/>
    <s v="Discs Shop"/>
    <n v="20354"/>
    <s v="Pune"/>
    <d v="2021-01-25T00:00:00"/>
    <n v="1"/>
    <n v="2021"/>
    <s v="South Asia"/>
    <x v="0"/>
    <s v="PENDING_PAYMENT"/>
    <s v="PENDING"/>
    <s v="First Class"/>
    <n v="39.75"/>
  </r>
  <r>
    <n v="76817"/>
    <s v="CASH"/>
    <n v="3"/>
    <n v="4"/>
    <s v=" ONTIME"/>
    <n v="1362"/>
    <n v="1"/>
    <n v="39.75"/>
    <n v="9"/>
    <s v="Discs Shop"/>
    <n v="20370"/>
    <s v="Chandigarh"/>
    <d v="2021-01-25T00:00:00"/>
    <n v="1"/>
    <n v="2021"/>
    <s v="South Asia"/>
    <x v="22"/>
    <s v="CLOSED"/>
    <s v="PENDING"/>
    <s v="Standard Class"/>
    <n v="39.75"/>
  </r>
  <r>
    <n v="76818"/>
    <s v="DEBIT"/>
    <n v="4"/>
    <n v="4"/>
    <s v=" ONTIME"/>
    <n v="1362"/>
    <n v="1"/>
    <n v="39.75"/>
    <n v="9"/>
    <s v="Discs Shop"/>
    <n v="20371"/>
    <s v="Dhule"/>
    <d v="2021-01-25T00:00:00"/>
    <n v="1"/>
    <n v="2021"/>
    <s v="South Asia"/>
    <x v="0"/>
    <s v="COMPLETE"/>
    <s v="COMPLETED"/>
    <s v="Standard Class"/>
    <n v="39.75"/>
  </r>
  <r>
    <n v="76830"/>
    <s v="CASH"/>
    <n v="6"/>
    <n v="4"/>
    <s v="DELAYED"/>
    <n v="1363"/>
    <n v="1"/>
    <n v="215.82"/>
    <n v="4"/>
    <s v="Apparel"/>
    <n v="20383"/>
    <s v="Guwahati"/>
    <d v="2021-01-25T00:00:00"/>
    <n v="1"/>
    <n v="2021"/>
    <s v="South Asia"/>
    <x v="9"/>
    <s v="CLOSED"/>
    <s v="PENDING"/>
    <s v="Standard Class"/>
    <n v="215.82"/>
  </r>
  <r>
    <n v="76831"/>
    <s v="DEBIT"/>
    <n v="2"/>
    <n v="4"/>
    <s v=" ONTIME"/>
    <n v="1363"/>
    <n v="1"/>
    <n v="215.82"/>
    <n v="4"/>
    <s v="Apparel"/>
    <n v="20384"/>
    <s v="Guwahati"/>
    <d v="2021-01-25T00:00:00"/>
    <n v="1"/>
    <n v="2021"/>
    <s v="South Asia"/>
    <x v="9"/>
    <s v="COMPLETE"/>
    <s v="COMPLETED"/>
    <s v="Standard Class"/>
    <n v="215.82"/>
  </r>
  <r>
    <n v="76832"/>
    <s v="DEBIT"/>
    <n v="3"/>
    <n v="2"/>
    <s v="DELAYED"/>
    <n v="1363"/>
    <n v="1"/>
    <n v="215.82"/>
    <n v="4"/>
    <s v="Apparel"/>
    <n v="20385"/>
    <s v="Guwahati"/>
    <d v="2021-01-25T00:00:00"/>
    <n v="1"/>
    <n v="2021"/>
    <s v="South Asia"/>
    <x v="9"/>
    <s v="COMPLETE"/>
    <s v="COMPLETED"/>
    <s v="Second Class"/>
    <n v="215.82"/>
  </r>
  <r>
    <n v="76833"/>
    <s v="TRANSFER"/>
    <n v="4"/>
    <n v="2"/>
    <s v="DELAYED"/>
    <n v="1363"/>
    <n v="1"/>
    <n v="215.82"/>
    <n v="4"/>
    <s v="Apparel"/>
    <n v="20386"/>
    <s v="Guwahati"/>
    <d v="2021-01-25T00:00:00"/>
    <n v="1"/>
    <n v="2021"/>
    <s v="South Asia"/>
    <x v="9"/>
    <s v="PROCESSING"/>
    <s v="PENDING"/>
    <s v="Second Class"/>
    <n v="215.82"/>
  </r>
  <r>
    <n v="76835"/>
    <s v="PAYMENT"/>
    <n v="6"/>
    <n v="4"/>
    <s v="DELAYED"/>
    <n v="1363"/>
    <n v="1"/>
    <n v="215.82"/>
    <n v="4"/>
    <s v="Apparel"/>
    <n v="20388"/>
    <s v="Bangalore"/>
    <d v="2021-01-25T00:00:00"/>
    <n v="1"/>
    <n v="2021"/>
    <s v="South Asia"/>
    <x v="8"/>
    <s v="PAYMENT_REVIEW"/>
    <s v="PENDING"/>
    <s v="Standard Class"/>
    <n v="215.82"/>
  </r>
  <r>
    <n v="76842"/>
    <s v="CASH"/>
    <n v="3"/>
    <n v="2"/>
    <s v="DELAYED"/>
    <n v="1363"/>
    <n v="1"/>
    <n v="215.82"/>
    <n v="4"/>
    <s v="Apparel"/>
    <n v="20395"/>
    <s v="Bhavnagar"/>
    <d v="2021-01-25T00:00:00"/>
    <n v="1"/>
    <n v="2021"/>
    <s v="South Asia"/>
    <x v="4"/>
    <s v="CLOSED"/>
    <s v="PENDING"/>
    <s v="Second Class"/>
    <n v="215.82"/>
  </r>
  <r>
    <n v="76843"/>
    <s v="DEBIT"/>
    <n v="4"/>
    <n v="2"/>
    <s v="DELAYED"/>
    <n v="1363"/>
    <n v="1"/>
    <n v="215.82"/>
    <n v="4"/>
    <s v="Apparel"/>
    <n v="20396"/>
    <s v="Bhavnagar"/>
    <d v="2021-01-25T00:00:00"/>
    <n v="1"/>
    <n v="2021"/>
    <s v="South Asia"/>
    <x v="4"/>
    <s v="COMPLETE"/>
    <s v="COMPLETED"/>
    <s v="Second Class"/>
    <n v="215.82"/>
  </r>
  <r>
    <n v="76844"/>
    <s v="TRANSFER"/>
    <n v="2"/>
    <n v="1"/>
    <s v="DELAYED"/>
    <n v="1363"/>
    <n v="1"/>
    <n v="215.82"/>
    <n v="4"/>
    <s v="Apparel"/>
    <n v="20397"/>
    <s v="Bhavnagar"/>
    <d v="2021-01-25T00:00:00"/>
    <n v="1"/>
    <n v="2021"/>
    <s v="South Asia"/>
    <x v="4"/>
    <s v="PENDING"/>
    <s v="PENDING"/>
    <s v="First Class"/>
    <n v="215.82"/>
  </r>
  <r>
    <n v="76860"/>
    <s v="DEBIT"/>
    <n v="6"/>
    <n v="4"/>
    <s v="DELAYED"/>
    <n v="1363"/>
    <n v="1"/>
    <n v="215.82"/>
    <n v="4"/>
    <s v="Apparel"/>
    <n v="20413"/>
    <s v="Jammu"/>
    <d v="2021-01-25T00:00:00"/>
    <n v="1"/>
    <n v="2021"/>
    <s v="South Asia"/>
    <x v="21"/>
    <s v="COMPLETE"/>
    <s v="COMPLETED"/>
    <s v="Standard Class"/>
    <n v="215.82"/>
  </r>
  <r>
    <n v="76877"/>
    <s v="DEBIT"/>
    <n v="3"/>
    <n v="4"/>
    <s v=" ONTIME"/>
    <n v="1363"/>
    <n v="1"/>
    <n v="215.82"/>
    <n v="4"/>
    <s v="Apparel"/>
    <n v="20430"/>
    <s v="Visakhapatnam"/>
    <d v="2021-01-26T00:00:00"/>
    <n v="1"/>
    <n v="2021"/>
    <s v="South Asia"/>
    <x v="15"/>
    <s v="ON_HOLD"/>
    <s v="PENDING"/>
    <s v="Standard Class"/>
    <n v="215.82"/>
  </r>
  <r>
    <n v="76878"/>
    <s v="CASH"/>
    <n v="4"/>
    <n v="4"/>
    <s v=" ONTIME"/>
    <n v="1363"/>
    <n v="1"/>
    <n v="215.82"/>
    <n v="4"/>
    <s v="Apparel"/>
    <n v="20431"/>
    <s v="Visakhapatnam"/>
    <d v="2021-01-26T00:00:00"/>
    <n v="1"/>
    <n v="2021"/>
    <s v="South Asia"/>
    <x v="15"/>
    <s v="CLOSED"/>
    <s v="PENDING"/>
    <s v="Standard Class"/>
    <n v="215.82"/>
  </r>
  <r>
    <n v="76879"/>
    <s v="PAYMENT"/>
    <n v="5"/>
    <n v="4"/>
    <s v="DELAYED"/>
    <n v="1363"/>
    <n v="1"/>
    <n v="215.82"/>
    <n v="4"/>
    <s v="Apparel"/>
    <n v="20432"/>
    <s v="Visakhapatnam"/>
    <d v="2021-01-26T00:00:00"/>
    <n v="1"/>
    <n v="2021"/>
    <s v="South Asia"/>
    <x v="15"/>
    <s v="PENDING_PAYMENT"/>
    <s v="PENDING"/>
    <s v="Standard Class"/>
    <n v="215.82"/>
  </r>
  <r>
    <n v="76880"/>
    <s v="DEBIT"/>
    <n v="6"/>
    <n v="4"/>
    <s v="DELAYED"/>
    <n v="1363"/>
    <n v="1"/>
    <n v="215.82"/>
    <n v="4"/>
    <s v="Apparel"/>
    <n v="20433"/>
    <s v="Visakhapatnam"/>
    <d v="2021-01-26T00:00:00"/>
    <n v="1"/>
    <n v="2021"/>
    <s v="South Asia"/>
    <x v="15"/>
    <s v="COMPLETE"/>
    <s v="COMPLETED"/>
    <s v="Standard Class"/>
    <n v="215.82"/>
  </r>
  <r>
    <n v="76881"/>
    <s v="TRANSFER"/>
    <n v="2"/>
    <n v="4"/>
    <s v=" ONTIME"/>
    <n v="1363"/>
    <n v="1"/>
    <n v="215.82"/>
    <n v="4"/>
    <s v="Apparel"/>
    <n v="20434"/>
    <s v="Visakhapatnam"/>
    <d v="2021-01-26T00:00:00"/>
    <n v="1"/>
    <n v="2021"/>
    <s v="South Asia"/>
    <x v="15"/>
    <s v="PROCESSING"/>
    <s v="PENDING"/>
    <s v="Standard Class"/>
    <n v="215.82"/>
  </r>
  <r>
    <n v="76886"/>
    <s v="PAYMENT"/>
    <n v="2"/>
    <n v="4"/>
    <s v=" ONTIME"/>
    <n v="1363"/>
    <n v="1"/>
    <n v="215.82"/>
    <n v="4"/>
    <s v="Apparel"/>
    <n v="20439"/>
    <s v="Agra"/>
    <d v="2021-01-26T00:00:00"/>
    <n v="1"/>
    <n v="2021"/>
    <s v="South Asia"/>
    <x v="1"/>
    <s v="PENDING_PAYMENT"/>
    <s v="PENDING"/>
    <s v="Standard Class"/>
    <n v="215.82"/>
  </r>
  <r>
    <n v="76887"/>
    <s v="CASH"/>
    <n v="3"/>
    <n v="4"/>
    <s v=" ONTIME"/>
    <n v="1363"/>
    <n v="1"/>
    <n v="215.82"/>
    <n v="4"/>
    <s v="Apparel"/>
    <n v="20440"/>
    <s v="Agra"/>
    <d v="2021-01-26T00:00:00"/>
    <n v="1"/>
    <n v="2021"/>
    <s v="South Asia"/>
    <x v="1"/>
    <s v="CLOSED"/>
    <s v="PENDING"/>
    <s v="Standard Class"/>
    <n v="215.82"/>
  </r>
  <r>
    <n v="76906"/>
    <s v="PAYMENT"/>
    <n v="2"/>
    <n v="4"/>
    <s v=" ONTIME"/>
    <n v="1363"/>
    <n v="1"/>
    <n v="215.82"/>
    <n v="4"/>
    <s v="Apparel"/>
    <n v="20459"/>
    <s v="Srinagar"/>
    <d v="2021-01-26T00:00:00"/>
    <n v="1"/>
    <n v="2021"/>
    <s v="South Asia"/>
    <x v="21"/>
    <s v="PENDING_PAYMENT"/>
    <s v="PENDING"/>
    <s v="Standard Class"/>
    <n v="215.82"/>
  </r>
  <r>
    <n v="76907"/>
    <s v="TRANSFER"/>
    <n v="1"/>
    <n v="0"/>
    <s v="DELAYED"/>
    <n v="1363"/>
    <n v="1"/>
    <n v="215.82"/>
    <n v="4"/>
    <s v="Apparel"/>
    <n v="20460"/>
    <s v="Srinagar"/>
    <d v="2021-01-26T00:00:00"/>
    <n v="1"/>
    <n v="2021"/>
    <s v="South Asia"/>
    <x v="21"/>
    <s v="PROCESSING"/>
    <s v="PENDING"/>
    <s v="Same Day"/>
    <n v="215.82"/>
  </r>
  <r>
    <n v="76909"/>
    <s v="DEBIT"/>
    <n v="2"/>
    <n v="1"/>
    <s v="DELAYED"/>
    <n v="1363"/>
    <n v="1"/>
    <n v="215.82"/>
    <n v="4"/>
    <s v="Apparel"/>
    <n v="20462"/>
    <s v="Durg"/>
    <d v="2021-01-26T00:00:00"/>
    <n v="1"/>
    <n v="2021"/>
    <s v="South Asia"/>
    <x v="18"/>
    <s v="ON_HOLD"/>
    <s v="PENDING"/>
    <s v="First Class"/>
    <n v="215.82"/>
  </r>
  <r>
    <n v="76910"/>
    <s v="TRANSFER"/>
    <n v="6"/>
    <n v="4"/>
    <s v="DELAYED"/>
    <n v="1363"/>
    <n v="1"/>
    <n v="215.82"/>
    <n v="4"/>
    <s v="Apparel"/>
    <n v="20463"/>
    <s v="Durg"/>
    <d v="2021-01-26T00:00:00"/>
    <n v="1"/>
    <n v="2021"/>
    <s v="South Asia"/>
    <x v="18"/>
    <s v="PROCESSING"/>
    <s v="PENDING"/>
    <s v="Standard Class"/>
    <n v="215.82"/>
  </r>
  <r>
    <n v="76949"/>
    <s v="DEBIT"/>
    <n v="5"/>
    <n v="4"/>
    <s v="DELAYED"/>
    <n v="1363"/>
    <n v="1"/>
    <n v="215.82"/>
    <n v="4"/>
    <s v="Apparel"/>
    <n v="20502"/>
    <s v="Raipur"/>
    <d v="2021-01-27T00:00:00"/>
    <n v="1"/>
    <n v="2021"/>
    <s v="South Asia"/>
    <x v="19"/>
    <s v="COMPLETE"/>
    <s v="COMPLETED"/>
    <s v="Standard Class"/>
    <n v="215.82"/>
  </r>
  <r>
    <n v="76952"/>
    <s v="DEBIT"/>
    <n v="3"/>
    <n v="4"/>
    <s v=" ONTIME"/>
    <n v="1363"/>
    <n v="1"/>
    <n v="215.82"/>
    <n v="4"/>
    <s v="Apparel"/>
    <n v="20505"/>
    <s v="Chennai"/>
    <d v="2021-01-27T00:00:00"/>
    <n v="1"/>
    <n v="2021"/>
    <s v="South Asia"/>
    <x v="3"/>
    <s v="COMPLETE"/>
    <s v="COMPLETED"/>
    <s v="Standard Class"/>
    <n v="215.82"/>
  </r>
  <r>
    <n v="76953"/>
    <s v="TRANSFER"/>
    <n v="4"/>
    <n v="4"/>
    <s v=" ONTIME"/>
    <n v="1363"/>
    <n v="1"/>
    <n v="215.82"/>
    <n v="4"/>
    <s v="Apparel"/>
    <n v="20506"/>
    <s v="Chennai"/>
    <d v="2021-01-27T00:00:00"/>
    <n v="1"/>
    <n v="2021"/>
    <s v="South Asia"/>
    <x v="3"/>
    <s v="PENDING"/>
    <s v="PENDING"/>
    <s v="Standard Class"/>
    <n v="215.82"/>
  </r>
  <r>
    <n v="76954"/>
    <s v="PAYMENT"/>
    <n v="0"/>
    <n v="0"/>
    <s v=" ONTIME"/>
    <n v="1363"/>
    <n v="1"/>
    <n v="215.82"/>
    <n v="4"/>
    <s v="Apparel"/>
    <n v="20507"/>
    <s v="Chennai"/>
    <d v="2021-01-27T00:00:00"/>
    <n v="1"/>
    <n v="2021"/>
    <s v="South Asia"/>
    <x v="3"/>
    <s v="PAYMENT_REVIEW"/>
    <s v="PENDING"/>
    <s v="Same Day"/>
    <n v="215.82"/>
  </r>
  <r>
    <n v="77000"/>
    <s v="TRANSFER"/>
    <n v="6"/>
    <n v="2"/>
    <s v="DELAYED"/>
    <n v="1363"/>
    <n v="1"/>
    <n v="215.82"/>
    <n v="4"/>
    <s v="Apparel"/>
    <n v="20553"/>
    <s v="Malegaon"/>
    <d v="2021-01-28T00:00:00"/>
    <n v="1"/>
    <n v="2021"/>
    <s v="South Asia"/>
    <x v="0"/>
    <s v="PENDING"/>
    <s v="PENDING"/>
    <s v="Second Class"/>
    <n v="215.82"/>
  </r>
  <r>
    <n v="77001"/>
    <s v="PAYMENT"/>
    <n v="2"/>
    <n v="4"/>
    <s v=" ONTIME"/>
    <n v="1363"/>
    <n v="1"/>
    <n v="215.82"/>
    <n v="4"/>
    <s v="Apparel"/>
    <n v="20554"/>
    <s v="Malegaon"/>
    <d v="2021-01-28T00:00:00"/>
    <n v="1"/>
    <n v="2021"/>
    <s v="South Asia"/>
    <x v="0"/>
    <s v="PENDING_PAYMENT"/>
    <s v="PENDING"/>
    <s v="Standard Class"/>
    <n v="215.82"/>
  </r>
  <r>
    <n v="77002"/>
    <s v="TRANSFER"/>
    <n v="3"/>
    <n v="4"/>
    <s v=" ONTIME"/>
    <n v="1363"/>
    <n v="1"/>
    <n v="215.82"/>
    <n v="4"/>
    <s v="Apparel"/>
    <n v="20555"/>
    <s v="Malegaon"/>
    <d v="2021-01-28T00:00:00"/>
    <n v="1"/>
    <n v="2021"/>
    <s v="South Asia"/>
    <x v="0"/>
    <s v="PROCESSING"/>
    <s v="PENDING"/>
    <s v="Standard Class"/>
    <n v="215.82"/>
  </r>
  <r>
    <n v="77013"/>
    <s v="DEBIT"/>
    <n v="4"/>
    <n v="2"/>
    <s v="DELAYED"/>
    <n v="1363"/>
    <n v="1"/>
    <n v="215.82"/>
    <n v="4"/>
    <s v="Apparel"/>
    <n v="20566"/>
    <s v="Bhubaneswar"/>
    <d v="2021-01-28T00:00:00"/>
    <n v="1"/>
    <n v="2021"/>
    <s v="South Asia"/>
    <x v="13"/>
    <s v="COMPLETE"/>
    <s v="COMPLETED"/>
    <s v="Second Class"/>
    <n v="215.82"/>
  </r>
  <r>
    <n v="77014"/>
    <s v="DEBIT"/>
    <n v="5"/>
    <n v="2"/>
    <s v="DELAYED"/>
    <n v="1363"/>
    <n v="1"/>
    <n v="215.82"/>
    <n v="4"/>
    <s v="Apparel"/>
    <n v="20567"/>
    <s v="Bhubaneswar"/>
    <d v="2021-01-28T00:00:00"/>
    <n v="1"/>
    <n v="2021"/>
    <s v="South Asia"/>
    <x v="13"/>
    <s v="COMPLETE"/>
    <s v="COMPLETED"/>
    <s v="Second Class"/>
    <n v="215.82"/>
  </r>
  <r>
    <n v="77019"/>
    <s v="DEBIT"/>
    <n v="5"/>
    <n v="4"/>
    <s v="DELAYED"/>
    <n v="1363"/>
    <n v="1"/>
    <n v="215.82"/>
    <n v="4"/>
    <s v="Apparel"/>
    <n v="20572"/>
    <s v="Sangli"/>
    <d v="2021-01-28T00:00:00"/>
    <n v="1"/>
    <n v="2021"/>
    <s v="South Asia"/>
    <x v="0"/>
    <s v="ON_HOLD"/>
    <s v="PENDING"/>
    <s v="Standard Class"/>
    <n v="215.82"/>
  </r>
  <r>
    <n v="77035"/>
    <s v="DEBIT"/>
    <n v="6"/>
    <n v="2"/>
    <s v="DELAYED"/>
    <n v="1363"/>
    <n v="1"/>
    <n v="215.82"/>
    <n v="4"/>
    <s v="Apparel"/>
    <n v="20588"/>
    <s v="Coimbatore"/>
    <d v="2021-01-28T00:00:00"/>
    <n v="1"/>
    <n v="2021"/>
    <s v="South Asia"/>
    <x v="3"/>
    <s v="COMPLETE"/>
    <s v="COMPLETED"/>
    <s v="Second Class"/>
    <n v="215.82"/>
  </r>
  <r>
    <n v="77036"/>
    <s v="TRANSFER"/>
    <n v="2"/>
    <n v="2"/>
    <s v=" ONTIME"/>
    <n v="1363"/>
    <n v="1"/>
    <n v="215.82"/>
    <n v="4"/>
    <s v="Apparel"/>
    <n v="20589"/>
    <s v="Coimbatore"/>
    <d v="2021-01-28T00:00:00"/>
    <n v="1"/>
    <n v="2021"/>
    <s v="South Asia"/>
    <x v="3"/>
    <s v="CANCELED"/>
    <s v="CANCELED"/>
    <s v="Second Class"/>
    <n v="215.82"/>
  </r>
  <r>
    <n v="77053"/>
    <s v="DEBIT"/>
    <n v="4"/>
    <n v="4"/>
    <s v=" ONTIME"/>
    <n v="1363"/>
    <n v="1"/>
    <n v="215.82"/>
    <n v="4"/>
    <s v="Apparel"/>
    <n v="20606"/>
    <s v="Vadodara"/>
    <d v="2021-01-28T00:00:00"/>
    <n v="1"/>
    <n v="2021"/>
    <s v="South Asia"/>
    <x v="4"/>
    <s v="COMPLETE"/>
    <s v="COMPLETED"/>
    <s v="Standard Class"/>
    <n v="215.82"/>
  </r>
  <r>
    <n v="77055"/>
    <s v="DEBIT"/>
    <n v="6"/>
    <n v="4"/>
    <s v="DELAYED"/>
    <n v="1363"/>
    <n v="1"/>
    <n v="215.82"/>
    <n v="4"/>
    <s v="Apparel"/>
    <n v="20608"/>
    <s v="Thane"/>
    <d v="2021-01-28T00:00:00"/>
    <n v="1"/>
    <n v="2021"/>
    <s v="South Asia"/>
    <x v="0"/>
    <s v="COMPLETE"/>
    <s v="COMPLETED"/>
    <s v="Standard Class"/>
    <n v="215.82"/>
  </r>
  <r>
    <n v="77073"/>
    <s v="PAYMENT"/>
    <n v="4"/>
    <n v="4"/>
    <s v=" ONTIME"/>
    <n v="1363"/>
    <n v="1"/>
    <n v="215.82"/>
    <n v="4"/>
    <s v="Apparel"/>
    <n v="20626"/>
    <s v="Chennai"/>
    <d v="2021-01-29T00:00:00"/>
    <n v="1"/>
    <n v="2021"/>
    <s v="South Asia"/>
    <x v="3"/>
    <s v="PENDING_PAYMENT"/>
    <s v="PENDING"/>
    <s v="Standard Class"/>
    <n v="215.82"/>
  </r>
  <r>
    <n v="77074"/>
    <s v="PAYMENT"/>
    <n v="5"/>
    <n v="4"/>
    <s v="DELAYED"/>
    <n v="1363"/>
    <n v="1"/>
    <n v="215.82"/>
    <n v="4"/>
    <s v="Apparel"/>
    <n v="20627"/>
    <s v="Chennai"/>
    <d v="2021-01-29T00:00:00"/>
    <n v="1"/>
    <n v="2021"/>
    <s v="South Asia"/>
    <x v="3"/>
    <s v="PENDING_PAYMENT"/>
    <s v="PENDING"/>
    <s v="Standard Class"/>
    <n v="215.82"/>
  </r>
  <r>
    <n v="77078"/>
    <s v="CASH"/>
    <n v="4"/>
    <n v="4"/>
    <s v=" ONTIME"/>
    <n v="1363"/>
    <n v="1"/>
    <n v="215.82"/>
    <n v="4"/>
    <s v="Apparel"/>
    <n v="20631"/>
    <s v="Bangalore"/>
    <d v="2021-01-29T00:00:00"/>
    <n v="1"/>
    <n v="2021"/>
    <s v="South Asia"/>
    <x v="8"/>
    <s v="CLOSED"/>
    <s v="PENDING"/>
    <s v="Standard Class"/>
    <n v="215.82"/>
  </r>
  <r>
    <n v="77079"/>
    <s v="DEBIT"/>
    <n v="2"/>
    <n v="1"/>
    <s v="DELAYED"/>
    <n v="1363"/>
    <n v="1"/>
    <n v="215.82"/>
    <n v="4"/>
    <s v="Apparel"/>
    <n v="20632"/>
    <s v="Amritsar"/>
    <d v="2021-01-29T00:00:00"/>
    <n v="1"/>
    <n v="2021"/>
    <s v="South Asia"/>
    <x v="16"/>
    <s v="COMPLETE"/>
    <s v="COMPLETED"/>
    <s v="First Class"/>
    <n v="215.82"/>
  </r>
  <r>
    <n v="77080"/>
    <s v="DEBIT"/>
    <n v="2"/>
    <n v="1"/>
    <s v="DELAYED"/>
    <n v="1363"/>
    <n v="1"/>
    <n v="215.82"/>
    <n v="4"/>
    <s v="Apparel"/>
    <n v="20633"/>
    <s v="Amritsar"/>
    <d v="2021-01-29T00:00:00"/>
    <n v="1"/>
    <n v="2021"/>
    <s v="South Asia"/>
    <x v="16"/>
    <s v="COMPLETE"/>
    <s v="COMPLETED"/>
    <s v="First Class"/>
    <n v="215.82"/>
  </r>
  <r>
    <n v="77083"/>
    <s v="DEBIT"/>
    <n v="4"/>
    <n v="4"/>
    <s v=" ONTIME"/>
    <n v="1363"/>
    <n v="1"/>
    <n v="215.82"/>
    <n v="4"/>
    <s v="Apparel"/>
    <n v="20636"/>
    <s v="Kakinada"/>
    <d v="2021-01-29T00:00:00"/>
    <n v="1"/>
    <n v="2021"/>
    <s v="South Asia"/>
    <x v="15"/>
    <s v="COMPLETE"/>
    <s v="COMPLETED"/>
    <s v="Standard Class"/>
    <n v="215.82"/>
  </r>
  <r>
    <n v="77085"/>
    <s v="DEBIT"/>
    <n v="6"/>
    <n v="4"/>
    <s v="DELAYED"/>
    <n v="1363"/>
    <n v="1"/>
    <n v="215.82"/>
    <n v="4"/>
    <s v="Apparel"/>
    <n v="20638"/>
    <s v="Thiruvananthapuram"/>
    <d v="2021-01-29T00:00:00"/>
    <n v="1"/>
    <n v="2021"/>
    <s v="South Asia"/>
    <x v="20"/>
    <s v="COMPLETE"/>
    <s v="COMPLETED"/>
    <s v="Standard Class"/>
    <n v="215.82"/>
  </r>
  <r>
    <n v="77086"/>
    <s v="CASH"/>
    <n v="2"/>
    <n v="4"/>
    <s v=" ONTIME"/>
    <n v="1363"/>
    <n v="1"/>
    <n v="215.82"/>
    <n v="4"/>
    <s v="Apparel"/>
    <n v="20639"/>
    <s v="Thiruvananthapuram"/>
    <d v="2021-01-29T00:00:00"/>
    <n v="1"/>
    <n v="2021"/>
    <s v="South Asia"/>
    <x v="20"/>
    <s v="CLOSED"/>
    <s v="PENDING"/>
    <s v="Standard Class"/>
    <n v="215.82"/>
  </r>
  <r>
    <n v="77087"/>
    <s v="TRANSFER"/>
    <n v="3"/>
    <n v="4"/>
    <s v=" ONTIME"/>
    <n v="1363"/>
    <n v="1"/>
    <n v="215.82"/>
    <n v="4"/>
    <s v="Apparel"/>
    <n v="20640"/>
    <s v="Thiruvananthapuram"/>
    <d v="2021-01-29T00:00:00"/>
    <n v="1"/>
    <n v="2021"/>
    <s v="South Asia"/>
    <x v="20"/>
    <s v="PENDING"/>
    <s v="PENDING"/>
    <s v="Standard Class"/>
    <n v="215.82"/>
  </r>
  <r>
    <n v="77088"/>
    <s v="TRANSFER"/>
    <n v="4"/>
    <n v="4"/>
    <s v=" ONTIME"/>
    <n v="1363"/>
    <n v="1"/>
    <n v="215.82"/>
    <n v="4"/>
    <s v="Apparel"/>
    <n v="20641"/>
    <s v="Thiruvananthapuram"/>
    <d v="2021-01-29T00:00:00"/>
    <n v="1"/>
    <n v="2021"/>
    <s v="South Asia"/>
    <x v="20"/>
    <s v="PENDING"/>
    <s v="PENDING"/>
    <s v="Standard Class"/>
    <n v="215.82"/>
  </r>
  <r>
    <n v="77089"/>
    <s v="TRANSFER"/>
    <n v="5"/>
    <n v="4"/>
    <s v="DELAYED"/>
    <n v="1363"/>
    <n v="1"/>
    <n v="215.82"/>
    <n v="4"/>
    <s v="Apparel"/>
    <n v="20642"/>
    <s v="Thiruvananthapuram"/>
    <d v="2021-01-29T00:00:00"/>
    <n v="1"/>
    <n v="2021"/>
    <s v="South Asia"/>
    <x v="20"/>
    <s v="SUSPECTED_FRAUD"/>
    <s v="PENDING"/>
    <s v="Standard Class"/>
    <n v="215.82"/>
  </r>
  <r>
    <n v="77094"/>
    <s v="CASH"/>
    <n v="5"/>
    <n v="4"/>
    <s v="DELAYED"/>
    <n v="1363"/>
    <n v="1"/>
    <n v="215.82"/>
    <n v="4"/>
    <s v="Apparel"/>
    <n v="20647"/>
    <s v="Akola"/>
    <d v="2021-01-29T00:00:00"/>
    <n v="1"/>
    <n v="2021"/>
    <s v="South Asia"/>
    <x v="0"/>
    <s v="CLOSED"/>
    <s v="PENDING"/>
    <s v="Standard Class"/>
    <n v="215.82"/>
  </r>
  <r>
    <n v="77095"/>
    <s v="TRANSFER"/>
    <n v="6"/>
    <n v="2"/>
    <s v="DELAYED"/>
    <n v="1363"/>
    <n v="1"/>
    <n v="215.82"/>
    <n v="4"/>
    <s v="Apparel"/>
    <n v="20648"/>
    <s v="Fatehpur"/>
    <d v="2021-01-29T00:00:00"/>
    <n v="1"/>
    <n v="2021"/>
    <s v="South Asia"/>
    <x v="2"/>
    <s v="PROCESSING"/>
    <s v="PENDING"/>
    <s v="Second Class"/>
    <n v="215.82"/>
  </r>
  <r>
    <n v="77096"/>
    <s v="DEBIT"/>
    <n v="2"/>
    <n v="2"/>
    <s v=" ONTIME"/>
    <n v="1363"/>
    <n v="1"/>
    <n v="215.82"/>
    <n v="4"/>
    <s v="Apparel"/>
    <n v="20649"/>
    <s v="Fatehpur"/>
    <d v="2021-01-29T00:00:00"/>
    <n v="1"/>
    <n v="2021"/>
    <s v="South Asia"/>
    <x v="2"/>
    <s v="COMPLETE"/>
    <s v="COMPLETED"/>
    <s v="Second Class"/>
    <n v="215.82"/>
  </r>
  <r>
    <n v="77106"/>
    <s v="TRANSFER"/>
    <n v="2"/>
    <n v="4"/>
    <s v=" ONTIME"/>
    <n v="1363"/>
    <n v="1"/>
    <n v="215.82"/>
    <n v="4"/>
    <s v="Apparel"/>
    <n v="20659"/>
    <s v="Bhavnagar"/>
    <d v="2021-01-29T00:00:00"/>
    <n v="1"/>
    <n v="2021"/>
    <s v="South Asia"/>
    <x v="4"/>
    <s v="PROCESSING"/>
    <s v="PENDING"/>
    <s v="Standard Class"/>
    <n v="215.82"/>
  </r>
  <r>
    <n v="77107"/>
    <s v="DEBIT"/>
    <n v="3"/>
    <n v="4"/>
    <s v=" ONTIME"/>
    <n v="1363"/>
    <n v="1"/>
    <n v="215.82"/>
    <n v="4"/>
    <s v="Apparel"/>
    <n v="20660"/>
    <s v="Meerut"/>
    <d v="2021-01-29T00:00:00"/>
    <n v="1"/>
    <n v="2021"/>
    <s v="South Asia"/>
    <x v="1"/>
    <s v="COMPLETE"/>
    <s v="COMPLETED"/>
    <s v="Standard Class"/>
    <n v="215.82"/>
  </r>
  <r>
    <n v="77109"/>
    <s v="DEBIT"/>
    <n v="5"/>
    <n v="4"/>
    <s v="DELAYED"/>
    <n v="1363"/>
    <n v="1"/>
    <n v="215.82"/>
    <n v="4"/>
    <s v="Apparel"/>
    <n v="20662"/>
    <s v="Ratlam"/>
    <d v="2021-01-29T00:00:00"/>
    <n v="1"/>
    <n v="2021"/>
    <s v="South Asia"/>
    <x v="14"/>
    <s v="COMPLETE"/>
    <s v="COMPLETED"/>
    <s v="Standard Class"/>
    <n v="215.82"/>
  </r>
  <r>
    <n v="77114"/>
    <s v="TRANSFER"/>
    <n v="5"/>
    <n v="2"/>
    <s v="DELAYED"/>
    <n v="1363"/>
    <n v="1"/>
    <n v="215.82"/>
    <n v="4"/>
    <s v="Apparel"/>
    <n v="20667"/>
    <s v="Pune"/>
    <d v="2021-01-29T00:00:00"/>
    <n v="1"/>
    <n v="2021"/>
    <s v="South Asia"/>
    <x v="0"/>
    <s v="PROCESSING"/>
    <s v="PENDING"/>
    <s v="Second Class"/>
    <n v="215.82"/>
  </r>
  <r>
    <n v="77115"/>
    <s v="DEBIT"/>
    <n v="6"/>
    <n v="4"/>
    <s v="DELAYED"/>
    <n v="1363"/>
    <n v="1"/>
    <n v="215.82"/>
    <n v="4"/>
    <s v="Apparel"/>
    <n v="20668"/>
    <s v="Pune"/>
    <d v="2021-01-29T00:00:00"/>
    <n v="1"/>
    <n v="2021"/>
    <s v="South Asia"/>
    <x v="0"/>
    <s v="COMPLETE"/>
    <s v="COMPLETED"/>
    <s v="Standard Class"/>
    <n v="215.82"/>
  </r>
  <r>
    <n v="77137"/>
    <s v="PAYMENT"/>
    <n v="2"/>
    <n v="1"/>
    <s v="DELAYED"/>
    <n v="1363"/>
    <n v="1"/>
    <n v="215.82"/>
    <n v="4"/>
    <s v="Apparel"/>
    <n v="20690"/>
    <s v="Aurangabad"/>
    <d v="2021-01-30T00:00:00"/>
    <n v="1"/>
    <n v="2021"/>
    <s v="South Asia"/>
    <x v="17"/>
    <s v="PENDING_PAYMENT"/>
    <s v="PENDING"/>
    <s v="First Class"/>
    <n v="215.82"/>
  </r>
  <r>
    <n v="77138"/>
    <s v="DEBIT"/>
    <n v="4"/>
    <n v="4"/>
    <s v=" ONTIME"/>
    <n v="1363"/>
    <n v="1"/>
    <n v="215.82"/>
    <n v="4"/>
    <s v="Apparel"/>
    <n v="20691"/>
    <s v="Aurangabad"/>
    <d v="2021-01-30T00:00:00"/>
    <n v="1"/>
    <n v="2021"/>
    <s v="South Asia"/>
    <x v="17"/>
    <s v="COMPLETE"/>
    <s v="COMPLETED"/>
    <s v="Standard Class"/>
    <n v="215.82"/>
  </r>
  <r>
    <n v="77139"/>
    <s v="CASH"/>
    <n v="5"/>
    <n v="4"/>
    <s v="DELAYED"/>
    <n v="1363"/>
    <n v="1"/>
    <n v="215.82"/>
    <n v="4"/>
    <s v="Apparel"/>
    <n v="20692"/>
    <s v="Aurangabad"/>
    <d v="2021-01-30T00:00:00"/>
    <n v="1"/>
    <n v="2021"/>
    <s v="South Asia"/>
    <x v="17"/>
    <s v="CLOSED"/>
    <s v="PENDING"/>
    <s v="Standard Class"/>
    <n v="215.82"/>
  </r>
  <r>
    <n v="77140"/>
    <s v="CASH"/>
    <n v="6"/>
    <n v="4"/>
    <s v="DELAYED"/>
    <n v="1363"/>
    <n v="1"/>
    <n v="215.82"/>
    <n v="4"/>
    <s v="Apparel"/>
    <n v="20693"/>
    <s v="Aurangabad"/>
    <d v="2021-01-30T00:00:00"/>
    <n v="1"/>
    <n v="2021"/>
    <s v="South Asia"/>
    <x v="17"/>
    <s v="CLOSED"/>
    <s v="PENDING"/>
    <s v="Standard Class"/>
    <n v="215.82"/>
  </r>
  <r>
    <n v="77141"/>
    <s v="CASH"/>
    <n v="2"/>
    <n v="4"/>
    <s v=" ONTIME"/>
    <n v="1363"/>
    <n v="1"/>
    <n v="215.82"/>
    <n v="4"/>
    <s v="Apparel"/>
    <n v="20694"/>
    <s v="Aurangabad"/>
    <d v="2021-01-30T00:00:00"/>
    <n v="1"/>
    <n v="2021"/>
    <s v="South Asia"/>
    <x v="17"/>
    <s v="CLOSED"/>
    <s v="PENDING"/>
    <s v="Standard Class"/>
    <n v="215.82"/>
  </r>
  <r>
    <n v="77152"/>
    <s v="PAYMENT"/>
    <n v="3"/>
    <n v="2"/>
    <s v="DELAYED"/>
    <n v="1363"/>
    <n v="1"/>
    <n v="215.82"/>
    <n v="4"/>
    <s v="Apparel"/>
    <n v="20705"/>
    <s v="Srinagar"/>
    <d v="2021-01-30T00:00:00"/>
    <n v="1"/>
    <n v="2021"/>
    <s v="South Asia"/>
    <x v="21"/>
    <s v="PENDING_PAYMENT"/>
    <s v="PENDING"/>
    <s v="Second Class"/>
    <n v="215.82"/>
  </r>
  <r>
    <n v="77153"/>
    <s v="DEBIT"/>
    <n v="4"/>
    <n v="2"/>
    <s v="DELAYED"/>
    <n v="1363"/>
    <n v="1"/>
    <n v="215.82"/>
    <n v="4"/>
    <s v="Apparel"/>
    <n v="20706"/>
    <s v="Srinagar"/>
    <d v="2021-01-30T00:00:00"/>
    <n v="1"/>
    <n v="2021"/>
    <s v="South Asia"/>
    <x v="21"/>
    <s v="COMPLETE"/>
    <s v="COMPLETED"/>
    <s v="Second Class"/>
    <n v="215.82"/>
  </r>
  <r>
    <n v="77155"/>
    <s v="PAYMENT"/>
    <n v="6"/>
    <n v="4"/>
    <s v="DELAYED"/>
    <n v="1363"/>
    <n v="1"/>
    <n v="215.82"/>
    <n v="4"/>
    <s v="Apparel"/>
    <n v="20708"/>
    <s v="Jodhpur"/>
    <d v="2021-01-30T00:00:00"/>
    <n v="1"/>
    <n v="2021"/>
    <s v="South Asia"/>
    <x v="2"/>
    <s v="PENDING_PAYMENT"/>
    <s v="PENDING"/>
    <s v="Standard Class"/>
    <n v="215.82"/>
  </r>
  <r>
    <n v="77156"/>
    <s v="PAYMENT"/>
    <n v="2"/>
    <n v="2"/>
    <s v=" ONTIME"/>
    <n v="1363"/>
    <n v="1"/>
    <n v="215.82"/>
    <n v="4"/>
    <s v="Apparel"/>
    <n v="20709"/>
    <s v="Jodhpur"/>
    <d v="2021-01-30T00:00:00"/>
    <n v="1"/>
    <n v="2021"/>
    <s v="South Asia"/>
    <x v="2"/>
    <s v="PENDING_PAYMENT"/>
    <s v="PENDING"/>
    <s v="Second Class"/>
    <n v="215.82"/>
  </r>
  <r>
    <n v="77157"/>
    <s v="DEBIT"/>
    <n v="3"/>
    <n v="4"/>
    <s v=" ONTIME"/>
    <n v="1363"/>
    <n v="1"/>
    <n v="215.82"/>
    <n v="4"/>
    <s v="Apparel"/>
    <n v="20710"/>
    <s v="Vadodara"/>
    <d v="2021-01-30T00:00:00"/>
    <n v="1"/>
    <n v="2021"/>
    <s v="South Asia"/>
    <x v="4"/>
    <s v="COMPLETE"/>
    <s v="COMPLETED"/>
    <s v="Standard Class"/>
    <n v="215.82"/>
  </r>
  <r>
    <n v="77164"/>
    <s v="TRANSFER"/>
    <n v="5"/>
    <n v="2"/>
    <s v="DELAYED"/>
    <n v="1363"/>
    <n v="1"/>
    <n v="215.82"/>
    <n v="4"/>
    <s v="Apparel"/>
    <n v="20717"/>
    <s v="Mumbai"/>
    <d v="2021-01-30T00:00:00"/>
    <n v="1"/>
    <n v="2021"/>
    <s v="South Asia"/>
    <x v="0"/>
    <s v="PENDING"/>
    <s v="PENDING"/>
    <s v="Second Class"/>
    <n v="215.82"/>
  </r>
  <r>
    <n v="77182"/>
    <s v="TRANSFER"/>
    <n v="3"/>
    <n v="2"/>
    <s v="DELAYED"/>
    <n v="1363"/>
    <n v="1"/>
    <n v="215.82"/>
    <n v="4"/>
    <s v="Apparel"/>
    <n v="20735"/>
    <s v="Nagpur"/>
    <d v="2021-01-30T00:00:00"/>
    <n v="1"/>
    <n v="2021"/>
    <s v="South Asia"/>
    <x v="0"/>
    <s v="PROCESSING"/>
    <s v="PENDING"/>
    <s v="Second Class"/>
    <n v="215.82"/>
  </r>
  <r>
    <n v="77185"/>
    <s v="DEBIT"/>
    <n v="6"/>
    <n v="4"/>
    <s v="DELAYED"/>
    <n v="1363"/>
    <n v="1"/>
    <n v="215.82"/>
    <n v="4"/>
    <s v="Apparel"/>
    <n v="20738"/>
    <s v="Guwahati"/>
    <d v="2021-01-30T00:00:00"/>
    <n v="1"/>
    <n v="2021"/>
    <s v="South Asia"/>
    <x v="9"/>
    <s v="COMPLETE"/>
    <s v="COMPLETED"/>
    <s v="Standard Class"/>
    <n v="215.82"/>
  </r>
  <r>
    <n v="77198"/>
    <s v="CASH"/>
    <n v="2"/>
    <n v="1"/>
    <s v="DELAYED"/>
    <n v="1363"/>
    <n v="1"/>
    <n v="215.82"/>
    <n v="4"/>
    <s v="Apparel"/>
    <n v="20751"/>
    <s v="Delhi"/>
    <d v="2021-01-30T00:00:00"/>
    <n v="1"/>
    <n v="2021"/>
    <s v="South Asia"/>
    <x v="11"/>
    <s v="CLOSED"/>
    <s v="PENDING"/>
    <s v="First Class"/>
    <n v="215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7F227-B561-469C-B093-44B8DF10BE7E}" name="PivotTable1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9" firstHeaderRow="0" firstDataRow="1" firstDataCol="1"/>
  <pivotFields count="21"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numFmtId="14" showAll="0"/>
    <pivotField numFmtId="1" showAll="0"/>
    <pivotField numFmtId="1" showAll="0"/>
    <pivotField showAll="0"/>
    <pivotField axis="axisRow" showAll="0">
      <items count="26">
        <item x="21"/>
        <item x="15"/>
        <item x="9"/>
        <item x="17"/>
        <item x="22"/>
        <item x="18"/>
        <item x="11"/>
        <item x="4"/>
        <item x="10"/>
        <item x="12"/>
        <item x="8"/>
        <item x="20"/>
        <item x="14"/>
        <item x="0"/>
        <item x="5"/>
        <item x="13"/>
        <item x="23"/>
        <item x="16"/>
        <item x="2"/>
        <item x="3"/>
        <item x="7"/>
        <item x="24"/>
        <item x="1"/>
        <item x="19"/>
        <item x="6"/>
        <item t="default"/>
      </items>
    </pivotField>
    <pivotField showAll="0"/>
    <pivotField showAll="0"/>
    <pivotField showAll="0"/>
    <pivotField showAll="0"/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Order_Id" fld="0" subtotal="count" baseField="16" baseItem="5"/>
    <dataField name="Sum of Sales" fld="7" baseField="0" baseItem="0" numFmtId="1"/>
  </dataFields>
  <formats count="1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8D055-AB0A-4062-A7EA-17AE674C3621}">
  <sheetPr codeName="Sheet1"/>
  <dimension ref="A1:C3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4.4" x14ac:dyDescent="0.3"/>
  <cols>
    <col min="1" max="1" width="12.88671875" bestFit="1" customWidth="1"/>
    <col min="2" max="2" width="21.44140625" bestFit="1" customWidth="1"/>
    <col min="3" max="3" width="76.77734375" customWidth="1"/>
  </cols>
  <sheetData>
    <row r="1" spans="1:3" x14ac:dyDescent="0.3">
      <c r="A1" s="1" t="s">
        <v>5696</v>
      </c>
      <c r="B1" s="1" t="s">
        <v>5697</v>
      </c>
      <c r="C1" s="1" t="s">
        <v>5702</v>
      </c>
    </row>
    <row r="2" spans="1:3" x14ac:dyDescent="0.3">
      <c r="A2" t="s">
        <v>5698</v>
      </c>
      <c r="B2" t="s">
        <v>5700</v>
      </c>
      <c r="C2" s="6" t="s">
        <v>5726</v>
      </c>
    </row>
    <row r="3" spans="1:3" x14ac:dyDescent="0.3">
      <c r="A3" t="s">
        <v>5698</v>
      </c>
      <c r="B3" t="s">
        <v>0</v>
      </c>
      <c r="C3" s="6" t="s">
        <v>5727</v>
      </c>
    </row>
    <row r="4" spans="1:3" x14ac:dyDescent="0.3">
      <c r="A4" t="s">
        <v>5698</v>
      </c>
      <c r="B4" t="s">
        <v>5716</v>
      </c>
      <c r="C4" s="6" t="s">
        <v>3833</v>
      </c>
    </row>
    <row r="5" spans="1:3" x14ac:dyDescent="0.3">
      <c r="A5" t="s">
        <v>5698</v>
      </c>
      <c r="B5" t="s">
        <v>5717</v>
      </c>
      <c r="C5" s="6" t="s">
        <v>3834</v>
      </c>
    </row>
    <row r="6" spans="1:3" ht="28.8" x14ac:dyDescent="0.3">
      <c r="A6" t="s">
        <v>5698</v>
      </c>
      <c r="B6" t="s">
        <v>5706</v>
      </c>
      <c r="C6" s="6" t="s">
        <v>5728</v>
      </c>
    </row>
    <row r="7" spans="1:3" x14ac:dyDescent="0.3">
      <c r="A7" t="s">
        <v>5698</v>
      </c>
      <c r="B7" t="s">
        <v>5707</v>
      </c>
      <c r="C7" s="6" t="s">
        <v>5782</v>
      </c>
    </row>
    <row r="8" spans="1:3" x14ac:dyDescent="0.3">
      <c r="A8" t="s">
        <v>5698</v>
      </c>
      <c r="B8" t="s">
        <v>5718</v>
      </c>
      <c r="C8" s="6" t="s">
        <v>3837</v>
      </c>
    </row>
    <row r="9" spans="1:3" x14ac:dyDescent="0.3">
      <c r="A9" t="s">
        <v>5698</v>
      </c>
      <c r="B9" t="s">
        <v>5708</v>
      </c>
      <c r="C9" s="6" t="s">
        <v>5729</v>
      </c>
    </row>
    <row r="10" spans="1:3" x14ac:dyDescent="0.3">
      <c r="A10" t="s">
        <v>5698</v>
      </c>
      <c r="B10" t="s">
        <v>5709</v>
      </c>
      <c r="C10" s="6" t="s">
        <v>5730</v>
      </c>
    </row>
    <row r="11" spans="1:3" ht="28.8" x14ac:dyDescent="0.3">
      <c r="A11" t="s">
        <v>5698</v>
      </c>
      <c r="B11" t="s">
        <v>5710</v>
      </c>
      <c r="C11" s="6" t="s">
        <v>3841</v>
      </c>
    </row>
    <row r="12" spans="1:3" ht="28.8" x14ac:dyDescent="0.3">
      <c r="A12" t="s">
        <v>5698</v>
      </c>
      <c r="B12" t="s">
        <v>5711</v>
      </c>
      <c r="C12" s="6" t="s">
        <v>3842</v>
      </c>
    </row>
    <row r="13" spans="1:3" x14ac:dyDescent="0.3">
      <c r="A13" t="s">
        <v>5699</v>
      </c>
      <c r="B13" t="s">
        <v>5700</v>
      </c>
      <c r="C13" s="6" t="s">
        <v>5742</v>
      </c>
    </row>
    <row r="14" spans="1:3" x14ac:dyDescent="0.3">
      <c r="A14" t="s">
        <v>5699</v>
      </c>
      <c r="B14" t="s">
        <v>5712</v>
      </c>
      <c r="C14" s="6" t="s">
        <v>5741</v>
      </c>
    </row>
    <row r="15" spans="1:3" x14ac:dyDescent="0.3">
      <c r="A15" t="s">
        <v>5699</v>
      </c>
      <c r="B15" t="s">
        <v>5719</v>
      </c>
      <c r="C15" s="6" t="s">
        <v>5743</v>
      </c>
    </row>
    <row r="16" spans="1:3" x14ac:dyDescent="0.3">
      <c r="A16" t="s">
        <v>5699</v>
      </c>
      <c r="B16" t="s">
        <v>5720</v>
      </c>
      <c r="C16" s="6" t="s">
        <v>3839</v>
      </c>
    </row>
    <row r="17" spans="1:3" x14ac:dyDescent="0.3">
      <c r="A17" t="s">
        <v>5699</v>
      </c>
      <c r="B17" t="s">
        <v>1</v>
      </c>
      <c r="C17" s="6" t="s">
        <v>3840</v>
      </c>
    </row>
    <row r="18" spans="1:3" x14ac:dyDescent="0.3">
      <c r="A18" t="s">
        <v>5722</v>
      </c>
      <c r="B18" t="s">
        <v>5721</v>
      </c>
      <c r="C18" s="6" t="s">
        <v>5740</v>
      </c>
    </row>
    <row r="19" spans="1:3" x14ac:dyDescent="0.3">
      <c r="A19" t="s">
        <v>5722</v>
      </c>
      <c r="B19" t="s">
        <v>5713</v>
      </c>
      <c r="C19" s="6" t="s">
        <v>2</v>
      </c>
    </row>
    <row r="20" spans="1:3" ht="28.8" x14ac:dyDescent="0.3">
      <c r="A20" t="s">
        <v>5722</v>
      </c>
      <c r="B20" t="s">
        <v>5714</v>
      </c>
      <c r="C20" s="6" t="s">
        <v>5744</v>
      </c>
    </row>
    <row r="21" spans="1:3" ht="28.8" x14ac:dyDescent="0.3">
      <c r="A21" t="s">
        <v>5722</v>
      </c>
      <c r="B21" t="s">
        <v>5715</v>
      </c>
      <c r="C21" s="6" t="s">
        <v>5745</v>
      </c>
    </row>
    <row r="22" spans="1:3" x14ac:dyDescent="0.3">
      <c r="A22" t="s">
        <v>5722</v>
      </c>
      <c r="B22" t="s">
        <v>5723</v>
      </c>
      <c r="C22" s="6" t="s">
        <v>3838</v>
      </c>
    </row>
    <row r="23" spans="1:3" x14ac:dyDescent="0.3">
      <c r="A23" t="s">
        <v>5703</v>
      </c>
      <c r="B23" t="s">
        <v>5693</v>
      </c>
      <c r="C23" s="6" t="s">
        <v>5739</v>
      </c>
    </row>
    <row r="24" spans="1:3" x14ac:dyDescent="0.3">
      <c r="A24" t="s">
        <v>5703</v>
      </c>
      <c r="B24" t="s">
        <v>5688</v>
      </c>
      <c r="C24" s="6" t="s">
        <v>5731</v>
      </c>
    </row>
    <row r="25" spans="1:3" x14ac:dyDescent="0.3">
      <c r="A25" t="s">
        <v>5703</v>
      </c>
      <c r="B25" t="s">
        <v>5725</v>
      </c>
      <c r="C25" s="6" t="s">
        <v>5732</v>
      </c>
    </row>
    <row r="26" spans="1:3" x14ac:dyDescent="0.3">
      <c r="A26" t="s">
        <v>5703</v>
      </c>
      <c r="B26" t="s">
        <v>5724</v>
      </c>
      <c r="C26" s="6" t="s">
        <v>5733</v>
      </c>
    </row>
    <row r="27" spans="1:3" x14ac:dyDescent="0.3">
      <c r="A27" t="s">
        <v>5703</v>
      </c>
      <c r="B27" t="s">
        <v>5689</v>
      </c>
      <c r="C27" s="6" t="s">
        <v>3835</v>
      </c>
    </row>
    <row r="28" spans="1:3" x14ac:dyDescent="0.3">
      <c r="A28" t="s">
        <v>5703</v>
      </c>
      <c r="B28" t="s">
        <v>5690</v>
      </c>
      <c r="C28" s="6" t="s">
        <v>5734</v>
      </c>
    </row>
    <row r="29" spans="1:3" x14ac:dyDescent="0.3">
      <c r="A29" t="s">
        <v>5703</v>
      </c>
      <c r="B29" t="s">
        <v>5691</v>
      </c>
      <c r="C29" s="6" t="s">
        <v>5735</v>
      </c>
    </row>
    <row r="30" spans="1:3" x14ac:dyDescent="0.3">
      <c r="A30" t="s">
        <v>5703</v>
      </c>
      <c r="B30" t="s">
        <v>5692</v>
      </c>
      <c r="C30" s="6" t="s">
        <v>5736</v>
      </c>
    </row>
    <row r="31" spans="1:3" x14ac:dyDescent="0.3">
      <c r="A31" t="s">
        <v>5704</v>
      </c>
      <c r="B31" t="s">
        <v>5693</v>
      </c>
      <c r="C31" s="6" t="s">
        <v>5738</v>
      </c>
    </row>
    <row r="32" spans="1:3" x14ac:dyDescent="0.3">
      <c r="A32" t="s">
        <v>5704</v>
      </c>
      <c r="B32" t="s">
        <v>5694</v>
      </c>
      <c r="C32" s="6" t="s">
        <v>5701</v>
      </c>
    </row>
    <row r="33" spans="1:3" x14ac:dyDescent="0.3">
      <c r="A33" t="s">
        <v>5705</v>
      </c>
      <c r="B33" t="s">
        <v>5693</v>
      </c>
      <c r="C33" s="6" t="s">
        <v>5737</v>
      </c>
    </row>
    <row r="34" spans="1:3" x14ac:dyDescent="0.3">
      <c r="A34" t="s">
        <v>5705</v>
      </c>
      <c r="B34" t="s">
        <v>5694</v>
      </c>
      <c r="C34" s="6" t="s">
        <v>3836</v>
      </c>
    </row>
  </sheetData>
  <autoFilter ref="A1:C34" xr:uid="{55B8140A-6D8D-4DEC-9938-FA58DC56EB19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9E83-15F2-4113-B71D-DA25B0744384}">
  <sheetPr codeName="Sheet15"/>
  <dimension ref="A1:P27"/>
  <sheetViews>
    <sheetView showGridLines="0" tabSelected="1" workbookViewId="0">
      <selection activeCell="G8" sqref="G8"/>
    </sheetView>
  </sheetViews>
  <sheetFormatPr defaultRowHeight="14.4" x14ac:dyDescent="0.3"/>
  <cols>
    <col min="1" max="1" width="8.88671875" style="10"/>
    <col min="2" max="2" width="8.88671875" style="32"/>
    <col min="3" max="3" width="23.6640625" style="32" customWidth="1"/>
    <col min="4" max="4" width="14.5546875" style="32" customWidth="1"/>
    <col min="5" max="5" width="13.44140625" style="32" customWidth="1"/>
    <col min="6" max="6" width="8.88671875" style="9"/>
    <col min="8" max="8" width="8.88671875" style="10"/>
    <col min="9" max="9" width="8.88671875" style="32"/>
    <col min="10" max="10" width="16.5546875" style="20" bestFit="1" customWidth="1"/>
    <col min="11" max="11" width="13.21875" style="9" customWidth="1"/>
    <col min="13" max="13" width="8.88671875" style="10"/>
    <col min="14" max="14" width="8.88671875" style="32"/>
    <col min="15" max="15" width="16.5546875" style="20" bestFit="1" customWidth="1"/>
    <col min="16" max="16" width="21.6640625" style="9" bestFit="1" customWidth="1"/>
  </cols>
  <sheetData>
    <row r="1" spans="1:16" x14ac:dyDescent="0.3">
      <c r="A1" s="11"/>
      <c r="B1" s="8"/>
      <c r="C1" s="34" t="s">
        <v>5690</v>
      </c>
      <c r="D1" s="34" t="s">
        <v>5720</v>
      </c>
      <c r="E1" s="34" t="s">
        <v>5796</v>
      </c>
      <c r="F1" s="34" t="s">
        <v>5797</v>
      </c>
      <c r="H1" s="11"/>
      <c r="I1" s="8"/>
      <c r="J1" s="35" t="s">
        <v>5690</v>
      </c>
      <c r="K1" s="36" t="s">
        <v>5798</v>
      </c>
      <c r="M1" s="11"/>
      <c r="N1" s="8"/>
      <c r="O1" s="37" t="s">
        <v>5690</v>
      </c>
      <c r="P1" s="38" t="s">
        <v>5799</v>
      </c>
    </row>
    <row r="2" spans="1:16" x14ac:dyDescent="0.3">
      <c r="C2" s="17" t="s">
        <v>30</v>
      </c>
      <c r="D2" s="17">
        <f>VLOOKUP(C2,Sheet1!$A$4:$B$28,2,0)</f>
        <v>393</v>
      </c>
      <c r="E2" s="18">
        <v>76773.640000000014</v>
      </c>
      <c r="F2" s="29">
        <f>E2/$E$27</f>
        <v>0.18298043720360035</v>
      </c>
      <c r="J2" s="17" t="s">
        <v>420</v>
      </c>
      <c r="K2" s="30">
        <v>0.82608695652173914</v>
      </c>
      <c r="O2" s="17" t="s">
        <v>513</v>
      </c>
      <c r="P2" s="22">
        <v>0.88888888888888884</v>
      </c>
    </row>
    <row r="3" spans="1:16" x14ac:dyDescent="0.3">
      <c r="C3" s="17" t="s">
        <v>99</v>
      </c>
      <c r="D3" s="17">
        <f>VLOOKUP(C3,Sheet1!$A$4:$B$28,2,0)</f>
        <v>272</v>
      </c>
      <c r="E3" s="18">
        <v>49982.790000000088</v>
      </c>
      <c r="F3" s="29">
        <f>E3/$E$27</f>
        <v>0.1191277731113929</v>
      </c>
      <c r="J3" s="17" t="s">
        <v>513</v>
      </c>
      <c r="K3" s="30">
        <v>0.77777777777777779</v>
      </c>
      <c r="O3" s="17" t="s">
        <v>203</v>
      </c>
      <c r="P3" s="22">
        <v>0.8</v>
      </c>
    </row>
    <row r="4" spans="1:16" x14ac:dyDescent="0.3">
      <c r="C4" s="17" t="s">
        <v>80</v>
      </c>
      <c r="D4" s="17">
        <f>VLOOKUP(C4,Sheet1!$A$4:$B$28,2,0)</f>
        <v>171</v>
      </c>
      <c r="E4" s="18">
        <v>35053.020000000062</v>
      </c>
      <c r="F4" s="29">
        <f>E4/$E$27</f>
        <v>8.354452029246702E-2</v>
      </c>
      <c r="J4" s="17" t="s">
        <v>5779</v>
      </c>
      <c r="K4" s="30">
        <v>0.68181818181818177</v>
      </c>
      <c r="O4" s="17" t="s">
        <v>70</v>
      </c>
      <c r="P4" s="22">
        <v>0.76712328767123283</v>
      </c>
    </row>
    <row r="5" spans="1:16" x14ac:dyDescent="0.3">
      <c r="C5" s="17" t="s">
        <v>5778</v>
      </c>
      <c r="D5" s="17">
        <f>VLOOKUP(C5,Sheet1!$A$4:$B$28,2,0)</f>
        <v>123</v>
      </c>
      <c r="E5" s="18">
        <v>30674.230000000021</v>
      </c>
      <c r="F5" s="29">
        <f>E5/$E$27</f>
        <v>7.3108218084798338E-2</v>
      </c>
      <c r="J5" s="17" t="s">
        <v>1086</v>
      </c>
      <c r="K5" s="30">
        <v>0.66666666666666663</v>
      </c>
      <c r="O5" s="17" t="s">
        <v>5779</v>
      </c>
      <c r="P5" s="22">
        <v>0.72727272727272729</v>
      </c>
    </row>
    <row r="6" spans="1:16" x14ac:dyDescent="0.3">
      <c r="C6" s="17" t="s">
        <v>5781</v>
      </c>
      <c r="D6" s="17">
        <f>VLOOKUP(C6,Sheet1!$A$4:$B$28,2,0)</f>
        <v>150</v>
      </c>
      <c r="E6" s="18">
        <v>27575.819999999992</v>
      </c>
      <c r="F6" s="29">
        <f>E6/$E$27</f>
        <v>6.5723542609778363E-2</v>
      </c>
      <c r="J6" s="17" t="s">
        <v>1234</v>
      </c>
      <c r="K6" s="30">
        <v>0.66666666666666663</v>
      </c>
      <c r="O6" s="17" t="s">
        <v>5780</v>
      </c>
      <c r="P6" s="22">
        <v>0.72727272727272729</v>
      </c>
    </row>
    <row r="7" spans="1:16" x14ac:dyDescent="0.3">
      <c r="C7" s="17" t="s">
        <v>377</v>
      </c>
      <c r="D7" s="17">
        <f>VLOOKUP(C7,Sheet1!$A$4:$B$28,2,0)</f>
        <v>157</v>
      </c>
      <c r="E7" s="18">
        <v>26130.360000000019</v>
      </c>
      <c r="F7" s="29">
        <f>E7/$E$27</f>
        <v>6.2278468196733584E-2</v>
      </c>
      <c r="J7" s="17" t="s">
        <v>5777</v>
      </c>
      <c r="K7" s="30">
        <v>0.63934426229508201</v>
      </c>
      <c r="O7" s="17" t="s">
        <v>538</v>
      </c>
      <c r="P7" s="22">
        <v>0.72413793103448276</v>
      </c>
    </row>
    <row r="8" spans="1:16" x14ac:dyDescent="0.3">
      <c r="C8" s="17" t="s">
        <v>47</v>
      </c>
      <c r="D8" s="17">
        <f>VLOOKUP(C8,Sheet1!$A$4:$B$28,2,0)</f>
        <v>106</v>
      </c>
      <c r="E8" s="18">
        <v>21486.74</v>
      </c>
      <c r="F8" s="29">
        <f>E8/$E$27</f>
        <v>5.1210976570605325E-2</v>
      </c>
      <c r="J8" s="17" t="s">
        <v>5780</v>
      </c>
      <c r="K8" s="30">
        <v>0.63636363636363635</v>
      </c>
      <c r="O8" s="17" t="s">
        <v>377</v>
      </c>
      <c r="P8" s="22">
        <v>0.71337579617834401</v>
      </c>
    </row>
    <row r="9" spans="1:16" x14ac:dyDescent="0.3">
      <c r="C9" s="17" t="s">
        <v>245</v>
      </c>
      <c r="D9" s="17">
        <f>VLOOKUP(C9,Sheet1!$A$4:$B$28,2,0)</f>
        <v>96</v>
      </c>
      <c r="E9" s="18">
        <v>19340.840000000004</v>
      </c>
      <c r="F9" s="29">
        <f>E9/$E$27</f>
        <v>4.6096490398069991E-2</v>
      </c>
      <c r="J9" s="17" t="s">
        <v>130</v>
      </c>
      <c r="K9" s="30">
        <v>0.63235294117647056</v>
      </c>
      <c r="O9" s="17" t="s">
        <v>5781</v>
      </c>
      <c r="P9" s="22">
        <v>0.70666666666666667</v>
      </c>
    </row>
    <row r="10" spans="1:16" x14ac:dyDescent="0.3">
      <c r="C10" s="17" t="s">
        <v>227</v>
      </c>
      <c r="D10" s="17">
        <f>VLOOKUP(C10,Sheet1!$A$4:$B$28,2,0)</f>
        <v>87</v>
      </c>
      <c r="E10" s="18">
        <v>16505.639999999992</v>
      </c>
      <c r="F10" s="29">
        <f>E10/$E$27</f>
        <v>3.9339143272680989E-2</v>
      </c>
      <c r="J10" s="17" t="s">
        <v>894</v>
      </c>
      <c r="K10" s="30">
        <v>0.625</v>
      </c>
      <c r="O10" s="17" t="s">
        <v>286</v>
      </c>
      <c r="P10" s="22">
        <v>0.70588235294117641</v>
      </c>
    </row>
    <row r="11" spans="1:16" x14ac:dyDescent="0.3">
      <c r="C11" s="17" t="s">
        <v>234</v>
      </c>
      <c r="D11" s="17">
        <f>VLOOKUP(C11,Sheet1!$A$4:$B$28,2,0)</f>
        <v>68</v>
      </c>
      <c r="E11" s="18">
        <v>15720.529999999999</v>
      </c>
      <c r="F11" s="29">
        <f>E11/$E$27</f>
        <v>3.7467931082495437E-2</v>
      </c>
      <c r="J11" s="17" t="s">
        <v>47</v>
      </c>
      <c r="K11" s="30">
        <v>0.62264150943396224</v>
      </c>
      <c r="O11" s="17" t="s">
        <v>130</v>
      </c>
      <c r="P11" s="22">
        <v>0.69117647058823528</v>
      </c>
    </row>
    <row r="12" spans="1:16" x14ac:dyDescent="0.3">
      <c r="C12" s="17" t="s">
        <v>5777</v>
      </c>
      <c r="D12" s="17">
        <f>VLOOKUP(C12,Sheet1!$A$4:$B$28,2,0)</f>
        <v>61</v>
      </c>
      <c r="E12" s="18">
        <v>14433.070000000002</v>
      </c>
      <c r="F12" s="29">
        <f>E12/$E$27</f>
        <v>3.439943004903985E-2</v>
      </c>
      <c r="J12" s="17" t="s">
        <v>245</v>
      </c>
      <c r="K12" s="30">
        <v>0.61458333333333337</v>
      </c>
      <c r="O12" s="17" t="s">
        <v>99</v>
      </c>
      <c r="P12" s="22">
        <v>0.67647058823529416</v>
      </c>
    </row>
    <row r="13" spans="1:16" x14ac:dyDescent="0.3">
      <c r="C13" s="17" t="s">
        <v>203</v>
      </c>
      <c r="D13" s="17">
        <f>VLOOKUP(C13,Sheet1!$A$4:$B$28,2,0)</f>
        <v>55</v>
      </c>
      <c r="E13" s="18">
        <v>13431.529999999995</v>
      </c>
      <c r="F13" s="29">
        <f>E13/$E$27</f>
        <v>3.2012383830091591E-2</v>
      </c>
      <c r="J13" s="17" t="s">
        <v>5778</v>
      </c>
      <c r="K13" s="30">
        <v>0.6097560975609756</v>
      </c>
      <c r="O13" s="17" t="s">
        <v>30</v>
      </c>
      <c r="P13" s="22">
        <v>0.66921119592875322</v>
      </c>
    </row>
    <row r="14" spans="1:16" x14ac:dyDescent="0.3">
      <c r="C14" s="17" t="s">
        <v>130</v>
      </c>
      <c r="D14" s="17">
        <f>VLOOKUP(C14,Sheet1!$A$4:$B$28,2,0)</f>
        <v>68</v>
      </c>
      <c r="E14" s="18">
        <v>13153.269999999995</v>
      </c>
      <c r="F14" s="29">
        <f>E14/$E$27</f>
        <v>3.134918567436687E-2</v>
      </c>
      <c r="J14" s="17" t="s">
        <v>80</v>
      </c>
      <c r="K14" s="30">
        <v>0.60233918128654973</v>
      </c>
      <c r="O14" s="17" t="s">
        <v>1086</v>
      </c>
      <c r="P14" s="22">
        <v>0.66666666666666674</v>
      </c>
    </row>
    <row r="15" spans="1:16" x14ac:dyDescent="0.3">
      <c r="C15" s="17" t="s">
        <v>70</v>
      </c>
      <c r="D15" s="17">
        <f>VLOOKUP(C15,Sheet1!$A$4:$B$28,2,0)</f>
        <v>73</v>
      </c>
      <c r="E15" s="18">
        <v>12306.050000000003</v>
      </c>
      <c r="F15" s="29">
        <f>E15/$E$27</f>
        <v>2.9329942011989615E-2</v>
      </c>
      <c r="J15" s="17" t="s">
        <v>203</v>
      </c>
      <c r="K15" s="30">
        <v>0.6</v>
      </c>
      <c r="O15" s="17" t="s">
        <v>1234</v>
      </c>
      <c r="P15" s="22">
        <v>0.66666666666666674</v>
      </c>
    </row>
    <row r="16" spans="1:16" x14ac:dyDescent="0.3">
      <c r="C16" s="17" t="s">
        <v>5780</v>
      </c>
      <c r="D16" s="17">
        <f>VLOOKUP(C16,Sheet1!$A$4:$B$28,2,0)</f>
        <v>55</v>
      </c>
      <c r="E16" s="18">
        <v>9358.9099999999944</v>
      </c>
      <c r="F16" s="29">
        <f>E16/$E$27</f>
        <v>2.2305799797289097E-2</v>
      </c>
      <c r="J16" s="17" t="s">
        <v>5781</v>
      </c>
      <c r="K16" s="30">
        <v>0.6</v>
      </c>
      <c r="O16" s="17" t="s">
        <v>234</v>
      </c>
      <c r="P16" s="22">
        <v>0.66176470588235292</v>
      </c>
    </row>
    <row r="17" spans="3:16" x14ac:dyDescent="0.3">
      <c r="C17" s="17" t="s">
        <v>431</v>
      </c>
      <c r="D17" s="17">
        <f>VLOOKUP(C17,Sheet1!$A$4:$B$28,2,0)</f>
        <v>46</v>
      </c>
      <c r="E17" s="18">
        <v>8358.619999999999</v>
      </c>
      <c r="F17" s="29">
        <f>E17/$E$27</f>
        <v>1.9921732798116092E-2</v>
      </c>
      <c r="J17" s="17" t="s">
        <v>234</v>
      </c>
      <c r="K17" s="30">
        <v>0.58823529411764708</v>
      </c>
      <c r="O17" s="17" t="s">
        <v>47</v>
      </c>
      <c r="P17" s="22">
        <v>0.66037735849056611</v>
      </c>
    </row>
    <row r="18" spans="3:16" x14ac:dyDescent="0.3">
      <c r="C18" s="17" t="s">
        <v>538</v>
      </c>
      <c r="D18" s="17">
        <f>VLOOKUP(C18,Sheet1!$A$4:$B$28,2,0)</f>
        <v>29</v>
      </c>
      <c r="E18" s="18">
        <v>6142.909999999998</v>
      </c>
      <c r="F18" s="29">
        <f>E18/$E$27</f>
        <v>1.4640863159573626E-2</v>
      </c>
      <c r="J18" s="17" t="s">
        <v>30</v>
      </c>
      <c r="K18" s="30">
        <v>0.58524173027989823</v>
      </c>
      <c r="O18" s="17" t="s">
        <v>5778</v>
      </c>
      <c r="P18" s="22">
        <v>0.65853658536585358</v>
      </c>
    </row>
    <row r="19" spans="3:16" x14ac:dyDescent="0.3">
      <c r="C19" s="17" t="s">
        <v>286</v>
      </c>
      <c r="D19" s="17">
        <f>VLOOKUP(C19,Sheet1!$A$4:$B$28,2,0)</f>
        <v>34</v>
      </c>
      <c r="E19" s="18">
        <v>5897.1799999999985</v>
      </c>
      <c r="F19" s="29">
        <f>E19/$E$27</f>
        <v>1.4055196219279528E-2</v>
      </c>
      <c r="J19" s="17" t="s">
        <v>431</v>
      </c>
      <c r="K19" s="30">
        <v>0.56521739130434778</v>
      </c>
      <c r="O19" s="17" t="s">
        <v>80</v>
      </c>
      <c r="P19" s="22">
        <v>0.65497076023391809</v>
      </c>
    </row>
    <row r="20" spans="3:16" x14ac:dyDescent="0.3">
      <c r="C20" s="17" t="s">
        <v>410</v>
      </c>
      <c r="D20" s="17">
        <f>VLOOKUP(C20,Sheet1!$A$4:$B$28,2,0)</f>
        <v>31</v>
      </c>
      <c r="E20" s="18">
        <v>5261.6999999999989</v>
      </c>
      <c r="F20" s="29">
        <f>E20/$E$27</f>
        <v>1.2540608553068261E-2</v>
      </c>
      <c r="J20" s="17" t="s">
        <v>99</v>
      </c>
      <c r="K20" s="30">
        <v>0.55514705882352944</v>
      </c>
      <c r="O20" s="17" t="s">
        <v>227</v>
      </c>
      <c r="P20" s="22">
        <v>0.64367816091954022</v>
      </c>
    </row>
    <row r="21" spans="3:16" x14ac:dyDescent="0.3">
      <c r="C21" s="17" t="s">
        <v>5779</v>
      </c>
      <c r="D21" s="17">
        <f>VLOOKUP(C21,Sheet1!$A$4:$B$28,2,0)</f>
        <v>22</v>
      </c>
      <c r="E21" s="18">
        <v>3873.380000000001</v>
      </c>
      <c r="F21" s="29">
        <f>E21/$E$27</f>
        <v>9.2317202343888041E-3</v>
      </c>
      <c r="J21" s="17" t="s">
        <v>377</v>
      </c>
      <c r="K21" s="30">
        <v>0.54777070063694266</v>
      </c>
      <c r="O21" s="17" t="s">
        <v>5777</v>
      </c>
      <c r="P21" s="22">
        <v>0.63934426229508201</v>
      </c>
    </row>
    <row r="22" spans="3:16" x14ac:dyDescent="0.3">
      <c r="C22" s="17" t="s">
        <v>420</v>
      </c>
      <c r="D22" s="17">
        <f>VLOOKUP(C22,Sheet1!$A$4:$B$28,2,0)</f>
        <v>23</v>
      </c>
      <c r="E22" s="18">
        <v>3158.52</v>
      </c>
      <c r="F22" s="29">
        <f>E22/$E$27</f>
        <v>7.5279401955712366E-3</v>
      </c>
      <c r="J22" s="17" t="s">
        <v>227</v>
      </c>
      <c r="K22" s="30">
        <v>0.52873563218390807</v>
      </c>
      <c r="O22" s="17" t="s">
        <v>245</v>
      </c>
      <c r="P22" s="22">
        <v>0.625</v>
      </c>
    </row>
    <row r="23" spans="3:16" x14ac:dyDescent="0.3">
      <c r="C23" s="17" t="s">
        <v>1086</v>
      </c>
      <c r="D23" s="17">
        <f>VLOOKUP(C23,Sheet1!$A$4:$B$28,2,0)</f>
        <v>12</v>
      </c>
      <c r="E23" s="18">
        <v>2124.21</v>
      </c>
      <c r="F23" s="29">
        <f>E23/$E$27</f>
        <v>5.062790750995522E-3</v>
      </c>
      <c r="J23" s="17" t="s">
        <v>70</v>
      </c>
      <c r="K23" s="30">
        <v>0.52054794520547942</v>
      </c>
      <c r="O23" s="17" t="s">
        <v>894</v>
      </c>
      <c r="P23" s="22">
        <v>0.625</v>
      </c>
    </row>
    <row r="24" spans="3:16" x14ac:dyDescent="0.3">
      <c r="C24" s="17" t="s">
        <v>894</v>
      </c>
      <c r="D24" s="17">
        <f>VLOOKUP(C24,Sheet1!$A$4:$B$28,2,0)</f>
        <v>8</v>
      </c>
      <c r="E24" s="18">
        <v>1152.21</v>
      </c>
      <c r="F24" s="29">
        <f>E24/$E$27</f>
        <v>2.7461494537755452E-3</v>
      </c>
      <c r="J24" s="17" t="s">
        <v>410</v>
      </c>
      <c r="K24" s="30">
        <v>0.5161290322580645</v>
      </c>
      <c r="O24" s="17" t="s">
        <v>410</v>
      </c>
      <c r="P24" s="22">
        <v>0.61290322580645162</v>
      </c>
    </row>
    <row r="25" spans="3:16" x14ac:dyDescent="0.3">
      <c r="C25" s="17" t="s">
        <v>513</v>
      </c>
      <c r="D25" s="17">
        <f>VLOOKUP(C25,Sheet1!$A$4:$B$28,2,0)</f>
        <v>9</v>
      </c>
      <c r="E25" s="18">
        <v>1147.79</v>
      </c>
      <c r="F25" s="29">
        <f>E25/$E$27</f>
        <v>2.7356149326503267E-3</v>
      </c>
      <c r="J25" s="17" t="s">
        <v>538</v>
      </c>
      <c r="K25" s="30">
        <v>0.44827586206896552</v>
      </c>
      <c r="O25" s="17" t="s">
        <v>431</v>
      </c>
      <c r="P25" s="22">
        <v>0.60869565217391308</v>
      </c>
    </row>
    <row r="26" spans="3:16" x14ac:dyDescent="0.3">
      <c r="C26" s="17" t="s">
        <v>1234</v>
      </c>
      <c r="D26" s="17">
        <f>VLOOKUP(C26,Sheet1!$A$4:$B$28,2,0)</f>
        <v>3</v>
      </c>
      <c r="E26" s="18">
        <v>529.98</v>
      </c>
      <c r="F26" s="29">
        <f>E26/$E$27</f>
        <v>1.2631415171817319E-3</v>
      </c>
      <c r="J26" s="17" t="s">
        <v>286</v>
      </c>
      <c r="K26" s="30">
        <v>0.44117647058823528</v>
      </c>
      <c r="O26" s="17" t="s">
        <v>420</v>
      </c>
      <c r="P26" s="22">
        <v>0.52173913043478259</v>
      </c>
    </row>
    <row r="27" spans="3:16" x14ac:dyDescent="0.3">
      <c r="C27" s="16"/>
      <c r="D27" s="16">
        <f>SUM(D2:D26)</f>
        <v>2152</v>
      </c>
      <c r="E27" s="19">
        <f>SUM(E2:E26)</f>
        <v>419572.94000000018</v>
      </c>
      <c r="F27" s="20"/>
      <c r="J27" s="24"/>
      <c r="K27" s="33"/>
      <c r="O27" s="23"/>
    </row>
  </sheetData>
  <autoFilter ref="O1:P1" xr:uid="{643F9E83-15F2-4113-B71D-DA25B0744384}">
    <sortState xmlns:xlrd2="http://schemas.microsoft.com/office/spreadsheetml/2017/richdata2" ref="O2:P26">
      <sortCondition descending="1" ref="P1"/>
    </sortState>
  </autoFilter>
  <conditionalFormatting sqref="F2:F2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6" r:id="rId4" name="Button 6">
              <controlPr defaultSize="0" print="0" autoFill="0" autoPict="0" macro="[0]!ShowUserForm1">
                <anchor moveWithCells="1" sizeWithCells="1">
                  <from>
                    <xdr:col>0</xdr:col>
                    <xdr:colOff>7620</xdr:colOff>
                    <xdr:row>0</xdr:row>
                    <xdr:rowOff>0</xdr:rowOff>
                  </from>
                  <to>
                    <xdr:col>1</xdr:col>
                    <xdr:colOff>586740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ShowUserForm2">
                <anchor moveWithCells="1">
                  <from>
                    <xdr:col>12</xdr:col>
                    <xdr:colOff>175260</xdr:colOff>
                    <xdr:row>0</xdr:row>
                    <xdr:rowOff>15240</xdr:rowOff>
                  </from>
                  <to>
                    <xdr:col>13</xdr:col>
                    <xdr:colOff>525780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6" name="Button 9">
              <controlPr defaultSize="0" print="0" autoFill="0" autoPict="0" macro="[0]!ShowUserForm3">
                <anchor moveWithCells="1" sizeWithCells="1">
                  <from>
                    <xdr:col>12</xdr:col>
                    <xdr:colOff>22860</xdr:colOff>
                    <xdr:row>0</xdr:row>
                    <xdr:rowOff>0</xdr:rowOff>
                  </from>
                  <to>
                    <xdr:col>14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7" name="Button 12">
              <controlPr defaultSize="0" print="0" autoFill="0" autoPict="0" macro="[0]!ShowUserForm2">
                <anchor moveWithCells="1" sizeWithCells="1">
                  <from>
                    <xdr:col>7</xdr:col>
                    <xdr:colOff>22860</xdr:colOff>
                    <xdr:row>0</xdr:row>
                    <xdr:rowOff>0</xdr:rowOff>
                  </from>
                  <to>
                    <xdr:col>8</xdr:col>
                    <xdr:colOff>579120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1700-0C99-44E8-9473-690316585212}">
  <sheetPr codeName="Sheet6"/>
  <dimension ref="A1:M27"/>
  <sheetViews>
    <sheetView zoomScale="90" zoomScaleNormal="90" workbookViewId="0">
      <selection activeCell="A5" sqref="A5"/>
    </sheetView>
  </sheetViews>
  <sheetFormatPr defaultRowHeight="14.4" x14ac:dyDescent="0.3"/>
  <cols>
    <col min="1" max="1" width="23.6640625" customWidth="1"/>
    <col min="4" max="4" width="9.88671875" bestFit="1" customWidth="1"/>
    <col min="12" max="12" width="10.77734375" bestFit="1" customWidth="1"/>
    <col min="13" max="13" width="13.44140625" customWidth="1"/>
  </cols>
  <sheetData>
    <row r="1" spans="1:13" x14ac:dyDescent="0.3">
      <c r="A1" s="16" t="s">
        <v>5690</v>
      </c>
      <c r="B1" s="16" t="s">
        <v>97</v>
      </c>
      <c r="C1" s="16" t="s">
        <v>651</v>
      </c>
      <c r="D1" s="16" t="s">
        <v>607</v>
      </c>
      <c r="E1" s="16" t="s">
        <v>585</v>
      </c>
      <c r="F1" s="16" t="s">
        <v>11</v>
      </c>
      <c r="G1" s="16" t="s">
        <v>232</v>
      </c>
      <c r="H1" s="16" t="s">
        <v>103</v>
      </c>
      <c r="I1" s="16" t="s">
        <v>518</v>
      </c>
      <c r="J1" s="16" t="s">
        <v>225</v>
      </c>
      <c r="K1" s="16" t="s">
        <v>552</v>
      </c>
      <c r="L1" s="16" t="s">
        <v>546</v>
      </c>
      <c r="M1" s="16" t="s">
        <v>5786</v>
      </c>
    </row>
    <row r="2" spans="1:13" x14ac:dyDescent="0.3">
      <c r="A2" s="17" t="s">
        <v>30</v>
      </c>
      <c r="B2" s="18">
        <v>23055.259999999991</v>
      </c>
      <c r="C2" s="18">
        <v>124.32</v>
      </c>
      <c r="D2" s="18">
        <v>6749.9999999999982</v>
      </c>
      <c r="E2" s="18">
        <v>21359.460000000006</v>
      </c>
      <c r="F2" s="18">
        <v>7159.99</v>
      </c>
      <c r="G2" s="18">
        <v>5366.4499999999989</v>
      </c>
      <c r="H2" s="18">
        <v>4889.6400000000003</v>
      </c>
      <c r="I2" s="18">
        <v>1758.24</v>
      </c>
      <c r="J2" s="18">
        <v>5129.32</v>
      </c>
      <c r="K2" s="18">
        <v>675.19999999999993</v>
      </c>
      <c r="L2" s="18">
        <v>505.76</v>
      </c>
      <c r="M2" s="18">
        <v>76773.639999999985</v>
      </c>
    </row>
    <row r="3" spans="1:13" x14ac:dyDescent="0.3">
      <c r="A3" s="17" t="s">
        <v>99</v>
      </c>
      <c r="B3" s="18">
        <v>10601.989999999989</v>
      </c>
      <c r="C3" s="18"/>
      <c r="D3" s="18">
        <v>4971.51</v>
      </c>
      <c r="E3" s="18">
        <v>16681.349999999995</v>
      </c>
      <c r="F3" s="18">
        <v>257.99</v>
      </c>
      <c r="G3" s="18">
        <v>3602.4899999999989</v>
      </c>
      <c r="H3" s="18">
        <v>2879.7799999999997</v>
      </c>
      <c r="I3" s="18">
        <v>2637.36</v>
      </c>
      <c r="J3" s="18">
        <v>5248.32</v>
      </c>
      <c r="K3" s="18">
        <v>337.6</v>
      </c>
      <c r="L3" s="18">
        <v>2764.4000000000005</v>
      </c>
      <c r="M3" s="18">
        <v>49982.789999999986</v>
      </c>
    </row>
    <row r="4" spans="1:13" x14ac:dyDescent="0.3">
      <c r="A4" s="17" t="s">
        <v>80</v>
      </c>
      <c r="B4" s="18">
        <v>7405.9299999999948</v>
      </c>
      <c r="C4" s="18">
        <v>186.47999999999996</v>
      </c>
      <c r="D4" s="18">
        <v>2278.4700000000003</v>
      </c>
      <c r="E4" s="18">
        <v>9833.5999999999967</v>
      </c>
      <c r="F4" s="18">
        <v>3727.46</v>
      </c>
      <c r="G4" s="18">
        <v>846.88</v>
      </c>
      <c r="H4" s="18">
        <v>1489.7900000000002</v>
      </c>
      <c r="I4" s="18">
        <v>1465.2</v>
      </c>
      <c r="J4" s="18">
        <v>3367.45</v>
      </c>
      <c r="K4" s="18">
        <v>1181.5999999999999</v>
      </c>
      <c r="L4" s="18">
        <v>3270.1600000000008</v>
      </c>
      <c r="M4" s="18">
        <v>35053.01999999999</v>
      </c>
    </row>
    <row r="5" spans="1:13" x14ac:dyDescent="0.3">
      <c r="A5" s="17" t="s">
        <v>5778</v>
      </c>
      <c r="B5" s="18">
        <v>7268.8499999999967</v>
      </c>
      <c r="C5" s="18"/>
      <c r="D5" s="18">
        <v>1439.6</v>
      </c>
      <c r="E5" s="18">
        <v>5472.4399999999978</v>
      </c>
      <c r="F5" s="18">
        <v>1311</v>
      </c>
      <c r="G5" s="18">
        <v>559.91000000000008</v>
      </c>
      <c r="H5" s="18">
        <v>659.96</v>
      </c>
      <c r="I5" s="18"/>
      <c r="J5" s="18">
        <v>8787.59</v>
      </c>
      <c r="K5" s="18">
        <v>422</v>
      </c>
      <c r="L5" s="18">
        <v>4752.88</v>
      </c>
      <c r="M5" s="18">
        <v>30674.229999999996</v>
      </c>
    </row>
    <row r="6" spans="1:13" x14ac:dyDescent="0.3">
      <c r="A6" s="17" t="s">
        <v>5781</v>
      </c>
      <c r="B6" s="18">
        <v>11268.379999999992</v>
      </c>
      <c r="C6" s="18"/>
      <c r="D6" s="18">
        <v>4052.6100000000006</v>
      </c>
      <c r="E6" s="18">
        <v>4907.03</v>
      </c>
      <c r="F6" s="18">
        <v>2344.25</v>
      </c>
      <c r="G6" s="18">
        <v>834.91</v>
      </c>
      <c r="H6" s="18">
        <v>1659.98</v>
      </c>
      <c r="I6" s="18">
        <v>293.04000000000002</v>
      </c>
      <c r="J6" s="18">
        <v>1541.06</v>
      </c>
      <c r="K6" s="18">
        <v>168.8</v>
      </c>
      <c r="L6" s="18">
        <v>505.76</v>
      </c>
      <c r="M6" s="18">
        <v>27575.819999999992</v>
      </c>
    </row>
    <row r="7" spans="1:13" x14ac:dyDescent="0.3">
      <c r="A7" s="17" t="s">
        <v>377</v>
      </c>
      <c r="B7" s="18">
        <v>6753.5099999999948</v>
      </c>
      <c r="C7" s="18"/>
      <c r="D7" s="18">
        <v>1084.01</v>
      </c>
      <c r="E7" s="18">
        <v>9668.41</v>
      </c>
      <c r="F7" s="18">
        <v>737.7</v>
      </c>
      <c r="G7" s="18">
        <v>1354.84</v>
      </c>
      <c r="H7" s="18">
        <v>1539.89</v>
      </c>
      <c r="I7" s="18">
        <v>2051.2800000000002</v>
      </c>
      <c r="J7" s="18">
        <v>2603.12</v>
      </c>
      <c r="K7" s="18">
        <v>337.6</v>
      </c>
      <c r="L7" s="18"/>
      <c r="M7" s="18">
        <v>26130.35999999999</v>
      </c>
    </row>
    <row r="8" spans="1:13" x14ac:dyDescent="0.3">
      <c r="A8" s="17" t="s">
        <v>47</v>
      </c>
      <c r="B8" s="18">
        <v>8123.6899999999987</v>
      </c>
      <c r="C8" s="18"/>
      <c r="D8" s="18">
        <v>737.65</v>
      </c>
      <c r="E8" s="18">
        <v>6034.0199999999986</v>
      </c>
      <c r="F8" s="18">
        <v>2469.1999999999998</v>
      </c>
      <c r="G8" s="18">
        <v>799.92000000000007</v>
      </c>
      <c r="H8" s="18">
        <v>829.98</v>
      </c>
      <c r="I8" s="18">
        <v>293.04000000000002</v>
      </c>
      <c r="J8" s="18">
        <v>1861.6399999999999</v>
      </c>
      <c r="K8" s="18">
        <v>337.6</v>
      </c>
      <c r="L8" s="18"/>
      <c r="M8" s="18">
        <v>21486.739999999994</v>
      </c>
    </row>
    <row r="9" spans="1:13" x14ac:dyDescent="0.3">
      <c r="A9" s="17" t="s">
        <v>245</v>
      </c>
      <c r="B9" s="18">
        <v>9564.5699999999961</v>
      </c>
      <c r="C9" s="18"/>
      <c r="D9" s="18">
        <v>391.12</v>
      </c>
      <c r="E9" s="18">
        <v>4957.329999999999</v>
      </c>
      <c r="F9" s="18">
        <v>104.97</v>
      </c>
      <c r="G9" s="18">
        <v>1163.8699999999999</v>
      </c>
      <c r="H9" s="18">
        <v>1049.95</v>
      </c>
      <c r="I9" s="18">
        <v>293.04000000000002</v>
      </c>
      <c r="J9" s="18">
        <v>459.86999999999995</v>
      </c>
      <c r="K9" s="18"/>
      <c r="L9" s="18">
        <v>1356.1200000000001</v>
      </c>
      <c r="M9" s="18">
        <v>19340.839999999997</v>
      </c>
    </row>
    <row r="10" spans="1:13" x14ac:dyDescent="0.3">
      <c r="A10" s="17" t="s">
        <v>227</v>
      </c>
      <c r="B10" s="18">
        <v>3198.8400000000006</v>
      </c>
      <c r="C10" s="18"/>
      <c r="D10" s="18">
        <v>2924.5000000000005</v>
      </c>
      <c r="E10" s="18">
        <v>5049.3599999999988</v>
      </c>
      <c r="F10" s="18">
        <v>3009.74</v>
      </c>
      <c r="G10" s="18">
        <v>524.91999999999996</v>
      </c>
      <c r="H10" s="18">
        <v>379.98</v>
      </c>
      <c r="I10" s="18">
        <v>586.08000000000004</v>
      </c>
      <c r="J10" s="18">
        <v>747.82</v>
      </c>
      <c r="K10" s="18">
        <v>84.4</v>
      </c>
      <c r="L10" s="18"/>
      <c r="M10" s="18">
        <v>16505.640000000003</v>
      </c>
    </row>
    <row r="11" spans="1:13" x14ac:dyDescent="0.3">
      <c r="A11" s="17" t="s">
        <v>234</v>
      </c>
      <c r="B11" s="18">
        <v>3645.28</v>
      </c>
      <c r="C11" s="18"/>
      <c r="D11" s="18">
        <v>861.44999999999993</v>
      </c>
      <c r="E11" s="18">
        <v>2811.2400000000002</v>
      </c>
      <c r="F11" s="18"/>
      <c r="G11" s="18">
        <v>1631.8300000000002</v>
      </c>
      <c r="H11" s="18">
        <v>459.96000000000004</v>
      </c>
      <c r="I11" s="18">
        <v>1758.24</v>
      </c>
      <c r="J11" s="18">
        <v>2715.25</v>
      </c>
      <c r="K11" s="18">
        <v>84.4</v>
      </c>
      <c r="L11" s="18">
        <v>1752.88</v>
      </c>
      <c r="M11" s="18">
        <v>15720.530000000002</v>
      </c>
    </row>
    <row r="12" spans="1:13" x14ac:dyDescent="0.3">
      <c r="A12" s="17" t="s">
        <v>5777</v>
      </c>
      <c r="B12" s="18">
        <v>1811.48</v>
      </c>
      <c r="C12" s="18"/>
      <c r="D12" s="18">
        <v>561.04999999999995</v>
      </c>
      <c r="E12" s="18">
        <v>3261.1300000000006</v>
      </c>
      <c r="F12" s="18">
        <v>154</v>
      </c>
      <c r="G12" s="18">
        <v>1409.81</v>
      </c>
      <c r="H12" s="18">
        <v>749.91000000000008</v>
      </c>
      <c r="I12" s="18">
        <v>1758.24</v>
      </c>
      <c r="J12" s="18">
        <v>4727.45</v>
      </c>
      <c r="K12" s="18"/>
      <c r="L12" s="18"/>
      <c r="M12" s="18">
        <v>14433.07</v>
      </c>
    </row>
    <row r="13" spans="1:13" x14ac:dyDescent="0.3">
      <c r="A13" s="17" t="s">
        <v>203</v>
      </c>
      <c r="B13" s="18">
        <v>3207.58</v>
      </c>
      <c r="C13" s="18"/>
      <c r="D13" s="18">
        <v>39.75</v>
      </c>
      <c r="E13" s="18">
        <v>3811.33</v>
      </c>
      <c r="F13" s="18">
        <v>1556.96</v>
      </c>
      <c r="G13" s="18">
        <v>899.91000000000008</v>
      </c>
      <c r="H13" s="18">
        <v>529.98</v>
      </c>
      <c r="I13" s="18">
        <v>1465.2</v>
      </c>
      <c r="J13" s="18">
        <v>740.5</v>
      </c>
      <c r="K13" s="18">
        <v>168.8</v>
      </c>
      <c r="L13" s="18">
        <v>1011.52</v>
      </c>
      <c r="M13" s="18">
        <v>13431.529999999999</v>
      </c>
    </row>
    <row r="14" spans="1:13" x14ac:dyDescent="0.3">
      <c r="A14" s="17" t="s">
        <v>130</v>
      </c>
      <c r="B14" s="18">
        <v>1632.36</v>
      </c>
      <c r="C14" s="18"/>
      <c r="D14" s="18">
        <v>1100.1500000000001</v>
      </c>
      <c r="E14" s="18">
        <v>4472.6499999999996</v>
      </c>
      <c r="F14" s="18">
        <v>705.5</v>
      </c>
      <c r="G14" s="18">
        <v>754.9</v>
      </c>
      <c r="H14" s="18">
        <v>1039.99</v>
      </c>
      <c r="I14" s="18">
        <v>1465.2</v>
      </c>
      <c r="J14" s="18">
        <v>144.91999999999999</v>
      </c>
      <c r="K14" s="18">
        <v>337.6</v>
      </c>
      <c r="L14" s="18">
        <v>1500</v>
      </c>
      <c r="M14" s="18">
        <v>13153.27</v>
      </c>
    </row>
    <row r="15" spans="1:13" x14ac:dyDescent="0.3">
      <c r="A15" s="17" t="s">
        <v>70</v>
      </c>
      <c r="B15" s="18">
        <v>2871.3500000000004</v>
      </c>
      <c r="C15" s="18"/>
      <c r="D15" s="18">
        <v>663.53</v>
      </c>
      <c r="E15" s="18">
        <v>3407.39</v>
      </c>
      <c r="F15" s="18">
        <v>1093.25</v>
      </c>
      <c r="G15" s="18">
        <v>699.93</v>
      </c>
      <c r="H15" s="18">
        <v>1289.96</v>
      </c>
      <c r="I15" s="18">
        <v>1465.2</v>
      </c>
      <c r="J15" s="18">
        <v>562.56000000000006</v>
      </c>
      <c r="K15" s="18"/>
      <c r="L15" s="18">
        <v>252.88</v>
      </c>
      <c r="M15" s="18">
        <v>12306.05</v>
      </c>
    </row>
    <row r="16" spans="1:13" x14ac:dyDescent="0.3">
      <c r="A16" s="17" t="s">
        <v>5780</v>
      </c>
      <c r="B16" s="18">
        <v>3058.09</v>
      </c>
      <c r="C16" s="18"/>
      <c r="D16" s="18">
        <v>1677.27</v>
      </c>
      <c r="E16" s="18">
        <v>2199.7399999999998</v>
      </c>
      <c r="F16" s="18">
        <v>99.96</v>
      </c>
      <c r="G16" s="18">
        <v>399.96</v>
      </c>
      <c r="H16" s="18">
        <v>769.92000000000007</v>
      </c>
      <c r="I16" s="18">
        <v>293.04000000000002</v>
      </c>
      <c r="J16" s="18">
        <v>101.97</v>
      </c>
      <c r="K16" s="18">
        <v>253.20000000000002</v>
      </c>
      <c r="L16" s="18">
        <v>505.76</v>
      </c>
      <c r="M16" s="18">
        <v>9358.9100000000017</v>
      </c>
    </row>
    <row r="17" spans="1:13" x14ac:dyDescent="0.3">
      <c r="A17" s="17" t="s">
        <v>431</v>
      </c>
      <c r="B17" s="18">
        <v>2800.6300000000006</v>
      </c>
      <c r="C17" s="18"/>
      <c r="D17" s="18">
        <v>1060.1999999999998</v>
      </c>
      <c r="E17" s="18">
        <v>2099.88</v>
      </c>
      <c r="F17" s="18">
        <v>50</v>
      </c>
      <c r="G17" s="18">
        <v>199.98</v>
      </c>
      <c r="H17" s="18">
        <v>729.95</v>
      </c>
      <c r="I17" s="18"/>
      <c r="J17" s="18">
        <v>1165.0999999999999</v>
      </c>
      <c r="K17" s="18"/>
      <c r="L17" s="18">
        <v>252.88</v>
      </c>
      <c r="M17" s="18">
        <v>8358.619999999999</v>
      </c>
    </row>
    <row r="18" spans="1:13" x14ac:dyDescent="0.3">
      <c r="A18" s="17" t="s">
        <v>538</v>
      </c>
      <c r="B18" s="18">
        <v>1604.8799999999997</v>
      </c>
      <c r="C18" s="18"/>
      <c r="D18" s="18">
        <v>51.04</v>
      </c>
      <c r="E18" s="18">
        <v>2099.75</v>
      </c>
      <c r="F18" s="18"/>
      <c r="G18" s="18">
        <v>199.98</v>
      </c>
      <c r="H18" s="18">
        <v>309.96000000000004</v>
      </c>
      <c r="I18" s="18">
        <v>586.08000000000004</v>
      </c>
      <c r="J18" s="18">
        <v>532.58000000000004</v>
      </c>
      <c r="K18" s="18"/>
      <c r="L18" s="18">
        <v>758.64</v>
      </c>
      <c r="M18" s="18">
        <v>6142.91</v>
      </c>
    </row>
    <row r="19" spans="1:13" x14ac:dyDescent="0.3">
      <c r="A19" s="17" t="s">
        <v>286</v>
      </c>
      <c r="B19" s="18">
        <v>911.44</v>
      </c>
      <c r="C19" s="18">
        <v>62.16</v>
      </c>
      <c r="D19" s="18">
        <v>1218.57</v>
      </c>
      <c r="E19" s="18">
        <v>923.03</v>
      </c>
      <c r="F19" s="18">
        <v>239.96</v>
      </c>
      <c r="G19" s="18">
        <v>499.94999999999993</v>
      </c>
      <c r="H19" s="18">
        <v>609.97</v>
      </c>
      <c r="I19" s="18"/>
      <c r="J19" s="18">
        <v>1432.1000000000001</v>
      </c>
      <c r="K19" s="18"/>
      <c r="L19" s="18"/>
      <c r="M19" s="18">
        <v>5897.18</v>
      </c>
    </row>
    <row r="20" spans="1:13" x14ac:dyDescent="0.3">
      <c r="A20" s="17" t="s">
        <v>410</v>
      </c>
      <c r="B20" s="18">
        <v>1969.0099999999998</v>
      </c>
      <c r="C20" s="18"/>
      <c r="D20" s="18">
        <v>1020.4499999999999</v>
      </c>
      <c r="E20" s="18">
        <v>1199.8</v>
      </c>
      <c r="F20" s="18"/>
      <c r="G20" s="18">
        <v>299.97000000000003</v>
      </c>
      <c r="H20" s="18"/>
      <c r="I20" s="18"/>
      <c r="J20" s="18">
        <v>772.47</v>
      </c>
      <c r="K20" s="18"/>
      <c r="L20" s="18"/>
      <c r="M20" s="18">
        <v>5261.7</v>
      </c>
    </row>
    <row r="21" spans="1:13" x14ac:dyDescent="0.3">
      <c r="A21" s="17" t="s">
        <v>5779</v>
      </c>
      <c r="B21" s="18">
        <v>1569.0299999999997</v>
      </c>
      <c r="C21" s="18"/>
      <c r="D21" s="18">
        <v>79.5</v>
      </c>
      <c r="E21" s="18">
        <v>1699.9</v>
      </c>
      <c r="F21" s="18"/>
      <c r="G21" s="18"/>
      <c r="H21" s="18">
        <v>400</v>
      </c>
      <c r="I21" s="18"/>
      <c r="J21" s="18">
        <v>124.94999999999999</v>
      </c>
      <c r="K21" s="18"/>
      <c r="L21" s="18"/>
      <c r="M21" s="18">
        <v>3873.3799999999997</v>
      </c>
    </row>
    <row r="22" spans="1:13" x14ac:dyDescent="0.3">
      <c r="A22" s="17" t="s">
        <v>420</v>
      </c>
      <c r="B22" s="18">
        <v>1095.72</v>
      </c>
      <c r="C22" s="18"/>
      <c r="D22" s="18">
        <v>379.9</v>
      </c>
      <c r="E22" s="18">
        <v>549.88</v>
      </c>
      <c r="F22" s="18">
        <v>44.99</v>
      </c>
      <c r="G22" s="18">
        <v>131.97999999999999</v>
      </c>
      <c r="H22" s="18">
        <v>369.97</v>
      </c>
      <c r="I22" s="18">
        <v>586.08000000000004</v>
      </c>
      <c r="J22" s="18"/>
      <c r="K22" s="18"/>
      <c r="L22" s="18"/>
      <c r="M22" s="18">
        <v>3158.5199999999995</v>
      </c>
    </row>
    <row r="23" spans="1:13" x14ac:dyDescent="0.3">
      <c r="A23" s="17" t="s">
        <v>1086</v>
      </c>
      <c r="B23" s="18">
        <v>929.88</v>
      </c>
      <c r="C23" s="18"/>
      <c r="D23" s="18"/>
      <c r="E23" s="18">
        <v>199.99</v>
      </c>
      <c r="F23" s="18">
        <v>239.96</v>
      </c>
      <c r="G23" s="18">
        <v>69.98</v>
      </c>
      <c r="H23" s="18">
        <v>600</v>
      </c>
      <c r="I23" s="18"/>
      <c r="J23" s="18"/>
      <c r="K23" s="18">
        <v>84.4</v>
      </c>
      <c r="L23" s="18"/>
      <c r="M23" s="18">
        <v>2124.21</v>
      </c>
    </row>
    <row r="24" spans="1:13" x14ac:dyDescent="0.3">
      <c r="A24" s="17" t="s">
        <v>894</v>
      </c>
      <c r="B24" s="18">
        <v>179.97</v>
      </c>
      <c r="C24" s="18"/>
      <c r="D24" s="18">
        <v>62.33</v>
      </c>
      <c r="E24" s="18">
        <v>599.96</v>
      </c>
      <c r="F24" s="18"/>
      <c r="G24" s="18">
        <v>159.94999999999999</v>
      </c>
      <c r="H24" s="18">
        <v>150</v>
      </c>
      <c r="I24" s="18"/>
      <c r="J24" s="18"/>
      <c r="K24" s="18"/>
      <c r="L24" s="18"/>
      <c r="M24" s="18">
        <v>1152.21</v>
      </c>
    </row>
    <row r="25" spans="1:13" x14ac:dyDescent="0.3">
      <c r="A25" s="17" t="s">
        <v>513</v>
      </c>
      <c r="B25" s="18"/>
      <c r="C25" s="18"/>
      <c r="D25" s="18">
        <v>657.52</v>
      </c>
      <c r="E25" s="18">
        <v>299.88</v>
      </c>
      <c r="F25" s="18">
        <v>66</v>
      </c>
      <c r="G25" s="18"/>
      <c r="H25" s="18">
        <v>39.99</v>
      </c>
      <c r="I25" s="18"/>
      <c r="J25" s="18"/>
      <c r="K25" s="18">
        <v>84.4</v>
      </c>
      <c r="L25" s="18"/>
      <c r="M25" s="18">
        <v>1147.79</v>
      </c>
    </row>
    <row r="26" spans="1:13" x14ac:dyDescent="0.3">
      <c r="A26" s="17" t="s">
        <v>1234</v>
      </c>
      <c r="B26" s="18">
        <v>129.99</v>
      </c>
      <c r="C26" s="18"/>
      <c r="D26" s="18"/>
      <c r="E26" s="18">
        <v>199.99</v>
      </c>
      <c r="F26" s="18"/>
      <c r="G26" s="18"/>
      <c r="H26" s="18">
        <v>200</v>
      </c>
      <c r="I26" s="18"/>
      <c r="J26" s="18"/>
      <c r="K26" s="18"/>
      <c r="L26" s="18"/>
      <c r="M26" s="18">
        <v>529.98</v>
      </c>
    </row>
    <row r="27" spans="1:13" x14ac:dyDescent="0.3">
      <c r="A27" s="16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</sheetData>
  <autoFilter ref="A1:M1" xr:uid="{97EE1700-0C99-44E8-9473-690316585212}">
    <sortState xmlns:xlrd2="http://schemas.microsoft.com/office/spreadsheetml/2017/richdata2" ref="A2:M26">
      <sortCondition descending="1" ref="M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00A6-EABC-45EE-B591-880790563557}">
  <sheetPr codeName="Sheet7"/>
  <dimension ref="A1:E26"/>
  <sheetViews>
    <sheetView topLeftCell="A3" workbookViewId="0">
      <selection activeCell="E2" sqref="E2:E26"/>
    </sheetView>
  </sheetViews>
  <sheetFormatPr defaultRowHeight="14.4" x14ac:dyDescent="0.3"/>
  <cols>
    <col min="1" max="1" width="16.5546875" style="20" bestFit="1" customWidth="1"/>
    <col min="2" max="3" width="8.88671875" style="20"/>
    <col min="4" max="4" width="10.77734375" style="20" bestFit="1" customWidth="1"/>
  </cols>
  <sheetData>
    <row r="1" spans="1:5" x14ac:dyDescent="0.3">
      <c r="A1" s="16" t="s">
        <v>5690</v>
      </c>
      <c r="B1" s="16" t="s">
        <v>5792</v>
      </c>
      <c r="C1" s="16" t="s">
        <v>5793</v>
      </c>
      <c r="D1" s="16" t="s">
        <v>5786</v>
      </c>
    </row>
    <row r="2" spans="1:5" x14ac:dyDescent="0.3">
      <c r="A2" s="17" t="s">
        <v>420</v>
      </c>
      <c r="B2" s="17">
        <v>19</v>
      </c>
      <c r="C2" s="17">
        <v>4</v>
      </c>
      <c r="D2" s="17">
        <v>23</v>
      </c>
      <c r="E2" s="21">
        <f>B2/D2</f>
        <v>0.82608695652173914</v>
      </c>
    </row>
    <row r="3" spans="1:5" x14ac:dyDescent="0.3">
      <c r="A3" s="17" t="s">
        <v>513</v>
      </c>
      <c r="B3" s="17">
        <v>7</v>
      </c>
      <c r="C3" s="17">
        <v>2</v>
      </c>
      <c r="D3" s="17">
        <v>9</v>
      </c>
      <c r="E3" s="21">
        <f>B3/D3</f>
        <v>0.77777777777777779</v>
      </c>
    </row>
    <row r="4" spans="1:5" x14ac:dyDescent="0.3">
      <c r="A4" s="17" t="s">
        <v>5779</v>
      </c>
      <c r="B4" s="17">
        <v>15</v>
      </c>
      <c r="C4" s="17">
        <v>7</v>
      </c>
      <c r="D4" s="17">
        <v>22</v>
      </c>
      <c r="E4" s="21">
        <f>B4/D4</f>
        <v>0.68181818181818177</v>
      </c>
    </row>
    <row r="5" spans="1:5" x14ac:dyDescent="0.3">
      <c r="A5" s="17" t="s">
        <v>1086</v>
      </c>
      <c r="B5" s="17">
        <v>8</v>
      </c>
      <c r="C5" s="17">
        <v>4</v>
      </c>
      <c r="D5" s="17">
        <v>12</v>
      </c>
      <c r="E5" s="21">
        <f>B5/D5</f>
        <v>0.66666666666666663</v>
      </c>
    </row>
    <row r="6" spans="1:5" x14ac:dyDescent="0.3">
      <c r="A6" s="17" t="s">
        <v>1234</v>
      </c>
      <c r="B6" s="17">
        <v>2</v>
      </c>
      <c r="C6" s="17">
        <v>1</v>
      </c>
      <c r="D6" s="17">
        <v>3</v>
      </c>
      <c r="E6" s="21">
        <f>B6/D6</f>
        <v>0.66666666666666663</v>
      </c>
    </row>
    <row r="7" spans="1:5" x14ac:dyDescent="0.3">
      <c r="A7" s="17" t="s">
        <v>5777</v>
      </c>
      <c r="B7" s="17">
        <v>39</v>
      </c>
      <c r="C7" s="17">
        <v>22</v>
      </c>
      <c r="D7" s="17">
        <v>61</v>
      </c>
      <c r="E7" s="21">
        <f>B7/D7</f>
        <v>0.63934426229508201</v>
      </c>
    </row>
    <row r="8" spans="1:5" x14ac:dyDescent="0.3">
      <c r="A8" s="17" t="s">
        <v>5780</v>
      </c>
      <c r="B8" s="17">
        <v>35</v>
      </c>
      <c r="C8" s="17">
        <v>20</v>
      </c>
      <c r="D8" s="17">
        <v>55</v>
      </c>
      <c r="E8" s="21">
        <f>B8/D8</f>
        <v>0.63636363636363635</v>
      </c>
    </row>
    <row r="9" spans="1:5" x14ac:dyDescent="0.3">
      <c r="A9" s="17" t="s">
        <v>130</v>
      </c>
      <c r="B9" s="17">
        <v>43</v>
      </c>
      <c r="C9" s="17">
        <v>25</v>
      </c>
      <c r="D9" s="17">
        <v>68</v>
      </c>
      <c r="E9" s="21">
        <f>B9/D9</f>
        <v>0.63235294117647056</v>
      </c>
    </row>
    <row r="10" spans="1:5" x14ac:dyDescent="0.3">
      <c r="A10" s="17" t="s">
        <v>894</v>
      </c>
      <c r="B10" s="17">
        <v>5</v>
      </c>
      <c r="C10" s="17">
        <v>3</v>
      </c>
      <c r="D10" s="17">
        <v>8</v>
      </c>
      <c r="E10" s="21">
        <f>B10/D10</f>
        <v>0.625</v>
      </c>
    </row>
    <row r="11" spans="1:5" x14ac:dyDescent="0.3">
      <c r="A11" s="17" t="s">
        <v>47</v>
      </c>
      <c r="B11" s="17">
        <v>66</v>
      </c>
      <c r="C11" s="17">
        <v>40</v>
      </c>
      <c r="D11" s="17">
        <v>106</v>
      </c>
      <c r="E11" s="21">
        <f>B11/D11</f>
        <v>0.62264150943396224</v>
      </c>
    </row>
    <row r="12" spans="1:5" x14ac:dyDescent="0.3">
      <c r="A12" s="17" t="s">
        <v>245</v>
      </c>
      <c r="B12" s="17">
        <v>59</v>
      </c>
      <c r="C12" s="17">
        <v>37</v>
      </c>
      <c r="D12" s="17">
        <v>96</v>
      </c>
      <c r="E12" s="21">
        <f>B12/D12</f>
        <v>0.61458333333333337</v>
      </c>
    </row>
    <row r="13" spans="1:5" x14ac:dyDescent="0.3">
      <c r="A13" s="17" t="s">
        <v>5778</v>
      </c>
      <c r="B13" s="17">
        <v>75</v>
      </c>
      <c r="C13" s="17">
        <v>48</v>
      </c>
      <c r="D13" s="17">
        <v>123</v>
      </c>
      <c r="E13" s="21">
        <f>B13/D13</f>
        <v>0.6097560975609756</v>
      </c>
    </row>
    <row r="14" spans="1:5" x14ac:dyDescent="0.3">
      <c r="A14" s="17" t="s">
        <v>80</v>
      </c>
      <c r="B14" s="17">
        <v>103</v>
      </c>
      <c r="C14" s="17">
        <v>68</v>
      </c>
      <c r="D14" s="17">
        <v>171</v>
      </c>
      <c r="E14" s="21">
        <f>B14/D14</f>
        <v>0.60233918128654973</v>
      </c>
    </row>
    <row r="15" spans="1:5" x14ac:dyDescent="0.3">
      <c r="A15" s="17" t="s">
        <v>203</v>
      </c>
      <c r="B15" s="17">
        <v>33</v>
      </c>
      <c r="C15" s="17">
        <v>22</v>
      </c>
      <c r="D15" s="17">
        <v>55</v>
      </c>
      <c r="E15" s="21">
        <f>B15/D15</f>
        <v>0.6</v>
      </c>
    </row>
    <row r="16" spans="1:5" x14ac:dyDescent="0.3">
      <c r="A16" s="17" t="s">
        <v>5781</v>
      </c>
      <c r="B16" s="17">
        <v>90</v>
      </c>
      <c r="C16" s="17">
        <v>60</v>
      </c>
      <c r="D16" s="17">
        <v>150</v>
      </c>
      <c r="E16" s="21">
        <f>B16/D16</f>
        <v>0.6</v>
      </c>
    </row>
    <row r="17" spans="1:5" x14ac:dyDescent="0.3">
      <c r="A17" s="17" t="s">
        <v>234</v>
      </c>
      <c r="B17" s="17">
        <v>40</v>
      </c>
      <c r="C17" s="17">
        <v>28</v>
      </c>
      <c r="D17" s="17">
        <v>68</v>
      </c>
      <c r="E17" s="21">
        <f>B17/D17</f>
        <v>0.58823529411764708</v>
      </c>
    </row>
    <row r="18" spans="1:5" x14ac:dyDescent="0.3">
      <c r="A18" s="17" t="s">
        <v>30</v>
      </c>
      <c r="B18" s="17">
        <v>230</v>
      </c>
      <c r="C18" s="17">
        <v>163</v>
      </c>
      <c r="D18" s="17">
        <v>393</v>
      </c>
      <c r="E18" s="21">
        <f>B18/D18</f>
        <v>0.58524173027989823</v>
      </c>
    </row>
    <row r="19" spans="1:5" x14ac:dyDescent="0.3">
      <c r="A19" s="17" t="s">
        <v>431</v>
      </c>
      <c r="B19" s="17">
        <v>26</v>
      </c>
      <c r="C19" s="17">
        <v>20</v>
      </c>
      <c r="D19" s="17">
        <v>46</v>
      </c>
      <c r="E19" s="21">
        <f>B19/D19</f>
        <v>0.56521739130434778</v>
      </c>
    </row>
    <row r="20" spans="1:5" x14ac:dyDescent="0.3">
      <c r="A20" s="17" t="s">
        <v>99</v>
      </c>
      <c r="B20" s="17">
        <v>151</v>
      </c>
      <c r="C20" s="17">
        <v>121</v>
      </c>
      <c r="D20" s="17">
        <v>272</v>
      </c>
      <c r="E20" s="21">
        <f>B20/D20</f>
        <v>0.55514705882352944</v>
      </c>
    </row>
    <row r="21" spans="1:5" x14ac:dyDescent="0.3">
      <c r="A21" s="17" t="s">
        <v>377</v>
      </c>
      <c r="B21" s="17">
        <v>86</v>
      </c>
      <c r="C21" s="17">
        <v>71</v>
      </c>
      <c r="D21" s="17">
        <v>157</v>
      </c>
      <c r="E21" s="21">
        <f>B21/D21</f>
        <v>0.54777070063694266</v>
      </c>
    </row>
    <row r="22" spans="1:5" x14ac:dyDescent="0.3">
      <c r="A22" s="17" t="s">
        <v>227</v>
      </c>
      <c r="B22" s="17">
        <v>46</v>
      </c>
      <c r="C22" s="17">
        <v>41</v>
      </c>
      <c r="D22" s="17">
        <v>87</v>
      </c>
      <c r="E22" s="21">
        <f>B22/D22</f>
        <v>0.52873563218390807</v>
      </c>
    </row>
    <row r="23" spans="1:5" x14ac:dyDescent="0.3">
      <c r="A23" s="17" t="s">
        <v>70</v>
      </c>
      <c r="B23" s="17">
        <v>38</v>
      </c>
      <c r="C23" s="17">
        <v>35</v>
      </c>
      <c r="D23" s="17">
        <v>73</v>
      </c>
      <c r="E23" s="21">
        <f>B23/D23</f>
        <v>0.52054794520547942</v>
      </c>
    </row>
    <row r="24" spans="1:5" x14ac:dyDescent="0.3">
      <c r="A24" s="17" t="s">
        <v>410</v>
      </c>
      <c r="B24" s="17">
        <v>16</v>
      </c>
      <c r="C24" s="17">
        <v>15</v>
      </c>
      <c r="D24" s="17">
        <v>31</v>
      </c>
      <c r="E24" s="21">
        <f>B24/D24</f>
        <v>0.5161290322580645</v>
      </c>
    </row>
    <row r="25" spans="1:5" x14ac:dyDescent="0.3">
      <c r="A25" s="17" t="s">
        <v>538</v>
      </c>
      <c r="B25" s="17">
        <v>13</v>
      </c>
      <c r="C25" s="17">
        <v>16</v>
      </c>
      <c r="D25" s="17">
        <v>29</v>
      </c>
      <c r="E25" s="21">
        <f>B25/D25</f>
        <v>0.44827586206896552</v>
      </c>
    </row>
    <row r="26" spans="1:5" x14ac:dyDescent="0.3">
      <c r="A26" s="17" t="s">
        <v>286</v>
      </c>
      <c r="B26" s="17">
        <v>15</v>
      </c>
      <c r="C26" s="17">
        <v>19</v>
      </c>
      <c r="D26" s="17">
        <v>34</v>
      </c>
      <c r="E26" s="21">
        <f>B26/D26</f>
        <v>0.44117647058823528</v>
      </c>
    </row>
  </sheetData>
  <autoFilter ref="A1:E1" xr:uid="{2C2300A6-EABC-45EE-B591-880790563557}">
    <sortState xmlns:xlrd2="http://schemas.microsoft.com/office/spreadsheetml/2017/richdata2" ref="A2:E26">
      <sortCondition descending="1" ref="E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577DC-5ADC-418D-B008-3198F6694409}">
  <sheetPr codeName="Sheet8"/>
  <dimension ref="A1:F27"/>
  <sheetViews>
    <sheetView topLeftCell="A3" workbookViewId="0">
      <selection activeCell="F2" sqref="F2:F26"/>
    </sheetView>
  </sheetViews>
  <sheetFormatPr defaultRowHeight="14.4" x14ac:dyDescent="0.3"/>
  <cols>
    <col min="1" max="1" width="16.5546875" style="20" bestFit="1" customWidth="1"/>
    <col min="2" max="2" width="11.44140625" style="20" bestFit="1" customWidth="1"/>
    <col min="3" max="3" width="8.77734375" style="20" bestFit="1" customWidth="1"/>
    <col min="4" max="4" width="9.88671875" style="20" bestFit="1" customWidth="1"/>
    <col min="5" max="5" width="10.77734375" style="20" bestFit="1" customWidth="1"/>
  </cols>
  <sheetData>
    <row r="1" spans="1:6" x14ac:dyDescent="0.3">
      <c r="A1" s="16" t="s">
        <v>5690</v>
      </c>
      <c r="B1" s="16" t="s">
        <v>5795</v>
      </c>
      <c r="C1" s="16" t="s">
        <v>14</v>
      </c>
      <c r="D1" s="16" t="s">
        <v>235</v>
      </c>
      <c r="E1" s="16" t="s">
        <v>5786</v>
      </c>
    </row>
    <row r="2" spans="1:6" x14ac:dyDescent="0.3">
      <c r="A2" s="17" t="s">
        <v>5779</v>
      </c>
      <c r="B2" s="17">
        <v>6</v>
      </c>
      <c r="C2" s="17">
        <v>16</v>
      </c>
      <c r="D2" s="17"/>
      <c r="E2" s="17">
        <v>22</v>
      </c>
      <c r="F2" s="31">
        <f>1-B2/E2</f>
        <v>0.72727272727272729</v>
      </c>
    </row>
    <row r="3" spans="1:6" x14ac:dyDescent="0.3">
      <c r="A3" s="17" t="s">
        <v>245</v>
      </c>
      <c r="B3" s="17">
        <v>36</v>
      </c>
      <c r="C3" s="17">
        <v>57</v>
      </c>
      <c r="D3" s="17">
        <v>3</v>
      </c>
      <c r="E3" s="17">
        <v>96</v>
      </c>
      <c r="F3" s="31">
        <f t="shared" ref="F3:F27" si="0">1-B3/E3</f>
        <v>0.625</v>
      </c>
    </row>
    <row r="4" spans="1:6" x14ac:dyDescent="0.3">
      <c r="A4" s="17" t="s">
        <v>410</v>
      </c>
      <c r="B4" s="17">
        <v>12</v>
      </c>
      <c r="C4" s="17">
        <v>19</v>
      </c>
      <c r="D4" s="17"/>
      <c r="E4" s="17">
        <v>31</v>
      </c>
      <c r="F4" s="31">
        <f t="shared" si="0"/>
        <v>0.61290322580645162</v>
      </c>
    </row>
    <row r="5" spans="1:6" x14ac:dyDescent="0.3">
      <c r="A5" s="17" t="s">
        <v>227</v>
      </c>
      <c r="B5" s="17">
        <v>31</v>
      </c>
      <c r="C5" s="17">
        <v>55</v>
      </c>
      <c r="D5" s="17">
        <v>1</v>
      </c>
      <c r="E5" s="17">
        <v>87</v>
      </c>
      <c r="F5" s="31">
        <f t="shared" si="0"/>
        <v>0.64367816091954022</v>
      </c>
    </row>
    <row r="6" spans="1:6" x14ac:dyDescent="0.3">
      <c r="A6" s="17" t="s">
        <v>894</v>
      </c>
      <c r="B6" s="17">
        <v>3</v>
      </c>
      <c r="C6" s="17">
        <v>5</v>
      </c>
      <c r="D6" s="17"/>
      <c r="E6" s="17">
        <v>8</v>
      </c>
      <c r="F6" s="31">
        <f t="shared" si="0"/>
        <v>0.625</v>
      </c>
    </row>
    <row r="7" spans="1:6" x14ac:dyDescent="0.3">
      <c r="A7" s="17" t="s">
        <v>130</v>
      </c>
      <c r="B7" s="17">
        <v>21</v>
      </c>
      <c r="C7" s="17">
        <v>46</v>
      </c>
      <c r="D7" s="17">
        <v>1</v>
      </c>
      <c r="E7" s="17">
        <v>68</v>
      </c>
      <c r="F7" s="31">
        <f t="shared" si="0"/>
        <v>0.69117647058823528</v>
      </c>
    </row>
    <row r="8" spans="1:6" x14ac:dyDescent="0.3">
      <c r="A8" s="17" t="s">
        <v>70</v>
      </c>
      <c r="B8" s="17">
        <v>17</v>
      </c>
      <c r="C8" s="17">
        <v>54</v>
      </c>
      <c r="D8" s="17">
        <v>2</v>
      </c>
      <c r="E8" s="17">
        <v>73</v>
      </c>
      <c r="F8" s="31">
        <f t="shared" si="0"/>
        <v>0.76712328767123283</v>
      </c>
    </row>
    <row r="9" spans="1:6" x14ac:dyDescent="0.3">
      <c r="A9" s="17" t="s">
        <v>5778</v>
      </c>
      <c r="B9" s="17">
        <v>42</v>
      </c>
      <c r="C9" s="17">
        <v>80</v>
      </c>
      <c r="D9" s="17">
        <v>1</v>
      </c>
      <c r="E9" s="17">
        <v>123</v>
      </c>
      <c r="F9" s="31">
        <f t="shared" si="0"/>
        <v>0.65853658536585358</v>
      </c>
    </row>
    <row r="10" spans="1:6" x14ac:dyDescent="0.3">
      <c r="A10" s="17" t="s">
        <v>203</v>
      </c>
      <c r="B10" s="17">
        <v>11</v>
      </c>
      <c r="C10" s="17">
        <v>41</v>
      </c>
      <c r="D10" s="17">
        <v>3</v>
      </c>
      <c r="E10" s="17">
        <v>55</v>
      </c>
      <c r="F10" s="31">
        <f t="shared" si="0"/>
        <v>0.8</v>
      </c>
    </row>
    <row r="11" spans="1:6" x14ac:dyDescent="0.3">
      <c r="A11" s="17" t="s">
        <v>286</v>
      </c>
      <c r="B11" s="17">
        <v>10</v>
      </c>
      <c r="C11" s="17">
        <v>22</v>
      </c>
      <c r="D11" s="17">
        <v>2</v>
      </c>
      <c r="E11" s="17">
        <v>34</v>
      </c>
      <c r="F11" s="31">
        <f t="shared" si="0"/>
        <v>0.70588235294117641</v>
      </c>
    </row>
    <row r="12" spans="1:6" x14ac:dyDescent="0.3">
      <c r="A12" s="17" t="s">
        <v>80</v>
      </c>
      <c r="B12" s="17">
        <v>59</v>
      </c>
      <c r="C12" s="17">
        <v>111</v>
      </c>
      <c r="D12" s="17">
        <v>1</v>
      </c>
      <c r="E12" s="17">
        <v>171</v>
      </c>
      <c r="F12" s="31">
        <f t="shared" si="0"/>
        <v>0.65497076023391809</v>
      </c>
    </row>
    <row r="13" spans="1:6" x14ac:dyDescent="0.3">
      <c r="A13" s="17" t="s">
        <v>431</v>
      </c>
      <c r="B13" s="17">
        <v>18</v>
      </c>
      <c r="C13" s="17">
        <v>27</v>
      </c>
      <c r="D13" s="17">
        <v>1</v>
      </c>
      <c r="E13" s="17">
        <v>46</v>
      </c>
      <c r="F13" s="31">
        <f t="shared" si="0"/>
        <v>0.60869565217391308</v>
      </c>
    </row>
    <row r="14" spans="1:6" x14ac:dyDescent="0.3">
      <c r="A14" s="17" t="s">
        <v>47</v>
      </c>
      <c r="B14" s="17">
        <v>36</v>
      </c>
      <c r="C14" s="17">
        <v>69</v>
      </c>
      <c r="D14" s="17">
        <v>1</v>
      </c>
      <c r="E14" s="17">
        <v>106</v>
      </c>
      <c r="F14" s="31">
        <f t="shared" si="0"/>
        <v>0.66037735849056611</v>
      </c>
    </row>
    <row r="15" spans="1:6" x14ac:dyDescent="0.3">
      <c r="A15" s="17" t="s">
        <v>30</v>
      </c>
      <c r="B15" s="17">
        <v>130</v>
      </c>
      <c r="C15" s="17">
        <v>260</v>
      </c>
      <c r="D15" s="17">
        <v>3</v>
      </c>
      <c r="E15" s="17">
        <v>393</v>
      </c>
      <c r="F15" s="31">
        <f t="shared" si="0"/>
        <v>0.66921119592875322</v>
      </c>
    </row>
    <row r="16" spans="1:6" x14ac:dyDescent="0.3">
      <c r="A16" s="17" t="s">
        <v>513</v>
      </c>
      <c r="B16" s="17">
        <v>1</v>
      </c>
      <c r="C16" s="17">
        <v>7</v>
      </c>
      <c r="D16" s="17">
        <v>1</v>
      </c>
      <c r="E16" s="17">
        <v>9</v>
      </c>
      <c r="F16" s="31">
        <f t="shared" si="0"/>
        <v>0.88888888888888884</v>
      </c>
    </row>
    <row r="17" spans="1:6" x14ac:dyDescent="0.3">
      <c r="A17" s="17" t="s">
        <v>538</v>
      </c>
      <c r="B17" s="17">
        <v>8</v>
      </c>
      <c r="C17" s="17">
        <v>21</v>
      </c>
      <c r="D17" s="17"/>
      <c r="E17" s="17">
        <v>29</v>
      </c>
      <c r="F17" s="31">
        <f t="shared" si="0"/>
        <v>0.72413793103448276</v>
      </c>
    </row>
    <row r="18" spans="1:6" x14ac:dyDescent="0.3">
      <c r="A18" s="17" t="s">
        <v>1086</v>
      </c>
      <c r="B18" s="17">
        <v>4</v>
      </c>
      <c r="C18" s="17">
        <v>8</v>
      </c>
      <c r="D18" s="17"/>
      <c r="E18" s="17">
        <v>12</v>
      </c>
      <c r="F18" s="31">
        <f t="shared" si="0"/>
        <v>0.66666666666666674</v>
      </c>
    </row>
    <row r="19" spans="1:6" x14ac:dyDescent="0.3">
      <c r="A19" s="17" t="s">
        <v>5780</v>
      </c>
      <c r="B19" s="17">
        <v>15</v>
      </c>
      <c r="C19" s="17">
        <v>38</v>
      </c>
      <c r="D19" s="17">
        <v>2</v>
      </c>
      <c r="E19" s="17">
        <v>55</v>
      </c>
      <c r="F19" s="31">
        <f t="shared" si="0"/>
        <v>0.72727272727272729</v>
      </c>
    </row>
    <row r="20" spans="1:6" x14ac:dyDescent="0.3">
      <c r="A20" s="17" t="s">
        <v>5781</v>
      </c>
      <c r="B20" s="17">
        <v>44</v>
      </c>
      <c r="C20" s="17">
        <v>106</v>
      </c>
      <c r="D20" s="17"/>
      <c r="E20" s="17">
        <v>150</v>
      </c>
      <c r="F20" s="31">
        <f t="shared" si="0"/>
        <v>0.70666666666666667</v>
      </c>
    </row>
    <row r="21" spans="1:6" x14ac:dyDescent="0.3">
      <c r="A21" s="17" t="s">
        <v>377</v>
      </c>
      <c r="B21" s="17">
        <v>45</v>
      </c>
      <c r="C21" s="17">
        <v>110</v>
      </c>
      <c r="D21" s="17">
        <v>2</v>
      </c>
      <c r="E21" s="17">
        <v>157</v>
      </c>
      <c r="F21" s="31">
        <f t="shared" si="0"/>
        <v>0.71337579617834401</v>
      </c>
    </row>
    <row r="22" spans="1:6" x14ac:dyDescent="0.3">
      <c r="A22" s="17" t="s">
        <v>234</v>
      </c>
      <c r="B22" s="17">
        <v>23</v>
      </c>
      <c r="C22" s="17">
        <v>42</v>
      </c>
      <c r="D22" s="17">
        <v>3</v>
      </c>
      <c r="E22" s="17">
        <v>68</v>
      </c>
      <c r="F22" s="31">
        <f t="shared" si="0"/>
        <v>0.66176470588235292</v>
      </c>
    </row>
    <row r="23" spans="1:6" x14ac:dyDescent="0.3">
      <c r="A23" s="17" t="s">
        <v>1234</v>
      </c>
      <c r="B23" s="17">
        <v>1</v>
      </c>
      <c r="C23" s="17">
        <v>2</v>
      </c>
      <c r="D23" s="17"/>
      <c r="E23" s="17">
        <v>3</v>
      </c>
      <c r="F23" s="31">
        <f t="shared" si="0"/>
        <v>0.66666666666666674</v>
      </c>
    </row>
    <row r="24" spans="1:6" x14ac:dyDescent="0.3">
      <c r="A24" s="17" t="s">
        <v>99</v>
      </c>
      <c r="B24" s="17">
        <v>88</v>
      </c>
      <c r="C24" s="17">
        <v>175</v>
      </c>
      <c r="D24" s="17">
        <v>9</v>
      </c>
      <c r="E24" s="17">
        <v>272</v>
      </c>
      <c r="F24" s="31">
        <f t="shared" si="0"/>
        <v>0.67647058823529416</v>
      </c>
    </row>
    <row r="25" spans="1:6" x14ac:dyDescent="0.3">
      <c r="A25" s="17" t="s">
        <v>420</v>
      </c>
      <c r="B25" s="17">
        <v>11</v>
      </c>
      <c r="C25" s="17">
        <v>12</v>
      </c>
      <c r="D25" s="17"/>
      <c r="E25" s="17">
        <v>23</v>
      </c>
      <c r="F25" s="31">
        <f t="shared" si="0"/>
        <v>0.52173913043478259</v>
      </c>
    </row>
    <row r="26" spans="1:6" x14ac:dyDescent="0.3">
      <c r="A26" s="17" t="s">
        <v>5777</v>
      </c>
      <c r="B26" s="17">
        <v>22</v>
      </c>
      <c r="C26" s="17">
        <v>39</v>
      </c>
      <c r="D26" s="17"/>
      <c r="E26" s="17">
        <v>61</v>
      </c>
      <c r="F26" s="31">
        <f t="shared" si="0"/>
        <v>0.63934426229508201</v>
      </c>
    </row>
    <row r="27" spans="1:6" x14ac:dyDescent="0.3">
      <c r="A27" s="16" t="s">
        <v>5786</v>
      </c>
      <c r="B27" s="16">
        <v>694</v>
      </c>
      <c r="C27" s="16">
        <v>1422</v>
      </c>
      <c r="D27" s="16">
        <v>36</v>
      </c>
      <c r="E27" s="16">
        <v>2152</v>
      </c>
      <c r="F27" s="31">
        <f t="shared" si="0"/>
        <v>0.67750929368029733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DE5E8-F568-4E2E-8F3F-A65622918FE0}">
  <sheetPr codeName="Sheet4"/>
  <dimension ref="A3:C29"/>
  <sheetViews>
    <sheetView topLeftCell="A5" workbookViewId="0">
      <selection activeCell="B9" sqref="B9"/>
    </sheetView>
  </sheetViews>
  <sheetFormatPr defaultRowHeight="14.4" x14ac:dyDescent="0.3"/>
  <cols>
    <col min="1" max="1" width="16.5546875" bestFit="1" customWidth="1"/>
    <col min="2" max="2" width="16.33203125" bestFit="1" customWidth="1"/>
    <col min="3" max="3" width="11.6640625" bestFit="1" customWidth="1"/>
  </cols>
  <sheetData>
    <row r="3" spans="1:3" x14ac:dyDescent="0.3">
      <c r="A3" s="26" t="s">
        <v>5785</v>
      </c>
      <c r="B3" t="s">
        <v>5791</v>
      </c>
      <c r="C3" t="s">
        <v>5790</v>
      </c>
    </row>
    <row r="4" spans="1:3" x14ac:dyDescent="0.3">
      <c r="A4" s="27" t="s">
        <v>5779</v>
      </c>
      <c r="B4" s="25">
        <v>22</v>
      </c>
      <c r="C4" s="28">
        <v>3873.380000000001</v>
      </c>
    </row>
    <row r="5" spans="1:3" x14ac:dyDescent="0.3">
      <c r="A5" s="27" t="s">
        <v>245</v>
      </c>
      <c r="B5" s="25">
        <v>96</v>
      </c>
      <c r="C5" s="28">
        <v>19340.840000000004</v>
      </c>
    </row>
    <row r="6" spans="1:3" x14ac:dyDescent="0.3">
      <c r="A6" s="27" t="s">
        <v>410</v>
      </c>
      <c r="B6" s="25">
        <v>31</v>
      </c>
      <c r="C6" s="28">
        <v>5261.6999999999989</v>
      </c>
    </row>
    <row r="7" spans="1:3" x14ac:dyDescent="0.3">
      <c r="A7" s="27" t="s">
        <v>227</v>
      </c>
      <c r="B7" s="25">
        <v>87</v>
      </c>
      <c r="C7" s="28">
        <v>16505.639999999992</v>
      </c>
    </row>
    <row r="8" spans="1:3" x14ac:dyDescent="0.3">
      <c r="A8" s="27" t="s">
        <v>894</v>
      </c>
      <c r="B8" s="25">
        <v>8</v>
      </c>
      <c r="C8" s="28">
        <v>1152.21</v>
      </c>
    </row>
    <row r="9" spans="1:3" x14ac:dyDescent="0.3">
      <c r="A9" s="27" t="s">
        <v>130</v>
      </c>
      <c r="B9" s="25">
        <v>68</v>
      </c>
      <c r="C9" s="28">
        <v>13153.269999999995</v>
      </c>
    </row>
    <row r="10" spans="1:3" x14ac:dyDescent="0.3">
      <c r="A10" s="27" t="s">
        <v>70</v>
      </c>
      <c r="B10" s="25">
        <v>73</v>
      </c>
      <c r="C10" s="28">
        <v>12306.050000000003</v>
      </c>
    </row>
    <row r="11" spans="1:3" x14ac:dyDescent="0.3">
      <c r="A11" s="27" t="s">
        <v>5778</v>
      </c>
      <c r="B11" s="25">
        <v>123</v>
      </c>
      <c r="C11" s="28">
        <v>30674.230000000021</v>
      </c>
    </row>
    <row r="12" spans="1:3" x14ac:dyDescent="0.3">
      <c r="A12" s="27" t="s">
        <v>203</v>
      </c>
      <c r="B12" s="25">
        <v>55</v>
      </c>
      <c r="C12" s="28">
        <v>13431.529999999995</v>
      </c>
    </row>
    <row r="13" spans="1:3" x14ac:dyDescent="0.3">
      <c r="A13" s="27" t="s">
        <v>286</v>
      </c>
      <c r="B13" s="25">
        <v>34</v>
      </c>
      <c r="C13" s="28">
        <v>5897.1799999999985</v>
      </c>
    </row>
    <row r="14" spans="1:3" x14ac:dyDescent="0.3">
      <c r="A14" s="27" t="s">
        <v>80</v>
      </c>
      <c r="B14" s="25">
        <v>171</v>
      </c>
      <c r="C14" s="28">
        <v>35053.020000000062</v>
      </c>
    </row>
    <row r="15" spans="1:3" x14ac:dyDescent="0.3">
      <c r="A15" s="27" t="s">
        <v>431</v>
      </c>
      <c r="B15" s="25">
        <v>46</v>
      </c>
      <c r="C15" s="28">
        <v>8358.619999999999</v>
      </c>
    </row>
    <row r="16" spans="1:3" x14ac:dyDescent="0.3">
      <c r="A16" s="27" t="s">
        <v>47</v>
      </c>
      <c r="B16" s="25">
        <v>106</v>
      </c>
      <c r="C16" s="28">
        <v>21486.74</v>
      </c>
    </row>
    <row r="17" spans="1:3" x14ac:dyDescent="0.3">
      <c r="A17" s="27" t="s">
        <v>30</v>
      </c>
      <c r="B17" s="25">
        <v>393</v>
      </c>
      <c r="C17" s="28">
        <v>76773.640000000014</v>
      </c>
    </row>
    <row r="18" spans="1:3" x14ac:dyDescent="0.3">
      <c r="A18" s="27" t="s">
        <v>513</v>
      </c>
      <c r="B18" s="25">
        <v>9</v>
      </c>
      <c r="C18" s="28">
        <v>1147.79</v>
      </c>
    </row>
    <row r="19" spans="1:3" x14ac:dyDescent="0.3">
      <c r="A19" s="27" t="s">
        <v>538</v>
      </c>
      <c r="B19" s="25">
        <v>29</v>
      </c>
      <c r="C19" s="28">
        <v>6142.909999999998</v>
      </c>
    </row>
    <row r="20" spans="1:3" x14ac:dyDescent="0.3">
      <c r="A20" s="27" t="s">
        <v>1086</v>
      </c>
      <c r="B20" s="25">
        <v>12</v>
      </c>
      <c r="C20" s="28">
        <v>2124.21</v>
      </c>
    </row>
    <row r="21" spans="1:3" x14ac:dyDescent="0.3">
      <c r="A21" s="27" t="s">
        <v>5780</v>
      </c>
      <c r="B21" s="25">
        <v>55</v>
      </c>
      <c r="C21" s="28">
        <v>9358.9099999999944</v>
      </c>
    </row>
    <row r="22" spans="1:3" x14ac:dyDescent="0.3">
      <c r="A22" s="27" t="s">
        <v>5781</v>
      </c>
      <c r="B22" s="25">
        <v>150</v>
      </c>
      <c r="C22" s="28">
        <v>27575.819999999992</v>
      </c>
    </row>
    <row r="23" spans="1:3" x14ac:dyDescent="0.3">
      <c r="A23" s="27" t="s">
        <v>377</v>
      </c>
      <c r="B23" s="25">
        <v>157</v>
      </c>
      <c r="C23" s="28">
        <v>26130.360000000019</v>
      </c>
    </row>
    <row r="24" spans="1:3" x14ac:dyDescent="0.3">
      <c r="A24" s="27" t="s">
        <v>234</v>
      </c>
      <c r="B24" s="25">
        <v>68</v>
      </c>
      <c r="C24" s="28">
        <v>15720.529999999999</v>
      </c>
    </row>
    <row r="25" spans="1:3" x14ac:dyDescent="0.3">
      <c r="A25" s="27" t="s">
        <v>1234</v>
      </c>
      <c r="B25" s="25">
        <v>3</v>
      </c>
      <c r="C25" s="28">
        <v>529.98</v>
      </c>
    </row>
    <row r="26" spans="1:3" x14ac:dyDescent="0.3">
      <c r="A26" s="27" t="s">
        <v>99</v>
      </c>
      <c r="B26" s="25">
        <v>272</v>
      </c>
      <c r="C26" s="28">
        <v>49982.790000000088</v>
      </c>
    </row>
    <row r="27" spans="1:3" x14ac:dyDescent="0.3">
      <c r="A27" s="27" t="s">
        <v>420</v>
      </c>
      <c r="B27" s="25">
        <v>23</v>
      </c>
      <c r="C27" s="28">
        <v>3158.52</v>
      </c>
    </row>
    <row r="28" spans="1:3" x14ac:dyDescent="0.3">
      <c r="A28" s="27" t="s">
        <v>5777</v>
      </c>
      <c r="B28" s="25">
        <v>61</v>
      </c>
      <c r="C28" s="28">
        <v>14433.070000000002</v>
      </c>
    </row>
    <row r="29" spans="1:3" x14ac:dyDescent="0.3">
      <c r="A29" s="27" t="s">
        <v>5786</v>
      </c>
      <c r="B29" s="25">
        <v>2152</v>
      </c>
      <c r="C29" s="28">
        <v>419572.93999999604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95BC9-8BAA-4E16-8EC5-C4C4F921AB3B}">
  <sheetPr codeName="Sheet9"/>
  <dimension ref="A1:V2153"/>
  <sheetViews>
    <sheetView workbookViewId="0"/>
  </sheetViews>
  <sheetFormatPr defaultRowHeight="14.4" x14ac:dyDescent="0.3"/>
  <cols>
    <col min="1" max="1" width="10.6640625" bestFit="1" customWidth="1"/>
    <col min="2" max="2" width="9.44140625" bestFit="1" customWidth="1"/>
    <col min="3" max="3" width="20.33203125" bestFit="1" customWidth="1"/>
    <col min="4" max="4" width="25.6640625" bestFit="1" customWidth="1"/>
    <col min="5" max="8" width="14.6640625" customWidth="1"/>
    <col min="9" max="10" width="14.6640625" style="15" customWidth="1"/>
    <col min="11" max="11" width="14" bestFit="1" customWidth="1"/>
    <col min="12" max="12" width="18.109375" bestFit="1" customWidth="1"/>
    <col min="13" max="13" width="12.88671875" bestFit="1" customWidth="1"/>
    <col min="14" max="15" width="12.88671875" customWidth="1"/>
    <col min="16" max="16" width="14.77734375" bestFit="1" customWidth="1"/>
    <col min="17" max="17" width="17.44140625" bestFit="1" customWidth="1"/>
    <col min="18" max="18" width="18" bestFit="1" customWidth="1"/>
    <col min="19" max="19" width="18" customWidth="1"/>
    <col min="20" max="20" width="16.6640625" bestFit="1" customWidth="1"/>
  </cols>
  <sheetData>
    <row r="1" spans="1:22" x14ac:dyDescent="0.3">
      <c r="A1" s="2" t="s">
        <v>5700</v>
      </c>
      <c r="B1" s="2" t="s">
        <v>0</v>
      </c>
      <c r="C1" s="2" t="s">
        <v>5716</v>
      </c>
      <c r="D1" s="2" t="s">
        <v>5717</v>
      </c>
      <c r="E1" s="2" t="s">
        <v>5788</v>
      </c>
      <c r="F1" s="3" t="s">
        <v>5719</v>
      </c>
      <c r="G1" s="3" t="s">
        <v>5720</v>
      </c>
      <c r="H1" s="3" t="s">
        <v>1</v>
      </c>
      <c r="I1" s="14" t="s">
        <v>5715</v>
      </c>
      <c r="J1" s="14" t="s">
        <v>5789</v>
      </c>
      <c r="K1" s="2" t="s">
        <v>5706</v>
      </c>
      <c r="L1" s="2" t="s">
        <v>5707</v>
      </c>
      <c r="M1" s="2" t="s">
        <v>5718</v>
      </c>
      <c r="N1" s="2" t="s">
        <v>5783</v>
      </c>
      <c r="O1" s="2" t="s">
        <v>5784</v>
      </c>
      <c r="P1" s="2" t="s">
        <v>5708</v>
      </c>
      <c r="Q1" s="2" t="s">
        <v>5709</v>
      </c>
      <c r="R1" s="2" t="s">
        <v>5710</v>
      </c>
      <c r="S1" s="2" t="s">
        <v>5794</v>
      </c>
      <c r="T1" s="2" t="s">
        <v>5711</v>
      </c>
      <c r="U1" s="2" t="s">
        <v>5787</v>
      </c>
    </row>
    <row r="2" spans="1:22" x14ac:dyDescent="0.3">
      <c r="A2">
        <v>20337</v>
      </c>
      <c r="B2" t="s">
        <v>24</v>
      </c>
      <c r="C2">
        <v>3</v>
      </c>
      <c r="D2">
        <v>4</v>
      </c>
      <c r="E2" t="str">
        <f>IF(C2-D2&gt;0,"DELAYED"," ONTIME")</f>
        <v xml:space="preserve"> ONTIME</v>
      </c>
      <c r="F2">
        <f>VLOOKUP($A2,ordered_items!$B$2:$E$4784,2,0)</f>
        <v>1004</v>
      </c>
      <c r="G2">
        <f>VLOOKUP($A2,ordered_items!$B$2:$E$4784,3,0)</f>
        <v>1</v>
      </c>
      <c r="H2">
        <f>VLOOKUP($A2,ordered_items!$B$2:$E$4784,4,0)</f>
        <v>399.98</v>
      </c>
      <c r="I2" s="15">
        <f>VLOOKUP(F2,product_info!$A$2:$D$73,4,0)</f>
        <v>7</v>
      </c>
      <c r="J2" s="15" t="str">
        <f>VLOOKUP(I2,department!$A$2:$B$13,2,0)</f>
        <v>Fan Shop</v>
      </c>
      <c r="K2">
        <v>8838</v>
      </c>
      <c r="L2" t="s">
        <v>783</v>
      </c>
      <c r="M2" s="4">
        <v>43396</v>
      </c>
      <c r="N2" s="12">
        <f>MONTH(M2)</f>
        <v>10</v>
      </c>
      <c r="O2" s="13">
        <f>YEAR(M2)</f>
        <v>2018</v>
      </c>
      <c r="P2" t="s">
        <v>13</v>
      </c>
      <c r="Q2" t="s">
        <v>30</v>
      </c>
      <c r="R2" t="s">
        <v>378</v>
      </c>
      <c r="S2" t="str" cm="1">
        <f t="array" ref="S2">_xlfn.IFS(R2="COMPLETE", "COMPLETED", R2="CANCELED", "CANCELED", TRUE, "PENDING")</f>
        <v>PENDING</v>
      </c>
      <c r="T2" t="s">
        <v>16</v>
      </c>
      <c r="U2">
        <f>VLOOKUP(A2,ordered_items!$B:$E,4,0)</f>
        <v>399.98</v>
      </c>
      <c r="V2">
        <f>1260/2152</f>
        <v>0.58550185873605953</v>
      </c>
    </row>
    <row r="3" spans="1:22" x14ac:dyDescent="0.3">
      <c r="A3">
        <v>20338</v>
      </c>
      <c r="B3" t="s">
        <v>51</v>
      </c>
      <c r="C3">
        <v>4</v>
      </c>
      <c r="D3">
        <v>4</v>
      </c>
      <c r="E3" t="str">
        <f t="shared" ref="E3:E66" si="0">IF(C3-D3&gt;0,"DELAYED"," ONTIME")</f>
        <v xml:space="preserve"> ONTIME</v>
      </c>
      <c r="F3">
        <f>VLOOKUP($A3,ordered_items!$B$2:$E$4784,2,0)</f>
        <v>365</v>
      </c>
      <c r="G3">
        <f>VLOOKUP($A3,ordered_items!$B$2:$E$4784,3,0)</f>
        <v>2</v>
      </c>
      <c r="H3">
        <f>VLOOKUP($A3,ordered_items!$B$2:$E$4784,4,0)</f>
        <v>119.98</v>
      </c>
      <c r="I3" s="15">
        <f>VLOOKUP(F3,product_info!$A$2:$D$73,4,0)</f>
        <v>4</v>
      </c>
      <c r="J3" s="15" t="str">
        <f>VLOOKUP(I3,department!$A$2:$B$13,2,0)</f>
        <v>Apparel</v>
      </c>
      <c r="K3">
        <v>5231</v>
      </c>
      <c r="L3" t="s">
        <v>783</v>
      </c>
      <c r="M3" s="4">
        <v>43396</v>
      </c>
      <c r="N3" s="12">
        <f t="shared" ref="N3:N66" si="1">MONTH(M3)</f>
        <v>10</v>
      </c>
      <c r="O3" s="13">
        <f t="shared" ref="O3:O66" si="2">YEAR(M3)</f>
        <v>2018</v>
      </c>
      <c r="P3" t="s">
        <v>13</v>
      </c>
      <c r="Q3" t="s">
        <v>30</v>
      </c>
      <c r="R3" t="s">
        <v>57</v>
      </c>
      <c r="S3" t="str" cm="1">
        <f t="array" ref="S3">_xlfn.IFS(R3="COMPLETE", "COMPLETED", R3="CANCELED", "CANCELED", TRUE, "PENDING")</f>
        <v>PENDING</v>
      </c>
      <c r="T3" t="s">
        <v>16</v>
      </c>
      <c r="U3">
        <f>VLOOKUP(A3,ordered_items!$B:$E,4,0)</f>
        <v>119.98</v>
      </c>
    </row>
    <row r="4" spans="1:22" x14ac:dyDescent="0.3">
      <c r="A4">
        <v>20346</v>
      </c>
      <c r="B4" t="s">
        <v>24</v>
      </c>
      <c r="C4">
        <v>2</v>
      </c>
      <c r="D4">
        <v>2</v>
      </c>
      <c r="E4" t="str">
        <f t="shared" si="0"/>
        <v xml:space="preserve"> ONTIME</v>
      </c>
      <c r="F4">
        <f>VLOOKUP($A4,ordered_items!$B$2:$E$4784,2,0)</f>
        <v>1004</v>
      </c>
      <c r="G4">
        <f>VLOOKUP($A4,ordered_items!$B$2:$E$4784,3,0)</f>
        <v>1</v>
      </c>
      <c r="H4">
        <f>VLOOKUP($A4,ordered_items!$B$2:$E$4784,4,0)</f>
        <v>399.98</v>
      </c>
      <c r="I4" s="15">
        <f>VLOOKUP(F4,product_info!$A$2:$D$73,4,0)</f>
        <v>7</v>
      </c>
      <c r="J4" s="15" t="str">
        <f>VLOOKUP(I4,department!$A$2:$B$13,2,0)</f>
        <v>Fan Shop</v>
      </c>
      <c r="K4">
        <v>6365</v>
      </c>
      <c r="L4" t="s">
        <v>900</v>
      </c>
      <c r="M4" s="4">
        <v>43396</v>
      </c>
      <c r="N4" s="12">
        <f t="shared" si="1"/>
        <v>10</v>
      </c>
      <c r="O4" s="13">
        <f t="shared" si="2"/>
        <v>2018</v>
      </c>
      <c r="P4" t="s">
        <v>13</v>
      </c>
      <c r="Q4" t="s">
        <v>99</v>
      </c>
      <c r="R4" t="s">
        <v>31</v>
      </c>
      <c r="S4" t="str" cm="1">
        <f t="array" ref="S4">_xlfn.IFS(R4="COMPLETE", "COMPLETED", R4="CANCELED", "CANCELED", TRUE, "PENDING")</f>
        <v>COMPLETED</v>
      </c>
      <c r="T4" t="s">
        <v>90</v>
      </c>
      <c r="U4">
        <f>VLOOKUP(A4,ordered_items!$B:$E,4,0)</f>
        <v>399.98</v>
      </c>
    </row>
    <row r="5" spans="1:22" x14ac:dyDescent="0.3">
      <c r="A5">
        <v>20361</v>
      </c>
      <c r="B5" t="s">
        <v>3</v>
      </c>
      <c r="C5">
        <v>2</v>
      </c>
      <c r="D5">
        <v>2</v>
      </c>
      <c r="E5" t="str">
        <f t="shared" si="0"/>
        <v xml:space="preserve"> ONTIME</v>
      </c>
      <c r="F5">
        <f>VLOOKUP($A5,ordered_items!$B$2:$E$4784,2,0)</f>
        <v>365</v>
      </c>
      <c r="G5">
        <f>VLOOKUP($A5,ordered_items!$B$2:$E$4784,3,0)</f>
        <v>1</v>
      </c>
      <c r="H5">
        <f>VLOOKUP($A5,ordered_items!$B$2:$E$4784,4,0)</f>
        <v>59.99</v>
      </c>
      <c r="I5" s="15">
        <f>VLOOKUP(F5,product_info!$A$2:$D$73,4,0)</f>
        <v>4</v>
      </c>
      <c r="J5" s="15" t="str">
        <f>VLOOKUP(I5,department!$A$2:$B$13,2,0)</f>
        <v>Apparel</v>
      </c>
      <c r="K5">
        <v>5217</v>
      </c>
      <c r="L5" t="s">
        <v>104</v>
      </c>
      <c r="M5" s="4">
        <v>43397</v>
      </c>
      <c r="N5" s="12">
        <f t="shared" si="1"/>
        <v>10</v>
      </c>
      <c r="O5" s="13">
        <f t="shared" si="2"/>
        <v>2018</v>
      </c>
      <c r="P5" t="s">
        <v>13</v>
      </c>
      <c r="Q5" t="s">
        <v>5781</v>
      </c>
      <c r="R5" t="s">
        <v>14</v>
      </c>
      <c r="S5" t="str" cm="1">
        <f t="array" ref="S5">_xlfn.IFS(R5="COMPLETE", "COMPLETED", R5="CANCELED", "CANCELED", TRUE, "PENDING")</f>
        <v>PENDING</v>
      </c>
      <c r="T5" t="s">
        <v>90</v>
      </c>
      <c r="U5">
        <f>VLOOKUP(A5,ordered_items!$B:$E,4,0)</f>
        <v>59.99</v>
      </c>
    </row>
    <row r="6" spans="1:22" x14ac:dyDescent="0.3">
      <c r="A6">
        <v>20363</v>
      </c>
      <c r="B6" t="s">
        <v>3</v>
      </c>
      <c r="C6">
        <v>4</v>
      </c>
      <c r="D6">
        <v>2</v>
      </c>
      <c r="E6" t="str">
        <f t="shared" si="0"/>
        <v>DELAYED</v>
      </c>
      <c r="F6">
        <f>VLOOKUP($A6,ordered_items!$B$2:$E$4784,2,0)</f>
        <v>403</v>
      </c>
      <c r="G6">
        <f>VLOOKUP($A6,ordered_items!$B$2:$E$4784,3,0)</f>
        <v>1</v>
      </c>
      <c r="H6">
        <f>VLOOKUP($A6,ordered_items!$B$2:$E$4784,4,0)</f>
        <v>129.99</v>
      </c>
      <c r="I6" s="15">
        <f>VLOOKUP(F6,product_info!$A$2:$D$73,4,0)</f>
        <v>4</v>
      </c>
      <c r="J6" s="15" t="str">
        <f>VLOOKUP(I6,department!$A$2:$B$13,2,0)</f>
        <v>Apparel</v>
      </c>
      <c r="K6">
        <v>7667</v>
      </c>
      <c r="L6" t="s">
        <v>104</v>
      </c>
      <c r="M6" s="4">
        <v>43397</v>
      </c>
      <c r="N6" s="12">
        <f t="shared" si="1"/>
        <v>10</v>
      </c>
      <c r="O6" s="13">
        <f t="shared" si="2"/>
        <v>2018</v>
      </c>
      <c r="P6" t="s">
        <v>13</v>
      </c>
      <c r="Q6" t="s">
        <v>5781</v>
      </c>
      <c r="R6" t="s">
        <v>14</v>
      </c>
      <c r="S6" t="str" cm="1">
        <f t="array" ref="S6">_xlfn.IFS(R6="COMPLETE", "COMPLETED", R6="CANCELED", "CANCELED", TRUE, "PENDING")</f>
        <v>PENDING</v>
      </c>
      <c r="T6" t="s">
        <v>90</v>
      </c>
      <c r="U6">
        <f>VLOOKUP(A6,ordered_items!$B:$E,4,0)</f>
        <v>129.99</v>
      </c>
    </row>
    <row r="7" spans="1:22" x14ac:dyDescent="0.3">
      <c r="A7">
        <v>20364</v>
      </c>
      <c r="B7" t="s">
        <v>24</v>
      </c>
      <c r="C7">
        <v>5</v>
      </c>
      <c r="D7">
        <v>2</v>
      </c>
      <c r="E7" t="str">
        <f t="shared" si="0"/>
        <v>DELAYED</v>
      </c>
      <c r="F7">
        <f>VLOOKUP($A7,ordered_items!$B$2:$E$4784,2,0)</f>
        <v>403</v>
      </c>
      <c r="G7">
        <f>VLOOKUP($A7,ordered_items!$B$2:$E$4784,3,0)</f>
        <v>1</v>
      </c>
      <c r="H7">
        <f>VLOOKUP($A7,ordered_items!$B$2:$E$4784,4,0)</f>
        <v>129.99</v>
      </c>
      <c r="I7" s="15">
        <f>VLOOKUP(F7,product_info!$A$2:$D$73,4,0)</f>
        <v>4</v>
      </c>
      <c r="J7" s="15" t="str">
        <f>VLOOKUP(I7,department!$A$2:$B$13,2,0)</f>
        <v>Apparel</v>
      </c>
      <c r="K7">
        <v>12346</v>
      </c>
      <c r="L7" t="s">
        <v>104</v>
      </c>
      <c r="M7" s="4">
        <v>43397</v>
      </c>
      <c r="N7" s="12">
        <f t="shared" si="1"/>
        <v>10</v>
      </c>
      <c r="O7" s="13">
        <f t="shared" si="2"/>
        <v>2018</v>
      </c>
      <c r="P7" t="s">
        <v>13</v>
      </c>
      <c r="Q7" t="s">
        <v>5781</v>
      </c>
      <c r="R7" t="s">
        <v>378</v>
      </c>
      <c r="S7" t="str" cm="1">
        <f t="array" ref="S7">_xlfn.IFS(R7="COMPLETE", "COMPLETED", R7="CANCELED", "CANCELED", TRUE, "PENDING")</f>
        <v>PENDING</v>
      </c>
      <c r="T7" t="s">
        <v>90</v>
      </c>
      <c r="U7">
        <f>VLOOKUP(A7,ordered_items!$B:$E,4,0)</f>
        <v>129.99</v>
      </c>
    </row>
    <row r="8" spans="1:22" x14ac:dyDescent="0.3">
      <c r="A8">
        <v>20365</v>
      </c>
      <c r="B8" t="s">
        <v>51</v>
      </c>
      <c r="C8">
        <v>6</v>
      </c>
      <c r="D8">
        <v>2</v>
      </c>
      <c r="E8" t="str">
        <f t="shared" si="0"/>
        <v>DELAYED</v>
      </c>
      <c r="F8">
        <f>VLOOKUP($A8,ordered_items!$B$2:$E$4784,2,0)</f>
        <v>502</v>
      </c>
      <c r="G8">
        <f>VLOOKUP($A8,ordered_items!$B$2:$E$4784,3,0)</f>
        <v>2</v>
      </c>
      <c r="H8">
        <f>VLOOKUP($A8,ordered_items!$B$2:$E$4784,4,0)</f>
        <v>100</v>
      </c>
      <c r="I8" s="15">
        <f>VLOOKUP(F8,product_info!$A$2:$D$73,4,0)</f>
        <v>5</v>
      </c>
      <c r="J8" s="15" t="str">
        <f>VLOOKUP(I8,department!$A$2:$B$13,2,0)</f>
        <v>Golf</v>
      </c>
      <c r="K8">
        <v>8011</v>
      </c>
      <c r="L8" t="s">
        <v>104</v>
      </c>
      <c r="M8" s="4">
        <v>43397</v>
      </c>
      <c r="N8" s="12">
        <f t="shared" si="1"/>
        <v>10</v>
      </c>
      <c r="O8" s="13">
        <f t="shared" si="2"/>
        <v>2018</v>
      </c>
      <c r="P8" t="s">
        <v>13</v>
      </c>
      <c r="Q8" t="s">
        <v>5781</v>
      </c>
      <c r="R8" t="s">
        <v>57</v>
      </c>
      <c r="S8" t="str" cm="1">
        <f t="array" ref="S8">_xlfn.IFS(R8="COMPLETE", "COMPLETED", R8="CANCELED", "CANCELED", TRUE, "PENDING")</f>
        <v>PENDING</v>
      </c>
      <c r="T8" t="s">
        <v>90</v>
      </c>
      <c r="U8">
        <f>VLOOKUP(A8,ordered_items!$B:$E,4,0)</f>
        <v>100</v>
      </c>
    </row>
    <row r="9" spans="1:22" x14ac:dyDescent="0.3">
      <c r="A9">
        <v>20366</v>
      </c>
      <c r="B9" t="s">
        <v>3</v>
      </c>
      <c r="C9">
        <v>2</v>
      </c>
      <c r="D9">
        <v>2</v>
      </c>
      <c r="E9" t="str">
        <f t="shared" si="0"/>
        <v xml:space="preserve"> ONTIME</v>
      </c>
      <c r="F9">
        <f>VLOOKUP($A9,ordered_items!$B$2:$E$4784,2,0)</f>
        <v>365</v>
      </c>
      <c r="G9">
        <f>VLOOKUP($A9,ordered_items!$B$2:$E$4784,3,0)</f>
        <v>2</v>
      </c>
      <c r="H9">
        <f>VLOOKUP($A9,ordered_items!$B$2:$E$4784,4,0)</f>
        <v>119.98</v>
      </c>
      <c r="I9" s="15">
        <f>VLOOKUP(F9,product_info!$A$2:$D$73,4,0)</f>
        <v>4</v>
      </c>
      <c r="J9" s="15" t="str">
        <f>VLOOKUP(I9,department!$A$2:$B$13,2,0)</f>
        <v>Apparel</v>
      </c>
      <c r="K9">
        <v>10746</v>
      </c>
      <c r="L9" t="s">
        <v>104</v>
      </c>
      <c r="M9" s="4">
        <v>43397</v>
      </c>
      <c r="N9" s="12">
        <f t="shared" si="1"/>
        <v>10</v>
      </c>
      <c r="O9" s="13">
        <f t="shared" si="2"/>
        <v>2018</v>
      </c>
      <c r="P9" t="s">
        <v>13</v>
      </c>
      <c r="Q9" t="s">
        <v>5781</v>
      </c>
      <c r="R9" t="s">
        <v>38</v>
      </c>
      <c r="S9" t="str" cm="1">
        <f t="array" ref="S9">_xlfn.IFS(R9="COMPLETE", "COMPLETED", R9="CANCELED", "CANCELED", TRUE, "PENDING")</f>
        <v>PENDING</v>
      </c>
      <c r="T9" t="s">
        <v>90</v>
      </c>
      <c r="U9">
        <f>VLOOKUP(A9,ordered_items!$B:$E,4,0)</f>
        <v>119.98</v>
      </c>
    </row>
    <row r="10" spans="1:22" x14ac:dyDescent="0.3">
      <c r="A10">
        <v>20368</v>
      </c>
      <c r="B10" t="s">
        <v>24</v>
      </c>
      <c r="C10">
        <v>4</v>
      </c>
      <c r="D10">
        <v>4</v>
      </c>
      <c r="E10" t="str">
        <f t="shared" si="0"/>
        <v xml:space="preserve"> ONTIME</v>
      </c>
      <c r="F10">
        <f>VLOOKUP($A10,ordered_items!$B$2:$E$4784,2,0)</f>
        <v>191</v>
      </c>
      <c r="G10">
        <f>VLOOKUP($A10,ordered_items!$B$2:$E$4784,3,0)</f>
        <v>5</v>
      </c>
      <c r="H10">
        <f>VLOOKUP($A10,ordered_items!$B$2:$E$4784,4,0)</f>
        <v>499.95</v>
      </c>
      <c r="I10" s="15">
        <f>VLOOKUP(F10,product_info!$A$2:$D$73,4,0)</f>
        <v>3</v>
      </c>
      <c r="J10" s="15" t="str">
        <f>VLOOKUP(I10,department!$A$2:$B$13,2,0)</f>
        <v>Footwear</v>
      </c>
      <c r="K10">
        <v>2497</v>
      </c>
      <c r="L10" t="s">
        <v>570</v>
      </c>
      <c r="M10" s="4">
        <v>43397</v>
      </c>
      <c r="N10" s="12">
        <f t="shared" si="1"/>
        <v>10</v>
      </c>
      <c r="O10" s="13">
        <f t="shared" si="2"/>
        <v>2018</v>
      </c>
      <c r="P10" t="s">
        <v>13</v>
      </c>
      <c r="Q10" t="s">
        <v>99</v>
      </c>
      <c r="R10" t="s">
        <v>31</v>
      </c>
      <c r="S10" t="str" cm="1">
        <f t="array" ref="S10">_xlfn.IFS(R10="COMPLETE", "COMPLETED", R10="CANCELED", "CANCELED", TRUE, "PENDING")</f>
        <v>COMPLETED</v>
      </c>
      <c r="T10" t="s">
        <v>16</v>
      </c>
      <c r="U10">
        <f>VLOOKUP(A10,ordered_items!$B:$E,4,0)</f>
        <v>499.95</v>
      </c>
    </row>
    <row r="11" spans="1:22" x14ac:dyDescent="0.3">
      <c r="A11">
        <v>20380</v>
      </c>
      <c r="B11" t="s">
        <v>24</v>
      </c>
      <c r="C11">
        <v>6</v>
      </c>
      <c r="D11">
        <v>4</v>
      </c>
      <c r="E11" t="str">
        <f t="shared" si="0"/>
        <v>DELAYED</v>
      </c>
      <c r="F11">
        <f>VLOOKUP($A11,ordered_items!$B$2:$E$4784,2,0)</f>
        <v>957</v>
      </c>
      <c r="G11">
        <f>VLOOKUP($A11,ordered_items!$B$2:$E$4784,3,0)</f>
        <v>1</v>
      </c>
      <c r="H11">
        <f>VLOOKUP($A11,ordered_items!$B$2:$E$4784,4,0)</f>
        <v>299.98</v>
      </c>
      <c r="I11" s="15">
        <f>VLOOKUP(F11,product_info!$A$2:$D$73,4,0)</f>
        <v>7</v>
      </c>
      <c r="J11" s="15" t="str">
        <f>VLOOKUP(I11,department!$A$2:$B$13,2,0)</f>
        <v>Fan Shop</v>
      </c>
      <c r="K11">
        <v>6950</v>
      </c>
      <c r="L11" t="s">
        <v>110</v>
      </c>
      <c r="M11" s="4">
        <v>43397</v>
      </c>
      <c r="N11" s="12">
        <f t="shared" si="1"/>
        <v>10</v>
      </c>
      <c r="O11" s="13">
        <f t="shared" si="2"/>
        <v>2018</v>
      </c>
      <c r="P11" t="s">
        <v>13</v>
      </c>
      <c r="Q11" t="s">
        <v>99</v>
      </c>
      <c r="R11" t="s">
        <v>31</v>
      </c>
      <c r="S11" t="str" cm="1">
        <f t="array" ref="S11">_xlfn.IFS(R11="COMPLETE", "COMPLETED", R11="CANCELED", "CANCELED", TRUE, "PENDING")</f>
        <v>COMPLETED</v>
      </c>
      <c r="T11" t="s">
        <v>16</v>
      </c>
      <c r="U11">
        <f>VLOOKUP(A11,ordered_items!$B:$E,4,0)</f>
        <v>299.98</v>
      </c>
    </row>
    <row r="12" spans="1:22" x14ac:dyDescent="0.3">
      <c r="A12">
        <v>20381</v>
      </c>
      <c r="B12" t="s">
        <v>24</v>
      </c>
      <c r="C12">
        <v>2</v>
      </c>
      <c r="D12">
        <v>4</v>
      </c>
      <c r="E12" t="str">
        <f t="shared" si="0"/>
        <v xml:space="preserve"> ONTIME</v>
      </c>
      <c r="F12">
        <f>VLOOKUP($A12,ordered_items!$B$2:$E$4784,2,0)</f>
        <v>1073</v>
      </c>
      <c r="G12">
        <f>VLOOKUP($A12,ordered_items!$B$2:$E$4784,3,0)</f>
        <v>1</v>
      </c>
      <c r="H12">
        <f>VLOOKUP($A12,ordered_items!$B$2:$E$4784,4,0)</f>
        <v>199.99</v>
      </c>
      <c r="I12" s="15">
        <f>VLOOKUP(F12,product_info!$A$2:$D$73,4,0)</f>
        <v>7</v>
      </c>
      <c r="J12" s="15" t="str">
        <f>VLOOKUP(I12,department!$A$2:$B$13,2,0)</f>
        <v>Fan Shop</v>
      </c>
      <c r="K12">
        <v>716</v>
      </c>
      <c r="L12" t="s">
        <v>110</v>
      </c>
      <c r="M12" s="4">
        <v>43397</v>
      </c>
      <c r="N12" s="12">
        <f t="shared" si="1"/>
        <v>10</v>
      </c>
      <c r="O12" s="13">
        <f t="shared" si="2"/>
        <v>2018</v>
      </c>
      <c r="P12" t="s">
        <v>13</v>
      </c>
      <c r="Q12" t="s">
        <v>99</v>
      </c>
      <c r="R12" t="s">
        <v>31</v>
      </c>
      <c r="S12" t="str" cm="1">
        <f t="array" ref="S12">_xlfn.IFS(R12="COMPLETE", "COMPLETED", R12="CANCELED", "CANCELED", TRUE, "PENDING")</f>
        <v>COMPLETED</v>
      </c>
      <c r="T12" t="s">
        <v>16</v>
      </c>
      <c r="U12">
        <f>VLOOKUP(A12,ordered_items!$B:$E,4,0)</f>
        <v>199.99</v>
      </c>
    </row>
    <row r="13" spans="1:22" x14ac:dyDescent="0.3">
      <c r="A13">
        <v>20407</v>
      </c>
      <c r="B13" t="s">
        <v>3</v>
      </c>
      <c r="C13">
        <v>3</v>
      </c>
      <c r="D13">
        <v>2</v>
      </c>
      <c r="E13" t="str">
        <f t="shared" si="0"/>
        <v>DELAYED</v>
      </c>
      <c r="F13">
        <f>VLOOKUP($A13,ordered_items!$B$2:$E$4784,2,0)</f>
        <v>957</v>
      </c>
      <c r="G13">
        <f>VLOOKUP($A13,ordered_items!$B$2:$E$4784,3,0)</f>
        <v>1</v>
      </c>
      <c r="H13">
        <f>VLOOKUP($A13,ordered_items!$B$2:$E$4784,4,0)</f>
        <v>299.98</v>
      </c>
      <c r="I13" s="15">
        <f>VLOOKUP(F13,product_info!$A$2:$D$73,4,0)</f>
        <v>7</v>
      </c>
      <c r="J13" s="15" t="str">
        <f>VLOOKUP(I13,department!$A$2:$B$13,2,0)</f>
        <v>Fan Shop</v>
      </c>
      <c r="K13">
        <v>8027</v>
      </c>
      <c r="L13" t="s">
        <v>439</v>
      </c>
      <c r="M13" s="4">
        <v>43397</v>
      </c>
      <c r="N13" s="12">
        <f t="shared" si="1"/>
        <v>10</v>
      </c>
      <c r="O13" s="13">
        <f t="shared" si="2"/>
        <v>2018</v>
      </c>
      <c r="P13" t="s">
        <v>13</v>
      </c>
      <c r="Q13" t="s">
        <v>377</v>
      </c>
      <c r="R13" t="s">
        <v>38</v>
      </c>
      <c r="S13" t="str" cm="1">
        <f t="array" ref="S13">_xlfn.IFS(R13="COMPLETE", "COMPLETED", R13="CANCELED", "CANCELED", TRUE, "PENDING")</f>
        <v>PENDING</v>
      </c>
      <c r="T13" t="s">
        <v>90</v>
      </c>
      <c r="U13">
        <f>VLOOKUP(A13,ordered_items!$B:$E,4,0)</f>
        <v>299.98</v>
      </c>
    </row>
    <row r="14" spans="1:22" x14ac:dyDescent="0.3">
      <c r="A14">
        <v>20408</v>
      </c>
      <c r="B14" t="s">
        <v>24</v>
      </c>
      <c r="C14">
        <v>2</v>
      </c>
      <c r="D14">
        <v>1</v>
      </c>
      <c r="E14" t="str">
        <f t="shared" si="0"/>
        <v>DELAYED</v>
      </c>
      <c r="F14">
        <f>VLOOKUP($A14,ordered_items!$B$2:$E$4784,2,0)</f>
        <v>403</v>
      </c>
      <c r="G14">
        <f>VLOOKUP($A14,ordered_items!$B$2:$E$4784,3,0)</f>
        <v>1</v>
      </c>
      <c r="H14">
        <f>VLOOKUP($A14,ordered_items!$B$2:$E$4784,4,0)</f>
        <v>129.99</v>
      </c>
      <c r="I14" s="15">
        <f>VLOOKUP(F14,product_info!$A$2:$D$73,4,0)</f>
        <v>4</v>
      </c>
      <c r="J14" s="15" t="str">
        <f>VLOOKUP(I14,department!$A$2:$B$13,2,0)</f>
        <v>Apparel</v>
      </c>
      <c r="K14">
        <v>1523</v>
      </c>
      <c r="L14" t="s">
        <v>439</v>
      </c>
      <c r="M14" s="4">
        <v>43397</v>
      </c>
      <c r="N14" s="12">
        <f t="shared" si="1"/>
        <v>10</v>
      </c>
      <c r="O14" s="13">
        <f t="shared" si="2"/>
        <v>2018</v>
      </c>
      <c r="P14" t="s">
        <v>13</v>
      </c>
      <c r="Q14" t="s">
        <v>377</v>
      </c>
      <c r="R14" t="s">
        <v>378</v>
      </c>
      <c r="S14" t="str" cm="1">
        <f t="array" ref="S14">_xlfn.IFS(R14="COMPLETE", "COMPLETED", R14="CANCELED", "CANCELED", TRUE, "PENDING")</f>
        <v>PENDING</v>
      </c>
      <c r="T14" t="s">
        <v>32</v>
      </c>
      <c r="U14">
        <f>VLOOKUP(A14,ordered_items!$B:$E,4,0)</f>
        <v>129.99</v>
      </c>
    </row>
    <row r="15" spans="1:22" x14ac:dyDescent="0.3">
      <c r="A15">
        <v>20424</v>
      </c>
      <c r="B15" t="s">
        <v>24</v>
      </c>
      <c r="C15">
        <v>5</v>
      </c>
      <c r="D15">
        <v>4</v>
      </c>
      <c r="E15" t="str">
        <f t="shared" si="0"/>
        <v>DELAYED</v>
      </c>
      <c r="F15">
        <f>VLOOKUP($A15,ordered_items!$B$2:$E$4784,2,0)</f>
        <v>403</v>
      </c>
      <c r="G15">
        <f>VLOOKUP($A15,ordered_items!$B$2:$E$4784,3,0)</f>
        <v>1</v>
      </c>
      <c r="H15">
        <f>VLOOKUP($A15,ordered_items!$B$2:$E$4784,4,0)</f>
        <v>129.99</v>
      </c>
      <c r="I15" s="15">
        <f>VLOOKUP(F15,product_info!$A$2:$D$73,4,0)</f>
        <v>4</v>
      </c>
      <c r="J15" s="15" t="str">
        <f>VLOOKUP(I15,department!$A$2:$B$13,2,0)</f>
        <v>Apparel</v>
      </c>
      <c r="K15">
        <v>4830</v>
      </c>
      <c r="L15" t="s">
        <v>266</v>
      </c>
      <c r="M15" s="4">
        <v>43398</v>
      </c>
      <c r="N15" s="12">
        <f t="shared" si="1"/>
        <v>10</v>
      </c>
      <c r="O15" s="13">
        <f t="shared" si="2"/>
        <v>2018</v>
      </c>
      <c r="P15" t="s">
        <v>13</v>
      </c>
      <c r="Q15" t="s">
        <v>5778</v>
      </c>
      <c r="R15" t="s">
        <v>378</v>
      </c>
      <c r="S15" t="str" cm="1">
        <f t="array" ref="S15">_xlfn.IFS(R15="COMPLETE", "COMPLETED", R15="CANCELED", "CANCELED", TRUE, "PENDING")</f>
        <v>PENDING</v>
      </c>
      <c r="T15" t="s">
        <v>16</v>
      </c>
      <c r="U15">
        <f>VLOOKUP(A15,ordered_items!$B:$E,4,0)</f>
        <v>129.99</v>
      </c>
    </row>
    <row r="16" spans="1:22" x14ac:dyDescent="0.3">
      <c r="A16">
        <v>20426</v>
      </c>
      <c r="B16" t="s">
        <v>3</v>
      </c>
      <c r="C16">
        <v>2</v>
      </c>
      <c r="D16">
        <v>4</v>
      </c>
      <c r="E16" t="str">
        <f t="shared" si="0"/>
        <v xml:space="preserve"> ONTIME</v>
      </c>
      <c r="F16">
        <f>VLOOKUP($A16,ordered_items!$B$2:$E$4784,2,0)</f>
        <v>135</v>
      </c>
      <c r="G16">
        <f>VLOOKUP($A16,ordered_items!$B$2:$E$4784,3,0)</f>
        <v>3</v>
      </c>
      <c r="H16">
        <f>VLOOKUP($A16,ordered_items!$B$2:$E$4784,4,0)</f>
        <v>66</v>
      </c>
      <c r="I16" s="15">
        <f>VLOOKUP(F16,product_info!$A$2:$D$73,4,0)</f>
        <v>2</v>
      </c>
      <c r="J16" s="15" t="str">
        <f>VLOOKUP(I16,department!$A$2:$B$13,2,0)</f>
        <v>Fitness</v>
      </c>
      <c r="K16">
        <v>8660</v>
      </c>
      <c r="L16" t="s">
        <v>512</v>
      </c>
      <c r="M16" s="4">
        <v>43398</v>
      </c>
      <c r="N16" s="12">
        <f t="shared" si="1"/>
        <v>10</v>
      </c>
      <c r="O16" s="13">
        <f t="shared" si="2"/>
        <v>2018</v>
      </c>
      <c r="P16" t="s">
        <v>13</v>
      </c>
      <c r="Q16" t="s">
        <v>513</v>
      </c>
      <c r="R16" t="s">
        <v>14</v>
      </c>
      <c r="S16" t="str" cm="1">
        <f t="array" ref="S16">_xlfn.IFS(R16="COMPLETE", "COMPLETED", R16="CANCELED", "CANCELED", TRUE, "PENDING")</f>
        <v>PENDING</v>
      </c>
      <c r="T16" t="s">
        <v>16</v>
      </c>
      <c r="U16">
        <f>VLOOKUP(A16,ordered_items!$B:$E,4,0)</f>
        <v>66</v>
      </c>
    </row>
    <row r="17" spans="1:21" x14ac:dyDescent="0.3">
      <c r="A17">
        <v>20428</v>
      </c>
      <c r="B17" t="s">
        <v>3</v>
      </c>
      <c r="C17">
        <v>4</v>
      </c>
      <c r="D17">
        <v>4</v>
      </c>
      <c r="E17" t="str">
        <f t="shared" si="0"/>
        <v xml:space="preserve"> ONTIME</v>
      </c>
      <c r="F17">
        <f>VLOOKUP($A17,ordered_items!$B$2:$E$4784,2,0)</f>
        <v>1014</v>
      </c>
      <c r="G17">
        <f>VLOOKUP($A17,ordered_items!$B$2:$E$4784,3,0)</f>
        <v>2</v>
      </c>
      <c r="H17">
        <f>VLOOKUP($A17,ordered_items!$B$2:$E$4784,4,0)</f>
        <v>99.96</v>
      </c>
      <c r="I17" s="15">
        <f>VLOOKUP(F17,product_info!$A$2:$D$73,4,0)</f>
        <v>7</v>
      </c>
      <c r="J17" s="15" t="str">
        <f>VLOOKUP(I17,department!$A$2:$B$13,2,0)</f>
        <v>Fan Shop</v>
      </c>
      <c r="K17">
        <v>1537</v>
      </c>
      <c r="L17" t="s">
        <v>512</v>
      </c>
      <c r="M17" s="4">
        <v>43398</v>
      </c>
      <c r="N17" s="12">
        <f t="shared" si="1"/>
        <v>10</v>
      </c>
      <c r="O17" s="13">
        <f t="shared" si="2"/>
        <v>2018</v>
      </c>
      <c r="P17" t="s">
        <v>13</v>
      </c>
      <c r="Q17" t="s">
        <v>513</v>
      </c>
      <c r="R17" t="s">
        <v>38</v>
      </c>
      <c r="S17" t="str" cm="1">
        <f t="array" ref="S17">_xlfn.IFS(R17="COMPLETE", "COMPLETED", R17="CANCELED", "CANCELED", TRUE, "PENDING")</f>
        <v>PENDING</v>
      </c>
      <c r="T17" t="s">
        <v>16</v>
      </c>
      <c r="U17">
        <f>VLOOKUP(A17,ordered_items!$B:$E,4,0)</f>
        <v>99.96</v>
      </c>
    </row>
    <row r="18" spans="1:21" x14ac:dyDescent="0.3">
      <c r="A18">
        <v>20429</v>
      </c>
      <c r="B18" t="s">
        <v>3</v>
      </c>
      <c r="C18">
        <v>5</v>
      </c>
      <c r="D18">
        <v>4</v>
      </c>
      <c r="E18" t="str">
        <f t="shared" si="0"/>
        <v>DELAYED</v>
      </c>
      <c r="F18">
        <f>VLOOKUP($A18,ordered_items!$B$2:$E$4784,2,0)</f>
        <v>627</v>
      </c>
      <c r="G18">
        <f>VLOOKUP($A18,ordered_items!$B$2:$E$4784,3,0)</f>
        <v>1</v>
      </c>
      <c r="H18">
        <f>VLOOKUP($A18,ordered_items!$B$2:$E$4784,4,0)</f>
        <v>39.99</v>
      </c>
      <c r="I18" s="15">
        <f>VLOOKUP(F18,product_info!$A$2:$D$73,4,0)</f>
        <v>5</v>
      </c>
      <c r="J18" s="15" t="str">
        <f>VLOOKUP(I18,department!$A$2:$B$13,2,0)</f>
        <v>Golf</v>
      </c>
      <c r="K18">
        <v>1266</v>
      </c>
      <c r="L18" t="s">
        <v>512</v>
      </c>
      <c r="M18" s="4">
        <v>43398</v>
      </c>
      <c r="N18" s="12">
        <f t="shared" si="1"/>
        <v>10</v>
      </c>
      <c r="O18" s="13">
        <f t="shared" si="2"/>
        <v>2018</v>
      </c>
      <c r="P18" t="s">
        <v>13</v>
      </c>
      <c r="Q18" t="s">
        <v>513</v>
      </c>
      <c r="R18" t="s">
        <v>235</v>
      </c>
      <c r="S18" t="str" cm="1">
        <f t="array" ref="S18">_xlfn.IFS(R18="COMPLETE", "COMPLETED", R18="CANCELED", "CANCELED", TRUE, "PENDING")</f>
        <v>CANCELED</v>
      </c>
      <c r="T18" t="s">
        <v>16</v>
      </c>
      <c r="U18">
        <f>VLOOKUP(A18,ordered_items!$B:$E,4,0)</f>
        <v>39.99</v>
      </c>
    </row>
    <row r="19" spans="1:21" x14ac:dyDescent="0.3">
      <c r="A19">
        <v>20453</v>
      </c>
      <c r="B19" t="s">
        <v>17</v>
      </c>
      <c r="C19">
        <v>4</v>
      </c>
      <c r="D19">
        <v>4</v>
      </c>
      <c r="E19" t="str">
        <f t="shared" si="0"/>
        <v xml:space="preserve"> ONTIME</v>
      </c>
      <c r="F19">
        <f>VLOOKUP($A19,ordered_items!$B$2:$E$4784,2,0)</f>
        <v>502</v>
      </c>
      <c r="G19">
        <f>VLOOKUP($A19,ordered_items!$B$2:$E$4784,3,0)</f>
        <v>1</v>
      </c>
      <c r="H19">
        <f>VLOOKUP($A19,ordered_items!$B$2:$E$4784,4,0)</f>
        <v>50</v>
      </c>
      <c r="I19" s="15">
        <f>VLOOKUP(F19,product_info!$A$2:$D$73,4,0)</f>
        <v>5</v>
      </c>
      <c r="J19" s="15" t="str">
        <f>VLOOKUP(I19,department!$A$2:$B$13,2,0)</f>
        <v>Golf</v>
      </c>
      <c r="K19">
        <v>11848</v>
      </c>
      <c r="L19" t="s">
        <v>2126</v>
      </c>
      <c r="M19" s="4">
        <v>43398</v>
      </c>
      <c r="N19" s="12">
        <f t="shared" si="1"/>
        <v>10</v>
      </c>
      <c r="O19" s="13">
        <f t="shared" si="2"/>
        <v>2018</v>
      </c>
      <c r="P19" t="s">
        <v>13</v>
      </c>
      <c r="Q19" t="s">
        <v>5777</v>
      </c>
      <c r="R19" t="s">
        <v>23</v>
      </c>
      <c r="S19" t="str" cm="1">
        <f t="array" ref="S19">_xlfn.IFS(R19="COMPLETE", "COMPLETED", R19="CANCELED", "CANCELED", TRUE, "PENDING")</f>
        <v>PENDING</v>
      </c>
      <c r="T19" t="s">
        <v>16</v>
      </c>
      <c r="U19">
        <f>VLOOKUP(A19,ordered_items!$B:$E,4,0)</f>
        <v>50</v>
      </c>
    </row>
    <row r="20" spans="1:21" x14ac:dyDescent="0.3">
      <c r="A20">
        <v>20454</v>
      </c>
      <c r="B20" t="s">
        <v>24</v>
      </c>
      <c r="C20">
        <v>2</v>
      </c>
      <c r="D20">
        <v>1</v>
      </c>
      <c r="E20" t="str">
        <f t="shared" si="0"/>
        <v>DELAYED</v>
      </c>
      <c r="F20">
        <f>VLOOKUP($A20,ordered_items!$B$2:$E$4784,2,0)</f>
        <v>1004</v>
      </c>
      <c r="G20">
        <f>VLOOKUP($A20,ordered_items!$B$2:$E$4784,3,0)</f>
        <v>1</v>
      </c>
      <c r="H20">
        <f>VLOOKUP($A20,ordered_items!$B$2:$E$4784,4,0)</f>
        <v>399.98</v>
      </c>
      <c r="I20" s="15">
        <f>VLOOKUP(F20,product_info!$A$2:$D$73,4,0)</f>
        <v>7</v>
      </c>
      <c r="J20" s="15" t="str">
        <f>VLOOKUP(I20,department!$A$2:$B$13,2,0)</f>
        <v>Fan Shop</v>
      </c>
      <c r="K20">
        <v>9249</v>
      </c>
      <c r="L20" t="s">
        <v>2126</v>
      </c>
      <c r="M20" s="4">
        <v>43398</v>
      </c>
      <c r="N20" s="12">
        <f t="shared" si="1"/>
        <v>10</v>
      </c>
      <c r="O20" s="13">
        <f t="shared" si="2"/>
        <v>2018</v>
      </c>
      <c r="P20" t="s">
        <v>13</v>
      </c>
      <c r="Q20" t="s">
        <v>5777</v>
      </c>
      <c r="R20" t="s">
        <v>31</v>
      </c>
      <c r="S20" t="str" cm="1">
        <f t="array" ref="S20">_xlfn.IFS(R20="COMPLETE", "COMPLETED", R20="CANCELED", "CANCELED", TRUE, "PENDING")</f>
        <v>COMPLETED</v>
      </c>
      <c r="T20" t="s">
        <v>32</v>
      </c>
      <c r="U20">
        <f>VLOOKUP(A20,ordered_items!$B:$E,4,0)</f>
        <v>399.98</v>
      </c>
    </row>
    <row r="21" spans="1:21" x14ac:dyDescent="0.3">
      <c r="A21">
        <v>20492</v>
      </c>
      <c r="B21" t="s">
        <v>24</v>
      </c>
      <c r="C21">
        <v>3</v>
      </c>
      <c r="D21">
        <v>4</v>
      </c>
      <c r="E21" t="str">
        <f t="shared" si="0"/>
        <v xml:space="preserve"> ONTIME</v>
      </c>
      <c r="F21">
        <f>VLOOKUP($A21,ordered_items!$B$2:$E$4784,2,0)</f>
        <v>957</v>
      </c>
      <c r="G21">
        <f>VLOOKUP($A21,ordered_items!$B$2:$E$4784,3,0)</f>
        <v>1</v>
      </c>
      <c r="H21">
        <f>VLOOKUP($A21,ordered_items!$B$2:$E$4784,4,0)</f>
        <v>299.98</v>
      </c>
      <c r="I21" s="15">
        <f>VLOOKUP(F21,product_info!$A$2:$D$73,4,0)</f>
        <v>7</v>
      </c>
      <c r="J21" s="15" t="str">
        <f>VLOOKUP(I21,department!$A$2:$B$13,2,0)</f>
        <v>Fan Shop</v>
      </c>
      <c r="K21">
        <v>2780</v>
      </c>
      <c r="L21" t="s">
        <v>637</v>
      </c>
      <c r="M21" s="4">
        <v>43399</v>
      </c>
      <c r="N21" s="12">
        <f t="shared" si="1"/>
        <v>10</v>
      </c>
      <c r="O21" s="13">
        <f t="shared" si="2"/>
        <v>2018</v>
      </c>
      <c r="P21" t="s">
        <v>13</v>
      </c>
      <c r="Q21" t="s">
        <v>234</v>
      </c>
      <c r="R21" t="s">
        <v>31</v>
      </c>
      <c r="S21" t="str" cm="1">
        <f t="array" ref="S21">_xlfn.IFS(R21="COMPLETE", "COMPLETED", R21="CANCELED", "CANCELED", TRUE, "PENDING")</f>
        <v>COMPLETED</v>
      </c>
      <c r="T21" t="s">
        <v>16</v>
      </c>
      <c r="U21">
        <f>VLOOKUP(A21,ordered_items!$B:$E,4,0)</f>
        <v>299.98</v>
      </c>
    </row>
    <row r="22" spans="1:21" x14ac:dyDescent="0.3">
      <c r="A22">
        <v>20500</v>
      </c>
      <c r="B22" t="s">
        <v>17</v>
      </c>
      <c r="C22">
        <v>6</v>
      </c>
      <c r="D22">
        <v>4</v>
      </c>
      <c r="E22" t="str">
        <f t="shared" si="0"/>
        <v>DELAYED</v>
      </c>
      <c r="F22">
        <f>VLOOKUP($A22,ordered_items!$B$2:$E$4784,2,0)</f>
        <v>797</v>
      </c>
      <c r="G22">
        <f>VLOOKUP($A22,ordered_items!$B$2:$E$4784,3,0)</f>
        <v>4</v>
      </c>
      <c r="H22">
        <f>VLOOKUP($A22,ordered_items!$B$2:$E$4784,4,0)</f>
        <v>71.959999999999994</v>
      </c>
      <c r="I22" s="15">
        <f>VLOOKUP(F22,product_info!$A$2:$D$73,4,0)</f>
        <v>6</v>
      </c>
      <c r="J22" s="15" t="str">
        <f>VLOOKUP(I22,department!$A$2:$B$13,2,0)</f>
        <v>Outdoors</v>
      </c>
      <c r="K22">
        <v>2716</v>
      </c>
      <c r="L22" t="s">
        <v>1741</v>
      </c>
      <c r="M22" s="4">
        <v>43399</v>
      </c>
      <c r="N22" s="12">
        <f t="shared" si="1"/>
        <v>10</v>
      </c>
      <c r="O22" s="13">
        <f t="shared" si="2"/>
        <v>2018</v>
      </c>
      <c r="P22" t="s">
        <v>13</v>
      </c>
      <c r="Q22" t="s">
        <v>5777</v>
      </c>
      <c r="R22" t="s">
        <v>23</v>
      </c>
      <c r="S22" t="str" cm="1">
        <f t="array" ref="S22">_xlfn.IFS(R22="COMPLETE", "COMPLETED", R22="CANCELED", "CANCELED", TRUE, "PENDING")</f>
        <v>PENDING</v>
      </c>
      <c r="T22" t="s">
        <v>16</v>
      </c>
      <c r="U22">
        <f>VLOOKUP(A22,ordered_items!$B:$E,4,0)</f>
        <v>71.959999999999994</v>
      </c>
    </row>
    <row r="23" spans="1:21" x14ac:dyDescent="0.3">
      <c r="A23">
        <v>20513</v>
      </c>
      <c r="B23" t="s">
        <v>24</v>
      </c>
      <c r="C23">
        <v>4</v>
      </c>
      <c r="D23">
        <v>2</v>
      </c>
      <c r="E23" t="str">
        <f t="shared" si="0"/>
        <v>DELAYED</v>
      </c>
      <c r="F23">
        <f>VLOOKUP($A23,ordered_items!$B$2:$E$4784,2,0)</f>
        <v>134</v>
      </c>
      <c r="G23">
        <f>VLOOKUP($A23,ordered_items!$B$2:$E$4784,3,0)</f>
        <v>4</v>
      </c>
      <c r="H23">
        <f>VLOOKUP($A23,ordered_items!$B$2:$E$4784,4,0)</f>
        <v>100</v>
      </c>
      <c r="I23" s="15">
        <f>VLOOKUP(F23,product_info!$A$2:$D$73,4,0)</f>
        <v>2</v>
      </c>
      <c r="J23" s="15" t="str">
        <f>VLOOKUP(I23,department!$A$2:$B$13,2,0)</f>
        <v>Fitness</v>
      </c>
      <c r="K23">
        <v>9295</v>
      </c>
      <c r="L23" t="s">
        <v>79</v>
      </c>
      <c r="M23" s="4">
        <v>43399</v>
      </c>
      <c r="N23" s="12">
        <f t="shared" si="1"/>
        <v>10</v>
      </c>
      <c r="O23" s="13">
        <f t="shared" si="2"/>
        <v>2018</v>
      </c>
      <c r="P23" t="s">
        <v>13</v>
      </c>
      <c r="Q23" t="s">
        <v>80</v>
      </c>
      <c r="R23" t="s">
        <v>31</v>
      </c>
      <c r="S23" t="str" cm="1">
        <f t="array" ref="S23">_xlfn.IFS(R23="COMPLETE", "COMPLETED", R23="CANCELED", "CANCELED", TRUE, "PENDING")</f>
        <v>COMPLETED</v>
      </c>
      <c r="T23" t="s">
        <v>90</v>
      </c>
      <c r="U23">
        <f>VLOOKUP(A23,ordered_items!$B:$E,4,0)</f>
        <v>100</v>
      </c>
    </row>
    <row r="24" spans="1:21" x14ac:dyDescent="0.3">
      <c r="A24">
        <v>20514</v>
      </c>
      <c r="B24" t="s">
        <v>17</v>
      </c>
      <c r="C24">
        <v>5</v>
      </c>
      <c r="D24">
        <v>2</v>
      </c>
      <c r="E24" t="str">
        <f t="shared" si="0"/>
        <v>DELAYED</v>
      </c>
      <c r="F24">
        <f>VLOOKUP($A24,ordered_items!$B$2:$E$4784,2,0)</f>
        <v>403</v>
      </c>
      <c r="G24">
        <f>VLOOKUP($A24,ordered_items!$B$2:$E$4784,3,0)</f>
        <v>1</v>
      </c>
      <c r="H24">
        <f>VLOOKUP($A24,ordered_items!$B$2:$E$4784,4,0)</f>
        <v>129.99</v>
      </c>
      <c r="I24" s="15">
        <f>VLOOKUP(F24,product_info!$A$2:$D$73,4,0)</f>
        <v>4</v>
      </c>
      <c r="J24" s="15" t="str">
        <f>VLOOKUP(I24,department!$A$2:$B$13,2,0)</f>
        <v>Apparel</v>
      </c>
      <c r="K24">
        <v>10120</v>
      </c>
      <c r="L24" t="s">
        <v>79</v>
      </c>
      <c r="M24" s="4">
        <v>43399</v>
      </c>
      <c r="N24" s="12">
        <f t="shared" si="1"/>
        <v>10</v>
      </c>
      <c r="O24" s="13">
        <f t="shared" si="2"/>
        <v>2018</v>
      </c>
      <c r="P24" t="s">
        <v>13</v>
      </c>
      <c r="Q24" t="s">
        <v>80</v>
      </c>
      <c r="R24" t="s">
        <v>23</v>
      </c>
      <c r="S24" t="str" cm="1">
        <f t="array" ref="S24">_xlfn.IFS(R24="COMPLETE", "COMPLETED", R24="CANCELED", "CANCELED", TRUE, "PENDING")</f>
        <v>PENDING</v>
      </c>
      <c r="T24" t="s">
        <v>90</v>
      </c>
      <c r="U24">
        <f>VLOOKUP(A24,ordered_items!$B:$E,4,0)</f>
        <v>129.99</v>
      </c>
    </row>
    <row r="25" spans="1:21" x14ac:dyDescent="0.3">
      <c r="A25">
        <v>20530</v>
      </c>
      <c r="B25" t="s">
        <v>51</v>
      </c>
      <c r="C25">
        <v>6</v>
      </c>
      <c r="D25">
        <v>4</v>
      </c>
      <c r="E25" t="str">
        <f t="shared" si="0"/>
        <v>DELAYED</v>
      </c>
      <c r="F25">
        <f>VLOOKUP($A25,ordered_items!$B$2:$E$4784,2,0)</f>
        <v>235</v>
      </c>
      <c r="G25">
        <f>VLOOKUP($A25,ordered_items!$B$2:$E$4784,3,0)</f>
        <v>1</v>
      </c>
      <c r="H25">
        <f>VLOOKUP($A25,ordered_items!$B$2:$E$4784,4,0)</f>
        <v>34.99</v>
      </c>
      <c r="I25" s="15">
        <f>VLOOKUP(F25,product_info!$A$2:$D$73,4,0)</f>
        <v>3</v>
      </c>
      <c r="J25" s="15" t="str">
        <f>VLOOKUP(I25,department!$A$2:$B$13,2,0)</f>
        <v>Footwear</v>
      </c>
      <c r="K25">
        <v>1301</v>
      </c>
      <c r="L25" t="s">
        <v>214</v>
      </c>
      <c r="M25" s="4">
        <v>43399</v>
      </c>
      <c r="N25" s="12">
        <f t="shared" si="1"/>
        <v>10</v>
      </c>
      <c r="O25" s="13">
        <f t="shared" si="2"/>
        <v>2018</v>
      </c>
      <c r="P25" t="s">
        <v>13</v>
      </c>
      <c r="Q25" t="s">
        <v>5781</v>
      </c>
      <c r="R25" t="s">
        <v>57</v>
      </c>
      <c r="S25" t="str" cm="1">
        <f t="array" ref="S25">_xlfn.IFS(R25="COMPLETE", "COMPLETED", R25="CANCELED", "CANCELED", TRUE, "PENDING")</f>
        <v>PENDING</v>
      </c>
      <c r="T25" t="s">
        <v>16</v>
      </c>
      <c r="U25">
        <f>VLOOKUP(A25,ordered_items!$B:$E,4,0)</f>
        <v>34.99</v>
      </c>
    </row>
    <row r="26" spans="1:21" x14ac:dyDescent="0.3">
      <c r="A26">
        <v>20548</v>
      </c>
      <c r="B26" t="s">
        <v>51</v>
      </c>
      <c r="C26">
        <v>4</v>
      </c>
      <c r="D26">
        <v>2</v>
      </c>
      <c r="E26" t="str">
        <f t="shared" si="0"/>
        <v>DELAYED</v>
      </c>
      <c r="F26">
        <f>VLOOKUP($A26,ordered_items!$B$2:$E$4784,2,0)</f>
        <v>1073</v>
      </c>
      <c r="G26">
        <f>VLOOKUP($A26,ordered_items!$B$2:$E$4784,3,0)</f>
        <v>1</v>
      </c>
      <c r="H26">
        <f>VLOOKUP($A26,ordered_items!$B$2:$E$4784,4,0)</f>
        <v>199.99</v>
      </c>
      <c r="I26" s="15">
        <f>VLOOKUP(F26,product_info!$A$2:$D$73,4,0)</f>
        <v>7</v>
      </c>
      <c r="J26" s="15" t="str">
        <f>VLOOKUP(I26,department!$A$2:$B$13,2,0)</f>
        <v>Fan Shop</v>
      </c>
      <c r="K26">
        <v>3747</v>
      </c>
      <c r="L26" t="s">
        <v>1741</v>
      </c>
      <c r="M26" s="4">
        <v>43399</v>
      </c>
      <c r="N26" s="12">
        <f t="shared" si="1"/>
        <v>10</v>
      </c>
      <c r="O26" s="13">
        <f t="shared" si="2"/>
        <v>2018</v>
      </c>
      <c r="P26" t="s">
        <v>13</v>
      </c>
      <c r="Q26" t="s">
        <v>5777</v>
      </c>
      <c r="R26" t="s">
        <v>57</v>
      </c>
      <c r="S26" t="str" cm="1">
        <f t="array" ref="S26">_xlfn.IFS(R26="COMPLETE", "COMPLETED", R26="CANCELED", "CANCELED", TRUE, "PENDING")</f>
        <v>PENDING</v>
      </c>
      <c r="T26" t="s">
        <v>90</v>
      </c>
      <c r="U26">
        <f>VLOOKUP(A26,ordered_items!$B:$E,4,0)</f>
        <v>199.99</v>
      </c>
    </row>
    <row r="27" spans="1:21" x14ac:dyDescent="0.3">
      <c r="A27">
        <v>20549</v>
      </c>
      <c r="B27" t="s">
        <v>51</v>
      </c>
      <c r="C27">
        <v>5</v>
      </c>
      <c r="D27">
        <v>4</v>
      </c>
      <c r="E27" t="str">
        <f t="shared" si="0"/>
        <v>DELAYED</v>
      </c>
      <c r="F27">
        <f>VLOOKUP($A27,ordered_items!$B$2:$E$4784,2,0)</f>
        <v>1014</v>
      </c>
      <c r="G27">
        <f>VLOOKUP($A27,ordered_items!$B$2:$E$4784,3,0)</f>
        <v>4</v>
      </c>
      <c r="H27">
        <f>VLOOKUP($A27,ordered_items!$B$2:$E$4784,4,0)</f>
        <v>199.92</v>
      </c>
      <c r="I27" s="15">
        <f>VLOOKUP(F27,product_info!$A$2:$D$73,4,0)</f>
        <v>7</v>
      </c>
      <c r="J27" s="15" t="str">
        <f>VLOOKUP(I27,department!$A$2:$B$13,2,0)</f>
        <v>Fan Shop</v>
      </c>
      <c r="K27">
        <v>10131</v>
      </c>
      <c r="L27" t="s">
        <v>1741</v>
      </c>
      <c r="M27" s="4">
        <v>43399</v>
      </c>
      <c r="N27" s="12">
        <f t="shared" si="1"/>
        <v>10</v>
      </c>
      <c r="O27" s="13">
        <f t="shared" si="2"/>
        <v>2018</v>
      </c>
      <c r="P27" t="s">
        <v>13</v>
      </c>
      <c r="Q27" t="s">
        <v>5777</v>
      </c>
      <c r="R27" t="s">
        <v>57</v>
      </c>
      <c r="S27" t="str" cm="1">
        <f t="array" ref="S27">_xlfn.IFS(R27="COMPLETE", "COMPLETED", R27="CANCELED", "CANCELED", TRUE, "PENDING")</f>
        <v>PENDING</v>
      </c>
      <c r="T27" t="s">
        <v>16</v>
      </c>
      <c r="U27">
        <f>VLOOKUP(A27,ordered_items!$B:$E,4,0)</f>
        <v>199.92</v>
      </c>
    </row>
    <row r="28" spans="1:21" x14ac:dyDescent="0.3">
      <c r="A28">
        <v>20567</v>
      </c>
      <c r="B28" t="s">
        <v>24</v>
      </c>
      <c r="C28">
        <v>3</v>
      </c>
      <c r="D28">
        <v>4</v>
      </c>
      <c r="E28" t="str">
        <f t="shared" si="0"/>
        <v xml:space="preserve"> ONTIME</v>
      </c>
      <c r="F28">
        <f>VLOOKUP($A28,ordered_items!$B$2:$E$4784,2,0)</f>
        <v>1004</v>
      </c>
      <c r="G28">
        <f>VLOOKUP($A28,ordered_items!$B$2:$E$4784,3,0)</f>
        <v>1</v>
      </c>
      <c r="H28">
        <f>VLOOKUP($A28,ordered_items!$B$2:$E$4784,4,0)</f>
        <v>399.98</v>
      </c>
      <c r="I28" s="15">
        <f>VLOOKUP(F28,product_info!$A$2:$D$73,4,0)</f>
        <v>7</v>
      </c>
      <c r="J28" s="15" t="str">
        <f>VLOOKUP(I28,department!$A$2:$B$13,2,0)</f>
        <v>Fan Shop</v>
      </c>
      <c r="K28">
        <v>10447</v>
      </c>
      <c r="L28" t="s">
        <v>376</v>
      </c>
      <c r="M28" s="4">
        <v>43400</v>
      </c>
      <c r="N28" s="12">
        <f t="shared" si="1"/>
        <v>10</v>
      </c>
      <c r="O28" s="13">
        <f t="shared" si="2"/>
        <v>2018</v>
      </c>
      <c r="P28" t="s">
        <v>13</v>
      </c>
      <c r="Q28" t="s">
        <v>377</v>
      </c>
      <c r="R28" t="s">
        <v>378</v>
      </c>
      <c r="S28" t="str" cm="1">
        <f t="array" ref="S28">_xlfn.IFS(R28="COMPLETE", "COMPLETED", R28="CANCELED", "CANCELED", TRUE, "PENDING")</f>
        <v>PENDING</v>
      </c>
      <c r="T28" t="s">
        <v>16</v>
      </c>
      <c r="U28">
        <f>VLOOKUP(A28,ordered_items!$B:$E,4,0)</f>
        <v>399.98</v>
      </c>
    </row>
    <row r="29" spans="1:21" x14ac:dyDescent="0.3">
      <c r="A29">
        <v>20568</v>
      </c>
      <c r="B29" t="s">
        <v>24</v>
      </c>
      <c r="C29">
        <v>4</v>
      </c>
      <c r="D29">
        <v>4</v>
      </c>
      <c r="E29" t="str">
        <f t="shared" si="0"/>
        <v xml:space="preserve"> ONTIME</v>
      </c>
      <c r="F29">
        <f>VLOOKUP($A29,ordered_items!$B$2:$E$4784,2,0)</f>
        <v>1004</v>
      </c>
      <c r="G29">
        <f>VLOOKUP($A29,ordered_items!$B$2:$E$4784,3,0)</f>
        <v>1</v>
      </c>
      <c r="H29">
        <f>VLOOKUP($A29,ordered_items!$B$2:$E$4784,4,0)</f>
        <v>399.98</v>
      </c>
      <c r="I29" s="15">
        <f>VLOOKUP(F29,product_info!$A$2:$D$73,4,0)</f>
        <v>7</v>
      </c>
      <c r="J29" s="15" t="str">
        <f>VLOOKUP(I29,department!$A$2:$B$13,2,0)</f>
        <v>Fan Shop</v>
      </c>
      <c r="K29">
        <v>7124</v>
      </c>
      <c r="L29" t="s">
        <v>146</v>
      </c>
      <c r="M29" s="4">
        <v>43400</v>
      </c>
      <c r="N29" s="12">
        <f t="shared" si="1"/>
        <v>10</v>
      </c>
      <c r="O29" s="13">
        <f t="shared" si="2"/>
        <v>2018</v>
      </c>
      <c r="P29" t="s">
        <v>13</v>
      </c>
      <c r="Q29" t="s">
        <v>30</v>
      </c>
      <c r="R29" t="s">
        <v>31</v>
      </c>
      <c r="S29" t="str" cm="1">
        <f t="array" ref="S29">_xlfn.IFS(R29="COMPLETE", "COMPLETED", R29="CANCELED", "CANCELED", TRUE, "PENDING")</f>
        <v>COMPLETED</v>
      </c>
      <c r="T29" t="s">
        <v>16</v>
      </c>
      <c r="U29">
        <f>VLOOKUP(A29,ordered_items!$B:$E,4,0)</f>
        <v>399.98</v>
      </c>
    </row>
    <row r="30" spans="1:21" x14ac:dyDescent="0.3">
      <c r="A30">
        <v>20581</v>
      </c>
      <c r="B30" t="s">
        <v>51</v>
      </c>
      <c r="C30">
        <v>2</v>
      </c>
      <c r="D30">
        <v>4</v>
      </c>
      <c r="E30" t="str">
        <f t="shared" si="0"/>
        <v xml:space="preserve"> ONTIME</v>
      </c>
      <c r="F30">
        <f>VLOOKUP($A30,ordered_items!$B$2:$E$4784,2,0)</f>
        <v>249</v>
      </c>
      <c r="G30">
        <f>VLOOKUP($A30,ordered_items!$B$2:$E$4784,3,0)</f>
        <v>1</v>
      </c>
      <c r="H30">
        <f>VLOOKUP($A30,ordered_items!$B$2:$E$4784,4,0)</f>
        <v>54.97</v>
      </c>
      <c r="I30" s="15">
        <f>VLOOKUP(F30,product_info!$A$2:$D$73,4,0)</f>
        <v>3</v>
      </c>
      <c r="J30" s="15" t="str">
        <f>VLOOKUP(I30,department!$A$2:$B$13,2,0)</f>
        <v>Footwear</v>
      </c>
      <c r="K30">
        <v>4903</v>
      </c>
      <c r="L30" t="s">
        <v>110</v>
      </c>
      <c r="M30" s="4">
        <v>43400</v>
      </c>
      <c r="N30" s="12">
        <f t="shared" si="1"/>
        <v>10</v>
      </c>
      <c r="O30" s="13">
        <f t="shared" si="2"/>
        <v>2018</v>
      </c>
      <c r="P30" t="s">
        <v>13</v>
      </c>
      <c r="Q30" t="s">
        <v>99</v>
      </c>
      <c r="R30" t="s">
        <v>57</v>
      </c>
      <c r="S30" t="str" cm="1">
        <f t="array" ref="S30">_xlfn.IFS(R30="COMPLETE", "COMPLETED", R30="CANCELED", "CANCELED", TRUE, "PENDING")</f>
        <v>PENDING</v>
      </c>
      <c r="T30" t="s">
        <v>16</v>
      </c>
      <c r="U30">
        <f>VLOOKUP(A30,ordered_items!$B:$E,4,0)</f>
        <v>54.97</v>
      </c>
    </row>
    <row r="31" spans="1:21" x14ac:dyDescent="0.3">
      <c r="A31">
        <v>20583</v>
      </c>
      <c r="B31" t="s">
        <v>51</v>
      </c>
      <c r="C31">
        <v>4</v>
      </c>
      <c r="D31">
        <v>4</v>
      </c>
      <c r="E31" t="str">
        <f t="shared" si="0"/>
        <v xml:space="preserve"> ONTIME</v>
      </c>
      <c r="F31">
        <f>VLOOKUP($A31,ordered_items!$B$2:$E$4784,2,0)</f>
        <v>1004</v>
      </c>
      <c r="G31">
        <f>VLOOKUP($A31,ordered_items!$B$2:$E$4784,3,0)</f>
        <v>1</v>
      </c>
      <c r="H31">
        <f>VLOOKUP($A31,ordered_items!$B$2:$E$4784,4,0)</f>
        <v>399.98</v>
      </c>
      <c r="I31" s="15">
        <f>VLOOKUP(F31,product_info!$A$2:$D$73,4,0)</f>
        <v>7</v>
      </c>
      <c r="J31" s="15" t="str">
        <f>VLOOKUP(I31,department!$A$2:$B$13,2,0)</f>
        <v>Fan Shop</v>
      </c>
      <c r="K31">
        <v>3816</v>
      </c>
      <c r="L31" t="s">
        <v>110</v>
      </c>
      <c r="M31" s="4">
        <v>43400</v>
      </c>
      <c r="N31" s="12">
        <f t="shared" si="1"/>
        <v>10</v>
      </c>
      <c r="O31" s="13">
        <f t="shared" si="2"/>
        <v>2018</v>
      </c>
      <c r="P31" t="s">
        <v>13</v>
      </c>
      <c r="Q31" t="s">
        <v>99</v>
      </c>
      <c r="R31" t="s">
        <v>57</v>
      </c>
      <c r="S31" t="str" cm="1">
        <f t="array" ref="S31">_xlfn.IFS(R31="COMPLETE", "COMPLETED", R31="CANCELED", "CANCELED", TRUE, "PENDING")</f>
        <v>PENDING</v>
      </c>
      <c r="T31" t="s">
        <v>16</v>
      </c>
      <c r="U31">
        <f>VLOOKUP(A31,ordered_items!$B:$E,4,0)</f>
        <v>399.98</v>
      </c>
    </row>
    <row r="32" spans="1:21" x14ac:dyDescent="0.3">
      <c r="A32">
        <v>20585</v>
      </c>
      <c r="B32" t="s">
        <v>3</v>
      </c>
      <c r="C32">
        <v>6</v>
      </c>
      <c r="D32">
        <v>2</v>
      </c>
      <c r="E32" t="str">
        <f t="shared" si="0"/>
        <v>DELAYED</v>
      </c>
      <c r="F32">
        <f>VLOOKUP($A32,ordered_items!$B$2:$E$4784,2,0)</f>
        <v>403</v>
      </c>
      <c r="G32">
        <f>VLOOKUP($A32,ordered_items!$B$2:$E$4784,3,0)</f>
        <v>1</v>
      </c>
      <c r="H32">
        <f>VLOOKUP($A32,ordered_items!$B$2:$E$4784,4,0)</f>
        <v>129.99</v>
      </c>
      <c r="I32" s="15">
        <f>VLOOKUP(F32,product_info!$A$2:$D$73,4,0)</f>
        <v>4</v>
      </c>
      <c r="J32" s="15" t="str">
        <f>VLOOKUP(I32,department!$A$2:$B$13,2,0)</f>
        <v>Apparel</v>
      </c>
      <c r="K32">
        <v>2058</v>
      </c>
      <c r="L32" t="s">
        <v>233</v>
      </c>
      <c r="M32" s="4">
        <v>43400</v>
      </c>
      <c r="N32" s="12">
        <f t="shared" si="1"/>
        <v>10</v>
      </c>
      <c r="O32" s="13">
        <f t="shared" si="2"/>
        <v>2018</v>
      </c>
      <c r="P32" t="s">
        <v>13</v>
      </c>
      <c r="Q32" t="s">
        <v>234</v>
      </c>
      <c r="R32" t="s">
        <v>14</v>
      </c>
      <c r="S32" t="str" cm="1">
        <f t="array" ref="S32">_xlfn.IFS(R32="COMPLETE", "COMPLETED", R32="CANCELED", "CANCELED", TRUE, "PENDING")</f>
        <v>PENDING</v>
      </c>
      <c r="T32" t="s">
        <v>90</v>
      </c>
      <c r="U32">
        <f>VLOOKUP(A32,ordered_items!$B:$E,4,0)</f>
        <v>129.99</v>
      </c>
    </row>
    <row r="33" spans="1:21" x14ac:dyDescent="0.3">
      <c r="A33">
        <v>20605</v>
      </c>
      <c r="B33" t="s">
        <v>3</v>
      </c>
      <c r="C33">
        <v>6</v>
      </c>
      <c r="D33">
        <v>4</v>
      </c>
      <c r="E33" t="str">
        <f t="shared" si="0"/>
        <v>DELAYED</v>
      </c>
      <c r="F33">
        <f>VLOOKUP($A33,ordered_items!$B$2:$E$4784,2,0)</f>
        <v>502</v>
      </c>
      <c r="G33">
        <f>VLOOKUP($A33,ordered_items!$B$2:$E$4784,3,0)</f>
        <v>2</v>
      </c>
      <c r="H33">
        <f>VLOOKUP($A33,ordered_items!$B$2:$E$4784,4,0)</f>
        <v>100</v>
      </c>
      <c r="I33" s="15">
        <f>VLOOKUP(F33,product_info!$A$2:$D$73,4,0)</f>
        <v>5</v>
      </c>
      <c r="J33" s="15" t="str">
        <f>VLOOKUP(I33,department!$A$2:$B$13,2,0)</f>
        <v>Golf</v>
      </c>
      <c r="K33">
        <v>2688</v>
      </c>
      <c r="L33" t="s">
        <v>258</v>
      </c>
      <c r="M33" s="4">
        <v>43400</v>
      </c>
      <c r="N33" s="12">
        <f t="shared" si="1"/>
        <v>10</v>
      </c>
      <c r="O33" s="13">
        <f t="shared" si="2"/>
        <v>2018</v>
      </c>
      <c r="P33" t="s">
        <v>13</v>
      </c>
      <c r="Q33" t="s">
        <v>30</v>
      </c>
      <c r="R33" t="s">
        <v>14</v>
      </c>
      <c r="S33" t="str" cm="1">
        <f t="array" ref="S33">_xlfn.IFS(R33="COMPLETE", "COMPLETED", R33="CANCELED", "CANCELED", TRUE, "PENDING")</f>
        <v>PENDING</v>
      </c>
      <c r="T33" t="s">
        <v>16</v>
      </c>
      <c r="U33">
        <f>VLOOKUP(A33,ordered_items!$B:$E,4,0)</f>
        <v>100</v>
      </c>
    </row>
    <row r="34" spans="1:21" x14ac:dyDescent="0.3">
      <c r="A34">
        <v>20624</v>
      </c>
      <c r="B34" t="s">
        <v>24</v>
      </c>
      <c r="C34">
        <v>5</v>
      </c>
      <c r="D34">
        <v>4</v>
      </c>
      <c r="E34" t="str">
        <f t="shared" si="0"/>
        <v>DELAYED</v>
      </c>
      <c r="F34">
        <f>VLOOKUP($A34,ordered_items!$B$2:$E$4784,2,0)</f>
        <v>1014</v>
      </c>
      <c r="G34">
        <f>VLOOKUP($A34,ordered_items!$B$2:$E$4784,3,0)</f>
        <v>3</v>
      </c>
      <c r="H34">
        <f>VLOOKUP($A34,ordered_items!$B$2:$E$4784,4,0)</f>
        <v>149.94</v>
      </c>
      <c r="I34" s="15">
        <f>VLOOKUP(F34,product_info!$A$2:$D$73,4,0)</f>
        <v>7</v>
      </c>
      <c r="J34" s="15" t="str">
        <f>VLOOKUP(I34,department!$A$2:$B$13,2,0)</f>
        <v>Fan Shop</v>
      </c>
      <c r="K34">
        <v>6803</v>
      </c>
      <c r="L34" t="s">
        <v>660</v>
      </c>
      <c r="M34" s="4">
        <v>43401</v>
      </c>
      <c r="N34" s="12">
        <f t="shared" si="1"/>
        <v>10</v>
      </c>
      <c r="O34" s="13">
        <f t="shared" si="2"/>
        <v>2018</v>
      </c>
      <c r="P34" t="s">
        <v>13</v>
      </c>
      <c r="Q34" t="s">
        <v>99</v>
      </c>
      <c r="R34" t="s">
        <v>31</v>
      </c>
      <c r="S34" t="str" cm="1">
        <f t="array" ref="S34">_xlfn.IFS(R34="COMPLETE", "COMPLETED", R34="CANCELED", "CANCELED", TRUE, "PENDING")</f>
        <v>COMPLETED</v>
      </c>
      <c r="T34" t="s">
        <v>16</v>
      </c>
      <c r="U34">
        <f>VLOOKUP(A34,ordered_items!$B:$E,4,0)</f>
        <v>149.94</v>
      </c>
    </row>
    <row r="35" spans="1:21" x14ac:dyDescent="0.3">
      <c r="A35">
        <v>20625</v>
      </c>
      <c r="B35" t="s">
        <v>24</v>
      </c>
      <c r="C35">
        <v>6</v>
      </c>
      <c r="D35">
        <v>4</v>
      </c>
      <c r="E35" t="str">
        <f t="shared" si="0"/>
        <v>DELAYED</v>
      </c>
      <c r="F35">
        <f>VLOOKUP($A35,ordered_items!$B$2:$E$4784,2,0)</f>
        <v>365</v>
      </c>
      <c r="G35">
        <f>VLOOKUP($A35,ordered_items!$B$2:$E$4784,3,0)</f>
        <v>4</v>
      </c>
      <c r="H35">
        <f>VLOOKUP($A35,ordered_items!$B$2:$E$4784,4,0)</f>
        <v>239.96</v>
      </c>
      <c r="I35" s="15">
        <f>VLOOKUP(F35,product_info!$A$2:$D$73,4,0)</f>
        <v>4</v>
      </c>
      <c r="J35" s="15" t="str">
        <f>VLOOKUP(I35,department!$A$2:$B$13,2,0)</f>
        <v>Apparel</v>
      </c>
      <c r="K35">
        <v>545</v>
      </c>
      <c r="L35" t="s">
        <v>439</v>
      </c>
      <c r="M35" s="4">
        <v>43401</v>
      </c>
      <c r="N35" s="12">
        <f t="shared" si="1"/>
        <v>10</v>
      </c>
      <c r="O35" s="13">
        <f t="shared" si="2"/>
        <v>2018</v>
      </c>
      <c r="P35" t="s">
        <v>13</v>
      </c>
      <c r="Q35" t="s">
        <v>377</v>
      </c>
      <c r="R35" t="s">
        <v>31</v>
      </c>
      <c r="S35" t="str" cm="1">
        <f t="array" ref="S35">_xlfn.IFS(R35="COMPLETE", "COMPLETED", R35="CANCELED", "CANCELED", TRUE, "PENDING")</f>
        <v>COMPLETED</v>
      </c>
      <c r="T35" t="s">
        <v>16</v>
      </c>
      <c r="U35">
        <f>VLOOKUP(A35,ordered_items!$B:$E,4,0)</f>
        <v>239.96</v>
      </c>
    </row>
    <row r="36" spans="1:21" x14ac:dyDescent="0.3">
      <c r="A36">
        <v>20631</v>
      </c>
      <c r="B36" t="s">
        <v>51</v>
      </c>
      <c r="C36">
        <v>2</v>
      </c>
      <c r="D36">
        <v>1</v>
      </c>
      <c r="E36" t="str">
        <f t="shared" si="0"/>
        <v>DELAYED</v>
      </c>
      <c r="F36">
        <f>VLOOKUP($A36,ordered_items!$B$2:$E$4784,2,0)</f>
        <v>403</v>
      </c>
      <c r="G36">
        <f>VLOOKUP($A36,ordered_items!$B$2:$E$4784,3,0)</f>
        <v>1</v>
      </c>
      <c r="H36">
        <f>VLOOKUP($A36,ordered_items!$B$2:$E$4784,4,0)</f>
        <v>129.99</v>
      </c>
      <c r="I36" s="15">
        <f>VLOOKUP(F36,product_info!$A$2:$D$73,4,0)</f>
        <v>4</v>
      </c>
      <c r="J36" s="15" t="str">
        <f>VLOOKUP(I36,department!$A$2:$B$13,2,0)</f>
        <v>Apparel</v>
      </c>
      <c r="K36">
        <v>8754</v>
      </c>
      <c r="L36" t="s">
        <v>409</v>
      </c>
      <c r="M36" s="4">
        <v>43401</v>
      </c>
      <c r="N36" s="12">
        <f t="shared" si="1"/>
        <v>10</v>
      </c>
      <c r="O36" s="13">
        <f t="shared" si="2"/>
        <v>2018</v>
      </c>
      <c r="P36" t="s">
        <v>13</v>
      </c>
      <c r="Q36" t="s">
        <v>410</v>
      </c>
      <c r="R36" t="s">
        <v>57</v>
      </c>
      <c r="S36" t="str" cm="1">
        <f t="array" ref="S36">_xlfn.IFS(R36="COMPLETE", "COMPLETED", R36="CANCELED", "CANCELED", TRUE, "PENDING")</f>
        <v>PENDING</v>
      </c>
      <c r="T36" t="s">
        <v>32</v>
      </c>
      <c r="U36">
        <f>VLOOKUP(A36,ordered_items!$B:$E,4,0)</f>
        <v>129.99</v>
      </c>
    </row>
    <row r="37" spans="1:21" x14ac:dyDescent="0.3">
      <c r="A37">
        <v>20678</v>
      </c>
      <c r="B37" t="s">
        <v>24</v>
      </c>
      <c r="C37">
        <v>2</v>
      </c>
      <c r="D37">
        <v>1</v>
      </c>
      <c r="E37" t="str">
        <f t="shared" si="0"/>
        <v>DELAYED</v>
      </c>
      <c r="F37">
        <f>VLOOKUP($A37,ordered_items!$B$2:$E$4784,2,0)</f>
        <v>403</v>
      </c>
      <c r="G37">
        <f>VLOOKUP($A37,ordered_items!$B$2:$E$4784,3,0)</f>
        <v>1</v>
      </c>
      <c r="H37">
        <f>VLOOKUP($A37,ordered_items!$B$2:$E$4784,4,0)</f>
        <v>129.99</v>
      </c>
      <c r="I37" s="15">
        <f>VLOOKUP(F37,product_info!$A$2:$D$73,4,0)</f>
        <v>4</v>
      </c>
      <c r="J37" s="15" t="str">
        <f>VLOOKUP(I37,department!$A$2:$B$13,2,0)</f>
        <v>Apparel</v>
      </c>
      <c r="K37">
        <v>4768</v>
      </c>
      <c r="L37" t="s">
        <v>357</v>
      </c>
      <c r="M37" s="4">
        <v>43401</v>
      </c>
      <c r="N37" s="12">
        <f t="shared" si="1"/>
        <v>10</v>
      </c>
      <c r="O37" s="13">
        <f t="shared" si="2"/>
        <v>2018</v>
      </c>
      <c r="P37" t="s">
        <v>13</v>
      </c>
      <c r="Q37" t="s">
        <v>203</v>
      </c>
      <c r="R37" t="s">
        <v>378</v>
      </c>
      <c r="S37" t="str" cm="1">
        <f t="array" ref="S37">_xlfn.IFS(R37="COMPLETE", "COMPLETED", R37="CANCELED", "CANCELED", TRUE, "PENDING")</f>
        <v>PENDING</v>
      </c>
      <c r="T37" t="s">
        <v>32</v>
      </c>
      <c r="U37">
        <f>VLOOKUP(A37,ordered_items!$B:$E,4,0)</f>
        <v>129.99</v>
      </c>
    </row>
    <row r="38" spans="1:21" x14ac:dyDescent="0.3">
      <c r="A38">
        <v>20691</v>
      </c>
      <c r="B38" t="s">
        <v>3</v>
      </c>
      <c r="C38">
        <v>2</v>
      </c>
      <c r="D38">
        <v>4</v>
      </c>
      <c r="E38" t="str">
        <f t="shared" si="0"/>
        <v xml:space="preserve"> ONTIME</v>
      </c>
      <c r="F38">
        <f>VLOOKUP($A38,ordered_items!$B$2:$E$4784,2,0)</f>
        <v>365</v>
      </c>
      <c r="G38">
        <f>VLOOKUP($A38,ordered_items!$B$2:$E$4784,3,0)</f>
        <v>1</v>
      </c>
      <c r="H38">
        <f>VLOOKUP($A38,ordered_items!$B$2:$E$4784,4,0)</f>
        <v>59.99</v>
      </c>
      <c r="I38" s="15">
        <f>VLOOKUP(F38,product_info!$A$2:$D$73,4,0)</f>
        <v>4</v>
      </c>
      <c r="J38" s="15" t="str">
        <f>VLOOKUP(I38,department!$A$2:$B$13,2,0)</f>
        <v>Apparel</v>
      </c>
      <c r="K38">
        <v>8898</v>
      </c>
      <c r="L38" t="s">
        <v>262</v>
      </c>
      <c r="M38" s="4">
        <v>43402</v>
      </c>
      <c r="N38" s="12">
        <f t="shared" si="1"/>
        <v>10</v>
      </c>
      <c r="O38" s="13">
        <f t="shared" si="2"/>
        <v>2018</v>
      </c>
      <c r="P38" t="s">
        <v>13</v>
      </c>
      <c r="Q38" t="s">
        <v>5777</v>
      </c>
      <c r="R38" t="s">
        <v>14</v>
      </c>
      <c r="S38" t="str" cm="1">
        <f t="array" ref="S38">_xlfn.IFS(R38="COMPLETE", "COMPLETED", R38="CANCELED", "CANCELED", TRUE, "PENDING")</f>
        <v>PENDING</v>
      </c>
      <c r="T38" t="s">
        <v>16</v>
      </c>
      <c r="U38">
        <f>VLOOKUP(A38,ordered_items!$B:$E,4,0)</f>
        <v>59.99</v>
      </c>
    </row>
    <row r="39" spans="1:21" x14ac:dyDescent="0.3">
      <c r="A39">
        <v>20703</v>
      </c>
      <c r="B39" t="s">
        <v>3</v>
      </c>
      <c r="C39">
        <v>4</v>
      </c>
      <c r="D39">
        <v>4</v>
      </c>
      <c r="E39" t="str">
        <f t="shared" si="0"/>
        <v xml:space="preserve"> ONTIME</v>
      </c>
      <c r="F39">
        <f>VLOOKUP($A39,ordered_items!$B$2:$E$4784,2,0)</f>
        <v>365</v>
      </c>
      <c r="G39">
        <f>VLOOKUP($A39,ordered_items!$B$2:$E$4784,3,0)</f>
        <v>1</v>
      </c>
      <c r="H39">
        <f>VLOOKUP($A39,ordered_items!$B$2:$E$4784,4,0)</f>
        <v>59.99</v>
      </c>
      <c r="I39" s="15">
        <f>VLOOKUP(F39,product_info!$A$2:$D$73,4,0)</f>
        <v>4</v>
      </c>
      <c r="J39" s="15" t="str">
        <f>VLOOKUP(I39,department!$A$2:$B$13,2,0)</f>
        <v>Apparel</v>
      </c>
      <c r="K39">
        <v>6765</v>
      </c>
      <c r="L39" t="s">
        <v>525</v>
      </c>
      <c r="M39" s="4">
        <v>43402</v>
      </c>
      <c r="N39" s="12">
        <f t="shared" si="1"/>
        <v>10</v>
      </c>
      <c r="O39" s="13">
        <f t="shared" si="2"/>
        <v>2018</v>
      </c>
      <c r="P39" t="s">
        <v>13</v>
      </c>
      <c r="Q39" t="s">
        <v>5778</v>
      </c>
      <c r="R39" t="s">
        <v>38</v>
      </c>
      <c r="S39" t="str" cm="1">
        <f t="array" ref="S39">_xlfn.IFS(R39="COMPLETE", "COMPLETED", R39="CANCELED", "CANCELED", TRUE, "PENDING")</f>
        <v>PENDING</v>
      </c>
      <c r="T39" t="s">
        <v>16</v>
      </c>
      <c r="U39">
        <f>VLOOKUP(A39,ordered_items!$B:$E,4,0)</f>
        <v>59.99</v>
      </c>
    </row>
    <row r="40" spans="1:21" x14ac:dyDescent="0.3">
      <c r="A40">
        <v>20704</v>
      </c>
      <c r="B40" t="s">
        <v>24</v>
      </c>
      <c r="C40">
        <v>5</v>
      </c>
      <c r="D40">
        <v>4</v>
      </c>
      <c r="E40" t="str">
        <f t="shared" si="0"/>
        <v>DELAYED</v>
      </c>
      <c r="F40">
        <f>VLOOKUP($A40,ordered_items!$B$2:$E$4784,2,0)</f>
        <v>502</v>
      </c>
      <c r="G40">
        <f>VLOOKUP($A40,ordered_items!$B$2:$E$4784,3,0)</f>
        <v>5</v>
      </c>
      <c r="H40">
        <f>VLOOKUP($A40,ordered_items!$B$2:$E$4784,4,0)</f>
        <v>250</v>
      </c>
      <c r="I40" s="15">
        <f>VLOOKUP(F40,product_info!$A$2:$D$73,4,0)</f>
        <v>5</v>
      </c>
      <c r="J40" s="15" t="str">
        <f>VLOOKUP(I40,department!$A$2:$B$13,2,0)</f>
        <v>Golf</v>
      </c>
      <c r="K40">
        <v>1480</v>
      </c>
      <c r="L40" t="s">
        <v>233</v>
      </c>
      <c r="M40" s="4">
        <v>43402</v>
      </c>
      <c r="N40" s="12">
        <f t="shared" si="1"/>
        <v>10</v>
      </c>
      <c r="O40" s="13">
        <f t="shared" si="2"/>
        <v>2018</v>
      </c>
      <c r="P40" t="s">
        <v>13</v>
      </c>
      <c r="Q40" t="s">
        <v>234</v>
      </c>
      <c r="R40" t="s">
        <v>31</v>
      </c>
      <c r="S40" t="str" cm="1">
        <f t="array" ref="S40">_xlfn.IFS(R40="COMPLETE", "COMPLETED", R40="CANCELED", "CANCELED", TRUE, "PENDING")</f>
        <v>COMPLETED</v>
      </c>
      <c r="T40" t="s">
        <v>16</v>
      </c>
      <c r="U40">
        <f>VLOOKUP(A40,ordered_items!$B:$E,4,0)</f>
        <v>250</v>
      </c>
    </row>
    <row r="41" spans="1:21" x14ac:dyDescent="0.3">
      <c r="A41">
        <v>20721</v>
      </c>
      <c r="B41" t="s">
        <v>17</v>
      </c>
      <c r="C41">
        <v>2</v>
      </c>
      <c r="D41">
        <v>2</v>
      </c>
      <c r="E41" t="str">
        <f t="shared" si="0"/>
        <v xml:space="preserve"> ONTIME</v>
      </c>
      <c r="F41">
        <f>VLOOKUP($A41,ordered_items!$B$2:$E$4784,2,0)</f>
        <v>191</v>
      </c>
      <c r="G41">
        <f>VLOOKUP($A41,ordered_items!$B$2:$E$4784,3,0)</f>
        <v>5</v>
      </c>
      <c r="H41">
        <f>VLOOKUP($A41,ordered_items!$B$2:$E$4784,4,0)</f>
        <v>499.95</v>
      </c>
      <c r="I41" s="15">
        <f>VLOOKUP(F41,product_info!$A$2:$D$73,4,0)</f>
        <v>3</v>
      </c>
      <c r="J41" s="15" t="str">
        <f>VLOOKUP(I41,department!$A$2:$B$13,2,0)</f>
        <v>Footwear</v>
      </c>
      <c r="K41">
        <v>1390</v>
      </c>
      <c r="L41" t="s">
        <v>110</v>
      </c>
      <c r="M41" s="4">
        <v>43402</v>
      </c>
      <c r="N41" s="12">
        <f t="shared" si="1"/>
        <v>10</v>
      </c>
      <c r="O41" s="13">
        <f t="shared" si="2"/>
        <v>2018</v>
      </c>
      <c r="P41" t="s">
        <v>13</v>
      </c>
      <c r="Q41" t="s">
        <v>99</v>
      </c>
      <c r="R41" t="s">
        <v>23</v>
      </c>
      <c r="S41" t="str" cm="1">
        <f t="array" ref="S41">_xlfn.IFS(R41="COMPLETE", "COMPLETED", R41="CANCELED", "CANCELED", TRUE, "PENDING")</f>
        <v>PENDING</v>
      </c>
      <c r="T41" t="s">
        <v>90</v>
      </c>
      <c r="U41">
        <f>VLOOKUP(A41,ordered_items!$B:$E,4,0)</f>
        <v>499.95</v>
      </c>
    </row>
    <row r="42" spans="1:21" x14ac:dyDescent="0.3">
      <c r="A42">
        <v>20727</v>
      </c>
      <c r="B42" t="s">
        <v>3</v>
      </c>
      <c r="C42">
        <v>3</v>
      </c>
      <c r="D42">
        <v>4</v>
      </c>
      <c r="E42" t="str">
        <f t="shared" si="0"/>
        <v xml:space="preserve"> ONTIME</v>
      </c>
      <c r="F42">
        <f>VLOOKUP($A42,ordered_items!$B$2:$E$4784,2,0)</f>
        <v>403</v>
      </c>
      <c r="G42">
        <f>VLOOKUP($A42,ordered_items!$B$2:$E$4784,3,0)</f>
        <v>1</v>
      </c>
      <c r="H42">
        <f>VLOOKUP($A42,ordered_items!$B$2:$E$4784,4,0)</f>
        <v>129.99</v>
      </c>
      <c r="I42" s="15">
        <f>VLOOKUP(F42,product_info!$A$2:$D$73,4,0)</f>
        <v>4</v>
      </c>
      <c r="J42" s="15" t="str">
        <f>VLOOKUP(I42,department!$A$2:$B$13,2,0)</f>
        <v>Apparel</v>
      </c>
      <c r="K42">
        <v>11148</v>
      </c>
      <c r="L42" t="s">
        <v>857</v>
      </c>
      <c r="M42" s="4">
        <v>43402</v>
      </c>
      <c r="N42" s="12">
        <f t="shared" si="1"/>
        <v>10</v>
      </c>
      <c r="O42" s="13">
        <f t="shared" si="2"/>
        <v>2018</v>
      </c>
      <c r="P42" t="s">
        <v>13</v>
      </c>
      <c r="Q42" t="s">
        <v>80</v>
      </c>
      <c r="R42" t="s">
        <v>14</v>
      </c>
      <c r="S42" t="str" cm="1">
        <f t="array" ref="S42">_xlfn.IFS(R42="COMPLETE", "COMPLETED", R42="CANCELED", "CANCELED", TRUE, "PENDING")</f>
        <v>PENDING</v>
      </c>
      <c r="T42" t="s">
        <v>16</v>
      </c>
      <c r="U42">
        <f>VLOOKUP(A42,ordered_items!$B:$E,4,0)</f>
        <v>129.99</v>
      </c>
    </row>
    <row r="43" spans="1:21" x14ac:dyDescent="0.3">
      <c r="A43">
        <v>20730</v>
      </c>
      <c r="B43" t="s">
        <v>17</v>
      </c>
      <c r="C43">
        <v>6</v>
      </c>
      <c r="D43">
        <v>4</v>
      </c>
      <c r="E43" t="str">
        <f t="shared" si="0"/>
        <v>DELAYED</v>
      </c>
      <c r="F43">
        <f>VLOOKUP($A43,ordered_items!$B$2:$E$4784,2,0)</f>
        <v>403</v>
      </c>
      <c r="G43">
        <f>VLOOKUP($A43,ordered_items!$B$2:$E$4784,3,0)</f>
        <v>1</v>
      </c>
      <c r="H43">
        <f>VLOOKUP($A43,ordered_items!$B$2:$E$4784,4,0)</f>
        <v>129.99</v>
      </c>
      <c r="I43" s="15">
        <f>VLOOKUP(F43,product_info!$A$2:$D$73,4,0)</f>
        <v>4</v>
      </c>
      <c r="J43" s="15" t="str">
        <f>VLOOKUP(I43,department!$A$2:$B$13,2,0)</f>
        <v>Apparel</v>
      </c>
      <c r="K43">
        <v>8460</v>
      </c>
      <c r="L43" t="s">
        <v>950</v>
      </c>
      <c r="M43" s="4">
        <v>43402</v>
      </c>
      <c r="N43" s="12">
        <f t="shared" si="1"/>
        <v>10</v>
      </c>
      <c r="O43" s="13">
        <f t="shared" si="2"/>
        <v>2018</v>
      </c>
      <c r="P43" t="s">
        <v>13</v>
      </c>
      <c r="Q43" t="s">
        <v>99</v>
      </c>
      <c r="R43" t="s">
        <v>23</v>
      </c>
      <c r="S43" t="str" cm="1">
        <f t="array" ref="S43">_xlfn.IFS(R43="COMPLETE", "COMPLETED", R43="CANCELED", "CANCELED", TRUE, "PENDING")</f>
        <v>PENDING</v>
      </c>
      <c r="T43" t="s">
        <v>16</v>
      </c>
      <c r="U43">
        <f>VLOOKUP(A43,ordered_items!$B:$E,4,0)</f>
        <v>129.99</v>
      </c>
    </row>
    <row r="44" spans="1:21" x14ac:dyDescent="0.3">
      <c r="A44">
        <v>20745</v>
      </c>
      <c r="B44" t="s">
        <v>51</v>
      </c>
      <c r="C44">
        <v>2</v>
      </c>
      <c r="D44">
        <v>1</v>
      </c>
      <c r="E44" t="str">
        <f t="shared" si="0"/>
        <v>DELAYED</v>
      </c>
      <c r="F44">
        <f>VLOOKUP($A44,ordered_items!$B$2:$E$4784,2,0)</f>
        <v>403</v>
      </c>
      <c r="G44">
        <f>VLOOKUP($A44,ordered_items!$B$2:$E$4784,3,0)</f>
        <v>1</v>
      </c>
      <c r="H44">
        <f>VLOOKUP($A44,ordered_items!$B$2:$E$4784,4,0)</f>
        <v>129.99</v>
      </c>
      <c r="I44" s="15">
        <f>VLOOKUP(F44,product_info!$A$2:$D$73,4,0)</f>
        <v>4</v>
      </c>
      <c r="J44" s="15" t="str">
        <f>VLOOKUP(I44,department!$A$2:$B$13,2,0)</f>
        <v>Apparel</v>
      </c>
      <c r="K44">
        <v>10373</v>
      </c>
      <c r="L44" t="s">
        <v>70</v>
      </c>
      <c r="M44" s="4">
        <v>43402</v>
      </c>
      <c r="N44" s="12">
        <f t="shared" si="1"/>
        <v>10</v>
      </c>
      <c r="O44" s="13">
        <f t="shared" si="2"/>
        <v>2018</v>
      </c>
      <c r="P44" t="s">
        <v>13</v>
      </c>
      <c r="Q44" t="s">
        <v>70</v>
      </c>
      <c r="R44" t="s">
        <v>57</v>
      </c>
      <c r="S44" t="str" cm="1">
        <f t="array" ref="S44">_xlfn.IFS(R44="COMPLETE", "COMPLETED", R44="CANCELED", "CANCELED", TRUE, "PENDING")</f>
        <v>PENDING</v>
      </c>
      <c r="T44" t="s">
        <v>32</v>
      </c>
      <c r="U44">
        <f>VLOOKUP(A44,ordered_items!$B:$E,4,0)</f>
        <v>129.99</v>
      </c>
    </row>
    <row r="45" spans="1:21" x14ac:dyDescent="0.3">
      <c r="A45">
        <v>20752</v>
      </c>
      <c r="B45" t="s">
        <v>17</v>
      </c>
      <c r="C45">
        <v>3</v>
      </c>
      <c r="D45">
        <v>4</v>
      </c>
      <c r="E45" t="str">
        <f t="shared" si="0"/>
        <v xml:space="preserve"> ONTIME</v>
      </c>
      <c r="F45">
        <f>VLOOKUP($A45,ordered_items!$B$2:$E$4784,2,0)</f>
        <v>1014</v>
      </c>
      <c r="G45">
        <f>VLOOKUP($A45,ordered_items!$B$2:$E$4784,3,0)</f>
        <v>5</v>
      </c>
      <c r="H45">
        <f>VLOOKUP($A45,ordered_items!$B$2:$E$4784,4,0)</f>
        <v>249.9</v>
      </c>
      <c r="I45" s="15">
        <f>VLOOKUP(F45,product_info!$A$2:$D$73,4,0)</f>
        <v>7</v>
      </c>
      <c r="J45" s="15" t="str">
        <f>VLOOKUP(I45,department!$A$2:$B$13,2,0)</f>
        <v>Fan Shop</v>
      </c>
      <c r="K45">
        <v>6786</v>
      </c>
      <c r="L45" t="s">
        <v>921</v>
      </c>
      <c r="M45" s="4">
        <v>43402</v>
      </c>
      <c r="N45" s="12">
        <f t="shared" si="1"/>
        <v>10</v>
      </c>
      <c r="O45" s="13">
        <f t="shared" si="2"/>
        <v>2018</v>
      </c>
      <c r="P45" t="s">
        <v>13</v>
      </c>
      <c r="Q45" t="s">
        <v>99</v>
      </c>
      <c r="R45" t="s">
        <v>23</v>
      </c>
      <c r="S45" t="str" cm="1">
        <f t="array" ref="S45">_xlfn.IFS(R45="COMPLETE", "COMPLETED", R45="CANCELED", "CANCELED", TRUE, "PENDING")</f>
        <v>PENDING</v>
      </c>
      <c r="T45" t="s">
        <v>16</v>
      </c>
      <c r="U45">
        <f>VLOOKUP(A45,ordered_items!$B:$E,4,0)</f>
        <v>249.9</v>
      </c>
    </row>
    <row r="46" spans="1:21" x14ac:dyDescent="0.3">
      <c r="A46">
        <v>20753</v>
      </c>
      <c r="B46" t="s">
        <v>3</v>
      </c>
      <c r="C46">
        <v>4</v>
      </c>
      <c r="D46">
        <v>4</v>
      </c>
      <c r="E46" t="str">
        <f t="shared" si="0"/>
        <v xml:space="preserve"> ONTIME</v>
      </c>
      <c r="F46">
        <f>VLOOKUP($A46,ordered_items!$B$2:$E$4784,2,0)</f>
        <v>365</v>
      </c>
      <c r="G46">
        <f>VLOOKUP($A46,ordered_items!$B$2:$E$4784,3,0)</f>
        <v>1</v>
      </c>
      <c r="H46">
        <f>VLOOKUP($A46,ordered_items!$B$2:$E$4784,4,0)</f>
        <v>59.99</v>
      </c>
      <c r="I46" s="15">
        <f>VLOOKUP(F46,product_info!$A$2:$D$73,4,0)</f>
        <v>4</v>
      </c>
      <c r="J46" s="15" t="str">
        <f>VLOOKUP(I46,department!$A$2:$B$13,2,0)</f>
        <v>Apparel</v>
      </c>
      <c r="K46">
        <v>5831</v>
      </c>
      <c r="L46" t="s">
        <v>921</v>
      </c>
      <c r="M46" s="4">
        <v>43402</v>
      </c>
      <c r="N46" s="12">
        <f t="shared" si="1"/>
        <v>10</v>
      </c>
      <c r="O46" s="13">
        <f t="shared" si="2"/>
        <v>2018</v>
      </c>
      <c r="P46" t="s">
        <v>13</v>
      </c>
      <c r="Q46" t="s">
        <v>99</v>
      </c>
      <c r="R46" t="s">
        <v>178</v>
      </c>
      <c r="S46" t="str" cm="1">
        <f t="array" ref="S46">_xlfn.IFS(R46="COMPLETE", "COMPLETED", R46="CANCELED", "CANCELED", TRUE, "PENDING")</f>
        <v>PENDING</v>
      </c>
      <c r="T46" t="s">
        <v>16</v>
      </c>
      <c r="U46">
        <f>VLOOKUP(A46,ordered_items!$B:$E,4,0)</f>
        <v>59.99</v>
      </c>
    </row>
    <row r="47" spans="1:21" x14ac:dyDescent="0.3">
      <c r="A47">
        <v>20758</v>
      </c>
      <c r="B47" t="s">
        <v>3</v>
      </c>
      <c r="C47">
        <v>4</v>
      </c>
      <c r="D47">
        <v>4</v>
      </c>
      <c r="E47" t="str">
        <f t="shared" si="0"/>
        <v xml:space="preserve"> ONTIME</v>
      </c>
      <c r="F47">
        <f>VLOOKUP($A47,ordered_items!$B$2:$E$4784,2,0)</f>
        <v>44</v>
      </c>
      <c r="G47">
        <f>VLOOKUP($A47,ordered_items!$B$2:$E$4784,3,0)</f>
        <v>4</v>
      </c>
      <c r="H47">
        <f>VLOOKUP($A47,ordered_items!$B$2:$E$4784,4,0)</f>
        <v>239.96</v>
      </c>
      <c r="I47" s="15">
        <f>VLOOKUP(F47,product_info!$A$2:$D$73,4,0)</f>
        <v>2</v>
      </c>
      <c r="J47" s="15" t="str">
        <f>VLOOKUP(I47,department!$A$2:$B$13,2,0)</f>
        <v>Fitness</v>
      </c>
      <c r="K47">
        <v>1028</v>
      </c>
      <c r="L47" t="s">
        <v>285</v>
      </c>
      <c r="M47" s="4">
        <v>43403</v>
      </c>
      <c r="N47" s="12">
        <f t="shared" si="1"/>
        <v>10</v>
      </c>
      <c r="O47" s="13">
        <f t="shared" si="2"/>
        <v>2018</v>
      </c>
      <c r="P47" t="s">
        <v>13</v>
      </c>
      <c r="Q47" t="s">
        <v>286</v>
      </c>
      <c r="R47" t="s">
        <v>38</v>
      </c>
      <c r="S47" t="str" cm="1">
        <f t="array" ref="S47">_xlfn.IFS(R47="COMPLETE", "COMPLETED", R47="CANCELED", "CANCELED", TRUE, "PENDING")</f>
        <v>PENDING</v>
      </c>
      <c r="T47" t="s">
        <v>16</v>
      </c>
      <c r="U47">
        <f>VLOOKUP(A47,ordered_items!$B:$E,4,0)</f>
        <v>239.96</v>
      </c>
    </row>
    <row r="48" spans="1:21" x14ac:dyDescent="0.3">
      <c r="A48">
        <v>20780</v>
      </c>
      <c r="B48" t="s">
        <v>24</v>
      </c>
      <c r="C48">
        <v>6</v>
      </c>
      <c r="D48">
        <v>2</v>
      </c>
      <c r="E48" t="str">
        <f t="shared" si="0"/>
        <v>DELAYED</v>
      </c>
      <c r="F48">
        <f>VLOOKUP($A48,ordered_items!$B$2:$E$4784,2,0)</f>
        <v>1004</v>
      </c>
      <c r="G48">
        <f>VLOOKUP($A48,ordered_items!$B$2:$E$4784,3,0)</f>
        <v>1</v>
      </c>
      <c r="H48">
        <f>VLOOKUP($A48,ordered_items!$B$2:$E$4784,4,0)</f>
        <v>399.98</v>
      </c>
      <c r="I48" s="15">
        <f>VLOOKUP(F48,product_info!$A$2:$D$73,4,0)</f>
        <v>7</v>
      </c>
      <c r="J48" s="15" t="str">
        <f>VLOOKUP(I48,department!$A$2:$B$13,2,0)</f>
        <v>Fan Shop</v>
      </c>
      <c r="K48">
        <v>9759</v>
      </c>
      <c r="L48" t="s">
        <v>1499</v>
      </c>
      <c r="M48" s="4">
        <v>43403</v>
      </c>
      <c r="N48" s="12">
        <f t="shared" si="1"/>
        <v>10</v>
      </c>
      <c r="O48" s="13">
        <f t="shared" si="2"/>
        <v>2018</v>
      </c>
      <c r="P48" t="s">
        <v>13</v>
      </c>
      <c r="Q48" t="s">
        <v>538</v>
      </c>
      <c r="R48" t="s">
        <v>31</v>
      </c>
      <c r="S48" t="str" cm="1">
        <f t="array" ref="S48">_xlfn.IFS(R48="COMPLETE", "COMPLETED", R48="CANCELED", "CANCELED", TRUE, "PENDING")</f>
        <v>COMPLETED</v>
      </c>
      <c r="T48" t="s">
        <v>90</v>
      </c>
      <c r="U48">
        <f>VLOOKUP(A48,ordered_items!$B:$E,4,0)</f>
        <v>399.98</v>
      </c>
    </row>
    <row r="49" spans="1:21" x14ac:dyDescent="0.3">
      <c r="A49">
        <v>20781</v>
      </c>
      <c r="B49" t="s">
        <v>3</v>
      </c>
      <c r="C49">
        <v>2</v>
      </c>
      <c r="D49">
        <v>2</v>
      </c>
      <c r="E49" t="str">
        <f t="shared" si="0"/>
        <v xml:space="preserve"> ONTIME</v>
      </c>
      <c r="F49">
        <f>VLOOKUP($A49,ordered_items!$B$2:$E$4784,2,0)</f>
        <v>778</v>
      </c>
      <c r="G49">
        <f>VLOOKUP($A49,ordered_items!$B$2:$E$4784,3,0)</f>
        <v>3</v>
      </c>
      <c r="H49">
        <f>VLOOKUP($A49,ordered_items!$B$2:$E$4784,4,0)</f>
        <v>74.97</v>
      </c>
      <c r="I49" s="15">
        <f>VLOOKUP(F49,product_info!$A$2:$D$73,4,0)</f>
        <v>6</v>
      </c>
      <c r="J49" s="15" t="str">
        <f>VLOOKUP(I49,department!$A$2:$B$13,2,0)</f>
        <v>Outdoors</v>
      </c>
      <c r="K49">
        <v>10213</v>
      </c>
      <c r="L49" t="s">
        <v>530</v>
      </c>
      <c r="M49" s="4">
        <v>43403</v>
      </c>
      <c r="N49" s="12">
        <f t="shared" si="1"/>
        <v>10</v>
      </c>
      <c r="O49" s="13">
        <f t="shared" si="2"/>
        <v>2018</v>
      </c>
      <c r="P49" t="s">
        <v>13</v>
      </c>
      <c r="Q49" t="s">
        <v>5777</v>
      </c>
      <c r="R49" t="s">
        <v>38</v>
      </c>
      <c r="S49" t="str" cm="1">
        <f t="array" ref="S49">_xlfn.IFS(R49="COMPLETE", "COMPLETED", R49="CANCELED", "CANCELED", TRUE, "PENDING")</f>
        <v>PENDING</v>
      </c>
      <c r="T49" t="s">
        <v>90</v>
      </c>
      <c r="U49">
        <f>VLOOKUP(A49,ordered_items!$B:$E,4,0)</f>
        <v>74.97</v>
      </c>
    </row>
    <row r="50" spans="1:21" x14ac:dyDescent="0.3">
      <c r="A50">
        <v>20799</v>
      </c>
      <c r="B50" t="s">
        <v>24</v>
      </c>
      <c r="C50">
        <v>5</v>
      </c>
      <c r="D50">
        <v>2</v>
      </c>
      <c r="E50" t="str">
        <f t="shared" si="0"/>
        <v>DELAYED</v>
      </c>
      <c r="F50">
        <f>VLOOKUP($A50,ordered_items!$B$2:$E$4784,2,0)</f>
        <v>365</v>
      </c>
      <c r="G50">
        <f>VLOOKUP($A50,ordered_items!$B$2:$E$4784,3,0)</f>
        <v>1</v>
      </c>
      <c r="H50">
        <f>VLOOKUP($A50,ordered_items!$B$2:$E$4784,4,0)</f>
        <v>59.99</v>
      </c>
      <c r="I50" s="15">
        <f>VLOOKUP(F50,product_info!$A$2:$D$73,4,0)</f>
        <v>4</v>
      </c>
      <c r="J50" s="15" t="str">
        <f>VLOOKUP(I50,department!$A$2:$B$13,2,0)</f>
        <v>Apparel</v>
      </c>
      <c r="K50">
        <v>10442</v>
      </c>
      <c r="L50" t="s">
        <v>867</v>
      </c>
      <c r="M50" s="4">
        <v>43403</v>
      </c>
      <c r="N50" s="12">
        <f t="shared" si="1"/>
        <v>10</v>
      </c>
      <c r="O50" s="13">
        <f t="shared" si="2"/>
        <v>2018</v>
      </c>
      <c r="P50" t="s">
        <v>13</v>
      </c>
      <c r="Q50" t="s">
        <v>5781</v>
      </c>
      <c r="R50" t="s">
        <v>31</v>
      </c>
      <c r="S50" t="str" cm="1">
        <f t="array" ref="S50">_xlfn.IFS(R50="COMPLETE", "COMPLETED", R50="CANCELED", "CANCELED", TRUE, "PENDING")</f>
        <v>COMPLETED</v>
      </c>
      <c r="T50" t="s">
        <v>90</v>
      </c>
      <c r="U50">
        <f>VLOOKUP(A50,ordered_items!$B:$E,4,0)</f>
        <v>59.99</v>
      </c>
    </row>
    <row r="51" spans="1:21" x14ac:dyDescent="0.3">
      <c r="A51">
        <v>20827</v>
      </c>
      <c r="B51" t="s">
        <v>24</v>
      </c>
      <c r="C51">
        <v>3</v>
      </c>
      <c r="D51">
        <v>2</v>
      </c>
      <c r="E51" t="str">
        <f t="shared" si="0"/>
        <v>DELAYED</v>
      </c>
      <c r="F51">
        <f>VLOOKUP($A51,ordered_items!$B$2:$E$4784,2,0)</f>
        <v>365</v>
      </c>
      <c r="G51">
        <f>VLOOKUP($A51,ordered_items!$B$2:$E$4784,3,0)</f>
        <v>1</v>
      </c>
      <c r="H51">
        <f>VLOOKUP($A51,ordered_items!$B$2:$E$4784,4,0)</f>
        <v>59.99</v>
      </c>
      <c r="I51" s="15">
        <f>VLOOKUP(F51,product_info!$A$2:$D$73,4,0)</f>
        <v>4</v>
      </c>
      <c r="J51" s="15" t="str">
        <f>VLOOKUP(I51,department!$A$2:$B$13,2,0)</f>
        <v>Apparel</v>
      </c>
      <c r="K51">
        <v>8715</v>
      </c>
      <c r="L51" t="s">
        <v>136</v>
      </c>
      <c r="M51" s="4">
        <v>43404</v>
      </c>
      <c r="N51" s="12">
        <f t="shared" si="1"/>
        <v>10</v>
      </c>
      <c r="O51" s="13">
        <f t="shared" si="2"/>
        <v>2018</v>
      </c>
      <c r="P51" t="s">
        <v>13</v>
      </c>
      <c r="Q51" t="s">
        <v>47</v>
      </c>
      <c r="R51" t="s">
        <v>31</v>
      </c>
      <c r="S51" t="str" cm="1">
        <f t="array" ref="S51">_xlfn.IFS(R51="COMPLETE", "COMPLETED", R51="CANCELED", "CANCELED", TRUE, "PENDING")</f>
        <v>COMPLETED</v>
      </c>
      <c r="T51" t="s">
        <v>90</v>
      </c>
      <c r="U51">
        <f>VLOOKUP(A51,ordered_items!$B:$E,4,0)</f>
        <v>59.99</v>
      </c>
    </row>
    <row r="52" spans="1:21" x14ac:dyDescent="0.3">
      <c r="A52">
        <v>20828</v>
      </c>
      <c r="B52" t="s">
        <v>3</v>
      </c>
      <c r="C52">
        <v>4</v>
      </c>
      <c r="D52">
        <v>2</v>
      </c>
      <c r="E52" t="str">
        <f t="shared" si="0"/>
        <v>DELAYED</v>
      </c>
      <c r="F52">
        <f>VLOOKUP($A52,ordered_items!$B$2:$E$4784,2,0)</f>
        <v>37</v>
      </c>
      <c r="G52">
        <f>VLOOKUP($A52,ordered_items!$B$2:$E$4784,3,0)</f>
        <v>5</v>
      </c>
      <c r="H52">
        <f>VLOOKUP($A52,ordered_items!$B$2:$E$4784,4,0)</f>
        <v>174.95</v>
      </c>
      <c r="I52" s="15">
        <f>VLOOKUP(F52,product_info!$A$2:$D$73,4,0)</f>
        <v>2</v>
      </c>
      <c r="J52" s="15" t="str">
        <f>VLOOKUP(I52,department!$A$2:$B$13,2,0)</f>
        <v>Fitness</v>
      </c>
      <c r="K52">
        <v>3833</v>
      </c>
      <c r="L52" t="s">
        <v>136</v>
      </c>
      <c r="M52" s="4">
        <v>43404</v>
      </c>
      <c r="N52" s="12">
        <f t="shared" si="1"/>
        <v>10</v>
      </c>
      <c r="O52" s="13">
        <f t="shared" si="2"/>
        <v>2018</v>
      </c>
      <c r="P52" t="s">
        <v>13</v>
      </c>
      <c r="Q52" t="s">
        <v>47</v>
      </c>
      <c r="R52" t="s">
        <v>38</v>
      </c>
      <c r="S52" t="str" cm="1">
        <f t="array" ref="S52">_xlfn.IFS(R52="COMPLETE", "COMPLETED", R52="CANCELED", "CANCELED", TRUE, "PENDING")</f>
        <v>PENDING</v>
      </c>
      <c r="T52" t="s">
        <v>90</v>
      </c>
      <c r="U52">
        <f>VLOOKUP(A52,ordered_items!$B:$E,4,0)</f>
        <v>174.95</v>
      </c>
    </row>
    <row r="53" spans="1:21" x14ac:dyDescent="0.3">
      <c r="A53">
        <v>20829</v>
      </c>
      <c r="B53" t="s">
        <v>24</v>
      </c>
      <c r="C53">
        <v>5</v>
      </c>
      <c r="D53">
        <v>2</v>
      </c>
      <c r="E53" t="str">
        <f t="shared" si="0"/>
        <v>DELAYED</v>
      </c>
      <c r="F53">
        <f>VLOOKUP($A53,ordered_items!$B$2:$E$4784,2,0)</f>
        <v>1004</v>
      </c>
      <c r="G53">
        <f>VLOOKUP($A53,ordered_items!$B$2:$E$4784,3,0)</f>
        <v>1</v>
      </c>
      <c r="H53">
        <f>VLOOKUP($A53,ordered_items!$B$2:$E$4784,4,0)</f>
        <v>399.98</v>
      </c>
      <c r="I53" s="15">
        <f>VLOOKUP(F53,product_info!$A$2:$D$73,4,0)</f>
        <v>7</v>
      </c>
      <c r="J53" s="15" t="str">
        <f>VLOOKUP(I53,department!$A$2:$B$13,2,0)</f>
        <v>Fan Shop</v>
      </c>
      <c r="K53">
        <v>11489</v>
      </c>
      <c r="L53" t="s">
        <v>136</v>
      </c>
      <c r="M53" s="4">
        <v>43404</v>
      </c>
      <c r="N53" s="12">
        <f t="shared" si="1"/>
        <v>10</v>
      </c>
      <c r="O53" s="13">
        <f t="shared" si="2"/>
        <v>2018</v>
      </c>
      <c r="P53" t="s">
        <v>13</v>
      </c>
      <c r="Q53" t="s">
        <v>47</v>
      </c>
      <c r="R53" t="s">
        <v>31</v>
      </c>
      <c r="S53" t="str" cm="1">
        <f t="array" ref="S53">_xlfn.IFS(R53="COMPLETE", "COMPLETED", R53="CANCELED", "CANCELED", TRUE, "PENDING")</f>
        <v>COMPLETED</v>
      </c>
      <c r="T53" t="s">
        <v>90</v>
      </c>
      <c r="U53">
        <f>VLOOKUP(A53,ordered_items!$B:$E,4,0)</f>
        <v>399.98</v>
      </c>
    </row>
    <row r="54" spans="1:21" x14ac:dyDescent="0.3">
      <c r="A54">
        <v>20833</v>
      </c>
      <c r="B54" t="s">
        <v>24</v>
      </c>
      <c r="C54">
        <v>4</v>
      </c>
      <c r="D54">
        <v>4</v>
      </c>
      <c r="E54" t="str">
        <f t="shared" si="0"/>
        <v xml:space="preserve"> ONTIME</v>
      </c>
      <c r="F54">
        <f>VLOOKUP($A54,ordered_items!$B$2:$E$4784,2,0)</f>
        <v>957</v>
      </c>
      <c r="G54">
        <f>VLOOKUP($A54,ordered_items!$B$2:$E$4784,3,0)</f>
        <v>1</v>
      </c>
      <c r="H54">
        <f>VLOOKUP($A54,ordered_items!$B$2:$E$4784,4,0)</f>
        <v>299.98</v>
      </c>
      <c r="I54" s="15">
        <f>VLOOKUP(F54,product_info!$A$2:$D$73,4,0)</f>
        <v>7</v>
      </c>
      <c r="J54" s="15" t="str">
        <f>VLOOKUP(I54,department!$A$2:$B$13,2,0)</f>
        <v>Fan Shop</v>
      </c>
      <c r="K54">
        <v>1577</v>
      </c>
      <c r="L54" t="s">
        <v>1355</v>
      </c>
      <c r="M54" s="4">
        <v>43404</v>
      </c>
      <c r="N54" s="12">
        <f t="shared" si="1"/>
        <v>10</v>
      </c>
      <c r="O54" s="13">
        <f t="shared" si="2"/>
        <v>2018</v>
      </c>
      <c r="P54" t="s">
        <v>13</v>
      </c>
      <c r="Q54" t="s">
        <v>377</v>
      </c>
      <c r="R54" t="s">
        <v>31</v>
      </c>
      <c r="S54" t="str" cm="1">
        <f t="array" ref="S54">_xlfn.IFS(R54="COMPLETE", "COMPLETED", R54="CANCELED", "CANCELED", TRUE, "PENDING")</f>
        <v>COMPLETED</v>
      </c>
      <c r="T54" t="s">
        <v>16</v>
      </c>
      <c r="U54">
        <f>VLOOKUP(A54,ordered_items!$B:$E,4,0)</f>
        <v>299.98</v>
      </c>
    </row>
    <row r="55" spans="1:21" x14ac:dyDescent="0.3">
      <c r="A55">
        <v>20836</v>
      </c>
      <c r="B55" t="s">
        <v>51</v>
      </c>
      <c r="C55">
        <v>2</v>
      </c>
      <c r="D55">
        <v>4</v>
      </c>
      <c r="E55" t="str">
        <f t="shared" si="0"/>
        <v xml:space="preserve"> ONTIME</v>
      </c>
      <c r="F55">
        <f>VLOOKUP($A55,ordered_items!$B$2:$E$4784,2,0)</f>
        <v>365</v>
      </c>
      <c r="G55">
        <f>VLOOKUP($A55,ordered_items!$B$2:$E$4784,3,0)</f>
        <v>1</v>
      </c>
      <c r="H55">
        <f>VLOOKUP($A55,ordered_items!$B$2:$E$4784,4,0)</f>
        <v>59.99</v>
      </c>
      <c r="I55" s="15">
        <f>VLOOKUP(F55,product_info!$A$2:$D$73,4,0)</f>
        <v>4</v>
      </c>
      <c r="J55" s="15" t="str">
        <f>VLOOKUP(I55,department!$A$2:$B$13,2,0)</f>
        <v>Apparel</v>
      </c>
      <c r="K55">
        <v>3175</v>
      </c>
      <c r="L55" t="s">
        <v>537</v>
      </c>
      <c r="M55" s="4">
        <v>43404</v>
      </c>
      <c r="N55" s="12">
        <f t="shared" si="1"/>
        <v>10</v>
      </c>
      <c r="O55" s="13">
        <f t="shared" si="2"/>
        <v>2018</v>
      </c>
      <c r="P55" t="s">
        <v>13</v>
      </c>
      <c r="Q55" t="s">
        <v>538</v>
      </c>
      <c r="R55" t="s">
        <v>57</v>
      </c>
      <c r="S55" t="str" cm="1">
        <f t="array" ref="S55">_xlfn.IFS(R55="COMPLETE", "COMPLETED", R55="CANCELED", "CANCELED", TRUE, "PENDING")</f>
        <v>PENDING</v>
      </c>
      <c r="T55" t="s">
        <v>16</v>
      </c>
      <c r="U55">
        <f>VLOOKUP(A55,ordered_items!$B:$E,4,0)</f>
        <v>59.99</v>
      </c>
    </row>
    <row r="56" spans="1:21" x14ac:dyDescent="0.3">
      <c r="A56">
        <v>20851</v>
      </c>
      <c r="B56" t="s">
        <v>17</v>
      </c>
      <c r="C56">
        <v>2</v>
      </c>
      <c r="D56">
        <v>4</v>
      </c>
      <c r="E56" t="str">
        <f t="shared" si="0"/>
        <v xml:space="preserve"> ONTIME</v>
      </c>
      <c r="F56">
        <f>VLOOKUP($A56,ordered_items!$B$2:$E$4784,2,0)</f>
        <v>403</v>
      </c>
      <c r="G56">
        <f>VLOOKUP($A56,ordered_items!$B$2:$E$4784,3,0)</f>
        <v>1</v>
      </c>
      <c r="H56">
        <f>VLOOKUP($A56,ordered_items!$B$2:$E$4784,4,0)</f>
        <v>129.99</v>
      </c>
      <c r="I56" s="15">
        <f>VLOOKUP(F56,product_info!$A$2:$D$73,4,0)</f>
        <v>4</v>
      </c>
      <c r="J56" s="15" t="str">
        <f>VLOOKUP(I56,department!$A$2:$B$13,2,0)</f>
        <v>Apparel</v>
      </c>
      <c r="K56">
        <v>12380</v>
      </c>
      <c r="L56" t="s">
        <v>888</v>
      </c>
      <c r="M56" s="4">
        <v>43404</v>
      </c>
      <c r="N56" s="12">
        <f t="shared" si="1"/>
        <v>10</v>
      </c>
      <c r="O56" s="13">
        <f t="shared" si="2"/>
        <v>2018</v>
      </c>
      <c r="P56" t="s">
        <v>13</v>
      </c>
      <c r="Q56" t="s">
        <v>30</v>
      </c>
      <c r="R56" t="s">
        <v>23</v>
      </c>
      <c r="S56" t="str" cm="1">
        <f t="array" ref="S56">_xlfn.IFS(R56="COMPLETE", "COMPLETED", R56="CANCELED", "CANCELED", TRUE, "PENDING")</f>
        <v>PENDING</v>
      </c>
      <c r="T56" t="s">
        <v>16</v>
      </c>
      <c r="U56">
        <f>VLOOKUP(A56,ordered_items!$B:$E,4,0)</f>
        <v>129.99</v>
      </c>
    </row>
    <row r="57" spans="1:21" x14ac:dyDescent="0.3">
      <c r="A57">
        <v>20852</v>
      </c>
      <c r="B57" t="s">
        <v>3</v>
      </c>
      <c r="C57">
        <v>3</v>
      </c>
      <c r="D57">
        <v>4</v>
      </c>
      <c r="E57" t="str">
        <f t="shared" si="0"/>
        <v xml:space="preserve"> ONTIME</v>
      </c>
      <c r="F57">
        <f>VLOOKUP($A57,ordered_items!$B$2:$E$4784,2,0)</f>
        <v>1014</v>
      </c>
      <c r="G57">
        <f>VLOOKUP($A57,ordered_items!$B$2:$E$4784,3,0)</f>
        <v>4</v>
      </c>
      <c r="H57">
        <f>VLOOKUP($A57,ordered_items!$B$2:$E$4784,4,0)</f>
        <v>199.92</v>
      </c>
      <c r="I57" s="15">
        <f>VLOOKUP(F57,product_info!$A$2:$D$73,4,0)</f>
        <v>7</v>
      </c>
      <c r="J57" s="15" t="str">
        <f>VLOOKUP(I57,department!$A$2:$B$13,2,0)</f>
        <v>Fan Shop</v>
      </c>
      <c r="K57">
        <v>1371</v>
      </c>
      <c r="L57" t="s">
        <v>888</v>
      </c>
      <c r="M57" s="4">
        <v>43404</v>
      </c>
      <c r="N57" s="12">
        <f t="shared" si="1"/>
        <v>10</v>
      </c>
      <c r="O57" s="13">
        <f t="shared" si="2"/>
        <v>2018</v>
      </c>
      <c r="P57" t="s">
        <v>13</v>
      </c>
      <c r="Q57" t="s">
        <v>30</v>
      </c>
      <c r="R57" t="s">
        <v>14</v>
      </c>
      <c r="S57" t="str" cm="1">
        <f t="array" ref="S57">_xlfn.IFS(R57="COMPLETE", "COMPLETED", R57="CANCELED", "CANCELED", TRUE, "PENDING")</f>
        <v>PENDING</v>
      </c>
      <c r="T57" t="s">
        <v>16</v>
      </c>
      <c r="U57">
        <f>VLOOKUP(A57,ordered_items!$B:$E,4,0)</f>
        <v>199.92</v>
      </c>
    </row>
    <row r="58" spans="1:21" x14ac:dyDescent="0.3">
      <c r="A58">
        <v>20853</v>
      </c>
      <c r="B58" t="s">
        <v>24</v>
      </c>
      <c r="C58">
        <v>4</v>
      </c>
      <c r="D58">
        <v>4</v>
      </c>
      <c r="E58" t="str">
        <f t="shared" si="0"/>
        <v xml:space="preserve"> ONTIME</v>
      </c>
      <c r="F58">
        <f>VLOOKUP($A58,ordered_items!$B$2:$E$4784,2,0)</f>
        <v>403</v>
      </c>
      <c r="G58">
        <f>VLOOKUP($A58,ordered_items!$B$2:$E$4784,3,0)</f>
        <v>1</v>
      </c>
      <c r="H58">
        <f>VLOOKUP($A58,ordered_items!$B$2:$E$4784,4,0)</f>
        <v>129.99</v>
      </c>
      <c r="I58" s="15">
        <f>VLOOKUP(F58,product_info!$A$2:$D$73,4,0)</f>
        <v>4</v>
      </c>
      <c r="J58" s="15" t="str">
        <f>VLOOKUP(I58,department!$A$2:$B$13,2,0)</f>
        <v>Apparel</v>
      </c>
      <c r="K58">
        <v>5519</v>
      </c>
      <c r="L58" t="s">
        <v>888</v>
      </c>
      <c r="M58" s="4">
        <v>43404</v>
      </c>
      <c r="N58" s="12">
        <f t="shared" si="1"/>
        <v>10</v>
      </c>
      <c r="O58" s="13">
        <f t="shared" si="2"/>
        <v>2018</v>
      </c>
      <c r="P58" t="s">
        <v>13</v>
      </c>
      <c r="Q58" t="s">
        <v>30</v>
      </c>
      <c r="R58" t="s">
        <v>378</v>
      </c>
      <c r="S58" t="str" cm="1">
        <f t="array" ref="S58">_xlfn.IFS(R58="COMPLETE", "COMPLETED", R58="CANCELED", "CANCELED", TRUE, "PENDING")</f>
        <v>PENDING</v>
      </c>
      <c r="T58" t="s">
        <v>16</v>
      </c>
      <c r="U58">
        <f>VLOOKUP(A58,ordered_items!$B:$E,4,0)</f>
        <v>129.99</v>
      </c>
    </row>
    <row r="59" spans="1:21" x14ac:dyDescent="0.3">
      <c r="A59">
        <v>20854</v>
      </c>
      <c r="B59" t="s">
        <v>3</v>
      </c>
      <c r="C59">
        <v>5</v>
      </c>
      <c r="D59">
        <v>4</v>
      </c>
      <c r="E59" t="str">
        <f t="shared" si="0"/>
        <v>DELAYED</v>
      </c>
      <c r="F59">
        <f>VLOOKUP($A59,ordered_items!$B$2:$E$4784,2,0)</f>
        <v>403</v>
      </c>
      <c r="G59">
        <f>VLOOKUP($A59,ordered_items!$B$2:$E$4784,3,0)</f>
        <v>1</v>
      </c>
      <c r="H59">
        <f>VLOOKUP($A59,ordered_items!$B$2:$E$4784,4,0)</f>
        <v>129.99</v>
      </c>
      <c r="I59" s="15">
        <f>VLOOKUP(F59,product_info!$A$2:$D$73,4,0)</f>
        <v>4</v>
      </c>
      <c r="J59" s="15" t="str">
        <f>VLOOKUP(I59,department!$A$2:$B$13,2,0)</f>
        <v>Apparel</v>
      </c>
      <c r="K59">
        <v>1192</v>
      </c>
      <c r="L59" t="s">
        <v>888</v>
      </c>
      <c r="M59" s="4">
        <v>43404</v>
      </c>
      <c r="N59" s="12">
        <f t="shared" si="1"/>
        <v>10</v>
      </c>
      <c r="O59" s="13">
        <f t="shared" si="2"/>
        <v>2018</v>
      </c>
      <c r="P59" t="s">
        <v>13</v>
      </c>
      <c r="Q59" t="s">
        <v>30</v>
      </c>
      <c r="R59" t="s">
        <v>235</v>
      </c>
      <c r="S59" t="str" cm="1">
        <f t="array" ref="S59">_xlfn.IFS(R59="COMPLETE", "COMPLETED", R59="CANCELED", "CANCELED", TRUE, "PENDING")</f>
        <v>CANCELED</v>
      </c>
      <c r="T59" t="s">
        <v>16</v>
      </c>
      <c r="U59">
        <f>VLOOKUP(A59,ordered_items!$B:$E,4,0)</f>
        <v>129.99</v>
      </c>
    </row>
    <row r="60" spans="1:21" x14ac:dyDescent="0.3">
      <c r="A60">
        <v>20855</v>
      </c>
      <c r="B60" t="s">
        <v>51</v>
      </c>
      <c r="C60">
        <v>6</v>
      </c>
      <c r="D60">
        <v>4</v>
      </c>
      <c r="E60" t="str">
        <f t="shared" si="0"/>
        <v>DELAYED</v>
      </c>
      <c r="F60">
        <f>VLOOKUP($A60,ordered_items!$B$2:$E$4784,2,0)</f>
        <v>1014</v>
      </c>
      <c r="G60">
        <f>VLOOKUP($A60,ordered_items!$B$2:$E$4784,3,0)</f>
        <v>4</v>
      </c>
      <c r="H60">
        <f>VLOOKUP($A60,ordered_items!$B$2:$E$4784,4,0)</f>
        <v>199.92</v>
      </c>
      <c r="I60" s="15">
        <f>VLOOKUP(F60,product_info!$A$2:$D$73,4,0)</f>
        <v>7</v>
      </c>
      <c r="J60" s="15" t="str">
        <f>VLOOKUP(I60,department!$A$2:$B$13,2,0)</f>
        <v>Fan Shop</v>
      </c>
      <c r="K60">
        <v>6586</v>
      </c>
      <c r="L60" t="s">
        <v>2438</v>
      </c>
      <c r="M60" s="4">
        <v>43404</v>
      </c>
      <c r="N60" s="12">
        <f t="shared" si="1"/>
        <v>10</v>
      </c>
      <c r="O60" s="13">
        <f t="shared" si="2"/>
        <v>2018</v>
      </c>
      <c r="P60" t="s">
        <v>13</v>
      </c>
      <c r="Q60" t="s">
        <v>47</v>
      </c>
      <c r="R60" t="s">
        <v>57</v>
      </c>
      <c r="S60" t="str" cm="1">
        <f t="array" ref="S60">_xlfn.IFS(R60="COMPLETE", "COMPLETED", R60="CANCELED", "CANCELED", TRUE, "PENDING")</f>
        <v>PENDING</v>
      </c>
      <c r="T60" t="s">
        <v>16</v>
      </c>
      <c r="U60">
        <f>VLOOKUP(A60,ordered_items!$B:$E,4,0)</f>
        <v>199.92</v>
      </c>
    </row>
    <row r="61" spans="1:21" x14ac:dyDescent="0.3">
      <c r="A61">
        <v>20869</v>
      </c>
      <c r="B61" t="s">
        <v>3</v>
      </c>
      <c r="C61">
        <v>5</v>
      </c>
      <c r="D61">
        <v>4</v>
      </c>
      <c r="E61" t="str">
        <f t="shared" si="0"/>
        <v>DELAYED</v>
      </c>
      <c r="F61">
        <f>VLOOKUP($A61,ordered_items!$B$2:$E$4784,2,0)</f>
        <v>728</v>
      </c>
      <c r="G61">
        <f>VLOOKUP($A61,ordered_items!$B$2:$E$4784,3,0)</f>
        <v>3</v>
      </c>
      <c r="H61">
        <f>VLOOKUP($A61,ordered_items!$B$2:$E$4784,4,0)</f>
        <v>195</v>
      </c>
      <c r="I61" s="15">
        <f>VLOOKUP(F61,product_info!$A$2:$D$73,4,0)</f>
        <v>6</v>
      </c>
      <c r="J61" s="15" t="str">
        <f>VLOOKUP(I61,department!$A$2:$B$13,2,0)</f>
        <v>Outdoors</v>
      </c>
      <c r="K61">
        <v>5968</v>
      </c>
      <c r="L61" t="s">
        <v>660</v>
      </c>
      <c r="M61" s="4">
        <v>43404</v>
      </c>
      <c r="N61" s="12">
        <f t="shared" si="1"/>
        <v>10</v>
      </c>
      <c r="O61" s="13">
        <f t="shared" si="2"/>
        <v>2018</v>
      </c>
      <c r="P61" t="s">
        <v>13</v>
      </c>
      <c r="Q61" t="s">
        <v>99</v>
      </c>
      <c r="R61" t="s">
        <v>38</v>
      </c>
      <c r="S61" t="str" cm="1">
        <f t="array" ref="S61">_xlfn.IFS(R61="COMPLETE", "COMPLETED", R61="CANCELED", "CANCELED", TRUE, "PENDING")</f>
        <v>PENDING</v>
      </c>
      <c r="T61" t="s">
        <v>16</v>
      </c>
      <c r="U61">
        <f>VLOOKUP(A61,ordered_items!$B:$E,4,0)</f>
        <v>195</v>
      </c>
    </row>
    <row r="62" spans="1:21" x14ac:dyDescent="0.3">
      <c r="A62">
        <v>20870</v>
      </c>
      <c r="B62" t="s">
        <v>51</v>
      </c>
      <c r="C62">
        <v>2</v>
      </c>
      <c r="D62">
        <v>1</v>
      </c>
      <c r="E62" t="str">
        <f t="shared" si="0"/>
        <v>DELAYED</v>
      </c>
      <c r="F62">
        <f>VLOOKUP($A62,ordered_items!$B$2:$E$4784,2,0)</f>
        <v>1014</v>
      </c>
      <c r="G62">
        <f>VLOOKUP($A62,ordered_items!$B$2:$E$4784,3,0)</f>
        <v>4</v>
      </c>
      <c r="H62">
        <f>VLOOKUP($A62,ordered_items!$B$2:$E$4784,4,0)</f>
        <v>199.92</v>
      </c>
      <c r="I62" s="15">
        <f>VLOOKUP(F62,product_info!$A$2:$D$73,4,0)</f>
        <v>7</v>
      </c>
      <c r="J62" s="15" t="str">
        <f>VLOOKUP(I62,department!$A$2:$B$13,2,0)</f>
        <v>Fan Shop</v>
      </c>
      <c r="K62">
        <v>7057</v>
      </c>
      <c r="L62" t="s">
        <v>660</v>
      </c>
      <c r="M62" s="4">
        <v>43404</v>
      </c>
      <c r="N62" s="12">
        <f t="shared" si="1"/>
        <v>10</v>
      </c>
      <c r="O62" s="13">
        <f t="shared" si="2"/>
        <v>2018</v>
      </c>
      <c r="P62" t="s">
        <v>13</v>
      </c>
      <c r="Q62" t="s">
        <v>99</v>
      </c>
      <c r="R62" t="s">
        <v>57</v>
      </c>
      <c r="S62" t="str" cm="1">
        <f t="array" ref="S62">_xlfn.IFS(R62="COMPLETE", "COMPLETED", R62="CANCELED", "CANCELED", TRUE, "PENDING")</f>
        <v>PENDING</v>
      </c>
      <c r="T62" t="s">
        <v>32</v>
      </c>
      <c r="U62">
        <f>VLOOKUP(A62,ordered_items!$B:$E,4,0)</f>
        <v>199.92</v>
      </c>
    </row>
    <row r="63" spans="1:21" x14ac:dyDescent="0.3">
      <c r="A63">
        <v>20877</v>
      </c>
      <c r="B63" t="s">
        <v>51</v>
      </c>
      <c r="C63">
        <v>3</v>
      </c>
      <c r="D63">
        <v>4</v>
      </c>
      <c r="E63" t="str">
        <f t="shared" si="0"/>
        <v xml:space="preserve"> ONTIME</v>
      </c>
      <c r="F63">
        <f>VLOOKUP($A63,ordered_items!$B$2:$E$4784,2,0)</f>
        <v>403</v>
      </c>
      <c r="G63">
        <f>VLOOKUP($A63,ordered_items!$B$2:$E$4784,3,0)</f>
        <v>1</v>
      </c>
      <c r="H63">
        <f>VLOOKUP($A63,ordered_items!$B$2:$E$4784,4,0)</f>
        <v>129.99</v>
      </c>
      <c r="I63" s="15">
        <f>VLOOKUP(F63,product_info!$A$2:$D$73,4,0)</f>
        <v>4</v>
      </c>
      <c r="J63" s="15" t="str">
        <f>VLOOKUP(I63,department!$A$2:$B$13,2,0)</f>
        <v>Apparel</v>
      </c>
      <c r="K63">
        <v>3461</v>
      </c>
      <c r="L63" t="s">
        <v>244</v>
      </c>
      <c r="M63" s="4">
        <v>43404</v>
      </c>
      <c r="N63" s="12">
        <f t="shared" si="1"/>
        <v>10</v>
      </c>
      <c r="O63" s="13">
        <f t="shared" si="2"/>
        <v>2018</v>
      </c>
      <c r="P63" t="s">
        <v>13</v>
      </c>
      <c r="Q63" t="s">
        <v>245</v>
      </c>
      <c r="R63" t="s">
        <v>57</v>
      </c>
      <c r="S63" t="str" cm="1">
        <f t="array" ref="S63">_xlfn.IFS(R63="COMPLETE", "COMPLETED", R63="CANCELED", "CANCELED", TRUE, "PENDING")</f>
        <v>PENDING</v>
      </c>
      <c r="T63" t="s">
        <v>16</v>
      </c>
      <c r="U63">
        <f>VLOOKUP(A63,ordered_items!$B:$E,4,0)</f>
        <v>129.99</v>
      </c>
    </row>
    <row r="64" spans="1:21" x14ac:dyDescent="0.3">
      <c r="A64">
        <v>20887</v>
      </c>
      <c r="B64" t="s">
        <v>51</v>
      </c>
      <c r="C64">
        <v>3</v>
      </c>
      <c r="D64">
        <v>4</v>
      </c>
      <c r="E64" t="str">
        <f t="shared" si="0"/>
        <v xml:space="preserve"> ONTIME</v>
      </c>
      <c r="F64">
        <f>VLOOKUP($A64,ordered_items!$B$2:$E$4784,2,0)</f>
        <v>403</v>
      </c>
      <c r="G64">
        <f>VLOOKUP($A64,ordered_items!$B$2:$E$4784,3,0)</f>
        <v>1</v>
      </c>
      <c r="H64">
        <f>VLOOKUP($A64,ordered_items!$B$2:$E$4784,4,0)</f>
        <v>129.99</v>
      </c>
      <c r="I64" s="15">
        <f>VLOOKUP(F64,product_info!$A$2:$D$73,4,0)</f>
        <v>4</v>
      </c>
      <c r="J64" s="15" t="str">
        <f>VLOOKUP(I64,department!$A$2:$B$13,2,0)</f>
        <v>Apparel</v>
      </c>
      <c r="K64">
        <v>1558</v>
      </c>
      <c r="L64" t="s">
        <v>541</v>
      </c>
      <c r="M64" s="4">
        <v>43404</v>
      </c>
      <c r="N64" s="12">
        <f t="shared" si="1"/>
        <v>10</v>
      </c>
      <c r="O64" s="13">
        <f t="shared" si="2"/>
        <v>2018</v>
      </c>
      <c r="P64" t="s">
        <v>13</v>
      </c>
      <c r="Q64" t="s">
        <v>5780</v>
      </c>
      <c r="R64" t="s">
        <v>57</v>
      </c>
      <c r="S64" t="str" cm="1">
        <f t="array" ref="S64">_xlfn.IFS(R64="COMPLETE", "COMPLETED", R64="CANCELED", "CANCELED", TRUE, "PENDING")</f>
        <v>PENDING</v>
      </c>
      <c r="T64" t="s">
        <v>16</v>
      </c>
      <c r="U64">
        <f>VLOOKUP(A64,ordered_items!$B:$E,4,0)</f>
        <v>129.99</v>
      </c>
    </row>
    <row r="65" spans="1:21" x14ac:dyDescent="0.3">
      <c r="A65">
        <v>20935</v>
      </c>
      <c r="B65" t="s">
        <v>24</v>
      </c>
      <c r="C65">
        <v>6</v>
      </c>
      <c r="D65">
        <v>4</v>
      </c>
      <c r="E65" t="str">
        <f t="shared" si="0"/>
        <v>DELAYED</v>
      </c>
      <c r="F65">
        <f>VLOOKUP($A65,ordered_items!$B$2:$E$4784,2,0)</f>
        <v>502</v>
      </c>
      <c r="G65">
        <f>VLOOKUP($A65,ordered_items!$B$2:$E$4784,3,0)</f>
        <v>5</v>
      </c>
      <c r="H65">
        <f>VLOOKUP($A65,ordered_items!$B$2:$E$4784,4,0)</f>
        <v>250</v>
      </c>
      <c r="I65" s="15">
        <f>VLOOKUP(F65,product_info!$A$2:$D$73,4,0)</f>
        <v>5</v>
      </c>
      <c r="J65" s="15" t="str">
        <f>VLOOKUP(I65,department!$A$2:$B$13,2,0)</f>
        <v>Golf</v>
      </c>
      <c r="K65">
        <v>12301</v>
      </c>
      <c r="L65" t="s">
        <v>202</v>
      </c>
      <c r="M65" s="4">
        <v>43405</v>
      </c>
      <c r="N65" s="12">
        <f t="shared" si="1"/>
        <v>11</v>
      </c>
      <c r="O65" s="13">
        <f t="shared" si="2"/>
        <v>2018</v>
      </c>
      <c r="P65" t="s">
        <v>13</v>
      </c>
      <c r="Q65" t="s">
        <v>203</v>
      </c>
      <c r="R65" t="s">
        <v>31</v>
      </c>
      <c r="S65" t="str" cm="1">
        <f t="array" ref="S65">_xlfn.IFS(R65="COMPLETE", "COMPLETED", R65="CANCELED", "CANCELED", TRUE, "PENDING")</f>
        <v>COMPLETED</v>
      </c>
      <c r="T65" t="s">
        <v>16</v>
      </c>
      <c r="U65">
        <f>VLOOKUP(A65,ordered_items!$B:$E,4,0)</f>
        <v>250</v>
      </c>
    </row>
    <row r="66" spans="1:21" x14ac:dyDescent="0.3">
      <c r="A66">
        <v>20937</v>
      </c>
      <c r="B66" t="s">
        <v>24</v>
      </c>
      <c r="C66">
        <v>3</v>
      </c>
      <c r="D66">
        <v>4</v>
      </c>
      <c r="E66" t="str">
        <f t="shared" si="0"/>
        <v xml:space="preserve"> ONTIME</v>
      </c>
      <c r="F66">
        <f>VLOOKUP($A66,ordered_items!$B$2:$E$4784,2,0)</f>
        <v>365</v>
      </c>
      <c r="G66">
        <f>VLOOKUP($A66,ordered_items!$B$2:$E$4784,3,0)</f>
        <v>5</v>
      </c>
      <c r="H66">
        <f>VLOOKUP($A66,ordered_items!$B$2:$E$4784,4,0)</f>
        <v>299.95</v>
      </c>
      <c r="I66" s="15">
        <f>VLOOKUP(F66,product_info!$A$2:$D$73,4,0)</f>
        <v>4</v>
      </c>
      <c r="J66" s="15" t="str">
        <f>VLOOKUP(I66,department!$A$2:$B$13,2,0)</f>
        <v>Apparel</v>
      </c>
      <c r="K66">
        <v>10142</v>
      </c>
      <c r="L66" t="s">
        <v>70</v>
      </c>
      <c r="M66" s="4">
        <v>43405</v>
      </c>
      <c r="N66" s="12">
        <f t="shared" si="1"/>
        <v>11</v>
      </c>
      <c r="O66" s="13">
        <f t="shared" si="2"/>
        <v>2018</v>
      </c>
      <c r="P66" t="s">
        <v>13</v>
      </c>
      <c r="Q66" t="s">
        <v>70</v>
      </c>
      <c r="R66" t="s">
        <v>378</v>
      </c>
      <c r="S66" t="str" cm="1">
        <f t="array" ref="S66">_xlfn.IFS(R66="COMPLETE", "COMPLETED", R66="CANCELED", "CANCELED", TRUE, "PENDING")</f>
        <v>PENDING</v>
      </c>
      <c r="T66" t="s">
        <v>16</v>
      </c>
      <c r="U66">
        <f>VLOOKUP(A66,ordered_items!$B:$E,4,0)</f>
        <v>299.95</v>
      </c>
    </row>
    <row r="67" spans="1:21" x14ac:dyDescent="0.3">
      <c r="A67">
        <v>20938</v>
      </c>
      <c r="B67" t="s">
        <v>51</v>
      </c>
      <c r="C67">
        <v>4</v>
      </c>
      <c r="D67">
        <v>4</v>
      </c>
      <c r="E67" t="str">
        <f t="shared" ref="E67:E130" si="3">IF(C67-D67&gt;0,"DELAYED"," ONTIME")</f>
        <v xml:space="preserve"> ONTIME</v>
      </c>
      <c r="F67">
        <f>VLOOKUP($A67,ordered_items!$B$2:$E$4784,2,0)</f>
        <v>502</v>
      </c>
      <c r="G67">
        <f>VLOOKUP($A67,ordered_items!$B$2:$E$4784,3,0)</f>
        <v>1</v>
      </c>
      <c r="H67">
        <f>VLOOKUP($A67,ordered_items!$B$2:$E$4784,4,0)</f>
        <v>50</v>
      </c>
      <c r="I67" s="15">
        <f>VLOOKUP(F67,product_info!$A$2:$D$73,4,0)</f>
        <v>5</v>
      </c>
      <c r="J67" s="15" t="str">
        <f>VLOOKUP(I67,department!$A$2:$B$13,2,0)</f>
        <v>Golf</v>
      </c>
      <c r="K67">
        <v>12148</v>
      </c>
      <c r="L67" t="s">
        <v>70</v>
      </c>
      <c r="M67" s="4">
        <v>43405</v>
      </c>
      <c r="N67" s="12">
        <f t="shared" ref="N67:N130" si="4">MONTH(M67)</f>
        <v>11</v>
      </c>
      <c r="O67" s="13">
        <f t="shared" ref="O67:O130" si="5">YEAR(M67)</f>
        <v>2018</v>
      </c>
      <c r="P67" t="s">
        <v>13</v>
      </c>
      <c r="Q67" t="s">
        <v>70</v>
      </c>
      <c r="R67" t="s">
        <v>57</v>
      </c>
      <c r="S67" t="str" cm="1">
        <f t="array" ref="S67">_xlfn.IFS(R67="COMPLETE", "COMPLETED", R67="CANCELED", "CANCELED", TRUE, "PENDING")</f>
        <v>PENDING</v>
      </c>
      <c r="T67" t="s">
        <v>16</v>
      </c>
      <c r="U67">
        <f>VLOOKUP(A67,ordered_items!$B:$E,4,0)</f>
        <v>50</v>
      </c>
    </row>
    <row r="68" spans="1:21" x14ac:dyDescent="0.3">
      <c r="A68">
        <v>20939</v>
      </c>
      <c r="B68" t="s">
        <v>3</v>
      </c>
      <c r="C68">
        <v>5</v>
      </c>
      <c r="D68">
        <v>4</v>
      </c>
      <c r="E68" t="str">
        <f t="shared" si="3"/>
        <v>DELAYED</v>
      </c>
      <c r="F68">
        <f>VLOOKUP($A68,ordered_items!$B$2:$E$4784,2,0)</f>
        <v>365</v>
      </c>
      <c r="G68">
        <f>VLOOKUP($A68,ordered_items!$B$2:$E$4784,3,0)</f>
        <v>3</v>
      </c>
      <c r="H68">
        <f>VLOOKUP($A68,ordered_items!$B$2:$E$4784,4,0)</f>
        <v>179.97</v>
      </c>
      <c r="I68" s="15">
        <f>VLOOKUP(F68,product_info!$A$2:$D$73,4,0)</f>
        <v>4</v>
      </c>
      <c r="J68" s="15" t="str">
        <f>VLOOKUP(I68,department!$A$2:$B$13,2,0)</f>
        <v>Apparel</v>
      </c>
      <c r="K68">
        <v>343</v>
      </c>
      <c r="L68" t="s">
        <v>764</v>
      </c>
      <c r="M68" s="4">
        <v>43405</v>
      </c>
      <c r="N68" s="12">
        <f t="shared" si="4"/>
        <v>11</v>
      </c>
      <c r="O68" s="13">
        <f t="shared" si="5"/>
        <v>2018</v>
      </c>
      <c r="P68" t="s">
        <v>13</v>
      </c>
      <c r="Q68" t="s">
        <v>30</v>
      </c>
      <c r="R68" t="s">
        <v>38</v>
      </c>
      <c r="S68" t="str" cm="1">
        <f t="array" ref="S68">_xlfn.IFS(R68="COMPLETE", "COMPLETED", R68="CANCELED", "CANCELED", TRUE, "PENDING")</f>
        <v>PENDING</v>
      </c>
      <c r="T68" t="s">
        <v>16</v>
      </c>
      <c r="U68">
        <f>VLOOKUP(A68,ordered_items!$B:$E,4,0)</f>
        <v>179.97</v>
      </c>
    </row>
    <row r="69" spans="1:21" x14ac:dyDescent="0.3">
      <c r="A69">
        <v>20940</v>
      </c>
      <c r="B69" t="s">
        <v>3</v>
      </c>
      <c r="C69">
        <v>6</v>
      </c>
      <c r="D69">
        <v>4</v>
      </c>
      <c r="E69" t="str">
        <f t="shared" si="3"/>
        <v>DELAYED</v>
      </c>
      <c r="F69">
        <f>VLOOKUP($A69,ordered_items!$B$2:$E$4784,2,0)</f>
        <v>1073</v>
      </c>
      <c r="G69">
        <f>VLOOKUP($A69,ordered_items!$B$2:$E$4784,3,0)</f>
        <v>1</v>
      </c>
      <c r="H69">
        <f>VLOOKUP($A69,ordered_items!$B$2:$E$4784,4,0)</f>
        <v>199.99</v>
      </c>
      <c r="I69" s="15">
        <f>VLOOKUP(F69,product_info!$A$2:$D$73,4,0)</f>
        <v>7</v>
      </c>
      <c r="J69" s="15" t="str">
        <f>VLOOKUP(I69,department!$A$2:$B$13,2,0)</f>
        <v>Fan Shop</v>
      </c>
      <c r="K69">
        <v>12072</v>
      </c>
      <c r="L69" t="s">
        <v>226</v>
      </c>
      <c r="M69" s="4">
        <v>43405</v>
      </c>
      <c r="N69" s="12">
        <f t="shared" si="4"/>
        <v>11</v>
      </c>
      <c r="O69" s="13">
        <f t="shared" si="5"/>
        <v>2018</v>
      </c>
      <c r="P69" t="s">
        <v>13</v>
      </c>
      <c r="Q69" t="s">
        <v>227</v>
      </c>
      <c r="R69" t="s">
        <v>38</v>
      </c>
      <c r="S69" t="str" cm="1">
        <f t="array" ref="S69">_xlfn.IFS(R69="COMPLETE", "COMPLETED", R69="CANCELED", "CANCELED", TRUE, "PENDING")</f>
        <v>PENDING</v>
      </c>
      <c r="T69" t="s">
        <v>16</v>
      </c>
      <c r="U69">
        <f>VLOOKUP(A69,ordered_items!$B:$E,4,0)</f>
        <v>199.99</v>
      </c>
    </row>
    <row r="70" spans="1:21" x14ac:dyDescent="0.3">
      <c r="A70">
        <v>20942</v>
      </c>
      <c r="B70" t="s">
        <v>24</v>
      </c>
      <c r="C70">
        <v>3</v>
      </c>
      <c r="D70">
        <v>4</v>
      </c>
      <c r="E70" t="str">
        <f t="shared" si="3"/>
        <v xml:space="preserve"> ONTIME</v>
      </c>
      <c r="F70">
        <f>VLOOKUP($A70,ordered_items!$B$2:$E$4784,2,0)</f>
        <v>403</v>
      </c>
      <c r="G70">
        <f>VLOOKUP($A70,ordered_items!$B$2:$E$4784,3,0)</f>
        <v>1</v>
      </c>
      <c r="H70">
        <f>VLOOKUP($A70,ordered_items!$B$2:$E$4784,4,0)</f>
        <v>129.99</v>
      </c>
      <c r="I70" s="15">
        <f>VLOOKUP(F70,product_info!$A$2:$D$73,4,0)</f>
        <v>4</v>
      </c>
      <c r="J70" s="15" t="str">
        <f>VLOOKUP(I70,department!$A$2:$B$13,2,0)</f>
        <v>Apparel</v>
      </c>
      <c r="K70">
        <v>2435</v>
      </c>
      <c r="L70" t="s">
        <v>70</v>
      </c>
      <c r="M70" s="4">
        <v>43405</v>
      </c>
      <c r="N70" s="12">
        <f t="shared" si="4"/>
        <v>11</v>
      </c>
      <c r="O70" s="13">
        <f t="shared" si="5"/>
        <v>2018</v>
      </c>
      <c r="P70" t="s">
        <v>13</v>
      </c>
      <c r="Q70" t="s">
        <v>70</v>
      </c>
      <c r="R70" t="s">
        <v>31</v>
      </c>
      <c r="S70" t="str" cm="1">
        <f t="array" ref="S70">_xlfn.IFS(R70="COMPLETE", "COMPLETED", R70="CANCELED", "CANCELED", TRUE, "PENDING")</f>
        <v>COMPLETED</v>
      </c>
      <c r="T70" t="s">
        <v>16</v>
      </c>
      <c r="U70">
        <f>VLOOKUP(A70,ordered_items!$B:$E,4,0)</f>
        <v>129.99</v>
      </c>
    </row>
    <row r="71" spans="1:21" x14ac:dyDescent="0.3">
      <c r="A71">
        <v>20943</v>
      </c>
      <c r="B71" t="s">
        <v>51</v>
      </c>
      <c r="C71">
        <v>4</v>
      </c>
      <c r="D71">
        <v>4</v>
      </c>
      <c r="E71" t="str">
        <f t="shared" si="3"/>
        <v xml:space="preserve"> ONTIME</v>
      </c>
      <c r="F71">
        <f>VLOOKUP($A71,ordered_items!$B$2:$E$4784,2,0)</f>
        <v>1073</v>
      </c>
      <c r="G71">
        <f>VLOOKUP($A71,ordered_items!$B$2:$E$4784,3,0)</f>
        <v>1</v>
      </c>
      <c r="H71">
        <f>VLOOKUP($A71,ordered_items!$B$2:$E$4784,4,0)</f>
        <v>199.99</v>
      </c>
      <c r="I71" s="15">
        <f>VLOOKUP(F71,product_info!$A$2:$D$73,4,0)</f>
        <v>7</v>
      </c>
      <c r="J71" s="15" t="str">
        <f>VLOOKUP(I71,department!$A$2:$B$13,2,0)</f>
        <v>Fan Shop</v>
      </c>
      <c r="K71">
        <v>9058</v>
      </c>
      <c r="L71" t="s">
        <v>70</v>
      </c>
      <c r="M71" s="4">
        <v>43405</v>
      </c>
      <c r="N71" s="12">
        <f t="shared" si="4"/>
        <v>11</v>
      </c>
      <c r="O71" s="13">
        <f t="shared" si="5"/>
        <v>2018</v>
      </c>
      <c r="P71" t="s">
        <v>13</v>
      </c>
      <c r="Q71" t="s">
        <v>70</v>
      </c>
      <c r="R71" t="s">
        <v>57</v>
      </c>
      <c r="S71" t="str" cm="1">
        <f t="array" ref="S71">_xlfn.IFS(R71="COMPLETE", "COMPLETED", R71="CANCELED", "CANCELED", TRUE, "PENDING")</f>
        <v>PENDING</v>
      </c>
      <c r="T71" t="s">
        <v>16</v>
      </c>
      <c r="U71">
        <f>VLOOKUP(A71,ordered_items!$B:$E,4,0)</f>
        <v>199.99</v>
      </c>
    </row>
    <row r="72" spans="1:21" x14ac:dyDescent="0.3">
      <c r="A72">
        <v>20953</v>
      </c>
      <c r="B72" t="s">
        <v>24</v>
      </c>
      <c r="C72">
        <v>4</v>
      </c>
      <c r="D72">
        <v>2</v>
      </c>
      <c r="E72" t="str">
        <f t="shared" si="3"/>
        <v>DELAYED</v>
      </c>
      <c r="F72">
        <f>VLOOKUP($A72,ordered_items!$B$2:$E$4784,2,0)</f>
        <v>403</v>
      </c>
      <c r="G72">
        <f>VLOOKUP($A72,ordered_items!$B$2:$E$4784,3,0)</f>
        <v>1</v>
      </c>
      <c r="H72">
        <f>VLOOKUP($A72,ordered_items!$B$2:$E$4784,4,0)</f>
        <v>129.99</v>
      </c>
      <c r="I72" s="15">
        <f>VLOOKUP(F72,product_info!$A$2:$D$73,4,0)</f>
        <v>4</v>
      </c>
      <c r="J72" s="15" t="str">
        <f>VLOOKUP(I72,department!$A$2:$B$13,2,0)</f>
        <v>Apparel</v>
      </c>
      <c r="K72">
        <v>8554</v>
      </c>
      <c r="L72" t="s">
        <v>809</v>
      </c>
      <c r="M72" s="4">
        <v>43405</v>
      </c>
      <c r="N72" s="12">
        <f t="shared" si="4"/>
        <v>11</v>
      </c>
      <c r="O72" s="13">
        <f t="shared" si="5"/>
        <v>2018</v>
      </c>
      <c r="P72" t="s">
        <v>13</v>
      </c>
      <c r="Q72" t="s">
        <v>30</v>
      </c>
      <c r="R72" t="s">
        <v>31</v>
      </c>
      <c r="S72" t="str" cm="1">
        <f t="array" ref="S72">_xlfn.IFS(R72="COMPLETE", "COMPLETED", R72="CANCELED", "CANCELED", TRUE, "PENDING")</f>
        <v>COMPLETED</v>
      </c>
      <c r="T72" t="s">
        <v>90</v>
      </c>
      <c r="U72">
        <f>VLOOKUP(A72,ordered_items!$B:$E,4,0)</f>
        <v>129.99</v>
      </c>
    </row>
    <row r="73" spans="1:21" x14ac:dyDescent="0.3">
      <c r="A73">
        <v>20954</v>
      </c>
      <c r="B73" t="s">
        <v>17</v>
      </c>
      <c r="C73">
        <v>5</v>
      </c>
      <c r="D73">
        <v>2</v>
      </c>
      <c r="E73" t="str">
        <f t="shared" si="3"/>
        <v>DELAYED</v>
      </c>
      <c r="F73">
        <f>VLOOKUP($A73,ordered_items!$B$2:$E$4784,2,0)</f>
        <v>249</v>
      </c>
      <c r="G73">
        <f>VLOOKUP($A73,ordered_items!$B$2:$E$4784,3,0)</f>
        <v>1</v>
      </c>
      <c r="H73">
        <f>VLOOKUP($A73,ordered_items!$B$2:$E$4784,4,0)</f>
        <v>54.97</v>
      </c>
      <c r="I73" s="15">
        <f>VLOOKUP(F73,product_info!$A$2:$D$73,4,0)</f>
        <v>3</v>
      </c>
      <c r="J73" s="15" t="str">
        <f>VLOOKUP(I73,department!$A$2:$B$13,2,0)</f>
        <v>Footwear</v>
      </c>
      <c r="K73">
        <v>7854</v>
      </c>
      <c r="L73" t="s">
        <v>129</v>
      </c>
      <c r="M73" s="4">
        <v>43405</v>
      </c>
      <c r="N73" s="12">
        <f t="shared" si="4"/>
        <v>11</v>
      </c>
      <c r="O73" s="13">
        <f t="shared" si="5"/>
        <v>2018</v>
      </c>
      <c r="P73" t="s">
        <v>13</v>
      </c>
      <c r="Q73" t="s">
        <v>130</v>
      </c>
      <c r="R73" t="s">
        <v>23</v>
      </c>
      <c r="S73" t="str" cm="1">
        <f t="array" ref="S73">_xlfn.IFS(R73="COMPLETE", "COMPLETED", R73="CANCELED", "CANCELED", TRUE, "PENDING")</f>
        <v>PENDING</v>
      </c>
      <c r="T73" t="s">
        <v>90</v>
      </c>
      <c r="U73">
        <f>VLOOKUP(A73,ordered_items!$B:$E,4,0)</f>
        <v>54.97</v>
      </c>
    </row>
    <row r="74" spans="1:21" x14ac:dyDescent="0.3">
      <c r="A74">
        <v>20964</v>
      </c>
      <c r="B74" t="s">
        <v>24</v>
      </c>
      <c r="C74">
        <v>2</v>
      </c>
      <c r="D74">
        <v>1</v>
      </c>
      <c r="E74" t="str">
        <f t="shared" si="3"/>
        <v>DELAYED</v>
      </c>
      <c r="F74">
        <f>VLOOKUP($A74,ordered_items!$B$2:$E$4784,2,0)</f>
        <v>957</v>
      </c>
      <c r="G74">
        <f>VLOOKUP($A74,ordered_items!$B$2:$E$4784,3,0)</f>
        <v>1</v>
      </c>
      <c r="H74">
        <f>VLOOKUP($A74,ordered_items!$B$2:$E$4784,4,0)</f>
        <v>299.98</v>
      </c>
      <c r="I74" s="15">
        <f>VLOOKUP(F74,product_info!$A$2:$D$73,4,0)</f>
        <v>7</v>
      </c>
      <c r="J74" s="15" t="str">
        <f>VLOOKUP(I74,department!$A$2:$B$13,2,0)</f>
        <v>Fan Shop</v>
      </c>
      <c r="K74">
        <v>821</v>
      </c>
      <c r="L74" t="s">
        <v>275</v>
      </c>
      <c r="M74" s="4">
        <v>43406</v>
      </c>
      <c r="N74" s="12">
        <f t="shared" si="4"/>
        <v>11</v>
      </c>
      <c r="O74" s="13">
        <f t="shared" si="5"/>
        <v>2018</v>
      </c>
      <c r="P74" t="s">
        <v>13</v>
      </c>
      <c r="Q74" t="s">
        <v>80</v>
      </c>
      <c r="R74" t="s">
        <v>378</v>
      </c>
      <c r="S74" t="str" cm="1">
        <f t="array" ref="S74">_xlfn.IFS(R74="COMPLETE", "COMPLETED", R74="CANCELED", "CANCELED", TRUE, "PENDING")</f>
        <v>PENDING</v>
      </c>
      <c r="T74" t="s">
        <v>32</v>
      </c>
      <c r="U74">
        <f>VLOOKUP(A74,ordered_items!$B:$E,4,0)</f>
        <v>299.98</v>
      </c>
    </row>
    <row r="75" spans="1:21" x14ac:dyDescent="0.3">
      <c r="A75">
        <v>20966</v>
      </c>
      <c r="B75" t="s">
        <v>3</v>
      </c>
      <c r="C75">
        <v>2</v>
      </c>
      <c r="D75">
        <v>1</v>
      </c>
      <c r="E75" t="str">
        <f t="shared" si="3"/>
        <v>DELAYED</v>
      </c>
      <c r="F75">
        <f>VLOOKUP($A75,ordered_items!$B$2:$E$4784,2,0)</f>
        <v>1004</v>
      </c>
      <c r="G75">
        <f>VLOOKUP($A75,ordered_items!$B$2:$E$4784,3,0)</f>
        <v>1</v>
      </c>
      <c r="H75">
        <f>VLOOKUP($A75,ordered_items!$B$2:$E$4784,4,0)</f>
        <v>399.98</v>
      </c>
      <c r="I75" s="15">
        <f>VLOOKUP(F75,product_info!$A$2:$D$73,4,0)</f>
        <v>7</v>
      </c>
      <c r="J75" s="15" t="str">
        <f>VLOOKUP(I75,department!$A$2:$B$13,2,0)</f>
        <v>Fan Shop</v>
      </c>
      <c r="K75">
        <v>10952</v>
      </c>
      <c r="L75" t="s">
        <v>941</v>
      </c>
      <c r="M75" s="4">
        <v>43406</v>
      </c>
      <c r="N75" s="12">
        <f t="shared" si="4"/>
        <v>11</v>
      </c>
      <c r="O75" s="13">
        <f t="shared" si="5"/>
        <v>2018</v>
      </c>
      <c r="P75" t="s">
        <v>13</v>
      </c>
      <c r="Q75" t="s">
        <v>203</v>
      </c>
      <c r="R75" t="s">
        <v>38</v>
      </c>
      <c r="S75" t="str" cm="1">
        <f t="array" ref="S75">_xlfn.IFS(R75="COMPLETE", "COMPLETED", R75="CANCELED", "CANCELED", TRUE, "PENDING")</f>
        <v>PENDING</v>
      </c>
      <c r="T75" t="s">
        <v>32</v>
      </c>
      <c r="U75">
        <f>VLOOKUP(A75,ordered_items!$B:$E,4,0)</f>
        <v>399.98</v>
      </c>
    </row>
    <row r="76" spans="1:21" x14ac:dyDescent="0.3">
      <c r="A76">
        <v>20967</v>
      </c>
      <c r="B76" t="s">
        <v>51</v>
      </c>
      <c r="C76">
        <v>2</v>
      </c>
      <c r="D76">
        <v>1</v>
      </c>
      <c r="E76" t="str">
        <f t="shared" si="3"/>
        <v>DELAYED</v>
      </c>
      <c r="F76">
        <f>VLOOKUP($A76,ordered_items!$B$2:$E$4784,2,0)</f>
        <v>957</v>
      </c>
      <c r="G76">
        <f>VLOOKUP($A76,ordered_items!$B$2:$E$4784,3,0)</f>
        <v>1</v>
      </c>
      <c r="H76">
        <f>VLOOKUP($A76,ordered_items!$B$2:$E$4784,4,0)</f>
        <v>299.98</v>
      </c>
      <c r="I76" s="15">
        <f>VLOOKUP(F76,product_info!$A$2:$D$73,4,0)</f>
        <v>7</v>
      </c>
      <c r="J76" s="15" t="str">
        <f>VLOOKUP(I76,department!$A$2:$B$13,2,0)</f>
        <v>Fan Shop</v>
      </c>
      <c r="K76">
        <v>2735</v>
      </c>
      <c r="L76" t="s">
        <v>941</v>
      </c>
      <c r="M76" s="4">
        <v>43406</v>
      </c>
      <c r="N76" s="12">
        <f t="shared" si="4"/>
        <v>11</v>
      </c>
      <c r="O76" s="13">
        <f t="shared" si="5"/>
        <v>2018</v>
      </c>
      <c r="P76" t="s">
        <v>13</v>
      </c>
      <c r="Q76" t="s">
        <v>203</v>
      </c>
      <c r="R76" t="s">
        <v>1275</v>
      </c>
      <c r="S76" t="str" cm="1">
        <f t="array" ref="S76">_xlfn.IFS(R76="COMPLETE", "COMPLETED", R76="CANCELED", "CANCELED", TRUE, "PENDING")</f>
        <v>PENDING</v>
      </c>
      <c r="T76" t="s">
        <v>32</v>
      </c>
      <c r="U76">
        <f>VLOOKUP(A76,ordered_items!$B:$E,4,0)</f>
        <v>299.98</v>
      </c>
    </row>
    <row r="77" spans="1:21" x14ac:dyDescent="0.3">
      <c r="A77">
        <v>20970</v>
      </c>
      <c r="B77" t="s">
        <v>3</v>
      </c>
      <c r="C77">
        <v>6</v>
      </c>
      <c r="D77">
        <v>2</v>
      </c>
      <c r="E77" t="str">
        <f t="shared" si="3"/>
        <v>DELAYED</v>
      </c>
      <c r="F77">
        <f>VLOOKUP($A77,ordered_items!$B$2:$E$4784,2,0)</f>
        <v>403</v>
      </c>
      <c r="G77">
        <f>VLOOKUP($A77,ordered_items!$B$2:$E$4784,3,0)</f>
        <v>1</v>
      </c>
      <c r="H77">
        <f>VLOOKUP($A77,ordered_items!$B$2:$E$4784,4,0)</f>
        <v>129.99</v>
      </c>
      <c r="I77" s="15">
        <f>VLOOKUP(F77,product_info!$A$2:$D$73,4,0)</f>
        <v>4</v>
      </c>
      <c r="J77" s="15" t="str">
        <f>VLOOKUP(I77,department!$A$2:$B$13,2,0)</f>
        <v>Apparel</v>
      </c>
      <c r="K77">
        <v>7371</v>
      </c>
      <c r="L77" t="s">
        <v>510</v>
      </c>
      <c r="M77" s="4">
        <v>43406</v>
      </c>
      <c r="N77" s="12">
        <f t="shared" si="4"/>
        <v>11</v>
      </c>
      <c r="O77" s="13">
        <f t="shared" si="5"/>
        <v>2018</v>
      </c>
      <c r="P77" t="s">
        <v>13</v>
      </c>
      <c r="Q77" t="s">
        <v>5777</v>
      </c>
      <c r="R77" t="s">
        <v>14</v>
      </c>
      <c r="S77" t="str" cm="1">
        <f t="array" ref="S77">_xlfn.IFS(R77="COMPLETE", "COMPLETED", R77="CANCELED", "CANCELED", TRUE, "PENDING")</f>
        <v>PENDING</v>
      </c>
      <c r="T77" t="s">
        <v>90</v>
      </c>
      <c r="U77">
        <f>VLOOKUP(A77,ordered_items!$B:$E,4,0)</f>
        <v>129.99</v>
      </c>
    </row>
    <row r="78" spans="1:21" x14ac:dyDescent="0.3">
      <c r="A78">
        <v>20971</v>
      </c>
      <c r="B78" t="s">
        <v>51</v>
      </c>
      <c r="C78">
        <v>2</v>
      </c>
      <c r="D78">
        <v>4</v>
      </c>
      <c r="E78" t="str">
        <f t="shared" si="3"/>
        <v xml:space="preserve"> ONTIME</v>
      </c>
      <c r="F78">
        <f>VLOOKUP($A78,ordered_items!$B$2:$E$4784,2,0)</f>
        <v>191</v>
      </c>
      <c r="G78">
        <f>VLOOKUP($A78,ordered_items!$B$2:$E$4784,3,0)</f>
        <v>5</v>
      </c>
      <c r="H78">
        <f>VLOOKUP($A78,ordered_items!$B$2:$E$4784,4,0)</f>
        <v>499.95</v>
      </c>
      <c r="I78" s="15">
        <f>VLOOKUP(F78,product_info!$A$2:$D$73,4,0)</f>
        <v>3</v>
      </c>
      <c r="J78" s="15" t="str">
        <f>VLOOKUP(I78,department!$A$2:$B$13,2,0)</f>
        <v>Footwear</v>
      </c>
      <c r="K78">
        <v>7929</v>
      </c>
      <c r="L78" t="s">
        <v>510</v>
      </c>
      <c r="M78" s="4">
        <v>43406</v>
      </c>
      <c r="N78" s="12">
        <f t="shared" si="4"/>
        <v>11</v>
      </c>
      <c r="O78" s="13">
        <f t="shared" si="5"/>
        <v>2018</v>
      </c>
      <c r="P78" t="s">
        <v>13</v>
      </c>
      <c r="Q78" t="s">
        <v>5777</v>
      </c>
      <c r="R78" t="s">
        <v>57</v>
      </c>
      <c r="S78" t="str" cm="1">
        <f t="array" ref="S78">_xlfn.IFS(R78="COMPLETE", "COMPLETED", R78="CANCELED", "CANCELED", TRUE, "PENDING")</f>
        <v>PENDING</v>
      </c>
      <c r="T78" t="s">
        <v>16</v>
      </c>
      <c r="U78">
        <f>VLOOKUP(A78,ordered_items!$B:$E,4,0)</f>
        <v>499.95</v>
      </c>
    </row>
    <row r="79" spans="1:21" x14ac:dyDescent="0.3">
      <c r="A79">
        <v>20972</v>
      </c>
      <c r="B79" t="s">
        <v>17</v>
      </c>
      <c r="C79">
        <v>3</v>
      </c>
      <c r="D79">
        <v>4</v>
      </c>
      <c r="E79" t="str">
        <f t="shared" si="3"/>
        <v xml:space="preserve"> ONTIME</v>
      </c>
      <c r="F79">
        <f>VLOOKUP($A79,ordered_items!$B$2:$E$4784,2,0)</f>
        <v>502</v>
      </c>
      <c r="G79">
        <f>VLOOKUP($A79,ordered_items!$B$2:$E$4784,3,0)</f>
        <v>1</v>
      </c>
      <c r="H79">
        <f>VLOOKUP($A79,ordered_items!$B$2:$E$4784,4,0)</f>
        <v>50</v>
      </c>
      <c r="I79" s="15">
        <f>VLOOKUP(F79,product_info!$A$2:$D$73,4,0)</f>
        <v>5</v>
      </c>
      <c r="J79" s="15" t="str">
        <f>VLOOKUP(I79,department!$A$2:$B$13,2,0)</f>
        <v>Golf</v>
      </c>
      <c r="K79">
        <v>11584</v>
      </c>
      <c r="L79" t="s">
        <v>510</v>
      </c>
      <c r="M79" s="4">
        <v>43406</v>
      </c>
      <c r="N79" s="12">
        <f t="shared" si="4"/>
        <v>11</v>
      </c>
      <c r="O79" s="13">
        <f t="shared" si="5"/>
        <v>2018</v>
      </c>
      <c r="P79" t="s">
        <v>13</v>
      </c>
      <c r="Q79" t="s">
        <v>5777</v>
      </c>
      <c r="R79" t="s">
        <v>23</v>
      </c>
      <c r="S79" t="str" cm="1">
        <f t="array" ref="S79">_xlfn.IFS(R79="COMPLETE", "COMPLETED", R79="CANCELED", "CANCELED", TRUE, "PENDING")</f>
        <v>PENDING</v>
      </c>
      <c r="T79" t="s">
        <v>16</v>
      </c>
      <c r="U79">
        <f>VLOOKUP(A79,ordered_items!$B:$E,4,0)</f>
        <v>50</v>
      </c>
    </row>
    <row r="80" spans="1:21" x14ac:dyDescent="0.3">
      <c r="A80">
        <v>20974</v>
      </c>
      <c r="B80" t="s">
        <v>3</v>
      </c>
      <c r="C80">
        <v>2</v>
      </c>
      <c r="D80">
        <v>1</v>
      </c>
      <c r="E80" t="str">
        <f t="shared" si="3"/>
        <v>DELAYED</v>
      </c>
      <c r="F80">
        <f>VLOOKUP($A80,ordered_items!$B$2:$E$4784,2,0)</f>
        <v>135</v>
      </c>
      <c r="G80">
        <f>VLOOKUP($A80,ordered_items!$B$2:$E$4784,3,0)</f>
        <v>4</v>
      </c>
      <c r="H80">
        <f>VLOOKUP($A80,ordered_items!$B$2:$E$4784,4,0)</f>
        <v>88</v>
      </c>
      <c r="I80" s="15">
        <f>VLOOKUP(F80,product_info!$A$2:$D$73,4,0)</f>
        <v>2</v>
      </c>
      <c r="J80" s="15" t="str">
        <f>VLOOKUP(I80,department!$A$2:$B$13,2,0)</f>
        <v>Fitness</v>
      </c>
      <c r="K80">
        <v>3282</v>
      </c>
      <c r="L80" t="s">
        <v>510</v>
      </c>
      <c r="M80" s="4">
        <v>43406</v>
      </c>
      <c r="N80" s="12">
        <f t="shared" si="4"/>
        <v>11</v>
      </c>
      <c r="O80" s="13">
        <f t="shared" si="5"/>
        <v>2018</v>
      </c>
      <c r="P80" t="s">
        <v>13</v>
      </c>
      <c r="Q80" t="s">
        <v>5777</v>
      </c>
      <c r="R80" t="s">
        <v>14</v>
      </c>
      <c r="S80" t="str" cm="1">
        <f t="array" ref="S80">_xlfn.IFS(R80="COMPLETE", "COMPLETED", R80="CANCELED", "CANCELED", TRUE, "PENDING")</f>
        <v>PENDING</v>
      </c>
      <c r="T80" t="s">
        <v>32</v>
      </c>
      <c r="U80">
        <f>VLOOKUP(A80,ordered_items!$B:$E,4,0)</f>
        <v>88</v>
      </c>
    </row>
    <row r="81" spans="1:21" x14ac:dyDescent="0.3">
      <c r="A81">
        <v>20975</v>
      </c>
      <c r="B81" t="s">
        <v>51</v>
      </c>
      <c r="C81">
        <v>2</v>
      </c>
      <c r="D81">
        <v>1</v>
      </c>
      <c r="E81" t="str">
        <f t="shared" si="3"/>
        <v>DELAYED</v>
      </c>
      <c r="F81">
        <f>VLOOKUP($A81,ordered_items!$B$2:$E$4784,2,0)</f>
        <v>905</v>
      </c>
      <c r="G81">
        <f>VLOOKUP($A81,ordered_items!$B$2:$E$4784,3,0)</f>
        <v>4</v>
      </c>
      <c r="H81">
        <f>VLOOKUP($A81,ordered_items!$B$2:$E$4784,4,0)</f>
        <v>99.96</v>
      </c>
      <c r="I81" s="15">
        <f>VLOOKUP(F81,product_info!$A$2:$D$73,4,0)</f>
        <v>6</v>
      </c>
      <c r="J81" s="15" t="str">
        <f>VLOOKUP(I81,department!$A$2:$B$13,2,0)</f>
        <v>Outdoors</v>
      </c>
      <c r="K81">
        <v>8291</v>
      </c>
      <c r="L81" t="s">
        <v>510</v>
      </c>
      <c r="M81" s="4">
        <v>43406</v>
      </c>
      <c r="N81" s="12">
        <f t="shared" si="4"/>
        <v>11</v>
      </c>
      <c r="O81" s="13">
        <f t="shared" si="5"/>
        <v>2018</v>
      </c>
      <c r="P81" t="s">
        <v>13</v>
      </c>
      <c r="Q81" t="s">
        <v>5777</v>
      </c>
      <c r="R81" t="s">
        <v>57</v>
      </c>
      <c r="S81" t="str" cm="1">
        <f t="array" ref="S81">_xlfn.IFS(R81="COMPLETE", "COMPLETED", R81="CANCELED", "CANCELED", TRUE, "PENDING")</f>
        <v>PENDING</v>
      </c>
      <c r="T81" t="s">
        <v>32</v>
      </c>
      <c r="U81">
        <f>VLOOKUP(A81,ordered_items!$B:$E,4,0)</f>
        <v>99.96</v>
      </c>
    </row>
    <row r="82" spans="1:21" x14ac:dyDescent="0.3">
      <c r="A82">
        <v>20982</v>
      </c>
      <c r="B82" t="s">
        <v>51</v>
      </c>
      <c r="C82">
        <v>2</v>
      </c>
      <c r="D82">
        <v>1</v>
      </c>
      <c r="E82" t="str">
        <f t="shared" si="3"/>
        <v>DELAYED</v>
      </c>
      <c r="F82">
        <f>VLOOKUP($A82,ordered_items!$B$2:$E$4784,2,0)</f>
        <v>191</v>
      </c>
      <c r="G82">
        <f>VLOOKUP($A82,ordered_items!$B$2:$E$4784,3,0)</f>
        <v>1</v>
      </c>
      <c r="H82">
        <f>VLOOKUP($A82,ordered_items!$B$2:$E$4784,4,0)</f>
        <v>99.99</v>
      </c>
      <c r="I82" s="15">
        <f>VLOOKUP(F82,product_info!$A$2:$D$73,4,0)</f>
        <v>3</v>
      </c>
      <c r="J82" s="15" t="str">
        <f>VLOOKUP(I82,department!$A$2:$B$13,2,0)</f>
        <v>Footwear</v>
      </c>
      <c r="K82">
        <v>12361</v>
      </c>
      <c r="L82" t="s">
        <v>129</v>
      </c>
      <c r="M82" s="4">
        <v>43406</v>
      </c>
      <c r="N82" s="12">
        <f t="shared" si="4"/>
        <v>11</v>
      </c>
      <c r="O82" s="13">
        <f t="shared" si="5"/>
        <v>2018</v>
      </c>
      <c r="P82" t="s">
        <v>13</v>
      </c>
      <c r="Q82" t="s">
        <v>130</v>
      </c>
      <c r="R82" t="s">
        <v>57</v>
      </c>
      <c r="S82" t="str" cm="1">
        <f t="array" ref="S82">_xlfn.IFS(R82="COMPLETE", "COMPLETED", R82="CANCELED", "CANCELED", TRUE, "PENDING")</f>
        <v>PENDING</v>
      </c>
      <c r="T82" t="s">
        <v>32</v>
      </c>
      <c r="U82">
        <f>VLOOKUP(A82,ordered_items!$B:$E,4,0)</f>
        <v>99.99</v>
      </c>
    </row>
    <row r="83" spans="1:21" x14ac:dyDescent="0.3">
      <c r="A83">
        <v>20983</v>
      </c>
      <c r="B83" t="s">
        <v>24</v>
      </c>
      <c r="C83">
        <v>2</v>
      </c>
      <c r="D83">
        <v>1</v>
      </c>
      <c r="E83" t="str">
        <f t="shared" si="3"/>
        <v>DELAYED</v>
      </c>
      <c r="F83">
        <f>VLOOKUP($A83,ordered_items!$B$2:$E$4784,2,0)</f>
        <v>1004</v>
      </c>
      <c r="G83">
        <f>VLOOKUP($A83,ordered_items!$B$2:$E$4784,3,0)</f>
        <v>1</v>
      </c>
      <c r="H83">
        <f>VLOOKUP($A83,ordered_items!$B$2:$E$4784,4,0)</f>
        <v>399.98</v>
      </c>
      <c r="I83" s="15">
        <f>VLOOKUP(F83,product_info!$A$2:$D$73,4,0)</f>
        <v>7</v>
      </c>
      <c r="J83" s="15" t="str">
        <f>VLOOKUP(I83,department!$A$2:$B$13,2,0)</f>
        <v>Fan Shop</v>
      </c>
      <c r="K83">
        <v>5710</v>
      </c>
      <c r="L83" t="s">
        <v>129</v>
      </c>
      <c r="M83" s="4">
        <v>43406</v>
      </c>
      <c r="N83" s="12">
        <f t="shared" si="4"/>
        <v>11</v>
      </c>
      <c r="O83" s="13">
        <f t="shared" si="5"/>
        <v>2018</v>
      </c>
      <c r="P83" t="s">
        <v>13</v>
      </c>
      <c r="Q83" t="s">
        <v>130</v>
      </c>
      <c r="R83" t="s">
        <v>31</v>
      </c>
      <c r="S83" t="str" cm="1">
        <f t="array" ref="S83">_xlfn.IFS(R83="COMPLETE", "COMPLETED", R83="CANCELED", "CANCELED", TRUE, "PENDING")</f>
        <v>COMPLETED</v>
      </c>
      <c r="T83" t="s">
        <v>32</v>
      </c>
      <c r="U83">
        <f>VLOOKUP(A83,ordered_items!$B:$E,4,0)</f>
        <v>399.98</v>
      </c>
    </row>
    <row r="84" spans="1:21" x14ac:dyDescent="0.3">
      <c r="A84">
        <v>20984</v>
      </c>
      <c r="B84" t="s">
        <v>17</v>
      </c>
      <c r="C84">
        <v>5</v>
      </c>
      <c r="D84">
        <v>2</v>
      </c>
      <c r="E84" t="str">
        <f t="shared" si="3"/>
        <v>DELAYED</v>
      </c>
      <c r="F84">
        <f>VLOOKUP($A84,ordered_items!$B$2:$E$4784,2,0)</f>
        <v>403</v>
      </c>
      <c r="G84">
        <f>VLOOKUP($A84,ordered_items!$B$2:$E$4784,3,0)</f>
        <v>1</v>
      </c>
      <c r="H84">
        <f>VLOOKUP($A84,ordered_items!$B$2:$E$4784,4,0)</f>
        <v>129.99</v>
      </c>
      <c r="I84" s="15">
        <f>VLOOKUP(F84,product_info!$A$2:$D$73,4,0)</f>
        <v>4</v>
      </c>
      <c r="J84" s="15" t="str">
        <f>VLOOKUP(I84,department!$A$2:$B$13,2,0)</f>
        <v>Apparel</v>
      </c>
      <c r="K84">
        <v>1937</v>
      </c>
      <c r="L84" t="s">
        <v>129</v>
      </c>
      <c r="M84" s="4">
        <v>43406</v>
      </c>
      <c r="N84" s="12">
        <f t="shared" si="4"/>
        <v>11</v>
      </c>
      <c r="O84" s="13">
        <f t="shared" si="5"/>
        <v>2018</v>
      </c>
      <c r="P84" t="s">
        <v>13</v>
      </c>
      <c r="Q84" t="s">
        <v>130</v>
      </c>
      <c r="R84" t="s">
        <v>23</v>
      </c>
      <c r="S84" t="str" cm="1">
        <f t="array" ref="S84">_xlfn.IFS(R84="COMPLETE", "COMPLETED", R84="CANCELED", "CANCELED", TRUE, "PENDING")</f>
        <v>PENDING</v>
      </c>
      <c r="T84" t="s">
        <v>90</v>
      </c>
      <c r="U84">
        <f>VLOOKUP(A84,ordered_items!$B:$E,4,0)</f>
        <v>129.99</v>
      </c>
    </row>
    <row r="85" spans="1:21" x14ac:dyDescent="0.3">
      <c r="A85">
        <v>21010</v>
      </c>
      <c r="B85" t="s">
        <v>24</v>
      </c>
      <c r="C85">
        <v>6</v>
      </c>
      <c r="D85">
        <v>4</v>
      </c>
      <c r="E85" t="str">
        <f t="shared" si="3"/>
        <v>DELAYED</v>
      </c>
      <c r="F85">
        <f>VLOOKUP($A85,ordered_items!$B$2:$E$4784,2,0)</f>
        <v>1004</v>
      </c>
      <c r="G85">
        <f>VLOOKUP($A85,ordered_items!$B$2:$E$4784,3,0)</f>
        <v>1</v>
      </c>
      <c r="H85">
        <f>VLOOKUP($A85,ordered_items!$B$2:$E$4784,4,0)</f>
        <v>399.98</v>
      </c>
      <c r="I85" s="15">
        <f>VLOOKUP(F85,product_info!$A$2:$D$73,4,0)</f>
        <v>7</v>
      </c>
      <c r="J85" s="15" t="str">
        <f>VLOOKUP(I85,department!$A$2:$B$13,2,0)</f>
        <v>Fan Shop</v>
      </c>
      <c r="K85">
        <v>5612</v>
      </c>
      <c r="L85" t="s">
        <v>854</v>
      </c>
      <c r="M85" s="4">
        <v>43406</v>
      </c>
      <c r="N85" s="12">
        <f t="shared" si="4"/>
        <v>11</v>
      </c>
      <c r="O85" s="13">
        <f t="shared" si="5"/>
        <v>2018</v>
      </c>
      <c r="P85" t="s">
        <v>13</v>
      </c>
      <c r="Q85" t="s">
        <v>377</v>
      </c>
      <c r="R85" t="s">
        <v>31</v>
      </c>
      <c r="S85" t="str" cm="1">
        <f t="array" ref="S85">_xlfn.IFS(R85="COMPLETE", "COMPLETED", R85="CANCELED", "CANCELED", TRUE, "PENDING")</f>
        <v>COMPLETED</v>
      </c>
      <c r="T85" t="s">
        <v>16</v>
      </c>
      <c r="U85">
        <f>VLOOKUP(A85,ordered_items!$B:$E,4,0)</f>
        <v>399.98</v>
      </c>
    </row>
    <row r="86" spans="1:21" x14ac:dyDescent="0.3">
      <c r="A86">
        <v>21011</v>
      </c>
      <c r="B86" t="s">
        <v>3</v>
      </c>
      <c r="C86">
        <v>2</v>
      </c>
      <c r="D86">
        <v>4</v>
      </c>
      <c r="E86" t="str">
        <f t="shared" si="3"/>
        <v xml:space="preserve"> ONTIME</v>
      </c>
      <c r="F86">
        <f>VLOOKUP($A86,ordered_items!$B$2:$E$4784,2,0)</f>
        <v>1073</v>
      </c>
      <c r="G86">
        <f>VLOOKUP($A86,ordered_items!$B$2:$E$4784,3,0)</f>
        <v>1</v>
      </c>
      <c r="H86">
        <f>VLOOKUP($A86,ordered_items!$B$2:$E$4784,4,0)</f>
        <v>199.99</v>
      </c>
      <c r="I86" s="15">
        <f>VLOOKUP(F86,product_info!$A$2:$D$73,4,0)</f>
        <v>7</v>
      </c>
      <c r="J86" s="15" t="str">
        <f>VLOOKUP(I86,department!$A$2:$B$13,2,0)</f>
        <v>Fan Shop</v>
      </c>
      <c r="K86">
        <v>2607</v>
      </c>
      <c r="L86" t="s">
        <v>854</v>
      </c>
      <c r="M86" s="4">
        <v>43406</v>
      </c>
      <c r="N86" s="12">
        <f t="shared" si="4"/>
        <v>11</v>
      </c>
      <c r="O86" s="13">
        <f t="shared" si="5"/>
        <v>2018</v>
      </c>
      <c r="P86" t="s">
        <v>13</v>
      </c>
      <c r="Q86" t="s">
        <v>377</v>
      </c>
      <c r="R86" t="s">
        <v>38</v>
      </c>
      <c r="S86" t="str" cm="1">
        <f t="array" ref="S86">_xlfn.IFS(R86="COMPLETE", "COMPLETED", R86="CANCELED", "CANCELED", TRUE, "PENDING")</f>
        <v>PENDING</v>
      </c>
      <c r="T86" t="s">
        <v>16</v>
      </c>
      <c r="U86">
        <f>VLOOKUP(A86,ordered_items!$B:$E,4,0)</f>
        <v>199.99</v>
      </c>
    </row>
    <row r="87" spans="1:21" x14ac:dyDescent="0.3">
      <c r="A87">
        <v>21012</v>
      </c>
      <c r="B87" t="s">
        <v>3</v>
      </c>
      <c r="C87">
        <v>3</v>
      </c>
      <c r="D87">
        <v>4</v>
      </c>
      <c r="E87" t="str">
        <f t="shared" si="3"/>
        <v xml:space="preserve"> ONTIME</v>
      </c>
      <c r="F87">
        <f>VLOOKUP($A87,ordered_items!$B$2:$E$4784,2,0)</f>
        <v>1073</v>
      </c>
      <c r="G87">
        <f>VLOOKUP($A87,ordered_items!$B$2:$E$4784,3,0)</f>
        <v>1</v>
      </c>
      <c r="H87">
        <f>VLOOKUP($A87,ordered_items!$B$2:$E$4784,4,0)</f>
        <v>199.99</v>
      </c>
      <c r="I87" s="15">
        <f>VLOOKUP(F87,product_info!$A$2:$D$73,4,0)</f>
        <v>7</v>
      </c>
      <c r="J87" s="15" t="str">
        <f>VLOOKUP(I87,department!$A$2:$B$13,2,0)</f>
        <v>Fan Shop</v>
      </c>
      <c r="K87">
        <v>8206</v>
      </c>
      <c r="L87" t="s">
        <v>854</v>
      </c>
      <c r="M87" s="4">
        <v>43406</v>
      </c>
      <c r="N87" s="12">
        <f t="shared" si="4"/>
        <v>11</v>
      </c>
      <c r="O87" s="13">
        <f t="shared" si="5"/>
        <v>2018</v>
      </c>
      <c r="P87" t="s">
        <v>13</v>
      </c>
      <c r="Q87" t="s">
        <v>377</v>
      </c>
      <c r="R87" t="s">
        <v>14</v>
      </c>
      <c r="S87" t="str" cm="1">
        <f t="array" ref="S87">_xlfn.IFS(R87="COMPLETE", "COMPLETED", R87="CANCELED", "CANCELED", TRUE, "PENDING")</f>
        <v>PENDING</v>
      </c>
      <c r="T87" t="s">
        <v>16</v>
      </c>
      <c r="U87">
        <f>VLOOKUP(A87,ordered_items!$B:$E,4,0)</f>
        <v>199.99</v>
      </c>
    </row>
    <row r="88" spans="1:21" x14ac:dyDescent="0.3">
      <c r="A88">
        <v>21013</v>
      </c>
      <c r="B88" t="s">
        <v>3</v>
      </c>
      <c r="C88">
        <v>1</v>
      </c>
      <c r="D88">
        <v>0</v>
      </c>
      <c r="E88" t="str">
        <f t="shared" si="3"/>
        <v>DELAYED</v>
      </c>
      <c r="F88">
        <f>VLOOKUP($A88,ordered_items!$B$2:$E$4784,2,0)</f>
        <v>1073</v>
      </c>
      <c r="G88">
        <f>VLOOKUP($A88,ordered_items!$B$2:$E$4784,3,0)</f>
        <v>1</v>
      </c>
      <c r="H88">
        <f>VLOOKUP($A88,ordered_items!$B$2:$E$4784,4,0)</f>
        <v>199.99</v>
      </c>
      <c r="I88" s="15">
        <f>VLOOKUP(F88,product_info!$A$2:$D$73,4,0)</f>
        <v>7</v>
      </c>
      <c r="J88" s="15" t="str">
        <f>VLOOKUP(I88,department!$A$2:$B$13,2,0)</f>
        <v>Fan Shop</v>
      </c>
      <c r="K88">
        <v>8029</v>
      </c>
      <c r="L88" t="s">
        <v>854</v>
      </c>
      <c r="M88" s="4">
        <v>43406</v>
      </c>
      <c r="N88" s="12">
        <f t="shared" si="4"/>
        <v>11</v>
      </c>
      <c r="O88" s="13">
        <f t="shared" si="5"/>
        <v>2018</v>
      </c>
      <c r="P88" t="s">
        <v>13</v>
      </c>
      <c r="Q88" t="s">
        <v>377</v>
      </c>
      <c r="R88" t="s">
        <v>14</v>
      </c>
      <c r="S88" t="str" cm="1">
        <f t="array" ref="S88">_xlfn.IFS(R88="COMPLETE", "COMPLETED", R88="CANCELED", "CANCELED", TRUE, "PENDING")</f>
        <v>PENDING</v>
      </c>
      <c r="T88" t="s">
        <v>58</v>
      </c>
      <c r="U88">
        <f>VLOOKUP(A88,ordered_items!$B:$E,4,0)</f>
        <v>199.99</v>
      </c>
    </row>
    <row r="89" spans="1:21" x14ac:dyDescent="0.3">
      <c r="A89">
        <v>21016</v>
      </c>
      <c r="B89" t="s">
        <v>3</v>
      </c>
      <c r="C89">
        <v>2</v>
      </c>
      <c r="D89">
        <v>4</v>
      </c>
      <c r="E89" t="str">
        <f t="shared" si="3"/>
        <v xml:space="preserve"> ONTIME</v>
      </c>
      <c r="F89">
        <f>VLOOKUP($A89,ordered_items!$B$2:$E$4784,2,0)</f>
        <v>365</v>
      </c>
      <c r="G89">
        <f>VLOOKUP($A89,ordered_items!$B$2:$E$4784,3,0)</f>
        <v>2</v>
      </c>
      <c r="H89">
        <f>VLOOKUP($A89,ordered_items!$B$2:$E$4784,4,0)</f>
        <v>119.98</v>
      </c>
      <c r="I89" s="15">
        <f>VLOOKUP(F89,product_info!$A$2:$D$73,4,0)</f>
        <v>4</v>
      </c>
      <c r="J89" s="15" t="str">
        <f>VLOOKUP(I89,department!$A$2:$B$13,2,0)</f>
        <v>Apparel</v>
      </c>
      <c r="K89">
        <v>3153</v>
      </c>
      <c r="L89" t="s">
        <v>295</v>
      </c>
      <c r="M89" s="4">
        <v>43406</v>
      </c>
      <c r="N89" s="12">
        <f t="shared" si="4"/>
        <v>11</v>
      </c>
      <c r="O89" s="13">
        <f t="shared" si="5"/>
        <v>2018</v>
      </c>
      <c r="P89" t="s">
        <v>13</v>
      </c>
      <c r="Q89" t="s">
        <v>80</v>
      </c>
      <c r="R89" t="s">
        <v>38</v>
      </c>
      <c r="S89" t="str" cm="1">
        <f t="array" ref="S89">_xlfn.IFS(R89="COMPLETE", "COMPLETED", R89="CANCELED", "CANCELED", TRUE, "PENDING")</f>
        <v>PENDING</v>
      </c>
      <c r="T89" t="s">
        <v>16</v>
      </c>
      <c r="U89">
        <f>VLOOKUP(A89,ordered_items!$B:$E,4,0)</f>
        <v>119.98</v>
      </c>
    </row>
    <row r="90" spans="1:21" x14ac:dyDescent="0.3">
      <c r="A90">
        <v>21017</v>
      </c>
      <c r="B90" t="s">
        <v>3</v>
      </c>
      <c r="C90">
        <v>3</v>
      </c>
      <c r="D90">
        <v>4</v>
      </c>
      <c r="E90" t="str">
        <f t="shared" si="3"/>
        <v xml:space="preserve"> ONTIME</v>
      </c>
      <c r="F90">
        <f>VLOOKUP($A90,ordered_items!$B$2:$E$4784,2,0)</f>
        <v>775</v>
      </c>
      <c r="G90">
        <f>VLOOKUP($A90,ordered_items!$B$2:$E$4784,3,0)</f>
        <v>2</v>
      </c>
      <c r="H90">
        <f>VLOOKUP($A90,ordered_items!$B$2:$E$4784,4,0)</f>
        <v>19.98</v>
      </c>
      <c r="I90" s="15">
        <f>VLOOKUP(F90,product_info!$A$2:$D$73,4,0)</f>
        <v>6</v>
      </c>
      <c r="J90" s="15" t="str">
        <f>VLOOKUP(I90,department!$A$2:$B$13,2,0)</f>
        <v>Outdoors</v>
      </c>
      <c r="K90">
        <v>8012</v>
      </c>
      <c r="L90" t="s">
        <v>295</v>
      </c>
      <c r="M90" s="4">
        <v>43406</v>
      </c>
      <c r="N90" s="12">
        <f t="shared" si="4"/>
        <v>11</v>
      </c>
      <c r="O90" s="13">
        <f t="shared" si="5"/>
        <v>2018</v>
      </c>
      <c r="P90" t="s">
        <v>13</v>
      </c>
      <c r="Q90" t="s">
        <v>80</v>
      </c>
      <c r="R90" t="s">
        <v>14</v>
      </c>
      <c r="S90" t="str" cm="1">
        <f t="array" ref="S90">_xlfn.IFS(R90="COMPLETE", "COMPLETED", R90="CANCELED", "CANCELED", TRUE, "PENDING")</f>
        <v>PENDING</v>
      </c>
      <c r="T90" t="s">
        <v>16</v>
      </c>
      <c r="U90">
        <f>VLOOKUP(A90,ordered_items!$B:$E,4,0)</f>
        <v>19.98</v>
      </c>
    </row>
    <row r="91" spans="1:21" x14ac:dyDescent="0.3">
      <c r="A91">
        <v>21018</v>
      </c>
      <c r="B91" t="s">
        <v>24</v>
      </c>
      <c r="C91">
        <v>4</v>
      </c>
      <c r="D91">
        <v>4</v>
      </c>
      <c r="E91" t="str">
        <f t="shared" si="3"/>
        <v xml:space="preserve"> ONTIME</v>
      </c>
      <c r="F91">
        <f>VLOOKUP($A91,ordered_items!$B$2:$E$4784,2,0)</f>
        <v>403</v>
      </c>
      <c r="G91">
        <f>VLOOKUP($A91,ordered_items!$B$2:$E$4784,3,0)</f>
        <v>1</v>
      </c>
      <c r="H91">
        <f>VLOOKUP($A91,ordered_items!$B$2:$E$4784,4,0)</f>
        <v>129.99</v>
      </c>
      <c r="I91" s="15">
        <f>VLOOKUP(F91,product_info!$A$2:$D$73,4,0)</f>
        <v>4</v>
      </c>
      <c r="J91" s="15" t="str">
        <f>VLOOKUP(I91,department!$A$2:$B$13,2,0)</f>
        <v>Apparel</v>
      </c>
      <c r="K91">
        <v>9440</v>
      </c>
      <c r="L91" t="s">
        <v>295</v>
      </c>
      <c r="M91" s="4">
        <v>43406</v>
      </c>
      <c r="N91" s="12">
        <f t="shared" si="4"/>
        <v>11</v>
      </c>
      <c r="O91" s="13">
        <f t="shared" si="5"/>
        <v>2018</v>
      </c>
      <c r="P91" t="s">
        <v>13</v>
      </c>
      <c r="Q91" t="s">
        <v>80</v>
      </c>
      <c r="R91" t="s">
        <v>31</v>
      </c>
      <c r="S91" t="str" cm="1">
        <f t="array" ref="S91">_xlfn.IFS(R91="COMPLETE", "COMPLETED", R91="CANCELED", "CANCELED", TRUE, "PENDING")</f>
        <v>COMPLETED</v>
      </c>
      <c r="T91" t="s">
        <v>16</v>
      </c>
      <c r="U91">
        <f>VLOOKUP(A91,ordered_items!$B:$E,4,0)</f>
        <v>129.99</v>
      </c>
    </row>
    <row r="92" spans="1:21" x14ac:dyDescent="0.3">
      <c r="A92">
        <v>21019</v>
      </c>
      <c r="B92" t="s">
        <v>51</v>
      </c>
      <c r="C92">
        <v>5</v>
      </c>
      <c r="D92">
        <v>4</v>
      </c>
      <c r="E92" t="str">
        <f t="shared" si="3"/>
        <v>DELAYED</v>
      </c>
      <c r="F92">
        <f>VLOOKUP($A92,ordered_items!$B$2:$E$4784,2,0)</f>
        <v>627</v>
      </c>
      <c r="G92">
        <f>VLOOKUP($A92,ordered_items!$B$2:$E$4784,3,0)</f>
        <v>1</v>
      </c>
      <c r="H92">
        <f>VLOOKUP($A92,ordered_items!$B$2:$E$4784,4,0)</f>
        <v>39.99</v>
      </c>
      <c r="I92" s="15">
        <f>VLOOKUP(F92,product_info!$A$2:$D$73,4,0)</f>
        <v>5</v>
      </c>
      <c r="J92" s="15" t="str">
        <f>VLOOKUP(I92,department!$A$2:$B$13,2,0)</f>
        <v>Golf</v>
      </c>
      <c r="K92">
        <v>8369</v>
      </c>
      <c r="L92" t="s">
        <v>376</v>
      </c>
      <c r="M92" s="4">
        <v>43406</v>
      </c>
      <c r="N92" s="12">
        <f t="shared" si="4"/>
        <v>11</v>
      </c>
      <c r="O92" s="13">
        <f t="shared" si="5"/>
        <v>2018</v>
      </c>
      <c r="P92" t="s">
        <v>13</v>
      </c>
      <c r="Q92" t="s">
        <v>377</v>
      </c>
      <c r="R92" t="s">
        <v>57</v>
      </c>
      <c r="S92" t="str" cm="1">
        <f t="array" ref="S92">_xlfn.IFS(R92="COMPLETE", "COMPLETED", R92="CANCELED", "CANCELED", TRUE, "PENDING")</f>
        <v>PENDING</v>
      </c>
      <c r="T92" t="s">
        <v>16</v>
      </c>
      <c r="U92">
        <f>VLOOKUP(A92,ordered_items!$B:$E,4,0)</f>
        <v>39.99</v>
      </c>
    </row>
    <row r="93" spans="1:21" x14ac:dyDescent="0.3">
      <c r="A93">
        <v>21087</v>
      </c>
      <c r="B93" t="s">
        <v>24</v>
      </c>
      <c r="C93">
        <v>3</v>
      </c>
      <c r="D93">
        <v>4</v>
      </c>
      <c r="E93" t="str">
        <f t="shared" si="3"/>
        <v xml:space="preserve"> ONTIME</v>
      </c>
      <c r="F93">
        <f>VLOOKUP($A93,ordered_items!$B$2:$E$4784,2,0)</f>
        <v>403</v>
      </c>
      <c r="G93">
        <f>VLOOKUP($A93,ordered_items!$B$2:$E$4784,3,0)</f>
        <v>1</v>
      </c>
      <c r="H93">
        <f>VLOOKUP($A93,ordered_items!$B$2:$E$4784,4,0)</f>
        <v>129.99</v>
      </c>
      <c r="I93" s="15">
        <f>VLOOKUP(F93,product_info!$A$2:$D$73,4,0)</f>
        <v>4</v>
      </c>
      <c r="J93" s="15" t="str">
        <f>VLOOKUP(I93,department!$A$2:$B$13,2,0)</f>
        <v>Apparel</v>
      </c>
      <c r="K93">
        <v>9519</v>
      </c>
      <c r="L93" t="s">
        <v>266</v>
      </c>
      <c r="M93" s="4">
        <v>43407</v>
      </c>
      <c r="N93" s="12">
        <f t="shared" si="4"/>
        <v>11</v>
      </c>
      <c r="O93" s="13">
        <f t="shared" si="5"/>
        <v>2018</v>
      </c>
      <c r="P93" t="s">
        <v>13</v>
      </c>
      <c r="Q93" t="s">
        <v>5778</v>
      </c>
      <c r="R93" t="s">
        <v>31</v>
      </c>
      <c r="S93" t="str" cm="1">
        <f t="array" ref="S93">_xlfn.IFS(R93="COMPLETE", "COMPLETED", R93="CANCELED", "CANCELED", TRUE, "PENDING")</f>
        <v>COMPLETED</v>
      </c>
      <c r="T93" t="s">
        <v>16</v>
      </c>
      <c r="U93">
        <f>VLOOKUP(A93,ordered_items!$B:$E,4,0)</f>
        <v>129.99</v>
      </c>
    </row>
    <row r="94" spans="1:21" x14ac:dyDescent="0.3">
      <c r="A94">
        <v>21106</v>
      </c>
      <c r="B94" t="s">
        <v>24</v>
      </c>
      <c r="C94">
        <v>2</v>
      </c>
      <c r="D94">
        <v>2</v>
      </c>
      <c r="E94" t="str">
        <f t="shared" si="3"/>
        <v xml:space="preserve"> ONTIME</v>
      </c>
      <c r="F94">
        <f>VLOOKUP($A94,ordered_items!$B$2:$E$4784,2,0)</f>
        <v>403</v>
      </c>
      <c r="G94">
        <f>VLOOKUP($A94,ordered_items!$B$2:$E$4784,3,0)</f>
        <v>1</v>
      </c>
      <c r="H94">
        <f>VLOOKUP($A94,ordered_items!$B$2:$E$4784,4,0)</f>
        <v>129.99</v>
      </c>
      <c r="I94" s="15">
        <f>VLOOKUP(F94,product_info!$A$2:$D$73,4,0)</f>
        <v>4</v>
      </c>
      <c r="J94" s="15" t="str">
        <f>VLOOKUP(I94,department!$A$2:$B$13,2,0)</f>
        <v>Apparel</v>
      </c>
      <c r="K94">
        <v>10609</v>
      </c>
      <c r="L94" t="s">
        <v>439</v>
      </c>
      <c r="M94" s="4">
        <v>43408</v>
      </c>
      <c r="N94" s="12">
        <f t="shared" si="4"/>
        <v>11</v>
      </c>
      <c r="O94" s="13">
        <f t="shared" si="5"/>
        <v>2018</v>
      </c>
      <c r="P94" t="s">
        <v>13</v>
      </c>
      <c r="Q94" t="s">
        <v>377</v>
      </c>
      <c r="R94" t="s">
        <v>378</v>
      </c>
      <c r="S94" t="str" cm="1">
        <f t="array" ref="S94">_xlfn.IFS(R94="COMPLETE", "COMPLETED", R94="CANCELED", "CANCELED", TRUE, "PENDING")</f>
        <v>PENDING</v>
      </c>
      <c r="T94" t="s">
        <v>90</v>
      </c>
      <c r="U94">
        <f>VLOOKUP(A94,ordered_items!$B:$E,4,0)</f>
        <v>129.99</v>
      </c>
    </row>
    <row r="95" spans="1:21" x14ac:dyDescent="0.3">
      <c r="A95">
        <v>21108</v>
      </c>
      <c r="B95" t="s">
        <v>51</v>
      </c>
      <c r="C95">
        <v>4</v>
      </c>
      <c r="D95">
        <v>2</v>
      </c>
      <c r="E95" t="str">
        <f t="shared" si="3"/>
        <v>DELAYED</v>
      </c>
      <c r="F95">
        <f>VLOOKUP($A95,ordered_items!$B$2:$E$4784,2,0)</f>
        <v>627</v>
      </c>
      <c r="G95">
        <f>VLOOKUP($A95,ordered_items!$B$2:$E$4784,3,0)</f>
        <v>1</v>
      </c>
      <c r="H95">
        <f>VLOOKUP($A95,ordered_items!$B$2:$E$4784,4,0)</f>
        <v>39.99</v>
      </c>
      <c r="I95" s="15">
        <f>VLOOKUP(F95,product_info!$A$2:$D$73,4,0)</f>
        <v>5</v>
      </c>
      <c r="J95" s="15" t="str">
        <f>VLOOKUP(I95,department!$A$2:$B$13,2,0)</f>
        <v>Golf</v>
      </c>
      <c r="K95">
        <v>10978</v>
      </c>
      <c r="L95" t="s">
        <v>258</v>
      </c>
      <c r="M95" s="4">
        <v>43408</v>
      </c>
      <c r="N95" s="12">
        <f t="shared" si="4"/>
        <v>11</v>
      </c>
      <c r="O95" s="13">
        <f t="shared" si="5"/>
        <v>2018</v>
      </c>
      <c r="P95" t="s">
        <v>13</v>
      </c>
      <c r="Q95" t="s">
        <v>30</v>
      </c>
      <c r="R95" t="s">
        <v>57</v>
      </c>
      <c r="S95" t="str" cm="1">
        <f t="array" ref="S95">_xlfn.IFS(R95="COMPLETE", "COMPLETED", R95="CANCELED", "CANCELED", TRUE, "PENDING")</f>
        <v>PENDING</v>
      </c>
      <c r="T95" t="s">
        <v>90</v>
      </c>
      <c r="U95">
        <f>VLOOKUP(A95,ordered_items!$B:$E,4,0)</f>
        <v>39.99</v>
      </c>
    </row>
    <row r="96" spans="1:21" x14ac:dyDescent="0.3">
      <c r="A96">
        <v>21110</v>
      </c>
      <c r="B96" t="s">
        <v>24</v>
      </c>
      <c r="C96">
        <v>6</v>
      </c>
      <c r="D96">
        <v>2</v>
      </c>
      <c r="E96" t="str">
        <f t="shared" si="3"/>
        <v>DELAYED</v>
      </c>
      <c r="F96">
        <f>VLOOKUP($A96,ordered_items!$B$2:$E$4784,2,0)</f>
        <v>1004</v>
      </c>
      <c r="G96">
        <f>VLOOKUP($A96,ordered_items!$B$2:$E$4784,3,0)</f>
        <v>1</v>
      </c>
      <c r="H96">
        <f>VLOOKUP($A96,ordered_items!$B$2:$E$4784,4,0)</f>
        <v>399.98</v>
      </c>
      <c r="I96" s="15">
        <f>VLOOKUP(F96,product_info!$A$2:$D$73,4,0)</f>
        <v>7</v>
      </c>
      <c r="J96" s="15" t="str">
        <f>VLOOKUP(I96,department!$A$2:$B$13,2,0)</f>
        <v>Fan Shop</v>
      </c>
      <c r="K96">
        <v>11281</v>
      </c>
      <c r="L96" t="s">
        <v>258</v>
      </c>
      <c r="M96" s="4">
        <v>43408</v>
      </c>
      <c r="N96" s="12">
        <f t="shared" si="4"/>
        <v>11</v>
      </c>
      <c r="O96" s="13">
        <f t="shared" si="5"/>
        <v>2018</v>
      </c>
      <c r="P96" t="s">
        <v>13</v>
      </c>
      <c r="Q96" t="s">
        <v>30</v>
      </c>
      <c r="R96" t="s">
        <v>31</v>
      </c>
      <c r="S96" t="str" cm="1">
        <f t="array" ref="S96">_xlfn.IFS(R96="COMPLETE", "COMPLETED", R96="CANCELED", "CANCELED", TRUE, "PENDING")</f>
        <v>COMPLETED</v>
      </c>
      <c r="T96" t="s">
        <v>90</v>
      </c>
      <c r="U96">
        <f>VLOOKUP(A96,ordered_items!$B:$E,4,0)</f>
        <v>399.98</v>
      </c>
    </row>
    <row r="97" spans="1:21" x14ac:dyDescent="0.3">
      <c r="A97">
        <v>21111</v>
      </c>
      <c r="B97" t="s">
        <v>3</v>
      </c>
      <c r="C97">
        <v>2</v>
      </c>
      <c r="D97">
        <v>4</v>
      </c>
      <c r="E97" t="str">
        <f t="shared" si="3"/>
        <v xml:space="preserve"> ONTIME</v>
      </c>
      <c r="F97">
        <f>VLOOKUP($A97,ordered_items!$B$2:$E$4784,2,0)</f>
        <v>1073</v>
      </c>
      <c r="G97">
        <f>VLOOKUP($A97,ordered_items!$B$2:$E$4784,3,0)</f>
        <v>1</v>
      </c>
      <c r="H97">
        <f>VLOOKUP($A97,ordered_items!$B$2:$E$4784,4,0)</f>
        <v>199.99</v>
      </c>
      <c r="I97" s="15">
        <f>VLOOKUP(F97,product_info!$A$2:$D$73,4,0)</f>
        <v>7</v>
      </c>
      <c r="J97" s="15" t="str">
        <f>VLOOKUP(I97,department!$A$2:$B$13,2,0)</f>
        <v>Fan Shop</v>
      </c>
      <c r="K97">
        <v>5454</v>
      </c>
      <c r="L97" t="s">
        <v>258</v>
      </c>
      <c r="M97" s="4">
        <v>43408</v>
      </c>
      <c r="N97" s="12">
        <f t="shared" si="4"/>
        <v>11</v>
      </c>
      <c r="O97" s="13">
        <f t="shared" si="5"/>
        <v>2018</v>
      </c>
      <c r="P97" t="s">
        <v>13</v>
      </c>
      <c r="Q97" t="s">
        <v>30</v>
      </c>
      <c r="R97" t="s">
        <v>38</v>
      </c>
      <c r="S97" t="str" cm="1">
        <f t="array" ref="S97">_xlfn.IFS(R97="COMPLETE", "COMPLETED", R97="CANCELED", "CANCELED", TRUE, "PENDING")</f>
        <v>PENDING</v>
      </c>
      <c r="T97" t="s">
        <v>16</v>
      </c>
      <c r="U97">
        <f>VLOOKUP(A97,ordered_items!$B:$E,4,0)</f>
        <v>199.99</v>
      </c>
    </row>
    <row r="98" spans="1:21" x14ac:dyDescent="0.3">
      <c r="A98">
        <v>21112</v>
      </c>
      <c r="B98" t="s">
        <v>24</v>
      </c>
      <c r="C98">
        <v>3</v>
      </c>
      <c r="D98">
        <v>4</v>
      </c>
      <c r="E98" t="str">
        <f t="shared" si="3"/>
        <v xml:space="preserve"> ONTIME</v>
      </c>
      <c r="F98">
        <f>VLOOKUP($A98,ordered_items!$B$2:$E$4784,2,0)</f>
        <v>1073</v>
      </c>
      <c r="G98">
        <f>VLOOKUP($A98,ordered_items!$B$2:$E$4784,3,0)</f>
        <v>1</v>
      </c>
      <c r="H98">
        <f>VLOOKUP($A98,ordered_items!$B$2:$E$4784,4,0)</f>
        <v>199.99</v>
      </c>
      <c r="I98" s="15">
        <f>VLOOKUP(F98,product_info!$A$2:$D$73,4,0)</f>
        <v>7</v>
      </c>
      <c r="J98" s="15" t="str">
        <f>VLOOKUP(I98,department!$A$2:$B$13,2,0)</f>
        <v>Fan Shop</v>
      </c>
      <c r="K98">
        <v>2809</v>
      </c>
      <c r="L98" t="s">
        <v>258</v>
      </c>
      <c r="M98" s="4">
        <v>43408</v>
      </c>
      <c r="N98" s="12">
        <f t="shared" si="4"/>
        <v>11</v>
      </c>
      <c r="O98" s="13">
        <f t="shared" si="5"/>
        <v>2018</v>
      </c>
      <c r="P98" t="s">
        <v>13</v>
      </c>
      <c r="Q98" t="s">
        <v>30</v>
      </c>
      <c r="R98" t="s">
        <v>31</v>
      </c>
      <c r="S98" t="str" cm="1">
        <f t="array" ref="S98">_xlfn.IFS(R98="COMPLETE", "COMPLETED", R98="CANCELED", "CANCELED", TRUE, "PENDING")</f>
        <v>COMPLETED</v>
      </c>
      <c r="T98" t="s">
        <v>16</v>
      </c>
      <c r="U98">
        <f>VLOOKUP(A98,ordered_items!$B:$E,4,0)</f>
        <v>199.99</v>
      </c>
    </row>
    <row r="99" spans="1:21" x14ac:dyDescent="0.3">
      <c r="A99">
        <v>21130</v>
      </c>
      <c r="B99" t="s">
        <v>51</v>
      </c>
      <c r="C99">
        <v>6</v>
      </c>
      <c r="D99">
        <v>4</v>
      </c>
      <c r="E99" t="str">
        <f t="shared" si="3"/>
        <v>DELAYED</v>
      </c>
      <c r="F99">
        <f>VLOOKUP($A99,ordered_items!$B$2:$E$4784,2,0)</f>
        <v>365</v>
      </c>
      <c r="G99">
        <f>VLOOKUP($A99,ordered_items!$B$2:$E$4784,3,0)</f>
        <v>1</v>
      </c>
      <c r="H99">
        <f>VLOOKUP($A99,ordered_items!$B$2:$E$4784,4,0)</f>
        <v>59.99</v>
      </c>
      <c r="I99" s="15">
        <f>VLOOKUP(F99,product_info!$A$2:$D$73,4,0)</f>
        <v>4</v>
      </c>
      <c r="J99" s="15" t="str">
        <f>VLOOKUP(I99,department!$A$2:$B$13,2,0)</f>
        <v>Apparel</v>
      </c>
      <c r="K99">
        <v>6635</v>
      </c>
      <c r="L99" t="s">
        <v>1599</v>
      </c>
      <c r="M99" s="4">
        <v>43408</v>
      </c>
      <c r="N99" s="12">
        <f t="shared" si="4"/>
        <v>11</v>
      </c>
      <c r="O99" s="13">
        <f t="shared" si="5"/>
        <v>2018</v>
      </c>
      <c r="P99" t="s">
        <v>13</v>
      </c>
      <c r="Q99" t="s">
        <v>47</v>
      </c>
      <c r="R99" t="s">
        <v>57</v>
      </c>
      <c r="S99" t="str" cm="1">
        <f t="array" ref="S99">_xlfn.IFS(R99="COMPLETE", "COMPLETED", R99="CANCELED", "CANCELED", TRUE, "PENDING")</f>
        <v>PENDING</v>
      </c>
      <c r="T99" t="s">
        <v>16</v>
      </c>
      <c r="U99">
        <f>VLOOKUP(A99,ordered_items!$B:$E,4,0)</f>
        <v>59.99</v>
      </c>
    </row>
    <row r="100" spans="1:21" x14ac:dyDescent="0.3">
      <c r="A100">
        <v>21131</v>
      </c>
      <c r="B100" t="s">
        <v>3</v>
      </c>
      <c r="C100">
        <v>2</v>
      </c>
      <c r="D100">
        <v>4</v>
      </c>
      <c r="E100" t="str">
        <f t="shared" si="3"/>
        <v xml:space="preserve"> ONTIME</v>
      </c>
      <c r="F100">
        <f>VLOOKUP($A100,ordered_items!$B$2:$E$4784,2,0)</f>
        <v>403</v>
      </c>
      <c r="G100">
        <f>VLOOKUP($A100,ordered_items!$B$2:$E$4784,3,0)</f>
        <v>1</v>
      </c>
      <c r="H100">
        <f>VLOOKUP($A100,ordered_items!$B$2:$E$4784,4,0)</f>
        <v>129.99</v>
      </c>
      <c r="I100" s="15">
        <f>VLOOKUP(F100,product_info!$A$2:$D$73,4,0)</f>
        <v>4</v>
      </c>
      <c r="J100" s="15" t="str">
        <f>VLOOKUP(I100,department!$A$2:$B$13,2,0)</f>
        <v>Apparel</v>
      </c>
      <c r="K100">
        <v>2048</v>
      </c>
      <c r="L100" t="s">
        <v>1599</v>
      </c>
      <c r="M100" s="4">
        <v>43408</v>
      </c>
      <c r="N100" s="12">
        <f t="shared" si="4"/>
        <v>11</v>
      </c>
      <c r="O100" s="13">
        <f t="shared" si="5"/>
        <v>2018</v>
      </c>
      <c r="P100" t="s">
        <v>13</v>
      </c>
      <c r="Q100" t="s">
        <v>47</v>
      </c>
      <c r="R100" t="s">
        <v>178</v>
      </c>
      <c r="S100" t="str" cm="1">
        <f t="array" ref="S100">_xlfn.IFS(R100="COMPLETE", "COMPLETED", R100="CANCELED", "CANCELED", TRUE, "PENDING")</f>
        <v>PENDING</v>
      </c>
      <c r="T100" t="s">
        <v>16</v>
      </c>
      <c r="U100">
        <f>VLOOKUP(A100,ordered_items!$B:$E,4,0)</f>
        <v>129.99</v>
      </c>
    </row>
    <row r="101" spans="1:21" x14ac:dyDescent="0.3">
      <c r="A101">
        <v>21132</v>
      </c>
      <c r="B101" t="s">
        <v>17</v>
      </c>
      <c r="C101">
        <v>3</v>
      </c>
      <c r="D101">
        <v>4</v>
      </c>
      <c r="E101" t="str">
        <f t="shared" si="3"/>
        <v xml:space="preserve"> ONTIME</v>
      </c>
      <c r="F101">
        <f>VLOOKUP($A101,ordered_items!$B$2:$E$4784,2,0)</f>
        <v>825</v>
      </c>
      <c r="G101">
        <f>VLOOKUP($A101,ordered_items!$B$2:$E$4784,3,0)</f>
        <v>2</v>
      </c>
      <c r="H101">
        <f>VLOOKUP($A101,ordered_items!$B$2:$E$4784,4,0)</f>
        <v>63.98</v>
      </c>
      <c r="I101" s="15">
        <f>VLOOKUP(F101,product_info!$A$2:$D$73,4,0)</f>
        <v>6</v>
      </c>
      <c r="J101" s="15" t="str">
        <f>VLOOKUP(I101,department!$A$2:$B$13,2,0)</f>
        <v>Outdoors</v>
      </c>
      <c r="K101">
        <v>11773</v>
      </c>
      <c r="L101" t="s">
        <v>1599</v>
      </c>
      <c r="M101" s="4">
        <v>43408</v>
      </c>
      <c r="N101" s="12">
        <f t="shared" si="4"/>
        <v>11</v>
      </c>
      <c r="O101" s="13">
        <f t="shared" si="5"/>
        <v>2018</v>
      </c>
      <c r="P101" t="s">
        <v>13</v>
      </c>
      <c r="Q101" t="s">
        <v>47</v>
      </c>
      <c r="R101" t="s">
        <v>23</v>
      </c>
      <c r="S101" t="str" cm="1">
        <f t="array" ref="S101">_xlfn.IFS(R101="COMPLETE", "COMPLETED", R101="CANCELED", "CANCELED", TRUE, "PENDING")</f>
        <v>PENDING</v>
      </c>
      <c r="T101" t="s">
        <v>16</v>
      </c>
      <c r="U101">
        <f>VLOOKUP(A101,ordered_items!$B:$E,4,0)</f>
        <v>63.98</v>
      </c>
    </row>
    <row r="102" spans="1:21" x14ac:dyDescent="0.3">
      <c r="A102">
        <v>21138</v>
      </c>
      <c r="B102" t="s">
        <v>24</v>
      </c>
      <c r="C102">
        <v>4</v>
      </c>
      <c r="D102">
        <v>4</v>
      </c>
      <c r="E102" t="str">
        <f t="shared" si="3"/>
        <v xml:space="preserve"> ONTIME</v>
      </c>
      <c r="F102">
        <f>VLOOKUP($A102,ordered_items!$B$2:$E$4784,2,0)</f>
        <v>778</v>
      </c>
      <c r="G102">
        <f>VLOOKUP($A102,ordered_items!$B$2:$E$4784,3,0)</f>
        <v>4</v>
      </c>
      <c r="H102">
        <f>VLOOKUP($A102,ordered_items!$B$2:$E$4784,4,0)</f>
        <v>99.96</v>
      </c>
      <c r="I102" s="15">
        <f>VLOOKUP(F102,product_info!$A$2:$D$73,4,0)</f>
        <v>6</v>
      </c>
      <c r="J102" s="15" t="str">
        <f>VLOOKUP(I102,department!$A$2:$B$13,2,0)</f>
        <v>Outdoors</v>
      </c>
      <c r="K102">
        <v>8883</v>
      </c>
      <c r="L102" t="s">
        <v>304</v>
      </c>
      <c r="M102" s="4">
        <v>43408</v>
      </c>
      <c r="N102" s="12">
        <f t="shared" si="4"/>
        <v>11</v>
      </c>
      <c r="O102" s="13">
        <f t="shared" si="5"/>
        <v>2018</v>
      </c>
      <c r="P102" t="s">
        <v>13</v>
      </c>
      <c r="Q102" t="s">
        <v>30</v>
      </c>
      <c r="R102" t="s">
        <v>31</v>
      </c>
      <c r="S102" t="str" cm="1">
        <f t="array" ref="S102">_xlfn.IFS(R102="COMPLETE", "COMPLETED", R102="CANCELED", "CANCELED", TRUE, "PENDING")</f>
        <v>COMPLETED</v>
      </c>
      <c r="T102" t="s">
        <v>16</v>
      </c>
      <c r="U102">
        <f>VLOOKUP(A102,ordered_items!$B:$E,4,0)</f>
        <v>99.96</v>
      </c>
    </row>
    <row r="103" spans="1:21" x14ac:dyDescent="0.3">
      <c r="A103">
        <v>21139</v>
      </c>
      <c r="B103" t="s">
        <v>51</v>
      </c>
      <c r="C103">
        <v>5</v>
      </c>
      <c r="D103">
        <v>4</v>
      </c>
      <c r="E103" t="str">
        <f t="shared" si="3"/>
        <v>DELAYED</v>
      </c>
      <c r="F103">
        <f>VLOOKUP($A103,ordered_items!$B$2:$E$4784,2,0)</f>
        <v>403</v>
      </c>
      <c r="G103">
        <f>VLOOKUP($A103,ordered_items!$B$2:$E$4784,3,0)</f>
        <v>1</v>
      </c>
      <c r="H103">
        <f>VLOOKUP($A103,ordered_items!$B$2:$E$4784,4,0)</f>
        <v>129.99</v>
      </c>
      <c r="I103" s="15">
        <f>VLOOKUP(F103,product_info!$A$2:$D$73,4,0)</f>
        <v>4</v>
      </c>
      <c r="J103" s="15" t="str">
        <f>VLOOKUP(I103,department!$A$2:$B$13,2,0)</f>
        <v>Apparel</v>
      </c>
      <c r="K103">
        <v>3414</v>
      </c>
      <c r="L103" t="s">
        <v>304</v>
      </c>
      <c r="M103" s="4">
        <v>43408</v>
      </c>
      <c r="N103" s="12">
        <f t="shared" si="4"/>
        <v>11</v>
      </c>
      <c r="O103" s="13">
        <f t="shared" si="5"/>
        <v>2018</v>
      </c>
      <c r="P103" t="s">
        <v>13</v>
      </c>
      <c r="Q103" t="s">
        <v>30</v>
      </c>
      <c r="R103" t="s">
        <v>57</v>
      </c>
      <c r="S103" t="str" cm="1">
        <f t="array" ref="S103">_xlfn.IFS(R103="COMPLETE", "COMPLETED", R103="CANCELED", "CANCELED", TRUE, "PENDING")</f>
        <v>PENDING</v>
      </c>
      <c r="T103" t="s">
        <v>16</v>
      </c>
      <c r="U103">
        <f>VLOOKUP(A103,ordered_items!$B:$E,4,0)</f>
        <v>129.99</v>
      </c>
    </row>
    <row r="104" spans="1:21" x14ac:dyDescent="0.3">
      <c r="A104">
        <v>21140</v>
      </c>
      <c r="B104" t="s">
        <v>24</v>
      </c>
      <c r="C104">
        <v>6</v>
      </c>
      <c r="D104">
        <v>4</v>
      </c>
      <c r="E104" t="str">
        <f t="shared" si="3"/>
        <v>DELAYED</v>
      </c>
      <c r="F104">
        <f>VLOOKUP($A104,ordered_items!$B$2:$E$4784,2,0)</f>
        <v>1073</v>
      </c>
      <c r="G104">
        <f>VLOOKUP($A104,ordered_items!$B$2:$E$4784,3,0)</f>
        <v>1</v>
      </c>
      <c r="H104">
        <f>VLOOKUP($A104,ordered_items!$B$2:$E$4784,4,0)</f>
        <v>199.99</v>
      </c>
      <c r="I104" s="15">
        <f>VLOOKUP(F104,product_info!$A$2:$D$73,4,0)</f>
        <v>7</v>
      </c>
      <c r="J104" s="15" t="str">
        <f>VLOOKUP(I104,department!$A$2:$B$13,2,0)</f>
        <v>Fan Shop</v>
      </c>
      <c r="K104">
        <v>664</v>
      </c>
      <c r="L104" t="s">
        <v>304</v>
      </c>
      <c r="M104" s="4">
        <v>43408</v>
      </c>
      <c r="N104" s="12">
        <f t="shared" si="4"/>
        <v>11</v>
      </c>
      <c r="O104" s="13">
        <f t="shared" si="5"/>
        <v>2018</v>
      </c>
      <c r="P104" t="s">
        <v>13</v>
      </c>
      <c r="Q104" t="s">
        <v>30</v>
      </c>
      <c r="R104" t="s">
        <v>31</v>
      </c>
      <c r="S104" t="str" cm="1">
        <f t="array" ref="S104">_xlfn.IFS(R104="COMPLETE", "COMPLETED", R104="CANCELED", "CANCELED", TRUE, "PENDING")</f>
        <v>COMPLETED</v>
      </c>
      <c r="T104" t="s">
        <v>16</v>
      </c>
      <c r="U104">
        <f>VLOOKUP(A104,ordered_items!$B:$E,4,0)</f>
        <v>199.99</v>
      </c>
    </row>
    <row r="105" spans="1:21" x14ac:dyDescent="0.3">
      <c r="A105">
        <v>21141</v>
      </c>
      <c r="B105" t="s">
        <v>3</v>
      </c>
      <c r="C105">
        <v>2</v>
      </c>
      <c r="D105">
        <v>2</v>
      </c>
      <c r="E105" t="str">
        <f t="shared" si="3"/>
        <v xml:space="preserve"> ONTIME</v>
      </c>
      <c r="F105">
        <f>VLOOKUP($A105,ordered_items!$B$2:$E$4784,2,0)</f>
        <v>1073</v>
      </c>
      <c r="G105">
        <f>VLOOKUP($A105,ordered_items!$B$2:$E$4784,3,0)</f>
        <v>1</v>
      </c>
      <c r="H105">
        <f>VLOOKUP($A105,ordered_items!$B$2:$E$4784,4,0)</f>
        <v>199.99</v>
      </c>
      <c r="I105" s="15">
        <f>VLOOKUP(F105,product_info!$A$2:$D$73,4,0)</f>
        <v>7</v>
      </c>
      <c r="J105" s="15" t="str">
        <f>VLOOKUP(I105,department!$A$2:$B$13,2,0)</f>
        <v>Fan Shop</v>
      </c>
      <c r="K105">
        <v>3942</v>
      </c>
      <c r="L105" t="s">
        <v>304</v>
      </c>
      <c r="M105" s="4">
        <v>43408</v>
      </c>
      <c r="N105" s="12">
        <f t="shared" si="4"/>
        <v>11</v>
      </c>
      <c r="O105" s="13">
        <f t="shared" si="5"/>
        <v>2018</v>
      </c>
      <c r="P105" t="s">
        <v>13</v>
      </c>
      <c r="Q105" t="s">
        <v>30</v>
      </c>
      <c r="R105" t="s">
        <v>14</v>
      </c>
      <c r="S105" t="str" cm="1">
        <f t="array" ref="S105">_xlfn.IFS(R105="COMPLETE", "COMPLETED", R105="CANCELED", "CANCELED", TRUE, "PENDING")</f>
        <v>PENDING</v>
      </c>
      <c r="T105" t="s">
        <v>90</v>
      </c>
      <c r="U105">
        <f>VLOOKUP(A105,ordered_items!$B:$E,4,0)</f>
        <v>199.99</v>
      </c>
    </row>
    <row r="106" spans="1:21" x14ac:dyDescent="0.3">
      <c r="A106">
        <v>21161</v>
      </c>
      <c r="B106" t="s">
        <v>3</v>
      </c>
      <c r="C106">
        <v>2</v>
      </c>
      <c r="D106">
        <v>4</v>
      </c>
      <c r="E106" t="str">
        <f t="shared" si="3"/>
        <v xml:space="preserve"> ONTIME</v>
      </c>
      <c r="F106">
        <f>VLOOKUP($A106,ordered_items!$B$2:$E$4784,2,0)</f>
        <v>1004</v>
      </c>
      <c r="G106">
        <f>VLOOKUP($A106,ordered_items!$B$2:$E$4784,3,0)</f>
        <v>1</v>
      </c>
      <c r="H106">
        <f>VLOOKUP($A106,ordered_items!$B$2:$E$4784,4,0)</f>
        <v>399.98</v>
      </c>
      <c r="I106" s="15">
        <f>VLOOKUP(F106,product_info!$A$2:$D$73,4,0)</f>
        <v>7</v>
      </c>
      <c r="J106" s="15" t="str">
        <f>VLOOKUP(I106,department!$A$2:$B$13,2,0)</f>
        <v>Fan Shop</v>
      </c>
      <c r="K106">
        <v>3165</v>
      </c>
      <c r="L106" t="s">
        <v>434</v>
      </c>
      <c r="M106" s="4">
        <v>43408</v>
      </c>
      <c r="N106" s="12">
        <f t="shared" si="4"/>
        <v>11</v>
      </c>
      <c r="O106" s="13">
        <f t="shared" si="5"/>
        <v>2018</v>
      </c>
      <c r="P106" t="s">
        <v>13</v>
      </c>
      <c r="Q106" t="s">
        <v>245</v>
      </c>
      <c r="R106" t="s">
        <v>38</v>
      </c>
      <c r="S106" t="str" cm="1">
        <f t="array" ref="S106">_xlfn.IFS(R106="COMPLETE", "COMPLETED", R106="CANCELED", "CANCELED", TRUE, "PENDING")</f>
        <v>PENDING</v>
      </c>
      <c r="T106" t="s">
        <v>16</v>
      </c>
      <c r="U106">
        <f>VLOOKUP(A106,ordered_items!$B:$E,4,0)</f>
        <v>399.98</v>
      </c>
    </row>
    <row r="107" spans="1:21" x14ac:dyDescent="0.3">
      <c r="A107">
        <v>21170</v>
      </c>
      <c r="B107" t="s">
        <v>3</v>
      </c>
      <c r="C107">
        <v>0</v>
      </c>
      <c r="D107">
        <v>0</v>
      </c>
      <c r="E107" t="str">
        <f t="shared" si="3"/>
        <v xml:space="preserve"> ONTIME</v>
      </c>
      <c r="F107">
        <f>VLOOKUP($A107,ordered_items!$B$2:$E$4784,2,0)</f>
        <v>897</v>
      </c>
      <c r="G107">
        <f>VLOOKUP($A107,ordered_items!$B$2:$E$4784,3,0)</f>
        <v>3</v>
      </c>
      <c r="H107">
        <f>VLOOKUP($A107,ordered_items!$B$2:$E$4784,4,0)</f>
        <v>74.97</v>
      </c>
      <c r="I107" s="15">
        <f>VLOOKUP(F107,product_info!$A$2:$D$73,4,0)</f>
        <v>6</v>
      </c>
      <c r="J107" s="15" t="str">
        <f>VLOOKUP(I107,department!$A$2:$B$13,2,0)</f>
        <v>Outdoors</v>
      </c>
      <c r="K107">
        <v>6372</v>
      </c>
      <c r="L107" t="s">
        <v>258</v>
      </c>
      <c r="M107" s="4">
        <v>43409</v>
      </c>
      <c r="N107" s="12">
        <f t="shared" si="4"/>
        <v>11</v>
      </c>
      <c r="O107" s="13">
        <f t="shared" si="5"/>
        <v>2018</v>
      </c>
      <c r="P107" t="s">
        <v>13</v>
      </c>
      <c r="Q107" t="s">
        <v>30</v>
      </c>
      <c r="R107" t="s">
        <v>14</v>
      </c>
      <c r="S107" t="str" cm="1">
        <f t="array" ref="S107">_xlfn.IFS(R107="COMPLETE", "COMPLETED", R107="CANCELED", "CANCELED", TRUE, "PENDING")</f>
        <v>PENDING</v>
      </c>
      <c r="T107" t="s">
        <v>58</v>
      </c>
      <c r="U107">
        <f>VLOOKUP(A107,ordered_items!$B:$E,4,0)</f>
        <v>74.97</v>
      </c>
    </row>
    <row r="108" spans="1:21" x14ac:dyDescent="0.3">
      <c r="A108">
        <v>21192</v>
      </c>
      <c r="B108" t="s">
        <v>3</v>
      </c>
      <c r="C108">
        <v>3</v>
      </c>
      <c r="D108">
        <v>4</v>
      </c>
      <c r="E108" t="str">
        <f t="shared" si="3"/>
        <v xml:space="preserve"> ONTIME</v>
      </c>
      <c r="F108">
        <f>VLOOKUP($A108,ordered_items!$B$2:$E$4784,2,0)</f>
        <v>365</v>
      </c>
      <c r="G108">
        <f>VLOOKUP($A108,ordered_items!$B$2:$E$4784,3,0)</f>
        <v>5</v>
      </c>
      <c r="H108">
        <f>VLOOKUP($A108,ordered_items!$B$2:$E$4784,4,0)</f>
        <v>299.95</v>
      </c>
      <c r="I108" s="15">
        <f>VLOOKUP(F108,product_info!$A$2:$D$73,4,0)</f>
        <v>4</v>
      </c>
      <c r="J108" s="15" t="str">
        <f>VLOOKUP(I108,department!$A$2:$B$13,2,0)</f>
        <v>Apparel</v>
      </c>
      <c r="K108">
        <v>8992</v>
      </c>
      <c r="L108" t="s">
        <v>214</v>
      </c>
      <c r="M108" s="4">
        <v>43409</v>
      </c>
      <c r="N108" s="12">
        <f t="shared" si="4"/>
        <v>11</v>
      </c>
      <c r="O108" s="13">
        <f t="shared" si="5"/>
        <v>2018</v>
      </c>
      <c r="P108" t="s">
        <v>13</v>
      </c>
      <c r="Q108" t="s">
        <v>5781</v>
      </c>
      <c r="R108" t="s">
        <v>14</v>
      </c>
      <c r="S108" t="str" cm="1">
        <f t="array" ref="S108">_xlfn.IFS(R108="COMPLETE", "COMPLETED", R108="CANCELED", "CANCELED", TRUE, "PENDING")</f>
        <v>PENDING</v>
      </c>
      <c r="T108" t="s">
        <v>16</v>
      </c>
      <c r="U108">
        <f>VLOOKUP(A108,ordered_items!$B:$E,4,0)</f>
        <v>299.95</v>
      </c>
    </row>
    <row r="109" spans="1:21" x14ac:dyDescent="0.3">
      <c r="A109">
        <v>21210</v>
      </c>
      <c r="B109" t="s">
        <v>3</v>
      </c>
      <c r="C109">
        <v>6</v>
      </c>
      <c r="D109">
        <v>4</v>
      </c>
      <c r="E109" t="str">
        <f t="shared" si="3"/>
        <v>DELAYED</v>
      </c>
      <c r="F109">
        <f>VLOOKUP($A109,ordered_items!$B$2:$E$4784,2,0)</f>
        <v>1014</v>
      </c>
      <c r="G109">
        <f>VLOOKUP($A109,ordered_items!$B$2:$E$4784,3,0)</f>
        <v>4</v>
      </c>
      <c r="H109">
        <f>VLOOKUP($A109,ordered_items!$B$2:$E$4784,4,0)</f>
        <v>199.92</v>
      </c>
      <c r="I109" s="15">
        <f>VLOOKUP(F109,product_info!$A$2:$D$73,4,0)</f>
        <v>7</v>
      </c>
      <c r="J109" s="15" t="str">
        <f>VLOOKUP(I109,department!$A$2:$B$13,2,0)</f>
        <v>Fan Shop</v>
      </c>
      <c r="K109">
        <v>4728</v>
      </c>
      <c r="L109" t="s">
        <v>206</v>
      </c>
      <c r="M109" s="4">
        <v>43409</v>
      </c>
      <c r="N109" s="12">
        <f t="shared" si="4"/>
        <v>11</v>
      </c>
      <c r="O109" s="13">
        <f t="shared" si="5"/>
        <v>2018</v>
      </c>
      <c r="P109" t="s">
        <v>13</v>
      </c>
      <c r="Q109" t="s">
        <v>30</v>
      </c>
      <c r="R109" t="s">
        <v>14</v>
      </c>
      <c r="S109" t="str" cm="1">
        <f t="array" ref="S109">_xlfn.IFS(R109="COMPLETE", "COMPLETED", R109="CANCELED", "CANCELED", TRUE, "PENDING")</f>
        <v>PENDING</v>
      </c>
      <c r="T109" t="s">
        <v>16</v>
      </c>
      <c r="U109">
        <f>VLOOKUP(A109,ordered_items!$B:$E,4,0)</f>
        <v>199.92</v>
      </c>
    </row>
    <row r="110" spans="1:21" x14ac:dyDescent="0.3">
      <c r="A110">
        <v>21214</v>
      </c>
      <c r="B110" t="s">
        <v>24</v>
      </c>
      <c r="C110">
        <v>5</v>
      </c>
      <c r="D110">
        <v>4</v>
      </c>
      <c r="E110" t="str">
        <f t="shared" si="3"/>
        <v>DELAYED</v>
      </c>
      <c r="F110">
        <f>VLOOKUP($A110,ordered_items!$B$2:$E$4784,2,0)</f>
        <v>365</v>
      </c>
      <c r="G110">
        <f>VLOOKUP($A110,ordered_items!$B$2:$E$4784,3,0)</f>
        <v>4</v>
      </c>
      <c r="H110">
        <f>VLOOKUP($A110,ordered_items!$B$2:$E$4784,4,0)</f>
        <v>239.96</v>
      </c>
      <c r="I110" s="15">
        <f>VLOOKUP(F110,product_info!$A$2:$D$73,4,0)</f>
        <v>4</v>
      </c>
      <c r="J110" s="15" t="str">
        <f>VLOOKUP(I110,department!$A$2:$B$13,2,0)</f>
        <v>Apparel</v>
      </c>
      <c r="K110">
        <v>9333</v>
      </c>
      <c r="L110" t="s">
        <v>202</v>
      </c>
      <c r="M110" s="4">
        <v>43409</v>
      </c>
      <c r="N110" s="12">
        <f t="shared" si="4"/>
        <v>11</v>
      </c>
      <c r="O110" s="13">
        <f t="shared" si="5"/>
        <v>2018</v>
      </c>
      <c r="P110" t="s">
        <v>13</v>
      </c>
      <c r="Q110" t="s">
        <v>99</v>
      </c>
      <c r="R110" t="s">
        <v>31</v>
      </c>
      <c r="S110" t="str" cm="1">
        <f t="array" ref="S110">_xlfn.IFS(R110="COMPLETE", "COMPLETED", R110="CANCELED", "CANCELED", TRUE, "PENDING")</f>
        <v>COMPLETED</v>
      </c>
      <c r="T110" t="s">
        <v>16</v>
      </c>
      <c r="U110">
        <f>VLOOKUP(A110,ordered_items!$B:$E,4,0)</f>
        <v>239.96</v>
      </c>
    </row>
    <row r="111" spans="1:21" x14ac:dyDescent="0.3">
      <c r="A111">
        <v>21230</v>
      </c>
      <c r="B111" t="s">
        <v>24</v>
      </c>
      <c r="C111">
        <v>6</v>
      </c>
      <c r="D111">
        <v>4</v>
      </c>
      <c r="E111" t="str">
        <f t="shared" si="3"/>
        <v>DELAYED</v>
      </c>
      <c r="F111">
        <f>VLOOKUP($A111,ordered_items!$B$2:$E$4784,2,0)</f>
        <v>1004</v>
      </c>
      <c r="G111">
        <f>VLOOKUP($A111,ordered_items!$B$2:$E$4784,3,0)</f>
        <v>1</v>
      </c>
      <c r="H111">
        <f>VLOOKUP($A111,ordered_items!$B$2:$E$4784,4,0)</f>
        <v>399.98</v>
      </c>
      <c r="I111" s="15">
        <f>VLOOKUP(F111,product_info!$A$2:$D$73,4,0)</f>
        <v>7</v>
      </c>
      <c r="J111" s="15" t="str">
        <f>VLOOKUP(I111,department!$A$2:$B$13,2,0)</f>
        <v>Fan Shop</v>
      </c>
      <c r="K111">
        <v>10484</v>
      </c>
      <c r="L111" t="s">
        <v>290</v>
      </c>
      <c r="M111" s="4">
        <v>43409</v>
      </c>
      <c r="N111" s="12">
        <f t="shared" si="4"/>
        <v>11</v>
      </c>
      <c r="O111" s="13">
        <f t="shared" si="5"/>
        <v>2018</v>
      </c>
      <c r="P111" t="s">
        <v>13</v>
      </c>
      <c r="Q111" t="s">
        <v>130</v>
      </c>
      <c r="R111" t="s">
        <v>378</v>
      </c>
      <c r="S111" t="str" cm="1">
        <f t="array" ref="S111">_xlfn.IFS(R111="COMPLETE", "COMPLETED", R111="CANCELED", "CANCELED", TRUE, "PENDING")</f>
        <v>PENDING</v>
      </c>
      <c r="T111" t="s">
        <v>16</v>
      </c>
      <c r="U111">
        <f>VLOOKUP(A111,ordered_items!$B:$E,4,0)</f>
        <v>399.98</v>
      </c>
    </row>
    <row r="112" spans="1:21" x14ac:dyDescent="0.3">
      <c r="A112">
        <v>21239</v>
      </c>
      <c r="B112" t="s">
        <v>51</v>
      </c>
      <c r="C112">
        <v>5</v>
      </c>
      <c r="D112">
        <v>4</v>
      </c>
      <c r="E112" t="str">
        <f t="shared" si="3"/>
        <v>DELAYED</v>
      </c>
      <c r="F112">
        <f>VLOOKUP($A112,ordered_items!$B$2:$E$4784,2,0)</f>
        <v>957</v>
      </c>
      <c r="G112">
        <f>VLOOKUP($A112,ordered_items!$B$2:$E$4784,3,0)</f>
        <v>1</v>
      </c>
      <c r="H112">
        <f>VLOOKUP($A112,ordered_items!$B$2:$E$4784,4,0)</f>
        <v>299.98</v>
      </c>
      <c r="I112" s="15">
        <f>VLOOKUP(F112,product_info!$A$2:$D$73,4,0)</f>
        <v>7</v>
      </c>
      <c r="J112" s="15" t="str">
        <f>VLOOKUP(I112,department!$A$2:$B$13,2,0)</f>
        <v>Fan Shop</v>
      </c>
      <c r="K112">
        <v>12038</v>
      </c>
      <c r="L112" t="s">
        <v>434</v>
      </c>
      <c r="M112" s="4">
        <v>43410</v>
      </c>
      <c r="N112" s="12">
        <f t="shared" si="4"/>
        <v>11</v>
      </c>
      <c r="O112" s="13">
        <f t="shared" si="5"/>
        <v>2018</v>
      </c>
      <c r="P112" t="s">
        <v>13</v>
      </c>
      <c r="Q112" t="s">
        <v>245</v>
      </c>
      <c r="R112" t="s">
        <v>57</v>
      </c>
      <c r="S112" t="str" cm="1">
        <f t="array" ref="S112">_xlfn.IFS(R112="COMPLETE", "COMPLETED", R112="CANCELED", "CANCELED", TRUE, "PENDING")</f>
        <v>PENDING</v>
      </c>
      <c r="T112" t="s">
        <v>16</v>
      </c>
      <c r="U112">
        <f>VLOOKUP(A112,ordered_items!$B:$E,4,0)</f>
        <v>299.98</v>
      </c>
    </row>
    <row r="113" spans="1:21" x14ac:dyDescent="0.3">
      <c r="A113">
        <v>21240</v>
      </c>
      <c r="B113" t="s">
        <v>51</v>
      </c>
      <c r="C113">
        <v>6</v>
      </c>
      <c r="D113">
        <v>4</v>
      </c>
      <c r="E113" t="str">
        <f t="shared" si="3"/>
        <v>DELAYED</v>
      </c>
      <c r="F113">
        <f>VLOOKUP($A113,ordered_items!$B$2:$E$4784,2,0)</f>
        <v>1073</v>
      </c>
      <c r="G113">
        <f>VLOOKUP($A113,ordered_items!$B$2:$E$4784,3,0)</f>
        <v>1</v>
      </c>
      <c r="H113">
        <f>VLOOKUP($A113,ordered_items!$B$2:$E$4784,4,0)</f>
        <v>199.99</v>
      </c>
      <c r="I113" s="15">
        <f>VLOOKUP(F113,product_info!$A$2:$D$73,4,0)</f>
        <v>7</v>
      </c>
      <c r="J113" s="15" t="str">
        <f>VLOOKUP(I113,department!$A$2:$B$13,2,0)</f>
        <v>Fan Shop</v>
      </c>
      <c r="K113">
        <v>8377</v>
      </c>
      <c r="L113" t="s">
        <v>434</v>
      </c>
      <c r="M113" s="4">
        <v>43410</v>
      </c>
      <c r="N113" s="12">
        <f t="shared" si="4"/>
        <v>11</v>
      </c>
      <c r="O113" s="13">
        <f t="shared" si="5"/>
        <v>2018</v>
      </c>
      <c r="P113" t="s">
        <v>13</v>
      </c>
      <c r="Q113" t="s">
        <v>245</v>
      </c>
      <c r="R113" t="s">
        <v>57</v>
      </c>
      <c r="S113" t="str" cm="1">
        <f t="array" ref="S113">_xlfn.IFS(R113="COMPLETE", "COMPLETED", R113="CANCELED", "CANCELED", TRUE, "PENDING")</f>
        <v>PENDING</v>
      </c>
      <c r="T113" t="s">
        <v>16</v>
      </c>
      <c r="U113">
        <f>VLOOKUP(A113,ordered_items!$B:$E,4,0)</f>
        <v>199.99</v>
      </c>
    </row>
    <row r="114" spans="1:21" x14ac:dyDescent="0.3">
      <c r="A114">
        <v>21257</v>
      </c>
      <c r="B114" t="s">
        <v>3</v>
      </c>
      <c r="C114">
        <v>3</v>
      </c>
      <c r="D114">
        <v>4</v>
      </c>
      <c r="E114" t="str">
        <f t="shared" si="3"/>
        <v xml:space="preserve"> ONTIME</v>
      </c>
      <c r="F114">
        <f>VLOOKUP($A114,ordered_items!$B$2:$E$4784,2,0)</f>
        <v>1073</v>
      </c>
      <c r="G114">
        <f>VLOOKUP($A114,ordered_items!$B$2:$E$4784,3,0)</f>
        <v>1</v>
      </c>
      <c r="H114">
        <f>VLOOKUP($A114,ordered_items!$B$2:$E$4784,4,0)</f>
        <v>199.99</v>
      </c>
      <c r="I114" s="15">
        <f>VLOOKUP(F114,product_info!$A$2:$D$73,4,0)</f>
        <v>7</v>
      </c>
      <c r="J114" s="15" t="str">
        <f>VLOOKUP(I114,department!$A$2:$B$13,2,0)</f>
        <v>Fan Shop</v>
      </c>
      <c r="K114">
        <v>1811</v>
      </c>
      <c r="L114" t="s">
        <v>275</v>
      </c>
      <c r="M114" s="4">
        <v>43410</v>
      </c>
      <c r="N114" s="12">
        <f t="shared" si="4"/>
        <v>11</v>
      </c>
      <c r="O114" s="13">
        <f t="shared" si="5"/>
        <v>2018</v>
      </c>
      <c r="P114" t="s">
        <v>13</v>
      </c>
      <c r="Q114" t="s">
        <v>80</v>
      </c>
      <c r="R114" t="s">
        <v>38</v>
      </c>
      <c r="S114" t="str" cm="1">
        <f t="array" ref="S114">_xlfn.IFS(R114="COMPLETE", "COMPLETED", R114="CANCELED", "CANCELED", TRUE, "PENDING")</f>
        <v>PENDING</v>
      </c>
      <c r="T114" t="s">
        <v>16</v>
      </c>
      <c r="U114">
        <f>VLOOKUP(A114,ordered_items!$B:$E,4,0)</f>
        <v>199.99</v>
      </c>
    </row>
    <row r="115" spans="1:21" x14ac:dyDescent="0.3">
      <c r="A115">
        <v>21276</v>
      </c>
      <c r="B115" t="s">
        <v>3</v>
      </c>
      <c r="C115">
        <v>2</v>
      </c>
      <c r="D115">
        <v>4</v>
      </c>
      <c r="E115" t="str">
        <f t="shared" si="3"/>
        <v xml:space="preserve"> ONTIME</v>
      </c>
      <c r="F115">
        <f>VLOOKUP($A115,ordered_items!$B$2:$E$4784,2,0)</f>
        <v>403</v>
      </c>
      <c r="G115">
        <f>VLOOKUP($A115,ordered_items!$B$2:$E$4784,3,0)</f>
        <v>1</v>
      </c>
      <c r="H115">
        <f>VLOOKUP($A115,ordered_items!$B$2:$E$4784,4,0)</f>
        <v>129.99</v>
      </c>
      <c r="I115" s="15">
        <f>VLOOKUP(F115,product_info!$A$2:$D$73,4,0)</f>
        <v>4</v>
      </c>
      <c r="J115" s="15" t="str">
        <f>VLOOKUP(I115,department!$A$2:$B$13,2,0)</f>
        <v>Apparel</v>
      </c>
      <c r="K115">
        <v>9079</v>
      </c>
      <c r="L115" t="s">
        <v>70</v>
      </c>
      <c r="M115" s="4">
        <v>43410</v>
      </c>
      <c r="N115" s="12">
        <f t="shared" si="4"/>
        <v>11</v>
      </c>
      <c r="O115" s="13">
        <f t="shared" si="5"/>
        <v>2018</v>
      </c>
      <c r="P115" t="s">
        <v>13</v>
      </c>
      <c r="Q115" t="s">
        <v>70</v>
      </c>
      <c r="R115" t="s">
        <v>14</v>
      </c>
      <c r="S115" t="str" cm="1">
        <f t="array" ref="S115">_xlfn.IFS(R115="COMPLETE", "COMPLETED", R115="CANCELED", "CANCELED", TRUE, "PENDING")</f>
        <v>PENDING</v>
      </c>
      <c r="T115" t="s">
        <v>16</v>
      </c>
      <c r="U115">
        <f>VLOOKUP(A115,ordered_items!$B:$E,4,0)</f>
        <v>129.99</v>
      </c>
    </row>
    <row r="116" spans="1:21" x14ac:dyDescent="0.3">
      <c r="A116">
        <v>21278</v>
      </c>
      <c r="B116" t="s">
        <v>24</v>
      </c>
      <c r="C116">
        <v>1</v>
      </c>
      <c r="D116">
        <v>0</v>
      </c>
      <c r="E116" t="str">
        <f t="shared" si="3"/>
        <v>DELAYED</v>
      </c>
      <c r="F116">
        <f>VLOOKUP($A116,ordered_items!$B$2:$E$4784,2,0)</f>
        <v>282</v>
      </c>
      <c r="G116">
        <f>VLOOKUP($A116,ordered_items!$B$2:$E$4784,3,0)</f>
        <v>1</v>
      </c>
      <c r="H116">
        <f>VLOOKUP($A116,ordered_items!$B$2:$E$4784,4,0)</f>
        <v>31.99</v>
      </c>
      <c r="I116" s="15">
        <f>VLOOKUP(F116,product_info!$A$2:$D$73,4,0)</f>
        <v>3</v>
      </c>
      <c r="J116" s="15" t="str">
        <f>VLOOKUP(I116,department!$A$2:$B$13,2,0)</f>
        <v>Footwear</v>
      </c>
      <c r="K116">
        <v>11205</v>
      </c>
      <c r="L116" t="s">
        <v>764</v>
      </c>
      <c r="M116" s="4">
        <v>43410</v>
      </c>
      <c r="N116" s="12">
        <f t="shared" si="4"/>
        <v>11</v>
      </c>
      <c r="O116" s="13">
        <f t="shared" si="5"/>
        <v>2018</v>
      </c>
      <c r="P116" t="s">
        <v>13</v>
      </c>
      <c r="Q116" t="s">
        <v>30</v>
      </c>
      <c r="R116" t="s">
        <v>31</v>
      </c>
      <c r="S116" t="str" cm="1">
        <f t="array" ref="S116">_xlfn.IFS(R116="COMPLETE", "COMPLETED", R116="CANCELED", "CANCELED", TRUE, "PENDING")</f>
        <v>COMPLETED</v>
      </c>
      <c r="T116" t="s">
        <v>58</v>
      </c>
      <c r="U116">
        <f>VLOOKUP(A116,ordered_items!$B:$E,4,0)</f>
        <v>31.99</v>
      </c>
    </row>
    <row r="117" spans="1:21" x14ac:dyDescent="0.3">
      <c r="A117">
        <v>21280</v>
      </c>
      <c r="B117" t="s">
        <v>24</v>
      </c>
      <c r="C117">
        <v>6</v>
      </c>
      <c r="D117">
        <v>2</v>
      </c>
      <c r="E117" t="str">
        <f t="shared" si="3"/>
        <v>DELAYED</v>
      </c>
      <c r="F117">
        <f>VLOOKUP($A117,ordered_items!$B$2:$E$4784,2,0)</f>
        <v>44</v>
      </c>
      <c r="G117">
        <f>VLOOKUP($A117,ordered_items!$B$2:$E$4784,3,0)</f>
        <v>1</v>
      </c>
      <c r="H117">
        <f>VLOOKUP($A117,ordered_items!$B$2:$E$4784,4,0)</f>
        <v>59.99</v>
      </c>
      <c r="I117" s="15">
        <f>VLOOKUP(F117,product_info!$A$2:$D$73,4,0)</f>
        <v>2</v>
      </c>
      <c r="J117" s="15" t="str">
        <f>VLOOKUP(I117,department!$A$2:$B$13,2,0)</f>
        <v>Fitness</v>
      </c>
      <c r="K117">
        <v>3685</v>
      </c>
      <c r="L117" t="s">
        <v>317</v>
      </c>
      <c r="M117" s="4">
        <v>43410</v>
      </c>
      <c r="N117" s="12">
        <f t="shared" si="4"/>
        <v>11</v>
      </c>
      <c r="O117" s="13">
        <f t="shared" si="5"/>
        <v>2018</v>
      </c>
      <c r="P117" t="s">
        <v>13</v>
      </c>
      <c r="Q117" t="s">
        <v>227</v>
      </c>
      <c r="R117" t="s">
        <v>31</v>
      </c>
      <c r="S117" t="str" cm="1">
        <f t="array" ref="S117">_xlfn.IFS(R117="COMPLETE", "COMPLETED", R117="CANCELED", "CANCELED", TRUE, "PENDING")</f>
        <v>COMPLETED</v>
      </c>
      <c r="T117" t="s">
        <v>90</v>
      </c>
      <c r="U117">
        <f>VLOOKUP(A117,ordered_items!$B:$E,4,0)</f>
        <v>59.99</v>
      </c>
    </row>
    <row r="118" spans="1:21" x14ac:dyDescent="0.3">
      <c r="A118">
        <v>21281</v>
      </c>
      <c r="B118" t="s">
        <v>17</v>
      </c>
      <c r="C118">
        <v>2</v>
      </c>
      <c r="D118">
        <v>4</v>
      </c>
      <c r="E118" t="str">
        <f t="shared" si="3"/>
        <v xml:space="preserve"> ONTIME</v>
      </c>
      <c r="F118">
        <f>VLOOKUP($A118,ordered_items!$B$2:$E$4784,2,0)</f>
        <v>897</v>
      </c>
      <c r="G118">
        <f>VLOOKUP($A118,ordered_items!$B$2:$E$4784,3,0)</f>
        <v>5</v>
      </c>
      <c r="H118">
        <f>VLOOKUP($A118,ordered_items!$B$2:$E$4784,4,0)</f>
        <v>124.95</v>
      </c>
      <c r="I118" s="15">
        <f>VLOOKUP(F118,product_info!$A$2:$D$73,4,0)</f>
        <v>6</v>
      </c>
      <c r="J118" s="15" t="str">
        <f>VLOOKUP(I118,department!$A$2:$B$13,2,0)</f>
        <v>Outdoors</v>
      </c>
      <c r="K118">
        <v>12305</v>
      </c>
      <c r="L118" t="s">
        <v>317</v>
      </c>
      <c r="M118" s="4">
        <v>43410</v>
      </c>
      <c r="N118" s="12">
        <f t="shared" si="4"/>
        <v>11</v>
      </c>
      <c r="O118" s="13">
        <f t="shared" si="5"/>
        <v>2018</v>
      </c>
      <c r="P118" t="s">
        <v>13</v>
      </c>
      <c r="Q118" t="s">
        <v>227</v>
      </c>
      <c r="R118" t="s">
        <v>23</v>
      </c>
      <c r="S118" t="str" cm="1">
        <f t="array" ref="S118">_xlfn.IFS(R118="COMPLETE", "COMPLETED", R118="CANCELED", "CANCELED", TRUE, "PENDING")</f>
        <v>PENDING</v>
      </c>
      <c r="T118" t="s">
        <v>16</v>
      </c>
      <c r="U118">
        <f>VLOOKUP(A118,ordered_items!$B:$E,4,0)</f>
        <v>124.95</v>
      </c>
    </row>
    <row r="119" spans="1:21" x14ac:dyDescent="0.3">
      <c r="A119">
        <v>21282</v>
      </c>
      <c r="B119" t="s">
        <v>24</v>
      </c>
      <c r="C119">
        <v>3</v>
      </c>
      <c r="D119">
        <v>4</v>
      </c>
      <c r="E119" t="str">
        <f t="shared" si="3"/>
        <v xml:space="preserve"> ONTIME</v>
      </c>
      <c r="F119">
        <f>VLOOKUP($A119,ordered_items!$B$2:$E$4784,2,0)</f>
        <v>403</v>
      </c>
      <c r="G119">
        <f>VLOOKUP($A119,ordered_items!$B$2:$E$4784,3,0)</f>
        <v>1</v>
      </c>
      <c r="H119">
        <f>VLOOKUP($A119,ordered_items!$B$2:$E$4784,4,0)</f>
        <v>129.99</v>
      </c>
      <c r="I119" s="15">
        <f>VLOOKUP(F119,product_info!$A$2:$D$73,4,0)</f>
        <v>4</v>
      </c>
      <c r="J119" s="15" t="str">
        <f>VLOOKUP(I119,department!$A$2:$B$13,2,0)</f>
        <v>Apparel</v>
      </c>
      <c r="K119">
        <v>1908</v>
      </c>
      <c r="L119" t="s">
        <v>317</v>
      </c>
      <c r="M119" s="4">
        <v>43410</v>
      </c>
      <c r="N119" s="12">
        <f t="shared" si="4"/>
        <v>11</v>
      </c>
      <c r="O119" s="13">
        <f t="shared" si="5"/>
        <v>2018</v>
      </c>
      <c r="P119" t="s">
        <v>13</v>
      </c>
      <c r="Q119" t="s">
        <v>227</v>
      </c>
      <c r="R119" t="s">
        <v>31</v>
      </c>
      <c r="S119" t="str" cm="1">
        <f t="array" ref="S119">_xlfn.IFS(R119="COMPLETE", "COMPLETED", R119="CANCELED", "CANCELED", TRUE, "PENDING")</f>
        <v>COMPLETED</v>
      </c>
      <c r="T119" t="s">
        <v>16</v>
      </c>
      <c r="U119">
        <f>VLOOKUP(A119,ordered_items!$B:$E,4,0)</f>
        <v>129.99</v>
      </c>
    </row>
    <row r="120" spans="1:21" x14ac:dyDescent="0.3">
      <c r="A120">
        <v>21317</v>
      </c>
      <c r="B120" t="s">
        <v>51</v>
      </c>
      <c r="C120">
        <v>2</v>
      </c>
      <c r="D120">
        <v>1</v>
      </c>
      <c r="E120" t="str">
        <f t="shared" si="3"/>
        <v>DELAYED</v>
      </c>
      <c r="F120">
        <f>VLOOKUP($A120,ordered_items!$B$2:$E$4784,2,0)</f>
        <v>403</v>
      </c>
      <c r="G120">
        <f>VLOOKUP($A120,ordered_items!$B$2:$E$4784,3,0)</f>
        <v>1</v>
      </c>
      <c r="H120">
        <f>VLOOKUP($A120,ordered_items!$B$2:$E$4784,4,0)</f>
        <v>129.99</v>
      </c>
      <c r="I120" s="15">
        <f>VLOOKUP(F120,product_info!$A$2:$D$73,4,0)</f>
        <v>4</v>
      </c>
      <c r="J120" s="15" t="str">
        <f>VLOOKUP(I120,department!$A$2:$B$13,2,0)</f>
        <v>Apparel</v>
      </c>
      <c r="K120">
        <v>9156</v>
      </c>
      <c r="L120" t="s">
        <v>743</v>
      </c>
      <c r="M120" s="4">
        <v>43411</v>
      </c>
      <c r="N120" s="12">
        <f t="shared" si="4"/>
        <v>11</v>
      </c>
      <c r="O120" s="13">
        <f t="shared" si="5"/>
        <v>2018</v>
      </c>
      <c r="P120" t="s">
        <v>13</v>
      </c>
      <c r="Q120" t="s">
        <v>5780</v>
      </c>
      <c r="R120" t="s">
        <v>57</v>
      </c>
      <c r="S120" t="str" cm="1">
        <f t="array" ref="S120">_xlfn.IFS(R120="COMPLETE", "COMPLETED", R120="CANCELED", "CANCELED", TRUE, "PENDING")</f>
        <v>PENDING</v>
      </c>
      <c r="T120" t="s">
        <v>32</v>
      </c>
      <c r="U120">
        <f>VLOOKUP(A120,ordered_items!$B:$E,4,0)</f>
        <v>129.99</v>
      </c>
    </row>
    <row r="121" spans="1:21" x14ac:dyDescent="0.3">
      <c r="A121">
        <v>21318</v>
      </c>
      <c r="B121" t="s">
        <v>3</v>
      </c>
      <c r="C121">
        <v>2</v>
      </c>
      <c r="D121">
        <v>1</v>
      </c>
      <c r="E121" t="str">
        <f t="shared" si="3"/>
        <v>DELAYED</v>
      </c>
      <c r="F121">
        <f>VLOOKUP($A121,ordered_items!$B$2:$E$4784,2,0)</f>
        <v>403</v>
      </c>
      <c r="G121">
        <f>VLOOKUP($A121,ordered_items!$B$2:$E$4784,3,0)</f>
        <v>1</v>
      </c>
      <c r="H121">
        <f>VLOOKUP($A121,ordered_items!$B$2:$E$4784,4,0)</f>
        <v>129.99</v>
      </c>
      <c r="I121" s="15">
        <f>VLOOKUP(F121,product_info!$A$2:$D$73,4,0)</f>
        <v>4</v>
      </c>
      <c r="J121" s="15" t="str">
        <f>VLOOKUP(I121,department!$A$2:$B$13,2,0)</f>
        <v>Apparel</v>
      </c>
      <c r="K121">
        <v>11987</v>
      </c>
      <c r="L121" t="s">
        <v>743</v>
      </c>
      <c r="M121" s="4">
        <v>43411</v>
      </c>
      <c r="N121" s="12">
        <f t="shared" si="4"/>
        <v>11</v>
      </c>
      <c r="O121" s="13">
        <f t="shared" si="5"/>
        <v>2018</v>
      </c>
      <c r="P121" t="s">
        <v>13</v>
      </c>
      <c r="Q121" t="s">
        <v>5780</v>
      </c>
      <c r="R121" t="s">
        <v>178</v>
      </c>
      <c r="S121" t="str" cm="1">
        <f t="array" ref="S121">_xlfn.IFS(R121="COMPLETE", "COMPLETED", R121="CANCELED", "CANCELED", TRUE, "PENDING")</f>
        <v>PENDING</v>
      </c>
      <c r="T121" t="s">
        <v>32</v>
      </c>
      <c r="U121">
        <f>VLOOKUP(A121,ordered_items!$B:$E,4,0)</f>
        <v>129.99</v>
      </c>
    </row>
    <row r="122" spans="1:21" x14ac:dyDescent="0.3">
      <c r="A122">
        <v>21319</v>
      </c>
      <c r="B122" t="s">
        <v>24</v>
      </c>
      <c r="C122">
        <v>5</v>
      </c>
      <c r="D122">
        <v>2</v>
      </c>
      <c r="E122" t="str">
        <f t="shared" si="3"/>
        <v>DELAYED</v>
      </c>
      <c r="F122">
        <f>VLOOKUP($A122,ordered_items!$B$2:$E$4784,2,0)</f>
        <v>771</v>
      </c>
      <c r="G122">
        <f>VLOOKUP($A122,ordered_items!$B$2:$E$4784,3,0)</f>
        <v>2</v>
      </c>
      <c r="H122">
        <f>VLOOKUP($A122,ordered_items!$B$2:$E$4784,4,0)</f>
        <v>79.98</v>
      </c>
      <c r="I122" s="15">
        <f>VLOOKUP(F122,product_info!$A$2:$D$73,4,0)</f>
        <v>6</v>
      </c>
      <c r="J122" s="15" t="str">
        <f>VLOOKUP(I122,department!$A$2:$B$13,2,0)</f>
        <v>Outdoors</v>
      </c>
      <c r="K122">
        <v>2453</v>
      </c>
      <c r="L122" t="s">
        <v>743</v>
      </c>
      <c r="M122" s="4">
        <v>43411</v>
      </c>
      <c r="N122" s="12">
        <f t="shared" si="4"/>
        <v>11</v>
      </c>
      <c r="O122" s="13">
        <f t="shared" si="5"/>
        <v>2018</v>
      </c>
      <c r="P122" t="s">
        <v>13</v>
      </c>
      <c r="Q122" t="s">
        <v>5780</v>
      </c>
      <c r="R122" t="s">
        <v>31</v>
      </c>
      <c r="S122" t="str" cm="1">
        <f t="array" ref="S122">_xlfn.IFS(R122="COMPLETE", "COMPLETED", R122="CANCELED", "CANCELED", TRUE, "PENDING")</f>
        <v>COMPLETED</v>
      </c>
      <c r="T122" t="s">
        <v>90</v>
      </c>
      <c r="U122">
        <f>VLOOKUP(A122,ordered_items!$B:$E,4,0)</f>
        <v>79.98</v>
      </c>
    </row>
    <row r="123" spans="1:21" x14ac:dyDescent="0.3">
      <c r="A123">
        <v>21320</v>
      </c>
      <c r="B123" t="s">
        <v>17</v>
      </c>
      <c r="C123">
        <v>6</v>
      </c>
      <c r="D123">
        <v>4</v>
      </c>
      <c r="E123" t="str">
        <f t="shared" si="3"/>
        <v>DELAYED</v>
      </c>
      <c r="F123">
        <f>VLOOKUP($A123,ordered_items!$B$2:$E$4784,2,0)</f>
        <v>403</v>
      </c>
      <c r="G123">
        <f>VLOOKUP($A123,ordered_items!$B$2:$E$4784,3,0)</f>
        <v>1</v>
      </c>
      <c r="H123">
        <f>VLOOKUP($A123,ordered_items!$B$2:$E$4784,4,0)</f>
        <v>129.99</v>
      </c>
      <c r="I123" s="15">
        <f>VLOOKUP(F123,product_info!$A$2:$D$73,4,0)</f>
        <v>4</v>
      </c>
      <c r="J123" s="15" t="str">
        <f>VLOOKUP(I123,department!$A$2:$B$13,2,0)</f>
        <v>Apparel</v>
      </c>
      <c r="K123">
        <v>11628</v>
      </c>
      <c r="L123" t="s">
        <v>743</v>
      </c>
      <c r="M123" s="4">
        <v>43411</v>
      </c>
      <c r="N123" s="12">
        <f t="shared" si="4"/>
        <v>11</v>
      </c>
      <c r="O123" s="13">
        <f t="shared" si="5"/>
        <v>2018</v>
      </c>
      <c r="P123" t="s">
        <v>13</v>
      </c>
      <c r="Q123" t="s">
        <v>5780</v>
      </c>
      <c r="R123" t="s">
        <v>23</v>
      </c>
      <c r="S123" t="str" cm="1">
        <f t="array" ref="S123">_xlfn.IFS(R123="COMPLETE", "COMPLETED", R123="CANCELED", "CANCELED", TRUE, "PENDING")</f>
        <v>PENDING</v>
      </c>
      <c r="T123" t="s">
        <v>16</v>
      </c>
      <c r="U123">
        <f>VLOOKUP(A123,ordered_items!$B:$E,4,0)</f>
        <v>129.99</v>
      </c>
    </row>
    <row r="124" spans="1:21" x14ac:dyDescent="0.3">
      <c r="A124">
        <v>21321</v>
      </c>
      <c r="B124" t="s">
        <v>51</v>
      </c>
      <c r="C124">
        <v>2</v>
      </c>
      <c r="D124">
        <v>1</v>
      </c>
      <c r="E124" t="str">
        <f t="shared" si="3"/>
        <v>DELAYED</v>
      </c>
      <c r="F124">
        <f>VLOOKUP($A124,ordered_items!$B$2:$E$4784,2,0)</f>
        <v>957</v>
      </c>
      <c r="G124">
        <f>VLOOKUP($A124,ordered_items!$B$2:$E$4784,3,0)</f>
        <v>1</v>
      </c>
      <c r="H124">
        <f>VLOOKUP($A124,ordered_items!$B$2:$E$4784,4,0)</f>
        <v>299.98</v>
      </c>
      <c r="I124" s="15">
        <f>VLOOKUP(F124,product_info!$A$2:$D$73,4,0)</f>
        <v>7</v>
      </c>
      <c r="J124" s="15" t="str">
        <f>VLOOKUP(I124,department!$A$2:$B$13,2,0)</f>
        <v>Fan Shop</v>
      </c>
      <c r="K124">
        <v>10677</v>
      </c>
      <c r="L124" t="s">
        <v>743</v>
      </c>
      <c r="M124" s="4">
        <v>43411</v>
      </c>
      <c r="N124" s="12">
        <f t="shared" si="4"/>
        <v>11</v>
      </c>
      <c r="O124" s="13">
        <f t="shared" si="5"/>
        <v>2018</v>
      </c>
      <c r="P124" t="s">
        <v>13</v>
      </c>
      <c r="Q124" t="s">
        <v>5780</v>
      </c>
      <c r="R124" t="s">
        <v>57</v>
      </c>
      <c r="S124" t="str" cm="1">
        <f t="array" ref="S124">_xlfn.IFS(R124="COMPLETE", "COMPLETED", R124="CANCELED", "CANCELED", TRUE, "PENDING")</f>
        <v>PENDING</v>
      </c>
      <c r="T124" t="s">
        <v>32</v>
      </c>
      <c r="U124">
        <f>VLOOKUP(A124,ordered_items!$B:$E,4,0)</f>
        <v>299.98</v>
      </c>
    </row>
    <row r="125" spans="1:21" x14ac:dyDescent="0.3">
      <c r="A125">
        <v>21322</v>
      </c>
      <c r="B125" t="s">
        <v>24</v>
      </c>
      <c r="C125">
        <v>2</v>
      </c>
      <c r="D125">
        <v>1</v>
      </c>
      <c r="E125" t="str">
        <f t="shared" si="3"/>
        <v>DELAYED</v>
      </c>
      <c r="F125">
        <f>VLOOKUP($A125,ordered_items!$B$2:$E$4784,2,0)</f>
        <v>502</v>
      </c>
      <c r="G125">
        <f>VLOOKUP($A125,ordered_items!$B$2:$E$4784,3,0)</f>
        <v>4</v>
      </c>
      <c r="H125">
        <f>VLOOKUP($A125,ordered_items!$B$2:$E$4784,4,0)</f>
        <v>200</v>
      </c>
      <c r="I125" s="15">
        <f>VLOOKUP(F125,product_info!$A$2:$D$73,4,0)</f>
        <v>5</v>
      </c>
      <c r="J125" s="15" t="str">
        <f>VLOOKUP(I125,department!$A$2:$B$13,2,0)</f>
        <v>Golf</v>
      </c>
      <c r="K125">
        <v>3409</v>
      </c>
      <c r="L125" t="s">
        <v>743</v>
      </c>
      <c r="M125" s="4">
        <v>43411</v>
      </c>
      <c r="N125" s="12">
        <f t="shared" si="4"/>
        <v>11</v>
      </c>
      <c r="O125" s="13">
        <f t="shared" si="5"/>
        <v>2018</v>
      </c>
      <c r="P125" t="s">
        <v>13</v>
      </c>
      <c r="Q125" t="s">
        <v>5780</v>
      </c>
      <c r="R125" t="s">
        <v>378</v>
      </c>
      <c r="S125" t="str" cm="1">
        <f t="array" ref="S125">_xlfn.IFS(R125="COMPLETE", "COMPLETED", R125="CANCELED", "CANCELED", TRUE, "PENDING")</f>
        <v>PENDING</v>
      </c>
      <c r="T125" t="s">
        <v>32</v>
      </c>
      <c r="U125">
        <f>VLOOKUP(A125,ordered_items!$B:$E,4,0)</f>
        <v>200</v>
      </c>
    </row>
    <row r="126" spans="1:21" x14ac:dyDescent="0.3">
      <c r="A126">
        <v>21361</v>
      </c>
      <c r="B126" t="s">
        <v>24</v>
      </c>
      <c r="C126">
        <v>2</v>
      </c>
      <c r="D126">
        <v>1</v>
      </c>
      <c r="E126" t="str">
        <f t="shared" si="3"/>
        <v>DELAYED</v>
      </c>
      <c r="F126">
        <f>VLOOKUP($A126,ordered_items!$B$2:$E$4784,2,0)</f>
        <v>403</v>
      </c>
      <c r="G126">
        <f>VLOOKUP($A126,ordered_items!$B$2:$E$4784,3,0)</f>
        <v>1</v>
      </c>
      <c r="H126">
        <f>VLOOKUP($A126,ordered_items!$B$2:$E$4784,4,0)</f>
        <v>129.99</v>
      </c>
      <c r="I126" s="15">
        <f>VLOOKUP(F126,product_info!$A$2:$D$73,4,0)</f>
        <v>4</v>
      </c>
      <c r="J126" s="15" t="str">
        <f>VLOOKUP(I126,department!$A$2:$B$13,2,0)</f>
        <v>Apparel</v>
      </c>
      <c r="K126">
        <v>4020</v>
      </c>
      <c r="L126" t="s">
        <v>233</v>
      </c>
      <c r="M126" s="4">
        <v>43411</v>
      </c>
      <c r="N126" s="12">
        <f t="shared" si="4"/>
        <v>11</v>
      </c>
      <c r="O126" s="13">
        <f t="shared" si="5"/>
        <v>2018</v>
      </c>
      <c r="P126" t="s">
        <v>13</v>
      </c>
      <c r="Q126" t="s">
        <v>234</v>
      </c>
      <c r="R126" t="s">
        <v>31</v>
      </c>
      <c r="S126" t="str" cm="1">
        <f t="array" ref="S126">_xlfn.IFS(R126="COMPLETE", "COMPLETED", R126="CANCELED", "CANCELED", TRUE, "PENDING")</f>
        <v>COMPLETED</v>
      </c>
      <c r="T126" t="s">
        <v>32</v>
      </c>
      <c r="U126">
        <f>VLOOKUP(A126,ordered_items!$B:$E,4,0)</f>
        <v>129.99</v>
      </c>
    </row>
    <row r="127" spans="1:21" x14ac:dyDescent="0.3">
      <c r="A127">
        <v>21362</v>
      </c>
      <c r="B127" t="s">
        <v>3</v>
      </c>
      <c r="C127">
        <v>2</v>
      </c>
      <c r="D127">
        <v>1</v>
      </c>
      <c r="E127" t="str">
        <f t="shared" si="3"/>
        <v>DELAYED</v>
      </c>
      <c r="F127">
        <f>VLOOKUP($A127,ordered_items!$B$2:$E$4784,2,0)</f>
        <v>771</v>
      </c>
      <c r="G127">
        <f>VLOOKUP($A127,ordered_items!$B$2:$E$4784,3,0)</f>
        <v>5</v>
      </c>
      <c r="H127">
        <f>VLOOKUP($A127,ordered_items!$B$2:$E$4784,4,0)</f>
        <v>199.95</v>
      </c>
      <c r="I127" s="15">
        <f>VLOOKUP(F127,product_info!$A$2:$D$73,4,0)</f>
        <v>6</v>
      </c>
      <c r="J127" s="15" t="str">
        <f>VLOOKUP(I127,department!$A$2:$B$13,2,0)</f>
        <v>Outdoors</v>
      </c>
      <c r="K127">
        <v>813</v>
      </c>
      <c r="L127" t="s">
        <v>233</v>
      </c>
      <c r="M127" s="4">
        <v>43411</v>
      </c>
      <c r="N127" s="12">
        <f t="shared" si="4"/>
        <v>11</v>
      </c>
      <c r="O127" s="13">
        <f t="shared" si="5"/>
        <v>2018</v>
      </c>
      <c r="P127" t="s">
        <v>13</v>
      </c>
      <c r="Q127" t="s">
        <v>234</v>
      </c>
      <c r="R127" t="s">
        <v>235</v>
      </c>
      <c r="S127" t="str" cm="1">
        <f t="array" ref="S127">_xlfn.IFS(R127="COMPLETE", "COMPLETED", R127="CANCELED", "CANCELED", TRUE, "PENDING")</f>
        <v>CANCELED</v>
      </c>
      <c r="T127" t="s">
        <v>32</v>
      </c>
      <c r="U127">
        <f>VLOOKUP(A127,ordered_items!$B:$E,4,0)</f>
        <v>199.95</v>
      </c>
    </row>
    <row r="128" spans="1:21" x14ac:dyDescent="0.3">
      <c r="A128">
        <v>21363</v>
      </c>
      <c r="B128" t="s">
        <v>3</v>
      </c>
      <c r="C128">
        <v>2</v>
      </c>
      <c r="D128">
        <v>1</v>
      </c>
      <c r="E128" t="str">
        <f t="shared" si="3"/>
        <v>DELAYED</v>
      </c>
      <c r="F128">
        <f>VLOOKUP($A128,ordered_items!$B$2:$E$4784,2,0)</f>
        <v>403</v>
      </c>
      <c r="G128">
        <f>VLOOKUP($A128,ordered_items!$B$2:$E$4784,3,0)</f>
        <v>1</v>
      </c>
      <c r="H128">
        <f>VLOOKUP($A128,ordered_items!$B$2:$E$4784,4,0)</f>
        <v>129.99</v>
      </c>
      <c r="I128" s="15">
        <f>VLOOKUP(F128,product_info!$A$2:$D$73,4,0)</f>
        <v>4</v>
      </c>
      <c r="J128" s="15" t="str">
        <f>VLOOKUP(I128,department!$A$2:$B$13,2,0)</f>
        <v>Apparel</v>
      </c>
      <c r="K128">
        <v>5459</v>
      </c>
      <c r="L128" t="s">
        <v>233</v>
      </c>
      <c r="M128" s="4">
        <v>43411</v>
      </c>
      <c r="N128" s="12">
        <f t="shared" si="4"/>
        <v>11</v>
      </c>
      <c r="O128" s="13">
        <f t="shared" si="5"/>
        <v>2018</v>
      </c>
      <c r="P128" t="s">
        <v>13</v>
      </c>
      <c r="Q128" t="s">
        <v>234</v>
      </c>
      <c r="R128" t="s">
        <v>38</v>
      </c>
      <c r="S128" t="str" cm="1">
        <f t="array" ref="S128">_xlfn.IFS(R128="COMPLETE", "COMPLETED", R128="CANCELED", "CANCELED", TRUE, "PENDING")</f>
        <v>PENDING</v>
      </c>
      <c r="T128" t="s">
        <v>32</v>
      </c>
      <c r="U128">
        <f>VLOOKUP(A128,ordered_items!$B:$E,4,0)</f>
        <v>129.99</v>
      </c>
    </row>
    <row r="129" spans="1:21" x14ac:dyDescent="0.3">
      <c r="A129">
        <v>21374</v>
      </c>
      <c r="B129" t="s">
        <v>51</v>
      </c>
      <c r="C129">
        <v>5</v>
      </c>
      <c r="D129">
        <v>4</v>
      </c>
      <c r="E129" t="str">
        <f t="shared" si="3"/>
        <v>DELAYED</v>
      </c>
      <c r="F129">
        <f>VLOOKUP($A129,ordered_items!$B$2:$E$4784,2,0)</f>
        <v>1073</v>
      </c>
      <c r="G129">
        <f>VLOOKUP($A129,ordered_items!$B$2:$E$4784,3,0)</f>
        <v>1</v>
      </c>
      <c r="H129">
        <f>VLOOKUP($A129,ordered_items!$B$2:$E$4784,4,0)</f>
        <v>199.99</v>
      </c>
      <c r="I129" s="15">
        <f>VLOOKUP(F129,product_info!$A$2:$D$73,4,0)</f>
        <v>7</v>
      </c>
      <c r="J129" s="15" t="str">
        <f>VLOOKUP(I129,department!$A$2:$B$13,2,0)</f>
        <v>Fan Shop</v>
      </c>
      <c r="K129">
        <v>9502</v>
      </c>
      <c r="L129" t="s">
        <v>613</v>
      </c>
      <c r="M129" s="4">
        <v>43411</v>
      </c>
      <c r="N129" s="12">
        <f t="shared" si="4"/>
        <v>11</v>
      </c>
      <c r="O129" s="13">
        <f t="shared" si="5"/>
        <v>2018</v>
      </c>
      <c r="P129" t="s">
        <v>13</v>
      </c>
      <c r="Q129" t="s">
        <v>80</v>
      </c>
      <c r="R129" t="s">
        <v>57</v>
      </c>
      <c r="S129" t="str" cm="1">
        <f t="array" ref="S129">_xlfn.IFS(R129="COMPLETE", "COMPLETED", R129="CANCELED", "CANCELED", TRUE, "PENDING")</f>
        <v>PENDING</v>
      </c>
      <c r="T129" t="s">
        <v>16</v>
      </c>
      <c r="U129">
        <f>VLOOKUP(A129,ordered_items!$B:$E,4,0)</f>
        <v>199.99</v>
      </c>
    </row>
    <row r="130" spans="1:21" x14ac:dyDescent="0.3">
      <c r="A130">
        <v>21375</v>
      </c>
      <c r="B130" t="s">
        <v>3</v>
      </c>
      <c r="C130">
        <v>6</v>
      </c>
      <c r="D130">
        <v>4</v>
      </c>
      <c r="E130" t="str">
        <f t="shared" si="3"/>
        <v>DELAYED</v>
      </c>
      <c r="F130">
        <f>VLOOKUP($A130,ordered_items!$B$2:$E$4784,2,0)</f>
        <v>1014</v>
      </c>
      <c r="G130">
        <f>VLOOKUP($A130,ordered_items!$B$2:$E$4784,3,0)</f>
        <v>4</v>
      </c>
      <c r="H130">
        <f>VLOOKUP($A130,ordered_items!$B$2:$E$4784,4,0)</f>
        <v>199.92</v>
      </c>
      <c r="I130" s="15">
        <f>VLOOKUP(F130,product_info!$A$2:$D$73,4,0)</f>
        <v>7</v>
      </c>
      <c r="J130" s="15" t="str">
        <f>VLOOKUP(I130,department!$A$2:$B$13,2,0)</f>
        <v>Fan Shop</v>
      </c>
      <c r="K130">
        <v>3889</v>
      </c>
      <c r="L130" t="s">
        <v>613</v>
      </c>
      <c r="M130" s="4">
        <v>43412</v>
      </c>
      <c r="N130" s="12">
        <f t="shared" si="4"/>
        <v>11</v>
      </c>
      <c r="O130" s="13">
        <f t="shared" si="5"/>
        <v>2018</v>
      </c>
      <c r="P130" t="s">
        <v>13</v>
      </c>
      <c r="Q130" t="s">
        <v>80</v>
      </c>
      <c r="R130" t="s">
        <v>178</v>
      </c>
      <c r="S130" t="str" cm="1">
        <f t="array" ref="S130">_xlfn.IFS(R130="COMPLETE", "COMPLETED", R130="CANCELED", "CANCELED", TRUE, "PENDING")</f>
        <v>PENDING</v>
      </c>
      <c r="T130" t="s">
        <v>16</v>
      </c>
      <c r="U130">
        <f>VLOOKUP(A130,ordered_items!$B:$E,4,0)</f>
        <v>199.92</v>
      </c>
    </row>
    <row r="131" spans="1:21" x14ac:dyDescent="0.3">
      <c r="A131">
        <v>21376</v>
      </c>
      <c r="B131" t="s">
        <v>24</v>
      </c>
      <c r="C131">
        <v>2</v>
      </c>
      <c r="D131">
        <v>4</v>
      </c>
      <c r="E131" t="str">
        <f t="shared" ref="E131:E194" si="6">IF(C131-D131&gt;0,"DELAYED"," ONTIME")</f>
        <v xml:space="preserve"> ONTIME</v>
      </c>
      <c r="F131">
        <f>VLOOKUP($A131,ordered_items!$B$2:$E$4784,2,0)</f>
        <v>403</v>
      </c>
      <c r="G131">
        <f>VLOOKUP($A131,ordered_items!$B$2:$E$4784,3,0)</f>
        <v>1</v>
      </c>
      <c r="H131">
        <f>VLOOKUP($A131,ordered_items!$B$2:$E$4784,4,0)</f>
        <v>129.99</v>
      </c>
      <c r="I131" s="15">
        <f>VLOOKUP(F131,product_info!$A$2:$D$73,4,0)</f>
        <v>4</v>
      </c>
      <c r="J131" s="15" t="str">
        <f>VLOOKUP(I131,department!$A$2:$B$13,2,0)</f>
        <v>Apparel</v>
      </c>
      <c r="K131">
        <v>4295</v>
      </c>
      <c r="L131" t="s">
        <v>613</v>
      </c>
      <c r="M131" s="4">
        <v>43412</v>
      </c>
      <c r="N131" s="12">
        <f t="shared" ref="N131:N194" si="7">MONTH(M131)</f>
        <v>11</v>
      </c>
      <c r="O131" s="13">
        <f t="shared" ref="O131:O194" si="8">YEAR(M131)</f>
        <v>2018</v>
      </c>
      <c r="P131" t="s">
        <v>13</v>
      </c>
      <c r="Q131" t="s">
        <v>80</v>
      </c>
      <c r="R131" t="s">
        <v>31</v>
      </c>
      <c r="S131" t="str" cm="1">
        <f t="array" ref="S131">_xlfn.IFS(R131="COMPLETE", "COMPLETED", R131="CANCELED", "CANCELED", TRUE, "PENDING")</f>
        <v>COMPLETED</v>
      </c>
      <c r="T131" t="s">
        <v>16</v>
      </c>
      <c r="U131">
        <f>VLOOKUP(A131,ordered_items!$B:$E,4,0)</f>
        <v>129.99</v>
      </c>
    </row>
    <row r="132" spans="1:21" x14ac:dyDescent="0.3">
      <c r="A132">
        <v>21377</v>
      </c>
      <c r="B132" t="s">
        <v>24</v>
      </c>
      <c r="C132">
        <v>3</v>
      </c>
      <c r="D132">
        <v>4</v>
      </c>
      <c r="E132" t="str">
        <f t="shared" si="6"/>
        <v xml:space="preserve"> ONTIME</v>
      </c>
      <c r="F132">
        <f>VLOOKUP($A132,ordered_items!$B$2:$E$4784,2,0)</f>
        <v>403</v>
      </c>
      <c r="G132">
        <f>VLOOKUP($A132,ordered_items!$B$2:$E$4784,3,0)</f>
        <v>1</v>
      </c>
      <c r="H132">
        <f>VLOOKUP($A132,ordered_items!$B$2:$E$4784,4,0)</f>
        <v>129.99</v>
      </c>
      <c r="I132" s="15">
        <f>VLOOKUP(F132,product_info!$A$2:$D$73,4,0)</f>
        <v>4</v>
      </c>
      <c r="J132" s="15" t="str">
        <f>VLOOKUP(I132,department!$A$2:$B$13,2,0)</f>
        <v>Apparel</v>
      </c>
      <c r="K132">
        <v>3813</v>
      </c>
      <c r="L132" t="s">
        <v>613</v>
      </c>
      <c r="M132" s="4">
        <v>43412</v>
      </c>
      <c r="N132" s="12">
        <f t="shared" si="7"/>
        <v>11</v>
      </c>
      <c r="O132" s="13">
        <f t="shared" si="8"/>
        <v>2018</v>
      </c>
      <c r="P132" t="s">
        <v>13</v>
      </c>
      <c r="Q132" t="s">
        <v>80</v>
      </c>
      <c r="R132" t="s">
        <v>31</v>
      </c>
      <c r="S132" t="str" cm="1">
        <f t="array" ref="S132">_xlfn.IFS(R132="COMPLETE", "COMPLETED", R132="CANCELED", "CANCELED", TRUE, "PENDING")</f>
        <v>COMPLETED</v>
      </c>
      <c r="T132" t="s">
        <v>16</v>
      </c>
      <c r="U132">
        <f>VLOOKUP(A132,ordered_items!$B:$E,4,0)</f>
        <v>129.99</v>
      </c>
    </row>
    <row r="133" spans="1:21" x14ac:dyDescent="0.3">
      <c r="A133">
        <v>21378</v>
      </c>
      <c r="B133" t="s">
        <v>24</v>
      </c>
      <c r="C133">
        <v>4</v>
      </c>
      <c r="D133">
        <v>4</v>
      </c>
      <c r="E133" t="str">
        <f t="shared" si="6"/>
        <v xml:space="preserve"> ONTIME</v>
      </c>
      <c r="F133">
        <f>VLOOKUP($A133,ordered_items!$B$2:$E$4784,2,0)</f>
        <v>957</v>
      </c>
      <c r="G133">
        <f>VLOOKUP($A133,ordered_items!$B$2:$E$4784,3,0)</f>
        <v>1</v>
      </c>
      <c r="H133">
        <f>VLOOKUP($A133,ordered_items!$B$2:$E$4784,4,0)</f>
        <v>299.98</v>
      </c>
      <c r="I133" s="15">
        <f>VLOOKUP(F133,product_info!$A$2:$D$73,4,0)</f>
        <v>7</v>
      </c>
      <c r="J133" s="15" t="str">
        <f>VLOOKUP(I133,department!$A$2:$B$13,2,0)</f>
        <v>Fan Shop</v>
      </c>
      <c r="K133">
        <v>10156</v>
      </c>
      <c r="L133" t="s">
        <v>465</v>
      </c>
      <c r="M133" s="4">
        <v>43412</v>
      </c>
      <c r="N133" s="12">
        <f t="shared" si="7"/>
        <v>11</v>
      </c>
      <c r="O133" s="13">
        <f t="shared" si="8"/>
        <v>2018</v>
      </c>
      <c r="P133" t="s">
        <v>13</v>
      </c>
      <c r="Q133" t="s">
        <v>99</v>
      </c>
      <c r="R133" t="s">
        <v>31</v>
      </c>
      <c r="S133" t="str" cm="1">
        <f t="array" ref="S133">_xlfn.IFS(R133="COMPLETE", "COMPLETED", R133="CANCELED", "CANCELED", TRUE, "PENDING")</f>
        <v>COMPLETED</v>
      </c>
      <c r="T133" t="s">
        <v>16</v>
      </c>
      <c r="U133">
        <f>VLOOKUP(A133,ordered_items!$B:$E,4,0)</f>
        <v>299.98</v>
      </c>
    </row>
    <row r="134" spans="1:21" x14ac:dyDescent="0.3">
      <c r="A134">
        <v>21380</v>
      </c>
      <c r="B134" t="s">
        <v>24</v>
      </c>
      <c r="C134">
        <v>6</v>
      </c>
      <c r="D134">
        <v>4</v>
      </c>
      <c r="E134" t="str">
        <f t="shared" si="6"/>
        <v>DELAYED</v>
      </c>
      <c r="F134">
        <f>VLOOKUP($A134,ordered_items!$B$2:$E$4784,2,0)</f>
        <v>627</v>
      </c>
      <c r="G134">
        <f>VLOOKUP($A134,ordered_items!$B$2:$E$4784,3,0)</f>
        <v>1</v>
      </c>
      <c r="H134">
        <f>VLOOKUP($A134,ordered_items!$B$2:$E$4784,4,0)</f>
        <v>39.99</v>
      </c>
      <c r="I134" s="15">
        <f>VLOOKUP(F134,product_info!$A$2:$D$73,4,0)</f>
        <v>5</v>
      </c>
      <c r="J134" s="15" t="str">
        <f>VLOOKUP(I134,department!$A$2:$B$13,2,0)</f>
        <v>Golf</v>
      </c>
      <c r="K134">
        <v>2919</v>
      </c>
      <c r="L134" t="s">
        <v>465</v>
      </c>
      <c r="M134" s="4">
        <v>43412</v>
      </c>
      <c r="N134" s="12">
        <f t="shared" si="7"/>
        <v>11</v>
      </c>
      <c r="O134" s="13">
        <f t="shared" si="8"/>
        <v>2018</v>
      </c>
      <c r="P134" t="s">
        <v>13</v>
      </c>
      <c r="Q134" t="s">
        <v>99</v>
      </c>
      <c r="R134" t="s">
        <v>31</v>
      </c>
      <c r="S134" t="str" cm="1">
        <f t="array" ref="S134">_xlfn.IFS(R134="COMPLETE", "COMPLETED", R134="CANCELED", "CANCELED", TRUE, "PENDING")</f>
        <v>COMPLETED</v>
      </c>
      <c r="T134" t="s">
        <v>16</v>
      </c>
      <c r="U134">
        <f>VLOOKUP(A134,ordered_items!$B:$E,4,0)</f>
        <v>39.99</v>
      </c>
    </row>
    <row r="135" spans="1:21" x14ac:dyDescent="0.3">
      <c r="A135">
        <v>21384</v>
      </c>
      <c r="B135" t="s">
        <v>3</v>
      </c>
      <c r="C135">
        <v>5</v>
      </c>
      <c r="D135">
        <v>4</v>
      </c>
      <c r="E135" t="str">
        <f t="shared" si="6"/>
        <v>DELAYED</v>
      </c>
      <c r="F135">
        <f>VLOOKUP($A135,ordered_items!$B$2:$E$4784,2,0)</f>
        <v>825</v>
      </c>
      <c r="G135">
        <f>VLOOKUP($A135,ordered_items!$B$2:$E$4784,3,0)</f>
        <v>5</v>
      </c>
      <c r="H135">
        <f>VLOOKUP($A135,ordered_items!$B$2:$E$4784,4,0)</f>
        <v>159.94999999999999</v>
      </c>
      <c r="I135" s="15">
        <f>VLOOKUP(F135,product_info!$A$2:$D$73,4,0)</f>
        <v>6</v>
      </c>
      <c r="J135" s="15" t="str">
        <f>VLOOKUP(I135,department!$A$2:$B$13,2,0)</f>
        <v>Outdoors</v>
      </c>
      <c r="K135">
        <v>10881</v>
      </c>
      <c r="L135" t="s">
        <v>830</v>
      </c>
      <c r="M135" s="4">
        <v>43412</v>
      </c>
      <c r="N135" s="12">
        <f t="shared" si="7"/>
        <v>11</v>
      </c>
      <c r="O135" s="13">
        <f t="shared" si="8"/>
        <v>2018</v>
      </c>
      <c r="P135" t="s">
        <v>13</v>
      </c>
      <c r="Q135" t="s">
        <v>5777</v>
      </c>
      <c r="R135" t="s">
        <v>38</v>
      </c>
      <c r="S135" t="str" cm="1">
        <f t="array" ref="S135">_xlfn.IFS(R135="COMPLETE", "COMPLETED", R135="CANCELED", "CANCELED", TRUE, "PENDING")</f>
        <v>PENDING</v>
      </c>
      <c r="T135" t="s">
        <v>16</v>
      </c>
      <c r="U135">
        <f>VLOOKUP(A135,ordered_items!$B:$E,4,0)</f>
        <v>159.94999999999999</v>
      </c>
    </row>
    <row r="136" spans="1:21" x14ac:dyDescent="0.3">
      <c r="A136">
        <v>21385</v>
      </c>
      <c r="B136" t="s">
        <v>3</v>
      </c>
      <c r="C136">
        <v>6</v>
      </c>
      <c r="D136">
        <v>4</v>
      </c>
      <c r="E136" t="str">
        <f t="shared" si="6"/>
        <v>DELAYED</v>
      </c>
      <c r="F136">
        <f>VLOOKUP($A136,ordered_items!$B$2:$E$4784,2,0)</f>
        <v>1004</v>
      </c>
      <c r="G136">
        <f>VLOOKUP($A136,ordered_items!$B$2:$E$4784,3,0)</f>
        <v>1</v>
      </c>
      <c r="H136">
        <f>VLOOKUP($A136,ordered_items!$B$2:$E$4784,4,0)</f>
        <v>399.98</v>
      </c>
      <c r="I136" s="15">
        <f>VLOOKUP(F136,product_info!$A$2:$D$73,4,0)</f>
        <v>7</v>
      </c>
      <c r="J136" s="15" t="str">
        <f>VLOOKUP(I136,department!$A$2:$B$13,2,0)</f>
        <v>Fan Shop</v>
      </c>
      <c r="K136">
        <v>4027</v>
      </c>
      <c r="L136" t="s">
        <v>1481</v>
      </c>
      <c r="M136" s="4">
        <v>43412</v>
      </c>
      <c r="N136" s="12">
        <f t="shared" si="7"/>
        <v>11</v>
      </c>
      <c r="O136" s="13">
        <f t="shared" si="8"/>
        <v>2018</v>
      </c>
      <c r="P136" t="s">
        <v>13</v>
      </c>
      <c r="Q136" t="s">
        <v>286</v>
      </c>
      <c r="R136" t="s">
        <v>38</v>
      </c>
      <c r="S136" t="str" cm="1">
        <f t="array" ref="S136">_xlfn.IFS(R136="COMPLETE", "COMPLETED", R136="CANCELED", "CANCELED", TRUE, "PENDING")</f>
        <v>PENDING</v>
      </c>
      <c r="T136" t="s">
        <v>16</v>
      </c>
      <c r="U136">
        <f>VLOOKUP(A136,ordered_items!$B:$E,4,0)</f>
        <v>399.98</v>
      </c>
    </row>
    <row r="137" spans="1:21" x14ac:dyDescent="0.3">
      <c r="A137">
        <v>21386</v>
      </c>
      <c r="B137" t="s">
        <v>17</v>
      </c>
      <c r="C137">
        <v>2</v>
      </c>
      <c r="D137">
        <v>4</v>
      </c>
      <c r="E137" t="str">
        <f t="shared" si="6"/>
        <v xml:space="preserve"> ONTIME</v>
      </c>
      <c r="F137">
        <f>VLOOKUP($A137,ordered_items!$B$2:$E$4784,2,0)</f>
        <v>403</v>
      </c>
      <c r="G137">
        <f>VLOOKUP($A137,ordered_items!$B$2:$E$4784,3,0)</f>
        <v>1</v>
      </c>
      <c r="H137">
        <f>VLOOKUP($A137,ordered_items!$B$2:$E$4784,4,0)</f>
        <v>129.99</v>
      </c>
      <c r="I137" s="15">
        <f>VLOOKUP(F137,product_info!$A$2:$D$73,4,0)</f>
        <v>4</v>
      </c>
      <c r="J137" s="15" t="str">
        <f>VLOOKUP(I137,department!$A$2:$B$13,2,0)</f>
        <v>Apparel</v>
      </c>
      <c r="K137">
        <v>8717</v>
      </c>
      <c r="L137" t="s">
        <v>1481</v>
      </c>
      <c r="M137" s="4">
        <v>43412</v>
      </c>
      <c r="N137" s="12">
        <f t="shared" si="7"/>
        <v>11</v>
      </c>
      <c r="O137" s="13">
        <f t="shared" si="8"/>
        <v>2018</v>
      </c>
      <c r="P137" t="s">
        <v>13</v>
      </c>
      <c r="Q137" t="s">
        <v>286</v>
      </c>
      <c r="R137" t="s">
        <v>23</v>
      </c>
      <c r="S137" t="str" cm="1">
        <f t="array" ref="S137">_xlfn.IFS(R137="COMPLETE", "COMPLETED", R137="CANCELED", "CANCELED", TRUE, "PENDING")</f>
        <v>PENDING</v>
      </c>
      <c r="T137" t="s">
        <v>16</v>
      </c>
      <c r="U137">
        <f>VLOOKUP(A137,ordered_items!$B:$E,4,0)</f>
        <v>129.99</v>
      </c>
    </row>
    <row r="138" spans="1:21" x14ac:dyDescent="0.3">
      <c r="A138">
        <v>21407</v>
      </c>
      <c r="B138" t="s">
        <v>24</v>
      </c>
      <c r="C138">
        <v>3</v>
      </c>
      <c r="D138">
        <v>4</v>
      </c>
      <c r="E138" t="str">
        <f t="shared" si="6"/>
        <v xml:space="preserve"> ONTIME</v>
      </c>
      <c r="F138">
        <f>VLOOKUP($A138,ordered_items!$B$2:$E$4784,2,0)</f>
        <v>403</v>
      </c>
      <c r="G138">
        <f>VLOOKUP($A138,ordered_items!$B$2:$E$4784,3,0)</f>
        <v>1</v>
      </c>
      <c r="H138">
        <f>VLOOKUP($A138,ordered_items!$B$2:$E$4784,4,0)</f>
        <v>129.99</v>
      </c>
      <c r="I138" s="15">
        <f>VLOOKUP(F138,product_info!$A$2:$D$73,4,0)</f>
        <v>4</v>
      </c>
      <c r="J138" s="15" t="str">
        <f>VLOOKUP(I138,department!$A$2:$B$13,2,0)</f>
        <v>Apparel</v>
      </c>
      <c r="K138">
        <v>6956</v>
      </c>
      <c r="L138" t="s">
        <v>266</v>
      </c>
      <c r="M138" s="4">
        <v>43412</v>
      </c>
      <c r="N138" s="12">
        <f t="shared" si="7"/>
        <v>11</v>
      </c>
      <c r="O138" s="13">
        <f t="shared" si="8"/>
        <v>2018</v>
      </c>
      <c r="P138" t="s">
        <v>13</v>
      </c>
      <c r="Q138" t="s">
        <v>5778</v>
      </c>
      <c r="R138" t="s">
        <v>31</v>
      </c>
      <c r="S138" t="str" cm="1">
        <f t="array" ref="S138">_xlfn.IFS(R138="COMPLETE", "COMPLETED", R138="CANCELED", "CANCELED", TRUE, "PENDING")</f>
        <v>COMPLETED</v>
      </c>
      <c r="T138" t="s">
        <v>16</v>
      </c>
      <c r="U138">
        <f>VLOOKUP(A138,ordered_items!$B:$E,4,0)</f>
        <v>129.99</v>
      </c>
    </row>
    <row r="139" spans="1:21" x14ac:dyDescent="0.3">
      <c r="A139">
        <v>21408</v>
      </c>
      <c r="B139" t="s">
        <v>3</v>
      </c>
      <c r="C139">
        <v>4</v>
      </c>
      <c r="D139">
        <v>4</v>
      </c>
      <c r="E139" t="str">
        <f t="shared" si="6"/>
        <v xml:space="preserve"> ONTIME</v>
      </c>
      <c r="F139">
        <f>VLOOKUP($A139,ordered_items!$B$2:$E$4784,2,0)</f>
        <v>778</v>
      </c>
      <c r="G139">
        <f>VLOOKUP($A139,ordered_items!$B$2:$E$4784,3,0)</f>
        <v>1</v>
      </c>
      <c r="H139">
        <f>VLOOKUP($A139,ordered_items!$B$2:$E$4784,4,0)</f>
        <v>24.99</v>
      </c>
      <c r="I139" s="15">
        <f>VLOOKUP(F139,product_info!$A$2:$D$73,4,0)</f>
        <v>6</v>
      </c>
      <c r="J139" s="15" t="str">
        <f>VLOOKUP(I139,department!$A$2:$B$13,2,0)</f>
        <v>Outdoors</v>
      </c>
      <c r="K139">
        <v>9408</v>
      </c>
      <c r="L139" t="s">
        <v>266</v>
      </c>
      <c r="M139" s="4">
        <v>43412</v>
      </c>
      <c r="N139" s="12">
        <f t="shared" si="7"/>
        <v>11</v>
      </c>
      <c r="O139" s="13">
        <f t="shared" si="8"/>
        <v>2018</v>
      </c>
      <c r="P139" t="s">
        <v>13</v>
      </c>
      <c r="Q139" t="s">
        <v>5778</v>
      </c>
      <c r="R139" t="s">
        <v>38</v>
      </c>
      <c r="S139" t="str" cm="1">
        <f t="array" ref="S139">_xlfn.IFS(R139="COMPLETE", "COMPLETED", R139="CANCELED", "CANCELED", TRUE, "PENDING")</f>
        <v>PENDING</v>
      </c>
      <c r="T139" t="s">
        <v>16</v>
      </c>
      <c r="U139">
        <f>VLOOKUP(A139,ordered_items!$B:$E,4,0)</f>
        <v>24.99</v>
      </c>
    </row>
    <row r="140" spans="1:21" x14ac:dyDescent="0.3">
      <c r="A140">
        <v>21412</v>
      </c>
      <c r="B140" t="s">
        <v>24</v>
      </c>
      <c r="C140">
        <v>2</v>
      </c>
      <c r="D140">
        <v>1</v>
      </c>
      <c r="E140" t="str">
        <f t="shared" si="6"/>
        <v>DELAYED</v>
      </c>
      <c r="F140">
        <f>VLOOKUP($A140,ordered_items!$B$2:$E$4784,2,0)</f>
        <v>1004</v>
      </c>
      <c r="G140">
        <f>VLOOKUP($A140,ordered_items!$B$2:$E$4784,3,0)</f>
        <v>1</v>
      </c>
      <c r="H140">
        <f>VLOOKUP($A140,ordered_items!$B$2:$E$4784,4,0)</f>
        <v>399.98</v>
      </c>
      <c r="I140" s="15">
        <f>VLOOKUP(F140,product_info!$A$2:$D$73,4,0)</f>
        <v>7</v>
      </c>
      <c r="J140" s="15" t="str">
        <f>VLOOKUP(I140,department!$A$2:$B$13,2,0)</f>
        <v>Fan Shop</v>
      </c>
      <c r="K140">
        <v>246</v>
      </c>
      <c r="L140" t="s">
        <v>146</v>
      </c>
      <c r="M140" s="4">
        <v>43412</v>
      </c>
      <c r="N140" s="12">
        <f t="shared" si="7"/>
        <v>11</v>
      </c>
      <c r="O140" s="13">
        <f t="shared" si="8"/>
        <v>2018</v>
      </c>
      <c r="P140" t="s">
        <v>13</v>
      </c>
      <c r="Q140" t="s">
        <v>30</v>
      </c>
      <c r="R140" t="s">
        <v>31</v>
      </c>
      <c r="S140" t="str" cm="1">
        <f t="array" ref="S140">_xlfn.IFS(R140="COMPLETE", "COMPLETED", R140="CANCELED", "CANCELED", TRUE, "PENDING")</f>
        <v>COMPLETED</v>
      </c>
      <c r="T140" t="s">
        <v>32</v>
      </c>
      <c r="U140">
        <f>VLOOKUP(A140,ordered_items!$B:$E,4,0)</f>
        <v>399.98</v>
      </c>
    </row>
    <row r="141" spans="1:21" x14ac:dyDescent="0.3">
      <c r="A141">
        <v>21413</v>
      </c>
      <c r="B141" t="s">
        <v>24</v>
      </c>
      <c r="C141">
        <v>2</v>
      </c>
      <c r="D141">
        <v>1</v>
      </c>
      <c r="E141" t="str">
        <f t="shared" si="6"/>
        <v>DELAYED</v>
      </c>
      <c r="F141">
        <f>VLOOKUP($A141,ordered_items!$B$2:$E$4784,2,0)</f>
        <v>1073</v>
      </c>
      <c r="G141">
        <f>VLOOKUP($A141,ordered_items!$B$2:$E$4784,3,0)</f>
        <v>1</v>
      </c>
      <c r="H141">
        <f>VLOOKUP($A141,ordered_items!$B$2:$E$4784,4,0)</f>
        <v>199.99</v>
      </c>
      <c r="I141" s="15">
        <f>VLOOKUP(F141,product_info!$A$2:$D$73,4,0)</f>
        <v>7</v>
      </c>
      <c r="J141" s="15" t="str">
        <f>VLOOKUP(I141,department!$A$2:$B$13,2,0)</f>
        <v>Fan Shop</v>
      </c>
      <c r="K141">
        <v>11989</v>
      </c>
      <c r="L141" t="s">
        <v>146</v>
      </c>
      <c r="M141" s="4">
        <v>43412</v>
      </c>
      <c r="N141" s="12">
        <f t="shared" si="7"/>
        <v>11</v>
      </c>
      <c r="O141" s="13">
        <f t="shared" si="8"/>
        <v>2018</v>
      </c>
      <c r="P141" t="s">
        <v>13</v>
      </c>
      <c r="Q141" t="s">
        <v>30</v>
      </c>
      <c r="R141" t="s">
        <v>31</v>
      </c>
      <c r="S141" t="str" cm="1">
        <f t="array" ref="S141">_xlfn.IFS(R141="COMPLETE", "COMPLETED", R141="CANCELED", "CANCELED", TRUE, "PENDING")</f>
        <v>COMPLETED</v>
      </c>
      <c r="T141" t="s">
        <v>32</v>
      </c>
      <c r="U141">
        <f>VLOOKUP(A141,ordered_items!$B:$E,4,0)</f>
        <v>199.99</v>
      </c>
    </row>
    <row r="142" spans="1:21" x14ac:dyDescent="0.3">
      <c r="A142">
        <v>21414</v>
      </c>
      <c r="B142" t="s">
        <v>17</v>
      </c>
      <c r="C142">
        <v>5</v>
      </c>
      <c r="D142">
        <v>4</v>
      </c>
      <c r="E142" t="str">
        <f t="shared" si="6"/>
        <v>DELAYED</v>
      </c>
      <c r="F142">
        <f>VLOOKUP($A142,ordered_items!$B$2:$E$4784,2,0)</f>
        <v>403</v>
      </c>
      <c r="G142">
        <f>VLOOKUP($A142,ordered_items!$B$2:$E$4784,3,0)</f>
        <v>1</v>
      </c>
      <c r="H142">
        <f>VLOOKUP($A142,ordered_items!$B$2:$E$4784,4,0)</f>
        <v>129.99</v>
      </c>
      <c r="I142" s="15">
        <f>VLOOKUP(F142,product_info!$A$2:$D$73,4,0)</f>
        <v>4</v>
      </c>
      <c r="J142" s="15" t="str">
        <f>VLOOKUP(I142,department!$A$2:$B$13,2,0)</f>
        <v>Apparel</v>
      </c>
      <c r="K142">
        <v>6350</v>
      </c>
      <c r="L142" t="s">
        <v>146</v>
      </c>
      <c r="M142" s="4">
        <v>43412</v>
      </c>
      <c r="N142" s="12">
        <f t="shared" si="7"/>
        <v>11</v>
      </c>
      <c r="O142" s="13">
        <f t="shared" si="8"/>
        <v>2018</v>
      </c>
      <c r="P142" t="s">
        <v>13</v>
      </c>
      <c r="Q142" t="s">
        <v>30</v>
      </c>
      <c r="R142" t="s">
        <v>23</v>
      </c>
      <c r="S142" t="str" cm="1">
        <f t="array" ref="S142">_xlfn.IFS(R142="COMPLETE", "COMPLETED", R142="CANCELED", "CANCELED", TRUE, "PENDING")</f>
        <v>PENDING</v>
      </c>
      <c r="T142" t="s">
        <v>16</v>
      </c>
      <c r="U142">
        <f>VLOOKUP(A142,ordered_items!$B:$E,4,0)</f>
        <v>129.99</v>
      </c>
    </row>
    <row r="143" spans="1:21" x14ac:dyDescent="0.3">
      <c r="A143">
        <v>21415</v>
      </c>
      <c r="B143" t="s">
        <v>51</v>
      </c>
      <c r="C143">
        <v>6</v>
      </c>
      <c r="D143">
        <v>4</v>
      </c>
      <c r="E143" t="str">
        <f t="shared" si="6"/>
        <v>DELAYED</v>
      </c>
      <c r="F143">
        <f>VLOOKUP($A143,ordered_items!$B$2:$E$4784,2,0)</f>
        <v>191</v>
      </c>
      <c r="G143">
        <f>VLOOKUP($A143,ordered_items!$B$2:$E$4784,3,0)</f>
        <v>1</v>
      </c>
      <c r="H143">
        <f>VLOOKUP($A143,ordered_items!$B$2:$E$4784,4,0)</f>
        <v>99.99</v>
      </c>
      <c r="I143" s="15">
        <f>VLOOKUP(F143,product_info!$A$2:$D$73,4,0)</f>
        <v>3</v>
      </c>
      <c r="J143" s="15" t="str">
        <f>VLOOKUP(I143,department!$A$2:$B$13,2,0)</f>
        <v>Footwear</v>
      </c>
      <c r="K143">
        <v>9460</v>
      </c>
      <c r="L143" t="s">
        <v>146</v>
      </c>
      <c r="M143" s="4">
        <v>43412</v>
      </c>
      <c r="N143" s="12">
        <f t="shared" si="7"/>
        <v>11</v>
      </c>
      <c r="O143" s="13">
        <f t="shared" si="8"/>
        <v>2018</v>
      </c>
      <c r="P143" t="s">
        <v>13</v>
      </c>
      <c r="Q143" t="s">
        <v>30</v>
      </c>
      <c r="R143" t="s">
        <v>57</v>
      </c>
      <c r="S143" t="str" cm="1">
        <f t="array" ref="S143">_xlfn.IFS(R143="COMPLETE", "COMPLETED", R143="CANCELED", "CANCELED", TRUE, "PENDING")</f>
        <v>PENDING</v>
      </c>
      <c r="T143" t="s">
        <v>16</v>
      </c>
      <c r="U143">
        <f>VLOOKUP(A143,ordered_items!$B:$E,4,0)</f>
        <v>99.99</v>
      </c>
    </row>
    <row r="144" spans="1:21" x14ac:dyDescent="0.3">
      <c r="A144">
        <v>21416</v>
      </c>
      <c r="B144" t="s">
        <v>51</v>
      </c>
      <c r="C144">
        <v>2</v>
      </c>
      <c r="D144">
        <v>4</v>
      </c>
      <c r="E144" t="str">
        <f t="shared" si="6"/>
        <v xml:space="preserve"> ONTIME</v>
      </c>
      <c r="F144">
        <f>VLOOKUP($A144,ordered_items!$B$2:$E$4784,2,0)</f>
        <v>1073</v>
      </c>
      <c r="G144">
        <f>VLOOKUP($A144,ordered_items!$B$2:$E$4784,3,0)</f>
        <v>1</v>
      </c>
      <c r="H144">
        <f>VLOOKUP($A144,ordered_items!$B$2:$E$4784,4,0)</f>
        <v>199.99</v>
      </c>
      <c r="I144" s="15">
        <f>VLOOKUP(F144,product_info!$A$2:$D$73,4,0)</f>
        <v>7</v>
      </c>
      <c r="J144" s="15" t="str">
        <f>VLOOKUP(I144,department!$A$2:$B$13,2,0)</f>
        <v>Fan Shop</v>
      </c>
      <c r="K144">
        <v>1832</v>
      </c>
      <c r="L144" t="s">
        <v>146</v>
      </c>
      <c r="M144" s="4">
        <v>43412</v>
      </c>
      <c r="N144" s="12">
        <f t="shared" si="7"/>
        <v>11</v>
      </c>
      <c r="O144" s="13">
        <f t="shared" si="8"/>
        <v>2018</v>
      </c>
      <c r="P144" t="s">
        <v>13</v>
      </c>
      <c r="Q144" t="s">
        <v>30</v>
      </c>
      <c r="R144" t="s">
        <v>57</v>
      </c>
      <c r="S144" t="str" cm="1">
        <f t="array" ref="S144">_xlfn.IFS(R144="COMPLETE", "COMPLETED", R144="CANCELED", "CANCELED", TRUE, "PENDING")</f>
        <v>PENDING</v>
      </c>
      <c r="T144" t="s">
        <v>16</v>
      </c>
      <c r="U144">
        <f>VLOOKUP(A144,ordered_items!$B:$E,4,0)</f>
        <v>199.99</v>
      </c>
    </row>
    <row r="145" spans="1:21" x14ac:dyDescent="0.3">
      <c r="A145">
        <v>21417</v>
      </c>
      <c r="B145" t="s">
        <v>3</v>
      </c>
      <c r="C145">
        <v>2</v>
      </c>
      <c r="D145">
        <v>1</v>
      </c>
      <c r="E145" t="str">
        <f t="shared" si="6"/>
        <v>DELAYED</v>
      </c>
      <c r="F145">
        <f>VLOOKUP($A145,ordered_items!$B$2:$E$4784,2,0)</f>
        <v>1073</v>
      </c>
      <c r="G145">
        <f>VLOOKUP($A145,ordered_items!$B$2:$E$4784,3,0)</f>
        <v>1</v>
      </c>
      <c r="H145">
        <f>VLOOKUP($A145,ordered_items!$B$2:$E$4784,4,0)</f>
        <v>199.99</v>
      </c>
      <c r="I145" s="15">
        <f>VLOOKUP(F145,product_info!$A$2:$D$73,4,0)</f>
        <v>7</v>
      </c>
      <c r="J145" s="15" t="str">
        <f>VLOOKUP(I145,department!$A$2:$B$13,2,0)</f>
        <v>Fan Shop</v>
      </c>
      <c r="K145">
        <v>5840</v>
      </c>
      <c r="L145" t="s">
        <v>146</v>
      </c>
      <c r="M145" s="4">
        <v>43412</v>
      </c>
      <c r="N145" s="12">
        <f t="shared" si="7"/>
        <v>11</v>
      </c>
      <c r="O145" s="13">
        <f t="shared" si="8"/>
        <v>2018</v>
      </c>
      <c r="P145" t="s">
        <v>13</v>
      </c>
      <c r="Q145" t="s">
        <v>30</v>
      </c>
      <c r="R145" t="s">
        <v>178</v>
      </c>
      <c r="S145" t="str" cm="1">
        <f t="array" ref="S145">_xlfn.IFS(R145="COMPLETE", "COMPLETED", R145="CANCELED", "CANCELED", TRUE, "PENDING")</f>
        <v>PENDING</v>
      </c>
      <c r="T145" t="s">
        <v>32</v>
      </c>
      <c r="U145">
        <f>VLOOKUP(A145,ordered_items!$B:$E,4,0)</f>
        <v>199.99</v>
      </c>
    </row>
    <row r="146" spans="1:21" x14ac:dyDescent="0.3">
      <c r="A146">
        <v>21419</v>
      </c>
      <c r="B146" t="s">
        <v>17</v>
      </c>
      <c r="C146">
        <v>2</v>
      </c>
      <c r="D146">
        <v>1</v>
      </c>
      <c r="E146" t="str">
        <f t="shared" si="6"/>
        <v>DELAYED</v>
      </c>
      <c r="F146">
        <f>VLOOKUP($A146,ordered_items!$B$2:$E$4784,2,0)</f>
        <v>365</v>
      </c>
      <c r="G146">
        <f>VLOOKUP($A146,ordered_items!$B$2:$E$4784,3,0)</f>
        <v>1</v>
      </c>
      <c r="H146">
        <f>VLOOKUP($A146,ordered_items!$B$2:$E$4784,4,0)</f>
        <v>59.99</v>
      </c>
      <c r="I146" s="15">
        <f>VLOOKUP(F146,product_info!$A$2:$D$73,4,0)</f>
        <v>4</v>
      </c>
      <c r="J146" s="15" t="str">
        <f>VLOOKUP(I146,department!$A$2:$B$13,2,0)</f>
        <v>Apparel</v>
      </c>
      <c r="K146">
        <v>5182</v>
      </c>
      <c r="L146" t="s">
        <v>146</v>
      </c>
      <c r="M146" s="4">
        <v>43412</v>
      </c>
      <c r="N146" s="12">
        <f t="shared" si="7"/>
        <v>11</v>
      </c>
      <c r="O146" s="13">
        <f t="shared" si="8"/>
        <v>2018</v>
      </c>
      <c r="P146" t="s">
        <v>13</v>
      </c>
      <c r="Q146" t="s">
        <v>30</v>
      </c>
      <c r="R146" t="s">
        <v>23</v>
      </c>
      <c r="S146" t="str" cm="1">
        <f t="array" ref="S146">_xlfn.IFS(R146="COMPLETE", "COMPLETED", R146="CANCELED", "CANCELED", TRUE, "PENDING")</f>
        <v>PENDING</v>
      </c>
      <c r="T146" t="s">
        <v>32</v>
      </c>
      <c r="U146">
        <f>VLOOKUP(A146,ordered_items!$B:$E,4,0)</f>
        <v>59.99</v>
      </c>
    </row>
    <row r="147" spans="1:21" x14ac:dyDescent="0.3">
      <c r="A147">
        <v>21420</v>
      </c>
      <c r="B147" t="s">
        <v>17</v>
      </c>
      <c r="C147">
        <v>2</v>
      </c>
      <c r="D147">
        <v>1</v>
      </c>
      <c r="E147" t="str">
        <f t="shared" si="6"/>
        <v>DELAYED</v>
      </c>
      <c r="F147">
        <f>VLOOKUP($A147,ordered_items!$B$2:$E$4784,2,0)</f>
        <v>191</v>
      </c>
      <c r="G147">
        <f>VLOOKUP($A147,ordered_items!$B$2:$E$4784,3,0)</f>
        <v>1</v>
      </c>
      <c r="H147">
        <f>VLOOKUP($A147,ordered_items!$B$2:$E$4784,4,0)</f>
        <v>99.99</v>
      </c>
      <c r="I147" s="15">
        <f>VLOOKUP(F147,product_info!$A$2:$D$73,4,0)</f>
        <v>3</v>
      </c>
      <c r="J147" s="15" t="str">
        <f>VLOOKUP(I147,department!$A$2:$B$13,2,0)</f>
        <v>Footwear</v>
      </c>
      <c r="K147">
        <v>1277</v>
      </c>
      <c r="L147" t="s">
        <v>146</v>
      </c>
      <c r="M147" s="4">
        <v>43412</v>
      </c>
      <c r="N147" s="12">
        <f t="shared" si="7"/>
        <v>11</v>
      </c>
      <c r="O147" s="13">
        <f t="shared" si="8"/>
        <v>2018</v>
      </c>
      <c r="P147" t="s">
        <v>13</v>
      </c>
      <c r="Q147" t="s">
        <v>30</v>
      </c>
      <c r="R147" t="s">
        <v>23</v>
      </c>
      <c r="S147" t="str" cm="1">
        <f t="array" ref="S147">_xlfn.IFS(R147="COMPLETE", "COMPLETED", R147="CANCELED", "CANCELED", TRUE, "PENDING")</f>
        <v>PENDING</v>
      </c>
      <c r="T147" t="s">
        <v>32</v>
      </c>
      <c r="U147">
        <f>VLOOKUP(A147,ordered_items!$B:$E,4,0)</f>
        <v>99.99</v>
      </c>
    </row>
    <row r="148" spans="1:21" x14ac:dyDescent="0.3">
      <c r="A148">
        <v>21421</v>
      </c>
      <c r="B148" t="s">
        <v>24</v>
      </c>
      <c r="C148">
        <v>2</v>
      </c>
      <c r="D148">
        <v>2</v>
      </c>
      <c r="E148" t="str">
        <f t="shared" si="6"/>
        <v xml:space="preserve"> ONTIME</v>
      </c>
      <c r="F148">
        <f>VLOOKUP($A148,ordered_items!$B$2:$E$4784,2,0)</f>
        <v>403</v>
      </c>
      <c r="G148">
        <f>VLOOKUP($A148,ordered_items!$B$2:$E$4784,3,0)</f>
        <v>1</v>
      </c>
      <c r="H148">
        <f>VLOOKUP($A148,ordered_items!$B$2:$E$4784,4,0)</f>
        <v>129.99</v>
      </c>
      <c r="I148" s="15">
        <f>VLOOKUP(F148,product_info!$A$2:$D$73,4,0)</f>
        <v>4</v>
      </c>
      <c r="J148" s="15" t="str">
        <f>VLOOKUP(I148,department!$A$2:$B$13,2,0)</f>
        <v>Apparel</v>
      </c>
      <c r="K148">
        <v>5987</v>
      </c>
      <c r="L148" t="s">
        <v>146</v>
      </c>
      <c r="M148" s="4">
        <v>43412</v>
      </c>
      <c r="N148" s="12">
        <f t="shared" si="7"/>
        <v>11</v>
      </c>
      <c r="O148" s="13">
        <f t="shared" si="8"/>
        <v>2018</v>
      </c>
      <c r="P148" t="s">
        <v>13</v>
      </c>
      <c r="Q148" t="s">
        <v>30</v>
      </c>
      <c r="R148" t="s">
        <v>31</v>
      </c>
      <c r="S148" t="str" cm="1">
        <f t="array" ref="S148">_xlfn.IFS(R148="COMPLETE", "COMPLETED", R148="CANCELED", "CANCELED", TRUE, "PENDING")</f>
        <v>COMPLETED</v>
      </c>
      <c r="T148" t="s">
        <v>90</v>
      </c>
      <c r="U148">
        <f>VLOOKUP(A148,ordered_items!$B:$E,4,0)</f>
        <v>129.99</v>
      </c>
    </row>
    <row r="149" spans="1:21" x14ac:dyDescent="0.3">
      <c r="A149">
        <v>21422</v>
      </c>
      <c r="B149" t="s">
        <v>51</v>
      </c>
      <c r="C149">
        <v>2</v>
      </c>
      <c r="D149">
        <v>1</v>
      </c>
      <c r="E149" t="str">
        <f t="shared" si="6"/>
        <v>DELAYED</v>
      </c>
      <c r="F149">
        <f>VLOOKUP($A149,ordered_items!$B$2:$E$4784,2,0)</f>
        <v>957</v>
      </c>
      <c r="G149">
        <f>VLOOKUP($A149,ordered_items!$B$2:$E$4784,3,0)</f>
        <v>1</v>
      </c>
      <c r="H149">
        <f>VLOOKUP($A149,ordered_items!$B$2:$E$4784,4,0)</f>
        <v>299.98</v>
      </c>
      <c r="I149" s="15">
        <f>VLOOKUP(F149,product_info!$A$2:$D$73,4,0)</f>
        <v>7</v>
      </c>
      <c r="J149" s="15" t="str">
        <f>VLOOKUP(I149,department!$A$2:$B$13,2,0)</f>
        <v>Fan Shop</v>
      </c>
      <c r="K149">
        <v>4107</v>
      </c>
      <c r="L149" t="s">
        <v>146</v>
      </c>
      <c r="M149" s="4">
        <v>43412</v>
      </c>
      <c r="N149" s="12">
        <f t="shared" si="7"/>
        <v>11</v>
      </c>
      <c r="O149" s="13">
        <f t="shared" si="8"/>
        <v>2018</v>
      </c>
      <c r="P149" t="s">
        <v>13</v>
      </c>
      <c r="Q149" t="s">
        <v>30</v>
      </c>
      <c r="R149" t="s">
        <v>57</v>
      </c>
      <c r="S149" t="str" cm="1">
        <f t="array" ref="S149">_xlfn.IFS(R149="COMPLETE", "COMPLETED", R149="CANCELED", "CANCELED", TRUE, "PENDING")</f>
        <v>PENDING</v>
      </c>
      <c r="T149" t="s">
        <v>32</v>
      </c>
      <c r="U149">
        <f>VLOOKUP(A149,ordered_items!$B:$E,4,0)</f>
        <v>299.98</v>
      </c>
    </row>
    <row r="150" spans="1:21" x14ac:dyDescent="0.3">
      <c r="A150">
        <v>21468</v>
      </c>
      <c r="B150" t="s">
        <v>24</v>
      </c>
      <c r="C150">
        <v>4</v>
      </c>
      <c r="D150">
        <v>2</v>
      </c>
      <c r="E150" t="str">
        <f t="shared" si="6"/>
        <v>DELAYED</v>
      </c>
      <c r="F150">
        <f>VLOOKUP($A150,ordered_items!$B$2:$E$4784,2,0)</f>
        <v>403</v>
      </c>
      <c r="G150">
        <f>VLOOKUP($A150,ordered_items!$B$2:$E$4784,3,0)</f>
        <v>1</v>
      </c>
      <c r="H150">
        <f>VLOOKUP($A150,ordered_items!$B$2:$E$4784,4,0)</f>
        <v>129.99</v>
      </c>
      <c r="I150" s="15">
        <f>VLOOKUP(F150,product_info!$A$2:$D$73,4,0)</f>
        <v>4</v>
      </c>
      <c r="J150" s="15" t="str">
        <f>VLOOKUP(I150,department!$A$2:$B$13,2,0)</f>
        <v>Apparel</v>
      </c>
      <c r="K150">
        <v>1075</v>
      </c>
      <c r="L150" t="s">
        <v>1530</v>
      </c>
      <c r="M150" s="4">
        <v>43413</v>
      </c>
      <c r="N150" s="12">
        <f t="shared" si="7"/>
        <v>11</v>
      </c>
      <c r="O150" s="13">
        <f t="shared" si="8"/>
        <v>2018</v>
      </c>
      <c r="P150" t="s">
        <v>13</v>
      </c>
      <c r="Q150" t="s">
        <v>99</v>
      </c>
      <c r="R150" t="s">
        <v>31</v>
      </c>
      <c r="S150" t="str" cm="1">
        <f t="array" ref="S150">_xlfn.IFS(R150="COMPLETE", "COMPLETED", R150="CANCELED", "CANCELED", TRUE, "PENDING")</f>
        <v>COMPLETED</v>
      </c>
      <c r="T150" t="s">
        <v>90</v>
      </c>
      <c r="U150">
        <f>VLOOKUP(A150,ordered_items!$B:$E,4,0)</f>
        <v>129.99</v>
      </c>
    </row>
    <row r="151" spans="1:21" x14ac:dyDescent="0.3">
      <c r="A151">
        <v>21469</v>
      </c>
      <c r="B151" t="s">
        <v>24</v>
      </c>
      <c r="C151">
        <v>5</v>
      </c>
      <c r="D151">
        <v>2</v>
      </c>
      <c r="E151" t="str">
        <f t="shared" si="6"/>
        <v>DELAYED</v>
      </c>
      <c r="F151">
        <f>VLOOKUP($A151,ordered_items!$B$2:$E$4784,2,0)</f>
        <v>403</v>
      </c>
      <c r="G151">
        <f>VLOOKUP($A151,ordered_items!$B$2:$E$4784,3,0)</f>
        <v>1</v>
      </c>
      <c r="H151">
        <f>VLOOKUP($A151,ordered_items!$B$2:$E$4784,4,0)</f>
        <v>129.99</v>
      </c>
      <c r="I151" s="15">
        <f>VLOOKUP(F151,product_info!$A$2:$D$73,4,0)</f>
        <v>4</v>
      </c>
      <c r="J151" s="15" t="str">
        <f>VLOOKUP(I151,department!$A$2:$B$13,2,0)</f>
        <v>Apparel</v>
      </c>
      <c r="K151">
        <v>4086</v>
      </c>
      <c r="L151" t="s">
        <v>1530</v>
      </c>
      <c r="M151" s="4">
        <v>43413</v>
      </c>
      <c r="N151" s="12">
        <f t="shared" si="7"/>
        <v>11</v>
      </c>
      <c r="O151" s="13">
        <f t="shared" si="8"/>
        <v>2018</v>
      </c>
      <c r="P151" t="s">
        <v>13</v>
      </c>
      <c r="Q151" t="s">
        <v>99</v>
      </c>
      <c r="R151" t="s">
        <v>31</v>
      </c>
      <c r="S151" t="str" cm="1">
        <f t="array" ref="S151">_xlfn.IFS(R151="COMPLETE", "COMPLETED", R151="CANCELED", "CANCELED", TRUE, "PENDING")</f>
        <v>COMPLETED</v>
      </c>
      <c r="T151" t="s">
        <v>90</v>
      </c>
      <c r="U151">
        <f>VLOOKUP(A151,ordered_items!$B:$E,4,0)</f>
        <v>129.99</v>
      </c>
    </row>
    <row r="152" spans="1:21" x14ac:dyDescent="0.3">
      <c r="A152">
        <v>21500</v>
      </c>
      <c r="B152" t="s">
        <v>51</v>
      </c>
      <c r="C152">
        <v>2</v>
      </c>
      <c r="D152">
        <v>1</v>
      </c>
      <c r="E152" t="str">
        <f t="shared" si="6"/>
        <v>DELAYED</v>
      </c>
      <c r="F152">
        <f>VLOOKUP($A152,ordered_items!$B$2:$E$4784,2,0)</f>
        <v>1014</v>
      </c>
      <c r="G152">
        <f>VLOOKUP($A152,ordered_items!$B$2:$E$4784,3,0)</f>
        <v>5</v>
      </c>
      <c r="H152">
        <f>VLOOKUP($A152,ordered_items!$B$2:$E$4784,4,0)</f>
        <v>249.9</v>
      </c>
      <c r="I152" s="15">
        <f>VLOOKUP(F152,product_info!$A$2:$D$73,4,0)</f>
        <v>7</v>
      </c>
      <c r="J152" s="15" t="str">
        <f>VLOOKUP(I152,department!$A$2:$B$13,2,0)</f>
        <v>Fan Shop</v>
      </c>
      <c r="K152">
        <v>3085</v>
      </c>
      <c r="L152" t="s">
        <v>1606</v>
      </c>
      <c r="M152" s="4">
        <v>43413</v>
      </c>
      <c r="N152" s="12">
        <f t="shared" si="7"/>
        <v>11</v>
      </c>
      <c r="O152" s="13">
        <f t="shared" si="8"/>
        <v>2018</v>
      </c>
      <c r="P152" t="s">
        <v>13</v>
      </c>
      <c r="Q152" t="s">
        <v>420</v>
      </c>
      <c r="R152" t="s">
        <v>57</v>
      </c>
      <c r="S152" t="str" cm="1">
        <f t="array" ref="S152">_xlfn.IFS(R152="COMPLETE", "COMPLETED", R152="CANCELED", "CANCELED", TRUE, "PENDING")</f>
        <v>PENDING</v>
      </c>
      <c r="T152" t="s">
        <v>32</v>
      </c>
      <c r="U152">
        <f>VLOOKUP(A152,ordered_items!$B:$E,4,0)</f>
        <v>249.9</v>
      </c>
    </row>
    <row r="153" spans="1:21" x14ac:dyDescent="0.3">
      <c r="A153">
        <v>21504</v>
      </c>
      <c r="B153" t="s">
        <v>3</v>
      </c>
      <c r="C153">
        <v>5</v>
      </c>
      <c r="D153">
        <v>2</v>
      </c>
      <c r="E153" t="str">
        <f t="shared" si="6"/>
        <v>DELAYED</v>
      </c>
      <c r="F153">
        <f>VLOOKUP($A153,ordered_items!$B$2:$E$4784,2,0)</f>
        <v>403</v>
      </c>
      <c r="G153">
        <f>VLOOKUP($A153,ordered_items!$B$2:$E$4784,3,0)</f>
        <v>1</v>
      </c>
      <c r="H153">
        <f>VLOOKUP($A153,ordered_items!$B$2:$E$4784,4,0)</f>
        <v>129.99</v>
      </c>
      <c r="I153" s="15">
        <f>VLOOKUP(F153,product_info!$A$2:$D$73,4,0)</f>
        <v>4</v>
      </c>
      <c r="J153" s="15" t="str">
        <f>VLOOKUP(I153,department!$A$2:$B$13,2,0)</f>
        <v>Apparel</v>
      </c>
      <c r="K153">
        <v>9376</v>
      </c>
      <c r="L153" t="s">
        <v>430</v>
      </c>
      <c r="M153" s="4">
        <v>43413</v>
      </c>
      <c r="N153" s="12">
        <f t="shared" si="7"/>
        <v>11</v>
      </c>
      <c r="O153" s="13">
        <f t="shared" si="8"/>
        <v>2018</v>
      </c>
      <c r="P153" t="s">
        <v>13</v>
      </c>
      <c r="Q153" t="s">
        <v>431</v>
      </c>
      <c r="R153" t="s">
        <v>14</v>
      </c>
      <c r="S153" t="str" cm="1">
        <f t="array" ref="S153">_xlfn.IFS(R153="COMPLETE", "COMPLETED", R153="CANCELED", "CANCELED", TRUE, "PENDING")</f>
        <v>PENDING</v>
      </c>
      <c r="T153" t="s">
        <v>90</v>
      </c>
      <c r="U153">
        <f>VLOOKUP(A153,ordered_items!$B:$E,4,0)</f>
        <v>129.99</v>
      </c>
    </row>
    <row r="154" spans="1:21" x14ac:dyDescent="0.3">
      <c r="A154">
        <v>21505</v>
      </c>
      <c r="B154" t="s">
        <v>17</v>
      </c>
      <c r="C154">
        <v>6</v>
      </c>
      <c r="D154">
        <v>2</v>
      </c>
      <c r="E154" t="str">
        <f t="shared" si="6"/>
        <v>DELAYED</v>
      </c>
      <c r="F154">
        <f>VLOOKUP($A154,ordered_items!$B$2:$E$4784,2,0)</f>
        <v>957</v>
      </c>
      <c r="G154">
        <f>VLOOKUP($A154,ordered_items!$B$2:$E$4784,3,0)</f>
        <v>1</v>
      </c>
      <c r="H154">
        <f>VLOOKUP($A154,ordered_items!$B$2:$E$4784,4,0)</f>
        <v>299.98</v>
      </c>
      <c r="I154" s="15">
        <f>VLOOKUP(F154,product_info!$A$2:$D$73,4,0)</f>
        <v>7</v>
      </c>
      <c r="J154" s="15" t="str">
        <f>VLOOKUP(I154,department!$A$2:$B$13,2,0)</f>
        <v>Fan Shop</v>
      </c>
      <c r="K154">
        <v>2384</v>
      </c>
      <c r="L154" t="s">
        <v>430</v>
      </c>
      <c r="M154" s="4">
        <v>43413</v>
      </c>
      <c r="N154" s="12">
        <f t="shared" si="7"/>
        <v>11</v>
      </c>
      <c r="O154" s="13">
        <f t="shared" si="8"/>
        <v>2018</v>
      </c>
      <c r="P154" t="s">
        <v>13</v>
      </c>
      <c r="Q154" t="s">
        <v>431</v>
      </c>
      <c r="R154" t="s">
        <v>23</v>
      </c>
      <c r="S154" t="str" cm="1">
        <f t="array" ref="S154">_xlfn.IFS(R154="COMPLETE", "COMPLETED", R154="CANCELED", "CANCELED", TRUE, "PENDING")</f>
        <v>PENDING</v>
      </c>
      <c r="T154" t="s">
        <v>90</v>
      </c>
      <c r="U154">
        <f>VLOOKUP(A154,ordered_items!$B:$E,4,0)</f>
        <v>299.98</v>
      </c>
    </row>
    <row r="155" spans="1:21" x14ac:dyDescent="0.3">
      <c r="A155">
        <v>21506</v>
      </c>
      <c r="B155" t="s">
        <v>17</v>
      </c>
      <c r="C155">
        <v>2</v>
      </c>
      <c r="D155">
        <v>2</v>
      </c>
      <c r="E155" t="str">
        <f t="shared" si="6"/>
        <v xml:space="preserve"> ONTIME</v>
      </c>
      <c r="F155">
        <f>VLOOKUP($A155,ordered_items!$B$2:$E$4784,2,0)</f>
        <v>365</v>
      </c>
      <c r="G155">
        <f>VLOOKUP($A155,ordered_items!$B$2:$E$4784,3,0)</f>
        <v>4</v>
      </c>
      <c r="H155">
        <f>VLOOKUP($A155,ordered_items!$B$2:$E$4784,4,0)</f>
        <v>239.96</v>
      </c>
      <c r="I155" s="15">
        <f>VLOOKUP(F155,product_info!$A$2:$D$73,4,0)</f>
        <v>4</v>
      </c>
      <c r="J155" s="15" t="str">
        <f>VLOOKUP(I155,department!$A$2:$B$13,2,0)</f>
        <v>Apparel</v>
      </c>
      <c r="K155">
        <v>1283</v>
      </c>
      <c r="L155" t="s">
        <v>430</v>
      </c>
      <c r="M155" s="4">
        <v>43413</v>
      </c>
      <c r="N155" s="12">
        <f t="shared" si="7"/>
        <v>11</v>
      </c>
      <c r="O155" s="13">
        <f t="shared" si="8"/>
        <v>2018</v>
      </c>
      <c r="P155" t="s">
        <v>13</v>
      </c>
      <c r="Q155" t="s">
        <v>431</v>
      </c>
      <c r="R155" t="s">
        <v>23</v>
      </c>
      <c r="S155" t="str" cm="1">
        <f t="array" ref="S155">_xlfn.IFS(R155="COMPLETE", "COMPLETED", R155="CANCELED", "CANCELED", TRUE, "PENDING")</f>
        <v>PENDING</v>
      </c>
      <c r="T155" t="s">
        <v>90</v>
      </c>
      <c r="U155">
        <f>VLOOKUP(A155,ordered_items!$B:$E,4,0)</f>
        <v>239.96</v>
      </c>
    </row>
    <row r="156" spans="1:21" x14ac:dyDescent="0.3">
      <c r="A156">
        <v>21509</v>
      </c>
      <c r="B156" t="s">
        <v>17</v>
      </c>
      <c r="C156">
        <v>5</v>
      </c>
      <c r="D156">
        <v>2</v>
      </c>
      <c r="E156" t="str">
        <f t="shared" si="6"/>
        <v>DELAYED</v>
      </c>
      <c r="F156">
        <f>VLOOKUP($A156,ordered_items!$B$2:$E$4784,2,0)</f>
        <v>403</v>
      </c>
      <c r="G156">
        <f>VLOOKUP($A156,ordered_items!$B$2:$E$4784,3,0)</f>
        <v>1</v>
      </c>
      <c r="H156">
        <f>VLOOKUP($A156,ordered_items!$B$2:$E$4784,4,0)</f>
        <v>129.99</v>
      </c>
      <c r="I156" s="15">
        <f>VLOOKUP(F156,product_info!$A$2:$D$73,4,0)</f>
        <v>4</v>
      </c>
      <c r="J156" s="15" t="str">
        <f>VLOOKUP(I156,department!$A$2:$B$13,2,0)</f>
        <v>Apparel</v>
      </c>
      <c r="K156">
        <v>1184</v>
      </c>
      <c r="L156" t="s">
        <v>867</v>
      </c>
      <c r="M156" s="4">
        <v>43413</v>
      </c>
      <c r="N156" s="12">
        <f t="shared" si="7"/>
        <v>11</v>
      </c>
      <c r="O156" s="13">
        <f t="shared" si="8"/>
        <v>2018</v>
      </c>
      <c r="P156" t="s">
        <v>13</v>
      </c>
      <c r="Q156" t="s">
        <v>5781</v>
      </c>
      <c r="R156" t="s">
        <v>23</v>
      </c>
      <c r="S156" t="str" cm="1">
        <f t="array" ref="S156">_xlfn.IFS(R156="COMPLETE", "COMPLETED", R156="CANCELED", "CANCELED", TRUE, "PENDING")</f>
        <v>PENDING</v>
      </c>
      <c r="T156" t="s">
        <v>90</v>
      </c>
      <c r="U156">
        <f>VLOOKUP(A156,ordered_items!$B:$E,4,0)</f>
        <v>129.99</v>
      </c>
    </row>
    <row r="157" spans="1:21" x14ac:dyDescent="0.3">
      <c r="A157">
        <v>21510</v>
      </c>
      <c r="B157" t="s">
        <v>51</v>
      </c>
      <c r="C157">
        <v>6</v>
      </c>
      <c r="D157">
        <v>2</v>
      </c>
      <c r="E157" t="str">
        <f t="shared" si="6"/>
        <v>DELAYED</v>
      </c>
      <c r="F157">
        <f>VLOOKUP($A157,ordered_items!$B$2:$E$4784,2,0)</f>
        <v>403</v>
      </c>
      <c r="G157">
        <f>VLOOKUP($A157,ordered_items!$B$2:$E$4784,3,0)</f>
        <v>1</v>
      </c>
      <c r="H157">
        <f>VLOOKUP($A157,ordered_items!$B$2:$E$4784,4,0)</f>
        <v>129.99</v>
      </c>
      <c r="I157" s="15">
        <f>VLOOKUP(F157,product_info!$A$2:$D$73,4,0)</f>
        <v>4</v>
      </c>
      <c r="J157" s="15" t="str">
        <f>VLOOKUP(I157,department!$A$2:$B$13,2,0)</f>
        <v>Apparel</v>
      </c>
      <c r="K157">
        <v>11955</v>
      </c>
      <c r="L157" t="s">
        <v>867</v>
      </c>
      <c r="M157" s="4">
        <v>43413</v>
      </c>
      <c r="N157" s="12">
        <f t="shared" si="7"/>
        <v>11</v>
      </c>
      <c r="O157" s="13">
        <f t="shared" si="8"/>
        <v>2018</v>
      </c>
      <c r="P157" t="s">
        <v>13</v>
      </c>
      <c r="Q157" t="s">
        <v>5781</v>
      </c>
      <c r="R157" t="s">
        <v>57</v>
      </c>
      <c r="S157" t="str" cm="1">
        <f t="array" ref="S157">_xlfn.IFS(R157="COMPLETE", "COMPLETED", R157="CANCELED", "CANCELED", TRUE, "PENDING")</f>
        <v>PENDING</v>
      </c>
      <c r="T157" t="s">
        <v>90</v>
      </c>
      <c r="U157">
        <f>VLOOKUP(A157,ordered_items!$B:$E,4,0)</f>
        <v>129.99</v>
      </c>
    </row>
    <row r="158" spans="1:21" x14ac:dyDescent="0.3">
      <c r="A158">
        <v>21511</v>
      </c>
      <c r="B158" t="s">
        <v>24</v>
      </c>
      <c r="C158">
        <v>2</v>
      </c>
      <c r="D158">
        <v>2</v>
      </c>
      <c r="E158" t="str">
        <f t="shared" si="6"/>
        <v xml:space="preserve"> ONTIME</v>
      </c>
      <c r="F158">
        <f>VLOOKUP($A158,ordered_items!$B$2:$E$4784,2,0)</f>
        <v>1014</v>
      </c>
      <c r="G158">
        <f>VLOOKUP($A158,ordered_items!$B$2:$E$4784,3,0)</f>
        <v>4</v>
      </c>
      <c r="H158">
        <f>VLOOKUP($A158,ordered_items!$B$2:$E$4784,4,0)</f>
        <v>199.92</v>
      </c>
      <c r="I158" s="15">
        <f>VLOOKUP(F158,product_info!$A$2:$D$73,4,0)</f>
        <v>7</v>
      </c>
      <c r="J158" s="15" t="str">
        <f>VLOOKUP(I158,department!$A$2:$B$13,2,0)</f>
        <v>Fan Shop</v>
      </c>
      <c r="K158">
        <v>5857</v>
      </c>
      <c r="L158" t="s">
        <v>867</v>
      </c>
      <c r="M158" s="4">
        <v>43413</v>
      </c>
      <c r="N158" s="12">
        <f t="shared" si="7"/>
        <v>11</v>
      </c>
      <c r="O158" s="13">
        <f t="shared" si="8"/>
        <v>2018</v>
      </c>
      <c r="P158" t="s">
        <v>13</v>
      </c>
      <c r="Q158" t="s">
        <v>5781</v>
      </c>
      <c r="R158" t="s">
        <v>31</v>
      </c>
      <c r="S158" t="str" cm="1">
        <f t="array" ref="S158">_xlfn.IFS(R158="COMPLETE", "COMPLETED", R158="CANCELED", "CANCELED", TRUE, "PENDING")</f>
        <v>COMPLETED</v>
      </c>
      <c r="T158" t="s">
        <v>90</v>
      </c>
      <c r="U158">
        <f>VLOOKUP(A158,ordered_items!$B:$E,4,0)</f>
        <v>199.92</v>
      </c>
    </row>
    <row r="159" spans="1:21" x14ac:dyDescent="0.3">
      <c r="A159">
        <v>21513</v>
      </c>
      <c r="B159" t="s">
        <v>17</v>
      </c>
      <c r="C159">
        <v>2</v>
      </c>
      <c r="D159">
        <v>1</v>
      </c>
      <c r="E159" t="str">
        <f t="shared" si="6"/>
        <v>DELAYED</v>
      </c>
      <c r="F159">
        <f>VLOOKUP($A159,ordered_items!$B$2:$E$4784,2,0)</f>
        <v>957</v>
      </c>
      <c r="G159">
        <f>VLOOKUP($A159,ordered_items!$B$2:$E$4784,3,0)</f>
        <v>1</v>
      </c>
      <c r="H159">
        <f>VLOOKUP($A159,ordered_items!$B$2:$E$4784,4,0)</f>
        <v>299.98</v>
      </c>
      <c r="I159" s="15">
        <f>VLOOKUP(F159,product_info!$A$2:$D$73,4,0)</f>
        <v>7</v>
      </c>
      <c r="J159" s="15" t="str">
        <f>VLOOKUP(I159,department!$A$2:$B$13,2,0)</f>
        <v>Fan Shop</v>
      </c>
      <c r="K159">
        <v>6491</v>
      </c>
      <c r="L159" t="s">
        <v>870</v>
      </c>
      <c r="M159" s="4">
        <v>43414</v>
      </c>
      <c r="N159" s="12">
        <f t="shared" si="7"/>
        <v>11</v>
      </c>
      <c r="O159" s="13">
        <f t="shared" si="8"/>
        <v>2018</v>
      </c>
      <c r="P159" t="s">
        <v>13</v>
      </c>
      <c r="Q159" t="s">
        <v>5778</v>
      </c>
      <c r="R159" t="s">
        <v>23</v>
      </c>
      <c r="S159" t="str" cm="1">
        <f t="array" ref="S159">_xlfn.IFS(R159="COMPLETE", "COMPLETED", R159="CANCELED", "CANCELED", TRUE, "PENDING")</f>
        <v>PENDING</v>
      </c>
      <c r="T159" t="s">
        <v>32</v>
      </c>
      <c r="U159">
        <f>VLOOKUP(A159,ordered_items!$B:$E,4,0)</f>
        <v>299.98</v>
      </c>
    </row>
    <row r="160" spans="1:21" x14ac:dyDescent="0.3">
      <c r="A160">
        <v>21514</v>
      </c>
      <c r="B160" t="s">
        <v>51</v>
      </c>
      <c r="C160">
        <v>5</v>
      </c>
      <c r="D160">
        <v>4</v>
      </c>
      <c r="E160" t="str">
        <f t="shared" si="6"/>
        <v>DELAYED</v>
      </c>
      <c r="F160">
        <f>VLOOKUP($A160,ordered_items!$B$2:$E$4784,2,0)</f>
        <v>1014</v>
      </c>
      <c r="G160">
        <f>VLOOKUP($A160,ordered_items!$B$2:$E$4784,3,0)</f>
        <v>2</v>
      </c>
      <c r="H160">
        <f>VLOOKUP($A160,ordered_items!$B$2:$E$4784,4,0)</f>
        <v>99.96</v>
      </c>
      <c r="I160" s="15">
        <f>VLOOKUP(F160,product_info!$A$2:$D$73,4,0)</f>
        <v>7</v>
      </c>
      <c r="J160" s="15" t="str">
        <f>VLOOKUP(I160,department!$A$2:$B$13,2,0)</f>
        <v>Fan Shop</v>
      </c>
      <c r="K160">
        <v>5342</v>
      </c>
      <c r="L160" t="s">
        <v>870</v>
      </c>
      <c r="M160" s="4">
        <v>43414</v>
      </c>
      <c r="N160" s="12">
        <f t="shared" si="7"/>
        <v>11</v>
      </c>
      <c r="O160" s="13">
        <f t="shared" si="8"/>
        <v>2018</v>
      </c>
      <c r="P160" t="s">
        <v>13</v>
      </c>
      <c r="Q160" t="s">
        <v>5778</v>
      </c>
      <c r="R160" t="s">
        <v>57</v>
      </c>
      <c r="S160" t="str" cm="1">
        <f t="array" ref="S160">_xlfn.IFS(R160="COMPLETE", "COMPLETED", R160="CANCELED", "CANCELED", TRUE, "PENDING")</f>
        <v>PENDING</v>
      </c>
      <c r="T160" t="s">
        <v>16</v>
      </c>
      <c r="U160">
        <f>VLOOKUP(A160,ordered_items!$B:$E,4,0)</f>
        <v>99.96</v>
      </c>
    </row>
    <row r="161" spans="1:21" x14ac:dyDescent="0.3">
      <c r="A161">
        <v>21557</v>
      </c>
      <c r="B161" t="s">
        <v>24</v>
      </c>
      <c r="C161">
        <v>3</v>
      </c>
      <c r="D161">
        <v>4</v>
      </c>
      <c r="E161" t="str">
        <f t="shared" si="6"/>
        <v xml:space="preserve"> ONTIME</v>
      </c>
      <c r="F161">
        <f>VLOOKUP($A161,ordered_items!$B$2:$E$4784,2,0)</f>
        <v>778</v>
      </c>
      <c r="G161">
        <f>VLOOKUP($A161,ordered_items!$B$2:$E$4784,3,0)</f>
        <v>1</v>
      </c>
      <c r="H161">
        <f>VLOOKUP($A161,ordered_items!$B$2:$E$4784,4,0)</f>
        <v>24.99</v>
      </c>
      <c r="I161" s="15">
        <f>VLOOKUP(F161,product_info!$A$2:$D$73,4,0)</f>
        <v>6</v>
      </c>
      <c r="J161" s="15" t="str">
        <f>VLOOKUP(I161,department!$A$2:$B$13,2,0)</f>
        <v>Outdoors</v>
      </c>
      <c r="K161">
        <v>3776</v>
      </c>
      <c r="L161" t="s">
        <v>867</v>
      </c>
      <c r="M161" s="4">
        <v>43414</v>
      </c>
      <c r="N161" s="12">
        <f t="shared" si="7"/>
        <v>11</v>
      </c>
      <c r="O161" s="13">
        <f t="shared" si="8"/>
        <v>2018</v>
      </c>
      <c r="P161" t="s">
        <v>13</v>
      </c>
      <c r="Q161" t="s">
        <v>5778</v>
      </c>
      <c r="R161" t="s">
        <v>31</v>
      </c>
      <c r="S161" t="str" cm="1">
        <f t="array" ref="S161">_xlfn.IFS(R161="COMPLETE", "COMPLETED", R161="CANCELED", "CANCELED", TRUE, "PENDING")</f>
        <v>COMPLETED</v>
      </c>
      <c r="T161" t="s">
        <v>16</v>
      </c>
      <c r="U161">
        <f>VLOOKUP(A161,ordered_items!$B:$E,4,0)</f>
        <v>24.99</v>
      </c>
    </row>
    <row r="162" spans="1:21" x14ac:dyDescent="0.3">
      <c r="A162">
        <v>21558</v>
      </c>
      <c r="B162" t="s">
        <v>24</v>
      </c>
      <c r="C162">
        <v>4</v>
      </c>
      <c r="D162">
        <v>4</v>
      </c>
      <c r="E162" t="str">
        <f t="shared" si="6"/>
        <v xml:space="preserve"> ONTIME</v>
      </c>
      <c r="F162">
        <f>VLOOKUP($A162,ordered_items!$B$2:$E$4784,2,0)</f>
        <v>1004</v>
      </c>
      <c r="G162">
        <f>VLOOKUP($A162,ordered_items!$B$2:$E$4784,3,0)</f>
        <v>1</v>
      </c>
      <c r="H162">
        <f>VLOOKUP($A162,ordered_items!$B$2:$E$4784,4,0)</f>
        <v>399.98</v>
      </c>
      <c r="I162" s="15">
        <f>VLOOKUP(F162,product_info!$A$2:$D$73,4,0)</f>
        <v>7</v>
      </c>
      <c r="J162" s="15" t="str">
        <f>VLOOKUP(I162,department!$A$2:$B$13,2,0)</f>
        <v>Fan Shop</v>
      </c>
      <c r="K162">
        <v>9180</v>
      </c>
      <c r="L162" t="s">
        <v>376</v>
      </c>
      <c r="M162" s="4">
        <v>43414</v>
      </c>
      <c r="N162" s="12">
        <f t="shared" si="7"/>
        <v>11</v>
      </c>
      <c r="O162" s="13">
        <f t="shared" si="8"/>
        <v>2018</v>
      </c>
      <c r="P162" t="s">
        <v>13</v>
      </c>
      <c r="Q162" t="s">
        <v>377</v>
      </c>
      <c r="R162" t="s">
        <v>378</v>
      </c>
      <c r="S162" t="str" cm="1">
        <f t="array" ref="S162">_xlfn.IFS(R162="COMPLETE", "COMPLETED", R162="CANCELED", "CANCELED", TRUE, "PENDING")</f>
        <v>PENDING</v>
      </c>
      <c r="T162" t="s">
        <v>16</v>
      </c>
      <c r="U162">
        <f>VLOOKUP(A162,ordered_items!$B:$E,4,0)</f>
        <v>399.98</v>
      </c>
    </row>
    <row r="163" spans="1:21" x14ac:dyDescent="0.3">
      <c r="A163">
        <v>21579</v>
      </c>
      <c r="B163" t="s">
        <v>51</v>
      </c>
      <c r="C163">
        <v>5</v>
      </c>
      <c r="D163">
        <v>2</v>
      </c>
      <c r="E163" t="str">
        <f t="shared" si="6"/>
        <v>DELAYED</v>
      </c>
      <c r="F163">
        <f>VLOOKUP($A163,ordered_items!$B$2:$E$4784,2,0)</f>
        <v>957</v>
      </c>
      <c r="G163">
        <f>VLOOKUP($A163,ordered_items!$B$2:$E$4784,3,0)</f>
        <v>1</v>
      </c>
      <c r="H163">
        <f>VLOOKUP($A163,ordered_items!$B$2:$E$4784,4,0)</f>
        <v>299.98</v>
      </c>
      <c r="I163" s="15">
        <f>VLOOKUP(F163,product_info!$A$2:$D$73,4,0)</f>
        <v>7</v>
      </c>
      <c r="J163" s="15" t="str">
        <f>VLOOKUP(I163,department!$A$2:$B$13,2,0)</f>
        <v>Fan Shop</v>
      </c>
      <c r="K163">
        <v>4123</v>
      </c>
      <c r="L163" t="s">
        <v>214</v>
      </c>
      <c r="M163" s="4">
        <v>43414</v>
      </c>
      <c r="N163" s="12">
        <f t="shared" si="7"/>
        <v>11</v>
      </c>
      <c r="O163" s="13">
        <f t="shared" si="8"/>
        <v>2018</v>
      </c>
      <c r="P163" t="s">
        <v>13</v>
      </c>
      <c r="Q163" t="s">
        <v>5781</v>
      </c>
      <c r="R163" t="s">
        <v>57</v>
      </c>
      <c r="S163" t="str" cm="1">
        <f t="array" ref="S163">_xlfn.IFS(R163="COMPLETE", "COMPLETED", R163="CANCELED", "CANCELED", TRUE, "PENDING")</f>
        <v>PENDING</v>
      </c>
      <c r="T163" t="s">
        <v>90</v>
      </c>
      <c r="U163">
        <f>VLOOKUP(A163,ordered_items!$B:$E,4,0)</f>
        <v>299.98</v>
      </c>
    </row>
    <row r="164" spans="1:21" x14ac:dyDescent="0.3">
      <c r="A164">
        <v>21601</v>
      </c>
      <c r="B164" t="s">
        <v>24</v>
      </c>
      <c r="C164">
        <v>2</v>
      </c>
      <c r="D164">
        <v>4</v>
      </c>
      <c r="E164" t="str">
        <f t="shared" si="6"/>
        <v xml:space="preserve"> ONTIME</v>
      </c>
      <c r="F164">
        <f>VLOOKUP($A164,ordered_items!$B$2:$E$4784,2,0)</f>
        <v>821</v>
      </c>
      <c r="G164">
        <f>VLOOKUP($A164,ordered_items!$B$2:$E$4784,3,0)</f>
        <v>3</v>
      </c>
      <c r="H164">
        <f>VLOOKUP($A164,ordered_items!$B$2:$E$4784,4,0)</f>
        <v>155.97</v>
      </c>
      <c r="I164" s="15">
        <f>VLOOKUP(F164,product_info!$A$2:$D$73,4,0)</f>
        <v>6</v>
      </c>
      <c r="J164" s="15" t="str">
        <f>VLOOKUP(I164,department!$A$2:$B$13,2,0)</f>
        <v>Outdoors</v>
      </c>
      <c r="K164">
        <v>11705</v>
      </c>
      <c r="L164" t="s">
        <v>2438</v>
      </c>
      <c r="M164" s="4">
        <v>43415</v>
      </c>
      <c r="N164" s="12">
        <f t="shared" si="7"/>
        <v>11</v>
      </c>
      <c r="O164" s="13">
        <f t="shared" si="8"/>
        <v>2018</v>
      </c>
      <c r="P164" t="s">
        <v>13</v>
      </c>
      <c r="Q164" t="s">
        <v>99</v>
      </c>
      <c r="R164" t="s">
        <v>31</v>
      </c>
      <c r="S164" t="str" cm="1">
        <f t="array" ref="S164">_xlfn.IFS(R164="COMPLETE", "COMPLETED", R164="CANCELED", "CANCELED", TRUE, "PENDING")</f>
        <v>COMPLETED</v>
      </c>
      <c r="T164" t="s">
        <v>16</v>
      </c>
      <c r="U164">
        <f>VLOOKUP(A164,ordered_items!$B:$E,4,0)</f>
        <v>155.97</v>
      </c>
    </row>
    <row r="165" spans="1:21" x14ac:dyDescent="0.3">
      <c r="A165">
        <v>21625</v>
      </c>
      <c r="B165" t="s">
        <v>3</v>
      </c>
      <c r="C165">
        <v>6</v>
      </c>
      <c r="D165">
        <v>4</v>
      </c>
      <c r="E165" t="str">
        <f t="shared" si="6"/>
        <v>DELAYED</v>
      </c>
      <c r="F165">
        <f>VLOOKUP($A165,ordered_items!$B$2:$E$4784,2,0)</f>
        <v>403</v>
      </c>
      <c r="G165">
        <f>VLOOKUP($A165,ordered_items!$B$2:$E$4784,3,0)</f>
        <v>1</v>
      </c>
      <c r="H165">
        <f>VLOOKUP($A165,ordered_items!$B$2:$E$4784,4,0)</f>
        <v>129.99</v>
      </c>
      <c r="I165" s="15">
        <f>VLOOKUP(F165,product_info!$A$2:$D$73,4,0)</f>
        <v>4</v>
      </c>
      <c r="J165" s="15" t="str">
        <f>VLOOKUP(I165,department!$A$2:$B$13,2,0)</f>
        <v>Apparel</v>
      </c>
      <c r="K165">
        <v>2438</v>
      </c>
      <c r="L165" t="s">
        <v>921</v>
      </c>
      <c r="M165" s="4">
        <v>43415</v>
      </c>
      <c r="N165" s="12">
        <f t="shared" si="7"/>
        <v>11</v>
      </c>
      <c r="O165" s="13">
        <f t="shared" si="8"/>
        <v>2018</v>
      </c>
      <c r="P165" t="s">
        <v>13</v>
      </c>
      <c r="Q165" t="s">
        <v>99</v>
      </c>
      <c r="R165" t="s">
        <v>38</v>
      </c>
      <c r="S165" t="str" cm="1">
        <f t="array" ref="S165">_xlfn.IFS(R165="COMPLETE", "COMPLETED", R165="CANCELED", "CANCELED", TRUE, "PENDING")</f>
        <v>PENDING</v>
      </c>
      <c r="T165" t="s">
        <v>16</v>
      </c>
      <c r="U165">
        <f>VLOOKUP(A165,ordered_items!$B:$E,4,0)</f>
        <v>129.99</v>
      </c>
    </row>
    <row r="166" spans="1:21" x14ac:dyDescent="0.3">
      <c r="A166">
        <v>21691</v>
      </c>
      <c r="B166" t="s">
        <v>3</v>
      </c>
      <c r="C166">
        <v>2</v>
      </c>
      <c r="D166">
        <v>4</v>
      </c>
      <c r="E166" t="str">
        <f t="shared" si="6"/>
        <v xml:space="preserve"> ONTIME</v>
      </c>
      <c r="F166">
        <f>VLOOKUP($A166,ordered_items!$B$2:$E$4784,2,0)</f>
        <v>365</v>
      </c>
      <c r="G166">
        <f>VLOOKUP($A166,ordered_items!$B$2:$E$4784,3,0)</f>
        <v>2</v>
      </c>
      <c r="H166">
        <f>VLOOKUP($A166,ordered_items!$B$2:$E$4784,4,0)</f>
        <v>119.98</v>
      </c>
      <c r="I166" s="15">
        <f>VLOOKUP(F166,product_info!$A$2:$D$73,4,0)</f>
        <v>4</v>
      </c>
      <c r="J166" s="15" t="str">
        <f>VLOOKUP(I166,department!$A$2:$B$13,2,0)</f>
        <v>Apparel</v>
      </c>
      <c r="K166">
        <v>532</v>
      </c>
      <c r="L166" t="s">
        <v>290</v>
      </c>
      <c r="M166" s="4">
        <v>43416</v>
      </c>
      <c r="N166" s="12">
        <f t="shared" si="7"/>
        <v>11</v>
      </c>
      <c r="O166" s="13">
        <f t="shared" si="8"/>
        <v>2018</v>
      </c>
      <c r="P166" t="s">
        <v>13</v>
      </c>
      <c r="Q166" t="s">
        <v>130</v>
      </c>
      <c r="R166" t="s">
        <v>14</v>
      </c>
      <c r="S166" t="str" cm="1">
        <f t="array" ref="S166">_xlfn.IFS(R166="COMPLETE", "COMPLETED", R166="CANCELED", "CANCELED", TRUE, "PENDING")</f>
        <v>PENDING</v>
      </c>
      <c r="T166" t="s">
        <v>16</v>
      </c>
      <c r="U166">
        <f>VLOOKUP(A166,ordered_items!$B:$E,4,0)</f>
        <v>119.98</v>
      </c>
    </row>
    <row r="167" spans="1:21" x14ac:dyDescent="0.3">
      <c r="A167">
        <v>21692</v>
      </c>
      <c r="B167" t="s">
        <v>51</v>
      </c>
      <c r="C167">
        <v>3</v>
      </c>
      <c r="D167">
        <v>4</v>
      </c>
      <c r="E167" t="str">
        <f t="shared" si="6"/>
        <v xml:space="preserve"> ONTIME</v>
      </c>
      <c r="F167">
        <f>VLOOKUP($A167,ordered_items!$B$2:$E$4784,2,0)</f>
        <v>1004</v>
      </c>
      <c r="G167">
        <f>VLOOKUP($A167,ordered_items!$B$2:$E$4784,3,0)</f>
        <v>1</v>
      </c>
      <c r="H167">
        <f>VLOOKUP($A167,ordered_items!$B$2:$E$4784,4,0)</f>
        <v>399.98</v>
      </c>
      <c r="I167" s="15">
        <f>VLOOKUP(F167,product_info!$A$2:$D$73,4,0)</f>
        <v>7</v>
      </c>
      <c r="J167" s="15" t="str">
        <f>VLOOKUP(I167,department!$A$2:$B$13,2,0)</f>
        <v>Fan Shop</v>
      </c>
      <c r="K167">
        <v>1489</v>
      </c>
      <c r="L167" t="s">
        <v>290</v>
      </c>
      <c r="M167" s="4">
        <v>43416</v>
      </c>
      <c r="N167" s="12">
        <f t="shared" si="7"/>
        <v>11</v>
      </c>
      <c r="O167" s="13">
        <f t="shared" si="8"/>
        <v>2018</v>
      </c>
      <c r="P167" t="s">
        <v>13</v>
      </c>
      <c r="Q167" t="s">
        <v>130</v>
      </c>
      <c r="R167" t="s">
        <v>57</v>
      </c>
      <c r="S167" t="str" cm="1">
        <f t="array" ref="S167">_xlfn.IFS(R167="COMPLETE", "COMPLETED", R167="CANCELED", "CANCELED", TRUE, "PENDING")</f>
        <v>PENDING</v>
      </c>
      <c r="T167" t="s">
        <v>16</v>
      </c>
      <c r="U167">
        <f>VLOOKUP(A167,ordered_items!$B:$E,4,0)</f>
        <v>399.98</v>
      </c>
    </row>
    <row r="168" spans="1:21" x14ac:dyDescent="0.3">
      <c r="A168">
        <v>21693</v>
      </c>
      <c r="B168" t="s">
        <v>24</v>
      </c>
      <c r="C168">
        <v>4</v>
      </c>
      <c r="D168">
        <v>4</v>
      </c>
      <c r="E168" t="str">
        <f t="shared" si="6"/>
        <v xml:space="preserve"> ONTIME</v>
      </c>
      <c r="F168">
        <f>VLOOKUP($A168,ordered_items!$B$2:$E$4784,2,0)</f>
        <v>502</v>
      </c>
      <c r="G168">
        <f>VLOOKUP($A168,ordered_items!$B$2:$E$4784,3,0)</f>
        <v>5</v>
      </c>
      <c r="H168">
        <f>VLOOKUP($A168,ordered_items!$B$2:$E$4784,4,0)</f>
        <v>250</v>
      </c>
      <c r="I168" s="15">
        <f>VLOOKUP(F168,product_info!$A$2:$D$73,4,0)</f>
        <v>5</v>
      </c>
      <c r="J168" s="15" t="str">
        <f>VLOOKUP(I168,department!$A$2:$B$13,2,0)</f>
        <v>Golf</v>
      </c>
      <c r="K168">
        <v>2003</v>
      </c>
      <c r="L168" t="s">
        <v>290</v>
      </c>
      <c r="M168" s="4">
        <v>43416</v>
      </c>
      <c r="N168" s="12">
        <f t="shared" si="7"/>
        <v>11</v>
      </c>
      <c r="O168" s="13">
        <f t="shared" si="8"/>
        <v>2018</v>
      </c>
      <c r="P168" t="s">
        <v>13</v>
      </c>
      <c r="Q168" t="s">
        <v>130</v>
      </c>
      <c r="R168" t="s">
        <v>31</v>
      </c>
      <c r="S168" t="str" cm="1">
        <f t="array" ref="S168">_xlfn.IFS(R168="COMPLETE", "COMPLETED", R168="CANCELED", "CANCELED", TRUE, "PENDING")</f>
        <v>COMPLETED</v>
      </c>
      <c r="T168" t="s">
        <v>16</v>
      </c>
      <c r="U168">
        <f>VLOOKUP(A168,ordered_items!$B:$E,4,0)</f>
        <v>250</v>
      </c>
    </row>
    <row r="169" spans="1:21" x14ac:dyDescent="0.3">
      <c r="A169">
        <v>21708</v>
      </c>
      <c r="B169" t="s">
        <v>51</v>
      </c>
      <c r="C169">
        <v>4</v>
      </c>
      <c r="D169">
        <v>4</v>
      </c>
      <c r="E169" t="str">
        <f t="shared" si="6"/>
        <v xml:space="preserve"> ONTIME</v>
      </c>
      <c r="F169">
        <f>VLOOKUP($A169,ordered_items!$B$2:$E$4784,2,0)</f>
        <v>1014</v>
      </c>
      <c r="G169">
        <f>VLOOKUP($A169,ordered_items!$B$2:$E$4784,3,0)</f>
        <v>5</v>
      </c>
      <c r="H169">
        <f>VLOOKUP($A169,ordered_items!$B$2:$E$4784,4,0)</f>
        <v>249.9</v>
      </c>
      <c r="I169" s="15">
        <f>VLOOKUP(F169,product_info!$A$2:$D$73,4,0)</f>
        <v>7</v>
      </c>
      <c r="J169" s="15" t="str">
        <f>VLOOKUP(I169,department!$A$2:$B$13,2,0)</f>
        <v>Fan Shop</v>
      </c>
      <c r="K169">
        <v>1269</v>
      </c>
      <c r="L169" t="s">
        <v>576</v>
      </c>
      <c r="M169" s="4">
        <v>43416</v>
      </c>
      <c r="N169" s="12">
        <f t="shared" si="7"/>
        <v>11</v>
      </c>
      <c r="O169" s="13">
        <f t="shared" si="8"/>
        <v>2018</v>
      </c>
      <c r="P169" t="s">
        <v>13</v>
      </c>
      <c r="Q169" t="s">
        <v>5780</v>
      </c>
      <c r="R169" t="s">
        <v>57</v>
      </c>
      <c r="S169" t="str" cm="1">
        <f t="array" ref="S169">_xlfn.IFS(R169="COMPLETE", "COMPLETED", R169="CANCELED", "CANCELED", TRUE, "PENDING")</f>
        <v>PENDING</v>
      </c>
      <c r="T169" t="s">
        <v>16</v>
      </c>
      <c r="U169">
        <f>VLOOKUP(A169,ordered_items!$B:$E,4,0)</f>
        <v>249.9</v>
      </c>
    </row>
    <row r="170" spans="1:21" x14ac:dyDescent="0.3">
      <c r="A170">
        <v>21723</v>
      </c>
      <c r="B170" t="s">
        <v>3</v>
      </c>
      <c r="C170">
        <v>4</v>
      </c>
      <c r="D170">
        <v>4</v>
      </c>
      <c r="E170" t="str">
        <f t="shared" si="6"/>
        <v xml:space="preserve"> ONTIME</v>
      </c>
      <c r="F170">
        <f>VLOOKUP($A170,ordered_items!$B$2:$E$4784,2,0)</f>
        <v>502</v>
      </c>
      <c r="G170">
        <f>VLOOKUP($A170,ordered_items!$B$2:$E$4784,3,0)</f>
        <v>4</v>
      </c>
      <c r="H170">
        <f>VLOOKUP($A170,ordered_items!$B$2:$E$4784,4,0)</f>
        <v>200</v>
      </c>
      <c r="I170" s="15">
        <f>VLOOKUP(F170,product_info!$A$2:$D$73,4,0)</f>
        <v>5</v>
      </c>
      <c r="J170" s="15" t="str">
        <f>VLOOKUP(I170,department!$A$2:$B$13,2,0)</f>
        <v>Golf</v>
      </c>
      <c r="K170">
        <v>10250</v>
      </c>
      <c r="L170" t="s">
        <v>357</v>
      </c>
      <c r="M170" s="4">
        <v>43417</v>
      </c>
      <c r="N170" s="12">
        <f t="shared" si="7"/>
        <v>11</v>
      </c>
      <c r="O170" s="13">
        <f t="shared" si="8"/>
        <v>2018</v>
      </c>
      <c r="P170" t="s">
        <v>13</v>
      </c>
      <c r="Q170" t="s">
        <v>203</v>
      </c>
      <c r="R170" t="s">
        <v>38</v>
      </c>
      <c r="S170" t="str" cm="1">
        <f t="array" ref="S170">_xlfn.IFS(R170="COMPLETE", "COMPLETED", R170="CANCELED", "CANCELED", TRUE, "PENDING")</f>
        <v>PENDING</v>
      </c>
      <c r="T170" t="s">
        <v>16</v>
      </c>
      <c r="U170">
        <f>VLOOKUP(A170,ordered_items!$B:$E,4,0)</f>
        <v>200</v>
      </c>
    </row>
    <row r="171" spans="1:21" x14ac:dyDescent="0.3">
      <c r="A171">
        <v>21726</v>
      </c>
      <c r="B171" t="s">
        <v>3</v>
      </c>
      <c r="C171">
        <v>2</v>
      </c>
      <c r="D171">
        <v>4</v>
      </c>
      <c r="E171" t="str">
        <f t="shared" si="6"/>
        <v xml:space="preserve"> ONTIME</v>
      </c>
      <c r="F171">
        <f>VLOOKUP($A171,ordered_items!$B$2:$E$4784,2,0)</f>
        <v>957</v>
      </c>
      <c r="G171">
        <f>VLOOKUP($A171,ordered_items!$B$2:$E$4784,3,0)</f>
        <v>1</v>
      </c>
      <c r="H171">
        <f>VLOOKUP($A171,ordered_items!$B$2:$E$4784,4,0)</f>
        <v>299.98</v>
      </c>
      <c r="I171" s="15">
        <f>VLOOKUP(F171,product_info!$A$2:$D$73,4,0)</f>
        <v>7</v>
      </c>
      <c r="J171" s="15" t="str">
        <f>VLOOKUP(I171,department!$A$2:$B$13,2,0)</f>
        <v>Fan Shop</v>
      </c>
      <c r="K171">
        <v>831</v>
      </c>
      <c r="L171" t="s">
        <v>357</v>
      </c>
      <c r="M171" s="4">
        <v>43417</v>
      </c>
      <c r="N171" s="12">
        <f t="shared" si="7"/>
        <v>11</v>
      </c>
      <c r="O171" s="13">
        <f t="shared" si="8"/>
        <v>2018</v>
      </c>
      <c r="P171" t="s">
        <v>13</v>
      </c>
      <c r="Q171" t="s">
        <v>203</v>
      </c>
      <c r="R171" t="s">
        <v>235</v>
      </c>
      <c r="S171" t="str" cm="1">
        <f t="array" ref="S171">_xlfn.IFS(R171="COMPLETE", "COMPLETED", R171="CANCELED", "CANCELED", TRUE, "PENDING")</f>
        <v>CANCELED</v>
      </c>
      <c r="T171" t="s">
        <v>16</v>
      </c>
      <c r="U171">
        <f>VLOOKUP(A171,ordered_items!$B:$E,4,0)</f>
        <v>299.98</v>
      </c>
    </row>
    <row r="172" spans="1:21" x14ac:dyDescent="0.3">
      <c r="A172">
        <v>21738</v>
      </c>
      <c r="B172" t="s">
        <v>3</v>
      </c>
      <c r="C172">
        <v>4</v>
      </c>
      <c r="D172">
        <v>4</v>
      </c>
      <c r="E172" t="str">
        <f t="shared" si="6"/>
        <v xml:space="preserve"> ONTIME</v>
      </c>
      <c r="F172">
        <f>VLOOKUP($A172,ordered_items!$B$2:$E$4784,2,0)</f>
        <v>1073</v>
      </c>
      <c r="G172">
        <f>VLOOKUP($A172,ordered_items!$B$2:$E$4784,3,0)</f>
        <v>1</v>
      </c>
      <c r="H172">
        <f>VLOOKUP($A172,ordered_items!$B$2:$E$4784,4,0)</f>
        <v>199.99</v>
      </c>
      <c r="I172" s="15">
        <f>VLOOKUP(F172,product_info!$A$2:$D$73,4,0)</f>
        <v>7</v>
      </c>
      <c r="J172" s="15" t="str">
        <f>VLOOKUP(I172,department!$A$2:$B$13,2,0)</f>
        <v>Fan Shop</v>
      </c>
      <c r="K172">
        <v>7566</v>
      </c>
      <c r="L172" t="s">
        <v>84</v>
      </c>
      <c r="M172" s="4">
        <v>43417</v>
      </c>
      <c r="N172" s="12">
        <f t="shared" si="7"/>
        <v>11</v>
      </c>
      <c r="O172" s="13">
        <f t="shared" si="8"/>
        <v>2018</v>
      </c>
      <c r="P172" t="s">
        <v>13</v>
      </c>
      <c r="Q172" t="s">
        <v>80</v>
      </c>
      <c r="R172" t="s">
        <v>38</v>
      </c>
      <c r="S172" t="str" cm="1">
        <f t="array" ref="S172">_xlfn.IFS(R172="COMPLETE", "COMPLETED", R172="CANCELED", "CANCELED", TRUE, "PENDING")</f>
        <v>PENDING</v>
      </c>
      <c r="T172" t="s">
        <v>16</v>
      </c>
      <c r="U172">
        <f>VLOOKUP(A172,ordered_items!$B:$E,4,0)</f>
        <v>199.99</v>
      </c>
    </row>
    <row r="173" spans="1:21" x14ac:dyDescent="0.3">
      <c r="A173">
        <v>21739</v>
      </c>
      <c r="B173" t="s">
        <v>3</v>
      </c>
      <c r="C173">
        <v>5</v>
      </c>
      <c r="D173">
        <v>4</v>
      </c>
      <c r="E173" t="str">
        <f t="shared" si="6"/>
        <v>DELAYED</v>
      </c>
      <c r="F173">
        <f>VLOOKUP($A173,ordered_items!$B$2:$E$4784,2,0)</f>
        <v>1073</v>
      </c>
      <c r="G173">
        <f>VLOOKUP($A173,ordered_items!$B$2:$E$4784,3,0)</f>
        <v>1</v>
      </c>
      <c r="H173">
        <f>VLOOKUP($A173,ordered_items!$B$2:$E$4784,4,0)</f>
        <v>199.99</v>
      </c>
      <c r="I173" s="15">
        <f>VLOOKUP(F173,product_info!$A$2:$D$73,4,0)</f>
        <v>7</v>
      </c>
      <c r="J173" s="15" t="str">
        <f>VLOOKUP(I173,department!$A$2:$B$13,2,0)</f>
        <v>Fan Shop</v>
      </c>
      <c r="K173">
        <v>2854</v>
      </c>
      <c r="L173" t="s">
        <v>84</v>
      </c>
      <c r="M173" s="4">
        <v>43417</v>
      </c>
      <c r="N173" s="12">
        <f t="shared" si="7"/>
        <v>11</v>
      </c>
      <c r="O173" s="13">
        <f t="shared" si="8"/>
        <v>2018</v>
      </c>
      <c r="P173" t="s">
        <v>13</v>
      </c>
      <c r="Q173" t="s">
        <v>80</v>
      </c>
      <c r="R173" t="s">
        <v>14</v>
      </c>
      <c r="S173" t="str" cm="1">
        <f t="array" ref="S173">_xlfn.IFS(R173="COMPLETE", "COMPLETED", R173="CANCELED", "CANCELED", TRUE, "PENDING")</f>
        <v>PENDING</v>
      </c>
      <c r="T173" t="s">
        <v>16</v>
      </c>
      <c r="U173">
        <f>VLOOKUP(A173,ordered_items!$B:$E,4,0)</f>
        <v>199.99</v>
      </c>
    </row>
    <row r="174" spans="1:21" x14ac:dyDescent="0.3">
      <c r="A174">
        <v>21746</v>
      </c>
      <c r="B174" t="s">
        <v>24</v>
      </c>
      <c r="C174">
        <v>0</v>
      </c>
      <c r="D174">
        <v>0</v>
      </c>
      <c r="E174" t="str">
        <f t="shared" si="6"/>
        <v xml:space="preserve"> ONTIME</v>
      </c>
      <c r="F174">
        <f>VLOOKUP($A174,ordered_items!$B$2:$E$4784,2,0)</f>
        <v>365</v>
      </c>
      <c r="G174">
        <f>VLOOKUP($A174,ordered_items!$B$2:$E$4784,3,0)</f>
        <v>2</v>
      </c>
      <c r="H174">
        <f>VLOOKUP($A174,ordered_items!$B$2:$E$4784,4,0)</f>
        <v>119.98</v>
      </c>
      <c r="I174" s="15">
        <f>VLOOKUP(F174,product_info!$A$2:$D$73,4,0)</f>
        <v>4</v>
      </c>
      <c r="J174" s="15" t="str">
        <f>VLOOKUP(I174,department!$A$2:$B$13,2,0)</f>
        <v>Apparel</v>
      </c>
      <c r="K174">
        <v>6071</v>
      </c>
      <c r="L174" t="s">
        <v>110</v>
      </c>
      <c r="M174" s="4">
        <v>43417</v>
      </c>
      <c r="N174" s="12">
        <f t="shared" si="7"/>
        <v>11</v>
      </c>
      <c r="O174" s="13">
        <f t="shared" si="8"/>
        <v>2018</v>
      </c>
      <c r="P174" t="s">
        <v>13</v>
      </c>
      <c r="Q174" t="s">
        <v>99</v>
      </c>
      <c r="R174" t="s">
        <v>31</v>
      </c>
      <c r="S174" t="str" cm="1">
        <f t="array" ref="S174">_xlfn.IFS(R174="COMPLETE", "COMPLETED", R174="CANCELED", "CANCELED", TRUE, "PENDING")</f>
        <v>COMPLETED</v>
      </c>
      <c r="T174" t="s">
        <v>58</v>
      </c>
      <c r="U174">
        <f>VLOOKUP(A174,ordered_items!$B:$E,4,0)</f>
        <v>119.98</v>
      </c>
    </row>
    <row r="175" spans="1:21" x14ac:dyDescent="0.3">
      <c r="A175">
        <v>21787</v>
      </c>
      <c r="B175" t="s">
        <v>3</v>
      </c>
      <c r="C175">
        <v>3</v>
      </c>
      <c r="D175">
        <v>2</v>
      </c>
      <c r="E175" t="str">
        <f t="shared" si="6"/>
        <v>DELAYED</v>
      </c>
      <c r="F175">
        <f>VLOOKUP($A175,ordered_items!$B$2:$E$4784,2,0)</f>
        <v>1073</v>
      </c>
      <c r="G175">
        <f>VLOOKUP($A175,ordered_items!$B$2:$E$4784,3,0)</f>
        <v>1</v>
      </c>
      <c r="H175">
        <f>VLOOKUP($A175,ordered_items!$B$2:$E$4784,4,0)</f>
        <v>199.99</v>
      </c>
      <c r="I175" s="15">
        <f>VLOOKUP(F175,product_info!$A$2:$D$73,4,0)</f>
        <v>7</v>
      </c>
      <c r="J175" s="15" t="str">
        <f>VLOOKUP(I175,department!$A$2:$B$13,2,0)</f>
        <v>Fan Shop</v>
      </c>
      <c r="K175">
        <v>6131</v>
      </c>
      <c r="L175" t="s">
        <v>258</v>
      </c>
      <c r="M175" s="4">
        <v>43418</v>
      </c>
      <c r="N175" s="12">
        <f t="shared" si="7"/>
        <v>11</v>
      </c>
      <c r="O175" s="13">
        <f t="shared" si="8"/>
        <v>2018</v>
      </c>
      <c r="P175" t="s">
        <v>13</v>
      </c>
      <c r="Q175" t="s">
        <v>30</v>
      </c>
      <c r="R175" t="s">
        <v>14</v>
      </c>
      <c r="S175" t="str" cm="1">
        <f t="array" ref="S175">_xlfn.IFS(R175="COMPLETE", "COMPLETED", R175="CANCELED", "CANCELED", TRUE, "PENDING")</f>
        <v>PENDING</v>
      </c>
      <c r="T175" t="s">
        <v>90</v>
      </c>
      <c r="U175">
        <f>VLOOKUP(A175,ordered_items!$B:$E,4,0)</f>
        <v>199.99</v>
      </c>
    </row>
    <row r="176" spans="1:21" x14ac:dyDescent="0.3">
      <c r="A176">
        <v>21790</v>
      </c>
      <c r="B176" t="s">
        <v>3</v>
      </c>
      <c r="C176">
        <v>6</v>
      </c>
      <c r="D176">
        <v>4</v>
      </c>
      <c r="E176" t="str">
        <f t="shared" si="6"/>
        <v>DELAYED</v>
      </c>
      <c r="F176">
        <f>VLOOKUP($A176,ordered_items!$B$2:$E$4784,2,0)</f>
        <v>1073</v>
      </c>
      <c r="G176">
        <f>VLOOKUP($A176,ordered_items!$B$2:$E$4784,3,0)</f>
        <v>1</v>
      </c>
      <c r="H176">
        <f>VLOOKUP($A176,ordered_items!$B$2:$E$4784,4,0)</f>
        <v>199.99</v>
      </c>
      <c r="I176" s="15">
        <f>VLOOKUP(F176,product_info!$A$2:$D$73,4,0)</f>
        <v>7</v>
      </c>
      <c r="J176" s="15" t="str">
        <f>VLOOKUP(I176,department!$A$2:$B$13,2,0)</f>
        <v>Fan Shop</v>
      </c>
      <c r="K176">
        <v>11384</v>
      </c>
      <c r="L176" t="s">
        <v>483</v>
      </c>
      <c r="M176" s="4">
        <v>43418</v>
      </c>
      <c r="N176" s="12">
        <f t="shared" si="7"/>
        <v>11</v>
      </c>
      <c r="O176" s="13">
        <f t="shared" si="8"/>
        <v>2018</v>
      </c>
      <c r="P176" t="s">
        <v>13</v>
      </c>
      <c r="Q176" t="s">
        <v>203</v>
      </c>
      <c r="R176" t="s">
        <v>14</v>
      </c>
      <c r="S176" t="str" cm="1">
        <f t="array" ref="S176">_xlfn.IFS(R176="COMPLETE", "COMPLETED", R176="CANCELED", "CANCELED", TRUE, "PENDING")</f>
        <v>PENDING</v>
      </c>
      <c r="T176" t="s">
        <v>16</v>
      </c>
      <c r="U176">
        <f>VLOOKUP(A176,ordered_items!$B:$E,4,0)</f>
        <v>199.99</v>
      </c>
    </row>
    <row r="177" spans="1:21" x14ac:dyDescent="0.3">
      <c r="A177">
        <v>21810</v>
      </c>
      <c r="B177" t="s">
        <v>51</v>
      </c>
      <c r="C177">
        <v>2</v>
      </c>
      <c r="D177">
        <v>1</v>
      </c>
      <c r="E177" t="str">
        <f t="shared" si="6"/>
        <v>DELAYED</v>
      </c>
      <c r="F177">
        <f>VLOOKUP($A177,ordered_items!$B$2:$E$4784,2,0)</f>
        <v>365</v>
      </c>
      <c r="G177">
        <f>VLOOKUP($A177,ordered_items!$B$2:$E$4784,3,0)</f>
        <v>1</v>
      </c>
      <c r="H177">
        <f>VLOOKUP($A177,ordered_items!$B$2:$E$4784,4,0)</f>
        <v>59.99</v>
      </c>
      <c r="I177" s="15">
        <f>VLOOKUP(F177,product_info!$A$2:$D$73,4,0)</f>
        <v>4</v>
      </c>
      <c r="J177" s="15" t="str">
        <f>VLOOKUP(I177,department!$A$2:$B$13,2,0)</f>
        <v>Apparel</v>
      </c>
      <c r="K177">
        <v>11238</v>
      </c>
      <c r="L177" t="s">
        <v>405</v>
      </c>
      <c r="M177" s="4">
        <v>43418</v>
      </c>
      <c r="N177" s="12">
        <f t="shared" si="7"/>
        <v>11</v>
      </c>
      <c r="O177" s="13">
        <f t="shared" si="8"/>
        <v>2018</v>
      </c>
      <c r="P177" t="s">
        <v>13</v>
      </c>
      <c r="Q177" t="s">
        <v>5781</v>
      </c>
      <c r="R177" t="s">
        <v>57</v>
      </c>
      <c r="S177" t="str" cm="1">
        <f t="array" ref="S177">_xlfn.IFS(R177="COMPLETE", "COMPLETED", R177="CANCELED", "CANCELED", TRUE, "PENDING")</f>
        <v>PENDING</v>
      </c>
      <c r="T177" t="s">
        <v>32</v>
      </c>
      <c r="U177">
        <f>VLOOKUP(A177,ordered_items!$B:$E,4,0)</f>
        <v>59.99</v>
      </c>
    </row>
    <row r="178" spans="1:21" x14ac:dyDescent="0.3">
      <c r="A178">
        <v>21812</v>
      </c>
      <c r="B178" t="s">
        <v>3</v>
      </c>
      <c r="C178">
        <v>2</v>
      </c>
      <c r="D178">
        <v>1</v>
      </c>
      <c r="E178" t="str">
        <f t="shared" si="6"/>
        <v>DELAYED</v>
      </c>
      <c r="F178">
        <f>VLOOKUP($A178,ordered_items!$B$2:$E$4784,2,0)</f>
        <v>403</v>
      </c>
      <c r="G178">
        <f>VLOOKUP($A178,ordered_items!$B$2:$E$4784,3,0)</f>
        <v>1</v>
      </c>
      <c r="H178">
        <f>VLOOKUP($A178,ordered_items!$B$2:$E$4784,4,0)</f>
        <v>129.99</v>
      </c>
      <c r="I178" s="15">
        <f>VLOOKUP(F178,product_info!$A$2:$D$73,4,0)</f>
        <v>4</v>
      </c>
      <c r="J178" s="15" t="str">
        <f>VLOOKUP(I178,department!$A$2:$B$13,2,0)</f>
        <v>Apparel</v>
      </c>
      <c r="K178">
        <v>5753</v>
      </c>
      <c r="L178" t="s">
        <v>400</v>
      </c>
      <c r="M178" s="4">
        <v>43418</v>
      </c>
      <c r="N178" s="12">
        <f t="shared" si="7"/>
        <v>11</v>
      </c>
      <c r="O178" s="13">
        <f t="shared" si="8"/>
        <v>2018</v>
      </c>
      <c r="P178" t="s">
        <v>13</v>
      </c>
      <c r="Q178" t="s">
        <v>30</v>
      </c>
      <c r="R178" t="s">
        <v>14</v>
      </c>
      <c r="S178" t="str" cm="1">
        <f t="array" ref="S178">_xlfn.IFS(R178="COMPLETE", "COMPLETED", R178="CANCELED", "CANCELED", TRUE, "PENDING")</f>
        <v>PENDING</v>
      </c>
      <c r="T178" t="s">
        <v>32</v>
      </c>
      <c r="U178">
        <f>VLOOKUP(A178,ordered_items!$B:$E,4,0)</f>
        <v>129.99</v>
      </c>
    </row>
    <row r="179" spans="1:21" x14ac:dyDescent="0.3">
      <c r="A179">
        <v>21853</v>
      </c>
      <c r="B179" t="s">
        <v>24</v>
      </c>
      <c r="C179">
        <v>4</v>
      </c>
      <c r="D179">
        <v>4</v>
      </c>
      <c r="E179" t="str">
        <f t="shared" si="6"/>
        <v xml:space="preserve"> ONTIME</v>
      </c>
      <c r="F179">
        <f>VLOOKUP($A179,ordered_items!$B$2:$E$4784,2,0)</f>
        <v>191</v>
      </c>
      <c r="G179">
        <f>VLOOKUP($A179,ordered_items!$B$2:$E$4784,3,0)</f>
        <v>1</v>
      </c>
      <c r="H179">
        <f>VLOOKUP($A179,ordered_items!$B$2:$E$4784,4,0)</f>
        <v>99.99</v>
      </c>
      <c r="I179" s="15">
        <f>VLOOKUP(F179,product_info!$A$2:$D$73,4,0)</f>
        <v>3</v>
      </c>
      <c r="J179" s="15" t="str">
        <f>VLOOKUP(I179,department!$A$2:$B$13,2,0)</f>
        <v>Footwear</v>
      </c>
      <c r="K179">
        <v>619</v>
      </c>
      <c r="L179" t="s">
        <v>383</v>
      </c>
      <c r="M179" s="4">
        <v>43418</v>
      </c>
      <c r="N179" s="12">
        <f t="shared" si="7"/>
        <v>11</v>
      </c>
      <c r="O179" s="13">
        <f t="shared" si="8"/>
        <v>2018</v>
      </c>
      <c r="P179" t="s">
        <v>13</v>
      </c>
      <c r="Q179" t="s">
        <v>5781</v>
      </c>
      <c r="R179" t="s">
        <v>378</v>
      </c>
      <c r="S179" t="str" cm="1">
        <f t="array" ref="S179">_xlfn.IFS(R179="COMPLETE", "COMPLETED", R179="CANCELED", "CANCELED", TRUE, "PENDING")</f>
        <v>PENDING</v>
      </c>
      <c r="T179" t="s">
        <v>16</v>
      </c>
      <c r="U179">
        <f>VLOOKUP(A179,ordered_items!$B:$E,4,0)</f>
        <v>99.99</v>
      </c>
    </row>
    <row r="180" spans="1:21" x14ac:dyDescent="0.3">
      <c r="A180">
        <v>21883</v>
      </c>
      <c r="B180" t="s">
        <v>3</v>
      </c>
      <c r="C180">
        <v>4</v>
      </c>
      <c r="D180">
        <v>4</v>
      </c>
      <c r="E180" t="str">
        <f t="shared" si="6"/>
        <v xml:space="preserve"> ONTIME</v>
      </c>
      <c r="F180">
        <f>VLOOKUP($A180,ordered_items!$B$2:$E$4784,2,0)</f>
        <v>1014</v>
      </c>
      <c r="G180">
        <f>VLOOKUP($A180,ordered_items!$B$2:$E$4784,3,0)</f>
        <v>1</v>
      </c>
      <c r="H180">
        <f>VLOOKUP($A180,ordered_items!$B$2:$E$4784,4,0)</f>
        <v>49.98</v>
      </c>
      <c r="I180" s="15">
        <f>VLOOKUP(F180,product_info!$A$2:$D$73,4,0)</f>
        <v>7</v>
      </c>
      <c r="J180" s="15" t="str">
        <f>VLOOKUP(I180,department!$A$2:$B$13,2,0)</f>
        <v>Fan Shop</v>
      </c>
      <c r="K180">
        <v>1040</v>
      </c>
      <c r="L180" t="s">
        <v>376</v>
      </c>
      <c r="M180" s="4">
        <v>43419</v>
      </c>
      <c r="N180" s="12">
        <f t="shared" si="7"/>
        <v>11</v>
      </c>
      <c r="O180" s="13">
        <f t="shared" si="8"/>
        <v>2018</v>
      </c>
      <c r="P180" t="s">
        <v>13</v>
      </c>
      <c r="Q180" t="s">
        <v>377</v>
      </c>
      <c r="R180" t="s">
        <v>14</v>
      </c>
      <c r="S180" t="str" cm="1">
        <f t="array" ref="S180">_xlfn.IFS(R180="COMPLETE", "COMPLETED", R180="CANCELED", "CANCELED", TRUE, "PENDING")</f>
        <v>PENDING</v>
      </c>
      <c r="T180" t="s">
        <v>16</v>
      </c>
      <c r="U180">
        <f>VLOOKUP(A180,ordered_items!$B:$E,4,0)</f>
        <v>49.98</v>
      </c>
    </row>
    <row r="181" spans="1:21" x14ac:dyDescent="0.3">
      <c r="A181">
        <v>21887</v>
      </c>
      <c r="B181" t="s">
        <v>24</v>
      </c>
      <c r="C181">
        <v>2</v>
      </c>
      <c r="D181">
        <v>1</v>
      </c>
      <c r="E181" t="str">
        <f t="shared" si="6"/>
        <v>DELAYED</v>
      </c>
      <c r="F181">
        <f>VLOOKUP($A181,ordered_items!$B$2:$E$4784,2,0)</f>
        <v>403</v>
      </c>
      <c r="G181">
        <f>VLOOKUP($A181,ordered_items!$B$2:$E$4784,3,0)</f>
        <v>1</v>
      </c>
      <c r="H181">
        <f>VLOOKUP($A181,ordered_items!$B$2:$E$4784,4,0)</f>
        <v>129.99</v>
      </c>
      <c r="I181" s="15">
        <f>VLOOKUP(F181,product_info!$A$2:$D$73,4,0)</f>
        <v>4</v>
      </c>
      <c r="J181" s="15" t="str">
        <f>VLOOKUP(I181,department!$A$2:$B$13,2,0)</f>
        <v>Apparel</v>
      </c>
      <c r="K181">
        <v>464</v>
      </c>
      <c r="L181" t="s">
        <v>79</v>
      </c>
      <c r="M181" s="4">
        <v>43419</v>
      </c>
      <c r="N181" s="12">
        <f t="shared" si="7"/>
        <v>11</v>
      </c>
      <c r="O181" s="13">
        <f t="shared" si="8"/>
        <v>2018</v>
      </c>
      <c r="P181" t="s">
        <v>13</v>
      </c>
      <c r="Q181" t="s">
        <v>80</v>
      </c>
      <c r="R181" t="s">
        <v>31</v>
      </c>
      <c r="S181" t="str" cm="1">
        <f t="array" ref="S181">_xlfn.IFS(R181="COMPLETE", "COMPLETED", R181="CANCELED", "CANCELED", TRUE, "PENDING")</f>
        <v>COMPLETED</v>
      </c>
      <c r="T181" t="s">
        <v>32</v>
      </c>
      <c r="U181">
        <f>VLOOKUP(A181,ordered_items!$B:$E,4,0)</f>
        <v>129.99</v>
      </c>
    </row>
    <row r="182" spans="1:21" x14ac:dyDescent="0.3">
      <c r="A182">
        <v>21888</v>
      </c>
      <c r="B182" t="s">
        <v>24</v>
      </c>
      <c r="C182">
        <v>2</v>
      </c>
      <c r="D182">
        <v>1</v>
      </c>
      <c r="E182" t="str">
        <f t="shared" si="6"/>
        <v>DELAYED</v>
      </c>
      <c r="F182">
        <f>VLOOKUP($A182,ordered_items!$B$2:$E$4784,2,0)</f>
        <v>1004</v>
      </c>
      <c r="G182">
        <f>VLOOKUP($A182,ordered_items!$B$2:$E$4784,3,0)</f>
        <v>1</v>
      </c>
      <c r="H182">
        <f>VLOOKUP($A182,ordered_items!$B$2:$E$4784,4,0)</f>
        <v>399.98</v>
      </c>
      <c r="I182" s="15">
        <f>VLOOKUP(F182,product_info!$A$2:$D$73,4,0)</f>
        <v>7</v>
      </c>
      <c r="J182" s="15" t="str">
        <f>VLOOKUP(I182,department!$A$2:$B$13,2,0)</f>
        <v>Fan Shop</v>
      </c>
      <c r="K182">
        <v>5389</v>
      </c>
      <c r="L182" t="s">
        <v>79</v>
      </c>
      <c r="M182" s="4">
        <v>43419</v>
      </c>
      <c r="N182" s="12">
        <f t="shared" si="7"/>
        <v>11</v>
      </c>
      <c r="O182" s="13">
        <f t="shared" si="8"/>
        <v>2018</v>
      </c>
      <c r="P182" t="s">
        <v>13</v>
      </c>
      <c r="Q182" t="s">
        <v>80</v>
      </c>
      <c r="R182" t="s">
        <v>31</v>
      </c>
      <c r="S182" t="str" cm="1">
        <f t="array" ref="S182">_xlfn.IFS(R182="COMPLETE", "COMPLETED", R182="CANCELED", "CANCELED", TRUE, "PENDING")</f>
        <v>COMPLETED</v>
      </c>
      <c r="T182" t="s">
        <v>32</v>
      </c>
      <c r="U182">
        <f>VLOOKUP(A182,ordered_items!$B:$E,4,0)</f>
        <v>399.98</v>
      </c>
    </row>
    <row r="183" spans="1:21" x14ac:dyDescent="0.3">
      <c r="A183">
        <v>21906</v>
      </c>
      <c r="B183" t="s">
        <v>24</v>
      </c>
      <c r="C183">
        <v>2</v>
      </c>
      <c r="D183">
        <v>4</v>
      </c>
      <c r="E183" t="str">
        <f t="shared" si="6"/>
        <v xml:space="preserve"> ONTIME</v>
      </c>
      <c r="F183">
        <f>VLOOKUP($A183,ordered_items!$B$2:$E$4784,2,0)</f>
        <v>365</v>
      </c>
      <c r="G183">
        <f>VLOOKUP($A183,ordered_items!$B$2:$E$4784,3,0)</f>
        <v>1</v>
      </c>
      <c r="H183">
        <f>VLOOKUP($A183,ordered_items!$B$2:$E$4784,4,0)</f>
        <v>59.99</v>
      </c>
      <c r="I183" s="15">
        <f>VLOOKUP(F183,product_info!$A$2:$D$73,4,0)</f>
        <v>4</v>
      </c>
      <c r="J183" s="15" t="str">
        <f>VLOOKUP(I183,department!$A$2:$B$13,2,0)</f>
        <v>Apparel</v>
      </c>
      <c r="K183">
        <v>6961</v>
      </c>
      <c r="L183" t="s">
        <v>253</v>
      </c>
      <c r="M183" s="4">
        <v>43419</v>
      </c>
      <c r="N183" s="12">
        <f t="shared" si="7"/>
        <v>11</v>
      </c>
      <c r="O183" s="13">
        <f t="shared" si="8"/>
        <v>2018</v>
      </c>
      <c r="P183" t="s">
        <v>13</v>
      </c>
      <c r="Q183" t="s">
        <v>30</v>
      </c>
      <c r="R183" t="s">
        <v>31</v>
      </c>
      <c r="S183" t="str" cm="1">
        <f t="array" ref="S183">_xlfn.IFS(R183="COMPLETE", "COMPLETED", R183="CANCELED", "CANCELED", TRUE, "PENDING")</f>
        <v>COMPLETED</v>
      </c>
      <c r="T183" t="s">
        <v>16</v>
      </c>
      <c r="U183">
        <f>VLOOKUP(A183,ordered_items!$B:$E,4,0)</f>
        <v>59.99</v>
      </c>
    </row>
    <row r="184" spans="1:21" x14ac:dyDescent="0.3">
      <c r="A184">
        <v>21921</v>
      </c>
      <c r="B184" t="s">
        <v>3</v>
      </c>
      <c r="C184">
        <v>2</v>
      </c>
      <c r="D184">
        <v>1</v>
      </c>
      <c r="E184" t="str">
        <f t="shared" si="6"/>
        <v>DELAYED</v>
      </c>
      <c r="F184">
        <f>VLOOKUP($A184,ordered_items!$B$2:$E$4784,2,0)</f>
        <v>1073</v>
      </c>
      <c r="G184">
        <f>VLOOKUP($A184,ordered_items!$B$2:$E$4784,3,0)</f>
        <v>1</v>
      </c>
      <c r="H184">
        <f>VLOOKUP($A184,ordered_items!$B$2:$E$4784,4,0)</f>
        <v>199.99</v>
      </c>
      <c r="I184" s="15">
        <f>VLOOKUP(F184,product_info!$A$2:$D$73,4,0)</f>
        <v>7</v>
      </c>
      <c r="J184" s="15" t="str">
        <f>VLOOKUP(I184,department!$A$2:$B$13,2,0)</f>
        <v>Fan Shop</v>
      </c>
      <c r="K184">
        <v>4380</v>
      </c>
      <c r="L184" t="s">
        <v>357</v>
      </c>
      <c r="M184" s="4">
        <v>43419</v>
      </c>
      <c r="N184" s="12">
        <f t="shared" si="7"/>
        <v>11</v>
      </c>
      <c r="O184" s="13">
        <f t="shared" si="8"/>
        <v>2018</v>
      </c>
      <c r="P184" t="s">
        <v>13</v>
      </c>
      <c r="Q184" t="s">
        <v>203</v>
      </c>
      <c r="R184" t="s">
        <v>38</v>
      </c>
      <c r="S184" t="str" cm="1">
        <f t="array" ref="S184">_xlfn.IFS(R184="COMPLETE", "COMPLETED", R184="CANCELED", "CANCELED", TRUE, "PENDING")</f>
        <v>PENDING</v>
      </c>
      <c r="T184" t="s">
        <v>32</v>
      </c>
      <c r="U184">
        <f>VLOOKUP(A184,ordered_items!$B:$E,4,0)</f>
        <v>199.99</v>
      </c>
    </row>
    <row r="185" spans="1:21" x14ac:dyDescent="0.3">
      <c r="A185">
        <v>21922</v>
      </c>
      <c r="B185" t="s">
        <v>3</v>
      </c>
      <c r="C185">
        <v>2</v>
      </c>
      <c r="D185">
        <v>1</v>
      </c>
      <c r="E185" t="str">
        <f t="shared" si="6"/>
        <v>DELAYED</v>
      </c>
      <c r="F185">
        <f>VLOOKUP($A185,ordered_items!$B$2:$E$4784,2,0)</f>
        <v>1073</v>
      </c>
      <c r="G185">
        <f>VLOOKUP($A185,ordered_items!$B$2:$E$4784,3,0)</f>
        <v>1</v>
      </c>
      <c r="H185">
        <f>VLOOKUP($A185,ordered_items!$B$2:$E$4784,4,0)</f>
        <v>199.99</v>
      </c>
      <c r="I185" s="15">
        <f>VLOOKUP(F185,product_info!$A$2:$D$73,4,0)</f>
        <v>7</v>
      </c>
      <c r="J185" s="15" t="str">
        <f>VLOOKUP(I185,department!$A$2:$B$13,2,0)</f>
        <v>Fan Shop</v>
      </c>
      <c r="K185">
        <v>6541</v>
      </c>
      <c r="L185" t="s">
        <v>357</v>
      </c>
      <c r="M185" s="4">
        <v>43419</v>
      </c>
      <c r="N185" s="12">
        <f t="shared" si="7"/>
        <v>11</v>
      </c>
      <c r="O185" s="13">
        <f t="shared" si="8"/>
        <v>2018</v>
      </c>
      <c r="P185" t="s">
        <v>13</v>
      </c>
      <c r="Q185" t="s">
        <v>203</v>
      </c>
      <c r="R185" t="s">
        <v>38</v>
      </c>
      <c r="S185" t="str" cm="1">
        <f t="array" ref="S185">_xlfn.IFS(R185="COMPLETE", "COMPLETED", R185="CANCELED", "CANCELED", TRUE, "PENDING")</f>
        <v>PENDING</v>
      </c>
      <c r="T185" t="s">
        <v>32</v>
      </c>
      <c r="U185">
        <f>VLOOKUP(A185,ordered_items!$B:$E,4,0)</f>
        <v>199.99</v>
      </c>
    </row>
    <row r="186" spans="1:21" x14ac:dyDescent="0.3">
      <c r="A186">
        <v>21924</v>
      </c>
      <c r="B186" t="s">
        <v>24</v>
      </c>
      <c r="C186">
        <v>5</v>
      </c>
      <c r="D186">
        <v>4</v>
      </c>
      <c r="E186" t="str">
        <f t="shared" si="6"/>
        <v>DELAYED</v>
      </c>
      <c r="F186">
        <f>VLOOKUP($A186,ordered_items!$B$2:$E$4784,2,0)</f>
        <v>627</v>
      </c>
      <c r="G186">
        <f>VLOOKUP($A186,ordered_items!$B$2:$E$4784,3,0)</f>
        <v>1</v>
      </c>
      <c r="H186">
        <f>VLOOKUP($A186,ordered_items!$B$2:$E$4784,4,0)</f>
        <v>39.99</v>
      </c>
      <c r="I186" s="15">
        <f>VLOOKUP(F186,product_info!$A$2:$D$73,4,0)</f>
        <v>5</v>
      </c>
      <c r="J186" s="15" t="str">
        <f>VLOOKUP(I186,department!$A$2:$B$13,2,0)</f>
        <v>Golf</v>
      </c>
      <c r="K186">
        <v>694</v>
      </c>
      <c r="L186" t="s">
        <v>327</v>
      </c>
      <c r="M186" s="4">
        <v>43420</v>
      </c>
      <c r="N186" s="12">
        <f t="shared" si="7"/>
        <v>11</v>
      </c>
      <c r="O186" s="13">
        <f t="shared" si="8"/>
        <v>2018</v>
      </c>
      <c r="P186" t="s">
        <v>13</v>
      </c>
      <c r="Q186" t="s">
        <v>227</v>
      </c>
      <c r="R186" t="s">
        <v>31</v>
      </c>
      <c r="S186" t="str" cm="1">
        <f t="array" ref="S186">_xlfn.IFS(R186="COMPLETE", "COMPLETED", R186="CANCELED", "CANCELED", TRUE, "PENDING")</f>
        <v>COMPLETED</v>
      </c>
      <c r="T186" t="s">
        <v>16</v>
      </c>
      <c r="U186">
        <f>VLOOKUP(A186,ordered_items!$B:$E,4,0)</f>
        <v>39.99</v>
      </c>
    </row>
    <row r="187" spans="1:21" x14ac:dyDescent="0.3">
      <c r="A187">
        <v>21925</v>
      </c>
      <c r="B187" t="s">
        <v>3</v>
      </c>
      <c r="C187">
        <v>6</v>
      </c>
      <c r="D187">
        <v>4</v>
      </c>
      <c r="E187" t="str">
        <f t="shared" si="6"/>
        <v>DELAYED</v>
      </c>
      <c r="F187">
        <f>VLOOKUP($A187,ordered_items!$B$2:$E$4784,2,0)</f>
        <v>1073</v>
      </c>
      <c r="G187">
        <f>VLOOKUP($A187,ordered_items!$B$2:$E$4784,3,0)</f>
        <v>1</v>
      </c>
      <c r="H187">
        <f>VLOOKUP($A187,ordered_items!$B$2:$E$4784,4,0)</f>
        <v>199.99</v>
      </c>
      <c r="I187" s="15">
        <f>VLOOKUP(F187,product_info!$A$2:$D$73,4,0)</f>
        <v>7</v>
      </c>
      <c r="J187" s="15" t="str">
        <f>VLOOKUP(I187,department!$A$2:$B$13,2,0)</f>
        <v>Fan Shop</v>
      </c>
      <c r="K187">
        <v>11230</v>
      </c>
      <c r="L187" t="s">
        <v>327</v>
      </c>
      <c r="M187" s="4">
        <v>43420</v>
      </c>
      <c r="N187" s="12">
        <f t="shared" si="7"/>
        <v>11</v>
      </c>
      <c r="O187" s="13">
        <f t="shared" si="8"/>
        <v>2018</v>
      </c>
      <c r="P187" t="s">
        <v>13</v>
      </c>
      <c r="Q187" t="s">
        <v>227</v>
      </c>
      <c r="R187" t="s">
        <v>38</v>
      </c>
      <c r="S187" t="str" cm="1">
        <f t="array" ref="S187">_xlfn.IFS(R187="COMPLETE", "COMPLETED", R187="CANCELED", "CANCELED", TRUE, "PENDING")</f>
        <v>PENDING</v>
      </c>
      <c r="T187" t="s">
        <v>16</v>
      </c>
      <c r="U187">
        <f>VLOOKUP(A187,ordered_items!$B:$E,4,0)</f>
        <v>199.99</v>
      </c>
    </row>
    <row r="188" spans="1:21" x14ac:dyDescent="0.3">
      <c r="A188">
        <v>21926</v>
      </c>
      <c r="B188" t="s">
        <v>24</v>
      </c>
      <c r="C188">
        <v>2</v>
      </c>
      <c r="D188">
        <v>4</v>
      </c>
      <c r="E188" t="str">
        <f t="shared" si="6"/>
        <v xml:space="preserve"> ONTIME</v>
      </c>
      <c r="F188">
        <f>VLOOKUP($A188,ordered_items!$B$2:$E$4784,2,0)</f>
        <v>957</v>
      </c>
      <c r="G188">
        <f>VLOOKUP($A188,ordered_items!$B$2:$E$4784,3,0)</f>
        <v>1</v>
      </c>
      <c r="H188">
        <f>VLOOKUP($A188,ordered_items!$B$2:$E$4784,4,0)</f>
        <v>299.98</v>
      </c>
      <c r="I188" s="15">
        <f>VLOOKUP(F188,product_info!$A$2:$D$73,4,0)</f>
        <v>7</v>
      </c>
      <c r="J188" s="15" t="str">
        <f>VLOOKUP(I188,department!$A$2:$B$13,2,0)</f>
        <v>Fan Shop</v>
      </c>
      <c r="K188">
        <v>6303</v>
      </c>
      <c r="L188" t="s">
        <v>327</v>
      </c>
      <c r="M188" s="4">
        <v>43420</v>
      </c>
      <c r="N188" s="12">
        <f t="shared" si="7"/>
        <v>11</v>
      </c>
      <c r="O188" s="13">
        <f t="shared" si="8"/>
        <v>2018</v>
      </c>
      <c r="P188" t="s">
        <v>13</v>
      </c>
      <c r="Q188" t="s">
        <v>227</v>
      </c>
      <c r="R188" t="s">
        <v>31</v>
      </c>
      <c r="S188" t="str" cm="1">
        <f t="array" ref="S188">_xlfn.IFS(R188="COMPLETE", "COMPLETED", R188="CANCELED", "CANCELED", TRUE, "PENDING")</f>
        <v>COMPLETED</v>
      </c>
      <c r="T188" t="s">
        <v>16</v>
      </c>
      <c r="U188">
        <f>VLOOKUP(A188,ordered_items!$B:$E,4,0)</f>
        <v>299.98</v>
      </c>
    </row>
    <row r="189" spans="1:21" x14ac:dyDescent="0.3">
      <c r="A189">
        <v>21927</v>
      </c>
      <c r="B189" t="s">
        <v>51</v>
      </c>
      <c r="C189">
        <v>0</v>
      </c>
      <c r="D189">
        <v>0</v>
      </c>
      <c r="E189" t="str">
        <f t="shared" si="6"/>
        <v xml:space="preserve"> ONTIME</v>
      </c>
      <c r="F189">
        <f>VLOOKUP($A189,ordered_items!$B$2:$E$4784,2,0)</f>
        <v>365</v>
      </c>
      <c r="G189">
        <f>VLOOKUP($A189,ordered_items!$B$2:$E$4784,3,0)</f>
        <v>1</v>
      </c>
      <c r="H189">
        <f>VLOOKUP($A189,ordered_items!$B$2:$E$4784,4,0)</f>
        <v>59.99</v>
      </c>
      <c r="I189" s="15">
        <f>VLOOKUP(F189,product_info!$A$2:$D$73,4,0)</f>
        <v>4</v>
      </c>
      <c r="J189" s="15" t="str">
        <f>VLOOKUP(I189,department!$A$2:$B$13,2,0)</f>
        <v>Apparel</v>
      </c>
      <c r="K189">
        <v>4732</v>
      </c>
      <c r="L189" t="s">
        <v>327</v>
      </c>
      <c r="M189" s="4">
        <v>43420</v>
      </c>
      <c r="N189" s="12">
        <f t="shared" si="7"/>
        <v>11</v>
      </c>
      <c r="O189" s="13">
        <f t="shared" si="8"/>
        <v>2018</v>
      </c>
      <c r="P189" t="s">
        <v>13</v>
      </c>
      <c r="Q189" t="s">
        <v>227</v>
      </c>
      <c r="R189" t="s">
        <v>57</v>
      </c>
      <c r="S189" t="str" cm="1">
        <f t="array" ref="S189">_xlfn.IFS(R189="COMPLETE", "COMPLETED", R189="CANCELED", "CANCELED", TRUE, "PENDING")</f>
        <v>PENDING</v>
      </c>
      <c r="T189" t="s">
        <v>58</v>
      </c>
      <c r="U189">
        <f>VLOOKUP(A189,ordered_items!$B:$E,4,0)</f>
        <v>59.99</v>
      </c>
    </row>
    <row r="190" spans="1:21" x14ac:dyDescent="0.3">
      <c r="A190">
        <v>21929</v>
      </c>
      <c r="B190" t="s">
        <v>3</v>
      </c>
      <c r="C190">
        <v>5</v>
      </c>
      <c r="D190">
        <v>2</v>
      </c>
      <c r="E190" t="str">
        <f t="shared" si="6"/>
        <v>DELAYED</v>
      </c>
      <c r="F190">
        <f>VLOOKUP($A190,ordered_items!$B$2:$E$4784,2,0)</f>
        <v>1073</v>
      </c>
      <c r="G190">
        <f>VLOOKUP($A190,ordered_items!$B$2:$E$4784,3,0)</f>
        <v>1</v>
      </c>
      <c r="H190">
        <f>VLOOKUP($A190,ordered_items!$B$2:$E$4784,4,0)</f>
        <v>199.99</v>
      </c>
      <c r="I190" s="15">
        <f>VLOOKUP(F190,product_info!$A$2:$D$73,4,0)</f>
        <v>7</v>
      </c>
      <c r="J190" s="15" t="str">
        <f>VLOOKUP(I190,department!$A$2:$B$13,2,0)</f>
        <v>Fan Shop</v>
      </c>
      <c r="K190">
        <v>6003</v>
      </c>
      <c r="L190" t="s">
        <v>327</v>
      </c>
      <c r="M190" s="4">
        <v>43420</v>
      </c>
      <c r="N190" s="12">
        <f t="shared" si="7"/>
        <v>11</v>
      </c>
      <c r="O190" s="13">
        <f t="shared" si="8"/>
        <v>2018</v>
      </c>
      <c r="P190" t="s">
        <v>13</v>
      </c>
      <c r="Q190" t="s">
        <v>227</v>
      </c>
      <c r="R190" t="s">
        <v>38</v>
      </c>
      <c r="S190" t="str" cm="1">
        <f t="array" ref="S190">_xlfn.IFS(R190="COMPLETE", "COMPLETED", R190="CANCELED", "CANCELED", TRUE, "PENDING")</f>
        <v>PENDING</v>
      </c>
      <c r="T190" t="s">
        <v>90</v>
      </c>
      <c r="U190">
        <f>VLOOKUP(A190,ordered_items!$B:$E,4,0)</f>
        <v>199.99</v>
      </c>
    </row>
    <row r="191" spans="1:21" x14ac:dyDescent="0.3">
      <c r="A191">
        <v>21930</v>
      </c>
      <c r="B191" t="s">
        <v>24</v>
      </c>
      <c r="C191">
        <v>6</v>
      </c>
      <c r="D191">
        <v>2</v>
      </c>
      <c r="E191" t="str">
        <f t="shared" si="6"/>
        <v>DELAYED</v>
      </c>
      <c r="F191">
        <f>VLOOKUP($A191,ordered_items!$B$2:$E$4784,2,0)</f>
        <v>403</v>
      </c>
      <c r="G191">
        <f>VLOOKUP($A191,ordered_items!$B$2:$E$4784,3,0)</f>
        <v>1</v>
      </c>
      <c r="H191">
        <f>VLOOKUP($A191,ordered_items!$B$2:$E$4784,4,0)</f>
        <v>129.99</v>
      </c>
      <c r="I191" s="15">
        <f>VLOOKUP(F191,product_info!$A$2:$D$73,4,0)</f>
        <v>4</v>
      </c>
      <c r="J191" s="15" t="str">
        <f>VLOOKUP(I191,department!$A$2:$B$13,2,0)</f>
        <v>Apparel</v>
      </c>
      <c r="K191">
        <v>1873</v>
      </c>
      <c r="L191" t="s">
        <v>327</v>
      </c>
      <c r="M191" s="4">
        <v>43420</v>
      </c>
      <c r="N191" s="12">
        <f t="shared" si="7"/>
        <v>11</v>
      </c>
      <c r="O191" s="13">
        <f t="shared" si="8"/>
        <v>2018</v>
      </c>
      <c r="P191" t="s">
        <v>13</v>
      </c>
      <c r="Q191" t="s">
        <v>227</v>
      </c>
      <c r="R191" t="s">
        <v>31</v>
      </c>
      <c r="S191" t="str" cm="1">
        <f t="array" ref="S191">_xlfn.IFS(R191="COMPLETE", "COMPLETED", R191="CANCELED", "CANCELED", TRUE, "PENDING")</f>
        <v>COMPLETED</v>
      </c>
      <c r="T191" t="s">
        <v>90</v>
      </c>
      <c r="U191">
        <f>VLOOKUP(A191,ordered_items!$B:$E,4,0)</f>
        <v>129.99</v>
      </c>
    </row>
    <row r="192" spans="1:21" x14ac:dyDescent="0.3">
      <c r="A192">
        <v>21931</v>
      </c>
      <c r="B192" t="s">
        <v>24</v>
      </c>
      <c r="C192">
        <v>2</v>
      </c>
      <c r="D192">
        <v>4</v>
      </c>
      <c r="E192" t="str">
        <f t="shared" si="6"/>
        <v xml:space="preserve"> ONTIME</v>
      </c>
      <c r="F192">
        <f>VLOOKUP($A192,ordered_items!$B$2:$E$4784,2,0)</f>
        <v>502</v>
      </c>
      <c r="G192">
        <f>VLOOKUP($A192,ordered_items!$B$2:$E$4784,3,0)</f>
        <v>5</v>
      </c>
      <c r="H192">
        <f>VLOOKUP($A192,ordered_items!$B$2:$E$4784,4,0)</f>
        <v>250</v>
      </c>
      <c r="I192" s="15">
        <f>VLOOKUP(F192,product_info!$A$2:$D$73,4,0)</f>
        <v>5</v>
      </c>
      <c r="J192" s="15" t="str">
        <f>VLOOKUP(I192,department!$A$2:$B$13,2,0)</f>
        <v>Golf</v>
      </c>
      <c r="K192">
        <v>4623</v>
      </c>
      <c r="L192" t="s">
        <v>327</v>
      </c>
      <c r="M192" s="4">
        <v>43420</v>
      </c>
      <c r="N192" s="12">
        <f t="shared" si="7"/>
        <v>11</v>
      </c>
      <c r="O192" s="13">
        <f t="shared" si="8"/>
        <v>2018</v>
      </c>
      <c r="P192" t="s">
        <v>13</v>
      </c>
      <c r="Q192" t="s">
        <v>227</v>
      </c>
      <c r="R192" t="s">
        <v>31</v>
      </c>
      <c r="S192" t="str" cm="1">
        <f t="array" ref="S192">_xlfn.IFS(R192="COMPLETE", "COMPLETED", R192="CANCELED", "CANCELED", TRUE, "PENDING")</f>
        <v>COMPLETED</v>
      </c>
      <c r="T192" t="s">
        <v>16</v>
      </c>
      <c r="U192">
        <f>VLOOKUP(A192,ordered_items!$B:$E,4,0)</f>
        <v>250</v>
      </c>
    </row>
    <row r="193" spans="1:21" x14ac:dyDescent="0.3">
      <c r="A193">
        <v>21980</v>
      </c>
      <c r="B193" t="s">
        <v>17</v>
      </c>
      <c r="C193">
        <v>2</v>
      </c>
      <c r="D193">
        <v>1</v>
      </c>
      <c r="E193" t="str">
        <f t="shared" si="6"/>
        <v>DELAYED</v>
      </c>
      <c r="F193">
        <f>VLOOKUP($A193,ordered_items!$B$2:$E$4784,2,0)</f>
        <v>957</v>
      </c>
      <c r="G193">
        <f>VLOOKUP($A193,ordered_items!$B$2:$E$4784,3,0)</f>
        <v>1</v>
      </c>
      <c r="H193">
        <f>VLOOKUP($A193,ordered_items!$B$2:$E$4784,4,0)</f>
        <v>299.98</v>
      </c>
      <c r="I193" s="15">
        <f>VLOOKUP(F193,product_info!$A$2:$D$73,4,0)</f>
        <v>7</v>
      </c>
      <c r="J193" s="15" t="str">
        <f>VLOOKUP(I193,department!$A$2:$B$13,2,0)</f>
        <v>Fan Shop</v>
      </c>
      <c r="K193">
        <v>7173</v>
      </c>
      <c r="L193" t="s">
        <v>857</v>
      </c>
      <c r="M193" s="4">
        <v>43420</v>
      </c>
      <c r="N193" s="12">
        <f t="shared" si="7"/>
        <v>11</v>
      </c>
      <c r="O193" s="13">
        <f t="shared" si="8"/>
        <v>2018</v>
      </c>
      <c r="P193" t="s">
        <v>13</v>
      </c>
      <c r="Q193" t="s">
        <v>80</v>
      </c>
      <c r="R193" t="s">
        <v>23</v>
      </c>
      <c r="S193" t="str" cm="1">
        <f t="array" ref="S193">_xlfn.IFS(R193="COMPLETE", "COMPLETED", R193="CANCELED", "CANCELED", TRUE, "PENDING")</f>
        <v>PENDING</v>
      </c>
      <c r="T193" t="s">
        <v>32</v>
      </c>
      <c r="U193">
        <f>VLOOKUP(A193,ordered_items!$B:$E,4,0)</f>
        <v>299.98</v>
      </c>
    </row>
    <row r="194" spans="1:21" x14ac:dyDescent="0.3">
      <c r="A194">
        <v>21981</v>
      </c>
      <c r="B194" t="s">
        <v>51</v>
      </c>
      <c r="C194">
        <v>2</v>
      </c>
      <c r="D194">
        <v>1</v>
      </c>
      <c r="E194" t="str">
        <f t="shared" si="6"/>
        <v>DELAYED</v>
      </c>
      <c r="F194">
        <f>VLOOKUP($A194,ordered_items!$B$2:$E$4784,2,0)</f>
        <v>810</v>
      </c>
      <c r="G194">
        <f>VLOOKUP($A194,ordered_items!$B$2:$E$4784,3,0)</f>
        <v>3</v>
      </c>
      <c r="H194">
        <f>VLOOKUP($A194,ordered_items!$B$2:$E$4784,4,0)</f>
        <v>59.97</v>
      </c>
      <c r="I194" s="15">
        <f>VLOOKUP(F194,product_info!$A$2:$D$73,4,0)</f>
        <v>6</v>
      </c>
      <c r="J194" s="15" t="str">
        <f>VLOOKUP(I194,department!$A$2:$B$13,2,0)</f>
        <v>Outdoors</v>
      </c>
      <c r="K194">
        <v>12154</v>
      </c>
      <c r="L194" t="s">
        <v>844</v>
      </c>
      <c r="M194" s="4">
        <v>43420</v>
      </c>
      <c r="N194" s="12">
        <f t="shared" si="7"/>
        <v>11</v>
      </c>
      <c r="O194" s="13">
        <f t="shared" si="8"/>
        <v>2018</v>
      </c>
      <c r="P194" t="s">
        <v>13</v>
      </c>
      <c r="Q194" t="s">
        <v>377</v>
      </c>
      <c r="R194" t="s">
        <v>57</v>
      </c>
      <c r="S194" t="str" cm="1">
        <f t="array" ref="S194">_xlfn.IFS(R194="COMPLETE", "COMPLETED", R194="CANCELED", "CANCELED", TRUE, "PENDING")</f>
        <v>PENDING</v>
      </c>
      <c r="T194" t="s">
        <v>32</v>
      </c>
      <c r="U194">
        <f>VLOOKUP(A194,ordered_items!$B:$E,4,0)</f>
        <v>59.97</v>
      </c>
    </row>
    <row r="195" spans="1:21" x14ac:dyDescent="0.3">
      <c r="A195">
        <v>21982</v>
      </c>
      <c r="B195" t="s">
        <v>24</v>
      </c>
      <c r="C195">
        <v>2</v>
      </c>
      <c r="D195">
        <v>1</v>
      </c>
      <c r="E195" t="str">
        <f t="shared" ref="E195:E258" si="9">IF(C195-D195&gt;0,"DELAYED"," ONTIME")</f>
        <v>DELAYED</v>
      </c>
      <c r="F195">
        <f>VLOOKUP($A195,ordered_items!$B$2:$E$4784,2,0)</f>
        <v>775</v>
      </c>
      <c r="G195">
        <f>VLOOKUP($A195,ordered_items!$B$2:$E$4784,3,0)</f>
        <v>3</v>
      </c>
      <c r="H195">
        <f>VLOOKUP($A195,ordered_items!$B$2:$E$4784,4,0)</f>
        <v>29.97</v>
      </c>
      <c r="I195" s="15">
        <f>VLOOKUP(F195,product_info!$A$2:$D$73,4,0)</f>
        <v>6</v>
      </c>
      <c r="J195" s="15" t="str">
        <f>VLOOKUP(I195,department!$A$2:$B$13,2,0)</f>
        <v>Outdoors</v>
      </c>
      <c r="K195">
        <v>7627</v>
      </c>
      <c r="L195" t="s">
        <v>844</v>
      </c>
      <c r="M195" s="4">
        <v>43420</v>
      </c>
      <c r="N195" s="12">
        <f t="shared" ref="N195:N258" si="10">MONTH(M195)</f>
        <v>11</v>
      </c>
      <c r="O195" s="13">
        <f t="shared" ref="O195:O258" si="11">YEAR(M195)</f>
        <v>2018</v>
      </c>
      <c r="P195" t="s">
        <v>13</v>
      </c>
      <c r="Q195" t="s">
        <v>377</v>
      </c>
      <c r="R195" t="s">
        <v>31</v>
      </c>
      <c r="S195" t="str" cm="1">
        <f t="array" ref="S195">_xlfn.IFS(R195="COMPLETE", "COMPLETED", R195="CANCELED", "CANCELED", TRUE, "PENDING")</f>
        <v>COMPLETED</v>
      </c>
      <c r="T195" t="s">
        <v>32</v>
      </c>
      <c r="U195">
        <f>VLOOKUP(A195,ordered_items!$B:$E,4,0)</f>
        <v>29.97</v>
      </c>
    </row>
    <row r="196" spans="1:21" x14ac:dyDescent="0.3">
      <c r="A196">
        <v>21995</v>
      </c>
      <c r="B196" t="s">
        <v>51</v>
      </c>
      <c r="C196">
        <v>6</v>
      </c>
      <c r="D196">
        <v>4</v>
      </c>
      <c r="E196" t="str">
        <f t="shared" si="9"/>
        <v>DELAYED</v>
      </c>
      <c r="F196">
        <f>VLOOKUP($A196,ordered_items!$B$2:$E$4784,2,0)</f>
        <v>403</v>
      </c>
      <c r="G196">
        <f>VLOOKUP($A196,ordered_items!$B$2:$E$4784,3,0)</f>
        <v>1</v>
      </c>
      <c r="H196">
        <f>VLOOKUP($A196,ordered_items!$B$2:$E$4784,4,0)</f>
        <v>129.99</v>
      </c>
      <c r="I196" s="15">
        <f>VLOOKUP(F196,product_info!$A$2:$D$73,4,0)</f>
        <v>4</v>
      </c>
      <c r="J196" s="15" t="str">
        <f>VLOOKUP(I196,department!$A$2:$B$13,2,0)</f>
        <v>Apparel</v>
      </c>
      <c r="K196">
        <v>7865</v>
      </c>
      <c r="L196" t="s">
        <v>465</v>
      </c>
      <c r="M196" s="4">
        <v>43421</v>
      </c>
      <c r="N196" s="12">
        <f t="shared" si="10"/>
        <v>11</v>
      </c>
      <c r="O196" s="13">
        <f t="shared" si="11"/>
        <v>2018</v>
      </c>
      <c r="P196" t="s">
        <v>13</v>
      </c>
      <c r="Q196" t="s">
        <v>99</v>
      </c>
      <c r="R196" t="s">
        <v>57</v>
      </c>
      <c r="S196" t="str" cm="1">
        <f t="array" ref="S196">_xlfn.IFS(R196="COMPLETE", "COMPLETED", R196="CANCELED", "CANCELED", TRUE, "PENDING")</f>
        <v>PENDING</v>
      </c>
      <c r="T196" t="s">
        <v>16</v>
      </c>
      <c r="U196">
        <f>VLOOKUP(A196,ordered_items!$B:$E,4,0)</f>
        <v>129.99</v>
      </c>
    </row>
    <row r="197" spans="1:21" x14ac:dyDescent="0.3">
      <c r="A197">
        <v>21996</v>
      </c>
      <c r="B197" t="s">
        <v>3</v>
      </c>
      <c r="C197">
        <v>2</v>
      </c>
      <c r="D197">
        <v>4</v>
      </c>
      <c r="E197" t="str">
        <f t="shared" si="9"/>
        <v xml:space="preserve"> ONTIME</v>
      </c>
      <c r="F197">
        <f>VLOOKUP($A197,ordered_items!$B$2:$E$4784,2,0)</f>
        <v>365</v>
      </c>
      <c r="G197">
        <f>VLOOKUP($A197,ordered_items!$B$2:$E$4784,3,0)</f>
        <v>2</v>
      </c>
      <c r="H197">
        <f>VLOOKUP($A197,ordered_items!$B$2:$E$4784,4,0)</f>
        <v>119.98</v>
      </c>
      <c r="I197" s="15">
        <f>VLOOKUP(F197,product_info!$A$2:$D$73,4,0)</f>
        <v>4</v>
      </c>
      <c r="J197" s="15" t="str">
        <f>VLOOKUP(I197,department!$A$2:$B$13,2,0)</f>
        <v>Apparel</v>
      </c>
      <c r="K197">
        <v>5622</v>
      </c>
      <c r="L197" t="s">
        <v>465</v>
      </c>
      <c r="M197" s="4">
        <v>43421</v>
      </c>
      <c r="N197" s="12">
        <f t="shared" si="10"/>
        <v>11</v>
      </c>
      <c r="O197" s="13">
        <f t="shared" si="11"/>
        <v>2018</v>
      </c>
      <c r="P197" t="s">
        <v>13</v>
      </c>
      <c r="Q197" t="s">
        <v>99</v>
      </c>
      <c r="R197" t="s">
        <v>38</v>
      </c>
      <c r="S197" t="str" cm="1">
        <f t="array" ref="S197">_xlfn.IFS(R197="COMPLETE", "COMPLETED", R197="CANCELED", "CANCELED", TRUE, "PENDING")</f>
        <v>PENDING</v>
      </c>
      <c r="T197" t="s">
        <v>16</v>
      </c>
      <c r="U197">
        <f>VLOOKUP(A197,ordered_items!$B:$E,4,0)</f>
        <v>119.98</v>
      </c>
    </row>
    <row r="198" spans="1:21" x14ac:dyDescent="0.3">
      <c r="A198">
        <v>22006</v>
      </c>
      <c r="B198" t="s">
        <v>51</v>
      </c>
      <c r="C198">
        <v>2</v>
      </c>
      <c r="D198">
        <v>1</v>
      </c>
      <c r="E198" t="str">
        <f t="shared" si="9"/>
        <v>DELAYED</v>
      </c>
      <c r="F198">
        <f>VLOOKUP($A198,ordered_items!$B$2:$E$4784,2,0)</f>
        <v>403</v>
      </c>
      <c r="G198">
        <f>VLOOKUP($A198,ordered_items!$B$2:$E$4784,3,0)</f>
        <v>1</v>
      </c>
      <c r="H198">
        <f>VLOOKUP($A198,ordered_items!$B$2:$E$4784,4,0)</f>
        <v>129.99</v>
      </c>
      <c r="I198" s="15">
        <f>VLOOKUP(F198,product_info!$A$2:$D$73,4,0)</f>
        <v>4</v>
      </c>
      <c r="J198" s="15" t="str">
        <f>VLOOKUP(I198,department!$A$2:$B$13,2,0)</f>
        <v>Apparel</v>
      </c>
      <c r="K198">
        <v>11273</v>
      </c>
      <c r="L198" t="s">
        <v>1073</v>
      </c>
      <c r="M198" s="4">
        <v>43421</v>
      </c>
      <c r="N198" s="12">
        <f t="shared" si="10"/>
        <v>11</v>
      </c>
      <c r="O198" s="13">
        <f t="shared" si="11"/>
        <v>2018</v>
      </c>
      <c r="P198" t="s">
        <v>13</v>
      </c>
      <c r="Q198" t="s">
        <v>47</v>
      </c>
      <c r="R198" t="s">
        <v>57</v>
      </c>
      <c r="S198" t="str" cm="1">
        <f t="array" ref="S198">_xlfn.IFS(R198="COMPLETE", "COMPLETED", R198="CANCELED", "CANCELED", TRUE, "PENDING")</f>
        <v>PENDING</v>
      </c>
      <c r="T198" t="s">
        <v>32</v>
      </c>
      <c r="U198">
        <f>VLOOKUP(A198,ordered_items!$B:$E,4,0)</f>
        <v>129.99</v>
      </c>
    </row>
    <row r="199" spans="1:21" x14ac:dyDescent="0.3">
      <c r="A199">
        <v>22008</v>
      </c>
      <c r="B199" t="s">
        <v>3</v>
      </c>
      <c r="C199">
        <v>4</v>
      </c>
      <c r="D199">
        <v>2</v>
      </c>
      <c r="E199" t="str">
        <f t="shared" si="9"/>
        <v>DELAYED</v>
      </c>
      <c r="F199">
        <f>VLOOKUP($A199,ordered_items!$B$2:$E$4784,2,0)</f>
        <v>1004</v>
      </c>
      <c r="G199">
        <f>VLOOKUP($A199,ordered_items!$B$2:$E$4784,3,0)</f>
        <v>1</v>
      </c>
      <c r="H199">
        <f>VLOOKUP($A199,ordered_items!$B$2:$E$4784,4,0)</f>
        <v>399.98</v>
      </c>
      <c r="I199" s="15">
        <f>VLOOKUP(F199,product_info!$A$2:$D$73,4,0)</f>
        <v>7</v>
      </c>
      <c r="J199" s="15" t="str">
        <f>VLOOKUP(I199,department!$A$2:$B$13,2,0)</f>
        <v>Fan Shop</v>
      </c>
      <c r="K199">
        <v>10123</v>
      </c>
      <c r="L199" t="s">
        <v>1073</v>
      </c>
      <c r="M199" s="4">
        <v>43421</v>
      </c>
      <c r="N199" s="12">
        <f t="shared" si="10"/>
        <v>11</v>
      </c>
      <c r="O199" s="13">
        <f t="shared" si="11"/>
        <v>2018</v>
      </c>
      <c r="P199" t="s">
        <v>13</v>
      </c>
      <c r="Q199" t="s">
        <v>47</v>
      </c>
      <c r="R199" t="s">
        <v>38</v>
      </c>
      <c r="S199" t="str" cm="1">
        <f t="array" ref="S199">_xlfn.IFS(R199="COMPLETE", "COMPLETED", R199="CANCELED", "CANCELED", TRUE, "PENDING")</f>
        <v>PENDING</v>
      </c>
      <c r="T199" t="s">
        <v>90</v>
      </c>
      <c r="U199">
        <f>VLOOKUP(A199,ordered_items!$B:$E,4,0)</f>
        <v>399.98</v>
      </c>
    </row>
    <row r="200" spans="1:21" x14ac:dyDescent="0.3">
      <c r="A200">
        <v>22019</v>
      </c>
      <c r="B200" t="s">
        <v>24</v>
      </c>
      <c r="C200">
        <v>5</v>
      </c>
      <c r="D200">
        <v>4</v>
      </c>
      <c r="E200" t="str">
        <f t="shared" si="9"/>
        <v>DELAYED</v>
      </c>
      <c r="F200">
        <f>VLOOKUP($A200,ordered_items!$B$2:$E$4784,2,0)</f>
        <v>403</v>
      </c>
      <c r="G200">
        <f>VLOOKUP($A200,ordered_items!$B$2:$E$4784,3,0)</f>
        <v>1</v>
      </c>
      <c r="H200">
        <f>VLOOKUP($A200,ordered_items!$B$2:$E$4784,4,0)</f>
        <v>129.99</v>
      </c>
      <c r="I200" s="15">
        <f>VLOOKUP(F200,product_info!$A$2:$D$73,4,0)</f>
        <v>4</v>
      </c>
      <c r="J200" s="15" t="str">
        <f>VLOOKUP(I200,department!$A$2:$B$13,2,0)</f>
        <v>Apparel</v>
      </c>
      <c r="K200">
        <v>9494</v>
      </c>
      <c r="L200" t="s">
        <v>116</v>
      </c>
      <c r="M200" s="4">
        <v>43421</v>
      </c>
      <c r="N200" s="12">
        <f t="shared" si="10"/>
        <v>11</v>
      </c>
      <c r="O200" s="13">
        <f t="shared" si="11"/>
        <v>2018</v>
      </c>
      <c r="P200" t="s">
        <v>13</v>
      </c>
      <c r="Q200" t="s">
        <v>30</v>
      </c>
      <c r="R200" t="s">
        <v>31</v>
      </c>
      <c r="S200" t="str" cm="1">
        <f t="array" ref="S200">_xlfn.IFS(R200="COMPLETE", "COMPLETED", R200="CANCELED", "CANCELED", TRUE, "PENDING")</f>
        <v>COMPLETED</v>
      </c>
      <c r="T200" t="s">
        <v>16</v>
      </c>
      <c r="U200">
        <f>VLOOKUP(A200,ordered_items!$B:$E,4,0)</f>
        <v>129.99</v>
      </c>
    </row>
    <row r="201" spans="1:21" x14ac:dyDescent="0.3">
      <c r="A201">
        <v>22020</v>
      </c>
      <c r="B201" t="s">
        <v>24</v>
      </c>
      <c r="C201">
        <v>6</v>
      </c>
      <c r="D201">
        <v>4</v>
      </c>
      <c r="E201" t="str">
        <f t="shared" si="9"/>
        <v>DELAYED</v>
      </c>
      <c r="F201">
        <f>VLOOKUP($A201,ordered_items!$B$2:$E$4784,2,0)</f>
        <v>627</v>
      </c>
      <c r="G201">
        <f>VLOOKUP($A201,ordered_items!$B$2:$E$4784,3,0)</f>
        <v>4</v>
      </c>
      <c r="H201">
        <f>VLOOKUP($A201,ordered_items!$B$2:$E$4784,4,0)</f>
        <v>159.96</v>
      </c>
      <c r="I201" s="15">
        <f>VLOOKUP(F201,product_info!$A$2:$D$73,4,0)</f>
        <v>5</v>
      </c>
      <c r="J201" s="15" t="str">
        <f>VLOOKUP(I201,department!$A$2:$B$13,2,0)</f>
        <v>Golf</v>
      </c>
      <c r="K201">
        <v>5984</v>
      </c>
      <c r="L201" t="s">
        <v>116</v>
      </c>
      <c r="M201" s="4">
        <v>43421</v>
      </c>
      <c r="N201" s="12">
        <f t="shared" si="10"/>
        <v>11</v>
      </c>
      <c r="O201" s="13">
        <f t="shared" si="11"/>
        <v>2018</v>
      </c>
      <c r="P201" t="s">
        <v>13</v>
      </c>
      <c r="Q201" t="s">
        <v>30</v>
      </c>
      <c r="R201" t="s">
        <v>31</v>
      </c>
      <c r="S201" t="str" cm="1">
        <f t="array" ref="S201">_xlfn.IFS(R201="COMPLETE", "COMPLETED", R201="CANCELED", "CANCELED", TRUE, "PENDING")</f>
        <v>COMPLETED</v>
      </c>
      <c r="T201" t="s">
        <v>16</v>
      </c>
      <c r="U201">
        <f>VLOOKUP(A201,ordered_items!$B:$E,4,0)</f>
        <v>159.96</v>
      </c>
    </row>
    <row r="202" spans="1:21" x14ac:dyDescent="0.3">
      <c r="A202">
        <v>22023</v>
      </c>
      <c r="B202" t="s">
        <v>51</v>
      </c>
      <c r="C202">
        <v>4</v>
      </c>
      <c r="D202">
        <v>4</v>
      </c>
      <c r="E202" t="str">
        <f t="shared" si="9"/>
        <v xml:space="preserve"> ONTIME</v>
      </c>
      <c r="F202">
        <f>VLOOKUP($A202,ordered_items!$B$2:$E$4784,2,0)</f>
        <v>957</v>
      </c>
      <c r="G202">
        <f>VLOOKUP($A202,ordered_items!$B$2:$E$4784,3,0)</f>
        <v>1</v>
      </c>
      <c r="H202">
        <f>VLOOKUP($A202,ordered_items!$B$2:$E$4784,4,0)</f>
        <v>299.98</v>
      </c>
      <c r="I202" s="15">
        <f>VLOOKUP(F202,product_info!$A$2:$D$73,4,0)</f>
        <v>7</v>
      </c>
      <c r="J202" s="15" t="str">
        <f>VLOOKUP(I202,department!$A$2:$B$13,2,0)</f>
        <v>Fan Shop</v>
      </c>
      <c r="K202">
        <v>4140</v>
      </c>
      <c r="L202" t="s">
        <v>124</v>
      </c>
      <c r="M202" s="4">
        <v>43421</v>
      </c>
      <c r="N202" s="12">
        <f t="shared" si="10"/>
        <v>11</v>
      </c>
      <c r="O202" s="13">
        <f t="shared" si="11"/>
        <v>2018</v>
      </c>
      <c r="P202" t="s">
        <v>13</v>
      </c>
      <c r="Q202" t="s">
        <v>5778</v>
      </c>
      <c r="R202" t="s">
        <v>57</v>
      </c>
      <c r="S202" t="str" cm="1">
        <f t="array" ref="S202">_xlfn.IFS(R202="COMPLETE", "COMPLETED", R202="CANCELED", "CANCELED", TRUE, "PENDING")</f>
        <v>PENDING</v>
      </c>
      <c r="T202" t="s">
        <v>16</v>
      </c>
      <c r="U202">
        <f>VLOOKUP(A202,ordered_items!$B:$E,4,0)</f>
        <v>299.98</v>
      </c>
    </row>
    <row r="203" spans="1:21" x14ac:dyDescent="0.3">
      <c r="A203">
        <v>22035</v>
      </c>
      <c r="B203" t="s">
        <v>3</v>
      </c>
      <c r="C203">
        <v>6</v>
      </c>
      <c r="D203">
        <v>4</v>
      </c>
      <c r="E203" t="str">
        <f t="shared" si="9"/>
        <v>DELAYED</v>
      </c>
      <c r="F203">
        <f>VLOOKUP($A203,ordered_items!$B$2:$E$4784,2,0)</f>
        <v>1073</v>
      </c>
      <c r="G203">
        <f>VLOOKUP($A203,ordered_items!$B$2:$E$4784,3,0)</f>
        <v>1</v>
      </c>
      <c r="H203">
        <f>VLOOKUP($A203,ordered_items!$B$2:$E$4784,4,0)</f>
        <v>199.99</v>
      </c>
      <c r="I203" s="15">
        <f>VLOOKUP(F203,product_info!$A$2:$D$73,4,0)</f>
        <v>7</v>
      </c>
      <c r="J203" s="15" t="str">
        <f>VLOOKUP(I203,department!$A$2:$B$13,2,0)</f>
        <v>Fan Shop</v>
      </c>
      <c r="K203">
        <v>1871</v>
      </c>
      <c r="L203" t="s">
        <v>900</v>
      </c>
      <c r="M203" s="4">
        <v>43421</v>
      </c>
      <c r="N203" s="12">
        <f t="shared" si="10"/>
        <v>11</v>
      </c>
      <c r="O203" s="13">
        <f t="shared" si="11"/>
        <v>2018</v>
      </c>
      <c r="P203" t="s">
        <v>13</v>
      </c>
      <c r="Q203" t="s">
        <v>99</v>
      </c>
      <c r="R203" t="s">
        <v>38</v>
      </c>
      <c r="S203" t="str" cm="1">
        <f t="array" ref="S203">_xlfn.IFS(R203="COMPLETE", "COMPLETED", R203="CANCELED", "CANCELED", TRUE, "PENDING")</f>
        <v>PENDING</v>
      </c>
      <c r="T203" t="s">
        <v>16</v>
      </c>
      <c r="U203">
        <f>VLOOKUP(A203,ordered_items!$B:$E,4,0)</f>
        <v>199.99</v>
      </c>
    </row>
    <row r="204" spans="1:21" x14ac:dyDescent="0.3">
      <c r="A204">
        <v>22036</v>
      </c>
      <c r="B204" t="s">
        <v>24</v>
      </c>
      <c r="C204">
        <v>2</v>
      </c>
      <c r="D204">
        <v>4</v>
      </c>
      <c r="E204" t="str">
        <f t="shared" si="9"/>
        <v xml:space="preserve"> ONTIME</v>
      </c>
      <c r="F204">
        <f>VLOOKUP($A204,ordered_items!$B$2:$E$4784,2,0)</f>
        <v>403</v>
      </c>
      <c r="G204">
        <f>VLOOKUP($A204,ordered_items!$B$2:$E$4784,3,0)</f>
        <v>1</v>
      </c>
      <c r="H204">
        <f>VLOOKUP($A204,ordered_items!$B$2:$E$4784,4,0)</f>
        <v>129.99</v>
      </c>
      <c r="I204" s="15">
        <f>VLOOKUP(F204,product_info!$A$2:$D$73,4,0)</f>
        <v>4</v>
      </c>
      <c r="J204" s="15" t="str">
        <f>VLOOKUP(I204,department!$A$2:$B$13,2,0)</f>
        <v>Apparel</v>
      </c>
      <c r="K204">
        <v>1145</v>
      </c>
      <c r="L204" t="s">
        <v>900</v>
      </c>
      <c r="M204" s="4">
        <v>43421</v>
      </c>
      <c r="N204" s="12">
        <f t="shared" si="10"/>
        <v>11</v>
      </c>
      <c r="O204" s="13">
        <f t="shared" si="11"/>
        <v>2018</v>
      </c>
      <c r="P204" t="s">
        <v>13</v>
      </c>
      <c r="Q204" t="s">
        <v>99</v>
      </c>
      <c r="R204" t="s">
        <v>31</v>
      </c>
      <c r="S204" t="str" cm="1">
        <f t="array" ref="S204">_xlfn.IFS(R204="COMPLETE", "COMPLETED", R204="CANCELED", "CANCELED", TRUE, "PENDING")</f>
        <v>COMPLETED</v>
      </c>
      <c r="T204" t="s">
        <v>16</v>
      </c>
      <c r="U204">
        <f>VLOOKUP(A204,ordered_items!$B:$E,4,0)</f>
        <v>129.99</v>
      </c>
    </row>
    <row r="205" spans="1:21" x14ac:dyDescent="0.3">
      <c r="A205">
        <v>22037</v>
      </c>
      <c r="B205" t="s">
        <v>51</v>
      </c>
      <c r="C205">
        <v>2</v>
      </c>
      <c r="D205">
        <v>1</v>
      </c>
      <c r="E205" t="str">
        <f t="shared" si="9"/>
        <v>DELAYED</v>
      </c>
      <c r="F205">
        <f>VLOOKUP($A205,ordered_items!$B$2:$E$4784,2,0)</f>
        <v>1004</v>
      </c>
      <c r="G205">
        <f>VLOOKUP($A205,ordered_items!$B$2:$E$4784,3,0)</f>
        <v>1</v>
      </c>
      <c r="H205">
        <f>VLOOKUP($A205,ordered_items!$B$2:$E$4784,4,0)</f>
        <v>399.98</v>
      </c>
      <c r="I205" s="15">
        <f>VLOOKUP(F205,product_info!$A$2:$D$73,4,0)</f>
        <v>7</v>
      </c>
      <c r="J205" s="15" t="str">
        <f>VLOOKUP(I205,department!$A$2:$B$13,2,0)</f>
        <v>Fan Shop</v>
      </c>
      <c r="K205">
        <v>12351</v>
      </c>
      <c r="L205" t="s">
        <v>900</v>
      </c>
      <c r="M205" s="4">
        <v>43421</v>
      </c>
      <c r="N205" s="12">
        <f t="shared" si="10"/>
        <v>11</v>
      </c>
      <c r="O205" s="13">
        <f t="shared" si="11"/>
        <v>2018</v>
      </c>
      <c r="P205" t="s">
        <v>13</v>
      </c>
      <c r="Q205" t="s">
        <v>99</v>
      </c>
      <c r="R205" t="s">
        <v>57</v>
      </c>
      <c r="S205" t="str" cm="1">
        <f t="array" ref="S205">_xlfn.IFS(R205="COMPLETE", "COMPLETED", R205="CANCELED", "CANCELED", TRUE, "PENDING")</f>
        <v>PENDING</v>
      </c>
      <c r="T205" t="s">
        <v>32</v>
      </c>
      <c r="U205">
        <f>VLOOKUP(A205,ordered_items!$B:$E,4,0)</f>
        <v>399.98</v>
      </c>
    </row>
    <row r="206" spans="1:21" x14ac:dyDescent="0.3">
      <c r="A206">
        <v>22038</v>
      </c>
      <c r="B206" t="s">
        <v>3</v>
      </c>
      <c r="C206">
        <v>2</v>
      </c>
      <c r="D206">
        <v>1</v>
      </c>
      <c r="E206" t="str">
        <f t="shared" si="9"/>
        <v>DELAYED</v>
      </c>
      <c r="F206">
        <f>VLOOKUP($A206,ordered_items!$B$2:$E$4784,2,0)</f>
        <v>403</v>
      </c>
      <c r="G206">
        <f>VLOOKUP($A206,ordered_items!$B$2:$E$4784,3,0)</f>
        <v>1</v>
      </c>
      <c r="H206">
        <f>VLOOKUP($A206,ordered_items!$B$2:$E$4784,4,0)</f>
        <v>129.99</v>
      </c>
      <c r="I206" s="15">
        <f>VLOOKUP(F206,product_info!$A$2:$D$73,4,0)</f>
        <v>4</v>
      </c>
      <c r="J206" s="15" t="str">
        <f>VLOOKUP(I206,department!$A$2:$B$13,2,0)</f>
        <v>Apparel</v>
      </c>
      <c r="K206">
        <v>7341</v>
      </c>
      <c r="L206" t="s">
        <v>119</v>
      </c>
      <c r="M206" s="4">
        <v>43421</v>
      </c>
      <c r="N206" s="12">
        <f t="shared" si="10"/>
        <v>11</v>
      </c>
      <c r="O206" s="13">
        <f t="shared" si="11"/>
        <v>2018</v>
      </c>
      <c r="P206" t="s">
        <v>13</v>
      </c>
      <c r="Q206" t="s">
        <v>5781</v>
      </c>
      <c r="R206" t="s">
        <v>14</v>
      </c>
      <c r="S206" t="str" cm="1">
        <f t="array" ref="S206">_xlfn.IFS(R206="COMPLETE", "COMPLETED", R206="CANCELED", "CANCELED", TRUE, "PENDING")</f>
        <v>PENDING</v>
      </c>
      <c r="T206" t="s">
        <v>32</v>
      </c>
      <c r="U206">
        <f>VLOOKUP(A206,ordered_items!$B:$E,4,0)</f>
        <v>129.99</v>
      </c>
    </row>
    <row r="207" spans="1:21" x14ac:dyDescent="0.3">
      <c r="A207">
        <v>22039</v>
      </c>
      <c r="B207" t="s">
        <v>51</v>
      </c>
      <c r="C207">
        <v>5</v>
      </c>
      <c r="D207">
        <v>4</v>
      </c>
      <c r="E207" t="str">
        <f t="shared" si="9"/>
        <v>DELAYED</v>
      </c>
      <c r="F207">
        <f>VLOOKUP($A207,ordered_items!$B$2:$E$4784,2,0)</f>
        <v>502</v>
      </c>
      <c r="G207">
        <f>VLOOKUP($A207,ordered_items!$B$2:$E$4784,3,0)</f>
        <v>1</v>
      </c>
      <c r="H207">
        <f>VLOOKUP($A207,ordered_items!$B$2:$E$4784,4,0)</f>
        <v>50</v>
      </c>
      <c r="I207" s="15">
        <f>VLOOKUP(F207,product_info!$A$2:$D$73,4,0)</f>
        <v>5</v>
      </c>
      <c r="J207" s="15" t="str">
        <f>VLOOKUP(I207,department!$A$2:$B$13,2,0)</f>
        <v>Golf</v>
      </c>
      <c r="K207">
        <v>4613</v>
      </c>
      <c r="L207" t="s">
        <v>119</v>
      </c>
      <c r="M207" s="4">
        <v>43421</v>
      </c>
      <c r="N207" s="12">
        <f t="shared" si="10"/>
        <v>11</v>
      </c>
      <c r="O207" s="13">
        <f t="shared" si="11"/>
        <v>2018</v>
      </c>
      <c r="P207" t="s">
        <v>13</v>
      </c>
      <c r="Q207" t="s">
        <v>5781</v>
      </c>
      <c r="R207" t="s">
        <v>57</v>
      </c>
      <c r="S207" t="str" cm="1">
        <f t="array" ref="S207">_xlfn.IFS(R207="COMPLETE", "COMPLETED", R207="CANCELED", "CANCELED", TRUE, "PENDING")</f>
        <v>PENDING</v>
      </c>
      <c r="T207" t="s">
        <v>16</v>
      </c>
      <c r="U207">
        <f>VLOOKUP(A207,ordered_items!$B:$E,4,0)</f>
        <v>50</v>
      </c>
    </row>
    <row r="208" spans="1:21" x14ac:dyDescent="0.3">
      <c r="A208">
        <v>22040</v>
      </c>
      <c r="B208" t="s">
        <v>3</v>
      </c>
      <c r="C208">
        <v>6</v>
      </c>
      <c r="D208">
        <v>4</v>
      </c>
      <c r="E208" t="str">
        <f t="shared" si="9"/>
        <v>DELAYED</v>
      </c>
      <c r="F208">
        <f>VLOOKUP($A208,ordered_items!$B$2:$E$4784,2,0)</f>
        <v>627</v>
      </c>
      <c r="G208">
        <f>VLOOKUP($A208,ordered_items!$B$2:$E$4784,3,0)</f>
        <v>2</v>
      </c>
      <c r="H208">
        <f>VLOOKUP($A208,ordered_items!$B$2:$E$4784,4,0)</f>
        <v>79.98</v>
      </c>
      <c r="I208" s="15">
        <f>VLOOKUP(F208,product_info!$A$2:$D$73,4,0)</f>
        <v>5</v>
      </c>
      <c r="J208" s="15" t="str">
        <f>VLOOKUP(I208,department!$A$2:$B$13,2,0)</f>
        <v>Golf</v>
      </c>
      <c r="K208">
        <v>455</v>
      </c>
      <c r="L208" t="s">
        <v>2400</v>
      </c>
      <c r="M208" s="4">
        <v>43421</v>
      </c>
      <c r="N208" s="12">
        <f t="shared" si="10"/>
        <v>11</v>
      </c>
      <c r="O208" s="13">
        <f t="shared" si="11"/>
        <v>2018</v>
      </c>
      <c r="P208" t="s">
        <v>13</v>
      </c>
      <c r="Q208" t="s">
        <v>245</v>
      </c>
      <c r="R208" t="s">
        <v>14</v>
      </c>
      <c r="S208" t="str" cm="1">
        <f t="array" ref="S208">_xlfn.IFS(R208="COMPLETE", "COMPLETED", R208="CANCELED", "CANCELED", TRUE, "PENDING")</f>
        <v>PENDING</v>
      </c>
      <c r="T208" t="s">
        <v>16</v>
      </c>
      <c r="U208">
        <f>VLOOKUP(A208,ordered_items!$B:$E,4,0)</f>
        <v>79.98</v>
      </c>
    </row>
    <row r="209" spans="1:21" x14ac:dyDescent="0.3">
      <c r="A209">
        <v>22041</v>
      </c>
      <c r="B209" t="s">
        <v>51</v>
      </c>
      <c r="C209">
        <v>2</v>
      </c>
      <c r="D209">
        <v>4</v>
      </c>
      <c r="E209" t="str">
        <f t="shared" si="9"/>
        <v xml:space="preserve"> ONTIME</v>
      </c>
      <c r="F209">
        <f>VLOOKUP($A209,ordered_items!$B$2:$E$4784,2,0)</f>
        <v>502</v>
      </c>
      <c r="G209">
        <f>VLOOKUP($A209,ordered_items!$B$2:$E$4784,3,0)</f>
        <v>5</v>
      </c>
      <c r="H209">
        <f>VLOOKUP($A209,ordered_items!$B$2:$E$4784,4,0)</f>
        <v>250</v>
      </c>
      <c r="I209" s="15">
        <f>VLOOKUP(F209,product_info!$A$2:$D$73,4,0)</f>
        <v>5</v>
      </c>
      <c r="J209" s="15" t="str">
        <f>VLOOKUP(I209,department!$A$2:$B$13,2,0)</f>
        <v>Golf</v>
      </c>
      <c r="K209">
        <v>2072</v>
      </c>
      <c r="L209" t="s">
        <v>2400</v>
      </c>
      <c r="M209" s="4">
        <v>43421</v>
      </c>
      <c r="N209" s="12">
        <f t="shared" si="10"/>
        <v>11</v>
      </c>
      <c r="O209" s="13">
        <f t="shared" si="11"/>
        <v>2018</v>
      </c>
      <c r="P209" t="s">
        <v>13</v>
      </c>
      <c r="Q209" t="s">
        <v>245</v>
      </c>
      <c r="R209" t="s">
        <v>57</v>
      </c>
      <c r="S209" t="str" cm="1">
        <f t="array" ref="S209">_xlfn.IFS(R209="COMPLETE", "COMPLETED", R209="CANCELED", "CANCELED", TRUE, "PENDING")</f>
        <v>PENDING</v>
      </c>
      <c r="T209" t="s">
        <v>16</v>
      </c>
      <c r="U209">
        <f>VLOOKUP(A209,ordered_items!$B:$E,4,0)</f>
        <v>250</v>
      </c>
    </row>
    <row r="210" spans="1:21" x14ac:dyDescent="0.3">
      <c r="A210">
        <v>22045</v>
      </c>
      <c r="B210" t="s">
        <v>51</v>
      </c>
      <c r="C210">
        <v>6</v>
      </c>
      <c r="D210">
        <v>4</v>
      </c>
      <c r="E210" t="str">
        <f t="shared" si="9"/>
        <v>DELAYED</v>
      </c>
      <c r="F210">
        <f>VLOOKUP($A210,ordered_items!$B$2:$E$4784,2,0)</f>
        <v>502</v>
      </c>
      <c r="G210">
        <f>VLOOKUP($A210,ordered_items!$B$2:$E$4784,3,0)</f>
        <v>1</v>
      </c>
      <c r="H210">
        <f>VLOOKUP($A210,ordered_items!$B$2:$E$4784,4,0)</f>
        <v>50</v>
      </c>
      <c r="I210" s="15">
        <f>VLOOKUP(F210,product_info!$A$2:$D$73,4,0)</f>
        <v>5</v>
      </c>
      <c r="J210" s="15" t="str">
        <f>VLOOKUP(I210,department!$A$2:$B$13,2,0)</f>
        <v>Golf</v>
      </c>
      <c r="K210">
        <v>7700</v>
      </c>
      <c r="L210" t="s">
        <v>233</v>
      </c>
      <c r="M210" s="4">
        <v>43421</v>
      </c>
      <c r="N210" s="12">
        <f t="shared" si="10"/>
        <v>11</v>
      </c>
      <c r="O210" s="13">
        <f t="shared" si="11"/>
        <v>2018</v>
      </c>
      <c r="P210" t="s">
        <v>13</v>
      </c>
      <c r="Q210" t="s">
        <v>234</v>
      </c>
      <c r="R210" t="s">
        <v>57</v>
      </c>
      <c r="S210" t="str" cm="1">
        <f t="array" ref="S210">_xlfn.IFS(R210="COMPLETE", "COMPLETED", R210="CANCELED", "CANCELED", TRUE, "PENDING")</f>
        <v>PENDING</v>
      </c>
      <c r="T210" t="s">
        <v>16</v>
      </c>
      <c r="U210">
        <f>VLOOKUP(A210,ordered_items!$B:$E,4,0)</f>
        <v>50</v>
      </c>
    </row>
    <row r="211" spans="1:21" x14ac:dyDescent="0.3">
      <c r="A211">
        <v>22055</v>
      </c>
      <c r="B211" t="s">
        <v>24</v>
      </c>
      <c r="C211">
        <v>2</v>
      </c>
      <c r="D211">
        <v>1</v>
      </c>
      <c r="E211" t="str">
        <f t="shared" si="9"/>
        <v>DELAYED</v>
      </c>
      <c r="F211">
        <f>VLOOKUP($A211,ordered_items!$B$2:$E$4784,2,0)</f>
        <v>403</v>
      </c>
      <c r="G211">
        <f>VLOOKUP($A211,ordered_items!$B$2:$E$4784,3,0)</f>
        <v>1</v>
      </c>
      <c r="H211">
        <f>VLOOKUP($A211,ordered_items!$B$2:$E$4784,4,0)</f>
        <v>129.99</v>
      </c>
      <c r="I211" s="15">
        <f>VLOOKUP(F211,product_info!$A$2:$D$73,4,0)</f>
        <v>4</v>
      </c>
      <c r="J211" s="15" t="str">
        <f>VLOOKUP(I211,department!$A$2:$B$13,2,0)</f>
        <v>Apparel</v>
      </c>
      <c r="K211">
        <v>5282</v>
      </c>
      <c r="L211" t="s">
        <v>146</v>
      </c>
      <c r="M211" s="4">
        <v>43421</v>
      </c>
      <c r="N211" s="12">
        <f t="shared" si="10"/>
        <v>11</v>
      </c>
      <c r="O211" s="13">
        <f t="shared" si="11"/>
        <v>2018</v>
      </c>
      <c r="P211" t="s">
        <v>13</v>
      </c>
      <c r="Q211" t="s">
        <v>30</v>
      </c>
      <c r="R211" t="s">
        <v>31</v>
      </c>
      <c r="S211" t="str" cm="1">
        <f t="array" ref="S211">_xlfn.IFS(R211="COMPLETE", "COMPLETED", R211="CANCELED", "CANCELED", TRUE, "PENDING")</f>
        <v>COMPLETED</v>
      </c>
      <c r="T211" t="s">
        <v>32</v>
      </c>
      <c r="U211">
        <f>VLOOKUP(A211,ordered_items!$B:$E,4,0)</f>
        <v>129.99</v>
      </c>
    </row>
    <row r="212" spans="1:21" x14ac:dyDescent="0.3">
      <c r="A212">
        <v>22060</v>
      </c>
      <c r="B212" t="s">
        <v>24</v>
      </c>
      <c r="C212">
        <v>2</v>
      </c>
      <c r="D212">
        <v>1</v>
      </c>
      <c r="E212" t="str">
        <f t="shared" si="9"/>
        <v>DELAYED</v>
      </c>
      <c r="F212">
        <f>VLOOKUP($A212,ordered_items!$B$2:$E$4784,2,0)</f>
        <v>1014</v>
      </c>
      <c r="G212">
        <f>VLOOKUP($A212,ordered_items!$B$2:$E$4784,3,0)</f>
        <v>2</v>
      </c>
      <c r="H212">
        <f>VLOOKUP($A212,ordered_items!$B$2:$E$4784,4,0)</f>
        <v>99.96</v>
      </c>
      <c r="I212" s="15">
        <f>VLOOKUP(F212,product_info!$A$2:$D$73,4,0)</f>
        <v>7</v>
      </c>
      <c r="J212" s="15" t="str">
        <f>VLOOKUP(I212,department!$A$2:$B$13,2,0)</f>
        <v>Fan Shop</v>
      </c>
      <c r="K212">
        <v>8113</v>
      </c>
      <c r="L212" t="s">
        <v>439</v>
      </c>
      <c r="M212" s="4">
        <v>43422</v>
      </c>
      <c r="N212" s="12">
        <f t="shared" si="10"/>
        <v>11</v>
      </c>
      <c r="O212" s="13">
        <f t="shared" si="11"/>
        <v>2018</v>
      </c>
      <c r="P212" t="s">
        <v>13</v>
      </c>
      <c r="Q212" t="s">
        <v>377</v>
      </c>
      <c r="R212" t="s">
        <v>31</v>
      </c>
      <c r="S212" t="str" cm="1">
        <f t="array" ref="S212">_xlfn.IFS(R212="COMPLETE", "COMPLETED", R212="CANCELED", "CANCELED", TRUE, "PENDING")</f>
        <v>COMPLETED</v>
      </c>
      <c r="T212" t="s">
        <v>32</v>
      </c>
      <c r="U212">
        <f>VLOOKUP(A212,ordered_items!$B:$E,4,0)</f>
        <v>99.96</v>
      </c>
    </row>
    <row r="213" spans="1:21" x14ac:dyDescent="0.3">
      <c r="A213">
        <v>22061</v>
      </c>
      <c r="B213" t="s">
        <v>17</v>
      </c>
      <c r="C213">
        <v>2</v>
      </c>
      <c r="D213">
        <v>1</v>
      </c>
      <c r="E213" t="str">
        <f t="shared" si="9"/>
        <v>DELAYED</v>
      </c>
      <c r="F213">
        <f>VLOOKUP($A213,ordered_items!$B$2:$E$4784,2,0)</f>
        <v>403</v>
      </c>
      <c r="G213">
        <f>VLOOKUP($A213,ordered_items!$B$2:$E$4784,3,0)</f>
        <v>1</v>
      </c>
      <c r="H213">
        <f>VLOOKUP($A213,ordered_items!$B$2:$E$4784,4,0)</f>
        <v>129.99</v>
      </c>
      <c r="I213" s="15">
        <f>VLOOKUP(F213,product_info!$A$2:$D$73,4,0)</f>
        <v>4</v>
      </c>
      <c r="J213" s="15" t="str">
        <f>VLOOKUP(I213,department!$A$2:$B$13,2,0)</f>
        <v>Apparel</v>
      </c>
      <c r="K213">
        <v>40</v>
      </c>
      <c r="L213" t="s">
        <v>830</v>
      </c>
      <c r="M213" s="4">
        <v>43422</v>
      </c>
      <c r="N213" s="12">
        <f t="shared" si="10"/>
        <v>11</v>
      </c>
      <c r="O213" s="13">
        <f t="shared" si="11"/>
        <v>2018</v>
      </c>
      <c r="P213" t="s">
        <v>13</v>
      </c>
      <c r="Q213" t="s">
        <v>5777</v>
      </c>
      <c r="R213" t="s">
        <v>23</v>
      </c>
      <c r="S213" t="str" cm="1">
        <f t="array" ref="S213">_xlfn.IFS(R213="COMPLETE", "COMPLETED", R213="CANCELED", "CANCELED", TRUE, "PENDING")</f>
        <v>PENDING</v>
      </c>
      <c r="T213" t="s">
        <v>32</v>
      </c>
      <c r="U213">
        <f>VLOOKUP(A213,ordered_items!$B:$E,4,0)</f>
        <v>129.99</v>
      </c>
    </row>
    <row r="214" spans="1:21" x14ac:dyDescent="0.3">
      <c r="A214">
        <v>22065</v>
      </c>
      <c r="B214" t="s">
        <v>24</v>
      </c>
      <c r="C214">
        <v>6</v>
      </c>
      <c r="D214">
        <v>2</v>
      </c>
      <c r="E214" t="str">
        <f t="shared" si="9"/>
        <v>DELAYED</v>
      </c>
      <c r="F214">
        <f>VLOOKUP($A214,ordered_items!$B$2:$E$4784,2,0)</f>
        <v>1014</v>
      </c>
      <c r="G214">
        <f>VLOOKUP($A214,ordered_items!$B$2:$E$4784,3,0)</f>
        <v>4</v>
      </c>
      <c r="H214">
        <f>VLOOKUP($A214,ordered_items!$B$2:$E$4784,4,0)</f>
        <v>199.92</v>
      </c>
      <c r="I214" s="15">
        <f>VLOOKUP(F214,product_info!$A$2:$D$73,4,0)</f>
        <v>7</v>
      </c>
      <c r="J214" s="15" t="str">
        <f>VLOOKUP(I214,department!$A$2:$B$13,2,0)</f>
        <v>Fan Shop</v>
      </c>
      <c r="K214">
        <v>3088</v>
      </c>
      <c r="L214" t="s">
        <v>258</v>
      </c>
      <c r="M214" s="4">
        <v>43422</v>
      </c>
      <c r="N214" s="12">
        <f t="shared" si="10"/>
        <v>11</v>
      </c>
      <c r="O214" s="13">
        <f t="shared" si="11"/>
        <v>2018</v>
      </c>
      <c r="P214" t="s">
        <v>13</v>
      </c>
      <c r="Q214" t="s">
        <v>30</v>
      </c>
      <c r="R214" t="s">
        <v>378</v>
      </c>
      <c r="S214" t="str" cm="1">
        <f t="array" ref="S214">_xlfn.IFS(R214="COMPLETE", "COMPLETED", R214="CANCELED", "CANCELED", TRUE, "PENDING")</f>
        <v>PENDING</v>
      </c>
      <c r="T214" t="s">
        <v>90</v>
      </c>
      <c r="U214">
        <f>VLOOKUP(A214,ordered_items!$B:$E,4,0)</f>
        <v>199.92</v>
      </c>
    </row>
    <row r="215" spans="1:21" x14ac:dyDescent="0.3">
      <c r="A215">
        <v>22067</v>
      </c>
      <c r="B215" t="s">
        <v>24</v>
      </c>
      <c r="C215">
        <v>3</v>
      </c>
      <c r="D215">
        <v>2</v>
      </c>
      <c r="E215" t="str">
        <f t="shared" si="9"/>
        <v>DELAYED</v>
      </c>
      <c r="F215">
        <f>VLOOKUP($A215,ordered_items!$B$2:$E$4784,2,0)</f>
        <v>403</v>
      </c>
      <c r="G215">
        <f>VLOOKUP($A215,ordered_items!$B$2:$E$4784,3,0)</f>
        <v>1</v>
      </c>
      <c r="H215">
        <f>VLOOKUP($A215,ordered_items!$B$2:$E$4784,4,0)</f>
        <v>129.99</v>
      </c>
      <c r="I215" s="15">
        <f>VLOOKUP(F215,product_info!$A$2:$D$73,4,0)</f>
        <v>4</v>
      </c>
      <c r="J215" s="15" t="str">
        <f>VLOOKUP(I215,department!$A$2:$B$13,2,0)</f>
        <v>Apparel</v>
      </c>
      <c r="K215">
        <v>3649</v>
      </c>
      <c r="L215" t="s">
        <v>70</v>
      </c>
      <c r="M215" s="4">
        <v>43422</v>
      </c>
      <c r="N215" s="12">
        <f t="shared" si="10"/>
        <v>11</v>
      </c>
      <c r="O215" s="13">
        <f t="shared" si="11"/>
        <v>2018</v>
      </c>
      <c r="P215" t="s">
        <v>13</v>
      </c>
      <c r="Q215" t="s">
        <v>70</v>
      </c>
      <c r="R215" t="s">
        <v>31</v>
      </c>
      <c r="S215" t="str" cm="1">
        <f t="array" ref="S215">_xlfn.IFS(R215="COMPLETE", "COMPLETED", R215="CANCELED", "CANCELED", TRUE, "PENDING")</f>
        <v>COMPLETED</v>
      </c>
      <c r="T215" t="s">
        <v>90</v>
      </c>
      <c r="U215">
        <f>VLOOKUP(A215,ordered_items!$B:$E,4,0)</f>
        <v>129.99</v>
      </c>
    </row>
    <row r="216" spans="1:21" x14ac:dyDescent="0.3">
      <c r="A216">
        <v>22068</v>
      </c>
      <c r="B216" t="s">
        <v>24</v>
      </c>
      <c r="C216">
        <v>4</v>
      </c>
      <c r="D216">
        <v>4</v>
      </c>
      <c r="E216" t="str">
        <f t="shared" si="9"/>
        <v xml:space="preserve"> ONTIME</v>
      </c>
      <c r="F216">
        <f>VLOOKUP($A216,ordered_items!$B$2:$E$4784,2,0)</f>
        <v>365</v>
      </c>
      <c r="G216">
        <f>VLOOKUP($A216,ordered_items!$B$2:$E$4784,3,0)</f>
        <v>5</v>
      </c>
      <c r="H216">
        <f>VLOOKUP($A216,ordered_items!$B$2:$E$4784,4,0)</f>
        <v>299.95</v>
      </c>
      <c r="I216" s="15">
        <f>VLOOKUP(F216,product_info!$A$2:$D$73,4,0)</f>
        <v>4</v>
      </c>
      <c r="J216" s="15" t="str">
        <f>VLOOKUP(I216,department!$A$2:$B$13,2,0)</f>
        <v>Apparel</v>
      </c>
      <c r="K216">
        <v>11423</v>
      </c>
      <c r="L216" t="s">
        <v>70</v>
      </c>
      <c r="M216" s="4">
        <v>43422</v>
      </c>
      <c r="N216" s="12">
        <f t="shared" si="10"/>
        <v>11</v>
      </c>
      <c r="O216" s="13">
        <f t="shared" si="11"/>
        <v>2018</v>
      </c>
      <c r="P216" t="s">
        <v>13</v>
      </c>
      <c r="Q216" t="s">
        <v>70</v>
      </c>
      <c r="R216" t="s">
        <v>31</v>
      </c>
      <c r="S216" t="str" cm="1">
        <f t="array" ref="S216">_xlfn.IFS(R216="COMPLETE", "COMPLETED", R216="CANCELED", "CANCELED", TRUE, "PENDING")</f>
        <v>COMPLETED</v>
      </c>
      <c r="T216" t="s">
        <v>16</v>
      </c>
      <c r="U216">
        <f>VLOOKUP(A216,ordered_items!$B:$E,4,0)</f>
        <v>299.95</v>
      </c>
    </row>
    <row r="217" spans="1:21" x14ac:dyDescent="0.3">
      <c r="A217">
        <v>22082</v>
      </c>
      <c r="B217" t="s">
        <v>17</v>
      </c>
      <c r="C217">
        <v>3</v>
      </c>
      <c r="D217">
        <v>4</v>
      </c>
      <c r="E217" t="str">
        <f t="shared" si="9"/>
        <v xml:space="preserve"> ONTIME</v>
      </c>
      <c r="F217">
        <f>VLOOKUP($A217,ordered_items!$B$2:$E$4784,2,0)</f>
        <v>502</v>
      </c>
      <c r="G217">
        <f>VLOOKUP($A217,ordered_items!$B$2:$E$4784,3,0)</f>
        <v>1</v>
      </c>
      <c r="H217">
        <f>VLOOKUP($A217,ordered_items!$B$2:$E$4784,4,0)</f>
        <v>50</v>
      </c>
      <c r="I217" s="15">
        <f>VLOOKUP(F217,product_info!$A$2:$D$73,4,0)</f>
        <v>5</v>
      </c>
      <c r="J217" s="15" t="str">
        <f>VLOOKUP(I217,department!$A$2:$B$13,2,0)</f>
        <v>Golf</v>
      </c>
      <c r="K217">
        <v>10429</v>
      </c>
      <c r="L217" t="s">
        <v>146</v>
      </c>
      <c r="M217" s="4">
        <v>43422</v>
      </c>
      <c r="N217" s="12">
        <f t="shared" si="10"/>
        <v>11</v>
      </c>
      <c r="O217" s="13">
        <f t="shared" si="11"/>
        <v>2018</v>
      </c>
      <c r="P217" t="s">
        <v>13</v>
      </c>
      <c r="Q217" t="s">
        <v>30</v>
      </c>
      <c r="R217" t="s">
        <v>23</v>
      </c>
      <c r="S217" t="str" cm="1">
        <f t="array" ref="S217">_xlfn.IFS(R217="COMPLETE", "COMPLETED", R217="CANCELED", "CANCELED", TRUE, "PENDING")</f>
        <v>PENDING</v>
      </c>
      <c r="T217" t="s">
        <v>16</v>
      </c>
      <c r="U217">
        <f>VLOOKUP(A217,ordered_items!$B:$E,4,0)</f>
        <v>50</v>
      </c>
    </row>
    <row r="218" spans="1:21" x14ac:dyDescent="0.3">
      <c r="A218">
        <v>22093</v>
      </c>
      <c r="B218" t="s">
        <v>3</v>
      </c>
      <c r="C218">
        <v>0</v>
      </c>
      <c r="D218">
        <v>0</v>
      </c>
      <c r="E218" t="str">
        <f t="shared" si="9"/>
        <v xml:space="preserve"> ONTIME</v>
      </c>
      <c r="F218">
        <f>VLOOKUP($A218,ordered_items!$B$2:$E$4784,2,0)</f>
        <v>627</v>
      </c>
      <c r="G218">
        <f>VLOOKUP($A218,ordered_items!$B$2:$E$4784,3,0)</f>
        <v>1</v>
      </c>
      <c r="H218">
        <f>VLOOKUP($A218,ordered_items!$B$2:$E$4784,4,0)</f>
        <v>39.99</v>
      </c>
      <c r="I218" s="15">
        <f>VLOOKUP(F218,product_info!$A$2:$D$73,4,0)</f>
        <v>5</v>
      </c>
      <c r="J218" s="15" t="str">
        <f>VLOOKUP(I218,department!$A$2:$B$13,2,0)</f>
        <v>Golf</v>
      </c>
      <c r="K218">
        <v>11116</v>
      </c>
      <c r="L218" t="s">
        <v>591</v>
      </c>
      <c r="M218" s="4">
        <v>43422</v>
      </c>
      <c r="N218" s="12">
        <f t="shared" si="10"/>
        <v>11</v>
      </c>
      <c r="O218" s="13">
        <f t="shared" si="11"/>
        <v>2018</v>
      </c>
      <c r="P218" t="s">
        <v>13</v>
      </c>
      <c r="Q218" t="s">
        <v>130</v>
      </c>
      <c r="R218" t="s">
        <v>14</v>
      </c>
      <c r="S218" t="str" cm="1">
        <f t="array" ref="S218">_xlfn.IFS(R218="COMPLETE", "COMPLETED", R218="CANCELED", "CANCELED", TRUE, "PENDING")</f>
        <v>PENDING</v>
      </c>
      <c r="T218" t="s">
        <v>58</v>
      </c>
      <c r="U218">
        <f>VLOOKUP(A218,ordered_items!$B:$E,4,0)</f>
        <v>39.99</v>
      </c>
    </row>
    <row r="219" spans="1:21" x14ac:dyDescent="0.3">
      <c r="A219">
        <v>22094</v>
      </c>
      <c r="B219" t="s">
        <v>24</v>
      </c>
      <c r="C219">
        <v>5</v>
      </c>
      <c r="D219">
        <v>2</v>
      </c>
      <c r="E219" t="str">
        <f t="shared" si="9"/>
        <v>DELAYED</v>
      </c>
      <c r="F219">
        <f>VLOOKUP($A219,ordered_items!$B$2:$E$4784,2,0)</f>
        <v>703</v>
      </c>
      <c r="G219">
        <f>VLOOKUP($A219,ordered_items!$B$2:$E$4784,3,0)</f>
        <v>2</v>
      </c>
      <c r="H219">
        <f>VLOOKUP($A219,ordered_items!$B$2:$E$4784,4,0)</f>
        <v>39.979999999999997</v>
      </c>
      <c r="I219" s="15">
        <f>VLOOKUP(F219,product_info!$A$2:$D$73,4,0)</f>
        <v>6</v>
      </c>
      <c r="J219" s="15" t="str">
        <f>VLOOKUP(I219,department!$A$2:$B$13,2,0)</f>
        <v>Outdoors</v>
      </c>
      <c r="K219">
        <v>4721</v>
      </c>
      <c r="L219" t="s">
        <v>591</v>
      </c>
      <c r="M219" s="4">
        <v>43422</v>
      </c>
      <c r="N219" s="12">
        <f t="shared" si="10"/>
        <v>11</v>
      </c>
      <c r="O219" s="13">
        <f t="shared" si="11"/>
        <v>2018</v>
      </c>
      <c r="P219" t="s">
        <v>13</v>
      </c>
      <c r="Q219" t="s">
        <v>130</v>
      </c>
      <c r="R219" t="s">
        <v>31</v>
      </c>
      <c r="S219" t="str" cm="1">
        <f t="array" ref="S219">_xlfn.IFS(R219="COMPLETE", "COMPLETED", R219="CANCELED", "CANCELED", TRUE, "PENDING")</f>
        <v>COMPLETED</v>
      </c>
      <c r="T219" t="s">
        <v>90</v>
      </c>
      <c r="U219">
        <f>VLOOKUP(A219,ordered_items!$B:$E,4,0)</f>
        <v>39.979999999999997</v>
      </c>
    </row>
    <row r="220" spans="1:21" x14ac:dyDescent="0.3">
      <c r="A220">
        <v>22122</v>
      </c>
      <c r="B220" t="s">
        <v>24</v>
      </c>
      <c r="C220">
        <v>1</v>
      </c>
      <c r="D220">
        <v>0</v>
      </c>
      <c r="E220" t="str">
        <f t="shared" si="9"/>
        <v>DELAYED</v>
      </c>
      <c r="F220">
        <f>VLOOKUP($A220,ordered_items!$B$2:$E$4784,2,0)</f>
        <v>403</v>
      </c>
      <c r="G220">
        <f>VLOOKUP($A220,ordered_items!$B$2:$E$4784,3,0)</f>
        <v>1</v>
      </c>
      <c r="H220">
        <f>VLOOKUP($A220,ordered_items!$B$2:$E$4784,4,0)</f>
        <v>129.99</v>
      </c>
      <c r="I220" s="15">
        <f>VLOOKUP(F220,product_info!$A$2:$D$73,4,0)</f>
        <v>4</v>
      </c>
      <c r="J220" s="15" t="str">
        <f>VLOOKUP(I220,department!$A$2:$B$13,2,0)</f>
        <v>Apparel</v>
      </c>
      <c r="K220">
        <v>6912</v>
      </c>
      <c r="L220" t="s">
        <v>1985</v>
      </c>
      <c r="M220" s="4">
        <v>43422</v>
      </c>
      <c r="N220" s="12">
        <f t="shared" si="10"/>
        <v>11</v>
      </c>
      <c r="O220" s="13">
        <f t="shared" si="11"/>
        <v>2018</v>
      </c>
      <c r="P220" t="s">
        <v>13</v>
      </c>
      <c r="Q220" t="s">
        <v>80</v>
      </c>
      <c r="R220" t="s">
        <v>31</v>
      </c>
      <c r="S220" t="str" cm="1">
        <f t="array" ref="S220">_xlfn.IFS(R220="COMPLETE", "COMPLETED", R220="CANCELED", "CANCELED", TRUE, "PENDING")</f>
        <v>COMPLETED</v>
      </c>
      <c r="T220" t="s">
        <v>58</v>
      </c>
      <c r="U220">
        <f>VLOOKUP(A220,ordered_items!$B:$E,4,0)</f>
        <v>129.99</v>
      </c>
    </row>
    <row r="221" spans="1:21" x14ac:dyDescent="0.3">
      <c r="A221">
        <v>22142</v>
      </c>
      <c r="B221" t="s">
        <v>24</v>
      </c>
      <c r="C221">
        <v>3</v>
      </c>
      <c r="D221">
        <v>4</v>
      </c>
      <c r="E221" t="str">
        <f t="shared" si="9"/>
        <v xml:space="preserve"> ONTIME</v>
      </c>
      <c r="F221">
        <f>VLOOKUP($A221,ordered_items!$B$2:$E$4784,2,0)</f>
        <v>502</v>
      </c>
      <c r="G221">
        <f>VLOOKUP($A221,ordered_items!$B$2:$E$4784,3,0)</f>
        <v>5</v>
      </c>
      <c r="H221">
        <f>VLOOKUP($A221,ordered_items!$B$2:$E$4784,4,0)</f>
        <v>250</v>
      </c>
      <c r="I221" s="15">
        <f>VLOOKUP(F221,product_info!$A$2:$D$73,4,0)</f>
        <v>5</v>
      </c>
      <c r="J221" s="15" t="str">
        <f>VLOOKUP(I221,department!$A$2:$B$13,2,0)</f>
        <v>Golf</v>
      </c>
      <c r="K221">
        <v>4599</v>
      </c>
      <c r="L221" t="s">
        <v>146</v>
      </c>
      <c r="M221" s="4">
        <v>43423</v>
      </c>
      <c r="N221" s="12">
        <f t="shared" si="10"/>
        <v>11</v>
      </c>
      <c r="O221" s="13">
        <f t="shared" si="11"/>
        <v>2018</v>
      </c>
      <c r="P221" t="s">
        <v>13</v>
      </c>
      <c r="Q221" t="s">
        <v>30</v>
      </c>
      <c r="R221" t="s">
        <v>31</v>
      </c>
      <c r="S221" t="str" cm="1">
        <f t="array" ref="S221">_xlfn.IFS(R221="COMPLETE", "COMPLETED", R221="CANCELED", "CANCELED", TRUE, "PENDING")</f>
        <v>COMPLETED</v>
      </c>
      <c r="T221" t="s">
        <v>16</v>
      </c>
      <c r="U221">
        <f>VLOOKUP(A221,ordered_items!$B:$E,4,0)</f>
        <v>250</v>
      </c>
    </row>
    <row r="222" spans="1:21" x14ac:dyDescent="0.3">
      <c r="A222">
        <v>22173</v>
      </c>
      <c r="B222" t="s">
        <v>24</v>
      </c>
      <c r="C222">
        <v>4</v>
      </c>
      <c r="D222">
        <v>2</v>
      </c>
      <c r="E222" t="str">
        <f t="shared" si="9"/>
        <v>DELAYED</v>
      </c>
      <c r="F222">
        <f>VLOOKUP($A222,ordered_items!$B$2:$E$4784,2,0)</f>
        <v>703</v>
      </c>
      <c r="G222">
        <f>VLOOKUP($A222,ordered_items!$B$2:$E$4784,3,0)</f>
        <v>3</v>
      </c>
      <c r="H222">
        <f>VLOOKUP($A222,ordered_items!$B$2:$E$4784,4,0)</f>
        <v>59.97</v>
      </c>
      <c r="I222" s="15">
        <f>VLOOKUP(F222,product_info!$A$2:$D$73,4,0)</f>
        <v>6</v>
      </c>
      <c r="J222" s="15" t="str">
        <f>VLOOKUP(I222,department!$A$2:$B$13,2,0)</f>
        <v>Outdoors</v>
      </c>
      <c r="K222">
        <v>5683</v>
      </c>
      <c r="L222" t="s">
        <v>214</v>
      </c>
      <c r="M222" s="4">
        <v>43423</v>
      </c>
      <c r="N222" s="12">
        <f t="shared" si="10"/>
        <v>11</v>
      </c>
      <c r="O222" s="13">
        <f t="shared" si="11"/>
        <v>2018</v>
      </c>
      <c r="P222" t="s">
        <v>13</v>
      </c>
      <c r="Q222" t="s">
        <v>5781</v>
      </c>
      <c r="R222" t="s">
        <v>31</v>
      </c>
      <c r="S222" t="str" cm="1">
        <f t="array" ref="S222">_xlfn.IFS(R222="COMPLETE", "COMPLETED", R222="CANCELED", "CANCELED", TRUE, "PENDING")</f>
        <v>COMPLETED</v>
      </c>
      <c r="T222" t="s">
        <v>90</v>
      </c>
      <c r="U222">
        <f>VLOOKUP(A222,ordered_items!$B:$E,4,0)</f>
        <v>59.97</v>
      </c>
    </row>
    <row r="223" spans="1:21" x14ac:dyDescent="0.3">
      <c r="A223">
        <v>22187</v>
      </c>
      <c r="B223" t="s">
        <v>24</v>
      </c>
      <c r="C223">
        <v>3</v>
      </c>
      <c r="D223">
        <v>4</v>
      </c>
      <c r="E223" t="str">
        <f t="shared" si="9"/>
        <v xml:space="preserve"> ONTIME</v>
      </c>
      <c r="F223">
        <f>VLOOKUP($A223,ordered_items!$B$2:$E$4784,2,0)</f>
        <v>957</v>
      </c>
      <c r="G223">
        <f>VLOOKUP($A223,ordered_items!$B$2:$E$4784,3,0)</f>
        <v>1</v>
      </c>
      <c r="H223">
        <f>VLOOKUP($A223,ordered_items!$B$2:$E$4784,4,0)</f>
        <v>299.98</v>
      </c>
      <c r="I223" s="15">
        <f>VLOOKUP(F223,product_info!$A$2:$D$73,4,0)</f>
        <v>7</v>
      </c>
      <c r="J223" s="15" t="str">
        <f>VLOOKUP(I223,department!$A$2:$B$13,2,0)</f>
        <v>Fan Shop</v>
      </c>
      <c r="K223">
        <v>3755</v>
      </c>
      <c r="L223" t="s">
        <v>129</v>
      </c>
      <c r="M223" s="4">
        <v>43423</v>
      </c>
      <c r="N223" s="12">
        <f t="shared" si="10"/>
        <v>11</v>
      </c>
      <c r="O223" s="13">
        <f t="shared" si="11"/>
        <v>2018</v>
      </c>
      <c r="P223" t="s">
        <v>13</v>
      </c>
      <c r="Q223" t="s">
        <v>130</v>
      </c>
      <c r="R223" t="s">
        <v>31</v>
      </c>
      <c r="S223" t="str" cm="1">
        <f t="array" ref="S223">_xlfn.IFS(R223="COMPLETE", "COMPLETED", R223="CANCELED", "CANCELED", TRUE, "PENDING")</f>
        <v>COMPLETED</v>
      </c>
      <c r="T223" t="s">
        <v>16</v>
      </c>
      <c r="U223">
        <f>VLOOKUP(A223,ordered_items!$B:$E,4,0)</f>
        <v>299.98</v>
      </c>
    </row>
    <row r="224" spans="1:21" x14ac:dyDescent="0.3">
      <c r="A224">
        <v>22188</v>
      </c>
      <c r="B224" t="s">
        <v>3</v>
      </c>
      <c r="C224">
        <v>4</v>
      </c>
      <c r="D224">
        <v>4</v>
      </c>
      <c r="E224" t="str">
        <f t="shared" si="9"/>
        <v xml:space="preserve"> ONTIME</v>
      </c>
      <c r="F224">
        <f>VLOOKUP($A224,ordered_items!$B$2:$E$4784,2,0)</f>
        <v>134</v>
      </c>
      <c r="G224">
        <f>VLOOKUP($A224,ordered_items!$B$2:$E$4784,3,0)</f>
        <v>2</v>
      </c>
      <c r="H224">
        <f>VLOOKUP($A224,ordered_items!$B$2:$E$4784,4,0)</f>
        <v>50</v>
      </c>
      <c r="I224" s="15">
        <f>VLOOKUP(F224,product_info!$A$2:$D$73,4,0)</f>
        <v>2</v>
      </c>
      <c r="J224" s="15" t="str">
        <f>VLOOKUP(I224,department!$A$2:$B$13,2,0)</f>
        <v>Fitness</v>
      </c>
      <c r="K224">
        <v>12237</v>
      </c>
      <c r="L224" t="s">
        <v>129</v>
      </c>
      <c r="M224" s="4">
        <v>43423</v>
      </c>
      <c r="N224" s="12">
        <f t="shared" si="10"/>
        <v>11</v>
      </c>
      <c r="O224" s="13">
        <f t="shared" si="11"/>
        <v>2018</v>
      </c>
      <c r="P224" t="s">
        <v>13</v>
      </c>
      <c r="Q224" t="s">
        <v>130</v>
      </c>
      <c r="R224" t="s">
        <v>178</v>
      </c>
      <c r="S224" t="str" cm="1">
        <f t="array" ref="S224">_xlfn.IFS(R224="COMPLETE", "COMPLETED", R224="CANCELED", "CANCELED", TRUE, "PENDING")</f>
        <v>PENDING</v>
      </c>
      <c r="T224" t="s">
        <v>16</v>
      </c>
      <c r="U224">
        <f>VLOOKUP(A224,ordered_items!$B:$E,4,0)</f>
        <v>50</v>
      </c>
    </row>
    <row r="225" spans="1:21" x14ac:dyDescent="0.3">
      <c r="A225">
        <v>22204</v>
      </c>
      <c r="B225" t="s">
        <v>24</v>
      </c>
      <c r="C225">
        <v>0</v>
      </c>
      <c r="D225">
        <v>0</v>
      </c>
      <c r="E225" t="str">
        <f t="shared" si="9"/>
        <v xml:space="preserve"> ONTIME</v>
      </c>
      <c r="F225">
        <f>VLOOKUP($A225,ordered_items!$B$2:$E$4784,2,0)</f>
        <v>627</v>
      </c>
      <c r="G225">
        <f>VLOOKUP($A225,ordered_items!$B$2:$E$4784,3,0)</f>
        <v>1</v>
      </c>
      <c r="H225">
        <f>VLOOKUP($A225,ordered_items!$B$2:$E$4784,4,0)</f>
        <v>39.99</v>
      </c>
      <c r="I225" s="15">
        <f>VLOOKUP(F225,product_info!$A$2:$D$73,4,0)</f>
        <v>5</v>
      </c>
      <c r="J225" s="15" t="str">
        <f>VLOOKUP(I225,department!$A$2:$B$13,2,0)</f>
        <v>Golf</v>
      </c>
      <c r="K225">
        <v>9666</v>
      </c>
      <c r="L225" t="s">
        <v>84</v>
      </c>
      <c r="M225" s="4">
        <v>43424</v>
      </c>
      <c r="N225" s="12">
        <f t="shared" si="10"/>
        <v>11</v>
      </c>
      <c r="O225" s="13">
        <f t="shared" si="11"/>
        <v>2018</v>
      </c>
      <c r="P225" t="s">
        <v>13</v>
      </c>
      <c r="Q225" t="s">
        <v>80</v>
      </c>
      <c r="R225" t="s">
        <v>31</v>
      </c>
      <c r="S225" t="str" cm="1">
        <f t="array" ref="S225">_xlfn.IFS(R225="COMPLETE", "COMPLETED", R225="CANCELED", "CANCELED", TRUE, "PENDING")</f>
        <v>COMPLETED</v>
      </c>
      <c r="T225" t="s">
        <v>58</v>
      </c>
      <c r="U225">
        <f>VLOOKUP(A225,ordered_items!$B:$E,4,0)</f>
        <v>39.99</v>
      </c>
    </row>
    <row r="226" spans="1:21" x14ac:dyDescent="0.3">
      <c r="A226">
        <v>22205</v>
      </c>
      <c r="B226" t="s">
        <v>51</v>
      </c>
      <c r="C226">
        <v>6</v>
      </c>
      <c r="D226">
        <v>2</v>
      </c>
      <c r="E226" t="str">
        <f t="shared" si="9"/>
        <v>DELAYED</v>
      </c>
      <c r="F226">
        <f>VLOOKUP($A226,ordered_items!$B$2:$E$4784,2,0)</f>
        <v>273</v>
      </c>
      <c r="G226">
        <f>VLOOKUP($A226,ordered_items!$B$2:$E$4784,3,0)</f>
        <v>4</v>
      </c>
      <c r="H226">
        <f>VLOOKUP($A226,ordered_items!$B$2:$E$4784,4,0)</f>
        <v>111.96</v>
      </c>
      <c r="I226" s="15">
        <f>VLOOKUP(F226,product_info!$A$2:$D$73,4,0)</f>
        <v>3</v>
      </c>
      <c r="J226" s="15" t="str">
        <f>VLOOKUP(I226,department!$A$2:$B$13,2,0)</f>
        <v>Footwear</v>
      </c>
      <c r="K226">
        <v>3539</v>
      </c>
      <c r="L226" t="s">
        <v>84</v>
      </c>
      <c r="M226" s="4">
        <v>43424</v>
      </c>
      <c r="N226" s="12">
        <f t="shared" si="10"/>
        <v>11</v>
      </c>
      <c r="O226" s="13">
        <f t="shared" si="11"/>
        <v>2018</v>
      </c>
      <c r="P226" t="s">
        <v>13</v>
      </c>
      <c r="Q226" t="s">
        <v>80</v>
      </c>
      <c r="R226" t="s">
        <v>57</v>
      </c>
      <c r="S226" t="str" cm="1">
        <f t="array" ref="S226">_xlfn.IFS(R226="COMPLETE", "COMPLETED", R226="CANCELED", "CANCELED", TRUE, "PENDING")</f>
        <v>PENDING</v>
      </c>
      <c r="T226" t="s">
        <v>90</v>
      </c>
      <c r="U226">
        <f>VLOOKUP(A226,ordered_items!$B:$E,4,0)</f>
        <v>111.96</v>
      </c>
    </row>
    <row r="227" spans="1:21" x14ac:dyDescent="0.3">
      <c r="A227">
        <v>22206</v>
      </c>
      <c r="B227" t="s">
        <v>17</v>
      </c>
      <c r="C227">
        <v>2</v>
      </c>
      <c r="D227">
        <v>4</v>
      </c>
      <c r="E227" t="str">
        <f t="shared" si="9"/>
        <v xml:space="preserve"> ONTIME</v>
      </c>
      <c r="F227">
        <f>VLOOKUP($A227,ordered_items!$B$2:$E$4784,2,0)</f>
        <v>917</v>
      </c>
      <c r="G227">
        <f>VLOOKUP($A227,ordered_items!$B$2:$E$4784,3,0)</f>
        <v>1</v>
      </c>
      <c r="H227">
        <f>VLOOKUP($A227,ordered_items!$B$2:$E$4784,4,0)</f>
        <v>21.99</v>
      </c>
      <c r="I227" s="15">
        <f>VLOOKUP(F227,product_info!$A$2:$D$73,4,0)</f>
        <v>6</v>
      </c>
      <c r="J227" s="15" t="str">
        <f>VLOOKUP(I227,department!$A$2:$B$13,2,0)</f>
        <v>Outdoors</v>
      </c>
      <c r="K227">
        <v>9929</v>
      </c>
      <c r="L227" t="s">
        <v>84</v>
      </c>
      <c r="M227" s="4">
        <v>43424</v>
      </c>
      <c r="N227" s="12">
        <f t="shared" si="10"/>
        <v>11</v>
      </c>
      <c r="O227" s="13">
        <f t="shared" si="11"/>
        <v>2018</v>
      </c>
      <c r="P227" t="s">
        <v>13</v>
      </c>
      <c r="Q227" t="s">
        <v>80</v>
      </c>
      <c r="R227" t="s">
        <v>23</v>
      </c>
      <c r="S227" t="str" cm="1">
        <f t="array" ref="S227">_xlfn.IFS(R227="COMPLETE", "COMPLETED", R227="CANCELED", "CANCELED", TRUE, "PENDING")</f>
        <v>PENDING</v>
      </c>
      <c r="T227" t="s">
        <v>16</v>
      </c>
      <c r="U227">
        <f>VLOOKUP(A227,ordered_items!$B:$E,4,0)</f>
        <v>21.99</v>
      </c>
    </row>
    <row r="228" spans="1:21" x14ac:dyDescent="0.3">
      <c r="A228">
        <v>22219</v>
      </c>
      <c r="B228" t="s">
        <v>51</v>
      </c>
      <c r="C228">
        <v>2</v>
      </c>
      <c r="D228">
        <v>1</v>
      </c>
      <c r="E228" t="str">
        <f t="shared" si="9"/>
        <v>DELAYED</v>
      </c>
      <c r="F228">
        <f>VLOOKUP($A228,ordered_items!$B$2:$E$4784,2,0)</f>
        <v>365</v>
      </c>
      <c r="G228">
        <f>VLOOKUP($A228,ordered_items!$B$2:$E$4784,3,0)</f>
        <v>3</v>
      </c>
      <c r="H228">
        <f>VLOOKUP($A228,ordered_items!$B$2:$E$4784,4,0)</f>
        <v>179.97</v>
      </c>
      <c r="I228" s="15">
        <f>VLOOKUP(F228,product_info!$A$2:$D$73,4,0)</f>
        <v>4</v>
      </c>
      <c r="J228" s="15" t="str">
        <f>VLOOKUP(I228,department!$A$2:$B$13,2,0)</f>
        <v>Apparel</v>
      </c>
      <c r="K228">
        <v>4900</v>
      </c>
      <c r="L228" t="s">
        <v>376</v>
      </c>
      <c r="M228" s="4">
        <v>43424</v>
      </c>
      <c r="N228" s="12">
        <f t="shared" si="10"/>
        <v>11</v>
      </c>
      <c r="O228" s="13">
        <f t="shared" si="11"/>
        <v>2018</v>
      </c>
      <c r="P228" t="s">
        <v>13</v>
      </c>
      <c r="Q228" t="s">
        <v>377</v>
      </c>
      <c r="R228" t="s">
        <v>57</v>
      </c>
      <c r="S228" t="str" cm="1">
        <f t="array" ref="S228">_xlfn.IFS(R228="COMPLETE", "COMPLETED", R228="CANCELED", "CANCELED", TRUE, "PENDING")</f>
        <v>PENDING</v>
      </c>
      <c r="T228" t="s">
        <v>32</v>
      </c>
      <c r="U228">
        <f>VLOOKUP(A228,ordered_items!$B:$E,4,0)</f>
        <v>179.97</v>
      </c>
    </row>
    <row r="229" spans="1:21" x14ac:dyDescent="0.3">
      <c r="A229">
        <v>22220</v>
      </c>
      <c r="B229" t="s">
        <v>51</v>
      </c>
      <c r="C229">
        <v>6</v>
      </c>
      <c r="D229">
        <v>4</v>
      </c>
      <c r="E229" t="str">
        <f t="shared" si="9"/>
        <v>DELAYED</v>
      </c>
      <c r="F229">
        <f>VLOOKUP($A229,ordered_items!$B$2:$E$4784,2,0)</f>
        <v>1073</v>
      </c>
      <c r="G229">
        <f>VLOOKUP($A229,ordered_items!$B$2:$E$4784,3,0)</f>
        <v>1</v>
      </c>
      <c r="H229">
        <f>VLOOKUP($A229,ordered_items!$B$2:$E$4784,4,0)</f>
        <v>199.99</v>
      </c>
      <c r="I229" s="15">
        <f>VLOOKUP(F229,product_info!$A$2:$D$73,4,0)</f>
        <v>7</v>
      </c>
      <c r="J229" s="15" t="str">
        <f>VLOOKUP(I229,department!$A$2:$B$13,2,0)</f>
        <v>Fan Shop</v>
      </c>
      <c r="K229">
        <v>7186</v>
      </c>
      <c r="L229" t="s">
        <v>376</v>
      </c>
      <c r="M229" s="4">
        <v>43424</v>
      </c>
      <c r="N229" s="12">
        <f t="shared" si="10"/>
        <v>11</v>
      </c>
      <c r="O229" s="13">
        <f t="shared" si="11"/>
        <v>2018</v>
      </c>
      <c r="P229" t="s">
        <v>13</v>
      </c>
      <c r="Q229" t="s">
        <v>377</v>
      </c>
      <c r="R229" t="s">
        <v>57</v>
      </c>
      <c r="S229" t="str" cm="1">
        <f t="array" ref="S229">_xlfn.IFS(R229="COMPLETE", "COMPLETED", R229="CANCELED", "CANCELED", TRUE, "PENDING")</f>
        <v>PENDING</v>
      </c>
      <c r="T229" t="s">
        <v>16</v>
      </c>
      <c r="U229">
        <f>VLOOKUP(A229,ordered_items!$B:$E,4,0)</f>
        <v>199.99</v>
      </c>
    </row>
    <row r="230" spans="1:21" x14ac:dyDescent="0.3">
      <c r="A230">
        <v>22236</v>
      </c>
      <c r="B230" t="s">
        <v>51</v>
      </c>
      <c r="C230">
        <v>2</v>
      </c>
      <c r="D230">
        <v>1</v>
      </c>
      <c r="E230" t="str">
        <f t="shared" si="9"/>
        <v>DELAYED</v>
      </c>
      <c r="F230">
        <f>VLOOKUP($A230,ordered_items!$B$2:$E$4784,2,0)</f>
        <v>403</v>
      </c>
      <c r="G230">
        <f>VLOOKUP($A230,ordered_items!$B$2:$E$4784,3,0)</f>
        <v>1</v>
      </c>
      <c r="H230">
        <f>VLOOKUP($A230,ordered_items!$B$2:$E$4784,4,0)</f>
        <v>129.99</v>
      </c>
      <c r="I230" s="15">
        <f>VLOOKUP(F230,product_info!$A$2:$D$73,4,0)</f>
        <v>4</v>
      </c>
      <c r="J230" s="15" t="str">
        <f>VLOOKUP(I230,department!$A$2:$B$13,2,0)</f>
        <v>Apparel</v>
      </c>
      <c r="K230">
        <v>10380</v>
      </c>
      <c r="L230" t="s">
        <v>660</v>
      </c>
      <c r="M230" s="4">
        <v>43424</v>
      </c>
      <c r="N230" s="12">
        <f t="shared" si="10"/>
        <v>11</v>
      </c>
      <c r="O230" s="13">
        <f t="shared" si="11"/>
        <v>2018</v>
      </c>
      <c r="P230" t="s">
        <v>13</v>
      </c>
      <c r="Q230" t="s">
        <v>99</v>
      </c>
      <c r="R230" t="s">
        <v>57</v>
      </c>
      <c r="S230" t="str" cm="1">
        <f t="array" ref="S230">_xlfn.IFS(R230="COMPLETE", "COMPLETED", R230="CANCELED", "CANCELED", TRUE, "PENDING")</f>
        <v>PENDING</v>
      </c>
      <c r="T230" t="s">
        <v>32</v>
      </c>
      <c r="U230">
        <f>VLOOKUP(A230,ordered_items!$B:$E,4,0)</f>
        <v>129.99</v>
      </c>
    </row>
    <row r="231" spans="1:21" x14ac:dyDescent="0.3">
      <c r="A231">
        <v>22243</v>
      </c>
      <c r="B231" t="s">
        <v>17</v>
      </c>
      <c r="C231">
        <v>4</v>
      </c>
      <c r="D231">
        <v>4</v>
      </c>
      <c r="E231" t="str">
        <f t="shared" si="9"/>
        <v xml:space="preserve"> ONTIME</v>
      </c>
      <c r="F231">
        <f>VLOOKUP($A231,ordered_items!$B$2:$E$4784,2,0)</f>
        <v>957</v>
      </c>
      <c r="G231">
        <f>VLOOKUP($A231,ordered_items!$B$2:$E$4784,3,0)</f>
        <v>1</v>
      </c>
      <c r="H231">
        <f>VLOOKUP($A231,ordered_items!$B$2:$E$4784,4,0)</f>
        <v>299.98</v>
      </c>
      <c r="I231" s="15">
        <f>VLOOKUP(F231,product_info!$A$2:$D$73,4,0)</f>
        <v>7</v>
      </c>
      <c r="J231" s="15" t="str">
        <f>VLOOKUP(I231,department!$A$2:$B$13,2,0)</f>
        <v>Fan Shop</v>
      </c>
      <c r="K231">
        <v>9506</v>
      </c>
      <c r="L231" t="s">
        <v>959</v>
      </c>
      <c r="M231" s="4">
        <v>43424</v>
      </c>
      <c r="N231" s="12">
        <f t="shared" si="10"/>
        <v>11</v>
      </c>
      <c r="O231" s="13">
        <f t="shared" si="11"/>
        <v>2018</v>
      </c>
      <c r="P231" t="s">
        <v>13</v>
      </c>
      <c r="Q231" t="s">
        <v>5779</v>
      </c>
      <c r="R231" t="s">
        <v>23</v>
      </c>
      <c r="S231" t="str" cm="1">
        <f t="array" ref="S231">_xlfn.IFS(R231="COMPLETE", "COMPLETED", R231="CANCELED", "CANCELED", TRUE, "PENDING")</f>
        <v>PENDING</v>
      </c>
      <c r="T231" t="s">
        <v>16</v>
      </c>
      <c r="U231">
        <f>VLOOKUP(A231,ordered_items!$B:$E,4,0)</f>
        <v>299.98</v>
      </c>
    </row>
    <row r="232" spans="1:21" x14ac:dyDescent="0.3">
      <c r="A232">
        <v>22244</v>
      </c>
      <c r="B232" t="s">
        <v>51</v>
      </c>
      <c r="C232">
        <v>1</v>
      </c>
      <c r="D232">
        <v>0</v>
      </c>
      <c r="E232" t="str">
        <f t="shared" si="9"/>
        <v>DELAYED</v>
      </c>
      <c r="F232">
        <f>VLOOKUP($A232,ordered_items!$B$2:$E$4784,2,0)</f>
        <v>502</v>
      </c>
      <c r="G232">
        <f>VLOOKUP($A232,ordered_items!$B$2:$E$4784,3,0)</f>
        <v>2</v>
      </c>
      <c r="H232">
        <f>VLOOKUP($A232,ordered_items!$B$2:$E$4784,4,0)</f>
        <v>100</v>
      </c>
      <c r="I232" s="15">
        <f>VLOOKUP(F232,product_info!$A$2:$D$73,4,0)</f>
        <v>5</v>
      </c>
      <c r="J232" s="15" t="str">
        <f>VLOOKUP(I232,department!$A$2:$B$13,2,0)</f>
        <v>Golf</v>
      </c>
      <c r="K232">
        <v>7852</v>
      </c>
      <c r="L232" t="s">
        <v>959</v>
      </c>
      <c r="M232" s="4">
        <v>43424</v>
      </c>
      <c r="N232" s="12">
        <f t="shared" si="10"/>
        <v>11</v>
      </c>
      <c r="O232" s="13">
        <f t="shared" si="11"/>
        <v>2018</v>
      </c>
      <c r="P232" t="s">
        <v>13</v>
      </c>
      <c r="Q232" t="s">
        <v>5779</v>
      </c>
      <c r="R232" t="s">
        <v>57</v>
      </c>
      <c r="S232" t="str" cm="1">
        <f t="array" ref="S232">_xlfn.IFS(R232="COMPLETE", "COMPLETED", R232="CANCELED", "CANCELED", TRUE, "PENDING")</f>
        <v>PENDING</v>
      </c>
      <c r="T232" t="s">
        <v>58</v>
      </c>
      <c r="U232">
        <f>VLOOKUP(A232,ordered_items!$B:$E,4,0)</f>
        <v>100</v>
      </c>
    </row>
    <row r="233" spans="1:21" x14ac:dyDescent="0.3">
      <c r="A233">
        <v>22288</v>
      </c>
      <c r="B233" t="s">
        <v>3</v>
      </c>
      <c r="C233">
        <v>4</v>
      </c>
      <c r="D233">
        <v>4</v>
      </c>
      <c r="E233" t="str">
        <f t="shared" si="9"/>
        <v xml:space="preserve"> ONTIME</v>
      </c>
      <c r="F233">
        <f>VLOOKUP($A233,ordered_items!$B$2:$E$4784,2,0)</f>
        <v>924</v>
      </c>
      <c r="G233">
        <f>VLOOKUP($A233,ordered_items!$B$2:$E$4784,3,0)</f>
        <v>3</v>
      </c>
      <c r="H233">
        <f>VLOOKUP($A233,ordered_items!$B$2:$E$4784,4,0)</f>
        <v>47.97</v>
      </c>
      <c r="I233" s="15">
        <f>VLOOKUP(F233,product_info!$A$2:$D$73,4,0)</f>
        <v>6</v>
      </c>
      <c r="J233" s="15" t="str">
        <f>VLOOKUP(I233,department!$A$2:$B$13,2,0)</f>
        <v>Outdoors</v>
      </c>
      <c r="K233">
        <v>6016</v>
      </c>
      <c r="L233" t="s">
        <v>1530</v>
      </c>
      <c r="M233" s="4">
        <v>43425</v>
      </c>
      <c r="N233" s="12">
        <f t="shared" si="10"/>
        <v>11</v>
      </c>
      <c r="O233" s="13">
        <f t="shared" si="11"/>
        <v>2018</v>
      </c>
      <c r="P233" t="s">
        <v>13</v>
      </c>
      <c r="Q233" t="s">
        <v>99</v>
      </c>
      <c r="R233" t="s">
        <v>235</v>
      </c>
      <c r="S233" t="str" cm="1">
        <f t="array" ref="S233">_xlfn.IFS(R233="COMPLETE", "COMPLETED", R233="CANCELED", "CANCELED", TRUE, "PENDING")</f>
        <v>CANCELED</v>
      </c>
      <c r="T233" t="s">
        <v>16</v>
      </c>
      <c r="U233">
        <f>VLOOKUP(A233,ordered_items!$B:$E,4,0)</f>
        <v>47.97</v>
      </c>
    </row>
    <row r="234" spans="1:21" x14ac:dyDescent="0.3">
      <c r="A234">
        <v>22289</v>
      </c>
      <c r="B234" t="s">
        <v>51</v>
      </c>
      <c r="C234">
        <v>5</v>
      </c>
      <c r="D234">
        <v>4</v>
      </c>
      <c r="E234" t="str">
        <f t="shared" si="9"/>
        <v>DELAYED</v>
      </c>
      <c r="F234">
        <f>VLOOKUP($A234,ordered_items!$B$2:$E$4784,2,0)</f>
        <v>282</v>
      </c>
      <c r="G234">
        <f>VLOOKUP($A234,ordered_items!$B$2:$E$4784,3,0)</f>
        <v>4</v>
      </c>
      <c r="H234">
        <f>VLOOKUP($A234,ordered_items!$B$2:$E$4784,4,0)</f>
        <v>127.96</v>
      </c>
      <c r="I234" s="15">
        <f>VLOOKUP(F234,product_info!$A$2:$D$73,4,0)</f>
        <v>3</v>
      </c>
      <c r="J234" s="15" t="str">
        <f>VLOOKUP(I234,department!$A$2:$B$13,2,0)</f>
        <v>Footwear</v>
      </c>
      <c r="K234">
        <v>7711</v>
      </c>
      <c r="L234" t="s">
        <v>1530</v>
      </c>
      <c r="M234" s="4">
        <v>43425</v>
      </c>
      <c r="N234" s="12">
        <f t="shared" si="10"/>
        <v>11</v>
      </c>
      <c r="O234" s="13">
        <f t="shared" si="11"/>
        <v>2018</v>
      </c>
      <c r="P234" t="s">
        <v>13</v>
      </c>
      <c r="Q234" t="s">
        <v>99</v>
      </c>
      <c r="R234" t="s">
        <v>57</v>
      </c>
      <c r="S234" t="str" cm="1">
        <f t="array" ref="S234">_xlfn.IFS(R234="COMPLETE", "COMPLETED", R234="CANCELED", "CANCELED", TRUE, "PENDING")</f>
        <v>PENDING</v>
      </c>
      <c r="T234" t="s">
        <v>16</v>
      </c>
      <c r="U234">
        <f>VLOOKUP(A234,ordered_items!$B:$E,4,0)</f>
        <v>127.96</v>
      </c>
    </row>
    <row r="235" spans="1:21" x14ac:dyDescent="0.3">
      <c r="A235">
        <v>22290</v>
      </c>
      <c r="B235" t="s">
        <v>24</v>
      </c>
      <c r="C235">
        <v>6</v>
      </c>
      <c r="D235">
        <v>2</v>
      </c>
      <c r="E235" t="str">
        <f t="shared" si="9"/>
        <v>DELAYED</v>
      </c>
      <c r="F235">
        <f>VLOOKUP($A235,ordered_items!$B$2:$E$4784,2,0)</f>
        <v>403</v>
      </c>
      <c r="G235">
        <f>VLOOKUP($A235,ordered_items!$B$2:$E$4784,3,0)</f>
        <v>1</v>
      </c>
      <c r="H235">
        <f>VLOOKUP($A235,ordered_items!$B$2:$E$4784,4,0)</f>
        <v>129.99</v>
      </c>
      <c r="I235" s="15">
        <f>VLOOKUP(F235,product_info!$A$2:$D$73,4,0)</f>
        <v>4</v>
      </c>
      <c r="J235" s="15" t="str">
        <f>VLOOKUP(I235,department!$A$2:$B$13,2,0)</f>
        <v>Apparel</v>
      </c>
      <c r="K235">
        <v>4349</v>
      </c>
      <c r="L235" t="s">
        <v>1530</v>
      </c>
      <c r="M235" s="4">
        <v>43425</v>
      </c>
      <c r="N235" s="12">
        <f t="shared" si="10"/>
        <v>11</v>
      </c>
      <c r="O235" s="13">
        <f t="shared" si="11"/>
        <v>2018</v>
      </c>
      <c r="P235" t="s">
        <v>13</v>
      </c>
      <c r="Q235" t="s">
        <v>99</v>
      </c>
      <c r="R235" t="s">
        <v>31</v>
      </c>
      <c r="S235" t="str" cm="1">
        <f t="array" ref="S235">_xlfn.IFS(R235="COMPLETE", "COMPLETED", R235="CANCELED", "CANCELED", TRUE, "PENDING")</f>
        <v>COMPLETED</v>
      </c>
      <c r="T235" t="s">
        <v>90</v>
      </c>
      <c r="U235">
        <f>VLOOKUP(A235,ordered_items!$B:$E,4,0)</f>
        <v>129.99</v>
      </c>
    </row>
    <row r="236" spans="1:21" x14ac:dyDescent="0.3">
      <c r="A236">
        <v>22293</v>
      </c>
      <c r="B236" t="s">
        <v>24</v>
      </c>
      <c r="C236">
        <v>2</v>
      </c>
      <c r="D236">
        <v>1</v>
      </c>
      <c r="E236" t="str">
        <f t="shared" si="9"/>
        <v>DELAYED</v>
      </c>
      <c r="F236">
        <f>VLOOKUP($A236,ordered_items!$B$2:$E$4784,2,0)</f>
        <v>810</v>
      </c>
      <c r="G236">
        <f>VLOOKUP($A236,ordered_items!$B$2:$E$4784,3,0)</f>
        <v>1</v>
      </c>
      <c r="H236">
        <f>VLOOKUP($A236,ordered_items!$B$2:$E$4784,4,0)</f>
        <v>19.989999999999998</v>
      </c>
      <c r="I236" s="15">
        <f>VLOOKUP(F236,product_info!$A$2:$D$73,4,0)</f>
        <v>6</v>
      </c>
      <c r="J236" s="15" t="str">
        <f>VLOOKUP(I236,department!$A$2:$B$13,2,0)</f>
        <v>Outdoors</v>
      </c>
      <c r="K236">
        <v>5886</v>
      </c>
      <c r="L236" t="s">
        <v>262</v>
      </c>
      <c r="M236" s="4">
        <v>43425</v>
      </c>
      <c r="N236" s="12">
        <f t="shared" si="10"/>
        <v>11</v>
      </c>
      <c r="O236" s="13">
        <f t="shared" si="11"/>
        <v>2018</v>
      </c>
      <c r="P236" t="s">
        <v>13</v>
      </c>
      <c r="Q236" t="s">
        <v>30</v>
      </c>
      <c r="R236" t="s">
        <v>31</v>
      </c>
      <c r="S236" t="str" cm="1">
        <f t="array" ref="S236">_xlfn.IFS(R236="COMPLETE", "COMPLETED", R236="CANCELED", "CANCELED", TRUE, "PENDING")</f>
        <v>COMPLETED</v>
      </c>
      <c r="T236" t="s">
        <v>32</v>
      </c>
      <c r="U236">
        <f>VLOOKUP(A236,ordered_items!$B:$E,4,0)</f>
        <v>19.989999999999998</v>
      </c>
    </row>
    <row r="237" spans="1:21" x14ac:dyDescent="0.3">
      <c r="A237">
        <v>22318</v>
      </c>
      <c r="B237" t="s">
        <v>3</v>
      </c>
      <c r="C237">
        <v>4</v>
      </c>
      <c r="D237">
        <v>4</v>
      </c>
      <c r="E237" t="str">
        <f t="shared" si="9"/>
        <v xml:space="preserve"> ONTIME</v>
      </c>
      <c r="F237">
        <f>VLOOKUP($A237,ordered_items!$B$2:$E$4784,2,0)</f>
        <v>403</v>
      </c>
      <c r="G237">
        <f>VLOOKUP($A237,ordered_items!$B$2:$E$4784,3,0)</f>
        <v>1</v>
      </c>
      <c r="H237">
        <f>VLOOKUP($A237,ordered_items!$B$2:$E$4784,4,0)</f>
        <v>129.99</v>
      </c>
      <c r="I237" s="15">
        <f>VLOOKUP(F237,product_info!$A$2:$D$73,4,0)</f>
        <v>4</v>
      </c>
      <c r="J237" s="15" t="str">
        <f>VLOOKUP(I237,department!$A$2:$B$13,2,0)</f>
        <v>Apparel</v>
      </c>
      <c r="K237">
        <v>7105</v>
      </c>
      <c r="L237" t="s">
        <v>2438</v>
      </c>
      <c r="M237" s="4">
        <v>43425</v>
      </c>
      <c r="N237" s="12">
        <f t="shared" si="10"/>
        <v>11</v>
      </c>
      <c r="O237" s="13">
        <f t="shared" si="11"/>
        <v>2018</v>
      </c>
      <c r="P237" t="s">
        <v>13</v>
      </c>
      <c r="Q237" t="s">
        <v>47</v>
      </c>
      <c r="R237" t="s">
        <v>38</v>
      </c>
      <c r="S237" t="str" cm="1">
        <f t="array" ref="S237">_xlfn.IFS(R237="COMPLETE", "COMPLETED", R237="CANCELED", "CANCELED", TRUE, "PENDING")</f>
        <v>PENDING</v>
      </c>
      <c r="T237" t="s">
        <v>16</v>
      </c>
      <c r="U237">
        <f>VLOOKUP(A237,ordered_items!$B:$E,4,0)</f>
        <v>129.99</v>
      </c>
    </row>
    <row r="238" spans="1:21" x14ac:dyDescent="0.3">
      <c r="A238">
        <v>22337</v>
      </c>
      <c r="B238" t="s">
        <v>51</v>
      </c>
      <c r="C238">
        <v>3</v>
      </c>
      <c r="D238">
        <v>4</v>
      </c>
      <c r="E238" t="str">
        <f t="shared" si="9"/>
        <v xml:space="preserve"> ONTIME</v>
      </c>
      <c r="F238">
        <f>VLOOKUP($A238,ordered_items!$B$2:$E$4784,2,0)</f>
        <v>403</v>
      </c>
      <c r="G238">
        <f>VLOOKUP($A238,ordered_items!$B$2:$E$4784,3,0)</f>
        <v>1</v>
      </c>
      <c r="H238">
        <f>VLOOKUP($A238,ordered_items!$B$2:$E$4784,4,0)</f>
        <v>129.99</v>
      </c>
      <c r="I238" s="15">
        <f>VLOOKUP(F238,product_info!$A$2:$D$73,4,0)</f>
        <v>4</v>
      </c>
      <c r="J238" s="15" t="str">
        <f>VLOOKUP(I238,department!$A$2:$B$13,2,0)</f>
        <v>Apparel</v>
      </c>
      <c r="K238">
        <v>8444</v>
      </c>
      <c r="L238" t="s">
        <v>409</v>
      </c>
      <c r="M238" s="4">
        <v>43426</v>
      </c>
      <c r="N238" s="12">
        <f t="shared" si="10"/>
        <v>11</v>
      </c>
      <c r="O238" s="13">
        <f t="shared" si="11"/>
        <v>2018</v>
      </c>
      <c r="P238" t="s">
        <v>13</v>
      </c>
      <c r="Q238" t="s">
        <v>410</v>
      </c>
      <c r="R238" t="s">
        <v>57</v>
      </c>
      <c r="S238" t="str" cm="1">
        <f t="array" ref="S238">_xlfn.IFS(R238="COMPLETE", "COMPLETED", R238="CANCELED", "CANCELED", TRUE, "PENDING")</f>
        <v>PENDING</v>
      </c>
      <c r="T238" t="s">
        <v>16</v>
      </c>
      <c r="U238">
        <f>VLOOKUP(A238,ordered_items!$B:$E,4,0)</f>
        <v>129.99</v>
      </c>
    </row>
    <row r="239" spans="1:21" x14ac:dyDescent="0.3">
      <c r="A239">
        <v>22339</v>
      </c>
      <c r="B239" t="s">
        <v>3</v>
      </c>
      <c r="C239">
        <v>5</v>
      </c>
      <c r="D239">
        <v>4</v>
      </c>
      <c r="E239" t="str">
        <f t="shared" si="9"/>
        <v>DELAYED</v>
      </c>
      <c r="F239">
        <f>VLOOKUP($A239,ordered_items!$B$2:$E$4784,2,0)</f>
        <v>1073</v>
      </c>
      <c r="G239">
        <f>VLOOKUP($A239,ordered_items!$B$2:$E$4784,3,0)</f>
        <v>1</v>
      </c>
      <c r="H239">
        <f>VLOOKUP($A239,ordered_items!$B$2:$E$4784,4,0)</f>
        <v>199.99</v>
      </c>
      <c r="I239" s="15">
        <f>VLOOKUP(F239,product_info!$A$2:$D$73,4,0)</f>
        <v>7</v>
      </c>
      <c r="J239" s="15" t="str">
        <f>VLOOKUP(I239,department!$A$2:$B$13,2,0)</f>
        <v>Fan Shop</v>
      </c>
      <c r="K239">
        <v>11373</v>
      </c>
      <c r="L239" t="s">
        <v>70</v>
      </c>
      <c r="M239" s="4">
        <v>43426</v>
      </c>
      <c r="N239" s="12">
        <f t="shared" si="10"/>
        <v>11</v>
      </c>
      <c r="O239" s="13">
        <f t="shared" si="11"/>
        <v>2018</v>
      </c>
      <c r="P239" t="s">
        <v>13</v>
      </c>
      <c r="Q239" t="s">
        <v>70</v>
      </c>
      <c r="R239" t="s">
        <v>235</v>
      </c>
      <c r="S239" t="str" cm="1">
        <f t="array" ref="S239">_xlfn.IFS(R239="COMPLETE", "COMPLETED", R239="CANCELED", "CANCELED", TRUE, "PENDING")</f>
        <v>CANCELED</v>
      </c>
      <c r="T239" t="s">
        <v>16</v>
      </c>
      <c r="U239">
        <f>VLOOKUP(A239,ordered_items!$B:$E,4,0)</f>
        <v>199.99</v>
      </c>
    </row>
    <row r="240" spans="1:21" x14ac:dyDescent="0.3">
      <c r="A240">
        <v>22340</v>
      </c>
      <c r="B240" t="s">
        <v>3</v>
      </c>
      <c r="C240">
        <v>6</v>
      </c>
      <c r="D240">
        <v>2</v>
      </c>
      <c r="E240" t="str">
        <f t="shared" si="9"/>
        <v>DELAYED</v>
      </c>
      <c r="F240">
        <f>VLOOKUP($A240,ordered_items!$B$2:$E$4784,2,0)</f>
        <v>1073</v>
      </c>
      <c r="G240">
        <f>VLOOKUP($A240,ordered_items!$B$2:$E$4784,3,0)</f>
        <v>1</v>
      </c>
      <c r="H240">
        <f>VLOOKUP($A240,ordered_items!$B$2:$E$4784,4,0)</f>
        <v>199.99</v>
      </c>
      <c r="I240" s="15">
        <f>VLOOKUP(F240,product_info!$A$2:$D$73,4,0)</f>
        <v>7</v>
      </c>
      <c r="J240" s="15" t="str">
        <f>VLOOKUP(I240,department!$A$2:$B$13,2,0)</f>
        <v>Fan Shop</v>
      </c>
      <c r="K240">
        <v>4346</v>
      </c>
      <c r="L240" t="s">
        <v>70</v>
      </c>
      <c r="M240" s="4">
        <v>43426</v>
      </c>
      <c r="N240" s="12">
        <f t="shared" si="10"/>
        <v>11</v>
      </c>
      <c r="O240" s="13">
        <f t="shared" si="11"/>
        <v>2018</v>
      </c>
      <c r="P240" t="s">
        <v>13</v>
      </c>
      <c r="Q240" t="s">
        <v>70</v>
      </c>
      <c r="R240" t="s">
        <v>14</v>
      </c>
      <c r="S240" t="str" cm="1">
        <f t="array" ref="S240">_xlfn.IFS(R240="COMPLETE", "COMPLETED", R240="CANCELED", "CANCELED", TRUE, "PENDING")</f>
        <v>PENDING</v>
      </c>
      <c r="T240" t="s">
        <v>90</v>
      </c>
      <c r="U240">
        <f>VLOOKUP(A240,ordered_items!$B:$E,4,0)</f>
        <v>199.99</v>
      </c>
    </row>
    <row r="241" spans="1:21" x14ac:dyDescent="0.3">
      <c r="A241">
        <v>22341</v>
      </c>
      <c r="B241" t="s">
        <v>51</v>
      </c>
      <c r="C241">
        <v>2</v>
      </c>
      <c r="D241">
        <v>2</v>
      </c>
      <c r="E241" t="str">
        <f t="shared" si="9"/>
        <v xml:space="preserve"> ONTIME</v>
      </c>
      <c r="F241">
        <f>VLOOKUP($A241,ordered_items!$B$2:$E$4784,2,0)</f>
        <v>502</v>
      </c>
      <c r="G241">
        <f>VLOOKUP($A241,ordered_items!$B$2:$E$4784,3,0)</f>
        <v>4</v>
      </c>
      <c r="H241">
        <f>VLOOKUP($A241,ordered_items!$B$2:$E$4784,4,0)</f>
        <v>200</v>
      </c>
      <c r="I241" s="15">
        <f>VLOOKUP(F241,product_info!$A$2:$D$73,4,0)</f>
        <v>5</v>
      </c>
      <c r="J241" s="15" t="str">
        <f>VLOOKUP(I241,department!$A$2:$B$13,2,0)</f>
        <v>Golf</v>
      </c>
      <c r="K241">
        <v>3903</v>
      </c>
      <c r="L241" t="s">
        <v>70</v>
      </c>
      <c r="M241" s="4">
        <v>43426</v>
      </c>
      <c r="N241" s="12">
        <f t="shared" si="10"/>
        <v>11</v>
      </c>
      <c r="O241" s="13">
        <f t="shared" si="11"/>
        <v>2018</v>
      </c>
      <c r="P241" t="s">
        <v>13</v>
      </c>
      <c r="Q241" t="s">
        <v>70</v>
      </c>
      <c r="R241" t="s">
        <v>57</v>
      </c>
      <c r="S241" t="str" cm="1">
        <f t="array" ref="S241">_xlfn.IFS(R241="COMPLETE", "COMPLETED", R241="CANCELED", "CANCELED", TRUE, "PENDING")</f>
        <v>PENDING</v>
      </c>
      <c r="T241" t="s">
        <v>90</v>
      </c>
      <c r="U241">
        <f>VLOOKUP(A241,ordered_items!$B:$E,4,0)</f>
        <v>200</v>
      </c>
    </row>
    <row r="242" spans="1:21" x14ac:dyDescent="0.3">
      <c r="A242">
        <v>22342</v>
      </c>
      <c r="B242" t="s">
        <v>3</v>
      </c>
      <c r="C242">
        <v>3</v>
      </c>
      <c r="D242">
        <v>4</v>
      </c>
      <c r="E242" t="str">
        <f t="shared" si="9"/>
        <v xml:space="preserve"> ONTIME</v>
      </c>
      <c r="F242">
        <f>VLOOKUP($A242,ordered_items!$B$2:$E$4784,2,0)</f>
        <v>1073</v>
      </c>
      <c r="G242">
        <f>VLOOKUP($A242,ordered_items!$B$2:$E$4784,3,0)</f>
        <v>1</v>
      </c>
      <c r="H242">
        <f>VLOOKUP($A242,ordered_items!$B$2:$E$4784,4,0)</f>
        <v>199.99</v>
      </c>
      <c r="I242" s="15">
        <f>VLOOKUP(F242,product_info!$A$2:$D$73,4,0)</f>
        <v>7</v>
      </c>
      <c r="J242" s="15" t="str">
        <f>VLOOKUP(I242,department!$A$2:$B$13,2,0)</f>
        <v>Fan Shop</v>
      </c>
      <c r="K242">
        <v>9907</v>
      </c>
      <c r="L242" t="s">
        <v>70</v>
      </c>
      <c r="M242" s="4">
        <v>43426</v>
      </c>
      <c r="N242" s="12">
        <f t="shared" si="10"/>
        <v>11</v>
      </c>
      <c r="O242" s="13">
        <f t="shared" si="11"/>
        <v>2018</v>
      </c>
      <c r="P242" t="s">
        <v>13</v>
      </c>
      <c r="Q242" t="s">
        <v>70</v>
      </c>
      <c r="R242" t="s">
        <v>38</v>
      </c>
      <c r="S242" t="str" cm="1">
        <f t="array" ref="S242">_xlfn.IFS(R242="COMPLETE", "COMPLETED", R242="CANCELED", "CANCELED", TRUE, "PENDING")</f>
        <v>PENDING</v>
      </c>
      <c r="T242" t="s">
        <v>16</v>
      </c>
      <c r="U242">
        <f>VLOOKUP(A242,ordered_items!$B:$E,4,0)</f>
        <v>199.99</v>
      </c>
    </row>
    <row r="243" spans="1:21" x14ac:dyDescent="0.3">
      <c r="A243">
        <v>22343</v>
      </c>
      <c r="B243" t="s">
        <v>51</v>
      </c>
      <c r="C243">
        <v>4</v>
      </c>
      <c r="D243">
        <v>4</v>
      </c>
      <c r="E243" t="str">
        <f t="shared" si="9"/>
        <v xml:space="preserve"> ONTIME</v>
      </c>
      <c r="F243">
        <f>VLOOKUP($A243,ordered_items!$B$2:$E$4784,2,0)</f>
        <v>403</v>
      </c>
      <c r="G243">
        <f>VLOOKUP($A243,ordered_items!$B$2:$E$4784,3,0)</f>
        <v>1</v>
      </c>
      <c r="H243">
        <f>VLOOKUP($A243,ordered_items!$B$2:$E$4784,4,0)</f>
        <v>129.99</v>
      </c>
      <c r="I243" s="15">
        <f>VLOOKUP(F243,product_info!$A$2:$D$73,4,0)</f>
        <v>4</v>
      </c>
      <c r="J243" s="15" t="str">
        <f>VLOOKUP(I243,department!$A$2:$B$13,2,0)</f>
        <v>Apparel</v>
      </c>
      <c r="K243">
        <v>8776</v>
      </c>
      <c r="L243" t="s">
        <v>70</v>
      </c>
      <c r="M243" s="4">
        <v>43426</v>
      </c>
      <c r="N243" s="12">
        <f t="shared" si="10"/>
        <v>11</v>
      </c>
      <c r="O243" s="13">
        <f t="shared" si="11"/>
        <v>2018</v>
      </c>
      <c r="P243" t="s">
        <v>13</v>
      </c>
      <c r="Q243" t="s">
        <v>70</v>
      </c>
      <c r="R243" t="s">
        <v>57</v>
      </c>
      <c r="S243" t="str" cm="1">
        <f t="array" ref="S243">_xlfn.IFS(R243="COMPLETE", "COMPLETED", R243="CANCELED", "CANCELED", TRUE, "PENDING")</f>
        <v>PENDING</v>
      </c>
      <c r="T243" t="s">
        <v>16</v>
      </c>
      <c r="U243">
        <f>VLOOKUP(A243,ordered_items!$B:$E,4,0)</f>
        <v>129.99</v>
      </c>
    </row>
    <row r="244" spans="1:21" x14ac:dyDescent="0.3">
      <c r="A244">
        <v>22386</v>
      </c>
      <c r="B244" t="s">
        <v>3</v>
      </c>
      <c r="C244">
        <v>2</v>
      </c>
      <c r="D244">
        <v>4</v>
      </c>
      <c r="E244" t="str">
        <f t="shared" si="9"/>
        <v xml:space="preserve"> ONTIME</v>
      </c>
      <c r="F244">
        <f>VLOOKUP($A244,ordered_items!$B$2:$E$4784,2,0)</f>
        <v>1014</v>
      </c>
      <c r="G244">
        <f>VLOOKUP($A244,ordered_items!$B$2:$E$4784,3,0)</f>
        <v>5</v>
      </c>
      <c r="H244">
        <f>VLOOKUP($A244,ordered_items!$B$2:$E$4784,4,0)</f>
        <v>249.9</v>
      </c>
      <c r="I244" s="15">
        <f>VLOOKUP(F244,product_info!$A$2:$D$73,4,0)</f>
        <v>7</v>
      </c>
      <c r="J244" s="15" t="str">
        <f>VLOOKUP(I244,department!$A$2:$B$13,2,0)</f>
        <v>Fan Shop</v>
      </c>
      <c r="K244">
        <v>7095</v>
      </c>
      <c r="L244" t="s">
        <v>780</v>
      </c>
      <c r="M244" s="4">
        <v>43426</v>
      </c>
      <c r="N244" s="12">
        <f t="shared" si="10"/>
        <v>11</v>
      </c>
      <c r="O244" s="13">
        <f t="shared" si="11"/>
        <v>2018</v>
      </c>
      <c r="P244" t="s">
        <v>13</v>
      </c>
      <c r="Q244" t="s">
        <v>80</v>
      </c>
      <c r="R244" t="s">
        <v>14</v>
      </c>
      <c r="S244" t="str" cm="1">
        <f t="array" ref="S244">_xlfn.IFS(R244="COMPLETE", "COMPLETED", R244="CANCELED", "CANCELED", TRUE, "PENDING")</f>
        <v>PENDING</v>
      </c>
      <c r="T244" t="s">
        <v>16</v>
      </c>
      <c r="U244">
        <f>VLOOKUP(A244,ordered_items!$B:$E,4,0)</f>
        <v>249.9</v>
      </c>
    </row>
    <row r="245" spans="1:21" x14ac:dyDescent="0.3">
      <c r="A245">
        <v>22452</v>
      </c>
      <c r="B245" t="s">
        <v>3</v>
      </c>
      <c r="C245">
        <v>3</v>
      </c>
      <c r="D245">
        <v>2</v>
      </c>
      <c r="E245" t="str">
        <f t="shared" si="9"/>
        <v>DELAYED</v>
      </c>
      <c r="F245">
        <f>VLOOKUP($A245,ordered_items!$B$2:$E$4784,2,0)</f>
        <v>1073</v>
      </c>
      <c r="G245">
        <f>VLOOKUP($A245,ordered_items!$B$2:$E$4784,3,0)</f>
        <v>1</v>
      </c>
      <c r="H245">
        <f>VLOOKUP($A245,ordered_items!$B$2:$E$4784,4,0)</f>
        <v>199.99</v>
      </c>
      <c r="I245" s="15">
        <f>VLOOKUP(F245,product_info!$A$2:$D$73,4,0)</f>
        <v>7</v>
      </c>
      <c r="J245" s="15" t="str">
        <f>VLOOKUP(I245,department!$A$2:$B$13,2,0)</f>
        <v>Fan Shop</v>
      </c>
      <c r="K245">
        <v>9302</v>
      </c>
      <c r="L245" t="s">
        <v>660</v>
      </c>
      <c r="M245" s="4">
        <v>43427</v>
      </c>
      <c r="N245" s="12">
        <f t="shared" si="10"/>
        <v>11</v>
      </c>
      <c r="O245" s="13">
        <f t="shared" si="11"/>
        <v>2018</v>
      </c>
      <c r="P245" t="s">
        <v>13</v>
      </c>
      <c r="Q245" t="s">
        <v>99</v>
      </c>
      <c r="R245" t="s">
        <v>14</v>
      </c>
      <c r="S245" t="str" cm="1">
        <f t="array" ref="S245">_xlfn.IFS(R245="COMPLETE", "COMPLETED", R245="CANCELED", "CANCELED", TRUE, "PENDING")</f>
        <v>PENDING</v>
      </c>
      <c r="T245" t="s">
        <v>90</v>
      </c>
      <c r="U245">
        <f>VLOOKUP(A245,ordered_items!$B:$E,4,0)</f>
        <v>199.99</v>
      </c>
    </row>
    <row r="246" spans="1:21" x14ac:dyDescent="0.3">
      <c r="A246">
        <v>22454</v>
      </c>
      <c r="B246" t="s">
        <v>24</v>
      </c>
      <c r="C246">
        <v>2</v>
      </c>
      <c r="D246">
        <v>1</v>
      </c>
      <c r="E246" t="str">
        <f t="shared" si="9"/>
        <v>DELAYED</v>
      </c>
      <c r="F246">
        <f>VLOOKUP($A246,ordered_items!$B$2:$E$4784,2,0)</f>
        <v>276</v>
      </c>
      <c r="G246">
        <f>VLOOKUP($A246,ordered_items!$B$2:$E$4784,3,0)</f>
        <v>1</v>
      </c>
      <c r="H246">
        <f>VLOOKUP($A246,ordered_items!$B$2:$E$4784,4,0)</f>
        <v>31.99</v>
      </c>
      <c r="I246" s="15">
        <f>VLOOKUP(F246,product_info!$A$2:$D$73,4,0)</f>
        <v>3</v>
      </c>
      <c r="J246" s="15" t="str">
        <f>VLOOKUP(I246,department!$A$2:$B$13,2,0)</f>
        <v>Footwear</v>
      </c>
      <c r="K246">
        <v>3527</v>
      </c>
      <c r="L246" t="s">
        <v>233</v>
      </c>
      <c r="M246" s="4">
        <v>43427</v>
      </c>
      <c r="N246" s="12">
        <f t="shared" si="10"/>
        <v>11</v>
      </c>
      <c r="O246" s="13">
        <f t="shared" si="11"/>
        <v>2018</v>
      </c>
      <c r="P246" t="s">
        <v>13</v>
      </c>
      <c r="Q246" t="s">
        <v>234</v>
      </c>
      <c r="R246" t="s">
        <v>31</v>
      </c>
      <c r="S246" t="str" cm="1">
        <f t="array" ref="S246">_xlfn.IFS(R246="COMPLETE", "COMPLETED", R246="CANCELED", "CANCELED", TRUE, "PENDING")</f>
        <v>COMPLETED</v>
      </c>
      <c r="T246" t="s">
        <v>32</v>
      </c>
      <c r="U246">
        <f>VLOOKUP(A246,ordered_items!$B:$E,4,0)</f>
        <v>31.99</v>
      </c>
    </row>
    <row r="247" spans="1:21" x14ac:dyDescent="0.3">
      <c r="A247">
        <v>22455</v>
      </c>
      <c r="B247" t="s">
        <v>24</v>
      </c>
      <c r="C247">
        <v>2</v>
      </c>
      <c r="D247">
        <v>1</v>
      </c>
      <c r="E247" t="str">
        <f t="shared" si="9"/>
        <v>DELAYED</v>
      </c>
      <c r="F247">
        <f>VLOOKUP($A247,ordered_items!$B$2:$E$4784,2,0)</f>
        <v>365</v>
      </c>
      <c r="G247">
        <f>VLOOKUP($A247,ordered_items!$B$2:$E$4784,3,0)</f>
        <v>5</v>
      </c>
      <c r="H247">
        <f>VLOOKUP($A247,ordered_items!$B$2:$E$4784,4,0)</f>
        <v>299.95</v>
      </c>
      <c r="I247" s="15">
        <f>VLOOKUP(F247,product_info!$A$2:$D$73,4,0)</f>
        <v>4</v>
      </c>
      <c r="J247" s="15" t="str">
        <f>VLOOKUP(I247,department!$A$2:$B$13,2,0)</f>
        <v>Apparel</v>
      </c>
      <c r="K247">
        <v>11638</v>
      </c>
      <c r="L247" t="s">
        <v>233</v>
      </c>
      <c r="M247" s="4">
        <v>43427</v>
      </c>
      <c r="N247" s="12">
        <f t="shared" si="10"/>
        <v>11</v>
      </c>
      <c r="O247" s="13">
        <f t="shared" si="11"/>
        <v>2018</v>
      </c>
      <c r="P247" t="s">
        <v>13</v>
      </c>
      <c r="Q247" t="s">
        <v>234</v>
      </c>
      <c r="R247" t="s">
        <v>31</v>
      </c>
      <c r="S247" t="str" cm="1">
        <f t="array" ref="S247">_xlfn.IFS(R247="COMPLETE", "COMPLETED", R247="CANCELED", "CANCELED", TRUE, "PENDING")</f>
        <v>COMPLETED</v>
      </c>
      <c r="T247" t="s">
        <v>32</v>
      </c>
      <c r="U247">
        <f>VLOOKUP(A247,ordered_items!$B:$E,4,0)</f>
        <v>299.95</v>
      </c>
    </row>
    <row r="248" spans="1:21" x14ac:dyDescent="0.3">
      <c r="A248">
        <v>22473</v>
      </c>
      <c r="B248" t="s">
        <v>3</v>
      </c>
      <c r="C248">
        <v>4</v>
      </c>
      <c r="D248">
        <v>4</v>
      </c>
      <c r="E248" t="str">
        <f t="shared" si="9"/>
        <v xml:space="preserve"> ONTIME</v>
      </c>
      <c r="F248">
        <f>VLOOKUP($A248,ordered_items!$B$2:$E$4784,2,0)</f>
        <v>502</v>
      </c>
      <c r="G248">
        <f>VLOOKUP($A248,ordered_items!$B$2:$E$4784,3,0)</f>
        <v>5</v>
      </c>
      <c r="H248">
        <f>VLOOKUP($A248,ordered_items!$B$2:$E$4784,4,0)</f>
        <v>250</v>
      </c>
      <c r="I248" s="15">
        <f>VLOOKUP(F248,product_info!$A$2:$D$73,4,0)</f>
        <v>5</v>
      </c>
      <c r="J248" s="15" t="str">
        <f>VLOOKUP(I248,department!$A$2:$B$13,2,0)</f>
        <v>Golf</v>
      </c>
      <c r="K248">
        <v>8129</v>
      </c>
      <c r="L248" t="s">
        <v>202</v>
      </c>
      <c r="M248" s="4">
        <v>43428</v>
      </c>
      <c r="N248" s="12">
        <f t="shared" si="10"/>
        <v>11</v>
      </c>
      <c r="O248" s="13">
        <f t="shared" si="11"/>
        <v>2018</v>
      </c>
      <c r="P248" t="s">
        <v>13</v>
      </c>
      <c r="Q248" t="s">
        <v>99</v>
      </c>
      <c r="R248" t="s">
        <v>14</v>
      </c>
      <c r="S248" t="str" cm="1">
        <f t="array" ref="S248">_xlfn.IFS(R248="COMPLETE", "COMPLETED", R248="CANCELED", "CANCELED", TRUE, "PENDING")</f>
        <v>PENDING</v>
      </c>
      <c r="T248" t="s">
        <v>16</v>
      </c>
      <c r="U248">
        <f>VLOOKUP(A248,ordered_items!$B:$E,4,0)</f>
        <v>250</v>
      </c>
    </row>
    <row r="249" spans="1:21" x14ac:dyDescent="0.3">
      <c r="A249">
        <v>22474</v>
      </c>
      <c r="B249" t="s">
        <v>24</v>
      </c>
      <c r="C249">
        <v>5</v>
      </c>
      <c r="D249">
        <v>4</v>
      </c>
      <c r="E249" t="str">
        <f t="shared" si="9"/>
        <v>DELAYED</v>
      </c>
      <c r="F249">
        <f>VLOOKUP($A249,ordered_items!$B$2:$E$4784,2,0)</f>
        <v>957</v>
      </c>
      <c r="G249">
        <f>VLOOKUP($A249,ordered_items!$B$2:$E$4784,3,0)</f>
        <v>1</v>
      </c>
      <c r="H249">
        <f>VLOOKUP($A249,ordered_items!$B$2:$E$4784,4,0)</f>
        <v>299.98</v>
      </c>
      <c r="I249" s="15">
        <f>VLOOKUP(F249,product_info!$A$2:$D$73,4,0)</f>
        <v>7</v>
      </c>
      <c r="J249" s="15" t="str">
        <f>VLOOKUP(I249,department!$A$2:$B$13,2,0)</f>
        <v>Fan Shop</v>
      </c>
      <c r="K249">
        <v>11643</v>
      </c>
      <c r="L249" t="s">
        <v>202</v>
      </c>
      <c r="M249" s="4">
        <v>43428</v>
      </c>
      <c r="N249" s="12">
        <f t="shared" si="10"/>
        <v>11</v>
      </c>
      <c r="O249" s="13">
        <f t="shared" si="11"/>
        <v>2018</v>
      </c>
      <c r="P249" t="s">
        <v>13</v>
      </c>
      <c r="Q249" t="s">
        <v>99</v>
      </c>
      <c r="R249" t="s">
        <v>31</v>
      </c>
      <c r="S249" t="str" cm="1">
        <f t="array" ref="S249">_xlfn.IFS(R249="COMPLETE", "COMPLETED", R249="CANCELED", "CANCELED", TRUE, "PENDING")</f>
        <v>COMPLETED</v>
      </c>
      <c r="T249" t="s">
        <v>16</v>
      </c>
      <c r="U249">
        <f>VLOOKUP(A249,ordered_items!$B:$E,4,0)</f>
        <v>299.98</v>
      </c>
    </row>
    <row r="250" spans="1:21" x14ac:dyDescent="0.3">
      <c r="A250">
        <v>22475</v>
      </c>
      <c r="B250" t="s">
        <v>51</v>
      </c>
      <c r="C250">
        <v>6</v>
      </c>
      <c r="D250">
        <v>4</v>
      </c>
      <c r="E250" t="str">
        <f t="shared" si="9"/>
        <v>DELAYED</v>
      </c>
      <c r="F250">
        <f>VLOOKUP($A250,ordered_items!$B$2:$E$4784,2,0)</f>
        <v>1004</v>
      </c>
      <c r="G250">
        <f>VLOOKUP($A250,ordered_items!$B$2:$E$4784,3,0)</f>
        <v>1</v>
      </c>
      <c r="H250">
        <f>VLOOKUP($A250,ordered_items!$B$2:$E$4784,4,0)</f>
        <v>399.98</v>
      </c>
      <c r="I250" s="15">
        <f>VLOOKUP(F250,product_info!$A$2:$D$73,4,0)</f>
        <v>7</v>
      </c>
      <c r="J250" s="15" t="str">
        <f>VLOOKUP(I250,department!$A$2:$B$13,2,0)</f>
        <v>Fan Shop</v>
      </c>
      <c r="K250">
        <v>3666</v>
      </c>
      <c r="L250" t="s">
        <v>206</v>
      </c>
      <c r="M250" s="4">
        <v>43428</v>
      </c>
      <c r="N250" s="12">
        <f t="shared" si="10"/>
        <v>11</v>
      </c>
      <c r="O250" s="13">
        <f t="shared" si="11"/>
        <v>2018</v>
      </c>
      <c r="P250" t="s">
        <v>13</v>
      </c>
      <c r="Q250" t="s">
        <v>30</v>
      </c>
      <c r="R250" t="s">
        <v>57</v>
      </c>
      <c r="S250" t="str" cm="1">
        <f t="array" ref="S250">_xlfn.IFS(R250="COMPLETE", "COMPLETED", R250="CANCELED", "CANCELED", TRUE, "PENDING")</f>
        <v>PENDING</v>
      </c>
      <c r="T250" t="s">
        <v>16</v>
      </c>
      <c r="U250">
        <f>VLOOKUP(A250,ordered_items!$B:$E,4,0)</f>
        <v>399.98</v>
      </c>
    </row>
    <row r="251" spans="1:21" x14ac:dyDescent="0.3">
      <c r="A251">
        <v>22486</v>
      </c>
      <c r="B251" t="s">
        <v>24</v>
      </c>
      <c r="C251">
        <v>2</v>
      </c>
      <c r="D251">
        <v>2</v>
      </c>
      <c r="E251" t="str">
        <f t="shared" si="9"/>
        <v xml:space="preserve"> ONTIME</v>
      </c>
      <c r="F251">
        <f>VLOOKUP($A251,ordered_items!$B$2:$E$4784,2,0)</f>
        <v>365</v>
      </c>
      <c r="G251">
        <f>VLOOKUP($A251,ordered_items!$B$2:$E$4784,3,0)</f>
        <v>5</v>
      </c>
      <c r="H251">
        <f>VLOOKUP($A251,ordered_items!$B$2:$E$4784,4,0)</f>
        <v>299.95</v>
      </c>
      <c r="I251" s="15">
        <f>VLOOKUP(F251,product_info!$A$2:$D$73,4,0)</f>
        <v>4</v>
      </c>
      <c r="J251" s="15" t="str">
        <f>VLOOKUP(I251,department!$A$2:$B$13,2,0)</f>
        <v>Apparel</v>
      </c>
      <c r="K251">
        <v>11422</v>
      </c>
      <c r="L251" t="s">
        <v>2400</v>
      </c>
      <c r="M251" s="4">
        <v>43428</v>
      </c>
      <c r="N251" s="12">
        <f t="shared" si="10"/>
        <v>11</v>
      </c>
      <c r="O251" s="13">
        <f t="shared" si="11"/>
        <v>2018</v>
      </c>
      <c r="P251" t="s">
        <v>13</v>
      </c>
      <c r="Q251" t="s">
        <v>245</v>
      </c>
      <c r="R251" t="s">
        <v>31</v>
      </c>
      <c r="S251" t="str" cm="1">
        <f t="array" ref="S251">_xlfn.IFS(R251="COMPLETE", "COMPLETED", R251="CANCELED", "CANCELED", TRUE, "PENDING")</f>
        <v>COMPLETED</v>
      </c>
      <c r="T251" t="s">
        <v>90</v>
      </c>
      <c r="U251">
        <f>VLOOKUP(A251,ordered_items!$B:$E,4,0)</f>
        <v>299.95</v>
      </c>
    </row>
    <row r="252" spans="1:21" x14ac:dyDescent="0.3">
      <c r="A252">
        <v>22490</v>
      </c>
      <c r="B252" t="s">
        <v>51</v>
      </c>
      <c r="C252">
        <v>6</v>
      </c>
      <c r="D252">
        <v>4</v>
      </c>
      <c r="E252" t="str">
        <f t="shared" si="9"/>
        <v>DELAYED</v>
      </c>
      <c r="F252">
        <f>VLOOKUP($A252,ordered_items!$B$2:$E$4784,2,0)</f>
        <v>403</v>
      </c>
      <c r="G252">
        <f>VLOOKUP($A252,ordered_items!$B$2:$E$4784,3,0)</f>
        <v>1</v>
      </c>
      <c r="H252">
        <f>VLOOKUP($A252,ordered_items!$B$2:$E$4784,4,0)</f>
        <v>129.99</v>
      </c>
      <c r="I252" s="15">
        <f>VLOOKUP(F252,product_info!$A$2:$D$73,4,0)</f>
        <v>4</v>
      </c>
      <c r="J252" s="15" t="str">
        <f>VLOOKUP(I252,department!$A$2:$B$13,2,0)</f>
        <v>Apparel</v>
      </c>
      <c r="K252">
        <v>9243</v>
      </c>
      <c r="L252" t="s">
        <v>530</v>
      </c>
      <c r="M252" s="4">
        <v>43428</v>
      </c>
      <c r="N252" s="12">
        <f t="shared" si="10"/>
        <v>11</v>
      </c>
      <c r="O252" s="13">
        <f t="shared" si="11"/>
        <v>2018</v>
      </c>
      <c r="P252" t="s">
        <v>13</v>
      </c>
      <c r="Q252" t="s">
        <v>5777</v>
      </c>
      <c r="R252" t="s">
        <v>57</v>
      </c>
      <c r="S252" t="str" cm="1">
        <f t="array" ref="S252">_xlfn.IFS(R252="COMPLETE", "COMPLETED", R252="CANCELED", "CANCELED", TRUE, "PENDING")</f>
        <v>PENDING</v>
      </c>
      <c r="T252" t="s">
        <v>16</v>
      </c>
      <c r="U252">
        <f>VLOOKUP(A252,ordered_items!$B:$E,4,0)</f>
        <v>129.99</v>
      </c>
    </row>
    <row r="253" spans="1:21" x14ac:dyDescent="0.3">
      <c r="A253">
        <v>22497</v>
      </c>
      <c r="B253" t="s">
        <v>3</v>
      </c>
      <c r="C253">
        <v>3</v>
      </c>
      <c r="D253">
        <v>2</v>
      </c>
      <c r="E253" t="str">
        <f t="shared" si="9"/>
        <v>DELAYED</v>
      </c>
      <c r="F253">
        <f>VLOOKUP($A253,ordered_items!$B$2:$E$4784,2,0)</f>
        <v>627</v>
      </c>
      <c r="G253">
        <f>VLOOKUP($A253,ordered_items!$B$2:$E$4784,3,0)</f>
        <v>3</v>
      </c>
      <c r="H253">
        <f>VLOOKUP($A253,ordered_items!$B$2:$E$4784,4,0)</f>
        <v>119.97</v>
      </c>
      <c r="I253" s="15">
        <f>VLOOKUP(F253,product_info!$A$2:$D$73,4,0)</f>
        <v>5</v>
      </c>
      <c r="J253" s="15" t="str">
        <f>VLOOKUP(I253,department!$A$2:$B$13,2,0)</f>
        <v>Golf</v>
      </c>
      <c r="K253">
        <v>11099</v>
      </c>
      <c r="L253" t="s">
        <v>439</v>
      </c>
      <c r="M253" s="4">
        <v>43428</v>
      </c>
      <c r="N253" s="12">
        <f t="shared" si="10"/>
        <v>11</v>
      </c>
      <c r="O253" s="13">
        <f t="shared" si="11"/>
        <v>2018</v>
      </c>
      <c r="P253" t="s">
        <v>13</v>
      </c>
      <c r="Q253" t="s">
        <v>377</v>
      </c>
      <c r="R253" t="s">
        <v>14</v>
      </c>
      <c r="S253" t="str" cm="1">
        <f t="array" ref="S253">_xlfn.IFS(R253="COMPLETE", "COMPLETED", R253="CANCELED", "CANCELED", TRUE, "PENDING")</f>
        <v>PENDING</v>
      </c>
      <c r="T253" t="s">
        <v>90</v>
      </c>
      <c r="U253">
        <f>VLOOKUP(A253,ordered_items!$B:$E,4,0)</f>
        <v>119.97</v>
      </c>
    </row>
    <row r="254" spans="1:21" x14ac:dyDescent="0.3">
      <c r="A254">
        <v>22498</v>
      </c>
      <c r="B254" t="s">
        <v>51</v>
      </c>
      <c r="C254">
        <v>4</v>
      </c>
      <c r="D254">
        <v>4</v>
      </c>
      <c r="E254" t="str">
        <f t="shared" si="9"/>
        <v xml:space="preserve"> ONTIME</v>
      </c>
      <c r="F254">
        <f>VLOOKUP($A254,ordered_items!$B$2:$E$4784,2,0)</f>
        <v>365</v>
      </c>
      <c r="G254">
        <f>VLOOKUP($A254,ordered_items!$B$2:$E$4784,3,0)</f>
        <v>1</v>
      </c>
      <c r="H254">
        <f>VLOOKUP($A254,ordered_items!$B$2:$E$4784,4,0)</f>
        <v>59.99</v>
      </c>
      <c r="I254" s="15">
        <f>VLOOKUP(F254,product_info!$A$2:$D$73,4,0)</f>
        <v>4</v>
      </c>
      <c r="J254" s="15" t="str">
        <f>VLOOKUP(I254,department!$A$2:$B$13,2,0)</f>
        <v>Apparel</v>
      </c>
      <c r="K254">
        <v>3090</v>
      </c>
      <c r="L254" t="s">
        <v>439</v>
      </c>
      <c r="M254" s="4">
        <v>43428</v>
      </c>
      <c r="N254" s="12">
        <f t="shared" si="10"/>
        <v>11</v>
      </c>
      <c r="O254" s="13">
        <f t="shared" si="11"/>
        <v>2018</v>
      </c>
      <c r="P254" t="s">
        <v>13</v>
      </c>
      <c r="Q254" t="s">
        <v>377</v>
      </c>
      <c r="R254" t="s">
        <v>57</v>
      </c>
      <c r="S254" t="str" cm="1">
        <f t="array" ref="S254">_xlfn.IFS(R254="COMPLETE", "COMPLETED", R254="CANCELED", "CANCELED", TRUE, "PENDING")</f>
        <v>PENDING</v>
      </c>
      <c r="T254" t="s">
        <v>16</v>
      </c>
      <c r="U254">
        <f>VLOOKUP(A254,ordered_items!$B:$E,4,0)</f>
        <v>59.99</v>
      </c>
    </row>
    <row r="255" spans="1:21" x14ac:dyDescent="0.3">
      <c r="A255">
        <v>22499</v>
      </c>
      <c r="B255" t="s">
        <v>24</v>
      </c>
      <c r="C255">
        <v>5</v>
      </c>
      <c r="D255">
        <v>4</v>
      </c>
      <c r="E255" t="str">
        <f t="shared" si="9"/>
        <v>DELAYED</v>
      </c>
      <c r="F255">
        <f>VLOOKUP($A255,ordered_items!$B$2:$E$4784,2,0)</f>
        <v>365</v>
      </c>
      <c r="G255">
        <f>VLOOKUP($A255,ordered_items!$B$2:$E$4784,3,0)</f>
        <v>1</v>
      </c>
      <c r="H255">
        <f>VLOOKUP($A255,ordered_items!$B$2:$E$4784,4,0)</f>
        <v>59.99</v>
      </c>
      <c r="I255" s="15">
        <f>VLOOKUP(F255,product_info!$A$2:$D$73,4,0)</f>
        <v>4</v>
      </c>
      <c r="J255" s="15" t="str">
        <f>VLOOKUP(I255,department!$A$2:$B$13,2,0)</f>
        <v>Apparel</v>
      </c>
      <c r="K255">
        <v>5222</v>
      </c>
      <c r="L255" t="s">
        <v>439</v>
      </c>
      <c r="M255" s="4">
        <v>43428</v>
      </c>
      <c r="N255" s="12">
        <f t="shared" si="10"/>
        <v>11</v>
      </c>
      <c r="O255" s="13">
        <f t="shared" si="11"/>
        <v>2018</v>
      </c>
      <c r="P255" t="s">
        <v>13</v>
      </c>
      <c r="Q255" t="s">
        <v>377</v>
      </c>
      <c r="R255" t="s">
        <v>31</v>
      </c>
      <c r="S255" t="str" cm="1">
        <f t="array" ref="S255">_xlfn.IFS(R255="COMPLETE", "COMPLETED", R255="CANCELED", "CANCELED", TRUE, "PENDING")</f>
        <v>COMPLETED</v>
      </c>
      <c r="T255" t="s">
        <v>16</v>
      </c>
      <c r="U255">
        <f>VLOOKUP(A255,ordered_items!$B:$E,4,0)</f>
        <v>59.99</v>
      </c>
    </row>
    <row r="256" spans="1:21" x14ac:dyDescent="0.3">
      <c r="A256">
        <v>22518</v>
      </c>
      <c r="B256" t="s">
        <v>24</v>
      </c>
      <c r="C256">
        <v>4</v>
      </c>
      <c r="D256">
        <v>2</v>
      </c>
      <c r="E256" t="str">
        <f t="shared" si="9"/>
        <v>DELAYED</v>
      </c>
      <c r="F256">
        <f>VLOOKUP($A256,ordered_items!$B$2:$E$4784,2,0)</f>
        <v>403</v>
      </c>
      <c r="G256">
        <f>VLOOKUP($A256,ordered_items!$B$2:$E$4784,3,0)</f>
        <v>1</v>
      </c>
      <c r="H256">
        <f>VLOOKUP($A256,ordered_items!$B$2:$E$4784,4,0)</f>
        <v>129.99</v>
      </c>
      <c r="I256" s="15">
        <f>VLOOKUP(F256,product_info!$A$2:$D$73,4,0)</f>
        <v>4</v>
      </c>
      <c r="J256" s="15" t="str">
        <f>VLOOKUP(I256,department!$A$2:$B$13,2,0)</f>
        <v>Apparel</v>
      </c>
      <c r="K256">
        <v>3547</v>
      </c>
      <c r="L256" t="s">
        <v>525</v>
      </c>
      <c r="M256" s="4">
        <v>43428</v>
      </c>
      <c r="N256" s="12">
        <f t="shared" si="10"/>
        <v>11</v>
      </c>
      <c r="O256" s="13">
        <f t="shared" si="11"/>
        <v>2018</v>
      </c>
      <c r="P256" t="s">
        <v>13</v>
      </c>
      <c r="Q256" t="s">
        <v>5778</v>
      </c>
      <c r="R256" t="s">
        <v>378</v>
      </c>
      <c r="S256" t="str" cm="1">
        <f t="array" ref="S256">_xlfn.IFS(R256="COMPLETE", "COMPLETED", R256="CANCELED", "CANCELED", TRUE, "PENDING")</f>
        <v>PENDING</v>
      </c>
      <c r="T256" t="s">
        <v>90</v>
      </c>
      <c r="U256">
        <f>VLOOKUP(A256,ordered_items!$B:$E,4,0)</f>
        <v>129.99</v>
      </c>
    </row>
    <row r="257" spans="1:21" x14ac:dyDescent="0.3">
      <c r="A257">
        <v>22533</v>
      </c>
      <c r="B257" t="s">
        <v>3</v>
      </c>
      <c r="C257">
        <v>4</v>
      </c>
      <c r="D257">
        <v>4</v>
      </c>
      <c r="E257" t="str">
        <f t="shared" si="9"/>
        <v xml:space="preserve"> ONTIME</v>
      </c>
      <c r="F257">
        <f>VLOOKUP($A257,ordered_items!$B$2:$E$4784,2,0)</f>
        <v>627</v>
      </c>
      <c r="G257">
        <f>VLOOKUP($A257,ordered_items!$B$2:$E$4784,3,0)</f>
        <v>3</v>
      </c>
      <c r="H257">
        <f>VLOOKUP($A257,ordered_items!$B$2:$E$4784,4,0)</f>
        <v>119.97</v>
      </c>
      <c r="I257" s="15">
        <f>VLOOKUP(F257,product_info!$A$2:$D$73,4,0)</f>
        <v>5</v>
      </c>
      <c r="J257" s="15" t="str">
        <f>VLOOKUP(I257,department!$A$2:$B$13,2,0)</f>
        <v>Golf</v>
      </c>
      <c r="K257">
        <v>10068</v>
      </c>
      <c r="L257" t="s">
        <v>660</v>
      </c>
      <c r="M257" s="4">
        <v>43428</v>
      </c>
      <c r="N257" s="12">
        <f t="shared" si="10"/>
        <v>11</v>
      </c>
      <c r="O257" s="13">
        <f t="shared" si="11"/>
        <v>2018</v>
      </c>
      <c r="P257" t="s">
        <v>13</v>
      </c>
      <c r="Q257" t="s">
        <v>99</v>
      </c>
      <c r="R257" t="s">
        <v>14</v>
      </c>
      <c r="S257" t="str" cm="1">
        <f t="array" ref="S257">_xlfn.IFS(R257="COMPLETE", "COMPLETED", R257="CANCELED", "CANCELED", TRUE, "PENDING")</f>
        <v>PENDING</v>
      </c>
      <c r="T257" t="s">
        <v>16</v>
      </c>
      <c r="U257">
        <f>VLOOKUP(A257,ordered_items!$B:$E,4,0)</f>
        <v>119.97</v>
      </c>
    </row>
    <row r="258" spans="1:21" x14ac:dyDescent="0.3">
      <c r="A258">
        <v>22549</v>
      </c>
      <c r="B258" t="s">
        <v>24</v>
      </c>
      <c r="C258">
        <v>5</v>
      </c>
      <c r="D258">
        <v>4</v>
      </c>
      <c r="E258" t="str">
        <f t="shared" si="9"/>
        <v>DELAYED</v>
      </c>
      <c r="F258">
        <f>VLOOKUP($A258,ordered_items!$B$2:$E$4784,2,0)</f>
        <v>282</v>
      </c>
      <c r="G258">
        <f>VLOOKUP($A258,ordered_items!$B$2:$E$4784,3,0)</f>
        <v>5</v>
      </c>
      <c r="H258">
        <f>VLOOKUP($A258,ordered_items!$B$2:$E$4784,4,0)</f>
        <v>159.94999999999999</v>
      </c>
      <c r="I258" s="15">
        <f>VLOOKUP(F258,product_info!$A$2:$D$73,4,0)</f>
        <v>3</v>
      </c>
      <c r="J258" s="15" t="str">
        <f>VLOOKUP(I258,department!$A$2:$B$13,2,0)</f>
        <v>Footwear</v>
      </c>
      <c r="K258">
        <v>6295</v>
      </c>
      <c r="L258" t="s">
        <v>124</v>
      </c>
      <c r="M258" s="4">
        <v>43429</v>
      </c>
      <c r="N258" s="12">
        <f t="shared" si="10"/>
        <v>11</v>
      </c>
      <c r="O258" s="13">
        <f t="shared" si="11"/>
        <v>2018</v>
      </c>
      <c r="P258" t="s">
        <v>13</v>
      </c>
      <c r="Q258" t="s">
        <v>5778</v>
      </c>
      <c r="R258" t="s">
        <v>31</v>
      </c>
      <c r="S258" t="str" cm="1">
        <f t="array" ref="S258">_xlfn.IFS(R258="COMPLETE", "COMPLETED", R258="CANCELED", "CANCELED", TRUE, "PENDING")</f>
        <v>COMPLETED</v>
      </c>
      <c r="T258" t="s">
        <v>16</v>
      </c>
      <c r="U258">
        <f>VLOOKUP(A258,ordered_items!$B:$E,4,0)</f>
        <v>159.94999999999999</v>
      </c>
    </row>
    <row r="259" spans="1:21" x14ac:dyDescent="0.3">
      <c r="A259">
        <v>22550</v>
      </c>
      <c r="B259" t="s">
        <v>51</v>
      </c>
      <c r="C259">
        <v>6</v>
      </c>
      <c r="D259">
        <v>4</v>
      </c>
      <c r="E259" t="str">
        <f t="shared" ref="E259:E322" si="12">IF(C259-D259&gt;0,"DELAYED"," ONTIME")</f>
        <v>DELAYED</v>
      </c>
      <c r="F259">
        <f>VLOOKUP($A259,ordered_items!$B$2:$E$4784,2,0)</f>
        <v>365</v>
      </c>
      <c r="G259">
        <f>VLOOKUP($A259,ordered_items!$B$2:$E$4784,3,0)</f>
        <v>1</v>
      </c>
      <c r="H259">
        <f>VLOOKUP($A259,ordered_items!$B$2:$E$4784,4,0)</f>
        <v>59.99</v>
      </c>
      <c r="I259" s="15">
        <f>VLOOKUP(F259,product_info!$A$2:$D$73,4,0)</f>
        <v>4</v>
      </c>
      <c r="J259" s="15" t="str">
        <f>VLOOKUP(I259,department!$A$2:$B$13,2,0)</f>
        <v>Apparel</v>
      </c>
      <c r="K259">
        <v>3011</v>
      </c>
      <c r="L259" t="s">
        <v>124</v>
      </c>
      <c r="M259" s="4">
        <v>43429</v>
      </c>
      <c r="N259" s="12">
        <f t="shared" ref="N259:N322" si="13">MONTH(M259)</f>
        <v>11</v>
      </c>
      <c r="O259" s="13">
        <f t="shared" ref="O259:O322" si="14">YEAR(M259)</f>
        <v>2018</v>
      </c>
      <c r="P259" t="s">
        <v>13</v>
      </c>
      <c r="Q259" t="s">
        <v>5778</v>
      </c>
      <c r="R259" t="s">
        <v>57</v>
      </c>
      <c r="S259" t="str" cm="1">
        <f t="array" ref="S259">_xlfn.IFS(R259="COMPLETE", "COMPLETED", R259="CANCELED", "CANCELED", TRUE, "PENDING")</f>
        <v>PENDING</v>
      </c>
      <c r="T259" t="s">
        <v>16</v>
      </c>
      <c r="U259">
        <f>VLOOKUP(A259,ordered_items!$B:$E,4,0)</f>
        <v>59.99</v>
      </c>
    </row>
    <row r="260" spans="1:21" x14ac:dyDescent="0.3">
      <c r="A260">
        <v>22554</v>
      </c>
      <c r="B260" t="s">
        <v>51</v>
      </c>
      <c r="C260">
        <v>5</v>
      </c>
      <c r="D260">
        <v>4</v>
      </c>
      <c r="E260" t="str">
        <f t="shared" si="12"/>
        <v>DELAYED</v>
      </c>
      <c r="F260">
        <f>VLOOKUP($A260,ordered_items!$B$2:$E$4784,2,0)</f>
        <v>1014</v>
      </c>
      <c r="G260">
        <f>VLOOKUP($A260,ordered_items!$B$2:$E$4784,3,0)</f>
        <v>4</v>
      </c>
      <c r="H260">
        <f>VLOOKUP($A260,ordered_items!$B$2:$E$4784,4,0)</f>
        <v>199.92</v>
      </c>
      <c r="I260" s="15">
        <f>VLOOKUP(F260,product_info!$A$2:$D$73,4,0)</f>
        <v>7</v>
      </c>
      <c r="J260" s="15" t="str">
        <f>VLOOKUP(I260,department!$A$2:$B$13,2,0)</f>
        <v>Fan Shop</v>
      </c>
      <c r="K260">
        <v>2028</v>
      </c>
      <c r="L260" t="s">
        <v>84</v>
      </c>
      <c r="M260" s="4">
        <v>43429</v>
      </c>
      <c r="N260" s="12">
        <f t="shared" si="13"/>
        <v>11</v>
      </c>
      <c r="O260" s="13">
        <f t="shared" si="14"/>
        <v>2018</v>
      </c>
      <c r="P260" t="s">
        <v>13</v>
      </c>
      <c r="Q260" t="s">
        <v>80</v>
      </c>
      <c r="R260" t="s">
        <v>57</v>
      </c>
      <c r="S260" t="str" cm="1">
        <f t="array" ref="S260">_xlfn.IFS(R260="COMPLETE", "COMPLETED", R260="CANCELED", "CANCELED", TRUE, "PENDING")</f>
        <v>PENDING</v>
      </c>
      <c r="T260" t="s">
        <v>16</v>
      </c>
      <c r="U260">
        <f>VLOOKUP(A260,ordered_items!$B:$E,4,0)</f>
        <v>199.92</v>
      </c>
    </row>
    <row r="261" spans="1:21" x14ac:dyDescent="0.3">
      <c r="A261">
        <v>22573</v>
      </c>
      <c r="B261" t="s">
        <v>24</v>
      </c>
      <c r="C261">
        <v>4</v>
      </c>
      <c r="D261">
        <v>4</v>
      </c>
      <c r="E261" t="str">
        <f t="shared" si="12"/>
        <v xml:space="preserve"> ONTIME</v>
      </c>
      <c r="F261">
        <f>VLOOKUP($A261,ordered_items!$B$2:$E$4784,2,0)</f>
        <v>191</v>
      </c>
      <c r="G261">
        <f>VLOOKUP($A261,ordered_items!$B$2:$E$4784,3,0)</f>
        <v>5</v>
      </c>
      <c r="H261">
        <f>VLOOKUP($A261,ordered_items!$B$2:$E$4784,4,0)</f>
        <v>499.95</v>
      </c>
      <c r="I261" s="15">
        <f>VLOOKUP(F261,product_info!$A$2:$D$73,4,0)</f>
        <v>3</v>
      </c>
      <c r="J261" s="15" t="str">
        <f>VLOOKUP(I261,department!$A$2:$B$13,2,0)</f>
        <v>Footwear</v>
      </c>
      <c r="K261">
        <v>5778</v>
      </c>
      <c r="L261" t="s">
        <v>963</v>
      </c>
      <c r="M261" s="4">
        <v>43429</v>
      </c>
      <c r="N261" s="12">
        <f t="shared" si="13"/>
        <v>11</v>
      </c>
      <c r="O261" s="13">
        <f t="shared" si="14"/>
        <v>2018</v>
      </c>
      <c r="P261" t="s">
        <v>13</v>
      </c>
      <c r="Q261" t="s">
        <v>47</v>
      </c>
      <c r="R261" t="s">
        <v>31</v>
      </c>
      <c r="S261" t="str" cm="1">
        <f t="array" ref="S261">_xlfn.IFS(R261="COMPLETE", "COMPLETED", R261="CANCELED", "CANCELED", TRUE, "PENDING")</f>
        <v>COMPLETED</v>
      </c>
      <c r="T261" t="s">
        <v>16</v>
      </c>
      <c r="U261">
        <f>VLOOKUP(A261,ordered_items!$B:$E,4,0)</f>
        <v>499.95</v>
      </c>
    </row>
    <row r="262" spans="1:21" x14ac:dyDescent="0.3">
      <c r="A262">
        <v>22575</v>
      </c>
      <c r="B262" t="s">
        <v>3</v>
      </c>
      <c r="C262">
        <v>6</v>
      </c>
      <c r="D262">
        <v>4</v>
      </c>
      <c r="E262" t="str">
        <f t="shared" si="12"/>
        <v>DELAYED</v>
      </c>
      <c r="F262">
        <f>VLOOKUP($A262,ordered_items!$B$2:$E$4784,2,0)</f>
        <v>886</v>
      </c>
      <c r="G262">
        <f>VLOOKUP($A262,ordered_items!$B$2:$E$4784,3,0)</f>
        <v>3</v>
      </c>
      <c r="H262">
        <f>VLOOKUP($A262,ordered_items!$B$2:$E$4784,4,0)</f>
        <v>74.97</v>
      </c>
      <c r="I262" s="15">
        <f>VLOOKUP(F262,product_info!$A$2:$D$73,4,0)</f>
        <v>6</v>
      </c>
      <c r="J262" s="15" t="str">
        <f>VLOOKUP(I262,department!$A$2:$B$13,2,0)</f>
        <v>Outdoors</v>
      </c>
      <c r="K262">
        <v>8487</v>
      </c>
      <c r="L262" t="s">
        <v>963</v>
      </c>
      <c r="M262" s="4">
        <v>43429</v>
      </c>
      <c r="N262" s="12">
        <f t="shared" si="13"/>
        <v>11</v>
      </c>
      <c r="O262" s="13">
        <f t="shared" si="14"/>
        <v>2018</v>
      </c>
      <c r="P262" t="s">
        <v>13</v>
      </c>
      <c r="Q262" t="s">
        <v>47</v>
      </c>
      <c r="R262" t="s">
        <v>178</v>
      </c>
      <c r="S262" t="str" cm="1">
        <f t="array" ref="S262">_xlfn.IFS(R262="COMPLETE", "COMPLETED", R262="CANCELED", "CANCELED", TRUE, "PENDING")</f>
        <v>PENDING</v>
      </c>
      <c r="T262" t="s">
        <v>16</v>
      </c>
      <c r="U262">
        <f>VLOOKUP(A262,ordered_items!$B:$E,4,0)</f>
        <v>74.97</v>
      </c>
    </row>
    <row r="263" spans="1:21" x14ac:dyDescent="0.3">
      <c r="A263">
        <v>22576</v>
      </c>
      <c r="B263" t="s">
        <v>51</v>
      </c>
      <c r="C263">
        <v>2</v>
      </c>
      <c r="D263">
        <v>4</v>
      </c>
      <c r="E263" t="str">
        <f t="shared" si="12"/>
        <v xml:space="preserve"> ONTIME</v>
      </c>
      <c r="F263">
        <f>VLOOKUP($A263,ordered_items!$B$2:$E$4784,2,0)</f>
        <v>957</v>
      </c>
      <c r="G263">
        <f>VLOOKUP($A263,ordered_items!$B$2:$E$4784,3,0)</f>
        <v>1</v>
      </c>
      <c r="H263">
        <f>VLOOKUP($A263,ordered_items!$B$2:$E$4784,4,0)</f>
        <v>299.98</v>
      </c>
      <c r="I263" s="15">
        <f>VLOOKUP(F263,product_info!$A$2:$D$73,4,0)</f>
        <v>7</v>
      </c>
      <c r="J263" s="15" t="str">
        <f>VLOOKUP(I263,department!$A$2:$B$13,2,0)</f>
        <v>Fan Shop</v>
      </c>
      <c r="K263">
        <v>4375</v>
      </c>
      <c r="L263" t="s">
        <v>963</v>
      </c>
      <c r="M263" s="4">
        <v>43429</v>
      </c>
      <c r="N263" s="12">
        <f t="shared" si="13"/>
        <v>11</v>
      </c>
      <c r="O263" s="13">
        <f t="shared" si="14"/>
        <v>2018</v>
      </c>
      <c r="P263" t="s">
        <v>13</v>
      </c>
      <c r="Q263" t="s">
        <v>47</v>
      </c>
      <c r="R263" t="s">
        <v>57</v>
      </c>
      <c r="S263" t="str" cm="1">
        <f t="array" ref="S263">_xlfn.IFS(R263="COMPLETE", "COMPLETED", R263="CANCELED", "CANCELED", TRUE, "PENDING")</f>
        <v>PENDING</v>
      </c>
      <c r="T263" t="s">
        <v>16</v>
      </c>
      <c r="U263">
        <f>VLOOKUP(A263,ordered_items!$B:$E,4,0)</f>
        <v>299.98</v>
      </c>
    </row>
    <row r="264" spans="1:21" x14ac:dyDescent="0.3">
      <c r="A264">
        <v>22601</v>
      </c>
      <c r="B264" t="s">
        <v>3</v>
      </c>
      <c r="C264">
        <v>2</v>
      </c>
      <c r="D264">
        <v>4</v>
      </c>
      <c r="E264" t="str">
        <f t="shared" si="12"/>
        <v xml:space="preserve"> ONTIME</v>
      </c>
      <c r="F264">
        <f>VLOOKUP($A264,ordered_items!$B$2:$E$4784,2,0)</f>
        <v>365</v>
      </c>
      <c r="G264">
        <f>VLOOKUP($A264,ordered_items!$B$2:$E$4784,3,0)</f>
        <v>4</v>
      </c>
      <c r="H264">
        <f>VLOOKUP($A264,ordered_items!$B$2:$E$4784,4,0)</f>
        <v>239.96</v>
      </c>
      <c r="I264" s="15">
        <f>VLOOKUP(F264,product_info!$A$2:$D$73,4,0)</f>
        <v>4</v>
      </c>
      <c r="J264" s="15" t="str">
        <f>VLOOKUP(I264,department!$A$2:$B$13,2,0)</f>
        <v>Apparel</v>
      </c>
      <c r="K264">
        <v>6657</v>
      </c>
      <c r="L264" t="s">
        <v>754</v>
      </c>
      <c r="M264" s="4">
        <v>43429</v>
      </c>
      <c r="N264" s="12">
        <f t="shared" si="13"/>
        <v>11</v>
      </c>
      <c r="O264" s="13">
        <f t="shared" si="14"/>
        <v>2018</v>
      </c>
      <c r="P264" t="s">
        <v>13</v>
      </c>
      <c r="Q264" t="s">
        <v>99</v>
      </c>
      <c r="R264" t="s">
        <v>38</v>
      </c>
      <c r="S264" t="str" cm="1">
        <f t="array" ref="S264">_xlfn.IFS(R264="COMPLETE", "COMPLETED", R264="CANCELED", "CANCELED", TRUE, "PENDING")</f>
        <v>PENDING</v>
      </c>
      <c r="T264" t="s">
        <v>16</v>
      </c>
      <c r="U264">
        <f>VLOOKUP(A264,ordered_items!$B:$E,4,0)</f>
        <v>239.96</v>
      </c>
    </row>
    <row r="265" spans="1:21" x14ac:dyDescent="0.3">
      <c r="A265">
        <v>22602</v>
      </c>
      <c r="B265" t="s">
        <v>51</v>
      </c>
      <c r="C265">
        <v>3</v>
      </c>
      <c r="D265">
        <v>4</v>
      </c>
      <c r="E265" t="str">
        <f t="shared" si="12"/>
        <v xml:space="preserve"> ONTIME</v>
      </c>
      <c r="F265">
        <f>VLOOKUP($A265,ordered_items!$B$2:$E$4784,2,0)</f>
        <v>403</v>
      </c>
      <c r="G265">
        <f>VLOOKUP($A265,ordered_items!$B$2:$E$4784,3,0)</f>
        <v>1</v>
      </c>
      <c r="H265">
        <f>VLOOKUP($A265,ordered_items!$B$2:$E$4784,4,0)</f>
        <v>129.99</v>
      </c>
      <c r="I265" s="15">
        <f>VLOOKUP(F265,product_info!$A$2:$D$73,4,0)</f>
        <v>4</v>
      </c>
      <c r="J265" s="15" t="str">
        <f>VLOOKUP(I265,department!$A$2:$B$13,2,0)</f>
        <v>Apparel</v>
      </c>
      <c r="K265">
        <v>7928</v>
      </c>
      <c r="L265" t="s">
        <v>70</v>
      </c>
      <c r="M265" s="4">
        <v>43429</v>
      </c>
      <c r="N265" s="12">
        <f t="shared" si="13"/>
        <v>11</v>
      </c>
      <c r="O265" s="13">
        <f t="shared" si="14"/>
        <v>2018</v>
      </c>
      <c r="P265" t="s">
        <v>13</v>
      </c>
      <c r="Q265" t="s">
        <v>70</v>
      </c>
      <c r="R265" t="s">
        <v>57</v>
      </c>
      <c r="S265" t="str" cm="1">
        <f t="array" ref="S265">_xlfn.IFS(R265="COMPLETE", "COMPLETED", R265="CANCELED", "CANCELED", TRUE, "PENDING")</f>
        <v>PENDING</v>
      </c>
      <c r="T265" t="s">
        <v>16</v>
      </c>
      <c r="U265">
        <f>VLOOKUP(A265,ordered_items!$B:$E,4,0)</f>
        <v>129.99</v>
      </c>
    </row>
    <row r="266" spans="1:21" x14ac:dyDescent="0.3">
      <c r="A266">
        <v>22642</v>
      </c>
      <c r="B266" t="s">
        <v>17</v>
      </c>
      <c r="C266">
        <v>2</v>
      </c>
      <c r="D266">
        <v>1</v>
      </c>
      <c r="E266" t="str">
        <f t="shared" si="12"/>
        <v>DELAYED</v>
      </c>
      <c r="F266">
        <f>VLOOKUP($A266,ordered_items!$B$2:$E$4784,2,0)</f>
        <v>957</v>
      </c>
      <c r="G266">
        <f>VLOOKUP($A266,ordered_items!$B$2:$E$4784,3,0)</f>
        <v>1</v>
      </c>
      <c r="H266">
        <f>VLOOKUP($A266,ordered_items!$B$2:$E$4784,4,0)</f>
        <v>299.98</v>
      </c>
      <c r="I266" s="15">
        <f>VLOOKUP(F266,product_info!$A$2:$D$73,4,0)</f>
        <v>7</v>
      </c>
      <c r="J266" s="15" t="str">
        <f>VLOOKUP(I266,department!$A$2:$B$13,2,0)</f>
        <v>Fan Shop</v>
      </c>
      <c r="K266">
        <v>8273</v>
      </c>
      <c r="L266" t="s">
        <v>383</v>
      </c>
      <c r="M266" s="4">
        <v>43430</v>
      </c>
      <c r="N266" s="12">
        <f t="shared" si="13"/>
        <v>11</v>
      </c>
      <c r="O266" s="13">
        <f t="shared" si="14"/>
        <v>2018</v>
      </c>
      <c r="P266" t="s">
        <v>13</v>
      </c>
      <c r="Q266" t="s">
        <v>5781</v>
      </c>
      <c r="R266" t="s">
        <v>23</v>
      </c>
      <c r="S266" t="str" cm="1">
        <f t="array" ref="S266">_xlfn.IFS(R266="COMPLETE", "COMPLETED", R266="CANCELED", "CANCELED", TRUE, "PENDING")</f>
        <v>PENDING</v>
      </c>
      <c r="T266" t="s">
        <v>32</v>
      </c>
      <c r="U266">
        <f>VLOOKUP(A266,ordered_items!$B:$E,4,0)</f>
        <v>299.98</v>
      </c>
    </row>
    <row r="267" spans="1:21" x14ac:dyDescent="0.3">
      <c r="A267">
        <v>22668</v>
      </c>
      <c r="B267" t="s">
        <v>24</v>
      </c>
      <c r="C267">
        <v>2</v>
      </c>
      <c r="D267">
        <v>1</v>
      </c>
      <c r="E267" t="str">
        <f t="shared" si="12"/>
        <v>DELAYED</v>
      </c>
      <c r="F267">
        <f>VLOOKUP($A267,ordered_items!$B$2:$E$4784,2,0)</f>
        <v>1004</v>
      </c>
      <c r="G267">
        <f>VLOOKUP($A267,ordered_items!$B$2:$E$4784,3,0)</f>
        <v>1</v>
      </c>
      <c r="H267">
        <f>VLOOKUP($A267,ordered_items!$B$2:$E$4784,4,0)</f>
        <v>399.98</v>
      </c>
      <c r="I267" s="15">
        <f>VLOOKUP(F267,product_info!$A$2:$D$73,4,0)</f>
        <v>7</v>
      </c>
      <c r="J267" s="15" t="str">
        <f>VLOOKUP(I267,department!$A$2:$B$13,2,0)</f>
        <v>Fan Shop</v>
      </c>
      <c r="K267">
        <v>1063</v>
      </c>
      <c r="L267" t="s">
        <v>1530</v>
      </c>
      <c r="M267" s="4">
        <v>43430</v>
      </c>
      <c r="N267" s="12">
        <f t="shared" si="13"/>
        <v>11</v>
      </c>
      <c r="O267" s="13">
        <f t="shared" si="14"/>
        <v>2018</v>
      </c>
      <c r="P267" t="s">
        <v>13</v>
      </c>
      <c r="Q267" t="s">
        <v>99</v>
      </c>
      <c r="R267" t="s">
        <v>31</v>
      </c>
      <c r="S267" t="str" cm="1">
        <f t="array" ref="S267">_xlfn.IFS(R267="COMPLETE", "COMPLETED", R267="CANCELED", "CANCELED", TRUE, "PENDING")</f>
        <v>COMPLETED</v>
      </c>
      <c r="T267" t="s">
        <v>32</v>
      </c>
      <c r="U267">
        <f>VLOOKUP(A267,ordered_items!$B:$E,4,0)</f>
        <v>399.98</v>
      </c>
    </row>
    <row r="268" spans="1:21" x14ac:dyDescent="0.3">
      <c r="A268">
        <v>22670</v>
      </c>
      <c r="B268" t="s">
        <v>3</v>
      </c>
      <c r="C268">
        <v>6</v>
      </c>
      <c r="D268">
        <v>4</v>
      </c>
      <c r="E268" t="str">
        <f t="shared" si="12"/>
        <v>DELAYED</v>
      </c>
      <c r="F268">
        <f>VLOOKUP($A268,ordered_items!$B$2:$E$4784,2,0)</f>
        <v>191</v>
      </c>
      <c r="G268">
        <f>VLOOKUP($A268,ordered_items!$B$2:$E$4784,3,0)</f>
        <v>1</v>
      </c>
      <c r="H268">
        <f>VLOOKUP($A268,ordered_items!$B$2:$E$4784,4,0)</f>
        <v>99.99</v>
      </c>
      <c r="I268" s="15">
        <f>VLOOKUP(F268,product_info!$A$2:$D$73,4,0)</f>
        <v>3</v>
      </c>
      <c r="J268" s="15" t="str">
        <f>VLOOKUP(I268,department!$A$2:$B$13,2,0)</f>
        <v>Footwear</v>
      </c>
      <c r="K268">
        <v>2645</v>
      </c>
      <c r="L268" t="s">
        <v>1499</v>
      </c>
      <c r="M268" s="4">
        <v>43430</v>
      </c>
      <c r="N268" s="12">
        <f t="shared" si="13"/>
        <v>11</v>
      </c>
      <c r="O268" s="13">
        <f t="shared" si="14"/>
        <v>2018</v>
      </c>
      <c r="P268" t="s">
        <v>13</v>
      </c>
      <c r="Q268" t="s">
        <v>538</v>
      </c>
      <c r="R268" t="s">
        <v>38</v>
      </c>
      <c r="S268" t="str" cm="1">
        <f t="array" ref="S268">_xlfn.IFS(R268="COMPLETE", "COMPLETED", R268="CANCELED", "CANCELED", TRUE, "PENDING")</f>
        <v>PENDING</v>
      </c>
      <c r="T268" t="s">
        <v>16</v>
      </c>
      <c r="U268">
        <f>VLOOKUP(A268,ordered_items!$B:$E,4,0)</f>
        <v>99.99</v>
      </c>
    </row>
    <row r="269" spans="1:21" x14ac:dyDescent="0.3">
      <c r="A269">
        <v>22671</v>
      </c>
      <c r="B269" t="s">
        <v>17</v>
      </c>
      <c r="C269">
        <v>2</v>
      </c>
      <c r="D269">
        <v>4</v>
      </c>
      <c r="E269" t="str">
        <f t="shared" si="12"/>
        <v xml:space="preserve"> ONTIME</v>
      </c>
      <c r="F269">
        <f>VLOOKUP($A269,ordered_items!$B$2:$E$4784,2,0)</f>
        <v>1004</v>
      </c>
      <c r="G269">
        <f>VLOOKUP($A269,ordered_items!$B$2:$E$4784,3,0)</f>
        <v>1</v>
      </c>
      <c r="H269">
        <f>VLOOKUP($A269,ordered_items!$B$2:$E$4784,4,0)</f>
        <v>399.98</v>
      </c>
      <c r="I269" s="15">
        <f>VLOOKUP(F269,product_info!$A$2:$D$73,4,0)</f>
        <v>7</v>
      </c>
      <c r="J269" s="15" t="str">
        <f>VLOOKUP(I269,department!$A$2:$B$13,2,0)</f>
        <v>Fan Shop</v>
      </c>
      <c r="K269">
        <v>7305</v>
      </c>
      <c r="L269" t="s">
        <v>1499</v>
      </c>
      <c r="M269" s="4">
        <v>43430</v>
      </c>
      <c r="N269" s="12">
        <f t="shared" si="13"/>
        <v>11</v>
      </c>
      <c r="O269" s="13">
        <f t="shared" si="14"/>
        <v>2018</v>
      </c>
      <c r="P269" t="s">
        <v>13</v>
      </c>
      <c r="Q269" t="s">
        <v>538</v>
      </c>
      <c r="R269" t="s">
        <v>23</v>
      </c>
      <c r="S269" t="str" cm="1">
        <f t="array" ref="S269">_xlfn.IFS(R269="COMPLETE", "COMPLETED", R269="CANCELED", "CANCELED", TRUE, "PENDING")</f>
        <v>PENDING</v>
      </c>
      <c r="T269" t="s">
        <v>16</v>
      </c>
      <c r="U269">
        <f>VLOOKUP(A269,ordered_items!$B:$E,4,0)</f>
        <v>399.98</v>
      </c>
    </row>
    <row r="270" spans="1:21" x14ac:dyDescent="0.3">
      <c r="A270">
        <v>22672</v>
      </c>
      <c r="B270" t="s">
        <v>24</v>
      </c>
      <c r="C270">
        <v>3</v>
      </c>
      <c r="D270">
        <v>4</v>
      </c>
      <c r="E270" t="str">
        <f t="shared" si="12"/>
        <v xml:space="preserve"> ONTIME</v>
      </c>
      <c r="F270">
        <f>VLOOKUP($A270,ordered_items!$B$2:$E$4784,2,0)</f>
        <v>191</v>
      </c>
      <c r="G270">
        <f>VLOOKUP($A270,ordered_items!$B$2:$E$4784,3,0)</f>
        <v>1</v>
      </c>
      <c r="H270">
        <f>VLOOKUP($A270,ordered_items!$B$2:$E$4784,4,0)</f>
        <v>99.99</v>
      </c>
      <c r="I270" s="15">
        <f>VLOOKUP(F270,product_info!$A$2:$D$73,4,0)</f>
        <v>3</v>
      </c>
      <c r="J270" s="15" t="str">
        <f>VLOOKUP(I270,department!$A$2:$B$13,2,0)</f>
        <v>Footwear</v>
      </c>
      <c r="K270">
        <v>4872</v>
      </c>
      <c r="L270" t="s">
        <v>1499</v>
      </c>
      <c r="M270" s="4">
        <v>43430</v>
      </c>
      <c r="N270" s="12">
        <f t="shared" si="13"/>
        <v>11</v>
      </c>
      <c r="O270" s="13">
        <f t="shared" si="14"/>
        <v>2018</v>
      </c>
      <c r="P270" t="s">
        <v>13</v>
      </c>
      <c r="Q270" t="s">
        <v>538</v>
      </c>
      <c r="R270" t="s">
        <v>31</v>
      </c>
      <c r="S270" t="str" cm="1">
        <f t="array" ref="S270">_xlfn.IFS(R270="COMPLETE", "COMPLETED", R270="CANCELED", "CANCELED", TRUE, "PENDING")</f>
        <v>COMPLETED</v>
      </c>
      <c r="T270" t="s">
        <v>16</v>
      </c>
      <c r="U270">
        <f>VLOOKUP(A270,ordered_items!$B:$E,4,0)</f>
        <v>99.99</v>
      </c>
    </row>
    <row r="271" spans="1:21" x14ac:dyDescent="0.3">
      <c r="A271">
        <v>22673</v>
      </c>
      <c r="B271" t="s">
        <v>51</v>
      </c>
      <c r="C271">
        <v>4</v>
      </c>
      <c r="D271">
        <v>4</v>
      </c>
      <c r="E271" t="str">
        <f t="shared" si="12"/>
        <v xml:space="preserve"> ONTIME</v>
      </c>
      <c r="F271">
        <f>VLOOKUP($A271,ordered_items!$B$2:$E$4784,2,0)</f>
        <v>1014</v>
      </c>
      <c r="G271">
        <f>VLOOKUP($A271,ordered_items!$B$2:$E$4784,3,0)</f>
        <v>4</v>
      </c>
      <c r="H271">
        <f>VLOOKUP($A271,ordered_items!$B$2:$E$4784,4,0)</f>
        <v>199.92</v>
      </c>
      <c r="I271" s="15">
        <f>VLOOKUP(F271,product_info!$A$2:$D$73,4,0)</f>
        <v>7</v>
      </c>
      <c r="J271" s="15" t="str">
        <f>VLOOKUP(I271,department!$A$2:$B$13,2,0)</f>
        <v>Fan Shop</v>
      </c>
      <c r="K271">
        <v>3881</v>
      </c>
      <c r="L271" t="s">
        <v>1499</v>
      </c>
      <c r="M271" s="4">
        <v>43430</v>
      </c>
      <c r="N271" s="12">
        <f t="shared" si="13"/>
        <v>11</v>
      </c>
      <c r="O271" s="13">
        <f t="shared" si="14"/>
        <v>2018</v>
      </c>
      <c r="P271" t="s">
        <v>13</v>
      </c>
      <c r="Q271" t="s">
        <v>538</v>
      </c>
      <c r="R271" t="s">
        <v>57</v>
      </c>
      <c r="S271" t="str" cm="1">
        <f t="array" ref="S271">_xlfn.IFS(R271="COMPLETE", "COMPLETED", R271="CANCELED", "CANCELED", TRUE, "PENDING")</f>
        <v>PENDING</v>
      </c>
      <c r="T271" t="s">
        <v>16</v>
      </c>
      <c r="U271">
        <f>VLOOKUP(A271,ordered_items!$B:$E,4,0)</f>
        <v>199.92</v>
      </c>
    </row>
    <row r="272" spans="1:21" x14ac:dyDescent="0.3">
      <c r="A272">
        <v>22685</v>
      </c>
      <c r="B272" t="s">
        <v>24</v>
      </c>
      <c r="C272">
        <v>6</v>
      </c>
      <c r="D272">
        <v>4</v>
      </c>
      <c r="E272" t="str">
        <f t="shared" si="12"/>
        <v>DELAYED</v>
      </c>
      <c r="F272">
        <f>VLOOKUP($A272,ordered_items!$B$2:$E$4784,2,0)</f>
        <v>1073</v>
      </c>
      <c r="G272">
        <f>VLOOKUP($A272,ordered_items!$B$2:$E$4784,3,0)</f>
        <v>1</v>
      </c>
      <c r="H272">
        <f>VLOOKUP($A272,ordered_items!$B$2:$E$4784,4,0)</f>
        <v>199.99</v>
      </c>
      <c r="I272" s="15">
        <f>VLOOKUP(F272,product_info!$A$2:$D$73,4,0)</f>
        <v>7</v>
      </c>
      <c r="J272" s="15" t="str">
        <f>VLOOKUP(I272,department!$A$2:$B$13,2,0)</f>
        <v>Fan Shop</v>
      </c>
      <c r="K272">
        <v>5570</v>
      </c>
      <c r="L272" t="s">
        <v>613</v>
      </c>
      <c r="M272" s="4">
        <v>43431</v>
      </c>
      <c r="N272" s="12">
        <f t="shared" si="13"/>
        <v>11</v>
      </c>
      <c r="O272" s="13">
        <f t="shared" si="14"/>
        <v>2018</v>
      </c>
      <c r="P272" t="s">
        <v>13</v>
      </c>
      <c r="Q272" t="s">
        <v>80</v>
      </c>
      <c r="R272" t="s">
        <v>31</v>
      </c>
      <c r="S272" t="str" cm="1">
        <f t="array" ref="S272">_xlfn.IFS(R272="COMPLETE", "COMPLETED", R272="CANCELED", "CANCELED", TRUE, "PENDING")</f>
        <v>COMPLETED</v>
      </c>
      <c r="T272" t="s">
        <v>16</v>
      </c>
      <c r="U272">
        <f>VLOOKUP(A272,ordered_items!$B:$E,4,0)</f>
        <v>199.99</v>
      </c>
    </row>
    <row r="273" spans="1:21" x14ac:dyDescent="0.3">
      <c r="A273">
        <v>22686</v>
      </c>
      <c r="B273" t="s">
        <v>24</v>
      </c>
      <c r="C273">
        <v>2</v>
      </c>
      <c r="D273">
        <v>4</v>
      </c>
      <c r="E273" t="str">
        <f t="shared" si="12"/>
        <v xml:space="preserve"> ONTIME</v>
      </c>
      <c r="F273">
        <f>VLOOKUP($A273,ordered_items!$B$2:$E$4784,2,0)</f>
        <v>191</v>
      </c>
      <c r="G273">
        <f>VLOOKUP($A273,ordered_items!$B$2:$E$4784,3,0)</f>
        <v>4</v>
      </c>
      <c r="H273">
        <f>VLOOKUP($A273,ordered_items!$B$2:$E$4784,4,0)</f>
        <v>399.96</v>
      </c>
      <c r="I273" s="15">
        <f>VLOOKUP(F273,product_info!$A$2:$D$73,4,0)</f>
        <v>3</v>
      </c>
      <c r="J273" s="15" t="str">
        <f>VLOOKUP(I273,department!$A$2:$B$13,2,0)</f>
        <v>Footwear</v>
      </c>
      <c r="K273">
        <v>8747</v>
      </c>
      <c r="L273" t="s">
        <v>613</v>
      </c>
      <c r="M273" s="4">
        <v>43431</v>
      </c>
      <c r="N273" s="12">
        <f t="shared" si="13"/>
        <v>11</v>
      </c>
      <c r="O273" s="13">
        <f t="shared" si="14"/>
        <v>2018</v>
      </c>
      <c r="P273" t="s">
        <v>13</v>
      </c>
      <c r="Q273" t="s">
        <v>80</v>
      </c>
      <c r="R273" t="s">
        <v>378</v>
      </c>
      <c r="S273" t="str" cm="1">
        <f t="array" ref="S273">_xlfn.IFS(R273="COMPLETE", "COMPLETED", R273="CANCELED", "CANCELED", TRUE, "PENDING")</f>
        <v>PENDING</v>
      </c>
      <c r="T273" t="s">
        <v>16</v>
      </c>
      <c r="U273">
        <f>VLOOKUP(A273,ordered_items!$B:$E,4,0)</f>
        <v>399.96</v>
      </c>
    </row>
    <row r="274" spans="1:21" x14ac:dyDescent="0.3">
      <c r="A274">
        <v>22687</v>
      </c>
      <c r="B274" t="s">
        <v>24</v>
      </c>
      <c r="C274">
        <v>3</v>
      </c>
      <c r="D274">
        <v>2</v>
      </c>
      <c r="E274" t="str">
        <f t="shared" si="12"/>
        <v>DELAYED</v>
      </c>
      <c r="F274">
        <f>VLOOKUP($A274,ordered_items!$B$2:$E$4784,2,0)</f>
        <v>502</v>
      </c>
      <c r="G274">
        <f>VLOOKUP($A274,ordered_items!$B$2:$E$4784,3,0)</f>
        <v>4</v>
      </c>
      <c r="H274">
        <f>VLOOKUP($A274,ordered_items!$B$2:$E$4784,4,0)</f>
        <v>200</v>
      </c>
      <c r="I274" s="15">
        <f>VLOOKUP(F274,product_info!$A$2:$D$73,4,0)</f>
        <v>5</v>
      </c>
      <c r="J274" s="15" t="str">
        <f>VLOOKUP(I274,department!$A$2:$B$13,2,0)</f>
        <v>Golf</v>
      </c>
      <c r="K274">
        <v>7035</v>
      </c>
      <c r="L274" t="s">
        <v>613</v>
      </c>
      <c r="M274" s="4">
        <v>43431</v>
      </c>
      <c r="N274" s="12">
        <f t="shared" si="13"/>
        <v>11</v>
      </c>
      <c r="O274" s="13">
        <f t="shared" si="14"/>
        <v>2018</v>
      </c>
      <c r="P274" t="s">
        <v>13</v>
      </c>
      <c r="Q274" t="s">
        <v>80</v>
      </c>
      <c r="R274" t="s">
        <v>31</v>
      </c>
      <c r="S274" t="str" cm="1">
        <f t="array" ref="S274">_xlfn.IFS(R274="COMPLETE", "COMPLETED", R274="CANCELED", "CANCELED", TRUE, "PENDING")</f>
        <v>COMPLETED</v>
      </c>
      <c r="T274" t="s">
        <v>90</v>
      </c>
      <c r="U274">
        <f>VLOOKUP(A274,ordered_items!$B:$E,4,0)</f>
        <v>200</v>
      </c>
    </row>
    <row r="275" spans="1:21" x14ac:dyDescent="0.3">
      <c r="A275">
        <v>22710</v>
      </c>
      <c r="B275" t="s">
        <v>24</v>
      </c>
      <c r="C275">
        <v>0</v>
      </c>
      <c r="D275">
        <v>0</v>
      </c>
      <c r="E275" t="str">
        <f t="shared" si="12"/>
        <v xml:space="preserve"> ONTIME</v>
      </c>
      <c r="F275">
        <f>VLOOKUP($A275,ordered_items!$B$2:$E$4784,2,0)</f>
        <v>191</v>
      </c>
      <c r="G275">
        <f>VLOOKUP($A275,ordered_items!$B$2:$E$4784,3,0)</f>
        <v>1</v>
      </c>
      <c r="H275">
        <f>VLOOKUP($A275,ordered_items!$B$2:$E$4784,4,0)</f>
        <v>99.99</v>
      </c>
      <c r="I275" s="15">
        <f>VLOOKUP(F275,product_info!$A$2:$D$73,4,0)</f>
        <v>3</v>
      </c>
      <c r="J275" s="15" t="str">
        <f>VLOOKUP(I275,department!$A$2:$B$13,2,0)</f>
        <v>Footwear</v>
      </c>
      <c r="K275">
        <v>6501</v>
      </c>
      <c r="L275" t="s">
        <v>206</v>
      </c>
      <c r="M275" s="4">
        <v>43431</v>
      </c>
      <c r="N275" s="12">
        <f t="shared" si="13"/>
        <v>11</v>
      </c>
      <c r="O275" s="13">
        <f t="shared" si="14"/>
        <v>2018</v>
      </c>
      <c r="P275" t="s">
        <v>13</v>
      </c>
      <c r="Q275" t="s">
        <v>30</v>
      </c>
      <c r="R275" t="s">
        <v>31</v>
      </c>
      <c r="S275" t="str" cm="1">
        <f t="array" ref="S275">_xlfn.IFS(R275="COMPLETE", "COMPLETED", R275="CANCELED", "CANCELED", TRUE, "PENDING")</f>
        <v>COMPLETED</v>
      </c>
      <c r="T275" t="s">
        <v>58</v>
      </c>
      <c r="U275">
        <f>VLOOKUP(A275,ordered_items!$B:$E,4,0)</f>
        <v>99.99</v>
      </c>
    </row>
    <row r="276" spans="1:21" x14ac:dyDescent="0.3">
      <c r="A276">
        <v>22712</v>
      </c>
      <c r="B276" t="s">
        <v>24</v>
      </c>
      <c r="C276">
        <v>3</v>
      </c>
      <c r="D276">
        <v>4</v>
      </c>
      <c r="E276" t="str">
        <f t="shared" si="12"/>
        <v xml:space="preserve"> ONTIME</v>
      </c>
      <c r="F276">
        <f>VLOOKUP($A276,ordered_items!$B$2:$E$4784,2,0)</f>
        <v>1073</v>
      </c>
      <c r="G276">
        <f>VLOOKUP($A276,ordered_items!$B$2:$E$4784,3,0)</f>
        <v>1</v>
      </c>
      <c r="H276">
        <f>VLOOKUP($A276,ordered_items!$B$2:$E$4784,4,0)</f>
        <v>199.99</v>
      </c>
      <c r="I276" s="15">
        <f>VLOOKUP(F276,product_info!$A$2:$D$73,4,0)</f>
        <v>7</v>
      </c>
      <c r="J276" s="15" t="str">
        <f>VLOOKUP(I276,department!$A$2:$B$13,2,0)</f>
        <v>Fan Shop</v>
      </c>
      <c r="K276">
        <v>8971</v>
      </c>
      <c r="L276" t="s">
        <v>206</v>
      </c>
      <c r="M276" s="4">
        <v>43431</v>
      </c>
      <c r="N276" s="12">
        <f t="shared" si="13"/>
        <v>11</v>
      </c>
      <c r="O276" s="13">
        <f t="shared" si="14"/>
        <v>2018</v>
      </c>
      <c r="P276" t="s">
        <v>13</v>
      </c>
      <c r="Q276" t="s">
        <v>30</v>
      </c>
      <c r="R276" t="s">
        <v>31</v>
      </c>
      <c r="S276" t="str" cm="1">
        <f t="array" ref="S276">_xlfn.IFS(R276="COMPLETE", "COMPLETED", R276="CANCELED", "CANCELED", TRUE, "PENDING")</f>
        <v>COMPLETED</v>
      </c>
      <c r="T276" t="s">
        <v>16</v>
      </c>
      <c r="U276">
        <f>VLOOKUP(A276,ordered_items!$B:$E,4,0)</f>
        <v>199.99</v>
      </c>
    </row>
    <row r="277" spans="1:21" x14ac:dyDescent="0.3">
      <c r="A277">
        <v>22718</v>
      </c>
      <c r="B277" t="s">
        <v>24</v>
      </c>
      <c r="C277">
        <v>4</v>
      </c>
      <c r="D277">
        <v>4</v>
      </c>
      <c r="E277" t="str">
        <f t="shared" si="12"/>
        <v xml:space="preserve"> ONTIME</v>
      </c>
      <c r="F277">
        <f>VLOOKUP($A277,ordered_items!$B$2:$E$4784,2,0)</f>
        <v>1004</v>
      </c>
      <c r="G277">
        <f>VLOOKUP($A277,ordered_items!$B$2:$E$4784,3,0)</f>
        <v>1</v>
      </c>
      <c r="H277">
        <f>VLOOKUP($A277,ordered_items!$B$2:$E$4784,4,0)</f>
        <v>399.98</v>
      </c>
      <c r="I277" s="15">
        <f>VLOOKUP(F277,product_info!$A$2:$D$73,4,0)</f>
        <v>7</v>
      </c>
      <c r="J277" s="15" t="str">
        <f>VLOOKUP(I277,department!$A$2:$B$13,2,0)</f>
        <v>Fan Shop</v>
      </c>
      <c r="K277">
        <v>2627</v>
      </c>
      <c r="L277" t="s">
        <v>780</v>
      </c>
      <c r="M277" s="4">
        <v>43431</v>
      </c>
      <c r="N277" s="12">
        <f t="shared" si="13"/>
        <v>11</v>
      </c>
      <c r="O277" s="13">
        <f t="shared" si="14"/>
        <v>2018</v>
      </c>
      <c r="P277" t="s">
        <v>13</v>
      </c>
      <c r="Q277" t="s">
        <v>80</v>
      </c>
      <c r="R277" t="s">
        <v>31</v>
      </c>
      <c r="S277" t="str" cm="1">
        <f t="array" ref="S277">_xlfn.IFS(R277="COMPLETE", "COMPLETED", R277="CANCELED", "CANCELED", TRUE, "PENDING")</f>
        <v>COMPLETED</v>
      </c>
      <c r="T277" t="s">
        <v>16</v>
      </c>
      <c r="U277">
        <f>VLOOKUP(A277,ordered_items!$B:$E,4,0)</f>
        <v>399.98</v>
      </c>
    </row>
    <row r="278" spans="1:21" x14ac:dyDescent="0.3">
      <c r="A278">
        <v>22719</v>
      </c>
      <c r="B278" t="s">
        <v>3</v>
      </c>
      <c r="C278">
        <v>5</v>
      </c>
      <c r="D278">
        <v>4</v>
      </c>
      <c r="E278" t="str">
        <f t="shared" si="12"/>
        <v>DELAYED</v>
      </c>
      <c r="F278">
        <f>VLOOKUP($A278,ordered_items!$B$2:$E$4784,2,0)</f>
        <v>627</v>
      </c>
      <c r="G278">
        <f>VLOOKUP($A278,ordered_items!$B$2:$E$4784,3,0)</f>
        <v>3</v>
      </c>
      <c r="H278">
        <f>VLOOKUP($A278,ordered_items!$B$2:$E$4784,4,0)</f>
        <v>119.97</v>
      </c>
      <c r="I278" s="15">
        <f>VLOOKUP(F278,product_info!$A$2:$D$73,4,0)</f>
        <v>5</v>
      </c>
      <c r="J278" s="15" t="str">
        <f>VLOOKUP(I278,department!$A$2:$B$13,2,0)</f>
        <v>Golf</v>
      </c>
      <c r="K278">
        <v>4756</v>
      </c>
      <c r="L278" t="s">
        <v>780</v>
      </c>
      <c r="M278" s="4">
        <v>43431</v>
      </c>
      <c r="N278" s="12">
        <f t="shared" si="13"/>
        <v>11</v>
      </c>
      <c r="O278" s="13">
        <f t="shared" si="14"/>
        <v>2018</v>
      </c>
      <c r="P278" t="s">
        <v>13</v>
      </c>
      <c r="Q278" t="s">
        <v>80</v>
      </c>
      <c r="R278" t="s">
        <v>38</v>
      </c>
      <c r="S278" t="str" cm="1">
        <f t="array" ref="S278">_xlfn.IFS(R278="COMPLETE", "COMPLETED", R278="CANCELED", "CANCELED", TRUE, "PENDING")</f>
        <v>PENDING</v>
      </c>
      <c r="T278" t="s">
        <v>16</v>
      </c>
      <c r="U278">
        <f>VLOOKUP(A278,ordered_items!$B:$E,4,0)</f>
        <v>119.97</v>
      </c>
    </row>
    <row r="279" spans="1:21" x14ac:dyDescent="0.3">
      <c r="A279">
        <v>22761</v>
      </c>
      <c r="B279" t="s">
        <v>51</v>
      </c>
      <c r="C279">
        <v>2</v>
      </c>
      <c r="D279">
        <v>4</v>
      </c>
      <c r="E279" t="str">
        <f t="shared" si="12"/>
        <v xml:space="preserve"> ONTIME</v>
      </c>
      <c r="F279">
        <f>VLOOKUP($A279,ordered_items!$B$2:$E$4784,2,0)</f>
        <v>365</v>
      </c>
      <c r="G279">
        <f>VLOOKUP($A279,ordered_items!$B$2:$E$4784,3,0)</f>
        <v>4</v>
      </c>
      <c r="H279">
        <f>VLOOKUP($A279,ordered_items!$B$2:$E$4784,4,0)</f>
        <v>239.96</v>
      </c>
      <c r="I279" s="15">
        <f>VLOOKUP(F279,product_info!$A$2:$D$73,4,0)</f>
        <v>4</v>
      </c>
      <c r="J279" s="15" t="str">
        <f>VLOOKUP(I279,department!$A$2:$B$13,2,0)</f>
        <v>Apparel</v>
      </c>
      <c r="K279">
        <v>152</v>
      </c>
      <c r="L279" t="s">
        <v>262</v>
      </c>
      <c r="M279" s="4">
        <v>43432</v>
      </c>
      <c r="N279" s="12">
        <f t="shared" si="13"/>
        <v>11</v>
      </c>
      <c r="O279" s="13">
        <f t="shared" si="14"/>
        <v>2018</v>
      </c>
      <c r="P279" t="s">
        <v>13</v>
      </c>
      <c r="Q279" t="s">
        <v>30</v>
      </c>
      <c r="R279" t="s">
        <v>57</v>
      </c>
      <c r="S279" t="str" cm="1">
        <f t="array" ref="S279">_xlfn.IFS(R279="COMPLETE", "COMPLETED", R279="CANCELED", "CANCELED", TRUE, "PENDING")</f>
        <v>PENDING</v>
      </c>
      <c r="T279" t="s">
        <v>16</v>
      </c>
      <c r="U279">
        <f>VLOOKUP(A279,ordered_items!$B:$E,4,0)</f>
        <v>239.96</v>
      </c>
    </row>
    <row r="280" spans="1:21" x14ac:dyDescent="0.3">
      <c r="A280">
        <v>22781</v>
      </c>
      <c r="B280" t="s">
        <v>51</v>
      </c>
      <c r="C280">
        <v>2</v>
      </c>
      <c r="D280">
        <v>2</v>
      </c>
      <c r="E280" t="str">
        <f t="shared" si="12"/>
        <v xml:space="preserve"> ONTIME</v>
      </c>
      <c r="F280">
        <f>VLOOKUP($A280,ordered_items!$B$2:$E$4784,2,0)</f>
        <v>403</v>
      </c>
      <c r="G280">
        <f>VLOOKUP($A280,ordered_items!$B$2:$E$4784,3,0)</f>
        <v>1</v>
      </c>
      <c r="H280">
        <f>VLOOKUP($A280,ordered_items!$B$2:$E$4784,4,0)</f>
        <v>129.99</v>
      </c>
      <c r="I280" s="15">
        <f>VLOOKUP(F280,product_info!$A$2:$D$73,4,0)</f>
        <v>4</v>
      </c>
      <c r="J280" s="15" t="str">
        <f>VLOOKUP(I280,department!$A$2:$B$13,2,0)</f>
        <v>Apparel</v>
      </c>
      <c r="K280">
        <v>10017</v>
      </c>
      <c r="L280" t="s">
        <v>285</v>
      </c>
      <c r="M280" s="4">
        <v>43432</v>
      </c>
      <c r="N280" s="12">
        <f t="shared" si="13"/>
        <v>11</v>
      </c>
      <c r="O280" s="13">
        <f t="shared" si="14"/>
        <v>2018</v>
      </c>
      <c r="P280" t="s">
        <v>13</v>
      </c>
      <c r="Q280" t="s">
        <v>286</v>
      </c>
      <c r="R280" t="s">
        <v>57</v>
      </c>
      <c r="S280" t="str" cm="1">
        <f t="array" ref="S280">_xlfn.IFS(R280="COMPLETE", "COMPLETED", R280="CANCELED", "CANCELED", TRUE, "PENDING")</f>
        <v>PENDING</v>
      </c>
      <c r="T280" t="s">
        <v>90</v>
      </c>
      <c r="U280">
        <f>VLOOKUP(A280,ordered_items!$B:$E,4,0)</f>
        <v>129.99</v>
      </c>
    </row>
    <row r="281" spans="1:21" x14ac:dyDescent="0.3">
      <c r="A281">
        <v>22782</v>
      </c>
      <c r="B281" t="s">
        <v>24</v>
      </c>
      <c r="C281">
        <v>3</v>
      </c>
      <c r="D281">
        <v>4</v>
      </c>
      <c r="E281" t="str">
        <f t="shared" si="12"/>
        <v xml:space="preserve"> ONTIME</v>
      </c>
      <c r="F281">
        <f>VLOOKUP($A281,ordered_items!$B$2:$E$4784,2,0)</f>
        <v>502</v>
      </c>
      <c r="G281">
        <f>VLOOKUP($A281,ordered_items!$B$2:$E$4784,3,0)</f>
        <v>5</v>
      </c>
      <c r="H281">
        <f>VLOOKUP($A281,ordered_items!$B$2:$E$4784,4,0)</f>
        <v>250</v>
      </c>
      <c r="I281" s="15">
        <f>VLOOKUP(F281,product_info!$A$2:$D$73,4,0)</f>
        <v>5</v>
      </c>
      <c r="J281" s="15" t="str">
        <f>VLOOKUP(I281,department!$A$2:$B$13,2,0)</f>
        <v>Golf</v>
      </c>
      <c r="K281">
        <v>6193</v>
      </c>
      <c r="L281" t="s">
        <v>146</v>
      </c>
      <c r="M281" s="4">
        <v>43432</v>
      </c>
      <c r="N281" s="12">
        <f t="shared" si="13"/>
        <v>11</v>
      </c>
      <c r="O281" s="13">
        <f t="shared" si="14"/>
        <v>2018</v>
      </c>
      <c r="P281" t="s">
        <v>13</v>
      </c>
      <c r="Q281" t="s">
        <v>30</v>
      </c>
      <c r="R281" t="s">
        <v>31</v>
      </c>
      <c r="S281" t="str" cm="1">
        <f t="array" ref="S281">_xlfn.IFS(R281="COMPLETE", "COMPLETED", R281="CANCELED", "CANCELED", TRUE, "PENDING")</f>
        <v>COMPLETED</v>
      </c>
      <c r="T281" t="s">
        <v>16</v>
      </c>
      <c r="U281">
        <f>VLOOKUP(A281,ordered_items!$B:$E,4,0)</f>
        <v>250</v>
      </c>
    </row>
    <row r="282" spans="1:21" x14ac:dyDescent="0.3">
      <c r="A282">
        <v>22789</v>
      </c>
      <c r="B282" t="s">
        <v>3</v>
      </c>
      <c r="C282">
        <v>5</v>
      </c>
      <c r="D282">
        <v>4</v>
      </c>
      <c r="E282" t="str">
        <f t="shared" si="12"/>
        <v>DELAYED</v>
      </c>
      <c r="F282">
        <f>VLOOKUP($A282,ordered_items!$B$2:$E$4784,2,0)</f>
        <v>957</v>
      </c>
      <c r="G282">
        <f>VLOOKUP($A282,ordered_items!$B$2:$E$4784,3,0)</f>
        <v>1</v>
      </c>
      <c r="H282">
        <f>VLOOKUP($A282,ordered_items!$B$2:$E$4784,4,0)</f>
        <v>299.98</v>
      </c>
      <c r="I282" s="15">
        <f>VLOOKUP(F282,product_info!$A$2:$D$73,4,0)</f>
        <v>7</v>
      </c>
      <c r="J282" s="15" t="str">
        <f>VLOOKUP(I282,department!$A$2:$B$13,2,0)</f>
        <v>Fan Shop</v>
      </c>
      <c r="K282">
        <v>847</v>
      </c>
      <c r="L282" t="s">
        <v>743</v>
      </c>
      <c r="M282" s="4">
        <v>43432</v>
      </c>
      <c r="N282" s="12">
        <f t="shared" si="13"/>
        <v>11</v>
      </c>
      <c r="O282" s="13">
        <f t="shared" si="14"/>
        <v>2018</v>
      </c>
      <c r="P282" t="s">
        <v>13</v>
      </c>
      <c r="Q282" t="s">
        <v>5780</v>
      </c>
      <c r="R282" t="s">
        <v>38</v>
      </c>
      <c r="S282" t="str" cm="1">
        <f t="array" ref="S282">_xlfn.IFS(R282="COMPLETE", "COMPLETED", R282="CANCELED", "CANCELED", TRUE, "PENDING")</f>
        <v>PENDING</v>
      </c>
      <c r="T282" t="s">
        <v>16</v>
      </c>
      <c r="U282">
        <f>VLOOKUP(A282,ordered_items!$B:$E,4,0)</f>
        <v>299.98</v>
      </c>
    </row>
    <row r="283" spans="1:21" x14ac:dyDescent="0.3">
      <c r="A283">
        <v>22790</v>
      </c>
      <c r="B283" t="s">
        <v>51</v>
      </c>
      <c r="C283">
        <v>6</v>
      </c>
      <c r="D283">
        <v>4</v>
      </c>
      <c r="E283" t="str">
        <f t="shared" si="12"/>
        <v>DELAYED</v>
      </c>
      <c r="F283">
        <f>VLOOKUP($A283,ordered_items!$B$2:$E$4784,2,0)</f>
        <v>627</v>
      </c>
      <c r="G283">
        <f>VLOOKUP($A283,ordered_items!$B$2:$E$4784,3,0)</f>
        <v>2</v>
      </c>
      <c r="H283">
        <f>VLOOKUP($A283,ordered_items!$B$2:$E$4784,4,0)</f>
        <v>79.98</v>
      </c>
      <c r="I283" s="15">
        <f>VLOOKUP(F283,product_info!$A$2:$D$73,4,0)</f>
        <v>5</v>
      </c>
      <c r="J283" s="15" t="str">
        <f>VLOOKUP(I283,department!$A$2:$B$13,2,0)</f>
        <v>Golf</v>
      </c>
      <c r="K283">
        <v>10224</v>
      </c>
      <c r="L283" t="s">
        <v>743</v>
      </c>
      <c r="M283" s="4">
        <v>43432</v>
      </c>
      <c r="N283" s="12">
        <f t="shared" si="13"/>
        <v>11</v>
      </c>
      <c r="O283" s="13">
        <f t="shared" si="14"/>
        <v>2018</v>
      </c>
      <c r="P283" t="s">
        <v>13</v>
      </c>
      <c r="Q283" t="s">
        <v>5780</v>
      </c>
      <c r="R283" t="s">
        <v>57</v>
      </c>
      <c r="S283" t="str" cm="1">
        <f t="array" ref="S283">_xlfn.IFS(R283="COMPLETE", "COMPLETED", R283="CANCELED", "CANCELED", TRUE, "PENDING")</f>
        <v>PENDING</v>
      </c>
      <c r="T283" t="s">
        <v>16</v>
      </c>
      <c r="U283">
        <f>VLOOKUP(A283,ordered_items!$B:$E,4,0)</f>
        <v>79.98</v>
      </c>
    </row>
    <row r="284" spans="1:21" x14ac:dyDescent="0.3">
      <c r="A284">
        <v>22791</v>
      </c>
      <c r="B284" t="s">
        <v>24</v>
      </c>
      <c r="C284">
        <v>2</v>
      </c>
      <c r="D284">
        <v>4</v>
      </c>
      <c r="E284" t="str">
        <f t="shared" si="12"/>
        <v xml:space="preserve"> ONTIME</v>
      </c>
      <c r="F284">
        <f>VLOOKUP($A284,ordered_items!$B$2:$E$4784,2,0)</f>
        <v>957</v>
      </c>
      <c r="G284">
        <f>VLOOKUP($A284,ordered_items!$B$2:$E$4784,3,0)</f>
        <v>1</v>
      </c>
      <c r="H284">
        <f>VLOOKUP($A284,ordered_items!$B$2:$E$4784,4,0)</f>
        <v>299.98</v>
      </c>
      <c r="I284" s="15">
        <f>VLOOKUP(F284,product_info!$A$2:$D$73,4,0)</f>
        <v>7</v>
      </c>
      <c r="J284" s="15" t="str">
        <f>VLOOKUP(I284,department!$A$2:$B$13,2,0)</f>
        <v>Fan Shop</v>
      </c>
      <c r="K284">
        <v>7902</v>
      </c>
      <c r="L284" t="s">
        <v>258</v>
      </c>
      <c r="M284" s="4">
        <v>43432</v>
      </c>
      <c r="N284" s="12">
        <f t="shared" si="13"/>
        <v>11</v>
      </c>
      <c r="O284" s="13">
        <f t="shared" si="14"/>
        <v>2018</v>
      </c>
      <c r="P284" t="s">
        <v>13</v>
      </c>
      <c r="Q284" t="s">
        <v>30</v>
      </c>
      <c r="R284" t="s">
        <v>378</v>
      </c>
      <c r="S284" t="str" cm="1">
        <f t="array" ref="S284">_xlfn.IFS(R284="COMPLETE", "COMPLETED", R284="CANCELED", "CANCELED", TRUE, "PENDING")</f>
        <v>PENDING</v>
      </c>
      <c r="T284" t="s">
        <v>16</v>
      </c>
      <c r="U284">
        <f>VLOOKUP(A284,ordered_items!$B:$E,4,0)</f>
        <v>299.98</v>
      </c>
    </row>
    <row r="285" spans="1:21" x14ac:dyDescent="0.3">
      <c r="A285">
        <v>22797</v>
      </c>
      <c r="B285" t="s">
        <v>51</v>
      </c>
      <c r="C285">
        <v>2</v>
      </c>
      <c r="D285">
        <v>1</v>
      </c>
      <c r="E285" t="str">
        <f t="shared" si="12"/>
        <v>DELAYED</v>
      </c>
      <c r="F285">
        <f>VLOOKUP($A285,ordered_items!$B$2:$E$4784,2,0)</f>
        <v>627</v>
      </c>
      <c r="G285">
        <f>VLOOKUP($A285,ordered_items!$B$2:$E$4784,3,0)</f>
        <v>2</v>
      </c>
      <c r="H285">
        <f>VLOOKUP($A285,ordered_items!$B$2:$E$4784,4,0)</f>
        <v>79.98</v>
      </c>
      <c r="I285" s="15">
        <f>VLOOKUP(F285,product_info!$A$2:$D$73,4,0)</f>
        <v>5</v>
      </c>
      <c r="J285" s="15" t="str">
        <f>VLOOKUP(I285,department!$A$2:$B$13,2,0)</f>
        <v>Golf</v>
      </c>
      <c r="K285">
        <v>10146</v>
      </c>
      <c r="L285" t="s">
        <v>202</v>
      </c>
      <c r="M285" s="4">
        <v>43432</v>
      </c>
      <c r="N285" s="12">
        <f t="shared" si="13"/>
        <v>11</v>
      </c>
      <c r="O285" s="13">
        <f t="shared" si="14"/>
        <v>2018</v>
      </c>
      <c r="P285" t="s">
        <v>13</v>
      </c>
      <c r="Q285" t="s">
        <v>203</v>
      </c>
      <c r="R285" t="s">
        <v>57</v>
      </c>
      <c r="S285" t="str" cm="1">
        <f t="array" ref="S285">_xlfn.IFS(R285="COMPLETE", "COMPLETED", R285="CANCELED", "CANCELED", TRUE, "PENDING")</f>
        <v>PENDING</v>
      </c>
      <c r="T285" t="s">
        <v>32</v>
      </c>
      <c r="U285">
        <f>VLOOKUP(A285,ordered_items!$B:$E,4,0)</f>
        <v>79.98</v>
      </c>
    </row>
    <row r="286" spans="1:21" x14ac:dyDescent="0.3">
      <c r="A286">
        <v>22798</v>
      </c>
      <c r="B286" t="s">
        <v>3</v>
      </c>
      <c r="C286">
        <v>4</v>
      </c>
      <c r="D286">
        <v>2</v>
      </c>
      <c r="E286" t="str">
        <f t="shared" si="12"/>
        <v>DELAYED</v>
      </c>
      <c r="F286">
        <f>VLOOKUP($A286,ordered_items!$B$2:$E$4784,2,0)</f>
        <v>1073</v>
      </c>
      <c r="G286">
        <f>VLOOKUP($A286,ordered_items!$B$2:$E$4784,3,0)</f>
        <v>1</v>
      </c>
      <c r="H286">
        <f>VLOOKUP($A286,ordered_items!$B$2:$E$4784,4,0)</f>
        <v>199.99</v>
      </c>
      <c r="I286" s="15">
        <f>VLOOKUP(F286,product_info!$A$2:$D$73,4,0)</f>
        <v>7</v>
      </c>
      <c r="J286" s="15" t="str">
        <f>VLOOKUP(I286,department!$A$2:$B$13,2,0)</f>
        <v>Fan Shop</v>
      </c>
      <c r="K286">
        <v>12158</v>
      </c>
      <c r="L286" t="s">
        <v>439</v>
      </c>
      <c r="M286" s="4">
        <v>43432</v>
      </c>
      <c r="N286" s="12">
        <f t="shared" si="13"/>
        <v>11</v>
      </c>
      <c r="O286" s="13">
        <f t="shared" si="14"/>
        <v>2018</v>
      </c>
      <c r="P286" t="s">
        <v>13</v>
      </c>
      <c r="Q286" t="s">
        <v>377</v>
      </c>
      <c r="R286" t="s">
        <v>38</v>
      </c>
      <c r="S286" t="str" cm="1">
        <f t="array" ref="S286">_xlfn.IFS(R286="COMPLETE", "COMPLETED", R286="CANCELED", "CANCELED", TRUE, "PENDING")</f>
        <v>PENDING</v>
      </c>
      <c r="T286" t="s">
        <v>90</v>
      </c>
      <c r="U286">
        <f>VLOOKUP(A286,ordered_items!$B:$E,4,0)</f>
        <v>199.99</v>
      </c>
    </row>
    <row r="287" spans="1:21" x14ac:dyDescent="0.3">
      <c r="A287">
        <v>22828</v>
      </c>
      <c r="B287" t="s">
        <v>24</v>
      </c>
      <c r="C287">
        <v>2</v>
      </c>
      <c r="D287">
        <v>1</v>
      </c>
      <c r="E287" t="str">
        <f t="shared" si="12"/>
        <v>DELAYED</v>
      </c>
      <c r="F287">
        <f>VLOOKUP($A287,ordered_items!$B$2:$E$4784,2,0)</f>
        <v>793</v>
      </c>
      <c r="G287">
        <f>VLOOKUP($A287,ordered_items!$B$2:$E$4784,3,0)</f>
        <v>2</v>
      </c>
      <c r="H287">
        <f>VLOOKUP($A287,ordered_items!$B$2:$E$4784,4,0)</f>
        <v>29.98</v>
      </c>
      <c r="I287" s="15">
        <f>VLOOKUP(F287,product_info!$A$2:$D$73,4,0)</f>
        <v>6</v>
      </c>
      <c r="J287" s="15" t="str">
        <f>VLOOKUP(I287,department!$A$2:$B$13,2,0)</f>
        <v>Outdoors</v>
      </c>
      <c r="K287">
        <v>1926</v>
      </c>
      <c r="L287" t="s">
        <v>1129</v>
      </c>
      <c r="M287" s="4">
        <v>43433</v>
      </c>
      <c r="N287" s="12">
        <f t="shared" si="13"/>
        <v>11</v>
      </c>
      <c r="O287" s="13">
        <f t="shared" si="14"/>
        <v>2018</v>
      </c>
      <c r="P287" t="s">
        <v>13</v>
      </c>
      <c r="Q287" t="s">
        <v>99</v>
      </c>
      <c r="R287" t="s">
        <v>31</v>
      </c>
      <c r="S287" t="str" cm="1">
        <f t="array" ref="S287">_xlfn.IFS(R287="COMPLETE", "COMPLETED", R287="CANCELED", "CANCELED", TRUE, "PENDING")</f>
        <v>COMPLETED</v>
      </c>
      <c r="T287" t="s">
        <v>32</v>
      </c>
      <c r="U287">
        <f>VLOOKUP(A287,ordered_items!$B:$E,4,0)</f>
        <v>29.98</v>
      </c>
    </row>
    <row r="288" spans="1:21" x14ac:dyDescent="0.3">
      <c r="A288">
        <v>22831</v>
      </c>
      <c r="B288" t="s">
        <v>24</v>
      </c>
      <c r="C288">
        <v>2</v>
      </c>
      <c r="D288">
        <v>4</v>
      </c>
      <c r="E288" t="str">
        <f t="shared" si="12"/>
        <v xml:space="preserve"> ONTIME</v>
      </c>
      <c r="F288">
        <f>VLOOKUP($A288,ordered_items!$B$2:$E$4784,2,0)</f>
        <v>957</v>
      </c>
      <c r="G288">
        <f>VLOOKUP($A288,ordered_items!$B$2:$E$4784,3,0)</f>
        <v>1</v>
      </c>
      <c r="H288">
        <f>VLOOKUP($A288,ordered_items!$B$2:$E$4784,4,0)</f>
        <v>299.98</v>
      </c>
      <c r="I288" s="15">
        <f>VLOOKUP(F288,product_info!$A$2:$D$73,4,0)</f>
        <v>7</v>
      </c>
      <c r="J288" s="15" t="str">
        <f>VLOOKUP(I288,department!$A$2:$B$13,2,0)</f>
        <v>Fan Shop</v>
      </c>
      <c r="K288">
        <v>435</v>
      </c>
      <c r="L288" t="s">
        <v>233</v>
      </c>
      <c r="M288" s="4">
        <v>43433</v>
      </c>
      <c r="N288" s="12">
        <f t="shared" si="13"/>
        <v>11</v>
      </c>
      <c r="O288" s="13">
        <f t="shared" si="14"/>
        <v>2018</v>
      </c>
      <c r="P288" t="s">
        <v>13</v>
      </c>
      <c r="Q288" t="s">
        <v>234</v>
      </c>
      <c r="R288" t="s">
        <v>31</v>
      </c>
      <c r="S288" t="str" cm="1">
        <f t="array" ref="S288">_xlfn.IFS(R288="COMPLETE", "COMPLETED", R288="CANCELED", "CANCELED", TRUE, "PENDING")</f>
        <v>COMPLETED</v>
      </c>
      <c r="T288" t="s">
        <v>16</v>
      </c>
      <c r="U288">
        <f>VLOOKUP(A288,ordered_items!$B:$E,4,0)</f>
        <v>299.98</v>
      </c>
    </row>
    <row r="289" spans="1:21" x14ac:dyDescent="0.3">
      <c r="A289">
        <v>22903</v>
      </c>
      <c r="B289" t="s">
        <v>51</v>
      </c>
      <c r="C289">
        <v>4</v>
      </c>
      <c r="D289">
        <v>2</v>
      </c>
      <c r="E289" t="str">
        <f t="shared" si="12"/>
        <v>DELAYED</v>
      </c>
      <c r="F289">
        <f>VLOOKUP($A289,ordered_items!$B$2:$E$4784,2,0)</f>
        <v>1073</v>
      </c>
      <c r="G289">
        <f>VLOOKUP($A289,ordered_items!$B$2:$E$4784,3,0)</f>
        <v>1</v>
      </c>
      <c r="H289">
        <f>VLOOKUP($A289,ordered_items!$B$2:$E$4784,4,0)</f>
        <v>199.99</v>
      </c>
      <c r="I289" s="15">
        <f>VLOOKUP(F289,product_info!$A$2:$D$73,4,0)</f>
        <v>7</v>
      </c>
      <c r="J289" s="15" t="str">
        <f>VLOOKUP(I289,department!$A$2:$B$13,2,0)</f>
        <v>Fan Shop</v>
      </c>
      <c r="K289">
        <v>8381</v>
      </c>
      <c r="L289" t="s">
        <v>275</v>
      </c>
      <c r="M289" s="4">
        <v>43434</v>
      </c>
      <c r="N289" s="12">
        <f t="shared" si="13"/>
        <v>11</v>
      </c>
      <c r="O289" s="13">
        <f t="shared" si="14"/>
        <v>2018</v>
      </c>
      <c r="P289" t="s">
        <v>13</v>
      </c>
      <c r="Q289" t="s">
        <v>80</v>
      </c>
      <c r="R289" t="s">
        <v>57</v>
      </c>
      <c r="S289" t="str" cm="1">
        <f t="array" ref="S289">_xlfn.IFS(R289="COMPLETE", "COMPLETED", R289="CANCELED", "CANCELED", TRUE, "PENDING")</f>
        <v>PENDING</v>
      </c>
      <c r="T289" t="s">
        <v>90</v>
      </c>
      <c r="U289">
        <f>VLOOKUP(A289,ordered_items!$B:$E,4,0)</f>
        <v>199.99</v>
      </c>
    </row>
    <row r="290" spans="1:21" x14ac:dyDescent="0.3">
      <c r="A290">
        <v>22904</v>
      </c>
      <c r="B290" t="s">
        <v>51</v>
      </c>
      <c r="C290">
        <v>5</v>
      </c>
      <c r="D290">
        <v>2</v>
      </c>
      <c r="E290" t="str">
        <f t="shared" si="12"/>
        <v>DELAYED</v>
      </c>
      <c r="F290">
        <f>VLOOKUP($A290,ordered_items!$B$2:$E$4784,2,0)</f>
        <v>728</v>
      </c>
      <c r="G290">
        <f>VLOOKUP($A290,ordered_items!$B$2:$E$4784,3,0)</f>
        <v>2</v>
      </c>
      <c r="H290">
        <f>VLOOKUP($A290,ordered_items!$B$2:$E$4784,4,0)</f>
        <v>130</v>
      </c>
      <c r="I290" s="15">
        <f>VLOOKUP(F290,product_info!$A$2:$D$73,4,0)</f>
        <v>6</v>
      </c>
      <c r="J290" s="15" t="str">
        <f>VLOOKUP(I290,department!$A$2:$B$13,2,0)</f>
        <v>Outdoors</v>
      </c>
      <c r="K290">
        <v>7658</v>
      </c>
      <c r="L290" t="s">
        <v>275</v>
      </c>
      <c r="M290" s="4">
        <v>43434</v>
      </c>
      <c r="N290" s="12">
        <f t="shared" si="13"/>
        <v>11</v>
      </c>
      <c r="O290" s="13">
        <f t="shared" si="14"/>
        <v>2018</v>
      </c>
      <c r="P290" t="s">
        <v>13</v>
      </c>
      <c r="Q290" t="s">
        <v>80</v>
      </c>
      <c r="R290" t="s">
        <v>57</v>
      </c>
      <c r="S290" t="str" cm="1">
        <f t="array" ref="S290">_xlfn.IFS(R290="COMPLETE", "COMPLETED", R290="CANCELED", "CANCELED", TRUE, "PENDING")</f>
        <v>PENDING</v>
      </c>
      <c r="T290" t="s">
        <v>90</v>
      </c>
      <c r="U290">
        <f>VLOOKUP(A290,ordered_items!$B:$E,4,0)</f>
        <v>130</v>
      </c>
    </row>
    <row r="291" spans="1:21" x14ac:dyDescent="0.3">
      <c r="A291">
        <v>22905</v>
      </c>
      <c r="B291" t="s">
        <v>24</v>
      </c>
      <c r="C291">
        <v>6</v>
      </c>
      <c r="D291">
        <v>2</v>
      </c>
      <c r="E291" t="str">
        <f t="shared" si="12"/>
        <v>DELAYED</v>
      </c>
      <c r="F291">
        <f>VLOOKUP($A291,ordered_items!$B$2:$E$4784,2,0)</f>
        <v>502</v>
      </c>
      <c r="G291">
        <f>VLOOKUP($A291,ordered_items!$B$2:$E$4784,3,0)</f>
        <v>3</v>
      </c>
      <c r="H291">
        <f>VLOOKUP($A291,ordered_items!$B$2:$E$4784,4,0)</f>
        <v>150</v>
      </c>
      <c r="I291" s="15">
        <f>VLOOKUP(F291,product_info!$A$2:$D$73,4,0)</f>
        <v>5</v>
      </c>
      <c r="J291" s="15" t="str">
        <f>VLOOKUP(I291,department!$A$2:$B$13,2,0)</f>
        <v>Golf</v>
      </c>
      <c r="K291">
        <v>10102</v>
      </c>
      <c r="L291" t="s">
        <v>275</v>
      </c>
      <c r="M291" s="4">
        <v>43434</v>
      </c>
      <c r="N291" s="12">
        <f t="shared" si="13"/>
        <v>11</v>
      </c>
      <c r="O291" s="13">
        <f t="shared" si="14"/>
        <v>2018</v>
      </c>
      <c r="P291" t="s">
        <v>13</v>
      </c>
      <c r="Q291" t="s">
        <v>80</v>
      </c>
      <c r="R291" t="s">
        <v>31</v>
      </c>
      <c r="S291" t="str" cm="1">
        <f t="array" ref="S291">_xlfn.IFS(R291="COMPLETE", "COMPLETED", R291="CANCELED", "CANCELED", TRUE, "PENDING")</f>
        <v>COMPLETED</v>
      </c>
      <c r="T291" t="s">
        <v>90</v>
      </c>
      <c r="U291">
        <f>VLOOKUP(A291,ordered_items!$B:$E,4,0)</f>
        <v>150</v>
      </c>
    </row>
    <row r="292" spans="1:21" x14ac:dyDescent="0.3">
      <c r="A292">
        <v>22906</v>
      </c>
      <c r="B292" t="s">
        <v>51</v>
      </c>
      <c r="C292">
        <v>2</v>
      </c>
      <c r="D292">
        <v>4</v>
      </c>
      <c r="E292" t="str">
        <f t="shared" si="12"/>
        <v xml:space="preserve"> ONTIME</v>
      </c>
      <c r="F292">
        <f>VLOOKUP($A292,ordered_items!$B$2:$E$4784,2,0)</f>
        <v>627</v>
      </c>
      <c r="G292">
        <f>VLOOKUP($A292,ordered_items!$B$2:$E$4784,3,0)</f>
        <v>5</v>
      </c>
      <c r="H292">
        <f>VLOOKUP($A292,ordered_items!$B$2:$E$4784,4,0)</f>
        <v>199.95</v>
      </c>
      <c r="I292" s="15">
        <f>VLOOKUP(F292,product_info!$A$2:$D$73,4,0)</f>
        <v>5</v>
      </c>
      <c r="J292" s="15" t="str">
        <f>VLOOKUP(I292,department!$A$2:$B$13,2,0)</f>
        <v>Golf</v>
      </c>
      <c r="K292">
        <v>12176</v>
      </c>
      <c r="L292" t="s">
        <v>275</v>
      </c>
      <c r="M292" s="4">
        <v>43434</v>
      </c>
      <c r="N292" s="12">
        <f t="shared" si="13"/>
        <v>11</v>
      </c>
      <c r="O292" s="13">
        <f t="shared" si="14"/>
        <v>2018</v>
      </c>
      <c r="P292" t="s">
        <v>13</v>
      </c>
      <c r="Q292" t="s">
        <v>80</v>
      </c>
      <c r="R292" t="s">
        <v>57</v>
      </c>
      <c r="S292" t="str" cm="1">
        <f t="array" ref="S292">_xlfn.IFS(R292="COMPLETE", "COMPLETED", R292="CANCELED", "CANCELED", TRUE, "PENDING")</f>
        <v>PENDING</v>
      </c>
      <c r="T292" t="s">
        <v>16</v>
      </c>
      <c r="U292">
        <f>VLOOKUP(A292,ordered_items!$B:$E,4,0)</f>
        <v>199.95</v>
      </c>
    </row>
    <row r="293" spans="1:21" x14ac:dyDescent="0.3">
      <c r="A293">
        <v>22907</v>
      </c>
      <c r="B293" t="s">
        <v>24</v>
      </c>
      <c r="C293">
        <v>3</v>
      </c>
      <c r="D293">
        <v>4</v>
      </c>
      <c r="E293" t="str">
        <f t="shared" si="12"/>
        <v xml:space="preserve"> ONTIME</v>
      </c>
      <c r="F293">
        <f>VLOOKUP($A293,ordered_items!$B$2:$E$4784,2,0)</f>
        <v>1073</v>
      </c>
      <c r="G293">
        <f>VLOOKUP($A293,ordered_items!$B$2:$E$4784,3,0)</f>
        <v>1</v>
      </c>
      <c r="H293">
        <f>VLOOKUP($A293,ordered_items!$B$2:$E$4784,4,0)</f>
        <v>199.99</v>
      </c>
      <c r="I293" s="15">
        <f>VLOOKUP(F293,product_info!$A$2:$D$73,4,0)</f>
        <v>7</v>
      </c>
      <c r="J293" s="15" t="str">
        <f>VLOOKUP(I293,department!$A$2:$B$13,2,0)</f>
        <v>Fan Shop</v>
      </c>
      <c r="K293">
        <v>1714</v>
      </c>
      <c r="L293" t="s">
        <v>275</v>
      </c>
      <c r="M293" s="4">
        <v>43434</v>
      </c>
      <c r="N293" s="12">
        <f t="shared" si="13"/>
        <v>11</v>
      </c>
      <c r="O293" s="13">
        <f t="shared" si="14"/>
        <v>2018</v>
      </c>
      <c r="P293" t="s">
        <v>13</v>
      </c>
      <c r="Q293" t="s">
        <v>80</v>
      </c>
      <c r="R293" t="s">
        <v>378</v>
      </c>
      <c r="S293" t="str" cm="1">
        <f t="array" ref="S293">_xlfn.IFS(R293="COMPLETE", "COMPLETED", R293="CANCELED", "CANCELED", TRUE, "PENDING")</f>
        <v>PENDING</v>
      </c>
      <c r="T293" t="s">
        <v>16</v>
      </c>
      <c r="U293">
        <f>VLOOKUP(A293,ordered_items!$B:$E,4,0)</f>
        <v>199.99</v>
      </c>
    </row>
    <row r="294" spans="1:21" x14ac:dyDescent="0.3">
      <c r="A294">
        <v>22921</v>
      </c>
      <c r="B294" t="s">
        <v>51</v>
      </c>
      <c r="C294">
        <v>2</v>
      </c>
      <c r="D294">
        <v>1</v>
      </c>
      <c r="E294" t="str">
        <f t="shared" si="12"/>
        <v>DELAYED</v>
      </c>
      <c r="F294">
        <f>VLOOKUP($A294,ordered_items!$B$2:$E$4784,2,0)</f>
        <v>403</v>
      </c>
      <c r="G294">
        <f>VLOOKUP($A294,ordered_items!$B$2:$E$4784,3,0)</f>
        <v>1</v>
      </c>
      <c r="H294">
        <f>VLOOKUP($A294,ordered_items!$B$2:$E$4784,4,0)</f>
        <v>129.99</v>
      </c>
      <c r="I294" s="15">
        <f>VLOOKUP(F294,product_info!$A$2:$D$73,4,0)</f>
        <v>4</v>
      </c>
      <c r="J294" s="15" t="str">
        <f>VLOOKUP(I294,department!$A$2:$B$13,2,0)</f>
        <v>Apparel</v>
      </c>
      <c r="K294">
        <v>3401</v>
      </c>
      <c r="L294" t="s">
        <v>1078</v>
      </c>
      <c r="M294" s="4">
        <v>43434</v>
      </c>
      <c r="N294" s="12">
        <f t="shared" si="13"/>
        <v>11</v>
      </c>
      <c r="O294" s="13">
        <f t="shared" si="14"/>
        <v>2018</v>
      </c>
      <c r="P294" t="s">
        <v>13</v>
      </c>
      <c r="Q294" t="s">
        <v>5780</v>
      </c>
      <c r="R294" t="s">
        <v>57</v>
      </c>
      <c r="S294" t="str" cm="1">
        <f t="array" ref="S294">_xlfn.IFS(R294="COMPLETE", "COMPLETED", R294="CANCELED", "CANCELED", TRUE, "PENDING")</f>
        <v>PENDING</v>
      </c>
      <c r="T294" t="s">
        <v>32</v>
      </c>
      <c r="U294">
        <f>VLOOKUP(A294,ordered_items!$B:$E,4,0)</f>
        <v>129.99</v>
      </c>
    </row>
    <row r="295" spans="1:21" x14ac:dyDescent="0.3">
      <c r="A295">
        <v>22922</v>
      </c>
      <c r="B295" t="s">
        <v>24</v>
      </c>
      <c r="C295">
        <v>2</v>
      </c>
      <c r="D295">
        <v>1</v>
      </c>
      <c r="E295" t="str">
        <f t="shared" si="12"/>
        <v>DELAYED</v>
      </c>
      <c r="F295">
        <f>VLOOKUP($A295,ordered_items!$B$2:$E$4784,2,0)</f>
        <v>1073</v>
      </c>
      <c r="G295">
        <f>VLOOKUP($A295,ordered_items!$B$2:$E$4784,3,0)</f>
        <v>1</v>
      </c>
      <c r="H295">
        <f>VLOOKUP($A295,ordered_items!$B$2:$E$4784,4,0)</f>
        <v>199.99</v>
      </c>
      <c r="I295" s="15">
        <f>VLOOKUP(F295,product_info!$A$2:$D$73,4,0)</f>
        <v>7</v>
      </c>
      <c r="J295" s="15" t="str">
        <f>VLOOKUP(I295,department!$A$2:$B$13,2,0)</f>
        <v>Fan Shop</v>
      </c>
      <c r="K295">
        <v>1679</v>
      </c>
      <c r="L295" t="s">
        <v>1078</v>
      </c>
      <c r="M295" s="4">
        <v>43434</v>
      </c>
      <c r="N295" s="12">
        <f t="shared" si="13"/>
        <v>11</v>
      </c>
      <c r="O295" s="13">
        <f t="shared" si="14"/>
        <v>2018</v>
      </c>
      <c r="P295" t="s">
        <v>13</v>
      </c>
      <c r="Q295" t="s">
        <v>5780</v>
      </c>
      <c r="R295" t="s">
        <v>31</v>
      </c>
      <c r="S295" t="str" cm="1">
        <f t="array" ref="S295">_xlfn.IFS(R295="COMPLETE", "COMPLETED", R295="CANCELED", "CANCELED", TRUE, "PENDING")</f>
        <v>COMPLETED</v>
      </c>
      <c r="T295" t="s">
        <v>32</v>
      </c>
      <c r="U295">
        <f>VLOOKUP(A295,ordered_items!$B:$E,4,0)</f>
        <v>199.99</v>
      </c>
    </row>
    <row r="296" spans="1:21" x14ac:dyDescent="0.3">
      <c r="A296">
        <v>22934</v>
      </c>
      <c r="B296" t="s">
        <v>3</v>
      </c>
      <c r="C296">
        <v>5</v>
      </c>
      <c r="D296">
        <v>4</v>
      </c>
      <c r="E296" t="str">
        <f t="shared" si="12"/>
        <v>DELAYED</v>
      </c>
      <c r="F296">
        <f>VLOOKUP($A296,ordered_items!$B$2:$E$4784,2,0)</f>
        <v>957</v>
      </c>
      <c r="G296">
        <f>VLOOKUP($A296,ordered_items!$B$2:$E$4784,3,0)</f>
        <v>1</v>
      </c>
      <c r="H296">
        <f>VLOOKUP($A296,ordered_items!$B$2:$E$4784,4,0)</f>
        <v>299.98</v>
      </c>
      <c r="I296" s="15">
        <f>VLOOKUP(F296,product_info!$A$2:$D$73,4,0)</f>
        <v>7</v>
      </c>
      <c r="J296" s="15" t="str">
        <f>VLOOKUP(I296,department!$A$2:$B$13,2,0)</f>
        <v>Fan Shop</v>
      </c>
      <c r="K296">
        <v>10214</v>
      </c>
      <c r="L296" t="s">
        <v>894</v>
      </c>
      <c r="M296" s="4">
        <v>43434</v>
      </c>
      <c r="N296" s="12">
        <f t="shared" si="13"/>
        <v>11</v>
      </c>
      <c r="O296" s="13">
        <f t="shared" si="14"/>
        <v>2018</v>
      </c>
      <c r="P296" t="s">
        <v>13</v>
      </c>
      <c r="Q296" t="s">
        <v>894</v>
      </c>
      <c r="R296" t="s">
        <v>14</v>
      </c>
      <c r="S296" t="str" cm="1">
        <f t="array" ref="S296">_xlfn.IFS(R296="COMPLETE", "COMPLETED", R296="CANCELED", "CANCELED", TRUE, "PENDING")</f>
        <v>PENDING</v>
      </c>
      <c r="T296" t="s">
        <v>16</v>
      </c>
      <c r="U296">
        <f>VLOOKUP(A296,ordered_items!$B:$E,4,0)</f>
        <v>299.98</v>
      </c>
    </row>
    <row r="297" spans="1:21" x14ac:dyDescent="0.3">
      <c r="A297">
        <v>22935</v>
      </c>
      <c r="B297" t="s">
        <v>24</v>
      </c>
      <c r="C297">
        <v>6</v>
      </c>
      <c r="D297">
        <v>4</v>
      </c>
      <c r="E297" t="str">
        <f t="shared" si="12"/>
        <v>DELAYED</v>
      </c>
      <c r="F297">
        <f>VLOOKUP($A297,ordered_items!$B$2:$E$4784,2,0)</f>
        <v>957</v>
      </c>
      <c r="G297">
        <f>VLOOKUP($A297,ordered_items!$B$2:$E$4784,3,0)</f>
        <v>1</v>
      </c>
      <c r="H297">
        <f>VLOOKUP($A297,ordered_items!$B$2:$E$4784,4,0)</f>
        <v>299.98</v>
      </c>
      <c r="I297" s="15">
        <f>VLOOKUP(F297,product_info!$A$2:$D$73,4,0)</f>
        <v>7</v>
      </c>
      <c r="J297" s="15" t="str">
        <f>VLOOKUP(I297,department!$A$2:$B$13,2,0)</f>
        <v>Fan Shop</v>
      </c>
      <c r="K297">
        <v>6060</v>
      </c>
      <c r="L297" t="s">
        <v>894</v>
      </c>
      <c r="M297" s="4">
        <v>43434</v>
      </c>
      <c r="N297" s="12">
        <f t="shared" si="13"/>
        <v>11</v>
      </c>
      <c r="O297" s="13">
        <f t="shared" si="14"/>
        <v>2018</v>
      </c>
      <c r="P297" t="s">
        <v>13</v>
      </c>
      <c r="Q297" t="s">
        <v>894</v>
      </c>
      <c r="R297" t="s">
        <v>31</v>
      </c>
      <c r="S297" t="str" cm="1">
        <f t="array" ref="S297">_xlfn.IFS(R297="COMPLETE", "COMPLETED", R297="CANCELED", "CANCELED", TRUE, "PENDING")</f>
        <v>COMPLETED</v>
      </c>
      <c r="T297" t="s">
        <v>16</v>
      </c>
      <c r="U297">
        <f>VLOOKUP(A297,ordered_items!$B:$E,4,0)</f>
        <v>299.98</v>
      </c>
    </row>
    <row r="298" spans="1:21" x14ac:dyDescent="0.3">
      <c r="A298">
        <v>22944</v>
      </c>
      <c r="B298" t="s">
        <v>51</v>
      </c>
      <c r="C298">
        <v>5</v>
      </c>
      <c r="D298">
        <v>4</v>
      </c>
      <c r="E298" t="str">
        <f t="shared" si="12"/>
        <v>DELAYED</v>
      </c>
      <c r="F298">
        <f>VLOOKUP($A298,ordered_items!$B$2:$E$4784,2,0)</f>
        <v>403</v>
      </c>
      <c r="G298">
        <f>VLOOKUP($A298,ordered_items!$B$2:$E$4784,3,0)</f>
        <v>1</v>
      </c>
      <c r="H298">
        <f>VLOOKUP($A298,ordered_items!$B$2:$E$4784,4,0)</f>
        <v>129.99</v>
      </c>
      <c r="I298" s="15">
        <f>VLOOKUP(F298,product_info!$A$2:$D$73,4,0)</f>
        <v>4</v>
      </c>
      <c r="J298" s="15" t="str">
        <f>VLOOKUP(I298,department!$A$2:$B$13,2,0)</f>
        <v>Apparel</v>
      </c>
      <c r="K298">
        <v>1225</v>
      </c>
      <c r="L298" t="s">
        <v>258</v>
      </c>
      <c r="M298" s="4">
        <v>43434</v>
      </c>
      <c r="N298" s="12">
        <f t="shared" si="13"/>
        <v>11</v>
      </c>
      <c r="O298" s="13">
        <f t="shared" si="14"/>
        <v>2018</v>
      </c>
      <c r="P298" t="s">
        <v>13</v>
      </c>
      <c r="Q298" t="s">
        <v>30</v>
      </c>
      <c r="R298" t="s">
        <v>57</v>
      </c>
      <c r="S298" t="str" cm="1">
        <f t="array" ref="S298">_xlfn.IFS(R298="COMPLETE", "COMPLETED", R298="CANCELED", "CANCELED", TRUE, "PENDING")</f>
        <v>PENDING</v>
      </c>
      <c r="T298" t="s">
        <v>16</v>
      </c>
      <c r="U298">
        <f>VLOOKUP(A298,ordered_items!$B:$E,4,0)</f>
        <v>129.99</v>
      </c>
    </row>
    <row r="299" spans="1:21" x14ac:dyDescent="0.3">
      <c r="A299">
        <v>22945</v>
      </c>
      <c r="B299" t="s">
        <v>24</v>
      </c>
      <c r="C299">
        <v>6</v>
      </c>
      <c r="D299">
        <v>4</v>
      </c>
      <c r="E299" t="str">
        <f t="shared" si="12"/>
        <v>DELAYED</v>
      </c>
      <c r="F299">
        <f>VLOOKUP($A299,ordered_items!$B$2:$E$4784,2,0)</f>
        <v>191</v>
      </c>
      <c r="G299">
        <f>VLOOKUP($A299,ordered_items!$B$2:$E$4784,3,0)</f>
        <v>5</v>
      </c>
      <c r="H299">
        <f>VLOOKUP($A299,ordered_items!$B$2:$E$4784,4,0)</f>
        <v>499.95</v>
      </c>
      <c r="I299" s="15">
        <f>VLOOKUP(F299,product_info!$A$2:$D$73,4,0)</f>
        <v>3</v>
      </c>
      <c r="J299" s="15" t="str">
        <f>VLOOKUP(I299,department!$A$2:$B$13,2,0)</f>
        <v>Footwear</v>
      </c>
      <c r="K299">
        <v>1</v>
      </c>
      <c r="L299" t="s">
        <v>258</v>
      </c>
      <c r="M299" s="4">
        <v>43434</v>
      </c>
      <c r="N299" s="12">
        <f t="shared" si="13"/>
        <v>11</v>
      </c>
      <c r="O299" s="13">
        <f t="shared" si="14"/>
        <v>2018</v>
      </c>
      <c r="P299" t="s">
        <v>13</v>
      </c>
      <c r="Q299" t="s">
        <v>30</v>
      </c>
      <c r="R299" t="s">
        <v>31</v>
      </c>
      <c r="S299" t="str" cm="1">
        <f t="array" ref="S299">_xlfn.IFS(R299="COMPLETE", "COMPLETED", R299="CANCELED", "CANCELED", TRUE, "PENDING")</f>
        <v>COMPLETED</v>
      </c>
      <c r="T299" t="s">
        <v>16</v>
      </c>
      <c r="U299">
        <f>VLOOKUP(A299,ordered_items!$B:$E,4,0)</f>
        <v>499.95</v>
      </c>
    </row>
    <row r="300" spans="1:21" x14ac:dyDescent="0.3">
      <c r="A300">
        <v>22964</v>
      </c>
      <c r="B300" t="s">
        <v>24</v>
      </c>
      <c r="C300">
        <v>5</v>
      </c>
      <c r="D300">
        <v>4</v>
      </c>
      <c r="E300" t="str">
        <f t="shared" si="12"/>
        <v>DELAYED</v>
      </c>
      <c r="F300">
        <f>VLOOKUP($A300,ordered_items!$B$2:$E$4784,2,0)</f>
        <v>1004</v>
      </c>
      <c r="G300">
        <f>VLOOKUP($A300,ordered_items!$B$2:$E$4784,3,0)</f>
        <v>1</v>
      </c>
      <c r="H300">
        <f>VLOOKUP($A300,ordered_items!$B$2:$E$4784,4,0)</f>
        <v>399.98</v>
      </c>
      <c r="I300" s="15">
        <f>VLOOKUP(F300,product_info!$A$2:$D$73,4,0)</f>
        <v>7</v>
      </c>
      <c r="J300" s="15" t="str">
        <f>VLOOKUP(I300,department!$A$2:$B$13,2,0)</f>
        <v>Fan Shop</v>
      </c>
      <c r="K300">
        <v>2248</v>
      </c>
      <c r="L300" t="s">
        <v>119</v>
      </c>
      <c r="M300" s="4">
        <v>43435</v>
      </c>
      <c r="N300" s="12">
        <f t="shared" si="13"/>
        <v>12</v>
      </c>
      <c r="O300" s="13">
        <f t="shared" si="14"/>
        <v>2018</v>
      </c>
      <c r="P300" t="s">
        <v>13</v>
      </c>
      <c r="Q300" t="s">
        <v>5781</v>
      </c>
      <c r="R300" t="s">
        <v>31</v>
      </c>
      <c r="S300" t="str" cm="1">
        <f t="array" ref="S300">_xlfn.IFS(R300="COMPLETE", "COMPLETED", R300="CANCELED", "CANCELED", TRUE, "PENDING")</f>
        <v>COMPLETED</v>
      </c>
      <c r="T300" t="s">
        <v>16</v>
      </c>
      <c r="U300">
        <f>VLOOKUP(A300,ordered_items!$B:$E,4,0)</f>
        <v>399.98</v>
      </c>
    </row>
    <row r="301" spans="1:21" x14ac:dyDescent="0.3">
      <c r="A301">
        <v>22970</v>
      </c>
      <c r="B301" t="s">
        <v>24</v>
      </c>
      <c r="C301">
        <v>2</v>
      </c>
      <c r="D301">
        <v>1</v>
      </c>
      <c r="E301" t="str">
        <f t="shared" si="12"/>
        <v>DELAYED</v>
      </c>
      <c r="F301">
        <f>VLOOKUP($A301,ordered_items!$B$2:$E$4784,2,0)</f>
        <v>403</v>
      </c>
      <c r="G301">
        <f>VLOOKUP($A301,ordered_items!$B$2:$E$4784,3,0)</f>
        <v>1</v>
      </c>
      <c r="H301">
        <f>VLOOKUP($A301,ordered_items!$B$2:$E$4784,4,0)</f>
        <v>129.99</v>
      </c>
      <c r="I301" s="15">
        <f>VLOOKUP(F301,product_info!$A$2:$D$73,4,0)</f>
        <v>4</v>
      </c>
      <c r="J301" s="15" t="str">
        <f>VLOOKUP(I301,department!$A$2:$B$13,2,0)</f>
        <v>Apparel</v>
      </c>
      <c r="K301">
        <v>1162</v>
      </c>
      <c r="L301" t="s">
        <v>743</v>
      </c>
      <c r="M301" s="4">
        <v>43435</v>
      </c>
      <c r="N301" s="12">
        <f t="shared" si="13"/>
        <v>12</v>
      </c>
      <c r="O301" s="13">
        <f t="shared" si="14"/>
        <v>2018</v>
      </c>
      <c r="P301" t="s">
        <v>13</v>
      </c>
      <c r="Q301" t="s">
        <v>5780</v>
      </c>
      <c r="R301" t="s">
        <v>31</v>
      </c>
      <c r="S301" t="str" cm="1">
        <f t="array" ref="S301">_xlfn.IFS(R301="COMPLETE", "COMPLETED", R301="CANCELED", "CANCELED", TRUE, "PENDING")</f>
        <v>COMPLETED</v>
      </c>
      <c r="T301" t="s">
        <v>32</v>
      </c>
      <c r="U301">
        <f>VLOOKUP(A301,ordered_items!$B:$E,4,0)</f>
        <v>129.99</v>
      </c>
    </row>
    <row r="302" spans="1:21" x14ac:dyDescent="0.3">
      <c r="A302">
        <v>22978</v>
      </c>
      <c r="B302" t="s">
        <v>17</v>
      </c>
      <c r="C302">
        <v>2</v>
      </c>
      <c r="D302">
        <v>1</v>
      </c>
      <c r="E302" t="str">
        <f t="shared" si="12"/>
        <v>DELAYED</v>
      </c>
      <c r="F302">
        <f>VLOOKUP($A302,ordered_items!$B$2:$E$4784,2,0)</f>
        <v>403</v>
      </c>
      <c r="G302">
        <f>VLOOKUP($A302,ordered_items!$B$2:$E$4784,3,0)</f>
        <v>1</v>
      </c>
      <c r="H302">
        <f>VLOOKUP($A302,ordered_items!$B$2:$E$4784,4,0)</f>
        <v>129.99</v>
      </c>
      <c r="I302" s="15">
        <f>VLOOKUP(F302,product_info!$A$2:$D$73,4,0)</f>
        <v>4</v>
      </c>
      <c r="J302" s="15" t="str">
        <f>VLOOKUP(I302,department!$A$2:$B$13,2,0)</f>
        <v>Apparel</v>
      </c>
      <c r="K302">
        <v>10628</v>
      </c>
      <c r="L302" t="s">
        <v>713</v>
      </c>
      <c r="M302" s="4">
        <v>43435</v>
      </c>
      <c r="N302" s="12">
        <f t="shared" si="13"/>
        <v>12</v>
      </c>
      <c r="O302" s="13">
        <f t="shared" si="14"/>
        <v>2018</v>
      </c>
      <c r="P302" t="s">
        <v>13</v>
      </c>
      <c r="Q302" t="s">
        <v>99</v>
      </c>
      <c r="R302" t="s">
        <v>23</v>
      </c>
      <c r="S302" t="str" cm="1">
        <f t="array" ref="S302">_xlfn.IFS(R302="COMPLETE", "COMPLETED", R302="CANCELED", "CANCELED", TRUE, "PENDING")</f>
        <v>PENDING</v>
      </c>
      <c r="T302" t="s">
        <v>32</v>
      </c>
      <c r="U302">
        <f>VLOOKUP(A302,ordered_items!$B:$E,4,0)</f>
        <v>129.99</v>
      </c>
    </row>
    <row r="303" spans="1:21" x14ac:dyDescent="0.3">
      <c r="A303">
        <v>22998</v>
      </c>
      <c r="B303" t="s">
        <v>24</v>
      </c>
      <c r="C303">
        <v>4</v>
      </c>
      <c r="D303">
        <v>4</v>
      </c>
      <c r="E303" t="str">
        <f t="shared" si="12"/>
        <v xml:space="preserve"> ONTIME</v>
      </c>
      <c r="F303">
        <f>VLOOKUP($A303,ordered_items!$B$2:$E$4784,2,0)</f>
        <v>403</v>
      </c>
      <c r="G303">
        <f>VLOOKUP($A303,ordered_items!$B$2:$E$4784,3,0)</f>
        <v>1</v>
      </c>
      <c r="H303">
        <f>VLOOKUP($A303,ordered_items!$B$2:$E$4784,4,0)</f>
        <v>129.99</v>
      </c>
      <c r="I303" s="15">
        <f>VLOOKUP(F303,product_info!$A$2:$D$73,4,0)</f>
        <v>4</v>
      </c>
      <c r="J303" s="15" t="str">
        <f>VLOOKUP(I303,department!$A$2:$B$13,2,0)</f>
        <v>Apparel</v>
      </c>
      <c r="K303">
        <v>12234</v>
      </c>
      <c r="L303" t="s">
        <v>525</v>
      </c>
      <c r="M303" s="4">
        <v>43435</v>
      </c>
      <c r="N303" s="12">
        <f t="shared" si="13"/>
        <v>12</v>
      </c>
      <c r="O303" s="13">
        <f t="shared" si="14"/>
        <v>2018</v>
      </c>
      <c r="P303" t="s">
        <v>13</v>
      </c>
      <c r="Q303" t="s">
        <v>5778</v>
      </c>
      <c r="R303" t="s">
        <v>31</v>
      </c>
      <c r="S303" t="str" cm="1">
        <f t="array" ref="S303">_xlfn.IFS(R303="COMPLETE", "COMPLETED", R303="CANCELED", "CANCELED", TRUE, "PENDING")</f>
        <v>COMPLETED</v>
      </c>
      <c r="T303" t="s">
        <v>16</v>
      </c>
      <c r="U303">
        <f>VLOOKUP(A303,ordered_items!$B:$E,4,0)</f>
        <v>129.99</v>
      </c>
    </row>
    <row r="304" spans="1:21" x14ac:dyDescent="0.3">
      <c r="A304">
        <v>22999</v>
      </c>
      <c r="B304" t="s">
        <v>24</v>
      </c>
      <c r="C304">
        <v>5</v>
      </c>
      <c r="D304">
        <v>2</v>
      </c>
      <c r="E304" t="str">
        <f t="shared" si="12"/>
        <v>DELAYED</v>
      </c>
      <c r="F304">
        <f>VLOOKUP($A304,ordered_items!$B$2:$E$4784,2,0)</f>
        <v>403</v>
      </c>
      <c r="G304">
        <f>VLOOKUP($A304,ordered_items!$B$2:$E$4784,3,0)</f>
        <v>1</v>
      </c>
      <c r="H304">
        <f>VLOOKUP($A304,ordered_items!$B$2:$E$4784,4,0)</f>
        <v>129.99</v>
      </c>
      <c r="I304" s="15">
        <f>VLOOKUP(F304,product_info!$A$2:$D$73,4,0)</f>
        <v>4</v>
      </c>
      <c r="J304" s="15" t="str">
        <f>VLOOKUP(I304,department!$A$2:$B$13,2,0)</f>
        <v>Apparel</v>
      </c>
      <c r="K304">
        <v>8606</v>
      </c>
      <c r="L304" t="s">
        <v>525</v>
      </c>
      <c r="M304" s="4">
        <v>43435</v>
      </c>
      <c r="N304" s="12">
        <f t="shared" si="13"/>
        <v>12</v>
      </c>
      <c r="O304" s="13">
        <f t="shared" si="14"/>
        <v>2018</v>
      </c>
      <c r="P304" t="s">
        <v>13</v>
      </c>
      <c r="Q304" t="s">
        <v>5778</v>
      </c>
      <c r="R304" t="s">
        <v>31</v>
      </c>
      <c r="S304" t="str" cm="1">
        <f t="array" ref="S304">_xlfn.IFS(R304="COMPLETE", "COMPLETED", R304="CANCELED", "CANCELED", TRUE, "PENDING")</f>
        <v>COMPLETED</v>
      </c>
      <c r="T304" t="s">
        <v>90</v>
      </c>
      <c r="U304">
        <f>VLOOKUP(A304,ordered_items!$B:$E,4,0)</f>
        <v>129.99</v>
      </c>
    </row>
    <row r="305" spans="1:21" x14ac:dyDescent="0.3">
      <c r="A305">
        <v>23000</v>
      </c>
      <c r="B305" t="s">
        <v>3</v>
      </c>
      <c r="C305">
        <v>6</v>
      </c>
      <c r="D305">
        <v>4</v>
      </c>
      <c r="E305" t="str">
        <f t="shared" si="12"/>
        <v>DELAYED</v>
      </c>
      <c r="F305">
        <f>VLOOKUP($A305,ordered_items!$B$2:$E$4784,2,0)</f>
        <v>1073</v>
      </c>
      <c r="G305">
        <f>VLOOKUP($A305,ordered_items!$B$2:$E$4784,3,0)</f>
        <v>1</v>
      </c>
      <c r="H305">
        <f>VLOOKUP($A305,ordered_items!$B$2:$E$4784,4,0)</f>
        <v>199.99</v>
      </c>
      <c r="I305" s="15">
        <f>VLOOKUP(F305,product_info!$A$2:$D$73,4,0)</f>
        <v>7</v>
      </c>
      <c r="J305" s="15" t="str">
        <f>VLOOKUP(I305,department!$A$2:$B$13,2,0)</f>
        <v>Fan Shop</v>
      </c>
      <c r="K305">
        <v>11827</v>
      </c>
      <c r="L305" t="s">
        <v>525</v>
      </c>
      <c r="M305" s="4">
        <v>43435</v>
      </c>
      <c r="N305" s="12">
        <f t="shared" si="13"/>
        <v>12</v>
      </c>
      <c r="O305" s="13">
        <f t="shared" si="14"/>
        <v>2018</v>
      </c>
      <c r="P305" t="s">
        <v>13</v>
      </c>
      <c r="Q305" t="s">
        <v>5778</v>
      </c>
      <c r="R305" t="s">
        <v>38</v>
      </c>
      <c r="S305" t="str" cm="1">
        <f t="array" ref="S305">_xlfn.IFS(R305="COMPLETE", "COMPLETED", R305="CANCELED", "CANCELED", TRUE, "PENDING")</f>
        <v>PENDING</v>
      </c>
      <c r="T305" t="s">
        <v>16</v>
      </c>
      <c r="U305">
        <f>VLOOKUP(A305,ordered_items!$B:$E,4,0)</f>
        <v>199.99</v>
      </c>
    </row>
    <row r="306" spans="1:21" x14ac:dyDescent="0.3">
      <c r="A306">
        <v>23039</v>
      </c>
      <c r="B306" t="s">
        <v>51</v>
      </c>
      <c r="C306">
        <v>0</v>
      </c>
      <c r="D306">
        <v>0</v>
      </c>
      <c r="E306" t="str">
        <f t="shared" si="12"/>
        <v xml:space="preserve"> ONTIME</v>
      </c>
      <c r="F306">
        <f>VLOOKUP($A306,ordered_items!$B$2:$E$4784,2,0)</f>
        <v>1014</v>
      </c>
      <c r="G306">
        <f>VLOOKUP($A306,ordered_items!$B$2:$E$4784,3,0)</f>
        <v>1</v>
      </c>
      <c r="H306">
        <f>VLOOKUP($A306,ordered_items!$B$2:$E$4784,4,0)</f>
        <v>49.98</v>
      </c>
      <c r="I306" s="15">
        <f>VLOOKUP(F306,product_info!$A$2:$D$73,4,0)</f>
        <v>7</v>
      </c>
      <c r="J306" s="15" t="str">
        <f>VLOOKUP(I306,department!$A$2:$B$13,2,0)</f>
        <v>Fan Shop</v>
      </c>
      <c r="K306">
        <v>6025</v>
      </c>
      <c r="L306" t="s">
        <v>426</v>
      </c>
      <c r="M306" s="4">
        <v>43436</v>
      </c>
      <c r="N306" s="12">
        <f t="shared" si="13"/>
        <v>12</v>
      </c>
      <c r="O306" s="13">
        <f t="shared" si="14"/>
        <v>2018</v>
      </c>
      <c r="P306" t="s">
        <v>13</v>
      </c>
      <c r="Q306" t="s">
        <v>245</v>
      </c>
      <c r="R306" t="s">
        <v>57</v>
      </c>
      <c r="S306" t="str" cm="1">
        <f t="array" ref="S306">_xlfn.IFS(R306="COMPLETE", "COMPLETED", R306="CANCELED", "CANCELED", TRUE, "PENDING")</f>
        <v>PENDING</v>
      </c>
      <c r="T306" t="s">
        <v>58</v>
      </c>
      <c r="U306">
        <f>VLOOKUP(A306,ordered_items!$B:$E,4,0)</f>
        <v>49.98</v>
      </c>
    </row>
    <row r="307" spans="1:21" x14ac:dyDescent="0.3">
      <c r="A307">
        <v>23040</v>
      </c>
      <c r="B307" t="s">
        <v>3</v>
      </c>
      <c r="C307">
        <v>0</v>
      </c>
      <c r="D307">
        <v>0</v>
      </c>
      <c r="E307" t="str">
        <f t="shared" si="12"/>
        <v xml:space="preserve"> ONTIME</v>
      </c>
      <c r="F307">
        <f>VLOOKUP($A307,ordered_items!$B$2:$E$4784,2,0)</f>
        <v>1004</v>
      </c>
      <c r="G307">
        <f>VLOOKUP($A307,ordered_items!$B$2:$E$4784,3,0)</f>
        <v>1</v>
      </c>
      <c r="H307">
        <f>VLOOKUP($A307,ordered_items!$B$2:$E$4784,4,0)</f>
        <v>399.98</v>
      </c>
      <c r="I307" s="15">
        <f>VLOOKUP(F307,product_info!$A$2:$D$73,4,0)</f>
        <v>7</v>
      </c>
      <c r="J307" s="15" t="str">
        <f>VLOOKUP(I307,department!$A$2:$B$13,2,0)</f>
        <v>Fan Shop</v>
      </c>
      <c r="K307">
        <v>4432</v>
      </c>
      <c r="L307" t="s">
        <v>426</v>
      </c>
      <c r="M307" s="4">
        <v>43436</v>
      </c>
      <c r="N307" s="12">
        <f t="shared" si="13"/>
        <v>12</v>
      </c>
      <c r="O307" s="13">
        <f t="shared" si="14"/>
        <v>2018</v>
      </c>
      <c r="P307" t="s">
        <v>13</v>
      </c>
      <c r="Q307" t="s">
        <v>245</v>
      </c>
      <c r="R307" t="s">
        <v>14</v>
      </c>
      <c r="S307" t="str" cm="1">
        <f t="array" ref="S307">_xlfn.IFS(R307="COMPLETE", "COMPLETED", R307="CANCELED", "CANCELED", TRUE, "PENDING")</f>
        <v>PENDING</v>
      </c>
      <c r="T307" t="s">
        <v>58</v>
      </c>
      <c r="U307">
        <f>VLOOKUP(A307,ordered_items!$B:$E,4,0)</f>
        <v>399.98</v>
      </c>
    </row>
    <row r="308" spans="1:21" x14ac:dyDescent="0.3">
      <c r="A308">
        <v>23041</v>
      </c>
      <c r="B308" t="s">
        <v>17</v>
      </c>
      <c r="C308">
        <v>0</v>
      </c>
      <c r="D308">
        <v>0</v>
      </c>
      <c r="E308" t="str">
        <f t="shared" si="12"/>
        <v xml:space="preserve"> ONTIME</v>
      </c>
      <c r="F308">
        <f>VLOOKUP($A308,ordered_items!$B$2:$E$4784,2,0)</f>
        <v>1073</v>
      </c>
      <c r="G308">
        <f>VLOOKUP($A308,ordered_items!$B$2:$E$4784,3,0)</f>
        <v>1</v>
      </c>
      <c r="H308">
        <f>VLOOKUP($A308,ordered_items!$B$2:$E$4784,4,0)</f>
        <v>199.99</v>
      </c>
      <c r="I308" s="15">
        <f>VLOOKUP(F308,product_info!$A$2:$D$73,4,0)</f>
        <v>7</v>
      </c>
      <c r="J308" s="15" t="str">
        <f>VLOOKUP(I308,department!$A$2:$B$13,2,0)</f>
        <v>Fan Shop</v>
      </c>
      <c r="K308">
        <v>5171</v>
      </c>
      <c r="L308" t="s">
        <v>426</v>
      </c>
      <c r="M308" s="4">
        <v>43436</v>
      </c>
      <c r="N308" s="12">
        <f t="shared" si="13"/>
        <v>12</v>
      </c>
      <c r="O308" s="13">
        <f t="shared" si="14"/>
        <v>2018</v>
      </c>
      <c r="P308" t="s">
        <v>13</v>
      </c>
      <c r="Q308" t="s">
        <v>245</v>
      </c>
      <c r="R308" t="s">
        <v>23</v>
      </c>
      <c r="S308" t="str" cm="1">
        <f t="array" ref="S308">_xlfn.IFS(R308="COMPLETE", "COMPLETED", R308="CANCELED", "CANCELED", TRUE, "PENDING")</f>
        <v>PENDING</v>
      </c>
      <c r="T308" t="s">
        <v>58</v>
      </c>
      <c r="U308">
        <f>VLOOKUP(A308,ordered_items!$B:$E,4,0)</f>
        <v>199.99</v>
      </c>
    </row>
    <row r="309" spans="1:21" x14ac:dyDescent="0.3">
      <c r="A309">
        <v>23042</v>
      </c>
      <c r="B309" t="s">
        <v>24</v>
      </c>
      <c r="C309">
        <v>3</v>
      </c>
      <c r="D309">
        <v>2</v>
      </c>
      <c r="E309" t="str">
        <f t="shared" si="12"/>
        <v>DELAYED</v>
      </c>
      <c r="F309">
        <f>VLOOKUP($A309,ordered_items!$B$2:$E$4784,2,0)</f>
        <v>403</v>
      </c>
      <c r="G309">
        <f>VLOOKUP($A309,ordered_items!$B$2:$E$4784,3,0)</f>
        <v>1</v>
      </c>
      <c r="H309">
        <f>VLOOKUP($A309,ordered_items!$B$2:$E$4784,4,0)</f>
        <v>129.99</v>
      </c>
      <c r="I309" s="15">
        <f>VLOOKUP(F309,product_info!$A$2:$D$73,4,0)</f>
        <v>4</v>
      </c>
      <c r="J309" s="15" t="str">
        <f>VLOOKUP(I309,department!$A$2:$B$13,2,0)</f>
        <v>Apparel</v>
      </c>
      <c r="K309">
        <v>9106</v>
      </c>
      <c r="L309" t="s">
        <v>426</v>
      </c>
      <c r="M309" s="4">
        <v>43436</v>
      </c>
      <c r="N309" s="12">
        <f t="shared" si="13"/>
        <v>12</v>
      </c>
      <c r="O309" s="13">
        <f t="shared" si="14"/>
        <v>2018</v>
      </c>
      <c r="P309" t="s">
        <v>13</v>
      </c>
      <c r="Q309" t="s">
        <v>245</v>
      </c>
      <c r="R309" t="s">
        <v>31</v>
      </c>
      <c r="S309" t="str" cm="1">
        <f t="array" ref="S309">_xlfn.IFS(R309="COMPLETE", "COMPLETED", R309="CANCELED", "CANCELED", TRUE, "PENDING")</f>
        <v>COMPLETED</v>
      </c>
      <c r="T309" t="s">
        <v>90</v>
      </c>
      <c r="U309">
        <f>VLOOKUP(A309,ordered_items!$B:$E,4,0)</f>
        <v>129.99</v>
      </c>
    </row>
    <row r="310" spans="1:21" x14ac:dyDescent="0.3">
      <c r="A310">
        <v>23044</v>
      </c>
      <c r="B310" t="s">
        <v>3</v>
      </c>
      <c r="C310">
        <v>5</v>
      </c>
      <c r="D310">
        <v>2</v>
      </c>
      <c r="E310" t="str">
        <f t="shared" si="12"/>
        <v>DELAYED</v>
      </c>
      <c r="F310">
        <f>VLOOKUP($A310,ordered_items!$B$2:$E$4784,2,0)</f>
        <v>957</v>
      </c>
      <c r="G310">
        <f>VLOOKUP($A310,ordered_items!$B$2:$E$4784,3,0)</f>
        <v>1</v>
      </c>
      <c r="H310">
        <f>VLOOKUP($A310,ordered_items!$B$2:$E$4784,4,0)</f>
        <v>299.98</v>
      </c>
      <c r="I310" s="15">
        <f>VLOOKUP(F310,product_info!$A$2:$D$73,4,0)</f>
        <v>7</v>
      </c>
      <c r="J310" s="15" t="str">
        <f>VLOOKUP(I310,department!$A$2:$B$13,2,0)</f>
        <v>Fan Shop</v>
      </c>
      <c r="K310">
        <v>8945</v>
      </c>
      <c r="L310" t="s">
        <v>426</v>
      </c>
      <c r="M310" s="4">
        <v>43436</v>
      </c>
      <c r="N310" s="12">
        <f t="shared" si="13"/>
        <v>12</v>
      </c>
      <c r="O310" s="13">
        <f t="shared" si="14"/>
        <v>2018</v>
      </c>
      <c r="P310" t="s">
        <v>13</v>
      </c>
      <c r="Q310" t="s">
        <v>245</v>
      </c>
      <c r="R310" t="s">
        <v>14</v>
      </c>
      <c r="S310" t="str" cm="1">
        <f t="array" ref="S310">_xlfn.IFS(R310="COMPLETE", "COMPLETED", R310="CANCELED", "CANCELED", TRUE, "PENDING")</f>
        <v>PENDING</v>
      </c>
      <c r="T310" t="s">
        <v>90</v>
      </c>
      <c r="U310">
        <f>VLOOKUP(A310,ordered_items!$B:$E,4,0)</f>
        <v>299.98</v>
      </c>
    </row>
    <row r="311" spans="1:21" x14ac:dyDescent="0.3">
      <c r="A311">
        <v>23045</v>
      </c>
      <c r="B311" t="s">
        <v>3</v>
      </c>
      <c r="C311">
        <v>6</v>
      </c>
      <c r="D311">
        <v>2</v>
      </c>
      <c r="E311" t="str">
        <f t="shared" si="12"/>
        <v>DELAYED</v>
      </c>
      <c r="F311">
        <f>VLOOKUP($A311,ordered_items!$B$2:$E$4784,2,0)</f>
        <v>1073</v>
      </c>
      <c r="G311">
        <f>VLOOKUP($A311,ordered_items!$B$2:$E$4784,3,0)</f>
        <v>1</v>
      </c>
      <c r="H311">
        <f>VLOOKUP($A311,ordered_items!$B$2:$E$4784,4,0)</f>
        <v>199.99</v>
      </c>
      <c r="I311" s="15">
        <f>VLOOKUP(F311,product_info!$A$2:$D$73,4,0)</f>
        <v>7</v>
      </c>
      <c r="J311" s="15" t="str">
        <f>VLOOKUP(I311,department!$A$2:$B$13,2,0)</f>
        <v>Fan Shop</v>
      </c>
      <c r="K311">
        <v>10865</v>
      </c>
      <c r="L311" t="s">
        <v>426</v>
      </c>
      <c r="M311" s="4">
        <v>43436</v>
      </c>
      <c r="N311" s="12">
        <f t="shared" si="13"/>
        <v>12</v>
      </c>
      <c r="O311" s="13">
        <f t="shared" si="14"/>
        <v>2018</v>
      </c>
      <c r="P311" t="s">
        <v>13</v>
      </c>
      <c r="Q311" t="s">
        <v>245</v>
      </c>
      <c r="R311" t="s">
        <v>14</v>
      </c>
      <c r="S311" t="str" cm="1">
        <f t="array" ref="S311">_xlfn.IFS(R311="COMPLETE", "COMPLETED", R311="CANCELED", "CANCELED", TRUE, "PENDING")</f>
        <v>PENDING</v>
      </c>
      <c r="T311" t="s">
        <v>90</v>
      </c>
      <c r="U311">
        <f>VLOOKUP(A311,ordered_items!$B:$E,4,0)</f>
        <v>199.99</v>
      </c>
    </row>
    <row r="312" spans="1:21" x14ac:dyDescent="0.3">
      <c r="A312">
        <v>23046</v>
      </c>
      <c r="B312" t="s">
        <v>3</v>
      </c>
      <c r="C312">
        <v>2</v>
      </c>
      <c r="D312">
        <v>2</v>
      </c>
      <c r="E312" t="str">
        <f t="shared" si="12"/>
        <v xml:space="preserve"> ONTIME</v>
      </c>
      <c r="F312">
        <f>VLOOKUP($A312,ordered_items!$B$2:$E$4784,2,0)</f>
        <v>282</v>
      </c>
      <c r="G312">
        <f>VLOOKUP($A312,ordered_items!$B$2:$E$4784,3,0)</f>
        <v>2</v>
      </c>
      <c r="H312">
        <f>VLOOKUP($A312,ordered_items!$B$2:$E$4784,4,0)</f>
        <v>63.98</v>
      </c>
      <c r="I312" s="15">
        <f>VLOOKUP(F312,product_info!$A$2:$D$73,4,0)</f>
        <v>3</v>
      </c>
      <c r="J312" s="15" t="str">
        <f>VLOOKUP(I312,department!$A$2:$B$13,2,0)</f>
        <v>Footwear</v>
      </c>
      <c r="K312">
        <v>5324</v>
      </c>
      <c r="L312" t="s">
        <v>426</v>
      </c>
      <c r="M312" s="4">
        <v>43436</v>
      </c>
      <c r="N312" s="12">
        <f t="shared" si="13"/>
        <v>12</v>
      </c>
      <c r="O312" s="13">
        <f t="shared" si="14"/>
        <v>2018</v>
      </c>
      <c r="P312" t="s">
        <v>13</v>
      </c>
      <c r="Q312" t="s">
        <v>245</v>
      </c>
      <c r="R312" t="s">
        <v>38</v>
      </c>
      <c r="S312" t="str" cm="1">
        <f t="array" ref="S312">_xlfn.IFS(R312="COMPLETE", "COMPLETED", R312="CANCELED", "CANCELED", TRUE, "PENDING")</f>
        <v>PENDING</v>
      </c>
      <c r="T312" t="s">
        <v>90</v>
      </c>
      <c r="U312">
        <f>VLOOKUP(A312,ordered_items!$B:$E,4,0)</f>
        <v>63.98</v>
      </c>
    </row>
    <row r="313" spans="1:21" x14ac:dyDescent="0.3">
      <c r="A313">
        <v>23047</v>
      </c>
      <c r="B313" t="s">
        <v>17</v>
      </c>
      <c r="C313">
        <v>3</v>
      </c>
      <c r="D313">
        <v>2</v>
      </c>
      <c r="E313" t="str">
        <f t="shared" si="12"/>
        <v>DELAYED</v>
      </c>
      <c r="F313">
        <f>VLOOKUP($A313,ordered_items!$B$2:$E$4784,2,0)</f>
        <v>823</v>
      </c>
      <c r="G313">
        <f>VLOOKUP($A313,ordered_items!$B$2:$E$4784,3,0)</f>
        <v>5</v>
      </c>
      <c r="H313">
        <f>VLOOKUP($A313,ordered_items!$B$2:$E$4784,4,0)</f>
        <v>259.95</v>
      </c>
      <c r="I313" s="15">
        <f>VLOOKUP(F313,product_info!$A$2:$D$73,4,0)</f>
        <v>6</v>
      </c>
      <c r="J313" s="15" t="str">
        <f>VLOOKUP(I313,department!$A$2:$B$13,2,0)</f>
        <v>Outdoors</v>
      </c>
      <c r="K313">
        <v>242</v>
      </c>
      <c r="L313" t="s">
        <v>426</v>
      </c>
      <c r="M313" s="4">
        <v>43436</v>
      </c>
      <c r="N313" s="12">
        <f t="shared" si="13"/>
        <v>12</v>
      </c>
      <c r="O313" s="13">
        <f t="shared" si="14"/>
        <v>2018</v>
      </c>
      <c r="P313" t="s">
        <v>13</v>
      </c>
      <c r="Q313" t="s">
        <v>245</v>
      </c>
      <c r="R313" t="s">
        <v>23</v>
      </c>
      <c r="S313" t="str" cm="1">
        <f t="array" ref="S313">_xlfn.IFS(R313="COMPLETE", "COMPLETED", R313="CANCELED", "CANCELED", TRUE, "PENDING")</f>
        <v>PENDING</v>
      </c>
      <c r="T313" t="s">
        <v>90</v>
      </c>
      <c r="U313">
        <f>VLOOKUP(A313,ordered_items!$B:$E,4,0)</f>
        <v>259.95</v>
      </c>
    </row>
    <row r="314" spans="1:21" x14ac:dyDescent="0.3">
      <c r="A314">
        <v>23071</v>
      </c>
      <c r="B314" t="s">
        <v>51</v>
      </c>
      <c r="C314">
        <v>2</v>
      </c>
      <c r="D314">
        <v>1</v>
      </c>
      <c r="E314" t="str">
        <f t="shared" si="12"/>
        <v>DELAYED</v>
      </c>
      <c r="F314">
        <f>VLOOKUP($A314,ordered_items!$B$2:$E$4784,2,0)</f>
        <v>1004</v>
      </c>
      <c r="G314">
        <f>VLOOKUP($A314,ordered_items!$B$2:$E$4784,3,0)</f>
        <v>1</v>
      </c>
      <c r="H314">
        <f>VLOOKUP($A314,ordered_items!$B$2:$E$4784,4,0)</f>
        <v>399.98</v>
      </c>
      <c r="I314" s="15">
        <f>VLOOKUP(F314,product_info!$A$2:$D$73,4,0)</f>
        <v>7</v>
      </c>
      <c r="J314" s="15" t="str">
        <f>VLOOKUP(I314,department!$A$2:$B$13,2,0)</f>
        <v>Fan Shop</v>
      </c>
      <c r="K314">
        <v>11368</v>
      </c>
      <c r="L314" t="s">
        <v>1306</v>
      </c>
      <c r="M314" s="4">
        <v>43436</v>
      </c>
      <c r="N314" s="12">
        <f t="shared" si="13"/>
        <v>12</v>
      </c>
      <c r="O314" s="13">
        <f t="shared" si="14"/>
        <v>2018</v>
      </c>
      <c r="P314" t="s">
        <v>13</v>
      </c>
      <c r="Q314" t="s">
        <v>203</v>
      </c>
      <c r="R314" t="s">
        <v>57</v>
      </c>
      <c r="S314" t="str" cm="1">
        <f t="array" ref="S314">_xlfn.IFS(R314="COMPLETE", "COMPLETED", R314="CANCELED", "CANCELED", TRUE, "PENDING")</f>
        <v>PENDING</v>
      </c>
      <c r="T314" t="s">
        <v>32</v>
      </c>
      <c r="U314">
        <f>VLOOKUP(A314,ordered_items!$B:$E,4,0)</f>
        <v>399.98</v>
      </c>
    </row>
    <row r="315" spans="1:21" x14ac:dyDescent="0.3">
      <c r="A315">
        <v>23072</v>
      </c>
      <c r="B315" t="s">
        <v>51</v>
      </c>
      <c r="C315">
        <v>2</v>
      </c>
      <c r="D315">
        <v>1</v>
      </c>
      <c r="E315" t="str">
        <f t="shared" si="12"/>
        <v>DELAYED</v>
      </c>
      <c r="F315">
        <f>VLOOKUP($A315,ordered_items!$B$2:$E$4784,2,0)</f>
        <v>403</v>
      </c>
      <c r="G315">
        <f>VLOOKUP($A315,ordered_items!$B$2:$E$4784,3,0)</f>
        <v>1</v>
      </c>
      <c r="H315">
        <f>VLOOKUP($A315,ordered_items!$B$2:$E$4784,4,0)</f>
        <v>129.99</v>
      </c>
      <c r="I315" s="15">
        <f>VLOOKUP(F315,product_info!$A$2:$D$73,4,0)</f>
        <v>4</v>
      </c>
      <c r="J315" s="15" t="str">
        <f>VLOOKUP(I315,department!$A$2:$B$13,2,0)</f>
        <v>Apparel</v>
      </c>
      <c r="K315">
        <v>4537</v>
      </c>
      <c r="L315" t="s">
        <v>119</v>
      </c>
      <c r="M315" s="4">
        <v>43436</v>
      </c>
      <c r="N315" s="12">
        <f t="shared" si="13"/>
        <v>12</v>
      </c>
      <c r="O315" s="13">
        <f t="shared" si="14"/>
        <v>2018</v>
      </c>
      <c r="P315" t="s">
        <v>13</v>
      </c>
      <c r="Q315" t="s">
        <v>5781</v>
      </c>
      <c r="R315" t="s">
        <v>57</v>
      </c>
      <c r="S315" t="str" cm="1">
        <f t="array" ref="S315">_xlfn.IFS(R315="COMPLETE", "COMPLETED", R315="CANCELED", "CANCELED", TRUE, "PENDING")</f>
        <v>PENDING</v>
      </c>
      <c r="T315" t="s">
        <v>32</v>
      </c>
      <c r="U315">
        <f>VLOOKUP(A315,ordered_items!$B:$E,4,0)</f>
        <v>129.99</v>
      </c>
    </row>
    <row r="316" spans="1:21" x14ac:dyDescent="0.3">
      <c r="A316">
        <v>23073</v>
      </c>
      <c r="B316" t="s">
        <v>3</v>
      </c>
      <c r="C316">
        <v>2</v>
      </c>
      <c r="D316">
        <v>1</v>
      </c>
      <c r="E316" t="str">
        <f t="shared" si="12"/>
        <v>DELAYED</v>
      </c>
      <c r="F316">
        <f>VLOOKUP($A316,ordered_items!$B$2:$E$4784,2,0)</f>
        <v>1014</v>
      </c>
      <c r="G316">
        <f>VLOOKUP($A316,ordered_items!$B$2:$E$4784,3,0)</f>
        <v>2</v>
      </c>
      <c r="H316">
        <f>VLOOKUP($A316,ordered_items!$B$2:$E$4784,4,0)</f>
        <v>99.96</v>
      </c>
      <c r="I316" s="15">
        <f>VLOOKUP(F316,product_info!$A$2:$D$73,4,0)</f>
        <v>7</v>
      </c>
      <c r="J316" s="15" t="str">
        <f>VLOOKUP(I316,department!$A$2:$B$13,2,0)</f>
        <v>Fan Shop</v>
      </c>
      <c r="K316">
        <v>1433</v>
      </c>
      <c r="L316" t="s">
        <v>119</v>
      </c>
      <c r="M316" s="4">
        <v>43436</v>
      </c>
      <c r="N316" s="12">
        <f t="shared" si="13"/>
        <v>12</v>
      </c>
      <c r="O316" s="13">
        <f t="shared" si="14"/>
        <v>2018</v>
      </c>
      <c r="P316" t="s">
        <v>13</v>
      </c>
      <c r="Q316" t="s">
        <v>5781</v>
      </c>
      <c r="R316" t="s">
        <v>38</v>
      </c>
      <c r="S316" t="str" cm="1">
        <f t="array" ref="S316">_xlfn.IFS(R316="COMPLETE", "COMPLETED", R316="CANCELED", "CANCELED", TRUE, "PENDING")</f>
        <v>PENDING</v>
      </c>
      <c r="T316" t="s">
        <v>32</v>
      </c>
      <c r="U316">
        <f>VLOOKUP(A316,ordered_items!$B:$E,4,0)</f>
        <v>99.96</v>
      </c>
    </row>
    <row r="317" spans="1:21" x14ac:dyDescent="0.3">
      <c r="A317">
        <v>23074</v>
      </c>
      <c r="B317" t="s">
        <v>51</v>
      </c>
      <c r="C317">
        <v>5</v>
      </c>
      <c r="D317">
        <v>2</v>
      </c>
      <c r="E317" t="str">
        <f t="shared" si="12"/>
        <v>DELAYED</v>
      </c>
      <c r="F317">
        <f>VLOOKUP($A317,ordered_items!$B$2:$E$4784,2,0)</f>
        <v>365</v>
      </c>
      <c r="G317">
        <f>VLOOKUP($A317,ordered_items!$B$2:$E$4784,3,0)</f>
        <v>2</v>
      </c>
      <c r="H317">
        <f>VLOOKUP($A317,ordered_items!$B$2:$E$4784,4,0)</f>
        <v>119.98</v>
      </c>
      <c r="I317" s="15">
        <f>VLOOKUP(F317,product_info!$A$2:$D$73,4,0)</f>
        <v>4</v>
      </c>
      <c r="J317" s="15" t="str">
        <f>VLOOKUP(I317,department!$A$2:$B$13,2,0)</f>
        <v>Apparel</v>
      </c>
      <c r="K317">
        <v>6888</v>
      </c>
      <c r="L317" t="s">
        <v>119</v>
      </c>
      <c r="M317" s="4">
        <v>43436</v>
      </c>
      <c r="N317" s="12">
        <f t="shared" si="13"/>
        <v>12</v>
      </c>
      <c r="O317" s="13">
        <f t="shared" si="14"/>
        <v>2018</v>
      </c>
      <c r="P317" t="s">
        <v>13</v>
      </c>
      <c r="Q317" t="s">
        <v>5781</v>
      </c>
      <c r="R317" t="s">
        <v>57</v>
      </c>
      <c r="S317" t="str" cm="1">
        <f t="array" ref="S317">_xlfn.IFS(R317="COMPLETE", "COMPLETED", R317="CANCELED", "CANCELED", TRUE, "PENDING")</f>
        <v>PENDING</v>
      </c>
      <c r="T317" t="s">
        <v>90</v>
      </c>
      <c r="U317">
        <f>VLOOKUP(A317,ordered_items!$B:$E,4,0)</f>
        <v>119.98</v>
      </c>
    </row>
    <row r="318" spans="1:21" x14ac:dyDescent="0.3">
      <c r="A318">
        <v>23078</v>
      </c>
      <c r="B318" t="s">
        <v>3</v>
      </c>
      <c r="C318">
        <v>4</v>
      </c>
      <c r="D318">
        <v>2</v>
      </c>
      <c r="E318" t="str">
        <f t="shared" si="12"/>
        <v>DELAYED</v>
      </c>
      <c r="F318">
        <f>VLOOKUP($A318,ordered_items!$B$2:$E$4784,2,0)</f>
        <v>627</v>
      </c>
      <c r="G318">
        <f>VLOOKUP($A318,ordered_items!$B$2:$E$4784,3,0)</f>
        <v>2</v>
      </c>
      <c r="H318">
        <f>VLOOKUP($A318,ordered_items!$B$2:$E$4784,4,0)</f>
        <v>79.98</v>
      </c>
      <c r="I318" s="15">
        <f>VLOOKUP(F318,product_info!$A$2:$D$73,4,0)</f>
        <v>5</v>
      </c>
      <c r="J318" s="15" t="str">
        <f>VLOOKUP(I318,department!$A$2:$B$13,2,0)</f>
        <v>Golf</v>
      </c>
      <c r="K318">
        <v>11662</v>
      </c>
      <c r="L318" t="s">
        <v>1078</v>
      </c>
      <c r="M318" s="4">
        <v>43436</v>
      </c>
      <c r="N318" s="12">
        <f t="shared" si="13"/>
        <v>12</v>
      </c>
      <c r="O318" s="13">
        <f t="shared" si="14"/>
        <v>2018</v>
      </c>
      <c r="P318" t="s">
        <v>13</v>
      </c>
      <c r="Q318" t="s">
        <v>5780</v>
      </c>
      <c r="R318" t="s">
        <v>178</v>
      </c>
      <c r="S318" t="str" cm="1">
        <f t="array" ref="S318">_xlfn.IFS(R318="COMPLETE", "COMPLETED", R318="CANCELED", "CANCELED", TRUE, "PENDING")</f>
        <v>PENDING</v>
      </c>
      <c r="T318" t="s">
        <v>90</v>
      </c>
      <c r="U318">
        <f>VLOOKUP(A318,ordered_items!$B:$E,4,0)</f>
        <v>79.98</v>
      </c>
    </row>
    <row r="319" spans="1:21" x14ac:dyDescent="0.3">
      <c r="A319">
        <v>23079</v>
      </c>
      <c r="B319" t="s">
        <v>3</v>
      </c>
      <c r="C319">
        <v>5</v>
      </c>
      <c r="D319">
        <v>2</v>
      </c>
      <c r="E319" t="str">
        <f t="shared" si="12"/>
        <v>DELAYED</v>
      </c>
      <c r="F319">
        <f>VLOOKUP($A319,ordered_items!$B$2:$E$4784,2,0)</f>
        <v>365</v>
      </c>
      <c r="G319">
        <f>VLOOKUP($A319,ordered_items!$B$2:$E$4784,3,0)</f>
        <v>1</v>
      </c>
      <c r="H319">
        <f>VLOOKUP($A319,ordered_items!$B$2:$E$4784,4,0)</f>
        <v>59.99</v>
      </c>
      <c r="I319" s="15">
        <f>VLOOKUP(F319,product_info!$A$2:$D$73,4,0)</f>
        <v>4</v>
      </c>
      <c r="J319" s="15" t="str">
        <f>VLOOKUP(I319,department!$A$2:$B$13,2,0)</f>
        <v>Apparel</v>
      </c>
      <c r="K319">
        <v>409</v>
      </c>
      <c r="L319" t="s">
        <v>1078</v>
      </c>
      <c r="M319" s="4">
        <v>43436</v>
      </c>
      <c r="N319" s="12">
        <f t="shared" si="13"/>
        <v>12</v>
      </c>
      <c r="O319" s="13">
        <f t="shared" si="14"/>
        <v>2018</v>
      </c>
      <c r="P319" t="s">
        <v>13</v>
      </c>
      <c r="Q319" t="s">
        <v>5780</v>
      </c>
      <c r="R319" t="s">
        <v>14</v>
      </c>
      <c r="S319" t="str" cm="1">
        <f t="array" ref="S319">_xlfn.IFS(R319="COMPLETE", "COMPLETED", R319="CANCELED", "CANCELED", TRUE, "PENDING")</f>
        <v>PENDING</v>
      </c>
      <c r="T319" t="s">
        <v>90</v>
      </c>
      <c r="U319">
        <f>VLOOKUP(A319,ordered_items!$B:$E,4,0)</f>
        <v>59.99</v>
      </c>
    </row>
    <row r="320" spans="1:21" x14ac:dyDescent="0.3">
      <c r="A320">
        <v>23080</v>
      </c>
      <c r="B320" t="s">
        <v>17</v>
      </c>
      <c r="C320">
        <v>6</v>
      </c>
      <c r="D320">
        <v>2</v>
      </c>
      <c r="E320" t="str">
        <f t="shared" si="12"/>
        <v>DELAYED</v>
      </c>
      <c r="F320">
        <f>VLOOKUP($A320,ordered_items!$B$2:$E$4784,2,0)</f>
        <v>627</v>
      </c>
      <c r="G320">
        <f>VLOOKUP($A320,ordered_items!$B$2:$E$4784,3,0)</f>
        <v>2</v>
      </c>
      <c r="H320">
        <f>VLOOKUP($A320,ordered_items!$B$2:$E$4784,4,0)</f>
        <v>79.98</v>
      </c>
      <c r="I320" s="15">
        <f>VLOOKUP(F320,product_info!$A$2:$D$73,4,0)</f>
        <v>5</v>
      </c>
      <c r="J320" s="15" t="str">
        <f>VLOOKUP(I320,department!$A$2:$B$13,2,0)</f>
        <v>Golf</v>
      </c>
      <c r="K320">
        <v>9432</v>
      </c>
      <c r="L320" t="s">
        <v>1078</v>
      </c>
      <c r="M320" s="4">
        <v>43436</v>
      </c>
      <c r="N320" s="12">
        <f t="shared" si="13"/>
        <v>12</v>
      </c>
      <c r="O320" s="13">
        <f t="shared" si="14"/>
        <v>2018</v>
      </c>
      <c r="P320" t="s">
        <v>13</v>
      </c>
      <c r="Q320" t="s">
        <v>5780</v>
      </c>
      <c r="R320" t="s">
        <v>23</v>
      </c>
      <c r="S320" t="str" cm="1">
        <f t="array" ref="S320">_xlfn.IFS(R320="COMPLETE", "COMPLETED", R320="CANCELED", "CANCELED", TRUE, "PENDING")</f>
        <v>PENDING</v>
      </c>
      <c r="T320" t="s">
        <v>90</v>
      </c>
      <c r="U320">
        <f>VLOOKUP(A320,ordered_items!$B:$E,4,0)</f>
        <v>79.98</v>
      </c>
    </row>
    <row r="321" spans="1:21" x14ac:dyDescent="0.3">
      <c r="A321">
        <v>23081</v>
      </c>
      <c r="B321" t="s">
        <v>17</v>
      </c>
      <c r="C321">
        <v>2</v>
      </c>
      <c r="D321">
        <v>2</v>
      </c>
      <c r="E321" t="str">
        <f t="shared" si="12"/>
        <v xml:space="preserve"> ONTIME</v>
      </c>
      <c r="F321">
        <f>VLOOKUP($A321,ordered_items!$B$2:$E$4784,2,0)</f>
        <v>627</v>
      </c>
      <c r="G321">
        <f>VLOOKUP($A321,ordered_items!$B$2:$E$4784,3,0)</f>
        <v>1</v>
      </c>
      <c r="H321">
        <f>VLOOKUP($A321,ordered_items!$B$2:$E$4784,4,0)</f>
        <v>39.99</v>
      </c>
      <c r="I321" s="15">
        <f>VLOOKUP(F321,product_info!$A$2:$D$73,4,0)</f>
        <v>5</v>
      </c>
      <c r="J321" s="15" t="str">
        <f>VLOOKUP(I321,department!$A$2:$B$13,2,0)</f>
        <v>Golf</v>
      </c>
      <c r="K321">
        <v>3389</v>
      </c>
      <c r="L321" t="s">
        <v>1078</v>
      </c>
      <c r="M321" s="4">
        <v>43436</v>
      </c>
      <c r="N321" s="12">
        <f t="shared" si="13"/>
        <v>12</v>
      </c>
      <c r="O321" s="13">
        <f t="shared" si="14"/>
        <v>2018</v>
      </c>
      <c r="P321" t="s">
        <v>13</v>
      </c>
      <c r="Q321" t="s">
        <v>5780</v>
      </c>
      <c r="R321" t="s">
        <v>23</v>
      </c>
      <c r="S321" t="str" cm="1">
        <f t="array" ref="S321">_xlfn.IFS(R321="COMPLETE", "COMPLETED", R321="CANCELED", "CANCELED", TRUE, "PENDING")</f>
        <v>PENDING</v>
      </c>
      <c r="T321" t="s">
        <v>90</v>
      </c>
      <c r="U321">
        <f>VLOOKUP(A321,ordered_items!$B:$E,4,0)</f>
        <v>39.99</v>
      </c>
    </row>
    <row r="322" spans="1:21" x14ac:dyDescent="0.3">
      <c r="A322">
        <v>23126</v>
      </c>
      <c r="B322" t="s">
        <v>24</v>
      </c>
      <c r="C322">
        <v>2</v>
      </c>
      <c r="D322">
        <v>4</v>
      </c>
      <c r="E322" t="str">
        <f t="shared" si="12"/>
        <v xml:space="preserve"> ONTIME</v>
      </c>
      <c r="F322">
        <f>VLOOKUP($A322,ordered_items!$B$2:$E$4784,2,0)</f>
        <v>957</v>
      </c>
      <c r="G322">
        <f>VLOOKUP($A322,ordered_items!$B$2:$E$4784,3,0)</f>
        <v>1</v>
      </c>
      <c r="H322">
        <f>VLOOKUP($A322,ordered_items!$B$2:$E$4784,4,0)</f>
        <v>299.98</v>
      </c>
      <c r="I322" s="15">
        <f>VLOOKUP(F322,product_info!$A$2:$D$73,4,0)</f>
        <v>7</v>
      </c>
      <c r="J322" s="15" t="str">
        <f>VLOOKUP(I322,department!$A$2:$B$13,2,0)</f>
        <v>Fan Shop</v>
      </c>
      <c r="K322">
        <v>10837</v>
      </c>
      <c r="L322" t="s">
        <v>809</v>
      </c>
      <c r="M322" s="4">
        <v>43437</v>
      </c>
      <c r="N322" s="12">
        <f t="shared" si="13"/>
        <v>12</v>
      </c>
      <c r="O322" s="13">
        <f t="shared" si="14"/>
        <v>2018</v>
      </c>
      <c r="P322" t="s">
        <v>13</v>
      </c>
      <c r="Q322" t="s">
        <v>30</v>
      </c>
      <c r="R322" t="s">
        <v>378</v>
      </c>
      <c r="S322" t="str" cm="1">
        <f t="array" ref="S322">_xlfn.IFS(R322="COMPLETE", "COMPLETED", R322="CANCELED", "CANCELED", TRUE, "PENDING")</f>
        <v>PENDING</v>
      </c>
      <c r="T322" t="s">
        <v>16</v>
      </c>
      <c r="U322">
        <f>VLOOKUP(A322,ordered_items!$B:$E,4,0)</f>
        <v>299.98</v>
      </c>
    </row>
    <row r="323" spans="1:21" x14ac:dyDescent="0.3">
      <c r="A323">
        <v>23127</v>
      </c>
      <c r="B323" t="s">
        <v>51</v>
      </c>
      <c r="C323">
        <v>3</v>
      </c>
      <c r="D323">
        <v>4</v>
      </c>
      <c r="E323" t="str">
        <f t="shared" ref="E323:E386" si="15">IF(C323-D323&gt;0,"DELAYED"," ONTIME")</f>
        <v xml:space="preserve"> ONTIME</v>
      </c>
      <c r="F323">
        <f>VLOOKUP($A323,ordered_items!$B$2:$E$4784,2,0)</f>
        <v>403</v>
      </c>
      <c r="G323">
        <f>VLOOKUP($A323,ordered_items!$B$2:$E$4784,3,0)</f>
        <v>1</v>
      </c>
      <c r="H323">
        <f>VLOOKUP($A323,ordered_items!$B$2:$E$4784,4,0)</f>
        <v>129.99</v>
      </c>
      <c r="I323" s="15">
        <f>VLOOKUP(F323,product_info!$A$2:$D$73,4,0)</f>
        <v>4</v>
      </c>
      <c r="J323" s="15" t="str">
        <f>VLOOKUP(I323,department!$A$2:$B$13,2,0)</f>
        <v>Apparel</v>
      </c>
      <c r="K323">
        <v>1139</v>
      </c>
      <c r="L323" t="s">
        <v>809</v>
      </c>
      <c r="M323" s="4">
        <v>43437</v>
      </c>
      <c r="N323" s="12">
        <f t="shared" ref="N323:N386" si="16">MONTH(M323)</f>
        <v>12</v>
      </c>
      <c r="O323" s="13">
        <f t="shared" ref="O323:O386" si="17">YEAR(M323)</f>
        <v>2018</v>
      </c>
      <c r="P323" t="s">
        <v>13</v>
      </c>
      <c r="Q323" t="s">
        <v>30</v>
      </c>
      <c r="R323" t="s">
        <v>57</v>
      </c>
      <c r="S323" t="str" cm="1">
        <f t="array" ref="S323">_xlfn.IFS(R323="COMPLETE", "COMPLETED", R323="CANCELED", "CANCELED", TRUE, "PENDING")</f>
        <v>PENDING</v>
      </c>
      <c r="T323" t="s">
        <v>16</v>
      </c>
      <c r="U323">
        <f>VLOOKUP(A323,ordered_items!$B:$E,4,0)</f>
        <v>129.99</v>
      </c>
    </row>
    <row r="324" spans="1:21" x14ac:dyDescent="0.3">
      <c r="A324">
        <v>23128</v>
      </c>
      <c r="B324" t="s">
        <v>51</v>
      </c>
      <c r="C324">
        <v>4</v>
      </c>
      <c r="D324">
        <v>4</v>
      </c>
      <c r="E324" t="str">
        <f t="shared" si="15"/>
        <v xml:space="preserve"> ONTIME</v>
      </c>
      <c r="F324">
        <f>VLOOKUP($A324,ordered_items!$B$2:$E$4784,2,0)</f>
        <v>1014</v>
      </c>
      <c r="G324">
        <f>VLOOKUP($A324,ordered_items!$B$2:$E$4784,3,0)</f>
        <v>3</v>
      </c>
      <c r="H324">
        <f>VLOOKUP($A324,ordered_items!$B$2:$E$4784,4,0)</f>
        <v>149.94</v>
      </c>
      <c r="I324" s="15">
        <f>VLOOKUP(F324,product_info!$A$2:$D$73,4,0)</f>
        <v>7</v>
      </c>
      <c r="J324" s="15" t="str">
        <f>VLOOKUP(I324,department!$A$2:$B$13,2,0)</f>
        <v>Fan Shop</v>
      </c>
      <c r="K324">
        <v>6547</v>
      </c>
      <c r="L324" t="s">
        <v>809</v>
      </c>
      <c r="M324" s="4">
        <v>43437</v>
      </c>
      <c r="N324" s="12">
        <f t="shared" si="16"/>
        <v>12</v>
      </c>
      <c r="O324" s="13">
        <f t="shared" si="17"/>
        <v>2018</v>
      </c>
      <c r="P324" t="s">
        <v>13</v>
      </c>
      <c r="Q324" t="s">
        <v>30</v>
      </c>
      <c r="R324" t="s">
        <v>57</v>
      </c>
      <c r="S324" t="str" cm="1">
        <f t="array" ref="S324">_xlfn.IFS(R324="COMPLETE", "COMPLETED", R324="CANCELED", "CANCELED", TRUE, "PENDING")</f>
        <v>PENDING</v>
      </c>
      <c r="T324" t="s">
        <v>16</v>
      </c>
      <c r="U324">
        <f>VLOOKUP(A324,ordered_items!$B:$E,4,0)</f>
        <v>149.94</v>
      </c>
    </row>
    <row r="325" spans="1:21" x14ac:dyDescent="0.3">
      <c r="A325">
        <v>23129</v>
      </c>
      <c r="B325" t="s">
        <v>17</v>
      </c>
      <c r="C325">
        <v>1</v>
      </c>
      <c r="D325">
        <v>0</v>
      </c>
      <c r="E325" t="str">
        <f t="shared" si="15"/>
        <v>DELAYED</v>
      </c>
      <c r="F325">
        <f>VLOOKUP($A325,ordered_items!$B$2:$E$4784,2,0)</f>
        <v>134</v>
      </c>
      <c r="G325">
        <f>VLOOKUP($A325,ordered_items!$B$2:$E$4784,3,0)</f>
        <v>2</v>
      </c>
      <c r="H325">
        <f>VLOOKUP($A325,ordered_items!$B$2:$E$4784,4,0)</f>
        <v>50</v>
      </c>
      <c r="I325" s="15">
        <f>VLOOKUP(F325,product_info!$A$2:$D$73,4,0)</f>
        <v>2</v>
      </c>
      <c r="J325" s="15" t="str">
        <f>VLOOKUP(I325,department!$A$2:$B$13,2,0)</f>
        <v>Fitness</v>
      </c>
      <c r="K325">
        <v>2102</v>
      </c>
      <c r="L325" t="s">
        <v>809</v>
      </c>
      <c r="M325" s="4">
        <v>43437</v>
      </c>
      <c r="N325" s="12">
        <f t="shared" si="16"/>
        <v>12</v>
      </c>
      <c r="O325" s="13">
        <f t="shared" si="17"/>
        <v>2018</v>
      </c>
      <c r="P325" t="s">
        <v>13</v>
      </c>
      <c r="Q325" t="s">
        <v>30</v>
      </c>
      <c r="R325" t="s">
        <v>23</v>
      </c>
      <c r="S325" t="str" cm="1">
        <f t="array" ref="S325">_xlfn.IFS(R325="COMPLETE", "COMPLETED", R325="CANCELED", "CANCELED", TRUE, "PENDING")</f>
        <v>PENDING</v>
      </c>
      <c r="T325" t="s">
        <v>58</v>
      </c>
      <c r="U325">
        <f>VLOOKUP(A325,ordered_items!$B:$E,4,0)</f>
        <v>50</v>
      </c>
    </row>
    <row r="326" spans="1:21" x14ac:dyDescent="0.3">
      <c r="A326">
        <v>23130</v>
      </c>
      <c r="B326" t="s">
        <v>17</v>
      </c>
      <c r="C326">
        <v>1</v>
      </c>
      <c r="D326">
        <v>0</v>
      </c>
      <c r="E326" t="str">
        <f t="shared" si="15"/>
        <v>DELAYED</v>
      </c>
      <c r="F326">
        <f>VLOOKUP($A326,ordered_items!$B$2:$E$4784,2,0)</f>
        <v>1073</v>
      </c>
      <c r="G326">
        <f>VLOOKUP($A326,ordered_items!$B$2:$E$4784,3,0)</f>
        <v>1</v>
      </c>
      <c r="H326">
        <f>VLOOKUP($A326,ordered_items!$B$2:$E$4784,4,0)</f>
        <v>199.99</v>
      </c>
      <c r="I326" s="15">
        <f>VLOOKUP(F326,product_info!$A$2:$D$73,4,0)</f>
        <v>7</v>
      </c>
      <c r="J326" s="15" t="str">
        <f>VLOOKUP(I326,department!$A$2:$B$13,2,0)</f>
        <v>Fan Shop</v>
      </c>
      <c r="K326">
        <v>8429</v>
      </c>
      <c r="L326" t="s">
        <v>809</v>
      </c>
      <c r="M326" s="4">
        <v>43437</v>
      </c>
      <c r="N326" s="12">
        <f t="shared" si="16"/>
        <v>12</v>
      </c>
      <c r="O326" s="13">
        <f t="shared" si="17"/>
        <v>2018</v>
      </c>
      <c r="P326" t="s">
        <v>13</v>
      </c>
      <c r="Q326" t="s">
        <v>30</v>
      </c>
      <c r="R326" t="s">
        <v>23</v>
      </c>
      <c r="S326" t="str" cm="1">
        <f t="array" ref="S326">_xlfn.IFS(R326="COMPLETE", "COMPLETED", R326="CANCELED", "CANCELED", TRUE, "PENDING")</f>
        <v>PENDING</v>
      </c>
      <c r="T326" t="s">
        <v>58</v>
      </c>
      <c r="U326">
        <f>VLOOKUP(A326,ordered_items!$B:$E,4,0)</f>
        <v>199.99</v>
      </c>
    </row>
    <row r="327" spans="1:21" x14ac:dyDescent="0.3">
      <c r="A327">
        <v>23131</v>
      </c>
      <c r="B327" t="s">
        <v>51</v>
      </c>
      <c r="C327">
        <v>2</v>
      </c>
      <c r="D327">
        <v>2</v>
      </c>
      <c r="E327" t="str">
        <f t="shared" si="15"/>
        <v xml:space="preserve"> ONTIME</v>
      </c>
      <c r="F327">
        <f>VLOOKUP($A327,ordered_items!$B$2:$E$4784,2,0)</f>
        <v>502</v>
      </c>
      <c r="G327">
        <f>VLOOKUP($A327,ordered_items!$B$2:$E$4784,3,0)</f>
        <v>4</v>
      </c>
      <c r="H327">
        <f>VLOOKUP($A327,ordered_items!$B$2:$E$4784,4,0)</f>
        <v>200</v>
      </c>
      <c r="I327" s="15">
        <f>VLOOKUP(F327,product_info!$A$2:$D$73,4,0)</f>
        <v>5</v>
      </c>
      <c r="J327" s="15" t="str">
        <f>VLOOKUP(I327,department!$A$2:$B$13,2,0)</f>
        <v>Golf</v>
      </c>
      <c r="K327">
        <v>8081</v>
      </c>
      <c r="L327" t="s">
        <v>809</v>
      </c>
      <c r="M327" s="4">
        <v>43437</v>
      </c>
      <c r="N327" s="12">
        <f t="shared" si="16"/>
        <v>12</v>
      </c>
      <c r="O327" s="13">
        <f t="shared" si="17"/>
        <v>2018</v>
      </c>
      <c r="P327" t="s">
        <v>13</v>
      </c>
      <c r="Q327" t="s">
        <v>30</v>
      </c>
      <c r="R327" t="s">
        <v>57</v>
      </c>
      <c r="S327" t="str" cm="1">
        <f t="array" ref="S327">_xlfn.IFS(R327="COMPLETE", "COMPLETED", R327="CANCELED", "CANCELED", TRUE, "PENDING")</f>
        <v>PENDING</v>
      </c>
      <c r="T327" t="s">
        <v>90</v>
      </c>
      <c r="U327">
        <f>VLOOKUP(A327,ordered_items!$B:$E,4,0)</f>
        <v>200</v>
      </c>
    </row>
    <row r="328" spans="1:21" x14ac:dyDescent="0.3">
      <c r="A328">
        <v>23164</v>
      </c>
      <c r="B328" t="s">
        <v>24</v>
      </c>
      <c r="C328">
        <v>2</v>
      </c>
      <c r="D328">
        <v>1</v>
      </c>
      <c r="E328" t="str">
        <f t="shared" si="15"/>
        <v>DELAYED</v>
      </c>
      <c r="F328">
        <f>VLOOKUP($A328,ordered_items!$B$2:$E$4784,2,0)</f>
        <v>403</v>
      </c>
      <c r="G328">
        <f>VLOOKUP($A328,ordered_items!$B$2:$E$4784,3,0)</f>
        <v>1</v>
      </c>
      <c r="H328">
        <f>VLOOKUP($A328,ordered_items!$B$2:$E$4784,4,0)</f>
        <v>129.99</v>
      </c>
      <c r="I328" s="15">
        <f>VLOOKUP(F328,product_info!$A$2:$D$73,4,0)</f>
        <v>4</v>
      </c>
      <c r="J328" s="15" t="str">
        <f>VLOOKUP(I328,department!$A$2:$B$13,2,0)</f>
        <v>Apparel</v>
      </c>
      <c r="K328">
        <v>6285</v>
      </c>
      <c r="L328" t="s">
        <v>244</v>
      </c>
      <c r="M328" s="4">
        <v>43438</v>
      </c>
      <c r="N328" s="12">
        <f t="shared" si="16"/>
        <v>12</v>
      </c>
      <c r="O328" s="13">
        <f t="shared" si="17"/>
        <v>2018</v>
      </c>
      <c r="P328" t="s">
        <v>13</v>
      </c>
      <c r="Q328" t="s">
        <v>245</v>
      </c>
      <c r="R328" t="s">
        <v>31</v>
      </c>
      <c r="S328" t="str" cm="1">
        <f t="array" ref="S328">_xlfn.IFS(R328="COMPLETE", "COMPLETED", R328="CANCELED", "CANCELED", TRUE, "PENDING")</f>
        <v>COMPLETED</v>
      </c>
      <c r="T328" t="s">
        <v>32</v>
      </c>
      <c r="U328">
        <f>VLOOKUP(A328,ordered_items!$B:$E,4,0)</f>
        <v>129.99</v>
      </c>
    </row>
    <row r="329" spans="1:21" x14ac:dyDescent="0.3">
      <c r="A329">
        <v>23165</v>
      </c>
      <c r="B329" t="s">
        <v>3</v>
      </c>
      <c r="C329">
        <v>6</v>
      </c>
      <c r="D329">
        <v>4</v>
      </c>
      <c r="E329" t="str">
        <f t="shared" si="15"/>
        <v>DELAYED</v>
      </c>
      <c r="F329">
        <f>VLOOKUP($A329,ordered_items!$B$2:$E$4784,2,0)</f>
        <v>1073</v>
      </c>
      <c r="G329">
        <f>VLOOKUP($A329,ordered_items!$B$2:$E$4784,3,0)</f>
        <v>1</v>
      </c>
      <c r="H329">
        <f>VLOOKUP($A329,ordered_items!$B$2:$E$4784,4,0)</f>
        <v>199.99</v>
      </c>
      <c r="I329" s="15">
        <f>VLOOKUP(F329,product_info!$A$2:$D$73,4,0)</f>
        <v>7</v>
      </c>
      <c r="J329" s="15" t="str">
        <f>VLOOKUP(I329,department!$A$2:$B$13,2,0)</f>
        <v>Fan Shop</v>
      </c>
      <c r="K329">
        <v>4907</v>
      </c>
      <c r="L329" t="s">
        <v>244</v>
      </c>
      <c r="M329" s="4">
        <v>43438</v>
      </c>
      <c r="N329" s="12">
        <f t="shared" si="16"/>
        <v>12</v>
      </c>
      <c r="O329" s="13">
        <f t="shared" si="17"/>
        <v>2018</v>
      </c>
      <c r="P329" t="s">
        <v>13</v>
      </c>
      <c r="Q329" t="s">
        <v>245</v>
      </c>
      <c r="R329" t="s">
        <v>38</v>
      </c>
      <c r="S329" t="str" cm="1">
        <f t="array" ref="S329">_xlfn.IFS(R329="COMPLETE", "COMPLETED", R329="CANCELED", "CANCELED", TRUE, "PENDING")</f>
        <v>PENDING</v>
      </c>
      <c r="T329" t="s">
        <v>16</v>
      </c>
      <c r="U329">
        <f>VLOOKUP(A329,ordered_items!$B:$E,4,0)</f>
        <v>199.99</v>
      </c>
    </row>
    <row r="330" spans="1:21" x14ac:dyDescent="0.3">
      <c r="A330">
        <v>23166</v>
      </c>
      <c r="B330" t="s">
        <v>24</v>
      </c>
      <c r="C330">
        <v>2</v>
      </c>
      <c r="D330">
        <v>4</v>
      </c>
      <c r="E330" t="str">
        <f t="shared" si="15"/>
        <v xml:space="preserve"> ONTIME</v>
      </c>
      <c r="F330">
        <f>VLOOKUP($A330,ordered_items!$B$2:$E$4784,2,0)</f>
        <v>365</v>
      </c>
      <c r="G330">
        <f>VLOOKUP($A330,ordered_items!$B$2:$E$4784,3,0)</f>
        <v>1</v>
      </c>
      <c r="H330">
        <f>VLOOKUP($A330,ordered_items!$B$2:$E$4784,4,0)</f>
        <v>59.99</v>
      </c>
      <c r="I330" s="15">
        <f>VLOOKUP(F330,product_info!$A$2:$D$73,4,0)</f>
        <v>4</v>
      </c>
      <c r="J330" s="15" t="str">
        <f>VLOOKUP(I330,department!$A$2:$B$13,2,0)</f>
        <v>Apparel</v>
      </c>
      <c r="K330">
        <v>3280</v>
      </c>
      <c r="L330" t="s">
        <v>244</v>
      </c>
      <c r="M330" s="4">
        <v>43438</v>
      </c>
      <c r="N330" s="12">
        <f t="shared" si="16"/>
        <v>12</v>
      </c>
      <c r="O330" s="13">
        <f t="shared" si="17"/>
        <v>2018</v>
      </c>
      <c r="P330" t="s">
        <v>13</v>
      </c>
      <c r="Q330" t="s">
        <v>245</v>
      </c>
      <c r="R330" t="s">
        <v>31</v>
      </c>
      <c r="S330" t="str" cm="1">
        <f t="array" ref="S330">_xlfn.IFS(R330="COMPLETE", "COMPLETED", R330="CANCELED", "CANCELED", TRUE, "PENDING")</f>
        <v>COMPLETED</v>
      </c>
      <c r="T330" t="s">
        <v>16</v>
      </c>
      <c r="U330">
        <f>VLOOKUP(A330,ordered_items!$B:$E,4,0)</f>
        <v>59.99</v>
      </c>
    </row>
    <row r="331" spans="1:21" x14ac:dyDescent="0.3">
      <c r="A331">
        <v>23206</v>
      </c>
      <c r="B331" t="s">
        <v>51</v>
      </c>
      <c r="C331">
        <v>2</v>
      </c>
      <c r="D331">
        <v>4</v>
      </c>
      <c r="E331" t="str">
        <f t="shared" si="15"/>
        <v xml:space="preserve"> ONTIME</v>
      </c>
      <c r="F331">
        <f>VLOOKUP($A331,ordered_items!$B$2:$E$4784,2,0)</f>
        <v>403</v>
      </c>
      <c r="G331">
        <f>VLOOKUP($A331,ordered_items!$B$2:$E$4784,3,0)</f>
        <v>1</v>
      </c>
      <c r="H331">
        <f>VLOOKUP($A331,ordered_items!$B$2:$E$4784,4,0)</f>
        <v>129.99</v>
      </c>
      <c r="I331" s="15">
        <f>VLOOKUP(F331,product_info!$A$2:$D$73,4,0)</f>
        <v>4</v>
      </c>
      <c r="J331" s="15" t="str">
        <f>VLOOKUP(I331,department!$A$2:$B$13,2,0)</f>
        <v>Apparel</v>
      </c>
      <c r="K331">
        <v>8229</v>
      </c>
      <c r="L331" t="s">
        <v>1985</v>
      </c>
      <c r="M331" s="4">
        <v>43438</v>
      </c>
      <c r="N331" s="12">
        <f t="shared" si="16"/>
        <v>12</v>
      </c>
      <c r="O331" s="13">
        <f t="shared" si="17"/>
        <v>2018</v>
      </c>
      <c r="P331" t="s">
        <v>13</v>
      </c>
      <c r="Q331" t="s">
        <v>80</v>
      </c>
      <c r="R331" t="s">
        <v>57</v>
      </c>
      <c r="S331" t="str" cm="1">
        <f t="array" ref="S331">_xlfn.IFS(R331="COMPLETE", "COMPLETED", R331="CANCELED", "CANCELED", TRUE, "PENDING")</f>
        <v>PENDING</v>
      </c>
      <c r="T331" t="s">
        <v>16</v>
      </c>
      <c r="U331">
        <f>VLOOKUP(A331,ordered_items!$B:$E,4,0)</f>
        <v>129.99</v>
      </c>
    </row>
    <row r="332" spans="1:21" x14ac:dyDescent="0.3">
      <c r="A332">
        <v>23212</v>
      </c>
      <c r="B332" t="s">
        <v>17</v>
      </c>
      <c r="C332">
        <v>1</v>
      </c>
      <c r="D332">
        <v>0</v>
      </c>
      <c r="E332" t="str">
        <f t="shared" si="15"/>
        <v>DELAYED</v>
      </c>
      <c r="F332">
        <f>VLOOKUP($A332,ordered_items!$B$2:$E$4784,2,0)</f>
        <v>1004</v>
      </c>
      <c r="G332">
        <f>VLOOKUP($A332,ordered_items!$B$2:$E$4784,3,0)</f>
        <v>1</v>
      </c>
      <c r="H332">
        <f>VLOOKUP($A332,ordered_items!$B$2:$E$4784,4,0)</f>
        <v>399.98</v>
      </c>
      <c r="I332" s="15">
        <f>VLOOKUP(F332,product_info!$A$2:$D$73,4,0)</f>
        <v>7</v>
      </c>
      <c r="J332" s="15" t="str">
        <f>VLOOKUP(I332,department!$A$2:$B$13,2,0)</f>
        <v>Fan Shop</v>
      </c>
      <c r="K332">
        <v>6537</v>
      </c>
      <c r="L332" t="s">
        <v>405</v>
      </c>
      <c r="M332" s="4">
        <v>43438</v>
      </c>
      <c r="N332" s="12">
        <f t="shared" si="16"/>
        <v>12</v>
      </c>
      <c r="O332" s="13">
        <f t="shared" si="17"/>
        <v>2018</v>
      </c>
      <c r="P332" t="s">
        <v>13</v>
      </c>
      <c r="Q332" t="s">
        <v>130</v>
      </c>
      <c r="R332" t="s">
        <v>23</v>
      </c>
      <c r="S332" t="str" cm="1">
        <f t="array" ref="S332">_xlfn.IFS(R332="COMPLETE", "COMPLETED", R332="CANCELED", "CANCELED", TRUE, "PENDING")</f>
        <v>PENDING</v>
      </c>
      <c r="T332" t="s">
        <v>58</v>
      </c>
      <c r="U332">
        <f>VLOOKUP(A332,ordered_items!$B:$E,4,0)</f>
        <v>399.98</v>
      </c>
    </row>
    <row r="333" spans="1:21" x14ac:dyDescent="0.3">
      <c r="A333">
        <v>23225</v>
      </c>
      <c r="B333" t="s">
        <v>3</v>
      </c>
      <c r="C333">
        <v>6</v>
      </c>
      <c r="D333">
        <v>4</v>
      </c>
      <c r="E333" t="str">
        <f t="shared" si="15"/>
        <v>DELAYED</v>
      </c>
      <c r="F333">
        <f>VLOOKUP($A333,ordered_items!$B$2:$E$4784,2,0)</f>
        <v>1073</v>
      </c>
      <c r="G333">
        <f>VLOOKUP($A333,ordered_items!$B$2:$E$4784,3,0)</f>
        <v>1</v>
      </c>
      <c r="H333">
        <f>VLOOKUP($A333,ordered_items!$B$2:$E$4784,4,0)</f>
        <v>199.99</v>
      </c>
      <c r="I333" s="15">
        <f>VLOOKUP(F333,product_info!$A$2:$D$73,4,0)</f>
        <v>7</v>
      </c>
      <c r="J333" s="15" t="str">
        <f>VLOOKUP(I333,department!$A$2:$B$13,2,0)</f>
        <v>Fan Shop</v>
      </c>
      <c r="K333">
        <v>1473</v>
      </c>
      <c r="L333" t="s">
        <v>660</v>
      </c>
      <c r="M333" s="4">
        <v>43439</v>
      </c>
      <c r="N333" s="12">
        <f t="shared" si="16"/>
        <v>12</v>
      </c>
      <c r="O333" s="13">
        <f t="shared" si="17"/>
        <v>2018</v>
      </c>
      <c r="P333" t="s">
        <v>13</v>
      </c>
      <c r="Q333" t="s">
        <v>99</v>
      </c>
      <c r="R333" t="s">
        <v>178</v>
      </c>
      <c r="S333" t="str" cm="1">
        <f t="array" ref="S333">_xlfn.IFS(R333="COMPLETE", "COMPLETED", R333="CANCELED", "CANCELED", TRUE, "PENDING")</f>
        <v>PENDING</v>
      </c>
      <c r="T333" t="s">
        <v>16</v>
      </c>
      <c r="U333">
        <f>VLOOKUP(A333,ordered_items!$B:$E,4,0)</f>
        <v>199.99</v>
      </c>
    </row>
    <row r="334" spans="1:21" x14ac:dyDescent="0.3">
      <c r="A334">
        <v>23226</v>
      </c>
      <c r="B334" t="s">
        <v>51</v>
      </c>
      <c r="C334">
        <v>2</v>
      </c>
      <c r="D334">
        <v>2</v>
      </c>
      <c r="E334" t="str">
        <f t="shared" si="15"/>
        <v xml:space="preserve"> ONTIME</v>
      </c>
      <c r="F334">
        <f>VLOOKUP($A334,ordered_items!$B$2:$E$4784,2,0)</f>
        <v>627</v>
      </c>
      <c r="G334">
        <f>VLOOKUP($A334,ordered_items!$B$2:$E$4784,3,0)</f>
        <v>4</v>
      </c>
      <c r="H334">
        <f>VLOOKUP($A334,ordered_items!$B$2:$E$4784,4,0)</f>
        <v>159.96</v>
      </c>
      <c r="I334" s="15">
        <f>VLOOKUP(F334,product_info!$A$2:$D$73,4,0)</f>
        <v>5</v>
      </c>
      <c r="J334" s="15" t="str">
        <f>VLOOKUP(I334,department!$A$2:$B$13,2,0)</f>
        <v>Golf</v>
      </c>
      <c r="K334">
        <v>759</v>
      </c>
      <c r="L334" t="s">
        <v>1927</v>
      </c>
      <c r="M334" s="4">
        <v>43439</v>
      </c>
      <c r="N334" s="12">
        <f t="shared" si="16"/>
        <v>12</v>
      </c>
      <c r="O334" s="13">
        <f t="shared" si="17"/>
        <v>2018</v>
      </c>
      <c r="P334" t="s">
        <v>13</v>
      </c>
      <c r="Q334" t="s">
        <v>234</v>
      </c>
      <c r="R334" t="s">
        <v>57</v>
      </c>
      <c r="S334" t="str" cm="1">
        <f t="array" ref="S334">_xlfn.IFS(R334="COMPLETE", "COMPLETED", R334="CANCELED", "CANCELED", TRUE, "PENDING")</f>
        <v>PENDING</v>
      </c>
      <c r="T334" t="s">
        <v>90</v>
      </c>
      <c r="U334">
        <f>VLOOKUP(A334,ordered_items!$B:$E,4,0)</f>
        <v>159.96</v>
      </c>
    </row>
    <row r="335" spans="1:21" x14ac:dyDescent="0.3">
      <c r="A335">
        <v>23244</v>
      </c>
      <c r="B335" t="s">
        <v>24</v>
      </c>
      <c r="C335">
        <v>5</v>
      </c>
      <c r="D335">
        <v>4</v>
      </c>
      <c r="E335" t="str">
        <f t="shared" si="15"/>
        <v>DELAYED</v>
      </c>
      <c r="F335">
        <f>VLOOKUP($A335,ordered_items!$B$2:$E$4784,2,0)</f>
        <v>403</v>
      </c>
      <c r="G335">
        <f>VLOOKUP($A335,ordered_items!$B$2:$E$4784,3,0)</f>
        <v>1</v>
      </c>
      <c r="H335">
        <f>VLOOKUP($A335,ordered_items!$B$2:$E$4784,4,0)</f>
        <v>129.99</v>
      </c>
      <c r="I335" s="15">
        <f>VLOOKUP(F335,product_info!$A$2:$D$73,4,0)</f>
        <v>4</v>
      </c>
      <c r="J335" s="15" t="str">
        <f>VLOOKUP(I335,department!$A$2:$B$13,2,0)</f>
        <v>Apparel</v>
      </c>
      <c r="K335">
        <v>9618</v>
      </c>
      <c r="L335" t="s">
        <v>525</v>
      </c>
      <c r="M335" s="4">
        <v>43439</v>
      </c>
      <c r="N335" s="12">
        <f t="shared" si="16"/>
        <v>12</v>
      </c>
      <c r="O335" s="13">
        <f t="shared" si="17"/>
        <v>2018</v>
      </c>
      <c r="P335" t="s">
        <v>13</v>
      </c>
      <c r="Q335" t="s">
        <v>5778</v>
      </c>
      <c r="R335" t="s">
        <v>31</v>
      </c>
      <c r="S335" t="str" cm="1">
        <f t="array" ref="S335">_xlfn.IFS(R335="COMPLETE", "COMPLETED", R335="CANCELED", "CANCELED", TRUE, "PENDING")</f>
        <v>COMPLETED</v>
      </c>
      <c r="T335" t="s">
        <v>16</v>
      </c>
      <c r="U335">
        <f>VLOOKUP(A335,ordered_items!$B:$E,4,0)</f>
        <v>129.99</v>
      </c>
    </row>
    <row r="336" spans="1:21" x14ac:dyDescent="0.3">
      <c r="A336">
        <v>23245</v>
      </c>
      <c r="B336" t="s">
        <v>24</v>
      </c>
      <c r="C336">
        <v>6</v>
      </c>
      <c r="D336">
        <v>4</v>
      </c>
      <c r="E336" t="str">
        <f t="shared" si="15"/>
        <v>DELAYED</v>
      </c>
      <c r="F336">
        <f>VLOOKUP($A336,ordered_items!$B$2:$E$4784,2,0)</f>
        <v>728</v>
      </c>
      <c r="G336">
        <f>VLOOKUP($A336,ordered_items!$B$2:$E$4784,3,0)</f>
        <v>4</v>
      </c>
      <c r="H336">
        <f>VLOOKUP($A336,ordered_items!$B$2:$E$4784,4,0)</f>
        <v>260</v>
      </c>
      <c r="I336" s="15">
        <f>VLOOKUP(F336,product_info!$A$2:$D$73,4,0)</f>
        <v>6</v>
      </c>
      <c r="J336" s="15" t="str">
        <f>VLOOKUP(I336,department!$A$2:$B$13,2,0)</f>
        <v>Outdoors</v>
      </c>
      <c r="K336">
        <v>10991</v>
      </c>
      <c r="L336" t="s">
        <v>525</v>
      </c>
      <c r="M336" s="4">
        <v>43439</v>
      </c>
      <c r="N336" s="12">
        <f t="shared" si="16"/>
        <v>12</v>
      </c>
      <c r="O336" s="13">
        <f t="shared" si="17"/>
        <v>2018</v>
      </c>
      <c r="P336" t="s">
        <v>13</v>
      </c>
      <c r="Q336" t="s">
        <v>5778</v>
      </c>
      <c r="R336" t="s">
        <v>31</v>
      </c>
      <c r="S336" t="str" cm="1">
        <f t="array" ref="S336">_xlfn.IFS(R336="COMPLETE", "COMPLETED", R336="CANCELED", "CANCELED", TRUE, "PENDING")</f>
        <v>COMPLETED</v>
      </c>
      <c r="T336" t="s">
        <v>16</v>
      </c>
      <c r="U336">
        <f>VLOOKUP(A336,ordered_items!$B:$E,4,0)</f>
        <v>260</v>
      </c>
    </row>
    <row r="337" spans="1:21" x14ac:dyDescent="0.3">
      <c r="A337">
        <v>23290</v>
      </c>
      <c r="B337" t="s">
        <v>24</v>
      </c>
      <c r="C337">
        <v>6</v>
      </c>
      <c r="D337">
        <v>4</v>
      </c>
      <c r="E337" t="str">
        <f t="shared" si="15"/>
        <v>DELAYED</v>
      </c>
      <c r="F337">
        <f>VLOOKUP($A337,ordered_items!$B$2:$E$4784,2,0)</f>
        <v>403</v>
      </c>
      <c r="G337">
        <f>VLOOKUP($A337,ordered_items!$B$2:$E$4784,3,0)</f>
        <v>1</v>
      </c>
      <c r="H337">
        <f>VLOOKUP($A337,ordered_items!$B$2:$E$4784,4,0)</f>
        <v>129.99</v>
      </c>
      <c r="I337" s="15">
        <f>VLOOKUP(F337,product_info!$A$2:$D$73,4,0)</f>
        <v>4</v>
      </c>
      <c r="J337" s="15" t="str">
        <f>VLOOKUP(I337,department!$A$2:$B$13,2,0)</f>
        <v>Apparel</v>
      </c>
      <c r="K337">
        <v>4275</v>
      </c>
      <c r="L337" t="s">
        <v>233</v>
      </c>
      <c r="M337" s="4">
        <v>43439</v>
      </c>
      <c r="N337" s="12">
        <f t="shared" si="16"/>
        <v>12</v>
      </c>
      <c r="O337" s="13">
        <f t="shared" si="17"/>
        <v>2018</v>
      </c>
      <c r="P337" t="s">
        <v>13</v>
      </c>
      <c r="Q337" t="s">
        <v>234</v>
      </c>
      <c r="R337" t="s">
        <v>31</v>
      </c>
      <c r="S337" t="str" cm="1">
        <f t="array" ref="S337">_xlfn.IFS(R337="COMPLETE", "COMPLETED", R337="CANCELED", "CANCELED", TRUE, "PENDING")</f>
        <v>COMPLETED</v>
      </c>
      <c r="T337" t="s">
        <v>16</v>
      </c>
      <c r="U337">
        <f>VLOOKUP(A337,ordered_items!$B:$E,4,0)</f>
        <v>129.99</v>
      </c>
    </row>
    <row r="338" spans="1:21" x14ac:dyDescent="0.3">
      <c r="A338">
        <v>23300</v>
      </c>
      <c r="B338" t="s">
        <v>51</v>
      </c>
      <c r="C338">
        <v>6</v>
      </c>
      <c r="D338">
        <v>4</v>
      </c>
      <c r="E338" t="str">
        <f t="shared" si="15"/>
        <v>DELAYED</v>
      </c>
      <c r="F338">
        <f>VLOOKUP($A338,ordered_items!$B$2:$E$4784,2,0)</f>
        <v>365</v>
      </c>
      <c r="G338">
        <f>VLOOKUP($A338,ordered_items!$B$2:$E$4784,3,0)</f>
        <v>1</v>
      </c>
      <c r="H338">
        <f>VLOOKUP($A338,ordered_items!$B$2:$E$4784,4,0)</f>
        <v>59.99</v>
      </c>
      <c r="I338" s="15">
        <f>VLOOKUP(F338,product_info!$A$2:$D$73,4,0)</f>
        <v>4</v>
      </c>
      <c r="J338" s="15" t="str">
        <f>VLOOKUP(I338,department!$A$2:$B$13,2,0)</f>
        <v>Apparel</v>
      </c>
      <c r="K338">
        <v>161</v>
      </c>
      <c r="L338" t="s">
        <v>2198</v>
      </c>
      <c r="M338" s="4">
        <v>43440</v>
      </c>
      <c r="N338" s="12">
        <f t="shared" si="16"/>
        <v>12</v>
      </c>
      <c r="O338" s="13">
        <f t="shared" si="17"/>
        <v>2018</v>
      </c>
      <c r="P338" t="s">
        <v>13</v>
      </c>
      <c r="Q338" t="s">
        <v>203</v>
      </c>
      <c r="R338" t="s">
        <v>57</v>
      </c>
      <c r="S338" t="str" cm="1">
        <f t="array" ref="S338">_xlfn.IFS(R338="COMPLETE", "COMPLETED", R338="CANCELED", "CANCELED", TRUE, "PENDING")</f>
        <v>PENDING</v>
      </c>
      <c r="T338" t="s">
        <v>16</v>
      </c>
      <c r="U338">
        <f>VLOOKUP(A338,ordered_items!$B:$E,4,0)</f>
        <v>59.99</v>
      </c>
    </row>
    <row r="339" spans="1:21" x14ac:dyDescent="0.3">
      <c r="A339">
        <v>23325</v>
      </c>
      <c r="B339" t="s">
        <v>51</v>
      </c>
      <c r="C339">
        <v>6</v>
      </c>
      <c r="D339">
        <v>2</v>
      </c>
      <c r="E339" t="str">
        <f t="shared" si="15"/>
        <v>DELAYED</v>
      </c>
      <c r="F339">
        <f>VLOOKUP($A339,ordered_items!$B$2:$E$4784,2,0)</f>
        <v>365</v>
      </c>
      <c r="G339">
        <f>VLOOKUP($A339,ordered_items!$B$2:$E$4784,3,0)</f>
        <v>1</v>
      </c>
      <c r="H339">
        <f>VLOOKUP($A339,ordered_items!$B$2:$E$4784,4,0)</f>
        <v>59.99</v>
      </c>
      <c r="I339" s="15">
        <f>VLOOKUP(F339,product_info!$A$2:$D$73,4,0)</f>
        <v>4</v>
      </c>
      <c r="J339" s="15" t="str">
        <f>VLOOKUP(I339,department!$A$2:$B$13,2,0)</f>
        <v>Apparel</v>
      </c>
      <c r="K339">
        <v>4794</v>
      </c>
      <c r="L339" t="s">
        <v>1089</v>
      </c>
      <c r="M339" s="4">
        <v>43440</v>
      </c>
      <c r="N339" s="12">
        <f t="shared" si="16"/>
        <v>12</v>
      </c>
      <c r="O339" s="13">
        <f t="shared" si="17"/>
        <v>2018</v>
      </c>
      <c r="P339" t="s">
        <v>13</v>
      </c>
      <c r="Q339" t="s">
        <v>538</v>
      </c>
      <c r="R339" t="s">
        <v>57</v>
      </c>
      <c r="S339" t="str" cm="1">
        <f t="array" ref="S339">_xlfn.IFS(R339="COMPLETE", "COMPLETED", R339="CANCELED", "CANCELED", TRUE, "PENDING")</f>
        <v>PENDING</v>
      </c>
      <c r="T339" t="s">
        <v>90</v>
      </c>
      <c r="U339">
        <f>VLOOKUP(A339,ordered_items!$B:$E,4,0)</f>
        <v>59.99</v>
      </c>
    </row>
    <row r="340" spans="1:21" x14ac:dyDescent="0.3">
      <c r="A340">
        <v>23326</v>
      </c>
      <c r="B340" t="s">
        <v>51</v>
      </c>
      <c r="C340">
        <v>2</v>
      </c>
      <c r="D340">
        <v>2</v>
      </c>
      <c r="E340" t="str">
        <f t="shared" si="15"/>
        <v xml:space="preserve"> ONTIME</v>
      </c>
      <c r="F340">
        <f>VLOOKUP($A340,ordered_items!$B$2:$E$4784,2,0)</f>
        <v>957</v>
      </c>
      <c r="G340">
        <f>VLOOKUP($A340,ordered_items!$B$2:$E$4784,3,0)</f>
        <v>1</v>
      </c>
      <c r="H340">
        <f>VLOOKUP($A340,ordered_items!$B$2:$E$4784,4,0)</f>
        <v>299.98</v>
      </c>
      <c r="I340" s="15">
        <f>VLOOKUP(F340,product_info!$A$2:$D$73,4,0)</f>
        <v>7</v>
      </c>
      <c r="J340" s="15" t="str">
        <f>VLOOKUP(I340,department!$A$2:$B$13,2,0)</f>
        <v>Fan Shop</v>
      </c>
      <c r="K340">
        <v>10584</v>
      </c>
      <c r="L340" t="s">
        <v>1089</v>
      </c>
      <c r="M340" s="4">
        <v>43440</v>
      </c>
      <c r="N340" s="12">
        <f t="shared" si="16"/>
        <v>12</v>
      </c>
      <c r="O340" s="13">
        <f t="shared" si="17"/>
        <v>2018</v>
      </c>
      <c r="P340" t="s">
        <v>13</v>
      </c>
      <c r="Q340" t="s">
        <v>538</v>
      </c>
      <c r="R340" t="s">
        <v>57</v>
      </c>
      <c r="S340" t="str" cm="1">
        <f t="array" ref="S340">_xlfn.IFS(R340="COMPLETE", "COMPLETED", R340="CANCELED", "CANCELED", TRUE, "PENDING")</f>
        <v>PENDING</v>
      </c>
      <c r="T340" t="s">
        <v>90</v>
      </c>
      <c r="U340">
        <f>VLOOKUP(A340,ordered_items!$B:$E,4,0)</f>
        <v>299.98</v>
      </c>
    </row>
    <row r="341" spans="1:21" x14ac:dyDescent="0.3">
      <c r="A341">
        <v>23327</v>
      </c>
      <c r="B341" t="s">
        <v>24</v>
      </c>
      <c r="C341">
        <v>3</v>
      </c>
      <c r="D341">
        <v>2</v>
      </c>
      <c r="E341" t="str">
        <f t="shared" si="15"/>
        <v>DELAYED</v>
      </c>
      <c r="F341">
        <f>VLOOKUP($A341,ordered_items!$B$2:$E$4784,2,0)</f>
        <v>1014</v>
      </c>
      <c r="G341">
        <f>VLOOKUP($A341,ordered_items!$B$2:$E$4784,3,0)</f>
        <v>4</v>
      </c>
      <c r="H341">
        <f>VLOOKUP($A341,ordered_items!$B$2:$E$4784,4,0)</f>
        <v>199.92</v>
      </c>
      <c r="I341" s="15">
        <f>VLOOKUP(F341,product_info!$A$2:$D$73,4,0)</f>
        <v>7</v>
      </c>
      <c r="J341" s="15" t="str">
        <f>VLOOKUP(I341,department!$A$2:$B$13,2,0)</f>
        <v>Fan Shop</v>
      </c>
      <c r="K341">
        <v>4511</v>
      </c>
      <c r="L341" t="s">
        <v>1089</v>
      </c>
      <c r="M341" s="4">
        <v>43440</v>
      </c>
      <c r="N341" s="12">
        <f t="shared" si="16"/>
        <v>12</v>
      </c>
      <c r="O341" s="13">
        <f t="shared" si="17"/>
        <v>2018</v>
      </c>
      <c r="P341" t="s">
        <v>13</v>
      </c>
      <c r="Q341" t="s">
        <v>538</v>
      </c>
      <c r="R341" t="s">
        <v>31</v>
      </c>
      <c r="S341" t="str" cm="1">
        <f t="array" ref="S341">_xlfn.IFS(R341="COMPLETE", "COMPLETED", R341="CANCELED", "CANCELED", TRUE, "PENDING")</f>
        <v>COMPLETED</v>
      </c>
      <c r="T341" t="s">
        <v>90</v>
      </c>
      <c r="U341">
        <f>VLOOKUP(A341,ordered_items!$B:$E,4,0)</f>
        <v>199.92</v>
      </c>
    </row>
    <row r="342" spans="1:21" x14ac:dyDescent="0.3">
      <c r="A342">
        <v>23331</v>
      </c>
      <c r="B342" t="s">
        <v>17</v>
      </c>
      <c r="C342">
        <v>2</v>
      </c>
      <c r="D342">
        <v>2</v>
      </c>
      <c r="E342" t="str">
        <f t="shared" si="15"/>
        <v xml:space="preserve"> ONTIME</v>
      </c>
      <c r="F342">
        <f>VLOOKUP($A342,ordered_items!$B$2:$E$4784,2,0)</f>
        <v>917</v>
      </c>
      <c r="G342">
        <f>VLOOKUP($A342,ordered_items!$B$2:$E$4784,3,0)</f>
        <v>1</v>
      </c>
      <c r="H342">
        <f>VLOOKUP($A342,ordered_items!$B$2:$E$4784,4,0)</f>
        <v>21.99</v>
      </c>
      <c r="I342" s="15">
        <f>VLOOKUP(F342,product_info!$A$2:$D$73,4,0)</f>
        <v>6</v>
      </c>
      <c r="J342" s="15" t="str">
        <f>VLOOKUP(I342,department!$A$2:$B$13,2,0)</f>
        <v>Outdoors</v>
      </c>
      <c r="K342">
        <v>3242</v>
      </c>
      <c r="L342" t="s">
        <v>743</v>
      </c>
      <c r="M342" s="4">
        <v>43440</v>
      </c>
      <c r="N342" s="12">
        <f t="shared" si="16"/>
        <v>12</v>
      </c>
      <c r="O342" s="13">
        <f t="shared" si="17"/>
        <v>2018</v>
      </c>
      <c r="P342" t="s">
        <v>13</v>
      </c>
      <c r="Q342" t="s">
        <v>5780</v>
      </c>
      <c r="R342" t="s">
        <v>23</v>
      </c>
      <c r="S342" t="str" cm="1">
        <f t="array" ref="S342">_xlfn.IFS(R342="COMPLETE", "COMPLETED", R342="CANCELED", "CANCELED", TRUE, "PENDING")</f>
        <v>PENDING</v>
      </c>
      <c r="T342" t="s">
        <v>90</v>
      </c>
      <c r="U342">
        <f>VLOOKUP(A342,ordered_items!$B:$E,4,0)</f>
        <v>21.99</v>
      </c>
    </row>
    <row r="343" spans="1:21" x14ac:dyDescent="0.3">
      <c r="A343">
        <v>23357</v>
      </c>
      <c r="B343" t="s">
        <v>51</v>
      </c>
      <c r="C343">
        <v>3</v>
      </c>
      <c r="D343">
        <v>2</v>
      </c>
      <c r="E343" t="str">
        <f t="shared" si="15"/>
        <v>DELAYED</v>
      </c>
      <c r="F343">
        <f>VLOOKUP($A343,ordered_items!$B$2:$E$4784,2,0)</f>
        <v>403</v>
      </c>
      <c r="G343">
        <f>VLOOKUP($A343,ordered_items!$B$2:$E$4784,3,0)</f>
        <v>1</v>
      </c>
      <c r="H343">
        <f>VLOOKUP($A343,ordered_items!$B$2:$E$4784,4,0)</f>
        <v>129.99</v>
      </c>
      <c r="I343" s="15">
        <f>VLOOKUP(F343,product_info!$A$2:$D$73,4,0)</f>
        <v>4</v>
      </c>
      <c r="J343" s="15" t="str">
        <f>VLOOKUP(I343,department!$A$2:$B$13,2,0)</f>
        <v>Apparel</v>
      </c>
      <c r="K343">
        <v>1011</v>
      </c>
      <c r="L343" t="s">
        <v>258</v>
      </c>
      <c r="M343" s="4">
        <v>43440</v>
      </c>
      <c r="N343" s="12">
        <f t="shared" si="16"/>
        <v>12</v>
      </c>
      <c r="O343" s="13">
        <f t="shared" si="17"/>
        <v>2018</v>
      </c>
      <c r="P343" t="s">
        <v>13</v>
      </c>
      <c r="Q343" t="s">
        <v>30</v>
      </c>
      <c r="R343" t="s">
        <v>1275</v>
      </c>
      <c r="S343" t="str" cm="1">
        <f t="array" ref="S343">_xlfn.IFS(R343="COMPLETE", "COMPLETED", R343="CANCELED", "CANCELED", TRUE, "PENDING")</f>
        <v>PENDING</v>
      </c>
      <c r="T343" t="s">
        <v>90</v>
      </c>
      <c r="U343">
        <f>VLOOKUP(A343,ordered_items!$B:$E,4,0)</f>
        <v>129.99</v>
      </c>
    </row>
    <row r="344" spans="1:21" x14ac:dyDescent="0.3">
      <c r="A344">
        <v>23358</v>
      </c>
      <c r="B344" t="s">
        <v>3</v>
      </c>
      <c r="C344">
        <v>4</v>
      </c>
      <c r="D344">
        <v>2</v>
      </c>
      <c r="E344" t="str">
        <f t="shared" si="15"/>
        <v>DELAYED</v>
      </c>
      <c r="F344">
        <f>VLOOKUP($A344,ordered_items!$B$2:$E$4784,2,0)</f>
        <v>403</v>
      </c>
      <c r="G344">
        <f>VLOOKUP($A344,ordered_items!$B$2:$E$4784,3,0)</f>
        <v>1</v>
      </c>
      <c r="H344">
        <f>VLOOKUP($A344,ordered_items!$B$2:$E$4784,4,0)</f>
        <v>129.99</v>
      </c>
      <c r="I344" s="15">
        <f>VLOOKUP(F344,product_info!$A$2:$D$73,4,0)</f>
        <v>4</v>
      </c>
      <c r="J344" s="15" t="str">
        <f>VLOOKUP(I344,department!$A$2:$B$13,2,0)</f>
        <v>Apparel</v>
      </c>
      <c r="K344">
        <v>9343</v>
      </c>
      <c r="L344" t="s">
        <v>258</v>
      </c>
      <c r="M344" s="4">
        <v>43440</v>
      </c>
      <c r="N344" s="12">
        <f t="shared" si="16"/>
        <v>12</v>
      </c>
      <c r="O344" s="13">
        <f t="shared" si="17"/>
        <v>2018</v>
      </c>
      <c r="P344" t="s">
        <v>13</v>
      </c>
      <c r="Q344" t="s">
        <v>30</v>
      </c>
      <c r="R344" t="s">
        <v>38</v>
      </c>
      <c r="S344" t="str" cm="1">
        <f t="array" ref="S344">_xlfn.IFS(R344="COMPLETE", "COMPLETED", R344="CANCELED", "CANCELED", TRUE, "PENDING")</f>
        <v>PENDING</v>
      </c>
      <c r="T344" t="s">
        <v>90</v>
      </c>
      <c r="U344">
        <f>VLOOKUP(A344,ordered_items!$B:$E,4,0)</f>
        <v>129.99</v>
      </c>
    </row>
    <row r="345" spans="1:21" x14ac:dyDescent="0.3">
      <c r="A345">
        <v>23359</v>
      </c>
      <c r="B345" t="s">
        <v>51</v>
      </c>
      <c r="C345">
        <v>5</v>
      </c>
      <c r="D345">
        <v>2</v>
      </c>
      <c r="E345" t="str">
        <f t="shared" si="15"/>
        <v>DELAYED</v>
      </c>
      <c r="F345">
        <f>VLOOKUP($A345,ordered_items!$B$2:$E$4784,2,0)</f>
        <v>403</v>
      </c>
      <c r="G345">
        <f>VLOOKUP($A345,ordered_items!$B$2:$E$4784,3,0)</f>
        <v>1</v>
      </c>
      <c r="H345">
        <f>VLOOKUP($A345,ordered_items!$B$2:$E$4784,4,0)</f>
        <v>129.99</v>
      </c>
      <c r="I345" s="15">
        <f>VLOOKUP(F345,product_info!$A$2:$D$73,4,0)</f>
        <v>4</v>
      </c>
      <c r="J345" s="15" t="str">
        <f>VLOOKUP(I345,department!$A$2:$B$13,2,0)</f>
        <v>Apparel</v>
      </c>
      <c r="K345">
        <v>6221</v>
      </c>
      <c r="L345" t="s">
        <v>768</v>
      </c>
      <c r="M345" s="4">
        <v>43440</v>
      </c>
      <c r="N345" s="12">
        <f t="shared" si="16"/>
        <v>12</v>
      </c>
      <c r="O345" s="13">
        <f t="shared" si="17"/>
        <v>2018</v>
      </c>
      <c r="P345" t="s">
        <v>13</v>
      </c>
      <c r="Q345" t="s">
        <v>431</v>
      </c>
      <c r="R345" t="s">
        <v>57</v>
      </c>
      <c r="S345" t="str" cm="1">
        <f t="array" ref="S345">_xlfn.IFS(R345="COMPLETE", "COMPLETED", R345="CANCELED", "CANCELED", TRUE, "PENDING")</f>
        <v>PENDING</v>
      </c>
      <c r="T345" t="s">
        <v>90</v>
      </c>
      <c r="U345">
        <f>VLOOKUP(A345,ordered_items!$B:$E,4,0)</f>
        <v>129.99</v>
      </c>
    </row>
    <row r="346" spans="1:21" x14ac:dyDescent="0.3">
      <c r="A346">
        <v>23381</v>
      </c>
      <c r="B346" t="s">
        <v>17</v>
      </c>
      <c r="C346">
        <v>2</v>
      </c>
      <c r="D346">
        <v>4</v>
      </c>
      <c r="E346" t="str">
        <f t="shared" si="15"/>
        <v xml:space="preserve"> ONTIME</v>
      </c>
      <c r="F346">
        <f>VLOOKUP($A346,ordered_items!$B$2:$E$4784,2,0)</f>
        <v>792</v>
      </c>
      <c r="G346">
        <f>VLOOKUP($A346,ordered_items!$B$2:$E$4784,3,0)</f>
        <v>2</v>
      </c>
      <c r="H346">
        <f>VLOOKUP($A346,ordered_items!$B$2:$E$4784,4,0)</f>
        <v>29.98</v>
      </c>
      <c r="I346" s="15">
        <f>VLOOKUP(F346,product_info!$A$2:$D$73,4,0)</f>
        <v>6</v>
      </c>
      <c r="J346" s="15" t="str">
        <f>VLOOKUP(I346,department!$A$2:$B$13,2,0)</f>
        <v>Outdoors</v>
      </c>
      <c r="K346">
        <v>11593</v>
      </c>
      <c r="L346" t="s">
        <v>70</v>
      </c>
      <c r="M346" s="4">
        <v>43441</v>
      </c>
      <c r="N346" s="12">
        <f t="shared" si="16"/>
        <v>12</v>
      </c>
      <c r="O346" s="13">
        <f t="shared" si="17"/>
        <v>2018</v>
      </c>
      <c r="P346" t="s">
        <v>13</v>
      </c>
      <c r="Q346" t="s">
        <v>70</v>
      </c>
      <c r="R346" t="s">
        <v>23</v>
      </c>
      <c r="S346" t="str" cm="1">
        <f t="array" ref="S346">_xlfn.IFS(R346="COMPLETE", "COMPLETED", R346="CANCELED", "CANCELED", TRUE, "PENDING")</f>
        <v>PENDING</v>
      </c>
      <c r="T346" t="s">
        <v>16</v>
      </c>
      <c r="U346">
        <f>VLOOKUP(A346,ordered_items!$B:$E,4,0)</f>
        <v>29.98</v>
      </c>
    </row>
    <row r="347" spans="1:21" x14ac:dyDescent="0.3">
      <c r="A347">
        <v>23389</v>
      </c>
      <c r="B347" t="s">
        <v>3</v>
      </c>
      <c r="C347">
        <v>5</v>
      </c>
      <c r="D347">
        <v>4</v>
      </c>
      <c r="E347" t="str">
        <f t="shared" si="15"/>
        <v>DELAYED</v>
      </c>
      <c r="F347">
        <f>VLOOKUP($A347,ordered_items!$B$2:$E$4784,2,0)</f>
        <v>1014</v>
      </c>
      <c r="G347">
        <f>VLOOKUP($A347,ordered_items!$B$2:$E$4784,3,0)</f>
        <v>1</v>
      </c>
      <c r="H347">
        <f>VLOOKUP($A347,ordered_items!$B$2:$E$4784,4,0)</f>
        <v>49.98</v>
      </c>
      <c r="I347" s="15">
        <f>VLOOKUP(F347,product_info!$A$2:$D$73,4,0)</f>
        <v>7</v>
      </c>
      <c r="J347" s="15" t="str">
        <f>VLOOKUP(I347,department!$A$2:$B$13,2,0)</f>
        <v>Fan Shop</v>
      </c>
      <c r="K347">
        <v>1979</v>
      </c>
      <c r="L347" t="s">
        <v>186</v>
      </c>
      <c r="M347" s="4">
        <v>43441</v>
      </c>
      <c r="N347" s="12">
        <f t="shared" si="16"/>
        <v>12</v>
      </c>
      <c r="O347" s="13">
        <f t="shared" si="17"/>
        <v>2018</v>
      </c>
      <c r="P347" t="s">
        <v>13</v>
      </c>
      <c r="Q347" t="s">
        <v>5778</v>
      </c>
      <c r="R347" t="s">
        <v>38</v>
      </c>
      <c r="S347" t="str" cm="1">
        <f t="array" ref="S347">_xlfn.IFS(R347="COMPLETE", "COMPLETED", R347="CANCELED", "CANCELED", TRUE, "PENDING")</f>
        <v>PENDING</v>
      </c>
      <c r="T347" t="s">
        <v>16</v>
      </c>
      <c r="U347">
        <f>VLOOKUP(A347,ordered_items!$B:$E,4,0)</f>
        <v>49.98</v>
      </c>
    </row>
    <row r="348" spans="1:21" x14ac:dyDescent="0.3">
      <c r="A348">
        <v>23391</v>
      </c>
      <c r="B348" t="s">
        <v>24</v>
      </c>
      <c r="C348">
        <v>2</v>
      </c>
      <c r="D348">
        <v>1</v>
      </c>
      <c r="E348" t="str">
        <f t="shared" si="15"/>
        <v>DELAYED</v>
      </c>
      <c r="F348">
        <f>VLOOKUP($A348,ordered_items!$B$2:$E$4784,2,0)</f>
        <v>191</v>
      </c>
      <c r="G348">
        <f>VLOOKUP($A348,ordered_items!$B$2:$E$4784,3,0)</f>
        <v>1</v>
      </c>
      <c r="H348">
        <f>VLOOKUP($A348,ordered_items!$B$2:$E$4784,4,0)</f>
        <v>99.99</v>
      </c>
      <c r="I348" s="15">
        <f>VLOOKUP(F348,product_info!$A$2:$D$73,4,0)</f>
        <v>3</v>
      </c>
      <c r="J348" s="15" t="str">
        <f>VLOOKUP(I348,department!$A$2:$B$13,2,0)</f>
        <v>Footwear</v>
      </c>
      <c r="K348">
        <v>9956</v>
      </c>
      <c r="L348" t="s">
        <v>79</v>
      </c>
      <c r="M348" s="4">
        <v>43441</v>
      </c>
      <c r="N348" s="12">
        <f t="shared" si="16"/>
        <v>12</v>
      </c>
      <c r="O348" s="13">
        <f t="shared" si="17"/>
        <v>2018</v>
      </c>
      <c r="P348" t="s">
        <v>13</v>
      </c>
      <c r="Q348" t="s">
        <v>80</v>
      </c>
      <c r="R348" t="s">
        <v>31</v>
      </c>
      <c r="S348" t="str" cm="1">
        <f t="array" ref="S348">_xlfn.IFS(R348="COMPLETE", "COMPLETED", R348="CANCELED", "CANCELED", TRUE, "PENDING")</f>
        <v>COMPLETED</v>
      </c>
      <c r="T348" t="s">
        <v>32</v>
      </c>
      <c r="U348">
        <f>VLOOKUP(A348,ordered_items!$B:$E,4,0)</f>
        <v>99.99</v>
      </c>
    </row>
    <row r="349" spans="1:21" x14ac:dyDescent="0.3">
      <c r="A349">
        <v>23393</v>
      </c>
      <c r="B349" t="s">
        <v>3</v>
      </c>
      <c r="C349">
        <v>2</v>
      </c>
      <c r="D349">
        <v>1</v>
      </c>
      <c r="E349" t="str">
        <f t="shared" si="15"/>
        <v>DELAYED</v>
      </c>
      <c r="F349">
        <f>VLOOKUP($A349,ordered_items!$B$2:$E$4784,2,0)</f>
        <v>403</v>
      </c>
      <c r="G349">
        <f>VLOOKUP($A349,ordered_items!$B$2:$E$4784,3,0)</f>
        <v>1</v>
      </c>
      <c r="H349">
        <f>VLOOKUP($A349,ordered_items!$B$2:$E$4784,4,0)</f>
        <v>129.99</v>
      </c>
      <c r="I349" s="15">
        <f>VLOOKUP(F349,product_info!$A$2:$D$73,4,0)</f>
        <v>4</v>
      </c>
      <c r="J349" s="15" t="str">
        <f>VLOOKUP(I349,department!$A$2:$B$13,2,0)</f>
        <v>Apparel</v>
      </c>
      <c r="K349">
        <v>8971</v>
      </c>
      <c r="L349" t="s">
        <v>79</v>
      </c>
      <c r="M349" s="4">
        <v>43441</v>
      </c>
      <c r="N349" s="12">
        <f t="shared" si="16"/>
        <v>12</v>
      </c>
      <c r="O349" s="13">
        <f t="shared" si="17"/>
        <v>2018</v>
      </c>
      <c r="P349" t="s">
        <v>13</v>
      </c>
      <c r="Q349" t="s">
        <v>80</v>
      </c>
      <c r="R349" t="s">
        <v>14</v>
      </c>
      <c r="S349" t="str" cm="1">
        <f t="array" ref="S349">_xlfn.IFS(R349="COMPLETE", "COMPLETED", R349="CANCELED", "CANCELED", TRUE, "PENDING")</f>
        <v>PENDING</v>
      </c>
      <c r="T349" t="s">
        <v>32</v>
      </c>
      <c r="U349">
        <f>VLOOKUP(A349,ordered_items!$B:$E,4,0)</f>
        <v>129.99</v>
      </c>
    </row>
    <row r="350" spans="1:21" x14ac:dyDescent="0.3">
      <c r="A350">
        <v>23396</v>
      </c>
      <c r="B350" t="s">
        <v>24</v>
      </c>
      <c r="C350">
        <v>1</v>
      </c>
      <c r="D350">
        <v>0</v>
      </c>
      <c r="E350" t="str">
        <f t="shared" si="15"/>
        <v>DELAYED</v>
      </c>
      <c r="F350">
        <f>VLOOKUP($A350,ordered_items!$B$2:$E$4784,2,0)</f>
        <v>235</v>
      </c>
      <c r="G350">
        <f>VLOOKUP($A350,ordered_items!$B$2:$E$4784,3,0)</f>
        <v>1</v>
      </c>
      <c r="H350">
        <f>VLOOKUP($A350,ordered_items!$B$2:$E$4784,4,0)</f>
        <v>34.99</v>
      </c>
      <c r="I350" s="15">
        <f>VLOOKUP(F350,product_info!$A$2:$D$73,4,0)</f>
        <v>3</v>
      </c>
      <c r="J350" s="15" t="str">
        <f>VLOOKUP(I350,department!$A$2:$B$13,2,0)</f>
        <v>Footwear</v>
      </c>
      <c r="K350">
        <v>3232</v>
      </c>
      <c r="L350" t="s">
        <v>857</v>
      </c>
      <c r="M350" s="4">
        <v>43441</v>
      </c>
      <c r="N350" s="12">
        <f t="shared" si="16"/>
        <v>12</v>
      </c>
      <c r="O350" s="13">
        <f t="shared" si="17"/>
        <v>2018</v>
      </c>
      <c r="P350" t="s">
        <v>13</v>
      </c>
      <c r="Q350" t="s">
        <v>80</v>
      </c>
      <c r="R350" t="s">
        <v>31</v>
      </c>
      <c r="S350" t="str" cm="1">
        <f t="array" ref="S350">_xlfn.IFS(R350="COMPLETE", "COMPLETED", R350="CANCELED", "CANCELED", TRUE, "PENDING")</f>
        <v>COMPLETED</v>
      </c>
      <c r="T350" t="s">
        <v>58</v>
      </c>
      <c r="U350">
        <f>VLOOKUP(A350,ordered_items!$B:$E,4,0)</f>
        <v>34.99</v>
      </c>
    </row>
    <row r="351" spans="1:21" x14ac:dyDescent="0.3">
      <c r="A351">
        <v>23397</v>
      </c>
      <c r="B351" t="s">
        <v>51</v>
      </c>
      <c r="C351">
        <v>1</v>
      </c>
      <c r="D351">
        <v>0</v>
      </c>
      <c r="E351" t="str">
        <f t="shared" si="15"/>
        <v>DELAYED</v>
      </c>
      <c r="F351">
        <f>VLOOKUP($A351,ordered_items!$B$2:$E$4784,2,0)</f>
        <v>957</v>
      </c>
      <c r="G351">
        <f>VLOOKUP($A351,ordered_items!$B$2:$E$4784,3,0)</f>
        <v>1</v>
      </c>
      <c r="H351">
        <f>VLOOKUP($A351,ordered_items!$B$2:$E$4784,4,0)</f>
        <v>299.98</v>
      </c>
      <c r="I351" s="15">
        <f>VLOOKUP(F351,product_info!$A$2:$D$73,4,0)</f>
        <v>7</v>
      </c>
      <c r="J351" s="15" t="str">
        <f>VLOOKUP(I351,department!$A$2:$B$13,2,0)</f>
        <v>Fan Shop</v>
      </c>
      <c r="K351">
        <v>6780</v>
      </c>
      <c r="L351" t="s">
        <v>357</v>
      </c>
      <c r="M351" s="4">
        <v>43441</v>
      </c>
      <c r="N351" s="12">
        <f t="shared" si="16"/>
        <v>12</v>
      </c>
      <c r="O351" s="13">
        <f t="shared" si="17"/>
        <v>2018</v>
      </c>
      <c r="P351" t="s">
        <v>13</v>
      </c>
      <c r="Q351" t="s">
        <v>203</v>
      </c>
      <c r="R351" t="s">
        <v>57</v>
      </c>
      <c r="S351" t="str" cm="1">
        <f t="array" ref="S351">_xlfn.IFS(R351="COMPLETE", "COMPLETED", R351="CANCELED", "CANCELED", TRUE, "PENDING")</f>
        <v>PENDING</v>
      </c>
      <c r="T351" t="s">
        <v>58</v>
      </c>
      <c r="U351">
        <f>VLOOKUP(A351,ordered_items!$B:$E,4,0)</f>
        <v>299.98</v>
      </c>
    </row>
    <row r="352" spans="1:21" x14ac:dyDescent="0.3">
      <c r="A352">
        <v>23404</v>
      </c>
      <c r="B352" t="s">
        <v>51</v>
      </c>
      <c r="C352">
        <v>5</v>
      </c>
      <c r="D352">
        <v>2</v>
      </c>
      <c r="E352" t="str">
        <f t="shared" si="15"/>
        <v>DELAYED</v>
      </c>
      <c r="F352">
        <f>VLOOKUP($A352,ordered_items!$B$2:$E$4784,2,0)</f>
        <v>403</v>
      </c>
      <c r="G352">
        <f>VLOOKUP($A352,ordered_items!$B$2:$E$4784,3,0)</f>
        <v>1</v>
      </c>
      <c r="H352">
        <f>VLOOKUP($A352,ordered_items!$B$2:$E$4784,4,0)</f>
        <v>129.99</v>
      </c>
      <c r="I352" s="15">
        <f>VLOOKUP(F352,product_info!$A$2:$D$73,4,0)</f>
        <v>4</v>
      </c>
      <c r="J352" s="15" t="str">
        <f>VLOOKUP(I352,department!$A$2:$B$13,2,0)</f>
        <v>Apparel</v>
      </c>
      <c r="K352">
        <v>3066</v>
      </c>
      <c r="L352" t="s">
        <v>465</v>
      </c>
      <c r="M352" s="4">
        <v>43441</v>
      </c>
      <c r="N352" s="12">
        <f t="shared" si="16"/>
        <v>12</v>
      </c>
      <c r="O352" s="13">
        <f t="shared" si="17"/>
        <v>2018</v>
      </c>
      <c r="P352" t="s">
        <v>13</v>
      </c>
      <c r="Q352" t="s">
        <v>99</v>
      </c>
      <c r="R352" t="s">
        <v>57</v>
      </c>
      <c r="S352" t="str" cm="1">
        <f t="array" ref="S352">_xlfn.IFS(R352="COMPLETE", "COMPLETED", R352="CANCELED", "CANCELED", TRUE, "PENDING")</f>
        <v>PENDING</v>
      </c>
      <c r="T352" t="s">
        <v>90</v>
      </c>
      <c r="U352">
        <f>VLOOKUP(A352,ordered_items!$B:$E,4,0)</f>
        <v>129.99</v>
      </c>
    </row>
    <row r="353" spans="1:21" x14ac:dyDescent="0.3">
      <c r="A353">
        <v>23405</v>
      </c>
      <c r="B353" t="s">
        <v>51</v>
      </c>
      <c r="C353">
        <v>6</v>
      </c>
      <c r="D353">
        <v>2</v>
      </c>
      <c r="E353" t="str">
        <f t="shared" si="15"/>
        <v>DELAYED</v>
      </c>
      <c r="F353">
        <f>VLOOKUP($A353,ordered_items!$B$2:$E$4784,2,0)</f>
        <v>403</v>
      </c>
      <c r="G353">
        <f>VLOOKUP($A353,ordered_items!$B$2:$E$4784,3,0)</f>
        <v>1</v>
      </c>
      <c r="H353">
        <f>VLOOKUP($A353,ordered_items!$B$2:$E$4784,4,0)</f>
        <v>129.99</v>
      </c>
      <c r="I353" s="15">
        <f>VLOOKUP(F353,product_info!$A$2:$D$73,4,0)</f>
        <v>4</v>
      </c>
      <c r="J353" s="15" t="str">
        <f>VLOOKUP(I353,department!$A$2:$B$13,2,0)</f>
        <v>Apparel</v>
      </c>
      <c r="K353">
        <v>8470</v>
      </c>
      <c r="L353" t="s">
        <v>465</v>
      </c>
      <c r="M353" s="4">
        <v>43441</v>
      </c>
      <c r="N353" s="12">
        <f t="shared" si="16"/>
        <v>12</v>
      </c>
      <c r="O353" s="13">
        <f t="shared" si="17"/>
        <v>2018</v>
      </c>
      <c r="P353" t="s">
        <v>13</v>
      </c>
      <c r="Q353" t="s">
        <v>99</v>
      </c>
      <c r="R353" t="s">
        <v>57</v>
      </c>
      <c r="S353" t="str" cm="1">
        <f t="array" ref="S353">_xlfn.IFS(R353="COMPLETE", "COMPLETED", R353="CANCELED", "CANCELED", TRUE, "PENDING")</f>
        <v>PENDING</v>
      </c>
      <c r="T353" t="s">
        <v>90</v>
      </c>
      <c r="U353">
        <f>VLOOKUP(A353,ordered_items!$B:$E,4,0)</f>
        <v>129.99</v>
      </c>
    </row>
    <row r="354" spans="1:21" x14ac:dyDescent="0.3">
      <c r="A354">
        <v>23406</v>
      </c>
      <c r="B354" t="s">
        <v>3</v>
      </c>
      <c r="C354">
        <v>2</v>
      </c>
      <c r="D354">
        <v>4</v>
      </c>
      <c r="E354" t="str">
        <f t="shared" si="15"/>
        <v xml:space="preserve"> ONTIME</v>
      </c>
      <c r="F354">
        <f>VLOOKUP($A354,ordered_items!$B$2:$E$4784,2,0)</f>
        <v>403</v>
      </c>
      <c r="G354">
        <f>VLOOKUP($A354,ordered_items!$B$2:$E$4784,3,0)</f>
        <v>1</v>
      </c>
      <c r="H354">
        <f>VLOOKUP($A354,ordered_items!$B$2:$E$4784,4,0)</f>
        <v>129.99</v>
      </c>
      <c r="I354" s="15">
        <f>VLOOKUP(F354,product_info!$A$2:$D$73,4,0)</f>
        <v>4</v>
      </c>
      <c r="J354" s="15" t="str">
        <f>VLOOKUP(I354,department!$A$2:$B$13,2,0)</f>
        <v>Apparel</v>
      </c>
      <c r="K354">
        <v>2676</v>
      </c>
      <c r="L354" t="s">
        <v>465</v>
      </c>
      <c r="M354" s="4">
        <v>43441</v>
      </c>
      <c r="N354" s="12">
        <f t="shared" si="16"/>
        <v>12</v>
      </c>
      <c r="O354" s="13">
        <f t="shared" si="17"/>
        <v>2018</v>
      </c>
      <c r="P354" t="s">
        <v>13</v>
      </c>
      <c r="Q354" t="s">
        <v>99</v>
      </c>
      <c r="R354" t="s">
        <v>178</v>
      </c>
      <c r="S354" t="str" cm="1">
        <f t="array" ref="S354">_xlfn.IFS(R354="COMPLETE", "COMPLETED", R354="CANCELED", "CANCELED", TRUE, "PENDING")</f>
        <v>PENDING</v>
      </c>
      <c r="T354" t="s">
        <v>16</v>
      </c>
      <c r="U354">
        <f>VLOOKUP(A354,ordered_items!$B:$E,4,0)</f>
        <v>129.99</v>
      </c>
    </row>
    <row r="355" spans="1:21" x14ac:dyDescent="0.3">
      <c r="A355">
        <v>23407</v>
      </c>
      <c r="B355" t="s">
        <v>24</v>
      </c>
      <c r="C355">
        <v>3</v>
      </c>
      <c r="D355">
        <v>4</v>
      </c>
      <c r="E355" t="str">
        <f t="shared" si="15"/>
        <v xml:space="preserve"> ONTIME</v>
      </c>
      <c r="F355">
        <f>VLOOKUP($A355,ordered_items!$B$2:$E$4784,2,0)</f>
        <v>191</v>
      </c>
      <c r="G355">
        <f>VLOOKUP($A355,ordered_items!$B$2:$E$4784,3,0)</f>
        <v>1</v>
      </c>
      <c r="H355">
        <f>VLOOKUP($A355,ordered_items!$B$2:$E$4784,4,0)</f>
        <v>99.99</v>
      </c>
      <c r="I355" s="15">
        <f>VLOOKUP(F355,product_info!$A$2:$D$73,4,0)</f>
        <v>3</v>
      </c>
      <c r="J355" s="15" t="str">
        <f>VLOOKUP(I355,department!$A$2:$B$13,2,0)</f>
        <v>Footwear</v>
      </c>
      <c r="K355">
        <v>6330</v>
      </c>
      <c r="L355" t="s">
        <v>465</v>
      </c>
      <c r="M355" s="4">
        <v>43441</v>
      </c>
      <c r="N355" s="12">
        <f t="shared" si="16"/>
        <v>12</v>
      </c>
      <c r="O355" s="13">
        <f t="shared" si="17"/>
        <v>2018</v>
      </c>
      <c r="P355" t="s">
        <v>13</v>
      </c>
      <c r="Q355" t="s">
        <v>99</v>
      </c>
      <c r="R355" t="s">
        <v>31</v>
      </c>
      <c r="S355" t="str" cm="1">
        <f t="array" ref="S355">_xlfn.IFS(R355="COMPLETE", "COMPLETED", R355="CANCELED", "CANCELED", TRUE, "PENDING")</f>
        <v>COMPLETED</v>
      </c>
      <c r="T355" t="s">
        <v>16</v>
      </c>
      <c r="U355">
        <f>VLOOKUP(A355,ordered_items!$B:$E,4,0)</f>
        <v>99.99</v>
      </c>
    </row>
    <row r="356" spans="1:21" x14ac:dyDescent="0.3">
      <c r="A356">
        <v>23418</v>
      </c>
      <c r="B356" t="s">
        <v>17</v>
      </c>
      <c r="C356">
        <v>2</v>
      </c>
      <c r="D356">
        <v>1</v>
      </c>
      <c r="E356" t="str">
        <f t="shared" si="15"/>
        <v>DELAYED</v>
      </c>
      <c r="F356">
        <f>VLOOKUP($A356,ordered_items!$B$2:$E$4784,2,0)</f>
        <v>403</v>
      </c>
      <c r="G356">
        <f>VLOOKUP($A356,ordered_items!$B$2:$E$4784,3,0)</f>
        <v>1</v>
      </c>
      <c r="H356">
        <f>VLOOKUP($A356,ordered_items!$B$2:$E$4784,4,0)</f>
        <v>129.99</v>
      </c>
      <c r="I356" s="15">
        <f>VLOOKUP(F356,product_info!$A$2:$D$73,4,0)</f>
        <v>4</v>
      </c>
      <c r="J356" s="15" t="str">
        <f>VLOOKUP(I356,department!$A$2:$B$13,2,0)</f>
        <v>Apparel</v>
      </c>
      <c r="K356">
        <v>7005</v>
      </c>
      <c r="L356" t="s">
        <v>214</v>
      </c>
      <c r="M356" s="4">
        <v>43441</v>
      </c>
      <c r="N356" s="12">
        <f t="shared" si="16"/>
        <v>12</v>
      </c>
      <c r="O356" s="13">
        <f t="shared" si="17"/>
        <v>2018</v>
      </c>
      <c r="P356" t="s">
        <v>13</v>
      </c>
      <c r="Q356" t="s">
        <v>5781</v>
      </c>
      <c r="R356" t="s">
        <v>23</v>
      </c>
      <c r="S356" t="str" cm="1">
        <f t="array" ref="S356">_xlfn.IFS(R356="COMPLETE", "COMPLETED", R356="CANCELED", "CANCELED", TRUE, "PENDING")</f>
        <v>PENDING</v>
      </c>
      <c r="T356" t="s">
        <v>32</v>
      </c>
      <c r="U356">
        <f>VLOOKUP(A356,ordered_items!$B:$E,4,0)</f>
        <v>129.99</v>
      </c>
    </row>
    <row r="357" spans="1:21" x14ac:dyDescent="0.3">
      <c r="A357">
        <v>23419</v>
      </c>
      <c r="B357" t="s">
        <v>17</v>
      </c>
      <c r="C357">
        <v>2</v>
      </c>
      <c r="D357">
        <v>1</v>
      </c>
      <c r="E357" t="str">
        <f t="shared" si="15"/>
        <v>DELAYED</v>
      </c>
      <c r="F357">
        <f>VLOOKUP($A357,ordered_items!$B$2:$E$4784,2,0)</f>
        <v>365</v>
      </c>
      <c r="G357">
        <f>VLOOKUP($A357,ordered_items!$B$2:$E$4784,3,0)</f>
        <v>1</v>
      </c>
      <c r="H357">
        <f>VLOOKUP($A357,ordered_items!$B$2:$E$4784,4,0)</f>
        <v>59.99</v>
      </c>
      <c r="I357" s="15">
        <f>VLOOKUP(F357,product_info!$A$2:$D$73,4,0)</f>
        <v>4</v>
      </c>
      <c r="J357" s="15" t="str">
        <f>VLOOKUP(I357,department!$A$2:$B$13,2,0)</f>
        <v>Apparel</v>
      </c>
      <c r="K357">
        <v>9571</v>
      </c>
      <c r="L357" t="s">
        <v>214</v>
      </c>
      <c r="M357" s="4">
        <v>43441</v>
      </c>
      <c r="N357" s="12">
        <f t="shared" si="16"/>
        <v>12</v>
      </c>
      <c r="O357" s="13">
        <f t="shared" si="17"/>
        <v>2018</v>
      </c>
      <c r="P357" t="s">
        <v>13</v>
      </c>
      <c r="Q357" t="s">
        <v>5781</v>
      </c>
      <c r="R357" t="s">
        <v>23</v>
      </c>
      <c r="S357" t="str" cm="1">
        <f t="array" ref="S357">_xlfn.IFS(R357="COMPLETE", "COMPLETED", R357="CANCELED", "CANCELED", TRUE, "PENDING")</f>
        <v>PENDING</v>
      </c>
      <c r="T357" t="s">
        <v>32</v>
      </c>
      <c r="U357">
        <f>VLOOKUP(A357,ordered_items!$B:$E,4,0)</f>
        <v>59.99</v>
      </c>
    </row>
    <row r="358" spans="1:21" x14ac:dyDescent="0.3">
      <c r="A358">
        <v>23439</v>
      </c>
      <c r="B358" t="s">
        <v>17</v>
      </c>
      <c r="C358">
        <v>2</v>
      </c>
      <c r="D358">
        <v>1</v>
      </c>
      <c r="E358" t="str">
        <f t="shared" si="15"/>
        <v>DELAYED</v>
      </c>
      <c r="F358">
        <f>VLOOKUP($A358,ordered_items!$B$2:$E$4784,2,0)</f>
        <v>1014</v>
      </c>
      <c r="G358">
        <f>VLOOKUP($A358,ordered_items!$B$2:$E$4784,3,0)</f>
        <v>2</v>
      </c>
      <c r="H358">
        <f>VLOOKUP($A358,ordered_items!$B$2:$E$4784,4,0)</f>
        <v>99.96</v>
      </c>
      <c r="I358" s="15">
        <f>VLOOKUP(F358,product_info!$A$2:$D$73,4,0)</f>
        <v>7</v>
      </c>
      <c r="J358" s="15" t="str">
        <f>VLOOKUP(I358,department!$A$2:$B$13,2,0)</f>
        <v>Fan Shop</v>
      </c>
      <c r="K358">
        <v>12365</v>
      </c>
      <c r="L358" t="s">
        <v>867</v>
      </c>
      <c r="M358" s="4">
        <v>43442</v>
      </c>
      <c r="N358" s="12">
        <f t="shared" si="16"/>
        <v>12</v>
      </c>
      <c r="O358" s="13">
        <f t="shared" si="17"/>
        <v>2018</v>
      </c>
      <c r="P358" t="s">
        <v>13</v>
      </c>
      <c r="Q358" t="s">
        <v>5781</v>
      </c>
      <c r="R358" t="s">
        <v>23</v>
      </c>
      <c r="S358" t="str" cm="1">
        <f t="array" ref="S358">_xlfn.IFS(R358="COMPLETE", "COMPLETED", R358="CANCELED", "CANCELED", TRUE, "PENDING")</f>
        <v>PENDING</v>
      </c>
      <c r="T358" t="s">
        <v>32</v>
      </c>
      <c r="U358">
        <f>VLOOKUP(A358,ordered_items!$B:$E,4,0)</f>
        <v>99.96</v>
      </c>
    </row>
    <row r="359" spans="1:21" x14ac:dyDescent="0.3">
      <c r="A359">
        <v>23440</v>
      </c>
      <c r="B359" t="s">
        <v>24</v>
      </c>
      <c r="C359">
        <v>2</v>
      </c>
      <c r="D359">
        <v>1</v>
      </c>
      <c r="E359" t="str">
        <f t="shared" si="15"/>
        <v>DELAYED</v>
      </c>
      <c r="F359">
        <f>VLOOKUP($A359,ordered_items!$B$2:$E$4784,2,0)</f>
        <v>403</v>
      </c>
      <c r="G359">
        <f>VLOOKUP($A359,ordered_items!$B$2:$E$4784,3,0)</f>
        <v>1</v>
      </c>
      <c r="H359">
        <f>VLOOKUP($A359,ordered_items!$B$2:$E$4784,4,0)</f>
        <v>129.99</v>
      </c>
      <c r="I359" s="15">
        <f>VLOOKUP(F359,product_info!$A$2:$D$73,4,0)</f>
        <v>4</v>
      </c>
      <c r="J359" s="15" t="str">
        <f>VLOOKUP(I359,department!$A$2:$B$13,2,0)</f>
        <v>Apparel</v>
      </c>
      <c r="K359">
        <v>9580</v>
      </c>
      <c r="L359" t="s">
        <v>867</v>
      </c>
      <c r="M359" s="4">
        <v>43442</v>
      </c>
      <c r="N359" s="12">
        <f t="shared" si="16"/>
        <v>12</v>
      </c>
      <c r="O359" s="13">
        <f t="shared" si="17"/>
        <v>2018</v>
      </c>
      <c r="P359" t="s">
        <v>13</v>
      </c>
      <c r="Q359" t="s">
        <v>5781</v>
      </c>
      <c r="R359" t="s">
        <v>378</v>
      </c>
      <c r="S359" t="str" cm="1">
        <f t="array" ref="S359">_xlfn.IFS(R359="COMPLETE", "COMPLETED", R359="CANCELED", "CANCELED", TRUE, "PENDING")</f>
        <v>PENDING</v>
      </c>
      <c r="T359" t="s">
        <v>32</v>
      </c>
      <c r="U359">
        <f>VLOOKUP(A359,ordered_items!$B:$E,4,0)</f>
        <v>129.99</v>
      </c>
    </row>
    <row r="360" spans="1:21" x14ac:dyDescent="0.3">
      <c r="A360">
        <v>23443</v>
      </c>
      <c r="B360" t="s">
        <v>3</v>
      </c>
      <c r="C360">
        <v>4</v>
      </c>
      <c r="D360">
        <v>2</v>
      </c>
      <c r="E360" t="str">
        <f t="shared" si="15"/>
        <v>DELAYED</v>
      </c>
      <c r="F360">
        <f>VLOOKUP($A360,ordered_items!$B$2:$E$4784,2,0)</f>
        <v>957</v>
      </c>
      <c r="G360">
        <f>VLOOKUP($A360,ordered_items!$B$2:$E$4784,3,0)</f>
        <v>1</v>
      </c>
      <c r="H360">
        <f>VLOOKUP($A360,ordered_items!$B$2:$E$4784,4,0)</f>
        <v>299.98</v>
      </c>
      <c r="I360" s="15">
        <f>VLOOKUP(F360,product_info!$A$2:$D$73,4,0)</f>
        <v>7</v>
      </c>
      <c r="J360" s="15" t="str">
        <f>VLOOKUP(I360,department!$A$2:$B$13,2,0)</f>
        <v>Fan Shop</v>
      </c>
      <c r="K360">
        <v>2027</v>
      </c>
      <c r="L360" t="s">
        <v>450</v>
      </c>
      <c r="M360" s="4">
        <v>43442</v>
      </c>
      <c r="N360" s="12">
        <f t="shared" si="16"/>
        <v>12</v>
      </c>
      <c r="O360" s="13">
        <f t="shared" si="17"/>
        <v>2018</v>
      </c>
      <c r="P360" t="s">
        <v>13</v>
      </c>
      <c r="Q360" t="s">
        <v>286</v>
      </c>
      <c r="R360" t="s">
        <v>14</v>
      </c>
      <c r="S360" t="str" cm="1">
        <f t="array" ref="S360">_xlfn.IFS(R360="COMPLETE", "COMPLETED", R360="CANCELED", "CANCELED", TRUE, "PENDING")</f>
        <v>PENDING</v>
      </c>
      <c r="T360" t="s">
        <v>90</v>
      </c>
      <c r="U360">
        <f>VLOOKUP(A360,ordered_items!$B:$E,4,0)</f>
        <v>299.98</v>
      </c>
    </row>
    <row r="361" spans="1:21" x14ac:dyDescent="0.3">
      <c r="A361">
        <v>23457</v>
      </c>
      <c r="B361" t="s">
        <v>24</v>
      </c>
      <c r="C361">
        <v>3</v>
      </c>
      <c r="D361">
        <v>4</v>
      </c>
      <c r="E361" t="str">
        <f t="shared" si="15"/>
        <v xml:space="preserve"> ONTIME</v>
      </c>
      <c r="F361">
        <f>VLOOKUP($A361,ordered_items!$B$2:$E$4784,2,0)</f>
        <v>403</v>
      </c>
      <c r="G361">
        <f>VLOOKUP($A361,ordered_items!$B$2:$E$4784,3,0)</f>
        <v>1</v>
      </c>
      <c r="H361">
        <f>VLOOKUP($A361,ordered_items!$B$2:$E$4784,4,0)</f>
        <v>129.99</v>
      </c>
      <c r="I361" s="15">
        <f>VLOOKUP(F361,product_info!$A$2:$D$73,4,0)</f>
        <v>4</v>
      </c>
      <c r="J361" s="15" t="str">
        <f>VLOOKUP(I361,department!$A$2:$B$13,2,0)</f>
        <v>Apparel</v>
      </c>
      <c r="K361">
        <v>8834</v>
      </c>
      <c r="L361" t="s">
        <v>980</v>
      </c>
      <c r="M361" s="4">
        <v>43442</v>
      </c>
      <c r="N361" s="12">
        <f t="shared" si="16"/>
        <v>12</v>
      </c>
      <c r="O361" s="13">
        <f t="shared" si="17"/>
        <v>2018</v>
      </c>
      <c r="P361" t="s">
        <v>13</v>
      </c>
      <c r="Q361" t="s">
        <v>30</v>
      </c>
      <c r="R361" t="s">
        <v>31</v>
      </c>
      <c r="S361" t="str" cm="1">
        <f t="array" ref="S361">_xlfn.IFS(R361="COMPLETE", "COMPLETED", R361="CANCELED", "CANCELED", TRUE, "PENDING")</f>
        <v>COMPLETED</v>
      </c>
      <c r="T361" t="s">
        <v>16</v>
      </c>
      <c r="U361">
        <f>VLOOKUP(A361,ordered_items!$B:$E,4,0)</f>
        <v>129.99</v>
      </c>
    </row>
    <row r="362" spans="1:21" x14ac:dyDescent="0.3">
      <c r="A362">
        <v>23466</v>
      </c>
      <c r="B362" t="s">
        <v>17</v>
      </c>
      <c r="C362">
        <v>2</v>
      </c>
      <c r="D362">
        <v>4</v>
      </c>
      <c r="E362" t="str">
        <f t="shared" si="15"/>
        <v xml:space="preserve"> ONTIME</v>
      </c>
      <c r="F362">
        <f>VLOOKUP($A362,ordered_items!$B$2:$E$4784,2,0)</f>
        <v>37</v>
      </c>
      <c r="G362">
        <f>VLOOKUP($A362,ordered_items!$B$2:$E$4784,3,0)</f>
        <v>3</v>
      </c>
      <c r="H362">
        <f>VLOOKUP($A362,ordered_items!$B$2:$E$4784,4,0)</f>
        <v>104.97</v>
      </c>
      <c r="I362" s="15">
        <f>VLOOKUP(F362,product_info!$A$2:$D$73,4,0)</f>
        <v>2</v>
      </c>
      <c r="J362" s="15" t="str">
        <f>VLOOKUP(I362,department!$A$2:$B$13,2,0)</f>
        <v>Fitness</v>
      </c>
      <c r="K362">
        <v>7022</v>
      </c>
      <c r="L362" t="s">
        <v>426</v>
      </c>
      <c r="M362" s="4">
        <v>43442</v>
      </c>
      <c r="N362" s="12">
        <f t="shared" si="16"/>
        <v>12</v>
      </c>
      <c r="O362" s="13">
        <f t="shared" si="17"/>
        <v>2018</v>
      </c>
      <c r="P362" t="s">
        <v>13</v>
      </c>
      <c r="Q362" t="s">
        <v>245</v>
      </c>
      <c r="R362" t="s">
        <v>23</v>
      </c>
      <c r="S362" t="str" cm="1">
        <f t="array" ref="S362">_xlfn.IFS(R362="COMPLETE", "COMPLETED", R362="CANCELED", "CANCELED", TRUE, "PENDING")</f>
        <v>PENDING</v>
      </c>
      <c r="T362" t="s">
        <v>16</v>
      </c>
      <c r="U362">
        <f>VLOOKUP(A362,ordered_items!$B:$E,4,0)</f>
        <v>104.97</v>
      </c>
    </row>
    <row r="363" spans="1:21" x14ac:dyDescent="0.3">
      <c r="A363">
        <v>23470</v>
      </c>
      <c r="B363" t="s">
        <v>24</v>
      </c>
      <c r="C363">
        <v>6</v>
      </c>
      <c r="D363">
        <v>4</v>
      </c>
      <c r="E363" t="str">
        <f t="shared" si="15"/>
        <v>DELAYED</v>
      </c>
      <c r="F363">
        <f>VLOOKUP($A363,ordered_items!$B$2:$E$4784,2,0)</f>
        <v>957</v>
      </c>
      <c r="G363">
        <f>VLOOKUP($A363,ordered_items!$B$2:$E$4784,3,0)</f>
        <v>1</v>
      </c>
      <c r="H363">
        <f>VLOOKUP($A363,ordered_items!$B$2:$E$4784,4,0)</f>
        <v>299.98</v>
      </c>
      <c r="I363" s="15">
        <f>VLOOKUP(F363,product_info!$A$2:$D$73,4,0)</f>
        <v>7</v>
      </c>
      <c r="J363" s="15" t="str">
        <f>VLOOKUP(I363,department!$A$2:$B$13,2,0)</f>
        <v>Fan Shop</v>
      </c>
      <c r="K363">
        <v>1433</v>
      </c>
      <c r="L363" t="s">
        <v>258</v>
      </c>
      <c r="M363" s="4">
        <v>43442</v>
      </c>
      <c r="N363" s="12">
        <f t="shared" si="16"/>
        <v>12</v>
      </c>
      <c r="O363" s="13">
        <f t="shared" si="17"/>
        <v>2018</v>
      </c>
      <c r="P363" t="s">
        <v>13</v>
      </c>
      <c r="Q363" t="s">
        <v>30</v>
      </c>
      <c r="R363" t="s">
        <v>31</v>
      </c>
      <c r="S363" t="str" cm="1">
        <f t="array" ref="S363">_xlfn.IFS(R363="COMPLETE", "COMPLETED", R363="CANCELED", "CANCELED", TRUE, "PENDING")</f>
        <v>COMPLETED</v>
      </c>
      <c r="T363" t="s">
        <v>16</v>
      </c>
      <c r="U363">
        <f>VLOOKUP(A363,ordered_items!$B:$E,4,0)</f>
        <v>299.98</v>
      </c>
    </row>
    <row r="364" spans="1:21" x14ac:dyDescent="0.3">
      <c r="A364">
        <v>23515</v>
      </c>
      <c r="B364" t="s">
        <v>3</v>
      </c>
      <c r="C364">
        <v>6</v>
      </c>
      <c r="D364">
        <v>4</v>
      </c>
      <c r="E364" t="str">
        <f t="shared" si="15"/>
        <v>DELAYED</v>
      </c>
      <c r="F364">
        <f>VLOOKUP($A364,ordered_items!$B$2:$E$4784,2,0)</f>
        <v>191</v>
      </c>
      <c r="G364">
        <f>VLOOKUP($A364,ordered_items!$B$2:$E$4784,3,0)</f>
        <v>1</v>
      </c>
      <c r="H364">
        <f>VLOOKUP($A364,ordered_items!$B$2:$E$4784,4,0)</f>
        <v>99.99</v>
      </c>
      <c r="I364" s="15">
        <f>VLOOKUP(F364,product_info!$A$2:$D$73,4,0)</f>
        <v>3</v>
      </c>
      <c r="J364" s="15" t="str">
        <f>VLOOKUP(I364,department!$A$2:$B$13,2,0)</f>
        <v>Footwear</v>
      </c>
      <c r="K364">
        <v>10441</v>
      </c>
      <c r="L364" t="s">
        <v>202</v>
      </c>
      <c r="M364" s="4">
        <v>43443</v>
      </c>
      <c r="N364" s="12">
        <f t="shared" si="16"/>
        <v>12</v>
      </c>
      <c r="O364" s="13">
        <f t="shared" si="17"/>
        <v>2018</v>
      </c>
      <c r="P364" t="s">
        <v>13</v>
      </c>
      <c r="Q364" t="s">
        <v>203</v>
      </c>
      <c r="R364" t="s">
        <v>14</v>
      </c>
      <c r="S364" t="str" cm="1">
        <f t="array" ref="S364">_xlfn.IFS(R364="COMPLETE", "COMPLETED", R364="CANCELED", "CANCELED", TRUE, "PENDING")</f>
        <v>PENDING</v>
      </c>
      <c r="T364" t="s">
        <v>16</v>
      </c>
      <c r="U364">
        <f>VLOOKUP(A364,ordered_items!$B:$E,4,0)</f>
        <v>99.99</v>
      </c>
    </row>
    <row r="365" spans="1:21" x14ac:dyDescent="0.3">
      <c r="A365">
        <v>23518</v>
      </c>
      <c r="B365" t="s">
        <v>3</v>
      </c>
      <c r="C365">
        <v>2</v>
      </c>
      <c r="D365">
        <v>1</v>
      </c>
      <c r="E365" t="str">
        <f t="shared" si="15"/>
        <v>DELAYED</v>
      </c>
      <c r="F365">
        <f>VLOOKUP($A365,ordered_items!$B$2:$E$4784,2,0)</f>
        <v>502</v>
      </c>
      <c r="G365">
        <f>VLOOKUP($A365,ordered_items!$B$2:$E$4784,3,0)</f>
        <v>2</v>
      </c>
      <c r="H365">
        <f>VLOOKUP($A365,ordered_items!$B$2:$E$4784,4,0)</f>
        <v>100</v>
      </c>
      <c r="I365" s="15">
        <f>VLOOKUP(F365,product_info!$A$2:$D$73,4,0)</f>
        <v>5</v>
      </c>
      <c r="J365" s="15" t="str">
        <f>VLOOKUP(I365,department!$A$2:$B$13,2,0)</f>
        <v>Golf</v>
      </c>
      <c r="K365">
        <v>6242</v>
      </c>
      <c r="L365" t="s">
        <v>570</v>
      </c>
      <c r="M365" s="4">
        <v>43443</v>
      </c>
      <c r="N365" s="12">
        <f t="shared" si="16"/>
        <v>12</v>
      </c>
      <c r="O365" s="13">
        <f t="shared" si="17"/>
        <v>2018</v>
      </c>
      <c r="P365" t="s">
        <v>13</v>
      </c>
      <c r="Q365" t="s">
        <v>99</v>
      </c>
      <c r="R365" t="s">
        <v>235</v>
      </c>
      <c r="S365" t="str" cm="1">
        <f t="array" ref="S365">_xlfn.IFS(R365="COMPLETE", "COMPLETED", R365="CANCELED", "CANCELED", TRUE, "PENDING")</f>
        <v>CANCELED</v>
      </c>
      <c r="T365" t="s">
        <v>32</v>
      </c>
      <c r="U365">
        <f>VLOOKUP(A365,ordered_items!$B:$E,4,0)</f>
        <v>100</v>
      </c>
    </row>
    <row r="366" spans="1:21" x14ac:dyDescent="0.3">
      <c r="A366">
        <v>23530</v>
      </c>
      <c r="B366" t="s">
        <v>17</v>
      </c>
      <c r="C366">
        <v>0</v>
      </c>
      <c r="D366">
        <v>0</v>
      </c>
      <c r="E366" t="str">
        <f t="shared" si="15"/>
        <v xml:space="preserve"> ONTIME</v>
      </c>
      <c r="F366">
        <f>VLOOKUP($A366,ordered_items!$B$2:$E$4784,2,0)</f>
        <v>403</v>
      </c>
      <c r="G366">
        <f>VLOOKUP($A366,ordered_items!$B$2:$E$4784,3,0)</f>
        <v>1</v>
      </c>
      <c r="H366">
        <f>VLOOKUP($A366,ordered_items!$B$2:$E$4784,4,0)</f>
        <v>129.99</v>
      </c>
      <c r="I366" s="15">
        <f>VLOOKUP(F366,product_info!$A$2:$D$73,4,0)</f>
        <v>4</v>
      </c>
      <c r="J366" s="15" t="str">
        <f>VLOOKUP(I366,department!$A$2:$B$13,2,0)</f>
        <v>Apparel</v>
      </c>
      <c r="K366">
        <v>11052</v>
      </c>
      <c r="L366" t="s">
        <v>266</v>
      </c>
      <c r="M366" s="4">
        <v>43443</v>
      </c>
      <c r="N366" s="12">
        <f t="shared" si="16"/>
        <v>12</v>
      </c>
      <c r="O366" s="13">
        <f t="shared" si="17"/>
        <v>2018</v>
      </c>
      <c r="P366" t="s">
        <v>13</v>
      </c>
      <c r="Q366" t="s">
        <v>5778</v>
      </c>
      <c r="R366" t="s">
        <v>23</v>
      </c>
      <c r="S366" t="str" cm="1">
        <f t="array" ref="S366">_xlfn.IFS(R366="COMPLETE", "COMPLETED", R366="CANCELED", "CANCELED", TRUE, "PENDING")</f>
        <v>PENDING</v>
      </c>
      <c r="T366" t="s">
        <v>58</v>
      </c>
      <c r="U366">
        <f>VLOOKUP(A366,ordered_items!$B:$E,4,0)</f>
        <v>129.99</v>
      </c>
    </row>
    <row r="367" spans="1:21" x14ac:dyDescent="0.3">
      <c r="A367">
        <v>23531</v>
      </c>
      <c r="B367" t="s">
        <v>3</v>
      </c>
      <c r="C367">
        <v>0</v>
      </c>
      <c r="D367">
        <v>0</v>
      </c>
      <c r="E367" t="str">
        <f t="shared" si="15"/>
        <v xml:space="preserve"> ONTIME</v>
      </c>
      <c r="F367">
        <f>VLOOKUP($A367,ordered_items!$B$2:$E$4784,2,0)</f>
        <v>1004</v>
      </c>
      <c r="G367">
        <f>VLOOKUP($A367,ordered_items!$B$2:$E$4784,3,0)</f>
        <v>1</v>
      </c>
      <c r="H367">
        <f>VLOOKUP($A367,ordered_items!$B$2:$E$4784,4,0)</f>
        <v>399.98</v>
      </c>
      <c r="I367" s="15">
        <f>VLOOKUP(F367,product_info!$A$2:$D$73,4,0)</f>
        <v>7</v>
      </c>
      <c r="J367" s="15" t="str">
        <f>VLOOKUP(I367,department!$A$2:$B$13,2,0)</f>
        <v>Fan Shop</v>
      </c>
      <c r="K367">
        <v>7613</v>
      </c>
      <c r="L367" t="s">
        <v>266</v>
      </c>
      <c r="M367" s="4">
        <v>43443</v>
      </c>
      <c r="N367" s="12">
        <f t="shared" si="16"/>
        <v>12</v>
      </c>
      <c r="O367" s="13">
        <f t="shared" si="17"/>
        <v>2018</v>
      </c>
      <c r="P367" t="s">
        <v>13</v>
      </c>
      <c r="Q367" t="s">
        <v>5778</v>
      </c>
      <c r="R367" t="s">
        <v>38</v>
      </c>
      <c r="S367" t="str" cm="1">
        <f t="array" ref="S367">_xlfn.IFS(R367="COMPLETE", "COMPLETED", R367="CANCELED", "CANCELED", TRUE, "PENDING")</f>
        <v>PENDING</v>
      </c>
      <c r="T367" t="s">
        <v>58</v>
      </c>
      <c r="U367">
        <f>VLOOKUP(A367,ordered_items!$B:$E,4,0)</f>
        <v>399.98</v>
      </c>
    </row>
    <row r="368" spans="1:21" x14ac:dyDescent="0.3">
      <c r="A368">
        <v>23532</v>
      </c>
      <c r="B368" t="s">
        <v>3</v>
      </c>
      <c r="C368">
        <v>0</v>
      </c>
      <c r="D368">
        <v>0</v>
      </c>
      <c r="E368" t="str">
        <f t="shared" si="15"/>
        <v xml:space="preserve"> ONTIME</v>
      </c>
      <c r="F368">
        <f>VLOOKUP($A368,ordered_items!$B$2:$E$4784,2,0)</f>
        <v>1073</v>
      </c>
      <c r="G368">
        <f>VLOOKUP($A368,ordered_items!$B$2:$E$4784,3,0)</f>
        <v>1</v>
      </c>
      <c r="H368">
        <f>VLOOKUP($A368,ordered_items!$B$2:$E$4784,4,0)</f>
        <v>199.99</v>
      </c>
      <c r="I368" s="15">
        <f>VLOOKUP(F368,product_info!$A$2:$D$73,4,0)</f>
        <v>7</v>
      </c>
      <c r="J368" s="15" t="str">
        <f>VLOOKUP(I368,department!$A$2:$B$13,2,0)</f>
        <v>Fan Shop</v>
      </c>
      <c r="K368">
        <v>10994</v>
      </c>
      <c r="L368" t="s">
        <v>266</v>
      </c>
      <c r="M368" s="4">
        <v>43443</v>
      </c>
      <c r="N368" s="12">
        <f t="shared" si="16"/>
        <v>12</v>
      </c>
      <c r="O368" s="13">
        <f t="shared" si="17"/>
        <v>2018</v>
      </c>
      <c r="P368" t="s">
        <v>13</v>
      </c>
      <c r="Q368" t="s">
        <v>5778</v>
      </c>
      <c r="R368" t="s">
        <v>38</v>
      </c>
      <c r="S368" t="str" cm="1">
        <f t="array" ref="S368">_xlfn.IFS(R368="COMPLETE", "COMPLETED", R368="CANCELED", "CANCELED", TRUE, "PENDING")</f>
        <v>PENDING</v>
      </c>
      <c r="T368" t="s">
        <v>58</v>
      </c>
      <c r="U368">
        <f>VLOOKUP(A368,ordered_items!$B:$E,4,0)</f>
        <v>199.99</v>
      </c>
    </row>
    <row r="369" spans="1:21" x14ac:dyDescent="0.3">
      <c r="A369">
        <v>23533</v>
      </c>
      <c r="B369" t="s">
        <v>3</v>
      </c>
      <c r="C369">
        <v>4</v>
      </c>
      <c r="D369">
        <v>4</v>
      </c>
      <c r="E369" t="str">
        <f t="shared" si="15"/>
        <v xml:space="preserve"> ONTIME</v>
      </c>
      <c r="F369">
        <f>VLOOKUP($A369,ordered_items!$B$2:$E$4784,2,0)</f>
        <v>823</v>
      </c>
      <c r="G369">
        <f>VLOOKUP($A369,ordered_items!$B$2:$E$4784,3,0)</f>
        <v>2</v>
      </c>
      <c r="H369">
        <f>VLOOKUP($A369,ordered_items!$B$2:$E$4784,4,0)</f>
        <v>103.98</v>
      </c>
      <c r="I369" s="15">
        <f>VLOOKUP(F369,product_info!$A$2:$D$73,4,0)</f>
        <v>6</v>
      </c>
      <c r="J369" s="15" t="str">
        <f>VLOOKUP(I369,department!$A$2:$B$13,2,0)</f>
        <v>Outdoors</v>
      </c>
      <c r="K369">
        <v>1394</v>
      </c>
      <c r="L369" t="s">
        <v>266</v>
      </c>
      <c r="M369" s="4">
        <v>43443</v>
      </c>
      <c r="N369" s="12">
        <f t="shared" si="16"/>
        <v>12</v>
      </c>
      <c r="O369" s="13">
        <f t="shared" si="17"/>
        <v>2018</v>
      </c>
      <c r="P369" t="s">
        <v>13</v>
      </c>
      <c r="Q369" t="s">
        <v>5778</v>
      </c>
      <c r="R369" t="s">
        <v>38</v>
      </c>
      <c r="S369" t="str" cm="1">
        <f t="array" ref="S369">_xlfn.IFS(R369="COMPLETE", "COMPLETED", R369="CANCELED", "CANCELED", TRUE, "PENDING")</f>
        <v>PENDING</v>
      </c>
      <c r="T369" t="s">
        <v>16</v>
      </c>
      <c r="U369">
        <f>VLOOKUP(A369,ordered_items!$B:$E,4,0)</f>
        <v>103.98</v>
      </c>
    </row>
    <row r="370" spans="1:21" x14ac:dyDescent="0.3">
      <c r="A370">
        <v>23557</v>
      </c>
      <c r="B370" t="s">
        <v>17</v>
      </c>
      <c r="C370">
        <v>3</v>
      </c>
      <c r="D370">
        <v>4</v>
      </c>
      <c r="E370" t="str">
        <f t="shared" si="15"/>
        <v xml:space="preserve"> ONTIME</v>
      </c>
      <c r="F370">
        <f>VLOOKUP($A370,ordered_items!$B$2:$E$4784,2,0)</f>
        <v>403</v>
      </c>
      <c r="G370">
        <f>VLOOKUP($A370,ordered_items!$B$2:$E$4784,3,0)</f>
        <v>1</v>
      </c>
      <c r="H370">
        <f>VLOOKUP($A370,ordered_items!$B$2:$E$4784,4,0)</f>
        <v>129.99</v>
      </c>
      <c r="I370" s="15">
        <f>VLOOKUP(F370,product_info!$A$2:$D$73,4,0)</f>
        <v>4</v>
      </c>
      <c r="J370" s="15" t="str">
        <f>VLOOKUP(I370,department!$A$2:$B$13,2,0)</f>
        <v>Apparel</v>
      </c>
      <c r="K370">
        <v>3755</v>
      </c>
      <c r="L370" t="s">
        <v>660</v>
      </c>
      <c r="M370" s="4">
        <v>43443</v>
      </c>
      <c r="N370" s="12">
        <f t="shared" si="16"/>
        <v>12</v>
      </c>
      <c r="O370" s="13">
        <f t="shared" si="17"/>
        <v>2018</v>
      </c>
      <c r="P370" t="s">
        <v>13</v>
      </c>
      <c r="Q370" t="s">
        <v>99</v>
      </c>
      <c r="R370" t="s">
        <v>23</v>
      </c>
      <c r="S370" t="str" cm="1">
        <f t="array" ref="S370">_xlfn.IFS(R370="COMPLETE", "COMPLETED", R370="CANCELED", "CANCELED", TRUE, "PENDING")</f>
        <v>PENDING</v>
      </c>
      <c r="T370" t="s">
        <v>16</v>
      </c>
      <c r="U370">
        <f>VLOOKUP(A370,ordered_items!$B:$E,4,0)</f>
        <v>129.99</v>
      </c>
    </row>
    <row r="371" spans="1:21" x14ac:dyDescent="0.3">
      <c r="A371">
        <v>23576</v>
      </c>
      <c r="B371" t="s">
        <v>24</v>
      </c>
      <c r="C371">
        <v>2</v>
      </c>
      <c r="D371">
        <v>4</v>
      </c>
      <c r="E371" t="str">
        <f t="shared" si="15"/>
        <v xml:space="preserve"> ONTIME</v>
      </c>
      <c r="F371">
        <f>VLOOKUP($A371,ordered_items!$B$2:$E$4784,2,0)</f>
        <v>191</v>
      </c>
      <c r="G371">
        <f>VLOOKUP($A371,ordered_items!$B$2:$E$4784,3,0)</f>
        <v>1</v>
      </c>
      <c r="H371">
        <f>VLOOKUP($A371,ordered_items!$B$2:$E$4784,4,0)</f>
        <v>99.99</v>
      </c>
      <c r="I371" s="15">
        <f>VLOOKUP(F371,product_info!$A$2:$D$73,4,0)</f>
        <v>3</v>
      </c>
      <c r="J371" s="15" t="str">
        <f>VLOOKUP(I371,department!$A$2:$B$13,2,0)</f>
        <v>Footwear</v>
      </c>
      <c r="K371">
        <v>317</v>
      </c>
      <c r="L371" t="s">
        <v>400</v>
      </c>
      <c r="M371" s="4">
        <v>43444</v>
      </c>
      <c r="N371" s="12">
        <f t="shared" si="16"/>
        <v>12</v>
      </c>
      <c r="O371" s="13">
        <f t="shared" si="17"/>
        <v>2018</v>
      </c>
      <c r="P371" t="s">
        <v>13</v>
      </c>
      <c r="Q371" t="s">
        <v>30</v>
      </c>
      <c r="R371" t="s">
        <v>31</v>
      </c>
      <c r="S371" t="str" cm="1">
        <f t="array" ref="S371">_xlfn.IFS(R371="COMPLETE", "COMPLETED", R371="CANCELED", "CANCELED", TRUE, "PENDING")</f>
        <v>COMPLETED</v>
      </c>
      <c r="T371" t="s">
        <v>16</v>
      </c>
      <c r="U371">
        <f>VLOOKUP(A371,ordered_items!$B:$E,4,0)</f>
        <v>99.99</v>
      </c>
    </row>
    <row r="372" spans="1:21" x14ac:dyDescent="0.3">
      <c r="A372">
        <v>23579</v>
      </c>
      <c r="B372" t="s">
        <v>51</v>
      </c>
      <c r="C372">
        <v>5</v>
      </c>
      <c r="D372">
        <v>4</v>
      </c>
      <c r="E372" t="str">
        <f t="shared" si="15"/>
        <v>DELAYED</v>
      </c>
      <c r="F372">
        <f>VLOOKUP($A372,ordered_items!$B$2:$E$4784,2,0)</f>
        <v>135</v>
      </c>
      <c r="G372">
        <f>VLOOKUP($A372,ordered_items!$B$2:$E$4784,3,0)</f>
        <v>5</v>
      </c>
      <c r="H372">
        <f>VLOOKUP($A372,ordered_items!$B$2:$E$4784,4,0)</f>
        <v>110</v>
      </c>
      <c r="I372" s="15">
        <f>VLOOKUP(F372,product_info!$A$2:$D$73,4,0)</f>
        <v>2</v>
      </c>
      <c r="J372" s="15" t="str">
        <f>VLOOKUP(I372,department!$A$2:$B$13,2,0)</f>
        <v>Fitness</v>
      </c>
      <c r="K372">
        <v>1906</v>
      </c>
      <c r="L372" t="s">
        <v>84</v>
      </c>
      <c r="M372" s="4">
        <v>43444</v>
      </c>
      <c r="N372" s="12">
        <f t="shared" si="16"/>
        <v>12</v>
      </c>
      <c r="O372" s="13">
        <f t="shared" si="17"/>
        <v>2018</v>
      </c>
      <c r="P372" t="s">
        <v>13</v>
      </c>
      <c r="Q372" t="s">
        <v>80</v>
      </c>
      <c r="R372" t="s">
        <v>57</v>
      </c>
      <c r="S372" t="str" cm="1">
        <f t="array" ref="S372">_xlfn.IFS(R372="COMPLETE", "COMPLETED", R372="CANCELED", "CANCELED", TRUE, "PENDING")</f>
        <v>PENDING</v>
      </c>
      <c r="T372" t="s">
        <v>16</v>
      </c>
      <c r="U372">
        <f>VLOOKUP(A372,ordered_items!$B:$E,4,0)</f>
        <v>110</v>
      </c>
    </row>
    <row r="373" spans="1:21" x14ac:dyDescent="0.3">
      <c r="A373">
        <v>23590</v>
      </c>
      <c r="B373" t="s">
        <v>51</v>
      </c>
      <c r="C373">
        <v>6</v>
      </c>
      <c r="D373">
        <v>4</v>
      </c>
      <c r="E373" t="str">
        <f t="shared" si="15"/>
        <v>DELAYED</v>
      </c>
      <c r="F373">
        <f>VLOOKUP($A373,ordered_items!$B$2:$E$4784,2,0)</f>
        <v>957</v>
      </c>
      <c r="G373">
        <f>VLOOKUP($A373,ordered_items!$B$2:$E$4784,3,0)</f>
        <v>1</v>
      </c>
      <c r="H373">
        <f>VLOOKUP($A373,ordered_items!$B$2:$E$4784,4,0)</f>
        <v>299.98</v>
      </c>
      <c r="I373" s="15">
        <f>VLOOKUP(F373,product_info!$A$2:$D$73,4,0)</f>
        <v>7</v>
      </c>
      <c r="J373" s="15" t="str">
        <f>VLOOKUP(I373,department!$A$2:$B$13,2,0)</f>
        <v>Fan Shop</v>
      </c>
      <c r="K373">
        <v>8869</v>
      </c>
      <c r="L373" t="s">
        <v>809</v>
      </c>
      <c r="M373" s="4">
        <v>43444</v>
      </c>
      <c r="N373" s="12">
        <f t="shared" si="16"/>
        <v>12</v>
      </c>
      <c r="O373" s="13">
        <f t="shared" si="17"/>
        <v>2018</v>
      </c>
      <c r="P373" t="s">
        <v>13</v>
      </c>
      <c r="Q373" t="s">
        <v>30</v>
      </c>
      <c r="R373" t="s">
        <v>57</v>
      </c>
      <c r="S373" t="str" cm="1">
        <f t="array" ref="S373">_xlfn.IFS(R373="COMPLETE", "COMPLETED", R373="CANCELED", "CANCELED", TRUE, "PENDING")</f>
        <v>PENDING</v>
      </c>
      <c r="T373" t="s">
        <v>16</v>
      </c>
      <c r="U373">
        <f>VLOOKUP(A373,ordered_items!$B:$E,4,0)</f>
        <v>299.98</v>
      </c>
    </row>
    <row r="374" spans="1:21" x14ac:dyDescent="0.3">
      <c r="A374">
        <v>23592</v>
      </c>
      <c r="B374" t="s">
        <v>24</v>
      </c>
      <c r="C374">
        <v>3</v>
      </c>
      <c r="D374">
        <v>4</v>
      </c>
      <c r="E374" t="str">
        <f t="shared" si="15"/>
        <v xml:space="preserve"> ONTIME</v>
      </c>
      <c r="F374">
        <f>VLOOKUP($A374,ordered_items!$B$2:$E$4784,2,0)</f>
        <v>627</v>
      </c>
      <c r="G374">
        <f>VLOOKUP($A374,ordered_items!$B$2:$E$4784,3,0)</f>
        <v>5</v>
      </c>
      <c r="H374">
        <f>VLOOKUP($A374,ordered_items!$B$2:$E$4784,4,0)</f>
        <v>199.95</v>
      </c>
      <c r="I374" s="15">
        <f>VLOOKUP(F374,product_info!$A$2:$D$73,4,0)</f>
        <v>5</v>
      </c>
      <c r="J374" s="15" t="str">
        <f>VLOOKUP(I374,department!$A$2:$B$13,2,0)</f>
        <v>Golf</v>
      </c>
      <c r="K374">
        <v>4044</v>
      </c>
      <c r="L374" t="s">
        <v>809</v>
      </c>
      <c r="M374" s="4">
        <v>43444</v>
      </c>
      <c r="N374" s="12">
        <f t="shared" si="16"/>
        <v>12</v>
      </c>
      <c r="O374" s="13">
        <f t="shared" si="17"/>
        <v>2018</v>
      </c>
      <c r="P374" t="s">
        <v>13</v>
      </c>
      <c r="Q374" t="s">
        <v>30</v>
      </c>
      <c r="R374" t="s">
        <v>31</v>
      </c>
      <c r="S374" t="str" cm="1">
        <f t="array" ref="S374">_xlfn.IFS(R374="COMPLETE", "COMPLETED", R374="CANCELED", "CANCELED", TRUE, "PENDING")</f>
        <v>COMPLETED</v>
      </c>
      <c r="T374" t="s">
        <v>16</v>
      </c>
      <c r="U374">
        <f>VLOOKUP(A374,ordered_items!$B:$E,4,0)</f>
        <v>199.95</v>
      </c>
    </row>
    <row r="375" spans="1:21" x14ac:dyDescent="0.3">
      <c r="A375">
        <v>23638</v>
      </c>
      <c r="B375" t="s">
        <v>24</v>
      </c>
      <c r="C375">
        <v>4</v>
      </c>
      <c r="D375">
        <v>2</v>
      </c>
      <c r="E375" t="str">
        <f t="shared" si="15"/>
        <v>DELAYED</v>
      </c>
      <c r="F375">
        <f>VLOOKUP($A375,ordered_items!$B$2:$E$4784,2,0)</f>
        <v>403</v>
      </c>
      <c r="G375">
        <f>VLOOKUP($A375,ordered_items!$B$2:$E$4784,3,0)</f>
        <v>1</v>
      </c>
      <c r="H375">
        <f>VLOOKUP($A375,ordered_items!$B$2:$E$4784,4,0)</f>
        <v>129.99</v>
      </c>
      <c r="I375" s="15">
        <f>VLOOKUP(F375,product_info!$A$2:$D$73,4,0)</f>
        <v>4</v>
      </c>
      <c r="J375" s="15" t="str">
        <f>VLOOKUP(I375,department!$A$2:$B$13,2,0)</f>
        <v>Apparel</v>
      </c>
      <c r="K375">
        <v>9875</v>
      </c>
      <c r="L375" t="s">
        <v>214</v>
      </c>
      <c r="M375" s="4">
        <v>43445</v>
      </c>
      <c r="N375" s="12">
        <f t="shared" si="16"/>
        <v>12</v>
      </c>
      <c r="O375" s="13">
        <f t="shared" si="17"/>
        <v>2018</v>
      </c>
      <c r="P375" t="s">
        <v>13</v>
      </c>
      <c r="Q375" t="s">
        <v>5781</v>
      </c>
      <c r="R375" t="s">
        <v>31</v>
      </c>
      <c r="S375" t="str" cm="1">
        <f t="array" ref="S375">_xlfn.IFS(R375="COMPLETE", "COMPLETED", R375="CANCELED", "CANCELED", TRUE, "PENDING")</f>
        <v>COMPLETED</v>
      </c>
      <c r="T375" t="s">
        <v>90</v>
      </c>
      <c r="U375">
        <f>VLOOKUP(A375,ordered_items!$B:$E,4,0)</f>
        <v>129.99</v>
      </c>
    </row>
    <row r="376" spans="1:21" x14ac:dyDescent="0.3">
      <c r="A376">
        <v>23643</v>
      </c>
      <c r="B376" t="s">
        <v>17</v>
      </c>
      <c r="C376">
        <v>4</v>
      </c>
      <c r="D376">
        <v>4</v>
      </c>
      <c r="E376" t="str">
        <f t="shared" si="15"/>
        <v xml:space="preserve"> ONTIME</v>
      </c>
      <c r="F376">
        <f>VLOOKUP($A376,ordered_items!$B$2:$E$4784,2,0)</f>
        <v>1004</v>
      </c>
      <c r="G376">
        <f>VLOOKUP($A376,ordered_items!$B$2:$E$4784,3,0)</f>
        <v>1</v>
      </c>
      <c r="H376">
        <f>VLOOKUP($A376,ordered_items!$B$2:$E$4784,4,0)</f>
        <v>399.98</v>
      </c>
      <c r="I376" s="15">
        <f>VLOOKUP(F376,product_info!$A$2:$D$73,4,0)</f>
        <v>7</v>
      </c>
      <c r="J376" s="15" t="str">
        <f>VLOOKUP(I376,department!$A$2:$B$13,2,0)</f>
        <v>Fan Shop</v>
      </c>
      <c r="K376">
        <v>4081</v>
      </c>
      <c r="L376" t="s">
        <v>1848</v>
      </c>
      <c r="M376" s="4">
        <v>43445</v>
      </c>
      <c r="N376" s="12">
        <f t="shared" si="16"/>
        <v>12</v>
      </c>
      <c r="O376" s="13">
        <f t="shared" si="17"/>
        <v>2018</v>
      </c>
      <c r="P376" t="s">
        <v>13</v>
      </c>
      <c r="Q376" t="s">
        <v>47</v>
      </c>
      <c r="R376" t="s">
        <v>23</v>
      </c>
      <c r="S376" t="str" cm="1">
        <f t="array" ref="S376">_xlfn.IFS(R376="COMPLETE", "COMPLETED", R376="CANCELED", "CANCELED", TRUE, "PENDING")</f>
        <v>PENDING</v>
      </c>
      <c r="T376" t="s">
        <v>16</v>
      </c>
      <c r="U376">
        <f>VLOOKUP(A376,ordered_items!$B:$E,4,0)</f>
        <v>399.98</v>
      </c>
    </row>
    <row r="377" spans="1:21" x14ac:dyDescent="0.3">
      <c r="A377">
        <v>23645</v>
      </c>
      <c r="B377" t="s">
        <v>17</v>
      </c>
      <c r="C377">
        <v>6</v>
      </c>
      <c r="D377">
        <v>4</v>
      </c>
      <c r="E377" t="str">
        <f t="shared" si="15"/>
        <v>DELAYED</v>
      </c>
      <c r="F377">
        <f>VLOOKUP($A377,ordered_items!$B$2:$E$4784,2,0)</f>
        <v>403</v>
      </c>
      <c r="G377">
        <f>VLOOKUP($A377,ordered_items!$B$2:$E$4784,3,0)</f>
        <v>1</v>
      </c>
      <c r="H377">
        <f>VLOOKUP($A377,ordered_items!$B$2:$E$4784,4,0)</f>
        <v>129.99</v>
      </c>
      <c r="I377" s="15">
        <f>VLOOKUP(F377,product_info!$A$2:$D$73,4,0)</f>
        <v>4</v>
      </c>
      <c r="J377" s="15" t="str">
        <f>VLOOKUP(I377,department!$A$2:$B$13,2,0)</f>
        <v>Apparel</v>
      </c>
      <c r="K377">
        <v>1901</v>
      </c>
      <c r="L377" t="s">
        <v>1848</v>
      </c>
      <c r="M377" s="4">
        <v>43445</v>
      </c>
      <c r="N377" s="12">
        <f t="shared" si="16"/>
        <v>12</v>
      </c>
      <c r="O377" s="13">
        <f t="shared" si="17"/>
        <v>2018</v>
      </c>
      <c r="P377" t="s">
        <v>13</v>
      </c>
      <c r="Q377" t="s">
        <v>47</v>
      </c>
      <c r="R377" t="s">
        <v>23</v>
      </c>
      <c r="S377" t="str" cm="1">
        <f t="array" ref="S377">_xlfn.IFS(R377="COMPLETE", "COMPLETED", R377="CANCELED", "CANCELED", TRUE, "PENDING")</f>
        <v>PENDING</v>
      </c>
      <c r="T377" t="s">
        <v>16</v>
      </c>
      <c r="U377">
        <f>VLOOKUP(A377,ordered_items!$B:$E,4,0)</f>
        <v>129.99</v>
      </c>
    </row>
    <row r="378" spans="1:21" x14ac:dyDescent="0.3">
      <c r="A378">
        <v>23646</v>
      </c>
      <c r="B378" t="s">
        <v>3</v>
      </c>
      <c r="C378">
        <v>2</v>
      </c>
      <c r="D378">
        <v>4</v>
      </c>
      <c r="E378" t="str">
        <f t="shared" si="15"/>
        <v xml:space="preserve"> ONTIME</v>
      </c>
      <c r="F378">
        <f>VLOOKUP($A378,ordered_items!$B$2:$E$4784,2,0)</f>
        <v>1073</v>
      </c>
      <c r="G378">
        <f>VLOOKUP($A378,ordered_items!$B$2:$E$4784,3,0)</f>
        <v>1</v>
      </c>
      <c r="H378">
        <f>VLOOKUP($A378,ordered_items!$B$2:$E$4784,4,0)</f>
        <v>199.99</v>
      </c>
      <c r="I378" s="15">
        <f>VLOOKUP(F378,product_info!$A$2:$D$73,4,0)</f>
        <v>7</v>
      </c>
      <c r="J378" s="15" t="str">
        <f>VLOOKUP(I378,department!$A$2:$B$13,2,0)</f>
        <v>Fan Shop</v>
      </c>
      <c r="K378">
        <v>8884</v>
      </c>
      <c r="L378" t="s">
        <v>1848</v>
      </c>
      <c r="M378" s="4">
        <v>43445</v>
      </c>
      <c r="N378" s="12">
        <f t="shared" si="16"/>
        <v>12</v>
      </c>
      <c r="O378" s="13">
        <f t="shared" si="17"/>
        <v>2018</v>
      </c>
      <c r="P378" t="s">
        <v>13</v>
      </c>
      <c r="Q378" t="s">
        <v>47</v>
      </c>
      <c r="R378" t="s">
        <v>14</v>
      </c>
      <c r="S378" t="str" cm="1">
        <f t="array" ref="S378">_xlfn.IFS(R378="COMPLETE", "COMPLETED", R378="CANCELED", "CANCELED", TRUE, "PENDING")</f>
        <v>PENDING</v>
      </c>
      <c r="T378" t="s">
        <v>16</v>
      </c>
      <c r="U378">
        <f>VLOOKUP(A378,ordered_items!$B:$E,4,0)</f>
        <v>199.99</v>
      </c>
    </row>
    <row r="379" spans="1:21" x14ac:dyDescent="0.3">
      <c r="A379">
        <v>23649</v>
      </c>
      <c r="B379" t="s">
        <v>3</v>
      </c>
      <c r="C379">
        <v>5</v>
      </c>
      <c r="D379">
        <v>4</v>
      </c>
      <c r="E379" t="str">
        <f t="shared" si="15"/>
        <v>DELAYED</v>
      </c>
      <c r="F379">
        <f>VLOOKUP($A379,ordered_items!$B$2:$E$4784,2,0)</f>
        <v>1014</v>
      </c>
      <c r="G379">
        <f>VLOOKUP($A379,ordered_items!$B$2:$E$4784,3,0)</f>
        <v>2</v>
      </c>
      <c r="H379">
        <f>VLOOKUP($A379,ordered_items!$B$2:$E$4784,4,0)</f>
        <v>99.96</v>
      </c>
      <c r="I379" s="15">
        <f>VLOOKUP(F379,product_info!$A$2:$D$73,4,0)</f>
        <v>7</v>
      </c>
      <c r="J379" s="15" t="str">
        <f>VLOOKUP(I379,department!$A$2:$B$13,2,0)</f>
        <v>Fan Shop</v>
      </c>
      <c r="K379">
        <v>7222</v>
      </c>
      <c r="L379" t="s">
        <v>295</v>
      </c>
      <c r="M379" s="4">
        <v>43445</v>
      </c>
      <c r="N379" s="12">
        <f t="shared" si="16"/>
        <v>12</v>
      </c>
      <c r="O379" s="13">
        <f t="shared" si="17"/>
        <v>2018</v>
      </c>
      <c r="P379" t="s">
        <v>13</v>
      </c>
      <c r="Q379" t="s">
        <v>80</v>
      </c>
      <c r="R379" t="s">
        <v>14</v>
      </c>
      <c r="S379" t="str" cm="1">
        <f t="array" ref="S379">_xlfn.IFS(R379="COMPLETE", "COMPLETED", R379="CANCELED", "CANCELED", TRUE, "PENDING")</f>
        <v>PENDING</v>
      </c>
      <c r="T379" t="s">
        <v>16</v>
      </c>
      <c r="U379">
        <f>VLOOKUP(A379,ordered_items!$B:$E,4,0)</f>
        <v>99.96</v>
      </c>
    </row>
    <row r="380" spans="1:21" x14ac:dyDescent="0.3">
      <c r="A380">
        <v>23650</v>
      </c>
      <c r="B380" t="s">
        <v>3</v>
      </c>
      <c r="C380">
        <v>6</v>
      </c>
      <c r="D380">
        <v>4</v>
      </c>
      <c r="E380" t="str">
        <f t="shared" si="15"/>
        <v>DELAYED</v>
      </c>
      <c r="F380">
        <f>VLOOKUP($A380,ordered_items!$B$2:$E$4784,2,0)</f>
        <v>403</v>
      </c>
      <c r="G380">
        <f>VLOOKUP($A380,ordered_items!$B$2:$E$4784,3,0)</f>
        <v>1</v>
      </c>
      <c r="H380">
        <f>VLOOKUP($A380,ordered_items!$B$2:$E$4784,4,0)</f>
        <v>129.99</v>
      </c>
      <c r="I380" s="15">
        <f>VLOOKUP(F380,product_info!$A$2:$D$73,4,0)</f>
        <v>4</v>
      </c>
      <c r="J380" s="15" t="str">
        <f>VLOOKUP(I380,department!$A$2:$B$13,2,0)</f>
        <v>Apparel</v>
      </c>
      <c r="K380">
        <v>7049</v>
      </c>
      <c r="L380" t="s">
        <v>295</v>
      </c>
      <c r="M380" s="4">
        <v>43445</v>
      </c>
      <c r="N380" s="12">
        <f t="shared" si="16"/>
        <v>12</v>
      </c>
      <c r="O380" s="13">
        <f t="shared" si="17"/>
        <v>2018</v>
      </c>
      <c r="P380" t="s">
        <v>13</v>
      </c>
      <c r="Q380" t="s">
        <v>80</v>
      </c>
      <c r="R380" t="s">
        <v>178</v>
      </c>
      <c r="S380" t="str" cm="1">
        <f t="array" ref="S380">_xlfn.IFS(R380="COMPLETE", "COMPLETED", R380="CANCELED", "CANCELED", TRUE, "PENDING")</f>
        <v>PENDING</v>
      </c>
      <c r="T380" t="s">
        <v>16</v>
      </c>
      <c r="U380">
        <f>VLOOKUP(A380,ordered_items!$B:$E,4,0)</f>
        <v>129.99</v>
      </c>
    </row>
    <row r="381" spans="1:21" x14ac:dyDescent="0.3">
      <c r="A381">
        <v>23651</v>
      </c>
      <c r="B381" t="s">
        <v>24</v>
      </c>
      <c r="C381">
        <v>2</v>
      </c>
      <c r="D381">
        <v>4</v>
      </c>
      <c r="E381" t="str">
        <f t="shared" si="15"/>
        <v xml:space="preserve"> ONTIME</v>
      </c>
      <c r="F381">
        <f>VLOOKUP($A381,ordered_items!$B$2:$E$4784,2,0)</f>
        <v>403</v>
      </c>
      <c r="G381">
        <f>VLOOKUP($A381,ordered_items!$B$2:$E$4784,3,0)</f>
        <v>1</v>
      </c>
      <c r="H381">
        <f>VLOOKUP($A381,ordered_items!$B$2:$E$4784,4,0)</f>
        <v>129.99</v>
      </c>
      <c r="I381" s="15">
        <f>VLOOKUP(F381,product_info!$A$2:$D$73,4,0)</f>
        <v>4</v>
      </c>
      <c r="J381" s="15" t="str">
        <f>VLOOKUP(I381,department!$A$2:$B$13,2,0)</f>
        <v>Apparel</v>
      </c>
      <c r="K381">
        <v>7787</v>
      </c>
      <c r="L381" t="s">
        <v>295</v>
      </c>
      <c r="M381" s="4">
        <v>43445</v>
      </c>
      <c r="N381" s="12">
        <f t="shared" si="16"/>
        <v>12</v>
      </c>
      <c r="O381" s="13">
        <f t="shared" si="17"/>
        <v>2018</v>
      </c>
      <c r="P381" t="s">
        <v>13</v>
      </c>
      <c r="Q381" t="s">
        <v>80</v>
      </c>
      <c r="R381" t="s">
        <v>31</v>
      </c>
      <c r="S381" t="str" cm="1">
        <f t="array" ref="S381">_xlfn.IFS(R381="COMPLETE", "COMPLETED", R381="CANCELED", "CANCELED", TRUE, "PENDING")</f>
        <v>COMPLETED</v>
      </c>
      <c r="T381" t="s">
        <v>16</v>
      </c>
      <c r="U381">
        <f>VLOOKUP(A381,ordered_items!$B:$E,4,0)</f>
        <v>129.99</v>
      </c>
    </row>
    <row r="382" spans="1:21" x14ac:dyDescent="0.3">
      <c r="A382">
        <v>23659</v>
      </c>
      <c r="B382" t="s">
        <v>3</v>
      </c>
      <c r="C382">
        <v>2</v>
      </c>
      <c r="D382">
        <v>1</v>
      </c>
      <c r="E382" t="str">
        <f t="shared" si="15"/>
        <v>DELAYED</v>
      </c>
      <c r="F382">
        <f>VLOOKUP($A382,ordered_items!$B$2:$E$4784,2,0)</f>
        <v>403</v>
      </c>
      <c r="G382">
        <f>VLOOKUP($A382,ordered_items!$B$2:$E$4784,3,0)</f>
        <v>1</v>
      </c>
      <c r="H382">
        <f>VLOOKUP($A382,ordered_items!$B$2:$E$4784,4,0)</f>
        <v>129.99</v>
      </c>
      <c r="I382" s="15">
        <f>VLOOKUP(F382,product_info!$A$2:$D$73,4,0)</f>
        <v>4</v>
      </c>
      <c r="J382" s="15" t="str">
        <f>VLOOKUP(I382,department!$A$2:$B$13,2,0)</f>
        <v>Apparel</v>
      </c>
      <c r="K382">
        <v>670</v>
      </c>
      <c r="L382" t="s">
        <v>426</v>
      </c>
      <c r="M382" s="4">
        <v>43445</v>
      </c>
      <c r="N382" s="12">
        <f t="shared" si="16"/>
        <v>12</v>
      </c>
      <c r="O382" s="13">
        <f t="shared" si="17"/>
        <v>2018</v>
      </c>
      <c r="P382" t="s">
        <v>13</v>
      </c>
      <c r="Q382" t="s">
        <v>245</v>
      </c>
      <c r="R382" t="s">
        <v>38</v>
      </c>
      <c r="S382" t="str" cm="1">
        <f t="array" ref="S382">_xlfn.IFS(R382="COMPLETE", "COMPLETED", R382="CANCELED", "CANCELED", TRUE, "PENDING")</f>
        <v>PENDING</v>
      </c>
      <c r="T382" t="s">
        <v>32</v>
      </c>
      <c r="U382">
        <f>VLOOKUP(A382,ordered_items!$B:$E,4,0)</f>
        <v>129.99</v>
      </c>
    </row>
    <row r="383" spans="1:21" x14ac:dyDescent="0.3">
      <c r="A383">
        <v>23660</v>
      </c>
      <c r="B383" t="s">
        <v>17</v>
      </c>
      <c r="C383">
        <v>6</v>
      </c>
      <c r="D383">
        <v>2</v>
      </c>
      <c r="E383" t="str">
        <f t="shared" si="15"/>
        <v>DELAYED</v>
      </c>
      <c r="F383">
        <f>VLOOKUP($A383,ordered_items!$B$2:$E$4784,2,0)</f>
        <v>191</v>
      </c>
      <c r="G383">
        <f>VLOOKUP($A383,ordered_items!$B$2:$E$4784,3,0)</f>
        <v>4</v>
      </c>
      <c r="H383">
        <f>VLOOKUP($A383,ordered_items!$B$2:$E$4784,4,0)</f>
        <v>399.96</v>
      </c>
      <c r="I383" s="15">
        <f>VLOOKUP(F383,product_info!$A$2:$D$73,4,0)</f>
        <v>3</v>
      </c>
      <c r="J383" s="15" t="str">
        <f>VLOOKUP(I383,department!$A$2:$B$13,2,0)</f>
        <v>Footwear</v>
      </c>
      <c r="K383">
        <v>3326</v>
      </c>
      <c r="L383" t="s">
        <v>426</v>
      </c>
      <c r="M383" s="4">
        <v>43445</v>
      </c>
      <c r="N383" s="12">
        <f t="shared" si="16"/>
        <v>12</v>
      </c>
      <c r="O383" s="13">
        <f t="shared" si="17"/>
        <v>2018</v>
      </c>
      <c r="P383" t="s">
        <v>13</v>
      </c>
      <c r="Q383" t="s">
        <v>245</v>
      </c>
      <c r="R383" t="s">
        <v>23</v>
      </c>
      <c r="S383" t="str" cm="1">
        <f t="array" ref="S383">_xlfn.IFS(R383="COMPLETE", "COMPLETED", R383="CANCELED", "CANCELED", TRUE, "PENDING")</f>
        <v>PENDING</v>
      </c>
      <c r="T383" t="s">
        <v>90</v>
      </c>
      <c r="U383">
        <f>VLOOKUP(A383,ordered_items!$B:$E,4,0)</f>
        <v>399.96</v>
      </c>
    </row>
    <row r="384" spans="1:21" x14ac:dyDescent="0.3">
      <c r="A384">
        <v>23666</v>
      </c>
      <c r="B384" t="s">
        <v>51</v>
      </c>
      <c r="C384">
        <v>2</v>
      </c>
      <c r="D384">
        <v>4</v>
      </c>
      <c r="E384" t="str">
        <f t="shared" si="15"/>
        <v xml:space="preserve"> ONTIME</v>
      </c>
      <c r="F384">
        <f>VLOOKUP($A384,ordered_items!$B$2:$E$4784,2,0)</f>
        <v>728</v>
      </c>
      <c r="G384">
        <f>VLOOKUP($A384,ordered_items!$B$2:$E$4784,3,0)</f>
        <v>2</v>
      </c>
      <c r="H384">
        <f>VLOOKUP($A384,ordered_items!$B$2:$E$4784,4,0)</f>
        <v>130</v>
      </c>
      <c r="I384" s="15">
        <f>VLOOKUP(F384,product_info!$A$2:$D$73,4,0)</f>
        <v>6</v>
      </c>
      <c r="J384" s="15" t="str">
        <f>VLOOKUP(I384,department!$A$2:$B$13,2,0)</f>
        <v>Outdoors</v>
      </c>
      <c r="K384">
        <v>4038</v>
      </c>
      <c r="L384" t="s">
        <v>827</v>
      </c>
      <c r="M384" s="4">
        <v>43445</v>
      </c>
      <c r="N384" s="12">
        <f t="shared" si="16"/>
        <v>12</v>
      </c>
      <c r="O384" s="13">
        <f t="shared" si="17"/>
        <v>2018</v>
      </c>
      <c r="P384" t="s">
        <v>13</v>
      </c>
      <c r="Q384" t="s">
        <v>5781</v>
      </c>
      <c r="R384" t="s">
        <v>57</v>
      </c>
      <c r="S384" t="str" cm="1">
        <f t="array" ref="S384">_xlfn.IFS(R384="COMPLETE", "COMPLETED", R384="CANCELED", "CANCELED", TRUE, "PENDING")</f>
        <v>PENDING</v>
      </c>
      <c r="T384" t="s">
        <v>16</v>
      </c>
      <c r="U384">
        <f>VLOOKUP(A384,ordered_items!$B:$E,4,0)</f>
        <v>130</v>
      </c>
    </row>
    <row r="385" spans="1:21" x14ac:dyDescent="0.3">
      <c r="A385">
        <v>23667</v>
      </c>
      <c r="B385" t="s">
        <v>3</v>
      </c>
      <c r="C385">
        <v>3</v>
      </c>
      <c r="D385">
        <v>4</v>
      </c>
      <c r="E385" t="str">
        <f t="shared" si="15"/>
        <v xml:space="preserve"> ONTIME</v>
      </c>
      <c r="F385">
        <f>VLOOKUP($A385,ordered_items!$B$2:$E$4784,2,0)</f>
        <v>1073</v>
      </c>
      <c r="G385">
        <f>VLOOKUP($A385,ordered_items!$B$2:$E$4784,3,0)</f>
        <v>1</v>
      </c>
      <c r="H385">
        <f>VLOOKUP($A385,ordered_items!$B$2:$E$4784,4,0)</f>
        <v>199.99</v>
      </c>
      <c r="I385" s="15">
        <f>VLOOKUP(F385,product_info!$A$2:$D$73,4,0)</f>
        <v>7</v>
      </c>
      <c r="J385" s="15" t="str">
        <f>VLOOKUP(I385,department!$A$2:$B$13,2,0)</f>
        <v>Fan Shop</v>
      </c>
      <c r="K385">
        <v>3691</v>
      </c>
      <c r="L385" t="s">
        <v>827</v>
      </c>
      <c r="M385" s="4">
        <v>43445</v>
      </c>
      <c r="N385" s="12">
        <f t="shared" si="16"/>
        <v>12</v>
      </c>
      <c r="O385" s="13">
        <f t="shared" si="17"/>
        <v>2018</v>
      </c>
      <c r="P385" t="s">
        <v>13</v>
      </c>
      <c r="Q385" t="s">
        <v>5781</v>
      </c>
      <c r="R385" t="s">
        <v>14</v>
      </c>
      <c r="S385" t="str" cm="1">
        <f t="array" ref="S385">_xlfn.IFS(R385="COMPLETE", "COMPLETED", R385="CANCELED", "CANCELED", TRUE, "PENDING")</f>
        <v>PENDING</v>
      </c>
      <c r="T385" t="s">
        <v>16</v>
      </c>
      <c r="U385">
        <f>VLOOKUP(A385,ordered_items!$B:$E,4,0)</f>
        <v>199.99</v>
      </c>
    </row>
    <row r="386" spans="1:21" x14ac:dyDescent="0.3">
      <c r="A386">
        <v>23668</v>
      </c>
      <c r="B386" t="s">
        <v>3</v>
      </c>
      <c r="C386">
        <v>4</v>
      </c>
      <c r="D386">
        <v>2</v>
      </c>
      <c r="E386" t="str">
        <f t="shared" si="15"/>
        <v>DELAYED</v>
      </c>
      <c r="F386">
        <f>VLOOKUP($A386,ordered_items!$B$2:$E$4784,2,0)</f>
        <v>365</v>
      </c>
      <c r="G386">
        <f>VLOOKUP($A386,ordered_items!$B$2:$E$4784,3,0)</f>
        <v>1</v>
      </c>
      <c r="H386">
        <f>VLOOKUP($A386,ordered_items!$B$2:$E$4784,4,0)</f>
        <v>59.99</v>
      </c>
      <c r="I386" s="15">
        <f>VLOOKUP(F386,product_info!$A$2:$D$73,4,0)</f>
        <v>4</v>
      </c>
      <c r="J386" s="15" t="str">
        <f>VLOOKUP(I386,department!$A$2:$B$13,2,0)</f>
        <v>Apparel</v>
      </c>
      <c r="K386">
        <v>1793</v>
      </c>
      <c r="L386" t="s">
        <v>827</v>
      </c>
      <c r="M386" s="4">
        <v>43445</v>
      </c>
      <c r="N386" s="12">
        <f t="shared" si="16"/>
        <v>12</v>
      </c>
      <c r="O386" s="13">
        <f t="shared" si="17"/>
        <v>2018</v>
      </c>
      <c r="P386" t="s">
        <v>13</v>
      </c>
      <c r="Q386" t="s">
        <v>5781</v>
      </c>
      <c r="R386" t="s">
        <v>38</v>
      </c>
      <c r="S386" t="str" cm="1">
        <f t="array" ref="S386">_xlfn.IFS(R386="COMPLETE", "COMPLETED", R386="CANCELED", "CANCELED", TRUE, "PENDING")</f>
        <v>PENDING</v>
      </c>
      <c r="T386" t="s">
        <v>90</v>
      </c>
      <c r="U386">
        <f>VLOOKUP(A386,ordered_items!$B:$E,4,0)</f>
        <v>59.99</v>
      </c>
    </row>
    <row r="387" spans="1:21" x14ac:dyDescent="0.3">
      <c r="A387">
        <v>23669</v>
      </c>
      <c r="B387" t="s">
        <v>24</v>
      </c>
      <c r="C387">
        <v>5</v>
      </c>
      <c r="D387">
        <v>4</v>
      </c>
      <c r="E387" t="str">
        <f t="shared" ref="E387:E450" si="18">IF(C387-D387&gt;0,"DELAYED"," ONTIME")</f>
        <v>DELAYED</v>
      </c>
      <c r="F387">
        <f>VLOOKUP($A387,ordered_items!$B$2:$E$4784,2,0)</f>
        <v>818</v>
      </c>
      <c r="G387">
        <f>VLOOKUP($A387,ordered_items!$B$2:$E$4784,3,0)</f>
        <v>1</v>
      </c>
      <c r="H387">
        <f>VLOOKUP($A387,ordered_items!$B$2:$E$4784,4,0)</f>
        <v>47.99</v>
      </c>
      <c r="I387" s="15">
        <f>VLOOKUP(F387,product_info!$A$2:$D$73,4,0)</f>
        <v>6</v>
      </c>
      <c r="J387" s="15" t="str">
        <f>VLOOKUP(I387,department!$A$2:$B$13,2,0)</f>
        <v>Outdoors</v>
      </c>
      <c r="K387">
        <v>2917</v>
      </c>
      <c r="L387" t="s">
        <v>827</v>
      </c>
      <c r="M387" s="4">
        <v>43445</v>
      </c>
      <c r="N387" s="12">
        <f t="shared" ref="N387:N450" si="19">MONTH(M387)</f>
        <v>12</v>
      </c>
      <c r="O387" s="13">
        <f t="shared" ref="O387:O450" si="20">YEAR(M387)</f>
        <v>2018</v>
      </c>
      <c r="P387" t="s">
        <v>13</v>
      </c>
      <c r="Q387" t="s">
        <v>5781</v>
      </c>
      <c r="R387" t="s">
        <v>31</v>
      </c>
      <c r="S387" t="str" cm="1">
        <f t="array" ref="S387">_xlfn.IFS(R387="COMPLETE", "COMPLETED", R387="CANCELED", "CANCELED", TRUE, "PENDING")</f>
        <v>COMPLETED</v>
      </c>
      <c r="T387" t="s">
        <v>16</v>
      </c>
      <c r="U387">
        <f>VLOOKUP(A387,ordered_items!$B:$E,4,0)</f>
        <v>47.99</v>
      </c>
    </row>
    <row r="388" spans="1:21" x14ac:dyDescent="0.3">
      <c r="A388">
        <v>23670</v>
      </c>
      <c r="B388" t="s">
        <v>17</v>
      </c>
      <c r="C388">
        <v>6</v>
      </c>
      <c r="D388">
        <v>4</v>
      </c>
      <c r="E388" t="str">
        <f t="shared" si="18"/>
        <v>DELAYED</v>
      </c>
      <c r="F388">
        <f>VLOOKUP($A388,ordered_items!$B$2:$E$4784,2,0)</f>
        <v>403</v>
      </c>
      <c r="G388">
        <f>VLOOKUP($A388,ordered_items!$B$2:$E$4784,3,0)</f>
        <v>1</v>
      </c>
      <c r="H388">
        <f>VLOOKUP($A388,ordered_items!$B$2:$E$4784,4,0)</f>
        <v>129.99</v>
      </c>
      <c r="I388" s="15">
        <f>VLOOKUP(F388,product_info!$A$2:$D$73,4,0)</f>
        <v>4</v>
      </c>
      <c r="J388" s="15" t="str">
        <f>VLOOKUP(I388,department!$A$2:$B$13,2,0)</f>
        <v>Apparel</v>
      </c>
      <c r="K388">
        <v>7314</v>
      </c>
      <c r="L388" t="s">
        <v>827</v>
      </c>
      <c r="M388" s="4">
        <v>43445</v>
      </c>
      <c r="N388" s="12">
        <f t="shared" si="19"/>
        <v>12</v>
      </c>
      <c r="O388" s="13">
        <f t="shared" si="20"/>
        <v>2018</v>
      </c>
      <c r="P388" t="s">
        <v>13</v>
      </c>
      <c r="Q388" t="s">
        <v>5781</v>
      </c>
      <c r="R388" t="s">
        <v>23</v>
      </c>
      <c r="S388" t="str" cm="1">
        <f t="array" ref="S388">_xlfn.IFS(R388="COMPLETE", "COMPLETED", R388="CANCELED", "CANCELED", TRUE, "PENDING")</f>
        <v>PENDING</v>
      </c>
      <c r="T388" t="s">
        <v>16</v>
      </c>
      <c r="U388">
        <f>VLOOKUP(A388,ordered_items!$B:$E,4,0)</f>
        <v>129.99</v>
      </c>
    </row>
    <row r="389" spans="1:21" x14ac:dyDescent="0.3">
      <c r="A389">
        <v>23672</v>
      </c>
      <c r="B389" t="s">
        <v>24</v>
      </c>
      <c r="C389">
        <v>3</v>
      </c>
      <c r="D389">
        <v>2</v>
      </c>
      <c r="E389" t="str">
        <f t="shared" si="18"/>
        <v>DELAYED</v>
      </c>
      <c r="F389">
        <f>VLOOKUP($A389,ordered_items!$B$2:$E$4784,2,0)</f>
        <v>1004</v>
      </c>
      <c r="G389">
        <f>VLOOKUP($A389,ordered_items!$B$2:$E$4784,3,0)</f>
        <v>1</v>
      </c>
      <c r="H389">
        <f>VLOOKUP($A389,ordered_items!$B$2:$E$4784,4,0)</f>
        <v>399.98</v>
      </c>
      <c r="I389" s="15">
        <f>VLOOKUP(F389,product_info!$A$2:$D$73,4,0)</f>
        <v>7</v>
      </c>
      <c r="J389" s="15" t="str">
        <f>VLOOKUP(I389,department!$A$2:$B$13,2,0)</f>
        <v>Fan Shop</v>
      </c>
      <c r="K389">
        <v>3027</v>
      </c>
      <c r="L389" t="s">
        <v>980</v>
      </c>
      <c r="M389" s="4">
        <v>43445</v>
      </c>
      <c r="N389" s="12">
        <f t="shared" si="19"/>
        <v>12</v>
      </c>
      <c r="O389" s="13">
        <f t="shared" si="20"/>
        <v>2018</v>
      </c>
      <c r="P389" t="s">
        <v>13</v>
      </c>
      <c r="Q389" t="s">
        <v>30</v>
      </c>
      <c r="R389" t="s">
        <v>31</v>
      </c>
      <c r="S389" t="str" cm="1">
        <f t="array" ref="S389">_xlfn.IFS(R389="COMPLETE", "COMPLETED", R389="CANCELED", "CANCELED", TRUE, "PENDING")</f>
        <v>COMPLETED</v>
      </c>
      <c r="T389" t="s">
        <v>90</v>
      </c>
      <c r="U389">
        <f>VLOOKUP(A389,ordered_items!$B:$E,4,0)</f>
        <v>399.98</v>
      </c>
    </row>
    <row r="390" spans="1:21" x14ac:dyDescent="0.3">
      <c r="A390">
        <v>23673</v>
      </c>
      <c r="B390" t="s">
        <v>24</v>
      </c>
      <c r="C390">
        <v>4</v>
      </c>
      <c r="D390">
        <v>4</v>
      </c>
      <c r="E390" t="str">
        <f t="shared" si="18"/>
        <v xml:space="preserve"> ONTIME</v>
      </c>
      <c r="F390">
        <f>VLOOKUP($A390,ordered_items!$B$2:$E$4784,2,0)</f>
        <v>403</v>
      </c>
      <c r="G390">
        <f>VLOOKUP($A390,ordered_items!$B$2:$E$4784,3,0)</f>
        <v>1</v>
      </c>
      <c r="H390">
        <f>VLOOKUP($A390,ordered_items!$B$2:$E$4784,4,0)</f>
        <v>129.99</v>
      </c>
      <c r="I390" s="15">
        <f>VLOOKUP(F390,product_info!$A$2:$D$73,4,0)</f>
        <v>4</v>
      </c>
      <c r="J390" s="15" t="str">
        <f>VLOOKUP(I390,department!$A$2:$B$13,2,0)</f>
        <v>Apparel</v>
      </c>
      <c r="K390">
        <v>7550</v>
      </c>
      <c r="L390" t="s">
        <v>980</v>
      </c>
      <c r="M390" s="4">
        <v>43445</v>
      </c>
      <c r="N390" s="12">
        <f t="shared" si="19"/>
        <v>12</v>
      </c>
      <c r="O390" s="13">
        <f t="shared" si="20"/>
        <v>2018</v>
      </c>
      <c r="P390" t="s">
        <v>13</v>
      </c>
      <c r="Q390" t="s">
        <v>30</v>
      </c>
      <c r="R390" t="s">
        <v>31</v>
      </c>
      <c r="S390" t="str" cm="1">
        <f t="array" ref="S390">_xlfn.IFS(R390="COMPLETE", "COMPLETED", R390="CANCELED", "CANCELED", TRUE, "PENDING")</f>
        <v>COMPLETED</v>
      </c>
      <c r="T390" t="s">
        <v>16</v>
      </c>
      <c r="U390">
        <f>VLOOKUP(A390,ordered_items!$B:$E,4,0)</f>
        <v>129.99</v>
      </c>
    </row>
    <row r="391" spans="1:21" x14ac:dyDescent="0.3">
      <c r="A391">
        <v>23679</v>
      </c>
      <c r="B391" t="s">
        <v>51</v>
      </c>
      <c r="C391">
        <v>5</v>
      </c>
      <c r="D391">
        <v>2</v>
      </c>
      <c r="E391" t="str">
        <f t="shared" si="18"/>
        <v>DELAYED</v>
      </c>
      <c r="F391">
        <f>VLOOKUP($A391,ordered_items!$B$2:$E$4784,2,0)</f>
        <v>403</v>
      </c>
      <c r="G391">
        <f>VLOOKUP($A391,ordered_items!$B$2:$E$4784,3,0)</f>
        <v>1</v>
      </c>
      <c r="H391">
        <f>VLOOKUP($A391,ordered_items!$B$2:$E$4784,4,0)</f>
        <v>129.99</v>
      </c>
      <c r="I391" s="15">
        <f>VLOOKUP(F391,product_info!$A$2:$D$73,4,0)</f>
        <v>4</v>
      </c>
      <c r="J391" s="15" t="str">
        <f>VLOOKUP(I391,department!$A$2:$B$13,2,0)</f>
        <v>Apparel</v>
      </c>
      <c r="K391">
        <v>6848</v>
      </c>
      <c r="L391" t="s">
        <v>244</v>
      </c>
      <c r="M391" s="4">
        <v>43445</v>
      </c>
      <c r="N391" s="12">
        <f t="shared" si="19"/>
        <v>12</v>
      </c>
      <c r="O391" s="13">
        <f t="shared" si="20"/>
        <v>2018</v>
      </c>
      <c r="P391" t="s">
        <v>13</v>
      </c>
      <c r="Q391" t="s">
        <v>245</v>
      </c>
      <c r="R391" t="s">
        <v>57</v>
      </c>
      <c r="S391" t="str" cm="1">
        <f t="array" ref="S391">_xlfn.IFS(R391="COMPLETE", "COMPLETED", R391="CANCELED", "CANCELED", TRUE, "PENDING")</f>
        <v>PENDING</v>
      </c>
      <c r="T391" t="s">
        <v>90</v>
      </c>
      <c r="U391">
        <f>VLOOKUP(A391,ordered_items!$B:$E,4,0)</f>
        <v>129.99</v>
      </c>
    </row>
    <row r="392" spans="1:21" x14ac:dyDescent="0.3">
      <c r="A392">
        <v>23680</v>
      </c>
      <c r="B392" t="s">
        <v>24</v>
      </c>
      <c r="C392">
        <v>6</v>
      </c>
      <c r="D392">
        <v>2</v>
      </c>
      <c r="E392" t="str">
        <f t="shared" si="18"/>
        <v>DELAYED</v>
      </c>
      <c r="F392">
        <f>VLOOKUP($A392,ordered_items!$B$2:$E$4784,2,0)</f>
        <v>365</v>
      </c>
      <c r="G392">
        <f>VLOOKUP($A392,ordered_items!$B$2:$E$4784,3,0)</f>
        <v>1</v>
      </c>
      <c r="H392">
        <f>VLOOKUP($A392,ordered_items!$B$2:$E$4784,4,0)</f>
        <v>59.99</v>
      </c>
      <c r="I392" s="15">
        <f>VLOOKUP(F392,product_info!$A$2:$D$73,4,0)</f>
        <v>4</v>
      </c>
      <c r="J392" s="15" t="str">
        <f>VLOOKUP(I392,department!$A$2:$B$13,2,0)</f>
        <v>Apparel</v>
      </c>
      <c r="K392">
        <v>6978</v>
      </c>
      <c r="L392" t="s">
        <v>244</v>
      </c>
      <c r="M392" s="4">
        <v>43445</v>
      </c>
      <c r="N392" s="12">
        <f t="shared" si="19"/>
        <v>12</v>
      </c>
      <c r="O392" s="13">
        <f t="shared" si="20"/>
        <v>2018</v>
      </c>
      <c r="P392" t="s">
        <v>13</v>
      </c>
      <c r="Q392" t="s">
        <v>245</v>
      </c>
      <c r="R392" t="s">
        <v>31</v>
      </c>
      <c r="S392" t="str" cm="1">
        <f t="array" ref="S392">_xlfn.IFS(R392="COMPLETE", "COMPLETED", R392="CANCELED", "CANCELED", TRUE, "PENDING")</f>
        <v>COMPLETED</v>
      </c>
      <c r="T392" t="s">
        <v>90</v>
      </c>
      <c r="U392">
        <f>VLOOKUP(A392,ordered_items!$B:$E,4,0)</f>
        <v>59.99</v>
      </c>
    </row>
    <row r="393" spans="1:21" x14ac:dyDescent="0.3">
      <c r="A393">
        <v>23681</v>
      </c>
      <c r="B393" t="s">
        <v>24</v>
      </c>
      <c r="C393">
        <v>2</v>
      </c>
      <c r="D393">
        <v>4</v>
      </c>
      <c r="E393" t="str">
        <f t="shared" si="18"/>
        <v xml:space="preserve"> ONTIME</v>
      </c>
      <c r="F393">
        <f>VLOOKUP($A393,ordered_items!$B$2:$E$4784,2,0)</f>
        <v>403</v>
      </c>
      <c r="G393">
        <f>VLOOKUP($A393,ordered_items!$B$2:$E$4784,3,0)</f>
        <v>1</v>
      </c>
      <c r="H393">
        <f>VLOOKUP($A393,ordered_items!$B$2:$E$4784,4,0)</f>
        <v>129.99</v>
      </c>
      <c r="I393" s="15">
        <f>VLOOKUP(F393,product_info!$A$2:$D$73,4,0)</f>
        <v>4</v>
      </c>
      <c r="J393" s="15" t="str">
        <f>VLOOKUP(I393,department!$A$2:$B$13,2,0)</f>
        <v>Apparel</v>
      </c>
      <c r="K393">
        <v>11397</v>
      </c>
      <c r="L393" t="s">
        <v>244</v>
      </c>
      <c r="M393" s="4">
        <v>43445</v>
      </c>
      <c r="N393" s="12">
        <f t="shared" si="19"/>
        <v>12</v>
      </c>
      <c r="O393" s="13">
        <f t="shared" si="20"/>
        <v>2018</v>
      </c>
      <c r="P393" t="s">
        <v>13</v>
      </c>
      <c r="Q393" t="s">
        <v>245</v>
      </c>
      <c r="R393" t="s">
        <v>31</v>
      </c>
      <c r="S393" t="str" cm="1">
        <f t="array" ref="S393">_xlfn.IFS(R393="COMPLETE", "COMPLETED", R393="CANCELED", "CANCELED", TRUE, "PENDING")</f>
        <v>COMPLETED</v>
      </c>
      <c r="T393" t="s">
        <v>16</v>
      </c>
      <c r="U393">
        <f>VLOOKUP(A393,ordered_items!$B:$E,4,0)</f>
        <v>129.99</v>
      </c>
    </row>
    <row r="394" spans="1:21" x14ac:dyDescent="0.3">
      <c r="A394">
        <v>23682</v>
      </c>
      <c r="B394" t="s">
        <v>24</v>
      </c>
      <c r="C394">
        <v>3</v>
      </c>
      <c r="D394">
        <v>4</v>
      </c>
      <c r="E394" t="str">
        <f t="shared" si="18"/>
        <v xml:space="preserve"> ONTIME</v>
      </c>
      <c r="F394">
        <f>VLOOKUP($A394,ordered_items!$B$2:$E$4784,2,0)</f>
        <v>191</v>
      </c>
      <c r="G394">
        <f>VLOOKUP($A394,ordered_items!$B$2:$E$4784,3,0)</f>
        <v>1</v>
      </c>
      <c r="H394">
        <f>VLOOKUP($A394,ordered_items!$B$2:$E$4784,4,0)</f>
        <v>99.99</v>
      </c>
      <c r="I394" s="15">
        <f>VLOOKUP(F394,product_info!$A$2:$D$73,4,0)</f>
        <v>3</v>
      </c>
      <c r="J394" s="15" t="str">
        <f>VLOOKUP(I394,department!$A$2:$B$13,2,0)</f>
        <v>Footwear</v>
      </c>
      <c r="K394">
        <v>1361</v>
      </c>
      <c r="L394" t="s">
        <v>244</v>
      </c>
      <c r="M394" s="4">
        <v>43445</v>
      </c>
      <c r="N394" s="12">
        <f t="shared" si="19"/>
        <v>12</v>
      </c>
      <c r="O394" s="13">
        <f t="shared" si="20"/>
        <v>2018</v>
      </c>
      <c r="P394" t="s">
        <v>13</v>
      </c>
      <c r="Q394" t="s">
        <v>245</v>
      </c>
      <c r="R394" t="s">
        <v>378</v>
      </c>
      <c r="S394" t="str" cm="1">
        <f t="array" ref="S394">_xlfn.IFS(R394="COMPLETE", "COMPLETED", R394="CANCELED", "CANCELED", TRUE, "PENDING")</f>
        <v>PENDING</v>
      </c>
      <c r="T394" t="s">
        <v>16</v>
      </c>
      <c r="U394">
        <f>VLOOKUP(A394,ordered_items!$B:$E,4,0)</f>
        <v>99.99</v>
      </c>
    </row>
    <row r="395" spans="1:21" x14ac:dyDescent="0.3">
      <c r="A395">
        <v>23683</v>
      </c>
      <c r="B395" t="s">
        <v>51</v>
      </c>
      <c r="C395">
        <v>4</v>
      </c>
      <c r="D395">
        <v>2</v>
      </c>
      <c r="E395" t="str">
        <f t="shared" si="18"/>
        <v>DELAYED</v>
      </c>
      <c r="F395">
        <f>VLOOKUP($A395,ordered_items!$B$2:$E$4784,2,0)</f>
        <v>1073</v>
      </c>
      <c r="G395">
        <f>VLOOKUP($A395,ordered_items!$B$2:$E$4784,3,0)</f>
        <v>1</v>
      </c>
      <c r="H395">
        <f>VLOOKUP($A395,ordered_items!$B$2:$E$4784,4,0)</f>
        <v>199.99</v>
      </c>
      <c r="I395" s="15">
        <f>VLOOKUP(F395,product_info!$A$2:$D$73,4,0)</f>
        <v>7</v>
      </c>
      <c r="J395" s="15" t="str">
        <f>VLOOKUP(I395,department!$A$2:$B$13,2,0)</f>
        <v>Fan Shop</v>
      </c>
      <c r="K395">
        <v>1882</v>
      </c>
      <c r="L395" t="s">
        <v>244</v>
      </c>
      <c r="M395" s="4">
        <v>43445</v>
      </c>
      <c r="N395" s="12">
        <f t="shared" si="19"/>
        <v>12</v>
      </c>
      <c r="O395" s="13">
        <f t="shared" si="20"/>
        <v>2018</v>
      </c>
      <c r="P395" t="s">
        <v>13</v>
      </c>
      <c r="Q395" t="s">
        <v>245</v>
      </c>
      <c r="R395" t="s">
        <v>57</v>
      </c>
      <c r="S395" t="str" cm="1">
        <f t="array" ref="S395">_xlfn.IFS(R395="COMPLETE", "COMPLETED", R395="CANCELED", "CANCELED", TRUE, "PENDING")</f>
        <v>PENDING</v>
      </c>
      <c r="T395" t="s">
        <v>90</v>
      </c>
      <c r="U395">
        <f>VLOOKUP(A395,ordered_items!$B:$E,4,0)</f>
        <v>199.99</v>
      </c>
    </row>
    <row r="396" spans="1:21" x14ac:dyDescent="0.3">
      <c r="A396">
        <v>23684</v>
      </c>
      <c r="B396" t="s">
        <v>3</v>
      </c>
      <c r="C396">
        <v>5</v>
      </c>
      <c r="D396">
        <v>2</v>
      </c>
      <c r="E396" t="str">
        <f t="shared" si="18"/>
        <v>DELAYED</v>
      </c>
      <c r="F396">
        <f>VLOOKUP($A396,ordered_items!$B$2:$E$4784,2,0)</f>
        <v>134</v>
      </c>
      <c r="G396">
        <f>VLOOKUP($A396,ordered_items!$B$2:$E$4784,3,0)</f>
        <v>5</v>
      </c>
      <c r="H396">
        <f>VLOOKUP($A396,ordered_items!$B$2:$E$4784,4,0)</f>
        <v>125</v>
      </c>
      <c r="I396" s="15">
        <f>VLOOKUP(F396,product_info!$A$2:$D$73,4,0)</f>
        <v>2</v>
      </c>
      <c r="J396" s="15" t="str">
        <f>VLOOKUP(I396,department!$A$2:$B$13,2,0)</f>
        <v>Fitness</v>
      </c>
      <c r="K396">
        <v>10269</v>
      </c>
      <c r="L396" t="s">
        <v>146</v>
      </c>
      <c r="M396" s="4">
        <v>43445</v>
      </c>
      <c r="N396" s="12">
        <f t="shared" si="19"/>
        <v>12</v>
      </c>
      <c r="O396" s="13">
        <f t="shared" si="20"/>
        <v>2018</v>
      </c>
      <c r="P396" t="s">
        <v>13</v>
      </c>
      <c r="Q396" t="s">
        <v>30</v>
      </c>
      <c r="R396" t="s">
        <v>178</v>
      </c>
      <c r="S396" t="str" cm="1">
        <f t="array" ref="S396">_xlfn.IFS(R396="COMPLETE", "COMPLETED", R396="CANCELED", "CANCELED", TRUE, "PENDING")</f>
        <v>PENDING</v>
      </c>
      <c r="T396" t="s">
        <v>90</v>
      </c>
      <c r="U396">
        <f>VLOOKUP(A396,ordered_items!$B:$E,4,0)</f>
        <v>125</v>
      </c>
    </row>
    <row r="397" spans="1:21" x14ac:dyDescent="0.3">
      <c r="A397">
        <v>23712</v>
      </c>
      <c r="B397" t="s">
        <v>24</v>
      </c>
      <c r="C397">
        <v>3</v>
      </c>
      <c r="D397">
        <v>4</v>
      </c>
      <c r="E397" t="str">
        <f t="shared" si="18"/>
        <v xml:space="preserve"> ONTIME</v>
      </c>
      <c r="F397">
        <f>VLOOKUP($A397,ordered_items!$B$2:$E$4784,2,0)</f>
        <v>957</v>
      </c>
      <c r="G397">
        <f>VLOOKUP($A397,ordered_items!$B$2:$E$4784,3,0)</f>
        <v>1</v>
      </c>
      <c r="H397">
        <f>VLOOKUP($A397,ordered_items!$B$2:$E$4784,4,0)</f>
        <v>299.98</v>
      </c>
      <c r="I397" s="15">
        <f>VLOOKUP(F397,product_info!$A$2:$D$73,4,0)</f>
        <v>7</v>
      </c>
      <c r="J397" s="15" t="str">
        <f>VLOOKUP(I397,department!$A$2:$B$13,2,0)</f>
        <v>Fan Shop</v>
      </c>
      <c r="K397">
        <v>8925</v>
      </c>
      <c r="L397" t="s">
        <v>591</v>
      </c>
      <c r="M397" s="4">
        <v>43446</v>
      </c>
      <c r="N397" s="12">
        <f t="shared" si="19"/>
        <v>12</v>
      </c>
      <c r="O397" s="13">
        <f t="shared" si="20"/>
        <v>2018</v>
      </c>
      <c r="P397" t="s">
        <v>13</v>
      </c>
      <c r="Q397" t="s">
        <v>130</v>
      </c>
      <c r="R397" t="s">
        <v>31</v>
      </c>
      <c r="S397" t="str" cm="1">
        <f t="array" ref="S397">_xlfn.IFS(R397="COMPLETE", "COMPLETED", R397="CANCELED", "CANCELED", TRUE, "PENDING")</f>
        <v>COMPLETED</v>
      </c>
      <c r="T397" t="s">
        <v>16</v>
      </c>
      <c r="U397">
        <f>VLOOKUP(A397,ordered_items!$B:$E,4,0)</f>
        <v>299.98</v>
      </c>
    </row>
    <row r="398" spans="1:21" x14ac:dyDescent="0.3">
      <c r="A398">
        <v>23713</v>
      </c>
      <c r="B398" t="s">
        <v>24</v>
      </c>
      <c r="C398">
        <v>2</v>
      </c>
      <c r="D398">
        <v>1</v>
      </c>
      <c r="E398" t="str">
        <f t="shared" si="18"/>
        <v>DELAYED</v>
      </c>
      <c r="F398">
        <f>VLOOKUP($A398,ordered_items!$B$2:$E$4784,2,0)</f>
        <v>403</v>
      </c>
      <c r="G398">
        <f>VLOOKUP($A398,ordered_items!$B$2:$E$4784,3,0)</f>
        <v>1</v>
      </c>
      <c r="H398">
        <f>VLOOKUP($A398,ordered_items!$B$2:$E$4784,4,0)</f>
        <v>129.99</v>
      </c>
      <c r="I398" s="15">
        <f>VLOOKUP(F398,product_info!$A$2:$D$73,4,0)</f>
        <v>4</v>
      </c>
      <c r="J398" s="15" t="str">
        <f>VLOOKUP(I398,department!$A$2:$B$13,2,0)</f>
        <v>Apparel</v>
      </c>
      <c r="K398">
        <v>4626</v>
      </c>
      <c r="L398" t="s">
        <v>591</v>
      </c>
      <c r="M398" s="4">
        <v>43446</v>
      </c>
      <c r="N398" s="12">
        <f t="shared" si="19"/>
        <v>12</v>
      </c>
      <c r="O398" s="13">
        <f t="shared" si="20"/>
        <v>2018</v>
      </c>
      <c r="P398" t="s">
        <v>13</v>
      </c>
      <c r="Q398" t="s">
        <v>130</v>
      </c>
      <c r="R398" t="s">
        <v>31</v>
      </c>
      <c r="S398" t="str" cm="1">
        <f t="array" ref="S398">_xlfn.IFS(R398="COMPLETE", "COMPLETED", R398="CANCELED", "CANCELED", TRUE, "PENDING")</f>
        <v>COMPLETED</v>
      </c>
      <c r="T398" t="s">
        <v>32</v>
      </c>
      <c r="U398">
        <f>VLOOKUP(A398,ordered_items!$B:$E,4,0)</f>
        <v>129.99</v>
      </c>
    </row>
    <row r="399" spans="1:21" x14ac:dyDescent="0.3">
      <c r="A399">
        <v>23714</v>
      </c>
      <c r="B399" t="s">
        <v>3</v>
      </c>
      <c r="C399">
        <v>5</v>
      </c>
      <c r="D399">
        <v>2</v>
      </c>
      <c r="E399" t="str">
        <f t="shared" si="18"/>
        <v>DELAYED</v>
      </c>
      <c r="F399">
        <f>VLOOKUP($A399,ordered_items!$B$2:$E$4784,2,0)</f>
        <v>1014</v>
      </c>
      <c r="G399">
        <f>VLOOKUP($A399,ordered_items!$B$2:$E$4784,3,0)</f>
        <v>5</v>
      </c>
      <c r="H399">
        <f>VLOOKUP($A399,ordered_items!$B$2:$E$4784,4,0)</f>
        <v>249.9</v>
      </c>
      <c r="I399" s="15">
        <f>VLOOKUP(F399,product_info!$A$2:$D$73,4,0)</f>
        <v>7</v>
      </c>
      <c r="J399" s="15" t="str">
        <f>VLOOKUP(I399,department!$A$2:$B$13,2,0)</f>
        <v>Fan Shop</v>
      </c>
      <c r="K399">
        <v>6109</v>
      </c>
      <c r="L399" t="s">
        <v>591</v>
      </c>
      <c r="M399" s="4">
        <v>43446</v>
      </c>
      <c r="N399" s="12">
        <f t="shared" si="19"/>
        <v>12</v>
      </c>
      <c r="O399" s="13">
        <f t="shared" si="20"/>
        <v>2018</v>
      </c>
      <c r="P399" t="s">
        <v>13</v>
      </c>
      <c r="Q399" t="s">
        <v>130</v>
      </c>
      <c r="R399" t="s">
        <v>14</v>
      </c>
      <c r="S399" t="str" cm="1">
        <f t="array" ref="S399">_xlfn.IFS(R399="COMPLETE", "COMPLETED", R399="CANCELED", "CANCELED", TRUE, "PENDING")</f>
        <v>PENDING</v>
      </c>
      <c r="T399" t="s">
        <v>90</v>
      </c>
      <c r="U399">
        <f>VLOOKUP(A399,ordered_items!$B:$E,4,0)</f>
        <v>249.9</v>
      </c>
    </row>
    <row r="400" spans="1:21" x14ac:dyDescent="0.3">
      <c r="A400">
        <v>23715</v>
      </c>
      <c r="B400" t="s">
        <v>3</v>
      </c>
      <c r="C400">
        <v>6</v>
      </c>
      <c r="D400">
        <v>2</v>
      </c>
      <c r="E400" t="str">
        <f t="shared" si="18"/>
        <v>DELAYED</v>
      </c>
      <c r="F400">
        <f>VLOOKUP($A400,ordered_items!$B$2:$E$4784,2,0)</f>
        <v>191</v>
      </c>
      <c r="G400">
        <f>VLOOKUP($A400,ordered_items!$B$2:$E$4784,3,0)</f>
        <v>1</v>
      </c>
      <c r="H400">
        <f>VLOOKUP($A400,ordered_items!$B$2:$E$4784,4,0)</f>
        <v>99.99</v>
      </c>
      <c r="I400" s="15">
        <f>VLOOKUP(F400,product_info!$A$2:$D$73,4,0)</f>
        <v>3</v>
      </c>
      <c r="J400" s="15" t="str">
        <f>VLOOKUP(I400,department!$A$2:$B$13,2,0)</f>
        <v>Footwear</v>
      </c>
      <c r="K400">
        <v>1772</v>
      </c>
      <c r="L400" t="s">
        <v>591</v>
      </c>
      <c r="M400" s="4">
        <v>43446</v>
      </c>
      <c r="N400" s="12">
        <f t="shared" si="19"/>
        <v>12</v>
      </c>
      <c r="O400" s="13">
        <f t="shared" si="20"/>
        <v>2018</v>
      </c>
      <c r="P400" t="s">
        <v>13</v>
      </c>
      <c r="Q400" t="s">
        <v>130</v>
      </c>
      <c r="R400" t="s">
        <v>38</v>
      </c>
      <c r="S400" t="str" cm="1">
        <f t="array" ref="S400">_xlfn.IFS(R400="COMPLETE", "COMPLETED", R400="CANCELED", "CANCELED", TRUE, "PENDING")</f>
        <v>PENDING</v>
      </c>
      <c r="T400" t="s">
        <v>90</v>
      </c>
      <c r="U400">
        <f>VLOOKUP(A400,ordered_items!$B:$E,4,0)</f>
        <v>99.99</v>
      </c>
    </row>
    <row r="401" spans="1:21" x14ac:dyDescent="0.3">
      <c r="A401">
        <v>23716</v>
      </c>
      <c r="B401" t="s">
        <v>24</v>
      </c>
      <c r="C401">
        <v>2</v>
      </c>
      <c r="D401">
        <v>2</v>
      </c>
      <c r="E401" t="str">
        <f t="shared" si="18"/>
        <v xml:space="preserve"> ONTIME</v>
      </c>
      <c r="F401">
        <f>VLOOKUP($A401,ordered_items!$B$2:$E$4784,2,0)</f>
        <v>957</v>
      </c>
      <c r="G401">
        <f>VLOOKUP($A401,ordered_items!$B$2:$E$4784,3,0)</f>
        <v>1</v>
      </c>
      <c r="H401">
        <f>VLOOKUP($A401,ordered_items!$B$2:$E$4784,4,0)</f>
        <v>299.98</v>
      </c>
      <c r="I401" s="15">
        <f>VLOOKUP(F401,product_info!$A$2:$D$73,4,0)</f>
        <v>7</v>
      </c>
      <c r="J401" s="15" t="str">
        <f>VLOOKUP(I401,department!$A$2:$B$13,2,0)</f>
        <v>Fan Shop</v>
      </c>
      <c r="K401">
        <v>2008</v>
      </c>
      <c r="L401" t="s">
        <v>591</v>
      </c>
      <c r="M401" s="4">
        <v>43446</v>
      </c>
      <c r="N401" s="12">
        <f t="shared" si="19"/>
        <v>12</v>
      </c>
      <c r="O401" s="13">
        <f t="shared" si="20"/>
        <v>2018</v>
      </c>
      <c r="P401" t="s">
        <v>13</v>
      </c>
      <c r="Q401" t="s">
        <v>130</v>
      </c>
      <c r="R401" t="s">
        <v>31</v>
      </c>
      <c r="S401" t="str" cm="1">
        <f t="array" ref="S401">_xlfn.IFS(R401="COMPLETE", "COMPLETED", R401="CANCELED", "CANCELED", TRUE, "PENDING")</f>
        <v>COMPLETED</v>
      </c>
      <c r="T401" t="s">
        <v>90</v>
      </c>
      <c r="U401">
        <f>VLOOKUP(A401,ordered_items!$B:$E,4,0)</f>
        <v>299.98</v>
      </c>
    </row>
    <row r="402" spans="1:21" x14ac:dyDescent="0.3">
      <c r="A402">
        <v>23717</v>
      </c>
      <c r="B402" t="s">
        <v>24</v>
      </c>
      <c r="C402">
        <v>3</v>
      </c>
      <c r="D402">
        <v>4</v>
      </c>
      <c r="E402" t="str">
        <f t="shared" si="18"/>
        <v xml:space="preserve"> ONTIME</v>
      </c>
      <c r="F402">
        <f>VLOOKUP($A402,ordered_items!$B$2:$E$4784,2,0)</f>
        <v>502</v>
      </c>
      <c r="G402">
        <f>VLOOKUP($A402,ordered_items!$B$2:$E$4784,3,0)</f>
        <v>1</v>
      </c>
      <c r="H402">
        <f>VLOOKUP($A402,ordered_items!$B$2:$E$4784,4,0)</f>
        <v>50</v>
      </c>
      <c r="I402" s="15">
        <f>VLOOKUP(F402,product_info!$A$2:$D$73,4,0)</f>
        <v>5</v>
      </c>
      <c r="J402" s="15" t="str">
        <f>VLOOKUP(I402,department!$A$2:$B$13,2,0)</f>
        <v>Golf</v>
      </c>
      <c r="K402">
        <v>6697</v>
      </c>
      <c r="L402" t="s">
        <v>285</v>
      </c>
      <c r="M402" s="4">
        <v>43446</v>
      </c>
      <c r="N402" s="12">
        <f t="shared" si="19"/>
        <v>12</v>
      </c>
      <c r="O402" s="13">
        <f t="shared" si="20"/>
        <v>2018</v>
      </c>
      <c r="P402" t="s">
        <v>13</v>
      </c>
      <c r="Q402" t="s">
        <v>286</v>
      </c>
      <c r="R402" t="s">
        <v>31</v>
      </c>
      <c r="S402" t="str" cm="1">
        <f t="array" ref="S402">_xlfn.IFS(R402="COMPLETE", "COMPLETED", R402="CANCELED", "CANCELED", TRUE, "PENDING")</f>
        <v>COMPLETED</v>
      </c>
      <c r="T402" t="s">
        <v>16</v>
      </c>
      <c r="U402">
        <f>VLOOKUP(A402,ordered_items!$B:$E,4,0)</f>
        <v>50</v>
      </c>
    </row>
    <row r="403" spans="1:21" x14ac:dyDescent="0.3">
      <c r="A403">
        <v>23724</v>
      </c>
      <c r="B403" t="s">
        <v>24</v>
      </c>
      <c r="C403">
        <v>5</v>
      </c>
      <c r="D403">
        <v>4</v>
      </c>
      <c r="E403" t="str">
        <f t="shared" si="18"/>
        <v>DELAYED</v>
      </c>
      <c r="F403">
        <f>VLOOKUP($A403,ordered_items!$B$2:$E$4784,2,0)</f>
        <v>502</v>
      </c>
      <c r="G403">
        <f>VLOOKUP($A403,ordered_items!$B$2:$E$4784,3,0)</f>
        <v>3</v>
      </c>
      <c r="H403">
        <f>VLOOKUP($A403,ordered_items!$B$2:$E$4784,4,0)</f>
        <v>150</v>
      </c>
      <c r="I403" s="15">
        <f>VLOOKUP(F403,product_info!$A$2:$D$73,4,0)</f>
        <v>5</v>
      </c>
      <c r="J403" s="15" t="str">
        <f>VLOOKUP(I403,department!$A$2:$B$13,2,0)</f>
        <v>Golf</v>
      </c>
      <c r="K403">
        <v>4120</v>
      </c>
      <c r="L403" t="s">
        <v>285</v>
      </c>
      <c r="M403" s="4">
        <v>43446</v>
      </c>
      <c r="N403" s="12">
        <f t="shared" si="19"/>
        <v>12</v>
      </c>
      <c r="O403" s="13">
        <f t="shared" si="20"/>
        <v>2018</v>
      </c>
      <c r="P403" t="s">
        <v>13</v>
      </c>
      <c r="Q403" t="s">
        <v>286</v>
      </c>
      <c r="R403" t="s">
        <v>31</v>
      </c>
      <c r="S403" t="str" cm="1">
        <f t="array" ref="S403">_xlfn.IFS(R403="COMPLETE", "COMPLETED", R403="CANCELED", "CANCELED", TRUE, "PENDING")</f>
        <v>COMPLETED</v>
      </c>
      <c r="T403" t="s">
        <v>16</v>
      </c>
      <c r="U403">
        <f>VLOOKUP(A403,ordered_items!$B:$E,4,0)</f>
        <v>150</v>
      </c>
    </row>
    <row r="404" spans="1:21" x14ac:dyDescent="0.3">
      <c r="A404">
        <v>23769</v>
      </c>
      <c r="B404" t="s">
        <v>24</v>
      </c>
      <c r="C404">
        <v>5</v>
      </c>
      <c r="D404">
        <v>4</v>
      </c>
      <c r="E404" t="str">
        <f t="shared" si="18"/>
        <v>DELAYED</v>
      </c>
      <c r="F404">
        <f>VLOOKUP($A404,ordered_items!$B$2:$E$4784,2,0)</f>
        <v>1004</v>
      </c>
      <c r="G404">
        <f>VLOOKUP($A404,ordered_items!$B$2:$E$4784,3,0)</f>
        <v>1</v>
      </c>
      <c r="H404">
        <f>VLOOKUP($A404,ordered_items!$B$2:$E$4784,4,0)</f>
        <v>399.98</v>
      </c>
      <c r="I404" s="15">
        <f>VLOOKUP(F404,product_info!$A$2:$D$73,4,0)</f>
        <v>7</v>
      </c>
      <c r="J404" s="15" t="str">
        <f>VLOOKUP(I404,department!$A$2:$B$13,2,0)</f>
        <v>Fan Shop</v>
      </c>
      <c r="K404">
        <v>5765</v>
      </c>
      <c r="L404" t="s">
        <v>84</v>
      </c>
      <c r="M404" s="4">
        <v>43446</v>
      </c>
      <c r="N404" s="12">
        <f t="shared" si="19"/>
        <v>12</v>
      </c>
      <c r="O404" s="13">
        <f t="shared" si="20"/>
        <v>2018</v>
      </c>
      <c r="P404" t="s">
        <v>13</v>
      </c>
      <c r="Q404" t="s">
        <v>80</v>
      </c>
      <c r="R404" t="s">
        <v>31</v>
      </c>
      <c r="S404" t="str" cm="1">
        <f t="array" ref="S404">_xlfn.IFS(R404="COMPLETE", "COMPLETED", R404="CANCELED", "CANCELED", TRUE, "PENDING")</f>
        <v>COMPLETED</v>
      </c>
      <c r="T404" t="s">
        <v>16</v>
      </c>
      <c r="U404">
        <f>VLOOKUP(A404,ordered_items!$B:$E,4,0)</f>
        <v>399.98</v>
      </c>
    </row>
    <row r="405" spans="1:21" x14ac:dyDescent="0.3">
      <c r="A405">
        <v>23831</v>
      </c>
      <c r="B405" t="s">
        <v>24</v>
      </c>
      <c r="C405">
        <v>2</v>
      </c>
      <c r="D405">
        <v>1</v>
      </c>
      <c r="E405" t="str">
        <f t="shared" si="18"/>
        <v>DELAYED</v>
      </c>
      <c r="F405">
        <f>VLOOKUP($A405,ordered_items!$B$2:$E$4784,2,0)</f>
        <v>957</v>
      </c>
      <c r="G405">
        <f>VLOOKUP($A405,ordered_items!$B$2:$E$4784,3,0)</f>
        <v>1</v>
      </c>
      <c r="H405">
        <f>VLOOKUP($A405,ordered_items!$B$2:$E$4784,4,0)</f>
        <v>299.98</v>
      </c>
      <c r="I405" s="15">
        <f>VLOOKUP(F405,product_info!$A$2:$D$73,4,0)</f>
        <v>7</v>
      </c>
      <c r="J405" s="15" t="str">
        <f>VLOOKUP(I405,department!$A$2:$B$13,2,0)</f>
        <v>Fan Shop</v>
      </c>
      <c r="K405">
        <v>5612</v>
      </c>
      <c r="L405" t="s">
        <v>430</v>
      </c>
      <c r="M405" s="4">
        <v>43447</v>
      </c>
      <c r="N405" s="12">
        <f t="shared" si="19"/>
        <v>12</v>
      </c>
      <c r="O405" s="13">
        <f t="shared" si="20"/>
        <v>2018</v>
      </c>
      <c r="P405" t="s">
        <v>13</v>
      </c>
      <c r="Q405" t="s">
        <v>431</v>
      </c>
      <c r="R405" t="s">
        <v>31</v>
      </c>
      <c r="S405" t="str" cm="1">
        <f t="array" ref="S405">_xlfn.IFS(R405="COMPLETE", "COMPLETED", R405="CANCELED", "CANCELED", TRUE, "PENDING")</f>
        <v>COMPLETED</v>
      </c>
      <c r="T405" t="s">
        <v>32</v>
      </c>
      <c r="U405">
        <f>VLOOKUP(A405,ordered_items!$B:$E,4,0)</f>
        <v>299.98</v>
      </c>
    </row>
    <row r="406" spans="1:21" x14ac:dyDescent="0.3">
      <c r="A406">
        <v>23832</v>
      </c>
      <c r="B406" t="s">
        <v>24</v>
      </c>
      <c r="C406">
        <v>2</v>
      </c>
      <c r="D406">
        <v>1</v>
      </c>
      <c r="E406" t="str">
        <f t="shared" si="18"/>
        <v>DELAYED</v>
      </c>
      <c r="F406">
        <f>VLOOKUP($A406,ordered_items!$B$2:$E$4784,2,0)</f>
        <v>403</v>
      </c>
      <c r="G406">
        <f>VLOOKUP($A406,ordered_items!$B$2:$E$4784,3,0)</f>
        <v>1</v>
      </c>
      <c r="H406">
        <f>VLOOKUP($A406,ordered_items!$B$2:$E$4784,4,0)</f>
        <v>129.99</v>
      </c>
      <c r="I406" s="15">
        <f>VLOOKUP(F406,product_info!$A$2:$D$73,4,0)</f>
        <v>4</v>
      </c>
      <c r="J406" s="15" t="str">
        <f>VLOOKUP(I406,department!$A$2:$B$13,2,0)</f>
        <v>Apparel</v>
      </c>
      <c r="K406">
        <v>3581</v>
      </c>
      <c r="L406" t="s">
        <v>430</v>
      </c>
      <c r="M406" s="4">
        <v>43447</v>
      </c>
      <c r="N406" s="12">
        <f t="shared" si="19"/>
        <v>12</v>
      </c>
      <c r="O406" s="13">
        <f t="shared" si="20"/>
        <v>2018</v>
      </c>
      <c r="P406" t="s">
        <v>13</v>
      </c>
      <c r="Q406" t="s">
        <v>431</v>
      </c>
      <c r="R406" t="s">
        <v>31</v>
      </c>
      <c r="S406" t="str" cm="1">
        <f t="array" ref="S406">_xlfn.IFS(R406="COMPLETE", "COMPLETED", R406="CANCELED", "CANCELED", TRUE, "PENDING")</f>
        <v>COMPLETED</v>
      </c>
      <c r="T406" t="s">
        <v>32</v>
      </c>
      <c r="U406">
        <f>VLOOKUP(A406,ordered_items!$B:$E,4,0)</f>
        <v>129.99</v>
      </c>
    </row>
    <row r="407" spans="1:21" x14ac:dyDescent="0.3">
      <c r="A407">
        <v>23834</v>
      </c>
      <c r="B407" t="s">
        <v>51</v>
      </c>
      <c r="C407">
        <v>5</v>
      </c>
      <c r="D407">
        <v>2</v>
      </c>
      <c r="E407" t="str">
        <f t="shared" si="18"/>
        <v>DELAYED</v>
      </c>
      <c r="F407">
        <f>VLOOKUP($A407,ordered_items!$B$2:$E$4784,2,0)</f>
        <v>403</v>
      </c>
      <c r="G407">
        <f>VLOOKUP($A407,ordered_items!$B$2:$E$4784,3,0)</f>
        <v>1</v>
      </c>
      <c r="H407">
        <f>VLOOKUP($A407,ordered_items!$B$2:$E$4784,4,0)</f>
        <v>129.99</v>
      </c>
      <c r="I407" s="15">
        <f>VLOOKUP(F407,product_info!$A$2:$D$73,4,0)</f>
        <v>4</v>
      </c>
      <c r="J407" s="15" t="str">
        <f>VLOOKUP(I407,department!$A$2:$B$13,2,0)</f>
        <v>Apparel</v>
      </c>
      <c r="K407">
        <v>10823</v>
      </c>
      <c r="L407" t="s">
        <v>525</v>
      </c>
      <c r="M407" s="4">
        <v>43447</v>
      </c>
      <c r="N407" s="12">
        <f t="shared" si="19"/>
        <v>12</v>
      </c>
      <c r="O407" s="13">
        <f t="shared" si="20"/>
        <v>2018</v>
      </c>
      <c r="P407" t="s">
        <v>13</v>
      </c>
      <c r="Q407" t="s">
        <v>5778</v>
      </c>
      <c r="R407" t="s">
        <v>57</v>
      </c>
      <c r="S407" t="str" cm="1">
        <f t="array" ref="S407">_xlfn.IFS(R407="COMPLETE", "COMPLETED", R407="CANCELED", "CANCELED", TRUE, "PENDING")</f>
        <v>PENDING</v>
      </c>
      <c r="T407" t="s">
        <v>90</v>
      </c>
      <c r="U407">
        <f>VLOOKUP(A407,ordered_items!$B:$E,4,0)</f>
        <v>129.99</v>
      </c>
    </row>
    <row r="408" spans="1:21" x14ac:dyDescent="0.3">
      <c r="A408">
        <v>23835</v>
      </c>
      <c r="B408" t="s">
        <v>3</v>
      </c>
      <c r="C408">
        <v>6</v>
      </c>
      <c r="D408">
        <v>2</v>
      </c>
      <c r="E408" t="str">
        <f t="shared" si="18"/>
        <v>DELAYED</v>
      </c>
      <c r="F408">
        <f>VLOOKUP($A408,ordered_items!$B$2:$E$4784,2,0)</f>
        <v>365</v>
      </c>
      <c r="G408">
        <f>VLOOKUP($A408,ordered_items!$B$2:$E$4784,3,0)</f>
        <v>1</v>
      </c>
      <c r="H408">
        <f>VLOOKUP($A408,ordered_items!$B$2:$E$4784,4,0)</f>
        <v>59.99</v>
      </c>
      <c r="I408" s="15">
        <f>VLOOKUP(F408,product_info!$A$2:$D$73,4,0)</f>
        <v>4</v>
      </c>
      <c r="J408" s="15" t="str">
        <f>VLOOKUP(I408,department!$A$2:$B$13,2,0)</f>
        <v>Apparel</v>
      </c>
      <c r="K408">
        <v>33</v>
      </c>
      <c r="L408" t="s">
        <v>525</v>
      </c>
      <c r="M408" s="4">
        <v>43447</v>
      </c>
      <c r="N408" s="12">
        <f t="shared" si="19"/>
        <v>12</v>
      </c>
      <c r="O408" s="13">
        <f t="shared" si="20"/>
        <v>2018</v>
      </c>
      <c r="P408" t="s">
        <v>13</v>
      </c>
      <c r="Q408" t="s">
        <v>5778</v>
      </c>
      <c r="R408" t="s">
        <v>14</v>
      </c>
      <c r="S408" t="str" cm="1">
        <f t="array" ref="S408">_xlfn.IFS(R408="COMPLETE", "COMPLETED", R408="CANCELED", "CANCELED", TRUE, "PENDING")</f>
        <v>PENDING</v>
      </c>
      <c r="T408" t="s">
        <v>90</v>
      </c>
      <c r="U408">
        <f>VLOOKUP(A408,ordered_items!$B:$E,4,0)</f>
        <v>59.99</v>
      </c>
    </row>
    <row r="409" spans="1:21" x14ac:dyDescent="0.3">
      <c r="A409">
        <v>23836</v>
      </c>
      <c r="B409" t="s">
        <v>3</v>
      </c>
      <c r="C409">
        <v>2</v>
      </c>
      <c r="D409">
        <v>2</v>
      </c>
      <c r="E409" t="str">
        <f t="shared" si="18"/>
        <v xml:space="preserve"> ONTIME</v>
      </c>
      <c r="F409">
        <f>VLOOKUP($A409,ordered_items!$B$2:$E$4784,2,0)</f>
        <v>957</v>
      </c>
      <c r="G409">
        <f>VLOOKUP($A409,ordered_items!$B$2:$E$4784,3,0)</f>
        <v>1</v>
      </c>
      <c r="H409">
        <f>VLOOKUP($A409,ordered_items!$B$2:$E$4784,4,0)</f>
        <v>299.98</v>
      </c>
      <c r="I409" s="15">
        <f>VLOOKUP(F409,product_info!$A$2:$D$73,4,0)</f>
        <v>7</v>
      </c>
      <c r="J409" s="15" t="str">
        <f>VLOOKUP(I409,department!$A$2:$B$13,2,0)</f>
        <v>Fan Shop</v>
      </c>
      <c r="K409">
        <v>8858</v>
      </c>
      <c r="L409" t="s">
        <v>525</v>
      </c>
      <c r="M409" s="4">
        <v>43447</v>
      </c>
      <c r="N409" s="12">
        <f t="shared" si="19"/>
        <v>12</v>
      </c>
      <c r="O409" s="13">
        <f t="shared" si="20"/>
        <v>2018</v>
      </c>
      <c r="P409" t="s">
        <v>13</v>
      </c>
      <c r="Q409" t="s">
        <v>5778</v>
      </c>
      <c r="R409" t="s">
        <v>235</v>
      </c>
      <c r="S409" t="str" cm="1">
        <f t="array" ref="S409">_xlfn.IFS(R409="COMPLETE", "COMPLETED", R409="CANCELED", "CANCELED", TRUE, "PENDING")</f>
        <v>CANCELED</v>
      </c>
      <c r="T409" t="s">
        <v>90</v>
      </c>
      <c r="U409">
        <f>VLOOKUP(A409,ordered_items!$B:$E,4,0)</f>
        <v>299.98</v>
      </c>
    </row>
    <row r="410" spans="1:21" x14ac:dyDescent="0.3">
      <c r="A410">
        <v>23837</v>
      </c>
      <c r="B410" t="s">
        <v>17</v>
      </c>
      <c r="C410">
        <v>3</v>
      </c>
      <c r="D410">
        <v>2</v>
      </c>
      <c r="E410" t="str">
        <f t="shared" si="18"/>
        <v>DELAYED</v>
      </c>
      <c r="F410">
        <f>VLOOKUP($A410,ordered_items!$B$2:$E$4784,2,0)</f>
        <v>1014</v>
      </c>
      <c r="G410">
        <f>VLOOKUP($A410,ordered_items!$B$2:$E$4784,3,0)</f>
        <v>3</v>
      </c>
      <c r="H410">
        <f>VLOOKUP($A410,ordered_items!$B$2:$E$4784,4,0)</f>
        <v>149.94</v>
      </c>
      <c r="I410" s="15">
        <f>VLOOKUP(F410,product_info!$A$2:$D$73,4,0)</f>
        <v>7</v>
      </c>
      <c r="J410" s="15" t="str">
        <f>VLOOKUP(I410,department!$A$2:$B$13,2,0)</f>
        <v>Fan Shop</v>
      </c>
      <c r="K410">
        <v>4109</v>
      </c>
      <c r="L410" t="s">
        <v>525</v>
      </c>
      <c r="M410" s="4">
        <v>43447</v>
      </c>
      <c r="N410" s="12">
        <f t="shared" si="19"/>
        <v>12</v>
      </c>
      <c r="O410" s="13">
        <f t="shared" si="20"/>
        <v>2018</v>
      </c>
      <c r="P410" t="s">
        <v>13</v>
      </c>
      <c r="Q410" t="s">
        <v>5778</v>
      </c>
      <c r="R410" t="s">
        <v>23</v>
      </c>
      <c r="S410" t="str" cm="1">
        <f t="array" ref="S410">_xlfn.IFS(R410="COMPLETE", "COMPLETED", R410="CANCELED", "CANCELED", TRUE, "PENDING")</f>
        <v>PENDING</v>
      </c>
      <c r="T410" t="s">
        <v>90</v>
      </c>
      <c r="U410">
        <f>VLOOKUP(A410,ordered_items!$B:$E,4,0)</f>
        <v>149.94</v>
      </c>
    </row>
    <row r="411" spans="1:21" x14ac:dyDescent="0.3">
      <c r="A411">
        <v>23838</v>
      </c>
      <c r="B411" t="s">
        <v>51</v>
      </c>
      <c r="C411">
        <v>4</v>
      </c>
      <c r="D411">
        <v>2</v>
      </c>
      <c r="E411" t="str">
        <f t="shared" si="18"/>
        <v>DELAYED</v>
      </c>
      <c r="F411">
        <f>VLOOKUP($A411,ordered_items!$B$2:$E$4784,2,0)</f>
        <v>1004</v>
      </c>
      <c r="G411">
        <f>VLOOKUP($A411,ordered_items!$B$2:$E$4784,3,0)</f>
        <v>1</v>
      </c>
      <c r="H411">
        <f>VLOOKUP($A411,ordered_items!$B$2:$E$4784,4,0)</f>
        <v>399.98</v>
      </c>
      <c r="I411" s="15">
        <f>VLOOKUP(F411,product_info!$A$2:$D$73,4,0)</f>
        <v>7</v>
      </c>
      <c r="J411" s="15" t="str">
        <f>VLOOKUP(I411,department!$A$2:$B$13,2,0)</f>
        <v>Fan Shop</v>
      </c>
      <c r="K411">
        <v>7333</v>
      </c>
      <c r="L411" t="s">
        <v>525</v>
      </c>
      <c r="M411" s="4">
        <v>43447</v>
      </c>
      <c r="N411" s="12">
        <f t="shared" si="19"/>
        <v>12</v>
      </c>
      <c r="O411" s="13">
        <f t="shared" si="20"/>
        <v>2018</v>
      </c>
      <c r="P411" t="s">
        <v>13</v>
      </c>
      <c r="Q411" t="s">
        <v>5778</v>
      </c>
      <c r="R411" t="s">
        <v>57</v>
      </c>
      <c r="S411" t="str" cm="1">
        <f t="array" ref="S411">_xlfn.IFS(R411="COMPLETE", "COMPLETED", R411="CANCELED", "CANCELED", TRUE, "PENDING")</f>
        <v>PENDING</v>
      </c>
      <c r="T411" t="s">
        <v>90</v>
      </c>
      <c r="U411">
        <f>VLOOKUP(A411,ordered_items!$B:$E,4,0)</f>
        <v>399.98</v>
      </c>
    </row>
    <row r="412" spans="1:21" x14ac:dyDescent="0.3">
      <c r="A412">
        <v>23839</v>
      </c>
      <c r="B412" t="s">
        <v>3</v>
      </c>
      <c r="C412">
        <v>5</v>
      </c>
      <c r="D412">
        <v>4</v>
      </c>
      <c r="E412" t="str">
        <f t="shared" si="18"/>
        <v>DELAYED</v>
      </c>
      <c r="F412">
        <f>VLOOKUP($A412,ordered_items!$B$2:$E$4784,2,0)</f>
        <v>822</v>
      </c>
      <c r="G412">
        <f>VLOOKUP($A412,ordered_items!$B$2:$E$4784,3,0)</f>
        <v>5</v>
      </c>
      <c r="H412">
        <f>VLOOKUP($A412,ordered_items!$B$2:$E$4784,4,0)</f>
        <v>239.95</v>
      </c>
      <c r="I412" s="15">
        <f>VLOOKUP(F412,product_info!$A$2:$D$73,4,0)</f>
        <v>6</v>
      </c>
      <c r="J412" s="15" t="str">
        <f>VLOOKUP(I412,department!$A$2:$B$13,2,0)</f>
        <v>Outdoors</v>
      </c>
      <c r="K412">
        <v>1094</v>
      </c>
      <c r="L412" t="s">
        <v>525</v>
      </c>
      <c r="M412" s="4">
        <v>43447</v>
      </c>
      <c r="N412" s="12">
        <f t="shared" si="19"/>
        <v>12</v>
      </c>
      <c r="O412" s="13">
        <f t="shared" si="20"/>
        <v>2018</v>
      </c>
      <c r="P412" t="s">
        <v>13</v>
      </c>
      <c r="Q412" t="s">
        <v>5778</v>
      </c>
      <c r="R412" t="s">
        <v>38</v>
      </c>
      <c r="S412" t="str" cm="1">
        <f t="array" ref="S412">_xlfn.IFS(R412="COMPLETE", "COMPLETED", R412="CANCELED", "CANCELED", TRUE, "PENDING")</f>
        <v>PENDING</v>
      </c>
      <c r="T412" t="s">
        <v>16</v>
      </c>
      <c r="U412">
        <f>VLOOKUP(A412,ordered_items!$B:$E,4,0)</f>
        <v>239.95</v>
      </c>
    </row>
    <row r="413" spans="1:21" x14ac:dyDescent="0.3">
      <c r="A413">
        <v>23840</v>
      </c>
      <c r="B413" t="s">
        <v>3</v>
      </c>
      <c r="C413">
        <v>6</v>
      </c>
      <c r="D413">
        <v>4</v>
      </c>
      <c r="E413" t="str">
        <f t="shared" si="18"/>
        <v>DELAYED</v>
      </c>
      <c r="F413">
        <f>VLOOKUP($A413,ordered_items!$B$2:$E$4784,2,0)</f>
        <v>1073</v>
      </c>
      <c r="G413">
        <f>VLOOKUP($A413,ordered_items!$B$2:$E$4784,3,0)</f>
        <v>1</v>
      </c>
      <c r="H413">
        <f>VLOOKUP($A413,ordered_items!$B$2:$E$4784,4,0)</f>
        <v>199.99</v>
      </c>
      <c r="I413" s="15">
        <f>VLOOKUP(F413,product_info!$A$2:$D$73,4,0)</f>
        <v>7</v>
      </c>
      <c r="J413" s="15" t="str">
        <f>VLOOKUP(I413,department!$A$2:$B$13,2,0)</f>
        <v>Fan Shop</v>
      </c>
      <c r="K413">
        <v>9222</v>
      </c>
      <c r="L413" t="s">
        <v>525</v>
      </c>
      <c r="M413" s="4">
        <v>43447</v>
      </c>
      <c r="N413" s="12">
        <f t="shared" si="19"/>
        <v>12</v>
      </c>
      <c r="O413" s="13">
        <f t="shared" si="20"/>
        <v>2018</v>
      </c>
      <c r="P413" t="s">
        <v>13</v>
      </c>
      <c r="Q413" t="s">
        <v>5778</v>
      </c>
      <c r="R413" t="s">
        <v>14</v>
      </c>
      <c r="S413" t="str" cm="1">
        <f t="array" ref="S413">_xlfn.IFS(R413="COMPLETE", "COMPLETED", R413="CANCELED", "CANCELED", TRUE, "PENDING")</f>
        <v>PENDING</v>
      </c>
      <c r="T413" t="s">
        <v>16</v>
      </c>
      <c r="U413">
        <f>VLOOKUP(A413,ordered_items!$B:$E,4,0)</f>
        <v>199.99</v>
      </c>
    </row>
    <row r="414" spans="1:21" x14ac:dyDescent="0.3">
      <c r="A414">
        <v>23841</v>
      </c>
      <c r="B414" t="s">
        <v>3</v>
      </c>
      <c r="C414">
        <v>2</v>
      </c>
      <c r="D414">
        <v>1</v>
      </c>
      <c r="E414" t="str">
        <f t="shared" si="18"/>
        <v>DELAYED</v>
      </c>
      <c r="F414">
        <f>VLOOKUP($A414,ordered_items!$B$2:$E$4784,2,0)</f>
        <v>502</v>
      </c>
      <c r="G414">
        <f>VLOOKUP($A414,ordered_items!$B$2:$E$4784,3,0)</f>
        <v>1</v>
      </c>
      <c r="H414">
        <f>VLOOKUP($A414,ordered_items!$B$2:$E$4784,4,0)</f>
        <v>50</v>
      </c>
      <c r="I414" s="15">
        <f>VLOOKUP(F414,product_info!$A$2:$D$73,4,0)</f>
        <v>5</v>
      </c>
      <c r="J414" s="15" t="str">
        <f>VLOOKUP(I414,department!$A$2:$B$13,2,0)</f>
        <v>Golf</v>
      </c>
      <c r="K414">
        <v>4406</v>
      </c>
      <c r="L414" t="s">
        <v>525</v>
      </c>
      <c r="M414" s="4">
        <v>43448</v>
      </c>
      <c r="N414" s="12">
        <f t="shared" si="19"/>
        <v>12</v>
      </c>
      <c r="O414" s="13">
        <f t="shared" si="20"/>
        <v>2018</v>
      </c>
      <c r="P414" t="s">
        <v>13</v>
      </c>
      <c r="Q414" t="s">
        <v>5778</v>
      </c>
      <c r="R414" t="s">
        <v>38</v>
      </c>
      <c r="S414" t="str" cm="1">
        <f t="array" ref="S414">_xlfn.IFS(R414="COMPLETE", "COMPLETED", R414="CANCELED", "CANCELED", TRUE, "PENDING")</f>
        <v>PENDING</v>
      </c>
      <c r="T414" t="s">
        <v>32</v>
      </c>
      <c r="U414">
        <f>VLOOKUP(A414,ordered_items!$B:$E,4,0)</f>
        <v>50</v>
      </c>
    </row>
    <row r="415" spans="1:21" x14ac:dyDescent="0.3">
      <c r="A415">
        <v>23842</v>
      </c>
      <c r="B415" t="s">
        <v>17</v>
      </c>
      <c r="C415">
        <v>2</v>
      </c>
      <c r="D415">
        <v>1</v>
      </c>
      <c r="E415" t="str">
        <f t="shared" si="18"/>
        <v>DELAYED</v>
      </c>
      <c r="F415">
        <f>VLOOKUP($A415,ordered_items!$B$2:$E$4784,2,0)</f>
        <v>403</v>
      </c>
      <c r="G415">
        <f>VLOOKUP($A415,ordered_items!$B$2:$E$4784,3,0)</f>
        <v>1</v>
      </c>
      <c r="H415">
        <f>VLOOKUP($A415,ordered_items!$B$2:$E$4784,4,0)</f>
        <v>129.99</v>
      </c>
      <c r="I415" s="15">
        <f>VLOOKUP(F415,product_info!$A$2:$D$73,4,0)</f>
        <v>4</v>
      </c>
      <c r="J415" s="15" t="str">
        <f>VLOOKUP(I415,department!$A$2:$B$13,2,0)</f>
        <v>Apparel</v>
      </c>
      <c r="K415">
        <v>11841</v>
      </c>
      <c r="L415" t="s">
        <v>525</v>
      </c>
      <c r="M415" s="4">
        <v>43448</v>
      </c>
      <c r="N415" s="12">
        <f t="shared" si="19"/>
        <v>12</v>
      </c>
      <c r="O415" s="13">
        <f t="shared" si="20"/>
        <v>2018</v>
      </c>
      <c r="P415" t="s">
        <v>13</v>
      </c>
      <c r="Q415" t="s">
        <v>5778</v>
      </c>
      <c r="R415" t="s">
        <v>23</v>
      </c>
      <c r="S415" t="str" cm="1">
        <f t="array" ref="S415">_xlfn.IFS(R415="COMPLETE", "COMPLETED", R415="CANCELED", "CANCELED", TRUE, "PENDING")</f>
        <v>PENDING</v>
      </c>
      <c r="T415" t="s">
        <v>32</v>
      </c>
      <c r="U415">
        <f>VLOOKUP(A415,ordered_items!$B:$E,4,0)</f>
        <v>129.99</v>
      </c>
    </row>
    <row r="416" spans="1:21" x14ac:dyDescent="0.3">
      <c r="A416">
        <v>23843</v>
      </c>
      <c r="B416" t="s">
        <v>51</v>
      </c>
      <c r="C416">
        <v>4</v>
      </c>
      <c r="D416">
        <v>2</v>
      </c>
      <c r="E416" t="str">
        <f t="shared" si="18"/>
        <v>DELAYED</v>
      </c>
      <c r="F416">
        <f>VLOOKUP($A416,ordered_items!$B$2:$E$4784,2,0)</f>
        <v>403</v>
      </c>
      <c r="G416">
        <f>VLOOKUP($A416,ordered_items!$B$2:$E$4784,3,0)</f>
        <v>1</v>
      </c>
      <c r="H416">
        <f>VLOOKUP($A416,ordered_items!$B$2:$E$4784,4,0)</f>
        <v>129.99</v>
      </c>
      <c r="I416" s="15">
        <f>VLOOKUP(F416,product_info!$A$2:$D$73,4,0)</f>
        <v>4</v>
      </c>
      <c r="J416" s="15" t="str">
        <f>VLOOKUP(I416,department!$A$2:$B$13,2,0)</f>
        <v>Apparel</v>
      </c>
      <c r="K416">
        <v>9777</v>
      </c>
      <c r="L416" t="s">
        <v>525</v>
      </c>
      <c r="M416" s="4">
        <v>43448</v>
      </c>
      <c r="N416" s="12">
        <f t="shared" si="19"/>
        <v>12</v>
      </c>
      <c r="O416" s="13">
        <f t="shared" si="20"/>
        <v>2018</v>
      </c>
      <c r="P416" t="s">
        <v>13</v>
      </c>
      <c r="Q416" t="s">
        <v>5778</v>
      </c>
      <c r="R416" t="s">
        <v>57</v>
      </c>
      <c r="S416" t="str" cm="1">
        <f t="array" ref="S416">_xlfn.IFS(R416="COMPLETE", "COMPLETED", R416="CANCELED", "CANCELED", TRUE, "PENDING")</f>
        <v>PENDING</v>
      </c>
      <c r="T416" t="s">
        <v>90</v>
      </c>
      <c r="U416">
        <f>VLOOKUP(A416,ordered_items!$B:$E,4,0)</f>
        <v>129.99</v>
      </c>
    </row>
    <row r="417" spans="1:21" x14ac:dyDescent="0.3">
      <c r="A417">
        <v>23844</v>
      </c>
      <c r="B417" t="s">
        <v>51</v>
      </c>
      <c r="C417">
        <v>5</v>
      </c>
      <c r="D417">
        <v>2</v>
      </c>
      <c r="E417" t="str">
        <f t="shared" si="18"/>
        <v>DELAYED</v>
      </c>
      <c r="F417">
        <f>VLOOKUP($A417,ordered_items!$B$2:$E$4784,2,0)</f>
        <v>403</v>
      </c>
      <c r="G417">
        <f>VLOOKUP($A417,ordered_items!$B$2:$E$4784,3,0)</f>
        <v>1</v>
      </c>
      <c r="H417">
        <f>VLOOKUP($A417,ordered_items!$B$2:$E$4784,4,0)</f>
        <v>129.99</v>
      </c>
      <c r="I417" s="15">
        <f>VLOOKUP(F417,product_info!$A$2:$D$73,4,0)</f>
        <v>4</v>
      </c>
      <c r="J417" s="15" t="str">
        <f>VLOOKUP(I417,department!$A$2:$B$13,2,0)</f>
        <v>Apparel</v>
      </c>
      <c r="K417">
        <v>8362</v>
      </c>
      <c r="L417" t="s">
        <v>84</v>
      </c>
      <c r="M417" s="4">
        <v>43448</v>
      </c>
      <c r="N417" s="12">
        <f t="shared" si="19"/>
        <v>12</v>
      </c>
      <c r="O417" s="13">
        <f t="shared" si="20"/>
        <v>2018</v>
      </c>
      <c r="P417" t="s">
        <v>13</v>
      </c>
      <c r="Q417" t="s">
        <v>80</v>
      </c>
      <c r="R417" t="s">
        <v>57</v>
      </c>
      <c r="S417" t="str" cm="1">
        <f t="array" ref="S417">_xlfn.IFS(R417="COMPLETE", "COMPLETED", R417="CANCELED", "CANCELED", TRUE, "PENDING")</f>
        <v>PENDING</v>
      </c>
      <c r="T417" t="s">
        <v>90</v>
      </c>
      <c r="U417">
        <f>VLOOKUP(A417,ordered_items!$B:$E,4,0)</f>
        <v>129.99</v>
      </c>
    </row>
    <row r="418" spans="1:21" x14ac:dyDescent="0.3">
      <c r="A418">
        <v>23870</v>
      </c>
      <c r="B418" t="s">
        <v>3</v>
      </c>
      <c r="C418">
        <v>6</v>
      </c>
      <c r="D418">
        <v>4</v>
      </c>
      <c r="E418" t="str">
        <f t="shared" si="18"/>
        <v>DELAYED</v>
      </c>
      <c r="F418">
        <f>VLOOKUP($A418,ordered_items!$B$2:$E$4784,2,0)</f>
        <v>403</v>
      </c>
      <c r="G418">
        <f>VLOOKUP($A418,ordered_items!$B$2:$E$4784,3,0)</f>
        <v>1</v>
      </c>
      <c r="H418">
        <f>VLOOKUP($A418,ordered_items!$B$2:$E$4784,4,0)</f>
        <v>129.99</v>
      </c>
      <c r="I418" s="15">
        <f>VLOOKUP(F418,product_info!$A$2:$D$73,4,0)</f>
        <v>4</v>
      </c>
      <c r="J418" s="15" t="str">
        <f>VLOOKUP(I418,department!$A$2:$B$13,2,0)</f>
        <v>Apparel</v>
      </c>
      <c r="K418">
        <v>8418</v>
      </c>
      <c r="L418" t="s">
        <v>253</v>
      </c>
      <c r="M418" s="4">
        <v>43448</v>
      </c>
      <c r="N418" s="12">
        <f t="shared" si="19"/>
        <v>12</v>
      </c>
      <c r="O418" s="13">
        <f t="shared" si="20"/>
        <v>2018</v>
      </c>
      <c r="P418" t="s">
        <v>13</v>
      </c>
      <c r="Q418" t="s">
        <v>30</v>
      </c>
      <c r="R418" t="s">
        <v>38</v>
      </c>
      <c r="S418" t="str" cm="1">
        <f t="array" ref="S418">_xlfn.IFS(R418="COMPLETE", "COMPLETED", R418="CANCELED", "CANCELED", TRUE, "PENDING")</f>
        <v>PENDING</v>
      </c>
      <c r="T418" t="s">
        <v>16</v>
      </c>
      <c r="U418">
        <f>VLOOKUP(A418,ordered_items!$B:$E,4,0)</f>
        <v>129.99</v>
      </c>
    </row>
    <row r="419" spans="1:21" x14ac:dyDescent="0.3">
      <c r="A419">
        <v>23871</v>
      </c>
      <c r="B419" t="s">
        <v>24</v>
      </c>
      <c r="C419">
        <v>2</v>
      </c>
      <c r="D419">
        <v>4</v>
      </c>
      <c r="E419" t="str">
        <f t="shared" si="18"/>
        <v xml:space="preserve"> ONTIME</v>
      </c>
      <c r="F419">
        <f>VLOOKUP($A419,ordered_items!$B$2:$E$4784,2,0)</f>
        <v>1014</v>
      </c>
      <c r="G419">
        <f>VLOOKUP($A419,ordered_items!$B$2:$E$4784,3,0)</f>
        <v>4</v>
      </c>
      <c r="H419">
        <f>VLOOKUP($A419,ordered_items!$B$2:$E$4784,4,0)</f>
        <v>199.92</v>
      </c>
      <c r="I419" s="15">
        <f>VLOOKUP(F419,product_info!$A$2:$D$73,4,0)</f>
        <v>7</v>
      </c>
      <c r="J419" s="15" t="str">
        <f>VLOOKUP(I419,department!$A$2:$B$13,2,0)</f>
        <v>Fan Shop</v>
      </c>
      <c r="K419">
        <v>3217</v>
      </c>
      <c r="L419" t="s">
        <v>253</v>
      </c>
      <c r="M419" s="4">
        <v>43448</v>
      </c>
      <c r="N419" s="12">
        <f t="shared" si="19"/>
        <v>12</v>
      </c>
      <c r="O419" s="13">
        <f t="shared" si="20"/>
        <v>2018</v>
      </c>
      <c r="P419" t="s">
        <v>13</v>
      </c>
      <c r="Q419" t="s">
        <v>30</v>
      </c>
      <c r="R419" t="s">
        <v>31</v>
      </c>
      <c r="S419" t="str" cm="1">
        <f t="array" ref="S419">_xlfn.IFS(R419="COMPLETE", "COMPLETED", R419="CANCELED", "CANCELED", TRUE, "PENDING")</f>
        <v>COMPLETED</v>
      </c>
      <c r="T419" t="s">
        <v>16</v>
      </c>
      <c r="U419">
        <f>VLOOKUP(A419,ordered_items!$B:$E,4,0)</f>
        <v>199.92</v>
      </c>
    </row>
    <row r="420" spans="1:21" x14ac:dyDescent="0.3">
      <c r="A420">
        <v>23872</v>
      </c>
      <c r="B420" t="s">
        <v>51</v>
      </c>
      <c r="C420">
        <v>3</v>
      </c>
      <c r="D420">
        <v>4</v>
      </c>
      <c r="E420" t="str">
        <f t="shared" si="18"/>
        <v xml:space="preserve"> ONTIME</v>
      </c>
      <c r="F420">
        <f>VLOOKUP($A420,ordered_items!$B$2:$E$4784,2,0)</f>
        <v>365</v>
      </c>
      <c r="G420">
        <f>VLOOKUP($A420,ordered_items!$B$2:$E$4784,3,0)</f>
        <v>1</v>
      </c>
      <c r="H420">
        <f>VLOOKUP($A420,ordered_items!$B$2:$E$4784,4,0)</f>
        <v>59.99</v>
      </c>
      <c r="I420" s="15">
        <f>VLOOKUP(F420,product_info!$A$2:$D$73,4,0)</f>
        <v>4</v>
      </c>
      <c r="J420" s="15" t="str">
        <f>VLOOKUP(I420,department!$A$2:$B$13,2,0)</f>
        <v>Apparel</v>
      </c>
      <c r="K420">
        <v>5146</v>
      </c>
      <c r="L420" t="s">
        <v>253</v>
      </c>
      <c r="M420" s="4">
        <v>43448</v>
      </c>
      <c r="N420" s="12">
        <f t="shared" si="19"/>
        <v>12</v>
      </c>
      <c r="O420" s="13">
        <f t="shared" si="20"/>
        <v>2018</v>
      </c>
      <c r="P420" t="s">
        <v>13</v>
      </c>
      <c r="Q420" t="s">
        <v>30</v>
      </c>
      <c r="R420" t="s">
        <v>57</v>
      </c>
      <c r="S420" t="str" cm="1">
        <f t="array" ref="S420">_xlfn.IFS(R420="COMPLETE", "COMPLETED", R420="CANCELED", "CANCELED", TRUE, "PENDING")</f>
        <v>PENDING</v>
      </c>
      <c r="T420" t="s">
        <v>16</v>
      </c>
      <c r="U420">
        <f>VLOOKUP(A420,ordered_items!$B:$E,4,0)</f>
        <v>59.99</v>
      </c>
    </row>
    <row r="421" spans="1:21" x14ac:dyDescent="0.3">
      <c r="A421">
        <v>23873</v>
      </c>
      <c r="B421" t="s">
        <v>51</v>
      </c>
      <c r="C421">
        <v>4</v>
      </c>
      <c r="D421">
        <v>2</v>
      </c>
      <c r="E421" t="str">
        <f t="shared" si="18"/>
        <v>DELAYED</v>
      </c>
      <c r="F421">
        <f>VLOOKUP($A421,ordered_items!$B$2:$E$4784,2,0)</f>
        <v>365</v>
      </c>
      <c r="G421">
        <f>VLOOKUP($A421,ordered_items!$B$2:$E$4784,3,0)</f>
        <v>1</v>
      </c>
      <c r="H421">
        <f>VLOOKUP($A421,ordered_items!$B$2:$E$4784,4,0)</f>
        <v>59.99</v>
      </c>
      <c r="I421" s="15">
        <f>VLOOKUP(F421,product_info!$A$2:$D$73,4,0)</f>
        <v>4</v>
      </c>
      <c r="J421" s="15" t="str">
        <f>VLOOKUP(I421,department!$A$2:$B$13,2,0)</f>
        <v>Apparel</v>
      </c>
      <c r="K421">
        <v>6012</v>
      </c>
      <c r="L421" t="s">
        <v>253</v>
      </c>
      <c r="M421" s="4">
        <v>43448</v>
      </c>
      <c r="N421" s="12">
        <f t="shared" si="19"/>
        <v>12</v>
      </c>
      <c r="O421" s="13">
        <f t="shared" si="20"/>
        <v>2018</v>
      </c>
      <c r="P421" t="s">
        <v>13</v>
      </c>
      <c r="Q421" t="s">
        <v>30</v>
      </c>
      <c r="R421" t="s">
        <v>57</v>
      </c>
      <c r="S421" t="str" cm="1">
        <f t="array" ref="S421">_xlfn.IFS(R421="COMPLETE", "COMPLETED", R421="CANCELED", "CANCELED", TRUE, "PENDING")</f>
        <v>PENDING</v>
      </c>
      <c r="T421" t="s">
        <v>90</v>
      </c>
      <c r="U421">
        <f>VLOOKUP(A421,ordered_items!$B:$E,4,0)</f>
        <v>59.99</v>
      </c>
    </row>
    <row r="422" spans="1:21" x14ac:dyDescent="0.3">
      <c r="A422">
        <v>23874</v>
      </c>
      <c r="B422" t="s">
        <v>3</v>
      </c>
      <c r="C422">
        <v>5</v>
      </c>
      <c r="D422">
        <v>2</v>
      </c>
      <c r="E422" t="str">
        <f t="shared" si="18"/>
        <v>DELAYED</v>
      </c>
      <c r="F422">
        <f>VLOOKUP($A422,ordered_items!$B$2:$E$4784,2,0)</f>
        <v>191</v>
      </c>
      <c r="G422">
        <f>VLOOKUP($A422,ordered_items!$B$2:$E$4784,3,0)</f>
        <v>3</v>
      </c>
      <c r="H422">
        <f>VLOOKUP($A422,ordered_items!$B$2:$E$4784,4,0)</f>
        <v>299.97000000000003</v>
      </c>
      <c r="I422" s="15">
        <f>VLOOKUP(F422,product_info!$A$2:$D$73,4,0)</f>
        <v>3</v>
      </c>
      <c r="J422" s="15" t="str">
        <f>VLOOKUP(I422,department!$A$2:$B$13,2,0)</f>
        <v>Footwear</v>
      </c>
      <c r="K422">
        <v>685</v>
      </c>
      <c r="L422" t="s">
        <v>253</v>
      </c>
      <c r="M422" s="4">
        <v>43448</v>
      </c>
      <c r="N422" s="12">
        <f t="shared" si="19"/>
        <v>12</v>
      </c>
      <c r="O422" s="13">
        <f t="shared" si="20"/>
        <v>2018</v>
      </c>
      <c r="P422" t="s">
        <v>13</v>
      </c>
      <c r="Q422" t="s">
        <v>30</v>
      </c>
      <c r="R422" t="s">
        <v>14</v>
      </c>
      <c r="S422" t="str" cm="1">
        <f t="array" ref="S422">_xlfn.IFS(R422="COMPLETE", "COMPLETED", R422="CANCELED", "CANCELED", TRUE, "PENDING")</f>
        <v>PENDING</v>
      </c>
      <c r="T422" t="s">
        <v>90</v>
      </c>
      <c r="U422">
        <f>VLOOKUP(A422,ordered_items!$B:$E,4,0)</f>
        <v>299.97000000000003</v>
      </c>
    </row>
    <row r="423" spans="1:21" x14ac:dyDescent="0.3">
      <c r="A423">
        <v>23875</v>
      </c>
      <c r="B423" t="s">
        <v>3</v>
      </c>
      <c r="C423">
        <v>6</v>
      </c>
      <c r="D423">
        <v>2</v>
      </c>
      <c r="E423" t="str">
        <f t="shared" si="18"/>
        <v>DELAYED</v>
      </c>
      <c r="F423">
        <f>VLOOKUP($A423,ordered_items!$B$2:$E$4784,2,0)</f>
        <v>365</v>
      </c>
      <c r="G423">
        <f>VLOOKUP($A423,ordered_items!$B$2:$E$4784,3,0)</f>
        <v>3</v>
      </c>
      <c r="H423">
        <f>VLOOKUP($A423,ordered_items!$B$2:$E$4784,4,0)</f>
        <v>179.97</v>
      </c>
      <c r="I423" s="15">
        <f>VLOOKUP(F423,product_info!$A$2:$D$73,4,0)</f>
        <v>4</v>
      </c>
      <c r="J423" s="15" t="str">
        <f>VLOOKUP(I423,department!$A$2:$B$13,2,0)</f>
        <v>Apparel</v>
      </c>
      <c r="K423">
        <v>2160</v>
      </c>
      <c r="L423" t="s">
        <v>253</v>
      </c>
      <c r="M423" s="4">
        <v>43448</v>
      </c>
      <c r="N423" s="12">
        <f t="shared" si="19"/>
        <v>12</v>
      </c>
      <c r="O423" s="13">
        <f t="shared" si="20"/>
        <v>2018</v>
      </c>
      <c r="P423" t="s">
        <v>13</v>
      </c>
      <c r="Q423" t="s">
        <v>30</v>
      </c>
      <c r="R423" t="s">
        <v>38</v>
      </c>
      <c r="S423" t="str" cm="1">
        <f t="array" ref="S423">_xlfn.IFS(R423="COMPLETE", "COMPLETED", R423="CANCELED", "CANCELED", TRUE, "PENDING")</f>
        <v>PENDING</v>
      </c>
      <c r="T423" t="s">
        <v>90</v>
      </c>
      <c r="U423">
        <f>VLOOKUP(A423,ordered_items!$B:$E,4,0)</f>
        <v>179.97</v>
      </c>
    </row>
    <row r="424" spans="1:21" x14ac:dyDescent="0.3">
      <c r="A424">
        <v>23880</v>
      </c>
      <c r="B424" t="s">
        <v>24</v>
      </c>
      <c r="C424">
        <v>6</v>
      </c>
      <c r="D424">
        <v>2</v>
      </c>
      <c r="E424" t="str">
        <f t="shared" si="18"/>
        <v>DELAYED</v>
      </c>
      <c r="F424">
        <f>VLOOKUP($A424,ordered_items!$B$2:$E$4784,2,0)</f>
        <v>728</v>
      </c>
      <c r="G424">
        <f>VLOOKUP($A424,ordered_items!$B$2:$E$4784,3,0)</f>
        <v>1</v>
      </c>
      <c r="H424">
        <f>VLOOKUP($A424,ordered_items!$B$2:$E$4784,4,0)</f>
        <v>65</v>
      </c>
      <c r="I424" s="15">
        <f>VLOOKUP(F424,product_info!$A$2:$D$73,4,0)</f>
        <v>6</v>
      </c>
      <c r="J424" s="15" t="str">
        <f>VLOOKUP(I424,department!$A$2:$B$13,2,0)</f>
        <v>Outdoors</v>
      </c>
      <c r="K424">
        <v>5256</v>
      </c>
      <c r="L424" t="s">
        <v>124</v>
      </c>
      <c r="M424" s="4">
        <v>43448</v>
      </c>
      <c r="N424" s="12">
        <f t="shared" si="19"/>
        <v>12</v>
      </c>
      <c r="O424" s="13">
        <f t="shared" si="20"/>
        <v>2018</v>
      </c>
      <c r="P424" t="s">
        <v>13</v>
      </c>
      <c r="Q424" t="s">
        <v>5778</v>
      </c>
      <c r="R424" t="s">
        <v>31</v>
      </c>
      <c r="S424" t="str" cm="1">
        <f t="array" ref="S424">_xlfn.IFS(R424="COMPLETE", "COMPLETED", R424="CANCELED", "CANCELED", TRUE, "PENDING")</f>
        <v>COMPLETED</v>
      </c>
      <c r="T424" t="s">
        <v>90</v>
      </c>
      <c r="U424">
        <f>VLOOKUP(A424,ordered_items!$B:$E,4,0)</f>
        <v>65</v>
      </c>
    </row>
    <row r="425" spans="1:21" x14ac:dyDescent="0.3">
      <c r="A425">
        <v>23881</v>
      </c>
      <c r="B425" t="s">
        <v>24</v>
      </c>
      <c r="C425">
        <v>2</v>
      </c>
      <c r="D425">
        <v>4</v>
      </c>
      <c r="E425" t="str">
        <f t="shared" si="18"/>
        <v xml:space="preserve"> ONTIME</v>
      </c>
      <c r="F425">
        <f>VLOOKUP($A425,ordered_items!$B$2:$E$4784,2,0)</f>
        <v>502</v>
      </c>
      <c r="G425">
        <f>VLOOKUP($A425,ordered_items!$B$2:$E$4784,3,0)</f>
        <v>1</v>
      </c>
      <c r="H425">
        <f>VLOOKUP($A425,ordered_items!$B$2:$E$4784,4,0)</f>
        <v>50</v>
      </c>
      <c r="I425" s="15">
        <f>VLOOKUP(F425,product_info!$A$2:$D$73,4,0)</f>
        <v>5</v>
      </c>
      <c r="J425" s="15" t="str">
        <f>VLOOKUP(I425,department!$A$2:$B$13,2,0)</f>
        <v>Golf</v>
      </c>
      <c r="K425">
        <v>1608</v>
      </c>
      <c r="L425" t="s">
        <v>124</v>
      </c>
      <c r="M425" s="4">
        <v>43448</v>
      </c>
      <c r="N425" s="12">
        <f t="shared" si="19"/>
        <v>12</v>
      </c>
      <c r="O425" s="13">
        <f t="shared" si="20"/>
        <v>2018</v>
      </c>
      <c r="P425" t="s">
        <v>13</v>
      </c>
      <c r="Q425" t="s">
        <v>5778</v>
      </c>
      <c r="R425" t="s">
        <v>378</v>
      </c>
      <c r="S425" t="str" cm="1">
        <f t="array" ref="S425">_xlfn.IFS(R425="COMPLETE", "COMPLETED", R425="CANCELED", "CANCELED", TRUE, "PENDING")</f>
        <v>PENDING</v>
      </c>
      <c r="T425" t="s">
        <v>16</v>
      </c>
      <c r="U425">
        <f>VLOOKUP(A425,ordered_items!$B:$E,4,0)</f>
        <v>50</v>
      </c>
    </row>
    <row r="426" spans="1:21" x14ac:dyDescent="0.3">
      <c r="A426">
        <v>23882</v>
      </c>
      <c r="B426" t="s">
        <v>17</v>
      </c>
      <c r="C426">
        <v>3</v>
      </c>
      <c r="D426">
        <v>4</v>
      </c>
      <c r="E426" t="str">
        <f t="shared" si="18"/>
        <v xml:space="preserve"> ONTIME</v>
      </c>
      <c r="F426">
        <f>VLOOKUP($A426,ordered_items!$B$2:$E$4784,2,0)</f>
        <v>1004</v>
      </c>
      <c r="G426">
        <f>VLOOKUP($A426,ordered_items!$B$2:$E$4784,3,0)</f>
        <v>1</v>
      </c>
      <c r="H426">
        <f>VLOOKUP($A426,ordered_items!$B$2:$E$4784,4,0)</f>
        <v>399.98</v>
      </c>
      <c r="I426" s="15">
        <f>VLOOKUP(F426,product_info!$A$2:$D$73,4,0)</f>
        <v>7</v>
      </c>
      <c r="J426" s="15" t="str">
        <f>VLOOKUP(I426,department!$A$2:$B$13,2,0)</f>
        <v>Fan Shop</v>
      </c>
      <c r="K426">
        <v>5345</v>
      </c>
      <c r="L426" t="s">
        <v>124</v>
      </c>
      <c r="M426" s="4">
        <v>43448</v>
      </c>
      <c r="N426" s="12">
        <f t="shared" si="19"/>
        <v>12</v>
      </c>
      <c r="O426" s="13">
        <f t="shared" si="20"/>
        <v>2018</v>
      </c>
      <c r="P426" t="s">
        <v>13</v>
      </c>
      <c r="Q426" t="s">
        <v>5778</v>
      </c>
      <c r="R426" t="s">
        <v>23</v>
      </c>
      <c r="S426" t="str" cm="1">
        <f t="array" ref="S426">_xlfn.IFS(R426="COMPLETE", "COMPLETED", R426="CANCELED", "CANCELED", TRUE, "PENDING")</f>
        <v>PENDING</v>
      </c>
      <c r="T426" t="s">
        <v>16</v>
      </c>
      <c r="U426">
        <f>VLOOKUP(A426,ordered_items!$B:$E,4,0)</f>
        <v>399.98</v>
      </c>
    </row>
    <row r="427" spans="1:21" x14ac:dyDescent="0.3">
      <c r="A427">
        <v>23905</v>
      </c>
      <c r="B427" t="s">
        <v>3</v>
      </c>
      <c r="C427">
        <v>2</v>
      </c>
      <c r="D427">
        <v>1</v>
      </c>
      <c r="E427" t="str">
        <f t="shared" si="18"/>
        <v>DELAYED</v>
      </c>
      <c r="F427">
        <f>VLOOKUP($A427,ordered_items!$B$2:$E$4784,2,0)</f>
        <v>957</v>
      </c>
      <c r="G427">
        <f>VLOOKUP($A427,ordered_items!$B$2:$E$4784,3,0)</f>
        <v>1</v>
      </c>
      <c r="H427">
        <f>VLOOKUP($A427,ordered_items!$B$2:$E$4784,4,0)</f>
        <v>299.98</v>
      </c>
      <c r="I427" s="15">
        <f>VLOOKUP(F427,product_info!$A$2:$D$73,4,0)</f>
        <v>7</v>
      </c>
      <c r="J427" s="15" t="str">
        <f>VLOOKUP(I427,department!$A$2:$B$13,2,0)</f>
        <v>Fan Shop</v>
      </c>
      <c r="K427">
        <v>9628</v>
      </c>
      <c r="L427" t="s">
        <v>110</v>
      </c>
      <c r="M427" s="4">
        <v>43448</v>
      </c>
      <c r="N427" s="12">
        <f t="shared" si="19"/>
        <v>12</v>
      </c>
      <c r="O427" s="13">
        <f t="shared" si="20"/>
        <v>2018</v>
      </c>
      <c r="P427" t="s">
        <v>13</v>
      </c>
      <c r="Q427" t="s">
        <v>99</v>
      </c>
      <c r="R427" t="s">
        <v>14</v>
      </c>
      <c r="S427" t="str" cm="1">
        <f t="array" ref="S427">_xlfn.IFS(R427="COMPLETE", "COMPLETED", R427="CANCELED", "CANCELED", TRUE, "PENDING")</f>
        <v>PENDING</v>
      </c>
      <c r="T427" t="s">
        <v>32</v>
      </c>
      <c r="U427">
        <f>VLOOKUP(A427,ordered_items!$B:$E,4,0)</f>
        <v>299.98</v>
      </c>
    </row>
    <row r="428" spans="1:21" x14ac:dyDescent="0.3">
      <c r="A428">
        <v>23947</v>
      </c>
      <c r="B428" t="s">
        <v>51</v>
      </c>
      <c r="C428">
        <v>2</v>
      </c>
      <c r="D428">
        <v>1</v>
      </c>
      <c r="E428" t="str">
        <f t="shared" si="18"/>
        <v>DELAYED</v>
      </c>
      <c r="F428">
        <f>VLOOKUP($A428,ordered_items!$B$2:$E$4784,2,0)</f>
        <v>502</v>
      </c>
      <c r="G428">
        <f>VLOOKUP($A428,ordered_items!$B$2:$E$4784,3,0)</f>
        <v>2</v>
      </c>
      <c r="H428">
        <f>VLOOKUP($A428,ordered_items!$B$2:$E$4784,4,0)</f>
        <v>100</v>
      </c>
      <c r="I428" s="15">
        <f>VLOOKUP(F428,product_info!$A$2:$D$73,4,0)</f>
        <v>5</v>
      </c>
      <c r="J428" s="15" t="str">
        <f>VLOOKUP(I428,department!$A$2:$B$13,2,0)</f>
        <v>Golf</v>
      </c>
      <c r="K428">
        <v>8282</v>
      </c>
      <c r="L428" t="s">
        <v>104</v>
      </c>
      <c r="M428" s="4">
        <v>43449</v>
      </c>
      <c r="N428" s="12">
        <f t="shared" si="19"/>
        <v>12</v>
      </c>
      <c r="O428" s="13">
        <f t="shared" si="20"/>
        <v>2018</v>
      </c>
      <c r="P428" t="s">
        <v>13</v>
      </c>
      <c r="Q428" t="s">
        <v>420</v>
      </c>
      <c r="R428" t="s">
        <v>57</v>
      </c>
      <c r="S428" t="str" cm="1">
        <f t="array" ref="S428">_xlfn.IFS(R428="COMPLETE", "COMPLETED", R428="CANCELED", "CANCELED", TRUE, "PENDING")</f>
        <v>PENDING</v>
      </c>
      <c r="T428" t="s">
        <v>32</v>
      </c>
      <c r="U428">
        <f>VLOOKUP(A428,ordered_items!$B:$E,4,0)</f>
        <v>100</v>
      </c>
    </row>
    <row r="429" spans="1:21" x14ac:dyDescent="0.3">
      <c r="A429">
        <v>23948</v>
      </c>
      <c r="B429" t="s">
        <v>3</v>
      </c>
      <c r="C429">
        <v>4</v>
      </c>
      <c r="D429">
        <v>4</v>
      </c>
      <c r="E429" t="str">
        <f t="shared" si="18"/>
        <v xml:space="preserve"> ONTIME</v>
      </c>
      <c r="F429">
        <f>VLOOKUP($A429,ordered_items!$B$2:$E$4784,2,0)</f>
        <v>642</v>
      </c>
      <c r="G429">
        <f>VLOOKUP($A429,ordered_items!$B$2:$E$4784,3,0)</f>
        <v>5</v>
      </c>
      <c r="H429">
        <f>VLOOKUP($A429,ordered_items!$B$2:$E$4784,4,0)</f>
        <v>150</v>
      </c>
      <c r="I429" s="15">
        <f>VLOOKUP(F429,product_info!$A$2:$D$73,4,0)</f>
        <v>5</v>
      </c>
      <c r="J429" s="15" t="str">
        <f>VLOOKUP(I429,department!$A$2:$B$13,2,0)</f>
        <v>Golf</v>
      </c>
      <c r="K429">
        <v>5361</v>
      </c>
      <c r="L429" t="s">
        <v>104</v>
      </c>
      <c r="M429" s="4">
        <v>43449</v>
      </c>
      <c r="N429" s="12">
        <f t="shared" si="19"/>
        <v>12</v>
      </c>
      <c r="O429" s="13">
        <f t="shared" si="20"/>
        <v>2018</v>
      </c>
      <c r="P429" t="s">
        <v>13</v>
      </c>
      <c r="Q429" t="s">
        <v>420</v>
      </c>
      <c r="R429" t="s">
        <v>38</v>
      </c>
      <c r="S429" t="str" cm="1">
        <f t="array" ref="S429">_xlfn.IFS(R429="COMPLETE", "COMPLETED", R429="CANCELED", "CANCELED", TRUE, "PENDING")</f>
        <v>PENDING</v>
      </c>
      <c r="T429" t="s">
        <v>16</v>
      </c>
      <c r="U429">
        <f>VLOOKUP(A429,ordered_items!$B:$E,4,0)</f>
        <v>150</v>
      </c>
    </row>
    <row r="430" spans="1:21" x14ac:dyDescent="0.3">
      <c r="A430">
        <v>23952</v>
      </c>
      <c r="B430" t="s">
        <v>51</v>
      </c>
      <c r="C430">
        <v>3</v>
      </c>
      <c r="D430">
        <v>4</v>
      </c>
      <c r="E430" t="str">
        <f t="shared" si="18"/>
        <v xml:space="preserve"> ONTIME</v>
      </c>
      <c r="F430">
        <f>VLOOKUP($A430,ordered_items!$B$2:$E$4784,2,0)</f>
        <v>365</v>
      </c>
      <c r="G430">
        <f>VLOOKUP($A430,ordered_items!$B$2:$E$4784,3,0)</f>
        <v>1</v>
      </c>
      <c r="H430">
        <f>VLOOKUP($A430,ordered_items!$B$2:$E$4784,4,0)</f>
        <v>59.99</v>
      </c>
      <c r="I430" s="15">
        <f>VLOOKUP(F430,product_info!$A$2:$D$73,4,0)</f>
        <v>4</v>
      </c>
      <c r="J430" s="15" t="str">
        <f>VLOOKUP(I430,department!$A$2:$B$13,2,0)</f>
        <v>Apparel</v>
      </c>
      <c r="K430">
        <v>8027</v>
      </c>
      <c r="L430" t="s">
        <v>119</v>
      </c>
      <c r="M430" s="4">
        <v>43449</v>
      </c>
      <c r="N430" s="12">
        <f t="shared" si="19"/>
        <v>12</v>
      </c>
      <c r="O430" s="13">
        <f t="shared" si="20"/>
        <v>2018</v>
      </c>
      <c r="P430" t="s">
        <v>13</v>
      </c>
      <c r="Q430" t="s">
        <v>5781</v>
      </c>
      <c r="R430" t="s">
        <v>57</v>
      </c>
      <c r="S430" t="str" cm="1">
        <f t="array" ref="S430">_xlfn.IFS(R430="COMPLETE", "COMPLETED", R430="CANCELED", "CANCELED", TRUE, "PENDING")</f>
        <v>PENDING</v>
      </c>
      <c r="T430" t="s">
        <v>16</v>
      </c>
      <c r="U430">
        <f>VLOOKUP(A430,ordered_items!$B:$E,4,0)</f>
        <v>59.99</v>
      </c>
    </row>
    <row r="431" spans="1:21" x14ac:dyDescent="0.3">
      <c r="A431">
        <v>23971</v>
      </c>
      <c r="B431" t="s">
        <v>3</v>
      </c>
      <c r="C431">
        <v>2</v>
      </c>
      <c r="D431">
        <v>4</v>
      </c>
      <c r="E431" t="str">
        <f t="shared" si="18"/>
        <v xml:space="preserve"> ONTIME</v>
      </c>
      <c r="F431">
        <f>VLOOKUP($A431,ordered_items!$B$2:$E$4784,2,0)</f>
        <v>502</v>
      </c>
      <c r="G431">
        <f>VLOOKUP($A431,ordered_items!$B$2:$E$4784,3,0)</f>
        <v>5</v>
      </c>
      <c r="H431">
        <f>VLOOKUP($A431,ordered_items!$B$2:$E$4784,4,0)</f>
        <v>250</v>
      </c>
      <c r="I431" s="15">
        <f>VLOOKUP(F431,product_info!$A$2:$D$73,4,0)</f>
        <v>5</v>
      </c>
      <c r="J431" s="15" t="str">
        <f>VLOOKUP(I431,department!$A$2:$B$13,2,0)</f>
        <v>Golf</v>
      </c>
      <c r="K431">
        <v>256</v>
      </c>
      <c r="L431" t="s">
        <v>881</v>
      </c>
      <c r="M431" s="4">
        <v>43449</v>
      </c>
      <c r="N431" s="12">
        <f t="shared" si="19"/>
        <v>12</v>
      </c>
      <c r="O431" s="13">
        <f t="shared" si="20"/>
        <v>2018</v>
      </c>
      <c r="P431" t="s">
        <v>13</v>
      </c>
      <c r="Q431" t="s">
        <v>99</v>
      </c>
      <c r="R431" t="s">
        <v>14</v>
      </c>
      <c r="S431" t="str" cm="1">
        <f t="array" ref="S431">_xlfn.IFS(R431="COMPLETE", "COMPLETED", R431="CANCELED", "CANCELED", TRUE, "PENDING")</f>
        <v>PENDING</v>
      </c>
      <c r="T431" t="s">
        <v>16</v>
      </c>
      <c r="U431">
        <f>VLOOKUP(A431,ordered_items!$B:$E,4,0)</f>
        <v>250</v>
      </c>
    </row>
    <row r="432" spans="1:21" x14ac:dyDescent="0.3">
      <c r="A432">
        <v>23972</v>
      </c>
      <c r="B432" t="s">
        <v>24</v>
      </c>
      <c r="C432">
        <v>3</v>
      </c>
      <c r="D432">
        <v>4</v>
      </c>
      <c r="E432" t="str">
        <f t="shared" si="18"/>
        <v xml:space="preserve"> ONTIME</v>
      </c>
      <c r="F432">
        <f>VLOOKUP($A432,ordered_items!$B$2:$E$4784,2,0)</f>
        <v>1073</v>
      </c>
      <c r="G432">
        <f>VLOOKUP($A432,ordered_items!$B$2:$E$4784,3,0)</f>
        <v>1</v>
      </c>
      <c r="H432">
        <f>VLOOKUP($A432,ordered_items!$B$2:$E$4784,4,0)</f>
        <v>199.99</v>
      </c>
      <c r="I432" s="15">
        <f>VLOOKUP(F432,product_info!$A$2:$D$73,4,0)</f>
        <v>7</v>
      </c>
      <c r="J432" s="15" t="str">
        <f>VLOOKUP(I432,department!$A$2:$B$13,2,0)</f>
        <v>Fan Shop</v>
      </c>
      <c r="K432">
        <v>5672</v>
      </c>
      <c r="L432" t="s">
        <v>881</v>
      </c>
      <c r="M432" s="4">
        <v>43449</v>
      </c>
      <c r="N432" s="12">
        <f t="shared" si="19"/>
        <v>12</v>
      </c>
      <c r="O432" s="13">
        <f t="shared" si="20"/>
        <v>2018</v>
      </c>
      <c r="P432" t="s">
        <v>13</v>
      </c>
      <c r="Q432" t="s">
        <v>99</v>
      </c>
      <c r="R432" t="s">
        <v>31</v>
      </c>
      <c r="S432" t="str" cm="1">
        <f t="array" ref="S432">_xlfn.IFS(R432="COMPLETE", "COMPLETED", R432="CANCELED", "CANCELED", TRUE, "PENDING")</f>
        <v>COMPLETED</v>
      </c>
      <c r="T432" t="s">
        <v>16</v>
      </c>
      <c r="U432">
        <f>VLOOKUP(A432,ordered_items!$B:$E,4,0)</f>
        <v>199.99</v>
      </c>
    </row>
    <row r="433" spans="1:21" x14ac:dyDescent="0.3">
      <c r="A433">
        <v>23973</v>
      </c>
      <c r="B433" t="s">
        <v>24</v>
      </c>
      <c r="C433">
        <v>4</v>
      </c>
      <c r="D433">
        <v>4</v>
      </c>
      <c r="E433" t="str">
        <f t="shared" si="18"/>
        <v xml:space="preserve"> ONTIME</v>
      </c>
      <c r="F433">
        <f>VLOOKUP($A433,ordered_items!$B$2:$E$4784,2,0)</f>
        <v>957</v>
      </c>
      <c r="G433">
        <f>VLOOKUP($A433,ordered_items!$B$2:$E$4784,3,0)</f>
        <v>1</v>
      </c>
      <c r="H433">
        <f>VLOOKUP($A433,ordered_items!$B$2:$E$4784,4,0)</f>
        <v>299.98</v>
      </c>
      <c r="I433" s="15">
        <f>VLOOKUP(F433,product_info!$A$2:$D$73,4,0)</f>
        <v>7</v>
      </c>
      <c r="J433" s="15" t="str">
        <f>VLOOKUP(I433,department!$A$2:$B$13,2,0)</f>
        <v>Fan Shop</v>
      </c>
      <c r="K433">
        <v>4019</v>
      </c>
      <c r="L433" t="s">
        <v>881</v>
      </c>
      <c r="M433" s="4">
        <v>43449</v>
      </c>
      <c r="N433" s="12">
        <f t="shared" si="19"/>
        <v>12</v>
      </c>
      <c r="O433" s="13">
        <f t="shared" si="20"/>
        <v>2018</v>
      </c>
      <c r="P433" t="s">
        <v>13</v>
      </c>
      <c r="Q433" t="s">
        <v>99</v>
      </c>
      <c r="R433" t="s">
        <v>31</v>
      </c>
      <c r="S433" t="str" cm="1">
        <f t="array" ref="S433">_xlfn.IFS(R433="COMPLETE", "COMPLETED", R433="CANCELED", "CANCELED", TRUE, "PENDING")</f>
        <v>COMPLETED</v>
      </c>
      <c r="T433" t="s">
        <v>16</v>
      </c>
      <c r="U433">
        <f>VLOOKUP(A433,ordered_items!$B:$E,4,0)</f>
        <v>299.98</v>
      </c>
    </row>
    <row r="434" spans="1:21" x14ac:dyDescent="0.3">
      <c r="A434">
        <v>23974</v>
      </c>
      <c r="B434" t="s">
        <v>3</v>
      </c>
      <c r="C434">
        <v>1</v>
      </c>
      <c r="D434">
        <v>0</v>
      </c>
      <c r="E434" t="str">
        <f t="shared" si="18"/>
        <v>DELAYED</v>
      </c>
      <c r="F434">
        <f>VLOOKUP($A434,ordered_items!$B$2:$E$4784,2,0)</f>
        <v>191</v>
      </c>
      <c r="G434">
        <f>VLOOKUP($A434,ordered_items!$B$2:$E$4784,3,0)</f>
        <v>3</v>
      </c>
      <c r="H434">
        <f>VLOOKUP($A434,ordered_items!$B$2:$E$4784,4,0)</f>
        <v>299.97000000000003</v>
      </c>
      <c r="I434" s="15">
        <f>VLOOKUP(F434,product_info!$A$2:$D$73,4,0)</f>
        <v>3</v>
      </c>
      <c r="J434" s="15" t="str">
        <f>VLOOKUP(I434,department!$A$2:$B$13,2,0)</f>
        <v>Footwear</v>
      </c>
      <c r="K434">
        <v>8749</v>
      </c>
      <c r="L434" t="s">
        <v>881</v>
      </c>
      <c r="M434" s="4">
        <v>43449</v>
      </c>
      <c r="N434" s="12">
        <f t="shared" si="19"/>
        <v>12</v>
      </c>
      <c r="O434" s="13">
        <f t="shared" si="20"/>
        <v>2018</v>
      </c>
      <c r="P434" t="s">
        <v>13</v>
      </c>
      <c r="Q434" t="s">
        <v>99</v>
      </c>
      <c r="R434" t="s">
        <v>38</v>
      </c>
      <c r="S434" t="str" cm="1">
        <f t="array" ref="S434">_xlfn.IFS(R434="COMPLETE", "COMPLETED", R434="CANCELED", "CANCELED", TRUE, "PENDING")</f>
        <v>PENDING</v>
      </c>
      <c r="T434" t="s">
        <v>58</v>
      </c>
      <c r="U434">
        <f>VLOOKUP(A434,ordered_items!$B:$E,4,0)</f>
        <v>299.97000000000003</v>
      </c>
    </row>
    <row r="435" spans="1:21" x14ac:dyDescent="0.3">
      <c r="A435">
        <v>23978</v>
      </c>
      <c r="B435" t="s">
        <v>24</v>
      </c>
      <c r="C435">
        <v>4</v>
      </c>
      <c r="D435">
        <v>4</v>
      </c>
      <c r="E435" t="str">
        <f t="shared" si="18"/>
        <v xml:space="preserve"> ONTIME</v>
      </c>
      <c r="F435">
        <f>VLOOKUP($A435,ordered_items!$B$2:$E$4784,2,0)</f>
        <v>771</v>
      </c>
      <c r="G435">
        <f>VLOOKUP($A435,ordered_items!$B$2:$E$4784,3,0)</f>
        <v>1</v>
      </c>
      <c r="H435">
        <f>VLOOKUP($A435,ordered_items!$B$2:$E$4784,4,0)</f>
        <v>39.99</v>
      </c>
      <c r="I435" s="15">
        <f>VLOOKUP(F435,product_info!$A$2:$D$73,4,0)</f>
        <v>6</v>
      </c>
      <c r="J435" s="15" t="str">
        <f>VLOOKUP(I435,department!$A$2:$B$13,2,0)</f>
        <v>Outdoors</v>
      </c>
      <c r="K435">
        <v>6086</v>
      </c>
      <c r="L435" t="s">
        <v>1792</v>
      </c>
      <c r="M435" s="4">
        <v>43450</v>
      </c>
      <c r="N435" s="12">
        <f t="shared" si="19"/>
        <v>12</v>
      </c>
      <c r="O435" s="13">
        <f t="shared" si="20"/>
        <v>2018</v>
      </c>
      <c r="P435" t="s">
        <v>13</v>
      </c>
      <c r="Q435" t="s">
        <v>234</v>
      </c>
      <c r="R435" t="s">
        <v>31</v>
      </c>
      <c r="S435" t="str" cm="1">
        <f t="array" ref="S435">_xlfn.IFS(R435="COMPLETE", "COMPLETED", R435="CANCELED", "CANCELED", TRUE, "PENDING")</f>
        <v>COMPLETED</v>
      </c>
      <c r="T435" t="s">
        <v>16</v>
      </c>
      <c r="U435">
        <f>VLOOKUP(A435,ordered_items!$B:$E,4,0)</f>
        <v>39.99</v>
      </c>
    </row>
    <row r="436" spans="1:21" x14ac:dyDescent="0.3">
      <c r="A436">
        <v>23981</v>
      </c>
      <c r="B436" t="s">
        <v>51</v>
      </c>
      <c r="C436">
        <v>2</v>
      </c>
      <c r="D436">
        <v>2</v>
      </c>
      <c r="E436" t="str">
        <f t="shared" si="18"/>
        <v xml:space="preserve"> ONTIME</v>
      </c>
      <c r="F436">
        <f>VLOOKUP($A436,ordered_items!$B$2:$E$4784,2,0)</f>
        <v>1014</v>
      </c>
      <c r="G436">
        <f>VLOOKUP($A436,ordered_items!$B$2:$E$4784,3,0)</f>
        <v>5</v>
      </c>
      <c r="H436">
        <f>VLOOKUP($A436,ordered_items!$B$2:$E$4784,4,0)</f>
        <v>249.9</v>
      </c>
      <c r="I436" s="15">
        <f>VLOOKUP(F436,product_info!$A$2:$D$73,4,0)</f>
        <v>7</v>
      </c>
      <c r="J436" s="15" t="str">
        <f>VLOOKUP(I436,department!$A$2:$B$13,2,0)</f>
        <v>Fan Shop</v>
      </c>
      <c r="K436">
        <v>686</v>
      </c>
      <c r="L436" t="s">
        <v>439</v>
      </c>
      <c r="M436" s="4">
        <v>43450</v>
      </c>
      <c r="N436" s="12">
        <f t="shared" si="19"/>
        <v>12</v>
      </c>
      <c r="O436" s="13">
        <f t="shared" si="20"/>
        <v>2018</v>
      </c>
      <c r="P436" t="s">
        <v>13</v>
      </c>
      <c r="Q436" t="s">
        <v>377</v>
      </c>
      <c r="R436" t="s">
        <v>57</v>
      </c>
      <c r="S436" t="str" cm="1">
        <f t="array" ref="S436">_xlfn.IFS(R436="COMPLETE", "COMPLETED", R436="CANCELED", "CANCELED", TRUE, "PENDING")</f>
        <v>PENDING</v>
      </c>
      <c r="T436" t="s">
        <v>90</v>
      </c>
      <c r="U436">
        <f>VLOOKUP(A436,ordered_items!$B:$E,4,0)</f>
        <v>249.9</v>
      </c>
    </row>
    <row r="437" spans="1:21" x14ac:dyDescent="0.3">
      <c r="A437">
        <v>24008</v>
      </c>
      <c r="B437" t="s">
        <v>3</v>
      </c>
      <c r="C437">
        <v>0</v>
      </c>
      <c r="D437">
        <v>0</v>
      </c>
      <c r="E437" t="str">
        <f t="shared" si="18"/>
        <v xml:space="preserve"> ONTIME</v>
      </c>
      <c r="F437">
        <f>VLOOKUP($A437,ordered_items!$B$2:$E$4784,2,0)</f>
        <v>403</v>
      </c>
      <c r="G437">
        <f>VLOOKUP($A437,ordered_items!$B$2:$E$4784,3,0)</f>
        <v>1</v>
      </c>
      <c r="H437">
        <f>VLOOKUP($A437,ordered_items!$B$2:$E$4784,4,0)</f>
        <v>129.99</v>
      </c>
      <c r="I437" s="15">
        <f>VLOOKUP(F437,product_info!$A$2:$D$73,4,0)</f>
        <v>4</v>
      </c>
      <c r="J437" s="15" t="str">
        <f>VLOOKUP(I437,department!$A$2:$B$13,2,0)</f>
        <v>Apparel</v>
      </c>
      <c r="K437">
        <v>8526</v>
      </c>
      <c r="L437" t="s">
        <v>233</v>
      </c>
      <c r="M437" s="4">
        <v>43450</v>
      </c>
      <c r="N437" s="12">
        <f t="shared" si="19"/>
        <v>12</v>
      </c>
      <c r="O437" s="13">
        <f t="shared" si="20"/>
        <v>2018</v>
      </c>
      <c r="P437" t="s">
        <v>13</v>
      </c>
      <c r="Q437" t="s">
        <v>234</v>
      </c>
      <c r="R437" t="s">
        <v>235</v>
      </c>
      <c r="S437" t="str" cm="1">
        <f t="array" ref="S437">_xlfn.IFS(R437="COMPLETE", "COMPLETED", R437="CANCELED", "CANCELED", TRUE, "PENDING")</f>
        <v>CANCELED</v>
      </c>
      <c r="T437" t="s">
        <v>58</v>
      </c>
      <c r="U437">
        <f>VLOOKUP(A437,ordered_items!$B:$E,4,0)</f>
        <v>129.99</v>
      </c>
    </row>
    <row r="438" spans="1:21" x14ac:dyDescent="0.3">
      <c r="A438">
        <v>24016</v>
      </c>
      <c r="B438" t="s">
        <v>24</v>
      </c>
      <c r="C438">
        <v>2</v>
      </c>
      <c r="D438">
        <v>4</v>
      </c>
      <c r="E438" t="str">
        <f t="shared" si="18"/>
        <v xml:space="preserve"> ONTIME</v>
      </c>
      <c r="F438">
        <f>VLOOKUP($A438,ordered_items!$B$2:$E$4784,2,0)</f>
        <v>627</v>
      </c>
      <c r="G438">
        <f>VLOOKUP($A438,ordered_items!$B$2:$E$4784,3,0)</f>
        <v>4</v>
      </c>
      <c r="H438">
        <f>VLOOKUP($A438,ordered_items!$B$2:$E$4784,4,0)</f>
        <v>159.96</v>
      </c>
      <c r="I438" s="15">
        <f>VLOOKUP(F438,product_info!$A$2:$D$73,4,0)</f>
        <v>5</v>
      </c>
      <c r="J438" s="15" t="str">
        <f>VLOOKUP(I438,department!$A$2:$B$13,2,0)</f>
        <v>Golf</v>
      </c>
      <c r="K438">
        <v>604</v>
      </c>
      <c r="L438" t="s">
        <v>84</v>
      </c>
      <c r="M438" s="4">
        <v>43450</v>
      </c>
      <c r="N438" s="12">
        <f t="shared" si="19"/>
        <v>12</v>
      </c>
      <c r="O438" s="13">
        <f t="shared" si="20"/>
        <v>2018</v>
      </c>
      <c r="P438" t="s">
        <v>13</v>
      </c>
      <c r="Q438" t="s">
        <v>80</v>
      </c>
      <c r="R438" t="s">
        <v>31</v>
      </c>
      <c r="S438" t="str" cm="1">
        <f t="array" ref="S438">_xlfn.IFS(R438="COMPLETE", "COMPLETED", R438="CANCELED", "CANCELED", TRUE, "PENDING")</f>
        <v>COMPLETED</v>
      </c>
      <c r="T438" t="s">
        <v>16</v>
      </c>
      <c r="U438">
        <f>VLOOKUP(A438,ordered_items!$B:$E,4,0)</f>
        <v>159.96</v>
      </c>
    </row>
    <row r="439" spans="1:21" x14ac:dyDescent="0.3">
      <c r="A439">
        <v>24030</v>
      </c>
      <c r="B439" t="s">
        <v>24</v>
      </c>
      <c r="C439">
        <v>1</v>
      </c>
      <c r="D439">
        <v>0</v>
      </c>
      <c r="E439" t="str">
        <f t="shared" si="18"/>
        <v>DELAYED</v>
      </c>
      <c r="F439">
        <f>VLOOKUP($A439,ordered_items!$B$2:$E$4784,2,0)</f>
        <v>365</v>
      </c>
      <c r="G439">
        <f>VLOOKUP($A439,ordered_items!$B$2:$E$4784,3,0)</f>
        <v>2</v>
      </c>
      <c r="H439">
        <f>VLOOKUP($A439,ordered_items!$B$2:$E$4784,4,0)</f>
        <v>119.98</v>
      </c>
      <c r="I439" s="15">
        <f>VLOOKUP(F439,product_info!$A$2:$D$73,4,0)</f>
        <v>4</v>
      </c>
      <c r="J439" s="15" t="str">
        <f>VLOOKUP(I439,department!$A$2:$B$13,2,0)</f>
        <v>Apparel</v>
      </c>
      <c r="K439">
        <v>11001</v>
      </c>
      <c r="L439" t="s">
        <v>758</v>
      </c>
      <c r="M439" s="4">
        <v>43450</v>
      </c>
      <c r="N439" s="12">
        <f t="shared" si="19"/>
        <v>12</v>
      </c>
      <c r="O439" s="13">
        <f t="shared" si="20"/>
        <v>2018</v>
      </c>
      <c r="P439" t="s">
        <v>13</v>
      </c>
      <c r="Q439" t="s">
        <v>431</v>
      </c>
      <c r="R439" t="s">
        <v>31</v>
      </c>
      <c r="S439" t="str" cm="1">
        <f t="array" ref="S439">_xlfn.IFS(R439="COMPLETE", "COMPLETED", R439="CANCELED", "CANCELED", TRUE, "PENDING")</f>
        <v>COMPLETED</v>
      </c>
      <c r="T439" t="s">
        <v>58</v>
      </c>
      <c r="U439">
        <f>VLOOKUP(A439,ordered_items!$B:$E,4,0)</f>
        <v>119.98</v>
      </c>
    </row>
    <row r="440" spans="1:21" x14ac:dyDescent="0.3">
      <c r="A440">
        <v>24044</v>
      </c>
      <c r="B440" t="s">
        <v>24</v>
      </c>
      <c r="C440">
        <v>5</v>
      </c>
      <c r="D440">
        <v>4</v>
      </c>
      <c r="E440" t="str">
        <f t="shared" si="18"/>
        <v>DELAYED</v>
      </c>
      <c r="F440">
        <f>VLOOKUP($A440,ordered_items!$B$2:$E$4784,2,0)</f>
        <v>191</v>
      </c>
      <c r="G440">
        <f>VLOOKUP($A440,ordered_items!$B$2:$E$4784,3,0)</f>
        <v>5</v>
      </c>
      <c r="H440">
        <f>VLOOKUP($A440,ordered_items!$B$2:$E$4784,4,0)</f>
        <v>499.95</v>
      </c>
      <c r="I440" s="15">
        <f>VLOOKUP(F440,product_info!$A$2:$D$73,4,0)</f>
        <v>3</v>
      </c>
      <c r="J440" s="15" t="str">
        <f>VLOOKUP(I440,department!$A$2:$B$13,2,0)</f>
        <v>Footwear</v>
      </c>
      <c r="K440">
        <v>11358</v>
      </c>
      <c r="L440" t="s">
        <v>980</v>
      </c>
      <c r="M440" s="4">
        <v>43450</v>
      </c>
      <c r="N440" s="12">
        <f t="shared" si="19"/>
        <v>12</v>
      </c>
      <c r="O440" s="13">
        <f t="shared" si="20"/>
        <v>2018</v>
      </c>
      <c r="P440" t="s">
        <v>13</v>
      </c>
      <c r="Q440" t="s">
        <v>30</v>
      </c>
      <c r="R440" t="s">
        <v>31</v>
      </c>
      <c r="S440" t="str" cm="1">
        <f t="array" ref="S440">_xlfn.IFS(R440="COMPLETE", "COMPLETED", R440="CANCELED", "CANCELED", TRUE, "PENDING")</f>
        <v>COMPLETED</v>
      </c>
      <c r="T440" t="s">
        <v>16</v>
      </c>
      <c r="U440">
        <f>VLOOKUP(A440,ordered_items!$B:$E,4,0)</f>
        <v>499.95</v>
      </c>
    </row>
    <row r="441" spans="1:21" x14ac:dyDescent="0.3">
      <c r="A441">
        <v>24047</v>
      </c>
      <c r="B441" t="s">
        <v>51</v>
      </c>
      <c r="C441">
        <v>0</v>
      </c>
      <c r="D441">
        <v>0</v>
      </c>
      <c r="E441" t="str">
        <f t="shared" si="18"/>
        <v xml:space="preserve"> ONTIME</v>
      </c>
      <c r="F441">
        <f>VLOOKUP($A441,ordered_items!$B$2:$E$4784,2,0)</f>
        <v>365</v>
      </c>
      <c r="G441">
        <f>VLOOKUP($A441,ordered_items!$B$2:$E$4784,3,0)</f>
        <v>5</v>
      </c>
      <c r="H441">
        <f>VLOOKUP($A441,ordered_items!$B$2:$E$4784,4,0)</f>
        <v>299.95</v>
      </c>
      <c r="I441" s="15">
        <f>VLOOKUP(F441,product_info!$A$2:$D$73,4,0)</f>
        <v>4</v>
      </c>
      <c r="J441" s="15" t="str">
        <f>VLOOKUP(I441,department!$A$2:$B$13,2,0)</f>
        <v>Apparel</v>
      </c>
      <c r="K441">
        <v>10620</v>
      </c>
      <c r="L441" t="s">
        <v>84</v>
      </c>
      <c r="M441" s="4">
        <v>43451</v>
      </c>
      <c r="N441" s="12">
        <f t="shared" si="19"/>
        <v>12</v>
      </c>
      <c r="O441" s="13">
        <f t="shared" si="20"/>
        <v>2018</v>
      </c>
      <c r="P441" t="s">
        <v>13</v>
      </c>
      <c r="Q441" t="s">
        <v>80</v>
      </c>
      <c r="R441" t="s">
        <v>57</v>
      </c>
      <c r="S441" t="str" cm="1">
        <f t="array" ref="S441">_xlfn.IFS(R441="COMPLETE", "COMPLETED", R441="CANCELED", "CANCELED", TRUE, "PENDING")</f>
        <v>PENDING</v>
      </c>
      <c r="T441" t="s">
        <v>58</v>
      </c>
      <c r="U441">
        <f>VLOOKUP(A441,ordered_items!$B:$E,4,0)</f>
        <v>299.95</v>
      </c>
    </row>
    <row r="442" spans="1:21" x14ac:dyDescent="0.3">
      <c r="A442">
        <v>24057</v>
      </c>
      <c r="B442" t="s">
        <v>24</v>
      </c>
      <c r="C442">
        <v>3</v>
      </c>
      <c r="D442">
        <v>2</v>
      </c>
      <c r="E442" t="str">
        <f t="shared" si="18"/>
        <v>DELAYED</v>
      </c>
      <c r="F442">
        <f>VLOOKUP($A442,ordered_items!$B$2:$E$4784,2,0)</f>
        <v>191</v>
      </c>
      <c r="G442">
        <f>VLOOKUP($A442,ordered_items!$B$2:$E$4784,3,0)</f>
        <v>1</v>
      </c>
      <c r="H442">
        <f>VLOOKUP($A442,ordered_items!$B$2:$E$4784,4,0)</f>
        <v>99.99</v>
      </c>
      <c r="I442" s="15">
        <f>VLOOKUP(F442,product_info!$A$2:$D$73,4,0)</f>
        <v>3</v>
      </c>
      <c r="J442" s="15" t="str">
        <f>VLOOKUP(I442,department!$A$2:$B$13,2,0)</f>
        <v>Footwear</v>
      </c>
      <c r="K442">
        <v>10119</v>
      </c>
      <c r="L442" t="s">
        <v>119</v>
      </c>
      <c r="M442" s="4">
        <v>43451</v>
      </c>
      <c r="N442" s="12">
        <f t="shared" si="19"/>
        <v>12</v>
      </c>
      <c r="O442" s="13">
        <f t="shared" si="20"/>
        <v>2018</v>
      </c>
      <c r="P442" t="s">
        <v>13</v>
      </c>
      <c r="Q442" t="s">
        <v>5781</v>
      </c>
      <c r="R442" t="s">
        <v>378</v>
      </c>
      <c r="S442" t="str" cm="1">
        <f t="array" ref="S442">_xlfn.IFS(R442="COMPLETE", "COMPLETED", R442="CANCELED", "CANCELED", TRUE, "PENDING")</f>
        <v>PENDING</v>
      </c>
      <c r="T442" t="s">
        <v>90</v>
      </c>
      <c r="U442">
        <f>VLOOKUP(A442,ordered_items!$B:$E,4,0)</f>
        <v>99.99</v>
      </c>
    </row>
    <row r="443" spans="1:21" x14ac:dyDescent="0.3">
      <c r="A443">
        <v>24058</v>
      </c>
      <c r="B443" t="s">
        <v>51</v>
      </c>
      <c r="C443">
        <v>4</v>
      </c>
      <c r="D443">
        <v>2</v>
      </c>
      <c r="E443" t="str">
        <f t="shared" si="18"/>
        <v>DELAYED</v>
      </c>
      <c r="F443">
        <f>VLOOKUP($A443,ordered_items!$B$2:$E$4784,2,0)</f>
        <v>1073</v>
      </c>
      <c r="G443">
        <f>VLOOKUP($A443,ordered_items!$B$2:$E$4784,3,0)</f>
        <v>1</v>
      </c>
      <c r="H443">
        <f>VLOOKUP($A443,ordered_items!$B$2:$E$4784,4,0)</f>
        <v>199.99</v>
      </c>
      <c r="I443" s="15">
        <f>VLOOKUP(F443,product_info!$A$2:$D$73,4,0)</f>
        <v>7</v>
      </c>
      <c r="J443" s="15" t="str">
        <f>VLOOKUP(I443,department!$A$2:$B$13,2,0)</f>
        <v>Fan Shop</v>
      </c>
      <c r="K443">
        <v>6297</v>
      </c>
      <c r="L443" t="s">
        <v>119</v>
      </c>
      <c r="M443" s="4">
        <v>43451</v>
      </c>
      <c r="N443" s="12">
        <f t="shared" si="19"/>
        <v>12</v>
      </c>
      <c r="O443" s="13">
        <f t="shared" si="20"/>
        <v>2018</v>
      </c>
      <c r="P443" t="s">
        <v>13</v>
      </c>
      <c r="Q443" t="s">
        <v>5781</v>
      </c>
      <c r="R443" t="s">
        <v>57</v>
      </c>
      <c r="S443" t="str" cm="1">
        <f t="array" ref="S443">_xlfn.IFS(R443="COMPLETE", "COMPLETED", R443="CANCELED", "CANCELED", TRUE, "PENDING")</f>
        <v>PENDING</v>
      </c>
      <c r="T443" t="s">
        <v>90</v>
      </c>
      <c r="U443">
        <f>VLOOKUP(A443,ordered_items!$B:$E,4,0)</f>
        <v>199.99</v>
      </c>
    </row>
    <row r="444" spans="1:21" x14ac:dyDescent="0.3">
      <c r="A444">
        <v>24059</v>
      </c>
      <c r="B444" t="s">
        <v>3</v>
      </c>
      <c r="C444">
        <v>5</v>
      </c>
      <c r="D444">
        <v>2</v>
      </c>
      <c r="E444" t="str">
        <f t="shared" si="18"/>
        <v>DELAYED</v>
      </c>
      <c r="F444">
        <f>VLOOKUP($A444,ordered_items!$B$2:$E$4784,2,0)</f>
        <v>403</v>
      </c>
      <c r="G444">
        <f>VLOOKUP($A444,ordered_items!$B$2:$E$4784,3,0)</f>
        <v>1</v>
      </c>
      <c r="H444">
        <f>VLOOKUP($A444,ordered_items!$B$2:$E$4784,4,0)</f>
        <v>129.99</v>
      </c>
      <c r="I444" s="15">
        <f>VLOOKUP(F444,product_info!$A$2:$D$73,4,0)</f>
        <v>4</v>
      </c>
      <c r="J444" s="15" t="str">
        <f>VLOOKUP(I444,department!$A$2:$B$13,2,0)</f>
        <v>Apparel</v>
      </c>
      <c r="K444">
        <v>5636</v>
      </c>
      <c r="L444" t="s">
        <v>119</v>
      </c>
      <c r="M444" s="4">
        <v>43451</v>
      </c>
      <c r="N444" s="12">
        <f t="shared" si="19"/>
        <v>12</v>
      </c>
      <c r="O444" s="13">
        <f t="shared" si="20"/>
        <v>2018</v>
      </c>
      <c r="P444" t="s">
        <v>13</v>
      </c>
      <c r="Q444" t="s">
        <v>5781</v>
      </c>
      <c r="R444" t="s">
        <v>14</v>
      </c>
      <c r="S444" t="str" cm="1">
        <f t="array" ref="S444">_xlfn.IFS(R444="COMPLETE", "COMPLETED", R444="CANCELED", "CANCELED", TRUE, "PENDING")</f>
        <v>PENDING</v>
      </c>
      <c r="T444" t="s">
        <v>90</v>
      </c>
      <c r="U444">
        <f>VLOOKUP(A444,ordered_items!$B:$E,4,0)</f>
        <v>129.99</v>
      </c>
    </row>
    <row r="445" spans="1:21" x14ac:dyDescent="0.3">
      <c r="A445">
        <v>24060</v>
      </c>
      <c r="B445" t="s">
        <v>51</v>
      </c>
      <c r="C445">
        <v>6</v>
      </c>
      <c r="D445">
        <v>4</v>
      </c>
      <c r="E445" t="str">
        <f t="shared" si="18"/>
        <v>DELAYED</v>
      </c>
      <c r="F445">
        <f>VLOOKUP($A445,ordered_items!$B$2:$E$4784,2,0)</f>
        <v>134</v>
      </c>
      <c r="G445">
        <f>VLOOKUP($A445,ordered_items!$B$2:$E$4784,3,0)</f>
        <v>2</v>
      </c>
      <c r="H445">
        <f>VLOOKUP($A445,ordered_items!$B$2:$E$4784,4,0)</f>
        <v>50</v>
      </c>
      <c r="I445" s="15">
        <f>VLOOKUP(F445,product_info!$A$2:$D$73,4,0)</f>
        <v>2</v>
      </c>
      <c r="J445" s="15" t="str">
        <f>VLOOKUP(I445,department!$A$2:$B$13,2,0)</f>
        <v>Fitness</v>
      </c>
      <c r="K445">
        <v>3756</v>
      </c>
      <c r="L445" t="s">
        <v>119</v>
      </c>
      <c r="M445" s="4">
        <v>43451</v>
      </c>
      <c r="N445" s="12">
        <f t="shared" si="19"/>
        <v>12</v>
      </c>
      <c r="O445" s="13">
        <f t="shared" si="20"/>
        <v>2018</v>
      </c>
      <c r="P445" t="s">
        <v>13</v>
      </c>
      <c r="Q445" t="s">
        <v>5781</v>
      </c>
      <c r="R445" t="s">
        <v>57</v>
      </c>
      <c r="S445" t="str" cm="1">
        <f t="array" ref="S445">_xlfn.IFS(R445="COMPLETE", "COMPLETED", R445="CANCELED", "CANCELED", TRUE, "PENDING")</f>
        <v>PENDING</v>
      </c>
      <c r="T445" t="s">
        <v>16</v>
      </c>
      <c r="U445">
        <f>VLOOKUP(A445,ordered_items!$B:$E,4,0)</f>
        <v>50</v>
      </c>
    </row>
    <row r="446" spans="1:21" x14ac:dyDescent="0.3">
      <c r="A446">
        <v>24061</v>
      </c>
      <c r="B446" t="s">
        <v>51</v>
      </c>
      <c r="C446">
        <v>2</v>
      </c>
      <c r="D446">
        <v>4</v>
      </c>
      <c r="E446" t="str">
        <f t="shared" si="18"/>
        <v xml:space="preserve"> ONTIME</v>
      </c>
      <c r="F446">
        <f>VLOOKUP($A446,ordered_items!$B$2:$E$4784,2,0)</f>
        <v>365</v>
      </c>
      <c r="G446">
        <f>VLOOKUP($A446,ordered_items!$B$2:$E$4784,3,0)</f>
        <v>1</v>
      </c>
      <c r="H446">
        <f>VLOOKUP($A446,ordered_items!$B$2:$E$4784,4,0)</f>
        <v>59.99</v>
      </c>
      <c r="I446" s="15">
        <f>VLOOKUP(F446,product_info!$A$2:$D$73,4,0)</f>
        <v>4</v>
      </c>
      <c r="J446" s="15" t="str">
        <f>VLOOKUP(I446,department!$A$2:$B$13,2,0)</f>
        <v>Apparel</v>
      </c>
      <c r="K446">
        <v>758</v>
      </c>
      <c r="L446" t="s">
        <v>119</v>
      </c>
      <c r="M446" s="4">
        <v>43451</v>
      </c>
      <c r="N446" s="12">
        <f t="shared" si="19"/>
        <v>12</v>
      </c>
      <c r="O446" s="13">
        <f t="shared" si="20"/>
        <v>2018</v>
      </c>
      <c r="P446" t="s">
        <v>13</v>
      </c>
      <c r="Q446" t="s">
        <v>5781</v>
      </c>
      <c r="R446" t="s">
        <v>57</v>
      </c>
      <c r="S446" t="str" cm="1">
        <f t="array" ref="S446">_xlfn.IFS(R446="COMPLETE", "COMPLETED", R446="CANCELED", "CANCELED", TRUE, "PENDING")</f>
        <v>PENDING</v>
      </c>
      <c r="T446" t="s">
        <v>16</v>
      </c>
      <c r="U446">
        <f>VLOOKUP(A446,ordered_items!$B:$E,4,0)</f>
        <v>59.99</v>
      </c>
    </row>
    <row r="447" spans="1:21" x14ac:dyDescent="0.3">
      <c r="A447">
        <v>24062</v>
      </c>
      <c r="B447" t="s">
        <v>24</v>
      </c>
      <c r="C447">
        <v>3</v>
      </c>
      <c r="D447">
        <v>4</v>
      </c>
      <c r="E447" t="str">
        <f t="shared" si="18"/>
        <v xml:space="preserve"> ONTIME</v>
      </c>
      <c r="F447">
        <f>VLOOKUP($A447,ordered_items!$B$2:$E$4784,2,0)</f>
        <v>502</v>
      </c>
      <c r="G447">
        <f>VLOOKUP($A447,ordered_items!$B$2:$E$4784,3,0)</f>
        <v>5</v>
      </c>
      <c r="H447">
        <f>VLOOKUP($A447,ordered_items!$B$2:$E$4784,4,0)</f>
        <v>250</v>
      </c>
      <c r="I447" s="15">
        <f>VLOOKUP(F447,product_info!$A$2:$D$73,4,0)</f>
        <v>5</v>
      </c>
      <c r="J447" s="15" t="str">
        <f>VLOOKUP(I447,department!$A$2:$B$13,2,0)</f>
        <v>Golf</v>
      </c>
      <c r="K447">
        <v>4561</v>
      </c>
      <c r="L447" t="s">
        <v>119</v>
      </c>
      <c r="M447" s="4">
        <v>43451</v>
      </c>
      <c r="N447" s="12">
        <f t="shared" si="19"/>
        <v>12</v>
      </c>
      <c r="O447" s="13">
        <f t="shared" si="20"/>
        <v>2018</v>
      </c>
      <c r="P447" t="s">
        <v>13</v>
      </c>
      <c r="Q447" t="s">
        <v>5781</v>
      </c>
      <c r="R447" t="s">
        <v>31</v>
      </c>
      <c r="S447" t="str" cm="1">
        <f t="array" ref="S447">_xlfn.IFS(R447="COMPLETE", "COMPLETED", R447="CANCELED", "CANCELED", TRUE, "PENDING")</f>
        <v>COMPLETED</v>
      </c>
      <c r="T447" t="s">
        <v>16</v>
      </c>
      <c r="U447">
        <f>VLOOKUP(A447,ordered_items!$B:$E,4,0)</f>
        <v>250</v>
      </c>
    </row>
    <row r="448" spans="1:21" x14ac:dyDescent="0.3">
      <c r="A448">
        <v>24063</v>
      </c>
      <c r="B448" t="s">
        <v>24</v>
      </c>
      <c r="C448">
        <v>4</v>
      </c>
      <c r="D448">
        <v>4</v>
      </c>
      <c r="E448" t="str">
        <f t="shared" si="18"/>
        <v xml:space="preserve"> ONTIME</v>
      </c>
      <c r="F448">
        <f>VLOOKUP($A448,ordered_items!$B$2:$E$4784,2,0)</f>
        <v>403</v>
      </c>
      <c r="G448">
        <f>VLOOKUP($A448,ordered_items!$B$2:$E$4784,3,0)</f>
        <v>1</v>
      </c>
      <c r="H448">
        <f>VLOOKUP($A448,ordered_items!$B$2:$E$4784,4,0)</f>
        <v>129.99</v>
      </c>
      <c r="I448" s="15">
        <f>VLOOKUP(F448,product_info!$A$2:$D$73,4,0)</f>
        <v>4</v>
      </c>
      <c r="J448" s="15" t="str">
        <f>VLOOKUP(I448,department!$A$2:$B$13,2,0)</f>
        <v>Apparel</v>
      </c>
      <c r="K448">
        <v>8358</v>
      </c>
      <c r="L448" t="s">
        <v>119</v>
      </c>
      <c r="M448" s="4">
        <v>43451</v>
      </c>
      <c r="N448" s="12">
        <f t="shared" si="19"/>
        <v>12</v>
      </c>
      <c r="O448" s="13">
        <f t="shared" si="20"/>
        <v>2018</v>
      </c>
      <c r="P448" t="s">
        <v>13</v>
      </c>
      <c r="Q448" t="s">
        <v>5781</v>
      </c>
      <c r="R448" t="s">
        <v>31</v>
      </c>
      <c r="S448" t="str" cm="1">
        <f t="array" ref="S448">_xlfn.IFS(R448="COMPLETE", "COMPLETED", R448="CANCELED", "CANCELED", TRUE, "PENDING")</f>
        <v>COMPLETED</v>
      </c>
      <c r="T448" t="s">
        <v>16</v>
      </c>
      <c r="U448">
        <f>VLOOKUP(A448,ordered_items!$B:$E,4,0)</f>
        <v>129.99</v>
      </c>
    </row>
    <row r="449" spans="1:21" x14ac:dyDescent="0.3">
      <c r="A449">
        <v>24079</v>
      </c>
      <c r="B449" t="s">
        <v>51</v>
      </c>
      <c r="C449">
        <v>5</v>
      </c>
      <c r="D449">
        <v>4</v>
      </c>
      <c r="E449" t="str">
        <f t="shared" si="18"/>
        <v>DELAYED</v>
      </c>
      <c r="F449">
        <f>VLOOKUP($A449,ordered_items!$B$2:$E$4784,2,0)</f>
        <v>134</v>
      </c>
      <c r="G449">
        <f>VLOOKUP($A449,ordered_items!$B$2:$E$4784,3,0)</f>
        <v>3</v>
      </c>
      <c r="H449">
        <f>VLOOKUP($A449,ordered_items!$B$2:$E$4784,4,0)</f>
        <v>75</v>
      </c>
      <c r="I449" s="15">
        <f>VLOOKUP(F449,product_info!$A$2:$D$73,4,0)</f>
        <v>2</v>
      </c>
      <c r="J449" s="15" t="str">
        <f>VLOOKUP(I449,department!$A$2:$B$13,2,0)</f>
        <v>Fitness</v>
      </c>
      <c r="K449">
        <v>10436</v>
      </c>
      <c r="L449" t="s">
        <v>116</v>
      </c>
      <c r="M449" s="4">
        <v>43451</v>
      </c>
      <c r="N449" s="12">
        <f t="shared" si="19"/>
        <v>12</v>
      </c>
      <c r="O449" s="13">
        <f t="shared" si="20"/>
        <v>2018</v>
      </c>
      <c r="P449" t="s">
        <v>13</v>
      </c>
      <c r="Q449" t="s">
        <v>30</v>
      </c>
      <c r="R449" t="s">
        <v>57</v>
      </c>
      <c r="S449" t="str" cm="1">
        <f t="array" ref="S449">_xlfn.IFS(R449="COMPLETE", "COMPLETED", R449="CANCELED", "CANCELED", TRUE, "PENDING")</f>
        <v>PENDING</v>
      </c>
      <c r="T449" t="s">
        <v>16</v>
      </c>
      <c r="U449">
        <f>VLOOKUP(A449,ordered_items!$B:$E,4,0)</f>
        <v>75</v>
      </c>
    </row>
    <row r="450" spans="1:21" x14ac:dyDescent="0.3">
      <c r="A450">
        <v>24091</v>
      </c>
      <c r="B450" t="s">
        <v>3</v>
      </c>
      <c r="C450">
        <v>2</v>
      </c>
      <c r="D450">
        <v>4</v>
      </c>
      <c r="E450" t="str">
        <f t="shared" si="18"/>
        <v xml:space="preserve"> ONTIME</v>
      </c>
      <c r="F450">
        <f>VLOOKUP($A450,ordered_items!$B$2:$E$4784,2,0)</f>
        <v>1014</v>
      </c>
      <c r="G450">
        <f>VLOOKUP($A450,ordered_items!$B$2:$E$4784,3,0)</f>
        <v>4</v>
      </c>
      <c r="H450">
        <f>VLOOKUP($A450,ordered_items!$B$2:$E$4784,4,0)</f>
        <v>199.92</v>
      </c>
      <c r="I450" s="15">
        <f>VLOOKUP(F450,product_info!$A$2:$D$73,4,0)</f>
        <v>7</v>
      </c>
      <c r="J450" s="15" t="str">
        <f>VLOOKUP(I450,department!$A$2:$B$13,2,0)</f>
        <v>Fan Shop</v>
      </c>
      <c r="K450">
        <v>3245</v>
      </c>
      <c r="L450" t="s">
        <v>534</v>
      </c>
      <c r="M450" s="4">
        <v>43451</v>
      </c>
      <c r="N450" s="12">
        <f t="shared" si="19"/>
        <v>12</v>
      </c>
      <c r="O450" s="13">
        <f t="shared" si="20"/>
        <v>2018</v>
      </c>
      <c r="P450" t="s">
        <v>13</v>
      </c>
      <c r="Q450" t="s">
        <v>30</v>
      </c>
      <c r="R450" t="s">
        <v>14</v>
      </c>
      <c r="S450" t="str" cm="1">
        <f t="array" ref="S450">_xlfn.IFS(R450="COMPLETE", "COMPLETED", R450="CANCELED", "CANCELED", TRUE, "PENDING")</f>
        <v>PENDING</v>
      </c>
      <c r="T450" t="s">
        <v>16</v>
      </c>
      <c r="U450">
        <f>VLOOKUP(A450,ordered_items!$B:$E,4,0)</f>
        <v>199.92</v>
      </c>
    </row>
    <row r="451" spans="1:21" x14ac:dyDescent="0.3">
      <c r="A451">
        <v>24092</v>
      </c>
      <c r="B451" t="s">
        <v>24</v>
      </c>
      <c r="C451">
        <v>3</v>
      </c>
      <c r="D451">
        <v>4</v>
      </c>
      <c r="E451" t="str">
        <f t="shared" ref="E451:E514" si="21">IF(C451-D451&gt;0,"DELAYED"," ONTIME")</f>
        <v xml:space="preserve"> ONTIME</v>
      </c>
      <c r="F451">
        <f>VLOOKUP($A451,ordered_items!$B$2:$E$4784,2,0)</f>
        <v>1004</v>
      </c>
      <c r="G451">
        <f>VLOOKUP($A451,ordered_items!$B$2:$E$4784,3,0)</f>
        <v>1</v>
      </c>
      <c r="H451">
        <f>VLOOKUP($A451,ordered_items!$B$2:$E$4784,4,0)</f>
        <v>399.98</v>
      </c>
      <c r="I451" s="15">
        <f>VLOOKUP(F451,product_info!$A$2:$D$73,4,0)</f>
        <v>7</v>
      </c>
      <c r="J451" s="15" t="str">
        <f>VLOOKUP(I451,department!$A$2:$B$13,2,0)</f>
        <v>Fan Shop</v>
      </c>
      <c r="K451">
        <v>1660</v>
      </c>
      <c r="L451" t="s">
        <v>534</v>
      </c>
      <c r="M451" s="4">
        <v>43451</v>
      </c>
      <c r="N451" s="12">
        <f t="shared" ref="N451:N514" si="22">MONTH(M451)</f>
        <v>12</v>
      </c>
      <c r="O451" s="13">
        <f t="shared" ref="O451:O514" si="23">YEAR(M451)</f>
        <v>2018</v>
      </c>
      <c r="P451" t="s">
        <v>13</v>
      </c>
      <c r="Q451" t="s">
        <v>30</v>
      </c>
      <c r="R451" t="s">
        <v>31</v>
      </c>
      <c r="S451" t="str" cm="1">
        <f t="array" ref="S451">_xlfn.IFS(R451="COMPLETE", "COMPLETED", R451="CANCELED", "CANCELED", TRUE, "PENDING")</f>
        <v>COMPLETED</v>
      </c>
      <c r="T451" t="s">
        <v>16</v>
      </c>
      <c r="U451">
        <f>VLOOKUP(A451,ordered_items!$B:$E,4,0)</f>
        <v>399.98</v>
      </c>
    </row>
    <row r="452" spans="1:21" x14ac:dyDescent="0.3">
      <c r="A452">
        <v>24098</v>
      </c>
      <c r="B452" t="s">
        <v>3</v>
      </c>
      <c r="C452">
        <v>4</v>
      </c>
      <c r="D452">
        <v>4</v>
      </c>
      <c r="E452" t="str">
        <f t="shared" si="21"/>
        <v xml:space="preserve"> ONTIME</v>
      </c>
      <c r="F452">
        <f>VLOOKUP($A452,ordered_items!$B$2:$E$4784,2,0)</f>
        <v>365</v>
      </c>
      <c r="G452">
        <f>VLOOKUP($A452,ordered_items!$B$2:$E$4784,3,0)</f>
        <v>5</v>
      </c>
      <c r="H452">
        <f>VLOOKUP($A452,ordered_items!$B$2:$E$4784,4,0)</f>
        <v>299.95</v>
      </c>
      <c r="I452" s="15">
        <f>VLOOKUP(F452,product_info!$A$2:$D$73,4,0)</f>
        <v>4</v>
      </c>
      <c r="J452" s="15" t="str">
        <f>VLOOKUP(I452,department!$A$2:$B$13,2,0)</f>
        <v>Apparel</v>
      </c>
      <c r="K452">
        <v>4153</v>
      </c>
      <c r="L452" t="s">
        <v>669</v>
      </c>
      <c r="M452" s="4">
        <v>43451</v>
      </c>
      <c r="N452" s="12">
        <f t="shared" si="22"/>
        <v>12</v>
      </c>
      <c r="O452" s="13">
        <f t="shared" si="23"/>
        <v>2018</v>
      </c>
      <c r="P452" t="s">
        <v>13</v>
      </c>
      <c r="Q452" t="s">
        <v>227</v>
      </c>
      <c r="R452" t="s">
        <v>14</v>
      </c>
      <c r="S452" t="str" cm="1">
        <f t="array" ref="S452">_xlfn.IFS(R452="COMPLETE", "COMPLETED", R452="CANCELED", "CANCELED", TRUE, "PENDING")</f>
        <v>PENDING</v>
      </c>
      <c r="T452" t="s">
        <v>16</v>
      </c>
      <c r="U452">
        <f>VLOOKUP(A452,ordered_items!$B:$E,4,0)</f>
        <v>299.95</v>
      </c>
    </row>
    <row r="453" spans="1:21" x14ac:dyDescent="0.3">
      <c r="A453">
        <v>24100</v>
      </c>
      <c r="B453" t="s">
        <v>3</v>
      </c>
      <c r="C453">
        <v>6</v>
      </c>
      <c r="D453">
        <v>4</v>
      </c>
      <c r="E453" t="str">
        <f t="shared" si="21"/>
        <v>DELAYED</v>
      </c>
      <c r="F453">
        <f>VLOOKUP($A453,ordered_items!$B$2:$E$4784,2,0)</f>
        <v>1014</v>
      </c>
      <c r="G453">
        <f>VLOOKUP($A453,ordered_items!$B$2:$E$4784,3,0)</f>
        <v>4</v>
      </c>
      <c r="H453">
        <f>VLOOKUP($A453,ordered_items!$B$2:$E$4784,4,0)</f>
        <v>199.92</v>
      </c>
      <c r="I453" s="15">
        <f>VLOOKUP(F453,product_info!$A$2:$D$73,4,0)</f>
        <v>7</v>
      </c>
      <c r="J453" s="15" t="str">
        <f>VLOOKUP(I453,department!$A$2:$B$13,2,0)</f>
        <v>Fan Shop</v>
      </c>
      <c r="K453">
        <v>5230</v>
      </c>
      <c r="L453" t="s">
        <v>669</v>
      </c>
      <c r="M453" s="4">
        <v>43451</v>
      </c>
      <c r="N453" s="12">
        <f t="shared" si="22"/>
        <v>12</v>
      </c>
      <c r="O453" s="13">
        <f t="shared" si="23"/>
        <v>2018</v>
      </c>
      <c r="P453" t="s">
        <v>13</v>
      </c>
      <c r="Q453" t="s">
        <v>227</v>
      </c>
      <c r="R453" t="s">
        <v>38</v>
      </c>
      <c r="S453" t="str" cm="1">
        <f t="array" ref="S453">_xlfn.IFS(R453="COMPLETE", "COMPLETED", R453="CANCELED", "CANCELED", TRUE, "PENDING")</f>
        <v>PENDING</v>
      </c>
      <c r="T453" t="s">
        <v>16</v>
      </c>
      <c r="U453">
        <f>VLOOKUP(A453,ordered_items!$B:$E,4,0)</f>
        <v>199.92</v>
      </c>
    </row>
    <row r="454" spans="1:21" x14ac:dyDescent="0.3">
      <c r="A454">
        <v>24101</v>
      </c>
      <c r="B454" t="s">
        <v>24</v>
      </c>
      <c r="C454">
        <v>2</v>
      </c>
      <c r="D454">
        <v>4</v>
      </c>
      <c r="E454" t="str">
        <f t="shared" si="21"/>
        <v xml:space="preserve"> ONTIME</v>
      </c>
      <c r="F454">
        <f>VLOOKUP($A454,ordered_items!$B$2:$E$4784,2,0)</f>
        <v>403</v>
      </c>
      <c r="G454">
        <f>VLOOKUP($A454,ordered_items!$B$2:$E$4784,3,0)</f>
        <v>1</v>
      </c>
      <c r="H454">
        <f>VLOOKUP($A454,ordered_items!$B$2:$E$4784,4,0)</f>
        <v>129.99</v>
      </c>
      <c r="I454" s="15">
        <f>VLOOKUP(F454,product_info!$A$2:$D$73,4,0)</f>
        <v>4</v>
      </c>
      <c r="J454" s="15" t="str">
        <f>VLOOKUP(I454,department!$A$2:$B$13,2,0)</f>
        <v>Apparel</v>
      </c>
      <c r="K454">
        <v>6239</v>
      </c>
      <c r="L454" t="s">
        <v>669</v>
      </c>
      <c r="M454" s="4">
        <v>43451</v>
      </c>
      <c r="N454" s="12">
        <f t="shared" si="22"/>
        <v>12</v>
      </c>
      <c r="O454" s="13">
        <f t="shared" si="23"/>
        <v>2018</v>
      </c>
      <c r="P454" t="s">
        <v>13</v>
      </c>
      <c r="Q454" t="s">
        <v>227</v>
      </c>
      <c r="R454" t="s">
        <v>31</v>
      </c>
      <c r="S454" t="str" cm="1">
        <f t="array" ref="S454">_xlfn.IFS(R454="COMPLETE", "COMPLETED", R454="CANCELED", "CANCELED", TRUE, "PENDING")</f>
        <v>COMPLETED</v>
      </c>
      <c r="T454" t="s">
        <v>16</v>
      </c>
      <c r="U454">
        <f>VLOOKUP(A454,ordered_items!$B:$E,4,0)</f>
        <v>129.99</v>
      </c>
    </row>
    <row r="455" spans="1:21" x14ac:dyDescent="0.3">
      <c r="A455">
        <v>24102</v>
      </c>
      <c r="B455" t="s">
        <v>51</v>
      </c>
      <c r="C455">
        <v>3</v>
      </c>
      <c r="D455">
        <v>4</v>
      </c>
      <c r="E455" t="str">
        <f t="shared" si="21"/>
        <v xml:space="preserve"> ONTIME</v>
      </c>
      <c r="F455">
        <f>VLOOKUP($A455,ordered_items!$B$2:$E$4784,2,0)</f>
        <v>778</v>
      </c>
      <c r="G455">
        <f>VLOOKUP($A455,ordered_items!$B$2:$E$4784,3,0)</f>
        <v>5</v>
      </c>
      <c r="H455">
        <f>VLOOKUP($A455,ordered_items!$B$2:$E$4784,4,0)</f>
        <v>124.95</v>
      </c>
      <c r="I455" s="15">
        <f>VLOOKUP(F455,product_info!$A$2:$D$73,4,0)</f>
        <v>6</v>
      </c>
      <c r="J455" s="15" t="str">
        <f>VLOOKUP(I455,department!$A$2:$B$13,2,0)</f>
        <v>Outdoors</v>
      </c>
      <c r="K455">
        <v>6100</v>
      </c>
      <c r="L455" t="s">
        <v>669</v>
      </c>
      <c r="M455" s="4">
        <v>43451</v>
      </c>
      <c r="N455" s="12">
        <f t="shared" si="22"/>
        <v>12</v>
      </c>
      <c r="O455" s="13">
        <f t="shared" si="23"/>
        <v>2018</v>
      </c>
      <c r="P455" t="s">
        <v>13</v>
      </c>
      <c r="Q455" t="s">
        <v>227</v>
      </c>
      <c r="R455" t="s">
        <v>57</v>
      </c>
      <c r="S455" t="str" cm="1">
        <f t="array" ref="S455">_xlfn.IFS(R455="COMPLETE", "COMPLETED", R455="CANCELED", "CANCELED", TRUE, "PENDING")</f>
        <v>PENDING</v>
      </c>
      <c r="T455" t="s">
        <v>16</v>
      </c>
      <c r="U455">
        <f>VLOOKUP(A455,ordered_items!$B:$E,4,0)</f>
        <v>124.95</v>
      </c>
    </row>
    <row r="456" spans="1:21" x14ac:dyDescent="0.3">
      <c r="A456">
        <v>24103</v>
      </c>
      <c r="B456" t="s">
        <v>3</v>
      </c>
      <c r="C456">
        <v>2</v>
      </c>
      <c r="D456">
        <v>1</v>
      </c>
      <c r="E456" t="str">
        <f t="shared" si="21"/>
        <v>DELAYED</v>
      </c>
      <c r="F456">
        <f>VLOOKUP($A456,ordered_items!$B$2:$E$4784,2,0)</f>
        <v>1073</v>
      </c>
      <c r="G456">
        <f>VLOOKUP($A456,ordered_items!$B$2:$E$4784,3,0)</f>
        <v>1</v>
      </c>
      <c r="H456">
        <f>VLOOKUP($A456,ordered_items!$B$2:$E$4784,4,0)</f>
        <v>199.99</v>
      </c>
      <c r="I456" s="15">
        <f>VLOOKUP(F456,product_info!$A$2:$D$73,4,0)</f>
        <v>7</v>
      </c>
      <c r="J456" s="15" t="str">
        <f>VLOOKUP(I456,department!$A$2:$B$13,2,0)</f>
        <v>Fan Shop</v>
      </c>
      <c r="K456">
        <v>12067</v>
      </c>
      <c r="L456" t="s">
        <v>669</v>
      </c>
      <c r="M456" s="4">
        <v>43451</v>
      </c>
      <c r="N456" s="12">
        <f t="shared" si="22"/>
        <v>12</v>
      </c>
      <c r="O456" s="13">
        <f t="shared" si="23"/>
        <v>2018</v>
      </c>
      <c r="P456" t="s">
        <v>13</v>
      </c>
      <c r="Q456" t="s">
        <v>227</v>
      </c>
      <c r="R456" t="s">
        <v>14</v>
      </c>
      <c r="S456" t="str" cm="1">
        <f t="array" ref="S456">_xlfn.IFS(R456="COMPLETE", "COMPLETED", R456="CANCELED", "CANCELED", TRUE, "PENDING")</f>
        <v>PENDING</v>
      </c>
      <c r="T456" t="s">
        <v>32</v>
      </c>
      <c r="U456">
        <f>VLOOKUP(A456,ordered_items!$B:$E,4,0)</f>
        <v>199.99</v>
      </c>
    </row>
    <row r="457" spans="1:21" x14ac:dyDescent="0.3">
      <c r="A457">
        <v>24104</v>
      </c>
      <c r="B457" t="s">
        <v>51</v>
      </c>
      <c r="C457">
        <v>2</v>
      </c>
      <c r="D457">
        <v>1</v>
      </c>
      <c r="E457" t="str">
        <f t="shared" si="21"/>
        <v>DELAYED</v>
      </c>
      <c r="F457">
        <f>VLOOKUP($A457,ordered_items!$B$2:$E$4784,2,0)</f>
        <v>792</v>
      </c>
      <c r="G457">
        <f>VLOOKUP($A457,ordered_items!$B$2:$E$4784,3,0)</f>
        <v>3</v>
      </c>
      <c r="H457">
        <f>VLOOKUP($A457,ordered_items!$B$2:$E$4784,4,0)</f>
        <v>44.97</v>
      </c>
      <c r="I457" s="15">
        <f>VLOOKUP(F457,product_info!$A$2:$D$73,4,0)</f>
        <v>6</v>
      </c>
      <c r="J457" s="15" t="str">
        <f>VLOOKUP(I457,department!$A$2:$B$13,2,0)</f>
        <v>Outdoors</v>
      </c>
      <c r="K457">
        <v>10910</v>
      </c>
      <c r="L457" t="s">
        <v>669</v>
      </c>
      <c r="M457" s="4">
        <v>43451</v>
      </c>
      <c r="N457" s="12">
        <f t="shared" si="22"/>
        <v>12</v>
      </c>
      <c r="O457" s="13">
        <f t="shared" si="23"/>
        <v>2018</v>
      </c>
      <c r="P457" t="s">
        <v>13</v>
      </c>
      <c r="Q457" t="s">
        <v>227</v>
      </c>
      <c r="R457" t="s">
        <v>57</v>
      </c>
      <c r="S457" t="str" cm="1">
        <f t="array" ref="S457">_xlfn.IFS(R457="COMPLETE", "COMPLETED", R457="CANCELED", "CANCELED", TRUE, "PENDING")</f>
        <v>PENDING</v>
      </c>
      <c r="T457" t="s">
        <v>32</v>
      </c>
      <c r="U457">
        <f>VLOOKUP(A457,ordered_items!$B:$E,4,0)</f>
        <v>44.97</v>
      </c>
    </row>
    <row r="458" spans="1:21" x14ac:dyDescent="0.3">
      <c r="A458">
        <v>24105</v>
      </c>
      <c r="B458" t="s">
        <v>3</v>
      </c>
      <c r="C458">
        <v>6</v>
      </c>
      <c r="D458">
        <v>2</v>
      </c>
      <c r="E458" t="str">
        <f t="shared" si="21"/>
        <v>DELAYED</v>
      </c>
      <c r="F458">
        <f>VLOOKUP($A458,ordered_items!$B$2:$E$4784,2,0)</f>
        <v>1004</v>
      </c>
      <c r="G458">
        <f>VLOOKUP($A458,ordered_items!$B$2:$E$4784,3,0)</f>
        <v>1</v>
      </c>
      <c r="H458">
        <f>VLOOKUP($A458,ordered_items!$B$2:$E$4784,4,0)</f>
        <v>399.98</v>
      </c>
      <c r="I458" s="15">
        <f>VLOOKUP(F458,product_info!$A$2:$D$73,4,0)</f>
        <v>7</v>
      </c>
      <c r="J458" s="15" t="str">
        <f>VLOOKUP(I458,department!$A$2:$B$13,2,0)</f>
        <v>Fan Shop</v>
      </c>
      <c r="K458">
        <v>11857</v>
      </c>
      <c r="L458" t="s">
        <v>660</v>
      </c>
      <c r="M458" s="4">
        <v>43451</v>
      </c>
      <c r="N458" s="12">
        <f t="shared" si="22"/>
        <v>12</v>
      </c>
      <c r="O458" s="13">
        <f t="shared" si="23"/>
        <v>2018</v>
      </c>
      <c r="P458" t="s">
        <v>13</v>
      </c>
      <c r="Q458" t="s">
        <v>99</v>
      </c>
      <c r="R458" t="s">
        <v>14</v>
      </c>
      <c r="S458" t="str" cm="1">
        <f t="array" ref="S458">_xlfn.IFS(R458="COMPLETE", "COMPLETED", R458="CANCELED", "CANCELED", TRUE, "PENDING")</f>
        <v>PENDING</v>
      </c>
      <c r="T458" t="s">
        <v>90</v>
      </c>
      <c r="U458">
        <f>VLOOKUP(A458,ordered_items!$B:$E,4,0)</f>
        <v>399.98</v>
      </c>
    </row>
    <row r="459" spans="1:21" x14ac:dyDescent="0.3">
      <c r="A459">
        <v>24120</v>
      </c>
      <c r="B459" t="s">
        <v>24</v>
      </c>
      <c r="C459">
        <v>6</v>
      </c>
      <c r="D459">
        <v>4</v>
      </c>
      <c r="E459" t="str">
        <f t="shared" si="21"/>
        <v>DELAYED</v>
      </c>
      <c r="F459">
        <f>VLOOKUP($A459,ordered_items!$B$2:$E$4784,2,0)</f>
        <v>403</v>
      </c>
      <c r="G459">
        <f>VLOOKUP($A459,ordered_items!$B$2:$E$4784,3,0)</f>
        <v>1</v>
      </c>
      <c r="H459">
        <f>VLOOKUP($A459,ordered_items!$B$2:$E$4784,4,0)</f>
        <v>129.99</v>
      </c>
      <c r="I459" s="15">
        <f>VLOOKUP(F459,product_info!$A$2:$D$73,4,0)</f>
        <v>4</v>
      </c>
      <c r="J459" s="15" t="str">
        <f>VLOOKUP(I459,department!$A$2:$B$13,2,0)</f>
        <v>Apparel</v>
      </c>
      <c r="K459">
        <v>5402</v>
      </c>
      <c r="L459" t="s">
        <v>871</v>
      </c>
      <c r="M459" s="4">
        <v>43452</v>
      </c>
      <c r="N459" s="12">
        <f t="shared" si="22"/>
        <v>12</v>
      </c>
      <c r="O459" s="13">
        <f t="shared" si="23"/>
        <v>2018</v>
      </c>
      <c r="P459" t="s">
        <v>13</v>
      </c>
      <c r="Q459" t="s">
        <v>30</v>
      </c>
      <c r="R459" t="s">
        <v>378</v>
      </c>
      <c r="S459" t="str" cm="1">
        <f t="array" ref="S459">_xlfn.IFS(R459="COMPLETE", "COMPLETED", R459="CANCELED", "CANCELED", TRUE, "PENDING")</f>
        <v>PENDING</v>
      </c>
      <c r="T459" t="s">
        <v>16</v>
      </c>
      <c r="U459">
        <f>VLOOKUP(A459,ordered_items!$B:$E,4,0)</f>
        <v>129.99</v>
      </c>
    </row>
    <row r="460" spans="1:21" x14ac:dyDescent="0.3">
      <c r="A460">
        <v>24121</v>
      </c>
      <c r="B460" t="s">
        <v>17</v>
      </c>
      <c r="C460">
        <v>2</v>
      </c>
      <c r="D460">
        <v>4</v>
      </c>
      <c r="E460" t="str">
        <f t="shared" si="21"/>
        <v xml:space="preserve"> ONTIME</v>
      </c>
      <c r="F460">
        <f>VLOOKUP($A460,ordered_items!$B$2:$E$4784,2,0)</f>
        <v>1004</v>
      </c>
      <c r="G460">
        <f>VLOOKUP($A460,ordered_items!$B$2:$E$4784,3,0)</f>
        <v>1</v>
      </c>
      <c r="H460">
        <f>VLOOKUP($A460,ordered_items!$B$2:$E$4784,4,0)</f>
        <v>399.98</v>
      </c>
      <c r="I460" s="15">
        <f>VLOOKUP(F460,product_info!$A$2:$D$73,4,0)</f>
        <v>7</v>
      </c>
      <c r="J460" s="15" t="str">
        <f>VLOOKUP(I460,department!$A$2:$B$13,2,0)</f>
        <v>Fan Shop</v>
      </c>
      <c r="K460">
        <v>10951</v>
      </c>
      <c r="L460" t="s">
        <v>871</v>
      </c>
      <c r="M460" s="4">
        <v>43452</v>
      </c>
      <c r="N460" s="12">
        <f t="shared" si="22"/>
        <v>12</v>
      </c>
      <c r="O460" s="13">
        <f t="shared" si="23"/>
        <v>2018</v>
      </c>
      <c r="P460" t="s">
        <v>13</v>
      </c>
      <c r="Q460" t="s">
        <v>30</v>
      </c>
      <c r="R460" t="s">
        <v>23</v>
      </c>
      <c r="S460" t="str" cm="1">
        <f t="array" ref="S460">_xlfn.IFS(R460="COMPLETE", "COMPLETED", R460="CANCELED", "CANCELED", TRUE, "PENDING")</f>
        <v>PENDING</v>
      </c>
      <c r="T460" t="s">
        <v>16</v>
      </c>
      <c r="U460">
        <f>VLOOKUP(A460,ordered_items!$B:$E,4,0)</f>
        <v>399.98</v>
      </c>
    </row>
    <row r="461" spans="1:21" x14ac:dyDescent="0.3">
      <c r="A461">
        <v>24122</v>
      </c>
      <c r="B461" t="s">
        <v>51</v>
      </c>
      <c r="C461">
        <v>2</v>
      </c>
      <c r="D461">
        <v>1</v>
      </c>
      <c r="E461" t="str">
        <f t="shared" si="21"/>
        <v>DELAYED</v>
      </c>
      <c r="F461">
        <f>VLOOKUP($A461,ordered_items!$B$2:$E$4784,2,0)</f>
        <v>502</v>
      </c>
      <c r="G461">
        <f>VLOOKUP($A461,ordered_items!$B$2:$E$4784,3,0)</f>
        <v>1</v>
      </c>
      <c r="H461">
        <f>VLOOKUP($A461,ordered_items!$B$2:$E$4784,4,0)</f>
        <v>50</v>
      </c>
      <c r="I461" s="15">
        <f>VLOOKUP(F461,product_info!$A$2:$D$73,4,0)</f>
        <v>5</v>
      </c>
      <c r="J461" s="15" t="str">
        <f>VLOOKUP(I461,department!$A$2:$B$13,2,0)</f>
        <v>Golf</v>
      </c>
      <c r="K461">
        <v>6464</v>
      </c>
      <c r="L461" t="s">
        <v>871</v>
      </c>
      <c r="M461" s="4">
        <v>43452</v>
      </c>
      <c r="N461" s="12">
        <f t="shared" si="22"/>
        <v>12</v>
      </c>
      <c r="O461" s="13">
        <f t="shared" si="23"/>
        <v>2018</v>
      </c>
      <c r="P461" t="s">
        <v>13</v>
      </c>
      <c r="Q461" t="s">
        <v>30</v>
      </c>
      <c r="R461" t="s">
        <v>57</v>
      </c>
      <c r="S461" t="str" cm="1">
        <f t="array" ref="S461">_xlfn.IFS(R461="COMPLETE", "COMPLETED", R461="CANCELED", "CANCELED", TRUE, "PENDING")</f>
        <v>PENDING</v>
      </c>
      <c r="T461" t="s">
        <v>32</v>
      </c>
      <c r="U461">
        <f>VLOOKUP(A461,ordered_items!$B:$E,4,0)</f>
        <v>50</v>
      </c>
    </row>
    <row r="462" spans="1:21" x14ac:dyDescent="0.3">
      <c r="A462">
        <v>24144</v>
      </c>
      <c r="B462" t="s">
        <v>24</v>
      </c>
      <c r="C462">
        <v>5</v>
      </c>
      <c r="D462">
        <v>4</v>
      </c>
      <c r="E462" t="str">
        <f t="shared" si="21"/>
        <v>DELAYED</v>
      </c>
      <c r="F462">
        <f>VLOOKUP($A462,ordered_items!$B$2:$E$4784,2,0)</f>
        <v>191</v>
      </c>
      <c r="G462">
        <f>VLOOKUP($A462,ordered_items!$B$2:$E$4784,3,0)</f>
        <v>1</v>
      </c>
      <c r="H462">
        <f>VLOOKUP($A462,ordered_items!$B$2:$E$4784,4,0)</f>
        <v>99.99</v>
      </c>
      <c r="I462" s="15">
        <f>VLOOKUP(F462,product_info!$A$2:$D$73,4,0)</f>
        <v>3</v>
      </c>
      <c r="J462" s="15" t="str">
        <f>VLOOKUP(I462,department!$A$2:$B$13,2,0)</f>
        <v>Footwear</v>
      </c>
      <c r="K462">
        <v>2110</v>
      </c>
      <c r="L462" t="s">
        <v>79</v>
      </c>
      <c r="M462" s="4">
        <v>43452</v>
      </c>
      <c r="N462" s="12">
        <f t="shared" si="22"/>
        <v>12</v>
      </c>
      <c r="O462" s="13">
        <f t="shared" si="23"/>
        <v>2018</v>
      </c>
      <c r="P462" t="s">
        <v>13</v>
      </c>
      <c r="Q462" t="s">
        <v>80</v>
      </c>
      <c r="R462" t="s">
        <v>31</v>
      </c>
      <c r="S462" t="str" cm="1">
        <f t="array" ref="S462">_xlfn.IFS(R462="COMPLETE", "COMPLETED", R462="CANCELED", "CANCELED", TRUE, "PENDING")</f>
        <v>COMPLETED</v>
      </c>
      <c r="T462" t="s">
        <v>16</v>
      </c>
      <c r="U462">
        <f>VLOOKUP(A462,ordered_items!$B:$E,4,0)</f>
        <v>99.99</v>
      </c>
    </row>
    <row r="463" spans="1:21" x14ac:dyDescent="0.3">
      <c r="A463">
        <v>24145</v>
      </c>
      <c r="B463" t="s">
        <v>3</v>
      </c>
      <c r="C463">
        <v>6</v>
      </c>
      <c r="D463">
        <v>4</v>
      </c>
      <c r="E463" t="str">
        <f t="shared" si="21"/>
        <v>DELAYED</v>
      </c>
      <c r="F463">
        <f>VLOOKUP($A463,ordered_items!$B$2:$E$4784,2,0)</f>
        <v>1014</v>
      </c>
      <c r="G463">
        <f>VLOOKUP($A463,ordered_items!$B$2:$E$4784,3,0)</f>
        <v>5</v>
      </c>
      <c r="H463">
        <f>VLOOKUP($A463,ordered_items!$B$2:$E$4784,4,0)</f>
        <v>249.9</v>
      </c>
      <c r="I463" s="15">
        <f>VLOOKUP(F463,product_info!$A$2:$D$73,4,0)</f>
        <v>7</v>
      </c>
      <c r="J463" s="15" t="str">
        <f>VLOOKUP(I463,department!$A$2:$B$13,2,0)</f>
        <v>Fan Shop</v>
      </c>
      <c r="K463">
        <v>878</v>
      </c>
      <c r="L463" t="s">
        <v>79</v>
      </c>
      <c r="M463" s="4">
        <v>43452</v>
      </c>
      <c r="N463" s="12">
        <f t="shared" si="22"/>
        <v>12</v>
      </c>
      <c r="O463" s="13">
        <f t="shared" si="23"/>
        <v>2018</v>
      </c>
      <c r="P463" t="s">
        <v>13</v>
      </c>
      <c r="Q463" t="s">
        <v>80</v>
      </c>
      <c r="R463" t="s">
        <v>178</v>
      </c>
      <c r="S463" t="str" cm="1">
        <f t="array" ref="S463">_xlfn.IFS(R463="COMPLETE", "COMPLETED", R463="CANCELED", "CANCELED", TRUE, "PENDING")</f>
        <v>PENDING</v>
      </c>
      <c r="T463" t="s">
        <v>16</v>
      </c>
      <c r="U463">
        <f>VLOOKUP(A463,ordered_items!$B:$E,4,0)</f>
        <v>249.9</v>
      </c>
    </row>
    <row r="464" spans="1:21" x14ac:dyDescent="0.3">
      <c r="A464">
        <v>24159</v>
      </c>
      <c r="B464" t="s">
        <v>24</v>
      </c>
      <c r="C464">
        <v>5</v>
      </c>
      <c r="D464">
        <v>2</v>
      </c>
      <c r="E464" t="str">
        <f t="shared" si="21"/>
        <v>DELAYED</v>
      </c>
      <c r="F464">
        <f>VLOOKUP($A464,ordered_items!$B$2:$E$4784,2,0)</f>
        <v>957</v>
      </c>
      <c r="G464">
        <f>VLOOKUP($A464,ordered_items!$B$2:$E$4784,3,0)</f>
        <v>1</v>
      </c>
      <c r="H464">
        <f>VLOOKUP($A464,ordered_items!$B$2:$E$4784,4,0)</f>
        <v>299.98</v>
      </c>
      <c r="I464" s="15">
        <f>VLOOKUP(F464,product_info!$A$2:$D$73,4,0)</f>
        <v>7</v>
      </c>
      <c r="J464" s="15" t="str">
        <f>VLOOKUP(I464,department!$A$2:$B$13,2,0)</f>
        <v>Fan Shop</v>
      </c>
      <c r="K464">
        <v>6119</v>
      </c>
      <c r="L464" t="s">
        <v>530</v>
      </c>
      <c r="M464" s="4">
        <v>43452</v>
      </c>
      <c r="N464" s="12">
        <f t="shared" si="22"/>
        <v>12</v>
      </c>
      <c r="O464" s="13">
        <f t="shared" si="23"/>
        <v>2018</v>
      </c>
      <c r="P464" t="s">
        <v>13</v>
      </c>
      <c r="Q464" t="s">
        <v>5777</v>
      </c>
      <c r="R464" t="s">
        <v>31</v>
      </c>
      <c r="S464" t="str" cm="1">
        <f t="array" ref="S464">_xlfn.IFS(R464="COMPLETE", "COMPLETED", R464="CANCELED", "CANCELED", TRUE, "PENDING")</f>
        <v>COMPLETED</v>
      </c>
      <c r="T464" t="s">
        <v>90</v>
      </c>
      <c r="U464">
        <f>VLOOKUP(A464,ordered_items!$B:$E,4,0)</f>
        <v>299.98</v>
      </c>
    </row>
    <row r="465" spans="1:21" x14ac:dyDescent="0.3">
      <c r="A465">
        <v>24164</v>
      </c>
      <c r="B465" t="s">
        <v>17</v>
      </c>
      <c r="C465">
        <v>5</v>
      </c>
      <c r="D465">
        <v>4</v>
      </c>
      <c r="E465" t="str">
        <f t="shared" si="21"/>
        <v>DELAYED</v>
      </c>
      <c r="F465">
        <f>VLOOKUP($A465,ordered_items!$B$2:$E$4784,2,0)</f>
        <v>957</v>
      </c>
      <c r="G465">
        <f>VLOOKUP($A465,ordered_items!$B$2:$E$4784,3,0)</f>
        <v>1</v>
      </c>
      <c r="H465">
        <f>VLOOKUP($A465,ordered_items!$B$2:$E$4784,4,0)</f>
        <v>299.98</v>
      </c>
      <c r="I465" s="15">
        <f>VLOOKUP(F465,product_info!$A$2:$D$73,4,0)</f>
        <v>7</v>
      </c>
      <c r="J465" s="15" t="str">
        <f>VLOOKUP(I465,department!$A$2:$B$13,2,0)</f>
        <v>Fan Shop</v>
      </c>
      <c r="K465">
        <v>6701</v>
      </c>
      <c r="L465" t="s">
        <v>881</v>
      </c>
      <c r="M465" s="4">
        <v>43452</v>
      </c>
      <c r="N465" s="12">
        <f t="shared" si="22"/>
        <v>12</v>
      </c>
      <c r="O465" s="13">
        <f t="shared" si="23"/>
        <v>2018</v>
      </c>
      <c r="P465" t="s">
        <v>13</v>
      </c>
      <c r="Q465" t="s">
        <v>99</v>
      </c>
      <c r="R465" t="s">
        <v>23</v>
      </c>
      <c r="S465" t="str" cm="1">
        <f t="array" ref="S465">_xlfn.IFS(R465="COMPLETE", "COMPLETED", R465="CANCELED", "CANCELED", TRUE, "PENDING")</f>
        <v>PENDING</v>
      </c>
      <c r="T465" t="s">
        <v>16</v>
      </c>
      <c r="U465">
        <f>VLOOKUP(A465,ordered_items!$B:$E,4,0)</f>
        <v>299.98</v>
      </c>
    </row>
    <row r="466" spans="1:21" x14ac:dyDescent="0.3">
      <c r="A466">
        <v>24165</v>
      </c>
      <c r="B466" t="s">
        <v>51</v>
      </c>
      <c r="C466">
        <v>6</v>
      </c>
      <c r="D466">
        <v>4</v>
      </c>
      <c r="E466" t="str">
        <f t="shared" si="21"/>
        <v>DELAYED</v>
      </c>
      <c r="F466">
        <f>VLOOKUP($A466,ordered_items!$B$2:$E$4784,2,0)</f>
        <v>1004</v>
      </c>
      <c r="G466">
        <f>VLOOKUP($A466,ordered_items!$B$2:$E$4784,3,0)</f>
        <v>1</v>
      </c>
      <c r="H466">
        <f>VLOOKUP($A466,ordered_items!$B$2:$E$4784,4,0)</f>
        <v>399.98</v>
      </c>
      <c r="I466" s="15">
        <f>VLOOKUP(F466,product_info!$A$2:$D$73,4,0)</f>
        <v>7</v>
      </c>
      <c r="J466" s="15" t="str">
        <f>VLOOKUP(I466,department!$A$2:$B$13,2,0)</f>
        <v>Fan Shop</v>
      </c>
      <c r="K466">
        <v>9760</v>
      </c>
      <c r="L466" t="s">
        <v>881</v>
      </c>
      <c r="M466" s="4">
        <v>43452</v>
      </c>
      <c r="N466" s="12">
        <f t="shared" si="22"/>
        <v>12</v>
      </c>
      <c r="O466" s="13">
        <f t="shared" si="23"/>
        <v>2018</v>
      </c>
      <c r="P466" t="s">
        <v>13</v>
      </c>
      <c r="Q466" t="s">
        <v>99</v>
      </c>
      <c r="R466" t="s">
        <v>57</v>
      </c>
      <c r="S466" t="str" cm="1">
        <f t="array" ref="S466">_xlfn.IFS(R466="COMPLETE", "COMPLETED", R466="CANCELED", "CANCELED", TRUE, "PENDING")</f>
        <v>PENDING</v>
      </c>
      <c r="T466" t="s">
        <v>16</v>
      </c>
      <c r="U466">
        <f>VLOOKUP(A466,ordered_items!$B:$E,4,0)</f>
        <v>399.98</v>
      </c>
    </row>
    <row r="467" spans="1:21" x14ac:dyDescent="0.3">
      <c r="A467">
        <v>24166</v>
      </c>
      <c r="B467" t="s">
        <v>24</v>
      </c>
      <c r="C467">
        <v>2</v>
      </c>
      <c r="D467">
        <v>4</v>
      </c>
      <c r="E467" t="str">
        <f t="shared" si="21"/>
        <v xml:space="preserve"> ONTIME</v>
      </c>
      <c r="F467">
        <f>VLOOKUP($A467,ordered_items!$B$2:$E$4784,2,0)</f>
        <v>1004</v>
      </c>
      <c r="G467">
        <f>VLOOKUP($A467,ordered_items!$B$2:$E$4784,3,0)</f>
        <v>1</v>
      </c>
      <c r="H467">
        <f>VLOOKUP($A467,ordered_items!$B$2:$E$4784,4,0)</f>
        <v>399.98</v>
      </c>
      <c r="I467" s="15">
        <f>VLOOKUP(F467,product_info!$A$2:$D$73,4,0)</f>
        <v>7</v>
      </c>
      <c r="J467" s="15" t="str">
        <f>VLOOKUP(I467,department!$A$2:$B$13,2,0)</f>
        <v>Fan Shop</v>
      </c>
      <c r="K467">
        <v>247</v>
      </c>
      <c r="L467" t="s">
        <v>881</v>
      </c>
      <c r="M467" s="4">
        <v>43452</v>
      </c>
      <c r="N467" s="12">
        <f t="shared" si="22"/>
        <v>12</v>
      </c>
      <c r="O467" s="13">
        <f t="shared" si="23"/>
        <v>2018</v>
      </c>
      <c r="P467" t="s">
        <v>13</v>
      </c>
      <c r="Q467" t="s">
        <v>99</v>
      </c>
      <c r="R467" t="s">
        <v>31</v>
      </c>
      <c r="S467" t="str" cm="1">
        <f t="array" ref="S467">_xlfn.IFS(R467="COMPLETE", "COMPLETED", R467="CANCELED", "CANCELED", TRUE, "PENDING")</f>
        <v>COMPLETED</v>
      </c>
      <c r="T467" t="s">
        <v>16</v>
      </c>
      <c r="U467">
        <f>VLOOKUP(A467,ordered_items!$B:$E,4,0)</f>
        <v>399.98</v>
      </c>
    </row>
    <row r="468" spans="1:21" x14ac:dyDescent="0.3">
      <c r="A468">
        <v>24172</v>
      </c>
      <c r="B468" t="s">
        <v>17</v>
      </c>
      <c r="C468">
        <v>3</v>
      </c>
      <c r="D468">
        <v>4</v>
      </c>
      <c r="E468" t="str">
        <f t="shared" si="21"/>
        <v xml:space="preserve"> ONTIME</v>
      </c>
      <c r="F468">
        <f>VLOOKUP($A468,ordered_items!$B$2:$E$4784,2,0)</f>
        <v>1073</v>
      </c>
      <c r="G468">
        <f>VLOOKUP($A468,ordered_items!$B$2:$E$4784,3,0)</f>
        <v>1</v>
      </c>
      <c r="H468">
        <f>VLOOKUP($A468,ordered_items!$B$2:$E$4784,4,0)</f>
        <v>199.99</v>
      </c>
      <c r="I468" s="15">
        <f>VLOOKUP(F468,product_info!$A$2:$D$73,4,0)</f>
        <v>7</v>
      </c>
      <c r="J468" s="15" t="str">
        <f>VLOOKUP(I468,department!$A$2:$B$13,2,0)</f>
        <v>Fan Shop</v>
      </c>
      <c r="K468">
        <v>2435</v>
      </c>
      <c r="L468" t="s">
        <v>1848</v>
      </c>
      <c r="M468" s="4">
        <v>43452</v>
      </c>
      <c r="N468" s="12">
        <f t="shared" si="22"/>
        <v>12</v>
      </c>
      <c r="O468" s="13">
        <f t="shared" si="23"/>
        <v>2018</v>
      </c>
      <c r="P468" t="s">
        <v>13</v>
      </c>
      <c r="Q468" t="s">
        <v>47</v>
      </c>
      <c r="R468" t="s">
        <v>23</v>
      </c>
      <c r="S468" t="str" cm="1">
        <f t="array" ref="S468">_xlfn.IFS(R468="COMPLETE", "COMPLETED", R468="CANCELED", "CANCELED", TRUE, "PENDING")</f>
        <v>PENDING</v>
      </c>
      <c r="T468" t="s">
        <v>16</v>
      </c>
      <c r="U468">
        <f>VLOOKUP(A468,ordered_items!$B:$E,4,0)</f>
        <v>199.99</v>
      </c>
    </row>
    <row r="469" spans="1:21" x14ac:dyDescent="0.3">
      <c r="A469">
        <v>24174</v>
      </c>
      <c r="B469" t="s">
        <v>24</v>
      </c>
      <c r="C469">
        <v>5</v>
      </c>
      <c r="D469">
        <v>4</v>
      </c>
      <c r="E469" t="str">
        <f t="shared" si="21"/>
        <v>DELAYED</v>
      </c>
      <c r="F469">
        <f>VLOOKUP($A469,ordered_items!$B$2:$E$4784,2,0)</f>
        <v>403</v>
      </c>
      <c r="G469">
        <f>VLOOKUP($A469,ordered_items!$B$2:$E$4784,3,0)</f>
        <v>1</v>
      </c>
      <c r="H469">
        <f>VLOOKUP($A469,ordered_items!$B$2:$E$4784,4,0)</f>
        <v>129.99</v>
      </c>
      <c r="I469" s="15">
        <f>VLOOKUP(F469,product_info!$A$2:$D$73,4,0)</f>
        <v>4</v>
      </c>
      <c r="J469" s="15" t="str">
        <f>VLOOKUP(I469,department!$A$2:$B$13,2,0)</f>
        <v>Apparel</v>
      </c>
      <c r="K469">
        <v>6940</v>
      </c>
      <c r="L469" t="s">
        <v>3018</v>
      </c>
      <c r="M469" s="4">
        <v>43452</v>
      </c>
      <c r="N469" s="12">
        <f t="shared" si="22"/>
        <v>12</v>
      </c>
      <c r="O469" s="13">
        <f t="shared" si="23"/>
        <v>2018</v>
      </c>
      <c r="P469" t="s">
        <v>13</v>
      </c>
      <c r="Q469" t="s">
        <v>30</v>
      </c>
      <c r="R469" t="s">
        <v>31</v>
      </c>
      <c r="S469" t="str" cm="1">
        <f t="array" ref="S469">_xlfn.IFS(R469="COMPLETE", "COMPLETED", R469="CANCELED", "CANCELED", TRUE, "PENDING")</f>
        <v>COMPLETED</v>
      </c>
      <c r="T469" t="s">
        <v>16</v>
      </c>
      <c r="U469">
        <f>VLOOKUP(A469,ordered_items!$B:$E,4,0)</f>
        <v>129.99</v>
      </c>
    </row>
    <row r="470" spans="1:21" x14ac:dyDescent="0.3">
      <c r="A470">
        <v>24176</v>
      </c>
      <c r="B470" t="s">
        <v>3</v>
      </c>
      <c r="C470">
        <v>2</v>
      </c>
      <c r="D470">
        <v>4</v>
      </c>
      <c r="E470" t="str">
        <f t="shared" si="21"/>
        <v xml:space="preserve"> ONTIME</v>
      </c>
      <c r="F470">
        <f>VLOOKUP($A470,ordered_items!$B$2:$E$4784,2,0)</f>
        <v>810</v>
      </c>
      <c r="G470">
        <f>VLOOKUP($A470,ordered_items!$B$2:$E$4784,3,0)</f>
        <v>5</v>
      </c>
      <c r="H470">
        <f>VLOOKUP($A470,ordered_items!$B$2:$E$4784,4,0)</f>
        <v>99.95</v>
      </c>
      <c r="I470" s="15">
        <f>VLOOKUP(F470,product_info!$A$2:$D$73,4,0)</f>
        <v>6</v>
      </c>
      <c r="J470" s="15" t="str">
        <f>VLOOKUP(I470,department!$A$2:$B$13,2,0)</f>
        <v>Outdoors</v>
      </c>
      <c r="K470">
        <v>7200</v>
      </c>
      <c r="L470" t="s">
        <v>409</v>
      </c>
      <c r="M470" s="4">
        <v>43452</v>
      </c>
      <c r="N470" s="12">
        <f t="shared" si="22"/>
        <v>12</v>
      </c>
      <c r="O470" s="13">
        <f t="shared" si="23"/>
        <v>2018</v>
      </c>
      <c r="P470" t="s">
        <v>13</v>
      </c>
      <c r="Q470" t="s">
        <v>410</v>
      </c>
      <c r="R470" t="s">
        <v>14</v>
      </c>
      <c r="S470" t="str" cm="1">
        <f t="array" ref="S470">_xlfn.IFS(R470="COMPLETE", "COMPLETED", R470="CANCELED", "CANCELED", TRUE, "PENDING")</f>
        <v>PENDING</v>
      </c>
      <c r="T470" t="s">
        <v>16</v>
      </c>
      <c r="U470">
        <f>VLOOKUP(A470,ordered_items!$B:$E,4,0)</f>
        <v>99.95</v>
      </c>
    </row>
    <row r="471" spans="1:21" x14ac:dyDescent="0.3">
      <c r="A471">
        <v>24177</v>
      </c>
      <c r="B471" t="s">
        <v>3</v>
      </c>
      <c r="C471">
        <v>3</v>
      </c>
      <c r="D471">
        <v>4</v>
      </c>
      <c r="E471" t="str">
        <f t="shared" si="21"/>
        <v xml:space="preserve"> ONTIME</v>
      </c>
      <c r="F471">
        <f>VLOOKUP($A471,ordered_items!$B$2:$E$4784,2,0)</f>
        <v>792</v>
      </c>
      <c r="G471">
        <f>VLOOKUP($A471,ordered_items!$B$2:$E$4784,3,0)</f>
        <v>1</v>
      </c>
      <c r="H471">
        <f>VLOOKUP($A471,ordered_items!$B$2:$E$4784,4,0)</f>
        <v>14.99</v>
      </c>
      <c r="I471" s="15">
        <f>VLOOKUP(F471,product_info!$A$2:$D$73,4,0)</f>
        <v>6</v>
      </c>
      <c r="J471" s="15" t="str">
        <f>VLOOKUP(I471,department!$A$2:$B$13,2,0)</f>
        <v>Outdoors</v>
      </c>
      <c r="K471">
        <v>2376</v>
      </c>
      <c r="L471" t="s">
        <v>409</v>
      </c>
      <c r="M471" s="4">
        <v>43452</v>
      </c>
      <c r="N471" s="12">
        <f t="shared" si="22"/>
        <v>12</v>
      </c>
      <c r="O471" s="13">
        <f t="shared" si="23"/>
        <v>2018</v>
      </c>
      <c r="P471" t="s">
        <v>13</v>
      </c>
      <c r="Q471" t="s">
        <v>410</v>
      </c>
      <c r="R471" t="s">
        <v>14</v>
      </c>
      <c r="S471" t="str" cm="1">
        <f t="array" ref="S471">_xlfn.IFS(R471="COMPLETE", "COMPLETED", R471="CANCELED", "CANCELED", TRUE, "PENDING")</f>
        <v>PENDING</v>
      </c>
      <c r="T471" t="s">
        <v>16</v>
      </c>
      <c r="U471">
        <f>VLOOKUP(A471,ordered_items!$B:$E,4,0)</f>
        <v>14.99</v>
      </c>
    </row>
    <row r="472" spans="1:21" x14ac:dyDescent="0.3">
      <c r="A472">
        <v>24178</v>
      </c>
      <c r="B472" t="s">
        <v>24</v>
      </c>
      <c r="C472">
        <v>4</v>
      </c>
      <c r="D472">
        <v>4</v>
      </c>
      <c r="E472" t="str">
        <f t="shared" si="21"/>
        <v xml:space="preserve"> ONTIME</v>
      </c>
      <c r="F472">
        <f>VLOOKUP($A472,ordered_items!$B$2:$E$4784,2,0)</f>
        <v>1014</v>
      </c>
      <c r="G472">
        <f>VLOOKUP($A472,ordered_items!$B$2:$E$4784,3,0)</f>
        <v>2</v>
      </c>
      <c r="H472">
        <f>VLOOKUP($A472,ordered_items!$B$2:$E$4784,4,0)</f>
        <v>99.96</v>
      </c>
      <c r="I472" s="15">
        <f>VLOOKUP(F472,product_info!$A$2:$D$73,4,0)</f>
        <v>7</v>
      </c>
      <c r="J472" s="15" t="str">
        <f>VLOOKUP(I472,department!$A$2:$B$13,2,0)</f>
        <v>Fan Shop</v>
      </c>
      <c r="K472">
        <v>2183</v>
      </c>
      <c r="L472" t="s">
        <v>409</v>
      </c>
      <c r="M472" s="4">
        <v>43452</v>
      </c>
      <c r="N472" s="12">
        <f t="shared" si="22"/>
        <v>12</v>
      </c>
      <c r="O472" s="13">
        <f t="shared" si="23"/>
        <v>2018</v>
      </c>
      <c r="P472" t="s">
        <v>13</v>
      </c>
      <c r="Q472" t="s">
        <v>410</v>
      </c>
      <c r="R472" t="s">
        <v>378</v>
      </c>
      <c r="S472" t="str" cm="1">
        <f t="array" ref="S472">_xlfn.IFS(R472="COMPLETE", "COMPLETED", R472="CANCELED", "CANCELED", TRUE, "PENDING")</f>
        <v>PENDING</v>
      </c>
      <c r="T472" t="s">
        <v>16</v>
      </c>
      <c r="U472">
        <f>VLOOKUP(A472,ordered_items!$B:$E,4,0)</f>
        <v>99.96</v>
      </c>
    </row>
    <row r="473" spans="1:21" x14ac:dyDescent="0.3">
      <c r="A473">
        <v>24189</v>
      </c>
      <c r="B473" t="s">
        <v>17</v>
      </c>
      <c r="C473">
        <v>5</v>
      </c>
      <c r="D473">
        <v>4</v>
      </c>
      <c r="E473" t="str">
        <f t="shared" si="21"/>
        <v>DELAYED</v>
      </c>
      <c r="F473">
        <f>VLOOKUP($A473,ordered_items!$B$2:$E$4784,2,0)</f>
        <v>1014</v>
      </c>
      <c r="G473">
        <f>VLOOKUP($A473,ordered_items!$B$2:$E$4784,3,0)</f>
        <v>1</v>
      </c>
      <c r="H473">
        <f>VLOOKUP($A473,ordered_items!$B$2:$E$4784,4,0)</f>
        <v>49.98</v>
      </c>
      <c r="I473" s="15">
        <f>VLOOKUP(F473,product_info!$A$2:$D$73,4,0)</f>
        <v>7</v>
      </c>
      <c r="J473" s="15" t="str">
        <f>VLOOKUP(I473,department!$A$2:$B$13,2,0)</f>
        <v>Fan Shop</v>
      </c>
      <c r="K473">
        <v>6295</v>
      </c>
      <c r="L473" t="s">
        <v>226</v>
      </c>
      <c r="M473" s="4">
        <v>43453</v>
      </c>
      <c r="N473" s="12">
        <f t="shared" si="22"/>
        <v>12</v>
      </c>
      <c r="O473" s="13">
        <f t="shared" si="23"/>
        <v>2018</v>
      </c>
      <c r="P473" t="s">
        <v>13</v>
      </c>
      <c r="Q473" t="s">
        <v>30</v>
      </c>
      <c r="R473" t="s">
        <v>23</v>
      </c>
      <c r="S473" t="str" cm="1">
        <f t="array" ref="S473">_xlfn.IFS(R473="COMPLETE", "COMPLETED", R473="CANCELED", "CANCELED", TRUE, "PENDING")</f>
        <v>PENDING</v>
      </c>
      <c r="T473" t="s">
        <v>16</v>
      </c>
      <c r="U473">
        <f>VLOOKUP(A473,ordered_items!$B:$E,4,0)</f>
        <v>49.98</v>
      </c>
    </row>
    <row r="474" spans="1:21" x14ac:dyDescent="0.3">
      <c r="A474">
        <v>24190</v>
      </c>
      <c r="B474" t="s">
        <v>51</v>
      </c>
      <c r="C474">
        <v>6</v>
      </c>
      <c r="D474">
        <v>4</v>
      </c>
      <c r="E474" t="str">
        <f t="shared" si="21"/>
        <v>DELAYED</v>
      </c>
      <c r="F474">
        <f>VLOOKUP($A474,ordered_items!$B$2:$E$4784,2,0)</f>
        <v>403</v>
      </c>
      <c r="G474">
        <f>VLOOKUP($A474,ordered_items!$B$2:$E$4784,3,0)</f>
        <v>1</v>
      </c>
      <c r="H474">
        <f>VLOOKUP($A474,ordered_items!$B$2:$E$4784,4,0)</f>
        <v>129.99</v>
      </c>
      <c r="I474" s="15">
        <f>VLOOKUP(F474,product_info!$A$2:$D$73,4,0)</f>
        <v>4</v>
      </c>
      <c r="J474" s="15" t="str">
        <f>VLOOKUP(I474,department!$A$2:$B$13,2,0)</f>
        <v>Apparel</v>
      </c>
      <c r="K474">
        <v>12211</v>
      </c>
      <c r="L474" t="s">
        <v>226</v>
      </c>
      <c r="M474" s="4">
        <v>43453</v>
      </c>
      <c r="N474" s="12">
        <f t="shared" si="22"/>
        <v>12</v>
      </c>
      <c r="O474" s="13">
        <f t="shared" si="23"/>
        <v>2018</v>
      </c>
      <c r="P474" t="s">
        <v>13</v>
      </c>
      <c r="Q474" t="s">
        <v>30</v>
      </c>
      <c r="R474" t="s">
        <v>57</v>
      </c>
      <c r="S474" t="str" cm="1">
        <f t="array" ref="S474">_xlfn.IFS(R474="COMPLETE", "COMPLETED", R474="CANCELED", "CANCELED", TRUE, "PENDING")</f>
        <v>PENDING</v>
      </c>
      <c r="T474" t="s">
        <v>16</v>
      </c>
      <c r="U474">
        <f>VLOOKUP(A474,ordered_items!$B:$E,4,0)</f>
        <v>129.99</v>
      </c>
    </row>
    <row r="475" spans="1:21" x14ac:dyDescent="0.3">
      <c r="A475">
        <v>24195</v>
      </c>
      <c r="B475" t="s">
        <v>24</v>
      </c>
      <c r="C475">
        <v>2</v>
      </c>
      <c r="D475">
        <v>1</v>
      </c>
      <c r="E475" t="str">
        <f t="shared" si="21"/>
        <v>DELAYED</v>
      </c>
      <c r="F475">
        <f>VLOOKUP($A475,ordered_items!$B$2:$E$4784,2,0)</f>
        <v>1004</v>
      </c>
      <c r="G475">
        <f>VLOOKUP($A475,ordered_items!$B$2:$E$4784,3,0)</f>
        <v>1</v>
      </c>
      <c r="H475">
        <f>VLOOKUP($A475,ordered_items!$B$2:$E$4784,4,0)</f>
        <v>399.98</v>
      </c>
      <c r="I475" s="15">
        <f>VLOOKUP(F475,product_info!$A$2:$D$73,4,0)</f>
        <v>7</v>
      </c>
      <c r="J475" s="15" t="str">
        <f>VLOOKUP(I475,department!$A$2:$B$13,2,0)</f>
        <v>Fan Shop</v>
      </c>
      <c r="K475">
        <v>1031</v>
      </c>
      <c r="L475" t="s">
        <v>764</v>
      </c>
      <c r="M475" s="4">
        <v>43453</v>
      </c>
      <c r="N475" s="12">
        <f t="shared" si="22"/>
        <v>12</v>
      </c>
      <c r="O475" s="13">
        <f t="shared" si="23"/>
        <v>2018</v>
      </c>
      <c r="P475" t="s">
        <v>13</v>
      </c>
      <c r="Q475" t="s">
        <v>30</v>
      </c>
      <c r="R475" t="s">
        <v>31</v>
      </c>
      <c r="S475" t="str" cm="1">
        <f t="array" ref="S475">_xlfn.IFS(R475="COMPLETE", "COMPLETED", R475="CANCELED", "CANCELED", TRUE, "PENDING")</f>
        <v>COMPLETED</v>
      </c>
      <c r="T475" t="s">
        <v>32</v>
      </c>
      <c r="U475">
        <f>VLOOKUP(A475,ordered_items!$B:$E,4,0)</f>
        <v>399.98</v>
      </c>
    </row>
    <row r="476" spans="1:21" x14ac:dyDescent="0.3">
      <c r="A476">
        <v>24200</v>
      </c>
      <c r="B476" t="s">
        <v>51</v>
      </c>
      <c r="C476">
        <v>2</v>
      </c>
      <c r="D476">
        <v>1</v>
      </c>
      <c r="E476" t="str">
        <f t="shared" si="21"/>
        <v>DELAYED</v>
      </c>
      <c r="F476">
        <f>VLOOKUP($A476,ordered_items!$B$2:$E$4784,2,0)</f>
        <v>1004</v>
      </c>
      <c r="G476">
        <f>VLOOKUP($A476,ordered_items!$B$2:$E$4784,3,0)</f>
        <v>1</v>
      </c>
      <c r="H476">
        <f>VLOOKUP($A476,ordered_items!$B$2:$E$4784,4,0)</f>
        <v>399.98</v>
      </c>
      <c r="I476" s="15">
        <f>VLOOKUP(F476,product_info!$A$2:$D$73,4,0)</f>
        <v>7</v>
      </c>
      <c r="J476" s="15" t="str">
        <f>VLOOKUP(I476,department!$A$2:$B$13,2,0)</f>
        <v>Fan Shop</v>
      </c>
      <c r="K476">
        <v>2629</v>
      </c>
      <c r="L476" t="s">
        <v>405</v>
      </c>
      <c r="M476" s="4">
        <v>43453</v>
      </c>
      <c r="N476" s="12">
        <f t="shared" si="22"/>
        <v>12</v>
      </c>
      <c r="O476" s="13">
        <f t="shared" si="23"/>
        <v>2018</v>
      </c>
      <c r="P476" t="s">
        <v>13</v>
      </c>
      <c r="Q476" t="s">
        <v>130</v>
      </c>
      <c r="R476" t="s">
        <v>57</v>
      </c>
      <c r="S476" t="str" cm="1">
        <f t="array" ref="S476">_xlfn.IFS(R476="COMPLETE", "COMPLETED", R476="CANCELED", "CANCELED", TRUE, "PENDING")</f>
        <v>PENDING</v>
      </c>
      <c r="T476" t="s">
        <v>32</v>
      </c>
      <c r="U476">
        <f>VLOOKUP(A476,ordered_items!$B:$E,4,0)</f>
        <v>399.98</v>
      </c>
    </row>
    <row r="477" spans="1:21" x14ac:dyDescent="0.3">
      <c r="A477">
        <v>24202</v>
      </c>
      <c r="B477" t="s">
        <v>24</v>
      </c>
      <c r="C477">
        <v>3</v>
      </c>
      <c r="D477">
        <v>4</v>
      </c>
      <c r="E477" t="str">
        <f t="shared" si="21"/>
        <v xml:space="preserve"> ONTIME</v>
      </c>
      <c r="F477">
        <f>VLOOKUP($A477,ordered_items!$B$2:$E$4784,2,0)</f>
        <v>365</v>
      </c>
      <c r="G477">
        <f>VLOOKUP($A477,ordered_items!$B$2:$E$4784,3,0)</f>
        <v>2</v>
      </c>
      <c r="H477">
        <f>VLOOKUP($A477,ordered_items!$B$2:$E$4784,4,0)</f>
        <v>119.98</v>
      </c>
      <c r="I477" s="15">
        <f>VLOOKUP(F477,product_info!$A$2:$D$73,4,0)</f>
        <v>4</v>
      </c>
      <c r="J477" s="15" t="str">
        <f>VLOOKUP(I477,department!$A$2:$B$13,2,0)</f>
        <v>Apparel</v>
      </c>
      <c r="K477">
        <v>9089</v>
      </c>
      <c r="L477" t="s">
        <v>262</v>
      </c>
      <c r="M477" s="4">
        <v>43453</v>
      </c>
      <c r="N477" s="12">
        <f t="shared" si="22"/>
        <v>12</v>
      </c>
      <c r="O477" s="13">
        <f t="shared" si="23"/>
        <v>2018</v>
      </c>
      <c r="P477" t="s">
        <v>13</v>
      </c>
      <c r="Q477" t="s">
        <v>30</v>
      </c>
      <c r="R477" t="s">
        <v>378</v>
      </c>
      <c r="S477" t="str" cm="1">
        <f t="array" ref="S477">_xlfn.IFS(R477="COMPLETE", "COMPLETED", R477="CANCELED", "CANCELED", TRUE, "PENDING")</f>
        <v>PENDING</v>
      </c>
      <c r="T477" t="s">
        <v>16</v>
      </c>
      <c r="U477">
        <f>VLOOKUP(A477,ordered_items!$B:$E,4,0)</f>
        <v>119.98</v>
      </c>
    </row>
    <row r="478" spans="1:21" x14ac:dyDescent="0.3">
      <c r="A478">
        <v>24203</v>
      </c>
      <c r="B478" t="s">
        <v>24</v>
      </c>
      <c r="C478">
        <v>4</v>
      </c>
      <c r="D478">
        <v>4</v>
      </c>
      <c r="E478" t="str">
        <f t="shared" si="21"/>
        <v xml:space="preserve"> ONTIME</v>
      </c>
      <c r="F478">
        <f>VLOOKUP($A478,ordered_items!$B$2:$E$4784,2,0)</f>
        <v>886</v>
      </c>
      <c r="G478">
        <f>VLOOKUP($A478,ordered_items!$B$2:$E$4784,3,0)</f>
        <v>4</v>
      </c>
      <c r="H478">
        <f>VLOOKUP($A478,ordered_items!$B$2:$E$4784,4,0)</f>
        <v>99.96</v>
      </c>
      <c r="I478" s="15">
        <f>VLOOKUP(F478,product_info!$A$2:$D$73,4,0)</f>
        <v>6</v>
      </c>
      <c r="J478" s="15" t="str">
        <f>VLOOKUP(I478,department!$A$2:$B$13,2,0)</f>
        <v>Outdoors</v>
      </c>
      <c r="K478">
        <v>11263</v>
      </c>
      <c r="L478" t="s">
        <v>262</v>
      </c>
      <c r="M478" s="4">
        <v>43453</v>
      </c>
      <c r="N478" s="12">
        <f t="shared" si="22"/>
        <v>12</v>
      </c>
      <c r="O478" s="13">
        <f t="shared" si="23"/>
        <v>2018</v>
      </c>
      <c r="P478" t="s">
        <v>13</v>
      </c>
      <c r="Q478" t="s">
        <v>30</v>
      </c>
      <c r="R478" t="s">
        <v>31</v>
      </c>
      <c r="S478" t="str" cm="1">
        <f t="array" ref="S478">_xlfn.IFS(R478="COMPLETE", "COMPLETED", R478="CANCELED", "CANCELED", TRUE, "PENDING")</f>
        <v>COMPLETED</v>
      </c>
      <c r="T478" t="s">
        <v>16</v>
      </c>
      <c r="U478">
        <f>VLOOKUP(A478,ordered_items!$B:$E,4,0)</f>
        <v>99.96</v>
      </c>
    </row>
    <row r="479" spans="1:21" x14ac:dyDescent="0.3">
      <c r="A479">
        <v>24204</v>
      </c>
      <c r="B479" t="s">
        <v>24</v>
      </c>
      <c r="C479">
        <v>5</v>
      </c>
      <c r="D479">
        <v>4</v>
      </c>
      <c r="E479" t="str">
        <f t="shared" si="21"/>
        <v>DELAYED</v>
      </c>
      <c r="F479">
        <f>VLOOKUP($A479,ordered_items!$B$2:$E$4784,2,0)</f>
        <v>502</v>
      </c>
      <c r="G479">
        <f>VLOOKUP($A479,ordered_items!$B$2:$E$4784,3,0)</f>
        <v>1</v>
      </c>
      <c r="H479">
        <f>VLOOKUP($A479,ordered_items!$B$2:$E$4784,4,0)</f>
        <v>50</v>
      </c>
      <c r="I479" s="15">
        <f>VLOOKUP(F479,product_info!$A$2:$D$73,4,0)</f>
        <v>5</v>
      </c>
      <c r="J479" s="15" t="str">
        <f>VLOOKUP(I479,department!$A$2:$B$13,2,0)</f>
        <v>Golf</v>
      </c>
      <c r="K479">
        <v>4531</v>
      </c>
      <c r="L479" t="s">
        <v>262</v>
      </c>
      <c r="M479" s="4">
        <v>43453</v>
      </c>
      <c r="N479" s="12">
        <f t="shared" si="22"/>
        <v>12</v>
      </c>
      <c r="O479" s="13">
        <f t="shared" si="23"/>
        <v>2018</v>
      </c>
      <c r="P479" t="s">
        <v>13</v>
      </c>
      <c r="Q479" t="s">
        <v>30</v>
      </c>
      <c r="R479" t="s">
        <v>31</v>
      </c>
      <c r="S479" t="str" cm="1">
        <f t="array" ref="S479">_xlfn.IFS(R479="COMPLETE", "COMPLETED", R479="CANCELED", "CANCELED", TRUE, "PENDING")</f>
        <v>COMPLETED</v>
      </c>
      <c r="T479" t="s">
        <v>16</v>
      </c>
      <c r="U479">
        <f>VLOOKUP(A479,ordered_items!$B:$E,4,0)</f>
        <v>50</v>
      </c>
    </row>
    <row r="480" spans="1:21" x14ac:dyDescent="0.3">
      <c r="A480">
        <v>24235</v>
      </c>
      <c r="B480" t="s">
        <v>51</v>
      </c>
      <c r="C480">
        <v>6</v>
      </c>
      <c r="D480">
        <v>4</v>
      </c>
      <c r="E480" t="str">
        <f t="shared" si="21"/>
        <v>DELAYED</v>
      </c>
      <c r="F480">
        <f>VLOOKUP($A480,ordered_items!$B$2:$E$4784,2,0)</f>
        <v>502</v>
      </c>
      <c r="G480">
        <f>VLOOKUP($A480,ordered_items!$B$2:$E$4784,3,0)</f>
        <v>1</v>
      </c>
      <c r="H480">
        <f>VLOOKUP($A480,ordered_items!$B$2:$E$4784,4,0)</f>
        <v>50</v>
      </c>
      <c r="I480" s="15">
        <f>VLOOKUP(F480,product_info!$A$2:$D$73,4,0)</f>
        <v>5</v>
      </c>
      <c r="J480" s="15" t="str">
        <f>VLOOKUP(I480,department!$A$2:$B$13,2,0)</f>
        <v>Golf</v>
      </c>
      <c r="K480">
        <v>7790</v>
      </c>
      <c r="L480" t="s">
        <v>136</v>
      </c>
      <c r="M480" s="4">
        <v>43453</v>
      </c>
      <c r="N480" s="12">
        <f t="shared" si="22"/>
        <v>12</v>
      </c>
      <c r="O480" s="13">
        <f t="shared" si="23"/>
        <v>2018</v>
      </c>
      <c r="P480" t="s">
        <v>13</v>
      </c>
      <c r="Q480" t="s">
        <v>47</v>
      </c>
      <c r="R480" t="s">
        <v>57</v>
      </c>
      <c r="S480" t="str" cm="1">
        <f t="array" ref="S480">_xlfn.IFS(R480="COMPLETE", "COMPLETED", R480="CANCELED", "CANCELED", TRUE, "PENDING")</f>
        <v>PENDING</v>
      </c>
      <c r="T480" t="s">
        <v>16</v>
      </c>
      <c r="U480">
        <f>VLOOKUP(A480,ordered_items!$B:$E,4,0)</f>
        <v>50</v>
      </c>
    </row>
    <row r="481" spans="1:21" x14ac:dyDescent="0.3">
      <c r="A481">
        <v>24236</v>
      </c>
      <c r="B481" t="s">
        <v>24</v>
      </c>
      <c r="C481">
        <v>2</v>
      </c>
      <c r="D481">
        <v>1</v>
      </c>
      <c r="E481" t="str">
        <f t="shared" si="21"/>
        <v>DELAYED</v>
      </c>
      <c r="F481">
        <f>VLOOKUP($A481,ordered_items!$B$2:$E$4784,2,0)</f>
        <v>1014</v>
      </c>
      <c r="G481">
        <f>VLOOKUP($A481,ordered_items!$B$2:$E$4784,3,0)</f>
        <v>5</v>
      </c>
      <c r="H481">
        <f>VLOOKUP($A481,ordered_items!$B$2:$E$4784,4,0)</f>
        <v>249.9</v>
      </c>
      <c r="I481" s="15">
        <f>VLOOKUP(F481,product_info!$A$2:$D$73,4,0)</f>
        <v>7</v>
      </c>
      <c r="J481" s="15" t="str">
        <f>VLOOKUP(I481,department!$A$2:$B$13,2,0)</f>
        <v>Fan Shop</v>
      </c>
      <c r="K481">
        <v>3551</v>
      </c>
      <c r="L481" t="s">
        <v>136</v>
      </c>
      <c r="M481" s="4">
        <v>43453</v>
      </c>
      <c r="N481" s="12">
        <f t="shared" si="22"/>
        <v>12</v>
      </c>
      <c r="O481" s="13">
        <f t="shared" si="23"/>
        <v>2018</v>
      </c>
      <c r="P481" t="s">
        <v>13</v>
      </c>
      <c r="Q481" t="s">
        <v>47</v>
      </c>
      <c r="R481" t="s">
        <v>31</v>
      </c>
      <c r="S481" t="str" cm="1">
        <f t="array" ref="S481">_xlfn.IFS(R481="COMPLETE", "COMPLETED", R481="CANCELED", "CANCELED", TRUE, "PENDING")</f>
        <v>COMPLETED</v>
      </c>
      <c r="T481" t="s">
        <v>32</v>
      </c>
      <c r="U481">
        <f>VLOOKUP(A481,ordered_items!$B:$E,4,0)</f>
        <v>249.9</v>
      </c>
    </row>
    <row r="482" spans="1:21" x14ac:dyDescent="0.3">
      <c r="A482">
        <v>24238</v>
      </c>
      <c r="B482" t="s">
        <v>3</v>
      </c>
      <c r="C482">
        <v>4</v>
      </c>
      <c r="D482">
        <v>4</v>
      </c>
      <c r="E482" t="str">
        <f t="shared" si="21"/>
        <v xml:space="preserve"> ONTIME</v>
      </c>
      <c r="F482">
        <f>VLOOKUP($A482,ordered_items!$B$2:$E$4784,2,0)</f>
        <v>1073</v>
      </c>
      <c r="G482">
        <f>VLOOKUP($A482,ordered_items!$B$2:$E$4784,3,0)</f>
        <v>1</v>
      </c>
      <c r="H482">
        <f>VLOOKUP($A482,ordered_items!$B$2:$E$4784,4,0)</f>
        <v>199.99</v>
      </c>
      <c r="I482" s="15">
        <f>VLOOKUP(F482,product_info!$A$2:$D$73,4,0)</f>
        <v>7</v>
      </c>
      <c r="J482" s="15" t="str">
        <f>VLOOKUP(I482,department!$A$2:$B$13,2,0)</f>
        <v>Fan Shop</v>
      </c>
      <c r="K482">
        <v>2006</v>
      </c>
      <c r="L482" t="s">
        <v>136</v>
      </c>
      <c r="M482" s="4">
        <v>43453</v>
      </c>
      <c r="N482" s="12">
        <f t="shared" si="22"/>
        <v>12</v>
      </c>
      <c r="O482" s="13">
        <f t="shared" si="23"/>
        <v>2018</v>
      </c>
      <c r="P482" t="s">
        <v>13</v>
      </c>
      <c r="Q482" t="s">
        <v>47</v>
      </c>
      <c r="R482" t="s">
        <v>14</v>
      </c>
      <c r="S482" t="str" cm="1">
        <f t="array" ref="S482">_xlfn.IFS(R482="COMPLETE", "COMPLETED", R482="CANCELED", "CANCELED", TRUE, "PENDING")</f>
        <v>PENDING</v>
      </c>
      <c r="T482" t="s">
        <v>16</v>
      </c>
      <c r="U482">
        <f>VLOOKUP(A482,ordered_items!$B:$E,4,0)</f>
        <v>199.99</v>
      </c>
    </row>
    <row r="483" spans="1:21" x14ac:dyDescent="0.3">
      <c r="A483">
        <v>24249</v>
      </c>
      <c r="B483" t="s">
        <v>24</v>
      </c>
      <c r="C483">
        <v>5</v>
      </c>
      <c r="D483">
        <v>4</v>
      </c>
      <c r="E483" t="str">
        <f t="shared" si="21"/>
        <v>DELAYED</v>
      </c>
      <c r="F483">
        <f>VLOOKUP($A483,ordered_items!$B$2:$E$4784,2,0)</f>
        <v>502</v>
      </c>
      <c r="G483">
        <f>VLOOKUP($A483,ordered_items!$B$2:$E$4784,3,0)</f>
        <v>1</v>
      </c>
      <c r="H483">
        <f>VLOOKUP($A483,ordered_items!$B$2:$E$4784,4,0)</f>
        <v>50</v>
      </c>
      <c r="I483" s="15">
        <f>VLOOKUP(F483,product_info!$A$2:$D$73,4,0)</f>
        <v>5</v>
      </c>
      <c r="J483" s="15" t="str">
        <f>VLOOKUP(I483,department!$A$2:$B$13,2,0)</f>
        <v>Golf</v>
      </c>
      <c r="K483">
        <v>3303</v>
      </c>
      <c r="L483" t="s">
        <v>124</v>
      </c>
      <c r="M483" s="4">
        <v>43453</v>
      </c>
      <c r="N483" s="12">
        <f t="shared" si="22"/>
        <v>12</v>
      </c>
      <c r="O483" s="13">
        <f t="shared" si="23"/>
        <v>2018</v>
      </c>
      <c r="P483" t="s">
        <v>13</v>
      </c>
      <c r="Q483" t="s">
        <v>5778</v>
      </c>
      <c r="R483" t="s">
        <v>31</v>
      </c>
      <c r="S483" t="str" cm="1">
        <f t="array" ref="S483">_xlfn.IFS(R483="COMPLETE", "COMPLETED", R483="CANCELED", "CANCELED", TRUE, "PENDING")</f>
        <v>COMPLETED</v>
      </c>
      <c r="T483" t="s">
        <v>16</v>
      </c>
      <c r="U483">
        <f>VLOOKUP(A483,ordered_items!$B:$E,4,0)</f>
        <v>50</v>
      </c>
    </row>
    <row r="484" spans="1:21" x14ac:dyDescent="0.3">
      <c r="A484">
        <v>24250</v>
      </c>
      <c r="B484" t="s">
        <v>24</v>
      </c>
      <c r="C484">
        <v>6</v>
      </c>
      <c r="D484">
        <v>4</v>
      </c>
      <c r="E484" t="str">
        <f t="shared" si="21"/>
        <v>DELAYED</v>
      </c>
      <c r="F484">
        <f>VLOOKUP($A484,ordered_items!$B$2:$E$4784,2,0)</f>
        <v>502</v>
      </c>
      <c r="G484">
        <f>VLOOKUP($A484,ordered_items!$B$2:$E$4784,3,0)</f>
        <v>1</v>
      </c>
      <c r="H484">
        <f>VLOOKUP($A484,ordered_items!$B$2:$E$4784,4,0)</f>
        <v>50</v>
      </c>
      <c r="I484" s="15">
        <f>VLOOKUP(F484,product_info!$A$2:$D$73,4,0)</f>
        <v>5</v>
      </c>
      <c r="J484" s="15" t="str">
        <f>VLOOKUP(I484,department!$A$2:$B$13,2,0)</f>
        <v>Golf</v>
      </c>
      <c r="K484">
        <v>5062</v>
      </c>
      <c r="L484" t="s">
        <v>124</v>
      </c>
      <c r="M484" s="4">
        <v>43453</v>
      </c>
      <c r="N484" s="12">
        <f t="shared" si="22"/>
        <v>12</v>
      </c>
      <c r="O484" s="13">
        <f t="shared" si="23"/>
        <v>2018</v>
      </c>
      <c r="P484" t="s">
        <v>13</v>
      </c>
      <c r="Q484" t="s">
        <v>5778</v>
      </c>
      <c r="R484" t="s">
        <v>31</v>
      </c>
      <c r="S484" t="str" cm="1">
        <f t="array" ref="S484">_xlfn.IFS(R484="COMPLETE", "COMPLETED", R484="CANCELED", "CANCELED", TRUE, "PENDING")</f>
        <v>COMPLETED</v>
      </c>
      <c r="T484" t="s">
        <v>16</v>
      </c>
      <c r="U484">
        <f>VLOOKUP(A484,ordered_items!$B:$E,4,0)</f>
        <v>50</v>
      </c>
    </row>
    <row r="485" spans="1:21" x14ac:dyDescent="0.3">
      <c r="A485">
        <v>24253</v>
      </c>
      <c r="B485" t="s">
        <v>51</v>
      </c>
      <c r="C485">
        <v>4</v>
      </c>
      <c r="D485">
        <v>4</v>
      </c>
      <c r="E485" t="str">
        <f t="shared" si="21"/>
        <v xml:space="preserve"> ONTIME</v>
      </c>
      <c r="F485">
        <f>VLOOKUP($A485,ordered_items!$B$2:$E$4784,2,0)</f>
        <v>627</v>
      </c>
      <c r="G485">
        <f>VLOOKUP($A485,ordered_items!$B$2:$E$4784,3,0)</f>
        <v>1</v>
      </c>
      <c r="H485">
        <f>VLOOKUP($A485,ordered_items!$B$2:$E$4784,4,0)</f>
        <v>39.99</v>
      </c>
      <c r="I485" s="15">
        <f>VLOOKUP(F485,product_info!$A$2:$D$73,4,0)</f>
        <v>5</v>
      </c>
      <c r="J485" s="15" t="str">
        <f>VLOOKUP(I485,department!$A$2:$B$13,2,0)</f>
        <v>Golf</v>
      </c>
      <c r="K485">
        <v>8380</v>
      </c>
      <c r="L485" t="s">
        <v>870</v>
      </c>
      <c r="M485" s="4">
        <v>43454</v>
      </c>
      <c r="N485" s="12">
        <f t="shared" si="22"/>
        <v>12</v>
      </c>
      <c r="O485" s="13">
        <f t="shared" si="23"/>
        <v>2018</v>
      </c>
      <c r="P485" t="s">
        <v>13</v>
      </c>
      <c r="Q485" t="s">
        <v>5778</v>
      </c>
      <c r="R485" t="s">
        <v>57</v>
      </c>
      <c r="S485" t="str" cm="1">
        <f t="array" ref="S485">_xlfn.IFS(R485="COMPLETE", "COMPLETED", R485="CANCELED", "CANCELED", TRUE, "PENDING")</f>
        <v>PENDING</v>
      </c>
      <c r="T485" t="s">
        <v>16</v>
      </c>
      <c r="U485">
        <f>VLOOKUP(A485,ordered_items!$B:$E,4,0)</f>
        <v>39.99</v>
      </c>
    </row>
    <row r="486" spans="1:21" x14ac:dyDescent="0.3">
      <c r="A486">
        <v>24266</v>
      </c>
      <c r="B486" t="s">
        <v>3</v>
      </c>
      <c r="C486">
        <v>2</v>
      </c>
      <c r="D486">
        <v>4</v>
      </c>
      <c r="E486" t="str">
        <f t="shared" si="21"/>
        <v xml:space="preserve"> ONTIME</v>
      </c>
      <c r="F486">
        <f>VLOOKUP($A486,ordered_items!$B$2:$E$4784,2,0)</f>
        <v>365</v>
      </c>
      <c r="G486">
        <f>VLOOKUP($A486,ordered_items!$B$2:$E$4784,3,0)</f>
        <v>5</v>
      </c>
      <c r="H486">
        <f>VLOOKUP($A486,ordered_items!$B$2:$E$4784,4,0)</f>
        <v>299.95</v>
      </c>
      <c r="I486" s="15">
        <f>VLOOKUP(F486,product_info!$A$2:$D$73,4,0)</f>
        <v>4</v>
      </c>
      <c r="J486" s="15" t="str">
        <f>VLOOKUP(I486,department!$A$2:$B$13,2,0)</f>
        <v>Apparel</v>
      </c>
      <c r="K486">
        <v>431</v>
      </c>
      <c r="L486" t="s">
        <v>84</v>
      </c>
      <c r="M486" s="4">
        <v>43454</v>
      </c>
      <c r="N486" s="12">
        <f t="shared" si="22"/>
        <v>12</v>
      </c>
      <c r="O486" s="13">
        <f t="shared" si="23"/>
        <v>2018</v>
      </c>
      <c r="P486" t="s">
        <v>13</v>
      </c>
      <c r="Q486" t="s">
        <v>80</v>
      </c>
      <c r="R486" t="s">
        <v>14</v>
      </c>
      <c r="S486" t="str" cm="1">
        <f t="array" ref="S486">_xlfn.IFS(R486="COMPLETE", "COMPLETED", R486="CANCELED", "CANCELED", TRUE, "PENDING")</f>
        <v>PENDING</v>
      </c>
      <c r="T486" t="s">
        <v>16</v>
      </c>
      <c r="U486">
        <f>VLOOKUP(A486,ordered_items!$B:$E,4,0)</f>
        <v>299.95</v>
      </c>
    </row>
    <row r="487" spans="1:21" x14ac:dyDescent="0.3">
      <c r="A487">
        <v>24267</v>
      </c>
      <c r="B487" t="s">
        <v>24</v>
      </c>
      <c r="C487">
        <v>3</v>
      </c>
      <c r="D487">
        <v>4</v>
      </c>
      <c r="E487" t="str">
        <f t="shared" si="21"/>
        <v xml:space="preserve"> ONTIME</v>
      </c>
      <c r="F487">
        <f>VLOOKUP($A487,ordered_items!$B$2:$E$4784,2,0)</f>
        <v>403</v>
      </c>
      <c r="G487">
        <f>VLOOKUP($A487,ordered_items!$B$2:$E$4784,3,0)</f>
        <v>1</v>
      </c>
      <c r="H487">
        <f>VLOOKUP($A487,ordered_items!$B$2:$E$4784,4,0)</f>
        <v>129.99</v>
      </c>
      <c r="I487" s="15">
        <f>VLOOKUP(F487,product_info!$A$2:$D$73,4,0)</f>
        <v>4</v>
      </c>
      <c r="J487" s="15" t="str">
        <f>VLOOKUP(I487,department!$A$2:$B$13,2,0)</f>
        <v>Apparel</v>
      </c>
      <c r="K487">
        <v>1471</v>
      </c>
      <c r="L487" t="s">
        <v>84</v>
      </c>
      <c r="M487" s="4">
        <v>43454</v>
      </c>
      <c r="N487" s="12">
        <f t="shared" si="22"/>
        <v>12</v>
      </c>
      <c r="O487" s="13">
        <f t="shared" si="23"/>
        <v>2018</v>
      </c>
      <c r="P487" t="s">
        <v>13</v>
      </c>
      <c r="Q487" t="s">
        <v>80</v>
      </c>
      <c r="R487" t="s">
        <v>31</v>
      </c>
      <c r="S487" t="str" cm="1">
        <f t="array" ref="S487">_xlfn.IFS(R487="COMPLETE", "COMPLETED", R487="CANCELED", "CANCELED", TRUE, "PENDING")</f>
        <v>COMPLETED</v>
      </c>
      <c r="T487" t="s">
        <v>16</v>
      </c>
      <c r="U487">
        <f>VLOOKUP(A487,ordered_items!$B:$E,4,0)</f>
        <v>129.99</v>
      </c>
    </row>
    <row r="488" spans="1:21" x14ac:dyDescent="0.3">
      <c r="A488">
        <v>24276</v>
      </c>
      <c r="B488" t="s">
        <v>51</v>
      </c>
      <c r="C488">
        <v>2</v>
      </c>
      <c r="D488">
        <v>2</v>
      </c>
      <c r="E488" t="str">
        <f t="shared" si="21"/>
        <v xml:space="preserve"> ONTIME</v>
      </c>
      <c r="F488">
        <f>VLOOKUP($A488,ordered_items!$B$2:$E$4784,2,0)</f>
        <v>627</v>
      </c>
      <c r="G488">
        <f>VLOOKUP($A488,ordered_items!$B$2:$E$4784,3,0)</f>
        <v>3</v>
      </c>
      <c r="H488">
        <f>VLOOKUP($A488,ordered_items!$B$2:$E$4784,4,0)</f>
        <v>119.97</v>
      </c>
      <c r="I488" s="15">
        <f>VLOOKUP(F488,product_info!$A$2:$D$73,4,0)</f>
        <v>5</v>
      </c>
      <c r="J488" s="15" t="str">
        <f>VLOOKUP(I488,department!$A$2:$B$13,2,0)</f>
        <v>Golf</v>
      </c>
      <c r="K488">
        <v>2434</v>
      </c>
      <c r="L488" t="s">
        <v>275</v>
      </c>
      <c r="M488" s="4">
        <v>43454</v>
      </c>
      <c r="N488" s="12">
        <f t="shared" si="22"/>
        <v>12</v>
      </c>
      <c r="O488" s="13">
        <f t="shared" si="23"/>
        <v>2018</v>
      </c>
      <c r="P488" t="s">
        <v>13</v>
      </c>
      <c r="Q488" t="s">
        <v>80</v>
      </c>
      <c r="R488" t="s">
        <v>57</v>
      </c>
      <c r="S488" t="str" cm="1">
        <f t="array" ref="S488">_xlfn.IFS(R488="COMPLETE", "COMPLETED", R488="CANCELED", "CANCELED", TRUE, "PENDING")</f>
        <v>PENDING</v>
      </c>
      <c r="T488" t="s">
        <v>90</v>
      </c>
      <c r="U488">
        <f>VLOOKUP(A488,ordered_items!$B:$E,4,0)</f>
        <v>119.97</v>
      </c>
    </row>
    <row r="489" spans="1:21" x14ac:dyDescent="0.3">
      <c r="A489">
        <v>24284</v>
      </c>
      <c r="B489" t="s">
        <v>17</v>
      </c>
      <c r="C489">
        <v>5</v>
      </c>
      <c r="D489">
        <v>4</v>
      </c>
      <c r="E489" t="str">
        <f t="shared" si="21"/>
        <v>DELAYED</v>
      </c>
      <c r="F489">
        <f>VLOOKUP($A489,ordered_items!$B$2:$E$4784,2,0)</f>
        <v>1014</v>
      </c>
      <c r="G489">
        <f>VLOOKUP($A489,ordered_items!$B$2:$E$4784,3,0)</f>
        <v>4</v>
      </c>
      <c r="H489">
        <f>VLOOKUP($A489,ordered_items!$B$2:$E$4784,4,0)</f>
        <v>199.92</v>
      </c>
      <c r="I489" s="15">
        <f>VLOOKUP(F489,product_info!$A$2:$D$73,4,0)</f>
        <v>7</v>
      </c>
      <c r="J489" s="15" t="str">
        <f>VLOOKUP(I489,department!$A$2:$B$13,2,0)</f>
        <v>Fan Shop</v>
      </c>
      <c r="K489">
        <v>2991</v>
      </c>
      <c r="L489" t="s">
        <v>512</v>
      </c>
      <c r="M489" s="4">
        <v>43454</v>
      </c>
      <c r="N489" s="12">
        <f t="shared" si="22"/>
        <v>12</v>
      </c>
      <c r="O489" s="13">
        <f t="shared" si="23"/>
        <v>2018</v>
      </c>
      <c r="P489" t="s">
        <v>13</v>
      </c>
      <c r="Q489" t="s">
        <v>513</v>
      </c>
      <c r="R489" t="s">
        <v>23</v>
      </c>
      <c r="S489" t="str" cm="1">
        <f t="array" ref="S489">_xlfn.IFS(R489="COMPLETE", "COMPLETED", R489="CANCELED", "CANCELED", TRUE, "PENDING")</f>
        <v>PENDING</v>
      </c>
      <c r="T489" t="s">
        <v>16</v>
      </c>
      <c r="U489">
        <f>VLOOKUP(A489,ordered_items!$B:$E,4,0)</f>
        <v>199.92</v>
      </c>
    </row>
    <row r="490" spans="1:21" x14ac:dyDescent="0.3">
      <c r="A490">
        <v>24291</v>
      </c>
      <c r="B490" t="s">
        <v>24</v>
      </c>
      <c r="C490">
        <v>2</v>
      </c>
      <c r="D490">
        <v>4</v>
      </c>
      <c r="E490" t="str">
        <f t="shared" si="21"/>
        <v xml:space="preserve"> ONTIME</v>
      </c>
      <c r="F490">
        <f>VLOOKUP($A490,ordered_items!$B$2:$E$4784,2,0)</f>
        <v>924</v>
      </c>
      <c r="G490">
        <f>VLOOKUP($A490,ordered_items!$B$2:$E$4784,3,0)</f>
        <v>2</v>
      </c>
      <c r="H490">
        <f>VLOOKUP($A490,ordered_items!$B$2:$E$4784,4,0)</f>
        <v>31.98</v>
      </c>
      <c r="I490" s="15">
        <f>VLOOKUP(F490,product_info!$A$2:$D$73,4,0)</f>
        <v>6</v>
      </c>
      <c r="J490" s="15" t="str">
        <f>VLOOKUP(I490,department!$A$2:$B$13,2,0)</f>
        <v>Outdoors</v>
      </c>
      <c r="K490">
        <v>4751</v>
      </c>
      <c r="L490" t="s">
        <v>1355</v>
      </c>
      <c r="M490" s="4">
        <v>43454</v>
      </c>
      <c r="N490" s="12">
        <f t="shared" si="22"/>
        <v>12</v>
      </c>
      <c r="O490" s="13">
        <f t="shared" si="23"/>
        <v>2018</v>
      </c>
      <c r="P490" t="s">
        <v>13</v>
      </c>
      <c r="Q490" t="s">
        <v>377</v>
      </c>
      <c r="R490" t="s">
        <v>31</v>
      </c>
      <c r="S490" t="str" cm="1">
        <f t="array" ref="S490">_xlfn.IFS(R490="COMPLETE", "COMPLETED", R490="CANCELED", "CANCELED", TRUE, "PENDING")</f>
        <v>COMPLETED</v>
      </c>
      <c r="T490" t="s">
        <v>16</v>
      </c>
      <c r="U490">
        <f>VLOOKUP(A490,ordered_items!$B:$E,4,0)</f>
        <v>31.98</v>
      </c>
    </row>
    <row r="491" spans="1:21" x14ac:dyDescent="0.3">
      <c r="A491">
        <v>24292</v>
      </c>
      <c r="B491" t="s">
        <v>51</v>
      </c>
      <c r="C491">
        <v>3</v>
      </c>
      <c r="D491">
        <v>4</v>
      </c>
      <c r="E491" t="str">
        <f t="shared" si="21"/>
        <v xml:space="preserve"> ONTIME</v>
      </c>
      <c r="F491">
        <f>VLOOKUP($A491,ordered_items!$B$2:$E$4784,2,0)</f>
        <v>403</v>
      </c>
      <c r="G491">
        <f>VLOOKUP($A491,ordered_items!$B$2:$E$4784,3,0)</f>
        <v>1</v>
      </c>
      <c r="H491">
        <f>VLOOKUP($A491,ordered_items!$B$2:$E$4784,4,0)</f>
        <v>129.99</v>
      </c>
      <c r="I491" s="15">
        <f>VLOOKUP(F491,product_info!$A$2:$D$73,4,0)</f>
        <v>4</v>
      </c>
      <c r="J491" s="15" t="str">
        <f>VLOOKUP(I491,department!$A$2:$B$13,2,0)</f>
        <v>Apparel</v>
      </c>
      <c r="K491">
        <v>1559</v>
      </c>
      <c r="L491" t="s">
        <v>1355</v>
      </c>
      <c r="M491" s="4">
        <v>43454</v>
      </c>
      <c r="N491" s="12">
        <f t="shared" si="22"/>
        <v>12</v>
      </c>
      <c r="O491" s="13">
        <f t="shared" si="23"/>
        <v>2018</v>
      </c>
      <c r="P491" t="s">
        <v>13</v>
      </c>
      <c r="Q491" t="s">
        <v>377</v>
      </c>
      <c r="R491" t="s">
        <v>57</v>
      </c>
      <c r="S491" t="str" cm="1">
        <f t="array" ref="S491">_xlfn.IFS(R491="COMPLETE", "COMPLETED", R491="CANCELED", "CANCELED", TRUE, "PENDING")</f>
        <v>PENDING</v>
      </c>
      <c r="T491" t="s">
        <v>16</v>
      </c>
      <c r="U491">
        <f>VLOOKUP(A491,ordered_items!$B:$E,4,0)</f>
        <v>129.99</v>
      </c>
    </row>
    <row r="492" spans="1:21" x14ac:dyDescent="0.3">
      <c r="A492">
        <v>24315</v>
      </c>
      <c r="B492" t="s">
        <v>51</v>
      </c>
      <c r="C492">
        <v>6</v>
      </c>
      <c r="D492">
        <v>2</v>
      </c>
      <c r="E492" t="str">
        <f t="shared" si="21"/>
        <v>DELAYED</v>
      </c>
      <c r="F492">
        <f>VLOOKUP($A492,ordered_items!$B$2:$E$4784,2,0)</f>
        <v>1004</v>
      </c>
      <c r="G492">
        <f>VLOOKUP($A492,ordered_items!$B$2:$E$4784,3,0)</f>
        <v>1</v>
      </c>
      <c r="H492">
        <f>VLOOKUP($A492,ordered_items!$B$2:$E$4784,4,0)</f>
        <v>399.98</v>
      </c>
      <c r="I492" s="15">
        <f>VLOOKUP(F492,product_info!$A$2:$D$73,4,0)</f>
        <v>7</v>
      </c>
      <c r="J492" s="15" t="str">
        <f>VLOOKUP(I492,department!$A$2:$B$13,2,0)</f>
        <v>Fan Shop</v>
      </c>
      <c r="K492">
        <v>8704</v>
      </c>
      <c r="L492" t="s">
        <v>637</v>
      </c>
      <c r="M492" s="4">
        <v>43454</v>
      </c>
      <c r="N492" s="12">
        <f t="shared" si="22"/>
        <v>12</v>
      </c>
      <c r="O492" s="13">
        <f t="shared" si="23"/>
        <v>2018</v>
      </c>
      <c r="P492" t="s">
        <v>13</v>
      </c>
      <c r="Q492" t="s">
        <v>234</v>
      </c>
      <c r="R492" t="s">
        <v>57</v>
      </c>
      <c r="S492" t="str" cm="1">
        <f t="array" ref="S492">_xlfn.IFS(R492="COMPLETE", "COMPLETED", R492="CANCELED", "CANCELED", TRUE, "PENDING")</f>
        <v>PENDING</v>
      </c>
      <c r="T492" t="s">
        <v>90</v>
      </c>
      <c r="U492">
        <f>VLOOKUP(A492,ordered_items!$B:$E,4,0)</f>
        <v>399.98</v>
      </c>
    </row>
    <row r="493" spans="1:21" x14ac:dyDescent="0.3">
      <c r="A493">
        <v>24343</v>
      </c>
      <c r="B493" t="s">
        <v>24</v>
      </c>
      <c r="C493">
        <v>4</v>
      </c>
      <c r="D493">
        <v>4</v>
      </c>
      <c r="E493" t="str">
        <f t="shared" si="21"/>
        <v xml:space="preserve"> ONTIME</v>
      </c>
      <c r="F493">
        <f>VLOOKUP($A493,ordered_items!$B$2:$E$4784,2,0)</f>
        <v>403</v>
      </c>
      <c r="G493">
        <f>VLOOKUP($A493,ordered_items!$B$2:$E$4784,3,0)</f>
        <v>1</v>
      </c>
      <c r="H493">
        <f>VLOOKUP($A493,ordered_items!$B$2:$E$4784,4,0)</f>
        <v>129.99</v>
      </c>
      <c r="I493" s="15">
        <f>VLOOKUP(F493,product_info!$A$2:$D$73,4,0)</f>
        <v>4</v>
      </c>
      <c r="J493" s="15" t="str">
        <f>VLOOKUP(I493,department!$A$2:$B$13,2,0)</f>
        <v>Apparel</v>
      </c>
      <c r="K493">
        <v>1581</v>
      </c>
      <c r="L493" t="s">
        <v>253</v>
      </c>
      <c r="M493" s="4">
        <v>43455</v>
      </c>
      <c r="N493" s="12">
        <f t="shared" si="22"/>
        <v>12</v>
      </c>
      <c r="O493" s="13">
        <f t="shared" si="23"/>
        <v>2018</v>
      </c>
      <c r="P493" t="s">
        <v>13</v>
      </c>
      <c r="Q493" t="s">
        <v>30</v>
      </c>
      <c r="R493" t="s">
        <v>31</v>
      </c>
      <c r="S493" t="str" cm="1">
        <f t="array" ref="S493">_xlfn.IFS(R493="COMPLETE", "COMPLETED", R493="CANCELED", "CANCELED", TRUE, "PENDING")</f>
        <v>COMPLETED</v>
      </c>
      <c r="T493" t="s">
        <v>16</v>
      </c>
      <c r="U493">
        <f>VLOOKUP(A493,ordered_items!$B:$E,4,0)</f>
        <v>129.99</v>
      </c>
    </row>
    <row r="494" spans="1:21" x14ac:dyDescent="0.3">
      <c r="A494">
        <v>24364</v>
      </c>
      <c r="B494" t="s">
        <v>17</v>
      </c>
      <c r="C494">
        <v>2</v>
      </c>
      <c r="D494">
        <v>1</v>
      </c>
      <c r="E494" t="str">
        <f t="shared" si="21"/>
        <v>DELAYED</v>
      </c>
      <c r="F494">
        <f>VLOOKUP($A494,ordered_items!$B$2:$E$4784,2,0)</f>
        <v>403</v>
      </c>
      <c r="G494">
        <f>VLOOKUP($A494,ordered_items!$B$2:$E$4784,3,0)</f>
        <v>1</v>
      </c>
      <c r="H494">
        <f>VLOOKUP($A494,ordered_items!$B$2:$E$4784,4,0)</f>
        <v>129.99</v>
      </c>
      <c r="I494" s="15">
        <f>VLOOKUP(F494,product_info!$A$2:$D$73,4,0)</f>
        <v>4</v>
      </c>
      <c r="J494" s="15" t="str">
        <f>VLOOKUP(I494,department!$A$2:$B$13,2,0)</f>
        <v>Apparel</v>
      </c>
      <c r="K494">
        <v>863</v>
      </c>
      <c r="L494" t="s">
        <v>1086</v>
      </c>
      <c r="M494" s="4">
        <v>43455</v>
      </c>
      <c r="N494" s="12">
        <f t="shared" si="22"/>
        <v>12</v>
      </c>
      <c r="O494" s="13">
        <f t="shared" si="23"/>
        <v>2018</v>
      </c>
      <c r="P494" t="s">
        <v>13</v>
      </c>
      <c r="Q494" t="s">
        <v>1086</v>
      </c>
      <c r="R494" t="s">
        <v>23</v>
      </c>
      <c r="S494" t="str" cm="1">
        <f t="array" ref="S494">_xlfn.IFS(R494="COMPLETE", "COMPLETED", R494="CANCELED", "CANCELED", TRUE, "PENDING")</f>
        <v>PENDING</v>
      </c>
      <c r="T494" t="s">
        <v>32</v>
      </c>
      <c r="U494">
        <f>VLOOKUP(A494,ordered_items!$B:$E,4,0)</f>
        <v>129.99</v>
      </c>
    </row>
    <row r="495" spans="1:21" x14ac:dyDescent="0.3">
      <c r="A495">
        <v>24366</v>
      </c>
      <c r="B495" t="s">
        <v>24</v>
      </c>
      <c r="C495">
        <v>2</v>
      </c>
      <c r="D495">
        <v>1</v>
      </c>
      <c r="E495" t="str">
        <f t="shared" si="21"/>
        <v>DELAYED</v>
      </c>
      <c r="F495">
        <f>VLOOKUP($A495,ordered_items!$B$2:$E$4784,2,0)</f>
        <v>1014</v>
      </c>
      <c r="G495">
        <f>VLOOKUP($A495,ordered_items!$B$2:$E$4784,3,0)</f>
        <v>4</v>
      </c>
      <c r="H495">
        <f>VLOOKUP($A495,ordered_items!$B$2:$E$4784,4,0)</f>
        <v>199.92</v>
      </c>
      <c r="I495" s="15">
        <f>VLOOKUP(F495,product_info!$A$2:$D$73,4,0)</f>
        <v>7</v>
      </c>
      <c r="J495" s="15" t="str">
        <f>VLOOKUP(I495,department!$A$2:$B$13,2,0)</f>
        <v>Fan Shop</v>
      </c>
      <c r="K495">
        <v>2314</v>
      </c>
      <c r="L495" t="s">
        <v>206</v>
      </c>
      <c r="M495" s="4">
        <v>43455</v>
      </c>
      <c r="N495" s="12">
        <f t="shared" si="22"/>
        <v>12</v>
      </c>
      <c r="O495" s="13">
        <f t="shared" si="23"/>
        <v>2018</v>
      </c>
      <c r="P495" t="s">
        <v>13</v>
      </c>
      <c r="Q495" t="s">
        <v>30</v>
      </c>
      <c r="R495" t="s">
        <v>31</v>
      </c>
      <c r="S495" t="str" cm="1">
        <f t="array" ref="S495">_xlfn.IFS(R495="COMPLETE", "COMPLETED", R495="CANCELED", "CANCELED", TRUE, "PENDING")</f>
        <v>COMPLETED</v>
      </c>
      <c r="T495" t="s">
        <v>32</v>
      </c>
      <c r="U495">
        <f>VLOOKUP(A495,ordered_items!$B:$E,4,0)</f>
        <v>199.92</v>
      </c>
    </row>
    <row r="496" spans="1:21" x14ac:dyDescent="0.3">
      <c r="A496">
        <v>24368</v>
      </c>
      <c r="B496" t="s">
        <v>3</v>
      </c>
      <c r="C496">
        <v>4</v>
      </c>
      <c r="D496">
        <v>2</v>
      </c>
      <c r="E496" t="str">
        <f t="shared" si="21"/>
        <v>DELAYED</v>
      </c>
      <c r="F496">
        <f>VLOOKUP($A496,ordered_items!$B$2:$E$4784,2,0)</f>
        <v>1073</v>
      </c>
      <c r="G496">
        <f>VLOOKUP($A496,ordered_items!$B$2:$E$4784,3,0)</f>
        <v>1</v>
      </c>
      <c r="H496">
        <f>VLOOKUP($A496,ordered_items!$B$2:$E$4784,4,0)</f>
        <v>199.99</v>
      </c>
      <c r="I496" s="15">
        <f>VLOOKUP(F496,product_info!$A$2:$D$73,4,0)</f>
        <v>7</v>
      </c>
      <c r="J496" s="15" t="str">
        <f>VLOOKUP(I496,department!$A$2:$B$13,2,0)</f>
        <v>Fan Shop</v>
      </c>
      <c r="K496">
        <v>2670</v>
      </c>
      <c r="L496" t="s">
        <v>84</v>
      </c>
      <c r="M496" s="4">
        <v>43455</v>
      </c>
      <c r="N496" s="12">
        <f t="shared" si="22"/>
        <v>12</v>
      </c>
      <c r="O496" s="13">
        <f t="shared" si="23"/>
        <v>2018</v>
      </c>
      <c r="P496" t="s">
        <v>13</v>
      </c>
      <c r="Q496" t="s">
        <v>80</v>
      </c>
      <c r="R496" t="s">
        <v>14</v>
      </c>
      <c r="S496" t="str" cm="1">
        <f t="array" ref="S496">_xlfn.IFS(R496="COMPLETE", "COMPLETED", R496="CANCELED", "CANCELED", TRUE, "PENDING")</f>
        <v>PENDING</v>
      </c>
      <c r="T496" t="s">
        <v>90</v>
      </c>
      <c r="U496">
        <f>VLOOKUP(A496,ordered_items!$B:$E,4,0)</f>
        <v>199.99</v>
      </c>
    </row>
    <row r="497" spans="1:21" x14ac:dyDescent="0.3">
      <c r="A497">
        <v>24369</v>
      </c>
      <c r="B497" t="s">
        <v>24</v>
      </c>
      <c r="C497">
        <v>5</v>
      </c>
      <c r="D497">
        <v>2</v>
      </c>
      <c r="E497" t="str">
        <f t="shared" si="21"/>
        <v>DELAYED</v>
      </c>
      <c r="F497">
        <f>VLOOKUP($A497,ordered_items!$B$2:$E$4784,2,0)</f>
        <v>1004</v>
      </c>
      <c r="G497">
        <f>VLOOKUP($A497,ordered_items!$B$2:$E$4784,3,0)</f>
        <v>1</v>
      </c>
      <c r="H497">
        <f>VLOOKUP($A497,ordered_items!$B$2:$E$4784,4,0)</f>
        <v>399.98</v>
      </c>
      <c r="I497" s="15">
        <f>VLOOKUP(F497,product_info!$A$2:$D$73,4,0)</f>
        <v>7</v>
      </c>
      <c r="J497" s="15" t="str">
        <f>VLOOKUP(I497,department!$A$2:$B$13,2,0)</f>
        <v>Fan Shop</v>
      </c>
      <c r="K497">
        <v>3519</v>
      </c>
      <c r="L497" t="s">
        <v>84</v>
      </c>
      <c r="M497" s="4">
        <v>43455</v>
      </c>
      <c r="N497" s="12">
        <f t="shared" si="22"/>
        <v>12</v>
      </c>
      <c r="O497" s="13">
        <f t="shared" si="23"/>
        <v>2018</v>
      </c>
      <c r="P497" t="s">
        <v>13</v>
      </c>
      <c r="Q497" t="s">
        <v>80</v>
      </c>
      <c r="R497" t="s">
        <v>31</v>
      </c>
      <c r="S497" t="str" cm="1">
        <f t="array" ref="S497">_xlfn.IFS(R497="COMPLETE", "COMPLETED", R497="CANCELED", "CANCELED", TRUE, "PENDING")</f>
        <v>COMPLETED</v>
      </c>
      <c r="T497" t="s">
        <v>90</v>
      </c>
      <c r="U497">
        <f>VLOOKUP(A497,ordered_items!$B:$E,4,0)</f>
        <v>399.98</v>
      </c>
    </row>
    <row r="498" spans="1:21" x14ac:dyDescent="0.3">
      <c r="A498">
        <v>24370</v>
      </c>
      <c r="B498" t="s">
        <v>51</v>
      </c>
      <c r="C498">
        <v>6</v>
      </c>
      <c r="D498">
        <v>2</v>
      </c>
      <c r="E498" t="str">
        <f t="shared" si="21"/>
        <v>DELAYED</v>
      </c>
      <c r="F498">
        <f>VLOOKUP($A498,ordered_items!$B$2:$E$4784,2,0)</f>
        <v>44</v>
      </c>
      <c r="G498">
        <f>VLOOKUP($A498,ordered_items!$B$2:$E$4784,3,0)</f>
        <v>4</v>
      </c>
      <c r="H498">
        <f>VLOOKUP($A498,ordered_items!$B$2:$E$4784,4,0)</f>
        <v>239.96</v>
      </c>
      <c r="I498" s="15">
        <f>VLOOKUP(F498,product_info!$A$2:$D$73,4,0)</f>
        <v>2</v>
      </c>
      <c r="J498" s="15" t="str">
        <f>VLOOKUP(I498,department!$A$2:$B$13,2,0)</f>
        <v>Fitness</v>
      </c>
      <c r="K498">
        <v>1081</v>
      </c>
      <c r="L498" t="s">
        <v>84</v>
      </c>
      <c r="M498" s="4">
        <v>43455</v>
      </c>
      <c r="N498" s="12">
        <f t="shared" si="22"/>
        <v>12</v>
      </c>
      <c r="O498" s="13">
        <f t="shared" si="23"/>
        <v>2018</v>
      </c>
      <c r="P498" t="s">
        <v>13</v>
      </c>
      <c r="Q498" t="s">
        <v>80</v>
      </c>
      <c r="R498" t="s">
        <v>57</v>
      </c>
      <c r="S498" t="str" cm="1">
        <f t="array" ref="S498">_xlfn.IFS(R498="COMPLETE", "COMPLETED", R498="CANCELED", "CANCELED", TRUE, "PENDING")</f>
        <v>PENDING</v>
      </c>
      <c r="T498" t="s">
        <v>90</v>
      </c>
      <c r="U498">
        <f>VLOOKUP(A498,ordered_items!$B:$E,4,0)</f>
        <v>239.96</v>
      </c>
    </row>
    <row r="499" spans="1:21" x14ac:dyDescent="0.3">
      <c r="A499">
        <v>24371</v>
      </c>
      <c r="B499" t="s">
        <v>17</v>
      </c>
      <c r="C499">
        <v>2</v>
      </c>
      <c r="D499">
        <v>2</v>
      </c>
      <c r="E499" t="str">
        <f t="shared" si="21"/>
        <v xml:space="preserve"> ONTIME</v>
      </c>
      <c r="F499">
        <f>VLOOKUP($A499,ordered_items!$B$2:$E$4784,2,0)</f>
        <v>1073</v>
      </c>
      <c r="G499">
        <f>VLOOKUP($A499,ordered_items!$B$2:$E$4784,3,0)</f>
        <v>1</v>
      </c>
      <c r="H499">
        <f>VLOOKUP($A499,ordered_items!$B$2:$E$4784,4,0)</f>
        <v>199.99</v>
      </c>
      <c r="I499" s="15">
        <f>VLOOKUP(F499,product_info!$A$2:$D$73,4,0)</f>
        <v>7</v>
      </c>
      <c r="J499" s="15" t="str">
        <f>VLOOKUP(I499,department!$A$2:$B$13,2,0)</f>
        <v>Fan Shop</v>
      </c>
      <c r="K499">
        <v>6294</v>
      </c>
      <c r="L499" t="s">
        <v>84</v>
      </c>
      <c r="M499" s="4">
        <v>43455</v>
      </c>
      <c r="N499" s="12">
        <f t="shared" si="22"/>
        <v>12</v>
      </c>
      <c r="O499" s="13">
        <f t="shared" si="23"/>
        <v>2018</v>
      </c>
      <c r="P499" t="s">
        <v>13</v>
      </c>
      <c r="Q499" t="s">
        <v>80</v>
      </c>
      <c r="R499" t="s">
        <v>23</v>
      </c>
      <c r="S499" t="str" cm="1">
        <f t="array" ref="S499">_xlfn.IFS(R499="COMPLETE", "COMPLETED", R499="CANCELED", "CANCELED", TRUE, "PENDING")</f>
        <v>PENDING</v>
      </c>
      <c r="T499" t="s">
        <v>90</v>
      </c>
      <c r="U499">
        <f>VLOOKUP(A499,ordered_items!$B:$E,4,0)</f>
        <v>199.99</v>
      </c>
    </row>
    <row r="500" spans="1:21" x14ac:dyDescent="0.3">
      <c r="A500">
        <v>24372</v>
      </c>
      <c r="B500" t="s">
        <v>51</v>
      </c>
      <c r="C500">
        <v>2</v>
      </c>
      <c r="D500">
        <v>1</v>
      </c>
      <c r="E500" t="str">
        <f t="shared" si="21"/>
        <v>DELAYED</v>
      </c>
      <c r="F500">
        <f>VLOOKUP($A500,ordered_items!$B$2:$E$4784,2,0)</f>
        <v>1004</v>
      </c>
      <c r="G500">
        <f>VLOOKUP($A500,ordered_items!$B$2:$E$4784,3,0)</f>
        <v>1</v>
      </c>
      <c r="H500">
        <f>VLOOKUP($A500,ordered_items!$B$2:$E$4784,4,0)</f>
        <v>399.98</v>
      </c>
      <c r="I500" s="15">
        <f>VLOOKUP(F500,product_info!$A$2:$D$73,4,0)</f>
        <v>7</v>
      </c>
      <c r="J500" s="15" t="str">
        <f>VLOOKUP(I500,department!$A$2:$B$13,2,0)</f>
        <v>Fan Shop</v>
      </c>
      <c r="K500">
        <v>12335</v>
      </c>
      <c r="L500" t="s">
        <v>84</v>
      </c>
      <c r="M500" s="4">
        <v>43455</v>
      </c>
      <c r="N500" s="12">
        <f t="shared" si="22"/>
        <v>12</v>
      </c>
      <c r="O500" s="13">
        <f t="shared" si="23"/>
        <v>2018</v>
      </c>
      <c r="P500" t="s">
        <v>13</v>
      </c>
      <c r="Q500" t="s">
        <v>80</v>
      </c>
      <c r="R500" t="s">
        <v>57</v>
      </c>
      <c r="S500" t="str" cm="1">
        <f t="array" ref="S500">_xlfn.IFS(R500="COMPLETE", "COMPLETED", R500="CANCELED", "CANCELED", TRUE, "PENDING")</f>
        <v>PENDING</v>
      </c>
      <c r="T500" t="s">
        <v>32</v>
      </c>
      <c r="U500">
        <f>VLOOKUP(A500,ordered_items!$B:$E,4,0)</f>
        <v>399.98</v>
      </c>
    </row>
    <row r="501" spans="1:21" x14ac:dyDescent="0.3">
      <c r="A501">
        <v>24373</v>
      </c>
      <c r="B501" t="s">
        <v>3</v>
      </c>
      <c r="C501">
        <v>2</v>
      </c>
      <c r="D501">
        <v>1</v>
      </c>
      <c r="E501" t="str">
        <f t="shared" si="21"/>
        <v>DELAYED</v>
      </c>
      <c r="F501">
        <f>VLOOKUP($A501,ordered_items!$B$2:$E$4784,2,0)</f>
        <v>365</v>
      </c>
      <c r="G501">
        <f>VLOOKUP($A501,ordered_items!$B$2:$E$4784,3,0)</f>
        <v>3</v>
      </c>
      <c r="H501">
        <f>VLOOKUP($A501,ordered_items!$B$2:$E$4784,4,0)</f>
        <v>179.97</v>
      </c>
      <c r="I501" s="15">
        <f>VLOOKUP(F501,product_info!$A$2:$D$73,4,0)</f>
        <v>4</v>
      </c>
      <c r="J501" s="15" t="str">
        <f>VLOOKUP(I501,department!$A$2:$B$13,2,0)</f>
        <v>Apparel</v>
      </c>
      <c r="K501">
        <v>7170</v>
      </c>
      <c r="L501" t="s">
        <v>84</v>
      </c>
      <c r="M501" s="4">
        <v>43455</v>
      </c>
      <c r="N501" s="12">
        <f t="shared" si="22"/>
        <v>12</v>
      </c>
      <c r="O501" s="13">
        <f t="shared" si="23"/>
        <v>2018</v>
      </c>
      <c r="P501" t="s">
        <v>13</v>
      </c>
      <c r="Q501" t="s">
        <v>80</v>
      </c>
      <c r="R501" t="s">
        <v>178</v>
      </c>
      <c r="S501" t="str" cm="1">
        <f t="array" ref="S501">_xlfn.IFS(R501="COMPLETE", "COMPLETED", R501="CANCELED", "CANCELED", TRUE, "PENDING")</f>
        <v>PENDING</v>
      </c>
      <c r="T501" t="s">
        <v>32</v>
      </c>
      <c r="U501">
        <f>VLOOKUP(A501,ordered_items!$B:$E,4,0)</f>
        <v>179.97</v>
      </c>
    </row>
    <row r="502" spans="1:21" x14ac:dyDescent="0.3">
      <c r="A502">
        <v>24374</v>
      </c>
      <c r="B502" t="s">
        <v>24</v>
      </c>
      <c r="C502">
        <v>2</v>
      </c>
      <c r="D502">
        <v>1</v>
      </c>
      <c r="E502" t="str">
        <f t="shared" si="21"/>
        <v>DELAYED</v>
      </c>
      <c r="F502">
        <f>VLOOKUP($A502,ordered_items!$B$2:$E$4784,2,0)</f>
        <v>191</v>
      </c>
      <c r="G502">
        <f>VLOOKUP($A502,ordered_items!$B$2:$E$4784,3,0)</f>
        <v>1</v>
      </c>
      <c r="H502">
        <f>VLOOKUP($A502,ordered_items!$B$2:$E$4784,4,0)</f>
        <v>99.99</v>
      </c>
      <c r="I502" s="15">
        <f>VLOOKUP(F502,product_info!$A$2:$D$73,4,0)</f>
        <v>3</v>
      </c>
      <c r="J502" s="15" t="str">
        <f>VLOOKUP(I502,department!$A$2:$B$13,2,0)</f>
        <v>Footwear</v>
      </c>
      <c r="K502">
        <v>7007</v>
      </c>
      <c r="L502" t="s">
        <v>84</v>
      </c>
      <c r="M502" s="4">
        <v>43455</v>
      </c>
      <c r="N502" s="12">
        <f t="shared" si="22"/>
        <v>12</v>
      </c>
      <c r="O502" s="13">
        <f t="shared" si="23"/>
        <v>2018</v>
      </c>
      <c r="P502" t="s">
        <v>13</v>
      </c>
      <c r="Q502" t="s">
        <v>80</v>
      </c>
      <c r="R502" t="s">
        <v>31</v>
      </c>
      <c r="S502" t="str" cm="1">
        <f t="array" ref="S502">_xlfn.IFS(R502="COMPLETE", "COMPLETED", R502="CANCELED", "CANCELED", TRUE, "PENDING")</f>
        <v>COMPLETED</v>
      </c>
      <c r="T502" t="s">
        <v>32</v>
      </c>
      <c r="U502">
        <f>VLOOKUP(A502,ordered_items!$B:$E,4,0)</f>
        <v>99.99</v>
      </c>
    </row>
    <row r="503" spans="1:21" x14ac:dyDescent="0.3">
      <c r="A503">
        <v>24375</v>
      </c>
      <c r="B503" t="s">
        <v>24</v>
      </c>
      <c r="C503">
        <v>6</v>
      </c>
      <c r="D503">
        <v>4</v>
      </c>
      <c r="E503" t="str">
        <f t="shared" si="21"/>
        <v>DELAYED</v>
      </c>
      <c r="F503">
        <f>VLOOKUP($A503,ordered_items!$B$2:$E$4784,2,0)</f>
        <v>1073</v>
      </c>
      <c r="G503">
        <f>VLOOKUP($A503,ordered_items!$B$2:$E$4784,3,0)</f>
        <v>1</v>
      </c>
      <c r="H503">
        <f>VLOOKUP($A503,ordered_items!$B$2:$E$4784,4,0)</f>
        <v>199.99</v>
      </c>
      <c r="I503" s="15">
        <f>VLOOKUP(F503,product_info!$A$2:$D$73,4,0)</f>
        <v>7</v>
      </c>
      <c r="J503" s="15" t="str">
        <f>VLOOKUP(I503,department!$A$2:$B$13,2,0)</f>
        <v>Fan Shop</v>
      </c>
      <c r="K503">
        <v>11454</v>
      </c>
      <c r="L503" t="s">
        <v>84</v>
      </c>
      <c r="M503" s="4">
        <v>43455</v>
      </c>
      <c r="N503" s="12">
        <f t="shared" si="22"/>
        <v>12</v>
      </c>
      <c r="O503" s="13">
        <f t="shared" si="23"/>
        <v>2018</v>
      </c>
      <c r="P503" t="s">
        <v>13</v>
      </c>
      <c r="Q503" t="s">
        <v>80</v>
      </c>
      <c r="R503" t="s">
        <v>31</v>
      </c>
      <c r="S503" t="str" cm="1">
        <f t="array" ref="S503">_xlfn.IFS(R503="COMPLETE", "COMPLETED", R503="CANCELED", "CANCELED", TRUE, "PENDING")</f>
        <v>COMPLETED</v>
      </c>
      <c r="T503" t="s">
        <v>16</v>
      </c>
      <c r="U503">
        <f>VLOOKUP(A503,ordered_items!$B:$E,4,0)</f>
        <v>199.99</v>
      </c>
    </row>
    <row r="504" spans="1:21" x14ac:dyDescent="0.3">
      <c r="A504">
        <v>24403</v>
      </c>
      <c r="B504" t="s">
        <v>24</v>
      </c>
      <c r="C504">
        <v>4</v>
      </c>
      <c r="D504">
        <v>4</v>
      </c>
      <c r="E504" t="str">
        <f t="shared" si="21"/>
        <v xml:space="preserve"> ONTIME</v>
      </c>
      <c r="F504">
        <f>VLOOKUP($A504,ordered_items!$B$2:$E$4784,2,0)</f>
        <v>365</v>
      </c>
      <c r="G504">
        <f>VLOOKUP($A504,ordered_items!$B$2:$E$4784,3,0)</f>
        <v>2</v>
      </c>
      <c r="H504">
        <f>VLOOKUP($A504,ordered_items!$B$2:$E$4784,4,0)</f>
        <v>119.98</v>
      </c>
      <c r="I504" s="15">
        <f>VLOOKUP(F504,product_info!$A$2:$D$73,4,0)</f>
        <v>4</v>
      </c>
      <c r="J504" s="15" t="str">
        <f>VLOOKUP(I504,department!$A$2:$B$13,2,0)</f>
        <v>Apparel</v>
      </c>
      <c r="K504">
        <v>2510</v>
      </c>
      <c r="L504" t="s">
        <v>534</v>
      </c>
      <c r="M504" s="4">
        <v>43456</v>
      </c>
      <c r="N504" s="12">
        <f t="shared" si="22"/>
        <v>12</v>
      </c>
      <c r="O504" s="13">
        <f t="shared" si="23"/>
        <v>2018</v>
      </c>
      <c r="P504" t="s">
        <v>13</v>
      </c>
      <c r="Q504" t="s">
        <v>30</v>
      </c>
      <c r="R504" t="s">
        <v>31</v>
      </c>
      <c r="S504" t="str" cm="1">
        <f t="array" ref="S504">_xlfn.IFS(R504="COMPLETE", "COMPLETED", R504="CANCELED", "CANCELED", TRUE, "PENDING")</f>
        <v>COMPLETED</v>
      </c>
      <c r="T504" t="s">
        <v>16</v>
      </c>
      <c r="U504">
        <f>VLOOKUP(A504,ordered_items!$B:$E,4,0)</f>
        <v>119.98</v>
      </c>
    </row>
    <row r="505" spans="1:21" x14ac:dyDescent="0.3">
      <c r="A505">
        <v>24404</v>
      </c>
      <c r="B505" t="s">
        <v>17</v>
      </c>
      <c r="C505">
        <v>5</v>
      </c>
      <c r="D505">
        <v>2</v>
      </c>
      <c r="E505" t="str">
        <f t="shared" si="21"/>
        <v>DELAYED</v>
      </c>
      <c r="F505">
        <f>VLOOKUP($A505,ordered_items!$B$2:$E$4784,2,0)</f>
        <v>403</v>
      </c>
      <c r="G505">
        <f>VLOOKUP($A505,ordered_items!$B$2:$E$4784,3,0)</f>
        <v>1</v>
      </c>
      <c r="H505">
        <f>VLOOKUP($A505,ordered_items!$B$2:$E$4784,4,0)</f>
        <v>129.99</v>
      </c>
      <c r="I505" s="15">
        <f>VLOOKUP(F505,product_info!$A$2:$D$73,4,0)</f>
        <v>4</v>
      </c>
      <c r="J505" s="15" t="str">
        <f>VLOOKUP(I505,department!$A$2:$B$13,2,0)</f>
        <v>Apparel</v>
      </c>
      <c r="K505">
        <v>2746</v>
      </c>
      <c r="L505" t="s">
        <v>534</v>
      </c>
      <c r="M505" s="4">
        <v>43456</v>
      </c>
      <c r="N505" s="12">
        <f t="shared" si="22"/>
        <v>12</v>
      </c>
      <c r="O505" s="13">
        <f t="shared" si="23"/>
        <v>2018</v>
      </c>
      <c r="P505" t="s">
        <v>13</v>
      </c>
      <c r="Q505" t="s">
        <v>30</v>
      </c>
      <c r="R505" t="s">
        <v>23</v>
      </c>
      <c r="S505" t="str" cm="1">
        <f t="array" ref="S505">_xlfn.IFS(R505="COMPLETE", "COMPLETED", R505="CANCELED", "CANCELED", TRUE, "PENDING")</f>
        <v>PENDING</v>
      </c>
      <c r="T505" t="s">
        <v>90</v>
      </c>
      <c r="U505">
        <f>VLOOKUP(A505,ordered_items!$B:$E,4,0)</f>
        <v>129.99</v>
      </c>
    </row>
    <row r="506" spans="1:21" x14ac:dyDescent="0.3">
      <c r="A506">
        <v>24414</v>
      </c>
      <c r="B506" t="s">
        <v>51</v>
      </c>
      <c r="C506">
        <v>5</v>
      </c>
      <c r="D506">
        <v>4</v>
      </c>
      <c r="E506" t="str">
        <f t="shared" si="21"/>
        <v>DELAYED</v>
      </c>
      <c r="F506">
        <f>VLOOKUP($A506,ordered_items!$B$2:$E$4784,2,0)</f>
        <v>403</v>
      </c>
      <c r="G506">
        <f>VLOOKUP($A506,ordered_items!$B$2:$E$4784,3,0)</f>
        <v>1</v>
      </c>
      <c r="H506">
        <f>VLOOKUP($A506,ordered_items!$B$2:$E$4784,4,0)</f>
        <v>129.99</v>
      </c>
      <c r="I506" s="15">
        <f>VLOOKUP(F506,product_info!$A$2:$D$73,4,0)</f>
        <v>4</v>
      </c>
      <c r="J506" s="15" t="str">
        <f>VLOOKUP(I506,department!$A$2:$B$13,2,0)</f>
        <v>Apparel</v>
      </c>
      <c r="K506">
        <v>10843</v>
      </c>
      <c r="L506" t="s">
        <v>327</v>
      </c>
      <c r="M506" s="4">
        <v>43456</v>
      </c>
      <c r="N506" s="12">
        <f t="shared" si="22"/>
        <v>12</v>
      </c>
      <c r="O506" s="13">
        <f t="shared" si="23"/>
        <v>2018</v>
      </c>
      <c r="P506" t="s">
        <v>13</v>
      </c>
      <c r="Q506" t="s">
        <v>227</v>
      </c>
      <c r="R506" t="s">
        <v>57</v>
      </c>
      <c r="S506" t="str" cm="1">
        <f t="array" ref="S506">_xlfn.IFS(R506="COMPLETE", "COMPLETED", R506="CANCELED", "CANCELED", TRUE, "PENDING")</f>
        <v>PENDING</v>
      </c>
      <c r="T506" t="s">
        <v>16</v>
      </c>
      <c r="U506">
        <f>VLOOKUP(A506,ordered_items!$B:$E,4,0)</f>
        <v>129.99</v>
      </c>
    </row>
    <row r="507" spans="1:21" x14ac:dyDescent="0.3">
      <c r="A507">
        <v>24457</v>
      </c>
      <c r="B507" t="s">
        <v>24</v>
      </c>
      <c r="C507">
        <v>3</v>
      </c>
      <c r="D507">
        <v>4</v>
      </c>
      <c r="E507" t="str">
        <f t="shared" si="21"/>
        <v xml:space="preserve"> ONTIME</v>
      </c>
      <c r="F507">
        <f>VLOOKUP($A507,ordered_items!$B$2:$E$4784,2,0)</f>
        <v>365</v>
      </c>
      <c r="G507">
        <f>VLOOKUP($A507,ordered_items!$B$2:$E$4784,3,0)</f>
        <v>1</v>
      </c>
      <c r="H507">
        <f>VLOOKUP($A507,ordered_items!$B$2:$E$4784,4,0)</f>
        <v>59.99</v>
      </c>
      <c r="I507" s="15">
        <f>VLOOKUP(F507,product_info!$A$2:$D$73,4,0)</f>
        <v>4</v>
      </c>
      <c r="J507" s="15" t="str">
        <f>VLOOKUP(I507,department!$A$2:$B$13,2,0)</f>
        <v>Apparel</v>
      </c>
      <c r="K507">
        <v>70</v>
      </c>
      <c r="L507" t="s">
        <v>70</v>
      </c>
      <c r="M507" s="4">
        <v>43457</v>
      </c>
      <c r="N507" s="12">
        <f t="shared" si="22"/>
        <v>12</v>
      </c>
      <c r="O507" s="13">
        <f t="shared" si="23"/>
        <v>2018</v>
      </c>
      <c r="P507" t="s">
        <v>13</v>
      </c>
      <c r="Q507" t="s">
        <v>70</v>
      </c>
      <c r="R507" t="s">
        <v>378</v>
      </c>
      <c r="S507" t="str" cm="1">
        <f t="array" ref="S507">_xlfn.IFS(R507="COMPLETE", "COMPLETED", R507="CANCELED", "CANCELED", TRUE, "PENDING")</f>
        <v>PENDING</v>
      </c>
      <c r="T507" t="s">
        <v>16</v>
      </c>
      <c r="U507">
        <f>VLOOKUP(A507,ordered_items!$B:$E,4,0)</f>
        <v>59.99</v>
      </c>
    </row>
    <row r="508" spans="1:21" x14ac:dyDescent="0.3">
      <c r="A508">
        <v>24477</v>
      </c>
      <c r="B508" t="s">
        <v>24</v>
      </c>
      <c r="C508">
        <v>3</v>
      </c>
      <c r="D508">
        <v>4</v>
      </c>
      <c r="E508" t="str">
        <f t="shared" si="21"/>
        <v xml:space="preserve"> ONTIME</v>
      </c>
      <c r="F508">
        <f>VLOOKUP($A508,ordered_items!$B$2:$E$4784,2,0)</f>
        <v>403</v>
      </c>
      <c r="G508">
        <f>VLOOKUP($A508,ordered_items!$B$2:$E$4784,3,0)</f>
        <v>1</v>
      </c>
      <c r="H508">
        <f>VLOOKUP($A508,ordered_items!$B$2:$E$4784,4,0)</f>
        <v>129.99</v>
      </c>
      <c r="I508" s="15">
        <f>VLOOKUP(F508,product_info!$A$2:$D$73,4,0)</f>
        <v>4</v>
      </c>
      <c r="J508" s="15" t="str">
        <f>VLOOKUP(I508,department!$A$2:$B$13,2,0)</f>
        <v>Apparel</v>
      </c>
      <c r="K508">
        <v>3830</v>
      </c>
      <c r="L508" t="s">
        <v>146</v>
      </c>
      <c r="M508" s="4">
        <v>43457</v>
      </c>
      <c r="N508" s="12">
        <f t="shared" si="22"/>
        <v>12</v>
      </c>
      <c r="O508" s="13">
        <f t="shared" si="23"/>
        <v>2018</v>
      </c>
      <c r="P508" t="s">
        <v>13</v>
      </c>
      <c r="Q508" t="s">
        <v>30</v>
      </c>
      <c r="R508" t="s">
        <v>378</v>
      </c>
      <c r="S508" t="str" cm="1">
        <f t="array" ref="S508">_xlfn.IFS(R508="COMPLETE", "COMPLETED", R508="CANCELED", "CANCELED", TRUE, "PENDING")</f>
        <v>PENDING</v>
      </c>
      <c r="T508" t="s">
        <v>16</v>
      </c>
      <c r="U508">
        <f>VLOOKUP(A508,ordered_items!$B:$E,4,0)</f>
        <v>129.99</v>
      </c>
    </row>
    <row r="509" spans="1:21" x14ac:dyDescent="0.3">
      <c r="A509">
        <v>24494</v>
      </c>
      <c r="B509" t="s">
        <v>3</v>
      </c>
      <c r="C509">
        <v>5</v>
      </c>
      <c r="D509">
        <v>4</v>
      </c>
      <c r="E509" t="str">
        <f t="shared" si="21"/>
        <v>DELAYED</v>
      </c>
      <c r="F509">
        <f>VLOOKUP($A509,ordered_items!$B$2:$E$4784,2,0)</f>
        <v>365</v>
      </c>
      <c r="G509">
        <f>VLOOKUP($A509,ordered_items!$B$2:$E$4784,3,0)</f>
        <v>3</v>
      </c>
      <c r="H509">
        <f>VLOOKUP($A509,ordered_items!$B$2:$E$4784,4,0)</f>
        <v>179.97</v>
      </c>
      <c r="I509" s="15">
        <f>VLOOKUP(F509,product_info!$A$2:$D$73,4,0)</f>
        <v>4</v>
      </c>
      <c r="J509" s="15" t="str">
        <f>VLOOKUP(I509,department!$A$2:$B$13,2,0)</f>
        <v>Apparel</v>
      </c>
      <c r="K509">
        <v>5859</v>
      </c>
      <c r="L509" t="s">
        <v>304</v>
      </c>
      <c r="M509" s="4">
        <v>43457</v>
      </c>
      <c r="N509" s="12">
        <f t="shared" si="22"/>
        <v>12</v>
      </c>
      <c r="O509" s="13">
        <f t="shared" si="23"/>
        <v>2018</v>
      </c>
      <c r="P509" t="s">
        <v>13</v>
      </c>
      <c r="Q509" t="s">
        <v>30</v>
      </c>
      <c r="R509" t="s">
        <v>38</v>
      </c>
      <c r="S509" t="str" cm="1">
        <f t="array" ref="S509">_xlfn.IFS(R509="COMPLETE", "COMPLETED", R509="CANCELED", "CANCELED", TRUE, "PENDING")</f>
        <v>PENDING</v>
      </c>
      <c r="T509" t="s">
        <v>16</v>
      </c>
      <c r="U509">
        <f>VLOOKUP(A509,ordered_items!$B:$E,4,0)</f>
        <v>179.97</v>
      </c>
    </row>
    <row r="510" spans="1:21" x14ac:dyDescent="0.3">
      <c r="A510">
        <v>24495</v>
      </c>
      <c r="B510" t="s">
        <v>24</v>
      </c>
      <c r="C510">
        <v>6</v>
      </c>
      <c r="D510">
        <v>4</v>
      </c>
      <c r="E510" t="str">
        <f t="shared" si="21"/>
        <v>DELAYED</v>
      </c>
      <c r="F510">
        <f>VLOOKUP($A510,ordered_items!$B$2:$E$4784,2,0)</f>
        <v>403</v>
      </c>
      <c r="G510">
        <f>VLOOKUP($A510,ordered_items!$B$2:$E$4784,3,0)</f>
        <v>1</v>
      </c>
      <c r="H510">
        <f>VLOOKUP($A510,ordered_items!$B$2:$E$4784,4,0)</f>
        <v>129.99</v>
      </c>
      <c r="I510" s="15">
        <f>VLOOKUP(F510,product_info!$A$2:$D$73,4,0)</f>
        <v>4</v>
      </c>
      <c r="J510" s="15" t="str">
        <f>VLOOKUP(I510,department!$A$2:$B$13,2,0)</f>
        <v>Apparel</v>
      </c>
      <c r="K510">
        <v>9962</v>
      </c>
      <c r="L510" t="s">
        <v>304</v>
      </c>
      <c r="M510" s="4">
        <v>43457</v>
      </c>
      <c r="N510" s="12">
        <f t="shared" si="22"/>
        <v>12</v>
      </c>
      <c r="O510" s="13">
        <f t="shared" si="23"/>
        <v>2018</v>
      </c>
      <c r="P510" t="s">
        <v>13</v>
      </c>
      <c r="Q510" t="s">
        <v>30</v>
      </c>
      <c r="R510" t="s">
        <v>31</v>
      </c>
      <c r="S510" t="str" cm="1">
        <f t="array" ref="S510">_xlfn.IFS(R510="COMPLETE", "COMPLETED", R510="CANCELED", "CANCELED", TRUE, "PENDING")</f>
        <v>COMPLETED</v>
      </c>
      <c r="T510" t="s">
        <v>16</v>
      </c>
      <c r="U510">
        <f>VLOOKUP(A510,ordered_items!$B:$E,4,0)</f>
        <v>129.99</v>
      </c>
    </row>
    <row r="511" spans="1:21" x14ac:dyDescent="0.3">
      <c r="A511">
        <v>24508</v>
      </c>
      <c r="B511" t="s">
        <v>51</v>
      </c>
      <c r="C511">
        <v>4</v>
      </c>
      <c r="D511">
        <v>4</v>
      </c>
      <c r="E511" t="str">
        <f t="shared" si="21"/>
        <v xml:space="preserve"> ONTIME</v>
      </c>
      <c r="F511">
        <f>VLOOKUP($A511,ordered_items!$B$2:$E$4784,2,0)</f>
        <v>897</v>
      </c>
      <c r="G511">
        <f>VLOOKUP($A511,ordered_items!$B$2:$E$4784,3,0)</f>
        <v>1</v>
      </c>
      <c r="H511">
        <f>VLOOKUP($A511,ordered_items!$B$2:$E$4784,4,0)</f>
        <v>24.99</v>
      </c>
      <c r="I511" s="15">
        <f>VLOOKUP(F511,product_info!$A$2:$D$73,4,0)</f>
        <v>6</v>
      </c>
      <c r="J511" s="15" t="str">
        <f>VLOOKUP(I511,department!$A$2:$B$13,2,0)</f>
        <v>Outdoors</v>
      </c>
      <c r="K511">
        <v>7097</v>
      </c>
      <c r="L511" t="s">
        <v>104</v>
      </c>
      <c r="M511" s="4">
        <v>43457</v>
      </c>
      <c r="N511" s="12">
        <f t="shared" si="22"/>
        <v>12</v>
      </c>
      <c r="O511" s="13">
        <f t="shared" si="23"/>
        <v>2018</v>
      </c>
      <c r="P511" t="s">
        <v>13</v>
      </c>
      <c r="Q511" t="s">
        <v>130</v>
      </c>
      <c r="R511" t="s">
        <v>57</v>
      </c>
      <c r="S511" t="str" cm="1">
        <f t="array" ref="S511">_xlfn.IFS(R511="COMPLETE", "COMPLETED", R511="CANCELED", "CANCELED", TRUE, "PENDING")</f>
        <v>PENDING</v>
      </c>
      <c r="T511" t="s">
        <v>16</v>
      </c>
      <c r="U511">
        <f>VLOOKUP(A511,ordered_items!$B:$E,4,0)</f>
        <v>24.99</v>
      </c>
    </row>
    <row r="512" spans="1:21" x14ac:dyDescent="0.3">
      <c r="A512">
        <v>24510</v>
      </c>
      <c r="B512" t="s">
        <v>51</v>
      </c>
      <c r="C512">
        <v>6</v>
      </c>
      <c r="D512">
        <v>4</v>
      </c>
      <c r="E512" t="str">
        <f t="shared" si="21"/>
        <v>DELAYED</v>
      </c>
      <c r="F512">
        <f>VLOOKUP($A512,ordered_items!$B$2:$E$4784,2,0)</f>
        <v>502</v>
      </c>
      <c r="G512">
        <f>VLOOKUP($A512,ordered_items!$B$2:$E$4784,3,0)</f>
        <v>3</v>
      </c>
      <c r="H512">
        <f>VLOOKUP($A512,ordered_items!$B$2:$E$4784,4,0)</f>
        <v>150</v>
      </c>
      <c r="I512" s="15">
        <f>VLOOKUP(F512,product_info!$A$2:$D$73,4,0)</f>
        <v>5</v>
      </c>
      <c r="J512" s="15" t="str">
        <f>VLOOKUP(I512,department!$A$2:$B$13,2,0)</f>
        <v>Golf</v>
      </c>
      <c r="K512">
        <v>8385</v>
      </c>
      <c r="L512" t="s">
        <v>214</v>
      </c>
      <c r="M512" s="4">
        <v>43457</v>
      </c>
      <c r="N512" s="12">
        <f t="shared" si="22"/>
        <v>12</v>
      </c>
      <c r="O512" s="13">
        <f t="shared" si="23"/>
        <v>2018</v>
      </c>
      <c r="P512" t="s">
        <v>13</v>
      </c>
      <c r="Q512" t="s">
        <v>5781</v>
      </c>
      <c r="R512" t="s">
        <v>57</v>
      </c>
      <c r="S512" t="str" cm="1">
        <f t="array" ref="S512">_xlfn.IFS(R512="COMPLETE", "COMPLETED", R512="CANCELED", "CANCELED", TRUE, "PENDING")</f>
        <v>PENDING</v>
      </c>
      <c r="T512" t="s">
        <v>16</v>
      </c>
      <c r="U512">
        <f>VLOOKUP(A512,ordered_items!$B:$E,4,0)</f>
        <v>150</v>
      </c>
    </row>
    <row r="513" spans="1:21" x14ac:dyDescent="0.3">
      <c r="A513">
        <v>24511</v>
      </c>
      <c r="B513" t="s">
        <v>24</v>
      </c>
      <c r="C513">
        <v>2</v>
      </c>
      <c r="D513">
        <v>4</v>
      </c>
      <c r="E513" t="str">
        <f t="shared" si="21"/>
        <v xml:space="preserve"> ONTIME</v>
      </c>
      <c r="F513">
        <f>VLOOKUP($A513,ordered_items!$B$2:$E$4784,2,0)</f>
        <v>1004</v>
      </c>
      <c r="G513">
        <f>VLOOKUP($A513,ordered_items!$B$2:$E$4784,3,0)</f>
        <v>1</v>
      </c>
      <c r="H513">
        <f>VLOOKUP($A513,ordered_items!$B$2:$E$4784,4,0)</f>
        <v>399.98</v>
      </c>
      <c r="I513" s="15">
        <f>VLOOKUP(F513,product_info!$A$2:$D$73,4,0)</f>
        <v>7</v>
      </c>
      <c r="J513" s="15" t="str">
        <f>VLOOKUP(I513,department!$A$2:$B$13,2,0)</f>
        <v>Fan Shop</v>
      </c>
      <c r="K513">
        <v>5382</v>
      </c>
      <c r="L513" t="s">
        <v>214</v>
      </c>
      <c r="M513" s="4">
        <v>43457</v>
      </c>
      <c r="N513" s="12">
        <f t="shared" si="22"/>
        <v>12</v>
      </c>
      <c r="O513" s="13">
        <f t="shared" si="23"/>
        <v>2018</v>
      </c>
      <c r="P513" t="s">
        <v>13</v>
      </c>
      <c r="Q513" t="s">
        <v>5781</v>
      </c>
      <c r="R513" t="s">
        <v>31</v>
      </c>
      <c r="S513" t="str" cm="1">
        <f t="array" ref="S513">_xlfn.IFS(R513="COMPLETE", "COMPLETED", R513="CANCELED", "CANCELED", TRUE, "PENDING")</f>
        <v>COMPLETED</v>
      </c>
      <c r="T513" t="s">
        <v>16</v>
      </c>
      <c r="U513">
        <f>VLOOKUP(A513,ordered_items!$B:$E,4,0)</f>
        <v>399.98</v>
      </c>
    </row>
    <row r="514" spans="1:21" x14ac:dyDescent="0.3">
      <c r="A514">
        <v>24531</v>
      </c>
      <c r="B514" t="s">
        <v>24</v>
      </c>
      <c r="C514">
        <v>2</v>
      </c>
      <c r="D514">
        <v>2</v>
      </c>
      <c r="E514" t="str">
        <f t="shared" si="21"/>
        <v xml:space="preserve"> ONTIME</v>
      </c>
      <c r="F514">
        <f>VLOOKUP($A514,ordered_items!$B$2:$E$4784,2,0)</f>
        <v>957</v>
      </c>
      <c r="G514">
        <f>VLOOKUP($A514,ordered_items!$B$2:$E$4784,3,0)</f>
        <v>1</v>
      </c>
      <c r="H514">
        <f>VLOOKUP($A514,ordered_items!$B$2:$E$4784,4,0)</f>
        <v>299.98</v>
      </c>
      <c r="I514" s="15">
        <f>VLOOKUP(F514,product_info!$A$2:$D$73,4,0)</f>
        <v>7</v>
      </c>
      <c r="J514" s="15" t="str">
        <f>VLOOKUP(I514,department!$A$2:$B$13,2,0)</f>
        <v>Fan Shop</v>
      </c>
      <c r="K514">
        <v>8136</v>
      </c>
      <c r="L514" t="s">
        <v>206</v>
      </c>
      <c r="M514" s="4">
        <v>43458</v>
      </c>
      <c r="N514" s="12">
        <f t="shared" si="22"/>
        <v>12</v>
      </c>
      <c r="O514" s="13">
        <f t="shared" si="23"/>
        <v>2018</v>
      </c>
      <c r="P514" t="s">
        <v>13</v>
      </c>
      <c r="Q514" t="s">
        <v>30</v>
      </c>
      <c r="R514" t="s">
        <v>31</v>
      </c>
      <c r="S514" t="str" cm="1">
        <f t="array" ref="S514">_xlfn.IFS(R514="COMPLETE", "COMPLETED", R514="CANCELED", "CANCELED", TRUE, "PENDING")</f>
        <v>COMPLETED</v>
      </c>
      <c r="T514" t="s">
        <v>90</v>
      </c>
      <c r="U514">
        <f>VLOOKUP(A514,ordered_items!$B:$E,4,0)</f>
        <v>299.98</v>
      </c>
    </row>
    <row r="515" spans="1:21" x14ac:dyDescent="0.3">
      <c r="A515">
        <v>24532</v>
      </c>
      <c r="B515" t="s">
        <v>3</v>
      </c>
      <c r="C515">
        <v>3</v>
      </c>
      <c r="D515">
        <v>2</v>
      </c>
      <c r="E515" t="str">
        <f t="shared" ref="E515:E578" si="24">IF(C515-D515&gt;0,"DELAYED"," ONTIME")</f>
        <v>DELAYED</v>
      </c>
      <c r="F515">
        <f>VLOOKUP($A515,ordered_items!$B$2:$E$4784,2,0)</f>
        <v>957</v>
      </c>
      <c r="G515">
        <f>VLOOKUP($A515,ordered_items!$B$2:$E$4784,3,0)</f>
        <v>1</v>
      </c>
      <c r="H515">
        <f>VLOOKUP($A515,ordered_items!$B$2:$E$4784,4,0)</f>
        <v>299.98</v>
      </c>
      <c r="I515" s="15">
        <f>VLOOKUP(F515,product_info!$A$2:$D$73,4,0)</f>
        <v>7</v>
      </c>
      <c r="J515" s="15" t="str">
        <f>VLOOKUP(I515,department!$A$2:$B$13,2,0)</f>
        <v>Fan Shop</v>
      </c>
      <c r="K515">
        <v>7971</v>
      </c>
      <c r="L515" t="s">
        <v>206</v>
      </c>
      <c r="M515" s="4">
        <v>43458</v>
      </c>
      <c r="N515" s="12">
        <f t="shared" ref="N515:N578" si="25">MONTH(M515)</f>
        <v>12</v>
      </c>
      <c r="O515" s="13">
        <f t="shared" ref="O515:O578" si="26">YEAR(M515)</f>
        <v>2018</v>
      </c>
      <c r="P515" t="s">
        <v>13</v>
      </c>
      <c r="Q515" t="s">
        <v>30</v>
      </c>
      <c r="R515" t="s">
        <v>14</v>
      </c>
      <c r="S515" t="str" cm="1">
        <f t="array" ref="S515">_xlfn.IFS(R515="COMPLETE", "COMPLETED", R515="CANCELED", "CANCELED", TRUE, "PENDING")</f>
        <v>PENDING</v>
      </c>
      <c r="T515" t="s">
        <v>90</v>
      </c>
      <c r="U515">
        <f>VLOOKUP(A515,ordered_items!$B:$E,4,0)</f>
        <v>299.98</v>
      </c>
    </row>
    <row r="516" spans="1:21" x14ac:dyDescent="0.3">
      <c r="A516">
        <v>24542</v>
      </c>
      <c r="B516" t="s">
        <v>24</v>
      </c>
      <c r="C516">
        <v>3</v>
      </c>
      <c r="D516">
        <v>2</v>
      </c>
      <c r="E516" t="str">
        <f t="shared" si="24"/>
        <v>DELAYED</v>
      </c>
      <c r="F516">
        <f>VLOOKUP($A516,ordered_items!$B$2:$E$4784,2,0)</f>
        <v>403</v>
      </c>
      <c r="G516">
        <f>VLOOKUP($A516,ordered_items!$B$2:$E$4784,3,0)</f>
        <v>1</v>
      </c>
      <c r="H516">
        <f>VLOOKUP($A516,ordered_items!$B$2:$E$4784,4,0)</f>
        <v>129.99</v>
      </c>
      <c r="I516" s="15">
        <f>VLOOKUP(F516,product_info!$A$2:$D$73,4,0)</f>
        <v>4</v>
      </c>
      <c r="J516" s="15" t="str">
        <f>VLOOKUP(I516,department!$A$2:$B$13,2,0)</f>
        <v>Apparel</v>
      </c>
      <c r="K516">
        <v>3678</v>
      </c>
      <c r="L516" t="s">
        <v>186</v>
      </c>
      <c r="M516" s="4">
        <v>43458</v>
      </c>
      <c r="N516" s="12">
        <f t="shared" si="25"/>
        <v>12</v>
      </c>
      <c r="O516" s="13">
        <f t="shared" si="26"/>
        <v>2018</v>
      </c>
      <c r="P516" t="s">
        <v>13</v>
      </c>
      <c r="Q516" t="s">
        <v>5778</v>
      </c>
      <c r="R516" t="s">
        <v>31</v>
      </c>
      <c r="S516" t="str" cm="1">
        <f t="array" ref="S516">_xlfn.IFS(R516="COMPLETE", "COMPLETED", R516="CANCELED", "CANCELED", TRUE, "PENDING")</f>
        <v>COMPLETED</v>
      </c>
      <c r="T516" t="s">
        <v>90</v>
      </c>
      <c r="U516">
        <f>VLOOKUP(A516,ordered_items!$B:$E,4,0)</f>
        <v>129.99</v>
      </c>
    </row>
    <row r="517" spans="1:21" x14ac:dyDescent="0.3">
      <c r="A517">
        <v>24543</v>
      </c>
      <c r="B517" t="s">
        <v>3</v>
      </c>
      <c r="C517">
        <v>4</v>
      </c>
      <c r="D517">
        <v>2</v>
      </c>
      <c r="E517" t="str">
        <f t="shared" si="24"/>
        <v>DELAYED</v>
      </c>
      <c r="F517">
        <f>VLOOKUP($A517,ordered_items!$B$2:$E$4784,2,0)</f>
        <v>1004</v>
      </c>
      <c r="G517">
        <f>VLOOKUP($A517,ordered_items!$B$2:$E$4784,3,0)</f>
        <v>1</v>
      </c>
      <c r="H517">
        <f>VLOOKUP($A517,ordered_items!$B$2:$E$4784,4,0)</f>
        <v>399.98</v>
      </c>
      <c r="I517" s="15">
        <f>VLOOKUP(F517,product_info!$A$2:$D$73,4,0)</f>
        <v>7</v>
      </c>
      <c r="J517" s="15" t="str">
        <f>VLOOKUP(I517,department!$A$2:$B$13,2,0)</f>
        <v>Fan Shop</v>
      </c>
      <c r="K517">
        <v>7511</v>
      </c>
      <c r="L517" t="s">
        <v>186</v>
      </c>
      <c r="M517" s="4">
        <v>43458</v>
      </c>
      <c r="N517" s="12">
        <f t="shared" si="25"/>
        <v>12</v>
      </c>
      <c r="O517" s="13">
        <f t="shared" si="26"/>
        <v>2018</v>
      </c>
      <c r="P517" t="s">
        <v>13</v>
      </c>
      <c r="Q517" t="s">
        <v>5778</v>
      </c>
      <c r="R517" t="s">
        <v>38</v>
      </c>
      <c r="S517" t="str" cm="1">
        <f t="array" ref="S517">_xlfn.IFS(R517="COMPLETE", "COMPLETED", R517="CANCELED", "CANCELED", TRUE, "PENDING")</f>
        <v>PENDING</v>
      </c>
      <c r="T517" t="s">
        <v>90</v>
      </c>
      <c r="U517">
        <f>VLOOKUP(A517,ordered_items!$B:$E,4,0)</f>
        <v>399.98</v>
      </c>
    </row>
    <row r="518" spans="1:21" x14ac:dyDescent="0.3">
      <c r="A518">
        <v>24545</v>
      </c>
      <c r="B518" t="s">
        <v>3</v>
      </c>
      <c r="C518">
        <v>6</v>
      </c>
      <c r="D518">
        <v>2</v>
      </c>
      <c r="E518" t="str">
        <f t="shared" si="24"/>
        <v>DELAYED</v>
      </c>
      <c r="F518">
        <f>VLOOKUP($A518,ordered_items!$B$2:$E$4784,2,0)</f>
        <v>403</v>
      </c>
      <c r="G518">
        <f>VLOOKUP($A518,ordered_items!$B$2:$E$4784,3,0)</f>
        <v>1</v>
      </c>
      <c r="H518">
        <f>VLOOKUP($A518,ordered_items!$B$2:$E$4784,4,0)</f>
        <v>129.99</v>
      </c>
      <c r="I518" s="15">
        <f>VLOOKUP(F518,product_info!$A$2:$D$73,4,0)</f>
        <v>4</v>
      </c>
      <c r="J518" s="15" t="str">
        <f>VLOOKUP(I518,department!$A$2:$B$13,2,0)</f>
        <v>Apparel</v>
      </c>
      <c r="K518">
        <v>12424</v>
      </c>
      <c r="L518" t="s">
        <v>186</v>
      </c>
      <c r="M518" s="4">
        <v>43458</v>
      </c>
      <c r="N518" s="12">
        <f t="shared" si="25"/>
        <v>12</v>
      </c>
      <c r="O518" s="13">
        <f t="shared" si="26"/>
        <v>2018</v>
      </c>
      <c r="P518" t="s">
        <v>13</v>
      </c>
      <c r="Q518" t="s">
        <v>5778</v>
      </c>
      <c r="R518" t="s">
        <v>14</v>
      </c>
      <c r="S518" t="str" cm="1">
        <f t="array" ref="S518">_xlfn.IFS(R518="COMPLETE", "COMPLETED", R518="CANCELED", "CANCELED", TRUE, "PENDING")</f>
        <v>PENDING</v>
      </c>
      <c r="T518" t="s">
        <v>90</v>
      </c>
      <c r="U518">
        <f>VLOOKUP(A518,ordered_items!$B:$E,4,0)</f>
        <v>129.99</v>
      </c>
    </row>
    <row r="519" spans="1:21" x14ac:dyDescent="0.3">
      <c r="A519">
        <v>24556</v>
      </c>
      <c r="B519" t="s">
        <v>3</v>
      </c>
      <c r="C519">
        <v>2</v>
      </c>
      <c r="D519">
        <v>4</v>
      </c>
      <c r="E519" t="str">
        <f t="shared" si="24"/>
        <v xml:space="preserve"> ONTIME</v>
      </c>
      <c r="F519">
        <f>VLOOKUP($A519,ordered_items!$B$2:$E$4784,2,0)</f>
        <v>572</v>
      </c>
      <c r="G519">
        <f>VLOOKUP($A519,ordered_items!$B$2:$E$4784,3,0)</f>
        <v>4</v>
      </c>
      <c r="H519">
        <f>VLOOKUP($A519,ordered_items!$B$2:$E$4784,4,0)</f>
        <v>159.96</v>
      </c>
      <c r="I519" s="15">
        <f>VLOOKUP(F519,product_info!$A$2:$D$73,4,0)</f>
        <v>5</v>
      </c>
      <c r="J519" s="15" t="str">
        <f>VLOOKUP(I519,department!$A$2:$B$13,2,0)</f>
        <v>Golf</v>
      </c>
      <c r="K519">
        <v>4101</v>
      </c>
      <c r="L519" t="s">
        <v>84</v>
      </c>
      <c r="M519" s="4">
        <v>43458</v>
      </c>
      <c r="N519" s="12">
        <f t="shared" si="25"/>
        <v>12</v>
      </c>
      <c r="O519" s="13">
        <f t="shared" si="26"/>
        <v>2018</v>
      </c>
      <c r="P519" t="s">
        <v>13</v>
      </c>
      <c r="Q519" t="s">
        <v>80</v>
      </c>
      <c r="R519" t="s">
        <v>14</v>
      </c>
      <c r="S519" t="str" cm="1">
        <f t="array" ref="S519">_xlfn.IFS(R519="COMPLETE", "COMPLETED", R519="CANCELED", "CANCELED", TRUE, "PENDING")</f>
        <v>PENDING</v>
      </c>
      <c r="T519" t="s">
        <v>16</v>
      </c>
      <c r="U519">
        <f>VLOOKUP(A519,ordered_items!$B:$E,4,0)</f>
        <v>159.96</v>
      </c>
    </row>
    <row r="520" spans="1:21" x14ac:dyDescent="0.3">
      <c r="A520">
        <v>24558</v>
      </c>
      <c r="B520" t="s">
        <v>24</v>
      </c>
      <c r="C520">
        <v>4</v>
      </c>
      <c r="D520">
        <v>4</v>
      </c>
      <c r="E520" t="str">
        <f t="shared" si="24"/>
        <v xml:space="preserve"> ONTIME</v>
      </c>
      <c r="F520">
        <f>VLOOKUP($A520,ordered_items!$B$2:$E$4784,2,0)</f>
        <v>403</v>
      </c>
      <c r="G520">
        <f>VLOOKUP($A520,ordered_items!$B$2:$E$4784,3,0)</f>
        <v>1</v>
      </c>
      <c r="H520">
        <f>VLOOKUP($A520,ordered_items!$B$2:$E$4784,4,0)</f>
        <v>129.99</v>
      </c>
      <c r="I520" s="15">
        <f>VLOOKUP(F520,product_info!$A$2:$D$73,4,0)</f>
        <v>4</v>
      </c>
      <c r="J520" s="15" t="str">
        <f>VLOOKUP(I520,department!$A$2:$B$13,2,0)</f>
        <v>Apparel</v>
      </c>
      <c r="K520">
        <v>8720</v>
      </c>
      <c r="L520" t="s">
        <v>84</v>
      </c>
      <c r="M520" s="4">
        <v>43458</v>
      </c>
      <c r="N520" s="12">
        <f t="shared" si="25"/>
        <v>12</v>
      </c>
      <c r="O520" s="13">
        <f t="shared" si="26"/>
        <v>2018</v>
      </c>
      <c r="P520" t="s">
        <v>13</v>
      </c>
      <c r="Q520" t="s">
        <v>80</v>
      </c>
      <c r="R520" t="s">
        <v>31</v>
      </c>
      <c r="S520" t="str" cm="1">
        <f t="array" ref="S520">_xlfn.IFS(R520="COMPLETE", "COMPLETED", R520="CANCELED", "CANCELED", TRUE, "PENDING")</f>
        <v>COMPLETED</v>
      </c>
      <c r="T520" t="s">
        <v>16</v>
      </c>
      <c r="U520">
        <f>VLOOKUP(A520,ordered_items!$B:$E,4,0)</f>
        <v>129.99</v>
      </c>
    </row>
    <row r="521" spans="1:21" x14ac:dyDescent="0.3">
      <c r="A521">
        <v>24559</v>
      </c>
      <c r="B521" t="s">
        <v>3</v>
      </c>
      <c r="C521">
        <v>5</v>
      </c>
      <c r="D521">
        <v>4</v>
      </c>
      <c r="E521" t="str">
        <f t="shared" si="24"/>
        <v>DELAYED</v>
      </c>
      <c r="F521">
        <f>VLOOKUP($A521,ordered_items!$B$2:$E$4784,2,0)</f>
        <v>957</v>
      </c>
      <c r="G521">
        <f>VLOOKUP($A521,ordered_items!$B$2:$E$4784,3,0)</f>
        <v>1</v>
      </c>
      <c r="H521">
        <f>VLOOKUP($A521,ordered_items!$B$2:$E$4784,4,0)</f>
        <v>299.98</v>
      </c>
      <c r="I521" s="15">
        <f>VLOOKUP(F521,product_info!$A$2:$D$73,4,0)</f>
        <v>7</v>
      </c>
      <c r="J521" s="15" t="str">
        <f>VLOOKUP(I521,department!$A$2:$B$13,2,0)</f>
        <v>Fan Shop</v>
      </c>
      <c r="K521">
        <v>9872</v>
      </c>
      <c r="L521" t="s">
        <v>84</v>
      </c>
      <c r="M521" s="4">
        <v>43458</v>
      </c>
      <c r="N521" s="12">
        <f t="shared" si="25"/>
        <v>12</v>
      </c>
      <c r="O521" s="13">
        <f t="shared" si="26"/>
        <v>2018</v>
      </c>
      <c r="P521" t="s">
        <v>13</v>
      </c>
      <c r="Q521" t="s">
        <v>80</v>
      </c>
      <c r="R521" t="s">
        <v>14</v>
      </c>
      <c r="S521" t="str" cm="1">
        <f t="array" ref="S521">_xlfn.IFS(R521="COMPLETE", "COMPLETED", R521="CANCELED", "CANCELED", TRUE, "PENDING")</f>
        <v>PENDING</v>
      </c>
      <c r="T521" t="s">
        <v>16</v>
      </c>
      <c r="U521">
        <f>VLOOKUP(A521,ordered_items!$B:$E,4,0)</f>
        <v>299.98</v>
      </c>
    </row>
    <row r="522" spans="1:21" x14ac:dyDescent="0.3">
      <c r="A522">
        <v>24560</v>
      </c>
      <c r="B522" t="s">
        <v>24</v>
      </c>
      <c r="C522">
        <v>6</v>
      </c>
      <c r="D522">
        <v>4</v>
      </c>
      <c r="E522" t="str">
        <f t="shared" si="24"/>
        <v>DELAYED</v>
      </c>
      <c r="F522">
        <f>VLOOKUP($A522,ordered_items!$B$2:$E$4784,2,0)</f>
        <v>403</v>
      </c>
      <c r="G522">
        <f>VLOOKUP($A522,ordered_items!$B$2:$E$4784,3,0)</f>
        <v>1</v>
      </c>
      <c r="H522">
        <f>VLOOKUP($A522,ordered_items!$B$2:$E$4784,4,0)</f>
        <v>129.99</v>
      </c>
      <c r="I522" s="15">
        <f>VLOOKUP(F522,product_info!$A$2:$D$73,4,0)</f>
        <v>4</v>
      </c>
      <c r="J522" s="15" t="str">
        <f>VLOOKUP(I522,department!$A$2:$B$13,2,0)</f>
        <v>Apparel</v>
      </c>
      <c r="K522">
        <v>5890</v>
      </c>
      <c r="L522" t="s">
        <v>84</v>
      </c>
      <c r="M522" s="4">
        <v>43458</v>
      </c>
      <c r="N522" s="12">
        <f t="shared" si="25"/>
        <v>12</v>
      </c>
      <c r="O522" s="13">
        <f t="shared" si="26"/>
        <v>2018</v>
      </c>
      <c r="P522" t="s">
        <v>13</v>
      </c>
      <c r="Q522" t="s">
        <v>80</v>
      </c>
      <c r="R522" t="s">
        <v>31</v>
      </c>
      <c r="S522" t="str" cm="1">
        <f t="array" ref="S522">_xlfn.IFS(R522="COMPLETE", "COMPLETED", R522="CANCELED", "CANCELED", TRUE, "PENDING")</f>
        <v>COMPLETED</v>
      </c>
      <c r="T522" t="s">
        <v>16</v>
      </c>
      <c r="U522">
        <f>VLOOKUP(A522,ordered_items!$B:$E,4,0)</f>
        <v>129.99</v>
      </c>
    </row>
    <row r="523" spans="1:21" x14ac:dyDescent="0.3">
      <c r="A523">
        <v>24580</v>
      </c>
      <c r="B523" t="s">
        <v>24</v>
      </c>
      <c r="C523">
        <v>6</v>
      </c>
      <c r="D523">
        <v>4</v>
      </c>
      <c r="E523" t="str">
        <f t="shared" si="24"/>
        <v>DELAYED</v>
      </c>
      <c r="F523">
        <f>VLOOKUP($A523,ordered_items!$B$2:$E$4784,2,0)</f>
        <v>403</v>
      </c>
      <c r="G523">
        <f>VLOOKUP($A523,ordered_items!$B$2:$E$4784,3,0)</f>
        <v>1</v>
      </c>
      <c r="H523">
        <f>VLOOKUP($A523,ordered_items!$B$2:$E$4784,4,0)</f>
        <v>129.99</v>
      </c>
      <c r="I523" s="15">
        <f>VLOOKUP(F523,product_info!$A$2:$D$73,4,0)</f>
        <v>4</v>
      </c>
      <c r="J523" s="15" t="str">
        <f>VLOOKUP(I523,department!$A$2:$B$13,2,0)</f>
        <v>Apparel</v>
      </c>
      <c r="K523">
        <v>7548</v>
      </c>
      <c r="L523" t="s">
        <v>146</v>
      </c>
      <c r="M523" s="4">
        <v>43458</v>
      </c>
      <c r="N523" s="12">
        <f t="shared" si="25"/>
        <v>12</v>
      </c>
      <c r="O523" s="13">
        <f t="shared" si="26"/>
        <v>2018</v>
      </c>
      <c r="P523" t="s">
        <v>13</v>
      </c>
      <c r="Q523" t="s">
        <v>30</v>
      </c>
      <c r="R523" t="s">
        <v>31</v>
      </c>
      <c r="S523" t="str" cm="1">
        <f t="array" ref="S523">_xlfn.IFS(R523="COMPLETE", "COMPLETED", R523="CANCELED", "CANCELED", TRUE, "PENDING")</f>
        <v>COMPLETED</v>
      </c>
      <c r="T523" t="s">
        <v>16</v>
      </c>
      <c r="U523">
        <f>VLOOKUP(A523,ordered_items!$B:$E,4,0)</f>
        <v>129.99</v>
      </c>
    </row>
    <row r="524" spans="1:21" x14ac:dyDescent="0.3">
      <c r="A524">
        <v>24581</v>
      </c>
      <c r="B524" t="s">
        <v>3</v>
      </c>
      <c r="C524">
        <v>2</v>
      </c>
      <c r="D524">
        <v>4</v>
      </c>
      <c r="E524" t="str">
        <f t="shared" si="24"/>
        <v xml:space="preserve"> ONTIME</v>
      </c>
      <c r="F524">
        <f>VLOOKUP($A524,ordered_items!$B$2:$E$4784,2,0)</f>
        <v>365</v>
      </c>
      <c r="G524">
        <f>VLOOKUP($A524,ordered_items!$B$2:$E$4784,3,0)</f>
        <v>1</v>
      </c>
      <c r="H524">
        <f>VLOOKUP($A524,ordered_items!$B$2:$E$4784,4,0)</f>
        <v>59.99</v>
      </c>
      <c r="I524" s="15">
        <f>VLOOKUP(F524,product_info!$A$2:$D$73,4,0)</f>
        <v>4</v>
      </c>
      <c r="J524" s="15" t="str">
        <f>VLOOKUP(I524,department!$A$2:$B$13,2,0)</f>
        <v>Apparel</v>
      </c>
      <c r="K524">
        <v>5488</v>
      </c>
      <c r="L524" t="s">
        <v>146</v>
      </c>
      <c r="M524" s="4">
        <v>43458</v>
      </c>
      <c r="N524" s="12">
        <f t="shared" si="25"/>
        <v>12</v>
      </c>
      <c r="O524" s="13">
        <f t="shared" si="26"/>
        <v>2018</v>
      </c>
      <c r="P524" t="s">
        <v>13</v>
      </c>
      <c r="Q524" t="s">
        <v>30</v>
      </c>
      <c r="R524" t="s">
        <v>14</v>
      </c>
      <c r="S524" t="str" cm="1">
        <f t="array" ref="S524">_xlfn.IFS(R524="COMPLETE", "COMPLETED", R524="CANCELED", "CANCELED", TRUE, "PENDING")</f>
        <v>PENDING</v>
      </c>
      <c r="T524" t="s">
        <v>16</v>
      </c>
      <c r="U524">
        <f>VLOOKUP(A524,ordered_items!$B:$E,4,0)</f>
        <v>59.99</v>
      </c>
    </row>
    <row r="525" spans="1:21" x14ac:dyDescent="0.3">
      <c r="A525">
        <v>24582</v>
      </c>
      <c r="B525" t="s">
        <v>51</v>
      </c>
      <c r="C525">
        <v>3</v>
      </c>
      <c r="D525">
        <v>4</v>
      </c>
      <c r="E525" t="str">
        <f t="shared" si="24"/>
        <v xml:space="preserve"> ONTIME</v>
      </c>
      <c r="F525">
        <f>VLOOKUP($A525,ordered_items!$B$2:$E$4784,2,0)</f>
        <v>1073</v>
      </c>
      <c r="G525">
        <f>VLOOKUP($A525,ordered_items!$B$2:$E$4784,3,0)</f>
        <v>1</v>
      </c>
      <c r="H525">
        <f>VLOOKUP($A525,ordered_items!$B$2:$E$4784,4,0)</f>
        <v>199.99</v>
      </c>
      <c r="I525" s="15">
        <f>VLOOKUP(F525,product_info!$A$2:$D$73,4,0)</f>
        <v>7</v>
      </c>
      <c r="J525" s="15" t="str">
        <f>VLOOKUP(I525,department!$A$2:$B$13,2,0)</f>
        <v>Fan Shop</v>
      </c>
      <c r="K525">
        <v>7922</v>
      </c>
      <c r="L525" t="s">
        <v>146</v>
      </c>
      <c r="M525" s="4">
        <v>43458</v>
      </c>
      <c r="N525" s="12">
        <f t="shared" si="25"/>
        <v>12</v>
      </c>
      <c r="O525" s="13">
        <f t="shared" si="26"/>
        <v>2018</v>
      </c>
      <c r="P525" t="s">
        <v>13</v>
      </c>
      <c r="Q525" t="s">
        <v>30</v>
      </c>
      <c r="R525" t="s">
        <v>57</v>
      </c>
      <c r="S525" t="str" cm="1">
        <f t="array" ref="S525">_xlfn.IFS(R525="COMPLETE", "COMPLETED", R525="CANCELED", "CANCELED", TRUE, "PENDING")</f>
        <v>PENDING</v>
      </c>
      <c r="T525" t="s">
        <v>16</v>
      </c>
      <c r="U525">
        <f>VLOOKUP(A525,ordered_items!$B:$E,4,0)</f>
        <v>199.99</v>
      </c>
    </row>
    <row r="526" spans="1:21" x14ac:dyDescent="0.3">
      <c r="A526">
        <v>24583</v>
      </c>
      <c r="B526" t="s">
        <v>51</v>
      </c>
      <c r="C526">
        <v>4</v>
      </c>
      <c r="D526">
        <v>4</v>
      </c>
      <c r="E526" t="str">
        <f t="shared" si="24"/>
        <v xml:space="preserve"> ONTIME</v>
      </c>
      <c r="F526">
        <f>VLOOKUP($A526,ordered_items!$B$2:$E$4784,2,0)</f>
        <v>502</v>
      </c>
      <c r="G526">
        <f>VLOOKUP($A526,ordered_items!$B$2:$E$4784,3,0)</f>
        <v>1</v>
      </c>
      <c r="H526">
        <f>VLOOKUP($A526,ordered_items!$B$2:$E$4784,4,0)</f>
        <v>50</v>
      </c>
      <c r="I526" s="15">
        <f>VLOOKUP(F526,product_info!$A$2:$D$73,4,0)</f>
        <v>5</v>
      </c>
      <c r="J526" s="15" t="str">
        <f>VLOOKUP(I526,department!$A$2:$B$13,2,0)</f>
        <v>Golf</v>
      </c>
      <c r="K526">
        <v>10291</v>
      </c>
      <c r="L526" t="s">
        <v>146</v>
      </c>
      <c r="M526" s="4">
        <v>43458</v>
      </c>
      <c r="N526" s="12">
        <f t="shared" si="25"/>
        <v>12</v>
      </c>
      <c r="O526" s="13">
        <f t="shared" si="26"/>
        <v>2018</v>
      </c>
      <c r="P526" t="s">
        <v>13</v>
      </c>
      <c r="Q526" t="s">
        <v>30</v>
      </c>
      <c r="R526" t="s">
        <v>57</v>
      </c>
      <c r="S526" t="str" cm="1">
        <f t="array" ref="S526">_xlfn.IFS(R526="COMPLETE", "COMPLETED", R526="CANCELED", "CANCELED", TRUE, "PENDING")</f>
        <v>PENDING</v>
      </c>
      <c r="T526" t="s">
        <v>16</v>
      </c>
      <c r="U526">
        <f>VLOOKUP(A526,ordered_items!$B:$E,4,0)</f>
        <v>50</v>
      </c>
    </row>
    <row r="527" spans="1:21" x14ac:dyDescent="0.3">
      <c r="A527">
        <v>24589</v>
      </c>
      <c r="B527" t="s">
        <v>3</v>
      </c>
      <c r="C527">
        <v>5</v>
      </c>
      <c r="D527">
        <v>4</v>
      </c>
      <c r="E527" t="str">
        <f t="shared" si="24"/>
        <v>DELAYED</v>
      </c>
      <c r="F527">
        <f>VLOOKUP($A527,ordered_items!$B$2:$E$4784,2,0)</f>
        <v>1014</v>
      </c>
      <c r="G527">
        <f>VLOOKUP($A527,ordered_items!$B$2:$E$4784,3,0)</f>
        <v>5</v>
      </c>
      <c r="H527">
        <f>VLOOKUP($A527,ordered_items!$B$2:$E$4784,4,0)</f>
        <v>249.9</v>
      </c>
      <c r="I527" s="15">
        <f>VLOOKUP(F527,product_info!$A$2:$D$73,4,0)</f>
        <v>7</v>
      </c>
      <c r="J527" s="15" t="str">
        <f>VLOOKUP(I527,department!$A$2:$B$13,2,0)</f>
        <v>Fan Shop</v>
      </c>
      <c r="K527">
        <v>4359</v>
      </c>
      <c r="L527" t="s">
        <v>136</v>
      </c>
      <c r="M527" s="4">
        <v>43458</v>
      </c>
      <c r="N527" s="12">
        <f t="shared" si="25"/>
        <v>12</v>
      </c>
      <c r="O527" s="13">
        <f t="shared" si="26"/>
        <v>2018</v>
      </c>
      <c r="P527" t="s">
        <v>13</v>
      </c>
      <c r="Q527" t="s">
        <v>47</v>
      </c>
      <c r="R527" t="s">
        <v>38</v>
      </c>
      <c r="S527" t="str" cm="1">
        <f t="array" ref="S527">_xlfn.IFS(R527="COMPLETE", "COMPLETED", R527="CANCELED", "CANCELED", TRUE, "PENDING")</f>
        <v>PENDING</v>
      </c>
      <c r="T527" t="s">
        <v>16</v>
      </c>
      <c r="U527">
        <f>VLOOKUP(A527,ordered_items!$B:$E,4,0)</f>
        <v>249.9</v>
      </c>
    </row>
    <row r="528" spans="1:21" x14ac:dyDescent="0.3">
      <c r="A528">
        <v>24602</v>
      </c>
      <c r="B528" t="s">
        <v>51</v>
      </c>
      <c r="C528">
        <v>3</v>
      </c>
      <c r="D528">
        <v>4</v>
      </c>
      <c r="E528" t="str">
        <f t="shared" si="24"/>
        <v xml:space="preserve"> ONTIME</v>
      </c>
      <c r="F528">
        <f>VLOOKUP($A528,ordered_items!$B$2:$E$4784,2,0)</f>
        <v>1004</v>
      </c>
      <c r="G528">
        <f>VLOOKUP($A528,ordered_items!$B$2:$E$4784,3,0)</f>
        <v>1</v>
      </c>
      <c r="H528">
        <f>VLOOKUP($A528,ordered_items!$B$2:$E$4784,4,0)</f>
        <v>399.98</v>
      </c>
      <c r="I528" s="15">
        <f>VLOOKUP(F528,product_info!$A$2:$D$73,4,0)</f>
        <v>7</v>
      </c>
      <c r="J528" s="15" t="str">
        <f>VLOOKUP(I528,department!$A$2:$B$13,2,0)</f>
        <v>Fan Shop</v>
      </c>
      <c r="K528">
        <v>9563</v>
      </c>
      <c r="L528" t="s">
        <v>129</v>
      </c>
      <c r="M528" s="4">
        <v>43459</v>
      </c>
      <c r="N528" s="12">
        <f t="shared" si="25"/>
        <v>12</v>
      </c>
      <c r="O528" s="13">
        <f t="shared" si="26"/>
        <v>2018</v>
      </c>
      <c r="P528" t="s">
        <v>13</v>
      </c>
      <c r="Q528" t="s">
        <v>130</v>
      </c>
      <c r="R528" t="s">
        <v>57</v>
      </c>
      <c r="S528" t="str" cm="1">
        <f t="array" ref="S528">_xlfn.IFS(R528="COMPLETE", "COMPLETED", R528="CANCELED", "CANCELED", TRUE, "PENDING")</f>
        <v>PENDING</v>
      </c>
      <c r="T528" t="s">
        <v>16</v>
      </c>
      <c r="U528">
        <f>VLOOKUP(A528,ordered_items!$B:$E,4,0)</f>
        <v>399.98</v>
      </c>
    </row>
    <row r="529" spans="1:21" x14ac:dyDescent="0.3">
      <c r="A529">
        <v>24604</v>
      </c>
      <c r="B529" t="s">
        <v>3</v>
      </c>
      <c r="C529">
        <v>5</v>
      </c>
      <c r="D529">
        <v>4</v>
      </c>
      <c r="E529" t="str">
        <f t="shared" si="24"/>
        <v>DELAYED</v>
      </c>
      <c r="F529">
        <f>VLOOKUP($A529,ordered_items!$B$2:$E$4784,2,0)</f>
        <v>502</v>
      </c>
      <c r="G529">
        <f>VLOOKUP($A529,ordered_items!$B$2:$E$4784,3,0)</f>
        <v>4</v>
      </c>
      <c r="H529">
        <f>VLOOKUP($A529,ordered_items!$B$2:$E$4784,4,0)</f>
        <v>200</v>
      </c>
      <c r="I529" s="15">
        <f>VLOOKUP(F529,product_info!$A$2:$D$73,4,0)</f>
        <v>5</v>
      </c>
      <c r="J529" s="15" t="str">
        <f>VLOOKUP(I529,department!$A$2:$B$13,2,0)</f>
        <v>Golf</v>
      </c>
      <c r="K529">
        <v>3762</v>
      </c>
      <c r="L529" t="s">
        <v>84</v>
      </c>
      <c r="M529" s="4">
        <v>43459</v>
      </c>
      <c r="N529" s="12">
        <f t="shared" si="25"/>
        <v>12</v>
      </c>
      <c r="O529" s="13">
        <f t="shared" si="26"/>
        <v>2018</v>
      </c>
      <c r="P529" t="s">
        <v>13</v>
      </c>
      <c r="Q529" t="s">
        <v>80</v>
      </c>
      <c r="R529" t="s">
        <v>38</v>
      </c>
      <c r="S529" t="str" cm="1">
        <f t="array" ref="S529">_xlfn.IFS(R529="COMPLETE", "COMPLETED", R529="CANCELED", "CANCELED", TRUE, "PENDING")</f>
        <v>PENDING</v>
      </c>
      <c r="T529" t="s">
        <v>16</v>
      </c>
      <c r="U529">
        <f>VLOOKUP(A529,ordered_items!$B:$E,4,0)</f>
        <v>200</v>
      </c>
    </row>
    <row r="530" spans="1:21" x14ac:dyDescent="0.3">
      <c r="A530">
        <v>24618</v>
      </c>
      <c r="B530" t="s">
        <v>17</v>
      </c>
      <c r="C530">
        <v>4</v>
      </c>
      <c r="D530">
        <v>4</v>
      </c>
      <c r="E530" t="str">
        <f t="shared" si="24"/>
        <v xml:space="preserve"> ONTIME</v>
      </c>
      <c r="F530">
        <f>VLOOKUP($A530,ordered_items!$B$2:$E$4784,2,0)</f>
        <v>957</v>
      </c>
      <c r="G530">
        <f>VLOOKUP($A530,ordered_items!$B$2:$E$4784,3,0)</f>
        <v>1</v>
      </c>
      <c r="H530">
        <f>VLOOKUP($A530,ordered_items!$B$2:$E$4784,4,0)</f>
        <v>299.98</v>
      </c>
      <c r="I530" s="15">
        <f>VLOOKUP(F530,product_info!$A$2:$D$73,4,0)</f>
        <v>7</v>
      </c>
      <c r="J530" s="15" t="str">
        <f>VLOOKUP(I530,department!$A$2:$B$13,2,0)</f>
        <v>Fan Shop</v>
      </c>
      <c r="K530">
        <v>2555</v>
      </c>
      <c r="L530" t="s">
        <v>70</v>
      </c>
      <c r="M530" s="4">
        <v>43459</v>
      </c>
      <c r="N530" s="12">
        <f t="shared" si="25"/>
        <v>12</v>
      </c>
      <c r="O530" s="13">
        <f t="shared" si="26"/>
        <v>2018</v>
      </c>
      <c r="P530" t="s">
        <v>13</v>
      </c>
      <c r="Q530" t="s">
        <v>70</v>
      </c>
      <c r="R530" t="s">
        <v>23</v>
      </c>
      <c r="S530" t="str" cm="1">
        <f t="array" ref="S530">_xlfn.IFS(R530="COMPLETE", "COMPLETED", R530="CANCELED", "CANCELED", TRUE, "PENDING")</f>
        <v>PENDING</v>
      </c>
      <c r="T530" t="s">
        <v>16</v>
      </c>
      <c r="U530">
        <f>VLOOKUP(A530,ordered_items!$B:$E,4,0)</f>
        <v>299.98</v>
      </c>
    </row>
    <row r="531" spans="1:21" x14ac:dyDescent="0.3">
      <c r="A531">
        <v>24619</v>
      </c>
      <c r="B531" t="s">
        <v>24</v>
      </c>
      <c r="C531">
        <v>5</v>
      </c>
      <c r="D531">
        <v>4</v>
      </c>
      <c r="E531" t="str">
        <f t="shared" si="24"/>
        <v>DELAYED</v>
      </c>
      <c r="F531">
        <f>VLOOKUP($A531,ordered_items!$B$2:$E$4784,2,0)</f>
        <v>365</v>
      </c>
      <c r="G531">
        <f>VLOOKUP($A531,ordered_items!$B$2:$E$4784,3,0)</f>
        <v>1</v>
      </c>
      <c r="H531">
        <f>VLOOKUP($A531,ordered_items!$B$2:$E$4784,4,0)</f>
        <v>59.99</v>
      </c>
      <c r="I531" s="15">
        <f>VLOOKUP(F531,product_info!$A$2:$D$73,4,0)</f>
        <v>4</v>
      </c>
      <c r="J531" s="15" t="str">
        <f>VLOOKUP(I531,department!$A$2:$B$13,2,0)</f>
        <v>Apparel</v>
      </c>
      <c r="K531">
        <v>3695</v>
      </c>
      <c r="L531" t="s">
        <v>70</v>
      </c>
      <c r="M531" s="4">
        <v>43459</v>
      </c>
      <c r="N531" s="12">
        <f t="shared" si="25"/>
        <v>12</v>
      </c>
      <c r="O531" s="13">
        <f t="shared" si="26"/>
        <v>2018</v>
      </c>
      <c r="P531" t="s">
        <v>13</v>
      </c>
      <c r="Q531" t="s">
        <v>70</v>
      </c>
      <c r="R531" t="s">
        <v>31</v>
      </c>
      <c r="S531" t="str" cm="1">
        <f t="array" ref="S531">_xlfn.IFS(R531="COMPLETE", "COMPLETED", R531="CANCELED", "CANCELED", TRUE, "PENDING")</f>
        <v>COMPLETED</v>
      </c>
      <c r="T531" t="s">
        <v>16</v>
      </c>
      <c r="U531">
        <f>VLOOKUP(A531,ordered_items!$B:$E,4,0)</f>
        <v>59.99</v>
      </c>
    </row>
    <row r="532" spans="1:21" x14ac:dyDescent="0.3">
      <c r="A532">
        <v>24629</v>
      </c>
      <c r="B532" t="s">
        <v>3</v>
      </c>
      <c r="C532">
        <v>5</v>
      </c>
      <c r="D532">
        <v>4</v>
      </c>
      <c r="E532" t="str">
        <f t="shared" si="24"/>
        <v>DELAYED</v>
      </c>
      <c r="F532">
        <f>VLOOKUP($A532,ordered_items!$B$2:$E$4784,2,0)</f>
        <v>502</v>
      </c>
      <c r="G532">
        <f>VLOOKUP($A532,ordered_items!$B$2:$E$4784,3,0)</f>
        <v>1</v>
      </c>
      <c r="H532">
        <f>VLOOKUP($A532,ordered_items!$B$2:$E$4784,4,0)</f>
        <v>50</v>
      </c>
      <c r="I532" s="15">
        <f>VLOOKUP(F532,product_info!$A$2:$D$73,4,0)</f>
        <v>5</v>
      </c>
      <c r="J532" s="15" t="str">
        <f>VLOOKUP(I532,department!$A$2:$B$13,2,0)</f>
        <v>Golf</v>
      </c>
      <c r="K532">
        <v>9092</v>
      </c>
      <c r="L532" t="s">
        <v>46</v>
      </c>
      <c r="M532" s="4">
        <v>43459</v>
      </c>
      <c r="N532" s="12">
        <f t="shared" si="25"/>
        <v>12</v>
      </c>
      <c r="O532" s="13">
        <f t="shared" si="26"/>
        <v>2018</v>
      </c>
      <c r="P532" t="s">
        <v>13</v>
      </c>
      <c r="Q532" t="s">
        <v>47</v>
      </c>
      <c r="R532" t="s">
        <v>14</v>
      </c>
      <c r="S532" t="str" cm="1">
        <f t="array" ref="S532">_xlfn.IFS(R532="COMPLETE", "COMPLETED", R532="CANCELED", "CANCELED", TRUE, "PENDING")</f>
        <v>PENDING</v>
      </c>
      <c r="T532" t="s">
        <v>16</v>
      </c>
      <c r="U532">
        <f>VLOOKUP(A532,ordered_items!$B:$E,4,0)</f>
        <v>50</v>
      </c>
    </row>
    <row r="533" spans="1:21" x14ac:dyDescent="0.3">
      <c r="A533">
        <v>24630</v>
      </c>
      <c r="B533" t="s">
        <v>3</v>
      </c>
      <c r="C533">
        <v>6</v>
      </c>
      <c r="D533">
        <v>4</v>
      </c>
      <c r="E533" t="str">
        <f t="shared" si="24"/>
        <v>DELAYED</v>
      </c>
      <c r="F533">
        <f>VLOOKUP($A533,ordered_items!$B$2:$E$4784,2,0)</f>
        <v>502</v>
      </c>
      <c r="G533">
        <f>VLOOKUP($A533,ordered_items!$B$2:$E$4784,3,0)</f>
        <v>4</v>
      </c>
      <c r="H533">
        <f>VLOOKUP($A533,ordered_items!$B$2:$E$4784,4,0)</f>
        <v>200</v>
      </c>
      <c r="I533" s="15">
        <f>VLOOKUP(F533,product_info!$A$2:$D$73,4,0)</f>
        <v>5</v>
      </c>
      <c r="J533" s="15" t="str">
        <f>VLOOKUP(I533,department!$A$2:$B$13,2,0)</f>
        <v>Golf</v>
      </c>
      <c r="K533">
        <v>8005</v>
      </c>
      <c r="L533" t="s">
        <v>46</v>
      </c>
      <c r="M533" s="4">
        <v>43459</v>
      </c>
      <c r="N533" s="12">
        <f t="shared" si="25"/>
        <v>12</v>
      </c>
      <c r="O533" s="13">
        <f t="shared" si="26"/>
        <v>2018</v>
      </c>
      <c r="P533" t="s">
        <v>13</v>
      </c>
      <c r="Q533" t="s">
        <v>47</v>
      </c>
      <c r="R533" t="s">
        <v>235</v>
      </c>
      <c r="S533" t="str" cm="1">
        <f t="array" ref="S533">_xlfn.IFS(R533="COMPLETE", "COMPLETED", R533="CANCELED", "CANCELED", TRUE, "PENDING")</f>
        <v>CANCELED</v>
      </c>
      <c r="T533" t="s">
        <v>16</v>
      </c>
      <c r="U533">
        <f>VLOOKUP(A533,ordered_items!$B:$E,4,0)</f>
        <v>200</v>
      </c>
    </row>
    <row r="534" spans="1:21" x14ac:dyDescent="0.3">
      <c r="A534">
        <v>24631</v>
      </c>
      <c r="B534" t="s">
        <v>17</v>
      </c>
      <c r="C534">
        <v>2</v>
      </c>
      <c r="D534">
        <v>4</v>
      </c>
      <c r="E534" t="str">
        <f t="shared" si="24"/>
        <v xml:space="preserve"> ONTIME</v>
      </c>
      <c r="F534">
        <f>VLOOKUP($A534,ordered_items!$B$2:$E$4784,2,0)</f>
        <v>1073</v>
      </c>
      <c r="G534">
        <f>VLOOKUP($A534,ordered_items!$B$2:$E$4784,3,0)</f>
        <v>1</v>
      </c>
      <c r="H534">
        <f>VLOOKUP($A534,ordered_items!$B$2:$E$4784,4,0)</f>
        <v>199.99</v>
      </c>
      <c r="I534" s="15">
        <f>VLOOKUP(F534,product_info!$A$2:$D$73,4,0)</f>
        <v>7</v>
      </c>
      <c r="J534" s="15" t="str">
        <f>VLOOKUP(I534,department!$A$2:$B$13,2,0)</f>
        <v>Fan Shop</v>
      </c>
      <c r="K534">
        <v>8459</v>
      </c>
      <c r="L534" t="s">
        <v>46</v>
      </c>
      <c r="M534" s="4">
        <v>43459</v>
      </c>
      <c r="N534" s="12">
        <f t="shared" si="25"/>
        <v>12</v>
      </c>
      <c r="O534" s="13">
        <f t="shared" si="26"/>
        <v>2018</v>
      </c>
      <c r="P534" t="s">
        <v>13</v>
      </c>
      <c r="Q534" t="s">
        <v>47</v>
      </c>
      <c r="R534" t="s">
        <v>23</v>
      </c>
      <c r="S534" t="str" cm="1">
        <f t="array" ref="S534">_xlfn.IFS(R534="COMPLETE", "COMPLETED", R534="CANCELED", "CANCELED", TRUE, "PENDING")</f>
        <v>PENDING</v>
      </c>
      <c r="T534" t="s">
        <v>16</v>
      </c>
      <c r="U534">
        <f>VLOOKUP(A534,ordered_items!$B:$E,4,0)</f>
        <v>199.99</v>
      </c>
    </row>
    <row r="535" spans="1:21" x14ac:dyDescent="0.3">
      <c r="A535">
        <v>24632</v>
      </c>
      <c r="B535" t="s">
        <v>3</v>
      </c>
      <c r="C535">
        <v>3</v>
      </c>
      <c r="D535">
        <v>4</v>
      </c>
      <c r="E535" t="str">
        <f t="shared" si="24"/>
        <v xml:space="preserve"> ONTIME</v>
      </c>
      <c r="F535">
        <f>VLOOKUP($A535,ordered_items!$B$2:$E$4784,2,0)</f>
        <v>365</v>
      </c>
      <c r="G535">
        <f>VLOOKUP($A535,ordered_items!$B$2:$E$4784,3,0)</f>
        <v>5</v>
      </c>
      <c r="H535">
        <f>VLOOKUP($A535,ordered_items!$B$2:$E$4784,4,0)</f>
        <v>299.95</v>
      </c>
      <c r="I535" s="15">
        <f>VLOOKUP(F535,product_info!$A$2:$D$73,4,0)</f>
        <v>4</v>
      </c>
      <c r="J535" s="15" t="str">
        <f>VLOOKUP(I535,department!$A$2:$B$13,2,0)</f>
        <v>Apparel</v>
      </c>
      <c r="K535">
        <v>4670</v>
      </c>
      <c r="L535" t="s">
        <v>46</v>
      </c>
      <c r="M535" s="4">
        <v>43459</v>
      </c>
      <c r="N535" s="12">
        <f t="shared" si="25"/>
        <v>12</v>
      </c>
      <c r="O535" s="13">
        <f t="shared" si="26"/>
        <v>2018</v>
      </c>
      <c r="P535" t="s">
        <v>13</v>
      </c>
      <c r="Q535" t="s">
        <v>47</v>
      </c>
      <c r="R535" t="s">
        <v>14</v>
      </c>
      <c r="S535" t="str" cm="1">
        <f t="array" ref="S535">_xlfn.IFS(R535="COMPLETE", "COMPLETED", R535="CANCELED", "CANCELED", TRUE, "PENDING")</f>
        <v>PENDING</v>
      </c>
      <c r="T535" t="s">
        <v>16</v>
      </c>
      <c r="U535">
        <f>VLOOKUP(A535,ordered_items!$B:$E,4,0)</f>
        <v>299.95</v>
      </c>
    </row>
    <row r="536" spans="1:21" x14ac:dyDescent="0.3">
      <c r="A536">
        <v>24635</v>
      </c>
      <c r="B536" t="s">
        <v>24</v>
      </c>
      <c r="C536">
        <v>6</v>
      </c>
      <c r="D536">
        <v>4</v>
      </c>
      <c r="E536" t="str">
        <f t="shared" si="24"/>
        <v>DELAYED</v>
      </c>
      <c r="F536">
        <f>VLOOKUP($A536,ordered_items!$B$2:$E$4784,2,0)</f>
        <v>191</v>
      </c>
      <c r="G536">
        <f>VLOOKUP($A536,ordered_items!$B$2:$E$4784,3,0)</f>
        <v>5</v>
      </c>
      <c r="H536">
        <f>VLOOKUP($A536,ordered_items!$B$2:$E$4784,4,0)</f>
        <v>499.95</v>
      </c>
      <c r="I536" s="15">
        <f>VLOOKUP(F536,product_info!$A$2:$D$73,4,0)</f>
        <v>3</v>
      </c>
      <c r="J536" s="15" t="str">
        <f>VLOOKUP(I536,department!$A$2:$B$13,2,0)</f>
        <v>Footwear</v>
      </c>
      <c r="K536">
        <v>7470</v>
      </c>
      <c r="L536" t="s">
        <v>29</v>
      </c>
      <c r="M536" s="4">
        <v>43459</v>
      </c>
      <c r="N536" s="12">
        <f t="shared" si="25"/>
        <v>12</v>
      </c>
      <c r="O536" s="13">
        <f t="shared" si="26"/>
        <v>2018</v>
      </c>
      <c r="P536" t="s">
        <v>13</v>
      </c>
      <c r="Q536" t="s">
        <v>30</v>
      </c>
      <c r="R536" t="s">
        <v>31</v>
      </c>
      <c r="S536" t="str" cm="1">
        <f t="array" ref="S536">_xlfn.IFS(R536="COMPLETE", "COMPLETED", R536="CANCELED", "CANCELED", TRUE, "PENDING")</f>
        <v>COMPLETED</v>
      </c>
      <c r="T536" t="s">
        <v>16</v>
      </c>
      <c r="U536">
        <f>VLOOKUP(A536,ordered_items!$B:$E,4,0)</f>
        <v>499.95</v>
      </c>
    </row>
    <row r="537" spans="1:21" x14ac:dyDescent="0.3">
      <c r="A537">
        <v>24636</v>
      </c>
      <c r="B537" t="s">
        <v>24</v>
      </c>
      <c r="C537">
        <v>2</v>
      </c>
      <c r="D537">
        <v>4</v>
      </c>
      <c r="E537" t="str">
        <f t="shared" si="24"/>
        <v xml:space="preserve"> ONTIME</v>
      </c>
      <c r="F537">
        <f>VLOOKUP($A537,ordered_items!$B$2:$E$4784,2,0)</f>
        <v>403</v>
      </c>
      <c r="G537">
        <f>VLOOKUP($A537,ordered_items!$B$2:$E$4784,3,0)</f>
        <v>1</v>
      </c>
      <c r="H537">
        <f>VLOOKUP($A537,ordered_items!$B$2:$E$4784,4,0)</f>
        <v>129.99</v>
      </c>
      <c r="I537" s="15">
        <f>VLOOKUP(F537,product_info!$A$2:$D$73,4,0)</f>
        <v>4</v>
      </c>
      <c r="J537" s="15" t="str">
        <f>VLOOKUP(I537,department!$A$2:$B$13,2,0)</f>
        <v>Apparel</v>
      </c>
      <c r="K537">
        <v>2417</v>
      </c>
      <c r="L537" t="s">
        <v>29</v>
      </c>
      <c r="M537" s="4">
        <v>43459</v>
      </c>
      <c r="N537" s="12">
        <f t="shared" si="25"/>
        <v>12</v>
      </c>
      <c r="O537" s="13">
        <f t="shared" si="26"/>
        <v>2018</v>
      </c>
      <c r="P537" t="s">
        <v>13</v>
      </c>
      <c r="Q537" t="s">
        <v>30</v>
      </c>
      <c r="R537" t="s">
        <v>31</v>
      </c>
      <c r="S537" t="str" cm="1">
        <f t="array" ref="S537">_xlfn.IFS(R537="COMPLETE", "COMPLETED", R537="CANCELED", "CANCELED", TRUE, "PENDING")</f>
        <v>COMPLETED</v>
      </c>
      <c r="T537" t="s">
        <v>16</v>
      </c>
      <c r="U537">
        <f>VLOOKUP(A537,ordered_items!$B:$E,4,0)</f>
        <v>129.99</v>
      </c>
    </row>
    <row r="538" spans="1:21" x14ac:dyDescent="0.3">
      <c r="A538">
        <v>24637</v>
      </c>
      <c r="B538" t="s">
        <v>3</v>
      </c>
      <c r="C538">
        <v>3</v>
      </c>
      <c r="D538">
        <v>2</v>
      </c>
      <c r="E538" t="str">
        <f t="shared" si="24"/>
        <v>DELAYED</v>
      </c>
      <c r="F538">
        <f>VLOOKUP($A538,ordered_items!$B$2:$E$4784,2,0)</f>
        <v>403</v>
      </c>
      <c r="G538">
        <f>VLOOKUP($A538,ordered_items!$B$2:$E$4784,3,0)</f>
        <v>1</v>
      </c>
      <c r="H538">
        <f>VLOOKUP($A538,ordered_items!$B$2:$E$4784,4,0)</f>
        <v>129.99</v>
      </c>
      <c r="I538" s="15">
        <f>VLOOKUP(F538,product_info!$A$2:$D$73,4,0)</f>
        <v>4</v>
      </c>
      <c r="J538" s="15" t="str">
        <f>VLOOKUP(I538,department!$A$2:$B$13,2,0)</f>
        <v>Apparel</v>
      </c>
      <c r="K538">
        <v>4369</v>
      </c>
      <c r="L538" t="s">
        <v>29</v>
      </c>
      <c r="M538" s="4">
        <v>43459</v>
      </c>
      <c r="N538" s="12">
        <f t="shared" si="25"/>
        <v>12</v>
      </c>
      <c r="O538" s="13">
        <f t="shared" si="26"/>
        <v>2018</v>
      </c>
      <c r="P538" t="s">
        <v>13</v>
      </c>
      <c r="Q538" t="s">
        <v>30</v>
      </c>
      <c r="R538" t="s">
        <v>178</v>
      </c>
      <c r="S538" t="str" cm="1">
        <f t="array" ref="S538">_xlfn.IFS(R538="COMPLETE", "COMPLETED", R538="CANCELED", "CANCELED", TRUE, "PENDING")</f>
        <v>PENDING</v>
      </c>
      <c r="T538" t="s">
        <v>90</v>
      </c>
      <c r="U538">
        <f>VLOOKUP(A538,ordered_items!$B:$E,4,0)</f>
        <v>129.99</v>
      </c>
    </row>
    <row r="539" spans="1:21" x14ac:dyDescent="0.3">
      <c r="A539">
        <v>24648</v>
      </c>
      <c r="B539" t="s">
        <v>3</v>
      </c>
      <c r="C539">
        <v>4</v>
      </c>
      <c r="D539">
        <v>4</v>
      </c>
      <c r="E539" t="str">
        <f t="shared" si="24"/>
        <v xml:space="preserve"> ONTIME</v>
      </c>
      <c r="F539">
        <f>VLOOKUP($A539,ordered_items!$B$2:$E$4784,2,0)</f>
        <v>502</v>
      </c>
      <c r="G539">
        <f>VLOOKUP($A539,ordered_items!$B$2:$E$4784,3,0)</f>
        <v>3</v>
      </c>
      <c r="H539">
        <f>VLOOKUP($A539,ordered_items!$B$2:$E$4784,4,0)</f>
        <v>150</v>
      </c>
      <c r="I539" s="15">
        <f>VLOOKUP(F539,product_info!$A$2:$D$73,4,0)</f>
        <v>5</v>
      </c>
      <c r="J539" s="15" t="str">
        <f>VLOOKUP(I539,department!$A$2:$B$13,2,0)</f>
        <v>Golf</v>
      </c>
      <c r="K539">
        <v>7602</v>
      </c>
      <c r="L539" t="s">
        <v>12</v>
      </c>
      <c r="M539" s="4">
        <v>43459</v>
      </c>
      <c r="N539" s="12">
        <f t="shared" si="25"/>
        <v>12</v>
      </c>
      <c r="O539" s="13">
        <f t="shared" si="26"/>
        <v>2018</v>
      </c>
      <c r="P539" t="s">
        <v>13</v>
      </c>
      <c r="Q539" t="s">
        <v>5781</v>
      </c>
      <c r="R539" t="s">
        <v>38</v>
      </c>
      <c r="S539" t="str" cm="1">
        <f t="array" ref="S539">_xlfn.IFS(R539="COMPLETE", "COMPLETED", R539="CANCELED", "CANCELED", TRUE, "PENDING")</f>
        <v>PENDING</v>
      </c>
      <c r="T539" t="s">
        <v>16</v>
      </c>
      <c r="U539">
        <f>VLOOKUP(A539,ordered_items!$B:$E,4,0)</f>
        <v>150</v>
      </c>
    </row>
    <row r="540" spans="1:21" x14ac:dyDescent="0.3">
      <c r="A540">
        <v>24650</v>
      </c>
      <c r="B540" t="s">
        <v>3</v>
      </c>
      <c r="C540">
        <v>6</v>
      </c>
      <c r="D540">
        <v>4</v>
      </c>
      <c r="E540" t="str">
        <f t="shared" si="24"/>
        <v>DELAYED</v>
      </c>
      <c r="F540">
        <f>VLOOKUP($A540,ordered_items!$B$2:$E$4784,2,0)</f>
        <v>365</v>
      </c>
      <c r="G540">
        <f>VLOOKUP($A540,ordered_items!$B$2:$E$4784,3,0)</f>
        <v>5</v>
      </c>
      <c r="H540">
        <f>VLOOKUP($A540,ordered_items!$B$2:$E$4784,4,0)</f>
        <v>299.95</v>
      </c>
      <c r="I540" s="15">
        <f>VLOOKUP(F540,product_info!$A$2:$D$73,4,0)</f>
        <v>4</v>
      </c>
      <c r="J540" s="15" t="str">
        <f>VLOOKUP(I540,department!$A$2:$B$13,2,0)</f>
        <v>Apparel</v>
      </c>
      <c r="K540">
        <v>7270</v>
      </c>
      <c r="L540" t="s">
        <v>434</v>
      </c>
      <c r="M540" s="4">
        <v>43459</v>
      </c>
      <c r="N540" s="12">
        <f t="shared" si="25"/>
        <v>12</v>
      </c>
      <c r="O540" s="13">
        <f t="shared" si="26"/>
        <v>2018</v>
      </c>
      <c r="P540" t="s">
        <v>13</v>
      </c>
      <c r="Q540" t="s">
        <v>245</v>
      </c>
      <c r="R540" t="s">
        <v>178</v>
      </c>
      <c r="S540" t="str" cm="1">
        <f t="array" ref="S540">_xlfn.IFS(R540="COMPLETE", "COMPLETED", R540="CANCELED", "CANCELED", TRUE, "PENDING")</f>
        <v>PENDING</v>
      </c>
      <c r="T540" t="s">
        <v>16</v>
      </c>
      <c r="U540">
        <f>VLOOKUP(A540,ordered_items!$B:$E,4,0)</f>
        <v>299.95</v>
      </c>
    </row>
    <row r="541" spans="1:21" x14ac:dyDescent="0.3">
      <c r="A541">
        <v>24651</v>
      </c>
      <c r="B541" t="s">
        <v>24</v>
      </c>
      <c r="C541">
        <v>2</v>
      </c>
      <c r="D541">
        <v>4</v>
      </c>
      <c r="E541" t="str">
        <f t="shared" si="24"/>
        <v xml:space="preserve"> ONTIME</v>
      </c>
      <c r="F541">
        <f>VLOOKUP($A541,ordered_items!$B$2:$E$4784,2,0)</f>
        <v>403</v>
      </c>
      <c r="G541">
        <f>VLOOKUP($A541,ordered_items!$B$2:$E$4784,3,0)</f>
        <v>1</v>
      </c>
      <c r="H541">
        <f>VLOOKUP($A541,ordered_items!$B$2:$E$4784,4,0)</f>
        <v>129.99</v>
      </c>
      <c r="I541" s="15">
        <f>VLOOKUP(F541,product_info!$A$2:$D$73,4,0)</f>
        <v>4</v>
      </c>
      <c r="J541" s="15" t="str">
        <f>VLOOKUP(I541,department!$A$2:$B$13,2,0)</f>
        <v>Apparel</v>
      </c>
      <c r="K541">
        <v>2229</v>
      </c>
      <c r="L541" t="s">
        <v>434</v>
      </c>
      <c r="M541" s="4">
        <v>43459</v>
      </c>
      <c r="N541" s="12">
        <f t="shared" si="25"/>
        <v>12</v>
      </c>
      <c r="O541" s="13">
        <f t="shared" si="26"/>
        <v>2018</v>
      </c>
      <c r="P541" t="s">
        <v>13</v>
      </c>
      <c r="Q541" t="s">
        <v>245</v>
      </c>
      <c r="R541" t="s">
        <v>378</v>
      </c>
      <c r="S541" t="str" cm="1">
        <f t="array" ref="S541">_xlfn.IFS(R541="COMPLETE", "COMPLETED", R541="CANCELED", "CANCELED", TRUE, "PENDING")</f>
        <v>PENDING</v>
      </c>
      <c r="T541" t="s">
        <v>16</v>
      </c>
      <c r="U541">
        <f>VLOOKUP(A541,ordered_items!$B:$E,4,0)</f>
        <v>129.99</v>
      </c>
    </row>
    <row r="542" spans="1:21" x14ac:dyDescent="0.3">
      <c r="A542">
        <v>24652</v>
      </c>
      <c r="B542" t="s">
        <v>24</v>
      </c>
      <c r="C542">
        <v>3</v>
      </c>
      <c r="D542">
        <v>2</v>
      </c>
      <c r="E542" t="str">
        <f t="shared" si="24"/>
        <v>DELAYED</v>
      </c>
      <c r="F542">
        <f>VLOOKUP($A542,ordered_items!$B$2:$E$4784,2,0)</f>
        <v>365</v>
      </c>
      <c r="G542">
        <f>VLOOKUP($A542,ordered_items!$B$2:$E$4784,3,0)</f>
        <v>4</v>
      </c>
      <c r="H542">
        <f>VLOOKUP($A542,ordered_items!$B$2:$E$4784,4,0)</f>
        <v>239.96</v>
      </c>
      <c r="I542" s="15">
        <f>VLOOKUP(F542,product_info!$A$2:$D$73,4,0)</f>
        <v>4</v>
      </c>
      <c r="J542" s="15" t="str">
        <f>VLOOKUP(I542,department!$A$2:$B$13,2,0)</f>
        <v>Apparel</v>
      </c>
      <c r="K542">
        <v>935</v>
      </c>
      <c r="L542" t="s">
        <v>434</v>
      </c>
      <c r="M542" s="4">
        <v>43459</v>
      </c>
      <c r="N542" s="12">
        <f t="shared" si="25"/>
        <v>12</v>
      </c>
      <c r="O542" s="13">
        <f t="shared" si="26"/>
        <v>2018</v>
      </c>
      <c r="P542" t="s">
        <v>13</v>
      </c>
      <c r="Q542" t="s">
        <v>245</v>
      </c>
      <c r="R542" t="s">
        <v>31</v>
      </c>
      <c r="S542" t="str" cm="1">
        <f t="array" ref="S542">_xlfn.IFS(R542="COMPLETE", "COMPLETED", R542="CANCELED", "CANCELED", TRUE, "PENDING")</f>
        <v>COMPLETED</v>
      </c>
      <c r="T542" t="s">
        <v>90</v>
      </c>
      <c r="U542">
        <f>VLOOKUP(A542,ordered_items!$B:$E,4,0)</f>
        <v>239.96</v>
      </c>
    </row>
    <row r="543" spans="1:21" x14ac:dyDescent="0.3">
      <c r="A543">
        <v>24653</v>
      </c>
      <c r="B543" t="s">
        <v>3</v>
      </c>
      <c r="C543">
        <v>4</v>
      </c>
      <c r="D543">
        <v>2</v>
      </c>
      <c r="E543" t="str">
        <f t="shared" si="24"/>
        <v>DELAYED</v>
      </c>
      <c r="F543">
        <f>VLOOKUP($A543,ordered_items!$B$2:$E$4784,2,0)</f>
        <v>1073</v>
      </c>
      <c r="G543">
        <f>VLOOKUP($A543,ordered_items!$B$2:$E$4784,3,0)</f>
        <v>1</v>
      </c>
      <c r="H543">
        <f>VLOOKUP($A543,ordered_items!$B$2:$E$4784,4,0)</f>
        <v>199.99</v>
      </c>
      <c r="I543" s="15">
        <f>VLOOKUP(F543,product_info!$A$2:$D$73,4,0)</f>
        <v>7</v>
      </c>
      <c r="J543" s="15" t="str">
        <f>VLOOKUP(I543,department!$A$2:$B$13,2,0)</f>
        <v>Fan Shop</v>
      </c>
      <c r="K543">
        <v>2703</v>
      </c>
      <c r="L543" t="s">
        <v>465</v>
      </c>
      <c r="M543" s="4">
        <v>43459</v>
      </c>
      <c r="N543" s="12">
        <f t="shared" si="25"/>
        <v>12</v>
      </c>
      <c r="O543" s="13">
        <f t="shared" si="26"/>
        <v>2018</v>
      </c>
      <c r="P543" t="s">
        <v>13</v>
      </c>
      <c r="Q543" t="s">
        <v>99</v>
      </c>
      <c r="R543" t="s">
        <v>178</v>
      </c>
      <c r="S543" t="str" cm="1">
        <f t="array" ref="S543">_xlfn.IFS(R543="COMPLETE", "COMPLETED", R543="CANCELED", "CANCELED", TRUE, "PENDING")</f>
        <v>PENDING</v>
      </c>
      <c r="T543" t="s">
        <v>90</v>
      </c>
      <c r="U543">
        <f>VLOOKUP(A543,ordered_items!$B:$E,4,0)</f>
        <v>199.99</v>
      </c>
    </row>
    <row r="544" spans="1:21" x14ac:dyDescent="0.3">
      <c r="A544">
        <v>24654</v>
      </c>
      <c r="B544" t="s">
        <v>51</v>
      </c>
      <c r="C544">
        <v>5</v>
      </c>
      <c r="D544">
        <v>4</v>
      </c>
      <c r="E544" t="str">
        <f t="shared" si="24"/>
        <v>DELAYED</v>
      </c>
      <c r="F544">
        <f>VLOOKUP($A544,ordered_items!$B$2:$E$4784,2,0)</f>
        <v>1073</v>
      </c>
      <c r="G544">
        <f>VLOOKUP($A544,ordered_items!$B$2:$E$4784,3,0)</f>
        <v>1</v>
      </c>
      <c r="H544">
        <f>VLOOKUP($A544,ordered_items!$B$2:$E$4784,4,0)</f>
        <v>199.99</v>
      </c>
      <c r="I544" s="15">
        <f>VLOOKUP(F544,product_info!$A$2:$D$73,4,0)</f>
        <v>7</v>
      </c>
      <c r="J544" s="15" t="str">
        <f>VLOOKUP(I544,department!$A$2:$B$13,2,0)</f>
        <v>Fan Shop</v>
      </c>
      <c r="K544">
        <v>2620</v>
      </c>
      <c r="L544" t="s">
        <v>465</v>
      </c>
      <c r="M544" s="4">
        <v>43459</v>
      </c>
      <c r="N544" s="12">
        <f t="shared" si="25"/>
        <v>12</v>
      </c>
      <c r="O544" s="13">
        <f t="shared" si="26"/>
        <v>2018</v>
      </c>
      <c r="P544" t="s">
        <v>13</v>
      </c>
      <c r="Q544" t="s">
        <v>99</v>
      </c>
      <c r="R544" t="s">
        <v>57</v>
      </c>
      <c r="S544" t="str" cm="1">
        <f t="array" ref="S544">_xlfn.IFS(R544="COMPLETE", "COMPLETED", R544="CANCELED", "CANCELED", TRUE, "PENDING")</f>
        <v>PENDING</v>
      </c>
      <c r="T544" t="s">
        <v>16</v>
      </c>
      <c r="U544">
        <f>VLOOKUP(A544,ordered_items!$B:$E,4,0)</f>
        <v>199.99</v>
      </c>
    </row>
    <row r="545" spans="1:21" x14ac:dyDescent="0.3">
      <c r="A545">
        <v>24686</v>
      </c>
      <c r="B545" t="s">
        <v>51</v>
      </c>
      <c r="C545">
        <v>2</v>
      </c>
      <c r="D545">
        <v>4</v>
      </c>
      <c r="E545" t="str">
        <f t="shared" si="24"/>
        <v xml:space="preserve"> ONTIME</v>
      </c>
      <c r="F545">
        <f>VLOOKUP($A545,ordered_items!$B$2:$E$4784,2,0)</f>
        <v>191</v>
      </c>
      <c r="G545">
        <f>VLOOKUP($A545,ordered_items!$B$2:$E$4784,3,0)</f>
        <v>2</v>
      </c>
      <c r="H545">
        <f>VLOOKUP($A545,ordered_items!$B$2:$E$4784,4,0)</f>
        <v>199.98</v>
      </c>
      <c r="I545" s="15">
        <f>VLOOKUP(F545,product_info!$A$2:$D$73,4,0)</f>
        <v>3</v>
      </c>
      <c r="J545" s="15" t="str">
        <f>VLOOKUP(I545,department!$A$2:$B$13,2,0)</f>
        <v>Footwear</v>
      </c>
      <c r="K545">
        <v>6871</v>
      </c>
      <c r="L545" t="s">
        <v>881</v>
      </c>
      <c r="M545" s="4">
        <v>43460</v>
      </c>
      <c r="N545" s="12">
        <f t="shared" si="25"/>
        <v>12</v>
      </c>
      <c r="O545" s="13">
        <f t="shared" si="26"/>
        <v>2018</v>
      </c>
      <c r="P545" t="s">
        <v>13</v>
      </c>
      <c r="Q545" t="s">
        <v>99</v>
      </c>
      <c r="R545" t="s">
        <v>57</v>
      </c>
      <c r="S545" t="str" cm="1">
        <f t="array" ref="S545">_xlfn.IFS(R545="COMPLETE", "COMPLETED", R545="CANCELED", "CANCELED", TRUE, "PENDING")</f>
        <v>PENDING</v>
      </c>
      <c r="T545" t="s">
        <v>16</v>
      </c>
      <c r="U545">
        <f>VLOOKUP(A545,ordered_items!$B:$E,4,0)</f>
        <v>199.98</v>
      </c>
    </row>
    <row r="546" spans="1:21" x14ac:dyDescent="0.3">
      <c r="A546">
        <v>24687</v>
      </c>
      <c r="B546" t="s">
        <v>3</v>
      </c>
      <c r="C546">
        <v>3</v>
      </c>
      <c r="D546">
        <v>4</v>
      </c>
      <c r="E546" t="str">
        <f t="shared" si="24"/>
        <v xml:space="preserve"> ONTIME</v>
      </c>
      <c r="F546">
        <f>VLOOKUP($A546,ordered_items!$B$2:$E$4784,2,0)</f>
        <v>365</v>
      </c>
      <c r="G546">
        <f>VLOOKUP($A546,ordered_items!$B$2:$E$4784,3,0)</f>
        <v>2</v>
      </c>
      <c r="H546">
        <f>VLOOKUP($A546,ordered_items!$B$2:$E$4784,4,0)</f>
        <v>119.98</v>
      </c>
      <c r="I546" s="15">
        <f>VLOOKUP(F546,product_info!$A$2:$D$73,4,0)</f>
        <v>4</v>
      </c>
      <c r="J546" s="15" t="str">
        <f>VLOOKUP(I546,department!$A$2:$B$13,2,0)</f>
        <v>Apparel</v>
      </c>
      <c r="K546">
        <v>8821</v>
      </c>
      <c r="L546" t="s">
        <v>881</v>
      </c>
      <c r="M546" s="4">
        <v>43460</v>
      </c>
      <c r="N546" s="12">
        <f t="shared" si="25"/>
        <v>12</v>
      </c>
      <c r="O546" s="13">
        <f t="shared" si="26"/>
        <v>2018</v>
      </c>
      <c r="P546" t="s">
        <v>13</v>
      </c>
      <c r="Q546" t="s">
        <v>99</v>
      </c>
      <c r="R546" t="s">
        <v>178</v>
      </c>
      <c r="S546" t="str" cm="1">
        <f t="array" ref="S546">_xlfn.IFS(R546="COMPLETE", "COMPLETED", R546="CANCELED", "CANCELED", TRUE, "PENDING")</f>
        <v>PENDING</v>
      </c>
      <c r="T546" t="s">
        <v>16</v>
      </c>
      <c r="U546">
        <f>VLOOKUP(A546,ordered_items!$B:$E,4,0)</f>
        <v>119.98</v>
      </c>
    </row>
    <row r="547" spans="1:21" x14ac:dyDescent="0.3">
      <c r="A547">
        <v>24726</v>
      </c>
      <c r="B547" t="s">
        <v>51</v>
      </c>
      <c r="C547">
        <v>2</v>
      </c>
      <c r="D547">
        <v>4</v>
      </c>
      <c r="E547" t="str">
        <f t="shared" si="24"/>
        <v xml:space="preserve"> ONTIME</v>
      </c>
      <c r="F547">
        <f>VLOOKUP($A547,ordered_items!$B$2:$E$4784,2,0)</f>
        <v>1014</v>
      </c>
      <c r="G547">
        <f>VLOOKUP($A547,ordered_items!$B$2:$E$4784,3,0)</f>
        <v>3</v>
      </c>
      <c r="H547">
        <f>VLOOKUP($A547,ordered_items!$B$2:$E$4784,4,0)</f>
        <v>149.94</v>
      </c>
      <c r="I547" s="15">
        <f>VLOOKUP(F547,product_info!$A$2:$D$73,4,0)</f>
        <v>7</v>
      </c>
      <c r="J547" s="15" t="str">
        <f>VLOOKUP(I547,department!$A$2:$B$13,2,0)</f>
        <v>Fan Shop</v>
      </c>
      <c r="K547">
        <v>5179</v>
      </c>
      <c r="L547" t="s">
        <v>1530</v>
      </c>
      <c r="M547" s="4">
        <v>43460</v>
      </c>
      <c r="N547" s="12">
        <f t="shared" si="25"/>
        <v>12</v>
      </c>
      <c r="O547" s="13">
        <f t="shared" si="26"/>
        <v>2018</v>
      </c>
      <c r="P547" t="s">
        <v>13</v>
      </c>
      <c r="Q547" t="s">
        <v>99</v>
      </c>
      <c r="R547" t="s">
        <v>57</v>
      </c>
      <c r="S547" t="str" cm="1">
        <f t="array" ref="S547">_xlfn.IFS(R547="COMPLETE", "COMPLETED", R547="CANCELED", "CANCELED", TRUE, "PENDING")</f>
        <v>PENDING</v>
      </c>
      <c r="T547" t="s">
        <v>16</v>
      </c>
      <c r="U547">
        <f>VLOOKUP(A547,ordered_items!$B:$E,4,0)</f>
        <v>149.94</v>
      </c>
    </row>
    <row r="548" spans="1:21" x14ac:dyDescent="0.3">
      <c r="A548">
        <v>24727</v>
      </c>
      <c r="B548" t="s">
        <v>17</v>
      </c>
      <c r="C548">
        <v>3</v>
      </c>
      <c r="D548">
        <v>2</v>
      </c>
      <c r="E548" t="str">
        <f t="shared" si="24"/>
        <v>DELAYED</v>
      </c>
      <c r="F548">
        <f>VLOOKUP($A548,ordered_items!$B$2:$E$4784,2,0)</f>
        <v>1014</v>
      </c>
      <c r="G548">
        <f>VLOOKUP($A548,ordered_items!$B$2:$E$4784,3,0)</f>
        <v>5</v>
      </c>
      <c r="H548">
        <f>VLOOKUP($A548,ordered_items!$B$2:$E$4784,4,0)</f>
        <v>249.9</v>
      </c>
      <c r="I548" s="15">
        <f>VLOOKUP(F548,product_info!$A$2:$D$73,4,0)</f>
        <v>7</v>
      </c>
      <c r="J548" s="15" t="str">
        <f>VLOOKUP(I548,department!$A$2:$B$13,2,0)</f>
        <v>Fan Shop</v>
      </c>
      <c r="K548">
        <v>5644</v>
      </c>
      <c r="L548" t="s">
        <v>1530</v>
      </c>
      <c r="M548" s="4">
        <v>43460</v>
      </c>
      <c r="N548" s="12">
        <f t="shared" si="25"/>
        <v>12</v>
      </c>
      <c r="O548" s="13">
        <f t="shared" si="26"/>
        <v>2018</v>
      </c>
      <c r="P548" t="s">
        <v>13</v>
      </c>
      <c r="Q548" t="s">
        <v>99</v>
      </c>
      <c r="R548" t="s">
        <v>23</v>
      </c>
      <c r="S548" t="str" cm="1">
        <f t="array" ref="S548">_xlfn.IFS(R548="COMPLETE", "COMPLETED", R548="CANCELED", "CANCELED", TRUE, "PENDING")</f>
        <v>PENDING</v>
      </c>
      <c r="T548" t="s">
        <v>90</v>
      </c>
      <c r="U548">
        <f>VLOOKUP(A548,ordered_items!$B:$E,4,0)</f>
        <v>249.9</v>
      </c>
    </row>
    <row r="549" spans="1:21" x14ac:dyDescent="0.3">
      <c r="A549">
        <v>24728</v>
      </c>
      <c r="B549" t="s">
        <v>51</v>
      </c>
      <c r="C549">
        <v>4</v>
      </c>
      <c r="D549">
        <v>4</v>
      </c>
      <c r="E549" t="str">
        <f t="shared" si="24"/>
        <v xml:space="preserve"> ONTIME</v>
      </c>
      <c r="F549">
        <f>VLOOKUP($A549,ordered_items!$B$2:$E$4784,2,0)</f>
        <v>957</v>
      </c>
      <c r="G549">
        <f>VLOOKUP($A549,ordered_items!$B$2:$E$4784,3,0)</f>
        <v>1</v>
      </c>
      <c r="H549">
        <f>VLOOKUP($A549,ordered_items!$B$2:$E$4784,4,0)</f>
        <v>299.98</v>
      </c>
      <c r="I549" s="15">
        <f>VLOOKUP(F549,product_info!$A$2:$D$73,4,0)</f>
        <v>7</v>
      </c>
      <c r="J549" s="15" t="str">
        <f>VLOOKUP(I549,department!$A$2:$B$13,2,0)</f>
        <v>Fan Shop</v>
      </c>
      <c r="K549">
        <v>12233</v>
      </c>
      <c r="L549" t="s">
        <v>1530</v>
      </c>
      <c r="M549" s="4">
        <v>43460</v>
      </c>
      <c r="N549" s="12">
        <f t="shared" si="25"/>
        <v>12</v>
      </c>
      <c r="O549" s="13">
        <f t="shared" si="26"/>
        <v>2018</v>
      </c>
      <c r="P549" t="s">
        <v>13</v>
      </c>
      <c r="Q549" t="s">
        <v>99</v>
      </c>
      <c r="R549" t="s">
        <v>57</v>
      </c>
      <c r="S549" t="str" cm="1">
        <f t="array" ref="S549">_xlfn.IFS(R549="COMPLETE", "COMPLETED", R549="CANCELED", "CANCELED", TRUE, "PENDING")</f>
        <v>PENDING</v>
      </c>
      <c r="T549" t="s">
        <v>16</v>
      </c>
      <c r="U549">
        <f>VLOOKUP(A549,ordered_items!$B:$E,4,0)</f>
        <v>299.98</v>
      </c>
    </row>
    <row r="550" spans="1:21" x14ac:dyDescent="0.3">
      <c r="A550">
        <v>24754</v>
      </c>
      <c r="B550" t="s">
        <v>17</v>
      </c>
      <c r="C550">
        <v>0</v>
      </c>
      <c r="D550">
        <v>0</v>
      </c>
      <c r="E550" t="str">
        <f t="shared" si="24"/>
        <v xml:space="preserve"> ONTIME</v>
      </c>
      <c r="F550">
        <f>VLOOKUP($A550,ordered_items!$B$2:$E$4784,2,0)</f>
        <v>502</v>
      </c>
      <c r="G550">
        <f>VLOOKUP($A550,ordered_items!$B$2:$E$4784,3,0)</f>
        <v>3</v>
      </c>
      <c r="H550">
        <f>VLOOKUP($A550,ordered_items!$B$2:$E$4784,4,0)</f>
        <v>150</v>
      </c>
      <c r="I550" s="15">
        <f>VLOOKUP(F550,product_info!$A$2:$D$73,4,0)</f>
        <v>5</v>
      </c>
      <c r="J550" s="15" t="str">
        <f>VLOOKUP(I550,department!$A$2:$B$13,2,0)</f>
        <v>Golf</v>
      </c>
      <c r="K550">
        <v>8750</v>
      </c>
      <c r="L550" t="s">
        <v>304</v>
      </c>
      <c r="M550" s="4">
        <v>43461</v>
      </c>
      <c r="N550" s="12">
        <f t="shared" si="25"/>
        <v>12</v>
      </c>
      <c r="O550" s="13">
        <f t="shared" si="26"/>
        <v>2018</v>
      </c>
      <c r="P550" t="s">
        <v>13</v>
      </c>
      <c r="Q550" t="s">
        <v>30</v>
      </c>
      <c r="R550" t="s">
        <v>23</v>
      </c>
      <c r="S550" t="str" cm="1">
        <f t="array" ref="S550">_xlfn.IFS(R550="COMPLETE", "COMPLETED", R550="CANCELED", "CANCELED", TRUE, "PENDING")</f>
        <v>PENDING</v>
      </c>
      <c r="T550" t="s">
        <v>58</v>
      </c>
      <c r="U550">
        <f>VLOOKUP(A550,ordered_items!$B:$E,4,0)</f>
        <v>150</v>
      </c>
    </row>
    <row r="551" spans="1:21" x14ac:dyDescent="0.3">
      <c r="A551">
        <v>24755</v>
      </c>
      <c r="B551" t="s">
        <v>24</v>
      </c>
      <c r="C551">
        <v>0</v>
      </c>
      <c r="D551">
        <v>0</v>
      </c>
      <c r="E551" t="str">
        <f t="shared" si="24"/>
        <v xml:space="preserve"> ONTIME</v>
      </c>
      <c r="F551">
        <f>VLOOKUP($A551,ordered_items!$B$2:$E$4784,2,0)</f>
        <v>135</v>
      </c>
      <c r="G551">
        <f>VLOOKUP($A551,ordered_items!$B$2:$E$4784,3,0)</f>
        <v>3</v>
      </c>
      <c r="H551">
        <f>VLOOKUP($A551,ordered_items!$B$2:$E$4784,4,0)</f>
        <v>66</v>
      </c>
      <c r="I551" s="15">
        <f>VLOOKUP(F551,product_info!$A$2:$D$73,4,0)</f>
        <v>2</v>
      </c>
      <c r="J551" s="15" t="str">
        <f>VLOOKUP(I551,department!$A$2:$B$13,2,0)</f>
        <v>Fitness</v>
      </c>
      <c r="K551">
        <v>4012</v>
      </c>
      <c r="L551" t="s">
        <v>304</v>
      </c>
      <c r="M551" s="4">
        <v>43461</v>
      </c>
      <c r="N551" s="12">
        <f t="shared" si="25"/>
        <v>12</v>
      </c>
      <c r="O551" s="13">
        <f t="shared" si="26"/>
        <v>2018</v>
      </c>
      <c r="P551" t="s">
        <v>13</v>
      </c>
      <c r="Q551" t="s">
        <v>30</v>
      </c>
      <c r="R551" t="s">
        <v>31</v>
      </c>
      <c r="S551" t="str" cm="1">
        <f t="array" ref="S551">_xlfn.IFS(R551="COMPLETE", "COMPLETED", R551="CANCELED", "CANCELED", TRUE, "PENDING")</f>
        <v>COMPLETED</v>
      </c>
      <c r="T551" t="s">
        <v>58</v>
      </c>
      <c r="U551">
        <f>VLOOKUP(A551,ordered_items!$B:$E,4,0)</f>
        <v>66</v>
      </c>
    </row>
    <row r="552" spans="1:21" x14ac:dyDescent="0.3">
      <c r="A552">
        <v>24756</v>
      </c>
      <c r="B552" t="s">
        <v>24</v>
      </c>
      <c r="C552">
        <v>0</v>
      </c>
      <c r="D552">
        <v>0</v>
      </c>
      <c r="E552" t="str">
        <f t="shared" si="24"/>
        <v xml:space="preserve"> ONTIME</v>
      </c>
      <c r="F552">
        <f>VLOOKUP($A552,ordered_items!$B$2:$E$4784,2,0)</f>
        <v>1014</v>
      </c>
      <c r="G552">
        <f>VLOOKUP($A552,ordered_items!$B$2:$E$4784,3,0)</f>
        <v>1</v>
      </c>
      <c r="H552">
        <f>VLOOKUP($A552,ordered_items!$B$2:$E$4784,4,0)</f>
        <v>49.98</v>
      </c>
      <c r="I552" s="15">
        <f>VLOOKUP(F552,product_info!$A$2:$D$73,4,0)</f>
        <v>7</v>
      </c>
      <c r="J552" s="15" t="str">
        <f>VLOOKUP(I552,department!$A$2:$B$13,2,0)</f>
        <v>Fan Shop</v>
      </c>
      <c r="K552">
        <v>10137</v>
      </c>
      <c r="L552" t="s">
        <v>304</v>
      </c>
      <c r="M552" s="4">
        <v>43461</v>
      </c>
      <c r="N552" s="12">
        <f t="shared" si="25"/>
        <v>12</v>
      </c>
      <c r="O552" s="13">
        <f t="shared" si="26"/>
        <v>2018</v>
      </c>
      <c r="P552" t="s">
        <v>13</v>
      </c>
      <c r="Q552" t="s">
        <v>30</v>
      </c>
      <c r="R552" t="s">
        <v>31</v>
      </c>
      <c r="S552" t="str" cm="1">
        <f t="array" ref="S552">_xlfn.IFS(R552="COMPLETE", "COMPLETED", R552="CANCELED", "CANCELED", TRUE, "PENDING")</f>
        <v>COMPLETED</v>
      </c>
      <c r="T552" t="s">
        <v>58</v>
      </c>
      <c r="U552">
        <f>VLOOKUP(A552,ordered_items!$B:$E,4,0)</f>
        <v>49.98</v>
      </c>
    </row>
    <row r="553" spans="1:21" x14ac:dyDescent="0.3">
      <c r="A553">
        <v>24757</v>
      </c>
      <c r="B553" t="s">
        <v>51</v>
      </c>
      <c r="C553">
        <v>3</v>
      </c>
      <c r="D553">
        <v>2</v>
      </c>
      <c r="E553" t="str">
        <f t="shared" si="24"/>
        <v>DELAYED</v>
      </c>
      <c r="F553">
        <f>VLOOKUP($A553,ordered_items!$B$2:$E$4784,2,0)</f>
        <v>502</v>
      </c>
      <c r="G553">
        <f>VLOOKUP($A553,ordered_items!$B$2:$E$4784,3,0)</f>
        <v>2</v>
      </c>
      <c r="H553">
        <f>VLOOKUP($A553,ordered_items!$B$2:$E$4784,4,0)</f>
        <v>100</v>
      </c>
      <c r="I553" s="15">
        <f>VLOOKUP(F553,product_info!$A$2:$D$73,4,0)</f>
        <v>5</v>
      </c>
      <c r="J553" s="15" t="str">
        <f>VLOOKUP(I553,department!$A$2:$B$13,2,0)</f>
        <v>Golf</v>
      </c>
      <c r="K553">
        <v>6471</v>
      </c>
      <c r="L553" t="s">
        <v>304</v>
      </c>
      <c r="M553" s="4">
        <v>43461</v>
      </c>
      <c r="N553" s="12">
        <f t="shared" si="25"/>
        <v>12</v>
      </c>
      <c r="O553" s="13">
        <f t="shared" si="26"/>
        <v>2018</v>
      </c>
      <c r="P553" t="s">
        <v>13</v>
      </c>
      <c r="Q553" t="s">
        <v>30</v>
      </c>
      <c r="R553" t="s">
        <v>57</v>
      </c>
      <c r="S553" t="str" cm="1">
        <f t="array" ref="S553">_xlfn.IFS(R553="COMPLETE", "COMPLETED", R553="CANCELED", "CANCELED", TRUE, "PENDING")</f>
        <v>PENDING</v>
      </c>
      <c r="T553" t="s">
        <v>90</v>
      </c>
      <c r="U553">
        <f>VLOOKUP(A553,ordered_items!$B:$E,4,0)</f>
        <v>100</v>
      </c>
    </row>
    <row r="554" spans="1:21" x14ac:dyDescent="0.3">
      <c r="A554">
        <v>24789</v>
      </c>
      <c r="B554" t="s">
        <v>24</v>
      </c>
      <c r="C554">
        <v>2</v>
      </c>
      <c r="D554">
        <v>1</v>
      </c>
      <c r="E554" t="str">
        <f t="shared" si="24"/>
        <v>DELAYED</v>
      </c>
      <c r="F554">
        <f>VLOOKUP($A554,ordered_items!$B$2:$E$4784,2,0)</f>
        <v>1004</v>
      </c>
      <c r="G554">
        <f>VLOOKUP($A554,ordered_items!$B$2:$E$4784,3,0)</f>
        <v>1</v>
      </c>
      <c r="H554">
        <f>VLOOKUP($A554,ordered_items!$B$2:$E$4784,4,0)</f>
        <v>399.98</v>
      </c>
      <c r="I554" s="15">
        <f>VLOOKUP(F554,product_info!$A$2:$D$73,4,0)</f>
        <v>7</v>
      </c>
      <c r="J554" s="15" t="str">
        <f>VLOOKUP(I554,department!$A$2:$B$13,2,0)</f>
        <v>Fan Shop</v>
      </c>
      <c r="K554">
        <v>9377</v>
      </c>
      <c r="L554" t="s">
        <v>439</v>
      </c>
      <c r="M554" s="4">
        <v>43461</v>
      </c>
      <c r="N554" s="12">
        <f t="shared" si="25"/>
        <v>12</v>
      </c>
      <c r="O554" s="13">
        <f t="shared" si="26"/>
        <v>2018</v>
      </c>
      <c r="P554" t="s">
        <v>13</v>
      </c>
      <c r="Q554" t="s">
        <v>377</v>
      </c>
      <c r="R554" t="s">
        <v>31</v>
      </c>
      <c r="S554" t="str" cm="1">
        <f t="array" ref="S554">_xlfn.IFS(R554="COMPLETE", "COMPLETED", R554="CANCELED", "CANCELED", TRUE, "PENDING")</f>
        <v>COMPLETED</v>
      </c>
      <c r="T554" t="s">
        <v>32</v>
      </c>
      <c r="U554">
        <f>VLOOKUP(A554,ordered_items!$B:$E,4,0)</f>
        <v>399.98</v>
      </c>
    </row>
    <row r="555" spans="1:21" x14ac:dyDescent="0.3">
      <c r="A555">
        <v>24811</v>
      </c>
      <c r="B555" t="s">
        <v>51</v>
      </c>
      <c r="C555">
        <v>2</v>
      </c>
      <c r="D555">
        <v>4</v>
      </c>
      <c r="E555" t="str">
        <f t="shared" si="24"/>
        <v xml:space="preserve"> ONTIME</v>
      </c>
      <c r="F555">
        <f>VLOOKUP($A555,ordered_items!$B$2:$E$4784,2,0)</f>
        <v>403</v>
      </c>
      <c r="G555">
        <f>VLOOKUP($A555,ordered_items!$B$2:$E$4784,3,0)</f>
        <v>1</v>
      </c>
      <c r="H555">
        <f>VLOOKUP($A555,ordered_items!$B$2:$E$4784,4,0)</f>
        <v>129.99</v>
      </c>
      <c r="I555" s="15">
        <f>VLOOKUP(F555,product_info!$A$2:$D$73,4,0)</f>
        <v>4</v>
      </c>
      <c r="J555" s="15" t="str">
        <f>VLOOKUP(I555,department!$A$2:$B$13,2,0)</f>
        <v>Apparel</v>
      </c>
      <c r="K555">
        <v>12207</v>
      </c>
      <c r="L555" t="s">
        <v>258</v>
      </c>
      <c r="M555" s="4">
        <v>43462</v>
      </c>
      <c r="N555" s="12">
        <f t="shared" si="25"/>
        <v>12</v>
      </c>
      <c r="O555" s="13">
        <f t="shared" si="26"/>
        <v>2018</v>
      </c>
      <c r="P555" t="s">
        <v>13</v>
      </c>
      <c r="Q555" t="s">
        <v>30</v>
      </c>
      <c r="R555" t="s">
        <v>57</v>
      </c>
      <c r="S555" t="str" cm="1">
        <f t="array" ref="S555">_xlfn.IFS(R555="COMPLETE", "COMPLETED", R555="CANCELED", "CANCELED", TRUE, "PENDING")</f>
        <v>PENDING</v>
      </c>
      <c r="T555" t="s">
        <v>16</v>
      </c>
      <c r="U555">
        <f>VLOOKUP(A555,ordered_items!$B:$E,4,0)</f>
        <v>129.99</v>
      </c>
    </row>
    <row r="556" spans="1:21" x14ac:dyDescent="0.3">
      <c r="A556">
        <v>24815</v>
      </c>
      <c r="B556" t="s">
        <v>17</v>
      </c>
      <c r="C556">
        <v>6</v>
      </c>
      <c r="D556">
        <v>4</v>
      </c>
      <c r="E556" t="str">
        <f t="shared" si="24"/>
        <v>DELAYED</v>
      </c>
      <c r="F556">
        <f>VLOOKUP($A556,ordered_items!$B$2:$E$4784,2,0)</f>
        <v>191</v>
      </c>
      <c r="G556">
        <f>VLOOKUP($A556,ordered_items!$B$2:$E$4784,3,0)</f>
        <v>4</v>
      </c>
      <c r="H556">
        <f>VLOOKUP($A556,ordered_items!$B$2:$E$4784,4,0)</f>
        <v>399.96</v>
      </c>
      <c r="I556" s="15">
        <f>VLOOKUP(F556,product_info!$A$2:$D$73,4,0)</f>
        <v>3</v>
      </c>
      <c r="J556" s="15" t="str">
        <f>VLOOKUP(I556,department!$A$2:$B$13,2,0)</f>
        <v>Footwear</v>
      </c>
      <c r="K556">
        <v>1553</v>
      </c>
      <c r="L556" t="s">
        <v>70</v>
      </c>
      <c r="M556" s="4">
        <v>43462</v>
      </c>
      <c r="N556" s="12">
        <f t="shared" si="25"/>
        <v>12</v>
      </c>
      <c r="O556" s="13">
        <f t="shared" si="26"/>
        <v>2018</v>
      </c>
      <c r="P556" t="s">
        <v>13</v>
      </c>
      <c r="Q556" t="s">
        <v>70</v>
      </c>
      <c r="R556" t="s">
        <v>23</v>
      </c>
      <c r="S556" t="str" cm="1">
        <f t="array" ref="S556">_xlfn.IFS(R556="COMPLETE", "COMPLETED", R556="CANCELED", "CANCELED", TRUE, "PENDING")</f>
        <v>PENDING</v>
      </c>
      <c r="T556" t="s">
        <v>16</v>
      </c>
      <c r="U556">
        <f>VLOOKUP(A556,ordered_items!$B:$E,4,0)</f>
        <v>399.96</v>
      </c>
    </row>
    <row r="557" spans="1:21" x14ac:dyDescent="0.3">
      <c r="A557">
        <v>24827</v>
      </c>
      <c r="B557" t="s">
        <v>51</v>
      </c>
      <c r="C557">
        <v>3</v>
      </c>
      <c r="D557">
        <v>4</v>
      </c>
      <c r="E557" t="str">
        <f t="shared" si="24"/>
        <v xml:space="preserve"> ONTIME</v>
      </c>
      <c r="F557">
        <f>VLOOKUP($A557,ordered_items!$B$2:$E$4784,2,0)</f>
        <v>365</v>
      </c>
      <c r="G557">
        <f>VLOOKUP($A557,ordered_items!$B$2:$E$4784,3,0)</f>
        <v>1</v>
      </c>
      <c r="H557">
        <f>VLOOKUP($A557,ordered_items!$B$2:$E$4784,4,0)</f>
        <v>59.99</v>
      </c>
      <c r="I557" s="15">
        <f>VLOOKUP(F557,product_info!$A$2:$D$73,4,0)</f>
        <v>4</v>
      </c>
      <c r="J557" s="15" t="str">
        <f>VLOOKUP(I557,department!$A$2:$B$13,2,0)</f>
        <v>Apparel</v>
      </c>
      <c r="K557">
        <v>1715</v>
      </c>
      <c r="L557" t="s">
        <v>146</v>
      </c>
      <c r="M557" s="4">
        <v>43462</v>
      </c>
      <c r="N557" s="12">
        <f t="shared" si="25"/>
        <v>12</v>
      </c>
      <c r="O557" s="13">
        <f t="shared" si="26"/>
        <v>2018</v>
      </c>
      <c r="P557" t="s">
        <v>13</v>
      </c>
      <c r="Q557" t="s">
        <v>30</v>
      </c>
      <c r="R557" t="s">
        <v>57</v>
      </c>
      <c r="S557" t="str" cm="1">
        <f t="array" ref="S557">_xlfn.IFS(R557="COMPLETE", "COMPLETED", R557="CANCELED", "CANCELED", TRUE, "PENDING")</f>
        <v>PENDING</v>
      </c>
      <c r="T557" t="s">
        <v>16</v>
      </c>
      <c r="U557">
        <f>VLOOKUP(A557,ordered_items!$B:$E,4,0)</f>
        <v>59.99</v>
      </c>
    </row>
    <row r="558" spans="1:21" x14ac:dyDescent="0.3">
      <c r="A558">
        <v>24852</v>
      </c>
      <c r="B558" t="s">
        <v>24</v>
      </c>
      <c r="C558">
        <v>3</v>
      </c>
      <c r="D558">
        <v>4</v>
      </c>
      <c r="E558" t="str">
        <f t="shared" si="24"/>
        <v xml:space="preserve"> ONTIME</v>
      </c>
      <c r="F558">
        <f>VLOOKUP($A558,ordered_items!$B$2:$E$4784,2,0)</f>
        <v>728</v>
      </c>
      <c r="G558">
        <f>VLOOKUP($A558,ordered_items!$B$2:$E$4784,3,0)</f>
        <v>4</v>
      </c>
      <c r="H558">
        <f>VLOOKUP($A558,ordered_items!$B$2:$E$4784,4,0)</f>
        <v>260</v>
      </c>
      <c r="I558" s="15">
        <f>VLOOKUP(F558,product_info!$A$2:$D$73,4,0)</f>
        <v>6</v>
      </c>
      <c r="J558" s="15" t="str">
        <f>VLOOKUP(I558,department!$A$2:$B$13,2,0)</f>
        <v>Outdoors</v>
      </c>
      <c r="K558">
        <v>8563</v>
      </c>
      <c r="L558" t="s">
        <v>285</v>
      </c>
      <c r="M558" s="4">
        <v>43462</v>
      </c>
      <c r="N558" s="12">
        <f t="shared" si="25"/>
        <v>12</v>
      </c>
      <c r="O558" s="13">
        <f t="shared" si="26"/>
        <v>2018</v>
      </c>
      <c r="P558" t="s">
        <v>13</v>
      </c>
      <c r="Q558" t="s">
        <v>286</v>
      </c>
      <c r="R558" t="s">
        <v>31</v>
      </c>
      <c r="S558" t="str" cm="1">
        <f t="array" ref="S558">_xlfn.IFS(R558="COMPLETE", "COMPLETED", R558="CANCELED", "CANCELED", TRUE, "PENDING")</f>
        <v>COMPLETED</v>
      </c>
      <c r="T558" t="s">
        <v>16</v>
      </c>
      <c r="U558">
        <f>VLOOKUP(A558,ordered_items!$B:$E,4,0)</f>
        <v>260</v>
      </c>
    </row>
    <row r="559" spans="1:21" x14ac:dyDescent="0.3">
      <c r="A559">
        <v>24853</v>
      </c>
      <c r="B559" t="s">
        <v>3</v>
      </c>
      <c r="C559">
        <v>4</v>
      </c>
      <c r="D559">
        <v>4</v>
      </c>
      <c r="E559" t="str">
        <f t="shared" si="24"/>
        <v xml:space="preserve"> ONTIME</v>
      </c>
      <c r="F559">
        <f>VLOOKUP($A559,ordered_items!$B$2:$E$4784,2,0)</f>
        <v>191</v>
      </c>
      <c r="G559">
        <f>VLOOKUP($A559,ordered_items!$B$2:$E$4784,3,0)</f>
        <v>2</v>
      </c>
      <c r="H559">
        <f>VLOOKUP($A559,ordered_items!$B$2:$E$4784,4,0)</f>
        <v>199.98</v>
      </c>
      <c r="I559" s="15">
        <f>VLOOKUP(F559,product_info!$A$2:$D$73,4,0)</f>
        <v>3</v>
      </c>
      <c r="J559" s="15" t="str">
        <f>VLOOKUP(I559,department!$A$2:$B$13,2,0)</f>
        <v>Footwear</v>
      </c>
      <c r="K559">
        <v>4029</v>
      </c>
      <c r="L559" t="s">
        <v>285</v>
      </c>
      <c r="M559" s="4">
        <v>43462</v>
      </c>
      <c r="N559" s="12">
        <f t="shared" si="25"/>
        <v>12</v>
      </c>
      <c r="O559" s="13">
        <f t="shared" si="26"/>
        <v>2018</v>
      </c>
      <c r="P559" t="s">
        <v>13</v>
      </c>
      <c r="Q559" t="s">
        <v>286</v>
      </c>
      <c r="R559" t="s">
        <v>14</v>
      </c>
      <c r="S559" t="str" cm="1">
        <f t="array" ref="S559">_xlfn.IFS(R559="COMPLETE", "COMPLETED", R559="CANCELED", "CANCELED", TRUE, "PENDING")</f>
        <v>PENDING</v>
      </c>
      <c r="T559" t="s">
        <v>16</v>
      </c>
      <c r="U559">
        <f>VLOOKUP(A559,ordered_items!$B:$E,4,0)</f>
        <v>199.98</v>
      </c>
    </row>
    <row r="560" spans="1:21" x14ac:dyDescent="0.3">
      <c r="A560">
        <v>24872</v>
      </c>
      <c r="B560" t="s">
        <v>24</v>
      </c>
      <c r="C560">
        <v>3</v>
      </c>
      <c r="D560">
        <v>2</v>
      </c>
      <c r="E560" t="str">
        <f t="shared" si="24"/>
        <v>DELAYED</v>
      </c>
      <c r="F560">
        <f>VLOOKUP($A560,ordered_items!$B$2:$E$4784,2,0)</f>
        <v>502</v>
      </c>
      <c r="G560">
        <f>VLOOKUP($A560,ordered_items!$B$2:$E$4784,3,0)</f>
        <v>1</v>
      </c>
      <c r="H560">
        <f>VLOOKUP($A560,ordered_items!$B$2:$E$4784,4,0)</f>
        <v>50</v>
      </c>
      <c r="I560" s="15">
        <f>VLOOKUP(F560,product_info!$A$2:$D$73,4,0)</f>
        <v>5</v>
      </c>
      <c r="J560" s="15" t="str">
        <f>VLOOKUP(I560,department!$A$2:$B$13,2,0)</f>
        <v>Golf</v>
      </c>
      <c r="K560">
        <v>5355</v>
      </c>
      <c r="L560" t="s">
        <v>439</v>
      </c>
      <c r="M560" s="4">
        <v>43463</v>
      </c>
      <c r="N560" s="12">
        <f t="shared" si="25"/>
        <v>12</v>
      </c>
      <c r="O560" s="13">
        <f t="shared" si="26"/>
        <v>2018</v>
      </c>
      <c r="P560" t="s">
        <v>13</v>
      </c>
      <c r="Q560" t="s">
        <v>377</v>
      </c>
      <c r="R560" t="s">
        <v>31</v>
      </c>
      <c r="S560" t="str" cm="1">
        <f t="array" ref="S560">_xlfn.IFS(R560="COMPLETE", "COMPLETED", R560="CANCELED", "CANCELED", TRUE, "PENDING")</f>
        <v>COMPLETED</v>
      </c>
      <c r="T560" t="s">
        <v>90</v>
      </c>
      <c r="U560">
        <f>VLOOKUP(A560,ordered_items!$B:$E,4,0)</f>
        <v>50</v>
      </c>
    </row>
    <row r="561" spans="1:21" x14ac:dyDescent="0.3">
      <c r="A561">
        <v>24873</v>
      </c>
      <c r="B561" t="s">
        <v>17</v>
      </c>
      <c r="C561">
        <v>4</v>
      </c>
      <c r="D561">
        <v>2</v>
      </c>
      <c r="E561" t="str">
        <f t="shared" si="24"/>
        <v>DELAYED</v>
      </c>
      <c r="F561">
        <f>VLOOKUP($A561,ordered_items!$B$2:$E$4784,2,0)</f>
        <v>957</v>
      </c>
      <c r="G561">
        <f>VLOOKUP($A561,ordered_items!$B$2:$E$4784,3,0)</f>
        <v>1</v>
      </c>
      <c r="H561">
        <f>VLOOKUP($A561,ordered_items!$B$2:$E$4784,4,0)</f>
        <v>299.98</v>
      </c>
      <c r="I561" s="15">
        <f>VLOOKUP(F561,product_info!$A$2:$D$73,4,0)</f>
        <v>7</v>
      </c>
      <c r="J561" s="15" t="str">
        <f>VLOOKUP(I561,department!$A$2:$B$13,2,0)</f>
        <v>Fan Shop</v>
      </c>
      <c r="K561">
        <v>1346</v>
      </c>
      <c r="L561" t="s">
        <v>258</v>
      </c>
      <c r="M561" s="4">
        <v>43463</v>
      </c>
      <c r="N561" s="12">
        <f t="shared" si="25"/>
        <v>12</v>
      </c>
      <c r="O561" s="13">
        <f t="shared" si="26"/>
        <v>2018</v>
      </c>
      <c r="P561" t="s">
        <v>13</v>
      </c>
      <c r="Q561" t="s">
        <v>30</v>
      </c>
      <c r="R561" t="s">
        <v>23</v>
      </c>
      <c r="S561" t="str" cm="1">
        <f t="array" ref="S561">_xlfn.IFS(R561="COMPLETE", "COMPLETED", R561="CANCELED", "CANCELED", TRUE, "PENDING")</f>
        <v>PENDING</v>
      </c>
      <c r="T561" t="s">
        <v>90</v>
      </c>
      <c r="U561">
        <f>VLOOKUP(A561,ordered_items!$B:$E,4,0)</f>
        <v>299.98</v>
      </c>
    </row>
    <row r="562" spans="1:21" x14ac:dyDescent="0.3">
      <c r="A562">
        <v>24874</v>
      </c>
      <c r="B562" t="s">
        <v>51</v>
      </c>
      <c r="C562">
        <v>5</v>
      </c>
      <c r="D562">
        <v>4</v>
      </c>
      <c r="E562" t="str">
        <f t="shared" si="24"/>
        <v>DELAYED</v>
      </c>
      <c r="F562">
        <f>VLOOKUP($A562,ordered_items!$B$2:$E$4784,2,0)</f>
        <v>1073</v>
      </c>
      <c r="G562">
        <f>VLOOKUP($A562,ordered_items!$B$2:$E$4784,3,0)</f>
        <v>1</v>
      </c>
      <c r="H562">
        <f>VLOOKUP($A562,ordered_items!$B$2:$E$4784,4,0)</f>
        <v>199.99</v>
      </c>
      <c r="I562" s="15">
        <f>VLOOKUP(F562,product_info!$A$2:$D$73,4,0)</f>
        <v>7</v>
      </c>
      <c r="J562" s="15" t="str">
        <f>VLOOKUP(I562,department!$A$2:$B$13,2,0)</f>
        <v>Fan Shop</v>
      </c>
      <c r="K562">
        <v>11376</v>
      </c>
      <c r="L562" t="s">
        <v>258</v>
      </c>
      <c r="M562" s="4">
        <v>43463</v>
      </c>
      <c r="N562" s="12">
        <f t="shared" si="25"/>
        <v>12</v>
      </c>
      <c r="O562" s="13">
        <f t="shared" si="26"/>
        <v>2018</v>
      </c>
      <c r="P562" t="s">
        <v>13</v>
      </c>
      <c r="Q562" t="s">
        <v>30</v>
      </c>
      <c r="R562" t="s">
        <v>57</v>
      </c>
      <c r="S562" t="str" cm="1">
        <f t="array" ref="S562">_xlfn.IFS(R562="COMPLETE", "COMPLETED", R562="CANCELED", "CANCELED", TRUE, "PENDING")</f>
        <v>PENDING</v>
      </c>
      <c r="T562" t="s">
        <v>16</v>
      </c>
      <c r="U562">
        <f>VLOOKUP(A562,ordered_items!$B:$E,4,0)</f>
        <v>199.99</v>
      </c>
    </row>
    <row r="563" spans="1:21" x14ac:dyDescent="0.3">
      <c r="A563">
        <v>24876</v>
      </c>
      <c r="B563" t="s">
        <v>3</v>
      </c>
      <c r="C563">
        <v>2</v>
      </c>
      <c r="D563">
        <v>4</v>
      </c>
      <c r="E563" t="str">
        <f t="shared" si="24"/>
        <v xml:space="preserve"> ONTIME</v>
      </c>
      <c r="F563">
        <f>VLOOKUP($A563,ordered_items!$B$2:$E$4784,2,0)</f>
        <v>191</v>
      </c>
      <c r="G563">
        <f>VLOOKUP($A563,ordered_items!$B$2:$E$4784,3,0)</f>
        <v>1</v>
      </c>
      <c r="H563">
        <f>VLOOKUP($A563,ordered_items!$B$2:$E$4784,4,0)</f>
        <v>99.99</v>
      </c>
      <c r="I563" s="15">
        <f>VLOOKUP(F563,product_info!$A$2:$D$73,4,0)</f>
        <v>3</v>
      </c>
      <c r="J563" s="15" t="str">
        <f>VLOOKUP(I563,department!$A$2:$B$13,2,0)</f>
        <v>Footwear</v>
      </c>
      <c r="K563">
        <v>8586</v>
      </c>
      <c r="L563" t="s">
        <v>867</v>
      </c>
      <c r="M563" s="4">
        <v>43463</v>
      </c>
      <c r="N563" s="12">
        <f t="shared" si="25"/>
        <v>12</v>
      </c>
      <c r="O563" s="13">
        <f t="shared" si="26"/>
        <v>2018</v>
      </c>
      <c r="P563" t="s">
        <v>13</v>
      </c>
      <c r="Q563" t="s">
        <v>5781</v>
      </c>
      <c r="R563" t="s">
        <v>38</v>
      </c>
      <c r="S563" t="str" cm="1">
        <f t="array" ref="S563">_xlfn.IFS(R563="COMPLETE", "COMPLETED", R563="CANCELED", "CANCELED", TRUE, "PENDING")</f>
        <v>PENDING</v>
      </c>
      <c r="T563" t="s">
        <v>16</v>
      </c>
      <c r="U563">
        <f>VLOOKUP(A563,ordered_items!$B:$E,4,0)</f>
        <v>99.99</v>
      </c>
    </row>
    <row r="564" spans="1:21" x14ac:dyDescent="0.3">
      <c r="A564">
        <v>24877</v>
      </c>
      <c r="B564" t="s">
        <v>24</v>
      </c>
      <c r="C564">
        <v>2</v>
      </c>
      <c r="D564">
        <v>1</v>
      </c>
      <c r="E564" t="str">
        <f t="shared" si="24"/>
        <v>DELAYED</v>
      </c>
      <c r="F564">
        <f>VLOOKUP($A564,ordered_items!$B$2:$E$4784,2,0)</f>
        <v>191</v>
      </c>
      <c r="G564">
        <f>VLOOKUP($A564,ordered_items!$B$2:$E$4784,3,0)</f>
        <v>2</v>
      </c>
      <c r="H564">
        <f>VLOOKUP($A564,ordered_items!$B$2:$E$4784,4,0)</f>
        <v>199.98</v>
      </c>
      <c r="I564" s="15">
        <f>VLOOKUP(F564,product_info!$A$2:$D$73,4,0)</f>
        <v>3</v>
      </c>
      <c r="J564" s="15" t="str">
        <f>VLOOKUP(I564,department!$A$2:$B$13,2,0)</f>
        <v>Footwear</v>
      </c>
      <c r="K564">
        <v>11396</v>
      </c>
      <c r="L564" t="s">
        <v>867</v>
      </c>
      <c r="M564" s="4">
        <v>43463</v>
      </c>
      <c r="N564" s="12">
        <f t="shared" si="25"/>
        <v>12</v>
      </c>
      <c r="O564" s="13">
        <f t="shared" si="26"/>
        <v>2018</v>
      </c>
      <c r="P564" t="s">
        <v>13</v>
      </c>
      <c r="Q564" t="s">
        <v>5781</v>
      </c>
      <c r="R564" t="s">
        <v>31</v>
      </c>
      <c r="S564" t="str" cm="1">
        <f t="array" ref="S564">_xlfn.IFS(R564="COMPLETE", "COMPLETED", R564="CANCELED", "CANCELED", TRUE, "PENDING")</f>
        <v>COMPLETED</v>
      </c>
      <c r="T564" t="s">
        <v>32</v>
      </c>
      <c r="U564">
        <f>VLOOKUP(A564,ordered_items!$B:$E,4,0)</f>
        <v>199.98</v>
      </c>
    </row>
    <row r="565" spans="1:21" x14ac:dyDescent="0.3">
      <c r="A565">
        <v>24914</v>
      </c>
      <c r="B565" t="s">
        <v>3</v>
      </c>
      <c r="C565">
        <v>2</v>
      </c>
      <c r="D565">
        <v>1</v>
      </c>
      <c r="E565" t="str">
        <f t="shared" si="24"/>
        <v>DELAYED</v>
      </c>
      <c r="F565">
        <f>VLOOKUP($A565,ordered_items!$B$2:$E$4784,2,0)</f>
        <v>403</v>
      </c>
      <c r="G565">
        <f>VLOOKUP($A565,ordered_items!$B$2:$E$4784,3,0)</f>
        <v>1</v>
      </c>
      <c r="H565">
        <f>VLOOKUP($A565,ordered_items!$B$2:$E$4784,4,0)</f>
        <v>129.99</v>
      </c>
      <c r="I565" s="15">
        <f>VLOOKUP(F565,product_info!$A$2:$D$73,4,0)</f>
        <v>4</v>
      </c>
      <c r="J565" s="15" t="str">
        <f>VLOOKUP(I565,department!$A$2:$B$13,2,0)</f>
        <v>Apparel</v>
      </c>
      <c r="K565">
        <v>11751</v>
      </c>
      <c r="L565" t="s">
        <v>275</v>
      </c>
      <c r="M565" s="4">
        <v>43463</v>
      </c>
      <c r="N565" s="12">
        <f t="shared" si="25"/>
        <v>12</v>
      </c>
      <c r="O565" s="13">
        <f t="shared" si="26"/>
        <v>2018</v>
      </c>
      <c r="P565" t="s">
        <v>13</v>
      </c>
      <c r="Q565" t="s">
        <v>80</v>
      </c>
      <c r="R565" t="s">
        <v>38</v>
      </c>
      <c r="S565" t="str" cm="1">
        <f t="array" ref="S565">_xlfn.IFS(R565="COMPLETE", "COMPLETED", R565="CANCELED", "CANCELED", TRUE, "PENDING")</f>
        <v>PENDING</v>
      </c>
      <c r="T565" t="s">
        <v>32</v>
      </c>
      <c r="U565">
        <f>VLOOKUP(A565,ordered_items!$B:$E,4,0)</f>
        <v>129.99</v>
      </c>
    </row>
    <row r="566" spans="1:21" x14ac:dyDescent="0.3">
      <c r="A566">
        <v>24935</v>
      </c>
      <c r="B566" t="s">
        <v>24</v>
      </c>
      <c r="C566">
        <v>6</v>
      </c>
      <c r="D566">
        <v>2</v>
      </c>
      <c r="E566" t="str">
        <f t="shared" si="24"/>
        <v>DELAYED</v>
      </c>
      <c r="F566">
        <f>VLOOKUP($A566,ordered_items!$B$2:$E$4784,2,0)</f>
        <v>957</v>
      </c>
      <c r="G566">
        <f>VLOOKUP($A566,ordered_items!$B$2:$E$4784,3,0)</f>
        <v>1</v>
      </c>
      <c r="H566">
        <f>VLOOKUP($A566,ordered_items!$B$2:$E$4784,4,0)</f>
        <v>299.98</v>
      </c>
      <c r="I566" s="15">
        <f>VLOOKUP(F566,product_info!$A$2:$D$73,4,0)</f>
        <v>7</v>
      </c>
      <c r="J566" s="15" t="str">
        <f>VLOOKUP(I566,department!$A$2:$B$13,2,0)</f>
        <v>Fan Shop</v>
      </c>
      <c r="K566">
        <v>9928</v>
      </c>
      <c r="L566" t="s">
        <v>110</v>
      </c>
      <c r="M566" s="4">
        <v>43463</v>
      </c>
      <c r="N566" s="12">
        <f t="shared" si="25"/>
        <v>12</v>
      </c>
      <c r="O566" s="13">
        <f t="shared" si="26"/>
        <v>2018</v>
      </c>
      <c r="P566" t="s">
        <v>13</v>
      </c>
      <c r="Q566" t="s">
        <v>99</v>
      </c>
      <c r="R566" t="s">
        <v>31</v>
      </c>
      <c r="S566" t="str" cm="1">
        <f t="array" ref="S566">_xlfn.IFS(R566="COMPLETE", "COMPLETED", R566="CANCELED", "CANCELED", TRUE, "PENDING")</f>
        <v>COMPLETED</v>
      </c>
      <c r="T566" t="s">
        <v>90</v>
      </c>
      <c r="U566">
        <f>VLOOKUP(A566,ordered_items!$B:$E,4,0)</f>
        <v>299.98</v>
      </c>
    </row>
    <row r="567" spans="1:21" x14ac:dyDescent="0.3">
      <c r="A567">
        <v>24937</v>
      </c>
      <c r="B567" t="s">
        <v>51</v>
      </c>
      <c r="C567">
        <v>3</v>
      </c>
      <c r="D567">
        <v>4</v>
      </c>
      <c r="E567" t="str">
        <f t="shared" si="24"/>
        <v xml:space="preserve"> ONTIME</v>
      </c>
      <c r="F567">
        <f>VLOOKUP($A567,ordered_items!$B$2:$E$4784,2,0)</f>
        <v>886</v>
      </c>
      <c r="G567">
        <f>VLOOKUP($A567,ordered_items!$B$2:$E$4784,3,0)</f>
        <v>2</v>
      </c>
      <c r="H567">
        <f>VLOOKUP($A567,ordered_items!$B$2:$E$4784,4,0)</f>
        <v>49.98</v>
      </c>
      <c r="I567" s="15">
        <f>VLOOKUP(F567,product_info!$A$2:$D$73,4,0)</f>
        <v>6</v>
      </c>
      <c r="J567" s="15" t="str">
        <f>VLOOKUP(I567,department!$A$2:$B$13,2,0)</f>
        <v>Outdoors</v>
      </c>
      <c r="K567">
        <v>3898</v>
      </c>
      <c r="L567" t="s">
        <v>110</v>
      </c>
      <c r="M567" s="4">
        <v>43464</v>
      </c>
      <c r="N567" s="12">
        <f t="shared" si="25"/>
        <v>12</v>
      </c>
      <c r="O567" s="13">
        <f t="shared" si="26"/>
        <v>2018</v>
      </c>
      <c r="P567" t="s">
        <v>13</v>
      </c>
      <c r="Q567" t="s">
        <v>99</v>
      </c>
      <c r="R567" t="s">
        <v>57</v>
      </c>
      <c r="S567" t="str" cm="1">
        <f t="array" ref="S567">_xlfn.IFS(R567="COMPLETE", "COMPLETED", R567="CANCELED", "CANCELED", TRUE, "PENDING")</f>
        <v>PENDING</v>
      </c>
      <c r="T567" t="s">
        <v>16</v>
      </c>
      <c r="U567">
        <f>VLOOKUP(A567,ordered_items!$B:$E,4,0)</f>
        <v>49.98</v>
      </c>
    </row>
    <row r="568" spans="1:21" x14ac:dyDescent="0.3">
      <c r="A568">
        <v>24938</v>
      </c>
      <c r="B568" t="s">
        <v>3</v>
      </c>
      <c r="C568">
        <v>4</v>
      </c>
      <c r="D568">
        <v>4</v>
      </c>
      <c r="E568" t="str">
        <f t="shared" si="24"/>
        <v xml:space="preserve"> ONTIME</v>
      </c>
      <c r="F568">
        <f>VLOOKUP($A568,ordered_items!$B$2:$E$4784,2,0)</f>
        <v>191</v>
      </c>
      <c r="G568">
        <f>VLOOKUP($A568,ordered_items!$B$2:$E$4784,3,0)</f>
        <v>2</v>
      </c>
      <c r="H568">
        <f>VLOOKUP($A568,ordered_items!$B$2:$E$4784,4,0)</f>
        <v>199.98</v>
      </c>
      <c r="I568" s="15">
        <f>VLOOKUP(F568,product_info!$A$2:$D$73,4,0)</f>
        <v>3</v>
      </c>
      <c r="J568" s="15" t="str">
        <f>VLOOKUP(I568,department!$A$2:$B$13,2,0)</f>
        <v>Footwear</v>
      </c>
      <c r="K568">
        <v>11081</v>
      </c>
      <c r="L568" t="s">
        <v>110</v>
      </c>
      <c r="M568" s="4">
        <v>43464</v>
      </c>
      <c r="N568" s="12">
        <f t="shared" si="25"/>
        <v>12</v>
      </c>
      <c r="O568" s="13">
        <f t="shared" si="26"/>
        <v>2018</v>
      </c>
      <c r="P568" t="s">
        <v>13</v>
      </c>
      <c r="Q568" t="s">
        <v>99</v>
      </c>
      <c r="R568" t="s">
        <v>38</v>
      </c>
      <c r="S568" t="str" cm="1">
        <f t="array" ref="S568">_xlfn.IFS(R568="COMPLETE", "COMPLETED", R568="CANCELED", "CANCELED", TRUE, "PENDING")</f>
        <v>PENDING</v>
      </c>
      <c r="T568" t="s">
        <v>16</v>
      </c>
      <c r="U568">
        <f>VLOOKUP(A568,ordered_items!$B:$E,4,0)</f>
        <v>199.98</v>
      </c>
    </row>
    <row r="569" spans="1:21" x14ac:dyDescent="0.3">
      <c r="A569">
        <v>24940</v>
      </c>
      <c r="B569" t="s">
        <v>24</v>
      </c>
      <c r="C569">
        <v>6</v>
      </c>
      <c r="D569">
        <v>4</v>
      </c>
      <c r="E569" t="str">
        <f t="shared" si="24"/>
        <v>DELAYED</v>
      </c>
      <c r="F569">
        <f>VLOOKUP($A569,ordered_items!$B$2:$E$4784,2,0)</f>
        <v>282</v>
      </c>
      <c r="G569">
        <f>VLOOKUP($A569,ordered_items!$B$2:$E$4784,3,0)</f>
        <v>1</v>
      </c>
      <c r="H569">
        <f>VLOOKUP($A569,ordered_items!$B$2:$E$4784,4,0)</f>
        <v>31.99</v>
      </c>
      <c r="I569" s="15">
        <f>VLOOKUP(F569,product_info!$A$2:$D$73,4,0)</f>
        <v>3</v>
      </c>
      <c r="J569" s="15" t="str">
        <f>VLOOKUP(I569,department!$A$2:$B$13,2,0)</f>
        <v>Footwear</v>
      </c>
      <c r="K569">
        <v>12212</v>
      </c>
      <c r="L569" t="s">
        <v>561</v>
      </c>
      <c r="M569" s="4">
        <v>43464</v>
      </c>
      <c r="N569" s="12">
        <f t="shared" si="25"/>
        <v>12</v>
      </c>
      <c r="O569" s="13">
        <f t="shared" si="26"/>
        <v>2018</v>
      </c>
      <c r="P569" t="s">
        <v>13</v>
      </c>
      <c r="Q569" t="s">
        <v>420</v>
      </c>
      <c r="R569" t="s">
        <v>31</v>
      </c>
      <c r="S569" t="str" cm="1">
        <f t="array" ref="S569">_xlfn.IFS(R569="COMPLETE", "COMPLETED", R569="CANCELED", "CANCELED", TRUE, "PENDING")</f>
        <v>COMPLETED</v>
      </c>
      <c r="T569" t="s">
        <v>16</v>
      </c>
      <c r="U569">
        <f>VLOOKUP(A569,ordered_items!$B:$E,4,0)</f>
        <v>31.99</v>
      </c>
    </row>
    <row r="570" spans="1:21" x14ac:dyDescent="0.3">
      <c r="A570">
        <v>24958</v>
      </c>
      <c r="B570" t="s">
        <v>17</v>
      </c>
      <c r="C570">
        <v>4</v>
      </c>
      <c r="D570">
        <v>2</v>
      </c>
      <c r="E570" t="str">
        <f t="shared" si="24"/>
        <v>DELAYED</v>
      </c>
      <c r="F570">
        <f>VLOOKUP($A570,ordered_items!$B$2:$E$4784,2,0)</f>
        <v>403</v>
      </c>
      <c r="G570">
        <f>VLOOKUP($A570,ordered_items!$B$2:$E$4784,3,0)</f>
        <v>1</v>
      </c>
      <c r="H570">
        <f>VLOOKUP($A570,ordered_items!$B$2:$E$4784,4,0)</f>
        <v>129.99</v>
      </c>
      <c r="I570" s="15">
        <f>VLOOKUP(F570,product_info!$A$2:$D$73,4,0)</f>
        <v>4</v>
      </c>
      <c r="J570" s="15" t="str">
        <f>VLOOKUP(I570,department!$A$2:$B$13,2,0)</f>
        <v>Apparel</v>
      </c>
      <c r="K570">
        <v>5876</v>
      </c>
      <c r="L570" t="s">
        <v>1073</v>
      </c>
      <c r="M570" s="4">
        <v>43464</v>
      </c>
      <c r="N570" s="12">
        <f t="shared" si="25"/>
        <v>12</v>
      </c>
      <c r="O570" s="13">
        <f t="shared" si="26"/>
        <v>2018</v>
      </c>
      <c r="P570" t="s">
        <v>13</v>
      </c>
      <c r="Q570" t="s">
        <v>47</v>
      </c>
      <c r="R570" t="s">
        <v>23</v>
      </c>
      <c r="S570" t="str" cm="1">
        <f t="array" ref="S570">_xlfn.IFS(R570="COMPLETE", "COMPLETED", R570="CANCELED", "CANCELED", TRUE, "PENDING")</f>
        <v>PENDING</v>
      </c>
      <c r="T570" t="s">
        <v>90</v>
      </c>
      <c r="U570">
        <f>VLOOKUP(A570,ordered_items!$B:$E,4,0)</f>
        <v>129.99</v>
      </c>
    </row>
    <row r="571" spans="1:21" x14ac:dyDescent="0.3">
      <c r="A571">
        <v>24959</v>
      </c>
      <c r="B571" t="s">
        <v>24</v>
      </c>
      <c r="C571">
        <v>5</v>
      </c>
      <c r="D571">
        <v>2</v>
      </c>
      <c r="E571" t="str">
        <f t="shared" si="24"/>
        <v>DELAYED</v>
      </c>
      <c r="F571">
        <f>VLOOKUP($A571,ordered_items!$B$2:$E$4784,2,0)</f>
        <v>957</v>
      </c>
      <c r="G571">
        <f>VLOOKUP($A571,ordered_items!$B$2:$E$4784,3,0)</f>
        <v>1</v>
      </c>
      <c r="H571">
        <f>VLOOKUP($A571,ordered_items!$B$2:$E$4784,4,0)</f>
        <v>299.98</v>
      </c>
      <c r="I571" s="15">
        <f>VLOOKUP(F571,product_info!$A$2:$D$73,4,0)</f>
        <v>7</v>
      </c>
      <c r="J571" s="15" t="str">
        <f>VLOOKUP(I571,department!$A$2:$B$13,2,0)</f>
        <v>Fan Shop</v>
      </c>
      <c r="K571">
        <v>1236</v>
      </c>
      <c r="L571" t="s">
        <v>1073</v>
      </c>
      <c r="M571" s="4">
        <v>43464</v>
      </c>
      <c r="N571" s="12">
        <f t="shared" si="25"/>
        <v>12</v>
      </c>
      <c r="O571" s="13">
        <f t="shared" si="26"/>
        <v>2018</v>
      </c>
      <c r="P571" t="s">
        <v>13</v>
      </c>
      <c r="Q571" t="s">
        <v>47</v>
      </c>
      <c r="R571" t="s">
        <v>31</v>
      </c>
      <c r="S571" t="str" cm="1">
        <f t="array" ref="S571">_xlfn.IFS(R571="COMPLETE", "COMPLETED", R571="CANCELED", "CANCELED", TRUE, "PENDING")</f>
        <v>COMPLETED</v>
      </c>
      <c r="T571" t="s">
        <v>90</v>
      </c>
      <c r="U571">
        <f>VLOOKUP(A571,ordered_items!$B:$E,4,0)</f>
        <v>299.98</v>
      </c>
    </row>
    <row r="572" spans="1:21" x14ac:dyDescent="0.3">
      <c r="A572">
        <v>24970</v>
      </c>
      <c r="B572" t="s">
        <v>3</v>
      </c>
      <c r="C572">
        <v>6</v>
      </c>
      <c r="D572">
        <v>4</v>
      </c>
      <c r="E572" t="str">
        <f t="shared" si="24"/>
        <v>DELAYED</v>
      </c>
      <c r="F572">
        <f>VLOOKUP($A572,ordered_items!$B$2:$E$4784,2,0)</f>
        <v>728</v>
      </c>
      <c r="G572">
        <f>VLOOKUP($A572,ordered_items!$B$2:$E$4784,3,0)</f>
        <v>5</v>
      </c>
      <c r="H572">
        <f>VLOOKUP($A572,ordered_items!$B$2:$E$4784,4,0)</f>
        <v>325</v>
      </c>
      <c r="I572" s="15">
        <f>VLOOKUP(F572,product_info!$A$2:$D$73,4,0)</f>
        <v>6</v>
      </c>
      <c r="J572" s="15" t="str">
        <f>VLOOKUP(I572,department!$A$2:$B$13,2,0)</f>
        <v>Outdoors</v>
      </c>
      <c r="K572">
        <v>4064</v>
      </c>
      <c r="L572" t="s">
        <v>233</v>
      </c>
      <c r="M572" s="4">
        <v>43464</v>
      </c>
      <c r="N572" s="12">
        <f t="shared" si="25"/>
        <v>12</v>
      </c>
      <c r="O572" s="13">
        <f t="shared" si="26"/>
        <v>2018</v>
      </c>
      <c r="P572" t="s">
        <v>13</v>
      </c>
      <c r="Q572" t="s">
        <v>234</v>
      </c>
      <c r="R572" t="s">
        <v>14</v>
      </c>
      <c r="S572" t="str" cm="1">
        <f t="array" ref="S572">_xlfn.IFS(R572="COMPLETE", "COMPLETED", R572="CANCELED", "CANCELED", TRUE, "PENDING")</f>
        <v>PENDING</v>
      </c>
      <c r="T572" t="s">
        <v>16</v>
      </c>
      <c r="U572">
        <f>VLOOKUP(A572,ordered_items!$B:$E,4,0)</f>
        <v>325</v>
      </c>
    </row>
    <row r="573" spans="1:21" x14ac:dyDescent="0.3">
      <c r="A573">
        <v>24980</v>
      </c>
      <c r="B573" t="s">
        <v>24</v>
      </c>
      <c r="C573">
        <v>6</v>
      </c>
      <c r="D573">
        <v>4</v>
      </c>
      <c r="E573" t="str">
        <f t="shared" si="24"/>
        <v>DELAYED</v>
      </c>
      <c r="F573">
        <f>VLOOKUP($A573,ordered_items!$B$2:$E$4784,2,0)</f>
        <v>365</v>
      </c>
      <c r="G573">
        <f>VLOOKUP($A573,ordered_items!$B$2:$E$4784,3,0)</f>
        <v>1</v>
      </c>
      <c r="H573">
        <f>VLOOKUP($A573,ordered_items!$B$2:$E$4784,4,0)</f>
        <v>59.99</v>
      </c>
      <c r="I573" s="15">
        <f>VLOOKUP(F573,product_info!$A$2:$D$73,4,0)</f>
        <v>4</v>
      </c>
      <c r="J573" s="15" t="str">
        <f>VLOOKUP(I573,department!$A$2:$B$13,2,0)</f>
        <v>Apparel</v>
      </c>
      <c r="K573">
        <v>8316</v>
      </c>
      <c r="L573" t="s">
        <v>258</v>
      </c>
      <c r="M573" s="4">
        <v>43464</v>
      </c>
      <c r="N573" s="12">
        <f t="shared" si="25"/>
        <v>12</v>
      </c>
      <c r="O573" s="13">
        <f t="shared" si="26"/>
        <v>2018</v>
      </c>
      <c r="P573" t="s">
        <v>13</v>
      </c>
      <c r="Q573" t="s">
        <v>30</v>
      </c>
      <c r="R573" t="s">
        <v>31</v>
      </c>
      <c r="S573" t="str" cm="1">
        <f t="array" ref="S573">_xlfn.IFS(R573="COMPLETE", "COMPLETED", R573="CANCELED", "CANCELED", TRUE, "PENDING")</f>
        <v>COMPLETED</v>
      </c>
      <c r="T573" t="s">
        <v>16</v>
      </c>
      <c r="U573">
        <f>VLOOKUP(A573,ordered_items!$B:$E,4,0)</f>
        <v>59.99</v>
      </c>
    </row>
    <row r="574" spans="1:21" x14ac:dyDescent="0.3">
      <c r="A574">
        <v>24982</v>
      </c>
      <c r="B574" t="s">
        <v>51</v>
      </c>
      <c r="C574">
        <v>3</v>
      </c>
      <c r="D574">
        <v>4</v>
      </c>
      <c r="E574" t="str">
        <f t="shared" si="24"/>
        <v xml:space="preserve"> ONTIME</v>
      </c>
      <c r="F574">
        <f>VLOOKUP($A574,ordered_items!$B$2:$E$4784,2,0)</f>
        <v>191</v>
      </c>
      <c r="G574">
        <f>VLOOKUP($A574,ordered_items!$B$2:$E$4784,3,0)</f>
        <v>1</v>
      </c>
      <c r="H574">
        <f>VLOOKUP($A574,ordered_items!$B$2:$E$4784,4,0)</f>
        <v>99.99</v>
      </c>
      <c r="I574" s="15">
        <f>VLOOKUP(F574,product_info!$A$2:$D$73,4,0)</f>
        <v>3</v>
      </c>
      <c r="J574" s="15" t="str">
        <f>VLOOKUP(I574,department!$A$2:$B$13,2,0)</f>
        <v>Footwear</v>
      </c>
      <c r="K574">
        <v>1920</v>
      </c>
      <c r="L574" t="s">
        <v>226</v>
      </c>
      <c r="M574" s="4">
        <v>43464</v>
      </c>
      <c r="N574" s="12">
        <f t="shared" si="25"/>
        <v>12</v>
      </c>
      <c r="O574" s="13">
        <f t="shared" si="26"/>
        <v>2018</v>
      </c>
      <c r="P574" t="s">
        <v>13</v>
      </c>
      <c r="Q574" t="s">
        <v>227</v>
      </c>
      <c r="R574" t="s">
        <v>57</v>
      </c>
      <c r="S574" t="str" cm="1">
        <f t="array" ref="S574">_xlfn.IFS(R574="COMPLETE", "COMPLETED", R574="CANCELED", "CANCELED", TRUE, "PENDING")</f>
        <v>PENDING</v>
      </c>
      <c r="T574" t="s">
        <v>16</v>
      </c>
      <c r="U574">
        <f>VLOOKUP(A574,ordered_items!$B:$E,4,0)</f>
        <v>99.99</v>
      </c>
    </row>
    <row r="575" spans="1:21" x14ac:dyDescent="0.3">
      <c r="A575">
        <v>24983</v>
      </c>
      <c r="B575" t="s">
        <v>24</v>
      </c>
      <c r="C575">
        <v>4</v>
      </c>
      <c r="D575">
        <v>4</v>
      </c>
      <c r="E575" t="str">
        <f t="shared" si="24"/>
        <v xml:space="preserve"> ONTIME</v>
      </c>
      <c r="F575">
        <f>VLOOKUP($A575,ordered_items!$B$2:$E$4784,2,0)</f>
        <v>502</v>
      </c>
      <c r="G575">
        <f>VLOOKUP($A575,ordered_items!$B$2:$E$4784,3,0)</f>
        <v>1</v>
      </c>
      <c r="H575">
        <f>VLOOKUP($A575,ordered_items!$B$2:$E$4784,4,0)</f>
        <v>50</v>
      </c>
      <c r="I575" s="15">
        <f>VLOOKUP(F575,product_info!$A$2:$D$73,4,0)</f>
        <v>5</v>
      </c>
      <c r="J575" s="15" t="str">
        <f>VLOOKUP(I575,department!$A$2:$B$13,2,0)</f>
        <v>Golf</v>
      </c>
      <c r="K575">
        <v>1128</v>
      </c>
      <c r="L575" t="s">
        <v>226</v>
      </c>
      <c r="M575" s="4">
        <v>43464</v>
      </c>
      <c r="N575" s="12">
        <f t="shared" si="25"/>
        <v>12</v>
      </c>
      <c r="O575" s="13">
        <f t="shared" si="26"/>
        <v>2018</v>
      </c>
      <c r="P575" t="s">
        <v>13</v>
      </c>
      <c r="Q575" t="s">
        <v>227</v>
      </c>
      <c r="R575" t="s">
        <v>31</v>
      </c>
      <c r="S575" t="str" cm="1">
        <f t="array" ref="S575">_xlfn.IFS(R575="COMPLETE", "COMPLETED", R575="CANCELED", "CANCELED", TRUE, "PENDING")</f>
        <v>COMPLETED</v>
      </c>
      <c r="T575" t="s">
        <v>16</v>
      </c>
      <c r="U575">
        <f>VLOOKUP(A575,ordered_items!$B:$E,4,0)</f>
        <v>50</v>
      </c>
    </row>
    <row r="576" spans="1:21" x14ac:dyDescent="0.3">
      <c r="A576">
        <v>24984</v>
      </c>
      <c r="B576" t="s">
        <v>24</v>
      </c>
      <c r="C576">
        <v>5</v>
      </c>
      <c r="D576">
        <v>4</v>
      </c>
      <c r="E576" t="str">
        <f t="shared" si="24"/>
        <v>DELAYED</v>
      </c>
      <c r="F576">
        <f>VLOOKUP($A576,ordered_items!$B$2:$E$4784,2,0)</f>
        <v>1004</v>
      </c>
      <c r="G576">
        <f>VLOOKUP($A576,ordered_items!$B$2:$E$4784,3,0)</f>
        <v>1</v>
      </c>
      <c r="H576">
        <f>VLOOKUP($A576,ordered_items!$B$2:$E$4784,4,0)</f>
        <v>399.98</v>
      </c>
      <c r="I576" s="15">
        <f>VLOOKUP(F576,product_info!$A$2:$D$73,4,0)</f>
        <v>7</v>
      </c>
      <c r="J576" s="15" t="str">
        <f>VLOOKUP(I576,department!$A$2:$B$13,2,0)</f>
        <v>Fan Shop</v>
      </c>
      <c r="K576">
        <v>970</v>
      </c>
      <c r="L576" t="s">
        <v>226</v>
      </c>
      <c r="M576" s="4">
        <v>43464</v>
      </c>
      <c r="N576" s="12">
        <f t="shared" si="25"/>
        <v>12</v>
      </c>
      <c r="O576" s="13">
        <f t="shared" si="26"/>
        <v>2018</v>
      </c>
      <c r="P576" t="s">
        <v>13</v>
      </c>
      <c r="Q576" t="s">
        <v>227</v>
      </c>
      <c r="R576" t="s">
        <v>31</v>
      </c>
      <c r="S576" t="str" cm="1">
        <f t="array" ref="S576">_xlfn.IFS(R576="COMPLETE", "COMPLETED", R576="CANCELED", "CANCELED", TRUE, "PENDING")</f>
        <v>COMPLETED</v>
      </c>
      <c r="T576" t="s">
        <v>16</v>
      </c>
      <c r="U576">
        <f>VLOOKUP(A576,ordered_items!$B:$E,4,0)</f>
        <v>399.98</v>
      </c>
    </row>
    <row r="577" spans="1:21" x14ac:dyDescent="0.3">
      <c r="A577">
        <v>24985</v>
      </c>
      <c r="B577" t="s">
        <v>51</v>
      </c>
      <c r="C577">
        <v>6</v>
      </c>
      <c r="D577">
        <v>4</v>
      </c>
      <c r="E577" t="str">
        <f t="shared" si="24"/>
        <v>DELAYED</v>
      </c>
      <c r="F577">
        <f>VLOOKUP($A577,ordered_items!$B$2:$E$4784,2,0)</f>
        <v>957</v>
      </c>
      <c r="G577">
        <f>VLOOKUP($A577,ordered_items!$B$2:$E$4784,3,0)</f>
        <v>1</v>
      </c>
      <c r="H577">
        <f>VLOOKUP($A577,ordered_items!$B$2:$E$4784,4,0)</f>
        <v>299.98</v>
      </c>
      <c r="I577" s="15">
        <f>VLOOKUP(F577,product_info!$A$2:$D$73,4,0)</f>
        <v>7</v>
      </c>
      <c r="J577" s="15" t="str">
        <f>VLOOKUP(I577,department!$A$2:$B$13,2,0)</f>
        <v>Fan Shop</v>
      </c>
      <c r="K577">
        <v>6857</v>
      </c>
      <c r="L577" t="s">
        <v>226</v>
      </c>
      <c r="M577" s="4">
        <v>43464</v>
      </c>
      <c r="N577" s="12">
        <f t="shared" si="25"/>
        <v>12</v>
      </c>
      <c r="O577" s="13">
        <f t="shared" si="26"/>
        <v>2018</v>
      </c>
      <c r="P577" t="s">
        <v>13</v>
      </c>
      <c r="Q577" t="s">
        <v>227</v>
      </c>
      <c r="R577" t="s">
        <v>57</v>
      </c>
      <c r="S577" t="str" cm="1">
        <f t="array" ref="S577">_xlfn.IFS(R577="COMPLETE", "COMPLETED", R577="CANCELED", "CANCELED", TRUE, "PENDING")</f>
        <v>PENDING</v>
      </c>
      <c r="T577" t="s">
        <v>16</v>
      </c>
      <c r="U577">
        <f>VLOOKUP(A577,ordered_items!$B:$E,4,0)</f>
        <v>299.98</v>
      </c>
    </row>
    <row r="578" spans="1:21" x14ac:dyDescent="0.3">
      <c r="A578">
        <v>24996</v>
      </c>
      <c r="B578" t="s">
        <v>3</v>
      </c>
      <c r="C578">
        <v>2</v>
      </c>
      <c r="D578">
        <v>4</v>
      </c>
      <c r="E578" t="str">
        <f t="shared" si="24"/>
        <v xml:space="preserve"> ONTIME</v>
      </c>
      <c r="F578">
        <f>VLOOKUP($A578,ordered_items!$B$2:$E$4784,2,0)</f>
        <v>502</v>
      </c>
      <c r="G578">
        <f>VLOOKUP($A578,ordered_items!$B$2:$E$4784,3,0)</f>
        <v>2</v>
      </c>
      <c r="H578">
        <f>VLOOKUP($A578,ordered_items!$B$2:$E$4784,4,0)</f>
        <v>100</v>
      </c>
      <c r="I578" s="15">
        <f>VLOOKUP(F578,product_info!$A$2:$D$73,4,0)</f>
        <v>5</v>
      </c>
      <c r="J578" s="15" t="str">
        <f>VLOOKUP(I578,department!$A$2:$B$13,2,0)</f>
        <v>Golf</v>
      </c>
      <c r="K578">
        <v>10965</v>
      </c>
      <c r="L578" t="s">
        <v>110</v>
      </c>
      <c r="M578" s="4">
        <v>43464</v>
      </c>
      <c r="N578" s="12">
        <f t="shared" si="25"/>
        <v>12</v>
      </c>
      <c r="O578" s="13">
        <f t="shared" si="26"/>
        <v>2018</v>
      </c>
      <c r="P578" t="s">
        <v>13</v>
      </c>
      <c r="Q578" t="s">
        <v>99</v>
      </c>
      <c r="R578" t="s">
        <v>14</v>
      </c>
      <c r="S578" t="str" cm="1">
        <f t="array" ref="S578">_xlfn.IFS(R578="COMPLETE", "COMPLETED", R578="CANCELED", "CANCELED", TRUE, "PENDING")</f>
        <v>PENDING</v>
      </c>
      <c r="T578" t="s">
        <v>16</v>
      </c>
      <c r="U578">
        <f>VLOOKUP(A578,ordered_items!$B:$E,4,0)</f>
        <v>100</v>
      </c>
    </row>
    <row r="579" spans="1:21" x14ac:dyDescent="0.3">
      <c r="A579">
        <v>24997</v>
      </c>
      <c r="B579" t="s">
        <v>24</v>
      </c>
      <c r="C579">
        <v>3</v>
      </c>
      <c r="D579">
        <v>4</v>
      </c>
      <c r="E579" t="str">
        <f t="shared" ref="E579:E642" si="27">IF(C579-D579&gt;0,"DELAYED"," ONTIME")</f>
        <v xml:space="preserve"> ONTIME</v>
      </c>
      <c r="F579">
        <f>VLOOKUP($A579,ordered_items!$B$2:$E$4784,2,0)</f>
        <v>926</v>
      </c>
      <c r="G579">
        <f>VLOOKUP($A579,ordered_items!$B$2:$E$4784,3,0)</f>
        <v>1</v>
      </c>
      <c r="H579">
        <f>VLOOKUP($A579,ordered_items!$B$2:$E$4784,4,0)</f>
        <v>15.99</v>
      </c>
      <c r="I579" s="15">
        <f>VLOOKUP(F579,product_info!$A$2:$D$73,4,0)</f>
        <v>6</v>
      </c>
      <c r="J579" s="15" t="str">
        <f>VLOOKUP(I579,department!$A$2:$B$13,2,0)</f>
        <v>Outdoors</v>
      </c>
      <c r="K579">
        <v>3993</v>
      </c>
      <c r="L579" t="s">
        <v>110</v>
      </c>
      <c r="M579" s="4">
        <v>43464</v>
      </c>
      <c r="N579" s="12">
        <f t="shared" ref="N579:N642" si="28">MONTH(M579)</f>
        <v>12</v>
      </c>
      <c r="O579" s="13">
        <f t="shared" ref="O579:O642" si="29">YEAR(M579)</f>
        <v>2018</v>
      </c>
      <c r="P579" t="s">
        <v>13</v>
      </c>
      <c r="Q579" t="s">
        <v>99</v>
      </c>
      <c r="R579" t="s">
        <v>31</v>
      </c>
      <c r="S579" t="str" cm="1">
        <f t="array" ref="S579">_xlfn.IFS(R579="COMPLETE", "COMPLETED", R579="CANCELED", "CANCELED", TRUE, "PENDING")</f>
        <v>COMPLETED</v>
      </c>
      <c r="T579" t="s">
        <v>16</v>
      </c>
      <c r="U579">
        <f>VLOOKUP(A579,ordered_items!$B:$E,4,0)</f>
        <v>15.99</v>
      </c>
    </row>
    <row r="580" spans="1:21" x14ac:dyDescent="0.3">
      <c r="A580">
        <v>25018</v>
      </c>
      <c r="B580" t="s">
        <v>51</v>
      </c>
      <c r="C580">
        <v>4</v>
      </c>
      <c r="D580">
        <v>4</v>
      </c>
      <c r="E580" t="str">
        <f t="shared" si="27"/>
        <v xml:space="preserve"> ONTIME</v>
      </c>
      <c r="F580">
        <f>VLOOKUP($A580,ordered_items!$B$2:$E$4784,2,0)</f>
        <v>502</v>
      </c>
      <c r="G580">
        <f>VLOOKUP($A580,ordered_items!$B$2:$E$4784,3,0)</f>
        <v>2</v>
      </c>
      <c r="H580">
        <f>VLOOKUP($A580,ordered_items!$B$2:$E$4784,4,0)</f>
        <v>100</v>
      </c>
      <c r="I580" s="15">
        <f>VLOOKUP(F580,product_info!$A$2:$D$73,4,0)</f>
        <v>5</v>
      </c>
      <c r="J580" s="15" t="str">
        <f>VLOOKUP(I580,department!$A$2:$B$13,2,0)</f>
        <v>Golf</v>
      </c>
      <c r="K580">
        <v>4207</v>
      </c>
      <c r="L580" t="s">
        <v>854</v>
      </c>
      <c r="M580" s="4">
        <v>43465</v>
      </c>
      <c r="N580" s="12">
        <f t="shared" si="28"/>
        <v>12</v>
      </c>
      <c r="O580" s="13">
        <f t="shared" si="29"/>
        <v>2018</v>
      </c>
      <c r="P580" t="s">
        <v>13</v>
      </c>
      <c r="Q580" t="s">
        <v>377</v>
      </c>
      <c r="R580" t="s">
        <v>57</v>
      </c>
      <c r="S580" t="str" cm="1">
        <f t="array" ref="S580">_xlfn.IFS(R580="COMPLETE", "COMPLETED", R580="CANCELED", "CANCELED", TRUE, "PENDING")</f>
        <v>PENDING</v>
      </c>
      <c r="T580" t="s">
        <v>16</v>
      </c>
      <c r="U580">
        <f>VLOOKUP(A580,ordered_items!$B:$E,4,0)</f>
        <v>100</v>
      </c>
    </row>
    <row r="581" spans="1:21" x14ac:dyDescent="0.3">
      <c r="A581">
        <v>25041</v>
      </c>
      <c r="B581" t="s">
        <v>3</v>
      </c>
      <c r="C581">
        <v>2</v>
      </c>
      <c r="D581">
        <v>1</v>
      </c>
      <c r="E581" t="str">
        <f t="shared" si="27"/>
        <v>DELAYED</v>
      </c>
      <c r="F581">
        <f>VLOOKUP($A581,ordered_items!$B$2:$E$4784,2,0)</f>
        <v>365</v>
      </c>
      <c r="G581">
        <f>VLOOKUP($A581,ordered_items!$B$2:$E$4784,3,0)</f>
        <v>1</v>
      </c>
      <c r="H581">
        <f>VLOOKUP($A581,ordered_items!$B$2:$E$4784,4,0)</f>
        <v>59.99</v>
      </c>
      <c r="I581" s="15">
        <f>VLOOKUP(F581,product_info!$A$2:$D$73,4,0)</f>
        <v>4</v>
      </c>
      <c r="J581" s="15" t="str">
        <f>VLOOKUP(I581,department!$A$2:$B$13,2,0)</f>
        <v>Apparel</v>
      </c>
      <c r="K581">
        <v>8476</v>
      </c>
      <c r="L581" t="s">
        <v>405</v>
      </c>
      <c r="M581" s="4">
        <v>43465</v>
      </c>
      <c r="N581" s="12">
        <f t="shared" si="28"/>
        <v>12</v>
      </c>
      <c r="O581" s="13">
        <f t="shared" si="29"/>
        <v>2018</v>
      </c>
      <c r="P581" t="s">
        <v>13</v>
      </c>
      <c r="Q581" t="s">
        <v>130</v>
      </c>
      <c r="R581" t="s">
        <v>235</v>
      </c>
      <c r="S581" t="str" cm="1">
        <f t="array" ref="S581">_xlfn.IFS(R581="COMPLETE", "COMPLETED", R581="CANCELED", "CANCELED", TRUE, "PENDING")</f>
        <v>CANCELED</v>
      </c>
      <c r="T581" t="s">
        <v>32</v>
      </c>
      <c r="U581">
        <f>VLOOKUP(A581,ordered_items!$B:$E,4,0)</f>
        <v>59.99</v>
      </c>
    </row>
    <row r="582" spans="1:21" x14ac:dyDescent="0.3">
      <c r="A582">
        <v>25042</v>
      </c>
      <c r="B582" t="s">
        <v>51</v>
      </c>
      <c r="C582">
        <v>2</v>
      </c>
      <c r="D582">
        <v>1</v>
      </c>
      <c r="E582" t="str">
        <f t="shared" si="27"/>
        <v>DELAYED</v>
      </c>
      <c r="F582">
        <f>VLOOKUP($A582,ordered_items!$B$2:$E$4784,2,0)</f>
        <v>1004</v>
      </c>
      <c r="G582">
        <f>VLOOKUP($A582,ordered_items!$B$2:$E$4784,3,0)</f>
        <v>1</v>
      </c>
      <c r="H582">
        <f>VLOOKUP($A582,ordered_items!$B$2:$E$4784,4,0)</f>
        <v>399.98</v>
      </c>
      <c r="I582" s="15">
        <f>VLOOKUP(F582,product_info!$A$2:$D$73,4,0)</f>
        <v>7</v>
      </c>
      <c r="J582" s="15" t="str">
        <f>VLOOKUP(I582,department!$A$2:$B$13,2,0)</f>
        <v>Fan Shop</v>
      </c>
      <c r="K582">
        <v>10291</v>
      </c>
      <c r="L582" t="s">
        <v>136</v>
      </c>
      <c r="M582" s="4">
        <v>43465</v>
      </c>
      <c r="N582" s="12">
        <f t="shared" si="28"/>
        <v>12</v>
      </c>
      <c r="O582" s="13">
        <f t="shared" si="29"/>
        <v>2018</v>
      </c>
      <c r="P582" t="s">
        <v>13</v>
      </c>
      <c r="Q582" t="s">
        <v>47</v>
      </c>
      <c r="R582" t="s">
        <v>57</v>
      </c>
      <c r="S582" t="str" cm="1">
        <f t="array" ref="S582">_xlfn.IFS(R582="COMPLETE", "COMPLETED", R582="CANCELED", "CANCELED", TRUE, "PENDING")</f>
        <v>PENDING</v>
      </c>
      <c r="T582" t="s">
        <v>32</v>
      </c>
      <c r="U582">
        <f>VLOOKUP(A582,ordered_items!$B:$E,4,0)</f>
        <v>399.98</v>
      </c>
    </row>
    <row r="583" spans="1:21" x14ac:dyDescent="0.3">
      <c r="A583">
        <v>25048</v>
      </c>
      <c r="B583" t="s">
        <v>24</v>
      </c>
      <c r="C583">
        <v>4</v>
      </c>
      <c r="D583">
        <v>4</v>
      </c>
      <c r="E583" t="str">
        <f t="shared" si="27"/>
        <v xml:space="preserve"> ONTIME</v>
      </c>
      <c r="F583">
        <f>VLOOKUP($A583,ordered_items!$B$2:$E$4784,2,0)</f>
        <v>403</v>
      </c>
      <c r="G583">
        <f>VLOOKUP($A583,ordered_items!$B$2:$E$4784,3,0)</f>
        <v>1</v>
      </c>
      <c r="H583">
        <f>VLOOKUP($A583,ordered_items!$B$2:$E$4784,4,0)</f>
        <v>129.99</v>
      </c>
      <c r="I583" s="15">
        <f>VLOOKUP(F583,product_info!$A$2:$D$73,4,0)</f>
        <v>4</v>
      </c>
      <c r="J583" s="15" t="str">
        <f>VLOOKUP(I583,department!$A$2:$B$13,2,0)</f>
        <v>Apparel</v>
      </c>
      <c r="K583">
        <v>737</v>
      </c>
      <c r="L583" t="s">
        <v>110</v>
      </c>
      <c r="M583" s="4">
        <v>43465</v>
      </c>
      <c r="N583" s="12">
        <f t="shared" si="28"/>
        <v>12</v>
      </c>
      <c r="O583" s="13">
        <f t="shared" si="29"/>
        <v>2018</v>
      </c>
      <c r="P583" t="s">
        <v>13</v>
      </c>
      <c r="Q583" t="s">
        <v>99</v>
      </c>
      <c r="R583" t="s">
        <v>31</v>
      </c>
      <c r="S583" t="str" cm="1">
        <f t="array" ref="S583">_xlfn.IFS(R583="COMPLETE", "COMPLETED", R583="CANCELED", "CANCELED", TRUE, "PENDING")</f>
        <v>COMPLETED</v>
      </c>
      <c r="T583" t="s">
        <v>16</v>
      </c>
      <c r="U583">
        <f>VLOOKUP(A583,ordered_items!$B:$E,4,0)</f>
        <v>129.99</v>
      </c>
    </row>
    <row r="584" spans="1:21" x14ac:dyDescent="0.3">
      <c r="A584">
        <v>25050</v>
      </c>
      <c r="B584" t="s">
        <v>24</v>
      </c>
      <c r="C584">
        <v>6</v>
      </c>
      <c r="D584">
        <v>4</v>
      </c>
      <c r="E584" t="str">
        <f t="shared" si="27"/>
        <v>DELAYED</v>
      </c>
      <c r="F584">
        <f>VLOOKUP($A584,ordered_items!$B$2:$E$4784,2,0)</f>
        <v>403</v>
      </c>
      <c r="G584">
        <f>VLOOKUP($A584,ordered_items!$B$2:$E$4784,3,0)</f>
        <v>1</v>
      </c>
      <c r="H584">
        <f>VLOOKUP($A584,ordered_items!$B$2:$E$4784,4,0)</f>
        <v>129.99</v>
      </c>
      <c r="I584" s="15">
        <f>VLOOKUP(F584,product_info!$A$2:$D$73,4,0)</f>
        <v>4</v>
      </c>
      <c r="J584" s="15" t="str">
        <f>VLOOKUP(I584,department!$A$2:$B$13,2,0)</f>
        <v>Apparel</v>
      </c>
      <c r="K584">
        <v>10082</v>
      </c>
      <c r="L584" t="s">
        <v>258</v>
      </c>
      <c r="M584" s="4">
        <v>43465</v>
      </c>
      <c r="N584" s="12">
        <f t="shared" si="28"/>
        <v>12</v>
      </c>
      <c r="O584" s="13">
        <f t="shared" si="29"/>
        <v>2018</v>
      </c>
      <c r="P584" t="s">
        <v>13</v>
      </c>
      <c r="Q584" t="s">
        <v>30</v>
      </c>
      <c r="R584" t="s">
        <v>31</v>
      </c>
      <c r="S584" t="str" cm="1">
        <f t="array" ref="S584">_xlfn.IFS(R584="COMPLETE", "COMPLETED", R584="CANCELED", "CANCELED", TRUE, "PENDING")</f>
        <v>COMPLETED</v>
      </c>
      <c r="T584" t="s">
        <v>16</v>
      </c>
      <c r="U584">
        <f>VLOOKUP(A584,ordered_items!$B:$E,4,0)</f>
        <v>129.99</v>
      </c>
    </row>
    <row r="585" spans="1:21" x14ac:dyDescent="0.3">
      <c r="A585">
        <v>25051</v>
      </c>
      <c r="B585" t="s">
        <v>3</v>
      </c>
      <c r="C585">
        <v>2</v>
      </c>
      <c r="D585">
        <v>4</v>
      </c>
      <c r="E585" t="str">
        <f t="shared" si="27"/>
        <v xml:space="preserve"> ONTIME</v>
      </c>
      <c r="F585">
        <f>VLOOKUP($A585,ordered_items!$B$2:$E$4784,2,0)</f>
        <v>1004</v>
      </c>
      <c r="G585">
        <f>VLOOKUP($A585,ordered_items!$B$2:$E$4784,3,0)</f>
        <v>1</v>
      </c>
      <c r="H585">
        <f>VLOOKUP($A585,ordered_items!$B$2:$E$4784,4,0)</f>
        <v>399.98</v>
      </c>
      <c r="I585" s="15">
        <f>VLOOKUP(F585,product_info!$A$2:$D$73,4,0)</f>
        <v>7</v>
      </c>
      <c r="J585" s="15" t="str">
        <f>VLOOKUP(I585,department!$A$2:$B$13,2,0)</f>
        <v>Fan Shop</v>
      </c>
      <c r="K585">
        <v>12295</v>
      </c>
      <c r="L585" t="s">
        <v>537</v>
      </c>
      <c r="M585" s="4">
        <v>43465</v>
      </c>
      <c r="N585" s="12">
        <f t="shared" si="28"/>
        <v>12</v>
      </c>
      <c r="O585" s="13">
        <f t="shared" si="29"/>
        <v>2018</v>
      </c>
      <c r="P585" t="s">
        <v>13</v>
      </c>
      <c r="Q585" t="s">
        <v>538</v>
      </c>
      <c r="R585" t="s">
        <v>38</v>
      </c>
      <c r="S585" t="str" cm="1">
        <f t="array" ref="S585">_xlfn.IFS(R585="COMPLETE", "COMPLETED", R585="CANCELED", "CANCELED", TRUE, "PENDING")</f>
        <v>PENDING</v>
      </c>
      <c r="T585" t="s">
        <v>16</v>
      </c>
      <c r="U585">
        <f>VLOOKUP(A585,ordered_items!$B:$E,4,0)</f>
        <v>399.98</v>
      </c>
    </row>
    <row r="586" spans="1:21" x14ac:dyDescent="0.3">
      <c r="A586">
        <v>25067</v>
      </c>
      <c r="B586" t="s">
        <v>17</v>
      </c>
      <c r="C586">
        <v>3</v>
      </c>
      <c r="D586">
        <v>4</v>
      </c>
      <c r="E586" t="str">
        <f t="shared" si="27"/>
        <v xml:space="preserve"> ONTIME</v>
      </c>
      <c r="F586">
        <f>VLOOKUP($A586,ordered_items!$B$2:$E$4784,2,0)</f>
        <v>365</v>
      </c>
      <c r="G586">
        <f>VLOOKUP($A586,ordered_items!$B$2:$E$4784,3,0)</f>
        <v>1</v>
      </c>
      <c r="H586">
        <f>VLOOKUP($A586,ordered_items!$B$2:$E$4784,4,0)</f>
        <v>59.99</v>
      </c>
      <c r="I586" s="15">
        <f>VLOOKUP(F586,product_info!$A$2:$D$73,4,0)</f>
        <v>4</v>
      </c>
      <c r="J586" s="15" t="str">
        <f>VLOOKUP(I586,department!$A$2:$B$13,2,0)</f>
        <v>Apparel</v>
      </c>
      <c r="K586">
        <v>5608</v>
      </c>
      <c r="L586" t="s">
        <v>1040</v>
      </c>
      <c r="M586" s="4">
        <v>43465</v>
      </c>
      <c r="N586" s="12">
        <f t="shared" si="28"/>
        <v>12</v>
      </c>
      <c r="O586" s="13">
        <f t="shared" si="29"/>
        <v>2018</v>
      </c>
      <c r="P586" t="s">
        <v>13</v>
      </c>
      <c r="Q586" t="s">
        <v>377</v>
      </c>
      <c r="R586" t="s">
        <v>23</v>
      </c>
      <c r="S586" t="str" cm="1">
        <f t="array" ref="S586">_xlfn.IFS(R586="COMPLETE", "COMPLETED", R586="CANCELED", "CANCELED", TRUE, "PENDING")</f>
        <v>PENDING</v>
      </c>
      <c r="T586" t="s">
        <v>16</v>
      </c>
      <c r="U586">
        <f>VLOOKUP(A586,ordered_items!$B:$E,4,0)</f>
        <v>59.99</v>
      </c>
    </row>
    <row r="587" spans="1:21" x14ac:dyDescent="0.3">
      <c r="A587">
        <v>25096</v>
      </c>
      <c r="B587" t="s">
        <v>3</v>
      </c>
      <c r="C587">
        <v>2</v>
      </c>
      <c r="D587">
        <v>4</v>
      </c>
      <c r="E587" t="str">
        <f t="shared" si="27"/>
        <v xml:space="preserve"> ONTIME</v>
      </c>
      <c r="F587">
        <f>VLOOKUP($A587,ordered_items!$B$2:$E$4784,2,0)</f>
        <v>365</v>
      </c>
      <c r="G587">
        <f>VLOOKUP($A587,ordered_items!$B$2:$E$4784,3,0)</f>
        <v>4</v>
      </c>
      <c r="H587">
        <f>VLOOKUP($A587,ordered_items!$B$2:$E$4784,4,0)</f>
        <v>239.96</v>
      </c>
      <c r="I587" s="15">
        <f>VLOOKUP(F587,product_info!$A$2:$D$73,4,0)</f>
        <v>4</v>
      </c>
      <c r="J587" s="15" t="str">
        <f>VLOOKUP(I587,department!$A$2:$B$13,2,0)</f>
        <v>Apparel</v>
      </c>
      <c r="K587">
        <v>7000</v>
      </c>
      <c r="L587" t="s">
        <v>409</v>
      </c>
      <c r="M587" s="4">
        <v>43466</v>
      </c>
      <c r="N587" s="12">
        <f t="shared" si="28"/>
        <v>1</v>
      </c>
      <c r="O587" s="13">
        <f t="shared" si="29"/>
        <v>2019</v>
      </c>
      <c r="P587" t="s">
        <v>13</v>
      </c>
      <c r="Q587" t="s">
        <v>410</v>
      </c>
      <c r="R587" t="s">
        <v>38</v>
      </c>
      <c r="S587" t="str" cm="1">
        <f t="array" ref="S587">_xlfn.IFS(R587="COMPLETE", "COMPLETED", R587="CANCELED", "CANCELED", TRUE, "PENDING")</f>
        <v>PENDING</v>
      </c>
      <c r="T587" t="s">
        <v>16</v>
      </c>
      <c r="U587">
        <f>VLOOKUP(A587,ordered_items!$B:$E,4,0)</f>
        <v>239.96</v>
      </c>
    </row>
    <row r="588" spans="1:21" x14ac:dyDescent="0.3">
      <c r="A588">
        <v>25097</v>
      </c>
      <c r="B588" t="s">
        <v>24</v>
      </c>
      <c r="C588">
        <v>3</v>
      </c>
      <c r="D588">
        <v>4</v>
      </c>
      <c r="E588" t="str">
        <f t="shared" si="27"/>
        <v xml:space="preserve"> ONTIME</v>
      </c>
      <c r="F588">
        <f>VLOOKUP($A588,ordered_items!$B$2:$E$4784,2,0)</f>
        <v>191</v>
      </c>
      <c r="G588">
        <f>VLOOKUP($A588,ordered_items!$B$2:$E$4784,3,0)</f>
        <v>3</v>
      </c>
      <c r="H588">
        <f>VLOOKUP($A588,ordered_items!$B$2:$E$4784,4,0)</f>
        <v>299.97000000000003</v>
      </c>
      <c r="I588" s="15">
        <f>VLOOKUP(F588,product_info!$A$2:$D$73,4,0)</f>
        <v>3</v>
      </c>
      <c r="J588" s="15" t="str">
        <f>VLOOKUP(I588,department!$A$2:$B$13,2,0)</f>
        <v>Footwear</v>
      </c>
      <c r="K588">
        <v>5632</v>
      </c>
      <c r="L588" t="s">
        <v>409</v>
      </c>
      <c r="M588" s="4">
        <v>43466</v>
      </c>
      <c r="N588" s="12">
        <f t="shared" si="28"/>
        <v>1</v>
      </c>
      <c r="O588" s="13">
        <f t="shared" si="29"/>
        <v>2019</v>
      </c>
      <c r="P588" t="s">
        <v>13</v>
      </c>
      <c r="Q588" t="s">
        <v>410</v>
      </c>
      <c r="R588" t="s">
        <v>31</v>
      </c>
      <c r="S588" t="str" cm="1">
        <f t="array" ref="S588">_xlfn.IFS(R588="COMPLETE", "COMPLETED", R588="CANCELED", "CANCELED", TRUE, "PENDING")</f>
        <v>COMPLETED</v>
      </c>
      <c r="T588" t="s">
        <v>16</v>
      </c>
      <c r="U588">
        <f>VLOOKUP(A588,ordered_items!$B:$E,4,0)</f>
        <v>299.97000000000003</v>
      </c>
    </row>
    <row r="589" spans="1:21" x14ac:dyDescent="0.3">
      <c r="A589">
        <v>25098</v>
      </c>
      <c r="B589" t="s">
        <v>3</v>
      </c>
      <c r="C589">
        <v>4</v>
      </c>
      <c r="D589">
        <v>4</v>
      </c>
      <c r="E589" t="str">
        <f t="shared" si="27"/>
        <v xml:space="preserve"> ONTIME</v>
      </c>
      <c r="F589">
        <f>VLOOKUP($A589,ordered_items!$B$2:$E$4784,2,0)</f>
        <v>403</v>
      </c>
      <c r="G589">
        <f>VLOOKUP($A589,ordered_items!$B$2:$E$4784,3,0)</f>
        <v>1</v>
      </c>
      <c r="H589">
        <f>VLOOKUP($A589,ordered_items!$B$2:$E$4784,4,0)</f>
        <v>129.99</v>
      </c>
      <c r="I589" s="15">
        <f>VLOOKUP(F589,product_info!$A$2:$D$73,4,0)</f>
        <v>4</v>
      </c>
      <c r="J589" s="15" t="str">
        <f>VLOOKUP(I589,department!$A$2:$B$13,2,0)</f>
        <v>Apparel</v>
      </c>
      <c r="K589">
        <v>11268</v>
      </c>
      <c r="L589" t="s">
        <v>409</v>
      </c>
      <c r="M589" s="4">
        <v>43466</v>
      </c>
      <c r="N589" s="12">
        <f t="shared" si="28"/>
        <v>1</v>
      </c>
      <c r="O589" s="13">
        <f t="shared" si="29"/>
        <v>2019</v>
      </c>
      <c r="P589" t="s">
        <v>13</v>
      </c>
      <c r="Q589" t="s">
        <v>410</v>
      </c>
      <c r="R589" t="s">
        <v>14</v>
      </c>
      <c r="S589" t="str" cm="1">
        <f t="array" ref="S589">_xlfn.IFS(R589="COMPLETE", "COMPLETED", R589="CANCELED", "CANCELED", TRUE, "PENDING")</f>
        <v>PENDING</v>
      </c>
      <c r="T589" t="s">
        <v>16</v>
      </c>
      <c r="U589">
        <f>VLOOKUP(A589,ordered_items!$B:$E,4,0)</f>
        <v>129.99</v>
      </c>
    </row>
    <row r="590" spans="1:21" x14ac:dyDescent="0.3">
      <c r="A590">
        <v>25099</v>
      </c>
      <c r="B590" t="s">
        <v>24</v>
      </c>
      <c r="C590">
        <v>5</v>
      </c>
      <c r="D590">
        <v>4</v>
      </c>
      <c r="E590" t="str">
        <f t="shared" si="27"/>
        <v>DELAYED</v>
      </c>
      <c r="F590">
        <f>VLOOKUP($A590,ordered_items!$B$2:$E$4784,2,0)</f>
        <v>1014</v>
      </c>
      <c r="G590">
        <f>VLOOKUP($A590,ordered_items!$B$2:$E$4784,3,0)</f>
        <v>3</v>
      </c>
      <c r="H590">
        <f>VLOOKUP($A590,ordered_items!$B$2:$E$4784,4,0)</f>
        <v>149.94</v>
      </c>
      <c r="I590" s="15">
        <f>VLOOKUP(F590,product_info!$A$2:$D$73,4,0)</f>
        <v>7</v>
      </c>
      <c r="J590" s="15" t="str">
        <f>VLOOKUP(I590,department!$A$2:$B$13,2,0)</f>
        <v>Fan Shop</v>
      </c>
      <c r="K590">
        <v>7716</v>
      </c>
      <c r="L590" t="s">
        <v>409</v>
      </c>
      <c r="M590" s="4">
        <v>43466</v>
      </c>
      <c r="N590" s="12">
        <f t="shared" si="28"/>
        <v>1</v>
      </c>
      <c r="O590" s="13">
        <f t="shared" si="29"/>
        <v>2019</v>
      </c>
      <c r="P590" t="s">
        <v>13</v>
      </c>
      <c r="Q590" t="s">
        <v>410</v>
      </c>
      <c r="R590" t="s">
        <v>31</v>
      </c>
      <c r="S590" t="str" cm="1">
        <f t="array" ref="S590">_xlfn.IFS(R590="COMPLETE", "COMPLETED", R590="CANCELED", "CANCELED", TRUE, "PENDING")</f>
        <v>COMPLETED</v>
      </c>
      <c r="T590" t="s">
        <v>16</v>
      </c>
      <c r="U590">
        <f>VLOOKUP(A590,ordered_items!$B:$E,4,0)</f>
        <v>149.94</v>
      </c>
    </row>
    <row r="591" spans="1:21" x14ac:dyDescent="0.3">
      <c r="A591">
        <v>25102</v>
      </c>
      <c r="B591" t="s">
        <v>3</v>
      </c>
      <c r="C591">
        <v>2</v>
      </c>
      <c r="D591">
        <v>1</v>
      </c>
      <c r="E591" t="str">
        <f t="shared" si="27"/>
        <v>DELAYED</v>
      </c>
      <c r="F591">
        <f>VLOOKUP($A591,ordered_items!$B$2:$E$4784,2,0)</f>
        <v>1073</v>
      </c>
      <c r="G591">
        <f>VLOOKUP($A591,ordered_items!$B$2:$E$4784,3,0)</f>
        <v>1</v>
      </c>
      <c r="H591">
        <f>VLOOKUP($A591,ordered_items!$B$2:$E$4784,4,0)</f>
        <v>199.99</v>
      </c>
      <c r="I591" s="15">
        <f>VLOOKUP(F591,product_info!$A$2:$D$73,4,0)</f>
        <v>7</v>
      </c>
      <c r="J591" s="15" t="str">
        <f>VLOOKUP(I591,department!$A$2:$B$13,2,0)</f>
        <v>Fan Shop</v>
      </c>
      <c r="K591">
        <v>5309</v>
      </c>
      <c r="L591" t="s">
        <v>439</v>
      </c>
      <c r="M591" s="4">
        <v>43466</v>
      </c>
      <c r="N591" s="12">
        <f t="shared" si="28"/>
        <v>1</v>
      </c>
      <c r="O591" s="13">
        <f t="shared" si="29"/>
        <v>2019</v>
      </c>
      <c r="P591" t="s">
        <v>13</v>
      </c>
      <c r="Q591" t="s">
        <v>377</v>
      </c>
      <c r="R591" t="s">
        <v>38</v>
      </c>
      <c r="S591" t="str" cm="1">
        <f t="array" ref="S591">_xlfn.IFS(R591="COMPLETE", "COMPLETED", R591="CANCELED", "CANCELED", TRUE, "PENDING")</f>
        <v>PENDING</v>
      </c>
      <c r="T591" t="s">
        <v>32</v>
      </c>
      <c r="U591">
        <f>VLOOKUP(A591,ordered_items!$B:$E,4,0)</f>
        <v>199.99</v>
      </c>
    </row>
    <row r="592" spans="1:21" x14ac:dyDescent="0.3">
      <c r="A592">
        <v>25103</v>
      </c>
      <c r="B592" t="s">
        <v>17</v>
      </c>
      <c r="C592">
        <v>4</v>
      </c>
      <c r="D592">
        <v>2</v>
      </c>
      <c r="E592" t="str">
        <f t="shared" si="27"/>
        <v>DELAYED</v>
      </c>
      <c r="F592">
        <f>VLOOKUP($A592,ordered_items!$B$2:$E$4784,2,0)</f>
        <v>1004</v>
      </c>
      <c r="G592">
        <f>VLOOKUP($A592,ordered_items!$B$2:$E$4784,3,0)</f>
        <v>1</v>
      </c>
      <c r="H592">
        <f>VLOOKUP($A592,ordered_items!$B$2:$E$4784,4,0)</f>
        <v>399.98</v>
      </c>
      <c r="I592" s="15">
        <f>VLOOKUP(F592,product_info!$A$2:$D$73,4,0)</f>
        <v>7</v>
      </c>
      <c r="J592" s="15" t="str">
        <f>VLOOKUP(I592,department!$A$2:$B$13,2,0)</f>
        <v>Fan Shop</v>
      </c>
      <c r="K592">
        <v>7841</v>
      </c>
      <c r="L592" t="s">
        <v>439</v>
      </c>
      <c r="M592" s="4">
        <v>43466</v>
      </c>
      <c r="N592" s="12">
        <f t="shared" si="28"/>
        <v>1</v>
      </c>
      <c r="O592" s="13">
        <f t="shared" si="29"/>
        <v>2019</v>
      </c>
      <c r="P592" t="s">
        <v>13</v>
      </c>
      <c r="Q592" t="s">
        <v>377</v>
      </c>
      <c r="R592" t="s">
        <v>23</v>
      </c>
      <c r="S592" t="str" cm="1">
        <f t="array" ref="S592">_xlfn.IFS(R592="COMPLETE", "COMPLETED", R592="CANCELED", "CANCELED", TRUE, "PENDING")</f>
        <v>PENDING</v>
      </c>
      <c r="T592" t="s">
        <v>90</v>
      </c>
      <c r="U592">
        <f>VLOOKUP(A592,ordered_items!$B:$E,4,0)</f>
        <v>399.98</v>
      </c>
    </row>
    <row r="593" spans="1:21" x14ac:dyDescent="0.3">
      <c r="A593">
        <v>25106</v>
      </c>
      <c r="B593" t="s">
        <v>3</v>
      </c>
      <c r="C593">
        <v>2</v>
      </c>
      <c r="D593">
        <v>4</v>
      </c>
      <c r="E593" t="str">
        <f t="shared" si="27"/>
        <v xml:space="preserve"> ONTIME</v>
      </c>
      <c r="F593">
        <f>VLOOKUP($A593,ordered_items!$B$2:$E$4784,2,0)</f>
        <v>835</v>
      </c>
      <c r="G593">
        <f>VLOOKUP($A593,ordered_items!$B$2:$E$4784,3,0)</f>
        <v>4</v>
      </c>
      <c r="H593">
        <f>VLOOKUP($A593,ordered_items!$B$2:$E$4784,4,0)</f>
        <v>127.96</v>
      </c>
      <c r="I593" s="15">
        <f>VLOOKUP(F593,product_info!$A$2:$D$73,4,0)</f>
        <v>6</v>
      </c>
      <c r="J593" s="15" t="str">
        <f>VLOOKUP(I593,department!$A$2:$B$13,2,0)</f>
        <v>Outdoors</v>
      </c>
      <c r="K593">
        <v>6450</v>
      </c>
      <c r="L593" t="s">
        <v>202</v>
      </c>
      <c r="M593" s="4">
        <v>43466</v>
      </c>
      <c r="N593" s="12">
        <f t="shared" si="28"/>
        <v>1</v>
      </c>
      <c r="O593" s="13">
        <f t="shared" si="29"/>
        <v>2019</v>
      </c>
      <c r="P593" t="s">
        <v>13</v>
      </c>
      <c r="Q593" t="s">
        <v>203</v>
      </c>
      <c r="R593" t="s">
        <v>38</v>
      </c>
      <c r="S593" t="str" cm="1">
        <f t="array" ref="S593">_xlfn.IFS(R593="COMPLETE", "COMPLETED", R593="CANCELED", "CANCELED", TRUE, "PENDING")</f>
        <v>PENDING</v>
      </c>
      <c r="T593" t="s">
        <v>16</v>
      </c>
      <c r="U593">
        <f>VLOOKUP(A593,ordered_items!$B:$E,4,0)</f>
        <v>127.96</v>
      </c>
    </row>
    <row r="594" spans="1:21" x14ac:dyDescent="0.3">
      <c r="A594">
        <v>25108</v>
      </c>
      <c r="B594" t="s">
        <v>3</v>
      </c>
      <c r="C594">
        <v>4</v>
      </c>
      <c r="D594">
        <v>4</v>
      </c>
      <c r="E594" t="str">
        <f t="shared" si="27"/>
        <v xml:space="preserve"> ONTIME</v>
      </c>
      <c r="F594">
        <f>VLOOKUP($A594,ordered_items!$B$2:$E$4784,2,0)</f>
        <v>1073</v>
      </c>
      <c r="G594">
        <f>VLOOKUP($A594,ordered_items!$B$2:$E$4784,3,0)</f>
        <v>1</v>
      </c>
      <c r="H594">
        <f>VLOOKUP($A594,ordered_items!$B$2:$E$4784,4,0)</f>
        <v>199.99</v>
      </c>
      <c r="I594" s="15">
        <f>VLOOKUP(F594,product_info!$A$2:$D$73,4,0)</f>
        <v>7</v>
      </c>
      <c r="J594" s="15" t="str">
        <f>VLOOKUP(I594,department!$A$2:$B$13,2,0)</f>
        <v>Fan Shop</v>
      </c>
      <c r="K594">
        <v>2835</v>
      </c>
      <c r="L594" t="s">
        <v>460</v>
      </c>
      <c r="M594" s="4">
        <v>43466</v>
      </c>
      <c r="N594" s="12">
        <f t="shared" si="28"/>
        <v>1</v>
      </c>
      <c r="O594" s="13">
        <f t="shared" si="29"/>
        <v>2019</v>
      </c>
      <c r="P594" t="s">
        <v>13</v>
      </c>
      <c r="Q594" t="s">
        <v>431</v>
      </c>
      <c r="R594" t="s">
        <v>38</v>
      </c>
      <c r="S594" t="str" cm="1">
        <f t="array" ref="S594">_xlfn.IFS(R594="COMPLETE", "COMPLETED", R594="CANCELED", "CANCELED", TRUE, "PENDING")</f>
        <v>PENDING</v>
      </c>
      <c r="T594" t="s">
        <v>16</v>
      </c>
      <c r="U594">
        <f>VLOOKUP(A594,ordered_items!$B:$E,4,0)</f>
        <v>199.99</v>
      </c>
    </row>
    <row r="595" spans="1:21" x14ac:dyDescent="0.3">
      <c r="A595">
        <v>25110</v>
      </c>
      <c r="B595" t="s">
        <v>24</v>
      </c>
      <c r="C595">
        <v>2</v>
      </c>
      <c r="D595">
        <v>1</v>
      </c>
      <c r="E595" t="str">
        <f t="shared" si="27"/>
        <v>DELAYED</v>
      </c>
      <c r="F595">
        <f>VLOOKUP($A595,ordered_items!$B$2:$E$4784,2,0)</f>
        <v>134</v>
      </c>
      <c r="G595">
        <f>VLOOKUP($A595,ordered_items!$B$2:$E$4784,3,0)</f>
        <v>2</v>
      </c>
      <c r="H595">
        <f>VLOOKUP($A595,ordered_items!$B$2:$E$4784,4,0)</f>
        <v>50</v>
      </c>
      <c r="I595" s="15">
        <f>VLOOKUP(F595,product_info!$A$2:$D$73,4,0)</f>
        <v>2</v>
      </c>
      <c r="J595" s="15" t="str">
        <f>VLOOKUP(I595,department!$A$2:$B$13,2,0)</f>
        <v>Fitness</v>
      </c>
      <c r="K595">
        <v>3561</v>
      </c>
      <c r="L595" t="s">
        <v>460</v>
      </c>
      <c r="M595" s="4">
        <v>43466</v>
      </c>
      <c r="N595" s="12">
        <f t="shared" si="28"/>
        <v>1</v>
      </c>
      <c r="O595" s="13">
        <f t="shared" si="29"/>
        <v>2019</v>
      </c>
      <c r="P595" t="s">
        <v>13</v>
      </c>
      <c r="Q595" t="s">
        <v>431</v>
      </c>
      <c r="R595" t="s">
        <v>31</v>
      </c>
      <c r="S595" t="str" cm="1">
        <f t="array" ref="S595">_xlfn.IFS(R595="COMPLETE", "COMPLETED", R595="CANCELED", "CANCELED", TRUE, "PENDING")</f>
        <v>COMPLETED</v>
      </c>
      <c r="T595" t="s">
        <v>32</v>
      </c>
      <c r="U595">
        <f>VLOOKUP(A595,ordered_items!$B:$E,4,0)</f>
        <v>50</v>
      </c>
    </row>
    <row r="596" spans="1:21" x14ac:dyDescent="0.3">
      <c r="A596">
        <v>25111</v>
      </c>
      <c r="B596" t="s">
        <v>17</v>
      </c>
      <c r="C596">
        <v>2</v>
      </c>
      <c r="D596">
        <v>1</v>
      </c>
      <c r="E596" t="str">
        <f t="shared" si="27"/>
        <v>DELAYED</v>
      </c>
      <c r="F596">
        <f>VLOOKUP($A596,ordered_items!$B$2:$E$4784,2,0)</f>
        <v>1014</v>
      </c>
      <c r="G596">
        <f>VLOOKUP($A596,ordered_items!$B$2:$E$4784,3,0)</f>
        <v>2</v>
      </c>
      <c r="H596">
        <f>VLOOKUP($A596,ordered_items!$B$2:$E$4784,4,0)</f>
        <v>99.96</v>
      </c>
      <c r="I596" s="15">
        <f>VLOOKUP(F596,product_info!$A$2:$D$73,4,0)</f>
        <v>7</v>
      </c>
      <c r="J596" s="15" t="str">
        <f>VLOOKUP(I596,department!$A$2:$B$13,2,0)</f>
        <v>Fan Shop</v>
      </c>
      <c r="K596">
        <v>9586</v>
      </c>
      <c r="L596" t="s">
        <v>844</v>
      </c>
      <c r="M596" s="4">
        <v>43466</v>
      </c>
      <c r="N596" s="12">
        <f t="shared" si="28"/>
        <v>1</v>
      </c>
      <c r="O596" s="13">
        <f t="shared" si="29"/>
        <v>2019</v>
      </c>
      <c r="P596" t="s">
        <v>13</v>
      </c>
      <c r="Q596" t="s">
        <v>377</v>
      </c>
      <c r="R596" t="s">
        <v>23</v>
      </c>
      <c r="S596" t="str" cm="1">
        <f t="array" ref="S596">_xlfn.IFS(R596="COMPLETE", "COMPLETED", R596="CANCELED", "CANCELED", TRUE, "PENDING")</f>
        <v>PENDING</v>
      </c>
      <c r="T596" t="s">
        <v>32</v>
      </c>
      <c r="U596">
        <f>VLOOKUP(A596,ordered_items!$B:$E,4,0)</f>
        <v>99.96</v>
      </c>
    </row>
    <row r="597" spans="1:21" x14ac:dyDescent="0.3">
      <c r="A597">
        <v>25113</v>
      </c>
      <c r="B597" t="s">
        <v>24</v>
      </c>
      <c r="C597">
        <v>2</v>
      </c>
      <c r="D597">
        <v>1</v>
      </c>
      <c r="E597" t="str">
        <f t="shared" si="27"/>
        <v>DELAYED</v>
      </c>
      <c r="F597">
        <f>VLOOKUP($A597,ordered_items!$B$2:$E$4784,2,0)</f>
        <v>502</v>
      </c>
      <c r="G597">
        <f>VLOOKUP($A597,ordered_items!$B$2:$E$4784,3,0)</f>
        <v>1</v>
      </c>
      <c r="H597">
        <f>VLOOKUP($A597,ordered_items!$B$2:$E$4784,4,0)</f>
        <v>50</v>
      </c>
      <c r="I597" s="15">
        <f>VLOOKUP(F597,product_info!$A$2:$D$73,4,0)</f>
        <v>5</v>
      </c>
      <c r="J597" s="15" t="str">
        <f>VLOOKUP(I597,department!$A$2:$B$13,2,0)</f>
        <v>Golf</v>
      </c>
      <c r="K597">
        <v>11937</v>
      </c>
      <c r="L597" t="s">
        <v>844</v>
      </c>
      <c r="M597" s="4">
        <v>43466</v>
      </c>
      <c r="N597" s="12">
        <f t="shared" si="28"/>
        <v>1</v>
      </c>
      <c r="O597" s="13">
        <f t="shared" si="29"/>
        <v>2019</v>
      </c>
      <c r="P597" t="s">
        <v>13</v>
      </c>
      <c r="Q597" t="s">
        <v>377</v>
      </c>
      <c r="R597" t="s">
        <v>31</v>
      </c>
      <c r="S597" t="str" cm="1">
        <f t="array" ref="S597">_xlfn.IFS(R597="COMPLETE", "COMPLETED", R597="CANCELED", "CANCELED", TRUE, "PENDING")</f>
        <v>COMPLETED</v>
      </c>
      <c r="T597" t="s">
        <v>32</v>
      </c>
      <c r="U597">
        <f>VLOOKUP(A597,ordered_items!$B:$E,4,0)</f>
        <v>50</v>
      </c>
    </row>
    <row r="598" spans="1:21" x14ac:dyDescent="0.3">
      <c r="A598">
        <v>25114</v>
      </c>
      <c r="B598" t="s">
        <v>51</v>
      </c>
      <c r="C598">
        <v>2</v>
      </c>
      <c r="D598">
        <v>1</v>
      </c>
      <c r="E598" t="str">
        <f t="shared" si="27"/>
        <v>DELAYED</v>
      </c>
      <c r="F598">
        <f>VLOOKUP($A598,ordered_items!$B$2:$E$4784,2,0)</f>
        <v>1004</v>
      </c>
      <c r="G598">
        <f>VLOOKUP($A598,ordered_items!$B$2:$E$4784,3,0)</f>
        <v>1</v>
      </c>
      <c r="H598">
        <f>VLOOKUP($A598,ordered_items!$B$2:$E$4784,4,0)</f>
        <v>399.98</v>
      </c>
      <c r="I598" s="15">
        <f>VLOOKUP(F598,product_info!$A$2:$D$73,4,0)</f>
        <v>7</v>
      </c>
      <c r="J598" s="15" t="str">
        <f>VLOOKUP(I598,department!$A$2:$B$13,2,0)</f>
        <v>Fan Shop</v>
      </c>
      <c r="K598">
        <v>7963</v>
      </c>
      <c r="L598" t="s">
        <v>844</v>
      </c>
      <c r="M598" s="4">
        <v>43466</v>
      </c>
      <c r="N598" s="12">
        <f t="shared" si="28"/>
        <v>1</v>
      </c>
      <c r="O598" s="13">
        <f t="shared" si="29"/>
        <v>2019</v>
      </c>
      <c r="P598" t="s">
        <v>13</v>
      </c>
      <c r="Q598" t="s">
        <v>377</v>
      </c>
      <c r="R598" t="s">
        <v>57</v>
      </c>
      <c r="S598" t="str" cm="1">
        <f t="array" ref="S598">_xlfn.IFS(R598="COMPLETE", "COMPLETED", R598="CANCELED", "CANCELED", TRUE, "PENDING")</f>
        <v>PENDING</v>
      </c>
      <c r="T598" t="s">
        <v>32</v>
      </c>
      <c r="U598">
        <f>VLOOKUP(A598,ordered_items!$B:$E,4,0)</f>
        <v>399.98</v>
      </c>
    </row>
    <row r="599" spans="1:21" x14ac:dyDescent="0.3">
      <c r="A599">
        <v>25115</v>
      </c>
      <c r="B599" t="s">
        <v>17</v>
      </c>
      <c r="C599">
        <v>2</v>
      </c>
      <c r="D599">
        <v>1</v>
      </c>
      <c r="E599" t="str">
        <f t="shared" si="27"/>
        <v>DELAYED</v>
      </c>
      <c r="F599">
        <f>VLOOKUP($A599,ordered_items!$B$2:$E$4784,2,0)</f>
        <v>885</v>
      </c>
      <c r="G599">
        <f>VLOOKUP($A599,ordered_items!$B$2:$E$4784,3,0)</f>
        <v>1</v>
      </c>
      <c r="H599">
        <f>VLOOKUP($A599,ordered_items!$B$2:$E$4784,4,0)</f>
        <v>24.99</v>
      </c>
      <c r="I599" s="15">
        <f>VLOOKUP(F599,product_info!$A$2:$D$73,4,0)</f>
        <v>6</v>
      </c>
      <c r="J599" s="15" t="str">
        <f>VLOOKUP(I599,department!$A$2:$B$13,2,0)</f>
        <v>Outdoors</v>
      </c>
      <c r="K599">
        <v>7436</v>
      </c>
      <c r="L599" t="s">
        <v>844</v>
      </c>
      <c r="M599" s="4">
        <v>43466</v>
      </c>
      <c r="N599" s="12">
        <f t="shared" si="28"/>
        <v>1</v>
      </c>
      <c r="O599" s="13">
        <f t="shared" si="29"/>
        <v>2019</v>
      </c>
      <c r="P599" t="s">
        <v>13</v>
      </c>
      <c r="Q599" t="s">
        <v>377</v>
      </c>
      <c r="R599" t="s">
        <v>23</v>
      </c>
      <c r="S599" t="str" cm="1">
        <f t="array" ref="S599">_xlfn.IFS(R599="COMPLETE", "COMPLETED", R599="CANCELED", "CANCELED", TRUE, "PENDING")</f>
        <v>PENDING</v>
      </c>
      <c r="T599" t="s">
        <v>32</v>
      </c>
      <c r="U599">
        <f>VLOOKUP(A599,ordered_items!$B:$E,4,0)</f>
        <v>24.99</v>
      </c>
    </row>
    <row r="600" spans="1:21" x14ac:dyDescent="0.3">
      <c r="A600">
        <v>25116</v>
      </c>
      <c r="B600" t="s">
        <v>51</v>
      </c>
      <c r="C600">
        <v>2</v>
      </c>
      <c r="D600">
        <v>1</v>
      </c>
      <c r="E600" t="str">
        <f t="shared" si="27"/>
        <v>DELAYED</v>
      </c>
      <c r="F600">
        <f>VLOOKUP($A600,ordered_items!$B$2:$E$4784,2,0)</f>
        <v>885</v>
      </c>
      <c r="G600">
        <f>VLOOKUP($A600,ordered_items!$B$2:$E$4784,3,0)</f>
        <v>4</v>
      </c>
      <c r="H600">
        <f>VLOOKUP($A600,ordered_items!$B$2:$E$4784,4,0)</f>
        <v>99.96</v>
      </c>
      <c r="I600" s="15">
        <f>VLOOKUP(F600,product_info!$A$2:$D$73,4,0)</f>
        <v>6</v>
      </c>
      <c r="J600" s="15" t="str">
        <f>VLOOKUP(I600,department!$A$2:$B$13,2,0)</f>
        <v>Outdoors</v>
      </c>
      <c r="K600">
        <v>9427</v>
      </c>
      <c r="L600" t="s">
        <v>844</v>
      </c>
      <c r="M600" s="4">
        <v>43466</v>
      </c>
      <c r="N600" s="12">
        <f t="shared" si="28"/>
        <v>1</v>
      </c>
      <c r="O600" s="13">
        <f t="shared" si="29"/>
        <v>2019</v>
      </c>
      <c r="P600" t="s">
        <v>13</v>
      </c>
      <c r="Q600" t="s">
        <v>377</v>
      </c>
      <c r="R600" t="s">
        <v>57</v>
      </c>
      <c r="S600" t="str" cm="1">
        <f t="array" ref="S600">_xlfn.IFS(R600="COMPLETE", "COMPLETED", R600="CANCELED", "CANCELED", TRUE, "PENDING")</f>
        <v>PENDING</v>
      </c>
      <c r="T600" t="s">
        <v>32</v>
      </c>
      <c r="U600">
        <f>VLOOKUP(A600,ordered_items!$B:$E,4,0)</f>
        <v>99.96</v>
      </c>
    </row>
    <row r="601" spans="1:21" x14ac:dyDescent="0.3">
      <c r="A601">
        <v>25117</v>
      </c>
      <c r="B601" t="s">
        <v>17</v>
      </c>
      <c r="C601">
        <v>2</v>
      </c>
      <c r="D601">
        <v>1</v>
      </c>
      <c r="E601" t="str">
        <f t="shared" si="27"/>
        <v>DELAYED</v>
      </c>
      <c r="F601">
        <f>VLOOKUP($A601,ordered_items!$B$2:$E$4784,2,0)</f>
        <v>627</v>
      </c>
      <c r="G601">
        <f>VLOOKUP($A601,ordered_items!$B$2:$E$4784,3,0)</f>
        <v>2</v>
      </c>
      <c r="H601">
        <f>VLOOKUP($A601,ordered_items!$B$2:$E$4784,4,0)</f>
        <v>79.98</v>
      </c>
      <c r="I601" s="15">
        <f>VLOOKUP(F601,product_info!$A$2:$D$73,4,0)</f>
        <v>5</v>
      </c>
      <c r="J601" s="15" t="str">
        <f>VLOOKUP(I601,department!$A$2:$B$13,2,0)</f>
        <v>Golf</v>
      </c>
      <c r="K601">
        <v>4435</v>
      </c>
      <c r="L601" t="s">
        <v>844</v>
      </c>
      <c r="M601" s="4">
        <v>43466</v>
      </c>
      <c r="N601" s="12">
        <f t="shared" si="28"/>
        <v>1</v>
      </c>
      <c r="O601" s="13">
        <f t="shared" si="29"/>
        <v>2019</v>
      </c>
      <c r="P601" t="s">
        <v>13</v>
      </c>
      <c r="Q601" t="s">
        <v>377</v>
      </c>
      <c r="R601" t="s">
        <v>23</v>
      </c>
      <c r="S601" t="str" cm="1">
        <f t="array" ref="S601">_xlfn.IFS(R601="COMPLETE", "COMPLETED", R601="CANCELED", "CANCELED", TRUE, "PENDING")</f>
        <v>PENDING</v>
      </c>
      <c r="T601" t="s">
        <v>32</v>
      </c>
      <c r="U601">
        <f>VLOOKUP(A601,ordered_items!$B:$E,4,0)</f>
        <v>79.98</v>
      </c>
    </row>
    <row r="602" spans="1:21" x14ac:dyDescent="0.3">
      <c r="A602">
        <v>25131</v>
      </c>
      <c r="B602" t="s">
        <v>3</v>
      </c>
      <c r="C602">
        <v>2</v>
      </c>
      <c r="D602">
        <v>2</v>
      </c>
      <c r="E602" t="str">
        <f t="shared" si="27"/>
        <v xml:space="preserve"> ONTIME</v>
      </c>
      <c r="F602">
        <f>VLOOKUP($A602,ordered_items!$B$2:$E$4784,2,0)</f>
        <v>403</v>
      </c>
      <c r="G602">
        <f>VLOOKUP($A602,ordered_items!$B$2:$E$4784,3,0)</f>
        <v>1</v>
      </c>
      <c r="H602">
        <f>VLOOKUP($A602,ordered_items!$B$2:$E$4784,4,0)</f>
        <v>129.99</v>
      </c>
      <c r="I602" s="15">
        <f>VLOOKUP(F602,product_info!$A$2:$D$73,4,0)</f>
        <v>4</v>
      </c>
      <c r="J602" s="15" t="str">
        <f>VLOOKUP(I602,department!$A$2:$B$13,2,0)</f>
        <v>Apparel</v>
      </c>
      <c r="K602">
        <v>6696</v>
      </c>
      <c r="L602" t="s">
        <v>186</v>
      </c>
      <c r="M602" s="4">
        <v>43466</v>
      </c>
      <c r="N602" s="12">
        <f t="shared" si="28"/>
        <v>1</v>
      </c>
      <c r="O602" s="13">
        <f t="shared" si="29"/>
        <v>2019</v>
      </c>
      <c r="P602" t="s">
        <v>13</v>
      </c>
      <c r="Q602" t="s">
        <v>5778</v>
      </c>
      <c r="R602" t="s">
        <v>38</v>
      </c>
      <c r="S602" t="str" cm="1">
        <f t="array" ref="S602">_xlfn.IFS(R602="COMPLETE", "COMPLETED", R602="CANCELED", "CANCELED", TRUE, "PENDING")</f>
        <v>PENDING</v>
      </c>
      <c r="T602" t="s">
        <v>90</v>
      </c>
      <c r="U602">
        <f>VLOOKUP(A602,ordered_items!$B:$E,4,0)</f>
        <v>129.99</v>
      </c>
    </row>
    <row r="603" spans="1:21" x14ac:dyDescent="0.3">
      <c r="A603">
        <v>25132</v>
      </c>
      <c r="B603" t="s">
        <v>24</v>
      </c>
      <c r="C603">
        <v>2</v>
      </c>
      <c r="D603">
        <v>1</v>
      </c>
      <c r="E603" t="str">
        <f t="shared" si="27"/>
        <v>DELAYED</v>
      </c>
      <c r="F603">
        <f>VLOOKUP($A603,ordered_items!$B$2:$E$4784,2,0)</f>
        <v>957</v>
      </c>
      <c r="G603">
        <f>VLOOKUP($A603,ordered_items!$B$2:$E$4784,3,0)</f>
        <v>1</v>
      </c>
      <c r="H603">
        <f>VLOOKUP($A603,ordered_items!$B$2:$E$4784,4,0)</f>
        <v>299.98</v>
      </c>
      <c r="I603" s="15">
        <f>VLOOKUP(F603,product_info!$A$2:$D$73,4,0)</f>
        <v>7</v>
      </c>
      <c r="J603" s="15" t="str">
        <f>VLOOKUP(I603,department!$A$2:$B$13,2,0)</f>
        <v>Fan Shop</v>
      </c>
      <c r="K603">
        <v>11268</v>
      </c>
      <c r="L603" t="s">
        <v>186</v>
      </c>
      <c r="M603" s="4">
        <v>43466</v>
      </c>
      <c r="N603" s="12">
        <f t="shared" si="28"/>
        <v>1</v>
      </c>
      <c r="O603" s="13">
        <f t="shared" si="29"/>
        <v>2019</v>
      </c>
      <c r="P603" t="s">
        <v>13</v>
      </c>
      <c r="Q603" t="s">
        <v>5778</v>
      </c>
      <c r="R603" t="s">
        <v>378</v>
      </c>
      <c r="S603" t="str" cm="1">
        <f t="array" ref="S603">_xlfn.IFS(R603="COMPLETE", "COMPLETED", R603="CANCELED", "CANCELED", TRUE, "PENDING")</f>
        <v>PENDING</v>
      </c>
      <c r="T603" t="s">
        <v>32</v>
      </c>
      <c r="U603">
        <f>VLOOKUP(A603,ordered_items!$B:$E,4,0)</f>
        <v>299.98</v>
      </c>
    </row>
    <row r="604" spans="1:21" x14ac:dyDescent="0.3">
      <c r="A604">
        <v>25133</v>
      </c>
      <c r="B604" t="s">
        <v>3</v>
      </c>
      <c r="C604">
        <v>4</v>
      </c>
      <c r="D604">
        <v>2</v>
      </c>
      <c r="E604" t="str">
        <f t="shared" si="27"/>
        <v>DELAYED</v>
      </c>
      <c r="F604">
        <f>VLOOKUP($A604,ordered_items!$B$2:$E$4784,2,0)</f>
        <v>771</v>
      </c>
      <c r="G604">
        <f>VLOOKUP($A604,ordered_items!$B$2:$E$4784,3,0)</f>
        <v>2</v>
      </c>
      <c r="H604">
        <f>VLOOKUP($A604,ordered_items!$B$2:$E$4784,4,0)</f>
        <v>79.98</v>
      </c>
      <c r="I604" s="15">
        <f>VLOOKUP(F604,product_info!$A$2:$D$73,4,0)</f>
        <v>6</v>
      </c>
      <c r="J604" s="15" t="str">
        <f>VLOOKUP(I604,department!$A$2:$B$13,2,0)</f>
        <v>Outdoors</v>
      </c>
      <c r="K604">
        <v>8292</v>
      </c>
      <c r="L604" t="s">
        <v>186</v>
      </c>
      <c r="M604" s="4">
        <v>43466</v>
      </c>
      <c r="N604" s="12">
        <f t="shared" si="28"/>
        <v>1</v>
      </c>
      <c r="O604" s="13">
        <f t="shared" si="29"/>
        <v>2019</v>
      </c>
      <c r="P604" t="s">
        <v>13</v>
      </c>
      <c r="Q604" t="s">
        <v>5778</v>
      </c>
      <c r="R604" t="s">
        <v>38</v>
      </c>
      <c r="S604" t="str" cm="1">
        <f t="array" ref="S604">_xlfn.IFS(R604="COMPLETE", "COMPLETED", R604="CANCELED", "CANCELED", TRUE, "PENDING")</f>
        <v>PENDING</v>
      </c>
      <c r="T604" t="s">
        <v>90</v>
      </c>
      <c r="U604">
        <f>VLOOKUP(A604,ordered_items!$B:$E,4,0)</f>
        <v>79.98</v>
      </c>
    </row>
    <row r="605" spans="1:21" x14ac:dyDescent="0.3">
      <c r="A605">
        <v>25140</v>
      </c>
      <c r="B605" t="s">
        <v>3</v>
      </c>
      <c r="C605">
        <v>6</v>
      </c>
      <c r="D605">
        <v>4</v>
      </c>
      <c r="E605" t="str">
        <f t="shared" si="27"/>
        <v>DELAYED</v>
      </c>
      <c r="F605">
        <f>VLOOKUP($A605,ordered_items!$B$2:$E$4784,2,0)</f>
        <v>365</v>
      </c>
      <c r="G605">
        <f>VLOOKUP($A605,ordered_items!$B$2:$E$4784,3,0)</f>
        <v>1</v>
      </c>
      <c r="H605">
        <f>VLOOKUP($A605,ordered_items!$B$2:$E$4784,4,0)</f>
        <v>59.99</v>
      </c>
      <c r="I605" s="15">
        <f>VLOOKUP(F605,product_info!$A$2:$D$73,4,0)</f>
        <v>4</v>
      </c>
      <c r="J605" s="15" t="str">
        <f>VLOOKUP(I605,department!$A$2:$B$13,2,0)</f>
        <v>Apparel</v>
      </c>
      <c r="K605">
        <v>39</v>
      </c>
      <c r="L605" t="s">
        <v>561</v>
      </c>
      <c r="M605" s="4">
        <v>43466</v>
      </c>
      <c r="N605" s="12">
        <f t="shared" si="28"/>
        <v>1</v>
      </c>
      <c r="O605" s="13">
        <f t="shared" si="29"/>
        <v>2019</v>
      </c>
      <c r="P605" t="s">
        <v>13</v>
      </c>
      <c r="Q605" t="s">
        <v>420</v>
      </c>
      <c r="R605" t="s">
        <v>38</v>
      </c>
      <c r="S605" t="str" cm="1">
        <f t="array" ref="S605">_xlfn.IFS(R605="COMPLETE", "COMPLETED", R605="CANCELED", "CANCELED", TRUE, "PENDING")</f>
        <v>PENDING</v>
      </c>
      <c r="T605" t="s">
        <v>16</v>
      </c>
      <c r="U605">
        <f>VLOOKUP(A605,ordered_items!$B:$E,4,0)</f>
        <v>59.99</v>
      </c>
    </row>
    <row r="606" spans="1:21" x14ac:dyDescent="0.3">
      <c r="A606">
        <v>25141</v>
      </c>
      <c r="B606" t="s">
        <v>24</v>
      </c>
      <c r="C606">
        <v>2</v>
      </c>
      <c r="D606">
        <v>4</v>
      </c>
      <c r="E606" t="str">
        <f t="shared" si="27"/>
        <v xml:space="preserve"> ONTIME</v>
      </c>
      <c r="F606">
        <f>VLOOKUP($A606,ordered_items!$B$2:$E$4784,2,0)</f>
        <v>627</v>
      </c>
      <c r="G606">
        <f>VLOOKUP($A606,ordered_items!$B$2:$E$4784,3,0)</f>
        <v>1</v>
      </c>
      <c r="H606">
        <f>VLOOKUP($A606,ordered_items!$B$2:$E$4784,4,0)</f>
        <v>39.99</v>
      </c>
      <c r="I606" s="15">
        <f>VLOOKUP(F606,product_info!$A$2:$D$73,4,0)</f>
        <v>5</v>
      </c>
      <c r="J606" s="15" t="str">
        <f>VLOOKUP(I606,department!$A$2:$B$13,2,0)</f>
        <v>Golf</v>
      </c>
      <c r="K606">
        <v>8700</v>
      </c>
      <c r="L606" t="s">
        <v>561</v>
      </c>
      <c r="M606" s="4">
        <v>43466</v>
      </c>
      <c r="N606" s="12">
        <f t="shared" si="28"/>
        <v>1</v>
      </c>
      <c r="O606" s="13">
        <f t="shared" si="29"/>
        <v>2019</v>
      </c>
      <c r="P606" t="s">
        <v>13</v>
      </c>
      <c r="Q606" t="s">
        <v>420</v>
      </c>
      <c r="R606" t="s">
        <v>31</v>
      </c>
      <c r="S606" t="str" cm="1">
        <f t="array" ref="S606">_xlfn.IFS(R606="COMPLETE", "COMPLETED", R606="CANCELED", "CANCELED", TRUE, "PENDING")</f>
        <v>COMPLETED</v>
      </c>
      <c r="T606" t="s">
        <v>16</v>
      </c>
      <c r="U606">
        <f>VLOOKUP(A606,ordered_items!$B:$E,4,0)</f>
        <v>39.99</v>
      </c>
    </row>
    <row r="607" spans="1:21" x14ac:dyDescent="0.3">
      <c r="A607">
        <v>25183</v>
      </c>
      <c r="B607" t="s">
        <v>3</v>
      </c>
      <c r="C607">
        <v>2</v>
      </c>
      <c r="D607">
        <v>1</v>
      </c>
      <c r="E607" t="str">
        <f t="shared" si="27"/>
        <v>DELAYED</v>
      </c>
      <c r="F607">
        <f>VLOOKUP($A607,ordered_items!$B$2:$E$4784,2,0)</f>
        <v>1073</v>
      </c>
      <c r="G607">
        <f>VLOOKUP($A607,ordered_items!$B$2:$E$4784,3,0)</f>
        <v>1</v>
      </c>
      <c r="H607">
        <f>VLOOKUP($A607,ordered_items!$B$2:$E$4784,4,0)</f>
        <v>199.99</v>
      </c>
      <c r="I607" s="15">
        <f>VLOOKUP(F607,product_info!$A$2:$D$73,4,0)</f>
        <v>7</v>
      </c>
      <c r="J607" s="15" t="str">
        <f>VLOOKUP(I607,department!$A$2:$B$13,2,0)</f>
        <v>Fan Shop</v>
      </c>
      <c r="K607">
        <v>11442</v>
      </c>
      <c r="L607" t="s">
        <v>660</v>
      </c>
      <c r="M607" s="4">
        <v>43467</v>
      </c>
      <c r="N607" s="12">
        <f t="shared" si="28"/>
        <v>1</v>
      </c>
      <c r="O607" s="13">
        <f t="shared" si="29"/>
        <v>2019</v>
      </c>
      <c r="P607" t="s">
        <v>13</v>
      </c>
      <c r="Q607" t="s">
        <v>99</v>
      </c>
      <c r="R607" t="s">
        <v>14</v>
      </c>
      <c r="S607" t="str" cm="1">
        <f t="array" ref="S607">_xlfn.IFS(R607="COMPLETE", "COMPLETED", R607="CANCELED", "CANCELED", TRUE, "PENDING")</f>
        <v>PENDING</v>
      </c>
      <c r="T607" t="s">
        <v>32</v>
      </c>
      <c r="U607">
        <f>VLOOKUP(A607,ordered_items!$B:$E,4,0)</f>
        <v>199.99</v>
      </c>
    </row>
    <row r="608" spans="1:21" x14ac:dyDescent="0.3">
      <c r="A608">
        <v>25184</v>
      </c>
      <c r="B608" t="s">
        <v>51</v>
      </c>
      <c r="C608">
        <v>2</v>
      </c>
      <c r="D608">
        <v>1</v>
      </c>
      <c r="E608" t="str">
        <f t="shared" si="27"/>
        <v>DELAYED</v>
      </c>
      <c r="F608">
        <f>VLOOKUP($A608,ordered_items!$B$2:$E$4784,2,0)</f>
        <v>797</v>
      </c>
      <c r="G608">
        <f>VLOOKUP($A608,ordered_items!$B$2:$E$4784,3,0)</f>
        <v>1</v>
      </c>
      <c r="H608">
        <f>VLOOKUP($A608,ordered_items!$B$2:$E$4784,4,0)</f>
        <v>17.989999999999998</v>
      </c>
      <c r="I608" s="15">
        <f>VLOOKUP(F608,product_info!$A$2:$D$73,4,0)</f>
        <v>6</v>
      </c>
      <c r="J608" s="15" t="str">
        <f>VLOOKUP(I608,department!$A$2:$B$13,2,0)</f>
        <v>Outdoors</v>
      </c>
      <c r="K608">
        <v>3818</v>
      </c>
      <c r="L608" t="s">
        <v>660</v>
      </c>
      <c r="M608" s="4">
        <v>43467</v>
      </c>
      <c r="N608" s="12">
        <f t="shared" si="28"/>
        <v>1</v>
      </c>
      <c r="O608" s="13">
        <f t="shared" si="29"/>
        <v>2019</v>
      </c>
      <c r="P608" t="s">
        <v>13</v>
      </c>
      <c r="Q608" t="s">
        <v>99</v>
      </c>
      <c r="R608" t="s">
        <v>57</v>
      </c>
      <c r="S608" t="str" cm="1">
        <f t="array" ref="S608">_xlfn.IFS(R608="COMPLETE", "COMPLETED", R608="CANCELED", "CANCELED", TRUE, "PENDING")</f>
        <v>PENDING</v>
      </c>
      <c r="T608" t="s">
        <v>32</v>
      </c>
      <c r="U608">
        <f>VLOOKUP(A608,ordered_items!$B:$E,4,0)</f>
        <v>17.989999999999998</v>
      </c>
    </row>
    <row r="609" spans="1:21" x14ac:dyDescent="0.3">
      <c r="A609">
        <v>25203</v>
      </c>
      <c r="B609" t="s">
        <v>3</v>
      </c>
      <c r="C609">
        <v>1</v>
      </c>
      <c r="D609">
        <v>0</v>
      </c>
      <c r="E609" t="str">
        <f t="shared" si="27"/>
        <v>DELAYED</v>
      </c>
      <c r="F609">
        <f>VLOOKUP($A609,ordered_items!$B$2:$E$4784,2,0)</f>
        <v>403</v>
      </c>
      <c r="G609">
        <f>VLOOKUP($A609,ordered_items!$B$2:$E$4784,3,0)</f>
        <v>1</v>
      </c>
      <c r="H609">
        <f>VLOOKUP($A609,ordered_items!$B$2:$E$4784,4,0)</f>
        <v>129.99</v>
      </c>
      <c r="I609" s="15">
        <f>VLOOKUP(F609,product_info!$A$2:$D$73,4,0)</f>
        <v>4</v>
      </c>
      <c r="J609" s="15" t="str">
        <f>VLOOKUP(I609,department!$A$2:$B$13,2,0)</f>
        <v>Apparel</v>
      </c>
      <c r="K609">
        <v>12013</v>
      </c>
      <c r="L609" t="s">
        <v>214</v>
      </c>
      <c r="M609" s="4">
        <v>43467</v>
      </c>
      <c r="N609" s="12">
        <f t="shared" si="28"/>
        <v>1</v>
      </c>
      <c r="O609" s="13">
        <f t="shared" si="29"/>
        <v>2019</v>
      </c>
      <c r="P609" t="s">
        <v>13</v>
      </c>
      <c r="Q609" t="s">
        <v>5781</v>
      </c>
      <c r="R609" t="s">
        <v>178</v>
      </c>
      <c r="S609" t="str" cm="1">
        <f t="array" ref="S609">_xlfn.IFS(R609="COMPLETE", "COMPLETED", R609="CANCELED", "CANCELED", TRUE, "PENDING")</f>
        <v>PENDING</v>
      </c>
      <c r="T609" t="s">
        <v>58</v>
      </c>
      <c r="U609">
        <f>VLOOKUP(A609,ordered_items!$B:$E,4,0)</f>
        <v>129.99</v>
      </c>
    </row>
    <row r="610" spans="1:21" x14ac:dyDescent="0.3">
      <c r="A610">
        <v>25204</v>
      </c>
      <c r="B610" t="s">
        <v>17</v>
      </c>
      <c r="C610">
        <v>5</v>
      </c>
      <c r="D610">
        <v>4</v>
      </c>
      <c r="E610" t="str">
        <f t="shared" si="27"/>
        <v>DELAYED</v>
      </c>
      <c r="F610">
        <f>VLOOKUP($A610,ordered_items!$B$2:$E$4784,2,0)</f>
        <v>502</v>
      </c>
      <c r="G610">
        <f>VLOOKUP($A610,ordered_items!$B$2:$E$4784,3,0)</f>
        <v>2</v>
      </c>
      <c r="H610">
        <f>VLOOKUP($A610,ordered_items!$B$2:$E$4784,4,0)</f>
        <v>100</v>
      </c>
      <c r="I610" s="15">
        <f>VLOOKUP(F610,product_info!$A$2:$D$73,4,0)</f>
        <v>5</v>
      </c>
      <c r="J610" s="15" t="str">
        <f>VLOOKUP(I610,department!$A$2:$B$13,2,0)</f>
        <v>Golf</v>
      </c>
      <c r="K610">
        <v>7629</v>
      </c>
      <c r="L610" t="s">
        <v>214</v>
      </c>
      <c r="M610" s="4">
        <v>43467</v>
      </c>
      <c r="N610" s="12">
        <f t="shared" si="28"/>
        <v>1</v>
      </c>
      <c r="O610" s="13">
        <f t="shared" si="29"/>
        <v>2019</v>
      </c>
      <c r="P610" t="s">
        <v>13</v>
      </c>
      <c r="Q610" t="s">
        <v>5781</v>
      </c>
      <c r="R610" t="s">
        <v>23</v>
      </c>
      <c r="S610" t="str" cm="1">
        <f t="array" ref="S610">_xlfn.IFS(R610="COMPLETE", "COMPLETED", R610="CANCELED", "CANCELED", TRUE, "PENDING")</f>
        <v>PENDING</v>
      </c>
      <c r="T610" t="s">
        <v>16</v>
      </c>
      <c r="U610">
        <f>VLOOKUP(A610,ordered_items!$B:$E,4,0)</f>
        <v>100</v>
      </c>
    </row>
    <row r="611" spans="1:21" x14ac:dyDescent="0.3">
      <c r="A611">
        <v>25205</v>
      </c>
      <c r="B611" t="s">
        <v>51</v>
      </c>
      <c r="C611">
        <v>6</v>
      </c>
      <c r="D611">
        <v>4</v>
      </c>
      <c r="E611" t="str">
        <f t="shared" si="27"/>
        <v>DELAYED</v>
      </c>
      <c r="F611">
        <f>VLOOKUP($A611,ordered_items!$B$2:$E$4784,2,0)</f>
        <v>403</v>
      </c>
      <c r="G611">
        <f>VLOOKUP($A611,ordered_items!$B$2:$E$4784,3,0)</f>
        <v>1</v>
      </c>
      <c r="H611">
        <f>VLOOKUP($A611,ordered_items!$B$2:$E$4784,4,0)</f>
        <v>129.99</v>
      </c>
      <c r="I611" s="15">
        <f>VLOOKUP(F611,product_info!$A$2:$D$73,4,0)</f>
        <v>4</v>
      </c>
      <c r="J611" s="15" t="str">
        <f>VLOOKUP(I611,department!$A$2:$B$13,2,0)</f>
        <v>Apparel</v>
      </c>
      <c r="K611">
        <v>427</v>
      </c>
      <c r="L611" t="s">
        <v>214</v>
      </c>
      <c r="M611" s="4">
        <v>43467</v>
      </c>
      <c r="N611" s="12">
        <f t="shared" si="28"/>
        <v>1</v>
      </c>
      <c r="O611" s="13">
        <f t="shared" si="29"/>
        <v>2019</v>
      </c>
      <c r="P611" t="s">
        <v>13</v>
      </c>
      <c r="Q611" t="s">
        <v>5781</v>
      </c>
      <c r="R611" t="s">
        <v>57</v>
      </c>
      <c r="S611" t="str" cm="1">
        <f t="array" ref="S611">_xlfn.IFS(R611="COMPLETE", "COMPLETED", R611="CANCELED", "CANCELED", TRUE, "PENDING")</f>
        <v>PENDING</v>
      </c>
      <c r="T611" t="s">
        <v>16</v>
      </c>
      <c r="U611">
        <f>VLOOKUP(A611,ordered_items!$B:$E,4,0)</f>
        <v>129.99</v>
      </c>
    </row>
    <row r="612" spans="1:21" x14ac:dyDescent="0.3">
      <c r="A612">
        <v>25206</v>
      </c>
      <c r="B612" t="s">
        <v>3</v>
      </c>
      <c r="C612">
        <v>2</v>
      </c>
      <c r="D612">
        <v>4</v>
      </c>
      <c r="E612" t="str">
        <f t="shared" si="27"/>
        <v xml:space="preserve"> ONTIME</v>
      </c>
      <c r="F612">
        <f>VLOOKUP($A612,ordered_items!$B$2:$E$4784,2,0)</f>
        <v>403</v>
      </c>
      <c r="G612">
        <f>VLOOKUP($A612,ordered_items!$B$2:$E$4784,3,0)</f>
        <v>1</v>
      </c>
      <c r="H612">
        <f>VLOOKUP($A612,ordered_items!$B$2:$E$4784,4,0)</f>
        <v>129.99</v>
      </c>
      <c r="I612" s="15">
        <f>VLOOKUP(F612,product_info!$A$2:$D$73,4,0)</f>
        <v>4</v>
      </c>
      <c r="J612" s="15" t="str">
        <f>VLOOKUP(I612,department!$A$2:$B$13,2,0)</f>
        <v>Apparel</v>
      </c>
      <c r="K612">
        <v>3074</v>
      </c>
      <c r="L612" t="s">
        <v>214</v>
      </c>
      <c r="M612" s="4">
        <v>43467</v>
      </c>
      <c r="N612" s="12">
        <f t="shared" si="28"/>
        <v>1</v>
      </c>
      <c r="O612" s="13">
        <f t="shared" si="29"/>
        <v>2019</v>
      </c>
      <c r="P612" t="s">
        <v>13</v>
      </c>
      <c r="Q612" t="s">
        <v>5781</v>
      </c>
      <c r="R612" t="s">
        <v>38</v>
      </c>
      <c r="S612" t="str" cm="1">
        <f t="array" ref="S612">_xlfn.IFS(R612="COMPLETE", "COMPLETED", R612="CANCELED", "CANCELED", TRUE, "PENDING")</f>
        <v>PENDING</v>
      </c>
      <c r="T612" t="s">
        <v>16</v>
      </c>
      <c r="U612">
        <f>VLOOKUP(A612,ordered_items!$B:$E,4,0)</f>
        <v>129.99</v>
      </c>
    </row>
    <row r="613" spans="1:21" x14ac:dyDescent="0.3">
      <c r="A613">
        <v>25207</v>
      </c>
      <c r="B613" t="s">
        <v>24</v>
      </c>
      <c r="C613">
        <v>3</v>
      </c>
      <c r="D613">
        <v>4</v>
      </c>
      <c r="E613" t="str">
        <f t="shared" si="27"/>
        <v xml:space="preserve"> ONTIME</v>
      </c>
      <c r="F613">
        <f>VLOOKUP($A613,ordered_items!$B$2:$E$4784,2,0)</f>
        <v>957</v>
      </c>
      <c r="G613">
        <f>VLOOKUP($A613,ordered_items!$B$2:$E$4784,3,0)</f>
        <v>1</v>
      </c>
      <c r="H613">
        <f>VLOOKUP($A613,ordered_items!$B$2:$E$4784,4,0)</f>
        <v>299.98</v>
      </c>
      <c r="I613" s="15">
        <f>VLOOKUP(F613,product_info!$A$2:$D$73,4,0)</f>
        <v>7</v>
      </c>
      <c r="J613" s="15" t="str">
        <f>VLOOKUP(I613,department!$A$2:$B$13,2,0)</f>
        <v>Fan Shop</v>
      </c>
      <c r="K613">
        <v>9162</v>
      </c>
      <c r="L613" t="s">
        <v>214</v>
      </c>
      <c r="M613" s="4">
        <v>43467</v>
      </c>
      <c r="N613" s="12">
        <f t="shared" si="28"/>
        <v>1</v>
      </c>
      <c r="O613" s="13">
        <f t="shared" si="29"/>
        <v>2019</v>
      </c>
      <c r="P613" t="s">
        <v>13</v>
      </c>
      <c r="Q613" t="s">
        <v>5781</v>
      </c>
      <c r="R613" t="s">
        <v>31</v>
      </c>
      <c r="S613" t="str" cm="1">
        <f t="array" ref="S613">_xlfn.IFS(R613="COMPLETE", "COMPLETED", R613="CANCELED", "CANCELED", TRUE, "PENDING")</f>
        <v>COMPLETED</v>
      </c>
      <c r="T613" t="s">
        <v>16</v>
      </c>
      <c r="U613">
        <f>VLOOKUP(A613,ordered_items!$B:$E,4,0)</f>
        <v>299.98</v>
      </c>
    </row>
    <row r="614" spans="1:21" x14ac:dyDescent="0.3">
      <c r="A614">
        <v>25228</v>
      </c>
      <c r="B614" t="s">
        <v>51</v>
      </c>
      <c r="C614">
        <v>4</v>
      </c>
      <c r="D614">
        <v>4</v>
      </c>
      <c r="E614" t="str">
        <f t="shared" si="27"/>
        <v xml:space="preserve"> ONTIME</v>
      </c>
      <c r="F614">
        <f>VLOOKUP($A614,ordered_items!$B$2:$E$4784,2,0)</f>
        <v>365</v>
      </c>
      <c r="G614">
        <f>VLOOKUP($A614,ordered_items!$B$2:$E$4784,3,0)</f>
        <v>3</v>
      </c>
      <c r="H614">
        <f>VLOOKUP($A614,ordered_items!$B$2:$E$4784,4,0)</f>
        <v>179.97</v>
      </c>
      <c r="I614" s="15">
        <f>VLOOKUP(F614,product_info!$A$2:$D$73,4,0)</f>
        <v>4</v>
      </c>
      <c r="J614" s="15" t="str">
        <f>VLOOKUP(I614,department!$A$2:$B$13,2,0)</f>
        <v>Apparel</v>
      </c>
      <c r="K614">
        <v>4936</v>
      </c>
      <c r="L614" t="s">
        <v>136</v>
      </c>
      <c r="M614" s="4">
        <v>43468</v>
      </c>
      <c r="N614" s="12">
        <f t="shared" si="28"/>
        <v>1</v>
      </c>
      <c r="O614" s="13">
        <f t="shared" si="29"/>
        <v>2019</v>
      </c>
      <c r="P614" t="s">
        <v>13</v>
      </c>
      <c r="Q614" t="s">
        <v>47</v>
      </c>
      <c r="R614" t="s">
        <v>57</v>
      </c>
      <c r="S614" t="str" cm="1">
        <f t="array" ref="S614">_xlfn.IFS(R614="COMPLETE", "COMPLETED", R614="CANCELED", "CANCELED", TRUE, "PENDING")</f>
        <v>PENDING</v>
      </c>
      <c r="T614" t="s">
        <v>16</v>
      </c>
      <c r="U614">
        <f>VLOOKUP(A614,ordered_items!$B:$E,4,0)</f>
        <v>179.97</v>
      </c>
    </row>
    <row r="615" spans="1:21" x14ac:dyDescent="0.3">
      <c r="A615">
        <v>25243</v>
      </c>
      <c r="B615" t="s">
        <v>24</v>
      </c>
      <c r="C615">
        <v>4</v>
      </c>
      <c r="D615">
        <v>2</v>
      </c>
      <c r="E615" t="str">
        <f t="shared" si="27"/>
        <v>DELAYED</v>
      </c>
      <c r="F615">
        <f>VLOOKUP($A615,ordered_items!$B$2:$E$4784,2,0)</f>
        <v>365</v>
      </c>
      <c r="G615">
        <f>VLOOKUP($A615,ordered_items!$B$2:$E$4784,3,0)</f>
        <v>1</v>
      </c>
      <c r="H615">
        <f>VLOOKUP($A615,ordered_items!$B$2:$E$4784,4,0)</f>
        <v>59.99</v>
      </c>
      <c r="I615" s="15">
        <f>VLOOKUP(F615,product_info!$A$2:$D$73,4,0)</f>
        <v>4</v>
      </c>
      <c r="J615" s="15" t="str">
        <f>VLOOKUP(I615,department!$A$2:$B$13,2,0)</f>
        <v>Apparel</v>
      </c>
      <c r="K615">
        <v>4593</v>
      </c>
      <c r="L615" t="s">
        <v>885</v>
      </c>
      <c r="M615" s="4">
        <v>43468</v>
      </c>
      <c r="N615" s="12">
        <f t="shared" si="28"/>
        <v>1</v>
      </c>
      <c r="O615" s="13">
        <f t="shared" si="29"/>
        <v>2019</v>
      </c>
      <c r="P615" t="s">
        <v>13</v>
      </c>
      <c r="Q615" t="s">
        <v>99</v>
      </c>
      <c r="R615" t="s">
        <v>31</v>
      </c>
      <c r="S615" t="str" cm="1">
        <f t="array" ref="S615">_xlfn.IFS(R615="COMPLETE", "COMPLETED", R615="CANCELED", "CANCELED", TRUE, "PENDING")</f>
        <v>COMPLETED</v>
      </c>
      <c r="T615" t="s">
        <v>90</v>
      </c>
      <c r="U615">
        <f>VLOOKUP(A615,ordered_items!$B:$E,4,0)</f>
        <v>59.99</v>
      </c>
    </row>
    <row r="616" spans="1:21" x14ac:dyDescent="0.3">
      <c r="A616">
        <v>25244</v>
      </c>
      <c r="B616" t="s">
        <v>24</v>
      </c>
      <c r="C616">
        <v>5</v>
      </c>
      <c r="D616">
        <v>2</v>
      </c>
      <c r="E616" t="str">
        <f t="shared" si="27"/>
        <v>DELAYED</v>
      </c>
      <c r="F616">
        <f>VLOOKUP($A616,ordered_items!$B$2:$E$4784,2,0)</f>
        <v>403</v>
      </c>
      <c r="G616">
        <f>VLOOKUP($A616,ordered_items!$B$2:$E$4784,3,0)</f>
        <v>1</v>
      </c>
      <c r="H616">
        <f>VLOOKUP($A616,ordered_items!$B$2:$E$4784,4,0)</f>
        <v>129.99</v>
      </c>
      <c r="I616" s="15">
        <f>VLOOKUP(F616,product_info!$A$2:$D$73,4,0)</f>
        <v>4</v>
      </c>
      <c r="J616" s="15" t="str">
        <f>VLOOKUP(I616,department!$A$2:$B$13,2,0)</f>
        <v>Apparel</v>
      </c>
      <c r="K616">
        <v>2300</v>
      </c>
      <c r="L616" t="s">
        <v>885</v>
      </c>
      <c r="M616" s="4">
        <v>43468</v>
      </c>
      <c r="N616" s="12">
        <f t="shared" si="28"/>
        <v>1</v>
      </c>
      <c r="O616" s="13">
        <f t="shared" si="29"/>
        <v>2019</v>
      </c>
      <c r="P616" t="s">
        <v>13</v>
      </c>
      <c r="Q616" t="s">
        <v>99</v>
      </c>
      <c r="R616" t="s">
        <v>31</v>
      </c>
      <c r="S616" t="str" cm="1">
        <f t="array" ref="S616">_xlfn.IFS(R616="COMPLETE", "COMPLETED", R616="CANCELED", "CANCELED", TRUE, "PENDING")</f>
        <v>COMPLETED</v>
      </c>
      <c r="T616" t="s">
        <v>90</v>
      </c>
      <c r="U616">
        <f>VLOOKUP(A616,ordered_items!$B:$E,4,0)</f>
        <v>129.99</v>
      </c>
    </row>
    <row r="617" spans="1:21" x14ac:dyDescent="0.3">
      <c r="A617">
        <v>25246</v>
      </c>
      <c r="B617" t="s">
        <v>3</v>
      </c>
      <c r="C617">
        <v>2</v>
      </c>
      <c r="D617">
        <v>2</v>
      </c>
      <c r="E617" t="str">
        <f t="shared" si="27"/>
        <v xml:space="preserve"> ONTIME</v>
      </c>
      <c r="F617">
        <f>VLOOKUP($A617,ordered_items!$B$2:$E$4784,2,0)</f>
        <v>1004</v>
      </c>
      <c r="G617">
        <f>VLOOKUP($A617,ordered_items!$B$2:$E$4784,3,0)</f>
        <v>1</v>
      </c>
      <c r="H617">
        <f>VLOOKUP($A617,ordered_items!$B$2:$E$4784,4,0)</f>
        <v>399.98</v>
      </c>
      <c r="I617" s="15">
        <f>VLOOKUP(F617,product_info!$A$2:$D$73,4,0)</f>
        <v>7</v>
      </c>
      <c r="J617" s="15" t="str">
        <f>VLOOKUP(I617,department!$A$2:$B$13,2,0)</f>
        <v>Fan Shop</v>
      </c>
      <c r="K617">
        <v>9708</v>
      </c>
      <c r="L617" t="s">
        <v>572</v>
      </c>
      <c r="M617" s="4">
        <v>43468</v>
      </c>
      <c r="N617" s="12">
        <f t="shared" si="28"/>
        <v>1</v>
      </c>
      <c r="O617" s="13">
        <f t="shared" si="29"/>
        <v>2019</v>
      </c>
      <c r="P617" t="s">
        <v>13</v>
      </c>
      <c r="Q617" t="s">
        <v>47</v>
      </c>
      <c r="R617" t="s">
        <v>38</v>
      </c>
      <c r="S617" t="str" cm="1">
        <f t="array" ref="S617">_xlfn.IFS(R617="COMPLETE", "COMPLETED", R617="CANCELED", "CANCELED", TRUE, "PENDING")</f>
        <v>PENDING</v>
      </c>
      <c r="T617" t="s">
        <v>90</v>
      </c>
      <c r="U617">
        <f>VLOOKUP(A617,ordered_items!$B:$E,4,0)</f>
        <v>399.98</v>
      </c>
    </row>
    <row r="618" spans="1:21" x14ac:dyDescent="0.3">
      <c r="A618">
        <v>25247</v>
      </c>
      <c r="B618" t="s">
        <v>3</v>
      </c>
      <c r="C618">
        <v>3</v>
      </c>
      <c r="D618">
        <v>2</v>
      </c>
      <c r="E618" t="str">
        <f t="shared" si="27"/>
        <v>DELAYED</v>
      </c>
      <c r="F618">
        <f>VLOOKUP($A618,ordered_items!$B$2:$E$4784,2,0)</f>
        <v>403</v>
      </c>
      <c r="G618">
        <f>VLOOKUP($A618,ordered_items!$B$2:$E$4784,3,0)</f>
        <v>1</v>
      </c>
      <c r="H618">
        <f>VLOOKUP($A618,ordered_items!$B$2:$E$4784,4,0)</f>
        <v>129.99</v>
      </c>
      <c r="I618" s="15">
        <f>VLOOKUP(F618,product_info!$A$2:$D$73,4,0)</f>
        <v>4</v>
      </c>
      <c r="J618" s="15" t="str">
        <f>VLOOKUP(I618,department!$A$2:$B$13,2,0)</f>
        <v>Apparel</v>
      </c>
      <c r="K618">
        <v>715</v>
      </c>
      <c r="L618" t="s">
        <v>572</v>
      </c>
      <c r="M618" s="4">
        <v>43468</v>
      </c>
      <c r="N618" s="12">
        <f t="shared" si="28"/>
        <v>1</v>
      </c>
      <c r="O618" s="13">
        <f t="shared" si="29"/>
        <v>2019</v>
      </c>
      <c r="P618" t="s">
        <v>13</v>
      </c>
      <c r="Q618" t="s">
        <v>47</v>
      </c>
      <c r="R618" t="s">
        <v>38</v>
      </c>
      <c r="S618" t="str" cm="1">
        <f t="array" ref="S618">_xlfn.IFS(R618="COMPLETE", "COMPLETED", R618="CANCELED", "CANCELED", TRUE, "PENDING")</f>
        <v>PENDING</v>
      </c>
      <c r="T618" t="s">
        <v>90</v>
      </c>
      <c r="U618">
        <f>VLOOKUP(A618,ordered_items!$B:$E,4,0)</f>
        <v>129.99</v>
      </c>
    </row>
    <row r="619" spans="1:21" x14ac:dyDescent="0.3">
      <c r="A619">
        <v>25248</v>
      </c>
      <c r="B619" t="s">
        <v>51</v>
      </c>
      <c r="C619">
        <v>4</v>
      </c>
      <c r="D619">
        <v>2</v>
      </c>
      <c r="E619" t="str">
        <f t="shared" si="27"/>
        <v>DELAYED</v>
      </c>
      <c r="F619">
        <f>VLOOKUP($A619,ordered_items!$B$2:$E$4784,2,0)</f>
        <v>403</v>
      </c>
      <c r="G619">
        <f>VLOOKUP($A619,ordered_items!$B$2:$E$4784,3,0)</f>
        <v>1</v>
      </c>
      <c r="H619">
        <f>VLOOKUP($A619,ordered_items!$B$2:$E$4784,4,0)</f>
        <v>129.99</v>
      </c>
      <c r="I619" s="15">
        <f>VLOOKUP(F619,product_info!$A$2:$D$73,4,0)</f>
        <v>4</v>
      </c>
      <c r="J619" s="15" t="str">
        <f>VLOOKUP(I619,department!$A$2:$B$13,2,0)</f>
        <v>Apparel</v>
      </c>
      <c r="K619">
        <v>8397</v>
      </c>
      <c r="L619" t="s">
        <v>572</v>
      </c>
      <c r="M619" s="4">
        <v>43468</v>
      </c>
      <c r="N619" s="12">
        <f t="shared" si="28"/>
        <v>1</v>
      </c>
      <c r="O619" s="13">
        <f t="shared" si="29"/>
        <v>2019</v>
      </c>
      <c r="P619" t="s">
        <v>13</v>
      </c>
      <c r="Q619" t="s">
        <v>47</v>
      </c>
      <c r="R619" t="s">
        <v>57</v>
      </c>
      <c r="S619" t="str" cm="1">
        <f t="array" ref="S619">_xlfn.IFS(R619="COMPLETE", "COMPLETED", R619="CANCELED", "CANCELED", TRUE, "PENDING")</f>
        <v>PENDING</v>
      </c>
      <c r="T619" t="s">
        <v>90</v>
      </c>
      <c r="U619">
        <f>VLOOKUP(A619,ordered_items!$B:$E,4,0)</f>
        <v>129.99</v>
      </c>
    </row>
    <row r="620" spans="1:21" x14ac:dyDescent="0.3">
      <c r="A620">
        <v>25249</v>
      </c>
      <c r="B620" t="s">
        <v>24</v>
      </c>
      <c r="C620">
        <v>5</v>
      </c>
      <c r="D620">
        <v>2</v>
      </c>
      <c r="E620" t="str">
        <f t="shared" si="27"/>
        <v>DELAYED</v>
      </c>
      <c r="F620">
        <f>VLOOKUP($A620,ordered_items!$B$2:$E$4784,2,0)</f>
        <v>502</v>
      </c>
      <c r="G620">
        <f>VLOOKUP($A620,ordered_items!$B$2:$E$4784,3,0)</f>
        <v>1</v>
      </c>
      <c r="H620">
        <f>VLOOKUP($A620,ordered_items!$B$2:$E$4784,4,0)</f>
        <v>50</v>
      </c>
      <c r="I620" s="15">
        <f>VLOOKUP(F620,product_info!$A$2:$D$73,4,0)</f>
        <v>5</v>
      </c>
      <c r="J620" s="15" t="str">
        <f>VLOOKUP(I620,department!$A$2:$B$13,2,0)</f>
        <v>Golf</v>
      </c>
      <c r="K620">
        <v>8481</v>
      </c>
      <c r="L620" t="s">
        <v>572</v>
      </c>
      <c r="M620" s="4">
        <v>43468</v>
      </c>
      <c r="N620" s="12">
        <f t="shared" si="28"/>
        <v>1</v>
      </c>
      <c r="O620" s="13">
        <f t="shared" si="29"/>
        <v>2019</v>
      </c>
      <c r="P620" t="s">
        <v>13</v>
      </c>
      <c r="Q620" t="s">
        <v>47</v>
      </c>
      <c r="R620" t="s">
        <v>31</v>
      </c>
      <c r="S620" t="str" cm="1">
        <f t="array" ref="S620">_xlfn.IFS(R620="COMPLETE", "COMPLETED", R620="CANCELED", "CANCELED", TRUE, "PENDING")</f>
        <v>COMPLETED</v>
      </c>
      <c r="T620" t="s">
        <v>90</v>
      </c>
      <c r="U620">
        <f>VLOOKUP(A620,ordered_items!$B:$E,4,0)</f>
        <v>50</v>
      </c>
    </row>
    <row r="621" spans="1:21" x14ac:dyDescent="0.3">
      <c r="A621">
        <v>25250</v>
      </c>
      <c r="B621" t="s">
        <v>3</v>
      </c>
      <c r="C621">
        <v>6</v>
      </c>
      <c r="D621">
        <v>4</v>
      </c>
      <c r="E621" t="str">
        <f t="shared" si="27"/>
        <v>DELAYED</v>
      </c>
      <c r="F621">
        <f>VLOOKUP($A621,ordered_items!$B$2:$E$4784,2,0)</f>
        <v>1073</v>
      </c>
      <c r="G621">
        <f>VLOOKUP($A621,ordered_items!$B$2:$E$4784,3,0)</f>
        <v>1</v>
      </c>
      <c r="H621">
        <f>VLOOKUP($A621,ordered_items!$B$2:$E$4784,4,0)</f>
        <v>199.99</v>
      </c>
      <c r="I621" s="15">
        <f>VLOOKUP(F621,product_info!$A$2:$D$73,4,0)</f>
        <v>7</v>
      </c>
      <c r="J621" s="15" t="str">
        <f>VLOOKUP(I621,department!$A$2:$B$13,2,0)</f>
        <v>Fan Shop</v>
      </c>
      <c r="K621">
        <v>9023</v>
      </c>
      <c r="L621" t="s">
        <v>572</v>
      </c>
      <c r="M621" s="4">
        <v>43468</v>
      </c>
      <c r="N621" s="12">
        <f t="shared" si="28"/>
        <v>1</v>
      </c>
      <c r="O621" s="13">
        <f t="shared" si="29"/>
        <v>2019</v>
      </c>
      <c r="P621" t="s">
        <v>13</v>
      </c>
      <c r="Q621" t="s">
        <v>47</v>
      </c>
      <c r="R621" t="s">
        <v>14</v>
      </c>
      <c r="S621" t="str" cm="1">
        <f t="array" ref="S621">_xlfn.IFS(R621="COMPLETE", "COMPLETED", R621="CANCELED", "CANCELED", TRUE, "PENDING")</f>
        <v>PENDING</v>
      </c>
      <c r="T621" t="s">
        <v>16</v>
      </c>
      <c r="U621">
        <f>VLOOKUP(A621,ordered_items!$B:$E,4,0)</f>
        <v>199.99</v>
      </c>
    </row>
    <row r="622" spans="1:21" x14ac:dyDescent="0.3">
      <c r="A622">
        <v>25277</v>
      </c>
      <c r="B622" t="s">
        <v>51</v>
      </c>
      <c r="C622">
        <v>3</v>
      </c>
      <c r="D622">
        <v>4</v>
      </c>
      <c r="E622" t="str">
        <f t="shared" si="27"/>
        <v xml:space="preserve"> ONTIME</v>
      </c>
      <c r="F622">
        <f>VLOOKUP($A622,ordered_items!$B$2:$E$4784,2,0)</f>
        <v>957</v>
      </c>
      <c r="G622">
        <f>VLOOKUP($A622,ordered_items!$B$2:$E$4784,3,0)</f>
        <v>1</v>
      </c>
      <c r="H622">
        <f>VLOOKUP($A622,ordered_items!$B$2:$E$4784,4,0)</f>
        <v>299.98</v>
      </c>
      <c r="I622" s="15">
        <f>VLOOKUP(F622,product_info!$A$2:$D$73,4,0)</f>
        <v>7</v>
      </c>
      <c r="J622" s="15" t="str">
        <f>VLOOKUP(I622,department!$A$2:$B$13,2,0)</f>
        <v>Fan Shop</v>
      </c>
      <c r="K622">
        <v>11130</v>
      </c>
      <c r="L622" t="s">
        <v>930</v>
      </c>
      <c r="M622" s="4">
        <v>43468</v>
      </c>
      <c r="N622" s="12">
        <f t="shared" si="28"/>
        <v>1</v>
      </c>
      <c r="O622" s="13">
        <f t="shared" si="29"/>
        <v>2019</v>
      </c>
      <c r="P622" t="s">
        <v>13</v>
      </c>
      <c r="Q622" t="s">
        <v>30</v>
      </c>
      <c r="R622" t="s">
        <v>57</v>
      </c>
      <c r="S622" t="str" cm="1">
        <f t="array" ref="S622">_xlfn.IFS(R622="COMPLETE", "COMPLETED", R622="CANCELED", "CANCELED", TRUE, "PENDING")</f>
        <v>PENDING</v>
      </c>
      <c r="T622" t="s">
        <v>16</v>
      </c>
      <c r="U622">
        <f>VLOOKUP(A622,ordered_items!$B:$E,4,0)</f>
        <v>299.98</v>
      </c>
    </row>
    <row r="623" spans="1:21" x14ac:dyDescent="0.3">
      <c r="A623">
        <v>25299</v>
      </c>
      <c r="B623" t="s">
        <v>24</v>
      </c>
      <c r="C623">
        <v>5</v>
      </c>
      <c r="D623">
        <v>4</v>
      </c>
      <c r="E623" t="str">
        <f t="shared" si="27"/>
        <v>DELAYED</v>
      </c>
      <c r="F623">
        <f>VLOOKUP($A623,ordered_items!$B$2:$E$4784,2,0)</f>
        <v>365</v>
      </c>
      <c r="G623">
        <f>VLOOKUP($A623,ordered_items!$B$2:$E$4784,3,0)</f>
        <v>5</v>
      </c>
      <c r="H623">
        <f>VLOOKUP($A623,ordered_items!$B$2:$E$4784,4,0)</f>
        <v>299.95</v>
      </c>
      <c r="I623" s="15">
        <f>VLOOKUP(F623,product_info!$A$2:$D$73,4,0)</f>
        <v>4</v>
      </c>
      <c r="J623" s="15" t="str">
        <f>VLOOKUP(I623,department!$A$2:$B$13,2,0)</f>
        <v>Apparel</v>
      </c>
      <c r="K623">
        <v>3177</v>
      </c>
      <c r="L623" t="s">
        <v>994</v>
      </c>
      <c r="M623" s="4">
        <v>43469</v>
      </c>
      <c r="N623" s="12">
        <f t="shared" si="28"/>
        <v>1</v>
      </c>
      <c r="O623" s="13">
        <f t="shared" si="29"/>
        <v>2019</v>
      </c>
      <c r="P623" t="s">
        <v>13</v>
      </c>
      <c r="Q623" t="s">
        <v>245</v>
      </c>
      <c r="R623" t="s">
        <v>31</v>
      </c>
      <c r="S623" t="str" cm="1">
        <f t="array" ref="S623">_xlfn.IFS(R623="COMPLETE", "COMPLETED", R623="CANCELED", "CANCELED", TRUE, "PENDING")</f>
        <v>COMPLETED</v>
      </c>
      <c r="T623" t="s">
        <v>16</v>
      </c>
      <c r="U623">
        <f>VLOOKUP(A623,ordered_items!$B:$E,4,0)</f>
        <v>299.95</v>
      </c>
    </row>
    <row r="624" spans="1:21" x14ac:dyDescent="0.3">
      <c r="A624">
        <v>25300</v>
      </c>
      <c r="B624" t="s">
        <v>24</v>
      </c>
      <c r="C624">
        <v>6</v>
      </c>
      <c r="D624">
        <v>4</v>
      </c>
      <c r="E624" t="str">
        <f t="shared" si="27"/>
        <v>DELAYED</v>
      </c>
      <c r="F624">
        <f>VLOOKUP($A624,ordered_items!$B$2:$E$4784,2,0)</f>
        <v>957</v>
      </c>
      <c r="G624">
        <f>VLOOKUP($A624,ordered_items!$B$2:$E$4784,3,0)</f>
        <v>1</v>
      </c>
      <c r="H624">
        <f>VLOOKUP($A624,ordered_items!$B$2:$E$4784,4,0)</f>
        <v>299.98</v>
      </c>
      <c r="I624" s="15">
        <f>VLOOKUP(F624,product_info!$A$2:$D$73,4,0)</f>
        <v>7</v>
      </c>
      <c r="J624" s="15" t="str">
        <f>VLOOKUP(I624,department!$A$2:$B$13,2,0)</f>
        <v>Fan Shop</v>
      </c>
      <c r="K624">
        <v>12335</v>
      </c>
      <c r="L624" t="s">
        <v>994</v>
      </c>
      <c r="M624" s="4">
        <v>43469</v>
      </c>
      <c r="N624" s="12">
        <f t="shared" si="28"/>
        <v>1</v>
      </c>
      <c r="O624" s="13">
        <f t="shared" si="29"/>
        <v>2019</v>
      </c>
      <c r="P624" t="s">
        <v>13</v>
      </c>
      <c r="Q624" t="s">
        <v>245</v>
      </c>
      <c r="R624" t="s">
        <v>31</v>
      </c>
      <c r="S624" t="str" cm="1">
        <f t="array" ref="S624">_xlfn.IFS(R624="COMPLETE", "COMPLETED", R624="CANCELED", "CANCELED", TRUE, "PENDING")</f>
        <v>COMPLETED</v>
      </c>
      <c r="T624" t="s">
        <v>16</v>
      </c>
      <c r="U624">
        <f>VLOOKUP(A624,ordered_items!$B:$E,4,0)</f>
        <v>299.98</v>
      </c>
    </row>
    <row r="625" spans="1:21" x14ac:dyDescent="0.3">
      <c r="A625">
        <v>25301</v>
      </c>
      <c r="B625" t="s">
        <v>24</v>
      </c>
      <c r="C625">
        <v>2</v>
      </c>
      <c r="D625">
        <v>4</v>
      </c>
      <c r="E625" t="str">
        <f t="shared" si="27"/>
        <v xml:space="preserve"> ONTIME</v>
      </c>
      <c r="F625">
        <f>VLOOKUP($A625,ordered_items!$B$2:$E$4784,2,0)</f>
        <v>1014</v>
      </c>
      <c r="G625">
        <f>VLOOKUP($A625,ordered_items!$B$2:$E$4784,3,0)</f>
        <v>5</v>
      </c>
      <c r="H625">
        <f>VLOOKUP($A625,ordered_items!$B$2:$E$4784,4,0)</f>
        <v>249.9</v>
      </c>
      <c r="I625" s="15">
        <f>VLOOKUP(F625,product_info!$A$2:$D$73,4,0)</f>
        <v>7</v>
      </c>
      <c r="J625" s="15" t="str">
        <f>VLOOKUP(I625,department!$A$2:$B$13,2,0)</f>
        <v>Fan Shop</v>
      </c>
      <c r="K625">
        <v>2848</v>
      </c>
      <c r="L625" t="s">
        <v>994</v>
      </c>
      <c r="M625" s="4">
        <v>43469</v>
      </c>
      <c r="N625" s="12">
        <f t="shared" si="28"/>
        <v>1</v>
      </c>
      <c r="O625" s="13">
        <f t="shared" si="29"/>
        <v>2019</v>
      </c>
      <c r="P625" t="s">
        <v>13</v>
      </c>
      <c r="Q625" t="s">
        <v>245</v>
      </c>
      <c r="R625" t="s">
        <v>31</v>
      </c>
      <c r="S625" t="str" cm="1">
        <f t="array" ref="S625">_xlfn.IFS(R625="COMPLETE", "COMPLETED", R625="CANCELED", "CANCELED", TRUE, "PENDING")</f>
        <v>COMPLETED</v>
      </c>
      <c r="T625" t="s">
        <v>16</v>
      </c>
      <c r="U625">
        <f>VLOOKUP(A625,ordered_items!$B:$E,4,0)</f>
        <v>249.9</v>
      </c>
    </row>
    <row r="626" spans="1:21" x14ac:dyDescent="0.3">
      <c r="A626">
        <v>25344</v>
      </c>
      <c r="B626" t="s">
        <v>24</v>
      </c>
      <c r="C626">
        <v>2</v>
      </c>
      <c r="D626">
        <v>1</v>
      </c>
      <c r="E626" t="str">
        <f t="shared" si="27"/>
        <v>DELAYED</v>
      </c>
      <c r="F626">
        <f>VLOOKUP($A626,ordered_items!$B$2:$E$4784,2,0)</f>
        <v>627</v>
      </c>
      <c r="G626">
        <f>VLOOKUP($A626,ordered_items!$B$2:$E$4784,3,0)</f>
        <v>4</v>
      </c>
      <c r="H626">
        <f>VLOOKUP($A626,ordered_items!$B$2:$E$4784,4,0)</f>
        <v>159.96</v>
      </c>
      <c r="I626" s="15">
        <f>VLOOKUP(F626,product_info!$A$2:$D$73,4,0)</f>
        <v>5</v>
      </c>
      <c r="J626" s="15" t="str">
        <f>VLOOKUP(I626,department!$A$2:$B$13,2,0)</f>
        <v>Golf</v>
      </c>
      <c r="K626">
        <v>7434</v>
      </c>
      <c r="L626" t="s">
        <v>1430</v>
      </c>
      <c r="M626" s="4">
        <v>43469</v>
      </c>
      <c r="N626" s="12">
        <f t="shared" si="28"/>
        <v>1</v>
      </c>
      <c r="O626" s="13">
        <f t="shared" si="29"/>
        <v>2019</v>
      </c>
      <c r="P626" t="s">
        <v>13</v>
      </c>
      <c r="Q626" t="s">
        <v>5777</v>
      </c>
      <c r="R626" t="s">
        <v>31</v>
      </c>
      <c r="S626" t="str" cm="1">
        <f t="array" ref="S626">_xlfn.IFS(R626="COMPLETE", "COMPLETED", R626="CANCELED", "CANCELED", TRUE, "PENDING")</f>
        <v>COMPLETED</v>
      </c>
      <c r="T626" t="s">
        <v>32</v>
      </c>
      <c r="U626">
        <f>VLOOKUP(A626,ordered_items!$B:$E,4,0)</f>
        <v>159.96</v>
      </c>
    </row>
    <row r="627" spans="1:21" x14ac:dyDescent="0.3">
      <c r="A627">
        <v>25350</v>
      </c>
      <c r="B627" t="s">
        <v>24</v>
      </c>
      <c r="C627">
        <v>6</v>
      </c>
      <c r="D627">
        <v>4</v>
      </c>
      <c r="E627" t="str">
        <f t="shared" si="27"/>
        <v>DELAYED</v>
      </c>
      <c r="F627">
        <f>VLOOKUP($A627,ordered_items!$B$2:$E$4784,2,0)</f>
        <v>627</v>
      </c>
      <c r="G627">
        <f>VLOOKUP($A627,ordered_items!$B$2:$E$4784,3,0)</f>
        <v>5</v>
      </c>
      <c r="H627">
        <f>VLOOKUP($A627,ordered_items!$B$2:$E$4784,4,0)</f>
        <v>199.95</v>
      </c>
      <c r="I627" s="15">
        <f>VLOOKUP(F627,product_info!$A$2:$D$73,4,0)</f>
        <v>5</v>
      </c>
      <c r="J627" s="15" t="str">
        <f>VLOOKUP(I627,department!$A$2:$B$13,2,0)</f>
        <v>Golf</v>
      </c>
      <c r="K627">
        <v>11059</v>
      </c>
      <c r="L627" t="s">
        <v>980</v>
      </c>
      <c r="M627" s="4">
        <v>43470</v>
      </c>
      <c r="N627" s="12">
        <f t="shared" si="28"/>
        <v>1</v>
      </c>
      <c r="O627" s="13">
        <f t="shared" si="29"/>
        <v>2019</v>
      </c>
      <c r="P627" t="s">
        <v>13</v>
      </c>
      <c r="Q627" t="s">
        <v>30</v>
      </c>
      <c r="R627" t="s">
        <v>31</v>
      </c>
      <c r="S627" t="str" cm="1">
        <f t="array" ref="S627">_xlfn.IFS(R627="COMPLETE", "COMPLETED", R627="CANCELED", "CANCELED", TRUE, "PENDING")</f>
        <v>COMPLETED</v>
      </c>
      <c r="T627" t="s">
        <v>16</v>
      </c>
      <c r="U627">
        <f>VLOOKUP(A627,ordered_items!$B:$E,4,0)</f>
        <v>199.95</v>
      </c>
    </row>
    <row r="628" spans="1:21" x14ac:dyDescent="0.3">
      <c r="A628">
        <v>25351</v>
      </c>
      <c r="B628" t="s">
        <v>24</v>
      </c>
      <c r="C628">
        <v>2</v>
      </c>
      <c r="D628">
        <v>4</v>
      </c>
      <c r="E628" t="str">
        <f t="shared" si="27"/>
        <v xml:space="preserve"> ONTIME</v>
      </c>
      <c r="F628">
        <f>VLOOKUP($A628,ordered_items!$B$2:$E$4784,2,0)</f>
        <v>365</v>
      </c>
      <c r="G628">
        <f>VLOOKUP($A628,ordered_items!$B$2:$E$4784,3,0)</f>
        <v>1</v>
      </c>
      <c r="H628">
        <f>VLOOKUP($A628,ordered_items!$B$2:$E$4784,4,0)</f>
        <v>59.99</v>
      </c>
      <c r="I628" s="15">
        <f>VLOOKUP(F628,product_info!$A$2:$D$73,4,0)</f>
        <v>4</v>
      </c>
      <c r="J628" s="15" t="str">
        <f>VLOOKUP(I628,department!$A$2:$B$13,2,0)</f>
        <v>Apparel</v>
      </c>
      <c r="K628">
        <v>2309</v>
      </c>
      <c r="L628" t="s">
        <v>980</v>
      </c>
      <c r="M628" s="4">
        <v>43470</v>
      </c>
      <c r="N628" s="12">
        <f t="shared" si="28"/>
        <v>1</v>
      </c>
      <c r="O628" s="13">
        <f t="shared" si="29"/>
        <v>2019</v>
      </c>
      <c r="P628" t="s">
        <v>13</v>
      </c>
      <c r="Q628" t="s">
        <v>30</v>
      </c>
      <c r="R628" t="s">
        <v>31</v>
      </c>
      <c r="S628" t="str" cm="1">
        <f t="array" ref="S628">_xlfn.IFS(R628="COMPLETE", "COMPLETED", R628="CANCELED", "CANCELED", TRUE, "PENDING")</f>
        <v>COMPLETED</v>
      </c>
      <c r="T628" t="s">
        <v>16</v>
      </c>
      <c r="U628">
        <f>VLOOKUP(A628,ordered_items!$B:$E,4,0)</f>
        <v>59.99</v>
      </c>
    </row>
    <row r="629" spans="1:21" x14ac:dyDescent="0.3">
      <c r="A629">
        <v>25353</v>
      </c>
      <c r="B629" t="s">
        <v>51</v>
      </c>
      <c r="C629">
        <v>4</v>
      </c>
      <c r="D629">
        <v>4</v>
      </c>
      <c r="E629" t="str">
        <f t="shared" si="27"/>
        <v xml:space="preserve"> ONTIME</v>
      </c>
      <c r="F629">
        <f>VLOOKUP($A629,ordered_items!$B$2:$E$4784,2,0)</f>
        <v>365</v>
      </c>
      <c r="G629">
        <f>VLOOKUP($A629,ordered_items!$B$2:$E$4784,3,0)</f>
        <v>3</v>
      </c>
      <c r="H629">
        <f>VLOOKUP($A629,ordered_items!$B$2:$E$4784,4,0)</f>
        <v>179.97</v>
      </c>
      <c r="I629" s="15">
        <f>VLOOKUP(F629,product_info!$A$2:$D$73,4,0)</f>
        <v>4</v>
      </c>
      <c r="J629" s="15" t="str">
        <f>VLOOKUP(I629,department!$A$2:$B$13,2,0)</f>
        <v>Apparel</v>
      </c>
      <c r="K629">
        <v>1707</v>
      </c>
      <c r="L629" t="s">
        <v>980</v>
      </c>
      <c r="M629" s="4">
        <v>43470</v>
      </c>
      <c r="N629" s="12">
        <f t="shared" si="28"/>
        <v>1</v>
      </c>
      <c r="O629" s="13">
        <f t="shared" si="29"/>
        <v>2019</v>
      </c>
      <c r="P629" t="s">
        <v>13</v>
      </c>
      <c r="Q629" t="s">
        <v>30</v>
      </c>
      <c r="R629" t="s">
        <v>57</v>
      </c>
      <c r="S629" t="str" cm="1">
        <f t="array" ref="S629">_xlfn.IFS(R629="COMPLETE", "COMPLETED", R629="CANCELED", "CANCELED", TRUE, "PENDING")</f>
        <v>PENDING</v>
      </c>
      <c r="T629" t="s">
        <v>16</v>
      </c>
      <c r="U629">
        <f>VLOOKUP(A629,ordered_items!$B:$E,4,0)</f>
        <v>179.97</v>
      </c>
    </row>
    <row r="630" spans="1:21" x14ac:dyDescent="0.3">
      <c r="A630">
        <v>25360</v>
      </c>
      <c r="B630" t="s">
        <v>24</v>
      </c>
      <c r="C630">
        <v>6</v>
      </c>
      <c r="D630">
        <v>2</v>
      </c>
      <c r="E630" t="str">
        <f t="shared" si="27"/>
        <v>DELAYED</v>
      </c>
      <c r="F630">
        <f>VLOOKUP($A630,ordered_items!$B$2:$E$4784,2,0)</f>
        <v>1004</v>
      </c>
      <c r="G630">
        <f>VLOOKUP($A630,ordered_items!$B$2:$E$4784,3,0)</f>
        <v>1</v>
      </c>
      <c r="H630">
        <f>VLOOKUP($A630,ordered_items!$B$2:$E$4784,4,0)</f>
        <v>399.98</v>
      </c>
      <c r="I630" s="15">
        <f>VLOOKUP(F630,product_info!$A$2:$D$73,4,0)</f>
        <v>7</v>
      </c>
      <c r="J630" s="15" t="str">
        <f>VLOOKUP(I630,department!$A$2:$B$13,2,0)</f>
        <v>Fan Shop</v>
      </c>
      <c r="K630">
        <v>9990</v>
      </c>
      <c r="L630" t="s">
        <v>867</v>
      </c>
      <c r="M630" s="4">
        <v>43470</v>
      </c>
      <c r="N630" s="12">
        <f t="shared" si="28"/>
        <v>1</v>
      </c>
      <c r="O630" s="13">
        <f t="shared" si="29"/>
        <v>2019</v>
      </c>
      <c r="P630" t="s">
        <v>13</v>
      </c>
      <c r="Q630" t="s">
        <v>5781</v>
      </c>
      <c r="R630" t="s">
        <v>378</v>
      </c>
      <c r="S630" t="str" cm="1">
        <f t="array" ref="S630">_xlfn.IFS(R630="COMPLETE", "COMPLETED", R630="CANCELED", "CANCELED", TRUE, "PENDING")</f>
        <v>PENDING</v>
      </c>
      <c r="T630" t="s">
        <v>90</v>
      </c>
      <c r="U630">
        <f>VLOOKUP(A630,ordered_items!$B:$E,4,0)</f>
        <v>399.98</v>
      </c>
    </row>
    <row r="631" spans="1:21" x14ac:dyDescent="0.3">
      <c r="A631">
        <v>25376</v>
      </c>
      <c r="B631" t="s">
        <v>24</v>
      </c>
      <c r="C631">
        <v>2</v>
      </c>
      <c r="D631">
        <v>4</v>
      </c>
      <c r="E631" t="str">
        <f t="shared" si="27"/>
        <v xml:space="preserve"> ONTIME</v>
      </c>
      <c r="F631">
        <f>VLOOKUP($A631,ordered_items!$B$2:$E$4784,2,0)</f>
        <v>957</v>
      </c>
      <c r="G631">
        <f>VLOOKUP($A631,ordered_items!$B$2:$E$4784,3,0)</f>
        <v>1</v>
      </c>
      <c r="H631">
        <f>VLOOKUP($A631,ordered_items!$B$2:$E$4784,4,0)</f>
        <v>299.98</v>
      </c>
      <c r="I631" s="15">
        <f>VLOOKUP(F631,product_info!$A$2:$D$73,4,0)</f>
        <v>7</v>
      </c>
      <c r="J631" s="15" t="str">
        <f>VLOOKUP(I631,department!$A$2:$B$13,2,0)</f>
        <v>Fan Shop</v>
      </c>
      <c r="K631">
        <v>7217</v>
      </c>
      <c r="L631" t="s">
        <v>439</v>
      </c>
      <c r="M631" s="4">
        <v>43470</v>
      </c>
      <c r="N631" s="12">
        <f t="shared" si="28"/>
        <v>1</v>
      </c>
      <c r="O631" s="13">
        <f t="shared" si="29"/>
        <v>2019</v>
      </c>
      <c r="P631" t="s">
        <v>13</v>
      </c>
      <c r="Q631" t="s">
        <v>377</v>
      </c>
      <c r="R631" t="s">
        <v>31</v>
      </c>
      <c r="S631" t="str" cm="1">
        <f t="array" ref="S631">_xlfn.IFS(R631="COMPLETE", "COMPLETED", R631="CANCELED", "CANCELED", TRUE, "PENDING")</f>
        <v>COMPLETED</v>
      </c>
      <c r="T631" t="s">
        <v>16</v>
      </c>
      <c r="U631">
        <f>VLOOKUP(A631,ordered_items!$B:$E,4,0)</f>
        <v>299.98</v>
      </c>
    </row>
    <row r="632" spans="1:21" x14ac:dyDescent="0.3">
      <c r="A632">
        <v>25398</v>
      </c>
      <c r="B632" t="s">
        <v>24</v>
      </c>
      <c r="C632">
        <v>4</v>
      </c>
      <c r="D632">
        <v>4</v>
      </c>
      <c r="E632" t="str">
        <f t="shared" si="27"/>
        <v xml:space="preserve"> ONTIME</v>
      </c>
      <c r="F632">
        <f>VLOOKUP($A632,ordered_items!$B$2:$E$4784,2,0)</f>
        <v>365</v>
      </c>
      <c r="G632">
        <f>VLOOKUP($A632,ordered_items!$B$2:$E$4784,3,0)</f>
        <v>1</v>
      </c>
      <c r="H632">
        <f>VLOOKUP($A632,ordered_items!$B$2:$E$4784,4,0)</f>
        <v>59.99</v>
      </c>
      <c r="I632" s="15">
        <f>VLOOKUP(F632,product_info!$A$2:$D$73,4,0)</f>
        <v>4</v>
      </c>
      <c r="J632" s="15" t="str">
        <f>VLOOKUP(I632,department!$A$2:$B$13,2,0)</f>
        <v>Apparel</v>
      </c>
      <c r="K632">
        <v>12082</v>
      </c>
      <c r="L632" t="s">
        <v>186</v>
      </c>
      <c r="M632" s="4">
        <v>43470</v>
      </c>
      <c r="N632" s="12">
        <f t="shared" si="28"/>
        <v>1</v>
      </c>
      <c r="O632" s="13">
        <f t="shared" si="29"/>
        <v>2019</v>
      </c>
      <c r="P632" t="s">
        <v>13</v>
      </c>
      <c r="Q632" t="s">
        <v>5778</v>
      </c>
      <c r="R632" t="s">
        <v>31</v>
      </c>
      <c r="S632" t="str" cm="1">
        <f t="array" ref="S632">_xlfn.IFS(R632="COMPLETE", "COMPLETED", R632="CANCELED", "CANCELED", TRUE, "PENDING")</f>
        <v>COMPLETED</v>
      </c>
      <c r="T632" t="s">
        <v>16</v>
      </c>
      <c r="U632">
        <f>VLOOKUP(A632,ordered_items!$B:$E,4,0)</f>
        <v>59.99</v>
      </c>
    </row>
    <row r="633" spans="1:21" x14ac:dyDescent="0.3">
      <c r="A633">
        <v>25405</v>
      </c>
      <c r="B633" t="s">
        <v>24</v>
      </c>
      <c r="C633">
        <v>6</v>
      </c>
      <c r="D633">
        <v>2</v>
      </c>
      <c r="E633" t="str">
        <f t="shared" si="27"/>
        <v>DELAYED</v>
      </c>
      <c r="F633">
        <f>VLOOKUP($A633,ordered_items!$B$2:$E$4784,2,0)</f>
        <v>403</v>
      </c>
      <c r="G633">
        <f>VLOOKUP($A633,ordered_items!$B$2:$E$4784,3,0)</f>
        <v>1</v>
      </c>
      <c r="H633">
        <f>VLOOKUP($A633,ordered_items!$B$2:$E$4784,4,0)</f>
        <v>129.99</v>
      </c>
      <c r="I633" s="15">
        <f>VLOOKUP(F633,product_info!$A$2:$D$73,4,0)</f>
        <v>4</v>
      </c>
      <c r="J633" s="15" t="str">
        <f>VLOOKUP(I633,department!$A$2:$B$13,2,0)</f>
        <v>Apparel</v>
      </c>
      <c r="K633">
        <v>227</v>
      </c>
      <c r="L633" t="s">
        <v>295</v>
      </c>
      <c r="M633" s="4">
        <v>43470</v>
      </c>
      <c r="N633" s="12">
        <f t="shared" si="28"/>
        <v>1</v>
      </c>
      <c r="O633" s="13">
        <f t="shared" si="29"/>
        <v>2019</v>
      </c>
      <c r="P633" t="s">
        <v>13</v>
      </c>
      <c r="Q633" t="s">
        <v>80</v>
      </c>
      <c r="R633" t="s">
        <v>31</v>
      </c>
      <c r="S633" t="str" cm="1">
        <f t="array" ref="S633">_xlfn.IFS(R633="COMPLETE", "COMPLETED", R633="CANCELED", "CANCELED", TRUE, "PENDING")</f>
        <v>COMPLETED</v>
      </c>
      <c r="T633" t="s">
        <v>90</v>
      </c>
      <c r="U633">
        <f>VLOOKUP(A633,ordered_items!$B:$E,4,0)</f>
        <v>129.99</v>
      </c>
    </row>
    <row r="634" spans="1:21" x14ac:dyDescent="0.3">
      <c r="A634">
        <v>25416</v>
      </c>
      <c r="B634" t="s">
        <v>51</v>
      </c>
      <c r="C634">
        <v>2</v>
      </c>
      <c r="D634">
        <v>4</v>
      </c>
      <c r="E634" t="str">
        <f t="shared" si="27"/>
        <v xml:space="preserve"> ONTIME</v>
      </c>
      <c r="F634">
        <f>VLOOKUP($A634,ordered_items!$B$2:$E$4784,2,0)</f>
        <v>191</v>
      </c>
      <c r="G634">
        <f>VLOOKUP($A634,ordered_items!$B$2:$E$4784,3,0)</f>
        <v>4</v>
      </c>
      <c r="H634">
        <f>VLOOKUP($A634,ordered_items!$B$2:$E$4784,4,0)</f>
        <v>399.96</v>
      </c>
      <c r="I634" s="15">
        <f>VLOOKUP(F634,product_info!$A$2:$D$73,4,0)</f>
        <v>3</v>
      </c>
      <c r="J634" s="15" t="str">
        <f>VLOOKUP(I634,department!$A$2:$B$13,2,0)</f>
        <v>Footwear</v>
      </c>
      <c r="K634">
        <v>11522</v>
      </c>
      <c r="L634" t="s">
        <v>743</v>
      </c>
      <c r="M634" s="4">
        <v>43471</v>
      </c>
      <c r="N634" s="12">
        <f t="shared" si="28"/>
        <v>1</v>
      </c>
      <c r="O634" s="13">
        <f t="shared" si="29"/>
        <v>2019</v>
      </c>
      <c r="P634" t="s">
        <v>13</v>
      </c>
      <c r="Q634" t="s">
        <v>5780</v>
      </c>
      <c r="R634" t="s">
        <v>57</v>
      </c>
      <c r="S634" t="str" cm="1">
        <f t="array" ref="S634">_xlfn.IFS(R634="COMPLETE", "COMPLETED", R634="CANCELED", "CANCELED", TRUE, "PENDING")</f>
        <v>PENDING</v>
      </c>
      <c r="T634" t="s">
        <v>16</v>
      </c>
      <c r="U634">
        <f>VLOOKUP(A634,ordered_items!$B:$E,4,0)</f>
        <v>399.96</v>
      </c>
    </row>
    <row r="635" spans="1:21" x14ac:dyDescent="0.3">
      <c r="A635">
        <v>25417</v>
      </c>
      <c r="B635" t="s">
        <v>51</v>
      </c>
      <c r="C635">
        <v>3</v>
      </c>
      <c r="D635">
        <v>4</v>
      </c>
      <c r="E635" t="str">
        <f t="shared" si="27"/>
        <v xml:space="preserve"> ONTIME</v>
      </c>
      <c r="F635">
        <f>VLOOKUP($A635,ordered_items!$B$2:$E$4784,2,0)</f>
        <v>627</v>
      </c>
      <c r="G635">
        <f>VLOOKUP($A635,ordered_items!$B$2:$E$4784,3,0)</f>
        <v>1</v>
      </c>
      <c r="H635">
        <f>VLOOKUP($A635,ordered_items!$B$2:$E$4784,4,0)</f>
        <v>39.99</v>
      </c>
      <c r="I635" s="15">
        <f>VLOOKUP(F635,product_info!$A$2:$D$73,4,0)</f>
        <v>5</v>
      </c>
      <c r="J635" s="15" t="str">
        <f>VLOOKUP(I635,department!$A$2:$B$13,2,0)</f>
        <v>Golf</v>
      </c>
      <c r="K635">
        <v>684</v>
      </c>
      <c r="L635" t="s">
        <v>743</v>
      </c>
      <c r="M635" s="4">
        <v>43471</v>
      </c>
      <c r="N635" s="12">
        <f t="shared" si="28"/>
        <v>1</v>
      </c>
      <c r="O635" s="13">
        <f t="shared" si="29"/>
        <v>2019</v>
      </c>
      <c r="P635" t="s">
        <v>13</v>
      </c>
      <c r="Q635" t="s">
        <v>5780</v>
      </c>
      <c r="R635" t="s">
        <v>57</v>
      </c>
      <c r="S635" t="str" cm="1">
        <f t="array" ref="S635">_xlfn.IFS(R635="COMPLETE", "COMPLETED", R635="CANCELED", "CANCELED", TRUE, "PENDING")</f>
        <v>PENDING</v>
      </c>
      <c r="T635" t="s">
        <v>16</v>
      </c>
      <c r="U635">
        <f>VLOOKUP(A635,ordered_items!$B:$E,4,0)</f>
        <v>39.99</v>
      </c>
    </row>
    <row r="636" spans="1:21" x14ac:dyDescent="0.3">
      <c r="A636">
        <v>25434</v>
      </c>
      <c r="B636" t="s">
        <v>51</v>
      </c>
      <c r="C636">
        <v>5</v>
      </c>
      <c r="D636">
        <v>4</v>
      </c>
      <c r="E636" t="str">
        <f t="shared" si="27"/>
        <v>DELAYED</v>
      </c>
      <c r="F636">
        <f>VLOOKUP($A636,ordered_items!$B$2:$E$4784,2,0)</f>
        <v>403</v>
      </c>
      <c r="G636">
        <f>VLOOKUP($A636,ordered_items!$B$2:$E$4784,3,0)</f>
        <v>1</v>
      </c>
      <c r="H636">
        <f>VLOOKUP($A636,ordered_items!$B$2:$E$4784,4,0)</f>
        <v>129.99</v>
      </c>
      <c r="I636" s="15">
        <f>VLOOKUP(F636,product_info!$A$2:$D$73,4,0)</f>
        <v>4</v>
      </c>
      <c r="J636" s="15" t="str">
        <f>VLOOKUP(I636,department!$A$2:$B$13,2,0)</f>
        <v>Apparel</v>
      </c>
      <c r="K636">
        <v>7910</v>
      </c>
      <c r="L636" t="s">
        <v>525</v>
      </c>
      <c r="M636" s="4">
        <v>43471</v>
      </c>
      <c r="N636" s="12">
        <f t="shared" si="28"/>
        <v>1</v>
      </c>
      <c r="O636" s="13">
        <f t="shared" si="29"/>
        <v>2019</v>
      </c>
      <c r="P636" t="s">
        <v>13</v>
      </c>
      <c r="Q636" t="s">
        <v>5778</v>
      </c>
      <c r="R636" t="s">
        <v>57</v>
      </c>
      <c r="S636" t="str" cm="1">
        <f t="array" ref="S636">_xlfn.IFS(R636="COMPLETE", "COMPLETED", R636="CANCELED", "CANCELED", TRUE, "PENDING")</f>
        <v>PENDING</v>
      </c>
      <c r="T636" t="s">
        <v>16</v>
      </c>
      <c r="U636">
        <f>VLOOKUP(A636,ordered_items!$B:$E,4,0)</f>
        <v>129.99</v>
      </c>
    </row>
    <row r="637" spans="1:21" x14ac:dyDescent="0.3">
      <c r="A637">
        <v>25443</v>
      </c>
      <c r="B637" t="s">
        <v>3</v>
      </c>
      <c r="C637">
        <v>4</v>
      </c>
      <c r="D637">
        <v>4</v>
      </c>
      <c r="E637" t="str">
        <f t="shared" si="27"/>
        <v xml:space="preserve"> ONTIME</v>
      </c>
      <c r="F637">
        <f>VLOOKUP($A637,ordered_items!$B$2:$E$4784,2,0)</f>
        <v>365</v>
      </c>
      <c r="G637">
        <f>VLOOKUP($A637,ordered_items!$B$2:$E$4784,3,0)</f>
        <v>3</v>
      </c>
      <c r="H637">
        <f>VLOOKUP($A637,ordered_items!$B$2:$E$4784,4,0)</f>
        <v>179.97</v>
      </c>
      <c r="I637" s="15">
        <f>VLOOKUP(F637,product_info!$A$2:$D$73,4,0)</f>
        <v>4</v>
      </c>
      <c r="J637" s="15" t="str">
        <f>VLOOKUP(I637,department!$A$2:$B$13,2,0)</f>
        <v>Apparel</v>
      </c>
      <c r="K637">
        <v>11723</v>
      </c>
      <c r="L637" t="s">
        <v>768</v>
      </c>
      <c r="M637" s="4">
        <v>43471</v>
      </c>
      <c r="N637" s="12">
        <f t="shared" si="28"/>
        <v>1</v>
      </c>
      <c r="O637" s="13">
        <f t="shared" si="29"/>
        <v>2019</v>
      </c>
      <c r="P637" t="s">
        <v>13</v>
      </c>
      <c r="Q637" t="s">
        <v>431</v>
      </c>
      <c r="R637" t="s">
        <v>235</v>
      </c>
      <c r="S637" t="str" cm="1">
        <f t="array" ref="S637">_xlfn.IFS(R637="COMPLETE", "COMPLETED", R637="CANCELED", "CANCELED", TRUE, "PENDING")</f>
        <v>CANCELED</v>
      </c>
      <c r="T637" t="s">
        <v>16</v>
      </c>
      <c r="U637">
        <f>VLOOKUP(A637,ordered_items!$B:$E,4,0)</f>
        <v>179.97</v>
      </c>
    </row>
    <row r="638" spans="1:21" x14ac:dyDescent="0.3">
      <c r="A638">
        <v>25444</v>
      </c>
      <c r="B638" t="s">
        <v>24</v>
      </c>
      <c r="C638">
        <v>5</v>
      </c>
      <c r="D638">
        <v>4</v>
      </c>
      <c r="E638" t="str">
        <f t="shared" si="27"/>
        <v>DELAYED</v>
      </c>
      <c r="F638">
        <f>VLOOKUP($A638,ordered_items!$B$2:$E$4784,2,0)</f>
        <v>403</v>
      </c>
      <c r="G638">
        <f>VLOOKUP($A638,ordered_items!$B$2:$E$4784,3,0)</f>
        <v>1</v>
      </c>
      <c r="H638">
        <f>VLOOKUP($A638,ordered_items!$B$2:$E$4784,4,0)</f>
        <v>129.99</v>
      </c>
      <c r="I638" s="15">
        <f>VLOOKUP(F638,product_info!$A$2:$D$73,4,0)</f>
        <v>4</v>
      </c>
      <c r="J638" s="15" t="str">
        <f>VLOOKUP(I638,department!$A$2:$B$13,2,0)</f>
        <v>Apparel</v>
      </c>
      <c r="K638">
        <v>8930</v>
      </c>
      <c r="L638" t="s">
        <v>768</v>
      </c>
      <c r="M638" s="4">
        <v>43471</v>
      </c>
      <c r="N638" s="12">
        <f t="shared" si="28"/>
        <v>1</v>
      </c>
      <c r="O638" s="13">
        <f t="shared" si="29"/>
        <v>2019</v>
      </c>
      <c r="P638" t="s">
        <v>13</v>
      </c>
      <c r="Q638" t="s">
        <v>431</v>
      </c>
      <c r="R638" t="s">
        <v>31</v>
      </c>
      <c r="S638" t="str" cm="1">
        <f t="array" ref="S638">_xlfn.IFS(R638="COMPLETE", "COMPLETED", R638="CANCELED", "CANCELED", TRUE, "PENDING")</f>
        <v>COMPLETED</v>
      </c>
      <c r="T638" t="s">
        <v>16</v>
      </c>
      <c r="U638">
        <f>VLOOKUP(A638,ordered_items!$B:$E,4,0)</f>
        <v>129.99</v>
      </c>
    </row>
    <row r="639" spans="1:21" x14ac:dyDescent="0.3">
      <c r="A639">
        <v>25445</v>
      </c>
      <c r="B639" t="s">
        <v>24</v>
      </c>
      <c r="C639">
        <v>6</v>
      </c>
      <c r="D639">
        <v>4</v>
      </c>
      <c r="E639" t="str">
        <f t="shared" si="27"/>
        <v>DELAYED</v>
      </c>
      <c r="F639">
        <f>VLOOKUP($A639,ordered_items!$B$2:$E$4784,2,0)</f>
        <v>703</v>
      </c>
      <c r="G639">
        <f>VLOOKUP($A639,ordered_items!$B$2:$E$4784,3,0)</f>
        <v>1</v>
      </c>
      <c r="H639">
        <f>VLOOKUP($A639,ordered_items!$B$2:$E$4784,4,0)</f>
        <v>19.989999999999998</v>
      </c>
      <c r="I639" s="15">
        <f>VLOOKUP(F639,product_info!$A$2:$D$73,4,0)</f>
        <v>6</v>
      </c>
      <c r="J639" s="15" t="str">
        <f>VLOOKUP(I639,department!$A$2:$B$13,2,0)</f>
        <v>Outdoors</v>
      </c>
      <c r="K639">
        <v>10042</v>
      </c>
      <c r="L639" t="s">
        <v>768</v>
      </c>
      <c r="M639" s="4">
        <v>43471</v>
      </c>
      <c r="N639" s="12">
        <f t="shared" si="28"/>
        <v>1</v>
      </c>
      <c r="O639" s="13">
        <f t="shared" si="29"/>
        <v>2019</v>
      </c>
      <c r="P639" t="s">
        <v>13</v>
      </c>
      <c r="Q639" t="s">
        <v>431</v>
      </c>
      <c r="R639" t="s">
        <v>31</v>
      </c>
      <c r="S639" t="str" cm="1">
        <f t="array" ref="S639">_xlfn.IFS(R639="COMPLETE", "COMPLETED", R639="CANCELED", "CANCELED", TRUE, "PENDING")</f>
        <v>COMPLETED</v>
      </c>
      <c r="T639" t="s">
        <v>16</v>
      </c>
      <c r="U639">
        <f>VLOOKUP(A639,ordered_items!$B:$E,4,0)</f>
        <v>19.989999999999998</v>
      </c>
    </row>
    <row r="640" spans="1:21" x14ac:dyDescent="0.3">
      <c r="A640">
        <v>25446</v>
      </c>
      <c r="B640" t="s">
        <v>51</v>
      </c>
      <c r="C640">
        <v>2</v>
      </c>
      <c r="D640">
        <v>4</v>
      </c>
      <c r="E640" t="str">
        <f t="shared" si="27"/>
        <v xml:space="preserve"> ONTIME</v>
      </c>
      <c r="F640">
        <f>VLOOKUP($A640,ordered_items!$B$2:$E$4784,2,0)</f>
        <v>1073</v>
      </c>
      <c r="G640">
        <f>VLOOKUP($A640,ordered_items!$B$2:$E$4784,3,0)</f>
        <v>1</v>
      </c>
      <c r="H640">
        <f>VLOOKUP($A640,ordered_items!$B$2:$E$4784,4,0)</f>
        <v>199.99</v>
      </c>
      <c r="I640" s="15">
        <f>VLOOKUP(F640,product_info!$A$2:$D$73,4,0)</f>
        <v>7</v>
      </c>
      <c r="J640" s="15" t="str">
        <f>VLOOKUP(I640,department!$A$2:$B$13,2,0)</f>
        <v>Fan Shop</v>
      </c>
      <c r="K640">
        <v>11134</v>
      </c>
      <c r="L640" t="s">
        <v>768</v>
      </c>
      <c r="M640" s="4">
        <v>43471</v>
      </c>
      <c r="N640" s="12">
        <f t="shared" si="28"/>
        <v>1</v>
      </c>
      <c r="O640" s="13">
        <f t="shared" si="29"/>
        <v>2019</v>
      </c>
      <c r="P640" t="s">
        <v>13</v>
      </c>
      <c r="Q640" t="s">
        <v>431</v>
      </c>
      <c r="R640" t="s">
        <v>57</v>
      </c>
      <c r="S640" t="str" cm="1">
        <f t="array" ref="S640">_xlfn.IFS(R640="COMPLETE", "COMPLETED", R640="CANCELED", "CANCELED", TRUE, "PENDING")</f>
        <v>PENDING</v>
      </c>
      <c r="T640" t="s">
        <v>16</v>
      </c>
      <c r="U640">
        <f>VLOOKUP(A640,ordered_items!$B:$E,4,0)</f>
        <v>199.99</v>
      </c>
    </row>
    <row r="641" spans="1:21" x14ac:dyDescent="0.3">
      <c r="A641">
        <v>25450</v>
      </c>
      <c r="B641" t="s">
        <v>3</v>
      </c>
      <c r="C641">
        <v>6</v>
      </c>
      <c r="D641">
        <v>4</v>
      </c>
      <c r="E641" t="str">
        <f t="shared" si="27"/>
        <v>DELAYED</v>
      </c>
      <c r="F641">
        <f>VLOOKUP($A641,ordered_items!$B$2:$E$4784,2,0)</f>
        <v>1073</v>
      </c>
      <c r="G641">
        <f>VLOOKUP($A641,ordered_items!$B$2:$E$4784,3,0)</f>
        <v>1</v>
      </c>
      <c r="H641">
        <f>VLOOKUP($A641,ordered_items!$B$2:$E$4784,4,0)</f>
        <v>199.99</v>
      </c>
      <c r="I641" s="15">
        <f>VLOOKUP(F641,product_info!$A$2:$D$73,4,0)</f>
        <v>7</v>
      </c>
      <c r="J641" s="15" t="str">
        <f>VLOOKUP(I641,department!$A$2:$B$13,2,0)</f>
        <v>Fan Shop</v>
      </c>
      <c r="K641">
        <v>8166</v>
      </c>
      <c r="L641" t="s">
        <v>713</v>
      </c>
      <c r="M641" s="4">
        <v>43471</v>
      </c>
      <c r="N641" s="12">
        <f t="shared" si="28"/>
        <v>1</v>
      </c>
      <c r="O641" s="13">
        <f t="shared" si="29"/>
        <v>2019</v>
      </c>
      <c r="P641" t="s">
        <v>13</v>
      </c>
      <c r="Q641" t="s">
        <v>99</v>
      </c>
      <c r="R641" t="s">
        <v>38</v>
      </c>
      <c r="S641" t="str" cm="1">
        <f t="array" ref="S641">_xlfn.IFS(R641="COMPLETE", "COMPLETED", R641="CANCELED", "CANCELED", TRUE, "PENDING")</f>
        <v>PENDING</v>
      </c>
      <c r="T641" t="s">
        <v>16</v>
      </c>
      <c r="U641">
        <f>VLOOKUP(A641,ordered_items!$B:$E,4,0)</f>
        <v>199.99</v>
      </c>
    </row>
    <row r="642" spans="1:21" x14ac:dyDescent="0.3">
      <c r="A642">
        <v>25468</v>
      </c>
      <c r="B642" t="s">
        <v>51</v>
      </c>
      <c r="C642">
        <v>4</v>
      </c>
      <c r="D642">
        <v>4</v>
      </c>
      <c r="E642" t="str">
        <f t="shared" si="27"/>
        <v xml:space="preserve"> ONTIME</v>
      </c>
      <c r="F642">
        <f>VLOOKUP($A642,ordered_items!$B$2:$E$4784,2,0)</f>
        <v>365</v>
      </c>
      <c r="G642">
        <f>VLOOKUP($A642,ordered_items!$B$2:$E$4784,3,0)</f>
        <v>1</v>
      </c>
      <c r="H642">
        <f>VLOOKUP($A642,ordered_items!$B$2:$E$4784,4,0)</f>
        <v>59.99</v>
      </c>
      <c r="I642" s="15">
        <f>VLOOKUP(F642,product_info!$A$2:$D$73,4,0)</f>
        <v>4</v>
      </c>
      <c r="J642" s="15" t="str">
        <f>VLOOKUP(I642,department!$A$2:$B$13,2,0)</f>
        <v>Apparel</v>
      </c>
      <c r="K642">
        <v>3992</v>
      </c>
      <c r="L642" t="s">
        <v>317</v>
      </c>
      <c r="M642" s="4">
        <v>43471</v>
      </c>
      <c r="N642" s="12">
        <f t="shared" si="28"/>
        <v>1</v>
      </c>
      <c r="O642" s="13">
        <f t="shared" si="29"/>
        <v>2019</v>
      </c>
      <c r="P642" t="s">
        <v>13</v>
      </c>
      <c r="Q642" t="s">
        <v>227</v>
      </c>
      <c r="R642" t="s">
        <v>57</v>
      </c>
      <c r="S642" t="str" cm="1">
        <f t="array" ref="S642">_xlfn.IFS(R642="COMPLETE", "COMPLETED", R642="CANCELED", "CANCELED", TRUE, "PENDING")</f>
        <v>PENDING</v>
      </c>
      <c r="T642" t="s">
        <v>16</v>
      </c>
      <c r="U642">
        <f>VLOOKUP(A642,ordered_items!$B:$E,4,0)</f>
        <v>59.99</v>
      </c>
    </row>
    <row r="643" spans="1:21" x14ac:dyDescent="0.3">
      <c r="A643">
        <v>25469</v>
      </c>
      <c r="B643" t="s">
        <v>24</v>
      </c>
      <c r="C643">
        <v>1</v>
      </c>
      <c r="D643">
        <v>0</v>
      </c>
      <c r="E643" t="str">
        <f t="shared" ref="E643:E706" si="30">IF(C643-D643&gt;0,"DELAYED"," ONTIME")</f>
        <v>DELAYED</v>
      </c>
      <c r="F643">
        <f>VLOOKUP($A643,ordered_items!$B$2:$E$4784,2,0)</f>
        <v>403</v>
      </c>
      <c r="G643">
        <f>VLOOKUP($A643,ordered_items!$B$2:$E$4784,3,0)</f>
        <v>1</v>
      </c>
      <c r="H643">
        <f>VLOOKUP($A643,ordered_items!$B$2:$E$4784,4,0)</f>
        <v>129.99</v>
      </c>
      <c r="I643" s="15">
        <f>VLOOKUP(F643,product_info!$A$2:$D$73,4,0)</f>
        <v>4</v>
      </c>
      <c r="J643" s="15" t="str">
        <f>VLOOKUP(I643,department!$A$2:$B$13,2,0)</f>
        <v>Apparel</v>
      </c>
      <c r="K643">
        <v>821</v>
      </c>
      <c r="L643" t="s">
        <v>317</v>
      </c>
      <c r="M643" s="4">
        <v>43471</v>
      </c>
      <c r="N643" s="12">
        <f t="shared" ref="N643:N706" si="31">MONTH(M643)</f>
        <v>1</v>
      </c>
      <c r="O643" s="13">
        <f t="shared" ref="O643:O706" si="32">YEAR(M643)</f>
        <v>2019</v>
      </c>
      <c r="P643" t="s">
        <v>13</v>
      </c>
      <c r="Q643" t="s">
        <v>227</v>
      </c>
      <c r="R643" t="s">
        <v>31</v>
      </c>
      <c r="S643" t="str" cm="1">
        <f t="array" ref="S643">_xlfn.IFS(R643="COMPLETE", "COMPLETED", R643="CANCELED", "CANCELED", TRUE, "PENDING")</f>
        <v>COMPLETED</v>
      </c>
      <c r="T643" t="s">
        <v>58</v>
      </c>
      <c r="U643">
        <f>VLOOKUP(A643,ordered_items!$B:$E,4,0)</f>
        <v>129.99</v>
      </c>
    </row>
    <row r="644" spans="1:21" x14ac:dyDescent="0.3">
      <c r="A644">
        <v>25470</v>
      </c>
      <c r="B644" t="s">
        <v>51</v>
      </c>
      <c r="C644">
        <v>1</v>
      </c>
      <c r="D644">
        <v>0</v>
      </c>
      <c r="E644" t="str">
        <f t="shared" si="30"/>
        <v>DELAYED</v>
      </c>
      <c r="F644">
        <f>VLOOKUP($A644,ordered_items!$B$2:$E$4784,2,0)</f>
        <v>365</v>
      </c>
      <c r="G644">
        <f>VLOOKUP($A644,ordered_items!$B$2:$E$4784,3,0)</f>
        <v>1</v>
      </c>
      <c r="H644">
        <f>VLOOKUP($A644,ordered_items!$B$2:$E$4784,4,0)</f>
        <v>59.99</v>
      </c>
      <c r="I644" s="15">
        <f>VLOOKUP(F644,product_info!$A$2:$D$73,4,0)</f>
        <v>4</v>
      </c>
      <c r="J644" s="15" t="str">
        <f>VLOOKUP(I644,department!$A$2:$B$13,2,0)</f>
        <v>Apparel</v>
      </c>
      <c r="K644">
        <v>2055</v>
      </c>
      <c r="L644" t="s">
        <v>317</v>
      </c>
      <c r="M644" s="4">
        <v>43471</v>
      </c>
      <c r="N644" s="12">
        <f t="shared" si="31"/>
        <v>1</v>
      </c>
      <c r="O644" s="13">
        <f t="shared" si="32"/>
        <v>2019</v>
      </c>
      <c r="P644" t="s">
        <v>13</v>
      </c>
      <c r="Q644" t="s">
        <v>227</v>
      </c>
      <c r="R644" t="s">
        <v>57</v>
      </c>
      <c r="S644" t="str" cm="1">
        <f t="array" ref="S644">_xlfn.IFS(R644="COMPLETE", "COMPLETED", R644="CANCELED", "CANCELED", TRUE, "PENDING")</f>
        <v>PENDING</v>
      </c>
      <c r="T644" t="s">
        <v>58</v>
      </c>
      <c r="U644">
        <f>VLOOKUP(A644,ordered_items!$B:$E,4,0)</f>
        <v>59.99</v>
      </c>
    </row>
    <row r="645" spans="1:21" x14ac:dyDescent="0.3">
      <c r="A645">
        <v>25471</v>
      </c>
      <c r="B645" t="s">
        <v>24</v>
      </c>
      <c r="C645">
        <v>2</v>
      </c>
      <c r="D645">
        <v>2</v>
      </c>
      <c r="E645" t="str">
        <f t="shared" si="30"/>
        <v xml:space="preserve"> ONTIME</v>
      </c>
      <c r="F645">
        <f>VLOOKUP($A645,ordered_items!$B$2:$E$4784,2,0)</f>
        <v>957</v>
      </c>
      <c r="G645">
        <f>VLOOKUP($A645,ordered_items!$B$2:$E$4784,3,0)</f>
        <v>1</v>
      </c>
      <c r="H645">
        <f>VLOOKUP($A645,ordered_items!$B$2:$E$4784,4,0)</f>
        <v>299.98</v>
      </c>
      <c r="I645" s="15">
        <f>VLOOKUP(F645,product_info!$A$2:$D$73,4,0)</f>
        <v>7</v>
      </c>
      <c r="J645" s="15" t="str">
        <f>VLOOKUP(I645,department!$A$2:$B$13,2,0)</f>
        <v>Fan Shop</v>
      </c>
      <c r="K645">
        <v>891</v>
      </c>
      <c r="L645" t="s">
        <v>317</v>
      </c>
      <c r="M645" s="4">
        <v>43471</v>
      </c>
      <c r="N645" s="12">
        <f t="shared" si="31"/>
        <v>1</v>
      </c>
      <c r="O645" s="13">
        <f t="shared" si="32"/>
        <v>2019</v>
      </c>
      <c r="P645" t="s">
        <v>13</v>
      </c>
      <c r="Q645" t="s">
        <v>227</v>
      </c>
      <c r="R645" t="s">
        <v>378</v>
      </c>
      <c r="S645" t="str" cm="1">
        <f t="array" ref="S645">_xlfn.IFS(R645="COMPLETE", "COMPLETED", R645="CANCELED", "CANCELED", TRUE, "PENDING")</f>
        <v>PENDING</v>
      </c>
      <c r="T645" t="s">
        <v>90</v>
      </c>
      <c r="U645">
        <f>VLOOKUP(A645,ordered_items!$B:$E,4,0)</f>
        <v>299.98</v>
      </c>
    </row>
    <row r="646" spans="1:21" x14ac:dyDescent="0.3">
      <c r="A646">
        <v>25473</v>
      </c>
      <c r="B646" t="s">
        <v>3</v>
      </c>
      <c r="C646">
        <v>4</v>
      </c>
      <c r="D646">
        <v>2</v>
      </c>
      <c r="E646" t="str">
        <f t="shared" si="30"/>
        <v>DELAYED</v>
      </c>
      <c r="F646">
        <f>VLOOKUP($A646,ordered_items!$B$2:$E$4784,2,0)</f>
        <v>1073</v>
      </c>
      <c r="G646">
        <f>VLOOKUP($A646,ordered_items!$B$2:$E$4784,3,0)</f>
        <v>1</v>
      </c>
      <c r="H646">
        <f>VLOOKUP($A646,ordered_items!$B$2:$E$4784,4,0)</f>
        <v>199.99</v>
      </c>
      <c r="I646" s="15">
        <f>VLOOKUP(F646,product_info!$A$2:$D$73,4,0)</f>
        <v>7</v>
      </c>
      <c r="J646" s="15" t="str">
        <f>VLOOKUP(I646,department!$A$2:$B$13,2,0)</f>
        <v>Fan Shop</v>
      </c>
      <c r="K646">
        <v>12290</v>
      </c>
      <c r="L646" t="s">
        <v>285</v>
      </c>
      <c r="M646" s="4">
        <v>43471</v>
      </c>
      <c r="N646" s="12">
        <f t="shared" si="31"/>
        <v>1</v>
      </c>
      <c r="O646" s="13">
        <f t="shared" si="32"/>
        <v>2019</v>
      </c>
      <c r="P646" t="s">
        <v>13</v>
      </c>
      <c r="Q646" t="s">
        <v>286</v>
      </c>
      <c r="R646" t="s">
        <v>235</v>
      </c>
      <c r="S646" t="str" cm="1">
        <f t="array" ref="S646">_xlfn.IFS(R646="COMPLETE", "COMPLETED", R646="CANCELED", "CANCELED", TRUE, "PENDING")</f>
        <v>CANCELED</v>
      </c>
      <c r="T646" t="s">
        <v>90</v>
      </c>
      <c r="U646">
        <f>VLOOKUP(A646,ordered_items!$B:$E,4,0)</f>
        <v>199.99</v>
      </c>
    </row>
    <row r="647" spans="1:21" x14ac:dyDescent="0.3">
      <c r="A647">
        <v>25474</v>
      </c>
      <c r="B647" t="s">
        <v>24</v>
      </c>
      <c r="C647">
        <v>2</v>
      </c>
      <c r="D647">
        <v>1</v>
      </c>
      <c r="E647" t="str">
        <f t="shared" si="30"/>
        <v>DELAYED</v>
      </c>
      <c r="F647">
        <f>VLOOKUP($A647,ordered_items!$B$2:$E$4784,2,0)</f>
        <v>703</v>
      </c>
      <c r="G647">
        <f>VLOOKUP($A647,ordered_items!$B$2:$E$4784,3,0)</f>
        <v>3</v>
      </c>
      <c r="H647">
        <f>VLOOKUP($A647,ordered_items!$B$2:$E$4784,4,0)</f>
        <v>59.97</v>
      </c>
      <c r="I647" s="15">
        <f>VLOOKUP(F647,product_info!$A$2:$D$73,4,0)</f>
        <v>6</v>
      </c>
      <c r="J647" s="15" t="str">
        <f>VLOOKUP(I647,department!$A$2:$B$13,2,0)</f>
        <v>Outdoors</v>
      </c>
      <c r="K647">
        <v>11112</v>
      </c>
      <c r="L647" t="s">
        <v>439</v>
      </c>
      <c r="M647" s="4">
        <v>43471</v>
      </c>
      <c r="N647" s="12">
        <f t="shared" si="31"/>
        <v>1</v>
      </c>
      <c r="O647" s="13">
        <f t="shared" si="32"/>
        <v>2019</v>
      </c>
      <c r="P647" t="s">
        <v>13</v>
      </c>
      <c r="Q647" t="s">
        <v>377</v>
      </c>
      <c r="R647" t="s">
        <v>31</v>
      </c>
      <c r="S647" t="str" cm="1">
        <f t="array" ref="S647">_xlfn.IFS(R647="COMPLETE", "COMPLETED", R647="CANCELED", "CANCELED", TRUE, "PENDING")</f>
        <v>COMPLETED</v>
      </c>
      <c r="T647" t="s">
        <v>32</v>
      </c>
      <c r="U647">
        <f>VLOOKUP(A647,ordered_items!$B:$E,4,0)</f>
        <v>59.97</v>
      </c>
    </row>
    <row r="648" spans="1:21" x14ac:dyDescent="0.3">
      <c r="A648">
        <v>25477</v>
      </c>
      <c r="B648" t="s">
        <v>51</v>
      </c>
      <c r="C648">
        <v>3</v>
      </c>
      <c r="D648">
        <v>4</v>
      </c>
      <c r="E648" t="str">
        <f t="shared" si="30"/>
        <v xml:space="preserve"> ONTIME</v>
      </c>
      <c r="F648">
        <f>VLOOKUP($A648,ordered_items!$B$2:$E$4784,2,0)</f>
        <v>403</v>
      </c>
      <c r="G648">
        <f>VLOOKUP($A648,ordered_items!$B$2:$E$4784,3,0)</f>
        <v>1</v>
      </c>
      <c r="H648">
        <f>VLOOKUP($A648,ordered_items!$B$2:$E$4784,4,0)</f>
        <v>129.99</v>
      </c>
      <c r="I648" s="15">
        <f>VLOOKUP(F648,product_info!$A$2:$D$73,4,0)</f>
        <v>4</v>
      </c>
      <c r="J648" s="15" t="str">
        <f>VLOOKUP(I648,department!$A$2:$B$13,2,0)</f>
        <v>Apparel</v>
      </c>
      <c r="K648">
        <v>6694</v>
      </c>
      <c r="L648" t="s">
        <v>637</v>
      </c>
      <c r="M648" s="4">
        <v>43471</v>
      </c>
      <c r="N648" s="12">
        <f t="shared" si="31"/>
        <v>1</v>
      </c>
      <c r="O648" s="13">
        <f t="shared" si="32"/>
        <v>2019</v>
      </c>
      <c r="P648" t="s">
        <v>13</v>
      </c>
      <c r="Q648" t="s">
        <v>234</v>
      </c>
      <c r="R648" t="s">
        <v>57</v>
      </c>
      <c r="S648" t="str" cm="1">
        <f t="array" ref="S648">_xlfn.IFS(R648="COMPLETE", "COMPLETED", R648="CANCELED", "CANCELED", TRUE, "PENDING")</f>
        <v>PENDING</v>
      </c>
      <c r="T648" t="s">
        <v>16</v>
      </c>
      <c r="U648">
        <f>VLOOKUP(A648,ordered_items!$B:$E,4,0)</f>
        <v>129.99</v>
      </c>
    </row>
    <row r="649" spans="1:21" x14ac:dyDescent="0.3">
      <c r="A649">
        <v>25483</v>
      </c>
      <c r="B649" t="s">
        <v>24</v>
      </c>
      <c r="C649">
        <v>4</v>
      </c>
      <c r="D649">
        <v>4</v>
      </c>
      <c r="E649" t="str">
        <f t="shared" si="30"/>
        <v xml:space="preserve"> ONTIME</v>
      </c>
      <c r="F649">
        <f>VLOOKUP($A649,ordered_items!$B$2:$E$4784,2,0)</f>
        <v>1004</v>
      </c>
      <c r="G649">
        <f>VLOOKUP($A649,ordered_items!$B$2:$E$4784,3,0)</f>
        <v>1</v>
      </c>
      <c r="H649">
        <f>VLOOKUP($A649,ordered_items!$B$2:$E$4784,4,0)</f>
        <v>399.98</v>
      </c>
      <c r="I649" s="15">
        <f>VLOOKUP(F649,product_info!$A$2:$D$73,4,0)</f>
        <v>7</v>
      </c>
      <c r="J649" s="15" t="str">
        <f>VLOOKUP(I649,department!$A$2:$B$13,2,0)</f>
        <v>Fan Shop</v>
      </c>
      <c r="K649">
        <v>5530</v>
      </c>
      <c r="L649" t="s">
        <v>119</v>
      </c>
      <c r="M649" s="4">
        <v>43471</v>
      </c>
      <c r="N649" s="12">
        <f t="shared" si="31"/>
        <v>1</v>
      </c>
      <c r="O649" s="13">
        <f t="shared" si="32"/>
        <v>2019</v>
      </c>
      <c r="P649" t="s">
        <v>13</v>
      </c>
      <c r="Q649" t="s">
        <v>5781</v>
      </c>
      <c r="R649" t="s">
        <v>31</v>
      </c>
      <c r="S649" t="str" cm="1">
        <f t="array" ref="S649">_xlfn.IFS(R649="COMPLETE", "COMPLETED", R649="CANCELED", "CANCELED", TRUE, "PENDING")</f>
        <v>COMPLETED</v>
      </c>
      <c r="T649" t="s">
        <v>16</v>
      </c>
      <c r="U649">
        <f>VLOOKUP(A649,ordered_items!$B:$E,4,0)</f>
        <v>399.98</v>
      </c>
    </row>
    <row r="650" spans="1:21" x14ac:dyDescent="0.3">
      <c r="A650">
        <v>25484</v>
      </c>
      <c r="B650" t="s">
        <v>24</v>
      </c>
      <c r="C650">
        <v>5</v>
      </c>
      <c r="D650">
        <v>4</v>
      </c>
      <c r="E650" t="str">
        <f t="shared" si="30"/>
        <v>DELAYED</v>
      </c>
      <c r="F650">
        <f>VLOOKUP($A650,ordered_items!$B$2:$E$4784,2,0)</f>
        <v>821</v>
      </c>
      <c r="G650">
        <f>VLOOKUP($A650,ordered_items!$B$2:$E$4784,3,0)</f>
        <v>4</v>
      </c>
      <c r="H650">
        <f>VLOOKUP($A650,ordered_items!$B$2:$E$4784,4,0)</f>
        <v>207.96</v>
      </c>
      <c r="I650" s="15">
        <f>VLOOKUP(F650,product_info!$A$2:$D$73,4,0)</f>
        <v>6</v>
      </c>
      <c r="J650" s="15" t="str">
        <f>VLOOKUP(I650,department!$A$2:$B$13,2,0)</f>
        <v>Outdoors</v>
      </c>
      <c r="K650">
        <v>2236</v>
      </c>
      <c r="L650" t="s">
        <v>119</v>
      </c>
      <c r="M650" s="4">
        <v>43471</v>
      </c>
      <c r="N650" s="12">
        <f t="shared" si="31"/>
        <v>1</v>
      </c>
      <c r="O650" s="13">
        <f t="shared" si="32"/>
        <v>2019</v>
      </c>
      <c r="P650" t="s">
        <v>13</v>
      </c>
      <c r="Q650" t="s">
        <v>5781</v>
      </c>
      <c r="R650" t="s">
        <v>31</v>
      </c>
      <c r="S650" t="str" cm="1">
        <f t="array" ref="S650">_xlfn.IFS(R650="COMPLETE", "COMPLETED", R650="CANCELED", "CANCELED", TRUE, "PENDING")</f>
        <v>COMPLETED</v>
      </c>
      <c r="T650" t="s">
        <v>16</v>
      </c>
      <c r="U650">
        <f>VLOOKUP(A650,ordered_items!$B:$E,4,0)</f>
        <v>207.96</v>
      </c>
    </row>
    <row r="651" spans="1:21" x14ac:dyDescent="0.3">
      <c r="A651">
        <v>25485</v>
      </c>
      <c r="B651" t="s">
        <v>51</v>
      </c>
      <c r="C651">
        <v>6</v>
      </c>
      <c r="D651">
        <v>4</v>
      </c>
      <c r="E651" t="str">
        <f t="shared" si="30"/>
        <v>DELAYED</v>
      </c>
      <c r="F651">
        <f>VLOOKUP($A651,ordered_items!$B$2:$E$4784,2,0)</f>
        <v>502</v>
      </c>
      <c r="G651">
        <f>VLOOKUP($A651,ordered_items!$B$2:$E$4784,3,0)</f>
        <v>1</v>
      </c>
      <c r="H651">
        <f>VLOOKUP($A651,ordered_items!$B$2:$E$4784,4,0)</f>
        <v>50</v>
      </c>
      <c r="I651" s="15">
        <f>VLOOKUP(F651,product_info!$A$2:$D$73,4,0)</f>
        <v>5</v>
      </c>
      <c r="J651" s="15" t="str">
        <f>VLOOKUP(I651,department!$A$2:$B$13,2,0)</f>
        <v>Golf</v>
      </c>
      <c r="K651">
        <v>6448</v>
      </c>
      <c r="L651" t="s">
        <v>119</v>
      </c>
      <c r="M651" s="4">
        <v>43472</v>
      </c>
      <c r="N651" s="12">
        <f t="shared" si="31"/>
        <v>1</v>
      </c>
      <c r="O651" s="13">
        <f t="shared" si="32"/>
        <v>2019</v>
      </c>
      <c r="P651" t="s">
        <v>13</v>
      </c>
      <c r="Q651" t="s">
        <v>5781</v>
      </c>
      <c r="R651" t="s">
        <v>57</v>
      </c>
      <c r="S651" t="str" cm="1">
        <f t="array" ref="S651">_xlfn.IFS(R651="COMPLETE", "COMPLETED", R651="CANCELED", "CANCELED", TRUE, "PENDING")</f>
        <v>PENDING</v>
      </c>
      <c r="T651" t="s">
        <v>16</v>
      </c>
      <c r="U651">
        <f>VLOOKUP(A651,ordered_items!$B:$E,4,0)</f>
        <v>50</v>
      </c>
    </row>
    <row r="652" spans="1:21" x14ac:dyDescent="0.3">
      <c r="A652">
        <v>25486</v>
      </c>
      <c r="B652" t="s">
        <v>24</v>
      </c>
      <c r="C652">
        <v>2</v>
      </c>
      <c r="D652">
        <v>4</v>
      </c>
      <c r="E652" t="str">
        <f t="shared" si="30"/>
        <v xml:space="preserve"> ONTIME</v>
      </c>
      <c r="F652">
        <f>VLOOKUP($A652,ordered_items!$B$2:$E$4784,2,0)</f>
        <v>627</v>
      </c>
      <c r="G652">
        <f>VLOOKUP($A652,ordered_items!$B$2:$E$4784,3,0)</f>
        <v>1</v>
      </c>
      <c r="H652">
        <f>VLOOKUP($A652,ordered_items!$B$2:$E$4784,4,0)</f>
        <v>39.99</v>
      </c>
      <c r="I652" s="15">
        <f>VLOOKUP(F652,product_info!$A$2:$D$73,4,0)</f>
        <v>5</v>
      </c>
      <c r="J652" s="15" t="str">
        <f>VLOOKUP(I652,department!$A$2:$B$13,2,0)</f>
        <v>Golf</v>
      </c>
      <c r="K652">
        <v>3549</v>
      </c>
      <c r="L652" t="s">
        <v>110</v>
      </c>
      <c r="M652" s="4">
        <v>43472</v>
      </c>
      <c r="N652" s="12">
        <f t="shared" si="31"/>
        <v>1</v>
      </c>
      <c r="O652" s="13">
        <f t="shared" si="32"/>
        <v>2019</v>
      </c>
      <c r="P652" t="s">
        <v>13</v>
      </c>
      <c r="Q652" t="s">
        <v>99</v>
      </c>
      <c r="R652" t="s">
        <v>31</v>
      </c>
      <c r="S652" t="str" cm="1">
        <f t="array" ref="S652">_xlfn.IFS(R652="COMPLETE", "COMPLETED", R652="CANCELED", "CANCELED", TRUE, "PENDING")</f>
        <v>COMPLETED</v>
      </c>
      <c r="T652" t="s">
        <v>16</v>
      </c>
      <c r="U652">
        <f>VLOOKUP(A652,ordered_items!$B:$E,4,0)</f>
        <v>39.99</v>
      </c>
    </row>
    <row r="653" spans="1:21" x14ac:dyDescent="0.3">
      <c r="A653">
        <v>25487</v>
      </c>
      <c r="B653" t="s">
        <v>51</v>
      </c>
      <c r="C653">
        <v>2</v>
      </c>
      <c r="D653">
        <v>1</v>
      </c>
      <c r="E653" t="str">
        <f t="shared" si="30"/>
        <v>DELAYED</v>
      </c>
      <c r="F653">
        <f>VLOOKUP($A653,ordered_items!$B$2:$E$4784,2,0)</f>
        <v>1004</v>
      </c>
      <c r="G653">
        <f>VLOOKUP($A653,ordered_items!$B$2:$E$4784,3,0)</f>
        <v>1</v>
      </c>
      <c r="H653">
        <f>VLOOKUP($A653,ordered_items!$B$2:$E$4784,4,0)</f>
        <v>399.98</v>
      </c>
      <c r="I653" s="15">
        <f>VLOOKUP(F653,product_info!$A$2:$D$73,4,0)</f>
        <v>7</v>
      </c>
      <c r="J653" s="15" t="str">
        <f>VLOOKUP(I653,department!$A$2:$B$13,2,0)</f>
        <v>Fan Shop</v>
      </c>
      <c r="K653">
        <v>10796</v>
      </c>
      <c r="L653" t="s">
        <v>110</v>
      </c>
      <c r="M653" s="4">
        <v>43472</v>
      </c>
      <c r="N653" s="12">
        <f t="shared" si="31"/>
        <v>1</v>
      </c>
      <c r="O653" s="13">
        <f t="shared" si="32"/>
        <v>2019</v>
      </c>
      <c r="P653" t="s">
        <v>13</v>
      </c>
      <c r="Q653" t="s">
        <v>99</v>
      </c>
      <c r="R653" t="s">
        <v>57</v>
      </c>
      <c r="S653" t="str" cm="1">
        <f t="array" ref="S653">_xlfn.IFS(R653="COMPLETE", "COMPLETED", R653="CANCELED", "CANCELED", TRUE, "PENDING")</f>
        <v>PENDING</v>
      </c>
      <c r="T653" t="s">
        <v>32</v>
      </c>
      <c r="U653">
        <f>VLOOKUP(A653,ordered_items!$B:$E,4,0)</f>
        <v>399.98</v>
      </c>
    </row>
    <row r="654" spans="1:21" x14ac:dyDescent="0.3">
      <c r="A654">
        <v>25488</v>
      </c>
      <c r="B654" t="s">
        <v>3</v>
      </c>
      <c r="C654">
        <v>2</v>
      </c>
      <c r="D654">
        <v>1</v>
      </c>
      <c r="E654" t="str">
        <f t="shared" si="30"/>
        <v>DELAYED</v>
      </c>
      <c r="F654">
        <f>VLOOKUP($A654,ordered_items!$B$2:$E$4784,2,0)</f>
        <v>403</v>
      </c>
      <c r="G654">
        <f>VLOOKUP($A654,ordered_items!$B$2:$E$4784,3,0)</f>
        <v>1</v>
      </c>
      <c r="H654">
        <f>VLOOKUP($A654,ordered_items!$B$2:$E$4784,4,0)</f>
        <v>129.99</v>
      </c>
      <c r="I654" s="15">
        <f>VLOOKUP(F654,product_info!$A$2:$D$73,4,0)</f>
        <v>4</v>
      </c>
      <c r="J654" s="15" t="str">
        <f>VLOOKUP(I654,department!$A$2:$B$13,2,0)</f>
        <v>Apparel</v>
      </c>
      <c r="K654">
        <v>8394</v>
      </c>
      <c r="L654" t="s">
        <v>110</v>
      </c>
      <c r="M654" s="4">
        <v>43472</v>
      </c>
      <c r="N654" s="12">
        <f t="shared" si="31"/>
        <v>1</v>
      </c>
      <c r="O654" s="13">
        <f t="shared" si="32"/>
        <v>2019</v>
      </c>
      <c r="P654" t="s">
        <v>13</v>
      </c>
      <c r="Q654" t="s">
        <v>99</v>
      </c>
      <c r="R654" t="s">
        <v>14</v>
      </c>
      <c r="S654" t="str" cm="1">
        <f t="array" ref="S654">_xlfn.IFS(R654="COMPLETE", "COMPLETED", R654="CANCELED", "CANCELED", TRUE, "PENDING")</f>
        <v>PENDING</v>
      </c>
      <c r="T654" t="s">
        <v>32</v>
      </c>
      <c r="U654">
        <f>VLOOKUP(A654,ordered_items!$B:$E,4,0)</f>
        <v>129.99</v>
      </c>
    </row>
    <row r="655" spans="1:21" x14ac:dyDescent="0.3">
      <c r="A655">
        <v>25489</v>
      </c>
      <c r="B655" t="s">
        <v>17</v>
      </c>
      <c r="C655">
        <v>2</v>
      </c>
      <c r="D655">
        <v>1</v>
      </c>
      <c r="E655" t="str">
        <f t="shared" si="30"/>
        <v>DELAYED</v>
      </c>
      <c r="F655">
        <f>VLOOKUP($A655,ordered_items!$B$2:$E$4784,2,0)</f>
        <v>957</v>
      </c>
      <c r="G655">
        <f>VLOOKUP($A655,ordered_items!$B$2:$E$4784,3,0)</f>
        <v>1</v>
      </c>
      <c r="H655">
        <f>VLOOKUP($A655,ordered_items!$B$2:$E$4784,4,0)</f>
        <v>299.98</v>
      </c>
      <c r="I655" s="15">
        <f>VLOOKUP(F655,product_info!$A$2:$D$73,4,0)</f>
        <v>7</v>
      </c>
      <c r="J655" s="15" t="str">
        <f>VLOOKUP(I655,department!$A$2:$B$13,2,0)</f>
        <v>Fan Shop</v>
      </c>
      <c r="K655">
        <v>11898</v>
      </c>
      <c r="L655" t="s">
        <v>110</v>
      </c>
      <c r="M655" s="4">
        <v>43472</v>
      </c>
      <c r="N655" s="12">
        <f t="shared" si="31"/>
        <v>1</v>
      </c>
      <c r="O655" s="13">
        <f t="shared" si="32"/>
        <v>2019</v>
      </c>
      <c r="P655" t="s">
        <v>13</v>
      </c>
      <c r="Q655" t="s">
        <v>99</v>
      </c>
      <c r="R655" t="s">
        <v>23</v>
      </c>
      <c r="S655" t="str" cm="1">
        <f t="array" ref="S655">_xlfn.IFS(R655="COMPLETE", "COMPLETED", R655="CANCELED", "CANCELED", TRUE, "PENDING")</f>
        <v>PENDING</v>
      </c>
      <c r="T655" t="s">
        <v>32</v>
      </c>
      <c r="U655">
        <f>VLOOKUP(A655,ordered_items!$B:$E,4,0)</f>
        <v>299.98</v>
      </c>
    </row>
    <row r="656" spans="1:21" x14ac:dyDescent="0.3">
      <c r="A656">
        <v>25490</v>
      </c>
      <c r="B656" t="s">
        <v>51</v>
      </c>
      <c r="C656">
        <v>2</v>
      </c>
      <c r="D656">
        <v>1</v>
      </c>
      <c r="E656" t="str">
        <f t="shared" si="30"/>
        <v>DELAYED</v>
      </c>
      <c r="F656">
        <f>VLOOKUP($A656,ordered_items!$B$2:$E$4784,2,0)</f>
        <v>403</v>
      </c>
      <c r="G656">
        <f>VLOOKUP($A656,ordered_items!$B$2:$E$4784,3,0)</f>
        <v>1</v>
      </c>
      <c r="H656">
        <f>VLOOKUP($A656,ordered_items!$B$2:$E$4784,4,0)</f>
        <v>129.99</v>
      </c>
      <c r="I656" s="15">
        <f>VLOOKUP(F656,product_info!$A$2:$D$73,4,0)</f>
        <v>4</v>
      </c>
      <c r="J656" s="15" t="str">
        <f>VLOOKUP(I656,department!$A$2:$B$13,2,0)</f>
        <v>Apparel</v>
      </c>
      <c r="K656">
        <v>10508</v>
      </c>
      <c r="L656" t="s">
        <v>110</v>
      </c>
      <c r="M656" s="4">
        <v>43472</v>
      </c>
      <c r="N656" s="12">
        <f t="shared" si="31"/>
        <v>1</v>
      </c>
      <c r="O656" s="13">
        <f t="shared" si="32"/>
        <v>2019</v>
      </c>
      <c r="P656" t="s">
        <v>13</v>
      </c>
      <c r="Q656" t="s">
        <v>99</v>
      </c>
      <c r="R656" t="s">
        <v>57</v>
      </c>
      <c r="S656" t="str" cm="1">
        <f t="array" ref="S656">_xlfn.IFS(R656="COMPLETE", "COMPLETED", R656="CANCELED", "CANCELED", TRUE, "PENDING")</f>
        <v>PENDING</v>
      </c>
      <c r="T656" t="s">
        <v>32</v>
      </c>
      <c r="U656">
        <f>VLOOKUP(A656,ordered_items!$B:$E,4,0)</f>
        <v>129.99</v>
      </c>
    </row>
    <row r="657" spans="1:21" x14ac:dyDescent="0.3">
      <c r="A657">
        <v>25503</v>
      </c>
      <c r="B657" t="s">
        <v>24</v>
      </c>
      <c r="C657">
        <v>4</v>
      </c>
      <c r="D657">
        <v>4</v>
      </c>
      <c r="E657" t="str">
        <f t="shared" si="30"/>
        <v xml:space="preserve"> ONTIME</v>
      </c>
      <c r="F657">
        <f>VLOOKUP($A657,ordered_items!$B$2:$E$4784,2,0)</f>
        <v>1004</v>
      </c>
      <c r="G657">
        <f>VLOOKUP($A657,ordered_items!$B$2:$E$4784,3,0)</f>
        <v>1</v>
      </c>
      <c r="H657">
        <f>VLOOKUP($A657,ordered_items!$B$2:$E$4784,4,0)</f>
        <v>399.98</v>
      </c>
      <c r="I657" s="15">
        <f>VLOOKUP(F657,product_info!$A$2:$D$73,4,0)</f>
        <v>7</v>
      </c>
      <c r="J657" s="15" t="str">
        <f>VLOOKUP(I657,department!$A$2:$B$13,2,0)</f>
        <v>Fan Shop</v>
      </c>
      <c r="K657">
        <v>8791</v>
      </c>
      <c r="L657" t="s">
        <v>1040</v>
      </c>
      <c r="M657" s="4">
        <v>43472</v>
      </c>
      <c r="N657" s="12">
        <f t="shared" si="31"/>
        <v>1</v>
      </c>
      <c r="O657" s="13">
        <f t="shared" si="32"/>
        <v>2019</v>
      </c>
      <c r="P657" t="s">
        <v>13</v>
      </c>
      <c r="Q657" t="s">
        <v>377</v>
      </c>
      <c r="R657" t="s">
        <v>31</v>
      </c>
      <c r="S657" t="str" cm="1">
        <f t="array" ref="S657">_xlfn.IFS(R657="COMPLETE", "COMPLETED", R657="CANCELED", "CANCELED", TRUE, "PENDING")</f>
        <v>COMPLETED</v>
      </c>
      <c r="T657" t="s">
        <v>16</v>
      </c>
      <c r="U657">
        <f>VLOOKUP(A657,ordered_items!$B:$E,4,0)</f>
        <v>399.98</v>
      </c>
    </row>
    <row r="658" spans="1:21" x14ac:dyDescent="0.3">
      <c r="A658">
        <v>25504</v>
      </c>
      <c r="B658" t="s">
        <v>24</v>
      </c>
      <c r="C658">
        <v>5</v>
      </c>
      <c r="D658">
        <v>4</v>
      </c>
      <c r="E658" t="str">
        <f t="shared" si="30"/>
        <v>DELAYED</v>
      </c>
      <c r="F658">
        <f>VLOOKUP($A658,ordered_items!$B$2:$E$4784,2,0)</f>
        <v>502</v>
      </c>
      <c r="G658">
        <f>VLOOKUP($A658,ordered_items!$B$2:$E$4784,3,0)</f>
        <v>5</v>
      </c>
      <c r="H658">
        <f>VLOOKUP($A658,ordered_items!$B$2:$E$4784,4,0)</f>
        <v>250</v>
      </c>
      <c r="I658" s="15">
        <f>VLOOKUP(F658,product_info!$A$2:$D$73,4,0)</f>
        <v>5</v>
      </c>
      <c r="J658" s="15" t="str">
        <f>VLOOKUP(I658,department!$A$2:$B$13,2,0)</f>
        <v>Golf</v>
      </c>
      <c r="K658">
        <v>4323</v>
      </c>
      <c r="L658" t="s">
        <v>1040</v>
      </c>
      <c r="M658" s="4">
        <v>43472</v>
      </c>
      <c r="N658" s="12">
        <f t="shared" si="31"/>
        <v>1</v>
      </c>
      <c r="O658" s="13">
        <f t="shared" si="32"/>
        <v>2019</v>
      </c>
      <c r="P658" t="s">
        <v>13</v>
      </c>
      <c r="Q658" t="s">
        <v>377</v>
      </c>
      <c r="R658" t="s">
        <v>378</v>
      </c>
      <c r="S658" t="str" cm="1">
        <f t="array" ref="S658">_xlfn.IFS(R658="COMPLETE", "COMPLETED", R658="CANCELED", "CANCELED", TRUE, "PENDING")</f>
        <v>PENDING</v>
      </c>
      <c r="T658" t="s">
        <v>16</v>
      </c>
      <c r="U658">
        <f>VLOOKUP(A658,ordered_items!$B:$E,4,0)</f>
        <v>250</v>
      </c>
    </row>
    <row r="659" spans="1:21" x14ac:dyDescent="0.3">
      <c r="A659">
        <v>25505</v>
      </c>
      <c r="B659" t="s">
        <v>51</v>
      </c>
      <c r="C659">
        <v>6</v>
      </c>
      <c r="D659">
        <v>4</v>
      </c>
      <c r="E659" t="str">
        <f t="shared" si="30"/>
        <v>DELAYED</v>
      </c>
      <c r="F659">
        <f>VLOOKUP($A659,ordered_items!$B$2:$E$4784,2,0)</f>
        <v>627</v>
      </c>
      <c r="G659">
        <f>VLOOKUP($A659,ordered_items!$B$2:$E$4784,3,0)</f>
        <v>3</v>
      </c>
      <c r="H659">
        <f>VLOOKUP($A659,ordered_items!$B$2:$E$4784,4,0)</f>
        <v>119.97</v>
      </c>
      <c r="I659" s="15">
        <f>VLOOKUP(F659,product_info!$A$2:$D$73,4,0)</f>
        <v>5</v>
      </c>
      <c r="J659" s="15" t="str">
        <f>VLOOKUP(I659,department!$A$2:$B$13,2,0)</f>
        <v>Golf</v>
      </c>
      <c r="K659">
        <v>9619</v>
      </c>
      <c r="L659" t="s">
        <v>426</v>
      </c>
      <c r="M659" s="4">
        <v>43472</v>
      </c>
      <c r="N659" s="12">
        <f t="shared" si="31"/>
        <v>1</v>
      </c>
      <c r="O659" s="13">
        <f t="shared" si="32"/>
        <v>2019</v>
      </c>
      <c r="P659" t="s">
        <v>13</v>
      </c>
      <c r="Q659" t="s">
        <v>245</v>
      </c>
      <c r="R659" t="s">
        <v>57</v>
      </c>
      <c r="S659" t="str" cm="1">
        <f t="array" ref="S659">_xlfn.IFS(R659="COMPLETE", "COMPLETED", R659="CANCELED", "CANCELED", TRUE, "PENDING")</f>
        <v>PENDING</v>
      </c>
      <c r="T659" t="s">
        <v>16</v>
      </c>
      <c r="U659">
        <f>VLOOKUP(A659,ordered_items!$B:$E,4,0)</f>
        <v>119.97</v>
      </c>
    </row>
    <row r="660" spans="1:21" x14ac:dyDescent="0.3">
      <c r="A660">
        <v>25506</v>
      </c>
      <c r="B660" t="s">
        <v>24</v>
      </c>
      <c r="C660">
        <v>2</v>
      </c>
      <c r="D660">
        <v>4</v>
      </c>
      <c r="E660" t="str">
        <f t="shared" si="30"/>
        <v xml:space="preserve"> ONTIME</v>
      </c>
      <c r="F660">
        <f>VLOOKUP($A660,ordered_items!$B$2:$E$4784,2,0)</f>
        <v>502</v>
      </c>
      <c r="G660">
        <f>VLOOKUP($A660,ordered_items!$B$2:$E$4784,3,0)</f>
        <v>5</v>
      </c>
      <c r="H660">
        <f>VLOOKUP($A660,ordered_items!$B$2:$E$4784,4,0)</f>
        <v>250</v>
      </c>
      <c r="I660" s="15">
        <f>VLOOKUP(F660,product_info!$A$2:$D$73,4,0)</f>
        <v>5</v>
      </c>
      <c r="J660" s="15" t="str">
        <f>VLOOKUP(I660,department!$A$2:$B$13,2,0)</f>
        <v>Golf</v>
      </c>
      <c r="K660">
        <v>4945</v>
      </c>
      <c r="L660" t="s">
        <v>591</v>
      </c>
      <c r="M660" s="4">
        <v>43472</v>
      </c>
      <c r="N660" s="12">
        <f t="shared" si="31"/>
        <v>1</v>
      </c>
      <c r="O660" s="13">
        <f t="shared" si="32"/>
        <v>2019</v>
      </c>
      <c r="P660" t="s">
        <v>13</v>
      </c>
      <c r="Q660" t="s">
        <v>130</v>
      </c>
      <c r="R660" t="s">
        <v>31</v>
      </c>
      <c r="S660" t="str" cm="1">
        <f t="array" ref="S660">_xlfn.IFS(R660="COMPLETE", "COMPLETED", R660="CANCELED", "CANCELED", TRUE, "PENDING")</f>
        <v>COMPLETED</v>
      </c>
      <c r="T660" t="s">
        <v>16</v>
      </c>
      <c r="U660">
        <f>VLOOKUP(A660,ordered_items!$B:$E,4,0)</f>
        <v>250</v>
      </c>
    </row>
    <row r="661" spans="1:21" x14ac:dyDescent="0.3">
      <c r="A661">
        <v>25507</v>
      </c>
      <c r="B661" t="s">
        <v>3</v>
      </c>
      <c r="C661">
        <v>2</v>
      </c>
      <c r="D661">
        <v>1</v>
      </c>
      <c r="E661" t="str">
        <f t="shared" si="30"/>
        <v>DELAYED</v>
      </c>
      <c r="F661">
        <f>VLOOKUP($A661,ordered_items!$B$2:$E$4784,2,0)</f>
        <v>502</v>
      </c>
      <c r="G661">
        <f>VLOOKUP($A661,ordered_items!$B$2:$E$4784,3,0)</f>
        <v>1</v>
      </c>
      <c r="H661">
        <f>VLOOKUP($A661,ordered_items!$B$2:$E$4784,4,0)</f>
        <v>50</v>
      </c>
      <c r="I661" s="15">
        <f>VLOOKUP(F661,product_info!$A$2:$D$73,4,0)</f>
        <v>5</v>
      </c>
      <c r="J661" s="15" t="str">
        <f>VLOOKUP(I661,department!$A$2:$B$13,2,0)</f>
        <v>Golf</v>
      </c>
      <c r="K661">
        <v>6691</v>
      </c>
      <c r="L661" t="s">
        <v>591</v>
      </c>
      <c r="M661" s="4">
        <v>43472</v>
      </c>
      <c r="N661" s="12">
        <f t="shared" si="31"/>
        <v>1</v>
      </c>
      <c r="O661" s="13">
        <f t="shared" si="32"/>
        <v>2019</v>
      </c>
      <c r="P661" t="s">
        <v>13</v>
      </c>
      <c r="Q661" t="s">
        <v>130</v>
      </c>
      <c r="R661" t="s">
        <v>14</v>
      </c>
      <c r="S661" t="str" cm="1">
        <f t="array" ref="S661">_xlfn.IFS(R661="COMPLETE", "COMPLETED", R661="CANCELED", "CANCELED", TRUE, "PENDING")</f>
        <v>PENDING</v>
      </c>
      <c r="T661" t="s">
        <v>32</v>
      </c>
      <c r="U661">
        <f>VLOOKUP(A661,ordered_items!$B:$E,4,0)</f>
        <v>50</v>
      </c>
    </row>
    <row r="662" spans="1:21" x14ac:dyDescent="0.3">
      <c r="A662">
        <v>25508</v>
      </c>
      <c r="B662" t="s">
        <v>3</v>
      </c>
      <c r="C662">
        <v>2</v>
      </c>
      <c r="D662">
        <v>1</v>
      </c>
      <c r="E662" t="str">
        <f t="shared" si="30"/>
        <v>DELAYED</v>
      </c>
      <c r="F662">
        <f>VLOOKUP($A662,ordered_items!$B$2:$E$4784,2,0)</f>
        <v>1014</v>
      </c>
      <c r="G662">
        <f>VLOOKUP($A662,ordered_items!$B$2:$E$4784,3,0)</f>
        <v>5</v>
      </c>
      <c r="H662">
        <f>VLOOKUP($A662,ordered_items!$B$2:$E$4784,4,0)</f>
        <v>249.9</v>
      </c>
      <c r="I662" s="15">
        <f>VLOOKUP(F662,product_info!$A$2:$D$73,4,0)</f>
        <v>7</v>
      </c>
      <c r="J662" s="15" t="str">
        <f>VLOOKUP(I662,department!$A$2:$B$13,2,0)</f>
        <v>Fan Shop</v>
      </c>
      <c r="K662">
        <v>3493</v>
      </c>
      <c r="L662" t="s">
        <v>591</v>
      </c>
      <c r="M662" s="4">
        <v>43472</v>
      </c>
      <c r="N662" s="12">
        <f t="shared" si="31"/>
        <v>1</v>
      </c>
      <c r="O662" s="13">
        <f t="shared" si="32"/>
        <v>2019</v>
      </c>
      <c r="P662" t="s">
        <v>13</v>
      </c>
      <c r="Q662" t="s">
        <v>130</v>
      </c>
      <c r="R662" t="s">
        <v>38</v>
      </c>
      <c r="S662" t="str" cm="1">
        <f t="array" ref="S662">_xlfn.IFS(R662="COMPLETE", "COMPLETED", R662="CANCELED", "CANCELED", TRUE, "PENDING")</f>
        <v>PENDING</v>
      </c>
      <c r="T662" t="s">
        <v>32</v>
      </c>
      <c r="U662">
        <f>VLOOKUP(A662,ordered_items!$B:$E,4,0)</f>
        <v>249.9</v>
      </c>
    </row>
    <row r="663" spans="1:21" x14ac:dyDescent="0.3">
      <c r="A663">
        <v>25510</v>
      </c>
      <c r="B663" t="s">
        <v>3</v>
      </c>
      <c r="C663">
        <v>6</v>
      </c>
      <c r="D663">
        <v>4</v>
      </c>
      <c r="E663" t="str">
        <f t="shared" si="30"/>
        <v>DELAYED</v>
      </c>
      <c r="F663">
        <f>VLOOKUP($A663,ordered_items!$B$2:$E$4784,2,0)</f>
        <v>1004</v>
      </c>
      <c r="G663">
        <f>VLOOKUP($A663,ordered_items!$B$2:$E$4784,3,0)</f>
        <v>1</v>
      </c>
      <c r="H663">
        <f>VLOOKUP($A663,ordered_items!$B$2:$E$4784,4,0)</f>
        <v>399.98</v>
      </c>
      <c r="I663" s="15">
        <f>VLOOKUP(F663,product_info!$A$2:$D$73,4,0)</f>
        <v>7</v>
      </c>
      <c r="J663" s="15" t="str">
        <f>VLOOKUP(I663,department!$A$2:$B$13,2,0)</f>
        <v>Fan Shop</v>
      </c>
      <c r="K663">
        <v>477</v>
      </c>
      <c r="L663" t="s">
        <v>146</v>
      </c>
      <c r="M663" s="4">
        <v>43472</v>
      </c>
      <c r="N663" s="12">
        <f t="shared" si="31"/>
        <v>1</v>
      </c>
      <c r="O663" s="13">
        <f t="shared" si="32"/>
        <v>2019</v>
      </c>
      <c r="P663" t="s">
        <v>13</v>
      </c>
      <c r="Q663" t="s">
        <v>30</v>
      </c>
      <c r="R663" t="s">
        <v>38</v>
      </c>
      <c r="S663" t="str" cm="1">
        <f t="array" ref="S663">_xlfn.IFS(R663="COMPLETE", "COMPLETED", R663="CANCELED", "CANCELED", TRUE, "PENDING")</f>
        <v>PENDING</v>
      </c>
      <c r="T663" t="s">
        <v>16</v>
      </c>
      <c r="U663">
        <f>VLOOKUP(A663,ordered_items!$B:$E,4,0)</f>
        <v>399.98</v>
      </c>
    </row>
    <row r="664" spans="1:21" x14ac:dyDescent="0.3">
      <c r="A664">
        <v>25511</v>
      </c>
      <c r="B664" t="s">
        <v>3</v>
      </c>
      <c r="C664">
        <v>2</v>
      </c>
      <c r="D664">
        <v>2</v>
      </c>
      <c r="E664" t="str">
        <f t="shared" si="30"/>
        <v xml:space="preserve"> ONTIME</v>
      </c>
      <c r="F664">
        <f>VLOOKUP($A664,ordered_items!$B$2:$E$4784,2,0)</f>
        <v>1014</v>
      </c>
      <c r="G664">
        <f>VLOOKUP($A664,ordered_items!$B$2:$E$4784,3,0)</f>
        <v>4</v>
      </c>
      <c r="H664">
        <f>VLOOKUP($A664,ordered_items!$B$2:$E$4784,4,0)</f>
        <v>199.92</v>
      </c>
      <c r="I664" s="15">
        <f>VLOOKUP(F664,product_info!$A$2:$D$73,4,0)</f>
        <v>7</v>
      </c>
      <c r="J664" s="15" t="str">
        <f>VLOOKUP(I664,department!$A$2:$B$13,2,0)</f>
        <v>Fan Shop</v>
      </c>
      <c r="K664">
        <v>7226</v>
      </c>
      <c r="L664" t="s">
        <v>146</v>
      </c>
      <c r="M664" s="4">
        <v>43472</v>
      </c>
      <c r="N664" s="12">
        <f t="shared" si="31"/>
        <v>1</v>
      </c>
      <c r="O664" s="13">
        <f t="shared" si="32"/>
        <v>2019</v>
      </c>
      <c r="P664" t="s">
        <v>13</v>
      </c>
      <c r="Q664" t="s">
        <v>30</v>
      </c>
      <c r="R664" t="s">
        <v>14</v>
      </c>
      <c r="S664" t="str" cm="1">
        <f t="array" ref="S664">_xlfn.IFS(R664="COMPLETE", "COMPLETED", R664="CANCELED", "CANCELED", TRUE, "PENDING")</f>
        <v>PENDING</v>
      </c>
      <c r="T664" t="s">
        <v>90</v>
      </c>
      <c r="U664">
        <f>VLOOKUP(A664,ordered_items!$B:$E,4,0)</f>
        <v>199.92</v>
      </c>
    </row>
    <row r="665" spans="1:21" x14ac:dyDescent="0.3">
      <c r="A665">
        <v>25528</v>
      </c>
      <c r="B665" t="s">
        <v>51</v>
      </c>
      <c r="C665">
        <v>4</v>
      </c>
      <c r="D665">
        <v>4</v>
      </c>
      <c r="E665" t="str">
        <f t="shared" si="30"/>
        <v xml:space="preserve"> ONTIME</v>
      </c>
      <c r="F665">
        <f>VLOOKUP($A665,ordered_items!$B$2:$E$4784,2,0)</f>
        <v>957</v>
      </c>
      <c r="G665">
        <f>VLOOKUP($A665,ordered_items!$B$2:$E$4784,3,0)</f>
        <v>1</v>
      </c>
      <c r="H665">
        <f>VLOOKUP($A665,ordered_items!$B$2:$E$4784,4,0)</f>
        <v>299.98</v>
      </c>
      <c r="I665" s="15">
        <f>VLOOKUP(F665,product_info!$A$2:$D$73,4,0)</f>
        <v>7</v>
      </c>
      <c r="J665" s="15" t="str">
        <f>VLOOKUP(I665,department!$A$2:$B$13,2,0)</f>
        <v>Fan Shop</v>
      </c>
      <c r="K665">
        <v>4232</v>
      </c>
      <c r="L665" t="s">
        <v>871</v>
      </c>
      <c r="M665" s="4">
        <v>43472</v>
      </c>
      <c r="N665" s="12">
        <f t="shared" si="31"/>
        <v>1</v>
      </c>
      <c r="O665" s="13">
        <f t="shared" si="32"/>
        <v>2019</v>
      </c>
      <c r="P665" t="s">
        <v>13</v>
      </c>
      <c r="Q665" t="s">
        <v>30</v>
      </c>
      <c r="R665" t="s">
        <v>57</v>
      </c>
      <c r="S665" t="str" cm="1">
        <f t="array" ref="S665">_xlfn.IFS(R665="COMPLETE", "COMPLETED", R665="CANCELED", "CANCELED", TRUE, "PENDING")</f>
        <v>PENDING</v>
      </c>
      <c r="T665" t="s">
        <v>16</v>
      </c>
      <c r="U665">
        <f>VLOOKUP(A665,ordered_items!$B:$E,4,0)</f>
        <v>299.98</v>
      </c>
    </row>
    <row r="666" spans="1:21" x14ac:dyDescent="0.3">
      <c r="A666">
        <v>25540</v>
      </c>
      <c r="B666" t="s">
        <v>3</v>
      </c>
      <c r="C666">
        <v>6</v>
      </c>
      <c r="D666">
        <v>4</v>
      </c>
      <c r="E666" t="str">
        <f t="shared" si="30"/>
        <v>DELAYED</v>
      </c>
      <c r="F666">
        <f>VLOOKUP($A666,ordered_items!$B$2:$E$4784,2,0)</f>
        <v>1004</v>
      </c>
      <c r="G666">
        <f>VLOOKUP($A666,ordered_items!$B$2:$E$4784,3,0)</f>
        <v>1</v>
      </c>
      <c r="H666">
        <f>VLOOKUP($A666,ordered_items!$B$2:$E$4784,4,0)</f>
        <v>399.98</v>
      </c>
      <c r="I666" s="15">
        <f>VLOOKUP(F666,product_info!$A$2:$D$73,4,0)</f>
        <v>7</v>
      </c>
      <c r="J666" s="15" t="str">
        <f>VLOOKUP(I666,department!$A$2:$B$13,2,0)</f>
        <v>Fan Shop</v>
      </c>
      <c r="K666">
        <v>6348</v>
      </c>
      <c r="L666" t="s">
        <v>409</v>
      </c>
      <c r="M666" s="4">
        <v>43472</v>
      </c>
      <c r="N666" s="12">
        <f t="shared" si="31"/>
        <v>1</v>
      </c>
      <c r="O666" s="13">
        <f t="shared" si="32"/>
        <v>2019</v>
      </c>
      <c r="P666" t="s">
        <v>13</v>
      </c>
      <c r="Q666" t="s">
        <v>410</v>
      </c>
      <c r="R666" t="s">
        <v>38</v>
      </c>
      <c r="S666" t="str" cm="1">
        <f t="array" ref="S666">_xlfn.IFS(R666="COMPLETE", "COMPLETED", R666="CANCELED", "CANCELED", TRUE, "PENDING")</f>
        <v>PENDING</v>
      </c>
      <c r="T666" t="s">
        <v>16</v>
      </c>
      <c r="U666">
        <f>VLOOKUP(A666,ordered_items!$B:$E,4,0)</f>
        <v>399.98</v>
      </c>
    </row>
    <row r="667" spans="1:21" x14ac:dyDescent="0.3">
      <c r="A667">
        <v>25541</v>
      </c>
      <c r="B667" t="s">
        <v>24</v>
      </c>
      <c r="C667">
        <v>1</v>
      </c>
      <c r="D667">
        <v>0</v>
      </c>
      <c r="E667" t="str">
        <f t="shared" si="30"/>
        <v>DELAYED</v>
      </c>
      <c r="F667">
        <f>VLOOKUP($A667,ordered_items!$B$2:$E$4784,2,0)</f>
        <v>1014</v>
      </c>
      <c r="G667">
        <f>VLOOKUP($A667,ordered_items!$B$2:$E$4784,3,0)</f>
        <v>3</v>
      </c>
      <c r="H667">
        <f>VLOOKUP($A667,ordered_items!$B$2:$E$4784,4,0)</f>
        <v>149.94</v>
      </c>
      <c r="I667" s="15">
        <f>VLOOKUP(F667,product_info!$A$2:$D$73,4,0)</f>
        <v>7</v>
      </c>
      <c r="J667" s="15" t="str">
        <f>VLOOKUP(I667,department!$A$2:$B$13,2,0)</f>
        <v>Fan Shop</v>
      </c>
      <c r="K667">
        <v>3508</v>
      </c>
      <c r="L667" t="s">
        <v>409</v>
      </c>
      <c r="M667" s="4">
        <v>43472</v>
      </c>
      <c r="N667" s="12">
        <f t="shared" si="31"/>
        <v>1</v>
      </c>
      <c r="O667" s="13">
        <f t="shared" si="32"/>
        <v>2019</v>
      </c>
      <c r="P667" t="s">
        <v>13</v>
      </c>
      <c r="Q667" t="s">
        <v>410</v>
      </c>
      <c r="R667" t="s">
        <v>31</v>
      </c>
      <c r="S667" t="str" cm="1">
        <f t="array" ref="S667">_xlfn.IFS(R667="COMPLETE", "COMPLETED", R667="CANCELED", "CANCELED", TRUE, "PENDING")</f>
        <v>COMPLETED</v>
      </c>
      <c r="T667" t="s">
        <v>58</v>
      </c>
      <c r="U667">
        <f>VLOOKUP(A667,ordered_items!$B:$E,4,0)</f>
        <v>149.94</v>
      </c>
    </row>
    <row r="668" spans="1:21" x14ac:dyDescent="0.3">
      <c r="A668">
        <v>25542</v>
      </c>
      <c r="B668" t="s">
        <v>24</v>
      </c>
      <c r="C668">
        <v>1</v>
      </c>
      <c r="D668">
        <v>0</v>
      </c>
      <c r="E668" t="str">
        <f t="shared" si="30"/>
        <v>DELAYED</v>
      </c>
      <c r="F668">
        <f>VLOOKUP($A668,ordered_items!$B$2:$E$4784,2,0)</f>
        <v>403</v>
      </c>
      <c r="G668">
        <f>VLOOKUP($A668,ordered_items!$B$2:$E$4784,3,0)</f>
        <v>1</v>
      </c>
      <c r="H668">
        <f>VLOOKUP($A668,ordered_items!$B$2:$E$4784,4,0)</f>
        <v>129.99</v>
      </c>
      <c r="I668" s="15">
        <f>VLOOKUP(F668,product_info!$A$2:$D$73,4,0)</f>
        <v>4</v>
      </c>
      <c r="J668" s="15" t="str">
        <f>VLOOKUP(I668,department!$A$2:$B$13,2,0)</f>
        <v>Apparel</v>
      </c>
      <c r="K668">
        <v>4022</v>
      </c>
      <c r="L668" t="s">
        <v>409</v>
      </c>
      <c r="M668" s="4">
        <v>43472</v>
      </c>
      <c r="N668" s="12">
        <f t="shared" si="31"/>
        <v>1</v>
      </c>
      <c r="O668" s="13">
        <f t="shared" si="32"/>
        <v>2019</v>
      </c>
      <c r="P668" t="s">
        <v>13</v>
      </c>
      <c r="Q668" t="s">
        <v>410</v>
      </c>
      <c r="R668" t="s">
        <v>31</v>
      </c>
      <c r="S668" t="str" cm="1">
        <f t="array" ref="S668">_xlfn.IFS(R668="COMPLETE", "COMPLETED", R668="CANCELED", "CANCELED", TRUE, "PENDING")</f>
        <v>COMPLETED</v>
      </c>
      <c r="T668" t="s">
        <v>58</v>
      </c>
      <c r="U668">
        <f>VLOOKUP(A668,ordered_items!$B:$E,4,0)</f>
        <v>129.99</v>
      </c>
    </row>
    <row r="669" spans="1:21" x14ac:dyDescent="0.3">
      <c r="A669">
        <v>25543</v>
      </c>
      <c r="B669" t="s">
        <v>51</v>
      </c>
      <c r="C669">
        <v>1</v>
      </c>
      <c r="D669">
        <v>0</v>
      </c>
      <c r="E669" t="str">
        <f t="shared" si="30"/>
        <v>DELAYED</v>
      </c>
      <c r="F669">
        <f>VLOOKUP($A669,ordered_items!$B$2:$E$4784,2,0)</f>
        <v>1073</v>
      </c>
      <c r="G669">
        <f>VLOOKUP($A669,ordered_items!$B$2:$E$4784,3,0)</f>
        <v>1</v>
      </c>
      <c r="H669">
        <f>VLOOKUP($A669,ordered_items!$B$2:$E$4784,4,0)</f>
        <v>199.99</v>
      </c>
      <c r="I669" s="15">
        <f>VLOOKUP(F669,product_info!$A$2:$D$73,4,0)</f>
        <v>7</v>
      </c>
      <c r="J669" s="15" t="str">
        <f>VLOOKUP(I669,department!$A$2:$B$13,2,0)</f>
        <v>Fan Shop</v>
      </c>
      <c r="K669">
        <v>6597</v>
      </c>
      <c r="L669" t="s">
        <v>409</v>
      </c>
      <c r="M669" s="4">
        <v>43472</v>
      </c>
      <c r="N669" s="12">
        <f t="shared" si="31"/>
        <v>1</v>
      </c>
      <c r="O669" s="13">
        <f t="shared" si="32"/>
        <v>2019</v>
      </c>
      <c r="P669" t="s">
        <v>13</v>
      </c>
      <c r="Q669" t="s">
        <v>410</v>
      </c>
      <c r="R669" t="s">
        <v>57</v>
      </c>
      <c r="S669" t="str" cm="1">
        <f t="array" ref="S669">_xlfn.IFS(R669="COMPLETE", "COMPLETED", R669="CANCELED", "CANCELED", TRUE, "PENDING")</f>
        <v>PENDING</v>
      </c>
      <c r="T669" t="s">
        <v>58</v>
      </c>
      <c r="U669">
        <f>VLOOKUP(A669,ordered_items!$B:$E,4,0)</f>
        <v>199.99</v>
      </c>
    </row>
    <row r="670" spans="1:21" x14ac:dyDescent="0.3">
      <c r="A670">
        <v>25552</v>
      </c>
      <c r="B670" t="s">
        <v>24</v>
      </c>
      <c r="C670">
        <v>3</v>
      </c>
      <c r="D670">
        <v>4</v>
      </c>
      <c r="E670" t="str">
        <f t="shared" si="30"/>
        <v xml:space="preserve"> ONTIME</v>
      </c>
      <c r="F670">
        <f>VLOOKUP($A670,ordered_items!$B$2:$E$4784,2,0)</f>
        <v>365</v>
      </c>
      <c r="G670">
        <f>VLOOKUP($A670,ordered_items!$B$2:$E$4784,3,0)</f>
        <v>5</v>
      </c>
      <c r="H670">
        <f>VLOOKUP($A670,ordered_items!$B$2:$E$4784,4,0)</f>
        <v>299.95</v>
      </c>
      <c r="I670" s="15">
        <f>VLOOKUP(F670,product_info!$A$2:$D$73,4,0)</f>
        <v>4</v>
      </c>
      <c r="J670" s="15" t="str">
        <f>VLOOKUP(I670,department!$A$2:$B$13,2,0)</f>
        <v>Apparel</v>
      </c>
      <c r="K670">
        <v>4190</v>
      </c>
      <c r="L670" t="s">
        <v>266</v>
      </c>
      <c r="M670" s="4">
        <v>43472</v>
      </c>
      <c r="N670" s="12">
        <f t="shared" si="31"/>
        <v>1</v>
      </c>
      <c r="O670" s="13">
        <f t="shared" si="32"/>
        <v>2019</v>
      </c>
      <c r="P670" t="s">
        <v>13</v>
      </c>
      <c r="Q670" t="s">
        <v>5778</v>
      </c>
      <c r="R670" t="s">
        <v>31</v>
      </c>
      <c r="S670" t="str" cm="1">
        <f t="array" ref="S670">_xlfn.IFS(R670="COMPLETE", "COMPLETED", R670="CANCELED", "CANCELED", TRUE, "PENDING")</f>
        <v>COMPLETED</v>
      </c>
      <c r="T670" t="s">
        <v>16</v>
      </c>
      <c r="U670">
        <f>VLOOKUP(A670,ordered_items!$B:$E,4,0)</f>
        <v>299.95</v>
      </c>
    </row>
    <row r="671" spans="1:21" x14ac:dyDescent="0.3">
      <c r="A671">
        <v>25553</v>
      </c>
      <c r="B671" t="s">
        <v>51</v>
      </c>
      <c r="C671">
        <v>4</v>
      </c>
      <c r="D671">
        <v>4</v>
      </c>
      <c r="E671" t="str">
        <f t="shared" si="30"/>
        <v xml:space="preserve"> ONTIME</v>
      </c>
      <c r="F671">
        <f>VLOOKUP($A671,ordered_items!$B$2:$E$4784,2,0)</f>
        <v>403</v>
      </c>
      <c r="G671">
        <f>VLOOKUP($A671,ordered_items!$B$2:$E$4784,3,0)</f>
        <v>1</v>
      </c>
      <c r="H671">
        <f>VLOOKUP($A671,ordered_items!$B$2:$E$4784,4,0)</f>
        <v>129.99</v>
      </c>
      <c r="I671" s="15">
        <f>VLOOKUP(F671,product_info!$A$2:$D$73,4,0)</f>
        <v>4</v>
      </c>
      <c r="J671" s="15" t="str">
        <f>VLOOKUP(I671,department!$A$2:$B$13,2,0)</f>
        <v>Apparel</v>
      </c>
      <c r="K671">
        <v>6707</v>
      </c>
      <c r="L671" t="s">
        <v>266</v>
      </c>
      <c r="M671" s="4">
        <v>43473</v>
      </c>
      <c r="N671" s="12">
        <f t="shared" si="31"/>
        <v>1</v>
      </c>
      <c r="O671" s="13">
        <f t="shared" si="32"/>
        <v>2019</v>
      </c>
      <c r="P671" t="s">
        <v>13</v>
      </c>
      <c r="Q671" t="s">
        <v>5778</v>
      </c>
      <c r="R671" t="s">
        <v>57</v>
      </c>
      <c r="S671" t="str" cm="1">
        <f t="array" ref="S671">_xlfn.IFS(R671="COMPLETE", "COMPLETED", R671="CANCELED", "CANCELED", TRUE, "PENDING")</f>
        <v>PENDING</v>
      </c>
      <c r="T671" t="s">
        <v>16</v>
      </c>
      <c r="U671">
        <f>VLOOKUP(A671,ordered_items!$B:$E,4,0)</f>
        <v>129.99</v>
      </c>
    </row>
    <row r="672" spans="1:21" x14ac:dyDescent="0.3">
      <c r="A672">
        <v>25570</v>
      </c>
      <c r="B672" t="s">
        <v>3</v>
      </c>
      <c r="C672">
        <v>6</v>
      </c>
      <c r="D672">
        <v>4</v>
      </c>
      <c r="E672" t="str">
        <f t="shared" si="30"/>
        <v>DELAYED</v>
      </c>
      <c r="F672">
        <f>VLOOKUP($A672,ordered_items!$B$2:$E$4784,2,0)</f>
        <v>365</v>
      </c>
      <c r="G672">
        <f>VLOOKUP($A672,ordered_items!$B$2:$E$4784,3,0)</f>
        <v>2</v>
      </c>
      <c r="H672">
        <f>VLOOKUP($A672,ordered_items!$B$2:$E$4784,4,0)</f>
        <v>119.98</v>
      </c>
      <c r="I672" s="15">
        <f>VLOOKUP(F672,product_info!$A$2:$D$73,4,0)</f>
        <v>4</v>
      </c>
      <c r="J672" s="15" t="str">
        <f>VLOOKUP(I672,department!$A$2:$B$13,2,0)</f>
        <v>Apparel</v>
      </c>
      <c r="K672">
        <v>5372</v>
      </c>
      <c r="L672" t="s">
        <v>959</v>
      </c>
      <c r="M672" s="4">
        <v>43473</v>
      </c>
      <c r="N672" s="12">
        <f t="shared" si="31"/>
        <v>1</v>
      </c>
      <c r="O672" s="13">
        <f t="shared" si="32"/>
        <v>2019</v>
      </c>
      <c r="P672" t="s">
        <v>13</v>
      </c>
      <c r="Q672" t="s">
        <v>5779</v>
      </c>
      <c r="R672" t="s">
        <v>14</v>
      </c>
      <c r="S672" t="str" cm="1">
        <f t="array" ref="S672">_xlfn.IFS(R672="COMPLETE", "COMPLETED", R672="CANCELED", "CANCELED", TRUE, "PENDING")</f>
        <v>PENDING</v>
      </c>
      <c r="T672" t="s">
        <v>16</v>
      </c>
      <c r="U672">
        <f>VLOOKUP(A672,ordered_items!$B:$E,4,0)</f>
        <v>119.98</v>
      </c>
    </row>
    <row r="673" spans="1:21" x14ac:dyDescent="0.3">
      <c r="A673">
        <v>25587</v>
      </c>
      <c r="B673" t="s">
        <v>51</v>
      </c>
      <c r="C673">
        <v>2</v>
      </c>
      <c r="D673">
        <v>1</v>
      </c>
      <c r="E673" t="str">
        <f t="shared" si="30"/>
        <v>DELAYED</v>
      </c>
      <c r="F673">
        <f>VLOOKUP($A673,ordered_items!$B$2:$E$4784,2,0)</f>
        <v>1004</v>
      </c>
      <c r="G673">
        <f>VLOOKUP($A673,ordered_items!$B$2:$E$4784,3,0)</f>
        <v>1</v>
      </c>
      <c r="H673">
        <f>VLOOKUP($A673,ordered_items!$B$2:$E$4784,4,0)</f>
        <v>399.98</v>
      </c>
      <c r="I673" s="15">
        <f>VLOOKUP(F673,product_info!$A$2:$D$73,4,0)</f>
        <v>7</v>
      </c>
      <c r="J673" s="15" t="str">
        <f>VLOOKUP(I673,department!$A$2:$B$13,2,0)</f>
        <v>Fan Shop</v>
      </c>
      <c r="K673">
        <v>2569</v>
      </c>
      <c r="L673" t="s">
        <v>426</v>
      </c>
      <c r="M673" s="4">
        <v>43473</v>
      </c>
      <c r="N673" s="12">
        <f t="shared" si="31"/>
        <v>1</v>
      </c>
      <c r="O673" s="13">
        <f t="shared" si="32"/>
        <v>2019</v>
      </c>
      <c r="P673" t="s">
        <v>13</v>
      </c>
      <c r="Q673" t="s">
        <v>245</v>
      </c>
      <c r="R673" t="s">
        <v>57</v>
      </c>
      <c r="S673" t="str" cm="1">
        <f t="array" ref="S673">_xlfn.IFS(R673="COMPLETE", "COMPLETED", R673="CANCELED", "CANCELED", TRUE, "PENDING")</f>
        <v>PENDING</v>
      </c>
      <c r="T673" t="s">
        <v>32</v>
      </c>
      <c r="U673">
        <f>VLOOKUP(A673,ordered_items!$B:$E,4,0)</f>
        <v>399.98</v>
      </c>
    </row>
    <row r="674" spans="1:21" x14ac:dyDescent="0.3">
      <c r="A674">
        <v>25588</v>
      </c>
      <c r="B674" t="s">
        <v>24</v>
      </c>
      <c r="C674">
        <v>2</v>
      </c>
      <c r="D674">
        <v>1</v>
      </c>
      <c r="E674" t="str">
        <f t="shared" si="30"/>
        <v>DELAYED</v>
      </c>
      <c r="F674">
        <f>VLOOKUP($A674,ordered_items!$B$2:$E$4784,2,0)</f>
        <v>957</v>
      </c>
      <c r="G674">
        <f>VLOOKUP($A674,ordered_items!$B$2:$E$4784,3,0)</f>
        <v>1</v>
      </c>
      <c r="H674">
        <f>VLOOKUP($A674,ordered_items!$B$2:$E$4784,4,0)</f>
        <v>299.98</v>
      </c>
      <c r="I674" s="15">
        <f>VLOOKUP(F674,product_info!$A$2:$D$73,4,0)</f>
        <v>7</v>
      </c>
      <c r="J674" s="15" t="str">
        <f>VLOOKUP(I674,department!$A$2:$B$13,2,0)</f>
        <v>Fan Shop</v>
      </c>
      <c r="K674">
        <v>607</v>
      </c>
      <c r="L674" t="s">
        <v>426</v>
      </c>
      <c r="M674" s="4">
        <v>43473</v>
      </c>
      <c r="N674" s="12">
        <f t="shared" si="31"/>
        <v>1</v>
      </c>
      <c r="O674" s="13">
        <f t="shared" si="32"/>
        <v>2019</v>
      </c>
      <c r="P674" t="s">
        <v>13</v>
      </c>
      <c r="Q674" t="s">
        <v>245</v>
      </c>
      <c r="R674" t="s">
        <v>31</v>
      </c>
      <c r="S674" t="str" cm="1">
        <f t="array" ref="S674">_xlfn.IFS(R674="COMPLETE", "COMPLETED", R674="CANCELED", "CANCELED", TRUE, "PENDING")</f>
        <v>COMPLETED</v>
      </c>
      <c r="T674" t="s">
        <v>32</v>
      </c>
      <c r="U674">
        <f>VLOOKUP(A674,ordered_items!$B:$E,4,0)</f>
        <v>299.98</v>
      </c>
    </row>
    <row r="675" spans="1:21" x14ac:dyDescent="0.3">
      <c r="A675">
        <v>25589</v>
      </c>
      <c r="B675" t="s">
        <v>51</v>
      </c>
      <c r="C675">
        <v>2</v>
      </c>
      <c r="D675">
        <v>1</v>
      </c>
      <c r="E675" t="str">
        <f t="shared" si="30"/>
        <v>DELAYED</v>
      </c>
      <c r="F675">
        <f>VLOOKUP($A675,ordered_items!$B$2:$E$4784,2,0)</f>
        <v>502</v>
      </c>
      <c r="G675">
        <f>VLOOKUP($A675,ordered_items!$B$2:$E$4784,3,0)</f>
        <v>4</v>
      </c>
      <c r="H675">
        <f>VLOOKUP($A675,ordered_items!$B$2:$E$4784,4,0)</f>
        <v>200</v>
      </c>
      <c r="I675" s="15">
        <f>VLOOKUP(F675,product_info!$A$2:$D$73,4,0)</f>
        <v>5</v>
      </c>
      <c r="J675" s="15" t="str">
        <f>VLOOKUP(I675,department!$A$2:$B$13,2,0)</f>
        <v>Golf</v>
      </c>
      <c r="K675">
        <v>8397</v>
      </c>
      <c r="L675" t="s">
        <v>426</v>
      </c>
      <c r="M675" s="4">
        <v>43473</v>
      </c>
      <c r="N675" s="12">
        <f t="shared" si="31"/>
        <v>1</v>
      </c>
      <c r="O675" s="13">
        <f t="shared" si="32"/>
        <v>2019</v>
      </c>
      <c r="P675" t="s">
        <v>13</v>
      </c>
      <c r="Q675" t="s">
        <v>245</v>
      </c>
      <c r="R675" t="s">
        <v>57</v>
      </c>
      <c r="S675" t="str" cm="1">
        <f t="array" ref="S675">_xlfn.IFS(R675="COMPLETE", "COMPLETED", R675="CANCELED", "CANCELED", TRUE, "PENDING")</f>
        <v>PENDING</v>
      </c>
      <c r="T675" t="s">
        <v>32</v>
      </c>
      <c r="U675">
        <f>VLOOKUP(A675,ordered_items!$B:$E,4,0)</f>
        <v>200</v>
      </c>
    </row>
    <row r="676" spans="1:21" x14ac:dyDescent="0.3">
      <c r="A676">
        <v>25591</v>
      </c>
      <c r="B676" t="s">
        <v>17</v>
      </c>
      <c r="C676">
        <v>2</v>
      </c>
      <c r="D676">
        <v>1</v>
      </c>
      <c r="E676" t="str">
        <f t="shared" si="30"/>
        <v>DELAYED</v>
      </c>
      <c r="F676">
        <f>VLOOKUP($A676,ordered_items!$B$2:$E$4784,2,0)</f>
        <v>191</v>
      </c>
      <c r="G676">
        <f>VLOOKUP($A676,ordered_items!$B$2:$E$4784,3,0)</f>
        <v>1</v>
      </c>
      <c r="H676">
        <f>VLOOKUP($A676,ordered_items!$B$2:$E$4784,4,0)</f>
        <v>99.99</v>
      </c>
      <c r="I676" s="15">
        <f>VLOOKUP(F676,product_info!$A$2:$D$73,4,0)</f>
        <v>3</v>
      </c>
      <c r="J676" s="15" t="str">
        <f>VLOOKUP(I676,department!$A$2:$B$13,2,0)</f>
        <v>Footwear</v>
      </c>
      <c r="K676">
        <v>3704</v>
      </c>
      <c r="L676" t="s">
        <v>426</v>
      </c>
      <c r="M676" s="4">
        <v>43473</v>
      </c>
      <c r="N676" s="12">
        <f t="shared" si="31"/>
        <v>1</v>
      </c>
      <c r="O676" s="13">
        <f t="shared" si="32"/>
        <v>2019</v>
      </c>
      <c r="P676" t="s">
        <v>13</v>
      </c>
      <c r="Q676" t="s">
        <v>245</v>
      </c>
      <c r="R676" t="s">
        <v>23</v>
      </c>
      <c r="S676" t="str" cm="1">
        <f t="array" ref="S676">_xlfn.IFS(R676="COMPLETE", "COMPLETED", R676="CANCELED", "CANCELED", TRUE, "PENDING")</f>
        <v>PENDING</v>
      </c>
      <c r="T676" t="s">
        <v>32</v>
      </c>
      <c r="U676">
        <f>VLOOKUP(A676,ordered_items!$B:$E,4,0)</f>
        <v>99.99</v>
      </c>
    </row>
    <row r="677" spans="1:21" x14ac:dyDescent="0.3">
      <c r="A677">
        <v>25596</v>
      </c>
      <c r="B677" t="s">
        <v>24</v>
      </c>
      <c r="C677">
        <v>2</v>
      </c>
      <c r="D677">
        <v>4</v>
      </c>
      <c r="E677" t="str">
        <f t="shared" si="30"/>
        <v xml:space="preserve"> ONTIME</v>
      </c>
      <c r="F677">
        <f>VLOOKUP($A677,ordered_items!$B$2:$E$4784,2,0)</f>
        <v>365</v>
      </c>
      <c r="G677">
        <f>VLOOKUP($A677,ordered_items!$B$2:$E$4784,3,0)</f>
        <v>1</v>
      </c>
      <c r="H677">
        <f>VLOOKUP($A677,ordered_items!$B$2:$E$4784,4,0)</f>
        <v>59.99</v>
      </c>
      <c r="I677" s="15">
        <f>VLOOKUP(F677,product_info!$A$2:$D$73,4,0)</f>
        <v>4</v>
      </c>
      <c r="J677" s="15" t="str">
        <f>VLOOKUP(I677,department!$A$2:$B$13,2,0)</f>
        <v>Apparel</v>
      </c>
      <c r="K677">
        <v>9106</v>
      </c>
      <c r="L677" t="s">
        <v>465</v>
      </c>
      <c r="M677" s="4">
        <v>43473</v>
      </c>
      <c r="N677" s="12">
        <f t="shared" si="31"/>
        <v>1</v>
      </c>
      <c r="O677" s="13">
        <f t="shared" si="32"/>
        <v>2019</v>
      </c>
      <c r="P677" t="s">
        <v>13</v>
      </c>
      <c r="Q677" t="s">
        <v>99</v>
      </c>
      <c r="R677" t="s">
        <v>31</v>
      </c>
      <c r="S677" t="str" cm="1">
        <f t="array" ref="S677">_xlfn.IFS(R677="COMPLETE", "COMPLETED", R677="CANCELED", "CANCELED", TRUE, "PENDING")</f>
        <v>COMPLETED</v>
      </c>
      <c r="T677" t="s">
        <v>16</v>
      </c>
      <c r="U677">
        <f>VLOOKUP(A677,ordered_items!$B:$E,4,0)</f>
        <v>59.99</v>
      </c>
    </row>
    <row r="678" spans="1:21" x14ac:dyDescent="0.3">
      <c r="A678">
        <v>25597</v>
      </c>
      <c r="B678" t="s">
        <v>24</v>
      </c>
      <c r="C678">
        <v>3</v>
      </c>
      <c r="D678">
        <v>4</v>
      </c>
      <c r="E678" t="str">
        <f t="shared" si="30"/>
        <v xml:space="preserve"> ONTIME</v>
      </c>
      <c r="F678">
        <f>VLOOKUP($A678,ordered_items!$B$2:$E$4784,2,0)</f>
        <v>502</v>
      </c>
      <c r="G678">
        <f>VLOOKUP($A678,ordered_items!$B$2:$E$4784,3,0)</f>
        <v>5</v>
      </c>
      <c r="H678">
        <f>VLOOKUP($A678,ordered_items!$B$2:$E$4784,4,0)</f>
        <v>250</v>
      </c>
      <c r="I678" s="15">
        <f>VLOOKUP(F678,product_info!$A$2:$D$73,4,0)</f>
        <v>5</v>
      </c>
      <c r="J678" s="15" t="str">
        <f>VLOOKUP(I678,department!$A$2:$B$13,2,0)</f>
        <v>Golf</v>
      </c>
      <c r="K678">
        <v>6308</v>
      </c>
      <c r="L678" t="s">
        <v>465</v>
      </c>
      <c r="M678" s="4">
        <v>43473</v>
      </c>
      <c r="N678" s="12">
        <f t="shared" si="31"/>
        <v>1</v>
      </c>
      <c r="O678" s="13">
        <f t="shared" si="32"/>
        <v>2019</v>
      </c>
      <c r="P678" t="s">
        <v>13</v>
      </c>
      <c r="Q678" t="s">
        <v>99</v>
      </c>
      <c r="R678" t="s">
        <v>378</v>
      </c>
      <c r="S678" t="str" cm="1">
        <f t="array" ref="S678">_xlfn.IFS(R678="COMPLETE", "COMPLETED", R678="CANCELED", "CANCELED", TRUE, "PENDING")</f>
        <v>PENDING</v>
      </c>
      <c r="T678" t="s">
        <v>16</v>
      </c>
      <c r="U678">
        <f>VLOOKUP(A678,ordered_items!$B:$E,4,0)</f>
        <v>250</v>
      </c>
    </row>
    <row r="679" spans="1:21" x14ac:dyDescent="0.3">
      <c r="A679">
        <v>25616</v>
      </c>
      <c r="B679" t="s">
        <v>24</v>
      </c>
      <c r="C679">
        <v>2</v>
      </c>
      <c r="D679">
        <v>1</v>
      </c>
      <c r="E679" t="str">
        <f t="shared" si="30"/>
        <v>DELAYED</v>
      </c>
      <c r="F679">
        <f>VLOOKUP($A679,ordered_items!$B$2:$E$4784,2,0)</f>
        <v>1073</v>
      </c>
      <c r="G679">
        <f>VLOOKUP($A679,ordered_items!$B$2:$E$4784,3,0)</f>
        <v>1</v>
      </c>
      <c r="H679">
        <f>VLOOKUP($A679,ordered_items!$B$2:$E$4784,4,0)</f>
        <v>199.99</v>
      </c>
      <c r="I679" s="15">
        <f>VLOOKUP(F679,product_info!$A$2:$D$73,4,0)</f>
        <v>7</v>
      </c>
      <c r="J679" s="15" t="str">
        <f>VLOOKUP(I679,department!$A$2:$B$13,2,0)</f>
        <v>Fan Shop</v>
      </c>
      <c r="K679">
        <v>4929</v>
      </c>
      <c r="L679" t="s">
        <v>561</v>
      </c>
      <c r="M679" s="4">
        <v>43473</v>
      </c>
      <c r="N679" s="12">
        <f t="shared" si="31"/>
        <v>1</v>
      </c>
      <c r="O679" s="13">
        <f t="shared" si="32"/>
        <v>2019</v>
      </c>
      <c r="P679" t="s">
        <v>13</v>
      </c>
      <c r="Q679" t="s">
        <v>5779</v>
      </c>
      <c r="R679" t="s">
        <v>31</v>
      </c>
      <c r="S679" t="str" cm="1">
        <f t="array" ref="S679">_xlfn.IFS(R679="COMPLETE", "COMPLETED", R679="CANCELED", "CANCELED", TRUE, "PENDING")</f>
        <v>COMPLETED</v>
      </c>
      <c r="T679" t="s">
        <v>32</v>
      </c>
      <c r="U679">
        <f>VLOOKUP(A679,ordered_items!$B:$E,4,0)</f>
        <v>199.99</v>
      </c>
    </row>
    <row r="680" spans="1:21" x14ac:dyDescent="0.3">
      <c r="A680">
        <v>25617</v>
      </c>
      <c r="B680" t="s">
        <v>3</v>
      </c>
      <c r="C680">
        <v>2</v>
      </c>
      <c r="D680">
        <v>1</v>
      </c>
      <c r="E680" t="str">
        <f t="shared" si="30"/>
        <v>DELAYED</v>
      </c>
      <c r="F680">
        <f>VLOOKUP($A680,ordered_items!$B$2:$E$4784,2,0)</f>
        <v>403</v>
      </c>
      <c r="G680">
        <f>VLOOKUP($A680,ordered_items!$B$2:$E$4784,3,0)</f>
        <v>1</v>
      </c>
      <c r="H680">
        <f>VLOOKUP($A680,ordered_items!$B$2:$E$4784,4,0)</f>
        <v>129.99</v>
      </c>
      <c r="I680" s="15">
        <f>VLOOKUP(F680,product_info!$A$2:$D$73,4,0)</f>
        <v>4</v>
      </c>
      <c r="J680" s="15" t="str">
        <f>VLOOKUP(I680,department!$A$2:$B$13,2,0)</f>
        <v>Apparel</v>
      </c>
      <c r="K680">
        <v>7842</v>
      </c>
      <c r="L680" t="s">
        <v>561</v>
      </c>
      <c r="M680" s="4">
        <v>43473</v>
      </c>
      <c r="N680" s="12">
        <f t="shared" si="31"/>
        <v>1</v>
      </c>
      <c r="O680" s="13">
        <f t="shared" si="32"/>
        <v>2019</v>
      </c>
      <c r="P680" t="s">
        <v>13</v>
      </c>
      <c r="Q680" t="s">
        <v>5779</v>
      </c>
      <c r="R680" t="s">
        <v>14</v>
      </c>
      <c r="S680" t="str" cm="1">
        <f t="array" ref="S680">_xlfn.IFS(R680="COMPLETE", "COMPLETED", R680="CANCELED", "CANCELED", TRUE, "PENDING")</f>
        <v>PENDING</v>
      </c>
      <c r="T680" t="s">
        <v>32</v>
      </c>
      <c r="U680">
        <f>VLOOKUP(A680,ordered_items!$B:$E,4,0)</f>
        <v>129.99</v>
      </c>
    </row>
    <row r="681" spans="1:21" x14ac:dyDescent="0.3">
      <c r="A681">
        <v>25619</v>
      </c>
      <c r="B681" t="s">
        <v>51</v>
      </c>
      <c r="C681">
        <v>2</v>
      </c>
      <c r="D681">
        <v>1</v>
      </c>
      <c r="E681" t="str">
        <f t="shared" si="30"/>
        <v>DELAYED</v>
      </c>
      <c r="F681">
        <f>VLOOKUP($A681,ordered_items!$B$2:$E$4784,2,0)</f>
        <v>191</v>
      </c>
      <c r="G681">
        <f>VLOOKUP($A681,ordered_items!$B$2:$E$4784,3,0)</f>
        <v>5</v>
      </c>
      <c r="H681">
        <f>VLOOKUP($A681,ordered_items!$B$2:$E$4784,4,0)</f>
        <v>499.95</v>
      </c>
      <c r="I681" s="15">
        <f>VLOOKUP(F681,product_info!$A$2:$D$73,4,0)</f>
        <v>3</v>
      </c>
      <c r="J681" s="15" t="str">
        <f>VLOOKUP(I681,department!$A$2:$B$13,2,0)</f>
        <v>Footwear</v>
      </c>
      <c r="K681">
        <v>7349</v>
      </c>
      <c r="L681" t="s">
        <v>290</v>
      </c>
      <c r="M681" s="4">
        <v>43473</v>
      </c>
      <c r="N681" s="12">
        <f t="shared" si="31"/>
        <v>1</v>
      </c>
      <c r="O681" s="13">
        <f t="shared" si="32"/>
        <v>2019</v>
      </c>
      <c r="P681" t="s">
        <v>13</v>
      </c>
      <c r="Q681" t="s">
        <v>130</v>
      </c>
      <c r="R681" t="s">
        <v>1275</v>
      </c>
      <c r="S681" t="str" cm="1">
        <f t="array" ref="S681">_xlfn.IFS(R681="COMPLETE", "COMPLETED", R681="CANCELED", "CANCELED", TRUE, "PENDING")</f>
        <v>PENDING</v>
      </c>
      <c r="T681" t="s">
        <v>32</v>
      </c>
      <c r="U681">
        <f>VLOOKUP(A681,ordered_items!$B:$E,4,0)</f>
        <v>499.95</v>
      </c>
    </row>
    <row r="682" spans="1:21" x14ac:dyDescent="0.3">
      <c r="A682">
        <v>25620</v>
      </c>
      <c r="B682" t="s">
        <v>3</v>
      </c>
      <c r="C682">
        <v>6</v>
      </c>
      <c r="D682">
        <v>2</v>
      </c>
      <c r="E682" t="str">
        <f t="shared" si="30"/>
        <v>DELAYED</v>
      </c>
      <c r="F682">
        <f>VLOOKUP($A682,ordered_items!$B$2:$E$4784,2,0)</f>
        <v>365</v>
      </c>
      <c r="G682">
        <f>VLOOKUP($A682,ordered_items!$B$2:$E$4784,3,0)</f>
        <v>1</v>
      </c>
      <c r="H682">
        <f>VLOOKUP($A682,ordered_items!$B$2:$E$4784,4,0)</f>
        <v>59.99</v>
      </c>
      <c r="I682" s="15">
        <f>VLOOKUP(F682,product_info!$A$2:$D$73,4,0)</f>
        <v>4</v>
      </c>
      <c r="J682" s="15" t="str">
        <f>VLOOKUP(I682,department!$A$2:$B$13,2,0)</f>
        <v>Apparel</v>
      </c>
      <c r="K682">
        <v>4469</v>
      </c>
      <c r="L682" t="s">
        <v>290</v>
      </c>
      <c r="M682" s="4">
        <v>43473</v>
      </c>
      <c r="N682" s="12">
        <f t="shared" si="31"/>
        <v>1</v>
      </c>
      <c r="O682" s="13">
        <f t="shared" si="32"/>
        <v>2019</v>
      </c>
      <c r="P682" t="s">
        <v>13</v>
      </c>
      <c r="Q682" t="s">
        <v>130</v>
      </c>
      <c r="R682" t="s">
        <v>38</v>
      </c>
      <c r="S682" t="str" cm="1">
        <f t="array" ref="S682">_xlfn.IFS(R682="COMPLETE", "COMPLETED", R682="CANCELED", "CANCELED", TRUE, "PENDING")</f>
        <v>PENDING</v>
      </c>
      <c r="T682" t="s">
        <v>90</v>
      </c>
      <c r="U682">
        <f>VLOOKUP(A682,ordered_items!$B:$E,4,0)</f>
        <v>59.99</v>
      </c>
    </row>
    <row r="683" spans="1:21" x14ac:dyDescent="0.3">
      <c r="A683">
        <v>25659</v>
      </c>
      <c r="B683" t="s">
        <v>3</v>
      </c>
      <c r="C683">
        <v>5</v>
      </c>
      <c r="D683">
        <v>4</v>
      </c>
      <c r="E683" t="str">
        <f t="shared" si="30"/>
        <v>DELAYED</v>
      </c>
      <c r="F683">
        <f>VLOOKUP($A683,ordered_items!$B$2:$E$4784,2,0)</f>
        <v>627</v>
      </c>
      <c r="G683">
        <f>VLOOKUP($A683,ordered_items!$B$2:$E$4784,3,0)</f>
        <v>1</v>
      </c>
      <c r="H683">
        <f>VLOOKUP($A683,ordered_items!$B$2:$E$4784,4,0)</f>
        <v>39.99</v>
      </c>
      <c r="I683" s="15">
        <f>VLOOKUP(F683,product_info!$A$2:$D$73,4,0)</f>
        <v>5</v>
      </c>
      <c r="J683" s="15" t="str">
        <f>VLOOKUP(I683,department!$A$2:$B$13,2,0)</f>
        <v>Golf</v>
      </c>
      <c r="K683">
        <v>8697</v>
      </c>
      <c r="L683" t="s">
        <v>104</v>
      </c>
      <c r="M683" s="4">
        <v>43474</v>
      </c>
      <c r="N683" s="12">
        <f t="shared" si="31"/>
        <v>1</v>
      </c>
      <c r="O683" s="13">
        <f t="shared" si="32"/>
        <v>2019</v>
      </c>
      <c r="P683" t="s">
        <v>13</v>
      </c>
      <c r="Q683" t="s">
        <v>420</v>
      </c>
      <c r="R683" t="s">
        <v>38</v>
      </c>
      <c r="S683" t="str" cm="1">
        <f t="array" ref="S683">_xlfn.IFS(R683="COMPLETE", "COMPLETED", R683="CANCELED", "CANCELED", TRUE, "PENDING")</f>
        <v>PENDING</v>
      </c>
      <c r="T683" t="s">
        <v>16</v>
      </c>
      <c r="U683">
        <f>VLOOKUP(A683,ordered_items!$B:$E,4,0)</f>
        <v>39.99</v>
      </c>
    </row>
    <row r="684" spans="1:21" x14ac:dyDescent="0.3">
      <c r="A684">
        <v>25662</v>
      </c>
      <c r="B684" t="s">
        <v>3</v>
      </c>
      <c r="C684">
        <v>3</v>
      </c>
      <c r="D684">
        <v>4</v>
      </c>
      <c r="E684" t="str">
        <f t="shared" si="30"/>
        <v xml:space="preserve"> ONTIME</v>
      </c>
      <c r="F684">
        <f>VLOOKUP($A684,ordered_items!$B$2:$E$4784,2,0)</f>
        <v>1073</v>
      </c>
      <c r="G684">
        <f>VLOOKUP($A684,ordered_items!$B$2:$E$4784,3,0)</f>
        <v>1</v>
      </c>
      <c r="H684">
        <f>VLOOKUP($A684,ordered_items!$B$2:$E$4784,4,0)</f>
        <v>199.99</v>
      </c>
      <c r="I684" s="15">
        <f>VLOOKUP(F684,product_info!$A$2:$D$73,4,0)</f>
        <v>7</v>
      </c>
      <c r="J684" s="15" t="str">
        <f>VLOOKUP(I684,department!$A$2:$B$13,2,0)</f>
        <v>Fan Shop</v>
      </c>
      <c r="K684">
        <v>8268</v>
      </c>
      <c r="L684" t="s">
        <v>439</v>
      </c>
      <c r="M684" s="4">
        <v>43474</v>
      </c>
      <c r="N684" s="12">
        <f t="shared" si="31"/>
        <v>1</v>
      </c>
      <c r="O684" s="13">
        <f t="shared" si="32"/>
        <v>2019</v>
      </c>
      <c r="P684" t="s">
        <v>13</v>
      </c>
      <c r="Q684" t="s">
        <v>377</v>
      </c>
      <c r="R684" t="s">
        <v>38</v>
      </c>
      <c r="S684" t="str" cm="1">
        <f t="array" ref="S684">_xlfn.IFS(R684="COMPLETE", "COMPLETED", R684="CANCELED", "CANCELED", TRUE, "PENDING")</f>
        <v>PENDING</v>
      </c>
      <c r="T684" t="s">
        <v>16</v>
      </c>
      <c r="U684">
        <f>VLOOKUP(A684,ordered_items!$B:$E,4,0)</f>
        <v>199.99</v>
      </c>
    </row>
    <row r="685" spans="1:21" x14ac:dyDescent="0.3">
      <c r="A685">
        <v>25663</v>
      </c>
      <c r="B685" t="s">
        <v>24</v>
      </c>
      <c r="C685">
        <v>4</v>
      </c>
      <c r="D685">
        <v>2</v>
      </c>
      <c r="E685" t="str">
        <f t="shared" si="30"/>
        <v>DELAYED</v>
      </c>
      <c r="F685">
        <f>VLOOKUP($A685,ordered_items!$B$2:$E$4784,2,0)</f>
        <v>403</v>
      </c>
      <c r="G685">
        <f>VLOOKUP($A685,ordered_items!$B$2:$E$4784,3,0)</f>
        <v>1</v>
      </c>
      <c r="H685">
        <f>VLOOKUP($A685,ordered_items!$B$2:$E$4784,4,0)</f>
        <v>129.99</v>
      </c>
      <c r="I685" s="15">
        <f>VLOOKUP(F685,product_info!$A$2:$D$73,4,0)</f>
        <v>4</v>
      </c>
      <c r="J685" s="15" t="str">
        <f>VLOOKUP(I685,department!$A$2:$B$13,2,0)</f>
        <v>Apparel</v>
      </c>
      <c r="K685">
        <v>8079</v>
      </c>
      <c r="L685" t="s">
        <v>439</v>
      </c>
      <c r="M685" s="4">
        <v>43474</v>
      </c>
      <c r="N685" s="12">
        <f t="shared" si="31"/>
        <v>1</v>
      </c>
      <c r="O685" s="13">
        <f t="shared" si="32"/>
        <v>2019</v>
      </c>
      <c r="P685" t="s">
        <v>13</v>
      </c>
      <c r="Q685" t="s">
        <v>377</v>
      </c>
      <c r="R685" t="s">
        <v>31</v>
      </c>
      <c r="S685" t="str" cm="1">
        <f t="array" ref="S685">_xlfn.IFS(R685="COMPLETE", "COMPLETED", R685="CANCELED", "CANCELED", TRUE, "PENDING")</f>
        <v>COMPLETED</v>
      </c>
      <c r="T685" t="s">
        <v>90</v>
      </c>
      <c r="U685">
        <f>VLOOKUP(A685,ordered_items!$B:$E,4,0)</f>
        <v>129.99</v>
      </c>
    </row>
    <row r="686" spans="1:21" x14ac:dyDescent="0.3">
      <c r="A686">
        <v>25664</v>
      </c>
      <c r="B686" t="s">
        <v>17</v>
      </c>
      <c r="C686">
        <v>5</v>
      </c>
      <c r="D686">
        <v>2</v>
      </c>
      <c r="E686" t="str">
        <f t="shared" si="30"/>
        <v>DELAYED</v>
      </c>
      <c r="F686">
        <f>VLOOKUP($A686,ordered_items!$B$2:$E$4784,2,0)</f>
        <v>365</v>
      </c>
      <c r="G686">
        <f>VLOOKUP($A686,ordered_items!$B$2:$E$4784,3,0)</f>
        <v>1</v>
      </c>
      <c r="H686">
        <f>VLOOKUP($A686,ordered_items!$B$2:$E$4784,4,0)</f>
        <v>59.99</v>
      </c>
      <c r="I686" s="15">
        <f>VLOOKUP(F686,product_info!$A$2:$D$73,4,0)</f>
        <v>4</v>
      </c>
      <c r="J686" s="15" t="str">
        <f>VLOOKUP(I686,department!$A$2:$B$13,2,0)</f>
        <v>Apparel</v>
      </c>
      <c r="K686">
        <v>7110</v>
      </c>
      <c r="L686" t="s">
        <v>439</v>
      </c>
      <c r="M686" s="4">
        <v>43474</v>
      </c>
      <c r="N686" s="12">
        <f t="shared" si="31"/>
        <v>1</v>
      </c>
      <c r="O686" s="13">
        <f t="shared" si="32"/>
        <v>2019</v>
      </c>
      <c r="P686" t="s">
        <v>13</v>
      </c>
      <c r="Q686" t="s">
        <v>377</v>
      </c>
      <c r="R686" t="s">
        <v>23</v>
      </c>
      <c r="S686" t="str" cm="1">
        <f t="array" ref="S686">_xlfn.IFS(R686="COMPLETE", "COMPLETED", R686="CANCELED", "CANCELED", TRUE, "PENDING")</f>
        <v>PENDING</v>
      </c>
      <c r="T686" t="s">
        <v>90</v>
      </c>
      <c r="U686">
        <f>VLOOKUP(A686,ordered_items!$B:$E,4,0)</f>
        <v>59.99</v>
      </c>
    </row>
    <row r="687" spans="1:21" x14ac:dyDescent="0.3">
      <c r="A687">
        <v>25710</v>
      </c>
      <c r="B687" t="s">
        <v>24</v>
      </c>
      <c r="C687">
        <v>6</v>
      </c>
      <c r="D687">
        <v>4</v>
      </c>
      <c r="E687" t="str">
        <f t="shared" si="30"/>
        <v>DELAYED</v>
      </c>
      <c r="F687">
        <f>VLOOKUP($A687,ordered_items!$B$2:$E$4784,2,0)</f>
        <v>403</v>
      </c>
      <c r="G687">
        <f>VLOOKUP($A687,ordered_items!$B$2:$E$4784,3,0)</f>
        <v>1</v>
      </c>
      <c r="H687">
        <f>VLOOKUP($A687,ordered_items!$B$2:$E$4784,4,0)</f>
        <v>129.99</v>
      </c>
      <c r="I687" s="15">
        <f>VLOOKUP(F687,product_info!$A$2:$D$73,4,0)</f>
        <v>4</v>
      </c>
      <c r="J687" s="15" t="str">
        <f>VLOOKUP(I687,department!$A$2:$B$13,2,0)</f>
        <v>Apparel</v>
      </c>
      <c r="K687">
        <v>1849</v>
      </c>
      <c r="L687" t="s">
        <v>453</v>
      </c>
      <c r="M687" s="4">
        <v>43475</v>
      </c>
      <c r="N687" s="12">
        <f t="shared" si="31"/>
        <v>1</v>
      </c>
      <c r="O687" s="13">
        <f t="shared" si="32"/>
        <v>2019</v>
      </c>
      <c r="P687" t="s">
        <v>13</v>
      </c>
      <c r="Q687" t="s">
        <v>30</v>
      </c>
      <c r="R687" t="s">
        <v>31</v>
      </c>
      <c r="S687" t="str" cm="1">
        <f t="array" ref="S687">_xlfn.IFS(R687="COMPLETE", "COMPLETED", R687="CANCELED", "CANCELED", TRUE, "PENDING")</f>
        <v>COMPLETED</v>
      </c>
      <c r="T687" t="s">
        <v>16</v>
      </c>
      <c r="U687">
        <f>VLOOKUP(A687,ordered_items!$B:$E,4,0)</f>
        <v>129.99</v>
      </c>
    </row>
    <row r="688" spans="1:21" x14ac:dyDescent="0.3">
      <c r="A688">
        <v>25712</v>
      </c>
      <c r="B688" t="s">
        <v>24</v>
      </c>
      <c r="C688">
        <v>3</v>
      </c>
      <c r="D688">
        <v>4</v>
      </c>
      <c r="E688" t="str">
        <f t="shared" si="30"/>
        <v xml:space="preserve"> ONTIME</v>
      </c>
      <c r="F688">
        <f>VLOOKUP($A688,ordered_items!$B$2:$E$4784,2,0)</f>
        <v>821</v>
      </c>
      <c r="G688">
        <f>VLOOKUP($A688,ordered_items!$B$2:$E$4784,3,0)</f>
        <v>5</v>
      </c>
      <c r="H688">
        <f>VLOOKUP($A688,ordered_items!$B$2:$E$4784,4,0)</f>
        <v>259.95</v>
      </c>
      <c r="I688" s="15">
        <f>VLOOKUP(F688,product_info!$A$2:$D$73,4,0)</f>
        <v>6</v>
      </c>
      <c r="J688" s="15" t="str">
        <f>VLOOKUP(I688,department!$A$2:$B$13,2,0)</f>
        <v>Outdoors</v>
      </c>
      <c r="K688">
        <v>2444</v>
      </c>
      <c r="L688" t="s">
        <v>453</v>
      </c>
      <c r="M688" s="4">
        <v>43475</v>
      </c>
      <c r="N688" s="12">
        <f t="shared" si="31"/>
        <v>1</v>
      </c>
      <c r="O688" s="13">
        <f t="shared" si="32"/>
        <v>2019</v>
      </c>
      <c r="P688" t="s">
        <v>13</v>
      </c>
      <c r="Q688" t="s">
        <v>30</v>
      </c>
      <c r="R688" t="s">
        <v>31</v>
      </c>
      <c r="S688" t="str" cm="1">
        <f t="array" ref="S688">_xlfn.IFS(R688="COMPLETE", "COMPLETED", R688="CANCELED", "CANCELED", TRUE, "PENDING")</f>
        <v>COMPLETED</v>
      </c>
      <c r="T688" t="s">
        <v>16</v>
      </c>
      <c r="U688">
        <f>VLOOKUP(A688,ordered_items!$B:$E,4,0)</f>
        <v>259.95</v>
      </c>
    </row>
    <row r="689" spans="1:21" x14ac:dyDescent="0.3">
      <c r="A689">
        <v>25724</v>
      </c>
      <c r="B689" t="s">
        <v>51</v>
      </c>
      <c r="C689">
        <v>5</v>
      </c>
      <c r="D689">
        <v>4</v>
      </c>
      <c r="E689" t="str">
        <f t="shared" si="30"/>
        <v>DELAYED</v>
      </c>
      <c r="F689">
        <f>VLOOKUP($A689,ordered_items!$B$2:$E$4784,2,0)</f>
        <v>403</v>
      </c>
      <c r="G689">
        <f>VLOOKUP($A689,ordered_items!$B$2:$E$4784,3,0)</f>
        <v>1</v>
      </c>
      <c r="H689">
        <f>VLOOKUP($A689,ordered_items!$B$2:$E$4784,4,0)</f>
        <v>129.99</v>
      </c>
      <c r="I689" s="15">
        <f>VLOOKUP(F689,product_info!$A$2:$D$73,4,0)</f>
        <v>4</v>
      </c>
      <c r="J689" s="15" t="str">
        <f>VLOOKUP(I689,department!$A$2:$B$13,2,0)</f>
        <v>Apparel</v>
      </c>
      <c r="K689">
        <v>7866</v>
      </c>
      <c r="L689" t="s">
        <v>537</v>
      </c>
      <c r="M689" s="4">
        <v>43475</v>
      </c>
      <c r="N689" s="12">
        <f t="shared" si="31"/>
        <v>1</v>
      </c>
      <c r="O689" s="13">
        <f t="shared" si="32"/>
        <v>2019</v>
      </c>
      <c r="P689" t="s">
        <v>13</v>
      </c>
      <c r="Q689" t="s">
        <v>538</v>
      </c>
      <c r="R689" t="s">
        <v>57</v>
      </c>
      <c r="S689" t="str" cm="1">
        <f t="array" ref="S689">_xlfn.IFS(R689="COMPLETE", "COMPLETED", R689="CANCELED", "CANCELED", TRUE, "PENDING")</f>
        <v>PENDING</v>
      </c>
      <c r="T689" t="s">
        <v>16</v>
      </c>
      <c r="U689">
        <f>VLOOKUP(A689,ordered_items!$B:$E,4,0)</f>
        <v>129.99</v>
      </c>
    </row>
    <row r="690" spans="1:21" x14ac:dyDescent="0.3">
      <c r="A690">
        <v>25729</v>
      </c>
      <c r="B690" t="s">
        <v>17</v>
      </c>
      <c r="C690">
        <v>5</v>
      </c>
      <c r="D690">
        <v>4</v>
      </c>
      <c r="E690" t="str">
        <f t="shared" si="30"/>
        <v>DELAYED</v>
      </c>
      <c r="F690">
        <f>VLOOKUP($A690,ordered_items!$B$2:$E$4784,2,0)</f>
        <v>403</v>
      </c>
      <c r="G690">
        <f>VLOOKUP($A690,ordered_items!$B$2:$E$4784,3,0)</f>
        <v>1</v>
      </c>
      <c r="H690">
        <f>VLOOKUP($A690,ordered_items!$B$2:$E$4784,4,0)</f>
        <v>129.99</v>
      </c>
      <c r="I690" s="15">
        <f>VLOOKUP(F690,product_info!$A$2:$D$73,4,0)</f>
        <v>4</v>
      </c>
      <c r="J690" s="15" t="str">
        <f>VLOOKUP(I690,department!$A$2:$B$13,2,0)</f>
        <v>Apparel</v>
      </c>
      <c r="K690">
        <v>866</v>
      </c>
      <c r="L690" t="s">
        <v>29</v>
      </c>
      <c r="M690" s="4">
        <v>43475</v>
      </c>
      <c r="N690" s="12">
        <f t="shared" si="31"/>
        <v>1</v>
      </c>
      <c r="O690" s="13">
        <f t="shared" si="32"/>
        <v>2019</v>
      </c>
      <c r="P690" t="s">
        <v>13</v>
      </c>
      <c r="Q690" t="s">
        <v>30</v>
      </c>
      <c r="R690" t="s">
        <v>23</v>
      </c>
      <c r="S690" t="str" cm="1">
        <f t="array" ref="S690">_xlfn.IFS(R690="COMPLETE", "COMPLETED", R690="CANCELED", "CANCELED", TRUE, "PENDING")</f>
        <v>PENDING</v>
      </c>
      <c r="T690" t="s">
        <v>16</v>
      </c>
      <c r="U690">
        <f>VLOOKUP(A690,ordered_items!$B:$E,4,0)</f>
        <v>129.99</v>
      </c>
    </row>
    <row r="691" spans="1:21" x14ac:dyDescent="0.3">
      <c r="A691">
        <v>25745</v>
      </c>
      <c r="B691" t="s">
        <v>3</v>
      </c>
      <c r="C691">
        <v>6</v>
      </c>
      <c r="D691">
        <v>2</v>
      </c>
      <c r="E691" t="str">
        <f t="shared" si="30"/>
        <v>DELAYED</v>
      </c>
      <c r="F691">
        <f>VLOOKUP($A691,ordered_items!$B$2:$E$4784,2,0)</f>
        <v>1073</v>
      </c>
      <c r="G691">
        <f>VLOOKUP($A691,ordered_items!$B$2:$E$4784,3,0)</f>
        <v>1</v>
      </c>
      <c r="H691">
        <f>VLOOKUP($A691,ordered_items!$B$2:$E$4784,4,0)</f>
        <v>199.99</v>
      </c>
      <c r="I691" s="15">
        <f>VLOOKUP(F691,product_info!$A$2:$D$73,4,0)</f>
        <v>7</v>
      </c>
      <c r="J691" s="15" t="str">
        <f>VLOOKUP(I691,department!$A$2:$B$13,2,0)</f>
        <v>Fan Shop</v>
      </c>
      <c r="K691">
        <v>9834</v>
      </c>
      <c r="L691" t="s">
        <v>1040</v>
      </c>
      <c r="M691" s="4">
        <v>43475</v>
      </c>
      <c r="N691" s="12">
        <f t="shared" si="31"/>
        <v>1</v>
      </c>
      <c r="O691" s="13">
        <f t="shared" si="32"/>
        <v>2019</v>
      </c>
      <c r="P691" t="s">
        <v>13</v>
      </c>
      <c r="Q691" t="s">
        <v>377</v>
      </c>
      <c r="R691" t="s">
        <v>178</v>
      </c>
      <c r="S691" t="str" cm="1">
        <f t="array" ref="S691">_xlfn.IFS(R691="COMPLETE", "COMPLETED", R691="CANCELED", "CANCELED", TRUE, "PENDING")</f>
        <v>PENDING</v>
      </c>
      <c r="T691" t="s">
        <v>90</v>
      </c>
      <c r="U691">
        <f>VLOOKUP(A691,ordered_items!$B:$E,4,0)</f>
        <v>199.99</v>
      </c>
    </row>
    <row r="692" spans="1:21" x14ac:dyDescent="0.3">
      <c r="A692">
        <v>25746</v>
      </c>
      <c r="B692" t="s">
        <v>17</v>
      </c>
      <c r="C692">
        <v>2</v>
      </c>
      <c r="D692">
        <v>2</v>
      </c>
      <c r="E692" t="str">
        <f t="shared" si="30"/>
        <v xml:space="preserve"> ONTIME</v>
      </c>
      <c r="F692">
        <f>VLOOKUP($A692,ordered_items!$B$2:$E$4784,2,0)</f>
        <v>365</v>
      </c>
      <c r="G692">
        <f>VLOOKUP($A692,ordered_items!$B$2:$E$4784,3,0)</f>
        <v>1</v>
      </c>
      <c r="H692">
        <f>VLOOKUP($A692,ordered_items!$B$2:$E$4784,4,0)</f>
        <v>59.99</v>
      </c>
      <c r="I692" s="15">
        <f>VLOOKUP(F692,product_info!$A$2:$D$73,4,0)</f>
        <v>4</v>
      </c>
      <c r="J692" s="15" t="str">
        <f>VLOOKUP(I692,department!$A$2:$B$13,2,0)</f>
        <v>Apparel</v>
      </c>
      <c r="K692">
        <v>1430</v>
      </c>
      <c r="L692" t="s">
        <v>1040</v>
      </c>
      <c r="M692" s="4">
        <v>43475</v>
      </c>
      <c r="N692" s="12">
        <f t="shared" si="31"/>
        <v>1</v>
      </c>
      <c r="O692" s="13">
        <f t="shared" si="32"/>
        <v>2019</v>
      </c>
      <c r="P692" t="s">
        <v>13</v>
      </c>
      <c r="Q692" t="s">
        <v>377</v>
      </c>
      <c r="R692" t="s">
        <v>23</v>
      </c>
      <c r="S692" t="str" cm="1">
        <f t="array" ref="S692">_xlfn.IFS(R692="COMPLETE", "COMPLETED", R692="CANCELED", "CANCELED", TRUE, "PENDING")</f>
        <v>PENDING</v>
      </c>
      <c r="T692" t="s">
        <v>90</v>
      </c>
      <c r="U692">
        <f>VLOOKUP(A692,ordered_items!$B:$E,4,0)</f>
        <v>59.99</v>
      </c>
    </row>
    <row r="693" spans="1:21" x14ac:dyDescent="0.3">
      <c r="A693">
        <v>25763</v>
      </c>
      <c r="B693" t="s">
        <v>17</v>
      </c>
      <c r="C693">
        <v>4</v>
      </c>
      <c r="D693">
        <v>2</v>
      </c>
      <c r="E693" t="str">
        <f t="shared" si="30"/>
        <v>DELAYED</v>
      </c>
      <c r="F693">
        <f>VLOOKUP($A693,ordered_items!$B$2:$E$4784,2,0)</f>
        <v>957</v>
      </c>
      <c r="G693">
        <f>VLOOKUP($A693,ordered_items!$B$2:$E$4784,3,0)</f>
        <v>1</v>
      </c>
      <c r="H693">
        <f>VLOOKUP($A693,ordered_items!$B$2:$E$4784,4,0)</f>
        <v>299.98</v>
      </c>
      <c r="I693" s="15">
        <f>VLOOKUP(F693,product_info!$A$2:$D$73,4,0)</f>
        <v>7</v>
      </c>
      <c r="J693" s="15" t="str">
        <f>VLOOKUP(I693,department!$A$2:$B$13,2,0)</f>
        <v>Fan Shop</v>
      </c>
      <c r="K693">
        <v>6220</v>
      </c>
      <c r="L693" t="s">
        <v>124</v>
      </c>
      <c r="M693" s="4">
        <v>43476</v>
      </c>
      <c r="N693" s="12">
        <f t="shared" si="31"/>
        <v>1</v>
      </c>
      <c r="O693" s="13">
        <f t="shared" si="32"/>
        <v>2019</v>
      </c>
      <c r="P693" t="s">
        <v>13</v>
      </c>
      <c r="Q693" t="s">
        <v>5778</v>
      </c>
      <c r="R693" t="s">
        <v>23</v>
      </c>
      <c r="S693" t="str" cm="1">
        <f t="array" ref="S693">_xlfn.IFS(R693="COMPLETE", "COMPLETED", R693="CANCELED", "CANCELED", TRUE, "PENDING")</f>
        <v>PENDING</v>
      </c>
      <c r="T693" t="s">
        <v>90</v>
      </c>
      <c r="U693">
        <f>VLOOKUP(A693,ordered_items!$B:$E,4,0)</f>
        <v>299.98</v>
      </c>
    </row>
    <row r="694" spans="1:21" x14ac:dyDescent="0.3">
      <c r="A694">
        <v>25765</v>
      </c>
      <c r="B694" t="s">
        <v>17</v>
      </c>
      <c r="C694">
        <v>6</v>
      </c>
      <c r="D694">
        <v>4</v>
      </c>
      <c r="E694" t="str">
        <f t="shared" si="30"/>
        <v>DELAYED</v>
      </c>
      <c r="F694">
        <f>VLOOKUP($A694,ordered_items!$B$2:$E$4784,2,0)</f>
        <v>365</v>
      </c>
      <c r="G694">
        <f>VLOOKUP($A694,ordered_items!$B$2:$E$4784,3,0)</f>
        <v>5</v>
      </c>
      <c r="H694">
        <f>VLOOKUP($A694,ordered_items!$B$2:$E$4784,4,0)</f>
        <v>299.95</v>
      </c>
      <c r="I694" s="15">
        <f>VLOOKUP(F694,product_info!$A$2:$D$73,4,0)</f>
        <v>4</v>
      </c>
      <c r="J694" s="15" t="str">
        <f>VLOOKUP(I694,department!$A$2:$B$13,2,0)</f>
        <v>Apparel</v>
      </c>
      <c r="K694">
        <v>3893</v>
      </c>
      <c r="L694" t="s">
        <v>253</v>
      </c>
      <c r="M694" s="4">
        <v>43476</v>
      </c>
      <c r="N694" s="12">
        <f t="shared" si="31"/>
        <v>1</v>
      </c>
      <c r="O694" s="13">
        <f t="shared" si="32"/>
        <v>2019</v>
      </c>
      <c r="P694" t="s">
        <v>13</v>
      </c>
      <c r="Q694" t="s">
        <v>30</v>
      </c>
      <c r="R694" t="s">
        <v>23</v>
      </c>
      <c r="S694" t="str" cm="1">
        <f t="array" ref="S694">_xlfn.IFS(R694="COMPLETE", "COMPLETED", R694="CANCELED", "CANCELED", TRUE, "PENDING")</f>
        <v>PENDING</v>
      </c>
      <c r="T694" t="s">
        <v>16</v>
      </c>
      <c r="U694">
        <f>VLOOKUP(A694,ordered_items!$B:$E,4,0)</f>
        <v>299.95</v>
      </c>
    </row>
    <row r="695" spans="1:21" x14ac:dyDescent="0.3">
      <c r="A695">
        <v>25784</v>
      </c>
      <c r="B695" t="s">
        <v>24</v>
      </c>
      <c r="C695">
        <v>5</v>
      </c>
      <c r="D695">
        <v>2</v>
      </c>
      <c r="E695" t="str">
        <f t="shared" si="30"/>
        <v>DELAYED</v>
      </c>
      <c r="F695">
        <f>VLOOKUP($A695,ordered_items!$B$2:$E$4784,2,0)</f>
        <v>627</v>
      </c>
      <c r="G695">
        <f>VLOOKUP($A695,ordered_items!$B$2:$E$4784,3,0)</f>
        <v>4</v>
      </c>
      <c r="H695">
        <f>VLOOKUP($A695,ordered_items!$B$2:$E$4784,4,0)</f>
        <v>159.96</v>
      </c>
      <c r="I695" s="15">
        <f>VLOOKUP(F695,product_info!$A$2:$D$73,4,0)</f>
        <v>5</v>
      </c>
      <c r="J695" s="15" t="str">
        <f>VLOOKUP(I695,department!$A$2:$B$13,2,0)</f>
        <v>Golf</v>
      </c>
      <c r="K695">
        <v>10165</v>
      </c>
      <c r="L695" t="s">
        <v>439</v>
      </c>
      <c r="M695" s="4">
        <v>43476</v>
      </c>
      <c r="N695" s="12">
        <f t="shared" si="31"/>
        <v>1</v>
      </c>
      <c r="O695" s="13">
        <f t="shared" si="32"/>
        <v>2019</v>
      </c>
      <c r="P695" t="s">
        <v>13</v>
      </c>
      <c r="Q695" t="s">
        <v>377</v>
      </c>
      <c r="R695" t="s">
        <v>31</v>
      </c>
      <c r="S695" t="str" cm="1">
        <f t="array" ref="S695">_xlfn.IFS(R695="COMPLETE", "COMPLETED", R695="CANCELED", "CANCELED", TRUE, "PENDING")</f>
        <v>COMPLETED</v>
      </c>
      <c r="T695" t="s">
        <v>90</v>
      </c>
      <c r="U695">
        <f>VLOOKUP(A695,ordered_items!$B:$E,4,0)</f>
        <v>159.96</v>
      </c>
    </row>
    <row r="696" spans="1:21" x14ac:dyDescent="0.3">
      <c r="A696">
        <v>25788</v>
      </c>
      <c r="B696" t="s">
        <v>24</v>
      </c>
      <c r="C696">
        <v>4</v>
      </c>
      <c r="D696">
        <v>2</v>
      </c>
      <c r="E696" t="str">
        <f t="shared" si="30"/>
        <v>DELAYED</v>
      </c>
      <c r="F696">
        <f>VLOOKUP($A696,ordered_items!$B$2:$E$4784,2,0)</f>
        <v>1004</v>
      </c>
      <c r="G696">
        <f>VLOOKUP($A696,ordered_items!$B$2:$E$4784,3,0)</f>
        <v>1</v>
      </c>
      <c r="H696">
        <f>VLOOKUP($A696,ordered_items!$B$2:$E$4784,4,0)</f>
        <v>399.98</v>
      </c>
      <c r="I696" s="15">
        <f>VLOOKUP(F696,product_info!$A$2:$D$73,4,0)</f>
        <v>7</v>
      </c>
      <c r="J696" s="15" t="str">
        <f>VLOOKUP(I696,department!$A$2:$B$13,2,0)</f>
        <v>Fan Shop</v>
      </c>
      <c r="K696">
        <v>1560</v>
      </c>
      <c r="L696" t="s">
        <v>84</v>
      </c>
      <c r="M696" s="4">
        <v>43476</v>
      </c>
      <c r="N696" s="12">
        <f t="shared" si="31"/>
        <v>1</v>
      </c>
      <c r="O696" s="13">
        <f t="shared" si="32"/>
        <v>2019</v>
      </c>
      <c r="P696" t="s">
        <v>13</v>
      </c>
      <c r="Q696" t="s">
        <v>80</v>
      </c>
      <c r="R696" t="s">
        <v>31</v>
      </c>
      <c r="S696" t="str" cm="1">
        <f t="array" ref="S696">_xlfn.IFS(R696="COMPLETE", "COMPLETED", R696="CANCELED", "CANCELED", TRUE, "PENDING")</f>
        <v>COMPLETED</v>
      </c>
      <c r="T696" t="s">
        <v>90</v>
      </c>
      <c r="U696">
        <f>VLOOKUP(A696,ordered_items!$B:$E,4,0)</f>
        <v>399.98</v>
      </c>
    </row>
    <row r="697" spans="1:21" x14ac:dyDescent="0.3">
      <c r="A697">
        <v>25789</v>
      </c>
      <c r="B697" t="s">
        <v>51</v>
      </c>
      <c r="C697">
        <v>2</v>
      </c>
      <c r="D697">
        <v>1</v>
      </c>
      <c r="E697" t="str">
        <f t="shared" si="30"/>
        <v>DELAYED</v>
      </c>
      <c r="F697">
        <f>VLOOKUP($A697,ordered_items!$B$2:$E$4784,2,0)</f>
        <v>502</v>
      </c>
      <c r="G697">
        <f>VLOOKUP($A697,ordered_items!$B$2:$E$4784,3,0)</f>
        <v>4</v>
      </c>
      <c r="H697">
        <f>VLOOKUP($A697,ordered_items!$B$2:$E$4784,4,0)</f>
        <v>200</v>
      </c>
      <c r="I697" s="15">
        <f>VLOOKUP(F697,product_info!$A$2:$D$73,4,0)</f>
        <v>5</v>
      </c>
      <c r="J697" s="15" t="str">
        <f>VLOOKUP(I697,department!$A$2:$B$13,2,0)</f>
        <v>Golf</v>
      </c>
      <c r="K697">
        <v>12172</v>
      </c>
      <c r="L697" t="s">
        <v>576</v>
      </c>
      <c r="M697" s="4">
        <v>43476</v>
      </c>
      <c r="N697" s="12">
        <f t="shared" si="31"/>
        <v>1</v>
      </c>
      <c r="O697" s="13">
        <f t="shared" si="32"/>
        <v>2019</v>
      </c>
      <c r="P697" t="s">
        <v>13</v>
      </c>
      <c r="Q697" t="s">
        <v>5780</v>
      </c>
      <c r="R697" t="s">
        <v>57</v>
      </c>
      <c r="S697" t="str" cm="1">
        <f t="array" ref="S697">_xlfn.IFS(R697="COMPLETE", "COMPLETED", R697="CANCELED", "CANCELED", TRUE, "PENDING")</f>
        <v>PENDING</v>
      </c>
      <c r="T697" t="s">
        <v>32</v>
      </c>
      <c r="U697">
        <f>VLOOKUP(A697,ordered_items!$B:$E,4,0)</f>
        <v>200</v>
      </c>
    </row>
    <row r="698" spans="1:21" x14ac:dyDescent="0.3">
      <c r="A698">
        <v>25790</v>
      </c>
      <c r="B698" t="s">
        <v>24</v>
      </c>
      <c r="C698">
        <v>6</v>
      </c>
      <c r="D698">
        <v>2</v>
      </c>
      <c r="E698" t="str">
        <f t="shared" si="30"/>
        <v>DELAYED</v>
      </c>
      <c r="F698">
        <f>VLOOKUP($A698,ordered_items!$B$2:$E$4784,2,0)</f>
        <v>502</v>
      </c>
      <c r="G698">
        <f>VLOOKUP($A698,ordered_items!$B$2:$E$4784,3,0)</f>
        <v>1</v>
      </c>
      <c r="H698">
        <f>VLOOKUP($A698,ordered_items!$B$2:$E$4784,4,0)</f>
        <v>50</v>
      </c>
      <c r="I698" s="15">
        <f>VLOOKUP(F698,product_info!$A$2:$D$73,4,0)</f>
        <v>5</v>
      </c>
      <c r="J698" s="15" t="str">
        <f>VLOOKUP(I698,department!$A$2:$B$13,2,0)</f>
        <v>Golf</v>
      </c>
      <c r="K698">
        <v>10807</v>
      </c>
      <c r="L698" t="s">
        <v>576</v>
      </c>
      <c r="M698" s="4">
        <v>43476</v>
      </c>
      <c r="N698" s="12">
        <f t="shared" si="31"/>
        <v>1</v>
      </c>
      <c r="O698" s="13">
        <f t="shared" si="32"/>
        <v>2019</v>
      </c>
      <c r="P698" t="s">
        <v>13</v>
      </c>
      <c r="Q698" t="s">
        <v>5780</v>
      </c>
      <c r="R698" t="s">
        <v>31</v>
      </c>
      <c r="S698" t="str" cm="1">
        <f t="array" ref="S698">_xlfn.IFS(R698="COMPLETE", "COMPLETED", R698="CANCELED", "CANCELED", TRUE, "PENDING")</f>
        <v>COMPLETED</v>
      </c>
      <c r="T698" t="s">
        <v>90</v>
      </c>
      <c r="U698">
        <f>VLOOKUP(A698,ordered_items!$B:$E,4,0)</f>
        <v>50</v>
      </c>
    </row>
    <row r="699" spans="1:21" x14ac:dyDescent="0.3">
      <c r="A699">
        <v>25793</v>
      </c>
      <c r="B699" t="s">
        <v>24</v>
      </c>
      <c r="C699">
        <v>4</v>
      </c>
      <c r="D699">
        <v>2</v>
      </c>
      <c r="E699" t="str">
        <f t="shared" si="30"/>
        <v>DELAYED</v>
      </c>
      <c r="F699">
        <f>VLOOKUP($A699,ordered_items!$B$2:$E$4784,2,0)</f>
        <v>1004</v>
      </c>
      <c r="G699">
        <f>VLOOKUP($A699,ordered_items!$B$2:$E$4784,3,0)</f>
        <v>1</v>
      </c>
      <c r="H699">
        <f>VLOOKUP($A699,ordered_items!$B$2:$E$4784,4,0)</f>
        <v>399.98</v>
      </c>
      <c r="I699" s="15">
        <f>VLOOKUP(F699,product_info!$A$2:$D$73,4,0)</f>
        <v>7</v>
      </c>
      <c r="J699" s="15" t="str">
        <f>VLOOKUP(I699,department!$A$2:$B$13,2,0)</f>
        <v>Fan Shop</v>
      </c>
      <c r="K699">
        <v>10036</v>
      </c>
      <c r="L699" t="s">
        <v>586</v>
      </c>
      <c r="M699" s="4">
        <v>43476</v>
      </c>
      <c r="N699" s="12">
        <f t="shared" si="31"/>
        <v>1</v>
      </c>
      <c r="O699" s="13">
        <f t="shared" si="32"/>
        <v>2019</v>
      </c>
      <c r="P699" t="s">
        <v>13</v>
      </c>
      <c r="Q699" t="s">
        <v>245</v>
      </c>
      <c r="R699" t="s">
        <v>31</v>
      </c>
      <c r="S699" t="str" cm="1">
        <f t="array" ref="S699">_xlfn.IFS(R699="COMPLETE", "COMPLETED", R699="CANCELED", "CANCELED", TRUE, "PENDING")</f>
        <v>COMPLETED</v>
      </c>
      <c r="T699" t="s">
        <v>90</v>
      </c>
      <c r="U699">
        <f>VLOOKUP(A699,ordered_items!$B:$E,4,0)</f>
        <v>399.98</v>
      </c>
    </row>
    <row r="700" spans="1:21" x14ac:dyDescent="0.3">
      <c r="A700">
        <v>25795</v>
      </c>
      <c r="B700" t="s">
        <v>24</v>
      </c>
      <c r="C700">
        <v>6</v>
      </c>
      <c r="D700">
        <v>4</v>
      </c>
      <c r="E700" t="str">
        <f t="shared" si="30"/>
        <v>DELAYED</v>
      </c>
      <c r="F700">
        <f>VLOOKUP($A700,ordered_items!$B$2:$E$4784,2,0)</f>
        <v>502</v>
      </c>
      <c r="G700">
        <f>VLOOKUP($A700,ordered_items!$B$2:$E$4784,3,0)</f>
        <v>1</v>
      </c>
      <c r="H700">
        <f>VLOOKUP($A700,ordered_items!$B$2:$E$4784,4,0)</f>
        <v>50</v>
      </c>
      <c r="I700" s="15">
        <f>VLOOKUP(F700,product_info!$A$2:$D$73,4,0)</f>
        <v>5</v>
      </c>
      <c r="J700" s="15" t="str">
        <f>VLOOKUP(I700,department!$A$2:$B$13,2,0)</f>
        <v>Golf</v>
      </c>
      <c r="K700">
        <v>8275</v>
      </c>
      <c r="L700" t="s">
        <v>460</v>
      </c>
      <c r="M700" s="4">
        <v>43476</v>
      </c>
      <c r="N700" s="12">
        <f t="shared" si="31"/>
        <v>1</v>
      </c>
      <c r="O700" s="13">
        <f t="shared" si="32"/>
        <v>2019</v>
      </c>
      <c r="P700" t="s">
        <v>13</v>
      </c>
      <c r="Q700" t="s">
        <v>431</v>
      </c>
      <c r="R700" t="s">
        <v>31</v>
      </c>
      <c r="S700" t="str" cm="1">
        <f t="array" ref="S700">_xlfn.IFS(R700="COMPLETE", "COMPLETED", R700="CANCELED", "CANCELED", TRUE, "PENDING")</f>
        <v>COMPLETED</v>
      </c>
      <c r="T700" t="s">
        <v>16</v>
      </c>
      <c r="U700">
        <f>VLOOKUP(A700,ordered_items!$B:$E,4,0)</f>
        <v>50</v>
      </c>
    </row>
    <row r="701" spans="1:21" x14ac:dyDescent="0.3">
      <c r="A701">
        <v>25796</v>
      </c>
      <c r="B701" t="s">
        <v>24</v>
      </c>
      <c r="C701">
        <v>2</v>
      </c>
      <c r="D701">
        <v>4</v>
      </c>
      <c r="E701" t="str">
        <f t="shared" si="30"/>
        <v xml:space="preserve"> ONTIME</v>
      </c>
      <c r="F701">
        <f>VLOOKUP($A701,ordered_items!$B$2:$E$4784,2,0)</f>
        <v>502</v>
      </c>
      <c r="G701">
        <f>VLOOKUP($A701,ordered_items!$B$2:$E$4784,3,0)</f>
        <v>5</v>
      </c>
      <c r="H701">
        <f>VLOOKUP($A701,ordered_items!$B$2:$E$4784,4,0)</f>
        <v>250</v>
      </c>
      <c r="I701" s="15">
        <f>VLOOKUP(F701,product_info!$A$2:$D$73,4,0)</f>
        <v>5</v>
      </c>
      <c r="J701" s="15" t="str">
        <f>VLOOKUP(I701,department!$A$2:$B$13,2,0)</f>
        <v>Golf</v>
      </c>
      <c r="K701">
        <v>11122</v>
      </c>
      <c r="L701" t="s">
        <v>460</v>
      </c>
      <c r="M701" s="4">
        <v>43476</v>
      </c>
      <c r="N701" s="12">
        <f t="shared" si="31"/>
        <v>1</v>
      </c>
      <c r="O701" s="13">
        <f t="shared" si="32"/>
        <v>2019</v>
      </c>
      <c r="P701" t="s">
        <v>13</v>
      </c>
      <c r="Q701" t="s">
        <v>431</v>
      </c>
      <c r="R701" t="s">
        <v>31</v>
      </c>
      <c r="S701" t="str" cm="1">
        <f t="array" ref="S701">_xlfn.IFS(R701="COMPLETE", "COMPLETED", R701="CANCELED", "CANCELED", TRUE, "PENDING")</f>
        <v>COMPLETED</v>
      </c>
      <c r="T701" t="s">
        <v>16</v>
      </c>
      <c r="U701">
        <f>VLOOKUP(A701,ordered_items!$B:$E,4,0)</f>
        <v>250</v>
      </c>
    </row>
    <row r="702" spans="1:21" x14ac:dyDescent="0.3">
      <c r="A702">
        <v>25797</v>
      </c>
      <c r="B702" t="s">
        <v>3</v>
      </c>
      <c r="C702">
        <v>3</v>
      </c>
      <c r="D702">
        <v>4</v>
      </c>
      <c r="E702" t="str">
        <f t="shared" si="30"/>
        <v xml:space="preserve"> ONTIME</v>
      </c>
      <c r="F702">
        <f>VLOOKUP($A702,ordered_items!$B$2:$E$4784,2,0)</f>
        <v>1004</v>
      </c>
      <c r="G702">
        <f>VLOOKUP($A702,ordered_items!$B$2:$E$4784,3,0)</f>
        <v>1</v>
      </c>
      <c r="H702">
        <f>VLOOKUP($A702,ordered_items!$B$2:$E$4784,4,0)</f>
        <v>399.98</v>
      </c>
      <c r="I702" s="15">
        <f>VLOOKUP(F702,product_info!$A$2:$D$73,4,0)</f>
        <v>7</v>
      </c>
      <c r="J702" s="15" t="str">
        <f>VLOOKUP(I702,department!$A$2:$B$13,2,0)</f>
        <v>Fan Shop</v>
      </c>
      <c r="K702">
        <v>10236</v>
      </c>
      <c r="L702" t="s">
        <v>460</v>
      </c>
      <c r="M702" s="4">
        <v>43476</v>
      </c>
      <c r="N702" s="12">
        <f t="shared" si="31"/>
        <v>1</v>
      </c>
      <c r="O702" s="13">
        <f t="shared" si="32"/>
        <v>2019</v>
      </c>
      <c r="P702" t="s">
        <v>13</v>
      </c>
      <c r="Q702" t="s">
        <v>431</v>
      </c>
      <c r="R702" t="s">
        <v>14</v>
      </c>
      <c r="S702" t="str" cm="1">
        <f t="array" ref="S702">_xlfn.IFS(R702="COMPLETE", "COMPLETED", R702="CANCELED", "CANCELED", TRUE, "PENDING")</f>
        <v>PENDING</v>
      </c>
      <c r="T702" t="s">
        <v>16</v>
      </c>
      <c r="U702">
        <f>VLOOKUP(A702,ordered_items!$B:$E,4,0)</f>
        <v>399.98</v>
      </c>
    </row>
    <row r="703" spans="1:21" x14ac:dyDescent="0.3">
      <c r="A703">
        <v>25798</v>
      </c>
      <c r="B703" t="s">
        <v>24</v>
      </c>
      <c r="C703">
        <v>4</v>
      </c>
      <c r="D703">
        <v>4</v>
      </c>
      <c r="E703" t="str">
        <f t="shared" si="30"/>
        <v xml:space="preserve"> ONTIME</v>
      </c>
      <c r="F703">
        <f>VLOOKUP($A703,ordered_items!$B$2:$E$4784,2,0)</f>
        <v>627</v>
      </c>
      <c r="G703">
        <f>VLOOKUP($A703,ordered_items!$B$2:$E$4784,3,0)</f>
        <v>5</v>
      </c>
      <c r="H703">
        <f>VLOOKUP($A703,ordered_items!$B$2:$E$4784,4,0)</f>
        <v>199.95</v>
      </c>
      <c r="I703" s="15">
        <f>VLOOKUP(F703,product_info!$A$2:$D$73,4,0)</f>
        <v>5</v>
      </c>
      <c r="J703" s="15" t="str">
        <f>VLOOKUP(I703,department!$A$2:$B$13,2,0)</f>
        <v>Golf</v>
      </c>
      <c r="K703">
        <v>9619</v>
      </c>
      <c r="L703" t="s">
        <v>460</v>
      </c>
      <c r="M703" s="4">
        <v>43476</v>
      </c>
      <c r="N703" s="12">
        <f t="shared" si="31"/>
        <v>1</v>
      </c>
      <c r="O703" s="13">
        <f t="shared" si="32"/>
        <v>2019</v>
      </c>
      <c r="P703" t="s">
        <v>13</v>
      </c>
      <c r="Q703" t="s">
        <v>431</v>
      </c>
      <c r="R703" t="s">
        <v>31</v>
      </c>
      <c r="S703" t="str" cm="1">
        <f t="array" ref="S703">_xlfn.IFS(R703="COMPLETE", "COMPLETED", R703="CANCELED", "CANCELED", TRUE, "PENDING")</f>
        <v>COMPLETED</v>
      </c>
      <c r="T703" t="s">
        <v>16</v>
      </c>
      <c r="U703">
        <f>VLOOKUP(A703,ordered_items!$B:$E,4,0)</f>
        <v>199.95</v>
      </c>
    </row>
    <row r="704" spans="1:21" x14ac:dyDescent="0.3">
      <c r="A704">
        <v>25804</v>
      </c>
      <c r="B704" t="s">
        <v>24</v>
      </c>
      <c r="C704">
        <v>2</v>
      </c>
      <c r="D704">
        <v>1</v>
      </c>
      <c r="E704" t="str">
        <f t="shared" si="30"/>
        <v>DELAYED</v>
      </c>
      <c r="F704">
        <f>VLOOKUP($A704,ordered_items!$B$2:$E$4784,2,0)</f>
        <v>403</v>
      </c>
      <c r="G704">
        <f>VLOOKUP($A704,ordered_items!$B$2:$E$4784,3,0)</f>
        <v>1</v>
      </c>
      <c r="H704">
        <f>VLOOKUP($A704,ordered_items!$B$2:$E$4784,4,0)</f>
        <v>129.99</v>
      </c>
      <c r="I704" s="15">
        <f>VLOOKUP(F704,product_info!$A$2:$D$73,4,0)</f>
        <v>4</v>
      </c>
      <c r="J704" s="15" t="str">
        <f>VLOOKUP(I704,department!$A$2:$B$13,2,0)</f>
        <v>Apparel</v>
      </c>
      <c r="K704">
        <v>9453</v>
      </c>
      <c r="L704" t="s">
        <v>1120</v>
      </c>
      <c r="M704" s="4">
        <v>43476</v>
      </c>
      <c r="N704" s="12">
        <f t="shared" si="31"/>
        <v>1</v>
      </c>
      <c r="O704" s="13">
        <f t="shared" si="32"/>
        <v>2019</v>
      </c>
      <c r="P704" t="s">
        <v>13</v>
      </c>
      <c r="Q704" t="s">
        <v>30</v>
      </c>
      <c r="R704" t="s">
        <v>31</v>
      </c>
      <c r="S704" t="str" cm="1">
        <f t="array" ref="S704">_xlfn.IFS(R704="COMPLETE", "COMPLETED", R704="CANCELED", "CANCELED", TRUE, "PENDING")</f>
        <v>COMPLETED</v>
      </c>
      <c r="T704" t="s">
        <v>32</v>
      </c>
      <c r="U704">
        <f>VLOOKUP(A704,ordered_items!$B:$E,4,0)</f>
        <v>129.99</v>
      </c>
    </row>
    <row r="705" spans="1:21" x14ac:dyDescent="0.3">
      <c r="A705">
        <v>25805</v>
      </c>
      <c r="B705" t="s">
        <v>3</v>
      </c>
      <c r="C705">
        <v>2</v>
      </c>
      <c r="D705">
        <v>1</v>
      </c>
      <c r="E705" t="str">
        <f t="shared" si="30"/>
        <v>DELAYED</v>
      </c>
      <c r="F705">
        <f>VLOOKUP($A705,ordered_items!$B$2:$E$4784,2,0)</f>
        <v>1073</v>
      </c>
      <c r="G705">
        <f>VLOOKUP($A705,ordered_items!$B$2:$E$4784,3,0)</f>
        <v>1</v>
      </c>
      <c r="H705">
        <f>VLOOKUP($A705,ordered_items!$B$2:$E$4784,4,0)</f>
        <v>199.99</v>
      </c>
      <c r="I705" s="15">
        <f>VLOOKUP(F705,product_info!$A$2:$D$73,4,0)</f>
        <v>7</v>
      </c>
      <c r="J705" s="15" t="str">
        <f>VLOOKUP(I705,department!$A$2:$B$13,2,0)</f>
        <v>Fan Shop</v>
      </c>
      <c r="K705">
        <v>11311</v>
      </c>
      <c r="L705" t="s">
        <v>383</v>
      </c>
      <c r="M705" s="4">
        <v>43476</v>
      </c>
      <c r="N705" s="12">
        <f t="shared" si="31"/>
        <v>1</v>
      </c>
      <c r="O705" s="13">
        <f t="shared" si="32"/>
        <v>2019</v>
      </c>
      <c r="P705" t="s">
        <v>13</v>
      </c>
      <c r="Q705" t="s">
        <v>5781</v>
      </c>
      <c r="R705" t="s">
        <v>38</v>
      </c>
      <c r="S705" t="str" cm="1">
        <f t="array" ref="S705">_xlfn.IFS(R705="COMPLETE", "COMPLETED", R705="CANCELED", "CANCELED", TRUE, "PENDING")</f>
        <v>PENDING</v>
      </c>
      <c r="T705" t="s">
        <v>32</v>
      </c>
      <c r="U705">
        <f>VLOOKUP(A705,ordered_items!$B:$E,4,0)</f>
        <v>199.99</v>
      </c>
    </row>
    <row r="706" spans="1:21" x14ac:dyDescent="0.3">
      <c r="A706">
        <v>25806</v>
      </c>
      <c r="B706" t="s">
        <v>24</v>
      </c>
      <c r="C706">
        <v>2</v>
      </c>
      <c r="D706">
        <v>1</v>
      </c>
      <c r="E706" t="str">
        <f t="shared" si="30"/>
        <v>DELAYED</v>
      </c>
      <c r="F706">
        <f>VLOOKUP($A706,ordered_items!$B$2:$E$4784,2,0)</f>
        <v>1014</v>
      </c>
      <c r="G706">
        <f>VLOOKUP($A706,ordered_items!$B$2:$E$4784,3,0)</f>
        <v>5</v>
      </c>
      <c r="H706">
        <f>VLOOKUP($A706,ordered_items!$B$2:$E$4784,4,0)</f>
        <v>249.9</v>
      </c>
      <c r="I706" s="15">
        <f>VLOOKUP(F706,product_info!$A$2:$D$73,4,0)</f>
        <v>7</v>
      </c>
      <c r="J706" s="15" t="str">
        <f>VLOOKUP(I706,department!$A$2:$B$13,2,0)</f>
        <v>Fan Shop</v>
      </c>
      <c r="K706">
        <v>7519</v>
      </c>
      <c r="L706" t="s">
        <v>383</v>
      </c>
      <c r="M706" s="4">
        <v>43476</v>
      </c>
      <c r="N706" s="12">
        <f t="shared" si="31"/>
        <v>1</v>
      </c>
      <c r="O706" s="13">
        <f t="shared" si="32"/>
        <v>2019</v>
      </c>
      <c r="P706" t="s">
        <v>13</v>
      </c>
      <c r="Q706" t="s">
        <v>5781</v>
      </c>
      <c r="R706" t="s">
        <v>31</v>
      </c>
      <c r="S706" t="str" cm="1">
        <f t="array" ref="S706">_xlfn.IFS(R706="COMPLETE", "COMPLETED", R706="CANCELED", "CANCELED", TRUE, "PENDING")</f>
        <v>COMPLETED</v>
      </c>
      <c r="T706" t="s">
        <v>32</v>
      </c>
      <c r="U706">
        <f>VLOOKUP(A706,ordered_items!$B:$E,4,0)</f>
        <v>249.9</v>
      </c>
    </row>
    <row r="707" spans="1:21" x14ac:dyDescent="0.3">
      <c r="A707">
        <v>25816</v>
      </c>
      <c r="B707" t="s">
        <v>51</v>
      </c>
      <c r="C707">
        <v>2</v>
      </c>
      <c r="D707">
        <v>1</v>
      </c>
      <c r="E707" t="str">
        <f t="shared" ref="E707:E770" si="33">IF(C707-D707&gt;0,"DELAYED"," ONTIME")</f>
        <v>DELAYED</v>
      </c>
      <c r="F707">
        <f>VLOOKUP($A707,ordered_items!$B$2:$E$4784,2,0)</f>
        <v>1073</v>
      </c>
      <c r="G707">
        <f>VLOOKUP($A707,ordered_items!$B$2:$E$4784,3,0)</f>
        <v>1</v>
      </c>
      <c r="H707">
        <f>VLOOKUP($A707,ordered_items!$B$2:$E$4784,4,0)</f>
        <v>199.99</v>
      </c>
      <c r="I707" s="15">
        <f>VLOOKUP(F707,product_info!$A$2:$D$73,4,0)</f>
        <v>7</v>
      </c>
      <c r="J707" s="15" t="str">
        <f>VLOOKUP(I707,department!$A$2:$B$13,2,0)</f>
        <v>Fan Shop</v>
      </c>
      <c r="K707">
        <v>7465</v>
      </c>
      <c r="L707" t="s">
        <v>266</v>
      </c>
      <c r="M707" s="4">
        <v>43476</v>
      </c>
      <c r="N707" s="12">
        <f t="shared" ref="N707:N770" si="34">MONTH(M707)</f>
        <v>1</v>
      </c>
      <c r="O707" s="13">
        <f t="shared" ref="O707:O770" si="35">YEAR(M707)</f>
        <v>2019</v>
      </c>
      <c r="P707" t="s">
        <v>13</v>
      </c>
      <c r="Q707" t="s">
        <v>5778</v>
      </c>
      <c r="R707" t="s">
        <v>57</v>
      </c>
      <c r="S707" t="str" cm="1">
        <f t="array" ref="S707">_xlfn.IFS(R707="COMPLETE", "COMPLETED", R707="CANCELED", "CANCELED", TRUE, "PENDING")</f>
        <v>PENDING</v>
      </c>
      <c r="T707" t="s">
        <v>32</v>
      </c>
      <c r="U707">
        <f>VLOOKUP(A707,ordered_items!$B:$E,4,0)</f>
        <v>199.99</v>
      </c>
    </row>
    <row r="708" spans="1:21" x14ac:dyDescent="0.3">
      <c r="A708">
        <v>25817</v>
      </c>
      <c r="B708" t="s">
        <v>3</v>
      </c>
      <c r="C708">
        <v>2</v>
      </c>
      <c r="D708">
        <v>1</v>
      </c>
      <c r="E708" t="str">
        <f t="shared" si="33"/>
        <v>DELAYED</v>
      </c>
      <c r="F708">
        <f>VLOOKUP($A708,ordered_items!$B$2:$E$4784,2,0)</f>
        <v>977</v>
      </c>
      <c r="G708">
        <f>VLOOKUP($A708,ordered_items!$B$2:$E$4784,3,0)</f>
        <v>2</v>
      </c>
      <c r="H708">
        <f>VLOOKUP($A708,ordered_items!$B$2:$E$4784,4,0)</f>
        <v>59.98</v>
      </c>
      <c r="I708" s="15">
        <f>VLOOKUP(F708,product_info!$A$2:$D$73,4,0)</f>
        <v>7</v>
      </c>
      <c r="J708" s="15" t="str">
        <f>VLOOKUP(I708,department!$A$2:$B$13,2,0)</f>
        <v>Fan Shop</v>
      </c>
      <c r="K708">
        <v>365</v>
      </c>
      <c r="L708" t="s">
        <v>713</v>
      </c>
      <c r="M708" s="4">
        <v>43476</v>
      </c>
      <c r="N708" s="12">
        <f t="shared" si="34"/>
        <v>1</v>
      </c>
      <c r="O708" s="13">
        <f t="shared" si="35"/>
        <v>2019</v>
      </c>
      <c r="P708" t="s">
        <v>13</v>
      </c>
      <c r="Q708" t="s">
        <v>99</v>
      </c>
      <c r="R708" t="s">
        <v>14</v>
      </c>
      <c r="S708" t="str" cm="1">
        <f t="array" ref="S708">_xlfn.IFS(R708="COMPLETE", "COMPLETED", R708="CANCELED", "CANCELED", TRUE, "PENDING")</f>
        <v>PENDING</v>
      </c>
      <c r="T708" t="s">
        <v>32</v>
      </c>
      <c r="U708">
        <f>VLOOKUP(A708,ordered_items!$B:$E,4,0)</f>
        <v>59.98</v>
      </c>
    </row>
    <row r="709" spans="1:21" x14ac:dyDescent="0.3">
      <c r="A709">
        <v>25819</v>
      </c>
      <c r="B709" t="s">
        <v>24</v>
      </c>
      <c r="C709">
        <v>2</v>
      </c>
      <c r="D709">
        <v>1</v>
      </c>
      <c r="E709" t="str">
        <f t="shared" si="33"/>
        <v>DELAYED</v>
      </c>
      <c r="F709">
        <f>VLOOKUP($A709,ordered_items!$B$2:$E$4784,2,0)</f>
        <v>403</v>
      </c>
      <c r="G709">
        <f>VLOOKUP($A709,ordered_items!$B$2:$E$4784,3,0)</f>
        <v>1</v>
      </c>
      <c r="H709">
        <f>VLOOKUP($A709,ordered_items!$B$2:$E$4784,4,0)</f>
        <v>129.99</v>
      </c>
      <c r="I709" s="15">
        <f>VLOOKUP(F709,product_info!$A$2:$D$73,4,0)</f>
        <v>4</v>
      </c>
      <c r="J709" s="15" t="str">
        <f>VLOOKUP(I709,department!$A$2:$B$13,2,0)</f>
        <v>Apparel</v>
      </c>
      <c r="K709">
        <v>5044</v>
      </c>
      <c r="L709" t="s">
        <v>1599</v>
      </c>
      <c r="M709" s="4">
        <v>43476</v>
      </c>
      <c r="N709" s="12">
        <f t="shared" si="34"/>
        <v>1</v>
      </c>
      <c r="O709" s="13">
        <f t="shared" si="35"/>
        <v>2019</v>
      </c>
      <c r="P709" t="s">
        <v>13</v>
      </c>
      <c r="Q709" t="s">
        <v>47</v>
      </c>
      <c r="R709" t="s">
        <v>31</v>
      </c>
      <c r="S709" t="str" cm="1">
        <f t="array" ref="S709">_xlfn.IFS(R709="COMPLETE", "COMPLETED", R709="CANCELED", "CANCELED", TRUE, "PENDING")</f>
        <v>COMPLETED</v>
      </c>
      <c r="T709" t="s">
        <v>32</v>
      </c>
      <c r="U709">
        <f>VLOOKUP(A709,ordered_items!$B:$E,4,0)</f>
        <v>129.99</v>
      </c>
    </row>
    <row r="710" spans="1:21" x14ac:dyDescent="0.3">
      <c r="A710">
        <v>25825</v>
      </c>
      <c r="B710" t="s">
        <v>17</v>
      </c>
      <c r="C710">
        <v>6</v>
      </c>
      <c r="D710">
        <v>4</v>
      </c>
      <c r="E710" t="str">
        <f t="shared" si="33"/>
        <v>DELAYED</v>
      </c>
      <c r="F710">
        <f>VLOOKUP($A710,ordered_items!$B$2:$E$4784,2,0)</f>
        <v>403</v>
      </c>
      <c r="G710">
        <f>VLOOKUP($A710,ordered_items!$B$2:$E$4784,3,0)</f>
        <v>1</v>
      </c>
      <c r="H710">
        <f>VLOOKUP($A710,ordered_items!$B$2:$E$4784,4,0)</f>
        <v>129.99</v>
      </c>
      <c r="I710" s="15">
        <f>VLOOKUP(F710,product_info!$A$2:$D$73,4,0)</f>
        <v>4</v>
      </c>
      <c r="J710" s="15" t="str">
        <f>VLOOKUP(I710,department!$A$2:$B$13,2,0)</f>
        <v>Apparel</v>
      </c>
      <c r="K710">
        <v>2136</v>
      </c>
      <c r="L710" t="s">
        <v>146</v>
      </c>
      <c r="M710" s="4">
        <v>43476</v>
      </c>
      <c r="N710" s="12">
        <f t="shared" si="34"/>
        <v>1</v>
      </c>
      <c r="O710" s="13">
        <f t="shared" si="35"/>
        <v>2019</v>
      </c>
      <c r="P710" t="s">
        <v>13</v>
      </c>
      <c r="Q710" t="s">
        <v>30</v>
      </c>
      <c r="R710" t="s">
        <v>23</v>
      </c>
      <c r="S710" t="str" cm="1">
        <f t="array" ref="S710">_xlfn.IFS(R710="COMPLETE", "COMPLETED", R710="CANCELED", "CANCELED", TRUE, "PENDING")</f>
        <v>PENDING</v>
      </c>
      <c r="T710" t="s">
        <v>16</v>
      </c>
      <c r="U710">
        <f>VLOOKUP(A710,ordered_items!$B:$E,4,0)</f>
        <v>129.99</v>
      </c>
    </row>
    <row r="711" spans="1:21" x14ac:dyDescent="0.3">
      <c r="A711">
        <v>25847</v>
      </c>
      <c r="B711" t="s">
        <v>3</v>
      </c>
      <c r="C711">
        <v>3</v>
      </c>
      <c r="D711">
        <v>4</v>
      </c>
      <c r="E711" t="str">
        <f t="shared" si="33"/>
        <v xml:space="preserve"> ONTIME</v>
      </c>
      <c r="F711">
        <f>VLOOKUP($A711,ordered_items!$B$2:$E$4784,2,0)</f>
        <v>365</v>
      </c>
      <c r="G711">
        <f>VLOOKUP($A711,ordered_items!$B$2:$E$4784,3,0)</f>
        <v>2</v>
      </c>
      <c r="H711">
        <f>VLOOKUP($A711,ordered_items!$B$2:$E$4784,4,0)</f>
        <v>119.98</v>
      </c>
      <c r="I711" s="15">
        <f>VLOOKUP(F711,product_info!$A$2:$D$73,4,0)</f>
        <v>4</v>
      </c>
      <c r="J711" s="15" t="str">
        <f>VLOOKUP(I711,department!$A$2:$B$13,2,0)</f>
        <v>Apparel</v>
      </c>
      <c r="K711">
        <v>6180</v>
      </c>
      <c r="L711" t="s">
        <v>226</v>
      </c>
      <c r="M711" s="4">
        <v>43477</v>
      </c>
      <c r="N711" s="12">
        <f t="shared" si="34"/>
        <v>1</v>
      </c>
      <c r="O711" s="13">
        <f t="shared" si="35"/>
        <v>2019</v>
      </c>
      <c r="P711" t="s">
        <v>13</v>
      </c>
      <c r="Q711" t="s">
        <v>227</v>
      </c>
      <c r="R711" t="s">
        <v>38</v>
      </c>
      <c r="S711" t="str" cm="1">
        <f t="array" ref="S711">_xlfn.IFS(R711="COMPLETE", "COMPLETED", R711="CANCELED", "CANCELED", TRUE, "PENDING")</f>
        <v>PENDING</v>
      </c>
      <c r="T711" t="s">
        <v>16</v>
      </c>
      <c r="U711">
        <f>VLOOKUP(A711,ordered_items!$B:$E,4,0)</f>
        <v>119.98</v>
      </c>
    </row>
    <row r="712" spans="1:21" x14ac:dyDescent="0.3">
      <c r="A712">
        <v>25848</v>
      </c>
      <c r="B712" t="s">
        <v>24</v>
      </c>
      <c r="C712">
        <v>4</v>
      </c>
      <c r="D712">
        <v>4</v>
      </c>
      <c r="E712" t="str">
        <f t="shared" si="33"/>
        <v xml:space="preserve"> ONTIME</v>
      </c>
      <c r="F712">
        <f>VLOOKUP($A712,ordered_items!$B$2:$E$4784,2,0)</f>
        <v>1073</v>
      </c>
      <c r="G712">
        <f>VLOOKUP($A712,ordered_items!$B$2:$E$4784,3,0)</f>
        <v>1</v>
      </c>
      <c r="H712">
        <f>VLOOKUP($A712,ordered_items!$B$2:$E$4784,4,0)</f>
        <v>199.99</v>
      </c>
      <c r="I712" s="15">
        <f>VLOOKUP(F712,product_info!$A$2:$D$73,4,0)</f>
        <v>7</v>
      </c>
      <c r="J712" s="15" t="str">
        <f>VLOOKUP(I712,department!$A$2:$B$13,2,0)</f>
        <v>Fan Shop</v>
      </c>
      <c r="K712">
        <v>4259</v>
      </c>
      <c r="L712" t="s">
        <v>226</v>
      </c>
      <c r="M712" s="4">
        <v>43477</v>
      </c>
      <c r="N712" s="12">
        <f t="shared" si="34"/>
        <v>1</v>
      </c>
      <c r="O712" s="13">
        <f t="shared" si="35"/>
        <v>2019</v>
      </c>
      <c r="P712" t="s">
        <v>13</v>
      </c>
      <c r="Q712" t="s">
        <v>227</v>
      </c>
      <c r="R712" t="s">
        <v>378</v>
      </c>
      <c r="S712" t="str" cm="1">
        <f t="array" ref="S712">_xlfn.IFS(R712="COMPLETE", "COMPLETED", R712="CANCELED", "CANCELED", TRUE, "PENDING")</f>
        <v>PENDING</v>
      </c>
      <c r="T712" t="s">
        <v>16</v>
      </c>
      <c r="U712">
        <f>VLOOKUP(A712,ordered_items!$B:$E,4,0)</f>
        <v>199.99</v>
      </c>
    </row>
    <row r="713" spans="1:21" x14ac:dyDescent="0.3">
      <c r="A713">
        <v>25849</v>
      </c>
      <c r="B713" t="s">
        <v>24</v>
      </c>
      <c r="C713">
        <v>5</v>
      </c>
      <c r="D713">
        <v>4</v>
      </c>
      <c r="E713" t="str">
        <f t="shared" si="33"/>
        <v>DELAYED</v>
      </c>
      <c r="F713">
        <f>VLOOKUP($A713,ordered_items!$B$2:$E$4784,2,0)</f>
        <v>191</v>
      </c>
      <c r="G713">
        <f>VLOOKUP($A713,ordered_items!$B$2:$E$4784,3,0)</f>
        <v>1</v>
      </c>
      <c r="H713">
        <f>VLOOKUP($A713,ordered_items!$B$2:$E$4784,4,0)</f>
        <v>99.99</v>
      </c>
      <c r="I713" s="15">
        <f>VLOOKUP(F713,product_info!$A$2:$D$73,4,0)</f>
        <v>3</v>
      </c>
      <c r="J713" s="15" t="str">
        <f>VLOOKUP(I713,department!$A$2:$B$13,2,0)</f>
        <v>Footwear</v>
      </c>
      <c r="K713">
        <v>10526</v>
      </c>
      <c r="L713" t="s">
        <v>226</v>
      </c>
      <c r="M713" s="4">
        <v>43477</v>
      </c>
      <c r="N713" s="12">
        <f t="shared" si="34"/>
        <v>1</v>
      </c>
      <c r="O713" s="13">
        <f t="shared" si="35"/>
        <v>2019</v>
      </c>
      <c r="P713" t="s">
        <v>13</v>
      </c>
      <c r="Q713" t="s">
        <v>227</v>
      </c>
      <c r="R713" t="s">
        <v>31</v>
      </c>
      <c r="S713" t="str" cm="1">
        <f t="array" ref="S713">_xlfn.IFS(R713="COMPLETE", "COMPLETED", R713="CANCELED", "CANCELED", TRUE, "PENDING")</f>
        <v>COMPLETED</v>
      </c>
      <c r="T713" t="s">
        <v>16</v>
      </c>
      <c r="U713">
        <f>VLOOKUP(A713,ordered_items!$B:$E,4,0)</f>
        <v>99.99</v>
      </c>
    </row>
    <row r="714" spans="1:21" x14ac:dyDescent="0.3">
      <c r="A714">
        <v>25850</v>
      </c>
      <c r="B714" t="s">
        <v>24</v>
      </c>
      <c r="C714">
        <v>6</v>
      </c>
      <c r="D714">
        <v>4</v>
      </c>
      <c r="E714" t="str">
        <f t="shared" si="33"/>
        <v>DELAYED</v>
      </c>
      <c r="F714">
        <f>VLOOKUP($A714,ordered_items!$B$2:$E$4784,2,0)</f>
        <v>728</v>
      </c>
      <c r="G714">
        <f>VLOOKUP($A714,ordered_items!$B$2:$E$4784,3,0)</f>
        <v>5</v>
      </c>
      <c r="H714">
        <f>VLOOKUP($A714,ordered_items!$B$2:$E$4784,4,0)</f>
        <v>325</v>
      </c>
      <c r="I714" s="15">
        <f>VLOOKUP(F714,product_info!$A$2:$D$73,4,0)</f>
        <v>6</v>
      </c>
      <c r="J714" s="15" t="str">
        <f>VLOOKUP(I714,department!$A$2:$B$13,2,0)</f>
        <v>Outdoors</v>
      </c>
      <c r="K714">
        <v>1838</v>
      </c>
      <c r="L714" t="s">
        <v>226</v>
      </c>
      <c r="M714" s="4">
        <v>43477</v>
      </c>
      <c r="N714" s="12">
        <f t="shared" si="34"/>
        <v>1</v>
      </c>
      <c r="O714" s="13">
        <f t="shared" si="35"/>
        <v>2019</v>
      </c>
      <c r="P714" t="s">
        <v>13</v>
      </c>
      <c r="Q714" t="s">
        <v>227</v>
      </c>
      <c r="R714" t="s">
        <v>31</v>
      </c>
      <c r="S714" t="str" cm="1">
        <f t="array" ref="S714">_xlfn.IFS(R714="COMPLETE", "COMPLETED", R714="CANCELED", "CANCELED", TRUE, "PENDING")</f>
        <v>COMPLETED</v>
      </c>
      <c r="T714" t="s">
        <v>16</v>
      </c>
      <c r="U714">
        <f>VLOOKUP(A714,ordered_items!$B:$E,4,0)</f>
        <v>325</v>
      </c>
    </row>
    <row r="715" spans="1:21" x14ac:dyDescent="0.3">
      <c r="A715">
        <v>25851</v>
      </c>
      <c r="B715" t="s">
        <v>24</v>
      </c>
      <c r="C715">
        <v>2</v>
      </c>
      <c r="D715">
        <v>4</v>
      </c>
      <c r="E715" t="str">
        <f t="shared" si="33"/>
        <v xml:space="preserve"> ONTIME</v>
      </c>
      <c r="F715">
        <f>VLOOKUP($A715,ordered_items!$B$2:$E$4784,2,0)</f>
        <v>403</v>
      </c>
      <c r="G715">
        <f>VLOOKUP($A715,ordered_items!$B$2:$E$4784,3,0)</f>
        <v>1</v>
      </c>
      <c r="H715">
        <f>VLOOKUP($A715,ordered_items!$B$2:$E$4784,4,0)</f>
        <v>129.99</v>
      </c>
      <c r="I715" s="15">
        <f>VLOOKUP(F715,product_info!$A$2:$D$73,4,0)</f>
        <v>4</v>
      </c>
      <c r="J715" s="15" t="str">
        <f>VLOOKUP(I715,department!$A$2:$B$13,2,0)</f>
        <v>Apparel</v>
      </c>
      <c r="K715">
        <v>4833</v>
      </c>
      <c r="L715" t="s">
        <v>226</v>
      </c>
      <c r="M715" s="4">
        <v>43477</v>
      </c>
      <c r="N715" s="12">
        <f t="shared" si="34"/>
        <v>1</v>
      </c>
      <c r="O715" s="13">
        <f t="shared" si="35"/>
        <v>2019</v>
      </c>
      <c r="P715" t="s">
        <v>13</v>
      </c>
      <c r="Q715" t="s">
        <v>227</v>
      </c>
      <c r="R715" t="s">
        <v>31</v>
      </c>
      <c r="S715" t="str" cm="1">
        <f t="array" ref="S715">_xlfn.IFS(R715="COMPLETE", "COMPLETED", R715="CANCELED", "CANCELED", TRUE, "PENDING")</f>
        <v>COMPLETED</v>
      </c>
      <c r="T715" t="s">
        <v>16</v>
      </c>
      <c r="U715">
        <f>VLOOKUP(A715,ordered_items!$B:$E,4,0)</f>
        <v>129.99</v>
      </c>
    </row>
    <row r="716" spans="1:21" x14ac:dyDescent="0.3">
      <c r="A716">
        <v>25863</v>
      </c>
      <c r="B716" t="s">
        <v>17</v>
      </c>
      <c r="C716">
        <v>2</v>
      </c>
      <c r="D716">
        <v>1</v>
      </c>
      <c r="E716" t="str">
        <f t="shared" si="33"/>
        <v>DELAYED</v>
      </c>
      <c r="F716">
        <f>VLOOKUP($A716,ordered_items!$B$2:$E$4784,2,0)</f>
        <v>502</v>
      </c>
      <c r="G716">
        <f>VLOOKUP($A716,ordered_items!$B$2:$E$4784,3,0)</f>
        <v>1</v>
      </c>
      <c r="H716">
        <f>VLOOKUP($A716,ordered_items!$B$2:$E$4784,4,0)</f>
        <v>50</v>
      </c>
      <c r="I716" s="15">
        <f>VLOOKUP(F716,product_info!$A$2:$D$73,4,0)</f>
        <v>5</v>
      </c>
      <c r="J716" s="15" t="str">
        <f>VLOOKUP(I716,department!$A$2:$B$13,2,0)</f>
        <v>Golf</v>
      </c>
      <c r="K716">
        <v>11519</v>
      </c>
      <c r="L716" t="s">
        <v>561</v>
      </c>
      <c r="M716" s="4">
        <v>43477</v>
      </c>
      <c r="N716" s="12">
        <f t="shared" si="34"/>
        <v>1</v>
      </c>
      <c r="O716" s="13">
        <f t="shared" si="35"/>
        <v>2019</v>
      </c>
      <c r="P716" t="s">
        <v>13</v>
      </c>
      <c r="Q716" t="s">
        <v>5779</v>
      </c>
      <c r="R716" t="s">
        <v>23</v>
      </c>
      <c r="S716" t="str" cm="1">
        <f t="array" ref="S716">_xlfn.IFS(R716="COMPLETE", "COMPLETED", R716="CANCELED", "CANCELED", TRUE, "PENDING")</f>
        <v>PENDING</v>
      </c>
      <c r="T716" t="s">
        <v>32</v>
      </c>
      <c r="U716">
        <f>VLOOKUP(A716,ordered_items!$B:$E,4,0)</f>
        <v>50</v>
      </c>
    </row>
    <row r="717" spans="1:21" x14ac:dyDescent="0.3">
      <c r="A717">
        <v>25865</v>
      </c>
      <c r="B717" t="s">
        <v>51</v>
      </c>
      <c r="C717">
        <v>6</v>
      </c>
      <c r="D717">
        <v>2</v>
      </c>
      <c r="E717" t="str">
        <f t="shared" si="33"/>
        <v>DELAYED</v>
      </c>
      <c r="F717">
        <f>VLOOKUP($A717,ordered_items!$B$2:$E$4784,2,0)</f>
        <v>403</v>
      </c>
      <c r="G717">
        <f>VLOOKUP($A717,ordered_items!$B$2:$E$4784,3,0)</f>
        <v>1</v>
      </c>
      <c r="H717">
        <f>VLOOKUP($A717,ordered_items!$B$2:$E$4784,4,0)</f>
        <v>129.99</v>
      </c>
      <c r="I717" s="15">
        <f>VLOOKUP(F717,product_info!$A$2:$D$73,4,0)</f>
        <v>4</v>
      </c>
      <c r="J717" s="15" t="str">
        <f>VLOOKUP(I717,department!$A$2:$B$13,2,0)</f>
        <v>Apparel</v>
      </c>
      <c r="K717">
        <v>4159</v>
      </c>
      <c r="L717" t="s">
        <v>867</v>
      </c>
      <c r="M717" s="4">
        <v>43477</v>
      </c>
      <c r="N717" s="12">
        <f t="shared" si="34"/>
        <v>1</v>
      </c>
      <c r="O717" s="13">
        <f t="shared" si="35"/>
        <v>2019</v>
      </c>
      <c r="P717" t="s">
        <v>13</v>
      </c>
      <c r="Q717" t="s">
        <v>5781</v>
      </c>
      <c r="R717" t="s">
        <v>57</v>
      </c>
      <c r="S717" t="str" cm="1">
        <f t="array" ref="S717">_xlfn.IFS(R717="COMPLETE", "COMPLETED", R717="CANCELED", "CANCELED", TRUE, "PENDING")</f>
        <v>PENDING</v>
      </c>
      <c r="T717" t="s">
        <v>90</v>
      </c>
      <c r="U717">
        <f>VLOOKUP(A717,ordered_items!$B:$E,4,0)</f>
        <v>129.99</v>
      </c>
    </row>
    <row r="718" spans="1:21" x14ac:dyDescent="0.3">
      <c r="A718">
        <v>25874</v>
      </c>
      <c r="B718" t="s">
        <v>51</v>
      </c>
      <c r="C718">
        <v>5</v>
      </c>
      <c r="D718">
        <v>4</v>
      </c>
      <c r="E718" t="str">
        <f t="shared" si="33"/>
        <v>DELAYED</v>
      </c>
      <c r="F718">
        <f>VLOOKUP($A718,ordered_items!$B$2:$E$4784,2,0)</f>
        <v>134</v>
      </c>
      <c r="G718">
        <f>VLOOKUP($A718,ordered_items!$B$2:$E$4784,3,0)</f>
        <v>3</v>
      </c>
      <c r="H718">
        <f>VLOOKUP($A718,ordered_items!$B$2:$E$4784,4,0)</f>
        <v>75</v>
      </c>
      <c r="I718" s="15">
        <f>VLOOKUP(F718,product_info!$A$2:$D$73,4,0)</f>
        <v>2</v>
      </c>
      <c r="J718" s="15" t="str">
        <f>VLOOKUP(I718,department!$A$2:$B$13,2,0)</f>
        <v>Fitness</v>
      </c>
      <c r="K718">
        <v>11565</v>
      </c>
      <c r="L718" t="s">
        <v>258</v>
      </c>
      <c r="M718" s="4">
        <v>43477</v>
      </c>
      <c r="N718" s="12">
        <f t="shared" si="34"/>
        <v>1</v>
      </c>
      <c r="O718" s="13">
        <f t="shared" si="35"/>
        <v>2019</v>
      </c>
      <c r="P718" t="s">
        <v>13</v>
      </c>
      <c r="Q718" t="s">
        <v>30</v>
      </c>
      <c r="R718" t="s">
        <v>57</v>
      </c>
      <c r="S718" t="str" cm="1">
        <f t="array" ref="S718">_xlfn.IFS(R718="COMPLETE", "COMPLETED", R718="CANCELED", "CANCELED", TRUE, "PENDING")</f>
        <v>PENDING</v>
      </c>
      <c r="T718" t="s">
        <v>16</v>
      </c>
      <c r="U718">
        <f>VLOOKUP(A718,ordered_items!$B:$E,4,0)</f>
        <v>75</v>
      </c>
    </row>
    <row r="719" spans="1:21" x14ac:dyDescent="0.3">
      <c r="A719">
        <v>25892</v>
      </c>
      <c r="B719" t="s">
        <v>24</v>
      </c>
      <c r="C719">
        <v>3</v>
      </c>
      <c r="D719">
        <v>4</v>
      </c>
      <c r="E719" t="str">
        <f t="shared" si="33"/>
        <v xml:space="preserve"> ONTIME</v>
      </c>
      <c r="F719">
        <f>VLOOKUP($A719,ordered_items!$B$2:$E$4784,2,0)</f>
        <v>403</v>
      </c>
      <c r="G719">
        <f>VLOOKUP($A719,ordered_items!$B$2:$E$4784,3,0)</f>
        <v>1</v>
      </c>
      <c r="H719">
        <f>VLOOKUP($A719,ordered_items!$B$2:$E$4784,4,0)</f>
        <v>129.99</v>
      </c>
      <c r="I719" s="15">
        <f>VLOOKUP(F719,product_info!$A$2:$D$73,4,0)</f>
        <v>4</v>
      </c>
      <c r="J719" s="15" t="str">
        <f>VLOOKUP(I719,department!$A$2:$B$13,2,0)</f>
        <v>Apparel</v>
      </c>
      <c r="K719">
        <v>3853</v>
      </c>
      <c r="L719" t="s">
        <v>206</v>
      </c>
      <c r="M719" s="4">
        <v>43477</v>
      </c>
      <c r="N719" s="12">
        <f t="shared" si="34"/>
        <v>1</v>
      </c>
      <c r="O719" s="13">
        <f t="shared" si="35"/>
        <v>2019</v>
      </c>
      <c r="P719" t="s">
        <v>13</v>
      </c>
      <c r="Q719" t="s">
        <v>30</v>
      </c>
      <c r="R719" t="s">
        <v>378</v>
      </c>
      <c r="S719" t="str" cm="1">
        <f t="array" ref="S719">_xlfn.IFS(R719="COMPLETE", "COMPLETED", R719="CANCELED", "CANCELED", TRUE, "PENDING")</f>
        <v>PENDING</v>
      </c>
      <c r="T719" t="s">
        <v>16</v>
      </c>
      <c r="U719">
        <f>VLOOKUP(A719,ordered_items!$B:$E,4,0)</f>
        <v>129.99</v>
      </c>
    </row>
    <row r="720" spans="1:21" x14ac:dyDescent="0.3">
      <c r="A720">
        <v>25895</v>
      </c>
      <c r="B720" t="s">
        <v>24</v>
      </c>
      <c r="C720">
        <v>1</v>
      </c>
      <c r="D720">
        <v>0</v>
      </c>
      <c r="E720" t="str">
        <f t="shared" si="33"/>
        <v>DELAYED</v>
      </c>
      <c r="F720">
        <f>VLOOKUP($A720,ordered_items!$B$2:$E$4784,2,0)</f>
        <v>1073</v>
      </c>
      <c r="G720">
        <f>VLOOKUP($A720,ordered_items!$B$2:$E$4784,3,0)</f>
        <v>1</v>
      </c>
      <c r="H720">
        <f>VLOOKUP($A720,ordered_items!$B$2:$E$4784,4,0)</f>
        <v>199.99</v>
      </c>
      <c r="I720" s="15">
        <f>VLOOKUP(F720,product_info!$A$2:$D$73,4,0)</f>
        <v>7</v>
      </c>
      <c r="J720" s="15" t="str">
        <f>VLOOKUP(I720,department!$A$2:$B$13,2,0)</f>
        <v>Fan Shop</v>
      </c>
      <c r="K720">
        <v>1044</v>
      </c>
      <c r="L720" t="s">
        <v>409</v>
      </c>
      <c r="M720" s="4">
        <v>43477</v>
      </c>
      <c r="N720" s="12">
        <f t="shared" si="34"/>
        <v>1</v>
      </c>
      <c r="O720" s="13">
        <f t="shared" si="35"/>
        <v>2019</v>
      </c>
      <c r="P720" t="s">
        <v>13</v>
      </c>
      <c r="Q720" t="s">
        <v>410</v>
      </c>
      <c r="R720" t="s">
        <v>31</v>
      </c>
      <c r="S720" t="str" cm="1">
        <f t="array" ref="S720">_xlfn.IFS(R720="COMPLETE", "COMPLETED", R720="CANCELED", "CANCELED", TRUE, "PENDING")</f>
        <v>COMPLETED</v>
      </c>
      <c r="T720" t="s">
        <v>58</v>
      </c>
      <c r="U720">
        <f>VLOOKUP(A720,ordered_items!$B:$E,4,0)</f>
        <v>199.99</v>
      </c>
    </row>
    <row r="721" spans="1:21" x14ac:dyDescent="0.3">
      <c r="A721">
        <v>25908</v>
      </c>
      <c r="B721" t="s">
        <v>3</v>
      </c>
      <c r="C721">
        <v>4</v>
      </c>
      <c r="D721">
        <v>4</v>
      </c>
      <c r="E721" t="str">
        <f t="shared" si="33"/>
        <v xml:space="preserve"> ONTIME</v>
      </c>
      <c r="F721">
        <f>VLOOKUP($A721,ordered_items!$B$2:$E$4784,2,0)</f>
        <v>502</v>
      </c>
      <c r="G721">
        <f>VLOOKUP($A721,ordered_items!$B$2:$E$4784,3,0)</f>
        <v>1</v>
      </c>
      <c r="H721">
        <f>VLOOKUP($A721,ordered_items!$B$2:$E$4784,4,0)</f>
        <v>50</v>
      </c>
      <c r="I721" s="15">
        <f>VLOOKUP(F721,product_info!$A$2:$D$73,4,0)</f>
        <v>5</v>
      </c>
      <c r="J721" s="15" t="str">
        <f>VLOOKUP(I721,department!$A$2:$B$13,2,0)</f>
        <v>Golf</v>
      </c>
      <c r="K721">
        <v>11055</v>
      </c>
      <c r="L721" t="s">
        <v>70</v>
      </c>
      <c r="M721" s="4">
        <v>43478</v>
      </c>
      <c r="N721" s="12">
        <f t="shared" si="34"/>
        <v>1</v>
      </c>
      <c r="O721" s="13">
        <f t="shared" si="35"/>
        <v>2019</v>
      </c>
      <c r="P721" t="s">
        <v>13</v>
      </c>
      <c r="Q721" t="s">
        <v>70</v>
      </c>
      <c r="R721" t="s">
        <v>14</v>
      </c>
      <c r="S721" t="str" cm="1">
        <f t="array" ref="S721">_xlfn.IFS(R721="COMPLETE", "COMPLETED", R721="CANCELED", "CANCELED", TRUE, "PENDING")</f>
        <v>PENDING</v>
      </c>
      <c r="T721" t="s">
        <v>16</v>
      </c>
      <c r="U721">
        <f>VLOOKUP(A721,ordered_items!$B:$E,4,0)</f>
        <v>50</v>
      </c>
    </row>
    <row r="722" spans="1:21" x14ac:dyDescent="0.3">
      <c r="A722">
        <v>25916</v>
      </c>
      <c r="B722" t="s">
        <v>24</v>
      </c>
      <c r="C722">
        <v>2</v>
      </c>
      <c r="D722">
        <v>4</v>
      </c>
      <c r="E722" t="str">
        <f t="shared" si="33"/>
        <v xml:space="preserve"> ONTIME</v>
      </c>
      <c r="F722">
        <f>VLOOKUP($A722,ordered_items!$B$2:$E$4784,2,0)</f>
        <v>957</v>
      </c>
      <c r="G722">
        <f>VLOOKUP($A722,ordered_items!$B$2:$E$4784,3,0)</f>
        <v>1</v>
      </c>
      <c r="H722">
        <f>VLOOKUP($A722,ordered_items!$B$2:$E$4784,4,0)</f>
        <v>299.98</v>
      </c>
      <c r="I722" s="15">
        <f>VLOOKUP(F722,product_info!$A$2:$D$73,4,0)</f>
        <v>7</v>
      </c>
      <c r="J722" s="15" t="str">
        <f>VLOOKUP(I722,department!$A$2:$B$13,2,0)</f>
        <v>Fan Shop</v>
      </c>
      <c r="K722">
        <v>3219</v>
      </c>
      <c r="L722" t="s">
        <v>830</v>
      </c>
      <c r="M722" s="4">
        <v>43478</v>
      </c>
      <c r="N722" s="12">
        <f t="shared" si="34"/>
        <v>1</v>
      </c>
      <c r="O722" s="13">
        <f t="shared" si="35"/>
        <v>2019</v>
      </c>
      <c r="P722" t="s">
        <v>13</v>
      </c>
      <c r="Q722" t="s">
        <v>5777</v>
      </c>
      <c r="R722" t="s">
        <v>31</v>
      </c>
      <c r="S722" t="str" cm="1">
        <f t="array" ref="S722">_xlfn.IFS(R722="COMPLETE", "COMPLETED", R722="CANCELED", "CANCELED", TRUE, "PENDING")</f>
        <v>COMPLETED</v>
      </c>
      <c r="T722" t="s">
        <v>16</v>
      </c>
      <c r="U722">
        <f>VLOOKUP(A722,ordered_items!$B:$E,4,0)</f>
        <v>299.98</v>
      </c>
    </row>
    <row r="723" spans="1:21" x14ac:dyDescent="0.3">
      <c r="A723">
        <v>25917</v>
      </c>
      <c r="B723" t="s">
        <v>24</v>
      </c>
      <c r="C723">
        <v>3</v>
      </c>
      <c r="D723">
        <v>4</v>
      </c>
      <c r="E723" t="str">
        <f t="shared" si="33"/>
        <v xml:space="preserve"> ONTIME</v>
      </c>
      <c r="F723">
        <f>VLOOKUP($A723,ordered_items!$B$2:$E$4784,2,0)</f>
        <v>957</v>
      </c>
      <c r="G723">
        <f>VLOOKUP($A723,ordered_items!$B$2:$E$4784,3,0)</f>
        <v>1</v>
      </c>
      <c r="H723">
        <f>VLOOKUP($A723,ordered_items!$B$2:$E$4784,4,0)</f>
        <v>299.98</v>
      </c>
      <c r="I723" s="15">
        <f>VLOOKUP(F723,product_info!$A$2:$D$73,4,0)</f>
        <v>7</v>
      </c>
      <c r="J723" s="15" t="str">
        <f>VLOOKUP(I723,department!$A$2:$B$13,2,0)</f>
        <v>Fan Shop</v>
      </c>
      <c r="K723">
        <v>1708</v>
      </c>
      <c r="L723" t="s">
        <v>830</v>
      </c>
      <c r="M723" s="4">
        <v>43478</v>
      </c>
      <c r="N723" s="12">
        <f t="shared" si="34"/>
        <v>1</v>
      </c>
      <c r="O723" s="13">
        <f t="shared" si="35"/>
        <v>2019</v>
      </c>
      <c r="P723" t="s">
        <v>13</v>
      </c>
      <c r="Q723" t="s">
        <v>5777</v>
      </c>
      <c r="R723" t="s">
        <v>378</v>
      </c>
      <c r="S723" t="str" cm="1">
        <f t="array" ref="S723">_xlfn.IFS(R723="COMPLETE", "COMPLETED", R723="CANCELED", "CANCELED", TRUE, "PENDING")</f>
        <v>PENDING</v>
      </c>
      <c r="T723" t="s">
        <v>16</v>
      </c>
      <c r="U723">
        <f>VLOOKUP(A723,ordered_items!$B:$E,4,0)</f>
        <v>299.98</v>
      </c>
    </row>
    <row r="724" spans="1:21" x14ac:dyDescent="0.3">
      <c r="A724">
        <v>25918</v>
      </c>
      <c r="B724" t="s">
        <v>24</v>
      </c>
      <c r="C724">
        <v>4</v>
      </c>
      <c r="D724">
        <v>4</v>
      </c>
      <c r="E724" t="str">
        <f t="shared" si="33"/>
        <v xml:space="preserve"> ONTIME</v>
      </c>
      <c r="F724">
        <f>VLOOKUP($A724,ordered_items!$B$2:$E$4784,2,0)</f>
        <v>502</v>
      </c>
      <c r="G724">
        <f>VLOOKUP($A724,ordered_items!$B$2:$E$4784,3,0)</f>
        <v>1</v>
      </c>
      <c r="H724">
        <f>VLOOKUP($A724,ordered_items!$B$2:$E$4784,4,0)</f>
        <v>50</v>
      </c>
      <c r="I724" s="15">
        <f>VLOOKUP(F724,product_info!$A$2:$D$73,4,0)</f>
        <v>5</v>
      </c>
      <c r="J724" s="15" t="str">
        <f>VLOOKUP(I724,department!$A$2:$B$13,2,0)</f>
        <v>Golf</v>
      </c>
      <c r="K724">
        <v>279</v>
      </c>
      <c r="L724" t="s">
        <v>713</v>
      </c>
      <c r="M724" s="4">
        <v>43478</v>
      </c>
      <c r="N724" s="12">
        <f t="shared" si="34"/>
        <v>1</v>
      </c>
      <c r="O724" s="13">
        <f t="shared" si="35"/>
        <v>2019</v>
      </c>
      <c r="P724" t="s">
        <v>13</v>
      </c>
      <c r="Q724" t="s">
        <v>99</v>
      </c>
      <c r="R724" t="s">
        <v>31</v>
      </c>
      <c r="S724" t="str" cm="1">
        <f t="array" ref="S724">_xlfn.IFS(R724="COMPLETE", "COMPLETED", R724="CANCELED", "CANCELED", TRUE, "PENDING")</f>
        <v>COMPLETED</v>
      </c>
      <c r="T724" t="s">
        <v>16</v>
      </c>
      <c r="U724">
        <f>VLOOKUP(A724,ordered_items!$B:$E,4,0)</f>
        <v>50</v>
      </c>
    </row>
    <row r="725" spans="1:21" x14ac:dyDescent="0.3">
      <c r="A725">
        <v>25919</v>
      </c>
      <c r="B725" t="s">
        <v>24</v>
      </c>
      <c r="C725">
        <v>5</v>
      </c>
      <c r="D725">
        <v>4</v>
      </c>
      <c r="E725" t="str">
        <f t="shared" si="33"/>
        <v>DELAYED</v>
      </c>
      <c r="F725">
        <f>VLOOKUP($A725,ordered_items!$B$2:$E$4784,2,0)</f>
        <v>502</v>
      </c>
      <c r="G725">
        <f>VLOOKUP($A725,ordered_items!$B$2:$E$4784,3,0)</f>
        <v>1</v>
      </c>
      <c r="H725">
        <f>VLOOKUP($A725,ordered_items!$B$2:$E$4784,4,0)</f>
        <v>50</v>
      </c>
      <c r="I725" s="15">
        <f>VLOOKUP(F725,product_info!$A$2:$D$73,4,0)</f>
        <v>5</v>
      </c>
      <c r="J725" s="15" t="str">
        <f>VLOOKUP(I725,department!$A$2:$B$13,2,0)</f>
        <v>Golf</v>
      </c>
      <c r="K725">
        <v>3052</v>
      </c>
      <c r="L725" t="s">
        <v>713</v>
      </c>
      <c r="M725" s="4">
        <v>43478</v>
      </c>
      <c r="N725" s="12">
        <f t="shared" si="34"/>
        <v>1</v>
      </c>
      <c r="O725" s="13">
        <f t="shared" si="35"/>
        <v>2019</v>
      </c>
      <c r="P725" t="s">
        <v>13</v>
      </c>
      <c r="Q725" t="s">
        <v>99</v>
      </c>
      <c r="R725" t="s">
        <v>31</v>
      </c>
      <c r="S725" t="str" cm="1">
        <f t="array" ref="S725">_xlfn.IFS(R725="COMPLETE", "COMPLETED", R725="CANCELED", "CANCELED", TRUE, "PENDING")</f>
        <v>COMPLETED</v>
      </c>
      <c r="T725" t="s">
        <v>16</v>
      </c>
      <c r="U725">
        <f>VLOOKUP(A725,ordered_items!$B:$E,4,0)</f>
        <v>50</v>
      </c>
    </row>
    <row r="726" spans="1:21" x14ac:dyDescent="0.3">
      <c r="A726">
        <v>25924</v>
      </c>
      <c r="B726" t="s">
        <v>24</v>
      </c>
      <c r="C726">
        <v>5</v>
      </c>
      <c r="D726">
        <v>2</v>
      </c>
      <c r="E726" t="str">
        <f t="shared" si="33"/>
        <v>DELAYED</v>
      </c>
      <c r="F726">
        <f>VLOOKUP($A726,ordered_items!$B$2:$E$4784,2,0)</f>
        <v>365</v>
      </c>
      <c r="G726">
        <f>VLOOKUP($A726,ordered_items!$B$2:$E$4784,3,0)</f>
        <v>4</v>
      </c>
      <c r="H726">
        <f>VLOOKUP($A726,ordered_items!$B$2:$E$4784,4,0)</f>
        <v>239.96</v>
      </c>
      <c r="I726" s="15">
        <f>VLOOKUP(F726,product_info!$A$2:$D$73,4,0)</f>
        <v>4</v>
      </c>
      <c r="J726" s="15" t="str">
        <f>VLOOKUP(I726,department!$A$2:$B$13,2,0)</f>
        <v>Apparel</v>
      </c>
      <c r="K726">
        <v>3826</v>
      </c>
      <c r="L726" t="s">
        <v>2438</v>
      </c>
      <c r="M726" s="4">
        <v>43478</v>
      </c>
      <c r="N726" s="12">
        <f t="shared" si="34"/>
        <v>1</v>
      </c>
      <c r="O726" s="13">
        <f t="shared" si="35"/>
        <v>2019</v>
      </c>
      <c r="P726" t="s">
        <v>13</v>
      </c>
      <c r="Q726" t="s">
        <v>47</v>
      </c>
      <c r="R726" t="s">
        <v>31</v>
      </c>
      <c r="S726" t="str" cm="1">
        <f t="array" ref="S726">_xlfn.IFS(R726="COMPLETE", "COMPLETED", R726="CANCELED", "CANCELED", TRUE, "PENDING")</f>
        <v>COMPLETED</v>
      </c>
      <c r="T726" t="s">
        <v>90</v>
      </c>
      <c r="U726">
        <f>VLOOKUP(A726,ordered_items!$B:$E,4,0)</f>
        <v>239.96</v>
      </c>
    </row>
    <row r="727" spans="1:21" x14ac:dyDescent="0.3">
      <c r="A727">
        <v>25927</v>
      </c>
      <c r="B727" t="s">
        <v>24</v>
      </c>
      <c r="C727">
        <v>3</v>
      </c>
      <c r="D727">
        <v>4</v>
      </c>
      <c r="E727" t="str">
        <f t="shared" si="33"/>
        <v xml:space="preserve"> ONTIME</v>
      </c>
      <c r="F727">
        <f>VLOOKUP($A727,ordered_items!$B$2:$E$4784,2,0)</f>
        <v>365</v>
      </c>
      <c r="G727">
        <f>VLOOKUP($A727,ordered_items!$B$2:$E$4784,3,0)</f>
        <v>5</v>
      </c>
      <c r="H727">
        <f>VLOOKUP($A727,ordered_items!$B$2:$E$4784,4,0)</f>
        <v>299.95</v>
      </c>
      <c r="I727" s="15">
        <f>VLOOKUP(F727,product_info!$A$2:$D$73,4,0)</f>
        <v>4</v>
      </c>
      <c r="J727" s="15" t="str">
        <f>VLOOKUP(I727,department!$A$2:$B$13,2,0)</f>
        <v>Apparel</v>
      </c>
      <c r="K727">
        <v>10278</v>
      </c>
      <c r="L727" t="s">
        <v>990</v>
      </c>
      <c r="M727" s="4">
        <v>43478</v>
      </c>
      <c r="N727" s="12">
        <f t="shared" si="34"/>
        <v>1</v>
      </c>
      <c r="O727" s="13">
        <f t="shared" si="35"/>
        <v>2019</v>
      </c>
      <c r="P727" t="s">
        <v>13</v>
      </c>
      <c r="Q727" t="s">
        <v>377</v>
      </c>
      <c r="R727" t="s">
        <v>31</v>
      </c>
      <c r="S727" t="str" cm="1">
        <f t="array" ref="S727">_xlfn.IFS(R727="COMPLETE", "COMPLETED", R727="CANCELED", "CANCELED", TRUE, "PENDING")</f>
        <v>COMPLETED</v>
      </c>
      <c r="T727" t="s">
        <v>16</v>
      </c>
      <c r="U727">
        <f>VLOOKUP(A727,ordered_items!$B:$E,4,0)</f>
        <v>299.95</v>
      </c>
    </row>
    <row r="728" spans="1:21" x14ac:dyDescent="0.3">
      <c r="A728">
        <v>25928</v>
      </c>
      <c r="B728" t="s">
        <v>51</v>
      </c>
      <c r="C728">
        <v>4</v>
      </c>
      <c r="D728">
        <v>4</v>
      </c>
      <c r="E728" t="str">
        <f t="shared" si="33"/>
        <v xml:space="preserve"> ONTIME</v>
      </c>
      <c r="F728">
        <f>VLOOKUP($A728,ordered_items!$B$2:$E$4784,2,0)</f>
        <v>1073</v>
      </c>
      <c r="G728">
        <f>VLOOKUP($A728,ordered_items!$B$2:$E$4784,3,0)</f>
        <v>1</v>
      </c>
      <c r="H728">
        <f>VLOOKUP($A728,ordered_items!$B$2:$E$4784,4,0)</f>
        <v>199.99</v>
      </c>
      <c r="I728" s="15">
        <f>VLOOKUP(F728,product_info!$A$2:$D$73,4,0)</f>
        <v>7</v>
      </c>
      <c r="J728" s="15" t="str">
        <f>VLOOKUP(I728,department!$A$2:$B$13,2,0)</f>
        <v>Fan Shop</v>
      </c>
      <c r="K728">
        <v>3354</v>
      </c>
      <c r="L728" t="s">
        <v>990</v>
      </c>
      <c r="M728" s="4">
        <v>43478</v>
      </c>
      <c r="N728" s="12">
        <f t="shared" si="34"/>
        <v>1</v>
      </c>
      <c r="O728" s="13">
        <f t="shared" si="35"/>
        <v>2019</v>
      </c>
      <c r="P728" t="s">
        <v>13</v>
      </c>
      <c r="Q728" t="s">
        <v>377</v>
      </c>
      <c r="R728" t="s">
        <v>57</v>
      </c>
      <c r="S728" t="str" cm="1">
        <f t="array" ref="S728">_xlfn.IFS(R728="COMPLETE", "COMPLETED", R728="CANCELED", "CANCELED", TRUE, "PENDING")</f>
        <v>PENDING</v>
      </c>
      <c r="T728" t="s">
        <v>16</v>
      </c>
      <c r="U728">
        <f>VLOOKUP(A728,ordered_items!$B:$E,4,0)</f>
        <v>199.99</v>
      </c>
    </row>
    <row r="729" spans="1:21" x14ac:dyDescent="0.3">
      <c r="A729">
        <v>25930</v>
      </c>
      <c r="B729" t="s">
        <v>51</v>
      </c>
      <c r="C729">
        <v>1</v>
      </c>
      <c r="D729">
        <v>0</v>
      </c>
      <c r="E729" t="str">
        <f t="shared" si="33"/>
        <v>DELAYED</v>
      </c>
      <c r="F729">
        <f>VLOOKUP($A729,ordered_items!$B$2:$E$4784,2,0)</f>
        <v>403</v>
      </c>
      <c r="G729">
        <f>VLOOKUP($A729,ordered_items!$B$2:$E$4784,3,0)</f>
        <v>1</v>
      </c>
      <c r="H729">
        <f>VLOOKUP($A729,ordered_items!$B$2:$E$4784,4,0)</f>
        <v>129.99</v>
      </c>
      <c r="I729" s="15">
        <f>VLOOKUP(F729,product_info!$A$2:$D$73,4,0)</f>
        <v>4</v>
      </c>
      <c r="J729" s="15" t="str">
        <f>VLOOKUP(I729,department!$A$2:$B$13,2,0)</f>
        <v>Apparel</v>
      </c>
      <c r="K729">
        <v>10508</v>
      </c>
      <c r="L729" t="s">
        <v>1040</v>
      </c>
      <c r="M729" s="4">
        <v>43478</v>
      </c>
      <c r="N729" s="12">
        <f t="shared" si="34"/>
        <v>1</v>
      </c>
      <c r="O729" s="13">
        <f t="shared" si="35"/>
        <v>2019</v>
      </c>
      <c r="P729" t="s">
        <v>13</v>
      </c>
      <c r="Q729" t="s">
        <v>377</v>
      </c>
      <c r="R729" t="s">
        <v>57</v>
      </c>
      <c r="S729" t="str" cm="1">
        <f t="array" ref="S729">_xlfn.IFS(R729="COMPLETE", "COMPLETED", R729="CANCELED", "CANCELED", TRUE, "PENDING")</f>
        <v>PENDING</v>
      </c>
      <c r="T729" t="s">
        <v>58</v>
      </c>
      <c r="U729">
        <f>VLOOKUP(A729,ordered_items!$B:$E,4,0)</f>
        <v>129.99</v>
      </c>
    </row>
    <row r="730" spans="1:21" x14ac:dyDescent="0.3">
      <c r="A730">
        <v>25968</v>
      </c>
      <c r="B730" t="s">
        <v>51</v>
      </c>
      <c r="C730">
        <v>4</v>
      </c>
      <c r="D730">
        <v>4</v>
      </c>
      <c r="E730" t="str">
        <f t="shared" si="33"/>
        <v xml:space="preserve"> ONTIME</v>
      </c>
      <c r="F730">
        <f>VLOOKUP($A730,ordered_items!$B$2:$E$4784,2,0)</f>
        <v>403</v>
      </c>
      <c r="G730">
        <f>VLOOKUP($A730,ordered_items!$B$2:$E$4784,3,0)</f>
        <v>1</v>
      </c>
      <c r="H730">
        <f>VLOOKUP($A730,ordered_items!$B$2:$E$4784,4,0)</f>
        <v>129.99</v>
      </c>
      <c r="I730" s="15">
        <f>VLOOKUP(F730,product_info!$A$2:$D$73,4,0)</f>
        <v>4</v>
      </c>
      <c r="J730" s="15" t="str">
        <f>VLOOKUP(I730,department!$A$2:$B$13,2,0)</f>
        <v>Apparel</v>
      </c>
      <c r="K730">
        <v>10158</v>
      </c>
      <c r="L730" t="s">
        <v>383</v>
      </c>
      <c r="M730" s="4">
        <v>43479</v>
      </c>
      <c r="N730" s="12">
        <f t="shared" si="34"/>
        <v>1</v>
      </c>
      <c r="O730" s="13">
        <f t="shared" si="35"/>
        <v>2019</v>
      </c>
      <c r="P730" t="s">
        <v>13</v>
      </c>
      <c r="Q730" t="s">
        <v>5781</v>
      </c>
      <c r="R730" t="s">
        <v>57</v>
      </c>
      <c r="S730" t="str" cm="1">
        <f t="array" ref="S730">_xlfn.IFS(R730="COMPLETE", "COMPLETED", R730="CANCELED", "CANCELED", TRUE, "PENDING")</f>
        <v>PENDING</v>
      </c>
      <c r="T730" t="s">
        <v>16</v>
      </c>
      <c r="U730">
        <f>VLOOKUP(A730,ordered_items!$B:$E,4,0)</f>
        <v>129.99</v>
      </c>
    </row>
    <row r="731" spans="1:21" x14ac:dyDescent="0.3">
      <c r="A731">
        <v>25977</v>
      </c>
      <c r="B731" t="s">
        <v>3</v>
      </c>
      <c r="C731">
        <v>2</v>
      </c>
      <c r="D731">
        <v>1</v>
      </c>
      <c r="E731" t="str">
        <f t="shared" si="33"/>
        <v>DELAYED</v>
      </c>
      <c r="F731">
        <f>VLOOKUP($A731,ordered_items!$B$2:$E$4784,2,0)</f>
        <v>1004</v>
      </c>
      <c r="G731">
        <f>VLOOKUP($A731,ordered_items!$B$2:$E$4784,3,0)</f>
        <v>1</v>
      </c>
      <c r="H731">
        <f>VLOOKUP($A731,ordered_items!$B$2:$E$4784,4,0)</f>
        <v>399.98</v>
      </c>
      <c r="I731" s="15">
        <f>VLOOKUP(F731,product_info!$A$2:$D$73,4,0)</f>
        <v>7</v>
      </c>
      <c r="J731" s="15" t="str">
        <f>VLOOKUP(I731,department!$A$2:$B$13,2,0)</f>
        <v>Fan Shop</v>
      </c>
      <c r="K731">
        <v>9030</v>
      </c>
      <c r="L731" t="s">
        <v>357</v>
      </c>
      <c r="M731" s="4">
        <v>43479</v>
      </c>
      <c r="N731" s="12">
        <f t="shared" si="34"/>
        <v>1</v>
      </c>
      <c r="O731" s="13">
        <f t="shared" si="35"/>
        <v>2019</v>
      </c>
      <c r="P731" t="s">
        <v>13</v>
      </c>
      <c r="Q731" t="s">
        <v>203</v>
      </c>
      <c r="R731" t="s">
        <v>14</v>
      </c>
      <c r="S731" t="str" cm="1">
        <f t="array" ref="S731">_xlfn.IFS(R731="COMPLETE", "COMPLETED", R731="CANCELED", "CANCELED", TRUE, "PENDING")</f>
        <v>PENDING</v>
      </c>
      <c r="T731" t="s">
        <v>32</v>
      </c>
      <c r="U731">
        <f>VLOOKUP(A731,ordered_items!$B:$E,4,0)</f>
        <v>399.98</v>
      </c>
    </row>
    <row r="732" spans="1:21" x14ac:dyDescent="0.3">
      <c r="A732">
        <v>25979</v>
      </c>
      <c r="B732" t="s">
        <v>3</v>
      </c>
      <c r="C732">
        <v>5</v>
      </c>
      <c r="D732">
        <v>2</v>
      </c>
      <c r="E732" t="str">
        <f t="shared" si="33"/>
        <v>DELAYED</v>
      </c>
      <c r="F732">
        <f>VLOOKUP($A732,ordered_items!$B$2:$E$4784,2,0)</f>
        <v>191</v>
      </c>
      <c r="G732">
        <f>VLOOKUP($A732,ordered_items!$B$2:$E$4784,3,0)</f>
        <v>3</v>
      </c>
      <c r="H732">
        <f>VLOOKUP($A732,ordered_items!$B$2:$E$4784,4,0)</f>
        <v>299.97000000000003</v>
      </c>
      <c r="I732" s="15">
        <f>VLOOKUP(F732,product_info!$A$2:$D$73,4,0)</f>
        <v>3</v>
      </c>
      <c r="J732" s="15" t="str">
        <f>VLOOKUP(I732,department!$A$2:$B$13,2,0)</f>
        <v>Footwear</v>
      </c>
      <c r="K732">
        <v>8216</v>
      </c>
      <c r="L732" t="s">
        <v>357</v>
      </c>
      <c r="M732" s="4">
        <v>43479</v>
      </c>
      <c r="N732" s="12">
        <f t="shared" si="34"/>
        <v>1</v>
      </c>
      <c r="O732" s="13">
        <f t="shared" si="35"/>
        <v>2019</v>
      </c>
      <c r="P732" t="s">
        <v>13</v>
      </c>
      <c r="Q732" t="s">
        <v>203</v>
      </c>
      <c r="R732" t="s">
        <v>14</v>
      </c>
      <c r="S732" t="str" cm="1">
        <f t="array" ref="S732">_xlfn.IFS(R732="COMPLETE", "COMPLETED", R732="CANCELED", "CANCELED", TRUE, "PENDING")</f>
        <v>PENDING</v>
      </c>
      <c r="T732" t="s">
        <v>90</v>
      </c>
      <c r="U732">
        <f>VLOOKUP(A732,ordered_items!$B:$E,4,0)</f>
        <v>299.97000000000003</v>
      </c>
    </row>
    <row r="733" spans="1:21" x14ac:dyDescent="0.3">
      <c r="A733">
        <v>25980</v>
      </c>
      <c r="B733" t="s">
        <v>24</v>
      </c>
      <c r="C733">
        <v>2</v>
      </c>
      <c r="D733">
        <v>1</v>
      </c>
      <c r="E733" t="str">
        <f t="shared" si="33"/>
        <v>DELAYED</v>
      </c>
      <c r="F733">
        <f>VLOOKUP($A733,ordered_items!$B$2:$E$4784,2,0)</f>
        <v>1073</v>
      </c>
      <c r="G733">
        <f>VLOOKUP($A733,ordered_items!$B$2:$E$4784,3,0)</f>
        <v>1</v>
      </c>
      <c r="H733">
        <f>VLOOKUP($A733,ordered_items!$B$2:$E$4784,4,0)</f>
        <v>199.99</v>
      </c>
      <c r="I733" s="15">
        <f>VLOOKUP(F733,product_info!$A$2:$D$73,4,0)</f>
        <v>7</v>
      </c>
      <c r="J733" s="15" t="str">
        <f>VLOOKUP(I733,department!$A$2:$B$13,2,0)</f>
        <v>Fan Shop</v>
      </c>
      <c r="K733">
        <v>363</v>
      </c>
      <c r="L733" t="s">
        <v>357</v>
      </c>
      <c r="M733" s="4">
        <v>43479</v>
      </c>
      <c r="N733" s="12">
        <f t="shared" si="34"/>
        <v>1</v>
      </c>
      <c r="O733" s="13">
        <f t="shared" si="35"/>
        <v>2019</v>
      </c>
      <c r="P733" t="s">
        <v>13</v>
      </c>
      <c r="Q733" t="s">
        <v>203</v>
      </c>
      <c r="R733" t="s">
        <v>31</v>
      </c>
      <c r="S733" t="str" cm="1">
        <f t="array" ref="S733">_xlfn.IFS(R733="COMPLETE", "COMPLETED", R733="CANCELED", "CANCELED", TRUE, "PENDING")</f>
        <v>COMPLETED</v>
      </c>
      <c r="T733" t="s">
        <v>32</v>
      </c>
      <c r="U733">
        <f>VLOOKUP(A733,ordered_items!$B:$E,4,0)</f>
        <v>199.99</v>
      </c>
    </row>
    <row r="734" spans="1:21" x14ac:dyDescent="0.3">
      <c r="A734">
        <v>25999</v>
      </c>
      <c r="B734" t="s">
        <v>24</v>
      </c>
      <c r="C734">
        <v>5</v>
      </c>
      <c r="D734">
        <v>4</v>
      </c>
      <c r="E734" t="str">
        <f t="shared" si="33"/>
        <v>DELAYED</v>
      </c>
      <c r="F734">
        <f>VLOOKUP($A734,ordered_items!$B$2:$E$4784,2,0)</f>
        <v>1004</v>
      </c>
      <c r="G734">
        <f>VLOOKUP($A734,ordered_items!$B$2:$E$4784,3,0)</f>
        <v>1</v>
      </c>
      <c r="H734">
        <f>VLOOKUP($A734,ordered_items!$B$2:$E$4784,4,0)</f>
        <v>399.98</v>
      </c>
      <c r="I734" s="15">
        <f>VLOOKUP(F734,product_info!$A$2:$D$73,4,0)</f>
        <v>7</v>
      </c>
      <c r="J734" s="15" t="str">
        <f>VLOOKUP(I734,department!$A$2:$B$13,2,0)</f>
        <v>Fan Shop</v>
      </c>
      <c r="K734">
        <v>6921</v>
      </c>
      <c r="L734" t="s">
        <v>743</v>
      </c>
      <c r="M734" s="4">
        <v>43479</v>
      </c>
      <c r="N734" s="12">
        <f t="shared" si="34"/>
        <v>1</v>
      </c>
      <c r="O734" s="13">
        <f t="shared" si="35"/>
        <v>2019</v>
      </c>
      <c r="P734" t="s">
        <v>13</v>
      </c>
      <c r="Q734" t="s">
        <v>5780</v>
      </c>
      <c r="R734" t="s">
        <v>31</v>
      </c>
      <c r="S734" t="str" cm="1">
        <f t="array" ref="S734">_xlfn.IFS(R734="COMPLETE", "COMPLETED", R734="CANCELED", "CANCELED", TRUE, "PENDING")</f>
        <v>COMPLETED</v>
      </c>
      <c r="T734" t="s">
        <v>16</v>
      </c>
      <c r="U734">
        <f>VLOOKUP(A734,ordered_items!$B:$E,4,0)</f>
        <v>399.98</v>
      </c>
    </row>
    <row r="735" spans="1:21" x14ac:dyDescent="0.3">
      <c r="A735">
        <v>26003</v>
      </c>
      <c r="B735" t="s">
        <v>51</v>
      </c>
      <c r="C735">
        <v>4</v>
      </c>
      <c r="D735">
        <v>4</v>
      </c>
      <c r="E735" t="str">
        <f t="shared" si="33"/>
        <v xml:space="preserve"> ONTIME</v>
      </c>
      <c r="F735">
        <f>VLOOKUP($A735,ordered_items!$B$2:$E$4784,2,0)</f>
        <v>1014</v>
      </c>
      <c r="G735">
        <f>VLOOKUP($A735,ordered_items!$B$2:$E$4784,3,0)</f>
        <v>4</v>
      </c>
      <c r="H735">
        <f>VLOOKUP($A735,ordered_items!$B$2:$E$4784,4,0)</f>
        <v>199.92</v>
      </c>
      <c r="I735" s="15">
        <f>VLOOKUP(F735,product_info!$A$2:$D$73,4,0)</f>
        <v>7</v>
      </c>
      <c r="J735" s="15" t="str">
        <f>VLOOKUP(I735,department!$A$2:$B$13,2,0)</f>
        <v>Fan Shop</v>
      </c>
      <c r="K735">
        <v>2567</v>
      </c>
      <c r="L735" t="s">
        <v>214</v>
      </c>
      <c r="M735" s="4">
        <v>43479</v>
      </c>
      <c r="N735" s="12">
        <f t="shared" si="34"/>
        <v>1</v>
      </c>
      <c r="O735" s="13">
        <f t="shared" si="35"/>
        <v>2019</v>
      </c>
      <c r="P735" t="s">
        <v>13</v>
      </c>
      <c r="Q735" t="s">
        <v>5781</v>
      </c>
      <c r="R735" t="s">
        <v>57</v>
      </c>
      <c r="S735" t="str" cm="1">
        <f t="array" ref="S735">_xlfn.IFS(R735="COMPLETE", "COMPLETED", R735="CANCELED", "CANCELED", TRUE, "PENDING")</f>
        <v>PENDING</v>
      </c>
      <c r="T735" t="s">
        <v>16</v>
      </c>
      <c r="U735">
        <f>VLOOKUP(A735,ordered_items!$B:$E,4,0)</f>
        <v>199.92</v>
      </c>
    </row>
    <row r="736" spans="1:21" x14ac:dyDescent="0.3">
      <c r="A736">
        <v>26006</v>
      </c>
      <c r="B736" t="s">
        <v>17</v>
      </c>
      <c r="C736">
        <v>2</v>
      </c>
      <c r="D736">
        <v>4</v>
      </c>
      <c r="E736" t="str">
        <f t="shared" si="33"/>
        <v xml:space="preserve"> ONTIME</v>
      </c>
      <c r="F736">
        <f>VLOOKUP($A736,ordered_items!$B$2:$E$4784,2,0)</f>
        <v>1004</v>
      </c>
      <c r="G736">
        <f>VLOOKUP($A736,ordered_items!$B$2:$E$4784,3,0)</f>
        <v>1</v>
      </c>
      <c r="H736">
        <f>VLOOKUP($A736,ordered_items!$B$2:$E$4784,4,0)</f>
        <v>399.98</v>
      </c>
      <c r="I736" s="15">
        <f>VLOOKUP(F736,product_info!$A$2:$D$73,4,0)</f>
        <v>7</v>
      </c>
      <c r="J736" s="15" t="str">
        <f>VLOOKUP(I736,department!$A$2:$B$13,2,0)</f>
        <v>Fan Shop</v>
      </c>
      <c r="K736">
        <v>7999</v>
      </c>
      <c r="L736" t="s">
        <v>660</v>
      </c>
      <c r="M736" s="4">
        <v>43479</v>
      </c>
      <c r="N736" s="12">
        <f t="shared" si="34"/>
        <v>1</v>
      </c>
      <c r="O736" s="13">
        <f t="shared" si="35"/>
        <v>2019</v>
      </c>
      <c r="P736" t="s">
        <v>13</v>
      </c>
      <c r="Q736" t="s">
        <v>99</v>
      </c>
      <c r="R736" t="s">
        <v>23</v>
      </c>
      <c r="S736" t="str" cm="1">
        <f t="array" ref="S736">_xlfn.IFS(R736="COMPLETE", "COMPLETED", R736="CANCELED", "CANCELED", TRUE, "PENDING")</f>
        <v>PENDING</v>
      </c>
      <c r="T736" t="s">
        <v>16</v>
      </c>
      <c r="U736">
        <f>VLOOKUP(A736,ordered_items!$B:$E,4,0)</f>
        <v>399.98</v>
      </c>
    </row>
    <row r="737" spans="1:21" x14ac:dyDescent="0.3">
      <c r="A737">
        <v>26007</v>
      </c>
      <c r="B737" t="s">
        <v>3</v>
      </c>
      <c r="C737">
        <v>3</v>
      </c>
      <c r="D737">
        <v>4</v>
      </c>
      <c r="E737" t="str">
        <f t="shared" si="33"/>
        <v xml:space="preserve"> ONTIME</v>
      </c>
      <c r="F737">
        <f>VLOOKUP($A737,ordered_items!$B$2:$E$4784,2,0)</f>
        <v>403</v>
      </c>
      <c r="G737">
        <f>VLOOKUP($A737,ordered_items!$B$2:$E$4784,3,0)</f>
        <v>1</v>
      </c>
      <c r="H737">
        <f>VLOOKUP($A737,ordered_items!$B$2:$E$4784,4,0)</f>
        <v>129.99</v>
      </c>
      <c r="I737" s="15">
        <f>VLOOKUP(F737,product_info!$A$2:$D$73,4,0)</f>
        <v>4</v>
      </c>
      <c r="J737" s="15" t="str">
        <f>VLOOKUP(I737,department!$A$2:$B$13,2,0)</f>
        <v>Apparel</v>
      </c>
      <c r="K737">
        <v>6903</v>
      </c>
      <c r="L737" t="s">
        <v>660</v>
      </c>
      <c r="M737" s="4">
        <v>43479</v>
      </c>
      <c r="N737" s="12">
        <f t="shared" si="34"/>
        <v>1</v>
      </c>
      <c r="O737" s="13">
        <f t="shared" si="35"/>
        <v>2019</v>
      </c>
      <c r="P737" t="s">
        <v>13</v>
      </c>
      <c r="Q737" t="s">
        <v>99</v>
      </c>
      <c r="R737" t="s">
        <v>14</v>
      </c>
      <c r="S737" t="str" cm="1">
        <f t="array" ref="S737">_xlfn.IFS(R737="COMPLETE", "COMPLETED", R737="CANCELED", "CANCELED", TRUE, "PENDING")</f>
        <v>PENDING</v>
      </c>
      <c r="T737" t="s">
        <v>16</v>
      </c>
      <c r="U737">
        <f>VLOOKUP(A737,ordered_items!$B:$E,4,0)</f>
        <v>129.99</v>
      </c>
    </row>
    <row r="738" spans="1:21" x14ac:dyDescent="0.3">
      <c r="A738">
        <v>26014</v>
      </c>
      <c r="B738" t="s">
        <v>3</v>
      </c>
      <c r="C738">
        <v>2</v>
      </c>
      <c r="D738">
        <v>1</v>
      </c>
      <c r="E738" t="str">
        <f t="shared" si="33"/>
        <v>DELAYED</v>
      </c>
      <c r="F738">
        <f>VLOOKUP($A738,ordered_items!$B$2:$E$4784,2,0)</f>
        <v>1004</v>
      </c>
      <c r="G738">
        <f>VLOOKUP($A738,ordered_items!$B$2:$E$4784,3,0)</f>
        <v>1</v>
      </c>
      <c r="H738">
        <f>VLOOKUP($A738,ordered_items!$B$2:$E$4784,4,0)</f>
        <v>399.98</v>
      </c>
      <c r="I738" s="15">
        <f>VLOOKUP(F738,product_info!$A$2:$D$73,4,0)</f>
        <v>7</v>
      </c>
      <c r="J738" s="15" t="str">
        <f>VLOOKUP(I738,department!$A$2:$B$13,2,0)</f>
        <v>Fan Shop</v>
      </c>
      <c r="K738">
        <v>10006</v>
      </c>
      <c r="L738" t="s">
        <v>262</v>
      </c>
      <c r="M738" s="4">
        <v>43479</v>
      </c>
      <c r="N738" s="12">
        <f t="shared" si="34"/>
        <v>1</v>
      </c>
      <c r="O738" s="13">
        <f t="shared" si="35"/>
        <v>2019</v>
      </c>
      <c r="P738" t="s">
        <v>13</v>
      </c>
      <c r="Q738" t="s">
        <v>30</v>
      </c>
      <c r="R738" t="s">
        <v>178</v>
      </c>
      <c r="S738" t="str" cm="1">
        <f t="array" ref="S738">_xlfn.IFS(R738="COMPLETE", "COMPLETED", R738="CANCELED", "CANCELED", TRUE, "PENDING")</f>
        <v>PENDING</v>
      </c>
      <c r="T738" t="s">
        <v>32</v>
      </c>
      <c r="U738">
        <f>VLOOKUP(A738,ordered_items!$B:$E,4,0)</f>
        <v>399.98</v>
      </c>
    </row>
    <row r="739" spans="1:21" x14ac:dyDescent="0.3">
      <c r="A739">
        <v>26015</v>
      </c>
      <c r="B739" t="s">
        <v>3</v>
      </c>
      <c r="C739">
        <v>2</v>
      </c>
      <c r="D739">
        <v>1</v>
      </c>
      <c r="E739" t="str">
        <f t="shared" si="33"/>
        <v>DELAYED</v>
      </c>
      <c r="F739">
        <f>VLOOKUP($A739,ordered_items!$B$2:$E$4784,2,0)</f>
        <v>365</v>
      </c>
      <c r="G739">
        <f>VLOOKUP($A739,ordered_items!$B$2:$E$4784,3,0)</f>
        <v>1</v>
      </c>
      <c r="H739">
        <f>VLOOKUP($A739,ordered_items!$B$2:$E$4784,4,0)</f>
        <v>59.99</v>
      </c>
      <c r="I739" s="15">
        <f>VLOOKUP(F739,product_info!$A$2:$D$73,4,0)</f>
        <v>4</v>
      </c>
      <c r="J739" s="15" t="str">
        <f>VLOOKUP(I739,department!$A$2:$B$13,2,0)</f>
        <v>Apparel</v>
      </c>
      <c r="K739">
        <v>5321</v>
      </c>
      <c r="L739" t="s">
        <v>262</v>
      </c>
      <c r="M739" s="4">
        <v>43479</v>
      </c>
      <c r="N739" s="12">
        <f t="shared" si="34"/>
        <v>1</v>
      </c>
      <c r="O739" s="13">
        <f t="shared" si="35"/>
        <v>2019</v>
      </c>
      <c r="P739" t="s">
        <v>13</v>
      </c>
      <c r="Q739" t="s">
        <v>30</v>
      </c>
      <c r="R739" t="s">
        <v>14</v>
      </c>
      <c r="S739" t="str" cm="1">
        <f t="array" ref="S739">_xlfn.IFS(R739="COMPLETE", "COMPLETED", R739="CANCELED", "CANCELED", TRUE, "PENDING")</f>
        <v>PENDING</v>
      </c>
      <c r="T739" t="s">
        <v>32</v>
      </c>
      <c r="U739">
        <f>VLOOKUP(A739,ordered_items!$B:$E,4,0)</f>
        <v>59.99</v>
      </c>
    </row>
    <row r="740" spans="1:21" x14ac:dyDescent="0.3">
      <c r="A740">
        <v>26016</v>
      </c>
      <c r="B740" t="s">
        <v>24</v>
      </c>
      <c r="C740">
        <v>2</v>
      </c>
      <c r="D740">
        <v>2</v>
      </c>
      <c r="E740" t="str">
        <f t="shared" si="33"/>
        <v xml:space="preserve"> ONTIME</v>
      </c>
      <c r="F740">
        <f>VLOOKUP($A740,ordered_items!$B$2:$E$4784,2,0)</f>
        <v>403</v>
      </c>
      <c r="G740">
        <f>VLOOKUP($A740,ordered_items!$B$2:$E$4784,3,0)</f>
        <v>1</v>
      </c>
      <c r="H740">
        <f>VLOOKUP($A740,ordered_items!$B$2:$E$4784,4,0)</f>
        <v>129.99</v>
      </c>
      <c r="I740" s="15">
        <f>VLOOKUP(F740,product_info!$A$2:$D$73,4,0)</f>
        <v>4</v>
      </c>
      <c r="J740" s="15" t="str">
        <f>VLOOKUP(I740,department!$A$2:$B$13,2,0)</f>
        <v>Apparel</v>
      </c>
      <c r="K740">
        <v>12394</v>
      </c>
      <c r="L740" t="s">
        <v>262</v>
      </c>
      <c r="M740" s="4">
        <v>43479</v>
      </c>
      <c r="N740" s="12">
        <f t="shared" si="34"/>
        <v>1</v>
      </c>
      <c r="O740" s="13">
        <f t="shared" si="35"/>
        <v>2019</v>
      </c>
      <c r="P740" t="s">
        <v>13</v>
      </c>
      <c r="Q740" t="s">
        <v>30</v>
      </c>
      <c r="R740" t="s">
        <v>31</v>
      </c>
      <c r="S740" t="str" cm="1">
        <f t="array" ref="S740">_xlfn.IFS(R740="COMPLETE", "COMPLETED", R740="CANCELED", "CANCELED", TRUE, "PENDING")</f>
        <v>COMPLETED</v>
      </c>
      <c r="T740" t="s">
        <v>90</v>
      </c>
      <c r="U740">
        <f>VLOOKUP(A740,ordered_items!$B:$E,4,0)</f>
        <v>129.99</v>
      </c>
    </row>
    <row r="741" spans="1:21" x14ac:dyDescent="0.3">
      <c r="A741">
        <v>26018</v>
      </c>
      <c r="B741" t="s">
        <v>51</v>
      </c>
      <c r="C741">
        <v>4</v>
      </c>
      <c r="D741">
        <v>4</v>
      </c>
      <c r="E741" t="str">
        <f t="shared" si="33"/>
        <v xml:space="preserve"> ONTIME</v>
      </c>
      <c r="F741">
        <f>VLOOKUP($A741,ordered_items!$B$2:$E$4784,2,0)</f>
        <v>403</v>
      </c>
      <c r="G741">
        <f>VLOOKUP($A741,ordered_items!$B$2:$E$4784,3,0)</f>
        <v>1</v>
      </c>
      <c r="H741">
        <f>VLOOKUP($A741,ordered_items!$B$2:$E$4784,4,0)</f>
        <v>129.99</v>
      </c>
      <c r="I741" s="15">
        <f>VLOOKUP(F741,product_info!$A$2:$D$73,4,0)</f>
        <v>4</v>
      </c>
      <c r="J741" s="15" t="str">
        <f>VLOOKUP(I741,department!$A$2:$B$13,2,0)</f>
        <v>Apparel</v>
      </c>
      <c r="K741">
        <v>7547</v>
      </c>
      <c r="L741" t="s">
        <v>502</v>
      </c>
      <c r="M741" s="4">
        <v>43479</v>
      </c>
      <c r="N741" s="12">
        <f t="shared" si="34"/>
        <v>1</v>
      </c>
      <c r="O741" s="13">
        <f t="shared" si="35"/>
        <v>2019</v>
      </c>
      <c r="P741" t="s">
        <v>13</v>
      </c>
      <c r="Q741" t="s">
        <v>377</v>
      </c>
      <c r="R741" t="s">
        <v>57</v>
      </c>
      <c r="S741" t="str" cm="1">
        <f t="array" ref="S741">_xlfn.IFS(R741="COMPLETE", "COMPLETED", R741="CANCELED", "CANCELED", TRUE, "PENDING")</f>
        <v>PENDING</v>
      </c>
      <c r="T741" t="s">
        <v>16</v>
      </c>
      <c r="U741">
        <f>VLOOKUP(A741,ordered_items!$B:$E,4,0)</f>
        <v>129.99</v>
      </c>
    </row>
    <row r="742" spans="1:21" x14ac:dyDescent="0.3">
      <c r="A742">
        <v>26019</v>
      </c>
      <c r="B742" t="s">
        <v>3</v>
      </c>
      <c r="C742">
        <v>5</v>
      </c>
      <c r="D742">
        <v>4</v>
      </c>
      <c r="E742" t="str">
        <f t="shared" si="33"/>
        <v>DELAYED</v>
      </c>
      <c r="F742">
        <f>VLOOKUP($A742,ordered_items!$B$2:$E$4784,2,0)</f>
        <v>403</v>
      </c>
      <c r="G742">
        <f>VLOOKUP($A742,ordered_items!$B$2:$E$4784,3,0)</f>
        <v>1</v>
      </c>
      <c r="H742">
        <f>VLOOKUP($A742,ordered_items!$B$2:$E$4784,4,0)</f>
        <v>129.99</v>
      </c>
      <c r="I742" s="15">
        <f>VLOOKUP(F742,product_info!$A$2:$D$73,4,0)</f>
        <v>4</v>
      </c>
      <c r="J742" s="15" t="str">
        <f>VLOOKUP(I742,department!$A$2:$B$13,2,0)</f>
        <v>Apparel</v>
      </c>
      <c r="K742">
        <v>2590</v>
      </c>
      <c r="L742" t="s">
        <v>502</v>
      </c>
      <c r="M742" s="4">
        <v>43479</v>
      </c>
      <c r="N742" s="12">
        <f t="shared" si="34"/>
        <v>1</v>
      </c>
      <c r="O742" s="13">
        <f t="shared" si="35"/>
        <v>2019</v>
      </c>
      <c r="P742" t="s">
        <v>13</v>
      </c>
      <c r="Q742" t="s">
        <v>377</v>
      </c>
      <c r="R742" t="s">
        <v>178</v>
      </c>
      <c r="S742" t="str" cm="1">
        <f t="array" ref="S742">_xlfn.IFS(R742="COMPLETE", "COMPLETED", R742="CANCELED", "CANCELED", TRUE, "PENDING")</f>
        <v>PENDING</v>
      </c>
      <c r="T742" t="s">
        <v>16</v>
      </c>
      <c r="U742">
        <f>VLOOKUP(A742,ordered_items!$B:$E,4,0)</f>
        <v>129.99</v>
      </c>
    </row>
    <row r="743" spans="1:21" x14ac:dyDescent="0.3">
      <c r="A743">
        <v>26020</v>
      </c>
      <c r="B743" t="s">
        <v>17</v>
      </c>
      <c r="C743">
        <v>6</v>
      </c>
      <c r="D743">
        <v>4</v>
      </c>
      <c r="E743" t="str">
        <f t="shared" si="33"/>
        <v>DELAYED</v>
      </c>
      <c r="F743">
        <f>VLOOKUP($A743,ordered_items!$B$2:$E$4784,2,0)</f>
        <v>135</v>
      </c>
      <c r="G743">
        <f>VLOOKUP($A743,ordered_items!$B$2:$E$4784,3,0)</f>
        <v>5</v>
      </c>
      <c r="H743">
        <f>VLOOKUP($A743,ordered_items!$B$2:$E$4784,4,0)</f>
        <v>110</v>
      </c>
      <c r="I743" s="15">
        <f>VLOOKUP(F743,product_info!$A$2:$D$73,4,0)</f>
        <v>2</v>
      </c>
      <c r="J743" s="15" t="str">
        <f>VLOOKUP(I743,department!$A$2:$B$13,2,0)</f>
        <v>Fitness</v>
      </c>
      <c r="K743">
        <v>7481</v>
      </c>
      <c r="L743" t="s">
        <v>502</v>
      </c>
      <c r="M743" s="4">
        <v>43479</v>
      </c>
      <c r="N743" s="12">
        <f t="shared" si="34"/>
        <v>1</v>
      </c>
      <c r="O743" s="13">
        <f t="shared" si="35"/>
        <v>2019</v>
      </c>
      <c r="P743" t="s">
        <v>13</v>
      </c>
      <c r="Q743" t="s">
        <v>377</v>
      </c>
      <c r="R743" t="s">
        <v>23</v>
      </c>
      <c r="S743" t="str" cm="1">
        <f t="array" ref="S743">_xlfn.IFS(R743="COMPLETE", "COMPLETED", R743="CANCELED", "CANCELED", TRUE, "PENDING")</f>
        <v>PENDING</v>
      </c>
      <c r="T743" t="s">
        <v>16</v>
      </c>
      <c r="U743">
        <f>VLOOKUP(A743,ordered_items!$B:$E,4,0)</f>
        <v>110</v>
      </c>
    </row>
    <row r="744" spans="1:21" x14ac:dyDescent="0.3">
      <c r="A744">
        <v>26032</v>
      </c>
      <c r="B744" t="s">
        <v>24</v>
      </c>
      <c r="C744">
        <v>3</v>
      </c>
      <c r="D744">
        <v>2</v>
      </c>
      <c r="E744" t="str">
        <f t="shared" si="33"/>
        <v>DELAYED</v>
      </c>
      <c r="F744">
        <f>VLOOKUP($A744,ordered_items!$B$2:$E$4784,2,0)</f>
        <v>403</v>
      </c>
      <c r="G744">
        <f>VLOOKUP($A744,ordered_items!$B$2:$E$4784,3,0)</f>
        <v>1</v>
      </c>
      <c r="H744">
        <f>VLOOKUP($A744,ordered_items!$B$2:$E$4784,4,0)</f>
        <v>129.99</v>
      </c>
      <c r="I744" s="15">
        <f>VLOOKUP(F744,product_info!$A$2:$D$73,4,0)</f>
        <v>4</v>
      </c>
      <c r="J744" s="15" t="str">
        <f>VLOOKUP(I744,department!$A$2:$B$13,2,0)</f>
        <v>Apparel</v>
      </c>
      <c r="K744">
        <v>2424</v>
      </c>
      <c r="L744" t="s">
        <v>867</v>
      </c>
      <c r="M744" s="4">
        <v>43479</v>
      </c>
      <c r="N744" s="12">
        <f t="shared" si="34"/>
        <v>1</v>
      </c>
      <c r="O744" s="13">
        <f t="shared" si="35"/>
        <v>2019</v>
      </c>
      <c r="P744" t="s">
        <v>13</v>
      </c>
      <c r="Q744" t="s">
        <v>5778</v>
      </c>
      <c r="R744" t="s">
        <v>31</v>
      </c>
      <c r="S744" t="str" cm="1">
        <f t="array" ref="S744">_xlfn.IFS(R744="COMPLETE", "COMPLETED", R744="CANCELED", "CANCELED", TRUE, "PENDING")</f>
        <v>COMPLETED</v>
      </c>
      <c r="T744" t="s">
        <v>90</v>
      </c>
      <c r="U744">
        <f>VLOOKUP(A744,ordered_items!$B:$E,4,0)</f>
        <v>129.99</v>
      </c>
    </row>
    <row r="745" spans="1:21" x14ac:dyDescent="0.3">
      <c r="A745">
        <v>26061</v>
      </c>
      <c r="B745" t="s">
        <v>24</v>
      </c>
      <c r="C745">
        <v>2</v>
      </c>
      <c r="D745">
        <v>4</v>
      </c>
      <c r="E745" t="str">
        <f t="shared" si="33"/>
        <v xml:space="preserve"> ONTIME</v>
      </c>
      <c r="F745">
        <f>VLOOKUP($A745,ordered_items!$B$2:$E$4784,2,0)</f>
        <v>191</v>
      </c>
      <c r="G745">
        <f>VLOOKUP($A745,ordered_items!$B$2:$E$4784,3,0)</f>
        <v>3</v>
      </c>
      <c r="H745">
        <f>VLOOKUP($A745,ordered_items!$B$2:$E$4784,4,0)</f>
        <v>299.97000000000003</v>
      </c>
      <c r="I745" s="15">
        <f>VLOOKUP(F745,product_info!$A$2:$D$73,4,0)</f>
        <v>3</v>
      </c>
      <c r="J745" s="15" t="str">
        <f>VLOOKUP(I745,department!$A$2:$B$13,2,0)</f>
        <v>Footwear</v>
      </c>
      <c r="K745">
        <v>7996</v>
      </c>
      <c r="L745" t="s">
        <v>1099</v>
      </c>
      <c r="M745" s="4">
        <v>43480</v>
      </c>
      <c r="N745" s="12">
        <f t="shared" si="34"/>
        <v>1</v>
      </c>
      <c r="O745" s="13">
        <f t="shared" si="35"/>
        <v>2019</v>
      </c>
      <c r="P745" t="s">
        <v>13</v>
      </c>
      <c r="Q745" t="s">
        <v>245</v>
      </c>
      <c r="R745" t="s">
        <v>31</v>
      </c>
      <c r="S745" t="str" cm="1">
        <f t="array" ref="S745">_xlfn.IFS(R745="COMPLETE", "COMPLETED", R745="CANCELED", "CANCELED", TRUE, "PENDING")</f>
        <v>COMPLETED</v>
      </c>
      <c r="T745" t="s">
        <v>16</v>
      </c>
      <c r="U745">
        <f>VLOOKUP(A745,ordered_items!$B:$E,4,0)</f>
        <v>299.97000000000003</v>
      </c>
    </row>
    <row r="746" spans="1:21" x14ac:dyDescent="0.3">
      <c r="A746">
        <v>26066</v>
      </c>
      <c r="B746" t="s">
        <v>24</v>
      </c>
      <c r="C746">
        <v>2</v>
      </c>
      <c r="D746">
        <v>2</v>
      </c>
      <c r="E746" t="str">
        <f t="shared" si="33"/>
        <v xml:space="preserve"> ONTIME</v>
      </c>
      <c r="F746">
        <f>VLOOKUP($A746,ordered_items!$B$2:$E$4784,2,0)</f>
        <v>957</v>
      </c>
      <c r="G746">
        <f>VLOOKUP($A746,ordered_items!$B$2:$E$4784,3,0)</f>
        <v>1</v>
      </c>
      <c r="H746">
        <f>VLOOKUP($A746,ordered_items!$B$2:$E$4784,4,0)</f>
        <v>299.98</v>
      </c>
      <c r="I746" s="15">
        <f>VLOOKUP(F746,product_info!$A$2:$D$73,4,0)</f>
        <v>7</v>
      </c>
      <c r="J746" s="15" t="str">
        <f>VLOOKUP(I746,department!$A$2:$B$13,2,0)</f>
        <v>Fan Shop</v>
      </c>
      <c r="K746">
        <v>5951</v>
      </c>
      <c r="L746" t="s">
        <v>84</v>
      </c>
      <c r="M746" s="4">
        <v>43480</v>
      </c>
      <c r="N746" s="12">
        <f t="shared" si="34"/>
        <v>1</v>
      </c>
      <c r="O746" s="13">
        <f t="shared" si="35"/>
        <v>2019</v>
      </c>
      <c r="P746" t="s">
        <v>13</v>
      </c>
      <c r="Q746" t="s">
        <v>80</v>
      </c>
      <c r="R746" t="s">
        <v>31</v>
      </c>
      <c r="S746" t="str" cm="1">
        <f t="array" ref="S746">_xlfn.IFS(R746="COMPLETE", "COMPLETED", R746="CANCELED", "CANCELED", TRUE, "PENDING")</f>
        <v>COMPLETED</v>
      </c>
      <c r="T746" t="s">
        <v>90</v>
      </c>
      <c r="U746">
        <f>VLOOKUP(A746,ordered_items!$B:$E,4,0)</f>
        <v>299.98</v>
      </c>
    </row>
    <row r="747" spans="1:21" x14ac:dyDescent="0.3">
      <c r="A747">
        <v>26067</v>
      </c>
      <c r="B747" t="s">
        <v>17</v>
      </c>
      <c r="C747">
        <v>2</v>
      </c>
      <c r="D747">
        <v>1</v>
      </c>
      <c r="E747" t="str">
        <f t="shared" si="33"/>
        <v>DELAYED</v>
      </c>
      <c r="F747">
        <f>VLOOKUP($A747,ordered_items!$B$2:$E$4784,2,0)</f>
        <v>403</v>
      </c>
      <c r="G747">
        <f>VLOOKUP($A747,ordered_items!$B$2:$E$4784,3,0)</f>
        <v>1</v>
      </c>
      <c r="H747">
        <f>VLOOKUP($A747,ordered_items!$B$2:$E$4784,4,0)</f>
        <v>129.99</v>
      </c>
      <c r="I747" s="15">
        <f>VLOOKUP(F747,product_info!$A$2:$D$73,4,0)</f>
        <v>4</v>
      </c>
      <c r="J747" s="15" t="str">
        <f>VLOOKUP(I747,department!$A$2:$B$13,2,0)</f>
        <v>Apparel</v>
      </c>
      <c r="K747">
        <v>11849</v>
      </c>
      <c r="L747" t="s">
        <v>84</v>
      </c>
      <c r="M747" s="4">
        <v>43480</v>
      </c>
      <c r="N747" s="12">
        <f t="shared" si="34"/>
        <v>1</v>
      </c>
      <c r="O747" s="13">
        <f t="shared" si="35"/>
        <v>2019</v>
      </c>
      <c r="P747" t="s">
        <v>13</v>
      </c>
      <c r="Q747" t="s">
        <v>80</v>
      </c>
      <c r="R747" t="s">
        <v>23</v>
      </c>
      <c r="S747" t="str" cm="1">
        <f t="array" ref="S747">_xlfn.IFS(R747="COMPLETE", "COMPLETED", R747="CANCELED", "CANCELED", TRUE, "PENDING")</f>
        <v>PENDING</v>
      </c>
      <c r="T747" t="s">
        <v>32</v>
      </c>
      <c r="U747">
        <f>VLOOKUP(A747,ordered_items!$B:$E,4,0)</f>
        <v>129.99</v>
      </c>
    </row>
    <row r="748" spans="1:21" x14ac:dyDescent="0.3">
      <c r="A748">
        <v>26100</v>
      </c>
      <c r="B748" t="s">
        <v>24</v>
      </c>
      <c r="C748">
        <v>6</v>
      </c>
      <c r="D748">
        <v>4</v>
      </c>
      <c r="E748" t="str">
        <f t="shared" si="33"/>
        <v>DELAYED</v>
      </c>
      <c r="F748">
        <f>VLOOKUP($A748,ordered_items!$B$2:$E$4784,2,0)</f>
        <v>771</v>
      </c>
      <c r="G748">
        <f>VLOOKUP($A748,ordered_items!$B$2:$E$4784,3,0)</f>
        <v>2</v>
      </c>
      <c r="H748">
        <f>VLOOKUP($A748,ordered_items!$B$2:$E$4784,4,0)</f>
        <v>79.98</v>
      </c>
      <c r="I748" s="15">
        <f>VLOOKUP(F748,product_info!$A$2:$D$73,4,0)</f>
        <v>6</v>
      </c>
      <c r="J748" s="15" t="str">
        <f>VLOOKUP(I748,department!$A$2:$B$13,2,0)</f>
        <v>Outdoors</v>
      </c>
      <c r="K748">
        <v>7434</v>
      </c>
      <c r="L748" t="s">
        <v>327</v>
      </c>
      <c r="M748" s="4">
        <v>43480</v>
      </c>
      <c r="N748" s="12">
        <f t="shared" si="34"/>
        <v>1</v>
      </c>
      <c r="O748" s="13">
        <f t="shared" si="35"/>
        <v>2019</v>
      </c>
      <c r="P748" t="s">
        <v>13</v>
      </c>
      <c r="Q748" t="s">
        <v>227</v>
      </c>
      <c r="R748" t="s">
        <v>31</v>
      </c>
      <c r="S748" t="str" cm="1">
        <f t="array" ref="S748">_xlfn.IFS(R748="COMPLETE", "COMPLETED", R748="CANCELED", "CANCELED", TRUE, "PENDING")</f>
        <v>COMPLETED</v>
      </c>
      <c r="T748" t="s">
        <v>16</v>
      </c>
      <c r="U748">
        <f>VLOOKUP(A748,ordered_items!$B:$E,4,0)</f>
        <v>79.98</v>
      </c>
    </row>
    <row r="749" spans="1:21" x14ac:dyDescent="0.3">
      <c r="A749">
        <v>26101</v>
      </c>
      <c r="B749" t="s">
        <v>24</v>
      </c>
      <c r="C749">
        <v>2</v>
      </c>
      <c r="D749">
        <v>4</v>
      </c>
      <c r="E749" t="str">
        <f t="shared" si="33"/>
        <v xml:space="preserve"> ONTIME</v>
      </c>
      <c r="F749">
        <f>VLOOKUP($A749,ordered_items!$B$2:$E$4784,2,0)</f>
        <v>1073</v>
      </c>
      <c r="G749">
        <f>VLOOKUP($A749,ordered_items!$B$2:$E$4784,3,0)</f>
        <v>1</v>
      </c>
      <c r="H749">
        <f>VLOOKUP($A749,ordered_items!$B$2:$E$4784,4,0)</f>
        <v>199.99</v>
      </c>
      <c r="I749" s="15">
        <f>VLOOKUP(F749,product_info!$A$2:$D$73,4,0)</f>
        <v>7</v>
      </c>
      <c r="J749" s="15" t="str">
        <f>VLOOKUP(I749,department!$A$2:$B$13,2,0)</f>
        <v>Fan Shop</v>
      </c>
      <c r="K749">
        <v>6244</v>
      </c>
      <c r="L749" t="s">
        <v>1099</v>
      </c>
      <c r="M749" s="4">
        <v>43480</v>
      </c>
      <c r="N749" s="12">
        <f t="shared" si="34"/>
        <v>1</v>
      </c>
      <c r="O749" s="13">
        <f t="shared" si="35"/>
        <v>2019</v>
      </c>
      <c r="P749" t="s">
        <v>13</v>
      </c>
      <c r="Q749" t="s">
        <v>245</v>
      </c>
      <c r="R749" t="s">
        <v>31</v>
      </c>
      <c r="S749" t="str" cm="1">
        <f t="array" ref="S749">_xlfn.IFS(R749="COMPLETE", "COMPLETED", R749="CANCELED", "CANCELED", TRUE, "PENDING")</f>
        <v>COMPLETED</v>
      </c>
      <c r="T749" t="s">
        <v>16</v>
      </c>
      <c r="U749">
        <f>VLOOKUP(A749,ordered_items!$B:$E,4,0)</f>
        <v>199.99</v>
      </c>
    </row>
    <row r="750" spans="1:21" x14ac:dyDescent="0.3">
      <c r="A750">
        <v>26108</v>
      </c>
      <c r="B750" t="s">
        <v>24</v>
      </c>
      <c r="C750">
        <v>4</v>
      </c>
      <c r="D750">
        <v>2</v>
      </c>
      <c r="E750" t="str">
        <f t="shared" si="33"/>
        <v>DELAYED</v>
      </c>
      <c r="F750">
        <f>VLOOKUP($A750,ordered_items!$B$2:$E$4784,2,0)</f>
        <v>502</v>
      </c>
      <c r="G750">
        <f>VLOOKUP($A750,ordered_items!$B$2:$E$4784,3,0)</f>
        <v>1</v>
      </c>
      <c r="H750">
        <f>VLOOKUP($A750,ordered_items!$B$2:$E$4784,4,0)</f>
        <v>50</v>
      </c>
      <c r="I750" s="15">
        <f>VLOOKUP(F750,product_info!$A$2:$D$73,4,0)</f>
        <v>5</v>
      </c>
      <c r="J750" s="15" t="str">
        <f>VLOOKUP(I750,department!$A$2:$B$13,2,0)</f>
        <v>Golf</v>
      </c>
      <c r="K750">
        <v>1225</v>
      </c>
      <c r="L750" t="s">
        <v>921</v>
      </c>
      <c r="M750" s="4">
        <v>43481</v>
      </c>
      <c r="N750" s="12">
        <f t="shared" si="34"/>
        <v>1</v>
      </c>
      <c r="O750" s="13">
        <f t="shared" si="35"/>
        <v>2019</v>
      </c>
      <c r="P750" t="s">
        <v>13</v>
      </c>
      <c r="Q750" t="s">
        <v>99</v>
      </c>
      <c r="R750" t="s">
        <v>31</v>
      </c>
      <c r="S750" t="str" cm="1">
        <f t="array" ref="S750">_xlfn.IFS(R750="COMPLETE", "COMPLETED", R750="CANCELED", "CANCELED", TRUE, "PENDING")</f>
        <v>COMPLETED</v>
      </c>
      <c r="T750" t="s">
        <v>90</v>
      </c>
      <c r="U750">
        <f>VLOOKUP(A750,ordered_items!$B:$E,4,0)</f>
        <v>50</v>
      </c>
    </row>
    <row r="751" spans="1:21" x14ac:dyDescent="0.3">
      <c r="A751">
        <v>26110</v>
      </c>
      <c r="B751" t="s">
        <v>24</v>
      </c>
      <c r="C751">
        <v>6</v>
      </c>
      <c r="D751">
        <v>2</v>
      </c>
      <c r="E751" t="str">
        <f t="shared" si="33"/>
        <v>DELAYED</v>
      </c>
      <c r="F751">
        <f>VLOOKUP($A751,ordered_items!$B$2:$E$4784,2,0)</f>
        <v>502</v>
      </c>
      <c r="G751">
        <f>VLOOKUP($A751,ordered_items!$B$2:$E$4784,3,0)</f>
        <v>2</v>
      </c>
      <c r="H751">
        <f>VLOOKUP($A751,ordered_items!$B$2:$E$4784,4,0)</f>
        <v>100</v>
      </c>
      <c r="I751" s="15">
        <f>VLOOKUP(F751,product_info!$A$2:$D$73,4,0)</f>
        <v>5</v>
      </c>
      <c r="J751" s="15" t="str">
        <f>VLOOKUP(I751,department!$A$2:$B$13,2,0)</f>
        <v>Golf</v>
      </c>
      <c r="K751">
        <v>5777</v>
      </c>
      <c r="L751" t="s">
        <v>921</v>
      </c>
      <c r="M751" s="4">
        <v>43481</v>
      </c>
      <c r="N751" s="12">
        <f t="shared" si="34"/>
        <v>1</v>
      </c>
      <c r="O751" s="13">
        <f t="shared" si="35"/>
        <v>2019</v>
      </c>
      <c r="P751" t="s">
        <v>13</v>
      </c>
      <c r="Q751" t="s">
        <v>99</v>
      </c>
      <c r="R751" t="s">
        <v>378</v>
      </c>
      <c r="S751" t="str" cm="1">
        <f t="array" ref="S751">_xlfn.IFS(R751="COMPLETE", "COMPLETED", R751="CANCELED", "CANCELED", TRUE, "PENDING")</f>
        <v>PENDING</v>
      </c>
      <c r="T751" t="s">
        <v>90</v>
      </c>
      <c r="U751">
        <f>VLOOKUP(A751,ordered_items!$B:$E,4,0)</f>
        <v>100</v>
      </c>
    </row>
    <row r="752" spans="1:21" x14ac:dyDescent="0.3">
      <c r="A752">
        <v>26118</v>
      </c>
      <c r="B752" t="s">
        <v>3</v>
      </c>
      <c r="C752">
        <v>4</v>
      </c>
      <c r="D752">
        <v>4</v>
      </c>
      <c r="E752" t="str">
        <f t="shared" si="33"/>
        <v xml:space="preserve"> ONTIME</v>
      </c>
      <c r="F752">
        <f>VLOOKUP($A752,ordered_items!$B$2:$E$4784,2,0)</f>
        <v>1004</v>
      </c>
      <c r="G752">
        <f>VLOOKUP($A752,ordered_items!$B$2:$E$4784,3,0)</f>
        <v>1</v>
      </c>
      <c r="H752">
        <f>VLOOKUP($A752,ordered_items!$B$2:$E$4784,4,0)</f>
        <v>399.98</v>
      </c>
      <c r="I752" s="15">
        <f>VLOOKUP(F752,product_info!$A$2:$D$73,4,0)</f>
        <v>7</v>
      </c>
      <c r="J752" s="15" t="str">
        <f>VLOOKUP(I752,department!$A$2:$B$13,2,0)</f>
        <v>Fan Shop</v>
      </c>
      <c r="K752">
        <v>6251</v>
      </c>
      <c r="L752" t="s">
        <v>1599</v>
      </c>
      <c r="M752" s="4">
        <v>43481</v>
      </c>
      <c r="N752" s="12">
        <f t="shared" si="34"/>
        <v>1</v>
      </c>
      <c r="O752" s="13">
        <f t="shared" si="35"/>
        <v>2019</v>
      </c>
      <c r="P752" t="s">
        <v>13</v>
      </c>
      <c r="Q752" t="s">
        <v>47</v>
      </c>
      <c r="R752" t="s">
        <v>178</v>
      </c>
      <c r="S752" t="str" cm="1">
        <f t="array" ref="S752">_xlfn.IFS(R752="COMPLETE", "COMPLETED", R752="CANCELED", "CANCELED", TRUE, "PENDING")</f>
        <v>PENDING</v>
      </c>
      <c r="T752" t="s">
        <v>16</v>
      </c>
      <c r="U752">
        <f>VLOOKUP(A752,ordered_items!$B:$E,4,0)</f>
        <v>399.98</v>
      </c>
    </row>
    <row r="753" spans="1:21" x14ac:dyDescent="0.3">
      <c r="A753">
        <v>26128</v>
      </c>
      <c r="B753" t="s">
        <v>51</v>
      </c>
      <c r="C753">
        <v>4</v>
      </c>
      <c r="D753">
        <v>4</v>
      </c>
      <c r="E753" t="str">
        <f t="shared" si="33"/>
        <v xml:space="preserve"> ONTIME</v>
      </c>
      <c r="F753">
        <f>VLOOKUP($A753,ordered_items!$B$2:$E$4784,2,0)</f>
        <v>804</v>
      </c>
      <c r="G753">
        <f>VLOOKUP($A753,ordered_items!$B$2:$E$4784,3,0)</f>
        <v>3</v>
      </c>
      <c r="H753">
        <f>VLOOKUP($A753,ordered_items!$B$2:$E$4784,4,0)</f>
        <v>59.97</v>
      </c>
      <c r="I753" s="15">
        <f>VLOOKUP(F753,product_info!$A$2:$D$73,4,0)</f>
        <v>6</v>
      </c>
      <c r="J753" s="15" t="str">
        <f>VLOOKUP(I753,department!$A$2:$B$13,2,0)</f>
        <v>Outdoors</v>
      </c>
      <c r="K753">
        <v>2753</v>
      </c>
      <c r="L753" t="s">
        <v>262</v>
      </c>
      <c r="M753" s="4">
        <v>43481</v>
      </c>
      <c r="N753" s="12">
        <f t="shared" si="34"/>
        <v>1</v>
      </c>
      <c r="O753" s="13">
        <f t="shared" si="35"/>
        <v>2019</v>
      </c>
      <c r="P753" t="s">
        <v>13</v>
      </c>
      <c r="Q753" t="s">
        <v>5777</v>
      </c>
      <c r="R753" t="s">
        <v>57</v>
      </c>
      <c r="S753" t="str" cm="1">
        <f t="array" ref="S753">_xlfn.IFS(R753="COMPLETE", "COMPLETED", R753="CANCELED", "CANCELED", TRUE, "PENDING")</f>
        <v>PENDING</v>
      </c>
      <c r="T753" t="s">
        <v>16</v>
      </c>
      <c r="U753">
        <f>VLOOKUP(A753,ordered_items!$B:$E,4,0)</f>
        <v>59.97</v>
      </c>
    </row>
    <row r="754" spans="1:21" x14ac:dyDescent="0.3">
      <c r="A754">
        <v>26131</v>
      </c>
      <c r="B754" t="s">
        <v>51</v>
      </c>
      <c r="C754">
        <v>2</v>
      </c>
      <c r="D754">
        <v>4</v>
      </c>
      <c r="E754" t="str">
        <f t="shared" si="33"/>
        <v xml:space="preserve"> ONTIME</v>
      </c>
      <c r="F754">
        <f>VLOOKUP($A754,ordered_items!$B$2:$E$4784,2,0)</f>
        <v>502</v>
      </c>
      <c r="G754">
        <f>VLOOKUP($A754,ordered_items!$B$2:$E$4784,3,0)</f>
        <v>3</v>
      </c>
      <c r="H754">
        <f>VLOOKUP($A754,ordered_items!$B$2:$E$4784,4,0)</f>
        <v>150</v>
      </c>
      <c r="I754" s="15">
        <f>VLOOKUP(F754,product_info!$A$2:$D$73,4,0)</f>
        <v>5</v>
      </c>
      <c r="J754" s="15" t="str">
        <f>VLOOKUP(I754,department!$A$2:$B$13,2,0)</f>
        <v>Golf</v>
      </c>
      <c r="K754">
        <v>1938</v>
      </c>
      <c r="L754" t="s">
        <v>285</v>
      </c>
      <c r="M754" s="4">
        <v>43481</v>
      </c>
      <c r="N754" s="12">
        <f t="shared" si="34"/>
        <v>1</v>
      </c>
      <c r="O754" s="13">
        <f t="shared" si="35"/>
        <v>2019</v>
      </c>
      <c r="P754" t="s">
        <v>13</v>
      </c>
      <c r="Q754" t="s">
        <v>286</v>
      </c>
      <c r="R754" t="s">
        <v>57</v>
      </c>
      <c r="S754" t="str" cm="1">
        <f t="array" ref="S754">_xlfn.IFS(R754="COMPLETE", "COMPLETED", R754="CANCELED", "CANCELED", TRUE, "PENDING")</f>
        <v>PENDING</v>
      </c>
      <c r="T754" t="s">
        <v>16</v>
      </c>
      <c r="U754">
        <f>VLOOKUP(A754,ordered_items!$B:$E,4,0)</f>
        <v>150</v>
      </c>
    </row>
    <row r="755" spans="1:21" x14ac:dyDescent="0.3">
      <c r="A755">
        <v>26134</v>
      </c>
      <c r="B755" t="s">
        <v>3</v>
      </c>
      <c r="C755">
        <v>5</v>
      </c>
      <c r="D755">
        <v>2</v>
      </c>
      <c r="E755" t="str">
        <f t="shared" si="33"/>
        <v>DELAYED</v>
      </c>
      <c r="F755">
        <f>VLOOKUP($A755,ordered_items!$B$2:$E$4784,2,0)</f>
        <v>191</v>
      </c>
      <c r="G755">
        <f>VLOOKUP($A755,ordered_items!$B$2:$E$4784,3,0)</f>
        <v>1</v>
      </c>
      <c r="H755">
        <f>VLOOKUP($A755,ordered_items!$B$2:$E$4784,4,0)</f>
        <v>99.99</v>
      </c>
      <c r="I755" s="15">
        <f>VLOOKUP(F755,product_info!$A$2:$D$73,4,0)</f>
        <v>3</v>
      </c>
      <c r="J755" s="15" t="str">
        <f>VLOOKUP(I755,department!$A$2:$B$13,2,0)</f>
        <v>Footwear</v>
      </c>
      <c r="K755">
        <v>8789</v>
      </c>
      <c r="L755" t="s">
        <v>625</v>
      </c>
      <c r="M755" s="4">
        <v>43481</v>
      </c>
      <c r="N755" s="12">
        <f t="shared" si="34"/>
        <v>1</v>
      </c>
      <c r="O755" s="13">
        <f t="shared" si="35"/>
        <v>2019</v>
      </c>
      <c r="P755" t="s">
        <v>13</v>
      </c>
      <c r="Q755" t="s">
        <v>234</v>
      </c>
      <c r="R755" t="s">
        <v>38</v>
      </c>
      <c r="S755" t="str" cm="1">
        <f t="array" ref="S755">_xlfn.IFS(R755="COMPLETE", "COMPLETED", R755="CANCELED", "CANCELED", TRUE, "PENDING")</f>
        <v>PENDING</v>
      </c>
      <c r="T755" t="s">
        <v>90</v>
      </c>
      <c r="U755">
        <f>VLOOKUP(A755,ordered_items!$B:$E,4,0)</f>
        <v>99.99</v>
      </c>
    </row>
    <row r="756" spans="1:21" x14ac:dyDescent="0.3">
      <c r="A756">
        <v>26135</v>
      </c>
      <c r="B756" t="s">
        <v>24</v>
      </c>
      <c r="C756">
        <v>6</v>
      </c>
      <c r="D756">
        <v>2</v>
      </c>
      <c r="E756" t="str">
        <f t="shared" si="33"/>
        <v>DELAYED</v>
      </c>
      <c r="F756">
        <f>VLOOKUP($A756,ordered_items!$B$2:$E$4784,2,0)</f>
        <v>191</v>
      </c>
      <c r="G756">
        <f>VLOOKUP($A756,ordered_items!$B$2:$E$4784,3,0)</f>
        <v>3</v>
      </c>
      <c r="H756">
        <f>VLOOKUP($A756,ordered_items!$B$2:$E$4784,4,0)</f>
        <v>299.97000000000003</v>
      </c>
      <c r="I756" s="15">
        <f>VLOOKUP(F756,product_info!$A$2:$D$73,4,0)</f>
        <v>3</v>
      </c>
      <c r="J756" s="15" t="str">
        <f>VLOOKUP(I756,department!$A$2:$B$13,2,0)</f>
        <v>Footwear</v>
      </c>
      <c r="K756">
        <v>4066</v>
      </c>
      <c r="L756" t="s">
        <v>625</v>
      </c>
      <c r="M756" s="4">
        <v>43481</v>
      </c>
      <c r="N756" s="12">
        <f t="shared" si="34"/>
        <v>1</v>
      </c>
      <c r="O756" s="13">
        <f t="shared" si="35"/>
        <v>2019</v>
      </c>
      <c r="P756" t="s">
        <v>13</v>
      </c>
      <c r="Q756" t="s">
        <v>234</v>
      </c>
      <c r="R756" t="s">
        <v>31</v>
      </c>
      <c r="S756" t="str" cm="1">
        <f t="array" ref="S756">_xlfn.IFS(R756="COMPLETE", "COMPLETED", R756="CANCELED", "CANCELED", TRUE, "PENDING")</f>
        <v>COMPLETED</v>
      </c>
      <c r="T756" t="s">
        <v>90</v>
      </c>
      <c r="U756">
        <f>VLOOKUP(A756,ordered_items!$B:$E,4,0)</f>
        <v>299.97000000000003</v>
      </c>
    </row>
    <row r="757" spans="1:21" x14ac:dyDescent="0.3">
      <c r="A757">
        <v>26136</v>
      </c>
      <c r="B757" t="s">
        <v>24</v>
      </c>
      <c r="C757">
        <v>2</v>
      </c>
      <c r="D757">
        <v>4</v>
      </c>
      <c r="E757" t="str">
        <f t="shared" si="33"/>
        <v xml:space="preserve"> ONTIME</v>
      </c>
      <c r="F757">
        <f>VLOOKUP($A757,ordered_items!$B$2:$E$4784,2,0)</f>
        <v>365</v>
      </c>
      <c r="G757">
        <f>VLOOKUP($A757,ordered_items!$B$2:$E$4784,3,0)</f>
        <v>2</v>
      </c>
      <c r="H757">
        <f>VLOOKUP($A757,ordered_items!$B$2:$E$4784,4,0)</f>
        <v>119.98</v>
      </c>
      <c r="I757" s="15">
        <f>VLOOKUP(F757,product_info!$A$2:$D$73,4,0)</f>
        <v>4</v>
      </c>
      <c r="J757" s="15" t="str">
        <f>VLOOKUP(I757,department!$A$2:$B$13,2,0)</f>
        <v>Apparel</v>
      </c>
      <c r="K757">
        <v>6316</v>
      </c>
      <c r="L757" t="s">
        <v>625</v>
      </c>
      <c r="M757" s="4">
        <v>43481</v>
      </c>
      <c r="N757" s="12">
        <f t="shared" si="34"/>
        <v>1</v>
      </c>
      <c r="O757" s="13">
        <f t="shared" si="35"/>
        <v>2019</v>
      </c>
      <c r="P757" t="s">
        <v>13</v>
      </c>
      <c r="Q757" t="s">
        <v>234</v>
      </c>
      <c r="R757" t="s">
        <v>378</v>
      </c>
      <c r="S757" t="str" cm="1">
        <f t="array" ref="S757">_xlfn.IFS(R757="COMPLETE", "COMPLETED", R757="CANCELED", "CANCELED", TRUE, "PENDING")</f>
        <v>PENDING</v>
      </c>
      <c r="T757" t="s">
        <v>16</v>
      </c>
      <c r="U757">
        <f>VLOOKUP(A757,ordered_items!$B:$E,4,0)</f>
        <v>119.98</v>
      </c>
    </row>
    <row r="758" spans="1:21" x14ac:dyDescent="0.3">
      <c r="A758">
        <v>26137</v>
      </c>
      <c r="B758" t="s">
        <v>3</v>
      </c>
      <c r="C758">
        <v>3</v>
      </c>
      <c r="D758">
        <v>4</v>
      </c>
      <c r="E758" t="str">
        <f t="shared" si="33"/>
        <v xml:space="preserve"> ONTIME</v>
      </c>
      <c r="F758">
        <f>VLOOKUP($A758,ordered_items!$B$2:$E$4784,2,0)</f>
        <v>365</v>
      </c>
      <c r="G758">
        <f>VLOOKUP($A758,ordered_items!$B$2:$E$4784,3,0)</f>
        <v>5</v>
      </c>
      <c r="H758">
        <f>VLOOKUP($A758,ordered_items!$B$2:$E$4784,4,0)</f>
        <v>299.95</v>
      </c>
      <c r="I758" s="15">
        <f>VLOOKUP(F758,product_info!$A$2:$D$73,4,0)</f>
        <v>4</v>
      </c>
      <c r="J758" s="15" t="str">
        <f>VLOOKUP(I758,department!$A$2:$B$13,2,0)</f>
        <v>Apparel</v>
      </c>
      <c r="K758">
        <v>853</v>
      </c>
      <c r="L758" t="s">
        <v>625</v>
      </c>
      <c r="M758" s="4">
        <v>43481</v>
      </c>
      <c r="N758" s="12">
        <f t="shared" si="34"/>
        <v>1</v>
      </c>
      <c r="O758" s="13">
        <f t="shared" si="35"/>
        <v>2019</v>
      </c>
      <c r="P758" t="s">
        <v>13</v>
      </c>
      <c r="Q758" t="s">
        <v>234</v>
      </c>
      <c r="R758" t="s">
        <v>38</v>
      </c>
      <c r="S758" t="str" cm="1">
        <f t="array" ref="S758">_xlfn.IFS(R758="COMPLETE", "COMPLETED", R758="CANCELED", "CANCELED", TRUE, "PENDING")</f>
        <v>PENDING</v>
      </c>
      <c r="T758" t="s">
        <v>16</v>
      </c>
      <c r="U758">
        <f>VLOOKUP(A758,ordered_items!$B:$E,4,0)</f>
        <v>299.95</v>
      </c>
    </row>
    <row r="759" spans="1:21" x14ac:dyDescent="0.3">
      <c r="A759">
        <v>26138</v>
      </c>
      <c r="B759" t="s">
        <v>24</v>
      </c>
      <c r="C759">
        <v>4</v>
      </c>
      <c r="D759">
        <v>4</v>
      </c>
      <c r="E759" t="str">
        <f t="shared" si="33"/>
        <v xml:space="preserve"> ONTIME</v>
      </c>
      <c r="F759">
        <f>VLOOKUP($A759,ordered_items!$B$2:$E$4784,2,0)</f>
        <v>957</v>
      </c>
      <c r="G759">
        <f>VLOOKUP($A759,ordered_items!$B$2:$E$4784,3,0)</f>
        <v>1</v>
      </c>
      <c r="H759">
        <f>VLOOKUP($A759,ordered_items!$B$2:$E$4784,4,0)</f>
        <v>299.98</v>
      </c>
      <c r="I759" s="15">
        <f>VLOOKUP(F759,product_info!$A$2:$D$73,4,0)</f>
        <v>7</v>
      </c>
      <c r="J759" s="15" t="str">
        <f>VLOOKUP(I759,department!$A$2:$B$13,2,0)</f>
        <v>Fan Shop</v>
      </c>
      <c r="K759">
        <v>9375</v>
      </c>
      <c r="L759" t="s">
        <v>625</v>
      </c>
      <c r="M759" s="4">
        <v>43481</v>
      </c>
      <c r="N759" s="12">
        <f t="shared" si="34"/>
        <v>1</v>
      </c>
      <c r="O759" s="13">
        <f t="shared" si="35"/>
        <v>2019</v>
      </c>
      <c r="P759" t="s">
        <v>13</v>
      </c>
      <c r="Q759" t="s">
        <v>234</v>
      </c>
      <c r="R759" t="s">
        <v>31</v>
      </c>
      <c r="S759" t="str" cm="1">
        <f t="array" ref="S759">_xlfn.IFS(R759="COMPLETE", "COMPLETED", R759="CANCELED", "CANCELED", TRUE, "PENDING")</f>
        <v>COMPLETED</v>
      </c>
      <c r="T759" t="s">
        <v>16</v>
      </c>
      <c r="U759">
        <f>VLOOKUP(A759,ordered_items!$B:$E,4,0)</f>
        <v>299.98</v>
      </c>
    </row>
    <row r="760" spans="1:21" x14ac:dyDescent="0.3">
      <c r="A760">
        <v>26139</v>
      </c>
      <c r="B760" t="s">
        <v>51</v>
      </c>
      <c r="C760">
        <v>5</v>
      </c>
      <c r="D760">
        <v>4</v>
      </c>
      <c r="E760" t="str">
        <f t="shared" si="33"/>
        <v>DELAYED</v>
      </c>
      <c r="F760">
        <f>VLOOKUP($A760,ordered_items!$B$2:$E$4784,2,0)</f>
        <v>365</v>
      </c>
      <c r="G760">
        <f>VLOOKUP($A760,ordered_items!$B$2:$E$4784,3,0)</f>
        <v>2</v>
      </c>
      <c r="H760">
        <f>VLOOKUP($A760,ordered_items!$B$2:$E$4784,4,0)</f>
        <v>119.98</v>
      </c>
      <c r="I760" s="15">
        <f>VLOOKUP(F760,product_info!$A$2:$D$73,4,0)</f>
        <v>4</v>
      </c>
      <c r="J760" s="15" t="str">
        <f>VLOOKUP(I760,department!$A$2:$B$13,2,0)</f>
        <v>Apparel</v>
      </c>
      <c r="K760">
        <v>1546</v>
      </c>
      <c r="L760" t="s">
        <v>625</v>
      </c>
      <c r="M760" s="4">
        <v>43481</v>
      </c>
      <c r="N760" s="12">
        <f t="shared" si="34"/>
        <v>1</v>
      </c>
      <c r="O760" s="13">
        <f t="shared" si="35"/>
        <v>2019</v>
      </c>
      <c r="P760" t="s">
        <v>13</v>
      </c>
      <c r="Q760" t="s">
        <v>234</v>
      </c>
      <c r="R760" t="s">
        <v>57</v>
      </c>
      <c r="S760" t="str" cm="1">
        <f t="array" ref="S760">_xlfn.IFS(R760="COMPLETE", "COMPLETED", R760="CANCELED", "CANCELED", TRUE, "PENDING")</f>
        <v>PENDING</v>
      </c>
      <c r="T760" t="s">
        <v>16</v>
      </c>
      <c r="U760">
        <f>VLOOKUP(A760,ordered_items!$B:$E,4,0)</f>
        <v>119.98</v>
      </c>
    </row>
    <row r="761" spans="1:21" x14ac:dyDescent="0.3">
      <c r="A761">
        <v>26140</v>
      </c>
      <c r="B761" t="s">
        <v>24</v>
      </c>
      <c r="C761">
        <v>6</v>
      </c>
      <c r="D761">
        <v>4</v>
      </c>
      <c r="E761" t="str">
        <f t="shared" si="33"/>
        <v>DELAYED</v>
      </c>
      <c r="F761">
        <f>VLOOKUP($A761,ordered_items!$B$2:$E$4784,2,0)</f>
        <v>1014</v>
      </c>
      <c r="G761">
        <f>VLOOKUP($A761,ordered_items!$B$2:$E$4784,3,0)</f>
        <v>4</v>
      </c>
      <c r="H761">
        <f>VLOOKUP($A761,ordered_items!$B$2:$E$4784,4,0)</f>
        <v>199.92</v>
      </c>
      <c r="I761" s="15">
        <f>VLOOKUP(F761,product_info!$A$2:$D$73,4,0)</f>
        <v>7</v>
      </c>
      <c r="J761" s="15" t="str">
        <f>VLOOKUP(I761,department!$A$2:$B$13,2,0)</f>
        <v>Fan Shop</v>
      </c>
      <c r="K761">
        <v>8853</v>
      </c>
      <c r="L761" t="s">
        <v>625</v>
      </c>
      <c r="M761" s="4">
        <v>43481</v>
      </c>
      <c r="N761" s="12">
        <f t="shared" si="34"/>
        <v>1</v>
      </c>
      <c r="O761" s="13">
        <f t="shared" si="35"/>
        <v>2019</v>
      </c>
      <c r="P761" t="s">
        <v>13</v>
      </c>
      <c r="Q761" t="s">
        <v>234</v>
      </c>
      <c r="R761" t="s">
        <v>31</v>
      </c>
      <c r="S761" t="str" cm="1">
        <f t="array" ref="S761">_xlfn.IFS(R761="COMPLETE", "COMPLETED", R761="CANCELED", "CANCELED", TRUE, "PENDING")</f>
        <v>COMPLETED</v>
      </c>
      <c r="T761" t="s">
        <v>16</v>
      </c>
      <c r="U761">
        <f>VLOOKUP(A761,ordered_items!$B:$E,4,0)</f>
        <v>199.92</v>
      </c>
    </row>
    <row r="762" spans="1:21" x14ac:dyDescent="0.3">
      <c r="A762">
        <v>26141</v>
      </c>
      <c r="B762" t="s">
        <v>3</v>
      </c>
      <c r="C762">
        <v>2</v>
      </c>
      <c r="D762">
        <v>4</v>
      </c>
      <c r="E762" t="str">
        <f t="shared" si="33"/>
        <v xml:space="preserve"> ONTIME</v>
      </c>
      <c r="F762">
        <f>VLOOKUP($A762,ordered_items!$B$2:$E$4784,2,0)</f>
        <v>403</v>
      </c>
      <c r="G762">
        <f>VLOOKUP($A762,ordered_items!$B$2:$E$4784,3,0)</f>
        <v>1</v>
      </c>
      <c r="H762">
        <f>VLOOKUP($A762,ordered_items!$B$2:$E$4784,4,0)</f>
        <v>129.99</v>
      </c>
      <c r="I762" s="15">
        <f>VLOOKUP(F762,product_info!$A$2:$D$73,4,0)</f>
        <v>4</v>
      </c>
      <c r="J762" s="15" t="str">
        <f>VLOOKUP(I762,department!$A$2:$B$13,2,0)</f>
        <v>Apparel</v>
      </c>
      <c r="K762">
        <v>803</v>
      </c>
      <c r="L762" t="s">
        <v>625</v>
      </c>
      <c r="M762" s="4">
        <v>43481</v>
      </c>
      <c r="N762" s="12">
        <f t="shared" si="34"/>
        <v>1</v>
      </c>
      <c r="O762" s="13">
        <f t="shared" si="35"/>
        <v>2019</v>
      </c>
      <c r="P762" t="s">
        <v>13</v>
      </c>
      <c r="Q762" t="s">
        <v>234</v>
      </c>
      <c r="R762" t="s">
        <v>38</v>
      </c>
      <c r="S762" t="str" cm="1">
        <f t="array" ref="S762">_xlfn.IFS(R762="COMPLETE", "COMPLETED", R762="CANCELED", "CANCELED", TRUE, "PENDING")</f>
        <v>PENDING</v>
      </c>
      <c r="T762" t="s">
        <v>16</v>
      </c>
      <c r="U762">
        <f>VLOOKUP(A762,ordered_items!$B:$E,4,0)</f>
        <v>129.99</v>
      </c>
    </row>
    <row r="763" spans="1:21" x14ac:dyDescent="0.3">
      <c r="A763">
        <v>26159</v>
      </c>
      <c r="B763" t="s">
        <v>3</v>
      </c>
      <c r="C763">
        <v>5</v>
      </c>
      <c r="D763">
        <v>4</v>
      </c>
      <c r="E763" t="str">
        <f t="shared" si="33"/>
        <v>DELAYED</v>
      </c>
      <c r="F763">
        <f>VLOOKUP($A763,ordered_items!$B$2:$E$4784,2,0)</f>
        <v>627</v>
      </c>
      <c r="G763">
        <f>VLOOKUP($A763,ordered_items!$B$2:$E$4784,3,0)</f>
        <v>4</v>
      </c>
      <c r="H763">
        <f>VLOOKUP($A763,ordered_items!$B$2:$E$4784,4,0)</f>
        <v>159.96</v>
      </c>
      <c r="I763" s="15">
        <f>VLOOKUP(F763,product_info!$A$2:$D$73,4,0)</f>
        <v>5</v>
      </c>
      <c r="J763" s="15" t="str">
        <f>VLOOKUP(I763,department!$A$2:$B$13,2,0)</f>
        <v>Golf</v>
      </c>
      <c r="K763">
        <v>12330</v>
      </c>
      <c r="L763" t="s">
        <v>764</v>
      </c>
      <c r="M763" s="4">
        <v>43481</v>
      </c>
      <c r="N763" s="12">
        <f t="shared" si="34"/>
        <v>1</v>
      </c>
      <c r="O763" s="13">
        <f t="shared" si="35"/>
        <v>2019</v>
      </c>
      <c r="P763" t="s">
        <v>13</v>
      </c>
      <c r="Q763" t="s">
        <v>30</v>
      </c>
      <c r="R763" t="s">
        <v>38</v>
      </c>
      <c r="S763" t="str" cm="1">
        <f t="array" ref="S763">_xlfn.IFS(R763="COMPLETE", "COMPLETED", R763="CANCELED", "CANCELED", TRUE, "PENDING")</f>
        <v>PENDING</v>
      </c>
      <c r="T763" t="s">
        <v>16</v>
      </c>
      <c r="U763">
        <f>VLOOKUP(A763,ordered_items!$B:$E,4,0)</f>
        <v>159.96</v>
      </c>
    </row>
    <row r="764" spans="1:21" x14ac:dyDescent="0.3">
      <c r="A764">
        <v>26160</v>
      </c>
      <c r="B764" t="s">
        <v>3</v>
      </c>
      <c r="C764">
        <v>6</v>
      </c>
      <c r="D764">
        <v>2</v>
      </c>
      <c r="E764" t="str">
        <f t="shared" si="33"/>
        <v>DELAYED</v>
      </c>
      <c r="F764">
        <f>VLOOKUP($A764,ordered_items!$B$2:$E$4784,2,0)</f>
        <v>1073</v>
      </c>
      <c r="G764">
        <f>VLOOKUP($A764,ordered_items!$B$2:$E$4784,3,0)</f>
        <v>1</v>
      </c>
      <c r="H764">
        <f>VLOOKUP($A764,ordered_items!$B$2:$E$4784,4,0)</f>
        <v>199.99</v>
      </c>
      <c r="I764" s="15">
        <f>VLOOKUP(F764,product_info!$A$2:$D$73,4,0)</f>
        <v>7</v>
      </c>
      <c r="J764" s="15" t="str">
        <f>VLOOKUP(I764,department!$A$2:$B$13,2,0)</f>
        <v>Fan Shop</v>
      </c>
      <c r="K764">
        <v>2371</v>
      </c>
      <c r="L764" t="s">
        <v>764</v>
      </c>
      <c r="M764" s="4">
        <v>43481</v>
      </c>
      <c r="N764" s="12">
        <f t="shared" si="34"/>
        <v>1</v>
      </c>
      <c r="O764" s="13">
        <f t="shared" si="35"/>
        <v>2019</v>
      </c>
      <c r="P764" t="s">
        <v>13</v>
      </c>
      <c r="Q764" t="s">
        <v>30</v>
      </c>
      <c r="R764" t="s">
        <v>38</v>
      </c>
      <c r="S764" t="str" cm="1">
        <f t="array" ref="S764">_xlfn.IFS(R764="COMPLETE", "COMPLETED", R764="CANCELED", "CANCELED", TRUE, "PENDING")</f>
        <v>PENDING</v>
      </c>
      <c r="T764" t="s">
        <v>90</v>
      </c>
      <c r="U764">
        <f>VLOOKUP(A764,ordered_items!$B:$E,4,0)</f>
        <v>199.99</v>
      </c>
    </row>
    <row r="765" spans="1:21" x14ac:dyDescent="0.3">
      <c r="A765">
        <v>26163</v>
      </c>
      <c r="B765" t="s">
        <v>51</v>
      </c>
      <c r="C765">
        <v>4</v>
      </c>
      <c r="D765">
        <v>4</v>
      </c>
      <c r="E765" t="str">
        <f t="shared" si="33"/>
        <v xml:space="preserve"> ONTIME</v>
      </c>
      <c r="F765">
        <f>VLOOKUP($A765,ordered_items!$B$2:$E$4784,2,0)</f>
        <v>1073</v>
      </c>
      <c r="G765">
        <f>VLOOKUP($A765,ordered_items!$B$2:$E$4784,3,0)</f>
        <v>1</v>
      </c>
      <c r="H765">
        <f>VLOOKUP($A765,ordered_items!$B$2:$E$4784,4,0)</f>
        <v>199.99</v>
      </c>
      <c r="I765" s="15">
        <f>VLOOKUP(F765,product_info!$A$2:$D$73,4,0)</f>
        <v>7</v>
      </c>
      <c r="J765" s="15" t="str">
        <f>VLOOKUP(I765,department!$A$2:$B$13,2,0)</f>
        <v>Fan Shop</v>
      </c>
      <c r="K765">
        <v>11373</v>
      </c>
      <c r="L765" t="s">
        <v>233</v>
      </c>
      <c r="M765" s="4">
        <v>43481</v>
      </c>
      <c r="N765" s="12">
        <f t="shared" si="34"/>
        <v>1</v>
      </c>
      <c r="O765" s="13">
        <f t="shared" si="35"/>
        <v>2019</v>
      </c>
      <c r="P765" t="s">
        <v>13</v>
      </c>
      <c r="Q765" t="s">
        <v>234</v>
      </c>
      <c r="R765" t="s">
        <v>57</v>
      </c>
      <c r="S765" t="str" cm="1">
        <f t="array" ref="S765">_xlfn.IFS(R765="COMPLETE", "COMPLETED", R765="CANCELED", "CANCELED", TRUE, "PENDING")</f>
        <v>PENDING</v>
      </c>
      <c r="T765" t="s">
        <v>16</v>
      </c>
      <c r="U765">
        <f>VLOOKUP(A765,ordered_items!$B:$E,4,0)</f>
        <v>199.99</v>
      </c>
    </row>
    <row r="766" spans="1:21" x14ac:dyDescent="0.3">
      <c r="A766">
        <v>26178</v>
      </c>
      <c r="B766" t="s">
        <v>24</v>
      </c>
      <c r="C766">
        <v>4</v>
      </c>
      <c r="D766">
        <v>4</v>
      </c>
      <c r="E766" t="str">
        <f t="shared" si="33"/>
        <v xml:space="preserve"> ONTIME</v>
      </c>
      <c r="F766">
        <f>VLOOKUP($A766,ordered_items!$B$2:$E$4784,2,0)</f>
        <v>191</v>
      </c>
      <c r="G766">
        <f>VLOOKUP($A766,ordered_items!$B$2:$E$4784,3,0)</f>
        <v>1</v>
      </c>
      <c r="H766">
        <f>VLOOKUP($A766,ordered_items!$B$2:$E$4784,4,0)</f>
        <v>99.99</v>
      </c>
      <c r="I766" s="15">
        <f>VLOOKUP(F766,product_info!$A$2:$D$73,4,0)</f>
        <v>3</v>
      </c>
      <c r="J766" s="15" t="str">
        <f>VLOOKUP(I766,department!$A$2:$B$13,2,0)</f>
        <v>Footwear</v>
      </c>
      <c r="K766">
        <v>7940</v>
      </c>
      <c r="L766" t="s">
        <v>994</v>
      </c>
      <c r="M766" s="4">
        <v>43482</v>
      </c>
      <c r="N766" s="12">
        <f t="shared" si="34"/>
        <v>1</v>
      </c>
      <c r="O766" s="13">
        <f t="shared" si="35"/>
        <v>2019</v>
      </c>
      <c r="P766" t="s">
        <v>13</v>
      </c>
      <c r="Q766" t="s">
        <v>245</v>
      </c>
      <c r="R766" t="s">
        <v>378</v>
      </c>
      <c r="S766" t="str" cm="1">
        <f t="array" ref="S766">_xlfn.IFS(R766="COMPLETE", "COMPLETED", R766="CANCELED", "CANCELED", TRUE, "PENDING")</f>
        <v>PENDING</v>
      </c>
      <c r="T766" t="s">
        <v>16</v>
      </c>
      <c r="U766">
        <f>VLOOKUP(A766,ordered_items!$B:$E,4,0)</f>
        <v>99.99</v>
      </c>
    </row>
    <row r="767" spans="1:21" x14ac:dyDescent="0.3">
      <c r="A767">
        <v>26179</v>
      </c>
      <c r="B767" t="s">
        <v>24</v>
      </c>
      <c r="C767">
        <v>0</v>
      </c>
      <c r="D767">
        <v>0</v>
      </c>
      <c r="E767" t="str">
        <f t="shared" si="33"/>
        <v xml:space="preserve"> ONTIME</v>
      </c>
      <c r="F767">
        <f>VLOOKUP($A767,ordered_items!$B$2:$E$4784,2,0)</f>
        <v>365</v>
      </c>
      <c r="G767">
        <f>VLOOKUP($A767,ordered_items!$B$2:$E$4784,3,0)</f>
        <v>2</v>
      </c>
      <c r="H767">
        <f>VLOOKUP($A767,ordered_items!$B$2:$E$4784,4,0)</f>
        <v>119.98</v>
      </c>
      <c r="I767" s="15">
        <f>VLOOKUP(F767,product_info!$A$2:$D$73,4,0)</f>
        <v>4</v>
      </c>
      <c r="J767" s="15" t="str">
        <f>VLOOKUP(I767,department!$A$2:$B$13,2,0)</f>
        <v>Apparel</v>
      </c>
      <c r="K767">
        <v>7478</v>
      </c>
      <c r="L767" t="s">
        <v>994</v>
      </c>
      <c r="M767" s="4">
        <v>43482</v>
      </c>
      <c r="N767" s="12">
        <f t="shared" si="34"/>
        <v>1</v>
      </c>
      <c r="O767" s="13">
        <f t="shared" si="35"/>
        <v>2019</v>
      </c>
      <c r="P767" t="s">
        <v>13</v>
      </c>
      <c r="Q767" t="s">
        <v>245</v>
      </c>
      <c r="R767" t="s">
        <v>378</v>
      </c>
      <c r="S767" t="str" cm="1">
        <f t="array" ref="S767">_xlfn.IFS(R767="COMPLETE", "COMPLETED", R767="CANCELED", "CANCELED", TRUE, "PENDING")</f>
        <v>PENDING</v>
      </c>
      <c r="T767" t="s">
        <v>58</v>
      </c>
      <c r="U767">
        <f>VLOOKUP(A767,ordered_items!$B:$E,4,0)</f>
        <v>119.98</v>
      </c>
    </row>
    <row r="768" spans="1:21" x14ac:dyDescent="0.3">
      <c r="A768">
        <v>26180</v>
      </c>
      <c r="B768" t="s">
        <v>17</v>
      </c>
      <c r="C768">
        <v>6</v>
      </c>
      <c r="D768">
        <v>4</v>
      </c>
      <c r="E768" t="str">
        <f t="shared" si="33"/>
        <v>DELAYED</v>
      </c>
      <c r="F768">
        <f>VLOOKUP($A768,ordered_items!$B$2:$E$4784,2,0)</f>
        <v>403</v>
      </c>
      <c r="G768">
        <f>VLOOKUP($A768,ordered_items!$B$2:$E$4784,3,0)</f>
        <v>1</v>
      </c>
      <c r="H768">
        <f>VLOOKUP($A768,ordered_items!$B$2:$E$4784,4,0)</f>
        <v>129.99</v>
      </c>
      <c r="I768" s="15">
        <f>VLOOKUP(F768,product_info!$A$2:$D$73,4,0)</f>
        <v>4</v>
      </c>
      <c r="J768" s="15" t="str">
        <f>VLOOKUP(I768,department!$A$2:$B$13,2,0)</f>
        <v>Apparel</v>
      </c>
      <c r="K768">
        <v>12091</v>
      </c>
      <c r="L768" t="s">
        <v>994</v>
      </c>
      <c r="M768" s="4">
        <v>43482</v>
      </c>
      <c r="N768" s="12">
        <f t="shared" si="34"/>
        <v>1</v>
      </c>
      <c r="O768" s="13">
        <f t="shared" si="35"/>
        <v>2019</v>
      </c>
      <c r="P768" t="s">
        <v>13</v>
      </c>
      <c r="Q768" t="s">
        <v>245</v>
      </c>
      <c r="R768" t="s">
        <v>23</v>
      </c>
      <c r="S768" t="str" cm="1">
        <f t="array" ref="S768">_xlfn.IFS(R768="COMPLETE", "COMPLETED", R768="CANCELED", "CANCELED", TRUE, "PENDING")</f>
        <v>PENDING</v>
      </c>
      <c r="T768" t="s">
        <v>16</v>
      </c>
      <c r="U768">
        <f>VLOOKUP(A768,ordered_items!$B:$E,4,0)</f>
        <v>129.99</v>
      </c>
    </row>
    <row r="769" spans="1:21" x14ac:dyDescent="0.3">
      <c r="A769">
        <v>26191</v>
      </c>
      <c r="B769" t="s">
        <v>51</v>
      </c>
      <c r="C769">
        <v>2</v>
      </c>
      <c r="D769">
        <v>4</v>
      </c>
      <c r="E769" t="str">
        <f t="shared" si="33"/>
        <v xml:space="preserve"> ONTIME</v>
      </c>
      <c r="F769">
        <f>VLOOKUP($A769,ordered_items!$B$2:$E$4784,2,0)</f>
        <v>249</v>
      </c>
      <c r="G769">
        <f>VLOOKUP($A769,ordered_items!$B$2:$E$4784,3,0)</f>
        <v>1</v>
      </c>
      <c r="H769">
        <f>VLOOKUP($A769,ordered_items!$B$2:$E$4784,4,0)</f>
        <v>54.97</v>
      </c>
      <c r="I769" s="15">
        <f>VLOOKUP(F769,product_info!$A$2:$D$73,4,0)</f>
        <v>3</v>
      </c>
      <c r="J769" s="15" t="str">
        <f>VLOOKUP(I769,department!$A$2:$B$13,2,0)</f>
        <v>Footwear</v>
      </c>
      <c r="K769">
        <v>2845</v>
      </c>
      <c r="L769" t="s">
        <v>439</v>
      </c>
      <c r="M769" s="4">
        <v>43482</v>
      </c>
      <c r="N769" s="12">
        <f t="shared" si="34"/>
        <v>1</v>
      </c>
      <c r="O769" s="13">
        <f t="shared" si="35"/>
        <v>2019</v>
      </c>
      <c r="P769" t="s">
        <v>13</v>
      </c>
      <c r="Q769" t="s">
        <v>377</v>
      </c>
      <c r="R769" t="s">
        <v>57</v>
      </c>
      <c r="S769" t="str" cm="1">
        <f t="array" ref="S769">_xlfn.IFS(R769="COMPLETE", "COMPLETED", R769="CANCELED", "CANCELED", TRUE, "PENDING")</f>
        <v>PENDING</v>
      </c>
      <c r="T769" t="s">
        <v>16</v>
      </c>
      <c r="U769">
        <f>VLOOKUP(A769,ordered_items!$B:$E,4,0)</f>
        <v>54.97</v>
      </c>
    </row>
    <row r="770" spans="1:21" x14ac:dyDescent="0.3">
      <c r="A770">
        <v>26223</v>
      </c>
      <c r="B770" t="s">
        <v>24</v>
      </c>
      <c r="C770">
        <v>4</v>
      </c>
      <c r="D770">
        <v>2</v>
      </c>
      <c r="E770" t="str">
        <f t="shared" si="33"/>
        <v>DELAYED</v>
      </c>
      <c r="F770">
        <f>VLOOKUP($A770,ordered_items!$B$2:$E$4784,2,0)</f>
        <v>502</v>
      </c>
      <c r="G770">
        <f>VLOOKUP($A770,ordered_items!$B$2:$E$4784,3,0)</f>
        <v>2</v>
      </c>
      <c r="H770">
        <f>VLOOKUP($A770,ordered_items!$B$2:$E$4784,4,0)</f>
        <v>100</v>
      </c>
      <c r="I770" s="15">
        <f>VLOOKUP(F770,product_info!$A$2:$D$73,4,0)</f>
        <v>5</v>
      </c>
      <c r="J770" s="15" t="str">
        <f>VLOOKUP(I770,department!$A$2:$B$13,2,0)</f>
        <v>Golf</v>
      </c>
      <c r="K770">
        <v>7727</v>
      </c>
      <c r="L770" t="s">
        <v>206</v>
      </c>
      <c r="M770" s="4">
        <v>43482</v>
      </c>
      <c r="N770" s="12">
        <f t="shared" si="34"/>
        <v>1</v>
      </c>
      <c r="O770" s="13">
        <f t="shared" si="35"/>
        <v>2019</v>
      </c>
      <c r="P770" t="s">
        <v>13</v>
      </c>
      <c r="Q770" t="s">
        <v>30</v>
      </c>
      <c r="R770" t="s">
        <v>31</v>
      </c>
      <c r="S770" t="str" cm="1">
        <f t="array" ref="S770">_xlfn.IFS(R770="COMPLETE", "COMPLETED", R770="CANCELED", "CANCELED", TRUE, "PENDING")</f>
        <v>COMPLETED</v>
      </c>
      <c r="T770" t="s">
        <v>90</v>
      </c>
      <c r="U770">
        <f>VLOOKUP(A770,ordered_items!$B:$E,4,0)</f>
        <v>100</v>
      </c>
    </row>
    <row r="771" spans="1:21" x14ac:dyDescent="0.3">
      <c r="A771">
        <v>26224</v>
      </c>
      <c r="B771" t="s">
        <v>17</v>
      </c>
      <c r="C771">
        <v>2</v>
      </c>
      <c r="D771">
        <v>1</v>
      </c>
      <c r="E771" t="str">
        <f t="shared" ref="E771:E834" si="36">IF(C771-D771&gt;0,"DELAYED"," ONTIME")</f>
        <v>DELAYED</v>
      </c>
      <c r="F771">
        <f>VLOOKUP($A771,ordered_items!$B$2:$E$4784,2,0)</f>
        <v>135</v>
      </c>
      <c r="G771">
        <f>VLOOKUP($A771,ordered_items!$B$2:$E$4784,3,0)</f>
        <v>2</v>
      </c>
      <c r="H771">
        <f>VLOOKUP($A771,ordered_items!$B$2:$E$4784,4,0)</f>
        <v>44</v>
      </c>
      <c r="I771" s="15">
        <f>VLOOKUP(F771,product_info!$A$2:$D$73,4,0)</f>
        <v>2</v>
      </c>
      <c r="J771" s="15" t="str">
        <f>VLOOKUP(I771,department!$A$2:$B$13,2,0)</f>
        <v>Fitness</v>
      </c>
      <c r="K771">
        <v>4164</v>
      </c>
      <c r="L771" t="s">
        <v>206</v>
      </c>
      <c r="M771" s="4">
        <v>43482</v>
      </c>
      <c r="N771" s="12">
        <f t="shared" ref="N771:N834" si="37">MONTH(M771)</f>
        <v>1</v>
      </c>
      <c r="O771" s="13">
        <f t="shared" ref="O771:O834" si="38">YEAR(M771)</f>
        <v>2019</v>
      </c>
      <c r="P771" t="s">
        <v>13</v>
      </c>
      <c r="Q771" t="s">
        <v>30</v>
      </c>
      <c r="R771" t="s">
        <v>23</v>
      </c>
      <c r="S771" t="str" cm="1">
        <f t="array" ref="S771">_xlfn.IFS(R771="COMPLETE", "COMPLETED", R771="CANCELED", "CANCELED", TRUE, "PENDING")</f>
        <v>PENDING</v>
      </c>
      <c r="T771" t="s">
        <v>32</v>
      </c>
      <c r="U771">
        <f>VLOOKUP(A771,ordered_items!$B:$E,4,0)</f>
        <v>44</v>
      </c>
    </row>
    <row r="772" spans="1:21" x14ac:dyDescent="0.3">
      <c r="A772">
        <v>26241</v>
      </c>
      <c r="B772" t="s">
        <v>24</v>
      </c>
      <c r="C772">
        <v>2</v>
      </c>
      <c r="D772">
        <v>4</v>
      </c>
      <c r="E772" t="str">
        <f t="shared" si="36"/>
        <v xml:space="preserve"> ONTIME</v>
      </c>
      <c r="F772">
        <f>VLOOKUP($A772,ordered_items!$B$2:$E$4784,2,0)</f>
        <v>502</v>
      </c>
      <c r="G772">
        <f>VLOOKUP($A772,ordered_items!$B$2:$E$4784,3,0)</f>
        <v>5</v>
      </c>
      <c r="H772">
        <f>VLOOKUP($A772,ordered_items!$B$2:$E$4784,4,0)</f>
        <v>250</v>
      </c>
      <c r="I772" s="15">
        <f>VLOOKUP(F772,product_info!$A$2:$D$73,4,0)</f>
        <v>5</v>
      </c>
      <c r="J772" s="15" t="str">
        <f>VLOOKUP(I772,department!$A$2:$B$13,2,0)</f>
        <v>Golf</v>
      </c>
      <c r="K772">
        <v>2373</v>
      </c>
      <c r="L772" t="s">
        <v>206</v>
      </c>
      <c r="M772" s="4">
        <v>43483</v>
      </c>
      <c r="N772" s="12">
        <f t="shared" si="37"/>
        <v>1</v>
      </c>
      <c r="O772" s="13">
        <f t="shared" si="38"/>
        <v>2019</v>
      </c>
      <c r="P772" t="s">
        <v>13</v>
      </c>
      <c r="Q772" t="s">
        <v>30</v>
      </c>
      <c r="R772" t="s">
        <v>378</v>
      </c>
      <c r="S772" t="str" cm="1">
        <f t="array" ref="S772">_xlfn.IFS(R772="COMPLETE", "COMPLETED", R772="CANCELED", "CANCELED", TRUE, "PENDING")</f>
        <v>PENDING</v>
      </c>
      <c r="T772" t="s">
        <v>16</v>
      </c>
      <c r="U772">
        <f>VLOOKUP(A772,ordered_items!$B:$E,4,0)</f>
        <v>250</v>
      </c>
    </row>
    <row r="773" spans="1:21" x14ac:dyDescent="0.3">
      <c r="A773">
        <v>26242</v>
      </c>
      <c r="B773" t="s">
        <v>3</v>
      </c>
      <c r="C773">
        <v>3</v>
      </c>
      <c r="D773">
        <v>4</v>
      </c>
      <c r="E773" t="str">
        <f t="shared" si="36"/>
        <v xml:space="preserve"> ONTIME</v>
      </c>
      <c r="F773">
        <f>VLOOKUP($A773,ordered_items!$B$2:$E$4784,2,0)</f>
        <v>1073</v>
      </c>
      <c r="G773">
        <f>VLOOKUP($A773,ordered_items!$B$2:$E$4784,3,0)</f>
        <v>1</v>
      </c>
      <c r="H773">
        <f>VLOOKUP($A773,ordered_items!$B$2:$E$4784,4,0)</f>
        <v>199.99</v>
      </c>
      <c r="I773" s="15">
        <f>VLOOKUP(F773,product_info!$A$2:$D$73,4,0)</f>
        <v>7</v>
      </c>
      <c r="J773" s="15" t="str">
        <f>VLOOKUP(I773,department!$A$2:$B$13,2,0)</f>
        <v>Fan Shop</v>
      </c>
      <c r="K773">
        <v>5773</v>
      </c>
      <c r="L773" t="s">
        <v>206</v>
      </c>
      <c r="M773" s="4">
        <v>43483</v>
      </c>
      <c r="N773" s="12">
        <f t="shared" si="37"/>
        <v>1</v>
      </c>
      <c r="O773" s="13">
        <f t="shared" si="38"/>
        <v>2019</v>
      </c>
      <c r="P773" t="s">
        <v>13</v>
      </c>
      <c r="Q773" t="s">
        <v>30</v>
      </c>
      <c r="R773" t="s">
        <v>178</v>
      </c>
      <c r="S773" t="str" cm="1">
        <f t="array" ref="S773">_xlfn.IFS(R773="COMPLETE", "COMPLETED", R773="CANCELED", "CANCELED", TRUE, "PENDING")</f>
        <v>PENDING</v>
      </c>
      <c r="T773" t="s">
        <v>16</v>
      </c>
      <c r="U773">
        <f>VLOOKUP(A773,ordered_items!$B:$E,4,0)</f>
        <v>199.99</v>
      </c>
    </row>
    <row r="774" spans="1:21" x14ac:dyDescent="0.3">
      <c r="A774">
        <v>26259</v>
      </c>
      <c r="B774" t="s">
        <v>17</v>
      </c>
      <c r="C774">
        <v>5</v>
      </c>
      <c r="D774">
        <v>4</v>
      </c>
      <c r="E774" t="str">
        <f t="shared" si="36"/>
        <v>DELAYED</v>
      </c>
      <c r="F774">
        <f>VLOOKUP($A774,ordered_items!$B$2:$E$4784,2,0)</f>
        <v>957</v>
      </c>
      <c r="G774">
        <f>VLOOKUP($A774,ordered_items!$B$2:$E$4784,3,0)</f>
        <v>1</v>
      </c>
      <c r="H774">
        <f>VLOOKUP($A774,ordered_items!$B$2:$E$4784,4,0)</f>
        <v>299.98</v>
      </c>
      <c r="I774" s="15">
        <f>VLOOKUP(F774,product_info!$A$2:$D$73,4,0)</f>
        <v>7</v>
      </c>
      <c r="J774" s="15" t="str">
        <f>VLOOKUP(I774,department!$A$2:$B$13,2,0)</f>
        <v>Fan Shop</v>
      </c>
      <c r="K774">
        <v>5582</v>
      </c>
      <c r="L774" t="s">
        <v>1181</v>
      </c>
      <c r="M774" s="4">
        <v>43483</v>
      </c>
      <c r="N774" s="12">
        <f t="shared" si="37"/>
        <v>1</v>
      </c>
      <c r="O774" s="13">
        <f t="shared" si="38"/>
        <v>2019</v>
      </c>
      <c r="P774" t="s">
        <v>13</v>
      </c>
      <c r="Q774" t="s">
        <v>377</v>
      </c>
      <c r="R774" t="s">
        <v>23</v>
      </c>
      <c r="S774" t="str" cm="1">
        <f t="array" ref="S774">_xlfn.IFS(R774="COMPLETE", "COMPLETED", R774="CANCELED", "CANCELED", TRUE, "PENDING")</f>
        <v>PENDING</v>
      </c>
      <c r="T774" t="s">
        <v>16</v>
      </c>
      <c r="U774">
        <f>VLOOKUP(A774,ordered_items!$B:$E,4,0)</f>
        <v>299.98</v>
      </c>
    </row>
    <row r="775" spans="1:21" x14ac:dyDescent="0.3">
      <c r="A775">
        <v>26260</v>
      </c>
      <c r="B775" t="s">
        <v>24</v>
      </c>
      <c r="C775">
        <v>6</v>
      </c>
      <c r="D775">
        <v>4</v>
      </c>
      <c r="E775" t="str">
        <f t="shared" si="36"/>
        <v>DELAYED</v>
      </c>
      <c r="F775">
        <f>VLOOKUP($A775,ordered_items!$B$2:$E$4784,2,0)</f>
        <v>502</v>
      </c>
      <c r="G775">
        <f>VLOOKUP($A775,ordered_items!$B$2:$E$4784,3,0)</f>
        <v>1</v>
      </c>
      <c r="H775">
        <f>VLOOKUP($A775,ordered_items!$B$2:$E$4784,4,0)</f>
        <v>50</v>
      </c>
      <c r="I775" s="15">
        <f>VLOOKUP(F775,product_info!$A$2:$D$73,4,0)</f>
        <v>5</v>
      </c>
      <c r="J775" s="15" t="str">
        <f>VLOOKUP(I775,department!$A$2:$B$13,2,0)</f>
        <v>Golf</v>
      </c>
      <c r="K775">
        <v>9325</v>
      </c>
      <c r="L775" t="s">
        <v>1181</v>
      </c>
      <c r="M775" s="4">
        <v>43483</v>
      </c>
      <c r="N775" s="12">
        <f t="shared" si="37"/>
        <v>1</v>
      </c>
      <c r="O775" s="13">
        <f t="shared" si="38"/>
        <v>2019</v>
      </c>
      <c r="P775" t="s">
        <v>13</v>
      </c>
      <c r="Q775" t="s">
        <v>377</v>
      </c>
      <c r="R775" t="s">
        <v>378</v>
      </c>
      <c r="S775" t="str" cm="1">
        <f t="array" ref="S775">_xlfn.IFS(R775="COMPLETE", "COMPLETED", R775="CANCELED", "CANCELED", TRUE, "PENDING")</f>
        <v>PENDING</v>
      </c>
      <c r="T775" t="s">
        <v>16</v>
      </c>
      <c r="U775">
        <f>VLOOKUP(A775,ordered_items!$B:$E,4,0)</f>
        <v>50</v>
      </c>
    </row>
    <row r="776" spans="1:21" x14ac:dyDescent="0.3">
      <c r="A776">
        <v>26261</v>
      </c>
      <c r="B776" t="s">
        <v>51</v>
      </c>
      <c r="C776">
        <v>2</v>
      </c>
      <c r="D776">
        <v>4</v>
      </c>
      <c r="E776" t="str">
        <f t="shared" si="36"/>
        <v xml:space="preserve"> ONTIME</v>
      </c>
      <c r="F776">
        <f>VLOOKUP($A776,ordered_items!$B$2:$E$4784,2,0)</f>
        <v>191</v>
      </c>
      <c r="G776">
        <f>VLOOKUP($A776,ordered_items!$B$2:$E$4784,3,0)</f>
        <v>5</v>
      </c>
      <c r="H776">
        <f>VLOOKUP($A776,ordered_items!$B$2:$E$4784,4,0)</f>
        <v>499.95</v>
      </c>
      <c r="I776" s="15">
        <f>VLOOKUP(F776,product_info!$A$2:$D$73,4,0)</f>
        <v>3</v>
      </c>
      <c r="J776" s="15" t="str">
        <f>VLOOKUP(I776,department!$A$2:$B$13,2,0)</f>
        <v>Footwear</v>
      </c>
      <c r="K776">
        <v>1880</v>
      </c>
      <c r="L776" t="s">
        <v>1181</v>
      </c>
      <c r="M776" s="4">
        <v>43483</v>
      </c>
      <c r="N776" s="12">
        <f t="shared" si="37"/>
        <v>1</v>
      </c>
      <c r="O776" s="13">
        <f t="shared" si="38"/>
        <v>2019</v>
      </c>
      <c r="P776" t="s">
        <v>13</v>
      </c>
      <c r="Q776" t="s">
        <v>377</v>
      </c>
      <c r="R776" t="s">
        <v>57</v>
      </c>
      <c r="S776" t="str" cm="1">
        <f t="array" ref="S776">_xlfn.IFS(R776="COMPLETE", "COMPLETED", R776="CANCELED", "CANCELED", TRUE, "PENDING")</f>
        <v>PENDING</v>
      </c>
      <c r="T776" t="s">
        <v>16</v>
      </c>
      <c r="U776">
        <f>VLOOKUP(A776,ordered_items!$B:$E,4,0)</f>
        <v>499.95</v>
      </c>
    </row>
    <row r="777" spans="1:21" x14ac:dyDescent="0.3">
      <c r="A777">
        <v>26281</v>
      </c>
      <c r="B777" t="s">
        <v>24</v>
      </c>
      <c r="C777">
        <v>2</v>
      </c>
      <c r="D777">
        <v>2</v>
      </c>
      <c r="E777" t="str">
        <f t="shared" si="36"/>
        <v xml:space="preserve"> ONTIME</v>
      </c>
      <c r="F777">
        <f>VLOOKUP($A777,ordered_items!$B$2:$E$4784,2,0)</f>
        <v>502</v>
      </c>
      <c r="G777">
        <f>VLOOKUP($A777,ordered_items!$B$2:$E$4784,3,0)</f>
        <v>4</v>
      </c>
      <c r="H777">
        <f>VLOOKUP($A777,ordered_items!$B$2:$E$4784,4,0)</f>
        <v>200</v>
      </c>
      <c r="I777" s="15">
        <f>VLOOKUP(F777,product_info!$A$2:$D$73,4,0)</f>
        <v>5</v>
      </c>
      <c r="J777" s="15" t="str">
        <f>VLOOKUP(I777,department!$A$2:$B$13,2,0)</f>
        <v>Golf</v>
      </c>
      <c r="K777">
        <v>8742</v>
      </c>
      <c r="L777" t="s">
        <v>206</v>
      </c>
      <c r="M777" s="4">
        <v>43483</v>
      </c>
      <c r="N777" s="12">
        <f t="shared" si="37"/>
        <v>1</v>
      </c>
      <c r="O777" s="13">
        <f t="shared" si="38"/>
        <v>2019</v>
      </c>
      <c r="P777" t="s">
        <v>13</v>
      </c>
      <c r="Q777" t="s">
        <v>30</v>
      </c>
      <c r="R777" t="s">
        <v>31</v>
      </c>
      <c r="S777" t="str" cm="1">
        <f t="array" ref="S777">_xlfn.IFS(R777="COMPLETE", "COMPLETED", R777="CANCELED", "CANCELED", TRUE, "PENDING")</f>
        <v>COMPLETED</v>
      </c>
      <c r="T777" t="s">
        <v>90</v>
      </c>
      <c r="U777">
        <f>VLOOKUP(A777,ordered_items!$B:$E,4,0)</f>
        <v>200</v>
      </c>
    </row>
    <row r="778" spans="1:21" x14ac:dyDescent="0.3">
      <c r="A778">
        <v>26282</v>
      </c>
      <c r="B778" t="s">
        <v>24</v>
      </c>
      <c r="C778">
        <v>2</v>
      </c>
      <c r="D778">
        <v>1</v>
      </c>
      <c r="E778" t="str">
        <f t="shared" si="36"/>
        <v>DELAYED</v>
      </c>
      <c r="F778">
        <f>VLOOKUP($A778,ordered_items!$B$2:$E$4784,2,0)</f>
        <v>235</v>
      </c>
      <c r="G778">
        <f>VLOOKUP($A778,ordered_items!$B$2:$E$4784,3,0)</f>
        <v>1</v>
      </c>
      <c r="H778">
        <f>VLOOKUP($A778,ordered_items!$B$2:$E$4784,4,0)</f>
        <v>34.99</v>
      </c>
      <c r="I778" s="15">
        <f>VLOOKUP(F778,product_info!$A$2:$D$73,4,0)</f>
        <v>3</v>
      </c>
      <c r="J778" s="15" t="str">
        <f>VLOOKUP(I778,department!$A$2:$B$13,2,0)</f>
        <v>Footwear</v>
      </c>
      <c r="K778">
        <v>10313</v>
      </c>
      <c r="L778" t="s">
        <v>206</v>
      </c>
      <c r="M778" s="4">
        <v>43483</v>
      </c>
      <c r="N778" s="12">
        <f t="shared" si="37"/>
        <v>1</v>
      </c>
      <c r="O778" s="13">
        <f t="shared" si="38"/>
        <v>2019</v>
      </c>
      <c r="P778" t="s">
        <v>13</v>
      </c>
      <c r="Q778" t="s">
        <v>30</v>
      </c>
      <c r="R778" t="s">
        <v>378</v>
      </c>
      <c r="S778" t="str" cm="1">
        <f t="array" ref="S778">_xlfn.IFS(R778="COMPLETE", "COMPLETED", R778="CANCELED", "CANCELED", TRUE, "PENDING")</f>
        <v>PENDING</v>
      </c>
      <c r="T778" t="s">
        <v>32</v>
      </c>
      <c r="U778">
        <f>VLOOKUP(A778,ordered_items!$B:$E,4,0)</f>
        <v>34.99</v>
      </c>
    </row>
    <row r="779" spans="1:21" x14ac:dyDescent="0.3">
      <c r="A779">
        <v>26284</v>
      </c>
      <c r="B779" t="s">
        <v>24</v>
      </c>
      <c r="C779">
        <v>5</v>
      </c>
      <c r="D779">
        <v>4</v>
      </c>
      <c r="E779" t="str">
        <f t="shared" si="36"/>
        <v>DELAYED</v>
      </c>
      <c r="F779">
        <f>VLOOKUP($A779,ordered_items!$B$2:$E$4784,2,0)</f>
        <v>403</v>
      </c>
      <c r="G779">
        <f>VLOOKUP($A779,ordered_items!$B$2:$E$4784,3,0)</f>
        <v>1</v>
      </c>
      <c r="H779">
        <f>VLOOKUP($A779,ordered_items!$B$2:$E$4784,4,0)</f>
        <v>129.99</v>
      </c>
      <c r="I779" s="15">
        <f>VLOOKUP(F779,product_info!$A$2:$D$73,4,0)</f>
        <v>4</v>
      </c>
      <c r="J779" s="15" t="str">
        <f>VLOOKUP(I779,department!$A$2:$B$13,2,0)</f>
        <v>Apparel</v>
      </c>
      <c r="K779">
        <v>4256</v>
      </c>
      <c r="L779" t="s">
        <v>1927</v>
      </c>
      <c r="M779" s="4">
        <v>43483</v>
      </c>
      <c r="N779" s="12">
        <f t="shared" si="37"/>
        <v>1</v>
      </c>
      <c r="O779" s="13">
        <f t="shared" si="38"/>
        <v>2019</v>
      </c>
      <c r="P779" t="s">
        <v>13</v>
      </c>
      <c r="Q779" t="s">
        <v>234</v>
      </c>
      <c r="R779" t="s">
        <v>31</v>
      </c>
      <c r="S779" t="str" cm="1">
        <f t="array" ref="S779">_xlfn.IFS(R779="COMPLETE", "COMPLETED", R779="CANCELED", "CANCELED", TRUE, "PENDING")</f>
        <v>COMPLETED</v>
      </c>
      <c r="T779" t="s">
        <v>16</v>
      </c>
      <c r="U779">
        <f>VLOOKUP(A779,ordered_items!$B:$E,4,0)</f>
        <v>129.99</v>
      </c>
    </row>
    <row r="780" spans="1:21" x14ac:dyDescent="0.3">
      <c r="A780">
        <v>26292</v>
      </c>
      <c r="B780" t="s">
        <v>24</v>
      </c>
      <c r="C780">
        <v>3</v>
      </c>
      <c r="D780">
        <v>4</v>
      </c>
      <c r="E780" t="str">
        <f t="shared" si="36"/>
        <v xml:space="preserve"> ONTIME</v>
      </c>
      <c r="F780">
        <f>VLOOKUP($A780,ordered_items!$B$2:$E$4784,2,0)</f>
        <v>502</v>
      </c>
      <c r="G780">
        <f>VLOOKUP($A780,ordered_items!$B$2:$E$4784,3,0)</f>
        <v>1</v>
      </c>
      <c r="H780">
        <f>VLOOKUP($A780,ordered_items!$B$2:$E$4784,4,0)</f>
        <v>50</v>
      </c>
      <c r="I780" s="15">
        <f>VLOOKUP(F780,product_info!$A$2:$D$73,4,0)</f>
        <v>5</v>
      </c>
      <c r="J780" s="15" t="str">
        <f>VLOOKUP(I780,department!$A$2:$B$13,2,0)</f>
        <v>Golf</v>
      </c>
      <c r="K780">
        <v>12314</v>
      </c>
      <c r="L780" t="s">
        <v>186</v>
      </c>
      <c r="M780" s="4">
        <v>43483</v>
      </c>
      <c r="N780" s="12">
        <f t="shared" si="37"/>
        <v>1</v>
      </c>
      <c r="O780" s="13">
        <f t="shared" si="38"/>
        <v>2019</v>
      </c>
      <c r="P780" t="s">
        <v>13</v>
      </c>
      <c r="Q780" t="s">
        <v>5778</v>
      </c>
      <c r="R780" t="s">
        <v>378</v>
      </c>
      <c r="S780" t="str" cm="1">
        <f t="array" ref="S780">_xlfn.IFS(R780="COMPLETE", "COMPLETED", R780="CANCELED", "CANCELED", TRUE, "PENDING")</f>
        <v>PENDING</v>
      </c>
      <c r="T780" t="s">
        <v>16</v>
      </c>
      <c r="U780">
        <f>VLOOKUP(A780,ordered_items!$B:$E,4,0)</f>
        <v>50</v>
      </c>
    </row>
    <row r="781" spans="1:21" x14ac:dyDescent="0.3">
      <c r="A781">
        <v>26297</v>
      </c>
      <c r="B781" t="s">
        <v>51</v>
      </c>
      <c r="C781">
        <v>3</v>
      </c>
      <c r="D781">
        <v>2</v>
      </c>
      <c r="E781" t="str">
        <f t="shared" si="36"/>
        <v>DELAYED</v>
      </c>
      <c r="F781">
        <f>VLOOKUP($A781,ordered_items!$B$2:$E$4784,2,0)</f>
        <v>191</v>
      </c>
      <c r="G781">
        <f>VLOOKUP($A781,ordered_items!$B$2:$E$4784,3,0)</f>
        <v>4</v>
      </c>
      <c r="H781">
        <f>VLOOKUP($A781,ordered_items!$B$2:$E$4784,4,0)</f>
        <v>399.96</v>
      </c>
      <c r="I781" s="15">
        <f>VLOOKUP(F781,product_info!$A$2:$D$73,4,0)</f>
        <v>3</v>
      </c>
      <c r="J781" s="15" t="str">
        <f>VLOOKUP(I781,department!$A$2:$B$13,2,0)</f>
        <v>Footwear</v>
      </c>
      <c r="K781">
        <v>4506</v>
      </c>
      <c r="L781" t="s">
        <v>637</v>
      </c>
      <c r="M781" s="4">
        <v>43483</v>
      </c>
      <c r="N781" s="12">
        <f t="shared" si="37"/>
        <v>1</v>
      </c>
      <c r="O781" s="13">
        <f t="shared" si="38"/>
        <v>2019</v>
      </c>
      <c r="P781" t="s">
        <v>13</v>
      </c>
      <c r="Q781" t="s">
        <v>234</v>
      </c>
      <c r="R781" t="s">
        <v>57</v>
      </c>
      <c r="S781" t="str" cm="1">
        <f t="array" ref="S781">_xlfn.IFS(R781="COMPLETE", "COMPLETED", R781="CANCELED", "CANCELED", TRUE, "PENDING")</f>
        <v>PENDING</v>
      </c>
      <c r="T781" t="s">
        <v>90</v>
      </c>
      <c r="U781">
        <f>VLOOKUP(A781,ordered_items!$B:$E,4,0)</f>
        <v>399.96</v>
      </c>
    </row>
    <row r="782" spans="1:21" x14ac:dyDescent="0.3">
      <c r="A782">
        <v>26306</v>
      </c>
      <c r="B782" t="s">
        <v>3</v>
      </c>
      <c r="C782">
        <v>2</v>
      </c>
      <c r="D782">
        <v>4</v>
      </c>
      <c r="E782" t="str">
        <f t="shared" si="36"/>
        <v xml:space="preserve"> ONTIME</v>
      </c>
      <c r="F782">
        <f>VLOOKUP($A782,ordered_items!$B$2:$E$4784,2,0)</f>
        <v>627</v>
      </c>
      <c r="G782">
        <f>VLOOKUP($A782,ordered_items!$B$2:$E$4784,3,0)</f>
        <v>2</v>
      </c>
      <c r="H782">
        <f>VLOOKUP($A782,ordered_items!$B$2:$E$4784,4,0)</f>
        <v>79.98</v>
      </c>
      <c r="I782" s="15">
        <f>VLOOKUP(F782,product_info!$A$2:$D$73,4,0)</f>
        <v>5</v>
      </c>
      <c r="J782" s="15" t="str">
        <f>VLOOKUP(I782,department!$A$2:$B$13,2,0)</f>
        <v>Golf</v>
      </c>
      <c r="K782">
        <v>6378</v>
      </c>
      <c r="L782" t="s">
        <v>405</v>
      </c>
      <c r="M782" s="4">
        <v>43483</v>
      </c>
      <c r="N782" s="12">
        <f t="shared" si="37"/>
        <v>1</v>
      </c>
      <c r="O782" s="13">
        <f t="shared" si="38"/>
        <v>2019</v>
      </c>
      <c r="P782" t="s">
        <v>13</v>
      </c>
      <c r="Q782" t="s">
        <v>5781</v>
      </c>
      <c r="R782" t="s">
        <v>14</v>
      </c>
      <c r="S782" t="str" cm="1">
        <f t="array" ref="S782">_xlfn.IFS(R782="COMPLETE", "COMPLETED", R782="CANCELED", "CANCELED", TRUE, "PENDING")</f>
        <v>PENDING</v>
      </c>
      <c r="T782" t="s">
        <v>16</v>
      </c>
      <c r="U782">
        <f>VLOOKUP(A782,ordered_items!$B:$E,4,0)</f>
        <v>79.98</v>
      </c>
    </row>
    <row r="783" spans="1:21" x14ac:dyDescent="0.3">
      <c r="A783">
        <v>26308</v>
      </c>
      <c r="B783" t="s">
        <v>24</v>
      </c>
      <c r="C783">
        <v>4</v>
      </c>
      <c r="D783">
        <v>2</v>
      </c>
      <c r="E783" t="str">
        <f t="shared" si="36"/>
        <v>DELAYED</v>
      </c>
      <c r="F783">
        <f>VLOOKUP($A783,ordered_items!$B$2:$E$4784,2,0)</f>
        <v>627</v>
      </c>
      <c r="G783">
        <f>VLOOKUP($A783,ordered_items!$B$2:$E$4784,3,0)</f>
        <v>1</v>
      </c>
      <c r="H783">
        <f>VLOOKUP($A783,ordered_items!$B$2:$E$4784,4,0)</f>
        <v>39.99</v>
      </c>
      <c r="I783" s="15">
        <f>VLOOKUP(F783,product_info!$A$2:$D$73,4,0)</f>
        <v>5</v>
      </c>
      <c r="J783" s="15" t="str">
        <f>VLOOKUP(I783,department!$A$2:$B$13,2,0)</f>
        <v>Golf</v>
      </c>
      <c r="K783">
        <v>2222</v>
      </c>
      <c r="L783" t="s">
        <v>29</v>
      </c>
      <c r="M783" s="4">
        <v>43484</v>
      </c>
      <c r="N783" s="12">
        <f t="shared" si="37"/>
        <v>1</v>
      </c>
      <c r="O783" s="13">
        <f t="shared" si="38"/>
        <v>2019</v>
      </c>
      <c r="P783" t="s">
        <v>13</v>
      </c>
      <c r="Q783" t="s">
        <v>30</v>
      </c>
      <c r="R783" t="s">
        <v>31</v>
      </c>
      <c r="S783" t="str" cm="1">
        <f t="array" ref="S783">_xlfn.IFS(R783="COMPLETE", "COMPLETED", R783="CANCELED", "CANCELED", TRUE, "PENDING")</f>
        <v>COMPLETED</v>
      </c>
      <c r="T783" t="s">
        <v>90</v>
      </c>
      <c r="U783">
        <f>VLOOKUP(A783,ordered_items!$B:$E,4,0)</f>
        <v>39.99</v>
      </c>
    </row>
    <row r="784" spans="1:21" x14ac:dyDescent="0.3">
      <c r="A784">
        <v>26317</v>
      </c>
      <c r="B784" t="s">
        <v>3</v>
      </c>
      <c r="C784">
        <v>3</v>
      </c>
      <c r="D784">
        <v>4</v>
      </c>
      <c r="E784" t="str">
        <f t="shared" si="36"/>
        <v xml:space="preserve"> ONTIME</v>
      </c>
      <c r="F784">
        <f>VLOOKUP($A784,ordered_items!$B$2:$E$4784,2,0)</f>
        <v>567</v>
      </c>
      <c r="G784">
        <f>VLOOKUP($A784,ordered_items!$B$2:$E$4784,3,0)</f>
        <v>4</v>
      </c>
      <c r="H784">
        <f>VLOOKUP($A784,ordered_items!$B$2:$E$4784,4,0)</f>
        <v>100</v>
      </c>
      <c r="I784" s="15">
        <f>VLOOKUP(F784,product_info!$A$2:$D$73,4,0)</f>
        <v>5</v>
      </c>
      <c r="J784" s="15" t="str">
        <f>VLOOKUP(I784,department!$A$2:$B$13,2,0)</f>
        <v>Golf</v>
      </c>
      <c r="K784">
        <v>2485</v>
      </c>
      <c r="L784" t="s">
        <v>104</v>
      </c>
      <c r="M784" s="4">
        <v>43484</v>
      </c>
      <c r="N784" s="12">
        <f t="shared" si="37"/>
        <v>1</v>
      </c>
      <c r="O784" s="13">
        <f t="shared" si="38"/>
        <v>2019</v>
      </c>
      <c r="P784" t="s">
        <v>13</v>
      </c>
      <c r="Q784" t="s">
        <v>130</v>
      </c>
      <c r="R784" t="s">
        <v>38</v>
      </c>
      <c r="S784" t="str" cm="1">
        <f t="array" ref="S784">_xlfn.IFS(R784="COMPLETE", "COMPLETED", R784="CANCELED", "CANCELED", TRUE, "PENDING")</f>
        <v>PENDING</v>
      </c>
      <c r="T784" t="s">
        <v>16</v>
      </c>
      <c r="U784">
        <f>VLOOKUP(A784,ordered_items!$B:$E,4,0)</f>
        <v>100</v>
      </c>
    </row>
    <row r="785" spans="1:21" x14ac:dyDescent="0.3">
      <c r="A785">
        <v>26324</v>
      </c>
      <c r="B785" t="s">
        <v>24</v>
      </c>
      <c r="C785">
        <v>5</v>
      </c>
      <c r="D785">
        <v>4</v>
      </c>
      <c r="E785" t="str">
        <f t="shared" si="36"/>
        <v>DELAYED</v>
      </c>
      <c r="F785">
        <f>VLOOKUP($A785,ordered_items!$B$2:$E$4784,2,0)</f>
        <v>365</v>
      </c>
      <c r="G785">
        <f>VLOOKUP($A785,ordered_items!$B$2:$E$4784,3,0)</f>
        <v>5</v>
      </c>
      <c r="H785">
        <f>VLOOKUP($A785,ordered_items!$B$2:$E$4784,4,0)</f>
        <v>299.95</v>
      </c>
      <c r="I785" s="15">
        <f>VLOOKUP(F785,product_info!$A$2:$D$73,4,0)</f>
        <v>4</v>
      </c>
      <c r="J785" s="15" t="str">
        <f>VLOOKUP(I785,department!$A$2:$B$13,2,0)</f>
        <v>Apparel</v>
      </c>
      <c r="K785">
        <v>7434</v>
      </c>
      <c r="L785" t="s">
        <v>46</v>
      </c>
      <c r="M785" s="4">
        <v>43484</v>
      </c>
      <c r="N785" s="12">
        <f t="shared" si="37"/>
        <v>1</v>
      </c>
      <c r="O785" s="13">
        <f t="shared" si="38"/>
        <v>2019</v>
      </c>
      <c r="P785" t="s">
        <v>13</v>
      </c>
      <c r="Q785" t="s">
        <v>47</v>
      </c>
      <c r="R785" t="s">
        <v>378</v>
      </c>
      <c r="S785" t="str" cm="1">
        <f t="array" ref="S785">_xlfn.IFS(R785="COMPLETE", "COMPLETED", R785="CANCELED", "CANCELED", TRUE, "PENDING")</f>
        <v>PENDING</v>
      </c>
      <c r="T785" t="s">
        <v>16</v>
      </c>
      <c r="U785">
        <f>VLOOKUP(A785,ordered_items!$B:$E,4,0)</f>
        <v>299.95</v>
      </c>
    </row>
    <row r="786" spans="1:21" x14ac:dyDescent="0.3">
      <c r="A786">
        <v>26325</v>
      </c>
      <c r="B786" t="s">
        <v>3</v>
      </c>
      <c r="C786">
        <v>6</v>
      </c>
      <c r="D786">
        <v>4</v>
      </c>
      <c r="E786" t="str">
        <f t="shared" si="36"/>
        <v>DELAYED</v>
      </c>
      <c r="F786">
        <f>VLOOKUP($A786,ordered_items!$B$2:$E$4784,2,0)</f>
        <v>957</v>
      </c>
      <c r="G786">
        <f>VLOOKUP($A786,ordered_items!$B$2:$E$4784,3,0)</f>
        <v>1</v>
      </c>
      <c r="H786">
        <f>VLOOKUP($A786,ordered_items!$B$2:$E$4784,4,0)</f>
        <v>299.98</v>
      </c>
      <c r="I786" s="15">
        <f>VLOOKUP(F786,product_info!$A$2:$D$73,4,0)</f>
        <v>7</v>
      </c>
      <c r="J786" s="15" t="str">
        <f>VLOOKUP(I786,department!$A$2:$B$13,2,0)</f>
        <v>Fan Shop</v>
      </c>
      <c r="K786">
        <v>10893</v>
      </c>
      <c r="L786" t="s">
        <v>46</v>
      </c>
      <c r="M786" s="4">
        <v>43484</v>
      </c>
      <c r="N786" s="12">
        <f t="shared" si="37"/>
        <v>1</v>
      </c>
      <c r="O786" s="13">
        <f t="shared" si="38"/>
        <v>2019</v>
      </c>
      <c r="P786" t="s">
        <v>13</v>
      </c>
      <c r="Q786" t="s">
        <v>47</v>
      </c>
      <c r="R786" t="s">
        <v>14</v>
      </c>
      <c r="S786" t="str" cm="1">
        <f t="array" ref="S786">_xlfn.IFS(R786="COMPLETE", "COMPLETED", R786="CANCELED", "CANCELED", TRUE, "PENDING")</f>
        <v>PENDING</v>
      </c>
      <c r="T786" t="s">
        <v>16</v>
      </c>
      <c r="U786">
        <f>VLOOKUP(A786,ordered_items!$B:$E,4,0)</f>
        <v>299.98</v>
      </c>
    </row>
    <row r="787" spans="1:21" x14ac:dyDescent="0.3">
      <c r="A787">
        <v>26343</v>
      </c>
      <c r="B787" t="s">
        <v>24</v>
      </c>
      <c r="C787">
        <v>4</v>
      </c>
      <c r="D787">
        <v>2</v>
      </c>
      <c r="E787" t="str">
        <f t="shared" si="36"/>
        <v>DELAYED</v>
      </c>
      <c r="F787">
        <f>VLOOKUP($A787,ordered_items!$B$2:$E$4784,2,0)</f>
        <v>771</v>
      </c>
      <c r="G787">
        <f>VLOOKUP($A787,ordered_items!$B$2:$E$4784,3,0)</f>
        <v>3</v>
      </c>
      <c r="H787">
        <f>VLOOKUP($A787,ordered_items!$B$2:$E$4784,4,0)</f>
        <v>119.97</v>
      </c>
      <c r="I787" s="15">
        <f>VLOOKUP(F787,product_info!$A$2:$D$73,4,0)</f>
        <v>6</v>
      </c>
      <c r="J787" s="15" t="str">
        <f>VLOOKUP(I787,department!$A$2:$B$13,2,0)</f>
        <v>Outdoors</v>
      </c>
      <c r="K787">
        <v>11503</v>
      </c>
      <c r="L787" t="s">
        <v>994</v>
      </c>
      <c r="M787" s="4">
        <v>43484</v>
      </c>
      <c r="N787" s="12">
        <f t="shared" si="37"/>
        <v>1</v>
      </c>
      <c r="O787" s="13">
        <f t="shared" si="38"/>
        <v>2019</v>
      </c>
      <c r="P787" t="s">
        <v>13</v>
      </c>
      <c r="Q787" t="s">
        <v>245</v>
      </c>
      <c r="R787" t="s">
        <v>378</v>
      </c>
      <c r="S787" t="str" cm="1">
        <f t="array" ref="S787">_xlfn.IFS(R787="COMPLETE", "COMPLETED", R787="CANCELED", "CANCELED", TRUE, "PENDING")</f>
        <v>PENDING</v>
      </c>
      <c r="T787" t="s">
        <v>90</v>
      </c>
      <c r="U787">
        <f>VLOOKUP(A787,ordered_items!$B:$E,4,0)</f>
        <v>119.97</v>
      </c>
    </row>
    <row r="788" spans="1:21" x14ac:dyDescent="0.3">
      <c r="A788">
        <v>26344</v>
      </c>
      <c r="B788" t="s">
        <v>51</v>
      </c>
      <c r="C788">
        <v>5</v>
      </c>
      <c r="D788">
        <v>4</v>
      </c>
      <c r="E788" t="str">
        <f t="shared" si="36"/>
        <v>DELAYED</v>
      </c>
      <c r="F788">
        <f>VLOOKUP($A788,ordered_items!$B$2:$E$4784,2,0)</f>
        <v>1014</v>
      </c>
      <c r="G788">
        <f>VLOOKUP($A788,ordered_items!$B$2:$E$4784,3,0)</f>
        <v>4</v>
      </c>
      <c r="H788">
        <f>VLOOKUP($A788,ordered_items!$B$2:$E$4784,4,0)</f>
        <v>199.92</v>
      </c>
      <c r="I788" s="15">
        <f>VLOOKUP(F788,product_info!$A$2:$D$73,4,0)</f>
        <v>7</v>
      </c>
      <c r="J788" s="15" t="str">
        <f>VLOOKUP(I788,department!$A$2:$B$13,2,0)</f>
        <v>Fan Shop</v>
      </c>
      <c r="K788">
        <v>8944</v>
      </c>
      <c r="L788" t="s">
        <v>510</v>
      </c>
      <c r="M788" s="4">
        <v>43484</v>
      </c>
      <c r="N788" s="12">
        <f t="shared" si="37"/>
        <v>1</v>
      </c>
      <c r="O788" s="13">
        <f t="shared" si="38"/>
        <v>2019</v>
      </c>
      <c r="P788" t="s">
        <v>13</v>
      </c>
      <c r="Q788" t="s">
        <v>5777</v>
      </c>
      <c r="R788" t="s">
        <v>57</v>
      </c>
      <c r="S788" t="str" cm="1">
        <f t="array" ref="S788">_xlfn.IFS(R788="COMPLETE", "COMPLETED", R788="CANCELED", "CANCELED", TRUE, "PENDING")</f>
        <v>PENDING</v>
      </c>
      <c r="T788" t="s">
        <v>16</v>
      </c>
      <c r="U788">
        <f>VLOOKUP(A788,ordered_items!$B:$E,4,0)</f>
        <v>199.92</v>
      </c>
    </row>
    <row r="789" spans="1:21" x14ac:dyDescent="0.3">
      <c r="A789">
        <v>26345</v>
      </c>
      <c r="B789" t="s">
        <v>24</v>
      </c>
      <c r="C789">
        <v>6</v>
      </c>
      <c r="D789">
        <v>4</v>
      </c>
      <c r="E789" t="str">
        <f t="shared" si="36"/>
        <v>DELAYED</v>
      </c>
      <c r="F789">
        <f>VLOOKUP($A789,ordered_items!$B$2:$E$4784,2,0)</f>
        <v>365</v>
      </c>
      <c r="G789">
        <f>VLOOKUP($A789,ordered_items!$B$2:$E$4784,3,0)</f>
        <v>2</v>
      </c>
      <c r="H789">
        <f>VLOOKUP($A789,ordered_items!$B$2:$E$4784,4,0)</f>
        <v>119.98</v>
      </c>
      <c r="I789" s="15">
        <f>VLOOKUP(F789,product_info!$A$2:$D$73,4,0)</f>
        <v>4</v>
      </c>
      <c r="J789" s="15" t="str">
        <f>VLOOKUP(I789,department!$A$2:$B$13,2,0)</f>
        <v>Apparel</v>
      </c>
      <c r="K789">
        <v>8828</v>
      </c>
      <c r="L789" t="s">
        <v>510</v>
      </c>
      <c r="M789" s="4">
        <v>43484</v>
      </c>
      <c r="N789" s="12">
        <f t="shared" si="37"/>
        <v>1</v>
      </c>
      <c r="O789" s="13">
        <f t="shared" si="38"/>
        <v>2019</v>
      </c>
      <c r="P789" t="s">
        <v>13</v>
      </c>
      <c r="Q789" t="s">
        <v>5777</v>
      </c>
      <c r="R789" t="s">
        <v>31</v>
      </c>
      <c r="S789" t="str" cm="1">
        <f t="array" ref="S789">_xlfn.IFS(R789="COMPLETE", "COMPLETED", R789="CANCELED", "CANCELED", TRUE, "PENDING")</f>
        <v>COMPLETED</v>
      </c>
      <c r="T789" t="s">
        <v>16</v>
      </c>
      <c r="U789">
        <f>VLOOKUP(A789,ordered_items!$B:$E,4,0)</f>
        <v>119.98</v>
      </c>
    </row>
    <row r="790" spans="1:21" x14ac:dyDescent="0.3">
      <c r="A790">
        <v>26346</v>
      </c>
      <c r="B790" t="s">
        <v>51</v>
      </c>
      <c r="C790">
        <v>2</v>
      </c>
      <c r="D790">
        <v>4</v>
      </c>
      <c r="E790" t="str">
        <f t="shared" si="36"/>
        <v xml:space="preserve"> ONTIME</v>
      </c>
      <c r="F790">
        <f>VLOOKUP($A790,ordered_items!$B$2:$E$4784,2,0)</f>
        <v>403</v>
      </c>
      <c r="G790">
        <f>VLOOKUP($A790,ordered_items!$B$2:$E$4784,3,0)</f>
        <v>1</v>
      </c>
      <c r="H790">
        <f>VLOOKUP($A790,ordered_items!$B$2:$E$4784,4,0)</f>
        <v>129.99</v>
      </c>
      <c r="I790" s="15">
        <f>VLOOKUP(F790,product_info!$A$2:$D$73,4,0)</f>
        <v>4</v>
      </c>
      <c r="J790" s="15" t="str">
        <f>VLOOKUP(I790,department!$A$2:$B$13,2,0)</f>
        <v>Apparel</v>
      </c>
      <c r="K790">
        <v>6788</v>
      </c>
      <c r="L790" t="s">
        <v>510</v>
      </c>
      <c r="M790" s="4">
        <v>43484</v>
      </c>
      <c r="N790" s="12">
        <f t="shared" si="37"/>
        <v>1</v>
      </c>
      <c r="O790" s="13">
        <f t="shared" si="38"/>
        <v>2019</v>
      </c>
      <c r="P790" t="s">
        <v>13</v>
      </c>
      <c r="Q790" t="s">
        <v>5777</v>
      </c>
      <c r="R790" t="s">
        <v>57</v>
      </c>
      <c r="S790" t="str" cm="1">
        <f t="array" ref="S790">_xlfn.IFS(R790="COMPLETE", "COMPLETED", R790="CANCELED", "CANCELED", TRUE, "PENDING")</f>
        <v>PENDING</v>
      </c>
      <c r="T790" t="s">
        <v>16</v>
      </c>
      <c r="U790">
        <f>VLOOKUP(A790,ordered_items!$B:$E,4,0)</f>
        <v>129.99</v>
      </c>
    </row>
    <row r="791" spans="1:21" x14ac:dyDescent="0.3">
      <c r="A791">
        <v>26347</v>
      </c>
      <c r="B791" t="s">
        <v>3</v>
      </c>
      <c r="C791">
        <v>3</v>
      </c>
      <c r="D791">
        <v>4</v>
      </c>
      <c r="E791" t="str">
        <f t="shared" si="36"/>
        <v xml:space="preserve"> ONTIME</v>
      </c>
      <c r="F791">
        <f>VLOOKUP($A791,ordered_items!$B$2:$E$4784,2,0)</f>
        <v>1014</v>
      </c>
      <c r="G791">
        <f>VLOOKUP($A791,ordered_items!$B$2:$E$4784,3,0)</f>
        <v>2</v>
      </c>
      <c r="H791">
        <f>VLOOKUP($A791,ordered_items!$B$2:$E$4784,4,0)</f>
        <v>99.96</v>
      </c>
      <c r="I791" s="15">
        <f>VLOOKUP(F791,product_info!$A$2:$D$73,4,0)</f>
        <v>7</v>
      </c>
      <c r="J791" s="15" t="str">
        <f>VLOOKUP(I791,department!$A$2:$B$13,2,0)</f>
        <v>Fan Shop</v>
      </c>
      <c r="K791">
        <v>3520</v>
      </c>
      <c r="L791" t="s">
        <v>510</v>
      </c>
      <c r="M791" s="4">
        <v>43484</v>
      </c>
      <c r="N791" s="12">
        <f t="shared" si="37"/>
        <v>1</v>
      </c>
      <c r="O791" s="13">
        <f t="shared" si="38"/>
        <v>2019</v>
      </c>
      <c r="P791" t="s">
        <v>13</v>
      </c>
      <c r="Q791" t="s">
        <v>5777</v>
      </c>
      <c r="R791" t="s">
        <v>14</v>
      </c>
      <c r="S791" t="str" cm="1">
        <f t="array" ref="S791">_xlfn.IFS(R791="COMPLETE", "COMPLETED", R791="CANCELED", "CANCELED", TRUE, "PENDING")</f>
        <v>PENDING</v>
      </c>
      <c r="T791" t="s">
        <v>16</v>
      </c>
      <c r="U791">
        <f>VLOOKUP(A791,ordered_items!$B:$E,4,0)</f>
        <v>99.96</v>
      </c>
    </row>
    <row r="792" spans="1:21" x14ac:dyDescent="0.3">
      <c r="A792">
        <v>26366</v>
      </c>
      <c r="B792" t="s">
        <v>24</v>
      </c>
      <c r="C792">
        <v>2</v>
      </c>
      <c r="D792">
        <v>1</v>
      </c>
      <c r="E792" t="str">
        <f t="shared" si="36"/>
        <v>DELAYED</v>
      </c>
      <c r="F792">
        <f>VLOOKUP($A792,ordered_items!$B$2:$E$4784,2,0)</f>
        <v>627</v>
      </c>
      <c r="G792">
        <f>VLOOKUP($A792,ordered_items!$B$2:$E$4784,3,0)</f>
        <v>3</v>
      </c>
      <c r="H792">
        <f>VLOOKUP($A792,ordered_items!$B$2:$E$4784,4,0)</f>
        <v>119.97</v>
      </c>
      <c r="I792" s="15">
        <f>VLOOKUP(F792,product_info!$A$2:$D$73,4,0)</f>
        <v>5</v>
      </c>
      <c r="J792" s="15" t="str">
        <f>VLOOKUP(I792,department!$A$2:$B$13,2,0)</f>
        <v>Golf</v>
      </c>
      <c r="K792">
        <v>7368</v>
      </c>
      <c r="L792" t="s">
        <v>525</v>
      </c>
      <c r="M792" s="4">
        <v>43484</v>
      </c>
      <c r="N792" s="12">
        <f t="shared" si="37"/>
        <v>1</v>
      </c>
      <c r="O792" s="13">
        <f t="shared" si="38"/>
        <v>2019</v>
      </c>
      <c r="P792" t="s">
        <v>13</v>
      </c>
      <c r="Q792" t="s">
        <v>5778</v>
      </c>
      <c r="R792" t="s">
        <v>31</v>
      </c>
      <c r="S792" t="str" cm="1">
        <f t="array" ref="S792">_xlfn.IFS(R792="COMPLETE", "COMPLETED", R792="CANCELED", "CANCELED", TRUE, "PENDING")</f>
        <v>COMPLETED</v>
      </c>
      <c r="T792" t="s">
        <v>32</v>
      </c>
      <c r="U792">
        <f>VLOOKUP(A792,ordered_items!$B:$E,4,0)</f>
        <v>119.97</v>
      </c>
    </row>
    <row r="793" spans="1:21" x14ac:dyDescent="0.3">
      <c r="A793">
        <v>26402</v>
      </c>
      <c r="B793" t="s">
        <v>3</v>
      </c>
      <c r="C793">
        <v>3</v>
      </c>
      <c r="D793">
        <v>4</v>
      </c>
      <c r="E793" t="str">
        <f t="shared" si="36"/>
        <v xml:space="preserve"> ONTIME</v>
      </c>
      <c r="F793">
        <f>VLOOKUP($A793,ordered_items!$B$2:$E$4784,2,0)</f>
        <v>365</v>
      </c>
      <c r="G793">
        <f>VLOOKUP($A793,ordered_items!$B$2:$E$4784,3,0)</f>
        <v>5</v>
      </c>
      <c r="H793">
        <f>VLOOKUP($A793,ordered_items!$B$2:$E$4784,4,0)</f>
        <v>299.95</v>
      </c>
      <c r="I793" s="15">
        <f>VLOOKUP(F793,product_info!$A$2:$D$73,4,0)</f>
        <v>4</v>
      </c>
      <c r="J793" s="15" t="str">
        <f>VLOOKUP(I793,department!$A$2:$B$13,2,0)</f>
        <v>Apparel</v>
      </c>
      <c r="K793">
        <v>3230</v>
      </c>
      <c r="L793" t="s">
        <v>415</v>
      </c>
      <c r="M793" s="4">
        <v>43485</v>
      </c>
      <c r="N793" s="12">
        <f t="shared" si="37"/>
        <v>1</v>
      </c>
      <c r="O793" s="13">
        <f t="shared" si="38"/>
        <v>2019</v>
      </c>
      <c r="P793" t="s">
        <v>13</v>
      </c>
      <c r="Q793" t="s">
        <v>47</v>
      </c>
      <c r="R793" t="s">
        <v>38</v>
      </c>
      <c r="S793" t="str" cm="1">
        <f t="array" ref="S793">_xlfn.IFS(R793="COMPLETE", "COMPLETED", R793="CANCELED", "CANCELED", TRUE, "PENDING")</f>
        <v>PENDING</v>
      </c>
      <c r="T793" t="s">
        <v>16</v>
      </c>
      <c r="U793">
        <f>VLOOKUP(A793,ordered_items!$B:$E,4,0)</f>
        <v>299.95</v>
      </c>
    </row>
    <row r="794" spans="1:21" x14ac:dyDescent="0.3">
      <c r="A794">
        <v>26403</v>
      </c>
      <c r="B794" t="s">
        <v>51</v>
      </c>
      <c r="C794">
        <v>4</v>
      </c>
      <c r="D794">
        <v>4</v>
      </c>
      <c r="E794" t="str">
        <f t="shared" si="36"/>
        <v xml:space="preserve"> ONTIME</v>
      </c>
      <c r="F794">
        <f>VLOOKUP($A794,ordered_items!$B$2:$E$4784,2,0)</f>
        <v>403</v>
      </c>
      <c r="G794">
        <f>VLOOKUP($A794,ordered_items!$B$2:$E$4784,3,0)</f>
        <v>1</v>
      </c>
      <c r="H794">
        <f>VLOOKUP($A794,ordered_items!$B$2:$E$4784,4,0)</f>
        <v>129.99</v>
      </c>
      <c r="I794" s="15">
        <f>VLOOKUP(F794,product_info!$A$2:$D$73,4,0)</f>
        <v>4</v>
      </c>
      <c r="J794" s="15" t="str">
        <f>VLOOKUP(I794,department!$A$2:$B$13,2,0)</f>
        <v>Apparel</v>
      </c>
      <c r="K794">
        <v>4580</v>
      </c>
      <c r="L794" t="s">
        <v>415</v>
      </c>
      <c r="M794" s="4">
        <v>43485</v>
      </c>
      <c r="N794" s="12">
        <f t="shared" si="37"/>
        <v>1</v>
      </c>
      <c r="O794" s="13">
        <f t="shared" si="38"/>
        <v>2019</v>
      </c>
      <c r="P794" t="s">
        <v>13</v>
      </c>
      <c r="Q794" t="s">
        <v>47</v>
      </c>
      <c r="R794" t="s">
        <v>57</v>
      </c>
      <c r="S794" t="str" cm="1">
        <f t="array" ref="S794">_xlfn.IFS(R794="COMPLETE", "COMPLETED", R794="CANCELED", "CANCELED", TRUE, "PENDING")</f>
        <v>PENDING</v>
      </c>
      <c r="T794" t="s">
        <v>16</v>
      </c>
      <c r="U794">
        <f>VLOOKUP(A794,ordered_items!$B:$E,4,0)</f>
        <v>129.99</v>
      </c>
    </row>
    <row r="795" spans="1:21" x14ac:dyDescent="0.3">
      <c r="A795">
        <v>26404</v>
      </c>
      <c r="B795" t="s">
        <v>51</v>
      </c>
      <c r="C795">
        <v>5</v>
      </c>
      <c r="D795">
        <v>2</v>
      </c>
      <c r="E795" t="str">
        <f t="shared" si="36"/>
        <v>DELAYED</v>
      </c>
      <c r="F795">
        <f>VLOOKUP($A795,ordered_items!$B$2:$E$4784,2,0)</f>
        <v>191</v>
      </c>
      <c r="G795">
        <f>VLOOKUP($A795,ordered_items!$B$2:$E$4784,3,0)</f>
        <v>3</v>
      </c>
      <c r="H795">
        <f>VLOOKUP($A795,ordered_items!$B$2:$E$4784,4,0)</f>
        <v>299.97000000000003</v>
      </c>
      <c r="I795" s="15">
        <f>VLOOKUP(F795,product_info!$A$2:$D$73,4,0)</f>
        <v>3</v>
      </c>
      <c r="J795" s="15" t="str">
        <f>VLOOKUP(I795,department!$A$2:$B$13,2,0)</f>
        <v>Footwear</v>
      </c>
      <c r="K795">
        <v>3593</v>
      </c>
      <c r="L795" t="s">
        <v>415</v>
      </c>
      <c r="M795" s="4">
        <v>43485</v>
      </c>
      <c r="N795" s="12">
        <f t="shared" si="37"/>
        <v>1</v>
      </c>
      <c r="O795" s="13">
        <f t="shared" si="38"/>
        <v>2019</v>
      </c>
      <c r="P795" t="s">
        <v>13</v>
      </c>
      <c r="Q795" t="s">
        <v>47</v>
      </c>
      <c r="R795" t="s">
        <v>57</v>
      </c>
      <c r="S795" t="str" cm="1">
        <f t="array" ref="S795">_xlfn.IFS(R795="COMPLETE", "COMPLETED", R795="CANCELED", "CANCELED", TRUE, "PENDING")</f>
        <v>PENDING</v>
      </c>
      <c r="T795" t="s">
        <v>90</v>
      </c>
      <c r="U795">
        <f>VLOOKUP(A795,ordered_items!$B:$E,4,0)</f>
        <v>299.97000000000003</v>
      </c>
    </row>
    <row r="796" spans="1:21" x14ac:dyDescent="0.3">
      <c r="A796">
        <v>26405</v>
      </c>
      <c r="B796" t="s">
        <v>17</v>
      </c>
      <c r="C796">
        <v>6</v>
      </c>
      <c r="D796">
        <v>4</v>
      </c>
      <c r="E796" t="str">
        <f t="shared" si="36"/>
        <v>DELAYED</v>
      </c>
      <c r="F796">
        <f>VLOOKUP($A796,ordered_items!$B$2:$E$4784,2,0)</f>
        <v>957</v>
      </c>
      <c r="G796">
        <f>VLOOKUP($A796,ordered_items!$B$2:$E$4784,3,0)</f>
        <v>1</v>
      </c>
      <c r="H796">
        <f>VLOOKUP($A796,ordered_items!$B$2:$E$4784,4,0)</f>
        <v>299.98</v>
      </c>
      <c r="I796" s="15">
        <f>VLOOKUP(F796,product_info!$A$2:$D$73,4,0)</f>
        <v>7</v>
      </c>
      <c r="J796" s="15" t="str">
        <f>VLOOKUP(I796,department!$A$2:$B$13,2,0)</f>
        <v>Fan Shop</v>
      </c>
      <c r="K796">
        <v>4795</v>
      </c>
      <c r="L796" t="s">
        <v>12</v>
      </c>
      <c r="M796" s="4">
        <v>43485</v>
      </c>
      <c r="N796" s="12">
        <f t="shared" si="37"/>
        <v>1</v>
      </c>
      <c r="O796" s="13">
        <f t="shared" si="38"/>
        <v>2019</v>
      </c>
      <c r="P796" t="s">
        <v>13</v>
      </c>
      <c r="Q796" t="s">
        <v>5781</v>
      </c>
      <c r="R796" t="s">
        <v>23</v>
      </c>
      <c r="S796" t="str" cm="1">
        <f t="array" ref="S796">_xlfn.IFS(R796="COMPLETE", "COMPLETED", R796="CANCELED", "CANCELED", TRUE, "PENDING")</f>
        <v>PENDING</v>
      </c>
      <c r="T796" t="s">
        <v>16</v>
      </c>
      <c r="U796">
        <f>VLOOKUP(A796,ordered_items!$B:$E,4,0)</f>
        <v>299.98</v>
      </c>
    </row>
    <row r="797" spans="1:21" x14ac:dyDescent="0.3">
      <c r="A797">
        <v>26420</v>
      </c>
      <c r="B797" t="s">
        <v>17</v>
      </c>
      <c r="C797">
        <v>6</v>
      </c>
      <c r="D797">
        <v>4</v>
      </c>
      <c r="E797" t="str">
        <f t="shared" si="36"/>
        <v>DELAYED</v>
      </c>
      <c r="F797">
        <f>VLOOKUP($A797,ordered_items!$B$2:$E$4784,2,0)</f>
        <v>191</v>
      </c>
      <c r="G797">
        <f>VLOOKUP($A797,ordered_items!$B$2:$E$4784,3,0)</f>
        <v>1</v>
      </c>
      <c r="H797">
        <f>VLOOKUP($A797,ordered_items!$B$2:$E$4784,4,0)</f>
        <v>99.99</v>
      </c>
      <c r="I797" s="15">
        <f>VLOOKUP(F797,product_info!$A$2:$D$73,4,0)</f>
        <v>3</v>
      </c>
      <c r="J797" s="15" t="str">
        <f>VLOOKUP(I797,department!$A$2:$B$13,2,0)</f>
        <v>Footwear</v>
      </c>
      <c r="K797">
        <v>11380</v>
      </c>
      <c r="L797" t="s">
        <v>430</v>
      </c>
      <c r="M797" s="4">
        <v>43485</v>
      </c>
      <c r="N797" s="12">
        <f t="shared" si="37"/>
        <v>1</v>
      </c>
      <c r="O797" s="13">
        <f t="shared" si="38"/>
        <v>2019</v>
      </c>
      <c r="P797" t="s">
        <v>13</v>
      </c>
      <c r="Q797" t="s">
        <v>431</v>
      </c>
      <c r="R797" t="s">
        <v>23</v>
      </c>
      <c r="S797" t="str" cm="1">
        <f t="array" ref="S797">_xlfn.IFS(R797="COMPLETE", "COMPLETED", R797="CANCELED", "CANCELED", TRUE, "PENDING")</f>
        <v>PENDING</v>
      </c>
      <c r="T797" t="s">
        <v>16</v>
      </c>
      <c r="U797">
        <f>VLOOKUP(A797,ordered_items!$B:$E,4,0)</f>
        <v>99.99</v>
      </c>
    </row>
    <row r="798" spans="1:21" x14ac:dyDescent="0.3">
      <c r="A798">
        <v>26421</v>
      </c>
      <c r="B798" t="s">
        <v>51</v>
      </c>
      <c r="C798">
        <v>2</v>
      </c>
      <c r="D798">
        <v>2</v>
      </c>
      <c r="E798" t="str">
        <f t="shared" si="36"/>
        <v xml:space="preserve"> ONTIME</v>
      </c>
      <c r="F798">
        <f>VLOOKUP($A798,ordered_items!$B$2:$E$4784,2,0)</f>
        <v>502</v>
      </c>
      <c r="G798">
        <f>VLOOKUP($A798,ordered_items!$B$2:$E$4784,3,0)</f>
        <v>4</v>
      </c>
      <c r="H798">
        <f>VLOOKUP($A798,ordered_items!$B$2:$E$4784,4,0)</f>
        <v>200</v>
      </c>
      <c r="I798" s="15">
        <f>VLOOKUP(F798,product_info!$A$2:$D$73,4,0)</f>
        <v>5</v>
      </c>
      <c r="J798" s="15" t="str">
        <f>VLOOKUP(I798,department!$A$2:$B$13,2,0)</f>
        <v>Golf</v>
      </c>
      <c r="K798">
        <v>3331</v>
      </c>
      <c r="L798" t="s">
        <v>430</v>
      </c>
      <c r="M798" s="4">
        <v>43485</v>
      </c>
      <c r="N798" s="12">
        <f t="shared" si="37"/>
        <v>1</v>
      </c>
      <c r="O798" s="13">
        <f t="shared" si="38"/>
        <v>2019</v>
      </c>
      <c r="P798" t="s">
        <v>13</v>
      </c>
      <c r="Q798" t="s">
        <v>431</v>
      </c>
      <c r="R798" t="s">
        <v>57</v>
      </c>
      <c r="S798" t="str" cm="1">
        <f t="array" ref="S798">_xlfn.IFS(R798="COMPLETE", "COMPLETED", R798="CANCELED", "CANCELED", TRUE, "PENDING")</f>
        <v>PENDING</v>
      </c>
      <c r="T798" t="s">
        <v>90</v>
      </c>
      <c r="U798">
        <f>VLOOKUP(A798,ordered_items!$B:$E,4,0)</f>
        <v>200</v>
      </c>
    </row>
    <row r="799" spans="1:21" x14ac:dyDescent="0.3">
      <c r="A799">
        <v>26436</v>
      </c>
      <c r="B799" t="s">
        <v>3</v>
      </c>
      <c r="C799">
        <v>2</v>
      </c>
      <c r="D799">
        <v>4</v>
      </c>
      <c r="E799" t="str">
        <f t="shared" si="36"/>
        <v xml:space="preserve"> ONTIME</v>
      </c>
      <c r="F799">
        <f>VLOOKUP($A799,ordered_items!$B$2:$E$4784,2,0)</f>
        <v>627</v>
      </c>
      <c r="G799">
        <f>VLOOKUP($A799,ordered_items!$B$2:$E$4784,3,0)</f>
        <v>5</v>
      </c>
      <c r="H799">
        <f>VLOOKUP($A799,ordered_items!$B$2:$E$4784,4,0)</f>
        <v>199.95</v>
      </c>
      <c r="I799" s="15">
        <f>VLOOKUP(F799,product_info!$A$2:$D$73,4,0)</f>
        <v>5</v>
      </c>
      <c r="J799" s="15" t="str">
        <f>VLOOKUP(I799,department!$A$2:$B$13,2,0)</f>
        <v>Golf</v>
      </c>
      <c r="K799">
        <v>4565</v>
      </c>
      <c r="L799" t="s">
        <v>258</v>
      </c>
      <c r="M799" s="4">
        <v>43485</v>
      </c>
      <c r="N799" s="12">
        <f t="shared" si="37"/>
        <v>1</v>
      </c>
      <c r="O799" s="13">
        <f t="shared" si="38"/>
        <v>2019</v>
      </c>
      <c r="P799" t="s">
        <v>13</v>
      </c>
      <c r="Q799" t="s">
        <v>30</v>
      </c>
      <c r="R799" t="s">
        <v>38</v>
      </c>
      <c r="S799" t="str" cm="1">
        <f t="array" ref="S799">_xlfn.IFS(R799="COMPLETE", "COMPLETED", R799="CANCELED", "CANCELED", TRUE, "PENDING")</f>
        <v>PENDING</v>
      </c>
      <c r="T799" t="s">
        <v>16</v>
      </c>
      <c r="U799">
        <f>VLOOKUP(A799,ordered_items!$B:$E,4,0)</f>
        <v>199.95</v>
      </c>
    </row>
    <row r="800" spans="1:21" x14ac:dyDescent="0.3">
      <c r="A800">
        <v>26437</v>
      </c>
      <c r="B800" t="s">
        <v>3</v>
      </c>
      <c r="C800">
        <v>3</v>
      </c>
      <c r="D800">
        <v>2</v>
      </c>
      <c r="E800" t="str">
        <f t="shared" si="36"/>
        <v>DELAYED</v>
      </c>
      <c r="F800">
        <f>VLOOKUP($A800,ordered_items!$B$2:$E$4784,2,0)</f>
        <v>403</v>
      </c>
      <c r="G800">
        <f>VLOOKUP($A800,ordered_items!$B$2:$E$4784,3,0)</f>
        <v>1</v>
      </c>
      <c r="H800">
        <f>VLOOKUP($A800,ordered_items!$B$2:$E$4784,4,0)</f>
        <v>129.99</v>
      </c>
      <c r="I800" s="15">
        <f>VLOOKUP(F800,product_info!$A$2:$D$73,4,0)</f>
        <v>4</v>
      </c>
      <c r="J800" s="15" t="str">
        <f>VLOOKUP(I800,department!$A$2:$B$13,2,0)</f>
        <v>Apparel</v>
      </c>
      <c r="K800">
        <v>1159</v>
      </c>
      <c r="L800" t="s">
        <v>258</v>
      </c>
      <c r="M800" s="4">
        <v>43485</v>
      </c>
      <c r="N800" s="12">
        <f t="shared" si="37"/>
        <v>1</v>
      </c>
      <c r="O800" s="13">
        <f t="shared" si="38"/>
        <v>2019</v>
      </c>
      <c r="P800" t="s">
        <v>13</v>
      </c>
      <c r="Q800" t="s">
        <v>30</v>
      </c>
      <c r="R800" t="s">
        <v>38</v>
      </c>
      <c r="S800" t="str" cm="1">
        <f t="array" ref="S800">_xlfn.IFS(R800="COMPLETE", "COMPLETED", R800="CANCELED", "CANCELED", TRUE, "PENDING")</f>
        <v>PENDING</v>
      </c>
      <c r="T800" t="s">
        <v>90</v>
      </c>
      <c r="U800">
        <f>VLOOKUP(A800,ordered_items!$B:$E,4,0)</f>
        <v>129.99</v>
      </c>
    </row>
    <row r="801" spans="1:21" x14ac:dyDescent="0.3">
      <c r="A801">
        <v>26480</v>
      </c>
      <c r="B801" t="s">
        <v>3</v>
      </c>
      <c r="C801">
        <v>6</v>
      </c>
      <c r="D801">
        <v>4</v>
      </c>
      <c r="E801" t="str">
        <f t="shared" si="36"/>
        <v>DELAYED</v>
      </c>
      <c r="F801">
        <f>VLOOKUP($A801,ordered_items!$B$2:$E$4784,2,0)</f>
        <v>365</v>
      </c>
      <c r="G801">
        <f>VLOOKUP($A801,ordered_items!$B$2:$E$4784,3,0)</f>
        <v>2</v>
      </c>
      <c r="H801">
        <f>VLOOKUP($A801,ordered_items!$B$2:$E$4784,4,0)</f>
        <v>119.98</v>
      </c>
      <c r="I801" s="15">
        <f>VLOOKUP(F801,product_info!$A$2:$D$73,4,0)</f>
        <v>4</v>
      </c>
      <c r="J801" s="15" t="str">
        <f>VLOOKUP(I801,department!$A$2:$B$13,2,0)</f>
        <v>Apparel</v>
      </c>
      <c r="K801">
        <v>9749</v>
      </c>
      <c r="L801" t="s">
        <v>327</v>
      </c>
      <c r="M801" s="4">
        <v>43486</v>
      </c>
      <c r="N801" s="12">
        <f t="shared" si="37"/>
        <v>1</v>
      </c>
      <c r="O801" s="13">
        <f t="shared" si="38"/>
        <v>2019</v>
      </c>
      <c r="P801" t="s">
        <v>13</v>
      </c>
      <c r="Q801" t="s">
        <v>227</v>
      </c>
      <c r="R801" t="s">
        <v>178</v>
      </c>
      <c r="S801" t="str" cm="1">
        <f t="array" ref="S801">_xlfn.IFS(R801="COMPLETE", "COMPLETED", R801="CANCELED", "CANCELED", TRUE, "PENDING")</f>
        <v>PENDING</v>
      </c>
      <c r="T801" t="s">
        <v>16</v>
      </c>
      <c r="U801">
        <f>VLOOKUP(A801,ordered_items!$B:$E,4,0)</f>
        <v>119.98</v>
      </c>
    </row>
    <row r="802" spans="1:21" x14ac:dyDescent="0.3">
      <c r="A802">
        <v>26481</v>
      </c>
      <c r="B802" t="s">
        <v>3</v>
      </c>
      <c r="C802">
        <v>2</v>
      </c>
      <c r="D802">
        <v>4</v>
      </c>
      <c r="E802" t="str">
        <f t="shared" si="36"/>
        <v xml:space="preserve"> ONTIME</v>
      </c>
      <c r="F802">
        <f>VLOOKUP($A802,ordered_items!$B$2:$E$4784,2,0)</f>
        <v>365</v>
      </c>
      <c r="G802">
        <f>VLOOKUP($A802,ordered_items!$B$2:$E$4784,3,0)</f>
        <v>3</v>
      </c>
      <c r="H802">
        <f>VLOOKUP($A802,ordered_items!$B$2:$E$4784,4,0)</f>
        <v>179.97</v>
      </c>
      <c r="I802" s="15">
        <f>VLOOKUP(F802,product_info!$A$2:$D$73,4,0)</f>
        <v>4</v>
      </c>
      <c r="J802" s="15" t="str">
        <f>VLOOKUP(I802,department!$A$2:$B$13,2,0)</f>
        <v>Apparel</v>
      </c>
      <c r="K802">
        <v>2798</v>
      </c>
      <c r="L802" t="s">
        <v>327</v>
      </c>
      <c r="M802" s="4">
        <v>43486</v>
      </c>
      <c r="N802" s="12">
        <f t="shared" si="37"/>
        <v>1</v>
      </c>
      <c r="O802" s="13">
        <f t="shared" si="38"/>
        <v>2019</v>
      </c>
      <c r="P802" t="s">
        <v>13</v>
      </c>
      <c r="Q802" t="s">
        <v>227</v>
      </c>
      <c r="R802" t="s">
        <v>14</v>
      </c>
      <c r="S802" t="str" cm="1">
        <f t="array" ref="S802">_xlfn.IFS(R802="COMPLETE", "COMPLETED", R802="CANCELED", "CANCELED", TRUE, "PENDING")</f>
        <v>PENDING</v>
      </c>
      <c r="T802" t="s">
        <v>16</v>
      </c>
      <c r="U802">
        <f>VLOOKUP(A802,ordered_items!$B:$E,4,0)</f>
        <v>179.97</v>
      </c>
    </row>
    <row r="803" spans="1:21" x14ac:dyDescent="0.3">
      <c r="A803">
        <v>26482</v>
      </c>
      <c r="B803" t="s">
        <v>24</v>
      </c>
      <c r="C803">
        <v>3</v>
      </c>
      <c r="D803">
        <v>4</v>
      </c>
      <c r="E803" t="str">
        <f t="shared" si="36"/>
        <v xml:space="preserve"> ONTIME</v>
      </c>
      <c r="F803">
        <f>VLOOKUP($A803,ordered_items!$B$2:$E$4784,2,0)</f>
        <v>1073</v>
      </c>
      <c r="G803">
        <f>VLOOKUP($A803,ordered_items!$B$2:$E$4784,3,0)</f>
        <v>1</v>
      </c>
      <c r="H803">
        <f>VLOOKUP($A803,ordered_items!$B$2:$E$4784,4,0)</f>
        <v>199.99</v>
      </c>
      <c r="I803" s="15">
        <f>VLOOKUP(F803,product_info!$A$2:$D$73,4,0)</f>
        <v>7</v>
      </c>
      <c r="J803" s="15" t="str">
        <f>VLOOKUP(I803,department!$A$2:$B$13,2,0)</f>
        <v>Fan Shop</v>
      </c>
      <c r="K803">
        <v>3187</v>
      </c>
      <c r="L803" t="s">
        <v>327</v>
      </c>
      <c r="M803" s="4">
        <v>43486</v>
      </c>
      <c r="N803" s="12">
        <f t="shared" si="37"/>
        <v>1</v>
      </c>
      <c r="O803" s="13">
        <f t="shared" si="38"/>
        <v>2019</v>
      </c>
      <c r="P803" t="s">
        <v>13</v>
      </c>
      <c r="Q803" t="s">
        <v>227</v>
      </c>
      <c r="R803" t="s">
        <v>31</v>
      </c>
      <c r="S803" t="str" cm="1">
        <f t="array" ref="S803">_xlfn.IFS(R803="COMPLETE", "COMPLETED", R803="CANCELED", "CANCELED", TRUE, "PENDING")</f>
        <v>COMPLETED</v>
      </c>
      <c r="T803" t="s">
        <v>16</v>
      </c>
      <c r="U803">
        <f>VLOOKUP(A803,ordered_items!$B:$E,4,0)</f>
        <v>199.99</v>
      </c>
    </row>
    <row r="804" spans="1:21" x14ac:dyDescent="0.3">
      <c r="A804">
        <v>26483</v>
      </c>
      <c r="B804" t="s">
        <v>3</v>
      </c>
      <c r="C804">
        <v>2</v>
      </c>
      <c r="D804">
        <v>1</v>
      </c>
      <c r="E804" t="str">
        <f t="shared" si="36"/>
        <v>DELAYED</v>
      </c>
      <c r="F804">
        <f>VLOOKUP($A804,ordered_items!$B$2:$E$4784,2,0)</f>
        <v>403</v>
      </c>
      <c r="G804">
        <f>VLOOKUP($A804,ordered_items!$B$2:$E$4784,3,0)</f>
        <v>1</v>
      </c>
      <c r="H804">
        <f>VLOOKUP($A804,ordered_items!$B$2:$E$4784,4,0)</f>
        <v>129.99</v>
      </c>
      <c r="I804" s="15">
        <f>VLOOKUP(F804,product_info!$A$2:$D$73,4,0)</f>
        <v>4</v>
      </c>
      <c r="J804" s="15" t="str">
        <f>VLOOKUP(I804,department!$A$2:$B$13,2,0)</f>
        <v>Apparel</v>
      </c>
      <c r="K804">
        <v>9379</v>
      </c>
      <c r="L804" t="s">
        <v>327</v>
      </c>
      <c r="M804" s="4">
        <v>43486</v>
      </c>
      <c r="N804" s="12">
        <f t="shared" si="37"/>
        <v>1</v>
      </c>
      <c r="O804" s="13">
        <f t="shared" si="38"/>
        <v>2019</v>
      </c>
      <c r="P804" t="s">
        <v>13</v>
      </c>
      <c r="Q804" t="s">
        <v>227</v>
      </c>
      <c r="R804" t="s">
        <v>235</v>
      </c>
      <c r="S804" t="str" cm="1">
        <f t="array" ref="S804">_xlfn.IFS(R804="COMPLETE", "COMPLETED", R804="CANCELED", "CANCELED", TRUE, "PENDING")</f>
        <v>CANCELED</v>
      </c>
      <c r="T804" t="s">
        <v>32</v>
      </c>
      <c r="U804">
        <f>VLOOKUP(A804,ordered_items!$B:$E,4,0)</f>
        <v>129.99</v>
      </c>
    </row>
    <row r="805" spans="1:21" x14ac:dyDescent="0.3">
      <c r="A805">
        <v>26487</v>
      </c>
      <c r="B805" t="s">
        <v>51</v>
      </c>
      <c r="C805">
        <v>1</v>
      </c>
      <c r="D805">
        <v>0</v>
      </c>
      <c r="E805" t="str">
        <f t="shared" si="36"/>
        <v>DELAYED</v>
      </c>
      <c r="F805">
        <f>VLOOKUP($A805,ordered_items!$B$2:$E$4784,2,0)</f>
        <v>502</v>
      </c>
      <c r="G805">
        <f>VLOOKUP($A805,ordered_items!$B$2:$E$4784,3,0)</f>
        <v>2</v>
      </c>
      <c r="H805">
        <f>VLOOKUP($A805,ordered_items!$B$2:$E$4784,4,0)</f>
        <v>100</v>
      </c>
      <c r="I805" s="15">
        <f>VLOOKUP(F805,product_info!$A$2:$D$73,4,0)</f>
        <v>5</v>
      </c>
      <c r="J805" s="15" t="str">
        <f>VLOOKUP(I805,department!$A$2:$B$13,2,0)</f>
        <v>Golf</v>
      </c>
      <c r="K805">
        <v>6466</v>
      </c>
      <c r="L805" t="s">
        <v>70</v>
      </c>
      <c r="M805" s="4">
        <v>43486</v>
      </c>
      <c r="N805" s="12">
        <f t="shared" si="37"/>
        <v>1</v>
      </c>
      <c r="O805" s="13">
        <f t="shared" si="38"/>
        <v>2019</v>
      </c>
      <c r="P805" t="s">
        <v>13</v>
      </c>
      <c r="Q805" t="s">
        <v>70</v>
      </c>
      <c r="R805" t="s">
        <v>57</v>
      </c>
      <c r="S805" t="str" cm="1">
        <f t="array" ref="S805">_xlfn.IFS(R805="COMPLETE", "COMPLETED", R805="CANCELED", "CANCELED", TRUE, "PENDING")</f>
        <v>PENDING</v>
      </c>
      <c r="T805" t="s">
        <v>58</v>
      </c>
      <c r="U805">
        <f>VLOOKUP(A805,ordered_items!$B:$E,4,0)</f>
        <v>100</v>
      </c>
    </row>
    <row r="806" spans="1:21" x14ac:dyDescent="0.3">
      <c r="A806">
        <v>26497</v>
      </c>
      <c r="B806" t="s">
        <v>24</v>
      </c>
      <c r="C806">
        <v>3</v>
      </c>
      <c r="D806">
        <v>4</v>
      </c>
      <c r="E806" t="str">
        <f t="shared" si="36"/>
        <v xml:space="preserve"> ONTIME</v>
      </c>
      <c r="F806">
        <f>VLOOKUP($A806,ordered_items!$B$2:$E$4784,2,0)</f>
        <v>191</v>
      </c>
      <c r="G806">
        <f>VLOOKUP($A806,ordered_items!$B$2:$E$4784,3,0)</f>
        <v>1</v>
      </c>
      <c r="H806">
        <f>VLOOKUP($A806,ordered_items!$B$2:$E$4784,4,0)</f>
        <v>99.99</v>
      </c>
      <c r="I806" s="15">
        <f>VLOOKUP(F806,product_info!$A$2:$D$73,4,0)</f>
        <v>3</v>
      </c>
      <c r="J806" s="15" t="str">
        <f>VLOOKUP(I806,department!$A$2:$B$13,2,0)</f>
        <v>Footwear</v>
      </c>
      <c r="K806">
        <v>4268</v>
      </c>
      <c r="L806" t="s">
        <v>2126</v>
      </c>
      <c r="M806" s="4">
        <v>43486</v>
      </c>
      <c r="N806" s="12">
        <f t="shared" si="37"/>
        <v>1</v>
      </c>
      <c r="O806" s="13">
        <f t="shared" si="38"/>
        <v>2019</v>
      </c>
      <c r="P806" t="s">
        <v>13</v>
      </c>
      <c r="Q806" t="s">
        <v>5777</v>
      </c>
      <c r="R806" t="s">
        <v>31</v>
      </c>
      <c r="S806" t="str" cm="1">
        <f t="array" ref="S806">_xlfn.IFS(R806="COMPLETE", "COMPLETED", R806="CANCELED", "CANCELED", TRUE, "PENDING")</f>
        <v>COMPLETED</v>
      </c>
      <c r="T806" t="s">
        <v>16</v>
      </c>
      <c r="U806">
        <f>VLOOKUP(A806,ordered_items!$B:$E,4,0)</f>
        <v>99.99</v>
      </c>
    </row>
    <row r="807" spans="1:21" x14ac:dyDescent="0.3">
      <c r="A807">
        <v>26498</v>
      </c>
      <c r="B807" t="s">
        <v>51</v>
      </c>
      <c r="C807">
        <v>4</v>
      </c>
      <c r="D807">
        <v>4</v>
      </c>
      <c r="E807" t="str">
        <f t="shared" si="36"/>
        <v xml:space="preserve"> ONTIME</v>
      </c>
      <c r="F807">
        <f>VLOOKUP($A807,ordered_items!$B$2:$E$4784,2,0)</f>
        <v>191</v>
      </c>
      <c r="G807">
        <f>VLOOKUP($A807,ordered_items!$B$2:$E$4784,3,0)</f>
        <v>1</v>
      </c>
      <c r="H807">
        <f>VLOOKUP($A807,ordered_items!$B$2:$E$4784,4,0)</f>
        <v>99.99</v>
      </c>
      <c r="I807" s="15">
        <f>VLOOKUP(F807,product_info!$A$2:$D$73,4,0)</f>
        <v>3</v>
      </c>
      <c r="J807" s="15" t="str">
        <f>VLOOKUP(I807,department!$A$2:$B$13,2,0)</f>
        <v>Footwear</v>
      </c>
      <c r="K807">
        <v>10684</v>
      </c>
      <c r="L807" t="s">
        <v>233</v>
      </c>
      <c r="M807" s="4">
        <v>43486</v>
      </c>
      <c r="N807" s="12">
        <f t="shared" si="37"/>
        <v>1</v>
      </c>
      <c r="O807" s="13">
        <f t="shared" si="38"/>
        <v>2019</v>
      </c>
      <c r="P807" t="s">
        <v>13</v>
      </c>
      <c r="Q807" t="s">
        <v>234</v>
      </c>
      <c r="R807" t="s">
        <v>57</v>
      </c>
      <c r="S807" t="str" cm="1">
        <f t="array" ref="S807">_xlfn.IFS(R807="COMPLETE", "COMPLETED", R807="CANCELED", "CANCELED", TRUE, "PENDING")</f>
        <v>PENDING</v>
      </c>
      <c r="T807" t="s">
        <v>16</v>
      </c>
      <c r="U807">
        <f>VLOOKUP(A807,ordered_items!$B:$E,4,0)</f>
        <v>99.99</v>
      </c>
    </row>
    <row r="808" spans="1:21" x14ac:dyDescent="0.3">
      <c r="A808">
        <v>26499</v>
      </c>
      <c r="B808" t="s">
        <v>24</v>
      </c>
      <c r="C808">
        <v>5</v>
      </c>
      <c r="D808">
        <v>4</v>
      </c>
      <c r="E808" t="str">
        <f t="shared" si="36"/>
        <v>DELAYED</v>
      </c>
      <c r="F808">
        <f>VLOOKUP($A808,ordered_items!$B$2:$E$4784,2,0)</f>
        <v>365</v>
      </c>
      <c r="G808">
        <f>VLOOKUP($A808,ordered_items!$B$2:$E$4784,3,0)</f>
        <v>3</v>
      </c>
      <c r="H808">
        <f>VLOOKUP($A808,ordered_items!$B$2:$E$4784,4,0)</f>
        <v>179.97</v>
      </c>
      <c r="I808" s="15">
        <f>VLOOKUP(F808,product_info!$A$2:$D$73,4,0)</f>
        <v>4</v>
      </c>
      <c r="J808" s="15" t="str">
        <f>VLOOKUP(I808,department!$A$2:$B$13,2,0)</f>
        <v>Apparel</v>
      </c>
      <c r="K808">
        <v>4925</v>
      </c>
      <c r="L808" t="s">
        <v>233</v>
      </c>
      <c r="M808" s="4">
        <v>43486</v>
      </c>
      <c r="N808" s="12">
        <f t="shared" si="37"/>
        <v>1</v>
      </c>
      <c r="O808" s="13">
        <f t="shared" si="38"/>
        <v>2019</v>
      </c>
      <c r="P808" t="s">
        <v>13</v>
      </c>
      <c r="Q808" t="s">
        <v>234</v>
      </c>
      <c r="R808" t="s">
        <v>31</v>
      </c>
      <c r="S808" t="str" cm="1">
        <f t="array" ref="S808">_xlfn.IFS(R808="COMPLETE", "COMPLETED", R808="CANCELED", "CANCELED", TRUE, "PENDING")</f>
        <v>COMPLETED</v>
      </c>
      <c r="T808" t="s">
        <v>16</v>
      </c>
      <c r="U808">
        <f>VLOOKUP(A808,ordered_items!$B:$E,4,0)</f>
        <v>179.97</v>
      </c>
    </row>
    <row r="809" spans="1:21" x14ac:dyDescent="0.3">
      <c r="A809">
        <v>26523</v>
      </c>
      <c r="B809" t="s">
        <v>24</v>
      </c>
      <c r="C809">
        <v>2</v>
      </c>
      <c r="D809">
        <v>1</v>
      </c>
      <c r="E809" t="str">
        <f t="shared" si="36"/>
        <v>DELAYED</v>
      </c>
      <c r="F809">
        <f>VLOOKUP($A809,ordered_items!$B$2:$E$4784,2,0)</f>
        <v>771</v>
      </c>
      <c r="G809">
        <f>VLOOKUP($A809,ordered_items!$B$2:$E$4784,3,0)</f>
        <v>2</v>
      </c>
      <c r="H809">
        <f>VLOOKUP($A809,ordered_items!$B$2:$E$4784,4,0)</f>
        <v>79.98</v>
      </c>
      <c r="I809" s="15">
        <f>VLOOKUP(F809,product_info!$A$2:$D$73,4,0)</f>
        <v>6</v>
      </c>
      <c r="J809" s="15" t="str">
        <f>VLOOKUP(I809,department!$A$2:$B$13,2,0)</f>
        <v>Outdoors</v>
      </c>
      <c r="K809">
        <v>2268</v>
      </c>
      <c r="L809" t="s">
        <v>497</v>
      </c>
      <c r="M809" s="4">
        <v>43487</v>
      </c>
      <c r="N809" s="12">
        <f t="shared" si="37"/>
        <v>1</v>
      </c>
      <c r="O809" s="13">
        <f t="shared" si="38"/>
        <v>2019</v>
      </c>
      <c r="P809" t="s">
        <v>13</v>
      </c>
      <c r="Q809" t="s">
        <v>99</v>
      </c>
      <c r="R809" t="s">
        <v>31</v>
      </c>
      <c r="S809" t="str" cm="1">
        <f t="array" ref="S809">_xlfn.IFS(R809="COMPLETE", "COMPLETED", R809="CANCELED", "CANCELED", TRUE, "PENDING")</f>
        <v>COMPLETED</v>
      </c>
      <c r="T809" t="s">
        <v>32</v>
      </c>
      <c r="U809">
        <f>VLOOKUP(A809,ordered_items!$B:$E,4,0)</f>
        <v>79.98</v>
      </c>
    </row>
    <row r="810" spans="1:21" x14ac:dyDescent="0.3">
      <c r="A810">
        <v>26524</v>
      </c>
      <c r="B810" t="s">
        <v>24</v>
      </c>
      <c r="C810">
        <v>2</v>
      </c>
      <c r="D810">
        <v>1</v>
      </c>
      <c r="E810" t="str">
        <f t="shared" si="36"/>
        <v>DELAYED</v>
      </c>
      <c r="F810">
        <f>VLOOKUP($A810,ordered_items!$B$2:$E$4784,2,0)</f>
        <v>403</v>
      </c>
      <c r="G810">
        <f>VLOOKUP($A810,ordered_items!$B$2:$E$4784,3,0)</f>
        <v>1</v>
      </c>
      <c r="H810">
        <f>VLOOKUP($A810,ordered_items!$B$2:$E$4784,4,0)</f>
        <v>129.99</v>
      </c>
      <c r="I810" s="15">
        <f>VLOOKUP(F810,product_info!$A$2:$D$73,4,0)</f>
        <v>4</v>
      </c>
      <c r="J810" s="15" t="str">
        <f>VLOOKUP(I810,department!$A$2:$B$13,2,0)</f>
        <v>Apparel</v>
      </c>
      <c r="K810">
        <v>3171</v>
      </c>
      <c r="L810" t="s">
        <v>497</v>
      </c>
      <c r="M810" s="4">
        <v>43487</v>
      </c>
      <c r="N810" s="12">
        <f t="shared" si="37"/>
        <v>1</v>
      </c>
      <c r="O810" s="13">
        <f t="shared" si="38"/>
        <v>2019</v>
      </c>
      <c r="P810" t="s">
        <v>13</v>
      </c>
      <c r="Q810" t="s">
        <v>99</v>
      </c>
      <c r="R810" t="s">
        <v>31</v>
      </c>
      <c r="S810" t="str" cm="1">
        <f t="array" ref="S810">_xlfn.IFS(R810="COMPLETE", "COMPLETED", R810="CANCELED", "CANCELED", TRUE, "PENDING")</f>
        <v>COMPLETED</v>
      </c>
      <c r="T810" t="s">
        <v>32</v>
      </c>
      <c r="U810">
        <f>VLOOKUP(A810,ordered_items!$B:$E,4,0)</f>
        <v>129.99</v>
      </c>
    </row>
    <row r="811" spans="1:21" x14ac:dyDescent="0.3">
      <c r="A811">
        <v>26525</v>
      </c>
      <c r="B811" t="s">
        <v>24</v>
      </c>
      <c r="C811">
        <v>6</v>
      </c>
      <c r="D811">
        <v>2</v>
      </c>
      <c r="E811" t="str">
        <f t="shared" si="36"/>
        <v>DELAYED</v>
      </c>
      <c r="F811">
        <f>VLOOKUP($A811,ordered_items!$B$2:$E$4784,2,0)</f>
        <v>135</v>
      </c>
      <c r="G811">
        <f>VLOOKUP($A811,ordered_items!$B$2:$E$4784,3,0)</f>
        <v>4</v>
      </c>
      <c r="H811">
        <f>VLOOKUP($A811,ordered_items!$B$2:$E$4784,4,0)</f>
        <v>88</v>
      </c>
      <c r="I811" s="15">
        <f>VLOOKUP(F811,product_info!$A$2:$D$73,4,0)</f>
        <v>2</v>
      </c>
      <c r="J811" s="15" t="str">
        <f>VLOOKUP(I811,department!$A$2:$B$13,2,0)</f>
        <v>Fitness</v>
      </c>
      <c r="K811">
        <v>8184</v>
      </c>
      <c r="L811" t="s">
        <v>497</v>
      </c>
      <c r="M811" s="4">
        <v>43487</v>
      </c>
      <c r="N811" s="12">
        <f t="shared" si="37"/>
        <v>1</v>
      </c>
      <c r="O811" s="13">
        <f t="shared" si="38"/>
        <v>2019</v>
      </c>
      <c r="P811" t="s">
        <v>13</v>
      </c>
      <c r="Q811" t="s">
        <v>99</v>
      </c>
      <c r="R811" t="s">
        <v>31</v>
      </c>
      <c r="S811" t="str" cm="1">
        <f t="array" ref="S811">_xlfn.IFS(R811="COMPLETE", "COMPLETED", R811="CANCELED", "CANCELED", TRUE, "PENDING")</f>
        <v>COMPLETED</v>
      </c>
      <c r="T811" t="s">
        <v>90</v>
      </c>
      <c r="U811">
        <f>VLOOKUP(A811,ordered_items!$B:$E,4,0)</f>
        <v>88</v>
      </c>
    </row>
    <row r="812" spans="1:21" x14ac:dyDescent="0.3">
      <c r="A812">
        <v>26526</v>
      </c>
      <c r="B812" t="s">
        <v>3</v>
      </c>
      <c r="C812">
        <v>2</v>
      </c>
      <c r="D812">
        <v>2</v>
      </c>
      <c r="E812" t="str">
        <f t="shared" si="36"/>
        <v xml:space="preserve"> ONTIME</v>
      </c>
      <c r="F812">
        <f>VLOOKUP($A812,ordered_items!$B$2:$E$4784,2,0)</f>
        <v>792</v>
      </c>
      <c r="G812">
        <f>VLOOKUP($A812,ordered_items!$B$2:$E$4784,3,0)</f>
        <v>1</v>
      </c>
      <c r="H812">
        <f>VLOOKUP($A812,ordered_items!$B$2:$E$4784,4,0)</f>
        <v>14.99</v>
      </c>
      <c r="I812" s="15">
        <f>VLOOKUP(F812,product_info!$A$2:$D$73,4,0)</f>
        <v>6</v>
      </c>
      <c r="J812" s="15" t="str">
        <f>VLOOKUP(I812,department!$A$2:$B$13,2,0)</f>
        <v>Outdoors</v>
      </c>
      <c r="K812">
        <v>11097</v>
      </c>
      <c r="L812" t="s">
        <v>497</v>
      </c>
      <c r="M812" s="4">
        <v>43487</v>
      </c>
      <c r="N812" s="12">
        <f t="shared" si="37"/>
        <v>1</v>
      </c>
      <c r="O812" s="13">
        <f t="shared" si="38"/>
        <v>2019</v>
      </c>
      <c r="P812" t="s">
        <v>13</v>
      </c>
      <c r="Q812" t="s">
        <v>99</v>
      </c>
      <c r="R812" t="s">
        <v>14</v>
      </c>
      <c r="S812" t="str" cm="1">
        <f t="array" ref="S812">_xlfn.IFS(R812="COMPLETE", "COMPLETED", R812="CANCELED", "CANCELED", TRUE, "PENDING")</f>
        <v>PENDING</v>
      </c>
      <c r="T812" t="s">
        <v>90</v>
      </c>
      <c r="U812">
        <f>VLOOKUP(A812,ordered_items!$B:$E,4,0)</f>
        <v>14.99</v>
      </c>
    </row>
    <row r="813" spans="1:21" x14ac:dyDescent="0.3">
      <c r="A813">
        <v>26546</v>
      </c>
      <c r="B813" t="s">
        <v>24</v>
      </c>
      <c r="C813">
        <v>2</v>
      </c>
      <c r="D813">
        <v>2</v>
      </c>
      <c r="E813" t="str">
        <f t="shared" si="36"/>
        <v xml:space="preserve"> ONTIME</v>
      </c>
      <c r="F813">
        <f>VLOOKUP($A813,ordered_items!$B$2:$E$4784,2,0)</f>
        <v>403</v>
      </c>
      <c r="G813">
        <f>VLOOKUP($A813,ordered_items!$B$2:$E$4784,3,0)</f>
        <v>1</v>
      </c>
      <c r="H813">
        <f>VLOOKUP($A813,ordered_items!$B$2:$E$4784,4,0)</f>
        <v>129.99</v>
      </c>
      <c r="I813" s="15">
        <f>VLOOKUP(F813,product_info!$A$2:$D$73,4,0)</f>
        <v>4</v>
      </c>
      <c r="J813" s="15" t="str">
        <f>VLOOKUP(I813,department!$A$2:$B$13,2,0)</f>
        <v>Apparel</v>
      </c>
      <c r="K813">
        <v>2265</v>
      </c>
      <c r="L813" t="s">
        <v>258</v>
      </c>
      <c r="M813" s="4">
        <v>43487</v>
      </c>
      <c r="N813" s="12">
        <f t="shared" si="37"/>
        <v>1</v>
      </c>
      <c r="O813" s="13">
        <f t="shared" si="38"/>
        <v>2019</v>
      </c>
      <c r="P813" t="s">
        <v>13</v>
      </c>
      <c r="Q813" t="s">
        <v>30</v>
      </c>
      <c r="R813" t="s">
        <v>31</v>
      </c>
      <c r="S813" t="str" cm="1">
        <f t="array" ref="S813">_xlfn.IFS(R813="COMPLETE", "COMPLETED", R813="CANCELED", "CANCELED", TRUE, "PENDING")</f>
        <v>COMPLETED</v>
      </c>
      <c r="T813" t="s">
        <v>90</v>
      </c>
      <c r="U813">
        <f>VLOOKUP(A813,ordered_items!$B:$E,4,0)</f>
        <v>129.99</v>
      </c>
    </row>
    <row r="814" spans="1:21" x14ac:dyDescent="0.3">
      <c r="A814">
        <v>26553</v>
      </c>
      <c r="B814" t="s">
        <v>24</v>
      </c>
      <c r="C814">
        <v>4</v>
      </c>
      <c r="D814">
        <v>4</v>
      </c>
      <c r="E814" t="str">
        <f t="shared" si="36"/>
        <v xml:space="preserve"> ONTIME</v>
      </c>
      <c r="F814">
        <f>VLOOKUP($A814,ordered_items!$B$2:$E$4784,2,0)</f>
        <v>403</v>
      </c>
      <c r="G814">
        <f>VLOOKUP($A814,ordered_items!$B$2:$E$4784,3,0)</f>
        <v>1</v>
      </c>
      <c r="H814">
        <f>VLOOKUP($A814,ordered_items!$B$2:$E$4784,4,0)</f>
        <v>129.99</v>
      </c>
      <c r="I814" s="15">
        <f>VLOOKUP(F814,product_info!$A$2:$D$73,4,0)</f>
        <v>4</v>
      </c>
      <c r="J814" s="15" t="str">
        <f>VLOOKUP(I814,department!$A$2:$B$13,2,0)</f>
        <v>Apparel</v>
      </c>
      <c r="K814">
        <v>4353</v>
      </c>
      <c r="L814" t="s">
        <v>525</v>
      </c>
      <c r="M814" s="4">
        <v>43487</v>
      </c>
      <c r="N814" s="12">
        <f t="shared" si="37"/>
        <v>1</v>
      </c>
      <c r="O814" s="13">
        <f t="shared" si="38"/>
        <v>2019</v>
      </c>
      <c r="P814" t="s">
        <v>13</v>
      </c>
      <c r="Q814" t="s">
        <v>5778</v>
      </c>
      <c r="R814" t="s">
        <v>31</v>
      </c>
      <c r="S814" t="str" cm="1">
        <f t="array" ref="S814">_xlfn.IFS(R814="COMPLETE", "COMPLETED", R814="CANCELED", "CANCELED", TRUE, "PENDING")</f>
        <v>COMPLETED</v>
      </c>
      <c r="T814" t="s">
        <v>16</v>
      </c>
      <c r="U814">
        <f>VLOOKUP(A814,ordered_items!$B:$E,4,0)</f>
        <v>129.99</v>
      </c>
    </row>
    <row r="815" spans="1:21" x14ac:dyDescent="0.3">
      <c r="A815">
        <v>26555</v>
      </c>
      <c r="B815" t="s">
        <v>51</v>
      </c>
      <c r="C815">
        <v>6</v>
      </c>
      <c r="D815">
        <v>4</v>
      </c>
      <c r="E815" t="str">
        <f t="shared" si="36"/>
        <v>DELAYED</v>
      </c>
      <c r="F815">
        <f>VLOOKUP($A815,ordered_items!$B$2:$E$4784,2,0)</f>
        <v>191</v>
      </c>
      <c r="G815">
        <f>VLOOKUP($A815,ordered_items!$B$2:$E$4784,3,0)</f>
        <v>1</v>
      </c>
      <c r="H815">
        <f>VLOOKUP($A815,ordered_items!$B$2:$E$4784,4,0)</f>
        <v>99.99</v>
      </c>
      <c r="I815" s="15">
        <f>VLOOKUP(F815,product_info!$A$2:$D$73,4,0)</f>
        <v>3</v>
      </c>
      <c r="J815" s="15" t="str">
        <f>VLOOKUP(I815,department!$A$2:$B$13,2,0)</f>
        <v>Footwear</v>
      </c>
      <c r="K815">
        <v>174</v>
      </c>
      <c r="L815" t="s">
        <v>525</v>
      </c>
      <c r="M815" s="4">
        <v>43487</v>
      </c>
      <c r="N815" s="12">
        <f t="shared" si="37"/>
        <v>1</v>
      </c>
      <c r="O815" s="13">
        <f t="shared" si="38"/>
        <v>2019</v>
      </c>
      <c r="P815" t="s">
        <v>13</v>
      </c>
      <c r="Q815" t="s">
        <v>5778</v>
      </c>
      <c r="R815" t="s">
        <v>57</v>
      </c>
      <c r="S815" t="str" cm="1">
        <f t="array" ref="S815">_xlfn.IFS(R815="COMPLETE", "COMPLETED", R815="CANCELED", "CANCELED", TRUE, "PENDING")</f>
        <v>PENDING</v>
      </c>
      <c r="T815" t="s">
        <v>16</v>
      </c>
      <c r="U815">
        <f>VLOOKUP(A815,ordered_items!$B:$E,4,0)</f>
        <v>99.99</v>
      </c>
    </row>
    <row r="816" spans="1:21" x14ac:dyDescent="0.3">
      <c r="A816">
        <v>26561</v>
      </c>
      <c r="B816" t="s">
        <v>24</v>
      </c>
      <c r="C816">
        <v>2</v>
      </c>
      <c r="D816">
        <v>4</v>
      </c>
      <c r="E816" t="str">
        <f t="shared" si="36"/>
        <v xml:space="preserve"> ONTIME</v>
      </c>
      <c r="F816">
        <f>VLOOKUP($A816,ordered_items!$B$2:$E$4784,2,0)</f>
        <v>1014</v>
      </c>
      <c r="G816">
        <f>VLOOKUP($A816,ordered_items!$B$2:$E$4784,3,0)</f>
        <v>3</v>
      </c>
      <c r="H816">
        <f>VLOOKUP($A816,ordered_items!$B$2:$E$4784,4,0)</f>
        <v>149.94</v>
      </c>
      <c r="I816" s="15">
        <f>VLOOKUP(F816,product_info!$A$2:$D$73,4,0)</f>
        <v>7</v>
      </c>
      <c r="J816" s="15" t="str">
        <f>VLOOKUP(I816,department!$A$2:$B$13,2,0)</f>
        <v>Fan Shop</v>
      </c>
      <c r="K816">
        <v>10969</v>
      </c>
      <c r="L816" t="s">
        <v>2869</v>
      </c>
      <c r="M816" s="4">
        <v>43487</v>
      </c>
      <c r="N816" s="12">
        <f t="shared" si="37"/>
        <v>1</v>
      </c>
      <c r="O816" s="13">
        <f t="shared" si="38"/>
        <v>2019</v>
      </c>
      <c r="P816" t="s">
        <v>13</v>
      </c>
      <c r="Q816" t="s">
        <v>5781</v>
      </c>
      <c r="R816" t="s">
        <v>378</v>
      </c>
      <c r="S816" t="str" cm="1">
        <f t="array" ref="S816">_xlfn.IFS(R816="COMPLETE", "COMPLETED", R816="CANCELED", "CANCELED", TRUE, "PENDING")</f>
        <v>PENDING</v>
      </c>
      <c r="T816" t="s">
        <v>16</v>
      </c>
      <c r="U816">
        <f>VLOOKUP(A816,ordered_items!$B:$E,4,0)</f>
        <v>149.94</v>
      </c>
    </row>
    <row r="817" spans="1:21" x14ac:dyDescent="0.3">
      <c r="A817">
        <v>26562</v>
      </c>
      <c r="B817" t="s">
        <v>51</v>
      </c>
      <c r="C817">
        <v>3</v>
      </c>
      <c r="D817">
        <v>4</v>
      </c>
      <c r="E817" t="str">
        <f t="shared" si="36"/>
        <v xml:space="preserve"> ONTIME</v>
      </c>
      <c r="F817">
        <f>VLOOKUP($A817,ordered_items!$B$2:$E$4784,2,0)</f>
        <v>191</v>
      </c>
      <c r="G817">
        <f>VLOOKUP($A817,ordered_items!$B$2:$E$4784,3,0)</f>
        <v>3</v>
      </c>
      <c r="H817">
        <f>VLOOKUP($A817,ordered_items!$B$2:$E$4784,4,0)</f>
        <v>299.97000000000003</v>
      </c>
      <c r="I817" s="15">
        <f>VLOOKUP(F817,product_info!$A$2:$D$73,4,0)</f>
        <v>3</v>
      </c>
      <c r="J817" s="15" t="str">
        <f>VLOOKUP(I817,department!$A$2:$B$13,2,0)</f>
        <v>Footwear</v>
      </c>
      <c r="K817">
        <v>10213</v>
      </c>
      <c r="L817" t="s">
        <v>2869</v>
      </c>
      <c r="M817" s="4">
        <v>43487</v>
      </c>
      <c r="N817" s="12">
        <f t="shared" si="37"/>
        <v>1</v>
      </c>
      <c r="O817" s="13">
        <f t="shared" si="38"/>
        <v>2019</v>
      </c>
      <c r="P817" t="s">
        <v>13</v>
      </c>
      <c r="Q817" t="s">
        <v>5781</v>
      </c>
      <c r="R817" t="s">
        <v>1275</v>
      </c>
      <c r="S817" t="str" cm="1">
        <f t="array" ref="S817">_xlfn.IFS(R817="COMPLETE", "COMPLETED", R817="CANCELED", "CANCELED", TRUE, "PENDING")</f>
        <v>PENDING</v>
      </c>
      <c r="T817" t="s">
        <v>16</v>
      </c>
      <c r="U817">
        <f>VLOOKUP(A817,ordered_items!$B:$E,4,0)</f>
        <v>299.97000000000003</v>
      </c>
    </row>
    <row r="818" spans="1:21" x14ac:dyDescent="0.3">
      <c r="A818">
        <v>26563</v>
      </c>
      <c r="B818" t="s">
        <v>51</v>
      </c>
      <c r="C818">
        <v>4</v>
      </c>
      <c r="D818">
        <v>4</v>
      </c>
      <c r="E818" t="str">
        <f t="shared" si="36"/>
        <v xml:space="preserve"> ONTIME</v>
      </c>
      <c r="F818">
        <f>VLOOKUP($A818,ordered_items!$B$2:$E$4784,2,0)</f>
        <v>403</v>
      </c>
      <c r="G818">
        <f>VLOOKUP($A818,ordered_items!$B$2:$E$4784,3,0)</f>
        <v>1</v>
      </c>
      <c r="H818">
        <f>VLOOKUP($A818,ordered_items!$B$2:$E$4784,4,0)</f>
        <v>129.99</v>
      </c>
      <c r="I818" s="15">
        <f>VLOOKUP(F818,product_info!$A$2:$D$73,4,0)</f>
        <v>4</v>
      </c>
      <c r="J818" s="15" t="str">
        <f>VLOOKUP(I818,department!$A$2:$B$13,2,0)</f>
        <v>Apparel</v>
      </c>
      <c r="K818">
        <v>2575</v>
      </c>
      <c r="L818" t="s">
        <v>2869</v>
      </c>
      <c r="M818" s="4">
        <v>43487</v>
      </c>
      <c r="N818" s="12">
        <f t="shared" si="37"/>
        <v>1</v>
      </c>
      <c r="O818" s="13">
        <f t="shared" si="38"/>
        <v>2019</v>
      </c>
      <c r="P818" t="s">
        <v>13</v>
      </c>
      <c r="Q818" t="s">
        <v>5781</v>
      </c>
      <c r="R818" t="s">
        <v>57</v>
      </c>
      <c r="S818" t="str" cm="1">
        <f t="array" ref="S818">_xlfn.IFS(R818="COMPLETE", "COMPLETED", R818="CANCELED", "CANCELED", TRUE, "PENDING")</f>
        <v>PENDING</v>
      </c>
      <c r="T818" t="s">
        <v>16</v>
      </c>
      <c r="U818">
        <f>VLOOKUP(A818,ordered_items!$B:$E,4,0)</f>
        <v>129.99</v>
      </c>
    </row>
    <row r="819" spans="1:21" x14ac:dyDescent="0.3">
      <c r="A819">
        <v>26572</v>
      </c>
      <c r="B819" t="s">
        <v>51</v>
      </c>
      <c r="C819">
        <v>3</v>
      </c>
      <c r="D819">
        <v>2</v>
      </c>
      <c r="E819" t="str">
        <f t="shared" si="36"/>
        <v>DELAYED</v>
      </c>
      <c r="F819">
        <f>VLOOKUP($A819,ordered_items!$B$2:$E$4784,2,0)</f>
        <v>627</v>
      </c>
      <c r="G819">
        <f>VLOOKUP($A819,ordered_items!$B$2:$E$4784,3,0)</f>
        <v>1</v>
      </c>
      <c r="H819">
        <f>VLOOKUP($A819,ordered_items!$B$2:$E$4784,4,0)</f>
        <v>39.99</v>
      </c>
      <c r="I819" s="15">
        <f>VLOOKUP(F819,product_info!$A$2:$D$73,4,0)</f>
        <v>5</v>
      </c>
      <c r="J819" s="15" t="str">
        <f>VLOOKUP(I819,department!$A$2:$B$13,2,0)</f>
        <v>Golf</v>
      </c>
      <c r="K819">
        <v>8538</v>
      </c>
      <c r="L819" t="s">
        <v>70</v>
      </c>
      <c r="M819" s="4">
        <v>43487</v>
      </c>
      <c r="N819" s="12">
        <f t="shared" si="37"/>
        <v>1</v>
      </c>
      <c r="O819" s="13">
        <f t="shared" si="38"/>
        <v>2019</v>
      </c>
      <c r="P819" t="s">
        <v>13</v>
      </c>
      <c r="Q819" t="s">
        <v>70</v>
      </c>
      <c r="R819" t="s">
        <v>57</v>
      </c>
      <c r="S819" t="str" cm="1">
        <f t="array" ref="S819">_xlfn.IFS(R819="COMPLETE", "COMPLETED", R819="CANCELED", "CANCELED", TRUE, "PENDING")</f>
        <v>PENDING</v>
      </c>
      <c r="T819" t="s">
        <v>90</v>
      </c>
      <c r="U819">
        <f>VLOOKUP(A819,ordered_items!$B:$E,4,0)</f>
        <v>39.99</v>
      </c>
    </row>
    <row r="820" spans="1:21" x14ac:dyDescent="0.3">
      <c r="A820">
        <v>26573</v>
      </c>
      <c r="B820" t="s">
        <v>51</v>
      </c>
      <c r="C820">
        <v>4</v>
      </c>
      <c r="D820">
        <v>2</v>
      </c>
      <c r="E820" t="str">
        <f t="shared" si="36"/>
        <v>DELAYED</v>
      </c>
      <c r="F820">
        <f>VLOOKUP($A820,ordered_items!$B$2:$E$4784,2,0)</f>
        <v>1014</v>
      </c>
      <c r="G820">
        <f>VLOOKUP($A820,ordered_items!$B$2:$E$4784,3,0)</f>
        <v>5</v>
      </c>
      <c r="H820">
        <f>VLOOKUP($A820,ordered_items!$B$2:$E$4784,4,0)</f>
        <v>249.9</v>
      </c>
      <c r="I820" s="15">
        <f>VLOOKUP(F820,product_info!$A$2:$D$73,4,0)</f>
        <v>7</v>
      </c>
      <c r="J820" s="15" t="str">
        <f>VLOOKUP(I820,department!$A$2:$B$13,2,0)</f>
        <v>Fan Shop</v>
      </c>
      <c r="K820">
        <v>9233</v>
      </c>
      <c r="L820" t="s">
        <v>70</v>
      </c>
      <c r="M820" s="4">
        <v>43487</v>
      </c>
      <c r="N820" s="12">
        <f t="shared" si="37"/>
        <v>1</v>
      </c>
      <c r="O820" s="13">
        <f t="shared" si="38"/>
        <v>2019</v>
      </c>
      <c r="P820" t="s">
        <v>13</v>
      </c>
      <c r="Q820" t="s">
        <v>70</v>
      </c>
      <c r="R820" t="s">
        <v>57</v>
      </c>
      <c r="S820" t="str" cm="1">
        <f t="array" ref="S820">_xlfn.IFS(R820="COMPLETE", "COMPLETED", R820="CANCELED", "CANCELED", TRUE, "PENDING")</f>
        <v>PENDING</v>
      </c>
      <c r="T820" t="s">
        <v>90</v>
      </c>
      <c r="U820">
        <f>VLOOKUP(A820,ordered_items!$B:$E,4,0)</f>
        <v>249.9</v>
      </c>
    </row>
    <row r="821" spans="1:21" x14ac:dyDescent="0.3">
      <c r="A821">
        <v>26599</v>
      </c>
      <c r="B821" t="s">
        <v>51</v>
      </c>
      <c r="C821">
        <v>5</v>
      </c>
      <c r="D821">
        <v>2</v>
      </c>
      <c r="E821" t="str">
        <f t="shared" si="36"/>
        <v>DELAYED</v>
      </c>
      <c r="F821">
        <f>VLOOKUP($A821,ordered_items!$B$2:$E$4784,2,0)</f>
        <v>135</v>
      </c>
      <c r="G821">
        <f>VLOOKUP($A821,ordered_items!$B$2:$E$4784,3,0)</f>
        <v>5</v>
      </c>
      <c r="H821">
        <f>VLOOKUP($A821,ordered_items!$B$2:$E$4784,4,0)</f>
        <v>110</v>
      </c>
      <c r="I821" s="15">
        <f>VLOOKUP(F821,product_info!$A$2:$D$73,4,0)</f>
        <v>2</v>
      </c>
      <c r="J821" s="15" t="str">
        <f>VLOOKUP(I821,department!$A$2:$B$13,2,0)</f>
        <v>Fitness</v>
      </c>
      <c r="K821">
        <v>9713</v>
      </c>
      <c r="L821" t="s">
        <v>70</v>
      </c>
      <c r="M821" s="4">
        <v>43488</v>
      </c>
      <c r="N821" s="12">
        <f t="shared" si="37"/>
        <v>1</v>
      </c>
      <c r="O821" s="13">
        <f t="shared" si="38"/>
        <v>2019</v>
      </c>
      <c r="P821" t="s">
        <v>13</v>
      </c>
      <c r="Q821" t="s">
        <v>70</v>
      </c>
      <c r="R821" t="s">
        <v>57</v>
      </c>
      <c r="S821" t="str" cm="1">
        <f t="array" ref="S821">_xlfn.IFS(R821="COMPLETE", "COMPLETED", R821="CANCELED", "CANCELED", TRUE, "PENDING")</f>
        <v>PENDING</v>
      </c>
      <c r="T821" t="s">
        <v>90</v>
      </c>
      <c r="U821">
        <f>VLOOKUP(A821,ordered_items!$B:$E,4,0)</f>
        <v>110</v>
      </c>
    </row>
    <row r="822" spans="1:21" x14ac:dyDescent="0.3">
      <c r="A822">
        <v>26600</v>
      </c>
      <c r="B822" t="s">
        <v>24</v>
      </c>
      <c r="C822">
        <v>2</v>
      </c>
      <c r="D822">
        <v>1</v>
      </c>
      <c r="E822" t="str">
        <f t="shared" si="36"/>
        <v>DELAYED</v>
      </c>
      <c r="F822">
        <f>VLOOKUP($A822,ordered_items!$B$2:$E$4784,2,0)</f>
        <v>365</v>
      </c>
      <c r="G822">
        <f>VLOOKUP($A822,ordered_items!$B$2:$E$4784,3,0)</f>
        <v>1</v>
      </c>
      <c r="H822">
        <f>VLOOKUP($A822,ordered_items!$B$2:$E$4784,4,0)</f>
        <v>59.99</v>
      </c>
      <c r="I822" s="15">
        <f>VLOOKUP(F822,product_info!$A$2:$D$73,4,0)</f>
        <v>4</v>
      </c>
      <c r="J822" s="15" t="str">
        <f>VLOOKUP(I822,department!$A$2:$B$13,2,0)</f>
        <v>Apparel</v>
      </c>
      <c r="K822">
        <v>6708</v>
      </c>
      <c r="L822" t="s">
        <v>70</v>
      </c>
      <c r="M822" s="4">
        <v>43488</v>
      </c>
      <c r="N822" s="12">
        <f t="shared" si="37"/>
        <v>1</v>
      </c>
      <c r="O822" s="13">
        <f t="shared" si="38"/>
        <v>2019</v>
      </c>
      <c r="P822" t="s">
        <v>13</v>
      </c>
      <c r="Q822" t="s">
        <v>70</v>
      </c>
      <c r="R822" t="s">
        <v>378</v>
      </c>
      <c r="S822" t="str" cm="1">
        <f t="array" ref="S822">_xlfn.IFS(R822="COMPLETE", "COMPLETED", R822="CANCELED", "CANCELED", TRUE, "PENDING")</f>
        <v>PENDING</v>
      </c>
      <c r="T822" t="s">
        <v>32</v>
      </c>
      <c r="U822">
        <f>VLOOKUP(A822,ordered_items!$B:$E,4,0)</f>
        <v>59.99</v>
      </c>
    </row>
    <row r="823" spans="1:21" x14ac:dyDescent="0.3">
      <c r="A823">
        <v>26608</v>
      </c>
      <c r="B823" t="s">
        <v>24</v>
      </c>
      <c r="C823">
        <v>4</v>
      </c>
      <c r="D823">
        <v>4</v>
      </c>
      <c r="E823" t="str">
        <f t="shared" si="36"/>
        <v xml:space="preserve"> ONTIME</v>
      </c>
      <c r="F823">
        <f>VLOOKUP($A823,ordered_items!$B$2:$E$4784,2,0)</f>
        <v>365</v>
      </c>
      <c r="G823">
        <f>VLOOKUP($A823,ordered_items!$B$2:$E$4784,3,0)</f>
        <v>5</v>
      </c>
      <c r="H823">
        <f>VLOOKUP($A823,ordered_items!$B$2:$E$4784,4,0)</f>
        <v>299.95</v>
      </c>
      <c r="I823" s="15">
        <f>VLOOKUP(F823,product_info!$A$2:$D$73,4,0)</f>
        <v>4</v>
      </c>
      <c r="J823" s="15" t="str">
        <f>VLOOKUP(I823,department!$A$2:$B$13,2,0)</f>
        <v>Apparel</v>
      </c>
      <c r="K823">
        <v>9317</v>
      </c>
      <c r="L823" t="s">
        <v>713</v>
      </c>
      <c r="M823" s="4">
        <v>43488</v>
      </c>
      <c r="N823" s="12">
        <f t="shared" si="37"/>
        <v>1</v>
      </c>
      <c r="O823" s="13">
        <f t="shared" si="38"/>
        <v>2019</v>
      </c>
      <c r="P823" t="s">
        <v>13</v>
      </c>
      <c r="Q823" t="s">
        <v>99</v>
      </c>
      <c r="R823" t="s">
        <v>31</v>
      </c>
      <c r="S823" t="str" cm="1">
        <f t="array" ref="S823">_xlfn.IFS(R823="COMPLETE", "COMPLETED", R823="CANCELED", "CANCELED", TRUE, "PENDING")</f>
        <v>COMPLETED</v>
      </c>
      <c r="T823" t="s">
        <v>16</v>
      </c>
      <c r="U823">
        <f>VLOOKUP(A823,ordered_items!$B:$E,4,0)</f>
        <v>299.95</v>
      </c>
    </row>
    <row r="824" spans="1:21" x14ac:dyDescent="0.3">
      <c r="A824">
        <v>26614</v>
      </c>
      <c r="B824" t="s">
        <v>51</v>
      </c>
      <c r="C824">
        <v>5</v>
      </c>
      <c r="D824">
        <v>2</v>
      </c>
      <c r="E824" t="str">
        <f t="shared" si="36"/>
        <v>DELAYED</v>
      </c>
      <c r="F824">
        <f>VLOOKUP($A824,ordered_items!$B$2:$E$4784,2,0)</f>
        <v>191</v>
      </c>
      <c r="G824">
        <f>VLOOKUP($A824,ordered_items!$B$2:$E$4784,3,0)</f>
        <v>1</v>
      </c>
      <c r="H824">
        <f>VLOOKUP($A824,ordered_items!$B$2:$E$4784,4,0)</f>
        <v>99.99</v>
      </c>
      <c r="I824" s="15">
        <f>VLOOKUP(F824,product_info!$A$2:$D$73,4,0)</f>
        <v>3</v>
      </c>
      <c r="J824" s="15" t="str">
        <f>VLOOKUP(I824,department!$A$2:$B$13,2,0)</f>
        <v>Footwear</v>
      </c>
      <c r="K824">
        <v>2484</v>
      </c>
      <c r="L824" t="s">
        <v>258</v>
      </c>
      <c r="M824" s="4">
        <v>43488</v>
      </c>
      <c r="N824" s="12">
        <f t="shared" si="37"/>
        <v>1</v>
      </c>
      <c r="O824" s="13">
        <f t="shared" si="38"/>
        <v>2019</v>
      </c>
      <c r="P824" t="s">
        <v>13</v>
      </c>
      <c r="Q824" t="s">
        <v>30</v>
      </c>
      <c r="R824" t="s">
        <v>57</v>
      </c>
      <c r="S824" t="str" cm="1">
        <f t="array" ref="S824">_xlfn.IFS(R824="COMPLETE", "COMPLETED", R824="CANCELED", "CANCELED", TRUE, "PENDING")</f>
        <v>PENDING</v>
      </c>
      <c r="T824" t="s">
        <v>90</v>
      </c>
      <c r="U824">
        <f>VLOOKUP(A824,ordered_items!$B:$E,4,0)</f>
        <v>99.99</v>
      </c>
    </row>
    <row r="825" spans="1:21" x14ac:dyDescent="0.3">
      <c r="A825">
        <v>26623</v>
      </c>
      <c r="B825" t="s">
        <v>51</v>
      </c>
      <c r="C825">
        <v>2</v>
      </c>
      <c r="D825">
        <v>1</v>
      </c>
      <c r="E825" t="str">
        <f t="shared" si="36"/>
        <v>DELAYED</v>
      </c>
      <c r="F825">
        <f>VLOOKUP($A825,ordered_items!$B$2:$E$4784,2,0)</f>
        <v>502</v>
      </c>
      <c r="G825">
        <f>VLOOKUP($A825,ordered_items!$B$2:$E$4784,3,0)</f>
        <v>2</v>
      </c>
      <c r="H825">
        <f>VLOOKUP($A825,ordered_items!$B$2:$E$4784,4,0)</f>
        <v>100</v>
      </c>
      <c r="I825" s="15">
        <f>VLOOKUP(F825,product_info!$A$2:$D$73,4,0)</f>
        <v>5</v>
      </c>
      <c r="J825" s="15" t="str">
        <f>VLOOKUP(I825,department!$A$2:$B$13,2,0)</f>
        <v>Golf</v>
      </c>
      <c r="K825">
        <v>5403</v>
      </c>
      <c r="L825" t="s">
        <v>1120</v>
      </c>
      <c r="M825" s="4">
        <v>43488</v>
      </c>
      <c r="N825" s="12">
        <f t="shared" si="37"/>
        <v>1</v>
      </c>
      <c r="O825" s="13">
        <f t="shared" si="38"/>
        <v>2019</v>
      </c>
      <c r="P825" t="s">
        <v>13</v>
      </c>
      <c r="Q825" t="s">
        <v>30</v>
      </c>
      <c r="R825" t="s">
        <v>57</v>
      </c>
      <c r="S825" t="str" cm="1">
        <f t="array" ref="S825">_xlfn.IFS(R825="COMPLETE", "COMPLETED", R825="CANCELED", "CANCELED", TRUE, "PENDING")</f>
        <v>PENDING</v>
      </c>
      <c r="T825" t="s">
        <v>32</v>
      </c>
      <c r="U825">
        <f>VLOOKUP(A825,ordered_items!$B:$E,4,0)</f>
        <v>100</v>
      </c>
    </row>
    <row r="826" spans="1:21" x14ac:dyDescent="0.3">
      <c r="A826">
        <v>26644</v>
      </c>
      <c r="B826" t="s">
        <v>3</v>
      </c>
      <c r="C826">
        <v>5</v>
      </c>
      <c r="D826">
        <v>4</v>
      </c>
      <c r="E826" t="str">
        <f t="shared" si="36"/>
        <v>DELAYED</v>
      </c>
      <c r="F826">
        <f>VLOOKUP($A826,ordered_items!$B$2:$E$4784,2,0)</f>
        <v>403</v>
      </c>
      <c r="G826">
        <f>VLOOKUP($A826,ordered_items!$B$2:$E$4784,3,0)</f>
        <v>1</v>
      </c>
      <c r="H826">
        <f>VLOOKUP($A826,ordered_items!$B$2:$E$4784,4,0)</f>
        <v>129.99</v>
      </c>
      <c r="I826" s="15">
        <f>VLOOKUP(F826,product_info!$A$2:$D$73,4,0)</f>
        <v>4</v>
      </c>
      <c r="J826" s="15" t="str">
        <f>VLOOKUP(I826,department!$A$2:$B$13,2,0)</f>
        <v>Apparel</v>
      </c>
      <c r="K826">
        <v>336</v>
      </c>
      <c r="L826" t="s">
        <v>930</v>
      </c>
      <c r="M826" s="4">
        <v>43488</v>
      </c>
      <c r="N826" s="12">
        <f t="shared" si="37"/>
        <v>1</v>
      </c>
      <c r="O826" s="13">
        <f t="shared" si="38"/>
        <v>2019</v>
      </c>
      <c r="P826" t="s">
        <v>13</v>
      </c>
      <c r="Q826" t="s">
        <v>30</v>
      </c>
      <c r="R826" t="s">
        <v>14</v>
      </c>
      <c r="S826" t="str" cm="1">
        <f t="array" ref="S826">_xlfn.IFS(R826="COMPLETE", "COMPLETED", R826="CANCELED", "CANCELED", TRUE, "PENDING")</f>
        <v>PENDING</v>
      </c>
      <c r="T826" t="s">
        <v>16</v>
      </c>
      <c r="U826">
        <f>VLOOKUP(A826,ordered_items!$B:$E,4,0)</f>
        <v>129.99</v>
      </c>
    </row>
    <row r="827" spans="1:21" x14ac:dyDescent="0.3">
      <c r="A827">
        <v>26672</v>
      </c>
      <c r="B827" t="s">
        <v>24</v>
      </c>
      <c r="C827">
        <v>3</v>
      </c>
      <c r="D827">
        <v>4</v>
      </c>
      <c r="E827" t="str">
        <f t="shared" si="36"/>
        <v xml:space="preserve"> ONTIME</v>
      </c>
      <c r="F827">
        <f>VLOOKUP($A827,ordered_items!$B$2:$E$4784,2,0)</f>
        <v>403</v>
      </c>
      <c r="G827">
        <f>VLOOKUP($A827,ordered_items!$B$2:$E$4784,3,0)</f>
        <v>1</v>
      </c>
      <c r="H827">
        <f>VLOOKUP($A827,ordered_items!$B$2:$E$4784,4,0)</f>
        <v>129.99</v>
      </c>
      <c r="I827" s="15">
        <f>VLOOKUP(F827,product_info!$A$2:$D$73,4,0)</f>
        <v>4</v>
      </c>
      <c r="J827" s="15" t="str">
        <f>VLOOKUP(I827,department!$A$2:$B$13,2,0)</f>
        <v>Apparel</v>
      </c>
      <c r="K827">
        <v>876</v>
      </c>
      <c r="L827" t="s">
        <v>1233</v>
      </c>
      <c r="M827" s="4">
        <v>43489</v>
      </c>
      <c r="N827" s="12">
        <f t="shared" si="37"/>
        <v>1</v>
      </c>
      <c r="O827" s="13">
        <f t="shared" si="38"/>
        <v>2019</v>
      </c>
      <c r="P827" t="s">
        <v>13</v>
      </c>
      <c r="Q827" t="s">
        <v>1234</v>
      </c>
      <c r="R827" t="s">
        <v>31</v>
      </c>
      <c r="S827" t="str" cm="1">
        <f t="array" ref="S827">_xlfn.IFS(R827="COMPLETE", "COMPLETED", R827="CANCELED", "CANCELED", TRUE, "PENDING")</f>
        <v>COMPLETED</v>
      </c>
      <c r="T827" t="s">
        <v>16</v>
      </c>
      <c r="U827">
        <f>VLOOKUP(A827,ordered_items!$B:$E,4,0)</f>
        <v>129.99</v>
      </c>
    </row>
    <row r="828" spans="1:21" x14ac:dyDescent="0.3">
      <c r="A828">
        <v>26676</v>
      </c>
      <c r="B828" t="s">
        <v>3</v>
      </c>
      <c r="C828">
        <v>2</v>
      </c>
      <c r="D828">
        <v>4</v>
      </c>
      <c r="E828" t="str">
        <f t="shared" si="36"/>
        <v xml:space="preserve"> ONTIME</v>
      </c>
      <c r="F828">
        <f>VLOOKUP($A828,ordered_items!$B$2:$E$4784,2,0)</f>
        <v>1073</v>
      </c>
      <c r="G828">
        <f>VLOOKUP($A828,ordered_items!$B$2:$E$4784,3,0)</f>
        <v>1</v>
      </c>
      <c r="H828">
        <f>VLOOKUP($A828,ordered_items!$B$2:$E$4784,4,0)</f>
        <v>199.99</v>
      </c>
      <c r="I828" s="15">
        <f>VLOOKUP(F828,product_info!$A$2:$D$73,4,0)</f>
        <v>7</v>
      </c>
      <c r="J828" s="15" t="str">
        <f>VLOOKUP(I828,department!$A$2:$B$13,2,0)</f>
        <v>Fan Shop</v>
      </c>
      <c r="K828">
        <v>9727</v>
      </c>
      <c r="L828" t="s">
        <v>110</v>
      </c>
      <c r="M828" s="4">
        <v>43489</v>
      </c>
      <c r="N828" s="12">
        <f t="shared" si="37"/>
        <v>1</v>
      </c>
      <c r="O828" s="13">
        <f t="shared" si="38"/>
        <v>2019</v>
      </c>
      <c r="P828" t="s">
        <v>13</v>
      </c>
      <c r="Q828" t="s">
        <v>99</v>
      </c>
      <c r="R828" t="s">
        <v>38</v>
      </c>
      <c r="S828" t="str" cm="1">
        <f t="array" ref="S828">_xlfn.IFS(R828="COMPLETE", "COMPLETED", R828="CANCELED", "CANCELED", TRUE, "PENDING")</f>
        <v>PENDING</v>
      </c>
      <c r="T828" t="s">
        <v>16</v>
      </c>
      <c r="U828">
        <f>VLOOKUP(A828,ordered_items!$B:$E,4,0)</f>
        <v>199.99</v>
      </c>
    </row>
    <row r="829" spans="1:21" x14ac:dyDescent="0.3">
      <c r="A829">
        <v>26677</v>
      </c>
      <c r="B829" t="s">
        <v>24</v>
      </c>
      <c r="C829">
        <v>3</v>
      </c>
      <c r="D829">
        <v>4</v>
      </c>
      <c r="E829" t="str">
        <f t="shared" si="36"/>
        <v xml:space="preserve"> ONTIME</v>
      </c>
      <c r="F829">
        <f>VLOOKUP($A829,ordered_items!$B$2:$E$4784,2,0)</f>
        <v>1014</v>
      </c>
      <c r="G829">
        <f>VLOOKUP($A829,ordered_items!$B$2:$E$4784,3,0)</f>
        <v>2</v>
      </c>
      <c r="H829">
        <f>VLOOKUP($A829,ordered_items!$B$2:$E$4784,4,0)</f>
        <v>99.96</v>
      </c>
      <c r="I829" s="15">
        <f>VLOOKUP(F829,product_info!$A$2:$D$73,4,0)</f>
        <v>7</v>
      </c>
      <c r="J829" s="15" t="str">
        <f>VLOOKUP(I829,department!$A$2:$B$13,2,0)</f>
        <v>Fan Shop</v>
      </c>
      <c r="K829">
        <v>7578</v>
      </c>
      <c r="L829" t="s">
        <v>110</v>
      </c>
      <c r="M829" s="4">
        <v>43489</v>
      </c>
      <c r="N829" s="12">
        <f t="shared" si="37"/>
        <v>1</v>
      </c>
      <c r="O829" s="13">
        <f t="shared" si="38"/>
        <v>2019</v>
      </c>
      <c r="P829" t="s">
        <v>13</v>
      </c>
      <c r="Q829" t="s">
        <v>99</v>
      </c>
      <c r="R829" t="s">
        <v>31</v>
      </c>
      <c r="S829" t="str" cm="1">
        <f t="array" ref="S829">_xlfn.IFS(R829="COMPLETE", "COMPLETED", R829="CANCELED", "CANCELED", TRUE, "PENDING")</f>
        <v>COMPLETED</v>
      </c>
      <c r="T829" t="s">
        <v>16</v>
      </c>
      <c r="U829">
        <f>VLOOKUP(A829,ordered_items!$B:$E,4,0)</f>
        <v>99.96</v>
      </c>
    </row>
    <row r="830" spans="1:21" x14ac:dyDescent="0.3">
      <c r="A830">
        <v>26699</v>
      </c>
      <c r="B830" t="s">
        <v>3</v>
      </c>
      <c r="C830">
        <v>5</v>
      </c>
      <c r="D830">
        <v>2</v>
      </c>
      <c r="E830" t="str">
        <f t="shared" si="36"/>
        <v>DELAYED</v>
      </c>
      <c r="F830">
        <f>VLOOKUP($A830,ordered_items!$B$2:$E$4784,2,0)</f>
        <v>365</v>
      </c>
      <c r="G830">
        <f>VLOOKUP($A830,ordered_items!$B$2:$E$4784,3,0)</f>
        <v>2</v>
      </c>
      <c r="H830">
        <f>VLOOKUP($A830,ordered_items!$B$2:$E$4784,4,0)</f>
        <v>119.98</v>
      </c>
      <c r="I830" s="15">
        <f>VLOOKUP(F830,product_info!$A$2:$D$73,4,0)</f>
        <v>4</v>
      </c>
      <c r="J830" s="15" t="str">
        <f>VLOOKUP(I830,department!$A$2:$B$13,2,0)</f>
        <v>Apparel</v>
      </c>
      <c r="K830">
        <v>11257</v>
      </c>
      <c r="L830" t="s">
        <v>70</v>
      </c>
      <c r="M830" s="4">
        <v>43489</v>
      </c>
      <c r="N830" s="12">
        <f t="shared" si="37"/>
        <v>1</v>
      </c>
      <c r="O830" s="13">
        <f t="shared" si="38"/>
        <v>2019</v>
      </c>
      <c r="P830" t="s">
        <v>13</v>
      </c>
      <c r="Q830" t="s">
        <v>70</v>
      </c>
      <c r="R830" t="s">
        <v>14</v>
      </c>
      <c r="S830" t="str" cm="1">
        <f t="array" ref="S830">_xlfn.IFS(R830="COMPLETE", "COMPLETED", R830="CANCELED", "CANCELED", TRUE, "PENDING")</f>
        <v>PENDING</v>
      </c>
      <c r="T830" t="s">
        <v>90</v>
      </c>
      <c r="U830">
        <f>VLOOKUP(A830,ordered_items!$B:$E,4,0)</f>
        <v>119.98</v>
      </c>
    </row>
    <row r="831" spans="1:21" x14ac:dyDescent="0.3">
      <c r="A831">
        <v>26709</v>
      </c>
      <c r="B831" t="s">
        <v>51</v>
      </c>
      <c r="C831">
        <v>5</v>
      </c>
      <c r="D831">
        <v>4</v>
      </c>
      <c r="E831" t="str">
        <f t="shared" si="36"/>
        <v>DELAYED</v>
      </c>
      <c r="F831">
        <f>VLOOKUP($A831,ordered_items!$B$2:$E$4784,2,0)</f>
        <v>365</v>
      </c>
      <c r="G831">
        <f>VLOOKUP($A831,ordered_items!$B$2:$E$4784,3,0)</f>
        <v>3</v>
      </c>
      <c r="H831">
        <f>VLOOKUP($A831,ordered_items!$B$2:$E$4784,4,0)</f>
        <v>179.97</v>
      </c>
      <c r="I831" s="15">
        <f>VLOOKUP(F831,product_info!$A$2:$D$73,4,0)</f>
        <v>4</v>
      </c>
      <c r="J831" s="15" t="str">
        <f>VLOOKUP(I831,department!$A$2:$B$13,2,0)</f>
        <v>Apparel</v>
      </c>
      <c r="K831">
        <v>4311</v>
      </c>
      <c r="L831" t="s">
        <v>885</v>
      </c>
      <c r="M831" s="4">
        <v>43489</v>
      </c>
      <c r="N831" s="12">
        <f t="shared" si="37"/>
        <v>1</v>
      </c>
      <c r="O831" s="13">
        <f t="shared" si="38"/>
        <v>2019</v>
      </c>
      <c r="P831" t="s">
        <v>13</v>
      </c>
      <c r="Q831" t="s">
        <v>99</v>
      </c>
      <c r="R831" t="s">
        <v>57</v>
      </c>
      <c r="S831" t="str" cm="1">
        <f t="array" ref="S831">_xlfn.IFS(R831="COMPLETE", "COMPLETED", R831="CANCELED", "CANCELED", TRUE, "PENDING")</f>
        <v>PENDING</v>
      </c>
      <c r="T831" t="s">
        <v>16</v>
      </c>
      <c r="U831">
        <f>VLOOKUP(A831,ordered_items!$B:$E,4,0)</f>
        <v>179.97</v>
      </c>
    </row>
    <row r="832" spans="1:21" x14ac:dyDescent="0.3">
      <c r="A832">
        <v>26714</v>
      </c>
      <c r="B832" t="s">
        <v>17</v>
      </c>
      <c r="C832">
        <v>5</v>
      </c>
      <c r="D832">
        <v>4</v>
      </c>
      <c r="E832" t="str">
        <f t="shared" si="36"/>
        <v>DELAYED</v>
      </c>
      <c r="F832">
        <f>VLOOKUP($A832,ordered_items!$B$2:$E$4784,2,0)</f>
        <v>365</v>
      </c>
      <c r="G832">
        <f>VLOOKUP($A832,ordered_items!$B$2:$E$4784,3,0)</f>
        <v>1</v>
      </c>
      <c r="H832">
        <f>VLOOKUP($A832,ordered_items!$B$2:$E$4784,4,0)</f>
        <v>59.99</v>
      </c>
      <c r="I832" s="15">
        <f>VLOOKUP(F832,product_info!$A$2:$D$73,4,0)</f>
        <v>4</v>
      </c>
      <c r="J832" s="15" t="str">
        <f>VLOOKUP(I832,department!$A$2:$B$13,2,0)</f>
        <v>Apparel</v>
      </c>
      <c r="K832">
        <v>4399</v>
      </c>
      <c r="L832" t="s">
        <v>641</v>
      </c>
      <c r="M832" s="4">
        <v>43489</v>
      </c>
      <c r="N832" s="12">
        <f t="shared" si="37"/>
        <v>1</v>
      </c>
      <c r="O832" s="13">
        <f t="shared" si="38"/>
        <v>2019</v>
      </c>
      <c r="P832" t="s">
        <v>13</v>
      </c>
      <c r="Q832" t="s">
        <v>377</v>
      </c>
      <c r="R832" t="s">
        <v>23</v>
      </c>
      <c r="S832" t="str" cm="1">
        <f t="array" ref="S832">_xlfn.IFS(R832="COMPLETE", "COMPLETED", R832="CANCELED", "CANCELED", TRUE, "PENDING")</f>
        <v>PENDING</v>
      </c>
      <c r="T832" t="s">
        <v>16</v>
      </c>
      <c r="U832">
        <f>VLOOKUP(A832,ordered_items!$B:$E,4,0)</f>
        <v>59.99</v>
      </c>
    </row>
    <row r="833" spans="1:21" x14ac:dyDescent="0.3">
      <c r="A833">
        <v>26715</v>
      </c>
      <c r="B833" t="s">
        <v>24</v>
      </c>
      <c r="C833">
        <v>6</v>
      </c>
      <c r="D833">
        <v>4</v>
      </c>
      <c r="E833" t="str">
        <f t="shared" si="36"/>
        <v>DELAYED</v>
      </c>
      <c r="F833">
        <f>VLOOKUP($A833,ordered_items!$B$2:$E$4784,2,0)</f>
        <v>403</v>
      </c>
      <c r="G833">
        <f>VLOOKUP($A833,ordered_items!$B$2:$E$4784,3,0)</f>
        <v>1</v>
      </c>
      <c r="H833">
        <f>VLOOKUP($A833,ordered_items!$B$2:$E$4784,4,0)</f>
        <v>129.99</v>
      </c>
      <c r="I833" s="15">
        <f>VLOOKUP(F833,product_info!$A$2:$D$73,4,0)</f>
        <v>4</v>
      </c>
      <c r="J833" s="15" t="str">
        <f>VLOOKUP(I833,department!$A$2:$B$13,2,0)</f>
        <v>Apparel</v>
      </c>
      <c r="K833">
        <v>9231</v>
      </c>
      <c r="L833" t="s">
        <v>641</v>
      </c>
      <c r="M833" s="4">
        <v>43489</v>
      </c>
      <c r="N833" s="12">
        <f t="shared" si="37"/>
        <v>1</v>
      </c>
      <c r="O833" s="13">
        <f t="shared" si="38"/>
        <v>2019</v>
      </c>
      <c r="P833" t="s">
        <v>13</v>
      </c>
      <c r="Q833" t="s">
        <v>377</v>
      </c>
      <c r="R833" t="s">
        <v>378</v>
      </c>
      <c r="S833" t="str" cm="1">
        <f t="array" ref="S833">_xlfn.IFS(R833="COMPLETE", "COMPLETED", R833="CANCELED", "CANCELED", TRUE, "PENDING")</f>
        <v>PENDING</v>
      </c>
      <c r="T833" t="s">
        <v>16</v>
      </c>
      <c r="U833">
        <f>VLOOKUP(A833,ordered_items!$B:$E,4,0)</f>
        <v>129.99</v>
      </c>
    </row>
    <row r="834" spans="1:21" x14ac:dyDescent="0.3">
      <c r="A834">
        <v>26716</v>
      </c>
      <c r="B834" t="s">
        <v>24</v>
      </c>
      <c r="C834">
        <v>2</v>
      </c>
      <c r="D834">
        <v>4</v>
      </c>
      <c r="E834" t="str">
        <f t="shared" si="36"/>
        <v xml:space="preserve"> ONTIME</v>
      </c>
      <c r="F834">
        <f>VLOOKUP($A834,ordered_items!$B$2:$E$4784,2,0)</f>
        <v>365</v>
      </c>
      <c r="G834">
        <f>VLOOKUP($A834,ordered_items!$B$2:$E$4784,3,0)</f>
        <v>4</v>
      </c>
      <c r="H834">
        <f>VLOOKUP($A834,ordered_items!$B$2:$E$4784,4,0)</f>
        <v>239.96</v>
      </c>
      <c r="I834" s="15">
        <f>VLOOKUP(F834,product_info!$A$2:$D$73,4,0)</f>
        <v>4</v>
      </c>
      <c r="J834" s="15" t="str">
        <f>VLOOKUP(I834,department!$A$2:$B$13,2,0)</f>
        <v>Apparel</v>
      </c>
      <c r="K834">
        <v>3289</v>
      </c>
      <c r="L834" t="s">
        <v>1073</v>
      </c>
      <c r="M834" s="4">
        <v>43489</v>
      </c>
      <c r="N834" s="12">
        <f t="shared" si="37"/>
        <v>1</v>
      </c>
      <c r="O834" s="13">
        <f t="shared" si="38"/>
        <v>2019</v>
      </c>
      <c r="P834" t="s">
        <v>13</v>
      </c>
      <c r="Q834" t="s">
        <v>47</v>
      </c>
      <c r="R834" t="s">
        <v>31</v>
      </c>
      <c r="S834" t="str" cm="1">
        <f t="array" ref="S834">_xlfn.IFS(R834="COMPLETE", "COMPLETED", R834="CANCELED", "CANCELED", TRUE, "PENDING")</f>
        <v>COMPLETED</v>
      </c>
      <c r="T834" t="s">
        <v>16</v>
      </c>
      <c r="U834">
        <f>VLOOKUP(A834,ordered_items!$B:$E,4,0)</f>
        <v>239.96</v>
      </c>
    </row>
    <row r="835" spans="1:21" x14ac:dyDescent="0.3">
      <c r="A835">
        <v>26717</v>
      </c>
      <c r="B835" t="s">
        <v>24</v>
      </c>
      <c r="C835">
        <v>3</v>
      </c>
      <c r="D835">
        <v>2</v>
      </c>
      <c r="E835" t="str">
        <f t="shared" ref="E835:E898" si="39">IF(C835-D835&gt;0,"DELAYED"," ONTIME")</f>
        <v>DELAYED</v>
      </c>
      <c r="F835">
        <f>VLOOKUP($A835,ordered_items!$B$2:$E$4784,2,0)</f>
        <v>365</v>
      </c>
      <c r="G835">
        <f>VLOOKUP($A835,ordered_items!$B$2:$E$4784,3,0)</f>
        <v>1</v>
      </c>
      <c r="H835">
        <f>VLOOKUP($A835,ordered_items!$B$2:$E$4784,4,0)</f>
        <v>59.99</v>
      </c>
      <c r="I835" s="15">
        <f>VLOOKUP(F835,product_info!$A$2:$D$73,4,0)</f>
        <v>4</v>
      </c>
      <c r="J835" s="15" t="str">
        <f>VLOOKUP(I835,department!$A$2:$B$13,2,0)</f>
        <v>Apparel</v>
      </c>
      <c r="K835">
        <v>9869</v>
      </c>
      <c r="L835" t="s">
        <v>1073</v>
      </c>
      <c r="M835" s="4">
        <v>43489</v>
      </c>
      <c r="N835" s="12">
        <f t="shared" ref="N835:N898" si="40">MONTH(M835)</f>
        <v>1</v>
      </c>
      <c r="O835" s="13">
        <f t="shared" ref="O835:O898" si="41">YEAR(M835)</f>
        <v>2019</v>
      </c>
      <c r="P835" t="s">
        <v>13</v>
      </c>
      <c r="Q835" t="s">
        <v>47</v>
      </c>
      <c r="R835" t="s">
        <v>31</v>
      </c>
      <c r="S835" t="str" cm="1">
        <f t="array" ref="S835">_xlfn.IFS(R835="COMPLETE", "COMPLETED", R835="CANCELED", "CANCELED", TRUE, "PENDING")</f>
        <v>COMPLETED</v>
      </c>
      <c r="T835" t="s">
        <v>90</v>
      </c>
      <c r="U835">
        <f>VLOOKUP(A835,ordered_items!$B:$E,4,0)</f>
        <v>59.99</v>
      </c>
    </row>
    <row r="836" spans="1:21" x14ac:dyDescent="0.3">
      <c r="A836">
        <v>26721</v>
      </c>
      <c r="B836" t="s">
        <v>17</v>
      </c>
      <c r="C836">
        <v>2</v>
      </c>
      <c r="D836">
        <v>4</v>
      </c>
      <c r="E836" t="str">
        <f t="shared" si="39"/>
        <v xml:space="preserve"> ONTIME</v>
      </c>
      <c r="F836">
        <f>VLOOKUP($A836,ordered_items!$B$2:$E$4784,2,0)</f>
        <v>403</v>
      </c>
      <c r="G836">
        <f>VLOOKUP($A836,ordered_items!$B$2:$E$4784,3,0)</f>
        <v>1</v>
      </c>
      <c r="H836">
        <f>VLOOKUP($A836,ordered_items!$B$2:$E$4784,4,0)</f>
        <v>129.99</v>
      </c>
      <c r="I836" s="15">
        <f>VLOOKUP(F836,product_info!$A$2:$D$73,4,0)</f>
        <v>4</v>
      </c>
      <c r="J836" s="15" t="str">
        <f>VLOOKUP(I836,department!$A$2:$B$13,2,0)</f>
        <v>Apparel</v>
      </c>
      <c r="K836">
        <v>9480</v>
      </c>
      <c r="L836" t="s">
        <v>119</v>
      </c>
      <c r="M836" s="4">
        <v>43490</v>
      </c>
      <c r="N836" s="12">
        <f t="shared" si="40"/>
        <v>1</v>
      </c>
      <c r="O836" s="13">
        <f t="shared" si="41"/>
        <v>2019</v>
      </c>
      <c r="P836" t="s">
        <v>13</v>
      </c>
      <c r="Q836" t="s">
        <v>5781</v>
      </c>
      <c r="R836" t="s">
        <v>23</v>
      </c>
      <c r="S836" t="str" cm="1">
        <f t="array" ref="S836">_xlfn.IFS(R836="COMPLETE", "COMPLETED", R836="CANCELED", "CANCELED", TRUE, "PENDING")</f>
        <v>PENDING</v>
      </c>
      <c r="T836" t="s">
        <v>16</v>
      </c>
      <c r="U836">
        <f>VLOOKUP(A836,ordered_items!$B:$E,4,0)</f>
        <v>129.99</v>
      </c>
    </row>
    <row r="837" spans="1:21" x14ac:dyDescent="0.3">
      <c r="A837">
        <v>26722</v>
      </c>
      <c r="B837" t="s">
        <v>3</v>
      </c>
      <c r="C837">
        <v>3</v>
      </c>
      <c r="D837">
        <v>4</v>
      </c>
      <c r="E837" t="str">
        <f t="shared" si="39"/>
        <v xml:space="preserve"> ONTIME</v>
      </c>
      <c r="F837">
        <f>VLOOKUP($A837,ordered_items!$B$2:$E$4784,2,0)</f>
        <v>403</v>
      </c>
      <c r="G837">
        <f>VLOOKUP($A837,ordered_items!$B$2:$E$4784,3,0)</f>
        <v>1</v>
      </c>
      <c r="H837">
        <f>VLOOKUP($A837,ordered_items!$B$2:$E$4784,4,0)</f>
        <v>129.99</v>
      </c>
      <c r="I837" s="15">
        <f>VLOOKUP(F837,product_info!$A$2:$D$73,4,0)</f>
        <v>4</v>
      </c>
      <c r="J837" s="15" t="str">
        <f>VLOOKUP(I837,department!$A$2:$B$13,2,0)</f>
        <v>Apparel</v>
      </c>
      <c r="K837">
        <v>6951</v>
      </c>
      <c r="L837" t="s">
        <v>119</v>
      </c>
      <c r="M837" s="4">
        <v>43490</v>
      </c>
      <c r="N837" s="12">
        <f t="shared" si="40"/>
        <v>1</v>
      </c>
      <c r="O837" s="13">
        <f t="shared" si="41"/>
        <v>2019</v>
      </c>
      <c r="P837" t="s">
        <v>13</v>
      </c>
      <c r="Q837" t="s">
        <v>5781</v>
      </c>
      <c r="R837" t="s">
        <v>14</v>
      </c>
      <c r="S837" t="str" cm="1">
        <f t="array" ref="S837">_xlfn.IFS(R837="COMPLETE", "COMPLETED", R837="CANCELED", "CANCELED", TRUE, "PENDING")</f>
        <v>PENDING</v>
      </c>
      <c r="T837" t="s">
        <v>16</v>
      </c>
      <c r="U837">
        <f>VLOOKUP(A837,ordered_items!$B:$E,4,0)</f>
        <v>129.99</v>
      </c>
    </row>
    <row r="838" spans="1:21" x14ac:dyDescent="0.3">
      <c r="A838">
        <v>26723</v>
      </c>
      <c r="B838" t="s">
        <v>24</v>
      </c>
      <c r="C838">
        <v>4</v>
      </c>
      <c r="D838">
        <v>4</v>
      </c>
      <c r="E838" t="str">
        <f t="shared" si="39"/>
        <v xml:space="preserve"> ONTIME</v>
      </c>
      <c r="F838">
        <f>VLOOKUP($A838,ordered_items!$B$2:$E$4784,2,0)</f>
        <v>365</v>
      </c>
      <c r="G838">
        <f>VLOOKUP($A838,ordered_items!$B$2:$E$4784,3,0)</f>
        <v>1</v>
      </c>
      <c r="H838">
        <f>VLOOKUP($A838,ordered_items!$B$2:$E$4784,4,0)</f>
        <v>59.99</v>
      </c>
      <c r="I838" s="15">
        <f>VLOOKUP(F838,product_info!$A$2:$D$73,4,0)</f>
        <v>4</v>
      </c>
      <c r="J838" s="15" t="str">
        <f>VLOOKUP(I838,department!$A$2:$B$13,2,0)</f>
        <v>Apparel</v>
      </c>
      <c r="K838">
        <v>11161</v>
      </c>
      <c r="L838" t="s">
        <v>119</v>
      </c>
      <c r="M838" s="4">
        <v>43490</v>
      </c>
      <c r="N838" s="12">
        <f t="shared" si="40"/>
        <v>1</v>
      </c>
      <c r="O838" s="13">
        <f t="shared" si="41"/>
        <v>2019</v>
      </c>
      <c r="P838" t="s">
        <v>13</v>
      </c>
      <c r="Q838" t="s">
        <v>5781</v>
      </c>
      <c r="R838" t="s">
        <v>31</v>
      </c>
      <c r="S838" t="str" cm="1">
        <f t="array" ref="S838">_xlfn.IFS(R838="COMPLETE", "COMPLETED", R838="CANCELED", "CANCELED", TRUE, "PENDING")</f>
        <v>COMPLETED</v>
      </c>
      <c r="T838" t="s">
        <v>16</v>
      </c>
      <c r="U838">
        <f>VLOOKUP(A838,ordered_items!$B:$E,4,0)</f>
        <v>59.99</v>
      </c>
    </row>
    <row r="839" spans="1:21" x14ac:dyDescent="0.3">
      <c r="A839">
        <v>26810</v>
      </c>
      <c r="B839" t="s">
        <v>51</v>
      </c>
      <c r="C839">
        <v>0</v>
      </c>
      <c r="D839">
        <v>0</v>
      </c>
      <c r="E839" t="str">
        <f t="shared" si="39"/>
        <v xml:space="preserve"> ONTIME</v>
      </c>
      <c r="F839">
        <f>VLOOKUP($A839,ordered_items!$B$2:$E$4784,2,0)</f>
        <v>703</v>
      </c>
      <c r="G839">
        <f>VLOOKUP($A839,ordered_items!$B$2:$E$4784,3,0)</f>
        <v>1</v>
      </c>
      <c r="H839">
        <f>VLOOKUP($A839,ordered_items!$B$2:$E$4784,4,0)</f>
        <v>19.989999999999998</v>
      </c>
      <c r="I839" s="15">
        <f>VLOOKUP(F839,product_info!$A$2:$D$73,4,0)</f>
        <v>6</v>
      </c>
      <c r="J839" s="15" t="str">
        <f>VLOOKUP(I839,department!$A$2:$B$13,2,0)</f>
        <v>Outdoors</v>
      </c>
      <c r="K839">
        <v>1046</v>
      </c>
      <c r="L839" t="s">
        <v>233</v>
      </c>
      <c r="M839" s="4">
        <v>43491</v>
      </c>
      <c r="N839" s="12">
        <f t="shared" si="40"/>
        <v>1</v>
      </c>
      <c r="O839" s="13">
        <f t="shared" si="41"/>
        <v>2019</v>
      </c>
      <c r="P839" t="s">
        <v>13</v>
      </c>
      <c r="Q839" t="s">
        <v>234</v>
      </c>
      <c r="R839" t="s">
        <v>57</v>
      </c>
      <c r="S839" t="str" cm="1">
        <f t="array" ref="S839">_xlfn.IFS(R839="COMPLETE", "COMPLETED", R839="CANCELED", "CANCELED", TRUE, "PENDING")</f>
        <v>PENDING</v>
      </c>
      <c r="T839" t="s">
        <v>58</v>
      </c>
      <c r="U839">
        <f>VLOOKUP(A839,ordered_items!$B:$E,4,0)</f>
        <v>19.989999999999998</v>
      </c>
    </row>
    <row r="840" spans="1:21" x14ac:dyDescent="0.3">
      <c r="A840">
        <v>26824</v>
      </c>
      <c r="B840" t="s">
        <v>24</v>
      </c>
      <c r="C840">
        <v>2</v>
      </c>
      <c r="D840">
        <v>1</v>
      </c>
      <c r="E840" t="str">
        <f t="shared" si="39"/>
        <v>DELAYED</v>
      </c>
      <c r="F840">
        <f>VLOOKUP($A840,ordered_items!$B$2:$E$4784,2,0)</f>
        <v>957</v>
      </c>
      <c r="G840">
        <f>VLOOKUP($A840,ordered_items!$B$2:$E$4784,3,0)</f>
        <v>1</v>
      </c>
      <c r="H840">
        <f>VLOOKUP($A840,ordered_items!$B$2:$E$4784,4,0)</f>
        <v>299.98</v>
      </c>
      <c r="I840" s="15">
        <f>VLOOKUP(F840,product_info!$A$2:$D$73,4,0)</f>
        <v>7</v>
      </c>
      <c r="J840" s="15" t="str">
        <f>VLOOKUP(I840,department!$A$2:$B$13,2,0)</f>
        <v>Fan Shop</v>
      </c>
      <c r="K840">
        <v>9614</v>
      </c>
      <c r="L840" t="s">
        <v>262</v>
      </c>
      <c r="M840" s="4">
        <v>43491</v>
      </c>
      <c r="N840" s="12">
        <f t="shared" si="40"/>
        <v>1</v>
      </c>
      <c r="O840" s="13">
        <f t="shared" si="41"/>
        <v>2019</v>
      </c>
      <c r="P840" t="s">
        <v>13</v>
      </c>
      <c r="Q840" t="s">
        <v>5777</v>
      </c>
      <c r="R840" t="s">
        <v>31</v>
      </c>
      <c r="S840" t="str" cm="1">
        <f t="array" ref="S840">_xlfn.IFS(R840="COMPLETE", "COMPLETED", R840="CANCELED", "CANCELED", TRUE, "PENDING")</f>
        <v>COMPLETED</v>
      </c>
      <c r="T840" t="s">
        <v>32</v>
      </c>
      <c r="U840">
        <f>VLOOKUP(A840,ordered_items!$B:$E,4,0)</f>
        <v>299.98</v>
      </c>
    </row>
    <row r="841" spans="1:21" x14ac:dyDescent="0.3">
      <c r="A841">
        <v>26843</v>
      </c>
      <c r="B841" t="s">
        <v>17</v>
      </c>
      <c r="C841">
        <v>4</v>
      </c>
      <c r="D841">
        <v>4</v>
      </c>
      <c r="E841" t="str">
        <f t="shared" si="39"/>
        <v xml:space="preserve"> ONTIME</v>
      </c>
      <c r="F841">
        <f>VLOOKUP($A841,ordered_items!$B$2:$E$4784,2,0)</f>
        <v>502</v>
      </c>
      <c r="G841">
        <f>VLOOKUP($A841,ordered_items!$B$2:$E$4784,3,0)</f>
        <v>2</v>
      </c>
      <c r="H841">
        <f>VLOOKUP($A841,ordered_items!$B$2:$E$4784,4,0)</f>
        <v>100</v>
      </c>
      <c r="I841" s="15">
        <f>VLOOKUP(F841,product_info!$A$2:$D$73,4,0)</f>
        <v>5</v>
      </c>
      <c r="J841" s="15" t="str">
        <f>VLOOKUP(I841,department!$A$2:$B$13,2,0)</f>
        <v>Golf</v>
      </c>
      <c r="K841">
        <v>4484</v>
      </c>
      <c r="L841" t="s">
        <v>465</v>
      </c>
      <c r="M841" s="4">
        <v>43491</v>
      </c>
      <c r="N841" s="12">
        <f t="shared" si="40"/>
        <v>1</v>
      </c>
      <c r="O841" s="13">
        <f t="shared" si="41"/>
        <v>2019</v>
      </c>
      <c r="P841" t="s">
        <v>13</v>
      </c>
      <c r="Q841" t="s">
        <v>99</v>
      </c>
      <c r="R841" t="s">
        <v>23</v>
      </c>
      <c r="S841" t="str" cm="1">
        <f t="array" ref="S841">_xlfn.IFS(R841="COMPLETE", "COMPLETED", R841="CANCELED", "CANCELED", TRUE, "PENDING")</f>
        <v>PENDING</v>
      </c>
      <c r="T841" t="s">
        <v>16</v>
      </c>
      <c r="U841">
        <f>VLOOKUP(A841,ordered_items!$B:$E,4,0)</f>
        <v>100</v>
      </c>
    </row>
    <row r="842" spans="1:21" x14ac:dyDescent="0.3">
      <c r="A842">
        <v>26845</v>
      </c>
      <c r="B842" t="s">
        <v>3</v>
      </c>
      <c r="C842">
        <v>6</v>
      </c>
      <c r="D842">
        <v>4</v>
      </c>
      <c r="E842" t="str">
        <f t="shared" si="39"/>
        <v>DELAYED</v>
      </c>
      <c r="F842">
        <f>VLOOKUP($A842,ordered_items!$B$2:$E$4784,2,0)</f>
        <v>627</v>
      </c>
      <c r="G842">
        <f>VLOOKUP($A842,ordered_items!$B$2:$E$4784,3,0)</f>
        <v>4</v>
      </c>
      <c r="H842">
        <f>VLOOKUP($A842,ordered_items!$B$2:$E$4784,4,0)</f>
        <v>159.96</v>
      </c>
      <c r="I842" s="15">
        <f>VLOOKUP(F842,product_info!$A$2:$D$73,4,0)</f>
        <v>5</v>
      </c>
      <c r="J842" s="15" t="str">
        <f>VLOOKUP(I842,department!$A$2:$B$13,2,0)</f>
        <v>Golf</v>
      </c>
      <c r="K842">
        <v>7133</v>
      </c>
      <c r="L842" t="s">
        <v>1120</v>
      </c>
      <c r="M842" s="4">
        <v>43491</v>
      </c>
      <c r="N842" s="12">
        <f t="shared" si="40"/>
        <v>1</v>
      </c>
      <c r="O842" s="13">
        <f t="shared" si="41"/>
        <v>2019</v>
      </c>
      <c r="P842" t="s">
        <v>13</v>
      </c>
      <c r="Q842" t="s">
        <v>30</v>
      </c>
      <c r="R842" t="s">
        <v>38</v>
      </c>
      <c r="S842" t="str" cm="1">
        <f t="array" ref="S842">_xlfn.IFS(R842="COMPLETE", "COMPLETED", R842="CANCELED", "CANCELED", TRUE, "PENDING")</f>
        <v>PENDING</v>
      </c>
      <c r="T842" t="s">
        <v>16</v>
      </c>
      <c r="U842">
        <f>VLOOKUP(A842,ordered_items!$B:$E,4,0)</f>
        <v>159.96</v>
      </c>
    </row>
    <row r="843" spans="1:21" x14ac:dyDescent="0.3">
      <c r="A843">
        <v>26857</v>
      </c>
      <c r="B843" t="s">
        <v>24</v>
      </c>
      <c r="C843">
        <v>3</v>
      </c>
      <c r="D843">
        <v>4</v>
      </c>
      <c r="E843" t="str">
        <f t="shared" si="39"/>
        <v xml:space="preserve"> ONTIME</v>
      </c>
      <c r="F843">
        <f>VLOOKUP($A843,ordered_items!$B$2:$E$4784,2,0)</f>
        <v>957</v>
      </c>
      <c r="G843">
        <f>VLOOKUP($A843,ordered_items!$B$2:$E$4784,3,0)</f>
        <v>1</v>
      </c>
      <c r="H843">
        <f>VLOOKUP($A843,ordered_items!$B$2:$E$4784,4,0)</f>
        <v>299.98</v>
      </c>
      <c r="I843" s="15">
        <f>VLOOKUP(F843,product_info!$A$2:$D$73,4,0)</f>
        <v>7</v>
      </c>
      <c r="J843" s="15" t="str">
        <f>VLOOKUP(I843,department!$A$2:$B$13,2,0)</f>
        <v>Fan Shop</v>
      </c>
      <c r="K843">
        <v>7217</v>
      </c>
      <c r="L843" t="s">
        <v>110</v>
      </c>
      <c r="M843" s="4">
        <v>43492</v>
      </c>
      <c r="N843" s="12">
        <f t="shared" si="40"/>
        <v>1</v>
      </c>
      <c r="O843" s="13">
        <f t="shared" si="41"/>
        <v>2019</v>
      </c>
      <c r="P843" t="s">
        <v>13</v>
      </c>
      <c r="Q843" t="s">
        <v>99</v>
      </c>
      <c r="R843" t="s">
        <v>31</v>
      </c>
      <c r="S843" t="str" cm="1">
        <f t="array" ref="S843">_xlfn.IFS(R843="COMPLETE", "COMPLETED", R843="CANCELED", "CANCELED", TRUE, "PENDING")</f>
        <v>COMPLETED</v>
      </c>
      <c r="T843" t="s">
        <v>16</v>
      </c>
      <c r="U843">
        <f>VLOOKUP(A843,ordered_items!$B:$E,4,0)</f>
        <v>299.98</v>
      </c>
    </row>
    <row r="844" spans="1:21" x14ac:dyDescent="0.3">
      <c r="A844">
        <v>26861</v>
      </c>
      <c r="B844" t="s">
        <v>24</v>
      </c>
      <c r="C844">
        <v>2</v>
      </c>
      <c r="D844">
        <v>4</v>
      </c>
      <c r="E844" t="str">
        <f t="shared" si="39"/>
        <v xml:space="preserve"> ONTIME</v>
      </c>
      <c r="F844">
        <f>VLOOKUP($A844,ordered_items!$B$2:$E$4784,2,0)</f>
        <v>403</v>
      </c>
      <c r="G844">
        <f>VLOOKUP($A844,ordered_items!$B$2:$E$4784,3,0)</f>
        <v>1</v>
      </c>
      <c r="H844">
        <f>VLOOKUP($A844,ordered_items!$B$2:$E$4784,4,0)</f>
        <v>129.99</v>
      </c>
      <c r="I844" s="15">
        <f>VLOOKUP(F844,product_info!$A$2:$D$73,4,0)</f>
        <v>4</v>
      </c>
      <c r="J844" s="15" t="str">
        <f>VLOOKUP(I844,department!$A$2:$B$13,2,0)</f>
        <v>Apparel</v>
      </c>
      <c r="K844">
        <v>7931</v>
      </c>
      <c r="L844" t="s">
        <v>262</v>
      </c>
      <c r="M844" s="4">
        <v>43492</v>
      </c>
      <c r="N844" s="12">
        <f t="shared" si="40"/>
        <v>1</v>
      </c>
      <c r="O844" s="13">
        <f t="shared" si="41"/>
        <v>2019</v>
      </c>
      <c r="P844" t="s">
        <v>13</v>
      </c>
      <c r="Q844" t="s">
        <v>5777</v>
      </c>
      <c r="R844" t="s">
        <v>31</v>
      </c>
      <c r="S844" t="str" cm="1">
        <f t="array" ref="S844">_xlfn.IFS(R844="COMPLETE", "COMPLETED", R844="CANCELED", "CANCELED", TRUE, "PENDING")</f>
        <v>COMPLETED</v>
      </c>
      <c r="T844" t="s">
        <v>16</v>
      </c>
      <c r="U844">
        <f>VLOOKUP(A844,ordered_items!$B:$E,4,0)</f>
        <v>129.99</v>
      </c>
    </row>
    <row r="845" spans="1:21" x14ac:dyDescent="0.3">
      <c r="A845">
        <v>26862</v>
      </c>
      <c r="B845" t="s">
        <v>24</v>
      </c>
      <c r="C845">
        <v>3</v>
      </c>
      <c r="D845">
        <v>2</v>
      </c>
      <c r="E845" t="str">
        <f t="shared" si="39"/>
        <v>DELAYED</v>
      </c>
      <c r="F845">
        <f>VLOOKUP($A845,ordered_items!$B$2:$E$4784,2,0)</f>
        <v>1073</v>
      </c>
      <c r="G845">
        <f>VLOOKUP($A845,ordered_items!$B$2:$E$4784,3,0)</f>
        <v>1</v>
      </c>
      <c r="H845">
        <f>VLOOKUP($A845,ordered_items!$B$2:$E$4784,4,0)</f>
        <v>199.99</v>
      </c>
      <c r="I845" s="15">
        <f>VLOOKUP(F845,product_info!$A$2:$D$73,4,0)</f>
        <v>7</v>
      </c>
      <c r="J845" s="15" t="str">
        <f>VLOOKUP(I845,department!$A$2:$B$13,2,0)</f>
        <v>Fan Shop</v>
      </c>
      <c r="K845">
        <v>3465</v>
      </c>
      <c r="L845" t="s">
        <v>262</v>
      </c>
      <c r="M845" s="4">
        <v>43492</v>
      </c>
      <c r="N845" s="12">
        <f t="shared" si="40"/>
        <v>1</v>
      </c>
      <c r="O845" s="13">
        <f t="shared" si="41"/>
        <v>2019</v>
      </c>
      <c r="P845" t="s">
        <v>13</v>
      </c>
      <c r="Q845" t="s">
        <v>5777</v>
      </c>
      <c r="R845" t="s">
        <v>31</v>
      </c>
      <c r="S845" t="str" cm="1">
        <f t="array" ref="S845">_xlfn.IFS(R845="COMPLETE", "COMPLETED", R845="CANCELED", "CANCELED", TRUE, "PENDING")</f>
        <v>COMPLETED</v>
      </c>
      <c r="T845" t="s">
        <v>90</v>
      </c>
      <c r="U845">
        <f>VLOOKUP(A845,ordered_items!$B:$E,4,0)</f>
        <v>199.99</v>
      </c>
    </row>
    <row r="846" spans="1:21" x14ac:dyDescent="0.3">
      <c r="A846">
        <v>26863</v>
      </c>
      <c r="B846" t="s">
        <v>24</v>
      </c>
      <c r="C846">
        <v>4</v>
      </c>
      <c r="D846">
        <v>2</v>
      </c>
      <c r="E846" t="str">
        <f t="shared" si="39"/>
        <v>DELAYED</v>
      </c>
      <c r="F846">
        <f>VLOOKUP($A846,ordered_items!$B$2:$E$4784,2,0)</f>
        <v>502</v>
      </c>
      <c r="G846">
        <f>VLOOKUP($A846,ordered_items!$B$2:$E$4784,3,0)</f>
        <v>4</v>
      </c>
      <c r="H846">
        <f>VLOOKUP($A846,ordered_items!$B$2:$E$4784,4,0)</f>
        <v>200</v>
      </c>
      <c r="I846" s="15">
        <f>VLOOKUP(F846,product_info!$A$2:$D$73,4,0)</f>
        <v>5</v>
      </c>
      <c r="J846" s="15" t="str">
        <f>VLOOKUP(I846,department!$A$2:$B$13,2,0)</f>
        <v>Golf</v>
      </c>
      <c r="K846">
        <v>3895</v>
      </c>
      <c r="L846" t="s">
        <v>262</v>
      </c>
      <c r="M846" s="4">
        <v>43492</v>
      </c>
      <c r="N846" s="12">
        <f t="shared" si="40"/>
        <v>1</v>
      </c>
      <c r="O846" s="13">
        <f t="shared" si="41"/>
        <v>2019</v>
      </c>
      <c r="P846" t="s">
        <v>13</v>
      </c>
      <c r="Q846" t="s">
        <v>5777</v>
      </c>
      <c r="R846" t="s">
        <v>31</v>
      </c>
      <c r="S846" t="str" cm="1">
        <f t="array" ref="S846">_xlfn.IFS(R846="COMPLETE", "COMPLETED", R846="CANCELED", "CANCELED", TRUE, "PENDING")</f>
        <v>COMPLETED</v>
      </c>
      <c r="T846" t="s">
        <v>90</v>
      </c>
      <c r="U846">
        <f>VLOOKUP(A846,ordered_items!$B:$E,4,0)</f>
        <v>200</v>
      </c>
    </row>
    <row r="847" spans="1:21" x14ac:dyDescent="0.3">
      <c r="A847">
        <v>26864</v>
      </c>
      <c r="B847" t="s">
        <v>51</v>
      </c>
      <c r="C847">
        <v>5</v>
      </c>
      <c r="D847">
        <v>2</v>
      </c>
      <c r="E847" t="str">
        <f t="shared" si="39"/>
        <v>DELAYED</v>
      </c>
      <c r="F847">
        <f>VLOOKUP($A847,ordered_items!$B$2:$E$4784,2,0)</f>
        <v>135</v>
      </c>
      <c r="G847">
        <f>VLOOKUP($A847,ordered_items!$B$2:$E$4784,3,0)</f>
        <v>3</v>
      </c>
      <c r="H847">
        <f>VLOOKUP($A847,ordered_items!$B$2:$E$4784,4,0)</f>
        <v>66</v>
      </c>
      <c r="I847" s="15">
        <f>VLOOKUP(F847,product_info!$A$2:$D$73,4,0)</f>
        <v>2</v>
      </c>
      <c r="J847" s="15" t="str">
        <f>VLOOKUP(I847,department!$A$2:$B$13,2,0)</f>
        <v>Fitness</v>
      </c>
      <c r="K847">
        <v>9906</v>
      </c>
      <c r="L847" t="s">
        <v>262</v>
      </c>
      <c r="M847" s="4">
        <v>43492</v>
      </c>
      <c r="N847" s="12">
        <f t="shared" si="40"/>
        <v>1</v>
      </c>
      <c r="O847" s="13">
        <f t="shared" si="41"/>
        <v>2019</v>
      </c>
      <c r="P847" t="s">
        <v>13</v>
      </c>
      <c r="Q847" t="s">
        <v>5777</v>
      </c>
      <c r="R847" t="s">
        <v>57</v>
      </c>
      <c r="S847" t="str" cm="1">
        <f t="array" ref="S847">_xlfn.IFS(R847="COMPLETE", "COMPLETED", R847="CANCELED", "CANCELED", TRUE, "PENDING")</f>
        <v>PENDING</v>
      </c>
      <c r="T847" t="s">
        <v>90</v>
      </c>
      <c r="U847">
        <f>VLOOKUP(A847,ordered_items!$B:$E,4,0)</f>
        <v>66</v>
      </c>
    </row>
    <row r="848" spans="1:21" x14ac:dyDescent="0.3">
      <c r="A848">
        <v>26887</v>
      </c>
      <c r="B848" t="s">
        <v>24</v>
      </c>
      <c r="C848">
        <v>3</v>
      </c>
      <c r="D848">
        <v>4</v>
      </c>
      <c r="E848" t="str">
        <f t="shared" si="39"/>
        <v xml:space="preserve"> ONTIME</v>
      </c>
      <c r="F848">
        <f>VLOOKUP($A848,ordered_items!$B$2:$E$4784,2,0)</f>
        <v>134</v>
      </c>
      <c r="G848">
        <f>VLOOKUP($A848,ordered_items!$B$2:$E$4784,3,0)</f>
        <v>5</v>
      </c>
      <c r="H848">
        <f>VLOOKUP($A848,ordered_items!$B$2:$E$4784,4,0)</f>
        <v>125</v>
      </c>
      <c r="I848" s="15">
        <f>VLOOKUP(F848,product_info!$A$2:$D$73,4,0)</f>
        <v>2</v>
      </c>
      <c r="J848" s="15" t="str">
        <f>VLOOKUP(I848,department!$A$2:$B$13,2,0)</f>
        <v>Fitness</v>
      </c>
      <c r="K848">
        <v>5612</v>
      </c>
      <c r="L848" t="s">
        <v>253</v>
      </c>
      <c r="M848" s="4">
        <v>43492</v>
      </c>
      <c r="N848" s="12">
        <f t="shared" si="40"/>
        <v>1</v>
      </c>
      <c r="O848" s="13">
        <f t="shared" si="41"/>
        <v>2019</v>
      </c>
      <c r="P848" t="s">
        <v>13</v>
      </c>
      <c r="Q848" t="s">
        <v>30</v>
      </c>
      <c r="R848" t="s">
        <v>31</v>
      </c>
      <c r="S848" t="str" cm="1">
        <f t="array" ref="S848">_xlfn.IFS(R848="COMPLETE", "COMPLETED", R848="CANCELED", "CANCELED", TRUE, "PENDING")</f>
        <v>COMPLETED</v>
      </c>
      <c r="T848" t="s">
        <v>16</v>
      </c>
      <c r="U848">
        <f>VLOOKUP(A848,ordered_items!$B:$E,4,0)</f>
        <v>125</v>
      </c>
    </row>
    <row r="849" spans="1:21" x14ac:dyDescent="0.3">
      <c r="A849">
        <v>26888</v>
      </c>
      <c r="B849" t="s">
        <v>51</v>
      </c>
      <c r="C849">
        <v>4</v>
      </c>
      <c r="D849">
        <v>4</v>
      </c>
      <c r="E849" t="str">
        <f t="shared" si="39"/>
        <v xml:space="preserve"> ONTIME</v>
      </c>
      <c r="F849">
        <f>VLOOKUP($A849,ordered_items!$B$2:$E$4784,2,0)</f>
        <v>1073</v>
      </c>
      <c r="G849">
        <f>VLOOKUP($A849,ordered_items!$B$2:$E$4784,3,0)</f>
        <v>1</v>
      </c>
      <c r="H849">
        <f>VLOOKUP($A849,ordered_items!$B$2:$E$4784,4,0)</f>
        <v>199.99</v>
      </c>
      <c r="I849" s="15">
        <f>VLOOKUP(F849,product_info!$A$2:$D$73,4,0)</f>
        <v>7</v>
      </c>
      <c r="J849" s="15" t="str">
        <f>VLOOKUP(I849,department!$A$2:$B$13,2,0)</f>
        <v>Fan Shop</v>
      </c>
      <c r="K849">
        <v>3135</v>
      </c>
      <c r="L849" t="s">
        <v>253</v>
      </c>
      <c r="M849" s="4">
        <v>43492</v>
      </c>
      <c r="N849" s="12">
        <f t="shared" si="40"/>
        <v>1</v>
      </c>
      <c r="O849" s="13">
        <f t="shared" si="41"/>
        <v>2019</v>
      </c>
      <c r="P849" t="s">
        <v>13</v>
      </c>
      <c r="Q849" t="s">
        <v>30</v>
      </c>
      <c r="R849" t="s">
        <v>57</v>
      </c>
      <c r="S849" t="str" cm="1">
        <f t="array" ref="S849">_xlfn.IFS(R849="COMPLETE", "COMPLETED", R849="CANCELED", "CANCELED", TRUE, "PENDING")</f>
        <v>PENDING</v>
      </c>
      <c r="T849" t="s">
        <v>16</v>
      </c>
      <c r="U849">
        <f>VLOOKUP(A849,ordered_items!$B:$E,4,0)</f>
        <v>199.99</v>
      </c>
    </row>
    <row r="850" spans="1:21" x14ac:dyDescent="0.3">
      <c r="A850">
        <v>26889</v>
      </c>
      <c r="B850" t="s">
        <v>51</v>
      </c>
      <c r="C850">
        <v>5</v>
      </c>
      <c r="D850">
        <v>4</v>
      </c>
      <c r="E850" t="str">
        <f t="shared" si="39"/>
        <v>DELAYED</v>
      </c>
      <c r="F850">
        <f>VLOOKUP($A850,ordered_items!$B$2:$E$4784,2,0)</f>
        <v>403</v>
      </c>
      <c r="G850">
        <f>VLOOKUP($A850,ordered_items!$B$2:$E$4784,3,0)</f>
        <v>1</v>
      </c>
      <c r="H850">
        <f>VLOOKUP($A850,ordered_items!$B$2:$E$4784,4,0)</f>
        <v>129.99</v>
      </c>
      <c r="I850" s="15">
        <f>VLOOKUP(F850,product_info!$A$2:$D$73,4,0)</f>
        <v>4</v>
      </c>
      <c r="J850" s="15" t="str">
        <f>VLOOKUP(I850,department!$A$2:$B$13,2,0)</f>
        <v>Apparel</v>
      </c>
      <c r="K850">
        <v>8399</v>
      </c>
      <c r="L850" t="s">
        <v>253</v>
      </c>
      <c r="M850" s="4">
        <v>43492</v>
      </c>
      <c r="N850" s="12">
        <f t="shared" si="40"/>
        <v>1</v>
      </c>
      <c r="O850" s="13">
        <f t="shared" si="41"/>
        <v>2019</v>
      </c>
      <c r="P850" t="s">
        <v>13</v>
      </c>
      <c r="Q850" t="s">
        <v>30</v>
      </c>
      <c r="R850" t="s">
        <v>57</v>
      </c>
      <c r="S850" t="str" cm="1">
        <f t="array" ref="S850">_xlfn.IFS(R850="COMPLETE", "COMPLETED", R850="CANCELED", "CANCELED", TRUE, "PENDING")</f>
        <v>PENDING</v>
      </c>
      <c r="T850" t="s">
        <v>16</v>
      </c>
      <c r="U850">
        <f>VLOOKUP(A850,ordered_items!$B:$E,4,0)</f>
        <v>129.99</v>
      </c>
    </row>
    <row r="851" spans="1:21" x14ac:dyDescent="0.3">
      <c r="A851">
        <v>26907</v>
      </c>
      <c r="B851" t="s">
        <v>51</v>
      </c>
      <c r="C851">
        <v>3</v>
      </c>
      <c r="D851">
        <v>4</v>
      </c>
      <c r="E851" t="str">
        <f t="shared" si="39"/>
        <v xml:space="preserve"> ONTIME</v>
      </c>
      <c r="F851">
        <f>VLOOKUP($A851,ordered_items!$B$2:$E$4784,2,0)</f>
        <v>403</v>
      </c>
      <c r="G851">
        <f>VLOOKUP($A851,ordered_items!$B$2:$E$4784,3,0)</f>
        <v>1</v>
      </c>
      <c r="H851">
        <f>VLOOKUP($A851,ordered_items!$B$2:$E$4784,4,0)</f>
        <v>129.99</v>
      </c>
      <c r="I851" s="15">
        <f>VLOOKUP(F851,product_info!$A$2:$D$73,4,0)</f>
        <v>4</v>
      </c>
      <c r="J851" s="15" t="str">
        <f>VLOOKUP(I851,department!$A$2:$B$13,2,0)</f>
        <v>Apparel</v>
      </c>
      <c r="K851">
        <v>7954</v>
      </c>
      <c r="L851" t="s">
        <v>888</v>
      </c>
      <c r="M851" s="4">
        <v>43492</v>
      </c>
      <c r="N851" s="12">
        <f t="shared" si="40"/>
        <v>1</v>
      </c>
      <c r="O851" s="13">
        <f t="shared" si="41"/>
        <v>2019</v>
      </c>
      <c r="P851" t="s">
        <v>13</v>
      </c>
      <c r="Q851" t="s">
        <v>30</v>
      </c>
      <c r="R851" t="s">
        <v>57</v>
      </c>
      <c r="S851" t="str" cm="1">
        <f t="array" ref="S851">_xlfn.IFS(R851="COMPLETE", "COMPLETED", R851="CANCELED", "CANCELED", TRUE, "PENDING")</f>
        <v>PENDING</v>
      </c>
      <c r="T851" t="s">
        <v>16</v>
      </c>
      <c r="U851">
        <f>VLOOKUP(A851,ordered_items!$B:$E,4,0)</f>
        <v>129.99</v>
      </c>
    </row>
    <row r="852" spans="1:21" x14ac:dyDescent="0.3">
      <c r="A852">
        <v>26909</v>
      </c>
      <c r="B852" t="s">
        <v>3</v>
      </c>
      <c r="C852">
        <v>5</v>
      </c>
      <c r="D852">
        <v>4</v>
      </c>
      <c r="E852" t="str">
        <f t="shared" si="39"/>
        <v>DELAYED</v>
      </c>
      <c r="F852">
        <f>VLOOKUP($A852,ordered_items!$B$2:$E$4784,2,0)</f>
        <v>502</v>
      </c>
      <c r="G852">
        <f>VLOOKUP($A852,ordered_items!$B$2:$E$4784,3,0)</f>
        <v>5</v>
      </c>
      <c r="H852">
        <f>VLOOKUP($A852,ordered_items!$B$2:$E$4784,4,0)</f>
        <v>250</v>
      </c>
      <c r="I852" s="15">
        <f>VLOOKUP(F852,product_info!$A$2:$D$73,4,0)</f>
        <v>5</v>
      </c>
      <c r="J852" s="15" t="str">
        <f>VLOOKUP(I852,department!$A$2:$B$13,2,0)</f>
        <v>Golf</v>
      </c>
      <c r="K852">
        <v>11378</v>
      </c>
      <c r="L852" t="s">
        <v>888</v>
      </c>
      <c r="M852" s="4">
        <v>43492</v>
      </c>
      <c r="N852" s="12">
        <f t="shared" si="40"/>
        <v>1</v>
      </c>
      <c r="O852" s="13">
        <f t="shared" si="41"/>
        <v>2019</v>
      </c>
      <c r="P852" t="s">
        <v>13</v>
      </c>
      <c r="Q852" t="s">
        <v>30</v>
      </c>
      <c r="R852" t="s">
        <v>38</v>
      </c>
      <c r="S852" t="str" cm="1">
        <f t="array" ref="S852">_xlfn.IFS(R852="COMPLETE", "COMPLETED", R852="CANCELED", "CANCELED", TRUE, "PENDING")</f>
        <v>PENDING</v>
      </c>
      <c r="T852" t="s">
        <v>16</v>
      </c>
      <c r="U852">
        <f>VLOOKUP(A852,ordered_items!$B:$E,4,0)</f>
        <v>250</v>
      </c>
    </row>
    <row r="853" spans="1:21" x14ac:dyDescent="0.3">
      <c r="A853">
        <v>26917</v>
      </c>
      <c r="B853" t="s">
        <v>24</v>
      </c>
      <c r="C853">
        <v>3</v>
      </c>
      <c r="D853">
        <v>4</v>
      </c>
      <c r="E853" t="str">
        <f t="shared" si="39"/>
        <v xml:space="preserve"> ONTIME</v>
      </c>
      <c r="F853">
        <f>VLOOKUP($A853,ordered_items!$B$2:$E$4784,2,0)</f>
        <v>1014</v>
      </c>
      <c r="G853">
        <f>VLOOKUP($A853,ordered_items!$B$2:$E$4784,3,0)</f>
        <v>4</v>
      </c>
      <c r="H853">
        <f>VLOOKUP($A853,ordered_items!$B$2:$E$4784,4,0)</f>
        <v>199.92</v>
      </c>
      <c r="I853" s="15">
        <f>VLOOKUP(F853,product_info!$A$2:$D$73,4,0)</f>
        <v>7</v>
      </c>
      <c r="J853" s="15" t="str">
        <f>VLOOKUP(I853,department!$A$2:$B$13,2,0)</f>
        <v>Fan Shop</v>
      </c>
      <c r="K853">
        <v>6404</v>
      </c>
      <c r="L853" t="s">
        <v>98</v>
      </c>
      <c r="M853" s="4">
        <v>43492</v>
      </c>
      <c r="N853" s="12">
        <f t="shared" si="40"/>
        <v>1</v>
      </c>
      <c r="O853" s="13">
        <f t="shared" si="41"/>
        <v>2019</v>
      </c>
      <c r="P853" t="s">
        <v>13</v>
      </c>
      <c r="Q853" t="s">
        <v>99</v>
      </c>
      <c r="R853" t="s">
        <v>378</v>
      </c>
      <c r="S853" t="str" cm="1">
        <f t="array" ref="S853">_xlfn.IFS(R853="COMPLETE", "COMPLETED", R853="CANCELED", "CANCELED", TRUE, "PENDING")</f>
        <v>PENDING</v>
      </c>
      <c r="T853" t="s">
        <v>16</v>
      </c>
      <c r="U853">
        <f>VLOOKUP(A853,ordered_items!$B:$E,4,0)</f>
        <v>199.92</v>
      </c>
    </row>
    <row r="854" spans="1:21" x14ac:dyDescent="0.3">
      <c r="A854">
        <v>26923</v>
      </c>
      <c r="B854" t="s">
        <v>51</v>
      </c>
      <c r="C854">
        <v>4</v>
      </c>
      <c r="D854">
        <v>4</v>
      </c>
      <c r="E854" t="str">
        <f t="shared" si="39"/>
        <v xml:space="preserve"> ONTIME</v>
      </c>
      <c r="F854">
        <f>VLOOKUP($A854,ordered_items!$B$2:$E$4784,2,0)</f>
        <v>403</v>
      </c>
      <c r="G854">
        <f>VLOOKUP($A854,ordered_items!$B$2:$E$4784,3,0)</f>
        <v>1</v>
      </c>
      <c r="H854">
        <f>VLOOKUP($A854,ordered_items!$B$2:$E$4784,4,0)</f>
        <v>129.99</v>
      </c>
      <c r="I854" s="15">
        <f>VLOOKUP(F854,product_info!$A$2:$D$73,4,0)</f>
        <v>4</v>
      </c>
      <c r="J854" s="15" t="str">
        <f>VLOOKUP(I854,department!$A$2:$B$13,2,0)</f>
        <v>Apparel</v>
      </c>
      <c r="K854">
        <v>9708</v>
      </c>
      <c r="L854" t="s">
        <v>262</v>
      </c>
      <c r="M854" s="4">
        <v>43492</v>
      </c>
      <c r="N854" s="12">
        <f t="shared" si="40"/>
        <v>1</v>
      </c>
      <c r="O854" s="13">
        <f t="shared" si="41"/>
        <v>2019</v>
      </c>
      <c r="P854" t="s">
        <v>13</v>
      </c>
      <c r="Q854" t="s">
        <v>30</v>
      </c>
      <c r="R854" t="s">
        <v>57</v>
      </c>
      <c r="S854" t="str" cm="1">
        <f t="array" ref="S854">_xlfn.IFS(R854="COMPLETE", "COMPLETED", R854="CANCELED", "CANCELED", TRUE, "PENDING")</f>
        <v>PENDING</v>
      </c>
      <c r="T854" t="s">
        <v>16</v>
      </c>
      <c r="U854">
        <f>VLOOKUP(A854,ordered_items!$B:$E,4,0)</f>
        <v>129.99</v>
      </c>
    </row>
    <row r="855" spans="1:21" x14ac:dyDescent="0.3">
      <c r="A855">
        <v>26924</v>
      </c>
      <c r="B855" t="s">
        <v>3</v>
      </c>
      <c r="C855">
        <v>5</v>
      </c>
      <c r="D855">
        <v>4</v>
      </c>
      <c r="E855" t="str">
        <f t="shared" si="39"/>
        <v>DELAYED</v>
      </c>
      <c r="F855">
        <f>VLOOKUP($A855,ordered_items!$B$2:$E$4784,2,0)</f>
        <v>1073</v>
      </c>
      <c r="G855">
        <f>VLOOKUP($A855,ordered_items!$B$2:$E$4784,3,0)</f>
        <v>1</v>
      </c>
      <c r="H855">
        <f>VLOOKUP($A855,ordered_items!$B$2:$E$4784,4,0)</f>
        <v>199.99</v>
      </c>
      <c r="I855" s="15">
        <f>VLOOKUP(F855,product_info!$A$2:$D$73,4,0)</f>
        <v>7</v>
      </c>
      <c r="J855" s="15" t="str">
        <f>VLOOKUP(I855,department!$A$2:$B$13,2,0)</f>
        <v>Fan Shop</v>
      </c>
      <c r="K855">
        <v>9310</v>
      </c>
      <c r="L855" t="s">
        <v>262</v>
      </c>
      <c r="M855" s="4">
        <v>43493</v>
      </c>
      <c r="N855" s="12">
        <f t="shared" si="40"/>
        <v>1</v>
      </c>
      <c r="O855" s="13">
        <f t="shared" si="41"/>
        <v>2019</v>
      </c>
      <c r="P855" t="s">
        <v>13</v>
      </c>
      <c r="Q855" t="s">
        <v>30</v>
      </c>
      <c r="R855" t="s">
        <v>14</v>
      </c>
      <c r="S855" t="str" cm="1">
        <f t="array" ref="S855">_xlfn.IFS(R855="COMPLETE", "COMPLETED", R855="CANCELED", "CANCELED", TRUE, "PENDING")</f>
        <v>PENDING</v>
      </c>
      <c r="T855" t="s">
        <v>16</v>
      </c>
      <c r="U855">
        <f>VLOOKUP(A855,ordered_items!$B:$E,4,0)</f>
        <v>199.99</v>
      </c>
    </row>
    <row r="856" spans="1:21" x14ac:dyDescent="0.3">
      <c r="A856">
        <v>26941</v>
      </c>
      <c r="B856" t="s">
        <v>24</v>
      </c>
      <c r="C856">
        <v>2</v>
      </c>
      <c r="D856">
        <v>4</v>
      </c>
      <c r="E856" t="str">
        <f t="shared" si="39"/>
        <v xml:space="preserve"> ONTIME</v>
      </c>
      <c r="F856">
        <f>VLOOKUP($A856,ordered_items!$B$2:$E$4784,2,0)</f>
        <v>1073</v>
      </c>
      <c r="G856">
        <f>VLOOKUP($A856,ordered_items!$B$2:$E$4784,3,0)</f>
        <v>1</v>
      </c>
      <c r="H856">
        <f>VLOOKUP($A856,ordered_items!$B$2:$E$4784,4,0)</f>
        <v>199.99</v>
      </c>
      <c r="I856" s="15">
        <f>VLOOKUP(F856,product_info!$A$2:$D$73,4,0)</f>
        <v>7</v>
      </c>
      <c r="J856" s="15" t="str">
        <f>VLOOKUP(I856,department!$A$2:$B$13,2,0)</f>
        <v>Fan Shop</v>
      </c>
      <c r="K856">
        <v>7633</v>
      </c>
      <c r="L856" t="s">
        <v>1320</v>
      </c>
      <c r="M856" s="4">
        <v>43493</v>
      </c>
      <c r="N856" s="12">
        <f t="shared" si="40"/>
        <v>1</v>
      </c>
      <c r="O856" s="13">
        <f t="shared" si="41"/>
        <v>2019</v>
      </c>
      <c r="P856" t="s">
        <v>13</v>
      </c>
      <c r="Q856" t="s">
        <v>227</v>
      </c>
      <c r="R856" t="s">
        <v>31</v>
      </c>
      <c r="S856" t="str" cm="1">
        <f t="array" ref="S856">_xlfn.IFS(R856="COMPLETE", "COMPLETED", R856="CANCELED", "CANCELED", TRUE, "PENDING")</f>
        <v>COMPLETED</v>
      </c>
      <c r="T856" t="s">
        <v>16</v>
      </c>
      <c r="U856">
        <f>VLOOKUP(A856,ordered_items!$B:$E,4,0)</f>
        <v>199.99</v>
      </c>
    </row>
    <row r="857" spans="1:21" x14ac:dyDescent="0.3">
      <c r="A857">
        <v>26942</v>
      </c>
      <c r="B857" t="s">
        <v>24</v>
      </c>
      <c r="C857">
        <v>3</v>
      </c>
      <c r="D857">
        <v>4</v>
      </c>
      <c r="E857" t="str">
        <f t="shared" si="39"/>
        <v xml:space="preserve"> ONTIME</v>
      </c>
      <c r="F857">
        <f>VLOOKUP($A857,ordered_items!$B$2:$E$4784,2,0)</f>
        <v>1014</v>
      </c>
      <c r="G857">
        <f>VLOOKUP($A857,ordered_items!$B$2:$E$4784,3,0)</f>
        <v>5</v>
      </c>
      <c r="H857">
        <f>VLOOKUP($A857,ordered_items!$B$2:$E$4784,4,0)</f>
        <v>249.9</v>
      </c>
      <c r="I857" s="15">
        <f>VLOOKUP(F857,product_info!$A$2:$D$73,4,0)</f>
        <v>7</v>
      </c>
      <c r="J857" s="15" t="str">
        <f>VLOOKUP(I857,department!$A$2:$B$13,2,0)</f>
        <v>Fan Shop</v>
      </c>
      <c r="K857">
        <v>1362</v>
      </c>
      <c r="L857" t="s">
        <v>1320</v>
      </c>
      <c r="M857" s="4">
        <v>43493</v>
      </c>
      <c r="N857" s="12">
        <f t="shared" si="40"/>
        <v>1</v>
      </c>
      <c r="O857" s="13">
        <f t="shared" si="41"/>
        <v>2019</v>
      </c>
      <c r="P857" t="s">
        <v>13</v>
      </c>
      <c r="Q857" t="s">
        <v>227</v>
      </c>
      <c r="R857" t="s">
        <v>31</v>
      </c>
      <c r="S857" t="str" cm="1">
        <f t="array" ref="S857">_xlfn.IFS(R857="COMPLETE", "COMPLETED", R857="CANCELED", "CANCELED", TRUE, "PENDING")</f>
        <v>COMPLETED</v>
      </c>
      <c r="T857" t="s">
        <v>16</v>
      </c>
      <c r="U857">
        <f>VLOOKUP(A857,ordered_items!$B:$E,4,0)</f>
        <v>249.9</v>
      </c>
    </row>
    <row r="858" spans="1:21" x14ac:dyDescent="0.3">
      <c r="A858">
        <v>26943</v>
      </c>
      <c r="B858" t="s">
        <v>3</v>
      </c>
      <c r="C858">
        <v>4</v>
      </c>
      <c r="D858">
        <v>2</v>
      </c>
      <c r="E858" t="str">
        <f t="shared" si="39"/>
        <v>DELAYED</v>
      </c>
      <c r="F858">
        <f>VLOOKUP($A858,ordered_items!$B$2:$E$4784,2,0)</f>
        <v>1073</v>
      </c>
      <c r="G858">
        <f>VLOOKUP($A858,ordered_items!$B$2:$E$4784,3,0)</f>
        <v>1</v>
      </c>
      <c r="H858">
        <f>VLOOKUP($A858,ordered_items!$B$2:$E$4784,4,0)</f>
        <v>199.99</v>
      </c>
      <c r="I858" s="15">
        <f>VLOOKUP(F858,product_info!$A$2:$D$73,4,0)</f>
        <v>7</v>
      </c>
      <c r="J858" s="15" t="str">
        <f>VLOOKUP(I858,department!$A$2:$B$13,2,0)</f>
        <v>Fan Shop</v>
      </c>
      <c r="K858">
        <v>6543</v>
      </c>
      <c r="L858" t="s">
        <v>1320</v>
      </c>
      <c r="M858" s="4">
        <v>43493</v>
      </c>
      <c r="N858" s="12">
        <f t="shared" si="40"/>
        <v>1</v>
      </c>
      <c r="O858" s="13">
        <f t="shared" si="41"/>
        <v>2019</v>
      </c>
      <c r="P858" t="s">
        <v>13</v>
      </c>
      <c r="Q858" t="s">
        <v>227</v>
      </c>
      <c r="R858" t="s">
        <v>38</v>
      </c>
      <c r="S858" t="str" cm="1">
        <f t="array" ref="S858">_xlfn.IFS(R858="COMPLETE", "COMPLETED", R858="CANCELED", "CANCELED", TRUE, "PENDING")</f>
        <v>PENDING</v>
      </c>
      <c r="T858" t="s">
        <v>90</v>
      </c>
      <c r="U858">
        <f>VLOOKUP(A858,ordered_items!$B:$E,4,0)</f>
        <v>199.99</v>
      </c>
    </row>
    <row r="859" spans="1:21" x14ac:dyDescent="0.3">
      <c r="A859">
        <v>26945</v>
      </c>
      <c r="B859" t="s">
        <v>3</v>
      </c>
      <c r="C859">
        <v>6</v>
      </c>
      <c r="D859">
        <v>2</v>
      </c>
      <c r="E859" t="str">
        <f t="shared" si="39"/>
        <v>DELAYED</v>
      </c>
      <c r="F859">
        <f>VLOOKUP($A859,ordered_items!$B$2:$E$4784,2,0)</f>
        <v>365</v>
      </c>
      <c r="G859">
        <f>VLOOKUP($A859,ordered_items!$B$2:$E$4784,3,0)</f>
        <v>1</v>
      </c>
      <c r="H859">
        <f>VLOOKUP($A859,ordered_items!$B$2:$E$4784,4,0)</f>
        <v>59.99</v>
      </c>
      <c r="I859" s="15">
        <f>VLOOKUP(F859,product_info!$A$2:$D$73,4,0)</f>
        <v>4</v>
      </c>
      <c r="J859" s="15" t="str">
        <f>VLOOKUP(I859,department!$A$2:$B$13,2,0)</f>
        <v>Apparel</v>
      </c>
      <c r="K859">
        <v>10950</v>
      </c>
      <c r="L859" t="s">
        <v>959</v>
      </c>
      <c r="M859" s="4">
        <v>43493</v>
      </c>
      <c r="N859" s="12">
        <f t="shared" si="40"/>
        <v>1</v>
      </c>
      <c r="O859" s="13">
        <f t="shared" si="41"/>
        <v>2019</v>
      </c>
      <c r="P859" t="s">
        <v>13</v>
      </c>
      <c r="Q859" t="s">
        <v>5779</v>
      </c>
      <c r="R859" t="s">
        <v>38</v>
      </c>
      <c r="S859" t="str" cm="1">
        <f t="array" ref="S859">_xlfn.IFS(R859="COMPLETE", "COMPLETED", R859="CANCELED", "CANCELED", TRUE, "PENDING")</f>
        <v>PENDING</v>
      </c>
      <c r="T859" t="s">
        <v>90</v>
      </c>
      <c r="U859">
        <f>VLOOKUP(A859,ordered_items!$B:$E,4,0)</f>
        <v>59.99</v>
      </c>
    </row>
    <row r="860" spans="1:21" x14ac:dyDescent="0.3">
      <c r="A860">
        <v>26984</v>
      </c>
      <c r="B860" t="s">
        <v>24</v>
      </c>
      <c r="C860">
        <v>1</v>
      </c>
      <c r="D860">
        <v>0</v>
      </c>
      <c r="E860" t="str">
        <f t="shared" si="39"/>
        <v>DELAYED</v>
      </c>
      <c r="F860">
        <f>VLOOKUP($A860,ordered_items!$B$2:$E$4784,2,0)</f>
        <v>1014</v>
      </c>
      <c r="G860">
        <f>VLOOKUP($A860,ordered_items!$B$2:$E$4784,3,0)</f>
        <v>2</v>
      </c>
      <c r="H860">
        <f>VLOOKUP($A860,ordered_items!$B$2:$E$4784,4,0)</f>
        <v>99.96</v>
      </c>
      <c r="I860" s="15">
        <f>VLOOKUP(F860,product_info!$A$2:$D$73,4,0)</f>
        <v>7</v>
      </c>
      <c r="J860" s="15" t="str">
        <f>VLOOKUP(I860,department!$A$2:$B$13,2,0)</f>
        <v>Fan Shop</v>
      </c>
      <c r="K860">
        <v>5325</v>
      </c>
      <c r="L860" t="s">
        <v>439</v>
      </c>
      <c r="M860" s="4">
        <v>43493</v>
      </c>
      <c r="N860" s="12">
        <f t="shared" si="40"/>
        <v>1</v>
      </c>
      <c r="O860" s="13">
        <f t="shared" si="41"/>
        <v>2019</v>
      </c>
      <c r="P860" t="s">
        <v>13</v>
      </c>
      <c r="Q860" t="s">
        <v>377</v>
      </c>
      <c r="R860" t="s">
        <v>31</v>
      </c>
      <c r="S860" t="str" cm="1">
        <f t="array" ref="S860">_xlfn.IFS(R860="COMPLETE", "COMPLETED", R860="CANCELED", "CANCELED", TRUE, "PENDING")</f>
        <v>COMPLETED</v>
      </c>
      <c r="T860" t="s">
        <v>58</v>
      </c>
      <c r="U860">
        <f>VLOOKUP(A860,ordered_items!$B:$E,4,0)</f>
        <v>99.96</v>
      </c>
    </row>
    <row r="861" spans="1:21" x14ac:dyDescent="0.3">
      <c r="A861">
        <v>26985</v>
      </c>
      <c r="B861" t="s">
        <v>51</v>
      </c>
      <c r="C861">
        <v>1</v>
      </c>
      <c r="D861">
        <v>0</v>
      </c>
      <c r="E861" t="str">
        <f t="shared" si="39"/>
        <v>DELAYED</v>
      </c>
      <c r="F861">
        <f>VLOOKUP($A861,ordered_items!$B$2:$E$4784,2,0)</f>
        <v>365</v>
      </c>
      <c r="G861">
        <f>VLOOKUP($A861,ordered_items!$B$2:$E$4784,3,0)</f>
        <v>5</v>
      </c>
      <c r="H861">
        <f>VLOOKUP($A861,ordered_items!$B$2:$E$4784,4,0)</f>
        <v>299.95</v>
      </c>
      <c r="I861" s="15">
        <f>VLOOKUP(F861,product_info!$A$2:$D$73,4,0)</f>
        <v>4</v>
      </c>
      <c r="J861" s="15" t="str">
        <f>VLOOKUP(I861,department!$A$2:$B$13,2,0)</f>
        <v>Apparel</v>
      </c>
      <c r="K861">
        <v>3330</v>
      </c>
      <c r="L861" t="s">
        <v>439</v>
      </c>
      <c r="M861" s="4">
        <v>43493</v>
      </c>
      <c r="N861" s="12">
        <f t="shared" si="40"/>
        <v>1</v>
      </c>
      <c r="O861" s="13">
        <f t="shared" si="41"/>
        <v>2019</v>
      </c>
      <c r="P861" t="s">
        <v>13</v>
      </c>
      <c r="Q861" t="s">
        <v>377</v>
      </c>
      <c r="R861" t="s">
        <v>57</v>
      </c>
      <c r="S861" t="str" cm="1">
        <f t="array" ref="S861">_xlfn.IFS(R861="COMPLETE", "COMPLETED", R861="CANCELED", "CANCELED", TRUE, "PENDING")</f>
        <v>PENDING</v>
      </c>
      <c r="T861" t="s">
        <v>58</v>
      </c>
      <c r="U861">
        <f>VLOOKUP(A861,ordered_items!$B:$E,4,0)</f>
        <v>299.95</v>
      </c>
    </row>
    <row r="862" spans="1:21" x14ac:dyDescent="0.3">
      <c r="A862">
        <v>27013</v>
      </c>
      <c r="B862" t="s">
        <v>17</v>
      </c>
      <c r="C862">
        <v>2</v>
      </c>
      <c r="D862">
        <v>1</v>
      </c>
      <c r="E862" t="str">
        <f t="shared" si="39"/>
        <v>DELAYED</v>
      </c>
      <c r="F862">
        <f>VLOOKUP($A862,ordered_items!$B$2:$E$4784,2,0)</f>
        <v>957</v>
      </c>
      <c r="G862">
        <f>VLOOKUP($A862,ordered_items!$B$2:$E$4784,3,0)</f>
        <v>1</v>
      </c>
      <c r="H862">
        <f>VLOOKUP($A862,ordered_items!$B$2:$E$4784,4,0)</f>
        <v>299.98</v>
      </c>
      <c r="I862" s="15">
        <f>VLOOKUP(F862,product_info!$A$2:$D$73,4,0)</f>
        <v>7</v>
      </c>
      <c r="J862" s="15" t="str">
        <f>VLOOKUP(I862,department!$A$2:$B$13,2,0)</f>
        <v>Fan Shop</v>
      </c>
      <c r="K862">
        <v>6364</v>
      </c>
      <c r="L862" t="s">
        <v>84</v>
      </c>
      <c r="M862" s="4">
        <v>43494</v>
      </c>
      <c r="N862" s="12">
        <f t="shared" si="40"/>
        <v>1</v>
      </c>
      <c r="O862" s="13">
        <f t="shared" si="41"/>
        <v>2019</v>
      </c>
      <c r="P862" t="s">
        <v>13</v>
      </c>
      <c r="Q862" t="s">
        <v>80</v>
      </c>
      <c r="R862" t="s">
        <v>23</v>
      </c>
      <c r="S862" t="str" cm="1">
        <f t="array" ref="S862">_xlfn.IFS(R862="COMPLETE", "COMPLETED", R862="CANCELED", "CANCELED", TRUE, "PENDING")</f>
        <v>PENDING</v>
      </c>
      <c r="T862" t="s">
        <v>32</v>
      </c>
      <c r="U862">
        <f>VLOOKUP(A862,ordered_items!$B:$E,4,0)</f>
        <v>299.98</v>
      </c>
    </row>
    <row r="863" spans="1:21" x14ac:dyDescent="0.3">
      <c r="A863">
        <v>27014</v>
      </c>
      <c r="B863" t="s">
        <v>51</v>
      </c>
      <c r="C863">
        <v>5</v>
      </c>
      <c r="D863">
        <v>4</v>
      </c>
      <c r="E863" t="str">
        <f t="shared" si="39"/>
        <v>DELAYED</v>
      </c>
      <c r="F863">
        <f>VLOOKUP($A863,ordered_items!$B$2:$E$4784,2,0)</f>
        <v>957</v>
      </c>
      <c r="G863">
        <f>VLOOKUP($A863,ordered_items!$B$2:$E$4784,3,0)</f>
        <v>1</v>
      </c>
      <c r="H863">
        <f>VLOOKUP($A863,ordered_items!$B$2:$E$4784,4,0)</f>
        <v>299.98</v>
      </c>
      <c r="I863" s="15">
        <f>VLOOKUP(F863,product_info!$A$2:$D$73,4,0)</f>
        <v>7</v>
      </c>
      <c r="J863" s="15" t="str">
        <f>VLOOKUP(I863,department!$A$2:$B$13,2,0)</f>
        <v>Fan Shop</v>
      </c>
      <c r="K863">
        <v>217</v>
      </c>
      <c r="L863" t="s">
        <v>84</v>
      </c>
      <c r="M863" s="4">
        <v>43494</v>
      </c>
      <c r="N863" s="12">
        <f t="shared" si="40"/>
        <v>1</v>
      </c>
      <c r="O863" s="13">
        <f t="shared" si="41"/>
        <v>2019</v>
      </c>
      <c r="P863" t="s">
        <v>13</v>
      </c>
      <c r="Q863" t="s">
        <v>80</v>
      </c>
      <c r="R863" t="s">
        <v>57</v>
      </c>
      <c r="S863" t="str" cm="1">
        <f t="array" ref="S863">_xlfn.IFS(R863="COMPLETE", "COMPLETED", R863="CANCELED", "CANCELED", TRUE, "PENDING")</f>
        <v>PENDING</v>
      </c>
      <c r="T863" t="s">
        <v>16</v>
      </c>
      <c r="U863">
        <f>VLOOKUP(A863,ordered_items!$B:$E,4,0)</f>
        <v>299.98</v>
      </c>
    </row>
    <row r="864" spans="1:21" x14ac:dyDescent="0.3">
      <c r="A864">
        <v>27015</v>
      </c>
      <c r="B864" t="s">
        <v>17</v>
      </c>
      <c r="C864">
        <v>0</v>
      </c>
      <c r="D864">
        <v>0</v>
      </c>
      <c r="E864" t="str">
        <f t="shared" si="39"/>
        <v xml:space="preserve"> ONTIME</v>
      </c>
      <c r="F864">
        <f>VLOOKUP($A864,ordered_items!$B$2:$E$4784,2,0)</f>
        <v>1073</v>
      </c>
      <c r="G864">
        <f>VLOOKUP($A864,ordered_items!$B$2:$E$4784,3,0)</f>
        <v>1</v>
      </c>
      <c r="H864">
        <f>VLOOKUP($A864,ordered_items!$B$2:$E$4784,4,0)</f>
        <v>199.99</v>
      </c>
      <c r="I864" s="15">
        <f>VLOOKUP(F864,product_info!$A$2:$D$73,4,0)</f>
        <v>7</v>
      </c>
      <c r="J864" s="15" t="str">
        <f>VLOOKUP(I864,department!$A$2:$B$13,2,0)</f>
        <v>Fan Shop</v>
      </c>
      <c r="K864">
        <v>9639</v>
      </c>
      <c r="L864" t="s">
        <v>84</v>
      </c>
      <c r="M864" s="4">
        <v>43494</v>
      </c>
      <c r="N864" s="12">
        <f t="shared" si="40"/>
        <v>1</v>
      </c>
      <c r="O864" s="13">
        <f t="shared" si="41"/>
        <v>2019</v>
      </c>
      <c r="P864" t="s">
        <v>13</v>
      </c>
      <c r="Q864" t="s">
        <v>80</v>
      </c>
      <c r="R864" t="s">
        <v>23</v>
      </c>
      <c r="S864" t="str" cm="1">
        <f t="array" ref="S864">_xlfn.IFS(R864="COMPLETE", "COMPLETED", R864="CANCELED", "CANCELED", TRUE, "PENDING")</f>
        <v>PENDING</v>
      </c>
      <c r="T864" t="s">
        <v>58</v>
      </c>
      <c r="U864">
        <f>VLOOKUP(A864,ordered_items!$B:$E,4,0)</f>
        <v>199.99</v>
      </c>
    </row>
    <row r="865" spans="1:21" x14ac:dyDescent="0.3">
      <c r="A865">
        <v>27024</v>
      </c>
      <c r="B865" t="s">
        <v>51</v>
      </c>
      <c r="C865">
        <v>5</v>
      </c>
      <c r="D865">
        <v>4</v>
      </c>
      <c r="E865" t="str">
        <f t="shared" si="39"/>
        <v>DELAYED</v>
      </c>
      <c r="F865">
        <f>VLOOKUP($A865,ordered_items!$B$2:$E$4784,2,0)</f>
        <v>1073</v>
      </c>
      <c r="G865">
        <f>VLOOKUP($A865,ordered_items!$B$2:$E$4784,3,0)</f>
        <v>1</v>
      </c>
      <c r="H865">
        <f>VLOOKUP($A865,ordered_items!$B$2:$E$4784,4,0)</f>
        <v>199.99</v>
      </c>
      <c r="I865" s="15">
        <f>VLOOKUP(F865,product_info!$A$2:$D$73,4,0)</f>
        <v>7</v>
      </c>
      <c r="J865" s="15" t="str">
        <f>VLOOKUP(I865,department!$A$2:$B$13,2,0)</f>
        <v>Fan Shop</v>
      </c>
      <c r="K865">
        <v>11442</v>
      </c>
      <c r="L865" t="s">
        <v>202</v>
      </c>
      <c r="M865" s="4">
        <v>43494</v>
      </c>
      <c r="N865" s="12">
        <f t="shared" si="40"/>
        <v>1</v>
      </c>
      <c r="O865" s="13">
        <f t="shared" si="41"/>
        <v>2019</v>
      </c>
      <c r="P865" t="s">
        <v>13</v>
      </c>
      <c r="Q865" t="s">
        <v>203</v>
      </c>
      <c r="R865" t="s">
        <v>57</v>
      </c>
      <c r="S865" t="str" cm="1">
        <f t="array" ref="S865">_xlfn.IFS(R865="COMPLETE", "COMPLETED", R865="CANCELED", "CANCELED", TRUE, "PENDING")</f>
        <v>PENDING</v>
      </c>
      <c r="T865" t="s">
        <v>16</v>
      </c>
      <c r="U865">
        <f>VLOOKUP(A865,ordered_items!$B:$E,4,0)</f>
        <v>199.99</v>
      </c>
    </row>
    <row r="866" spans="1:21" x14ac:dyDescent="0.3">
      <c r="A866">
        <v>27033</v>
      </c>
      <c r="B866" t="s">
        <v>24</v>
      </c>
      <c r="C866">
        <v>4</v>
      </c>
      <c r="D866">
        <v>4</v>
      </c>
      <c r="E866" t="str">
        <f t="shared" si="39"/>
        <v xml:space="preserve"> ONTIME</v>
      </c>
      <c r="F866">
        <f>VLOOKUP($A866,ordered_items!$B$2:$E$4784,2,0)</f>
        <v>1073</v>
      </c>
      <c r="G866">
        <f>VLOOKUP($A866,ordered_items!$B$2:$E$4784,3,0)</f>
        <v>1</v>
      </c>
      <c r="H866">
        <f>VLOOKUP($A866,ordered_items!$B$2:$E$4784,4,0)</f>
        <v>199.99</v>
      </c>
      <c r="I866" s="15">
        <f>VLOOKUP(F866,product_info!$A$2:$D$73,4,0)</f>
        <v>7</v>
      </c>
      <c r="J866" s="15" t="str">
        <f>VLOOKUP(I866,department!$A$2:$B$13,2,0)</f>
        <v>Fan Shop</v>
      </c>
      <c r="K866">
        <v>10821</v>
      </c>
      <c r="L866" t="s">
        <v>146</v>
      </c>
      <c r="M866" s="4">
        <v>43494</v>
      </c>
      <c r="N866" s="12">
        <f t="shared" si="40"/>
        <v>1</v>
      </c>
      <c r="O866" s="13">
        <f t="shared" si="41"/>
        <v>2019</v>
      </c>
      <c r="P866" t="s">
        <v>13</v>
      </c>
      <c r="Q866" t="s">
        <v>30</v>
      </c>
      <c r="R866" t="s">
        <v>31</v>
      </c>
      <c r="S866" t="str" cm="1">
        <f t="array" ref="S866">_xlfn.IFS(R866="COMPLETE", "COMPLETED", R866="CANCELED", "CANCELED", TRUE, "PENDING")</f>
        <v>COMPLETED</v>
      </c>
      <c r="T866" t="s">
        <v>16</v>
      </c>
      <c r="U866">
        <f>VLOOKUP(A866,ordered_items!$B:$E,4,0)</f>
        <v>199.99</v>
      </c>
    </row>
    <row r="867" spans="1:21" x14ac:dyDescent="0.3">
      <c r="A867">
        <v>27034</v>
      </c>
      <c r="B867" t="s">
        <v>3</v>
      </c>
      <c r="C867">
        <v>5</v>
      </c>
      <c r="D867">
        <v>2</v>
      </c>
      <c r="E867" t="str">
        <f t="shared" si="39"/>
        <v>DELAYED</v>
      </c>
      <c r="F867">
        <f>VLOOKUP($A867,ordered_items!$B$2:$E$4784,2,0)</f>
        <v>1073</v>
      </c>
      <c r="G867">
        <f>VLOOKUP($A867,ordered_items!$B$2:$E$4784,3,0)</f>
        <v>1</v>
      </c>
      <c r="H867">
        <f>VLOOKUP($A867,ordered_items!$B$2:$E$4784,4,0)</f>
        <v>199.99</v>
      </c>
      <c r="I867" s="15">
        <f>VLOOKUP(F867,product_info!$A$2:$D$73,4,0)</f>
        <v>7</v>
      </c>
      <c r="J867" s="15" t="str">
        <f>VLOOKUP(I867,department!$A$2:$B$13,2,0)</f>
        <v>Fan Shop</v>
      </c>
      <c r="K867">
        <v>12283</v>
      </c>
      <c r="L867" t="s">
        <v>146</v>
      </c>
      <c r="M867" s="4">
        <v>43494</v>
      </c>
      <c r="N867" s="12">
        <f t="shared" si="40"/>
        <v>1</v>
      </c>
      <c r="O867" s="13">
        <f t="shared" si="41"/>
        <v>2019</v>
      </c>
      <c r="P867" t="s">
        <v>13</v>
      </c>
      <c r="Q867" t="s">
        <v>30</v>
      </c>
      <c r="R867" t="s">
        <v>14</v>
      </c>
      <c r="S867" t="str" cm="1">
        <f t="array" ref="S867">_xlfn.IFS(R867="COMPLETE", "COMPLETED", R867="CANCELED", "CANCELED", TRUE, "PENDING")</f>
        <v>PENDING</v>
      </c>
      <c r="T867" t="s">
        <v>90</v>
      </c>
      <c r="U867">
        <f>VLOOKUP(A867,ordered_items!$B:$E,4,0)</f>
        <v>199.99</v>
      </c>
    </row>
    <row r="868" spans="1:21" x14ac:dyDescent="0.3">
      <c r="A868">
        <v>27038</v>
      </c>
      <c r="B868" t="s">
        <v>24</v>
      </c>
      <c r="C868">
        <v>4</v>
      </c>
      <c r="D868">
        <v>2</v>
      </c>
      <c r="E868" t="str">
        <f t="shared" si="39"/>
        <v>DELAYED</v>
      </c>
      <c r="F868">
        <f>VLOOKUP($A868,ordered_items!$B$2:$E$4784,2,0)</f>
        <v>365</v>
      </c>
      <c r="G868">
        <f>VLOOKUP($A868,ordered_items!$B$2:$E$4784,3,0)</f>
        <v>2</v>
      </c>
      <c r="H868">
        <f>VLOOKUP($A868,ordered_items!$B$2:$E$4784,4,0)</f>
        <v>119.98</v>
      </c>
      <c r="I868" s="15">
        <f>VLOOKUP(F868,product_info!$A$2:$D$73,4,0)</f>
        <v>4</v>
      </c>
      <c r="J868" s="15" t="str">
        <f>VLOOKUP(I868,department!$A$2:$B$13,2,0)</f>
        <v>Apparel</v>
      </c>
      <c r="K868">
        <v>7952</v>
      </c>
      <c r="L868" t="s">
        <v>660</v>
      </c>
      <c r="M868" s="4">
        <v>43494</v>
      </c>
      <c r="N868" s="12">
        <f t="shared" si="40"/>
        <v>1</v>
      </c>
      <c r="O868" s="13">
        <f t="shared" si="41"/>
        <v>2019</v>
      </c>
      <c r="P868" t="s">
        <v>13</v>
      </c>
      <c r="Q868" t="s">
        <v>99</v>
      </c>
      <c r="R868" t="s">
        <v>31</v>
      </c>
      <c r="S868" t="str" cm="1">
        <f t="array" ref="S868">_xlfn.IFS(R868="COMPLETE", "COMPLETED", R868="CANCELED", "CANCELED", TRUE, "PENDING")</f>
        <v>COMPLETED</v>
      </c>
      <c r="T868" t="s">
        <v>90</v>
      </c>
      <c r="U868">
        <f>VLOOKUP(A868,ordered_items!$B:$E,4,0)</f>
        <v>119.98</v>
      </c>
    </row>
    <row r="869" spans="1:21" x14ac:dyDescent="0.3">
      <c r="A869">
        <v>27039</v>
      </c>
      <c r="B869" t="s">
        <v>51</v>
      </c>
      <c r="C869">
        <v>5</v>
      </c>
      <c r="D869">
        <v>2</v>
      </c>
      <c r="E869" t="str">
        <f t="shared" si="39"/>
        <v>DELAYED</v>
      </c>
      <c r="F869">
        <f>VLOOKUP($A869,ordered_items!$B$2:$E$4784,2,0)</f>
        <v>403</v>
      </c>
      <c r="G869">
        <f>VLOOKUP($A869,ordered_items!$B$2:$E$4784,3,0)</f>
        <v>1</v>
      </c>
      <c r="H869">
        <f>VLOOKUP($A869,ordered_items!$B$2:$E$4784,4,0)</f>
        <v>129.99</v>
      </c>
      <c r="I869" s="15">
        <f>VLOOKUP(F869,product_info!$A$2:$D$73,4,0)</f>
        <v>4</v>
      </c>
      <c r="J869" s="15" t="str">
        <f>VLOOKUP(I869,department!$A$2:$B$13,2,0)</f>
        <v>Apparel</v>
      </c>
      <c r="K869">
        <v>2134</v>
      </c>
      <c r="L869" t="s">
        <v>660</v>
      </c>
      <c r="M869" s="4">
        <v>43494</v>
      </c>
      <c r="N869" s="12">
        <f t="shared" si="40"/>
        <v>1</v>
      </c>
      <c r="O869" s="13">
        <f t="shared" si="41"/>
        <v>2019</v>
      </c>
      <c r="P869" t="s">
        <v>13</v>
      </c>
      <c r="Q869" t="s">
        <v>99</v>
      </c>
      <c r="R869" t="s">
        <v>57</v>
      </c>
      <c r="S869" t="str" cm="1">
        <f t="array" ref="S869">_xlfn.IFS(R869="COMPLETE", "COMPLETED", R869="CANCELED", "CANCELED", TRUE, "PENDING")</f>
        <v>PENDING</v>
      </c>
      <c r="T869" t="s">
        <v>90</v>
      </c>
      <c r="U869">
        <f>VLOOKUP(A869,ordered_items!$B:$E,4,0)</f>
        <v>129.99</v>
      </c>
    </row>
    <row r="870" spans="1:21" x14ac:dyDescent="0.3">
      <c r="A870">
        <v>27040</v>
      </c>
      <c r="B870" t="s">
        <v>3</v>
      </c>
      <c r="C870">
        <v>6</v>
      </c>
      <c r="D870">
        <v>4</v>
      </c>
      <c r="E870" t="str">
        <f t="shared" si="39"/>
        <v>DELAYED</v>
      </c>
      <c r="F870">
        <f>VLOOKUP($A870,ordered_items!$B$2:$E$4784,2,0)</f>
        <v>365</v>
      </c>
      <c r="G870">
        <f>VLOOKUP($A870,ordered_items!$B$2:$E$4784,3,0)</f>
        <v>2</v>
      </c>
      <c r="H870">
        <f>VLOOKUP($A870,ordered_items!$B$2:$E$4784,4,0)</f>
        <v>119.98</v>
      </c>
      <c r="I870" s="15">
        <f>VLOOKUP(F870,product_info!$A$2:$D$73,4,0)</f>
        <v>4</v>
      </c>
      <c r="J870" s="15" t="str">
        <f>VLOOKUP(I870,department!$A$2:$B$13,2,0)</f>
        <v>Apparel</v>
      </c>
      <c r="K870">
        <v>11400</v>
      </c>
      <c r="L870" t="s">
        <v>660</v>
      </c>
      <c r="M870" s="4">
        <v>43494</v>
      </c>
      <c r="N870" s="12">
        <f t="shared" si="40"/>
        <v>1</v>
      </c>
      <c r="O870" s="13">
        <f t="shared" si="41"/>
        <v>2019</v>
      </c>
      <c r="P870" t="s">
        <v>13</v>
      </c>
      <c r="Q870" t="s">
        <v>99</v>
      </c>
      <c r="R870" t="s">
        <v>235</v>
      </c>
      <c r="S870" t="str" cm="1">
        <f t="array" ref="S870">_xlfn.IFS(R870="COMPLETE", "COMPLETED", R870="CANCELED", "CANCELED", TRUE, "PENDING")</f>
        <v>CANCELED</v>
      </c>
      <c r="T870" t="s">
        <v>16</v>
      </c>
      <c r="U870">
        <f>VLOOKUP(A870,ordered_items!$B:$E,4,0)</f>
        <v>119.98</v>
      </c>
    </row>
    <row r="871" spans="1:21" x14ac:dyDescent="0.3">
      <c r="A871">
        <v>27041</v>
      </c>
      <c r="B871" t="s">
        <v>3</v>
      </c>
      <c r="C871">
        <v>2</v>
      </c>
      <c r="D871">
        <v>2</v>
      </c>
      <c r="E871" t="str">
        <f t="shared" si="39"/>
        <v xml:space="preserve"> ONTIME</v>
      </c>
      <c r="F871">
        <f>VLOOKUP($A871,ordered_items!$B$2:$E$4784,2,0)</f>
        <v>1014</v>
      </c>
      <c r="G871">
        <f>VLOOKUP($A871,ordered_items!$B$2:$E$4784,3,0)</f>
        <v>1</v>
      </c>
      <c r="H871">
        <f>VLOOKUP($A871,ordered_items!$B$2:$E$4784,4,0)</f>
        <v>49.98</v>
      </c>
      <c r="I871" s="15">
        <f>VLOOKUP(F871,product_info!$A$2:$D$73,4,0)</f>
        <v>7</v>
      </c>
      <c r="J871" s="15" t="str">
        <f>VLOOKUP(I871,department!$A$2:$B$13,2,0)</f>
        <v>Fan Shop</v>
      </c>
      <c r="K871">
        <v>7582</v>
      </c>
      <c r="L871" t="s">
        <v>3427</v>
      </c>
      <c r="M871" s="4">
        <v>43494</v>
      </c>
      <c r="N871" s="12">
        <f t="shared" si="40"/>
        <v>1</v>
      </c>
      <c r="O871" s="13">
        <f t="shared" si="41"/>
        <v>2019</v>
      </c>
      <c r="P871" t="s">
        <v>13</v>
      </c>
      <c r="Q871" t="s">
        <v>80</v>
      </c>
      <c r="R871" t="s">
        <v>14</v>
      </c>
      <c r="S871" t="str" cm="1">
        <f t="array" ref="S871">_xlfn.IFS(R871="COMPLETE", "COMPLETED", R871="CANCELED", "CANCELED", TRUE, "PENDING")</f>
        <v>PENDING</v>
      </c>
      <c r="T871" t="s">
        <v>90</v>
      </c>
      <c r="U871">
        <f>VLOOKUP(A871,ordered_items!$B:$E,4,0)</f>
        <v>49.98</v>
      </c>
    </row>
    <row r="872" spans="1:21" x14ac:dyDescent="0.3">
      <c r="A872">
        <v>27043</v>
      </c>
      <c r="B872" t="s">
        <v>3</v>
      </c>
      <c r="C872">
        <v>4</v>
      </c>
      <c r="D872">
        <v>2</v>
      </c>
      <c r="E872" t="str">
        <f t="shared" si="39"/>
        <v>DELAYED</v>
      </c>
      <c r="F872">
        <f>VLOOKUP($A872,ordered_items!$B$2:$E$4784,2,0)</f>
        <v>1073</v>
      </c>
      <c r="G872">
        <f>VLOOKUP($A872,ordered_items!$B$2:$E$4784,3,0)</f>
        <v>1</v>
      </c>
      <c r="H872">
        <f>VLOOKUP($A872,ordered_items!$B$2:$E$4784,4,0)</f>
        <v>199.99</v>
      </c>
      <c r="I872" s="15">
        <f>VLOOKUP(F872,product_info!$A$2:$D$73,4,0)</f>
        <v>7</v>
      </c>
      <c r="J872" s="15" t="str">
        <f>VLOOKUP(I872,department!$A$2:$B$13,2,0)</f>
        <v>Fan Shop</v>
      </c>
      <c r="K872">
        <v>1078</v>
      </c>
      <c r="L872" t="s">
        <v>572</v>
      </c>
      <c r="M872" s="4">
        <v>43494</v>
      </c>
      <c r="N872" s="12">
        <f t="shared" si="40"/>
        <v>1</v>
      </c>
      <c r="O872" s="13">
        <f t="shared" si="41"/>
        <v>2019</v>
      </c>
      <c r="P872" t="s">
        <v>13</v>
      </c>
      <c r="Q872" t="s">
        <v>47</v>
      </c>
      <c r="R872" t="s">
        <v>38</v>
      </c>
      <c r="S872" t="str" cm="1">
        <f t="array" ref="S872">_xlfn.IFS(R872="COMPLETE", "COMPLETED", R872="CANCELED", "CANCELED", TRUE, "PENDING")</f>
        <v>PENDING</v>
      </c>
      <c r="T872" t="s">
        <v>90</v>
      </c>
      <c r="U872">
        <f>VLOOKUP(A872,ordered_items!$B:$E,4,0)</f>
        <v>199.99</v>
      </c>
    </row>
    <row r="873" spans="1:21" x14ac:dyDescent="0.3">
      <c r="A873">
        <v>27044</v>
      </c>
      <c r="B873" t="s">
        <v>3</v>
      </c>
      <c r="C873">
        <v>5</v>
      </c>
      <c r="D873">
        <v>2</v>
      </c>
      <c r="E873" t="str">
        <f t="shared" si="39"/>
        <v>DELAYED</v>
      </c>
      <c r="F873">
        <f>VLOOKUP($A873,ordered_items!$B$2:$E$4784,2,0)</f>
        <v>627</v>
      </c>
      <c r="G873">
        <f>VLOOKUP($A873,ordered_items!$B$2:$E$4784,3,0)</f>
        <v>2</v>
      </c>
      <c r="H873">
        <f>VLOOKUP($A873,ordered_items!$B$2:$E$4784,4,0)</f>
        <v>79.98</v>
      </c>
      <c r="I873" s="15">
        <f>VLOOKUP(F873,product_info!$A$2:$D$73,4,0)</f>
        <v>5</v>
      </c>
      <c r="J873" s="15" t="str">
        <f>VLOOKUP(I873,department!$A$2:$B$13,2,0)</f>
        <v>Golf</v>
      </c>
      <c r="K873">
        <v>5891</v>
      </c>
      <c r="L873" t="s">
        <v>572</v>
      </c>
      <c r="M873" s="4">
        <v>43494</v>
      </c>
      <c r="N873" s="12">
        <f t="shared" si="40"/>
        <v>1</v>
      </c>
      <c r="O873" s="13">
        <f t="shared" si="41"/>
        <v>2019</v>
      </c>
      <c r="P873" t="s">
        <v>13</v>
      </c>
      <c r="Q873" t="s">
        <v>47</v>
      </c>
      <c r="R873" t="s">
        <v>14</v>
      </c>
      <c r="S873" t="str" cm="1">
        <f t="array" ref="S873">_xlfn.IFS(R873="COMPLETE", "COMPLETED", R873="CANCELED", "CANCELED", TRUE, "PENDING")</f>
        <v>PENDING</v>
      </c>
      <c r="T873" t="s">
        <v>90</v>
      </c>
      <c r="U873">
        <f>VLOOKUP(A873,ordered_items!$B:$E,4,0)</f>
        <v>79.98</v>
      </c>
    </row>
    <row r="874" spans="1:21" x14ac:dyDescent="0.3">
      <c r="A874">
        <v>27049</v>
      </c>
      <c r="B874" t="s">
        <v>24</v>
      </c>
      <c r="C874">
        <v>5</v>
      </c>
      <c r="D874">
        <v>4</v>
      </c>
      <c r="E874" t="str">
        <f t="shared" si="39"/>
        <v>DELAYED</v>
      </c>
      <c r="F874">
        <f>VLOOKUP($A874,ordered_items!$B$2:$E$4784,2,0)</f>
        <v>1073</v>
      </c>
      <c r="G874">
        <f>VLOOKUP($A874,ordered_items!$B$2:$E$4784,3,0)</f>
        <v>1</v>
      </c>
      <c r="H874">
        <f>VLOOKUP($A874,ordered_items!$B$2:$E$4784,4,0)</f>
        <v>199.99</v>
      </c>
      <c r="I874" s="15">
        <f>VLOOKUP(F874,product_info!$A$2:$D$73,4,0)</f>
        <v>7</v>
      </c>
      <c r="J874" s="15" t="str">
        <f>VLOOKUP(I874,department!$A$2:$B$13,2,0)</f>
        <v>Fan Shop</v>
      </c>
      <c r="K874">
        <v>1524</v>
      </c>
      <c r="L874" t="s">
        <v>743</v>
      </c>
      <c r="M874" s="4">
        <v>43494</v>
      </c>
      <c r="N874" s="12">
        <f t="shared" si="40"/>
        <v>1</v>
      </c>
      <c r="O874" s="13">
        <f t="shared" si="41"/>
        <v>2019</v>
      </c>
      <c r="P874" t="s">
        <v>13</v>
      </c>
      <c r="Q874" t="s">
        <v>5780</v>
      </c>
      <c r="R874" t="s">
        <v>31</v>
      </c>
      <c r="S874" t="str" cm="1">
        <f t="array" ref="S874">_xlfn.IFS(R874="COMPLETE", "COMPLETED", R874="CANCELED", "CANCELED", TRUE, "PENDING")</f>
        <v>COMPLETED</v>
      </c>
      <c r="T874" t="s">
        <v>16</v>
      </c>
      <c r="U874">
        <f>VLOOKUP(A874,ordered_items!$B:$E,4,0)</f>
        <v>199.99</v>
      </c>
    </row>
    <row r="875" spans="1:21" x14ac:dyDescent="0.3">
      <c r="A875">
        <v>27050</v>
      </c>
      <c r="B875" t="s">
        <v>3</v>
      </c>
      <c r="C875">
        <v>6</v>
      </c>
      <c r="D875">
        <v>4</v>
      </c>
      <c r="E875" t="str">
        <f t="shared" si="39"/>
        <v>DELAYED</v>
      </c>
      <c r="F875">
        <f>VLOOKUP($A875,ordered_items!$B$2:$E$4784,2,0)</f>
        <v>93</v>
      </c>
      <c r="G875">
        <f>VLOOKUP($A875,ordered_items!$B$2:$E$4784,3,0)</f>
        <v>4</v>
      </c>
      <c r="H875">
        <f>VLOOKUP($A875,ordered_items!$B$2:$E$4784,4,0)</f>
        <v>99.96</v>
      </c>
      <c r="I875" s="15">
        <f>VLOOKUP(F875,product_info!$A$2:$D$73,4,0)</f>
        <v>2</v>
      </c>
      <c r="J875" s="15" t="str">
        <f>VLOOKUP(I875,department!$A$2:$B$13,2,0)</f>
        <v>Fitness</v>
      </c>
      <c r="K875">
        <v>7989</v>
      </c>
      <c r="L875" t="s">
        <v>743</v>
      </c>
      <c r="M875" s="4">
        <v>43494</v>
      </c>
      <c r="N875" s="12">
        <f t="shared" si="40"/>
        <v>1</v>
      </c>
      <c r="O875" s="13">
        <f t="shared" si="41"/>
        <v>2019</v>
      </c>
      <c r="P875" t="s">
        <v>13</v>
      </c>
      <c r="Q875" t="s">
        <v>5780</v>
      </c>
      <c r="R875" t="s">
        <v>38</v>
      </c>
      <c r="S875" t="str" cm="1">
        <f t="array" ref="S875">_xlfn.IFS(R875="COMPLETE", "COMPLETED", R875="CANCELED", "CANCELED", TRUE, "PENDING")</f>
        <v>PENDING</v>
      </c>
      <c r="T875" t="s">
        <v>16</v>
      </c>
      <c r="U875">
        <f>VLOOKUP(A875,ordered_items!$B:$E,4,0)</f>
        <v>99.96</v>
      </c>
    </row>
    <row r="876" spans="1:21" x14ac:dyDescent="0.3">
      <c r="A876">
        <v>27051</v>
      </c>
      <c r="B876" t="s">
        <v>3</v>
      </c>
      <c r="C876">
        <v>2</v>
      </c>
      <c r="D876">
        <v>4</v>
      </c>
      <c r="E876" t="str">
        <f t="shared" si="39"/>
        <v xml:space="preserve"> ONTIME</v>
      </c>
      <c r="F876">
        <f>VLOOKUP($A876,ordered_items!$B$2:$E$4784,2,0)</f>
        <v>1014</v>
      </c>
      <c r="G876">
        <f>VLOOKUP($A876,ordered_items!$B$2:$E$4784,3,0)</f>
        <v>1</v>
      </c>
      <c r="H876">
        <f>VLOOKUP($A876,ordered_items!$B$2:$E$4784,4,0)</f>
        <v>49.98</v>
      </c>
      <c r="I876" s="15">
        <f>VLOOKUP(F876,product_info!$A$2:$D$73,4,0)</f>
        <v>7</v>
      </c>
      <c r="J876" s="15" t="str">
        <f>VLOOKUP(I876,department!$A$2:$B$13,2,0)</f>
        <v>Fan Shop</v>
      </c>
      <c r="K876">
        <v>700</v>
      </c>
      <c r="L876" t="s">
        <v>743</v>
      </c>
      <c r="M876" s="4">
        <v>43494</v>
      </c>
      <c r="N876" s="12">
        <f t="shared" si="40"/>
        <v>1</v>
      </c>
      <c r="O876" s="13">
        <f t="shared" si="41"/>
        <v>2019</v>
      </c>
      <c r="P876" t="s">
        <v>13</v>
      </c>
      <c r="Q876" t="s">
        <v>5780</v>
      </c>
      <c r="R876" t="s">
        <v>235</v>
      </c>
      <c r="S876" t="str" cm="1">
        <f t="array" ref="S876">_xlfn.IFS(R876="COMPLETE", "COMPLETED", R876="CANCELED", "CANCELED", TRUE, "PENDING")</f>
        <v>CANCELED</v>
      </c>
      <c r="T876" t="s">
        <v>16</v>
      </c>
      <c r="U876">
        <f>VLOOKUP(A876,ordered_items!$B:$E,4,0)</f>
        <v>49.98</v>
      </c>
    </row>
    <row r="877" spans="1:21" x14ac:dyDescent="0.3">
      <c r="A877">
        <v>27069</v>
      </c>
      <c r="B877" t="s">
        <v>3</v>
      </c>
      <c r="C877">
        <v>5</v>
      </c>
      <c r="D877">
        <v>4</v>
      </c>
      <c r="E877" t="str">
        <f t="shared" si="39"/>
        <v>DELAYED</v>
      </c>
      <c r="F877">
        <f>VLOOKUP($A877,ordered_items!$B$2:$E$4784,2,0)</f>
        <v>191</v>
      </c>
      <c r="G877">
        <f>VLOOKUP($A877,ordered_items!$B$2:$E$4784,3,0)</f>
        <v>5</v>
      </c>
      <c r="H877">
        <f>VLOOKUP($A877,ordered_items!$B$2:$E$4784,4,0)</f>
        <v>499.95</v>
      </c>
      <c r="I877" s="15">
        <f>VLOOKUP(F877,product_info!$A$2:$D$73,4,0)</f>
        <v>3</v>
      </c>
      <c r="J877" s="15" t="str">
        <f>VLOOKUP(I877,department!$A$2:$B$13,2,0)</f>
        <v>Footwear</v>
      </c>
      <c r="K877">
        <v>9820</v>
      </c>
      <c r="L877" t="s">
        <v>146</v>
      </c>
      <c r="M877" s="4">
        <v>43495</v>
      </c>
      <c r="N877" s="12">
        <f t="shared" si="40"/>
        <v>1</v>
      </c>
      <c r="O877" s="13">
        <f t="shared" si="41"/>
        <v>2019</v>
      </c>
      <c r="P877" t="s">
        <v>13</v>
      </c>
      <c r="Q877" t="s">
        <v>30</v>
      </c>
      <c r="R877" t="s">
        <v>14</v>
      </c>
      <c r="S877" t="str" cm="1">
        <f t="array" ref="S877">_xlfn.IFS(R877="COMPLETE", "COMPLETED", R877="CANCELED", "CANCELED", TRUE, "PENDING")</f>
        <v>PENDING</v>
      </c>
      <c r="T877" t="s">
        <v>16</v>
      </c>
      <c r="U877">
        <f>VLOOKUP(A877,ordered_items!$B:$E,4,0)</f>
        <v>499.95</v>
      </c>
    </row>
    <row r="878" spans="1:21" x14ac:dyDescent="0.3">
      <c r="A878">
        <v>27070</v>
      </c>
      <c r="B878" t="s">
        <v>51</v>
      </c>
      <c r="C878">
        <v>6</v>
      </c>
      <c r="D878">
        <v>4</v>
      </c>
      <c r="E878" t="str">
        <f t="shared" si="39"/>
        <v>DELAYED</v>
      </c>
      <c r="F878">
        <f>VLOOKUP($A878,ordered_items!$B$2:$E$4784,2,0)</f>
        <v>365</v>
      </c>
      <c r="G878">
        <f>VLOOKUP($A878,ordered_items!$B$2:$E$4784,3,0)</f>
        <v>5</v>
      </c>
      <c r="H878">
        <f>VLOOKUP($A878,ordered_items!$B$2:$E$4784,4,0)</f>
        <v>299.95</v>
      </c>
      <c r="I878" s="15">
        <f>VLOOKUP(F878,product_info!$A$2:$D$73,4,0)</f>
        <v>4</v>
      </c>
      <c r="J878" s="15" t="str">
        <f>VLOOKUP(I878,department!$A$2:$B$13,2,0)</f>
        <v>Apparel</v>
      </c>
      <c r="K878">
        <v>3635</v>
      </c>
      <c r="L878" t="s">
        <v>146</v>
      </c>
      <c r="M878" s="4">
        <v>43495</v>
      </c>
      <c r="N878" s="12">
        <f t="shared" si="40"/>
        <v>1</v>
      </c>
      <c r="O878" s="13">
        <f t="shared" si="41"/>
        <v>2019</v>
      </c>
      <c r="P878" t="s">
        <v>13</v>
      </c>
      <c r="Q878" t="s">
        <v>30</v>
      </c>
      <c r="R878" t="s">
        <v>57</v>
      </c>
      <c r="S878" t="str" cm="1">
        <f t="array" ref="S878">_xlfn.IFS(R878="COMPLETE", "COMPLETED", R878="CANCELED", "CANCELED", TRUE, "PENDING")</f>
        <v>PENDING</v>
      </c>
      <c r="T878" t="s">
        <v>16</v>
      </c>
      <c r="U878">
        <f>VLOOKUP(A878,ordered_items!$B:$E,4,0)</f>
        <v>299.95</v>
      </c>
    </row>
    <row r="879" spans="1:21" x14ac:dyDescent="0.3">
      <c r="A879">
        <v>27072</v>
      </c>
      <c r="B879" t="s">
        <v>24</v>
      </c>
      <c r="C879">
        <v>3</v>
      </c>
      <c r="D879">
        <v>4</v>
      </c>
      <c r="E879" t="str">
        <f t="shared" si="39"/>
        <v xml:space="preserve"> ONTIME</v>
      </c>
      <c r="F879">
        <f>VLOOKUP($A879,ordered_items!$B$2:$E$4784,2,0)</f>
        <v>403</v>
      </c>
      <c r="G879">
        <f>VLOOKUP($A879,ordered_items!$B$2:$E$4784,3,0)</f>
        <v>1</v>
      </c>
      <c r="H879">
        <f>VLOOKUP($A879,ordered_items!$B$2:$E$4784,4,0)</f>
        <v>129.99</v>
      </c>
      <c r="I879" s="15">
        <f>VLOOKUP(F879,product_info!$A$2:$D$73,4,0)</f>
        <v>4</v>
      </c>
      <c r="J879" s="15" t="str">
        <f>VLOOKUP(I879,department!$A$2:$B$13,2,0)</f>
        <v>Apparel</v>
      </c>
      <c r="K879">
        <v>6345</v>
      </c>
      <c r="L879" t="s">
        <v>146</v>
      </c>
      <c r="M879" s="4">
        <v>43495</v>
      </c>
      <c r="N879" s="12">
        <f t="shared" si="40"/>
        <v>1</v>
      </c>
      <c r="O879" s="13">
        <f t="shared" si="41"/>
        <v>2019</v>
      </c>
      <c r="P879" t="s">
        <v>13</v>
      </c>
      <c r="Q879" t="s">
        <v>30</v>
      </c>
      <c r="R879" t="s">
        <v>31</v>
      </c>
      <c r="S879" t="str" cm="1">
        <f t="array" ref="S879">_xlfn.IFS(R879="COMPLETE", "COMPLETED", R879="CANCELED", "CANCELED", TRUE, "PENDING")</f>
        <v>COMPLETED</v>
      </c>
      <c r="T879" t="s">
        <v>16</v>
      </c>
      <c r="U879">
        <f>VLOOKUP(A879,ordered_items!$B:$E,4,0)</f>
        <v>129.99</v>
      </c>
    </row>
    <row r="880" spans="1:21" x14ac:dyDescent="0.3">
      <c r="A880">
        <v>27115</v>
      </c>
      <c r="B880" t="s">
        <v>24</v>
      </c>
      <c r="C880">
        <v>6</v>
      </c>
      <c r="D880">
        <v>4</v>
      </c>
      <c r="E880" t="str">
        <f t="shared" si="39"/>
        <v>DELAYED</v>
      </c>
      <c r="F880">
        <f>VLOOKUP($A880,ordered_items!$B$2:$E$4784,2,0)</f>
        <v>957</v>
      </c>
      <c r="G880">
        <f>VLOOKUP($A880,ordered_items!$B$2:$E$4784,3,0)</f>
        <v>1</v>
      </c>
      <c r="H880">
        <f>VLOOKUP($A880,ordered_items!$B$2:$E$4784,4,0)</f>
        <v>299.98</v>
      </c>
      <c r="I880" s="15">
        <f>VLOOKUP(F880,product_info!$A$2:$D$73,4,0)</f>
        <v>7</v>
      </c>
      <c r="J880" s="15" t="str">
        <f>VLOOKUP(I880,department!$A$2:$B$13,2,0)</f>
        <v>Fan Shop</v>
      </c>
      <c r="K880">
        <v>1818</v>
      </c>
      <c r="L880" t="s">
        <v>900</v>
      </c>
      <c r="M880" s="4">
        <v>43495</v>
      </c>
      <c r="N880" s="12">
        <f t="shared" si="40"/>
        <v>1</v>
      </c>
      <c r="O880" s="13">
        <f t="shared" si="41"/>
        <v>2019</v>
      </c>
      <c r="P880" t="s">
        <v>13</v>
      </c>
      <c r="Q880" t="s">
        <v>99</v>
      </c>
      <c r="R880" t="s">
        <v>31</v>
      </c>
      <c r="S880" t="str" cm="1">
        <f t="array" ref="S880">_xlfn.IFS(R880="COMPLETE", "COMPLETED", R880="CANCELED", "CANCELED", TRUE, "PENDING")</f>
        <v>COMPLETED</v>
      </c>
      <c r="T880" t="s">
        <v>16</v>
      </c>
      <c r="U880">
        <f>VLOOKUP(A880,ordered_items!$B:$E,4,0)</f>
        <v>299.98</v>
      </c>
    </row>
    <row r="881" spans="1:21" x14ac:dyDescent="0.3">
      <c r="A881">
        <v>27142</v>
      </c>
      <c r="B881" t="s">
        <v>24</v>
      </c>
      <c r="C881">
        <v>3</v>
      </c>
      <c r="D881">
        <v>2</v>
      </c>
      <c r="E881" t="str">
        <f t="shared" si="39"/>
        <v>DELAYED</v>
      </c>
      <c r="F881">
        <f>VLOOKUP($A881,ordered_items!$B$2:$E$4784,2,0)</f>
        <v>403</v>
      </c>
      <c r="G881">
        <f>VLOOKUP($A881,ordered_items!$B$2:$E$4784,3,0)</f>
        <v>1</v>
      </c>
      <c r="H881">
        <f>VLOOKUP($A881,ordered_items!$B$2:$E$4784,4,0)</f>
        <v>129.99</v>
      </c>
      <c r="I881" s="15">
        <f>VLOOKUP(F881,product_info!$A$2:$D$73,4,0)</f>
        <v>4</v>
      </c>
      <c r="J881" s="15" t="str">
        <f>VLOOKUP(I881,department!$A$2:$B$13,2,0)</f>
        <v>Apparel</v>
      </c>
      <c r="K881">
        <v>11660</v>
      </c>
      <c r="L881" t="s">
        <v>994</v>
      </c>
      <c r="M881" s="4">
        <v>43496</v>
      </c>
      <c r="N881" s="12">
        <f t="shared" si="40"/>
        <v>1</v>
      </c>
      <c r="O881" s="13">
        <f t="shared" si="41"/>
        <v>2019</v>
      </c>
      <c r="P881" t="s">
        <v>13</v>
      </c>
      <c r="Q881" t="s">
        <v>245</v>
      </c>
      <c r="R881" t="s">
        <v>31</v>
      </c>
      <c r="S881" t="str" cm="1">
        <f t="array" ref="S881">_xlfn.IFS(R881="COMPLETE", "COMPLETED", R881="CANCELED", "CANCELED", TRUE, "PENDING")</f>
        <v>COMPLETED</v>
      </c>
      <c r="T881" t="s">
        <v>90</v>
      </c>
      <c r="U881">
        <f>VLOOKUP(A881,ordered_items!$B:$E,4,0)</f>
        <v>129.99</v>
      </c>
    </row>
    <row r="882" spans="1:21" x14ac:dyDescent="0.3">
      <c r="A882">
        <v>27160</v>
      </c>
      <c r="B882" t="s">
        <v>24</v>
      </c>
      <c r="C882">
        <v>2</v>
      </c>
      <c r="D882">
        <v>1</v>
      </c>
      <c r="E882" t="str">
        <f t="shared" si="39"/>
        <v>DELAYED</v>
      </c>
      <c r="F882">
        <f>VLOOKUP($A882,ordered_items!$B$2:$E$4784,2,0)</f>
        <v>1004</v>
      </c>
      <c r="G882">
        <f>VLOOKUP($A882,ordered_items!$B$2:$E$4784,3,0)</f>
        <v>1</v>
      </c>
      <c r="H882">
        <f>VLOOKUP($A882,ordered_items!$B$2:$E$4784,4,0)</f>
        <v>399.98</v>
      </c>
      <c r="I882" s="15">
        <f>VLOOKUP(F882,product_info!$A$2:$D$73,4,0)</f>
        <v>7</v>
      </c>
      <c r="J882" s="15" t="str">
        <f>VLOOKUP(I882,department!$A$2:$B$13,2,0)</f>
        <v>Fan Shop</v>
      </c>
      <c r="K882">
        <v>6251</v>
      </c>
      <c r="L882" t="s">
        <v>70</v>
      </c>
      <c r="M882" s="4">
        <v>43496</v>
      </c>
      <c r="N882" s="12">
        <f t="shared" si="40"/>
        <v>1</v>
      </c>
      <c r="O882" s="13">
        <f t="shared" si="41"/>
        <v>2019</v>
      </c>
      <c r="P882" t="s">
        <v>13</v>
      </c>
      <c r="Q882" t="s">
        <v>70</v>
      </c>
      <c r="R882" t="s">
        <v>378</v>
      </c>
      <c r="S882" t="str" cm="1">
        <f t="array" ref="S882">_xlfn.IFS(R882="COMPLETE", "COMPLETED", R882="CANCELED", "CANCELED", TRUE, "PENDING")</f>
        <v>PENDING</v>
      </c>
      <c r="T882" t="s">
        <v>32</v>
      </c>
      <c r="U882">
        <f>VLOOKUP(A882,ordered_items!$B:$E,4,0)</f>
        <v>399.98</v>
      </c>
    </row>
    <row r="883" spans="1:21" x14ac:dyDescent="0.3">
      <c r="A883">
        <v>27161</v>
      </c>
      <c r="B883" t="s">
        <v>24</v>
      </c>
      <c r="C883">
        <v>2</v>
      </c>
      <c r="D883">
        <v>1</v>
      </c>
      <c r="E883" t="str">
        <f t="shared" si="39"/>
        <v>DELAYED</v>
      </c>
      <c r="F883">
        <f>VLOOKUP($A883,ordered_items!$B$2:$E$4784,2,0)</f>
        <v>403</v>
      </c>
      <c r="G883">
        <f>VLOOKUP($A883,ordered_items!$B$2:$E$4784,3,0)</f>
        <v>1</v>
      </c>
      <c r="H883">
        <f>VLOOKUP($A883,ordered_items!$B$2:$E$4784,4,0)</f>
        <v>129.99</v>
      </c>
      <c r="I883" s="15">
        <f>VLOOKUP(F883,product_info!$A$2:$D$73,4,0)</f>
        <v>4</v>
      </c>
      <c r="J883" s="15" t="str">
        <f>VLOOKUP(I883,department!$A$2:$B$13,2,0)</f>
        <v>Apparel</v>
      </c>
      <c r="K883">
        <v>10617</v>
      </c>
      <c r="L883" t="s">
        <v>104</v>
      </c>
      <c r="M883" s="4">
        <v>43496</v>
      </c>
      <c r="N883" s="12">
        <f t="shared" si="40"/>
        <v>1</v>
      </c>
      <c r="O883" s="13">
        <f t="shared" si="41"/>
        <v>2019</v>
      </c>
      <c r="P883" t="s">
        <v>13</v>
      </c>
      <c r="Q883" t="s">
        <v>420</v>
      </c>
      <c r="R883" t="s">
        <v>31</v>
      </c>
      <c r="S883" t="str" cm="1">
        <f t="array" ref="S883">_xlfn.IFS(R883="COMPLETE", "COMPLETED", R883="CANCELED", "CANCELED", TRUE, "PENDING")</f>
        <v>COMPLETED</v>
      </c>
      <c r="T883" t="s">
        <v>32</v>
      </c>
      <c r="U883">
        <f>VLOOKUP(A883,ordered_items!$B:$E,4,0)</f>
        <v>129.99</v>
      </c>
    </row>
    <row r="884" spans="1:21" x14ac:dyDescent="0.3">
      <c r="A884">
        <v>27162</v>
      </c>
      <c r="B884" t="s">
        <v>17</v>
      </c>
      <c r="C884">
        <v>3</v>
      </c>
      <c r="D884">
        <v>2</v>
      </c>
      <c r="E884" t="str">
        <f t="shared" si="39"/>
        <v>DELAYED</v>
      </c>
      <c r="F884">
        <f>VLOOKUP($A884,ordered_items!$B$2:$E$4784,2,0)</f>
        <v>365</v>
      </c>
      <c r="G884">
        <f>VLOOKUP($A884,ordered_items!$B$2:$E$4784,3,0)</f>
        <v>5</v>
      </c>
      <c r="H884">
        <f>VLOOKUP($A884,ordered_items!$B$2:$E$4784,4,0)</f>
        <v>299.95</v>
      </c>
      <c r="I884" s="15">
        <f>VLOOKUP(F884,product_info!$A$2:$D$73,4,0)</f>
        <v>4</v>
      </c>
      <c r="J884" s="15" t="str">
        <f>VLOOKUP(I884,department!$A$2:$B$13,2,0)</f>
        <v>Apparel</v>
      </c>
      <c r="K884">
        <v>8523</v>
      </c>
      <c r="L884" t="s">
        <v>104</v>
      </c>
      <c r="M884" s="4">
        <v>43496</v>
      </c>
      <c r="N884" s="12">
        <f t="shared" si="40"/>
        <v>1</v>
      </c>
      <c r="O884" s="13">
        <f t="shared" si="41"/>
        <v>2019</v>
      </c>
      <c r="P884" t="s">
        <v>13</v>
      </c>
      <c r="Q884" t="s">
        <v>420</v>
      </c>
      <c r="R884" t="s">
        <v>23</v>
      </c>
      <c r="S884" t="str" cm="1">
        <f t="array" ref="S884">_xlfn.IFS(R884="COMPLETE", "COMPLETED", R884="CANCELED", "CANCELED", TRUE, "PENDING")</f>
        <v>PENDING</v>
      </c>
      <c r="T884" t="s">
        <v>90</v>
      </c>
      <c r="U884">
        <f>VLOOKUP(A884,ordered_items!$B:$E,4,0)</f>
        <v>299.95</v>
      </c>
    </row>
    <row r="885" spans="1:21" x14ac:dyDescent="0.3">
      <c r="A885">
        <v>27163</v>
      </c>
      <c r="B885" t="s">
        <v>51</v>
      </c>
      <c r="C885">
        <v>2</v>
      </c>
      <c r="D885">
        <v>1</v>
      </c>
      <c r="E885" t="str">
        <f t="shared" si="39"/>
        <v>DELAYED</v>
      </c>
      <c r="F885">
        <f>VLOOKUP($A885,ordered_items!$B$2:$E$4784,2,0)</f>
        <v>627</v>
      </c>
      <c r="G885">
        <f>VLOOKUP($A885,ordered_items!$B$2:$E$4784,3,0)</f>
        <v>1</v>
      </c>
      <c r="H885">
        <f>VLOOKUP($A885,ordered_items!$B$2:$E$4784,4,0)</f>
        <v>39.99</v>
      </c>
      <c r="I885" s="15">
        <f>VLOOKUP(F885,product_info!$A$2:$D$73,4,0)</f>
        <v>5</v>
      </c>
      <c r="J885" s="15" t="str">
        <f>VLOOKUP(I885,department!$A$2:$B$13,2,0)</f>
        <v>Golf</v>
      </c>
      <c r="K885">
        <v>6202</v>
      </c>
      <c r="L885" t="s">
        <v>104</v>
      </c>
      <c r="M885" s="4">
        <v>43496</v>
      </c>
      <c r="N885" s="12">
        <f t="shared" si="40"/>
        <v>1</v>
      </c>
      <c r="O885" s="13">
        <f t="shared" si="41"/>
        <v>2019</v>
      </c>
      <c r="P885" t="s">
        <v>13</v>
      </c>
      <c r="Q885" t="s">
        <v>420</v>
      </c>
      <c r="R885" t="s">
        <v>57</v>
      </c>
      <c r="S885" t="str" cm="1">
        <f t="array" ref="S885">_xlfn.IFS(R885="COMPLETE", "COMPLETED", R885="CANCELED", "CANCELED", TRUE, "PENDING")</f>
        <v>PENDING</v>
      </c>
      <c r="T885" t="s">
        <v>32</v>
      </c>
      <c r="U885">
        <f>VLOOKUP(A885,ordered_items!$B:$E,4,0)</f>
        <v>39.99</v>
      </c>
    </row>
    <row r="886" spans="1:21" x14ac:dyDescent="0.3">
      <c r="A886">
        <v>27165</v>
      </c>
      <c r="B886" t="s">
        <v>24</v>
      </c>
      <c r="C886">
        <v>6</v>
      </c>
      <c r="D886">
        <v>4</v>
      </c>
      <c r="E886" t="str">
        <f t="shared" si="39"/>
        <v>DELAYED</v>
      </c>
      <c r="F886">
        <f>VLOOKUP($A886,ordered_items!$B$2:$E$4784,2,0)</f>
        <v>191</v>
      </c>
      <c r="G886">
        <f>VLOOKUP($A886,ordered_items!$B$2:$E$4784,3,0)</f>
        <v>1</v>
      </c>
      <c r="H886">
        <f>VLOOKUP($A886,ordered_items!$B$2:$E$4784,4,0)</f>
        <v>99.99</v>
      </c>
      <c r="I886" s="15">
        <f>VLOOKUP(F886,product_info!$A$2:$D$73,4,0)</f>
        <v>3</v>
      </c>
      <c r="J886" s="15" t="str">
        <f>VLOOKUP(I886,department!$A$2:$B$13,2,0)</f>
        <v>Footwear</v>
      </c>
      <c r="K886">
        <v>11293</v>
      </c>
      <c r="L886" t="s">
        <v>104</v>
      </c>
      <c r="M886" s="4">
        <v>43496</v>
      </c>
      <c r="N886" s="12">
        <f t="shared" si="40"/>
        <v>1</v>
      </c>
      <c r="O886" s="13">
        <f t="shared" si="41"/>
        <v>2019</v>
      </c>
      <c r="P886" t="s">
        <v>13</v>
      </c>
      <c r="Q886" t="s">
        <v>420</v>
      </c>
      <c r="R886" t="s">
        <v>31</v>
      </c>
      <c r="S886" t="str" cm="1">
        <f t="array" ref="S886">_xlfn.IFS(R886="COMPLETE", "COMPLETED", R886="CANCELED", "CANCELED", TRUE, "PENDING")</f>
        <v>COMPLETED</v>
      </c>
      <c r="T886" t="s">
        <v>16</v>
      </c>
      <c r="U886">
        <f>VLOOKUP(A886,ordered_items!$B:$E,4,0)</f>
        <v>99.99</v>
      </c>
    </row>
    <row r="887" spans="1:21" x14ac:dyDescent="0.3">
      <c r="A887">
        <v>27194</v>
      </c>
      <c r="B887" t="s">
        <v>3</v>
      </c>
      <c r="C887">
        <v>5</v>
      </c>
      <c r="D887">
        <v>2</v>
      </c>
      <c r="E887" t="str">
        <f t="shared" si="39"/>
        <v>DELAYED</v>
      </c>
      <c r="F887">
        <f>VLOOKUP($A887,ordered_items!$B$2:$E$4784,2,0)</f>
        <v>502</v>
      </c>
      <c r="G887">
        <f>VLOOKUP($A887,ordered_items!$B$2:$E$4784,3,0)</f>
        <v>3</v>
      </c>
      <c r="H887">
        <f>VLOOKUP($A887,ordered_items!$B$2:$E$4784,4,0)</f>
        <v>150</v>
      </c>
      <c r="I887" s="15">
        <f>VLOOKUP(F887,product_info!$A$2:$D$73,4,0)</f>
        <v>5</v>
      </c>
      <c r="J887" s="15" t="str">
        <f>VLOOKUP(I887,department!$A$2:$B$13,2,0)</f>
        <v>Golf</v>
      </c>
      <c r="K887">
        <v>4216</v>
      </c>
      <c r="L887" t="s">
        <v>1499</v>
      </c>
      <c r="M887" s="4">
        <v>43496</v>
      </c>
      <c r="N887" s="12">
        <f t="shared" si="40"/>
        <v>1</v>
      </c>
      <c r="O887" s="13">
        <f t="shared" si="41"/>
        <v>2019</v>
      </c>
      <c r="P887" t="s">
        <v>13</v>
      </c>
      <c r="Q887" t="s">
        <v>538</v>
      </c>
      <c r="R887" t="s">
        <v>38</v>
      </c>
      <c r="S887" t="str" cm="1">
        <f t="array" ref="S887">_xlfn.IFS(R887="COMPLETE", "COMPLETED", R887="CANCELED", "CANCELED", TRUE, "PENDING")</f>
        <v>PENDING</v>
      </c>
      <c r="T887" t="s">
        <v>90</v>
      </c>
      <c r="U887">
        <f>VLOOKUP(A887,ordered_items!$B:$E,4,0)</f>
        <v>150</v>
      </c>
    </row>
    <row r="888" spans="1:21" x14ac:dyDescent="0.3">
      <c r="A888">
        <v>27200</v>
      </c>
      <c r="B888" t="s">
        <v>3</v>
      </c>
      <c r="C888">
        <v>6</v>
      </c>
      <c r="D888">
        <v>4</v>
      </c>
      <c r="E888" t="str">
        <f t="shared" si="39"/>
        <v>DELAYED</v>
      </c>
      <c r="F888">
        <f>VLOOKUP($A888,ordered_items!$B$2:$E$4784,2,0)</f>
        <v>191</v>
      </c>
      <c r="G888">
        <f>VLOOKUP($A888,ordered_items!$B$2:$E$4784,3,0)</f>
        <v>5</v>
      </c>
      <c r="H888">
        <f>VLOOKUP($A888,ordered_items!$B$2:$E$4784,4,0)</f>
        <v>499.95</v>
      </c>
      <c r="I888" s="15">
        <f>VLOOKUP(F888,product_info!$A$2:$D$73,4,0)</f>
        <v>3</v>
      </c>
      <c r="J888" s="15" t="str">
        <f>VLOOKUP(I888,department!$A$2:$B$13,2,0)</f>
        <v>Footwear</v>
      </c>
      <c r="K888">
        <v>4704</v>
      </c>
      <c r="L888" t="s">
        <v>1181</v>
      </c>
      <c r="M888" s="4">
        <v>43497</v>
      </c>
      <c r="N888" s="12">
        <f t="shared" si="40"/>
        <v>2</v>
      </c>
      <c r="O888" s="13">
        <f t="shared" si="41"/>
        <v>2019</v>
      </c>
      <c r="P888" t="s">
        <v>13</v>
      </c>
      <c r="Q888" t="s">
        <v>377</v>
      </c>
      <c r="R888" t="s">
        <v>14</v>
      </c>
      <c r="S888" t="str" cm="1">
        <f t="array" ref="S888">_xlfn.IFS(R888="COMPLETE", "COMPLETED", R888="CANCELED", "CANCELED", TRUE, "PENDING")</f>
        <v>PENDING</v>
      </c>
      <c r="T888" t="s">
        <v>16</v>
      </c>
      <c r="U888">
        <f>VLOOKUP(A888,ordered_items!$B:$E,4,0)</f>
        <v>499.95</v>
      </c>
    </row>
    <row r="889" spans="1:21" x14ac:dyDescent="0.3">
      <c r="A889">
        <v>27201</v>
      </c>
      <c r="B889" t="s">
        <v>3</v>
      </c>
      <c r="C889">
        <v>2</v>
      </c>
      <c r="D889">
        <v>4</v>
      </c>
      <c r="E889" t="str">
        <f t="shared" si="39"/>
        <v xml:space="preserve"> ONTIME</v>
      </c>
      <c r="F889">
        <f>VLOOKUP($A889,ordered_items!$B$2:$E$4784,2,0)</f>
        <v>775</v>
      </c>
      <c r="G889">
        <f>VLOOKUP($A889,ordered_items!$B$2:$E$4784,3,0)</f>
        <v>1</v>
      </c>
      <c r="H889">
        <f>VLOOKUP($A889,ordered_items!$B$2:$E$4784,4,0)</f>
        <v>9.99</v>
      </c>
      <c r="I889" s="15">
        <f>VLOOKUP(F889,product_info!$A$2:$D$73,4,0)</f>
        <v>6</v>
      </c>
      <c r="J889" s="15" t="str">
        <f>VLOOKUP(I889,department!$A$2:$B$13,2,0)</f>
        <v>Outdoors</v>
      </c>
      <c r="K889">
        <v>5105</v>
      </c>
      <c r="L889" t="s">
        <v>854</v>
      </c>
      <c r="M889" s="4">
        <v>43497</v>
      </c>
      <c r="N889" s="12">
        <f t="shared" si="40"/>
        <v>2</v>
      </c>
      <c r="O889" s="13">
        <f t="shared" si="41"/>
        <v>2019</v>
      </c>
      <c r="P889" t="s">
        <v>13</v>
      </c>
      <c r="Q889" t="s">
        <v>377</v>
      </c>
      <c r="R889" t="s">
        <v>38</v>
      </c>
      <c r="S889" t="str" cm="1">
        <f t="array" ref="S889">_xlfn.IFS(R889="COMPLETE", "COMPLETED", R889="CANCELED", "CANCELED", TRUE, "PENDING")</f>
        <v>PENDING</v>
      </c>
      <c r="T889" t="s">
        <v>16</v>
      </c>
      <c r="U889">
        <f>VLOOKUP(A889,ordered_items!$B:$E,4,0)</f>
        <v>9.99</v>
      </c>
    </row>
    <row r="890" spans="1:21" x14ac:dyDescent="0.3">
      <c r="A890">
        <v>27202</v>
      </c>
      <c r="B890" t="s">
        <v>24</v>
      </c>
      <c r="C890">
        <v>3</v>
      </c>
      <c r="D890">
        <v>4</v>
      </c>
      <c r="E890" t="str">
        <f t="shared" si="39"/>
        <v xml:space="preserve"> ONTIME</v>
      </c>
      <c r="F890">
        <f>VLOOKUP($A890,ordered_items!$B$2:$E$4784,2,0)</f>
        <v>957</v>
      </c>
      <c r="G890">
        <f>VLOOKUP($A890,ordered_items!$B$2:$E$4784,3,0)</f>
        <v>1</v>
      </c>
      <c r="H890">
        <f>VLOOKUP($A890,ordered_items!$B$2:$E$4784,4,0)</f>
        <v>299.98</v>
      </c>
      <c r="I890" s="15">
        <f>VLOOKUP(F890,product_info!$A$2:$D$73,4,0)</f>
        <v>7</v>
      </c>
      <c r="J890" s="15" t="str">
        <f>VLOOKUP(I890,department!$A$2:$B$13,2,0)</f>
        <v>Fan Shop</v>
      </c>
      <c r="K890">
        <v>6561</v>
      </c>
      <c r="L890" t="s">
        <v>641</v>
      </c>
      <c r="M890" s="4">
        <v>43497</v>
      </c>
      <c r="N890" s="12">
        <f t="shared" si="40"/>
        <v>2</v>
      </c>
      <c r="O890" s="13">
        <f t="shared" si="41"/>
        <v>2019</v>
      </c>
      <c r="P890" t="s">
        <v>13</v>
      </c>
      <c r="Q890" t="s">
        <v>377</v>
      </c>
      <c r="R890" t="s">
        <v>31</v>
      </c>
      <c r="S890" t="str" cm="1">
        <f t="array" ref="S890">_xlfn.IFS(R890="COMPLETE", "COMPLETED", R890="CANCELED", "CANCELED", TRUE, "PENDING")</f>
        <v>COMPLETED</v>
      </c>
      <c r="T890" t="s">
        <v>16</v>
      </c>
      <c r="U890">
        <f>VLOOKUP(A890,ordered_items!$B:$E,4,0)</f>
        <v>299.98</v>
      </c>
    </row>
    <row r="891" spans="1:21" x14ac:dyDescent="0.3">
      <c r="A891">
        <v>27235</v>
      </c>
      <c r="B891" t="s">
        <v>24</v>
      </c>
      <c r="C891">
        <v>1</v>
      </c>
      <c r="D891">
        <v>0</v>
      </c>
      <c r="E891" t="str">
        <f t="shared" si="39"/>
        <v>DELAYED</v>
      </c>
      <c r="F891">
        <f>VLOOKUP($A891,ordered_items!$B$2:$E$4784,2,0)</f>
        <v>191</v>
      </c>
      <c r="G891">
        <f>VLOOKUP($A891,ordered_items!$B$2:$E$4784,3,0)</f>
        <v>1</v>
      </c>
      <c r="H891">
        <f>VLOOKUP($A891,ordered_items!$B$2:$E$4784,4,0)</f>
        <v>99.99</v>
      </c>
      <c r="I891" s="15">
        <f>VLOOKUP(F891,product_info!$A$2:$D$73,4,0)</f>
        <v>3</v>
      </c>
      <c r="J891" s="15" t="str">
        <f>VLOOKUP(I891,department!$A$2:$B$13,2,0)</f>
        <v>Footwear</v>
      </c>
      <c r="K891">
        <v>5019</v>
      </c>
      <c r="L891" t="s">
        <v>226</v>
      </c>
      <c r="M891" s="4">
        <v>43497</v>
      </c>
      <c r="N891" s="12">
        <f t="shared" si="40"/>
        <v>2</v>
      </c>
      <c r="O891" s="13">
        <f t="shared" si="41"/>
        <v>2019</v>
      </c>
      <c r="P891" t="s">
        <v>13</v>
      </c>
      <c r="Q891" t="s">
        <v>227</v>
      </c>
      <c r="R891" t="s">
        <v>31</v>
      </c>
      <c r="S891" t="str" cm="1">
        <f t="array" ref="S891">_xlfn.IFS(R891="COMPLETE", "COMPLETED", R891="CANCELED", "CANCELED", TRUE, "PENDING")</f>
        <v>COMPLETED</v>
      </c>
      <c r="T891" t="s">
        <v>58</v>
      </c>
      <c r="U891">
        <f>VLOOKUP(A891,ordered_items!$B:$E,4,0)</f>
        <v>99.99</v>
      </c>
    </row>
    <row r="892" spans="1:21" x14ac:dyDescent="0.3">
      <c r="A892">
        <v>27239</v>
      </c>
      <c r="B892" t="s">
        <v>24</v>
      </c>
      <c r="C892">
        <v>5</v>
      </c>
      <c r="D892">
        <v>2</v>
      </c>
      <c r="E892" t="str">
        <f t="shared" si="39"/>
        <v>DELAYED</v>
      </c>
      <c r="F892">
        <f>VLOOKUP($A892,ordered_items!$B$2:$E$4784,2,0)</f>
        <v>191</v>
      </c>
      <c r="G892">
        <f>VLOOKUP($A892,ordered_items!$B$2:$E$4784,3,0)</f>
        <v>1</v>
      </c>
      <c r="H892">
        <f>VLOOKUP($A892,ordered_items!$B$2:$E$4784,4,0)</f>
        <v>99.99</v>
      </c>
      <c r="I892" s="15">
        <f>VLOOKUP(F892,product_info!$A$2:$D$73,4,0)</f>
        <v>3</v>
      </c>
      <c r="J892" s="15" t="str">
        <f>VLOOKUP(I892,department!$A$2:$B$13,2,0)</f>
        <v>Footwear</v>
      </c>
      <c r="K892">
        <v>7043</v>
      </c>
      <c r="L892" t="s">
        <v>146</v>
      </c>
      <c r="M892" s="4">
        <v>43497</v>
      </c>
      <c r="N892" s="12">
        <f t="shared" si="40"/>
        <v>2</v>
      </c>
      <c r="O892" s="13">
        <f t="shared" si="41"/>
        <v>2019</v>
      </c>
      <c r="P892" t="s">
        <v>13</v>
      </c>
      <c r="Q892" t="s">
        <v>30</v>
      </c>
      <c r="R892" t="s">
        <v>31</v>
      </c>
      <c r="S892" t="str" cm="1">
        <f t="array" ref="S892">_xlfn.IFS(R892="COMPLETE", "COMPLETED", R892="CANCELED", "CANCELED", TRUE, "PENDING")</f>
        <v>COMPLETED</v>
      </c>
      <c r="T892" t="s">
        <v>90</v>
      </c>
      <c r="U892">
        <f>VLOOKUP(A892,ordered_items!$B:$E,4,0)</f>
        <v>99.99</v>
      </c>
    </row>
    <row r="893" spans="1:21" x14ac:dyDescent="0.3">
      <c r="A893">
        <v>27261</v>
      </c>
      <c r="B893" t="s">
        <v>3</v>
      </c>
      <c r="C893">
        <v>2</v>
      </c>
      <c r="D893">
        <v>4</v>
      </c>
      <c r="E893" t="str">
        <f t="shared" si="39"/>
        <v xml:space="preserve"> ONTIME</v>
      </c>
      <c r="F893">
        <f>VLOOKUP($A893,ordered_items!$B$2:$E$4784,2,0)</f>
        <v>365</v>
      </c>
      <c r="G893">
        <f>VLOOKUP($A893,ordered_items!$B$2:$E$4784,3,0)</f>
        <v>1</v>
      </c>
      <c r="H893">
        <f>VLOOKUP($A893,ordered_items!$B$2:$E$4784,4,0)</f>
        <v>59.99</v>
      </c>
      <c r="I893" s="15">
        <f>VLOOKUP(F893,product_info!$A$2:$D$73,4,0)</f>
        <v>4</v>
      </c>
      <c r="J893" s="15" t="str">
        <f>VLOOKUP(I893,department!$A$2:$B$13,2,0)</f>
        <v>Apparel</v>
      </c>
      <c r="K893">
        <v>2983</v>
      </c>
      <c r="L893" t="s">
        <v>253</v>
      </c>
      <c r="M893" s="4">
        <v>43497</v>
      </c>
      <c r="N893" s="12">
        <f t="shared" si="40"/>
        <v>2</v>
      </c>
      <c r="O893" s="13">
        <f t="shared" si="41"/>
        <v>2019</v>
      </c>
      <c r="P893" t="s">
        <v>13</v>
      </c>
      <c r="Q893" t="s">
        <v>30</v>
      </c>
      <c r="R893" t="s">
        <v>38</v>
      </c>
      <c r="S893" t="str" cm="1">
        <f t="array" ref="S893">_xlfn.IFS(R893="COMPLETE", "COMPLETED", R893="CANCELED", "CANCELED", TRUE, "PENDING")</f>
        <v>PENDING</v>
      </c>
      <c r="T893" t="s">
        <v>16</v>
      </c>
      <c r="U893">
        <f>VLOOKUP(A893,ordered_items!$B:$E,4,0)</f>
        <v>59.99</v>
      </c>
    </row>
    <row r="894" spans="1:21" x14ac:dyDescent="0.3">
      <c r="A894">
        <v>27264</v>
      </c>
      <c r="B894" t="s">
        <v>3</v>
      </c>
      <c r="C894">
        <v>5</v>
      </c>
      <c r="D894">
        <v>2</v>
      </c>
      <c r="E894" t="str">
        <f t="shared" si="39"/>
        <v>DELAYED</v>
      </c>
      <c r="F894">
        <f>VLOOKUP($A894,ordered_items!$B$2:$E$4784,2,0)</f>
        <v>957</v>
      </c>
      <c r="G894">
        <f>VLOOKUP($A894,ordered_items!$B$2:$E$4784,3,0)</f>
        <v>1</v>
      </c>
      <c r="H894">
        <f>VLOOKUP($A894,ordered_items!$B$2:$E$4784,4,0)</f>
        <v>299.98</v>
      </c>
      <c r="I894" s="15">
        <f>VLOOKUP(F894,product_info!$A$2:$D$73,4,0)</f>
        <v>7</v>
      </c>
      <c r="J894" s="15" t="str">
        <f>VLOOKUP(I894,department!$A$2:$B$13,2,0)</f>
        <v>Fan Shop</v>
      </c>
      <c r="K894">
        <v>164</v>
      </c>
      <c r="L894" t="s">
        <v>253</v>
      </c>
      <c r="M894" s="4">
        <v>43497</v>
      </c>
      <c r="N894" s="12">
        <f t="shared" si="40"/>
        <v>2</v>
      </c>
      <c r="O894" s="13">
        <f t="shared" si="41"/>
        <v>2019</v>
      </c>
      <c r="P894" t="s">
        <v>13</v>
      </c>
      <c r="Q894" t="s">
        <v>30</v>
      </c>
      <c r="R894" t="s">
        <v>38</v>
      </c>
      <c r="S894" t="str" cm="1">
        <f t="array" ref="S894">_xlfn.IFS(R894="COMPLETE", "COMPLETED", R894="CANCELED", "CANCELED", TRUE, "PENDING")</f>
        <v>PENDING</v>
      </c>
      <c r="T894" t="s">
        <v>90</v>
      </c>
      <c r="U894">
        <f>VLOOKUP(A894,ordered_items!$B:$E,4,0)</f>
        <v>299.98</v>
      </c>
    </row>
    <row r="895" spans="1:21" x14ac:dyDescent="0.3">
      <c r="A895">
        <v>27270</v>
      </c>
      <c r="B895" t="s">
        <v>24</v>
      </c>
      <c r="C895">
        <v>6</v>
      </c>
      <c r="D895">
        <v>4</v>
      </c>
      <c r="E895" t="str">
        <f t="shared" si="39"/>
        <v>DELAYED</v>
      </c>
      <c r="F895">
        <f>VLOOKUP($A895,ordered_items!$B$2:$E$4784,2,0)</f>
        <v>365</v>
      </c>
      <c r="G895">
        <f>VLOOKUP($A895,ordered_items!$B$2:$E$4784,3,0)</f>
        <v>1</v>
      </c>
      <c r="H895">
        <f>VLOOKUP($A895,ordered_items!$B$2:$E$4784,4,0)</f>
        <v>59.99</v>
      </c>
      <c r="I895" s="15">
        <f>VLOOKUP(F895,product_info!$A$2:$D$73,4,0)</f>
        <v>4</v>
      </c>
      <c r="J895" s="15" t="str">
        <f>VLOOKUP(I895,department!$A$2:$B$13,2,0)</f>
        <v>Apparel</v>
      </c>
      <c r="K895">
        <v>8949</v>
      </c>
      <c r="L895" t="s">
        <v>70</v>
      </c>
      <c r="M895" s="4">
        <v>43498</v>
      </c>
      <c r="N895" s="12">
        <f t="shared" si="40"/>
        <v>2</v>
      </c>
      <c r="O895" s="13">
        <f t="shared" si="41"/>
        <v>2019</v>
      </c>
      <c r="P895" t="s">
        <v>13</v>
      </c>
      <c r="Q895" t="s">
        <v>70</v>
      </c>
      <c r="R895" t="s">
        <v>31</v>
      </c>
      <c r="S895" t="str" cm="1">
        <f t="array" ref="S895">_xlfn.IFS(R895="COMPLETE", "COMPLETED", R895="CANCELED", "CANCELED", TRUE, "PENDING")</f>
        <v>COMPLETED</v>
      </c>
      <c r="T895" t="s">
        <v>16</v>
      </c>
      <c r="U895">
        <f>VLOOKUP(A895,ordered_items!$B:$E,4,0)</f>
        <v>59.99</v>
      </c>
    </row>
    <row r="896" spans="1:21" x14ac:dyDescent="0.3">
      <c r="A896">
        <v>27271</v>
      </c>
      <c r="B896" t="s">
        <v>3</v>
      </c>
      <c r="C896">
        <v>2</v>
      </c>
      <c r="D896">
        <v>4</v>
      </c>
      <c r="E896" t="str">
        <f t="shared" si="39"/>
        <v xml:space="preserve"> ONTIME</v>
      </c>
      <c r="F896">
        <f>VLOOKUP($A896,ordered_items!$B$2:$E$4784,2,0)</f>
        <v>957</v>
      </c>
      <c r="G896">
        <f>VLOOKUP($A896,ordered_items!$B$2:$E$4784,3,0)</f>
        <v>1</v>
      </c>
      <c r="H896">
        <f>VLOOKUP($A896,ordered_items!$B$2:$E$4784,4,0)</f>
        <v>299.98</v>
      </c>
      <c r="I896" s="15">
        <f>VLOOKUP(F896,product_info!$A$2:$D$73,4,0)</f>
        <v>7</v>
      </c>
      <c r="J896" s="15" t="str">
        <f>VLOOKUP(I896,department!$A$2:$B$13,2,0)</f>
        <v>Fan Shop</v>
      </c>
      <c r="K896">
        <v>7428</v>
      </c>
      <c r="L896" t="s">
        <v>70</v>
      </c>
      <c r="M896" s="4">
        <v>43498</v>
      </c>
      <c r="N896" s="12">
        <f t="shared" si="40"/>
        <v>2</v>
      </c>
      <c r="O896" s="13">
        <f t="shared" si="41"/>
        <v>2019</v>
      </c>
      <c r="P896" t="s">
        <v>13</v>
      </c>
      <c r="Q896" t="s">
        <v>70</v>
      </c>
      <c r="R896" t="s">
        <v>178</v>
      </c>
      <c r="S896" t="str" cm="1">
        <f t="array" ref="S896">_xlfn.IFS(R896="COMPLETE", "COMPLETED", R896="CANCELED", "CANCELED", TRUE, "PENDING")</f>
        <v>PENDING</v>
      </c>
      <c r="T896" t="s">
        <v>16</v>
      </c>
      <c r="U896">
        <f>VLOOKUP(A896,ordered_items!$B:$E,4,0)</f>
        <v>299.98</v>
      </c>
    </row>
    <row r="897" spans="1:21" x14ac:dyDescent="0.3">
      <c r="A897">
        <v>27272</v>
      </c>
      <c r="B897" t="s">
        <v>17</v>
      </c>
      <c r="C897">
        <v>3</v>
      </c>
      <c r="D897">
        <v>4</v>
      </c>
      <c r="E897" t="str">
        <f t="shared" si="39"/>
        <v xml:space="preserve"> ONTIME</v>
      </c>
      <c r="F897">
        <f>VLOOKUP($A897,ordered_items!$B$2:$E$4784,2,0)</f>
        <v>957</v>
      </c>
      <c r="G897">
        <f>VLOOKUP($A897,ordered_items!$B$2:$E$4784,3,0)</f>
        <v>1</v>
      </c>
      <c r="H897">
        <f>VLOOKUP($A897,ordered_items!$B$2:$E$4784,4,0)</f>
        <v>299.98</v>
      </c>
      <c r="I897" s="15">
        <f>VLOOKUP(F897,product_info!$A$2:$D$73,4,0)</f>
        <v>7</v>
      </c>
      <c r="J897" s="15" t="str">
        <f>VLOOKUP(I897,department!$A$2:$B$13,2,0)</f>
        <v>Fan Shop</v>
      </c>
      <c r="K897">
        <v>7862</v>
      </c>
      <c r="L897" t="s">
        <v>70</v>
      </c>
      <c r="M897" s="4">
        <v>43498</v>
      </c>
      <c r="N897" s="12">
        <f t="shared" si="40"/>
        <v>2</v>
      </c>
      <c r="O897" s="13">
        <f t="shared" si="41"/>
        <v>2019</v>
      </c>
      <c r="P897" t="s">
        <v>13</v>
      </c>
      <c r="Q897" t="s">
        <v>70</v>
      </c>
      <c r="R897" t="s">
        <v>23</v>
      </c>
      <c r="S897" t="str" cm="1">
        <f t="array" ref="S897">_xlfn.IFS(R897="COMPLETE", "COMPLETED", R897="CANCELED", "CANCELED", TRUE, "PENDING")</f>
        <v>PENDING</v>
      </c>
      <c r="T897" t="s">
        <v>16</v>
      </c>
      <c r="U897">
        <f>VLOOKUP(A897,ordered_items!$B:$E,4,0)</f>
        <v>299.98</v>
      </c>
    </row>
    <row r="898" spans="1:21" x14ac:dyDescent="0.3">
      <c r="A898">
        <v>27273</v>
      </c>
      <c r="B898" t="s">
        <v>51</v>
      </c>
      <c r="C898">
        <v>2</v>
      </c>
      <c r="D898">
        <v>1</v>
      </c>
      <c r="E898" t="str">
        <f t="shared" si="39"/>
        <v>DELAYED</v>
      </c>
      <c r="F898">
        <f>VLOOKUP($A898,ordered_items!$B$2:$E$4784,2,0)</f>
        <v>403</v>
      </c>
      <c r="G898">
        <f>VLOOKUP($A898,ordered_items!$B$2:$E$4784,3,0)</f>
        <v>1</v>
      </c>
      <c r="H898">
        <f>VLOOKUP($A898,ordered_items!$B$2:$E$4784,4,0)</f>
        <v>129.99</v>
      </c>
      <c r="I898" s="15">
        <f>VLOOKUP(F898,product_info!$A$2:$D$73,4,0)</f>
        <v>4</v>
      </c>
      <c r="J898" s="15" t="str">
        <f>VLOOKUP(I898,department!$A$2:$B$13,2,0)</f>
        <v>Apparel</v>
      </c>
      <c r="K898">
        <v>12380</v>
      </c>
      <c r="L898" t="s">
        <v>70</v>
      </c>
      <c r="M898" s="4">
        <v>43498</v>
      </c>
      <c r="N898" s="12">
        <f t="shared" si="40"/>
        <v>2</v>
      </c>
      <c r="O898" s="13">
        <f t="shared" si="41"/>
        <v>2019</v>
      </c>
      <c r="P898" t="s">
        <v>13</v>
      </c>
      <c r="Q898" t="s">
        <v>70</v>
      </c>
      <c r="R898" t="s">
        <v>57</v>
      </c>
      <c r="S898" t="str" cm="1">
        <f t="array" ref="S898">_xlfn.IFS(R898="COMPLETE", "COMPLETED", R898="CANCELED", "CANCELED", TRUE, "PENDING")</f>
        <v>PENDING</v>
      </c>
      <c r="T898" t="s">
        <v>32</v>
      </c>
      <c r="U898">
        <f>VLOOKUP(A898,ordered_items!$B:$E,4,0)</f>
        <v>129.99</v>
      </c>
    </row>
    <row r="899" spans="1:21" x14ac:dyDescent="0.3">
      <c r="A899">
        <v>27281</v>
      </c>
      <c r="B899" t="s">
        <v>17</v>
      </c>
      <c r="C899">
        <v>2</v>
      </c>
      <c r="D899">
        <v>2</v>
      </c>
      <c r="E899" t="str">
        <f t="shared" ref="E899:E962" si="42">IF(C899-D899&gt;0,"DELAYED"," ONTIME")</f>
        <v xml:space="preserve"> ONTIME</v>
      </c>
      <c r="F899">
        <f>VLOOKUP($A899,ordered_items!$B$2:$E$4784,2,0)</f>
        <v>1073</v>
      </c>
      <c r="G899">
        <f>VLOOKUP($A899,ordered_items!$B$2:$E$4784,3,0)</f>
        <v>1</v>
      </c>
      <c r="H899">
        <f>VLOOKUP($A899,ordered_items!$B$2:$E$4784,4,0)</f>
        <v>199.99</v>
      </c>
      <c r="I899" s="15">
        <f>VLOOKUP(F899,product_info!$A$2:$D$73,4,0)</f>
        <v>7</v>
      </c>
      <c r="J899" s="15" t="str">
        <f>VLOOKUP(I899,department!$A$2:$B$13,2,0)</f>
        <v>Fan Shop</v>
      </c>
      <c r="K899">
        <v>1328</v>
      </c>
      <c r="L899" t="s">
        <v>146</v>
      </c>
      <c r="M899" s="4">
        <v>43498</v>
      </c>
      <c r="N899" s="12">
        <f t="shared" ref="N899:N962" si="43">MONTH(M899)</f>
        <v>2</v>
      </c>
      <c r="O899" s="13">
        <f t="shared" ref="O899:O962" si="44">YEAR(M899)</f>
        <v>2019</v>
      </c>
      <c r="P899" t="s">
        <v>13</v>
      </c>
      <c r="Q899" t="s">
        <v>30</v>
      </c>
      <c r="R899" t="s">
        <v>23</v>
      </c>
      <c r="S899" t="str" cm="1">
        <f t="array" ref="S899">_xlfn.IFS(R899="COMPLETE", "COMPLETED", R899="CANCELED", "CANCELED", TRUE, "PENDING")</f>
        <v>PENDING</v>
      </c>
      <c r="T899" t="s">
        <v>90</v>
      </c>
      <c r="U899">
        <f>VLOOKUP(A899,ordered_items!$B:$E,4,0)</f>
        <v>199.99</v>
      </c>
    </row>
    <row r="900" spans="1:21" x14ac:dyDescent="0.3">
      <c r="A900">
        <v>27288</v>
      </c>
      <c r="B900" t="s">
        <v>51</v>
      </c>
      <c r="C900">
        <v>4</v>
      </c>
      <c r="D900">
        <v>4</v>
      </c>
      <c r="E900" t="str">
        <f t="shared" si="42"/>
        <v xml:space="preserve"> ONTIME</v>
      </c>
      <c r="F900">
        <f>VLOOKUP($A900,ordered_items!$B$2:$E$4784,2,0)</f>
        <v>403</v>
      </c>
      <c r="G900">
        <f>VLOOKUP($A900,ordered_items!$B$2:$E$4784,3,0)</f>
        <v>1</v>
      </c>
      <c r="H900">
        <f>VLOOKUP($A900,ordered_items!$B$2:$E$4784,4,0)</f>
        <v>129.99</v>
      </c>
      <c r="I900" s="15">
        <f>VLOOKUP(F900,product_info!$A$2:$D$73,4,0)</f>
        <v>4</v>
      </c>
      <c r="J900" s="15" t="str">
        <f>VLOOKUP(I900,department!$A$2:$B$13,2,0)</f>
        <v>Apparel</v>
      </c>
      <c r="K900">
        <v>11285</v>
      </c>
      <c r="L900" t="s">
        <v>214</v>
      </c>
      <c r="M900" s="4">
        <v>43498</v>
      </c>
      <c r="N900" s="12">
        <f t="shared" si="43"/>
        <v>2</v>
      </c>
      <c r="O900" s="13">
        <f t="shared" si="44"/>
        <v>2019</v>
      </c>
      <c r="P900" t="s">
        <v>13</v>
      </c>
      <c r="Q900" t="s">
        <v>5781</v>
      </c>
      <c r="R900" t="s">
        <v>57</v>
      </c>
      <c r="S900" t="str" cm="1">
        <f t="array" ref="S900">_xlfn.IFS(R900="COMPLETE", "COMPLETED", R900="CANCELED", "CANCELED", TRUE, "PENDING")</f>
        <v>PENDING</v>
      </c>
      <c r="T900" t="s">
        <v>16</v>
      </c>
      <c r="U900">
        <f>VLOOKUP(A900,ordered_items!$B:$E,4,0)</f>
        <v>129.99</v>
      </c>
    </row>
    <row r="901" spans="1:21" x14ac:dyDescent="0.3">
      <c r="A901">
        <v>27289</v>
      </c>
      <c r="B901" t="s">
        <v>24</v>
      </c>
      <c r="C901">
        <v>5</v>
      </c>
      <c r="D901">
        <v>4</v>
      </c>
      <c r="E901" t="str">
        <f t="shared" si="42"/>
        <v>DELAYED</v>
      </c>
      <c r="F901">
        <f>VLOOKUP($A901,ordered_items!$B$2:$E$4784,2,0)</f>
        <v>502</v>
      </c>
      <c r="G901">
        <f>VLOOKUP($A901,ordered_items!$B$2:$E$4784,3,0)</f>
        <v>5</v>
      </c>
      <c r="H901">
        <f>VLOOKUP($A901,ordered_items!$B$2:$E$4784,4,0)</f>
        <v>250</v>
      </c>
      <c r="I901" s="15">
        <f>VLOOKUP(F901,product_info!$A$2:$D$73,4,0)</f>
        <v>5</v>
      </c>
      <c r="J901" s="15" t="str">
        <f>VLOOKUP(I901,department!$A$2:$B$13,2,0)</f>
        <v>Golf</v>
      </c>
      <c r="K901">
        <v>7180</v>
      </c>
      <c r="L901" t="s">
        <v>70</v>
      </c>
      <c r="M901" s="4">
        <v>43498</v>
      </c>
      <c r="N901" s="12">
        <f t="shared" si="43"/>
        <v>2</v>
      </c>
      <c r="O901" s="13">
        <f t="shared" si="44"/>
        <v>2019</v>
      </c>
      <c r="P901" t="s">
        <v>13</v>
      </c>
      <c r="Q901" t="s">
        <v>70</v>
      </c>
      <c r="R901" t="s">
        <v>31</v>
      </c>
      <c r="S901" t="str" cm="1">
        <f t="array" ref="S901">_xlfn.IFS(R901="COMPLETE", "COMPLETED", R901="CANCELED", "CANCELED", TRUE, "PENDING")</f>
        <v>COMPLETED</v>
      </c>
      <c r="T901" t="s">
        <v>16</v>
      </c>
      <c r="U901">
        <f>VLOOKUP(A901,ordered_items!$B:$E,4,0)</f>
        <v>250</v>
      </c>
    </row>
    <row r="902" spans="1:21" x14ac:dyDescent="0.3">
      <c r="A902">
        <v>27290</v>
      </c>
      <c r="B902" t="s">
        <v>51</v>
      </c>
      <c r="C902">
        <v>6</v>
      </c>
      <c r="D902">
        <v>2</v>
      </c>
      <c r="E902" t="str">
        <f t="shared" si="42"/>
        <v>DELAYED</v>
      </c>
      <c r="F902">
        <f>VLOOKUP($A902,ordered_items!$B$2:$E$4784,2,0)</f>
        <v>403</v>
      </c>
      <c r="G902">
        <f>VLOOKUP($A902,ordered_items!$B$2:$E$4784,3,0)</f>
        <v>1</v>
      </c>
      <c r="H902">
        <f>VLOOKUP($A902,ordered_items!$B$2:$E$4784,4,0)</f>
        <v>129.99</v>
      </c>
      <c r="I902" s="15">
        <f>VLOOKUP(F902,product_info!$A$2:$D$73,4,0)</f>
        <v>4</v>
      </c>
      <c r="J902" s="15" t="str">
        <f>VLOOKUP(I902,department!$A$2:$B$13,2,0)</f>
        <v>Apparel</v>
      </c>
      <c r="K902">
        <v>3300</v>
      </c>
      <c r="L902" t="s">
        <v>70</v>
      </c>
      <c r="M902" s="4">
        <v>43498</v>
      </c>
      <c r="N902" s="12">
        <f t="shared" si="43"/>
        <v>2</v>
      </c>
      <c r="O902" s="13">
        <f t="shared" si="44"/>
        <v>2019</v>
      </c>
      <c r="P902" t="s">
        <v>13</v>
      </c>
      <c r="Q902" t="s">
        <v>70</v>
      </c>
      <c r="R902" t="s">
        <v>57</v>
      </c>
      <c r="S902" t="str" cm="1">
        <f t="array" ref="S902">_xlfn.IFS(R902="COMPLETE", "COMPLETED", R902="CANCELED", "CANCELED", TRUE, "PENDING")</f>
        <v>PENDING</v>
      </c>
      <c r="T902" t="s">
        <v>90</v>
      </c>
      <c r="U902">
        <f>VLOOKUP(A902,ordered_items!$B:$E,4,0)</f>
        <v>129.99</v>
      </c>
    </row>
    <row r="903" spans="1:21" x14ac:dyDescent="0.3">
      <c r="A903">
        <v>27291</v>
      </c>
      <c r="B903" t="s">
        <v>24</v>
      </c>
      <c r="C903">
        <v>2</v>
      </c>
      <c r="D903">
        <v>2</v>
      </c>
      <c r="E903" t="str">
        <f t="shared" si="42"/>
        <v xml:space="preserve"> ONTIME</v>
      </c>
      <c r="F903">
        <f>VLOOKUP($A903,ordered_items!$B$2:$E$4784,2,0)</f>
        <v>403</v>
      </c>
      <c r="G903">
        <f>VLOOKUP($A903,ordered_items!$B$2:$E$4784,3,0)</f>
        <v>1</v>
      </c>
      <c r="H903">
        <f>VLOOKUP($A903,ordered_items!$B$2:$E$4784,4,0)</f>
        <v>129.99</v>
      </c>
      <c r="I903" s="15">
        <f>VLOOKUP(F903,product_info!$A$2:$D$73,4,0)</f>
        <v>4</v>
      </c>
      <c r="J903" s="15" t="str">
        <f>VLOOKUP(I903,department!$A$2:$B$13,2,0)</f>
        <v>Apparel</v>
      </c>
      <c r="K903">
        <v>3572</v>
      </c>
      <c r="L903" t="s">
        <v>70</v>
      </c>
      <c r="M903" s="4">
        <v>43498</v>
      </c>
      <c r="N903" s="12">
        <f t="shared" si="43"/>
        <v>2</v>
      </c>
      <c r="O903" s="13">
        <f t="shared" si="44"/>
        <v>2019</v>
      </c>
      <c r="P903" t="s">
        <v>13</v>
      </c>
      <c r="Q903" t="s">
        <v>70</v>
      </c>
      <c r="R903" t="s">
        <v>31</v>
      </c>
      <c r="S903" t="str" cm="1">
        <f t="array" ref="S903">_xlfn.IFS(R903="COMPLETE", "COMPLETED", R903="CANCELED", "CANCELED", TRUE, "PENDING")</f>
        <v>COMPLETED</v>
      </c>
      <c r="T903" t="s">
        <v>90</v>
      </c>
      <c r="U903">
        <f>VLOOKUP(A903,ordered_items!$B:$E,4,0)</f>
        <v>129.99</v>
      </c>
    </row>
    <row r="904" spans="1:21" x14ac:dyDescent="0.3">
      <c r="A904">
        <v>27292</v>
      </c>
      <c r="B904" t="s">
        <v>51</v>
      </c>
      <c r="C904">
        <v>2</v>
      </c>
      <c r="D904">
        <v>1</v>
      </c>
      <c r="E904" t="str">
        <f t="shared" si="42"/>
        <v>DELAYED</v>
      </c>
      <c r="F904">
        <f>VLOOKUP($A904,ordered_items!$B$2:$E$4784,2,0)</f>
        <v>191</v>
      </c>
      <c r="G904">
        <f>VLOOKUP($A904,ordered_items!$B$2:$E$4784,3,0)</f>
        <v>1</v>
      </c>
      <c r="H904">
        <f>VLOOKUP($A904,ordered_items!$B$2:$E$4784,4,0)</f>
        <v>99.99</v>
      </c>
      <c r="I904" s="15">
        <f>VLOOKUP(F904,product_info!$A$2:$D$73,4,0)</f>
        <v>3</v>
      </c>
      <c r="J904" s="15" t="str">
        <f>VLOOKUP(I904,department!$A$2:$B$13,2,0)</f>
        <v>Footwear</v>
      </c>
      <c r="K904">
        <v>3649</v>
      </c>
      <c r="L904" t="s">
        <v>70</v>
      </c>
      <c r="M904" s="4">
        <v>43498</v>
      </c>
      <c r="N904" s="12">
        <f t="shared" si="43"/>
        <v>2</v>
      </c>
      <c r="O904" s="13">
        <f t="shared" si="44"/>
        <v>2019</v>
      </c>
      <c r="P904" t="s">
        <v>13</v>
      </c>
      <c r="Q904" t="s">
        <v>70</v>
      </c>
      <c r="R904" t="s">
        <v>57</v>
      </c>
      <c r="S904" t="str" cm="1">
        <f t="array" ref="S904">_xlfn.IFS(R904="COMPLETE", "COMPLETED", R904="CANCELED", "CANCELED", TRUE, "PENDING")</f>
        <v>PENDING</v>
      </c>
      <c r="T904" t="s">
        <v>32</v>
      </c>
      <c r="U904">
        <f>VLOOKUP(A904,ordered_items!$B:$E,4,0)</f>
        <v>99.99</v>
      </c>
    </row>
    <row r="905" spans="1:21" x14ac:dyDescent="0.3">
      <c r="A905">
        <v>27293</v>
      </c>
      <c r="B905" t="s">
        <v>3</v>
      </c>
      <c r="C905">
        <v>2</v>
      </c>
      <c r="D905">
        <v>1</v>
      </c>
      <c r="E905" t="str">
        <f t="shared" si="42"/>
        <v>DELAYED</v>
      </c>
      <c r="F905">
        <f>VLOOKUP($A905,ordered_items!$B$2:$E$4784,2,0)</f>
        <v>1073</v>
      </c>
      <c r="G905">
        <f>VLOOKUP($A905,ordered_items!$B$2:$E$4784,3,0)</f>
        <v>1</v>
      </c>
      <c r="H905">
        <f>VLOOKUP($A905,ordered_items!$B$2:$E$4784,4,0)</f>
        <v>199.99</v>
      </c>
      <c r="I905" s="15">
        <f>VLOOKUP(F905,product_info!$A$2:$D$73,4,0)</f>
        <v>7</v>
      </c>
      <c r="J905" s="15" t="str">
        <f>VLOOKUP(I905,department!$A$2:$B$13,2,0)</f>
        <v>Fan Shop</v>
      </c>
      <c r="K905">
        <v>8698</v>
      </c>
      <c r="L905" t="s">
        <v>70</v>
      </c>
      <c r="M905" s="4">
        <v>43498</v>
      </c>
      <c r="N905" s="12">
        <f t="shared" si="43"/>
        <v>2</v>
      </c>
      <c r="O905" s="13">
        <f t="shared" si="44"/>
        <v>2019</v>
      </c>
      <c r="P905" t="s">
        <v>13</v>
      </c>
      <c r="Q905" t="s">
        <v>70</v>
      </c>
      <c r="R905" t="s">
        <v>38</v>
      </c>
      <c r="S905" t="str" cm="1">
        <f t="array" ref="S905">_xlfn.IFS(R905="COMPLETE", "COMPLETED", R905="CANCELED", "CANCELED", TRUE, "PENDING")</f>
        <v>PENDING</v>
      </c>
      <c r="T905" t="s">
        <v>32</v>
      </c>
      <c r="U905">
        <f>VLOOKUP(A905,ordered_items!$B:$E,4,0)</f>
        <v>199.99</v>
      </c>
    </row>
    <row r="906" spans="1:21" x14ac:dyDescent="0.3">
      <c r="A906">
        <v>27300</v>
      </c>
      <c r="B906" t="s">
        <v>24</v>
      </c>
      <c r="C906">
        <v>6</v>
      </c>
      <c r="D906">
        <v>4</v>
      </c>
      <c r="E906" t="str">
        <f t="shared" si="42"/>
        <v>DELAYED</v>
      </c>
      <c r="F906">
        <f>VLOOKUP($A906,ordered_items!$B$2:$E$4784,2,0)</f>
        <v>365</v>
      </c>
      <c r="G906">
        <f>VLOOKUP($A906,ordered_items!$B$2:$E$4784,3,0)</f>
        <v>3</v>
      </c>
      <c r="H906">
        <f>VLOOKUP($A906,ordered_items!$B$2:$E$4784,4,0)</f>
        <v>179.97</v>
      </c>
      <c r="I906" s="15">
        <f>VLOOKUP(F906,product_info!$A$2:$D$73,4,0)</f>
        <v>4</v>
      </c>
      <c r="J906" s="15" t="str">
        <f>VLOOKUP(I906,department!$A$2:$B$13,2,0)</f>
        <v>Apparel</v>
      </c>
      <c r="K906">
        <v>8156</v>
      </c>
      <c r="L906" t="s">
        <v>561</v>
      </c>
      <c r="M906" s="4">
        <v>43498</v>
      </c>
      <c r="N906" s="12">
        <f t="shared" si="43"/>
        <v>2</v>
      </c>
      <c r="O906" s="13">
        <f t="shared" si="44"/>
        <v>2019</v>
      </c>
      <c r="P906" t="s">
        <v>13</v>
      </c>
      <c r="Q906" t="s">
        <v>5779</v>
      </c>
      <c r="R906" t="s">
        <v>31</v>
      </c>
      <c r="S906" t="str" cm="1">
        <f t="array" ref="S906">_xlfn.IFS(R906="COMPLETE", "COMPLETED", R906="CANCELED", "CANCELED", TRUE, "PENDING")</f>
        <v>COMPLETED</v>
      </c>
      <c r="T906" t="s">
        <v>16</v>
      </c>
      <c r="U906">
        <f>VLOOKUP(A906,ordered_items!$B:$E,4,0)</f>
        <v>179.97</v>
      </c>
    </row>
    <row r="907" spans="1:21" x14ac:dyDescent="0.3">
      <c r="A907">
        <v>27351</v>
      </c>
      <c r="B907" t="s">
        <v>24</v>
      </c>
      <c r="C907">
        <v>2</v>
      </c>
      <c r="D907">
        <v>2</v>
      </c>
      <c r="E907" t="str">
        <f t="shared" si="42"/>
        <v xml:space="preserve"> ONTIME</v>
      </c>
      <c r="F907">
        <f>VLOOKUP($A907,ordered_items!$B$2:$E$4784,2,0)</f>
        <v>365</v>
      </c>
      <c r="G907">
        <f>VLOOKUP($A907,ordered_items!$B$2:$E$4784,3,0)</f>
        <v>1</v>
      </c>
      <c r="H907">
        <f>VLOOKUP($A907,ordered_items!$B$2:$E$4784,4,0)</f>
        <v>59.99</v>
      </c>
      <c r="I907" s="15">
        <f>VLOOKUP(F907,product_info!$A$2:$D$73,4,0)</f>
        <v>4</v>
      </c>
      <c r="J907" s="15" t="str">
        <f>VLOOKUP(I907,department!$A$2:$B$13,2,0)</f>
        <v>Apparel</v>
      </c>
      <c r="K907">
        <v>11183</v>
      </c>
      <c r="L907" t="s">
        <v>304</v>
      </c>
      <c r="M907" s="4">
        <v>43499</v>
      </c>
      <c r="N907" s="12">
        <f t="shared" si="43"/>
        <v>2</v>
      </c>
      <c r="O907" s="13">
        <f t="shared" si="44"/>
        <v>2019</v>
      </c>
      <c r="P907" t="s">
        <v>13</v>
      </c>
      <c r="Q907" t="s">
        <v>30</v>
      </c>
      <c r="R907" t="s">
        <v>31</v>
      </c>
      <c r="S907" t="str" cm="1">
        <f t="array" ref="S907">_xlfn.IFS(R907="COMPLETE", "COMPLETED", R907="CANCELED", "CANCELED", TRUE, "PENDING")</f>
        <v>COMPLETED</v>
      </c>
      <c r="T907" t="s">
        <v>90</v>
      </c>
      <c r="U907">
        <f>VLOOKUP(A907,ordered_items!$B:$E,4,0)</f>
        <v>59.99</v>
      </c>
    </row>
    <row r="908" spans="1:21" x14ac:dyDescent="0.3">
      <c r="A908">
        <v>27353</v>
      </c>
      <c r="B908" t="s">
        <v>24</v>
      </c>
      <c r="C908">
        <v>4</v>
      </c>
      <c r="D908">
        <v>2</v>
      </c>
      <c r="E908" t="str">
        <f t="shared" si="42"/>
        <v>DELAYED</v>
      </c>
      <c r="F908">
        <f>VLOOKUP($A908,ordered_items!$B$2:$E$4784,2,0)</f>
        <v>1004</v>
      </c>
      <c r="G908">
        <f>VLOOKUP($A908,ordered_items!$B$2:$E$4784,3,0)</f>
        <v>1</v>
      </c>
      <c r="H908">
        <f>VLOOKUP($A908,ordered_items!$B$2:$E$4784,4,0)</f>
        <v>399.98</v>
      </c>
      <c r="I908" s="15">
        <f>VLOOKUP(F908,product_info!$A$2:$D$73,4,0)</f>
        <v>7</v>
      </c>
      <c r="J908" s="15" t="str">
        <f>VLOOKUP(I908,department!$A$2:$B$13,2,0)</f>
        <v>Fan Shop</v>
      </c>
      <c r="K908">
        <v>333</v>
      </c>
      <c r="L908" t="s">
        <v>304</v>
      </c>
      <c r="M908" s="4">
        <v>43499</v>
      </c>
      <c r="N908" s="12">
        <f t="shared" si="43"/>
        <v>2</v>
      </c>
      <c r="O908" s="13">
        <f t="shared" si="44"/>
        <v>2019</v>
      </c>
      <c r="P908" t="s">
        <v>13</v>
      </c>
      <c r="Q908" t="s">
        <v>30</v>
      </c>
      <c r="R908" t="s">
        <v>31</v>
      </c>
      <c r="S908" t="str" cm="1">
        <f t="array" ref="S908">_xlfn.IFS(R908="COMPLETE", "COMPLETED", R908="CANCELED", "CANCELED", TRUE, "PENDING")</f>
        <v>COMPLETED</v>
      </c>
      <c r="T908" t="s">
        <v>90</v>
      </c>
      <c r="U908">
        <f>VLOOKUP(A908,ordered_items!$B:$E,4,0)</f>
        <v>399.98</v>
      </c>
    </row>
    <row r="909" spans="1:21" x14ac:dyDescent="0.3">
      <c r="A909">
        <v>27366</v>
      </c>
      <c r="B909" t="s">
        <v>24</v>
      </c>
      <c r="C909">
        <v>2</v>
      </c>
      <c r="D909">
        <v>4</v>
      </c>
      <c r="E909" t="str">
        <f t="shared" si="42"/>
        <v xml:space="preserve"> ONTIME</v>
      </c>
      <c r="F909">
        <f>VLOOKUP($A909,ordered_items!$B$2:$E$4784,2,0)</f>
        <v>793</v>
      </c>
      <c r="G909">
        <f>VLOOKUP($A909,ordered_items!$B$2:$E$4784,3,0)</f>
        <v>1</v>
      </c>
      <c r="H909">
        <f>VLOOKUP($A909,ordered_items!$B$2:$E$4784,4,0)</f>
        <v>14.99</v>
      </c>
      <c r="I909" s="15">
        <f>VLOOKUP(F909,product_info!$A$2:$D$73,4,0)</f>
        <v>6</v>
      </c>
      <c r="J909" s="15" t="str">
        <f>VLOOKUP(I909,department!$A$2:$B$13,2,0)</f>
        <v>Outdoors</v>
      </c>
      <c r="K909">
        <v>10625</v>
      </c>
      <c r="L909" t="s">
        <v>1120</v>
      </c>
      <c r="M909" s="4">
        <v>43499</v>
      </c>
      <c r="N909" s="12">
        <f t="shared" si="43"/>
        <v>2</v>
      </c>
      <c r="O909" s="13">
        <f t="shared" si="44"/>
        <v>2019</v>
      </c>
      <c r="P909" t="s">
        <v>13</v>
      </c>
      <c r="Q909" t="s">
        <v>30</v>
      </c>
      <c r="R909" t="s">
        <v>378</v>
      </c>
      <c r="S909" t="str" cm="1">
        <f t="array" ref="S909">_xlfn.IFS(R909="COMPLETE", "COMPLETED", R909="CANCELED", "CANCELED", TRUE, "PENDING")</f>
        <v>PENDING</v>
      </c>
      <c r="T909" t="s">
        <v>16</v>
      </c>
      <c r="U909">
        <f>VLOOKUP(A909,ordered_items!$B:$E,4,0)</f>
        <v>14.99</v>
      </c>
    </row>
    <row r="910" spans="1:21" x14ac:dyDescent="0.3">
      <c r="A910">
        <v>27367</v>
      </c>
      <c r="B910" t="s">
        <v>24</v>
      </c>
      <c r="C910">
        <v>3</v>
      </c>
      <c r="D910">
        <v>4</v>
      </c>
      <c r="E910" t="str">
        <f t="shared" si="42"/>
        <v xml:space="preserve"> ONTIME</v>
      </c>
      <c r="F910">
        <f>VLOOKUP($A910,ordered_items!$B$2:$E$4784,2,0)</f>
        <v>1073</v>
      </c>
      <c r="G910">
        <f>VLOOKUP($A910,ordered_items!$B$2:$E$4784,3,0)</f>
        <v>1</v>
      </c>
      <c r="H910">
        <f>VLOOKUP($A910,ordered_items!$B$2:$E$4784,4,0)</f>
        <v>199.99</v>
      </c>
      <c r="I910" s="15">
        <f>VLOOKUP(F910,product_info!$A$2:$D$73,4,0)</f>
        <v>7</v>
      </c>
      <c r="J910" s="15" t="str">
        <f>VLOOKUP(I910,department!$A$2:$B$13,2,0)</f>
        <v>Fan Shop</v>
      </c>
      <c r="K910">
        <v>9059</v>
      </c>
      <c r="L910" t="s">
        <v>1120</v>
      </c>
      <c r="M910" s="4">
        <v>43499</v>
      </c>
      <c r="N910" s="12">
        <f t="shared" si="43"/>
        <v>2</v>
      </c>
      <c r="O910" s="13">
        <f t="shared" si="44"/>
        <v>2019</v>
      </c>
      <c r="P910" t="s">
        <v>13</v>
      </c>
      <c r="Q910" t="s">
        <v>30</v>
      </c>
      <c r="R910" t="s">
        <v>31</v>
      </c>
      <c r="S910" t="str" cm="1">
        <f t="array" ref="S910">_xlfn.IFS(R910="COMPLETE", "COMPLETED", R910="CANCELED", "CANCELED", TRUE, "PENDING")</f>
        <v>COMPLETED</v>
      </c>
      <c r="T910" t="s">
        <v>16</v>
      </c>
      <c r="U910">
        <f>VLOOKUP(A910,ordered_items!$B:$E,4,0)</f>
        <v>199.99</v>
      </c>
    </row>
    <row r="911" spans="1:21" x14ac:dyDescent="0.3">
      <c r="A911">
        <v>27368</v>
      </c>
      <c r="B911" t="s">
        <v>51</v>
      </c>
      <c r="C911">
        <v>0</v>
      </c>
      <c r="D911">
        <v>0</v>
      </c>
      <c r="E911" t="str">
        <f t="shared" si="42"/>
        <v xml:space="preserve"> ONTIME</v>
      </c>
      <c r="F911">
        <f>VLOOKUP($A911,ordered_items!$B$2:$E$4784,2,0)</f>
        <v>1014</v>
      </c>
      <c r="G911">
        <f>VLOOKUP($A911,ordered_items!$B$2:$E$4784,3,0)</f>
        <v>4</v>
      </c>
      <c r="H911">
        <f>VLOOKUP($A911,ordered_items!$B$2:$E$4784,4,0)</f>
        <v>199.92</v>
      </c>
      <c r="I911" s="15">
        <f>VLOOKUP(F911,product_info!$A$2:$D$73,4,0)</f>
        <v>7</v>
      </c>
      <c r="J911" s="15" t="str">
        <f>VLOOKUP(I911,department!$A$2:$B$13,2,0)</f>
        <v>Fan Shop</v>
      </c>
      <c r="K911">
        <v>5670</v>
      </c>
      <c r="L911" t="s">
        <v>1120</v>
      </c>
      <c r="M911" s="4">
        <v>43499</v>
      </c>
      <c r="N911" s="12">
        <f t="shared" si="43"/>
        <v>2</v>
      </c>
      <c r="O911" s="13">
        <f t="shared" si="44"/>
        <v>2019</v>
      </c>
      <c r="P911" t="s">
        <v>13</v>
      </c>
      <c r="Q911" t="s">
        <v>30</v>
      </c>
      <c r="R911" t="s">
        <v>57</v>
      </c>
      <c r="S911" t="str" cm="1">
        <f t="array" ref="S911">_xlfn.IFS(R911="COMPLETE", "COMPLETED", R911="CANCELED", "CANCELED", TRUE, "PENDING")</f>
        <v>PENDING</v>
      </c>
      <c r="T911" t="s">
        <v>58</v>
      </c>
      <c r="U911">
        <f>VLOOKUP(A911,ordered_items!$B:$E,4,0)</f>
        <v>199.92</v>
      </c>
    </row>
    <row r="912" spans="1:21" x14ac:dyDescent="0.3">
      <c r="A912">
        <v>27381</v>
      </c>
      <c r="B912" t="s">
        <v>3</v>
      </c>
      <c r="C912">
        <v>2</v>
      </c>
      <c r="D912">
        <v>4</v>
      </c>
      <c r="E912" t="str">
        <f t="shared" si="42"/>
        <v xml:space="preserve"> ONTIME</v>
      </c>
      <c r="F912">
        <f>VLOOKUP($A912,ordered_items!$B$2:$E$4784,2,0)</f>
        <v>1073</v>
      </c>
      <c r="G912">
        <f>VLOOKUP($A912,ordered_items!$B$2:$E$4784,3,0)</f>
        <v>1</v>
      </c>
      <c r="H912">
        <f>VLOOKUP($A912,ordered_items!$B$2:$E$4784,4,0)</f>
        <v>199.99</v>
      </c>
      <c r="I912" s="15">
        <f>VLOOKUP(F912,product_info!$A$2:$D$73,4,0)</f>
        <v>7</v>
      </c>
      <c r="J912" s="15" t="str">
        <f>VLOOKUP(I912,department!$A$2:$B$13,2,0)</f>
        <v>Fan Shop</v>
      </c>
      <c r="K912">
        <v>558</v>
      </c>
      <c r="L912" t="s">
        <v>110</v>
      </c>
      <c r="M912" s="4">
        <v>43499</v>
      </c>
      <c r="N912" s="12">
        <f t="shared" si="43"/>
        <v>2</v>
      </c>
      <c r="O912" s="13">
        <f t="shared" si="44"/>
        <v>2019</v>
      </c>
      <c r="P912" t="s">
        <v>13</v>
      </c>
      <c r="Q912" t="s">
        <v>99</v>
      </c>
      <c r="R912" t="s">
        <v>14</v>
      </c>
      <c r="S912" t="str" cm="1">
        <f t="array" ref="S912">_xlfn.IFS(R912="COMPLETE", "COMPLETED", R912="CANCELED", "CANCELED", TRUE, "PENDING")</f>
        <v>PENDING</v>
      </c>
      <c r="T912" t="s">
        <v>16</v>
      </c>
      <c r="U912">
        <f>VLOOKUP(A912,ordered_items!$B:$E,4,0)</f>
        <v>199.99</v>
      </c>
    </row>
    <row r="913" spans="1:21" x14ac:dyDescent="0.3">
      <c r="A913">
        <v>27412</v>
      </c>
      <c r="B913" t="s">
        <v>17</v>
      </c>
      <c r="C913">
        <v>3</v>
      </c>
      <c r="D913">
        <v>4</v>
      </c>
      <c r="E913" t="str">
        <f t="shared" si="42"/>
        <v xml:space="preserve"> ONTIME</v>
      </c>
      <c r="F913">
        <f>VLOOKUP($A913,ordered_items!$B$2:$E$4784,2,0)</f>
        <v>403</v>
      </c>
      <c r="G913">
        <f>VLOOKUP($A913,ordered_items!$B$2:$E$4784,3,0)</f>
        <v>1</v>
      </c>
      <c r="H913">
        <f>VLOOKUP($A913,ordered_items!$B$2:$E$4784,4,0)</f>
        <v>129.99</v>
      </c>
      <c r="I913" s="15">
        <f>VLOOKUP(F913,product_info!$A$2:$D$73,4,0)</f>
        <v>4</v>
      </c>
      <c r="J913" s="15" t="str">
        <f>VLOOKUP(I913,department!$A$2:$B$13,2,0)</f>
        <v>Apparel</v>
      </c>
      <c r="K913">
        <v>3266</v>
      </c>
      <c r="L913" t="s">
        <v>525</v>
      </c>
      <c r="M913" s="4">
        <v>43500</v>
      </c>
      <c r="N913" s="12">
        <f t="shared" si="43"/>
        <v>2</v>
      </c>
      <c r="O913" s="13">
        <f t="shared" si="44"/>
        <v>2019</v>
      </c>
      <c r="P913" t="s">
        <v>13</v>
      </c>
      <c r="Q913" t="s">
        <v>5778</v>
      </c>
      <c r="R913" t="s">
        <v>23</v>
      </c>
      <c r="S913" t="str" cm="1">
        <f t="array" ref="S913">_xlfn.IFS(R913="COMPLETE", "COMPLETED", R913="CANCELED", "CANCELED", TRUE, "PENDING")</f>
        <v>PENDING</v>
      </c>
      <c r="T913" t="s">
        <v>16</v>
      </c>
      <c r="U913">
        <f>VLOOKUP(A913,ordered_items!$B:$E,4,0)</f>
        <v>129.99</v>
      </c>
    </row>
    <row r="914" spans="1:21" x14ac:dyDescent="0.3">
      <c r="A914">
        <v>27413</v>
      </c>
      <c r="B914" t="s">
        <v>24</v>
      </c>
      <c r="C914">
        <v>4</v>
      </c>
      <c r="D914">
        <v>4</v>
      </c>
      <c r="E914" t="str">
        <f t="shared" si="42"/>
        <v xml:space="preserve"> ONTIME</v>
      </c>
      <c r="F914">
        <f>VLOOKUP($A914,ordered_items!$B$2:$E$4784,2,0)</f>
        <v>403</v>
      </c>
      <c r="G914">
        <f>VLOOKUP($A914,ordered_items!$B$2:$E$4784,3,0)</f>
        <v>1</v>
      </c>
      <c r="H914">
        <f>VLOOKUP($A914,ordered_items!$B$2:$E$4784,4,0)</f>
        <v>129.99</v>
      </c>
      <c r="I914" s="15">
        <f>VLOOKUP(F914,product_info!$A$2:$D$73,4,0)</f>
        <v>4</v>
      </c>
      <c r="J914" s="15" t="str">
        <f>VLOOKUP(I914,department!$A$2:$B$13,2,0)</f>
        <v>Apparel</v>
      </c>
      <c r="K914">
        <v>10932</v>
      </c>
      <c r="L914" t="s">
        <v>525</v>
      </c>
      <c r="M914" s="4">
        <v>43500</v>
      </c>
      <c r="N914" s="12">
        <f t="shared" si="43"/>
        <v>2</v>
      </c>
      <c r="O914" s="13">
        <f t="shared" si="44"/>
        <v>2019</v>
      </c>
      <c r="P914" t="s">
        <v>13</v>
      </c>
      <c r="Q914" t="s">
        <v>5778</v>
      </c>
      <c r="R914" t="s">
        <v>31</v>
      </c>
      <c r="S914" t="str" cm="1">
        <f t="array" ref="S914">_xlfn.IFS(R914="COMPLETE", "COMPLETED", R914="CANCELED", "CANCELED", TRUE, "PENDING")</f>
        <v>COMPLETED</v>
      </c>
      <c r="T914" t="s">
        <v>16</v>
      </c>
      <c r="U914">
        <f>VLOOKUP(A914,ordered_items!$B:$E,4,0)</f>
        <v>129.99</v>
      </c>
    </row>
    <row r="915" spans="1:21" x14ac:dyDescent="0.3">
      <c r="A915">
        <v>27426</v>
      </c>
      <c r="B915" t="s">
        <v>3</v>
      </c>
      <c r="C915">
        <v>2</v>
      </c>
      <c r="D915">
        <v>4</v>
      </c>
      <c r="E915" t="str">
        <f t="shared" si="42"/>
        <v xml:space="preserve"> ONTIME</v>
      </c>
      <c r="F915">
        <f>VLOOKUP($A915,ordered_items!$B$2:$E$4784,2,0)</f>
        <v>1004</v>
      </c>
      <c r="G915">
        <f>VLOOKUP($A915,ordered_items!$B$2:$E$4784,3,0)</f>
        <v>1</v>
      </c>
      <c r="H915">
        <f>VLOOKUP($A915,ordered_items!$B$2:$E$4784,4,0)</f>
        <v>399.98</v>
      </c>
      <c r="I915" s="15">
        <f>VLOOKUP(F915,product_info!$A$2:$D$73,4,0)</f>
        <v>7</v>
      </c>
      <c r="J915" s="15" t="str">
        <f>VLOOKUP(I915,department!$A$2:$B$13,2,0)</f>
        <v>Fan Shop</v>
      </c>
      <c r="K915">
        <v>4825</v>
      </c>
      <c r="L915" t="s">
        <v>262</v>
      </c>
      <c r="M915" s="4">
        <v>43500</v>
      </c>
      <c r="N915" s="12">
        <f t="shared" si="43"/>
        <v>2</v>
      </c>
      <c r="O915" s="13">
        <f t="shared" si="44"/>
        <v>2019</v>
      </c>
      <c r="P915" t="s">
        <v>13</v>
      </c>
      <c r="Q915" t="s">
        <v>5777</v>
      </c>
      <c r="R915" t="s">
        <v>38</v>
      </c>
      <c r="S915" t="str" cm="1">
        <f t="array" ref="S915">_xlfn.IFS(R915="COMPLETE", "COMPLETED", R915="CANCELED", "CANCELED", TRUE, "PENDING")</f>
        <v>PENDING</v>
      </c>
      <c r="T915" t="s">
        <v>16</v>
      </c>
      <c r="U915">
        <f>VLOOKUP(A915,ordered_items!$B:$E,4,0)</f>
        <v>399.98</v>
      </c>
    </row>
    <row r="916" spans="1:21" x14ac:dyDescent="0.3">
      <c r="A916">
        <v>27428</v>
      </c>
      <c r="B916" t="s">
        <v>24</v>
      </c>
      <c r="C916">
        <v>4</v>
      </c>
      <c r="D916">
        <v>4</v>
      </c>
      <c r="E916" t="str">
        <f t="shared" si="42"/>
        <v xml:space="preserve"> ONTIME</v>
      </c>
      <c r="F916">
        <f>VLOOKUP($A916,ordered_items!$B$2:$E$4784,2,0)</f>
        <v>191</v>
      </c>
      <c r="G916">
        <f>VLOOKUP($A916,ordered_items!$B$2:$E$4784,3,0)</f>
        <v>2</v>
      </c>
      <c r="H916">
        <f>VLOOKUP($A916,ordered_items!$B$2:$E$4784,4,0)</f>
        <v>199.98</v>
      </c>
      <c r="I916" s="15">
        <f>VLOOKUP(F916,product_info!$A$2:$D$73,4,0)</f>
        <v>3</v>
      </c>
      <c r="J916" s="15" t="str">
        <f>VLOOKUP(I916,department!$A$2:$B$13,2,0)</f>
        <v>Footwear</v>
      </c>
      <c r="K916">
        <v>10380</v>
      </c>
      <c r="L916" t="s">
        <v>465</v>
      </c>
      <c r="M916" s="4">
        <v>43500</v>
      </c>
      <c r="N916" s="12">
        <f t="shared" si="43"/>
        <v>2</v>
      </c>
      <c r="O916" s="13">
        <f t="shared" si="44"/>
        <v>2019</v>
      </c>
      <c r="P916" t="s">
        <v>13</v>
      </c>
      <c r="Q916" t="s">
        <v>99</v>
      </c>
      <c r="R916" t="s">
        <v>31</v>
      </c>
      <c r="S916" t="str" cm="1">
        <f t="array" ref="S916">_xlfn.IFS(R916="COMPLETE", "COMPLETED", R916="CANCELED", "CANCELED", TRUE, "PENDING")</f>
        <v>COMPLETED</v>
      </c>
      <c r="T916" t="s">
        <v>16</v>
      </c>
      <c r="U916">
        <f>VLOOKUP(A916,ordered_items!$B:$E,4,0)</f>
        <v>199.98</v>
      </c>
    </row>
    <row r="917" spans="1:21" x14ac:dyDescent="0.3">
      <c r="A917">
        <v>27429</v>
      </c>
      <c r="B917" t="s">
        <v>17</v>
      </c>
      <c r="C917">
        <v>5</v>
      </c>
      <c r="D917">
        <v>4</v>
      </c>
      <c r="E917" t="str">
        <f t="shared" si="42"/>
        <v>DELAYED</v>
      </c>
      <c r="F917">
        <f>VLOOKUP($A917,ordered_items!$B$2:$E$4784,2,0)</f>
        <v>1014</v>
      </c>
      <c r="G917">
        <f>VLOOKUP($A917,ordered_items!$B$2:$E$4784,3,0)</f>
        <v>4</v>
      </c>
      <c r="H917">
        <f>VLOOKUP($A917,ordered_items!$B$2:$E$4784,4,0)</f>
        <v>199.92</v>
      </c>
      <c r="I917" s="15">
        <f>VLOOKUP(F917,product_info!$A$2:$D$73,4,0)</f>
        <v>7</v>
      </c>
      <c r="J917" s="15" t="str">
        <f>VLOOKUP(I917,department!$A$2:$B$13,2,0)</f>
        <v>Fan Shop</v>
      </c>
      <c r="K917">
        <v>4875</v>
      </c>
      <c r="L917" t="s">
        <v>465</v>
      </c>
      <c r="M917" s="4">
        <v>43500</v>
      </c>
      <c r="N917" s="12">
        <f t="shared" si="43"/>
        <v>2</v>
      </c>
      <c r="O917" s="13">
        <f t="shared" si="44"/>
        <v>2019</v>
      </c>
      <c r="P917" t="s">
        <v>13</v>
      </c>
      <c r="Q917" t="s">
        <v>99</v>
      </c>
      <c r="R917" t="s">
        <v>23</v>
      </c>
      <c r="S917" t="str" cm="1">
        <f t="array" ref="S917">_xlfn.IFS(R917="COMPLETE", "COMPLETED", R917="CANCELED", "CANCELED", TRUE, "PENDING")</f>
        <v>PENDING</v>
      </c>
      <c r="T917" t="s">
        <v>16</v>
      </c>
      <c r="U917">
        <f>VLOOKUP(A917,ordered_items!$B:$E,4,0)</f>
        <v>199.92</v>
      </c>
    </row>
    <row r="918" spans="1:21" x14ac:dyDescent="0.3">
      <c r="A918">
        <v>27430</v>
      </c>
      <c r="B918" t="s">
        <v>3</v>
      </c>
      <c r="C918">
        <v>6</v>
      </c>
      <c r="D918">
        <v>4</v>
      </c>
      <c r="E918" t="str">
        <f t="shared" si="42"/>
        <v>DELAYED</v>
      </c>
      <c r="F918">
        <f>VLOOKUP($A918,ordered_items!$B$2:$E$4784,2,0)</f>
        <v>1014</v>
      </c>
      <c r="G918">
        <f>VLOOKUP($A918,ordered_items!$B$2:$E$4784,3,0)</f>
        <v>1</v>
      </c>
      <c r="H918">
        <f>VLOOKUP($A918,ordered_items!$B$2:$E$4784,4,0)</f>
        <v>49.98</v>
      </c>
      <c r="I918" s="15">
        <f>VLOOKUP(F918,product_info!$A$2:$D$73,4,0)</f>
        <v>7</v>
      </c>
      <c r="J918" s="15" t="str">
        <f>VLOOKUP(I918,department!$A$2:$B$13,2,0)</f>
        <v>Fan Shop</v>
      </c>
      <c r="K918">
        <v>8764</v>
      </c>
      <c r="L918" t="s">
        <v>465</v>
      </c>
      <c r="M918" s="4">
        <v>43500</v>
      </c>
      <c r="N918" s="12">
        <f t="shared" si="43"/>
        <v>2</v>
      </c>
      <c r="O918" s="13">
        <f t="shared" si="44"/>
        <v>2019</v>
      </c>
      <c r="P918" t="s">
        <v>13</v>
      </c>
      <c r="Q918" t="s">
        <v>99</v>
      </c>
      <c r="R918" t="s">
        <v>235</v>
      </c>
      <c r="S918" t="str" cm="1">
        <f t="array" ref="S918">_xlfn.IFS(R918="COMPLETE", "COMPLETED", R918="CANCELED", "CANCELED", TRUE, "PENDING")</f>
        <v>CANCELED</v>
      </c>
      <c r="T918" t="s">
        <v>16</v>
      </c>
      <c r="U918">
        <f>VLOOKUP(A918,ordered_items!$B:$E,4,0)</f>
        <v>49.98</v>
      </c>
    </row>
    <row r="919" spans="1:21" x14ac:dyDescent="0.3">
      <c r="A919">
        <v>27431</v>
      </c>
      <c r="B919" t="s">
        <v>3</v>
      </c>
      <c r="C919">
        <v>2</v>
      </c>
      <c r="D919">
        <v>1</v>
      </c>
      <c r="E919" t="str">
        <f t="shared" si="42"/>
        <v>DELAYED</v>
      </c>
      <c r="F919">
        <f>VLOOKUP($A919,ordered_items!$B$2:$E$4784,2,0)</f>
        <v>1073</v>
      </c>
      <c r="G919">
        <f>VLOOKUP($A919,ordered_items!$B$2:$E$4784,3,0)</f>
        <v>1</v>
      </c>
      <c r="H919">
        <f>VLOOKUP($A919,ordered_items!$B$2:$E$4784,4,0)</f>
        <v>199.99</v>
      </c>
      <c r="I919" s="15">
        <f>VLOOKUP(F919,product_info!$A$2:$D$73,4,0)</f>
        <v>7</v>
      </c>
      <c r="J919" s="15" t="str">
        <f>VLOOKUP(I919,department!$A$2:$B$13,2,0)</f>
        <v>Fan Shop</v>
      </c>
      <c r="K919">
        <v>10679</v>
      </c>
      <c r="L919" t="s">
        <v>465</v>
      </c>
      <c r="M919" s="4">
        <v>43500</v>
      </c>
      <c r="N919" s="12">
        <f t="shared" si="43"/>
        <v>2</v>
      </c>
      <c r="O919" s="13">
        <f t="shared" si="44"/>
        <v>2019</v>
      </c>
      <c r="P919" t="s">
        <v>13</v>
      </c>
      <c r="Q919" t="s">
        <v>99</v>
      </c>
      <c r="R919" t="s">
        <v>14</v>
      </c>
      <c r="S919" t="str" cm="1">
        <f t="array" ref="S919">_xlfn.IFS(R919="COMPLETE", "COMPLETED", R919="CANCELED", "CANCELED", TRUE, "PENDING")</f>
        <v>PENDING</v>
      </c>
      <c r="T919" t="s">
        <v>32</v>
      </c>
      <c r="U919">
        <f>VLOOKUP(A919,ordered_items!$B:$E,4,0)</f>
        <v>199.99</v>
      </c>
    </row>
    <row r="920" spans="1:21" x14ac:dyDescent="0.3">
      <c r="A920">
        <v>27432</v>
      </c>
      <c r="B920" t="s">
        <v>3</v>
      </c>
      <c r="C920">
        <v>2</v>
      </c>
      <c r="D920">
        <v>1</v>
      </c>
      <c r="E920" t="str">
        <f t="shared" si="42"/>
        <v>DELAYED</v>
      </c>
      <c r="F920">
        <f>VLOOKUP($A920,ordered_items!$B$2:$E$4784,2,0)</f>
        <v>1014</v>
      </c>
      <c r="G920">
        <f>VLOOKUP($A920,ordered_items!$B$2:$E$4784,3,0)</f>
        <v>5</v>
      </c>
      <c r="H920">
        <f>VLOOKUP($A920,ordered_items!$B$2:$E$4784,4,0)</f>
        <v>249.9</v>
      </c>
      <c r="I920" s="15">
        <f>VLOOKUP(F920,product_info!$A$2:$D$73,4,0)</f>
        <v>7</v>
      </c>
      <c r="J920" s="15" t="str">
        <f>VLOOKUP(I920,department!$A$2:$B$13,2,0)</f>
        <v>Fan Shop</v>
      </c>
      <c r="K920">
        <v>11766</v>
      </c>
      <c r="L920" t="s">
        <v>465</v>
      </c>
      <c r="M920" s="4">
        <v>43500</v>
      </c>
      <c r="N920" s="12">
        <f t="shared" si="43"/>
        <v>2</v>
      </c>
      <c r="O920" s="13">
        <f t="shared" si="44"/>
        <v>2019</v>
      </c>
      <c r="P920" t="s">
        <v>13</v>
      </c>
      <c r="Q920" t="s">
        <v>99</v>
      </c>
      <c r="R920" t="s">
        <v>14</v>
      </c>
      <c r="S920" t="str" cm="1">
        <f t="array" ref="S920">_xlfn.IFS(R920="COMPLETE", "COMPLETED", R920="CANCELED", "CANCELED", TRUE, "PENDING")</f>
        <v>PENDING</v>
      </c>
      <c r="T920" t="s">
        <v>32</v>
      </c>
      <c r="U920">
        <f>VLOOKUP(A920,ordered_items!$B:$E,4,0)</f>
        <v>249.9</v>
      </c>
    </row>
    <row r="921" spans="1:21" x14ac:dyDescent="0.3">
      <c r="A921">
        <v>27449</v>
      </c>
      <c r="B921" t="s">
        <v>3</v>
      </c>
      <c r="C921">
        <v>5</v>
      </c>
      <c r="D921">
        <v>4</v>
      </c>
      <c r="E921" t="str">
        <f t="shared" si="42"/>
        <v>DELAYED</v>
      </c>
      <c r="F921">
        <f>VLOOKUP($A921,ordered_items!$B$2:$E$4784,2,0)</f>
        <v>365</v>
      </c>
      <c r="G921">
        <f>VLOOKUP($A921,ordered_items!$B$2:$E$4784,3,0)</f>
        <v>5</v>
      </c>
      <c r="H921">
        <f>VLOOKUP($A921,ordered_items!$B$2:$E$4784,4,0)</f>
        <v>299.95</v>
      </c>
      <c r="I921" s="15">
        <f>VLOOKUP(F921,product_info!$A$2:$D$73,4,0)</f>
        <v>4</v>
      </c>
      <c r="J921" s="15" t="str">
        <f>VLOOKUP(I921,department!$A$2:$B$13,2,0)</f>
        <v>Apparel</v>
      </c>
      <c r="K921">
        <v>9973</v>
      </c>
      <c r="L921" t="s">
        <v>1086</v>
      </c>
      <c r="M921" s="4">
        <v>43500</v>
      </c>
      <c r="N921" s="12">
        <f t="shared" si="43"/>
        <v>2</v>
      </c>
      <c r="O921" s="13">
        <f t="shared" si="44"/>
        <v>2019</v>
      </c>
      <c r="P921" t="s">
        <v>13</v>
      </c>
      <c r="Q921" t="s">
        <v>1086</v>
      </c>
      <c r="R921" t="s">
        <v>14</v>
      </c>
      <c r="S921" t="str" cm="1">
        <f t="array" ref="S921">_xlfn.IFS(R921="COMPLETE", "COMPLETED", R921="CANCELED", "CANCELED", TRUE, "PENDING")</f>
        <v>PENDING</v>
      </c>
      <c r="T921" t="s">
        <v>16</v>
      </c>
      <c r="U921">
        <f>VLOOKUP(A921,ordered_items!$B:$E,4,0)</f>
        <v>299.95</v>
      </c>
    </row>
    <row r="922" spans="1:21" x14ac:dyDescent="0.3">
      <c r="A922">
        <v>27450</v>
      </c>
      <c r="B922" t="s">
        <v>3</v>
      </c>
      <c r="C922">
        <v>6</v>
      </c>
      <c r="D922">
        <v>4</v>
      </c>
      <c r="E922" t="str">
        <f t="shared" si="42"/>
        <v>DELAYED</v>
      </c>
      <c r="F922">
        <f>VLOOKUP($A922,ordered_items!$B$2:$E$4784,2,0)</f>
        <v>502</v>
      </c>
      <c r="G922">
        <f>VLOOKUP($A922,ordered_items!$B$2:$E$4784,3,0)</f>
        <v>4</v>
      </c>
      <c r="H922">
        <f>VLOOKUP($A922,ordered_items!$B$2:$E$4784,4,0)</f>
        <v>200</v>
      </c>
      <c r="I922" s="15">
        <f>VLOOKUP(F922,product_info!$A$2:$D$73,4,0)</f>
        <v>5</v>
      </c>
      <c r="J922" s="15" t="str">
        <f>VLOOKUP(I922,department!$A$2:$B$13,2,0)</f>
        <v>Golf</v>
      </c>
      <c r="K922">
        <v>4734</v>
      </c>
      <c r="L922" t="s">
        <v>1086</v>
      </c>
      <c r="M922" s="4">
        <v>43500</v>
      </c>
      <c r="N922" s="12">
        <f t="shared" si="43"/>
        <v>2</v>
      </c>
      <c r="O922" s="13">
        <f t="shared" si="44"/>
        <v>2019</v>
      </c>
      <c r="P922" t="s">
        <v>13</v>
      </c>
      <c r="Q922" t="s">
        <v>1086</v>
      </c>
      <c r="R922" t="s">
        <v>38</v>
      </c>
      <c r="S922" t="str" cm="1">
        <f t="array" ref="S922">_xlfn.IFS(R922="COMPLETE", "COMPLETED", R922="CANCELED", "CANCELED", TRUE, "PENDING")</f>
        <v>PENDING</v>
      </c>
      <c r="T922" t="s">
        <v>16</v>
      </c>
      <c r="U922">
        <f>VLOOKUP(A922,ordered_items!$B:$E,4,0)</f>
        <v>200</v>
      </c>
    </row>
    <row r="923" spans="1:21" x14ac:dyDescent="0.3">
      <c r="A923">
        <v>27451</v>
      </c>
      <c r="B923" t="s">
        <v>51</v>
      </c>
      <c r="C923">
        <v>2</v>
      </c>
      <c r="D923">
        <v>4</v>
      </c>
      <c r="E923" t="str">
        <f t="shared" si="42"/>
        <v xml:space="preserve"> ONTIME</v>
      </c>
      <c r="F923">
        <f>VLOOKUP($A923,ordered_items!$B$2:$E$4784,2,0)</f>
        <v>365</v>
      </c>
      <c r="G923">
        <f>VLOOKUP($A923,ordered_items!$B$2:$E$4784,3,0)</f>
        <v>4</v>
      </c>
      <c r="H923">
        <f>VLOOKUP($A923,ordered_items!$B$2:$E$4784,4,0)</f>
        <v>239.96</v>
      </c>
      <c r="I923" s="15">
        <f>VLOOKUP(F923,product_info!$A$2:$D$73,4,0)</f>
        <v>4</v>
      </c>
      <c r="J923" s="15" t="str">
        <f>VLOOKUP(I923,department!$A$2:$B$13,2,0)</f>
        <v>Apparel</v>
      </c>
      <c r="K923">
        <v>11829</v>
      </c>
      <c r="L923" t="s">
        <v>1086</v>
      </c>
      <c r="M923" s="4">
        <v>43500</v>
      </c>
      <c r="N923" s="12">
        <f t="shared" si="43"/>
        <v>2</v>
      </c>
      <c r="O923" s="13">
        <f t="shared" si="44"/>
        <v>2019</v>
      </c>
      <c r="P923" t="s">
        <v>13</v>
      </c>
      <c r="Q923" t="s">
        <v>1086</v>
      </c>
      <c r="R923" t="s">
        <v>57</v>
      </c>
      <c r="S923" t="str" cm="1">
        <f t="array" ref="S923">_xlfn.IFS(R923="COMPLETE", "COMPLETED", R923="CANCELED", "CANCELED", TRUE, "PENDING")</f>
        <v>PENDING</v>
      </c>
      <c r="T923" t="s">
        <v>16</v>
      </c>
      <c r="U923">
        <f>VLOOKUP(A923,ordered_items!$B:$E,4,0)</f>
        <v>239.96</v>
      </c>
    </row>
    <row r="924" spans="1:21" x14ac:dyDescent="0.3">
      <c r="A924">
        <v>27452</v>
      </c>
      <c r="B924" t="s">
        <v>3</v>
      </c>
      <c r="C924">
        <v>3</v>
      </c>
      <c r="D924">
        <v>4</v>
      </c>
      <c r="E924" t="str">
        <f t="shared" si="42"/>
        <v xml:space="preserve"> ONTIME</v>
      </c>
      <c r="F924">
        <f>VLOOKUP($A924,ordered_items!$B$2:$E$4784,2,0)</f>
        <v>403</v>
      </c>
      <c r="G924">
        <f>VLOOKUP($A924,ordered_items!$B$2:$E$4784,3,0)</f>
        <v>1</v>
      </c>
      <c r="H924">
        <f>VLOOKUP($A924,ordered_items!$B$2:$E$4784,4,0)</f>
        <v>129.99</v>
      </c>
      <c r="I924" s="15">
        <f>VLOOKUP(F924,product_info!$A$2:$D$73,4,0)</f>
        <v>4</v>
      </c>
      <c r="J924" s="15" t="str">
        <f>VLOOKUP(I924,department!$A$2:$B$13,2,0)</f>
        <v>Apparel</v>
      </c>
      <c r="K924">
        <v>2111</v>
      </c>
      <c r="L924" t="s">
        <v>1086</v>
      </c>
      <c r="M924" s="4">
        <v>43500</v>
      </c>
      <c r="N924" s="12">
        <f t="shared" si="43"/>
        <v>2</v>
      </c>
      <c r="O924" s="13">
        <f t="shared" si="44"/>
        <v>2019</v>
      </c>
      <c r="P924" t="s">
        <v>13</v>
      </c>
      <c r="Q924" t="s">
        <v>1086</v>
      </c>
      <c r="R924" t="s">
        <v>38</v>
      </c>
      <c r="S924" t="str" cm="1">
        <f t="array" ref="S924">_xlfn.IFS(R924="COMPLETE", "COMPLETED", R924="CANCELED", "CANCELED", TRUE, "PENDING")</f>
        <v>PENDING</v>
      </c>
      <c r="T924" t="s">
        <v>16</v>
      </c>
      <c r="U924">
        <f>VLOOKUP(A924,ordered_items!$B:$E,4,0)</f>
        <v>129.99</v>
      </c>
    </row>
    <row r="925" spans="1:21" x14ac:dyDescent="0.3">
      <c r="A925">
        <v>27454</v>
      </c>
      <c r="B925" t="s">
        <v>24</v>
      </c>
      <c r="C925">
        <v>2</v>
      </c>
      <c r="D925">
        <v>1</v>
      </c>
      <c r="E925" t="str">
        <f t="shared" si="42"/>
        <v>DELAYED</v>
      </c>
      <c r="F925">
        <f>VLOOKUP($A925,ordered_items!$B$2:$E$4784,2,0)</f>
        <v>403</v>
      </c>
      <c r="G925">
        <f>VLOOKUP($A925,ordered_items!$B$2:$E$4784,3,0)</f>
        <v>1</v>
      </c>
      <c r="H925">
        <f>VLOOKUP($A925,ordered_items!$B$2:$E$4784,4,0)</f>
        <v>129.99</v>
      </c>
      <c r="I925" s="15">
        <f>VLOOKUP(F925,product_info!$A$2:$D$73,4,0)</f>
        <v>4</v>
      </c>
      <c r="J925" s="15" t="str">
        <f>VLOOKUP(I925,department!$A$2:$B$13,2,0)</f>
        <v>Apparel</v>
      </c>
      <c r="K925">
        <v>8262</v>
      </c>
      <c r="L925" t="s">
        <v>244</v>
      </c>
      <c r="M925" s="4">
        <v>43500</v>
      </c>
      <c r="N925" s="12">
        <f t="shared" si="43"/>
        <v>2</v>
      </c>
      <c r="O925" s="13">
        <f t="shared" si="44"/>
        <v>2019</v>
      </c>
      <c r="P925" t="s">
        <v>13</v>
      </c>
      <c r="Q925" t="s">
        <v>245</v>
      </c>
      <c r="R925" t="s">
        <v>31</v>
      </c>
      <c r="S925" t="str" cm="1">
        <f t="array" ref="S925">_xlfn.IFS(R925="COMPLETE", "COMPLETED", R925="CANCELED", "CANCELED", TRUE, "PENDING")</f>
        <v>COMPLETED</v>
      </c>
      <c r="T925" t="s">
        <v>32</v>
      </c>
      <c r="U925">
        <f>VLOOKUP(A925,ordered_items!$B:$E,4,0)</f>
        <v>129.99</v>
      </c>
    </row>
    <row r="926" spans="1:21" x14ac:dyDescent="0.3">
      <c r="A926">
        <v>27462</v>
      </c>
      <c r="B926" t="s">
        <v>51</v>
      </c>
      <c r="C926">
        <v>3</v>
      </c>
      <c r="D926">
        <v>2</v>
      </c>
      <c r="E926" t="str">
        <f t="shared" si="42"/>
        <v>DELAYED</v>
      </c>
      <c r="F926">
        <f>VLOOKUP($A926,ordered_items!$B$2:$E$4784,2,0)</f>
        <v>1073</v>
      </c>
      <c r="G926">
        <f>VLOOKUP($A926,ordered_items!$B$2:$E$4784,3,0)</f>
        <v>1</v>
      </c>
      <c r="H926">
        <f>VLOOKUP($A926,ordered_items!$B$2:$E$4784,4,0)</f>
        <v>199.99</v>
      </c>
      <c r="I926" s="15">
        <f>VLOOKUP(F926,product_info!$A$2:$D$73,4,0)</f>
        <v>7</v>
      </c>
      <c r="J926" s="15" t="str">
        <f>VLOOKUP(I926,department!$A$2:$B$13,2,0)</f>
        <v>Fan Shop</v>
      </c>
      <c r="K926">
        <v>8902</v>
      </c>
      <c r="L926" t="s">
        <v>233</v>
      </c>
      <c r="M926" s="4">
        <v>43500</v>
      </c>
      <c r="N926" s="12">
        <f t="shared" si="43"/>
        <v>2</v>
      </c>
      <c r="O926" s="13">
        <f t="shared" si="44"/>
        <v>2019</v>
      </c>
      <c r="P926" t="s">
        <v>13</v>
      </c>
      <c r="Q926" t="s">
        <v>234</v>
      </c>
      <c r="R926" t="s">
        <v>57</v>
      </c>
      <c r="S926" t="str" cm="1">
        <f t="array" ref="S926">_xlfn.IFS(R926="COMPLETE", "COMPLETED", R926="CANCELED", "CANCELED", TRUE, "PENDING")</f>
        <v>PENDING</v>
      </c>
      <c r="T926" t="s">
        <v>90</v>
      </c>
      <c r="U926">
        <f>VLOOKUP(A926,ordered_items!$B:$E,4,0)</f>
        <v>199.99</v>
      </c>
    </row>
    <row r="927" spans="1:21" x14ac:dyDescent="0.3">
      <c r="A927">
        <v>27464</v>
      </c>
      <c r="B927" t="s">
        <v>24</v>
      </c>
      <c r="C927">
        <v>5</v>
      </c>
      <c r="D927">
        <v>2</v>
      </c>
      <c r="E927" t="str">
        <f t="shared" si="42"/>
        <v>DELAYED</v>
      </c>
      <c r="F927">
        <f>VLOOKUP($A927,ordered_items!$B$2:$E$4784,2,0)</f>
        <v>502</v>
      </c>
      <c r="G927">
        <f>VLOOKUP($A927,ordered_items!$B$2:$E$4784,3,0)</f>
        <v>1</v>
      </c>
      <c r="H927">
        <f>VLOOKUP($A927,ordered_items!$B$2:$E$4784,4,0)</f>
        <v>50</v>
      </c>
      <c r="I927" s="15">
        <f>VLOOKUP(F927,product_info!$A$2:$D$73,4,0)</f>
        <v>5</v>
      </c>
      <c r="J927" s="15" t="str">
        <f>VLOOKUP(I927,department!$A$2:$B$13,2,0)</f>
        <v>Golf</v>
      </c>
      <c r="K927">
        <v>7274</v>
      </c>
      <c r="L927" t="s">
        <v>258</v>
      </c>
      <c r="M927" s="4">
        <v>43500</v>
      </c>
      <c r="N927" s="12">
        <f t="shared" si="43"/>
        <v>2</v>
      </c>
      <c r="O927" s="13">
        <f t="shared" si="44"/>
        <v>2019</v>
      </c>
      <c r="P927" t="s">
        <v>13</v>
      </c>
      <c r="Q927" t="s">
        <v>30</v>
      </c>
      <c r="R927" t="s">
        <v>31</v>
      </c>
      <c r="S927" t="str" cm="1">
        <f t="array" ref="S927">_xlfn.IFS(R927="COMPLETE", "COMPLETED", R927="CANCELED", "CANCELED", TRUE, "PENDING")</f>
        <v>COMPLETED</v>
      </c>
      <c r="T927" t="s">
        <v>90</v>
      </c>
      <c r="U927">
        <f>VLOOKUP(A927,ordered_items!$B:$E,4,0)</f>
        <v>50</v>
      </c>
    </row>
    <row r="928" spans="1:21" x14ac:dyDescent="0.3">
      <c r="A928">
        <v>27480</v>
      </c>
      <c r="B928" t="s">
        <v>3</v>
      </c>
      <c r="C928">
        <v>6</v>
      </c>
      <c r="D928">
        <v>4</v>
      </c>
      <c r="E928" t="str">
        <f t="shared" si="42"/>
        <v>DELAYED</v>
      </c>
      <c r="F928">
        <f>VLOOKUP($A928,ordered_items!$B$2:$E$4784,2,0)</f>
        <v>1073</v>
      </c>
      <c r="G928">
        <f>VLOOKUP($A928,ordered_items!$B$2:$E$4784,3,0)</f>
        <v>1</v>
      </c>
      <c r="H928">
        <f>VLOOKUP($A928,ordered_items!$B$2:$E$4784,4,0)</f>
        <v>199.99</v>
      </c>
      <c r="I928" s="15">
        <f>VLOOKUP(F928,product_info!$A$2:$D$73,4,0)</f>
        <v>7</v>
      </c>
      <c r="J928" s="15" t="str">
        <f>VLOOKUP(I928,department!$A$2:$B$13,2,0)</f>
        <v>Fan Shop</v>
      </c>
      <c r="K928">
        <v>10098</v>
      </c>
      <c r="L928" t="s">
        <v>1181</v>
      </c>
      <c r="M928" s="4">
        <v>43501</v>
      </c>
      <c r="N928" s="12">
        <f t="shared" si="43"/>
        <v>2</v>
      </c>
      <c r="O928" s="13">
        <f t="shared" si="44"/>
        <v>2019</v>
      </c>
      <c r="P928" t="s">
        <v>13</v>
      </c>
      <c r="Q928" t="s">
        <v>377</v>
      </c>
      <c r="R928" t="s">
        <v>38</v>
      </c>
      <c r="S928" t="str" cm="1">
        <f t="array" ref="S928">_xlfn.IFS(R928="COMPLETE", "COMPLETED", R928="CANCELED", "CANCELED", TRUE, "PENDING")</f>
        <v>PENDING</v>
      </c>
      <c r="T928" t="s">
        <v>16</v>
      </c>
      <c r="U928">
        <f>VLOOKUP(A928,ordered_items!$B:$E,4,0)</f>
        <v>199.99</v>
      </c>
    </row>
    <row r="929" spans="1:21" x14ac:dyDescent="0.3">
      <c r="A929">
        <v>27481</v>
      </c>
      <c r="B929" t="s">
        <v>24</v>
      </c>
      <c r="C929">
        <v>2</v>
      </c>
      <c r="D929">
        <v>4</v>
      </c>
      <c r="E929" t="str">
        <f t="shared" si="42"/>
        <v xml:space="preserve"> ONTIME</v>
      </c>
      <c r="F929">
        <f>VLOOKUP($A929,ordered_items!$B$2:$E$4784,2,0)</f>
        <v>191</v>
      </c>
      <c r="G929">
        <f>VLOOKUP($A929,ordered_items!$B$2:$E$4784,3,0)</f>
        <v>1</v>
      </c>
      <c r="H929">
        <f>VLOOKUP($A929,ordered_items!$B$2:$E$4784,4,0)</f>
        <v>99.99</v>
      </c>
      <c r="I929" s="15">
        <f>VLOOKUP(F929,product_info!$A$2:$D$73,4,0)</f>
        <v>3</v>
      </c>
      <c r="J929" s="15" t="str">
        <f>VLOOKUP(I929,department!$A$2:$B$13,2,0)</f>
        <v>Footwear</v>
      </c>
      <c r="K929">
        <v>10573</v>
      </c>
      <c r="L929" t="s">
        <v>1181</v>
      </c>
      <c r="M929" s="4">
        <v>43501</v>
      </c>
      <c r="N929" s="12">
        <f t="shared" si="43"/>
        <v>2</v>
      </c>
      <c r="O929" s="13">
        <f t="shared" si="44"/>
        <v>2019</v>
      </c>
      <c r="P929" t="s">
        <v>13</v>
      </c>
      <c r="Q929" t="s">
        <v>377</v>
      </c>
      <c r="R929" t="s">
        <v>31</v>
      </c>
      <c r="S929" t="str" cm="1">
        <f t="array" ref="S929">_xlfn.IFS(R929="COMPLETE", "COMPLETED", R929="CANCELED", "CANCELED", TRUE, "PENDING")</f>
        <v>COMPLETED</v>
      </c>
      <c r="T929" t="s">
        <v>16</v>
      </c>
      <c r="U929">
        <f>VLOOKUP(A929,ordered_items!$B:$E,4,0)</f>
        <v>99.99</v>
      </c>
    </row>
    <row r="930" spans="1:21" x14ac:dyDescent="0.3">
      <c r="A930">
        <v>27483</v>
      </c>
      <c r="B930" t="s">
        <v>51</v>
      </c>
      <c r="C930">
        <v>4</v>
      </c>
      <c r="D930">
        <v>4</v>
      </c>
      <c r="E930" t="str">
        <f t="shared" si="42"/>
        <v xml:space="preserve"> ONTIME</v>
      </c>
      <c r="F930">
        <f>VLOOKUP($A930,ordered_items!$B$2:$E$4784,2,0)</f>
        <v>957</v>
      </c>
      <c r="G930">
        <f>VLOOKUP($A930,ordered_items!$B$2:$E$4784,3,0)</f>
        <v>1</v>
      </c>
      <c r="H930">
        <f>VLOOKUP($A930,ordered_items!$B$2:$E$4784,4,0)</f>
        <v>299.98</v>
      </c>
      <c r="I930" s="15">
        <f>VLOOKUP(F930,product_info!$A$2:$D$73,4,0)</f>
        <v>7</v>
      </c>
      <c r="J930" s="15" t="str">
        <f>VLOOKUP(I930,department!$A$2:$B$13,2,0)</f>
        <v>Fan Shop</v>
      </c>
      <c r="K930">
        <v>1178</v>
      </c>
      <c r="L930" t="s">
        <v>1181</v>
      </c>
      <c r="M930" s="4">
        <v>43501</v>
      </c>
      <c r="N930" s="12">
        <f t="shared" si="43"/>
        <v>2</v>
      </c>
      <c r="O930" s="13">
        <f t="shared" si="44"/>
        <v>2019</v>
      </c>
      <c r="P930" t="s">
        <v>13</v>
      </c>
      <c r="Q930" t="s">
        <v>377</v>
      </c>
      <c r="R930" t="s">
        <v>57</v>
      </c>
      <c r="S930" t="str" cm="1">
        <f t="array" ref="S930">_xlfn.IFS(R930="COMPLETE", "COMPLETED", R930="CANCELED", "CANCELED", TRUE, "PENDING")</f>
        <v>PENDING</v>
      </c>
      <c r="T930" t="s">
        <v>16</v>
      </c>
      <c r="U930">
        <f>VLOOKUP(A930,ordered_items!$B:$E,4,0)</f>
        <v>299.98</v>
      </c>
    </row>
    <row r="931" spans="1:21" x14ac:dyDescent="0.3">
      <c r="A931">
        <v>27522</v>
      </c>
      <c r="B931" t="s">
        <v>3</v>
      </c>
      <c r="C931">
        <v>3</v>
      </c>
      <c r="D931">
        <v>4</v>
      </c>
      <c r="E931" t="str">
        <f t="shared" si="42"/>
        <v xml:space="preserve"> ONTIME</v>
      </c>
      <c r="F931">
        <f>VLOOKUP($A931,ordered_items!$B$2:$E$4784,2,0)</f>
        <v>1073</v>
      </c>
      <c r="G931">
        <f>VLOOKUP($A931,ordered_items!$B$2:$E$4784,3,0)</f>
        <v>1</v>
      </c>
      <c r="H931">
        <f>VLOOKUP($A931,ordered_items!$B$2:$E$4784,4,0)</f>
        <v>199.99</v>
      </c>
      <c r="I931" s="15">
        <f>VLOOKUP(F931,product_info!$A$2:$D$73,4,0)</f>
        <v>7</v>
      </c>
      <c r="J931" s="15" t="str">
        <f>VLOOKUP(I931,department!$A$2:$B$13,2,0)</f>
        <v>Fan Shop</v>
      </c>
      <c r="K931">
        <v>5917</v>
      </c>
      <c r="L931" t="s">
        <v>537</v>
      </c>
      <c r="M931" s="4">
        <v>43501</v>
      </c>
      <c r="N931" s="12">
        <f t="shared" si="43"/>
        <v>2</v>
      </c>
      <c r="O931" s="13">
        <f t="shared" si="44"/>
        <v>2019</v>
      </c>
      <c r="P931" t="s">
        <v>13</v>
      </c>
      <c r="Q931" t="s">
        <v>538</v>
      </c>
      <c r="R931" t="s">
        <v>178</v>
      </c>
      <c r="S931" t="str" cm="1">
        <f t="array" ref="S931">_xlfn.IFS(R931="COMPLETE", "COMPLETED", R931="CANCELED", "CANCELED", TRUE, "PENDING")</f>
        <v>PENDING</v>
      </c>
      <c r="T931" t="s">
        <v>16</v>
      </c>
      <c r="U931">
        <f>VLOOKUP(A931,ordered_items!$B:$E,4,0)</f>
        <v>199.99</v>
      </c>
    </row>
    <row r="932" spans="1:21" x14ac:dyDescent="0.3">
      <c r="A932">
        <v>27523</v>
      </c>
      <c r="B932" t="s">
        <v>3</v>
      </c>
      <c r="C932">
        <v>4</v>
      </c>
      <c r="D932">
        <v>4</v>
      </c>
      <c r="E932" t="str">
        <f t="shared" si="42"/>
        <v xml:space="preserve"> ONTIME</v>
      </c>
      <c r="F932">
        <f>VLOOKUP($A932,ordered_items!$B$2:$E$4784,2,0)</f>
        <v>365</v>
      </c>
      <c r="G932">
        <f>VLOOKUP($A932,ordered_items!$B$2:$E$4784,3,0)</f>
        <v>1</v>
      </c>
      <c r="H932">
        <f>VLOOKUP($A932,ordered_items!$B$2:$E$4784,4,0)</f>
        <v>59.99</v>
      </c>
      <c r="I932" s="15">
        <f>VLOOKUP(F932,product_info!$A$2:$D$73,4,0)</f>
        <v>4</v>
      </c>
      <c r="J932" s="15" t="str">
        <f>VLOOKUP(I932,department!$A$2:$B$13,2,0)</f>
        <v>Apparel</v>
      </c>
      <c r="K932">
        <v>10511</v>
      </c>
      <c r="L932" t="s">
        <v>537</v>
      </c>
      <c r="M932" s="4">
        <v>43501</v>
      </c>
      <c r="N932" s="12">
        <f t="shared" si="43"/>
        <v>2</v>
      </c>
      <c r="O932" s="13">
        <f t="shared" si="44"/>
        <v>2019</v>
      </c>
      <c r="P932" t="s">
        <v>13</v>
      </c>
      <c r="Q932" t="s">
        <v>538</v>
      </c>
      <c r="R932" t="s">
        <v>14</v>
      </c>
      <c r="S932" t="str" cm="1">
        <f t="array" ref="S932">_xlfn.IFS(R932="COMPLETE", "COMPLETED", R932="CANCELED", "CANCELED", TRUE, "PENDING")</f>
        <v>PENDING</v>
      </c>
      <c r="T932" t="s">
        <v>16</v>
      </c>
      <c r="U932">
        <f>VLOOKUP(A932,ordered_items!$B:$E,4,0)</f>
        <v>59.99</v>
      </c>
    </row>
    <row r="933" spans="1:21" x14ac:dyDescent="0.3">
      <c r="A933">
        <v>27547</v>
      </c>
      <c r="B933" t="s">
        <v>24</v>
      </c>
      <c r="C933">
        <v>3</v>
      </c>
      <c r="D933">
        <v>4</v>
      </c>
      <c r="E933" t="str">
        <f t="shared" si="42"/>
        <v xml:space="preserve"> ONTIME</v>
      </c>
      <c r="F933">
        <f>VLOOKUP($A933,ordered_items!$B$2:$E$4784,2,0)</f>
        <v>957</v>
      </c>
      <c r="G933">
        <f>VLOOKUP($A933,ordered_items!$B$2:$E$4784,3,0)</f>
        <v>1</v>
      </c>
      <c r="H933">
        <f>VLOOKUP($A933,ordered_items!$B$2:$E$4784,4,0)</f>
        <v>299.98</v>
      </c>
      <c r="I933" s="15">
        <f>VLOOKUP(F933,product_info!$A$2:$D$73,4,0)</f>
        <v>7</v>
      </c>
      <c r="J933" s="15" t="str">
        <f>VLOOKUP(I933,department!$A$2:$B$13,2,0)</f>
        <v>Fan Shop</v>
      </c>
      <c r="K933">
        <v>9879</v>
      </c>
      <c r="L933" t="s">
        <v>921</v>
      </c>
      <c r="M933" s="4">
        <v>43502</v>
      </c>
      <c r="N933" s="12">
        <f t="shared" si="43"/>
        <v>2</v>
      </c>
      <c r="O933" s="13">
        <f t="shared" si="44"/>
        <v>2019</v>
      </c>
      <c r="P933" t="s">
        <v>13</v>
      </c>
      <c r="Q933" t="s">
        <v>99</v>
      </c>
      <c r="R933" t="s">
        <v>378</v>
      </c>
      <c r="S933" t="str" cm="1">
        <f t="array" ref="S933">_xlfn.IFS(R933="COMPLETE", "COMPLETED", R933="CANCELED", "CANCELED", TRUE, "PENDING")</f>
        <v>PENDING</v>
      </c>
      <c r="T933" t="s">
        <v>16</v>
      </c>
      <c r="U933">
        <f>VLOOKUP(A933,ordered_items!$B:$E,4,0)</f>
        <v>299.98</v>
      </c>
    </row>
    <row r="934" spans="1:21" x14ac:dyDescent="0.3">
      <c r="A934">
        <v>27548</v>
      </c>
      <c r="B934" t="s">
        <v>17</v>
      </c>
      <c r="C934">
        <v>4</v>
      </c>
      <c r="D934">
        <v>4</v>
      </c>
      <c r="E934" t="str">
        <f t="shared" si="42"/>
        <v xml:space="preserve"> ONTIME</v>
      </c>
      <c r="F934">
        <f>VLOOKUP($A934,ordered_items!$B$2:$E$4784,2,0)</f>
        <v>1004</v>
      </c>
      <c r="G934">
        <f>VLOOKUP($A934,ordered_items!$B$2:$E$4784,3,0)</f>
        <v>1</v>
      </c>
      <c r="H934">
        <f>VLOOKUP($A934,ordered_items!$B$2:$E$4784,4,0)</f>
        <v>399.98</v>
      </c>
      <c r="I934" s="15">
        <f>VLOOKUP(F934,product_info!$A$2:$D$73,4,0)</f>
        <v>7</v>
      </c>
      <c r="J934" s="15" t="str">
        <f>VLOOKUP(I934,department!$A$2:$B$13,2,0)</f>
        <v>Fan Shop</v>
      </c>
      <c r="K934">
        <v>5849</v>
      </c>
      <c r="L934" t="s">
        <v>921</v>
      </c>
      <c r="M934" s="4">
        <v>43502</v>
      </c>
      <c r="N934" s="12">
        <f t="shared" si="43"/>
        <v>2</v>
      </c>
      <c r="O934" s="13">
        <f t="shared" si="44"/>
        <v>2019</v>
      </c>
      <c r="P934" t="s">
        <v>13</v>
      </c>
      <c r="Q934" t="s">
        <v>99</v>
      </c>
      <c r="R934" t="s">
        <v>23</v>
      </c>
      <c r="S934" t="str" cm="1">
        <f t="array" ref="S934">_xlfn.IFS(R934="COMPLETE", "COMPLETED", R934="CANCELED", "CANCELED", TRUE, "PENDING")</f>
        <v>PENDING</v>
      </c>
      <c r="T934" t="s">
        <v>16</v>
      </c>
      <c r="U934">
        <f>VLOOKUP(A934,ordered_items!$B:$E,4,0)</f>
        <v>399.98</v>
      </c>
    </row>
    <row r="935" spans="1:21" x14ac:dyDescent="0.3">
      <c r="A935">
        <v>27549</v>
      </c>
      <c r="B935" t="s">
        <v>3</v>
      </c>
      <c r="C935">
        <v>5</v>
      </c>
      <c r="D935">
        <v>4</v>
      </c>
      <c r="E935" t="str">
        <f t="shared" si="42"/>
        <v>DELAYED</v>
      </c>
      <c r="F935">
        <f>VLOOKUP($A935,ordered_items!$B$2:$E$4784,2,0)</f>
        <v>1004</v>
      </c>
      <c r="G935">
        <f>VLOOKUP($A935,ordered_items!$B$2:$E$4784,3,0)</f>
        <v>1</v>
      </c>
      <c r="H935">
        <f>VLOOKUP($A935,ordered_items!$B$2:$E$4784,4,0)</f>
        <v>399.98</v>
      </c>
      <c r="I935" s="15">
        <f>VLOOKUP(F935,product_info!$A$2:$D$73,4,0)</f>
        <v>7</v>
      </c>
      <c r="J935" s="15" t="str">
        <f>VLOOKUP(I935,department!$A$2:$B$13,2,0)</f>
        <v>Fan Shop</v>
      </c>
      <c r="K935">
        <v>7302</v>
      </c>
      <c r="L935" t="s">
        <v>439</v>
      </c>
      <c r="M935" s="4">
        <v>43502</v>
      </c>
      <c r="N935" s="12">
        <f t="shared" si="43"/>
        <v>2</v>
      </c>
      <c r="O935" s="13">
        <f t="shared" si="44"/>
        <v>2019</v>
      </c>
      <c r="P935" t="s">
        <v>13</v>
      </c>
      <c r="Q935" t="s">
        <v>377</v>
      </c>
      <c r="R935" t="s">
        <v>14</v>
      </c>
      <c r="S935" t="str" cm="1">
        <f t="array" ref="S935">_xlfn.IFS(R935="COMPLETE", "COMPLETED", R935="CANCELED", "CANCELED", TRUE, "PENDING")</f>
        <v>PENDING</v>
      </c>
      <c r="T935" t="s">
        <v>16</v>
      </c>
      <c r="U935">
        <f>VLOOKUP(A935,ordered_items!$B:$E,4,0)</f>
        <v>399.98</v>
      </c>
    </row>
    <row r="936" spans="1:21" x14ac:dyDescent="0.3">
      <c r="A936">
        <v>27550</v>
      </c>
      <c r="B936" t="s">
        <v>24</v>
      </c>
      <c r="C936">
        <v>6</v>
      </c>
      <c r="D936">
        <v>4</v>
      </c>
      <c r="E936" t="str">
        <f t="shared" si="42"/>
        <v>DELAYED</v>
      </c>
      <c r="F936">
        <f>VLOOKUP($A936,ordered_items!$B$2:$E$4784,2,0)</f>
        <v>403</v>
      </c>
      <c r="G936">
        <f>VLOOKUP($A936,ordered_items!$B$2:$E$4784,3,0)</f>
        <v>1</v>
      </c>
      <c r="H936">
        <f>VLOOKUP($A936,ordered_items!$B$2:$E$4784,4,0)</f>
        <v>129.99</v>
      </c>
      <c r="I936" s="15">
        <f>VLOOKUP(F936,product_info!$A$2:$D$73,4,0)</f>
        <v>4</v>
      </c>
      <c r="J936" s="15" t="str">
        <f>VLOOKUP(I936,department!$A$2:$B$13,2,0)</f>
        <v>Apparel</v>
      </c>
      <c r="K936">
        <v>9559</v>
      </c>
      <c r="L936" t="s">
        <v>124</v>
      </c>
      <c r="M936" s="4">
        <v>43502</v>
      </c>
      <c r="N936" s="12">
        <f t="shared" si="43"/>
        <v>2</v>
      </c>
      <c r="O936" s="13">
        <f t="shared" si="44"/>
        <v>2019</v>
      </c>
      <c r="P936" t="s">
        <v>13</v>
      </c>
      <c r="Q936" t="s">
        <v>5778</v>
      </c>
      <c r="R936" t="s">
        <v>31</v>
      </c>
      <c r="S936" t="str" cm="1">
        <f t="array" ref="S936">_xlfn.IFS(R936="COMPLETE", "COMPLETED", R936="CANCELED", "CANCELED", TRUE, "PENDING")</f>
        <v>COMPLETED</v>
      </c>
      <c r="T936" t="s">
        <v>16</v>
      </c>
      <c r="U936">
        <f>VLOOKUP(A936,ordered_items!$B:$E,4,0)</f>
        <v>129.99</v>
      </c>
    </row>
    <row r="937" spans="1:21" x14ac:dyDescent="0.3">
      <c r="A937">
        <v>27551</v>
      </c>
      <c r="B937" t="s">
        <v>17</v>
      </c>
      <c r="C937">
        <v>2</v>
      </c>
      <c r="D937">
        <v>1</v>
      </c>
      <c r="E937" t="str">
        <f t="shared" si="42"/>
        <v>DELAYED</v>
      </c>
      <c r="F937">
        <f>VLOOKUP($A937,ordered_items!$B$2:$E$4784,2,0)</f>
        <v>1014</v>
      </c>
      <c r="G937">
        <f>VLOOKUP($A937,ordered_items!$B$2:$E$4784,3,0)</f>
        <v>5</v>
      </c>
      <c r="H937">
        <f>VLOOKUP($A937,ordered_items!$B$2:$E$4784,4,0)</f>
        <v>249.9</v>
      </c>
      <c r="I937" s="15">
        <f>VLOOKUP(F937,product_info!$A$2:$D$73,4,0)</f>
        <v>7</v>
      </c>
      <c r="J937" s="15" t="str">
        <f>VLOOKUP(I937,department!$A$2:$B$13,2,0)</f>
        <v>Fan Shop</v>
      </c>
      <c r="K937">
        <v>8299</v>
      </c>
      <c r="L937" t="s">
        <v>124</v>
      </c>
      <c r="M937" s="4">
        <v>43502</v>
      </c>
      <c r="N937" s="12">
        <f t="shared" si="43"/>
        <v>2</v>
      </c>
      <c r="O937" s="13">
        <f t="shared" si="44"/>
        <v>2019</v>
      </c>
      <c r="P937" t="s">
        <v>13</v>
      </c>
      <c r="Q937" t="s">
        <v>5778</v>
      </c>
      <c r="R937" t="s">
        <v>23</v>
      </c>
      <c r="S937" t="str" cm="1">
        <f t="array" ref="S937">_xlfn.IFS(R937="COMPLETE", "COMPLETED", R937="CANCELED", "CANCELED", TRUE, "PENDING")</f>
        <v>PENDING</v>
      </c>
      <c r="T937" t="s">
        <v>32</v>
      </c>
      <c r="U937">
        <f>VLOOKUP(A937,ordered_items!$B:$E,4,0)</f>
        <v>249.9</v>
      </c>
    </row>
    <row r="938" spans="1:21" x14ac:dyDescent="0.3">
      <c r="A938">
        <v>27552</v>
      </c>
      <c r="B938" t="s">
        <v>24</v>
      </c>
      <c r="C938">
        <v>3</v>
      </c>
      <c r="D938">
        <v>4</v>
      </c>
      <c r="E938" t="str">
        <f t="shared" si="42"/>
        <v xml:space="preserve"> ONTIME</v>
      </c>
      <c r="F938">
        <f>VLOOKUP($A938,ordered_items!$B$2:$E$4784,2,0)</f>
        <v>365</v>
      </c>
      <c r="G938">
        <f>VLOOKUP($A938,ordered_items!$B$2:$E$4784,3,0)</f>
        <v>5</v>
      </c>
      <c r="H938">
        <f>VLOOKUP($A938,ordered_items!$B$2:$E$4784,4,0)</f>
        <v>299.95</v>
      </c>
      <c r="I938" s="15">
        <f>VLOOKUP(F938,product_info!$A$2:$D$73,4,0)</f>
        <v>4</v>
      </c>
      <c r="J938" s="15" t="str">
        <f>VLOOKUP(I938,department!$A$2:$B$13,2,0)</f>
        <v>Apparel</v>
      </c>
      <c r="K938">
        <v>5073</v>
      </c>
      <c r="L938" t="s">
        <v>275</v>
      </c>
      <c r="M938" s="4">
        <v>43502</v>
      </c>
      <c r="N938" s="12">
        <f t="shared" si="43"/>
        <v>2</v>
      </c>
      <c r="O938" s="13">
        <f t="shared" si="44"/>
        <v>2019</v>
      </c>
      <c r="P938" t="s">
        <v>13</v>
      </c>
      <c r="Q938" t="s">
        <v>80</v>
      </c>
      <c r="R938" t="s">
        <v>378</v>
      </c>
      <c r="S938" t="str" cm="1">
        <f t="array" ref="S938">_xlfn.IFS(R938="COMPLETE", "COMPLETED", R938="CANCELED", "CANCELED", TRUE, "PENDING")</f>
        <v>PENDING</v>
      </c>
      <c r="T938" t="s">
        <v>16</v>
      </c>
      <c r="U938">
        <f>VLOOKUP(A938,ordered_items!$B:$E,4,0)</f>
        <v>299.95</v>
      </c>
    </row>
    <row r="939" spans="1:21" x14ac:dyDescent="0.3">
      <c r="A939">
        <v>27553</v>
      </c>
      <c r="B939" t="s">
        <v>51</v>
      </c>
      <c r="C939">
        <v>4</v>
      </c>
      <c r="D939">
        <v>4</v>
      </c>
      <c r="E939" t="str">
        <f t="shared" si="42"/>
        <v xml:space="preserve"> ONTIME</v>
      </c>
      <c r="F939">
        <f>VLOOKUP($A939,ordered_items!$B$2:$E$4784,2,0)</f>
        <v>403</v>
      </c>
      <c r="G939">
        <f>VLOOKUP($A939,ordered_items!$B$2:$E$4784,3,0)</f>
        <v>1</v>
      </c>
      <c r="H939">
        <f>VLOOKUP($A939,ordered_items!$B$2:$E$4784,4,0)</f>
        <v>129.99</v>
      </c>
      <c r="I939" s="15">
        <f>VLOOKUP(F939,product_info!$A$2:$D$73,4,0)</f>
        <v>4</v>
      </c>
      <c r="J939" s="15" t="str">
        <f>VLOOKUP(I939,department!$A$2:$B$13,2,0)</f>
        <v>Apparel</v>
      </c>
      <c r="K939">
        <v>4560</v>
      </c>
      <c r="L939" t="s">
        <v>275</v>
      </c>
      <c r="M939" s="4">
        <v>43502</v>
      </c>
      <c r="N939" s="12">
        <f t="shared" si="43"/>
        <v>2</v>
      </c>
      <c r="O939" s="13">
        <f t="shared" si="44"/>
        <v>2019</v>
      </c>
      <c r="P939" t="s">
        <v>13</v>
      </c>
      <c r="Q939" t="s">
        <v>80</v>
      </c>
      <c r="R939" t="s">
        <v>57</v>
      </c>
      <c r="S939" t="str" cm="1">
        <f t="array" ref="S939">_xlfn.IFS(R939="COMPLETE", "COMPLETED", R939="CANCELED", "CANCELED", TRUE, "PENDING")</f>
        <v>PENDING</v>
      </c>
      <c r="T939" t="s">
        <v>16</v>
      </c>
      <c r="U939">
        <f>VLOOKUP(A939,ordered_items!$B:$E,4,0)</f>
        <v>129.99</v>
      </c>
    </row>
    <row r="940" spans="1:21" x14ac:dyDescent="0.3">
      <c r="A940">
        <v>27554</v>
      </c>
      <c r="B940" t="s">
        <v>17</v>
      </c>
      <c r="C940">
        <v>5</v>
      </c>
      <c r="D940">
        <v>4</v>
      </c>
      <c r="E940" t="str">
        <f t="shared" si="42"/>
        <v>DELAYED</v>
      </c>
      <c r="F940">
        <f>VLOOKUP($A940,ordered_items!$B$2:$E$4784,2,0)</f>
        <v>403</v>
      </c>
      <c r="G940">
        <f>VLOOKUP($A940,ordered_items!$B$2:$E$4784,3,0)</f>
        <v>1</v>
      </c>
      <c r="H940">
        <f>VLOOKUP($A940,ordered_items!$B$2:$E$4784,4,0)</f>
        <v>129.99</v>
      </c>
      <c r="I940" s="15">
        <f>VLOOKUP(F940,product_info!$A$2:$D$73,4,0)</f>
        <v>4</v>
      </c>
      <c r="J940" s="15" t="str">
        <f>VLOOKUP(I940,department!$A$2:$B$13,2,0)</f>
        <v>Apparel</v>
      </c>
      <c r="K940">
        <v>8584</v>
      </c>
      <c r="L940" t="s">
        <v>1040</v>
      </c>
      <c r="M940" s="4">
        <v>43502</v>
      </c>
      <c r="N940" s="12">
        <f t="shared" si="43"/>
        <v>2</v>
      </c>
      <c r="O940" s="13">
        <f t="shared" si="44"/>
        <v>2019</v>
      </c>
      <c r="P940" t="s">
        <v>13</v>
      </c>
      <c r="Q940" t="s">
        <v>377</v>
      </c>
      <c r="R940" t="s">
        <v>23</v>
      </c>
      <c r="S940" t="str" cm="1">
        <f t="array" ref="S940">_xlfn.IFS(R940="COMPLETE", "COMPLETED", R940="CANCELED", "CANCELED", TRUE, "PENDING")</f>
        <v>PENDING</v>
      </c>
      <c r="T940" t="s">
        <v>16</v>
      </c>
      <c r="U940">
        <f>VLOOKUP(A940,ordered_items!$B:$E,4,0)</f>
        <v>129.99</v>
      </c>
    </row>
    <row r="941" spans="1:21" x14ac:dyDescent="0.3">
      <c r="A941">
        <v>27558</v>
      </c>
      <c r="B941" t="s">
        <v>24</v>
      </c>
      <c r="C941">
        <v>4</v>
      </c>
      <c r="D941">
        <v>4</v>
      </c>
      <c r="E941" t="str">
        <f t="shared" si="42"/>
        <v xml:space="preserve"> ONTIME</v>
      </c>
      <c r="F941">
        <f>VLOOKUP($A941,ordered_items!$B$2:$E$4784,2,0)</f>
        <v>403</v>
      </c>
      <c r="G941">
        <f>VLOOKUP($A941,ordered_items!$B$2:$E$4784,3,0)</f>
        <v>1</v>
      </c>
      <c r="H941">
        <f>VLOOKUP($A941,ordered_items!$B$2:$E$4784,4,0)</f>
        <v>129.99</v>
      </c>
      <c r="I941" s="15">
        <f>VLOOKUP(F941,product_info!$A$2:$D$73,4,0)</f>
        <v>4</v>
      </c>
      <c r="J941" s="15" t="str">
        <f>VLOOKUP(I941,department!$A$2:$B$13,2,0)</f>
        <v>Apparel</v>
      </c>
      <c r="K941">
        <v>10308</v>
      </c>
      <c r="L941" t="s">
        <v>1349</v>
      </c>
      <c r="M941" s="4">
        <v>43502</v>
      </c>
      <c r="N941" s="12">
        <f t="shared" si="43"/>
        <v>2</v>
      </c>
      <c r="O941" s="13">
        <f t="shared" si="44"/>
        <v>2019</v>
      </c>
      <c r="P941" t="s">
        <v>13</v>
      </c>
      <c r="Q941" t="s">
        <v>203</v>
      </c>
      <c r="R941" t="s">
        <v>31</v>
      </c>
      <c r="S941" t="str" cm="1">
        <f t="array" ref="S941">_xlfn.IFS(R941="COMPLETE", "COMPLETED", R941="CANCELED", "CANCELED", TRUE, "PENDING")</f>
        <v>COMPLETED</v>
      </c>
      <c r="T941" t="s">
        <v>16</v>
      </c>
      <c r="U941">
        <f>VLOOKUP(A941,ordered_items!$B:$E,4,0)</f>
        <v>129.99</v>
      </c>
    </row>
    <row r="942" spans="1:21" x14ac:dyDescent="0.3">
      <c r="A942">
        <v>27571</v>
      </c>
      <c r="B942" t="s">
        <v>17</v>
      </c>
      <c r="C942">
        <v>2</v>
      </c>
      <c r="D942">
        <v>4</v>
      </c>
      <c r="E942" t="str">
        <f t="shared" si="42"/>
        <v xml:space="preserve"> ONTIME</v>
      </c>
      <c r="F942">
        <f>VLOOKUP($A942,ordered_items!$B$2:$E$4784,2,0)</f>
        <v>403</v>
      </c>
      <c r="G942">
        <f>VLOOKUP($A942,ordered_items!$B$2:$E$4784,3,0)</f>
        <v>1</v>
      </c>
      <c r="H942">
        <f>VLOOKUP($A942,ordered_items!$B$2:$E$4784,4,0)</f>
        <v>129.99</v>
      </c>
      <c r="I942" s="15">
        <f>VLOOKUP(F942,product_info!$A$2:$D$73,4,0)</f>
        <v>4</v>
      </c>
      <c r="J942" s="15" t="str">
        <f>VLOOKUP(I942,department!$A$2:$B$13,2,0)</f>
        <v>Apparel</v>
      </c>
      <c r="K942">
        <v>2882</v>
      </c>
      <c r="L942" t="s">
        <v>783</v>
      </c>
      <c r="M942" s="4">
        <v>43502</v>
      </c>
      <c r="N942" s="12">
        <f t="shared" si="43"/>
        <v>2</v>
      </c>
      <c r="O942" s="13">
        <f t="shared" si="44"/>
        <v>2019</v>
      </c>
      <c r="P942" t="s">
        <v>13</v>
      </c>
      <c r="Q942" t="s">
        <v>30</v>
      </c>
      <c r="R942" t="s">
        <v>23</v>
      </c>
      <c r="S942" t="str" cm="1">
        <f t="array" ref="S942">_xlfn.IFS(R942="COMPLETE", "COMPLETED", R942="CANCELED", "CANCELED", TRUE, "PENDING")</f>
        <v>PENDING</v>
      </c>
      <c r="T942" t="s">
        <v>16</v>
      </c>
      <c r="U942">
        <f>VLOOKUP(A942,ordered_items!$B:$E,4,0)</f>
        <v>129.99</v>
      </c>
    </row>
    <row r="943" spans="1:21" x14ac:dyDescent="0.3">
      <c r="A943">
        <v>27577</v>
      </c>
      <c r="B943" t="s">
        <v>51</v>
      </c>
      <c r="C943">
        <v>2</v>
      </c>
      <c r="D943">
        <v>1</v>
      </c>
      <c r="E943" t="str">
        <f t="shared" si="42"/>
        <v>DELAYED</v>
      </c>
      <c r="F943">
        <f>VLOOKUP($A943,ordered_items!$B$2:$E$4784,2,0)</f>
        <v>1014</v>
      </c>
      <c r="G943">
        <f>VLOOKUP($A943,ordered_items!$B$2:$E$4784,3,0)</f>
        <v>2</v>
      </c>
      <c r="H943">
        <f>VLOOKUP($A943,ordered_items!$B$2:$E$4784,4,0)</f>
        <v>99.96</v>
      </c>
      <c r="I943" s="15">
        <f>VLOOKUP(F943,product_info!$A$2:$D$73,4,0)</f>
        <v>7</v>
      </c>
      <c r="J943" s="15" t="str">
        <f>VLOOKUP(I943,department!$A$2:$B$13,2,0)</f>
        <v>Fan Shop</v>
      </c>
      <c r="K943">
        <v>10544</v>
      </c>
      <c r="L943" t="s">
        <v>258</v>
      </c>
      <c r="M943" s="4">
        <v>43502</v>
      </c>
      <c r="N943" s="12">
        <f t="shared" si="43"/>
        <v>2</v>
      </c>
      <c r="O943" s="13">
        <f t="shared" si="44"/>
        <v>2019</v>
      </c>
      <c r="P943" t="s">
        <v>13</v>
      </c>
      <c r="Q943" t="s">
        <v>30</v>
      </c>
      <c r="R943" t="s">
        <v>57</v>
      </c>
      <c r="S943" t="str" cm="1">
        <f t="array" ref="S943">_xlfn.IFS(R943="COMPLETE", "COMPLETED", R943="CANCELED", "CANCELED", TRUE, "PENDING")</f>
        <v>PENDING</v>
      </c>
      <c r="T943" t="s">
        <v>32</v>
      </c>
      <c r="U943">
        <f>VLOOKUP(A943,ordered_items!$B:$E,4,0)</f>
        <v>99.96</v>
      </c>
    </row>
    <row r="944" spans="1:21" x14ac:dyDescent="0.3">
      <c r="A944">
        <v>27578</v>
      </c>
      <c r="B944" t="s">
        <v>51</v>
      </c>
      <c r="C944">
        <v>2</v>
      </c>
      <c r="D944">
        <v>1</v>
      </c>
      <c r="E944" t="str">
        <f t="shared" si="42"/>
        <v>DELAYED</v>
      </c>
      <c r="F944">
        <f>VLOOKUP($A944,ordered_items!$B$2:$E$4784,2,0)</f>
        <v>502</v>
      </c>
      <c r="G944">
        <f>VLOOKUP($A944,ordered_items!$B$2:$E$4784,3,0)</f>
        <v>2</v>
      </c>
      <c r="H944">
        <f>VLOOKUP($A944,ordered_items!$B$2:$E$4784,4,0)</f>
        <v>100</v>
      </c>
      <c r="I944" s="15">
        <f>VLOOKUP(F944,product_info!$A$2:$D$73,4,0)</f>
        <v>5</v>
      </c>
      <c r="J944" s="15" t="str">
        <f>VLOOKUP(I944,department!$A$2:$B$13,2,0)</f>
        <v>Golf</v>
      </c>
      <c r="K944">
        <v>2352</v>
      </c>
      <c r="L944" t="s">
        <v>275</v>
      </c>
      <c r="M944" s="4">
        <v>43502</v>
      </c>
      <c r="N944" s="12">
        <f t="shared" si="43"/>
        <v>2</v>
      </c>
      <c r="O944" s="13">
        <f t="shared" si="44"/>
        <v>2019</v>
      </c>
      <c r="P944" t="s">
        <v>13</v>
      </c>
      <c r="Q944" t="s">
        <v>80</v>
      </c>
      <c r="R944" t="s">
        <v>57</v>
      </c>
      <c r="S944" t="str" cm="1">
        <f t="array" ref="S944">_xlfn.IFS(R944="COMPLETE", "COMPLETED", R944="CANCELED", "CANCELED", TRUE, "PENDING")</f>
        <v>PENDING</v>
      </c>
      <c r="T944" t="s">
        <v>32</v>
      </c>
      <c r="U944">
        <f>VLOOKUP(A944,ordered_items!$B:$E,4,0)</f>
        <v>100</v>
      </c>
    </row>
    <row r="945" spans="1:21" x14ac:dyDescent="0.3">
      <c r="A945">
        <v>27609</v>
      </c>
      <c r="B945" t="s">
        <v>17</v>
      </c>
      <c r="C945">
        <v>5</v>
      </c>
      <c r="D945">
        <v>4</v>
      </c>
      <c r="E945" t="str">
        <f t="shared" si="42"/>
        <v>DELAYED</v>
      </c>
      <c r="F945">
        <f>VLOOKUP($A945,ordered_items!$B$2:$E$4784,2,0)</f>
        <v>502</v>
      </c>
      <c r="G945">
        <f>VLOOKUP($A945,ordered_items!$B$2:$E$4784,3,0)</f>
        <v>2</v>
      </c>
      <c r="H945">
        <f>VLOOKUP($A945,ordered_items!$B$2:$E$4784,4,0)</f>
        <v>100</v>
      </c>
      <c r="I945" s="15">
        <f>VLOOKUP(F945,product_info!$A$2:$D$73,4,0)</f>
        <v>5</v>
      </c>
      <c r="J945" s="15" t="str">
        <f>VLOOKUP(I945,department!$A$2:$B$13,2,0)</f>
        <v>Golf</v>
      </c>
      <c r="K945">
        <v>8845</v>
      </c>
      <c r="L945" t="s">
        <v>226</v>
      </c>
      <c r="M945" s="4">
        <v>43503</v>
      </c>
      <c r="N945" s="12">
        <f t="shared" si="43"/>
        <v>2</v>
      </c>
      <c r="O945" s="13">
        <f t="shared" si="44"/>
        <v>2019</v>
      </c>
      <c r="P945" t="s">
        <v>13</v>
      </c>
      <c r="Q945" t="s">
        <v>30</v>
      </c>
      <c r="R945" t="s">
        <v>23</v>
      </c>
      <c r="S945" t="str" cm="1">
        <f t="array" ref="S945">_xlfn.IFS(R945="COMPLETE", "COMPLETED", R945="CANCELED", "CANCELED", TRUE, "PENDING")</f>
        <v>PENDING</v>
      </c>
      <c r="T945" t="s">
        <v>16</v>
      </c>
      <c r="U945">
        <f>VLOOKUP(A945,ordered_items!$B:$E,4,0)</f>
        <v>100</v>
      </c>
    </row>
    <row r="946" spans="1:21" x14ac:dyDescent="0.3">
      <c r="A946">
        <v>27610</v>
      </c>
      <c r="B946" t="s">
        <v>24</v>
      </c>
      <c r="C946">
        <v>6</v>
      </c>
      <c r="D946">
        <v>4</v>
      </c>
      <c r="E946" t="str">
        <f t="shared" si="42"/>
        <v>DELAYED</v>
      </c>
      <c r="F946">
        <f>VLOOKUP($A946,ordered_items!$B$2:$E$4784,2,0)</f>
        <v>403</v>
      </c>
      <c r="G946">
        <f>VLOOKUP($A946,ordered_items!$B$2:$E$4784,3,0)</f>
        <v>1</v>
      </c>
      <c r="H946">
        <f>VLOOKUP($A946,ordered_items!$B$2:$E$4784,4,0)</f>
        <v>129.99</v>
      </c>
      <c r="I946" s="15">
        <f>VLOOKUP(F946,product_info!$A$2:$D$73,4,0)</f>
        <v>4</v>
      </c>
      <c r="J946" s="15" t="str">
        <f>VLOOKUP(I946,department!$A$2:$B$13,2,0)</f>
        <v>Apparel</v>
      </c>
      <c r="K946">
        <v>8758</v>
      </c>
      <c r="L946" t="s">
        <v>226</v>
      </c>
      <c r="M946" s="4">
        <v>43503</v>
      </c>
      <c r="N946" s="12">
        <f t="shared" si="43"/>
        <v>2</v>
      </c>
      <c r="O946" s="13">
        <f t="shared" si="44"/>
        <v>2019</v>
      </c>
      <c r="P946" t="s">
        <v>13</v>
      </c>
      <c r="Q946" t="s">
        <v>30</v>
      </c>
      <c r="R946" t="s">
        <v>378</v>
      </c>
      <c r="S946" t="str" cm="1">
        <f t="array" ref="S946">_xlfn.IFS(R946="COMPLETE", "COMPLETED", R946="CANCELED", "CANCELED", TRUE, "PENDING")</f>
        <v>PENDING</v>
      </c>
      <c r="T946" t="s">
        <v>16</v>
      </c>
      <c r="U946">
        <f>VLOOKUP(A946,ordered_items!$B:$E,4,0)</f>
        <v>129.99</v>
      </c>
    </row>
    <row r="947" spans="1:21" x14ac:dyDescent="0.3">
      <c r="A947">
        <v>27617</v>
      </c>
      <c r="B947" t="s">
        <v>17</v>
      </c>
      <c r="C947">
        <v>3</v>
      </c>
      <c r="D947">
        <v>4</v>
      </c>
      <c r="E947" t="str">
        <f t="shared" si="42"/>
        <v xml:space="preserve"> ONTIME</v>
      </c>
      <c r="F947">
        <f>VLOOKUP($A947,ordered_items!$B$2:$E$4784,2,0)</f>
        <v>1073</v>
      </c>
      <c r="G947">
        <f>VLOOKUP($A947,ordered_items!$B$2:$E$4784,3,0)</f>
        <v>1</v>
      </c>
      <c r="H947">
        <f>VLOOKUP($A947,ordered_items!$B$2:$E$4784,4,0)</f>
        <v>199.99</v>
      </c>
      <c r="I947" s="15">
        <f>VLOOKUP(F947,product_info!$A$2:$D$73,4,0)</f>
        <v>7</v>
      </c>
      <c r="J947" s="15" t="str">
        <f>VLOOKUP(I947,department!$A$2:$B$13,2,0)</f>
        <v>Fan Shop</v>
      </c>
      <c r="K947">
        <v>626</v>
      </c>
      <c r="L947" t="s">
        <v>764</v>
      </c>
      <c r="M947" s="4">
        <v>43503</v>
      </c>
      <c r="N947" s="12">
        <f t="shared" si="43"/>
        <v>2</v>
      </c>
      <c r="O947" s="13">
        <f t="shared" si="44"/>
        <v>2019</v>
      </c>
      <c r="P947" t="s">
        <v>13</v>
      </c>
      <c r="Q947" t="s">
        <v>30</v>
      </c>
      <c r="R947" t="s">
        <v>23</v>
      </c>
      <c r="S947" t="str" cm="1">
        <f t="array" ref="S947">_xlfn.IFS(R947="COMPLETE", "COMPLETED", R947="CANCELED", "CANCELED", TRUE, "PENDING")</f>
        <v>PENDING</v>
      </c>
      <c r="T947" t="s">
        <v>16</v>
      </c>
      <c r="U947">
        <f>VLOOKUP(A947,ordered_items!$B:$E,4,0)</f>
        <v>199.99</v>
      </c>
    </row>
    <row r="948" spans="1:21" x14ac:dyDescent="0.3">
      <c r="A948">
        <v>27618</v>
      </c>
      <c r="B948" t="s">
        <v>3</v>
      </c>
      <c r="C948">
        <v>4</v>
      </c>
      <c r="D948">
        <v>4</v>
      </c>
      <c r="E948" t="str">
        <f t="shared" si="42"/>
        <v xml:space="preserve"> ONTIME</v>
      </c>
      <c r="F948">
        <f>VLOOKUP($A948,ordered_items!$B$2:$E$4784,2,0)</f>
        <v>957</v>
      </c>
      <c r="G948">
        <f>VLOOKUP($A948,ordered_items!$B$2:$E$4784,3,0)</f>
        <v>1</v>
      </c>
      <c r="H948">
        <f>VLOOKUP($A948,ordered_items!$B$2:$E$4784,4,0)</f>
        <v>299.98</v>
      </c>
      <c r="I948" s="15">
        <f>VLOOKUP(F948,product_info!$A$2:$D$73,4,0)</f>
        <v>7</v>
      </c>
      <c r="J948" s="15" t="str">
        <f>VLOOKUP(I948,department!$A$2:$B$13,2,0)</f>
        <v>Fan Shop</v>
      </c>
      <c r="K948">
        <v>6968</v>
      </c>
      <c r="L948" t="s">
        <v>764</v>
      </c>
      <c r="M948" s="4">
        <v>43503</v>
      </c>
      <c r="N948" s="12">
        <f t="shared" si="43"/>
        <v>2</v>
      </c>
      <c r="O948" s="13">
        <f t="shared" si="44"/>
        <v>2019</v>
      </c>
      <c r="P948" t="s">
        <v>13</v>
      </c>
      <c r="Q948" t="s">
        <v>30</v>
      </c>
      <c r="R948" t="s">
        <v>178</v>
      </c>
      <c r="S948" t="str" cm="1">
        <f t="array" ref="S948">_xlfn.IFS(R948="COMPLETE", "COMPLETED", R948="CANCELED", "CANCELED", TRUE, "PENDING")</f>
        <v>PENDING</v>
      </c>
      <c r="T948" t="s">
        <v>16</v>
      </c>
      <c r="U948">
        <f>VLOOKUP(A948,ordered_items!$B:$E,4,0)</f>
        <v>299.98</v>
      </c>
    </row>
    <row r="949" spans="1:21" x14ac:dyDescent="0.3">
      <c r="A949">
        <v>27619</v>
      </c>
      <c r="B949" t="s">
        <v>24</v>
      </c>
      <c r="C949">
        <v>5</v>
      </c>
      <c r="D949">
        <v>4</v>
      </c>
      <c r="E949" t="str">
        <f t="shared" si="42"/>
        <v>DELAYED</v>
      </c>
      <c r="F949">
        <f>VLOOKUP($A949,ordered_items!$B$2:$E$4784,2,0)</f>
        <v>502</v>
      </c>
      <c r="G949">
        <f>VLOOKUP($A949,ordered_items!$B$2:$E$4784,3,0)</f>
        <v>3</v>
      </c>
      <c r="H949">
        <f>VLOOKUP($A949,ordered_items!$B$2:$E$4784,4,0)</f>
        <v>150</v>
      </c>
      <c r="I949" s="15">
        <f>VLOOKUP(F949,product_info!$A$2:$D$73,4,0)</f>
        <v>5</v>
      </c>
      <c r="J949" s="15" t="str">
        <f>VLOOKUP(I949,department!$A$2:$B$13,2,0)</f>
        <v>Golf</v>
      </c>
      <c r="K949">
        <v>10977</v>
      </c>
      <c r="L949" t="s">
        <v>764</v>
      </c>
      <c r="M949" s="4">
        <v>43503</v>
      </c>
      <c r="N949" s="12">
        <f t="shared" si="43"/>
        <v>2</v>
      </c>
      <c r="O949" s="13">
        <f t="shared" si="44"/>
        <v>2019</v>
      </c>
      <c r="P949" t="s">
        <v>13</v>
      </c>
      <c r="Q949" t="s">
        <v>30</v>
      </c>
      <c r="R949" t="s">
        <v>31</v>
      </c>
      <c r="S949" t="str" cm="1">
        <f t="array" ref="S949">_xlfn.IFS(R949="COMPLETE", "COMPLETED", R949="CANCELED", "CANCELED", TRUE, "PENDING")</f>
        <v>COMPLETED</v>
      </c>
      <c r="T949" t="s">
        <v>16</v>
      </c>
      <c r="U949">
        <f>VLOOKUP(A949,ordered_items!$B:$E,4,0)</f>
        <v>150</v>
      </c>
    </row>
    <row r="950" spans="1:21" x14ac:dyDescent="0.3">
      <c r="A950">
        <v>27646</v>
      </c>
      <c r="B950" t="s">
        <v>3</v>
      </c>
      <c r="C950">
        <v>2</v>
      </c>
      <c r="D950">
        <v>4</v>
      </c>
      <c r="E950" t="str">
        <f t="shared" si="42"/>
        <v xml:space="preserve"> ONTIME</v>
      </c>
      <c r="F950">
        <f>VLOOKUP($A950,ordered_items!$B$2:$E$4784,2,0)</f>
        <v>1073</v>
      </c>
      <c r="G950">
        <f>VLOOKUP($A950,ordered_items!$B$2:$E$4784,3,0)</f>
        <v>1</v>
      </c>
      <c r="H950">
        <f>VLOOKUP($A950,ordered_items!$B$2:$E$4784,4,0)</f>
        <v>199.99</v>
      </c>
      <c r="I950" s="15">
        <f>VLOOKUP(F950,product_info!$A$2:$D$73,4,0)</f>
        <v>7</v>
      </c>
      <c r="J950" s="15" t="str">
        <f>VLOOKUP(I950,department!$A$2:$B$13,2,0)</f>
        <v>Fan Shop</v>
      </c>
      <c r="K950">
        <v>3951</v>
      </c>
      <c r="L950" t="s">
        <v>1086</v>
      </c>
      <c r="M950" s="4">
        <v>43503</v>
      </c>
      <c r="N950" s="12">
        <f t="shared" si="43"/>
        <v>2</v>
      </c>
      <c r="O950" s="13">
        <f t="shared" si="44"/>
        <v>2019</v>
      </c>
      <c r="P950" t="s">
        <v>13</v>
      </c>
      <c r="Q950" t="s">
        <v>1086</v>
      </c>
      <c r="R950" t="s">
        <v>38</v>
      </c>
      <c r="S950" t="str" cm="1">
        <f t="array" ref="S950">_xlfn.IFS(R950="COMPLETE", "COMPLETED", R950="CANCELED", "CANCELED", TRUE, "PENDING")</f>
        <v>PENDING</v>
      </c>
      <c r="T950" t="s">
        <v>16</v>
      </c>
      <c r="U950">
        <f>VLOOKUP(A950,ordered_items!$B:$E,4,0)</f>
        <v>199.99</v>
      </c>
    </row>
    <row r="951" spans="1:21" x14ac:dyDescent="0.3">
      <c r="A951">
        <v>27672</v>
      </c>
      <c r="B951" t="s">
        <v>3</v>
      </c>
      <c r="C951">
        <v>3</v>
      </c>
      <c r="D951">
        <v>2</v>
      </c>
      <c r="E951" t="str">
        <f t="shared" si="42"/>
        <v>DELAYED</v>
      </c>
      <c r="F951">
        <f>VLOOKUP($A951,ordered_items!$B$2:$E$4784,2,0)</f>
        <v>365</v>
      </c>
      <c r="G951">
        <f>VLOOKUP($A951,ordered_items!$B$2:$E$4784,3,0)</f>
        <v>1</v>
      </c>
      <c r="H951">
        <f>VLOOKUP($A951,ordered_items!$B$2:$E$4784,4,0)</f>
        <v>59.99</v>
      </c>
      <c r="I951" s="15">
        <f>VLOOKUP(F951,product_info!$A$2:$D$73,4,0)</f>
        <v>4</v>
      </c>
      <c r="J951" s="15" t="str">
        <f>VLOOKUP(I951,department!$A$2:$B$13,2,0)</f>
        <v>Apparel</v>
      </c>
      <c r="K951">
        <v>3776</v>
      </c>
      <c r="L951" t="s">
        <v>465</v>
      </c>
      <c r="M951" s="4">
        <v>43503</v>
      </c>
      <c r="N951" s="12">
        <f t="shared" si="43"/>
        <v>2</v>
      </c>
      <c r="O951" s="13">
        <f t="shared" si="44"/>
        <v>2019</v>
      </c>
      <c r="P951" t="s">
        <v>13</v>
      </c>
      <c r="Q951" t="s">
        <v>99</v>
      </c>
      <c r="R951" t="s">
        <v>178</v>
      </c>
      <c r="S951" t="str" cm="1">
        <f t="array" ref="S951">_xlfn.IFS(R951="COMPLETE", "COMPLETED", R951="CANCELED", "CANCELED", TRUE, "PENDING")</f>
        <v>PENDING</v>
      </c>
      <c r="T951" t="s">
        <v>90</v>
      </c>
      <c r="U951">
        <f>VLOOKUP(A951,ordered_items!$B:$E,4,0)</f>
        <v>59.99</v>
      </c>
    </row>
    <row r="952" spans="1:21" x14ac:dyDescent="0.3">
      <c r="A952">
        <v>27724</v>
      </c>
      <c r="B952" t="s">
        <v>3</v>
      </c>
      <c r="C952">
        <v>5</v>
      </c>
      <c r="D952">
        <v>4</v>
      </c>
      <c r="E952" t="str">
        <f t="shared" si="42"/>
        <v>DELAYED</v>
      </c>
      <c r="F952">
        <f>VLOOKUP($A952,ordered_items!$B$2:$E$4784,2,0)</f>
        <v>1073</v>
      </c>
      <c r="G952">
        <f>VLOOKUP($A952,ordered_items!$B$2:$E$4784,3,0)</f>
        <v>1</v>
      </c>
      <c r="H952">
        <f>VLOOKUP($A952,ordered_items!$B$2:$E$4784,4,0)</f>
        <v>199.99</v>
      </c>
      <c r="I952" s="15">
        <f>VLOOKUP(F952,product_info!$A$2:$D$73,4,0)</f>
        <v>7</v>
      </c>
      <c r="J952" s="15" t="str">
        <f>VLOOKUP(I952,department!$A$2:$B$13,2,0)</f>
        <v>Fan Shop</v>
      </c>
      <c r="K952">
        <v>8541</v>
      </c>
      <c r="L952" t="s">
        <v>84</v>
      </c>
      <c r="M952" s="4">
        <v>43504</v>
      </c>
      <c r="N952" s="12">
        <f t="shared" si="43"/>
        <v>2</v>
      </c>
      <c r="O952" s="13">
        <f t="shared" si="44"/>
        <v>2019</v>
      </c>
      <c r="P952" t="s">
        <v>13</v>
      </c>
      <c r="Q952" t="s">
        <v>80</v>
      </c>
      <c r="R952" t="s">
        <v>38</v>
      </c>
      <c r="S952" t="str" cm="1">
        <f t="array" ref="S952">_xlfn.IFS(R952="COMPLETE", "COMPLETED", R952="CANCELED", "CANCELED", TRUE, "PENDING")</f>
        <v>PENDING</v>
      </c>
      <c r="T952" t="s">
        <v>16</v>
      </c>
      <c r="U952">
        <f>VLOOKUP(A952,ordered_items!$B:$E,4,0)</f>
        <v>199.99</v>
      </c>
    </row>
    <row r="953" spans="1:21" x14ac:dyDescent="0.3">
      <c r="A953">
        <v>27742</v>
      </c>
      <c r="B953" t="s">
        <v>3</v>
      </c>
      <c r="C953">
        <v>3</v>
      </c>
      <c r="D953">
        <v>4</v>
      </c>
      <c r="E953" t="str">
        <f t="shared" si="42"/>
        <v xml:space="preserve"> ONTIME</v>
      </c>
      <c r="F953">
        <f>VLOOKUP($A953,ordered_items!$B$2:$E$4784,2,0)</f>
        <v>191</v>
      </c>
      <c r="G953">
        <f>VLOOKUP($A953,ordered_items!$B$2:$E$4784,3,0)</f>
        <v>5</v>
      </c>
      <c r="H953">
        <f>VLOOKUP($A953,ordered_items!$B$2:$E$4784,4,0)</f>
        <v>499.95</v>
      </c>
      <c r="I953" s="15">
        <f>VLOOKUP(F953,product_info!$A$2:$D$73,4,0)</f>
        <v>3</v>
      </c>
      <c r="J953" s="15" t="str">
        <f>VLOOKUP(I953,department!$A$2:$B$13,2,0)</f>
        <v>Footwear</v>
      </c>
      <c r="K953">
        <v>9495</v>
      </c>
      <c r="L953" t="s">
        <v>233</v>
      </c>
      <c r="M953" s="4">
        <v>43504</v>
      </c>
      <c r="N953" s="12">
        <f t="shared" si="43"/>
        <v>2</v>
      </c>
      <c r="O953" s="13">
        <f t="shared" si="44"/>
        <v>2019</v>
      </c>
      <c r="P953" t="s">
        <v>13</v>
      </c>
      <c r="Q953" t="s">
        <v>234</v>
      </c>
      <c r="R953" t="s">
        <v>235</v>
      </c>
      <c r="S953" t="str" cm="1">
        <f t="array" ref="S953">_xlfn.IFS(R953="COMPLETE", "COMPLETED", R953="CANCELED", "CANCELED", TRUE, "PENDING")</f>
        <v>CANCELED</v>
      </c>
      <c r="T953" t="s">
        <v>16</v>
      </c>
      <c r="U953">
        <f>VLOOKUP(A953,ordered_items!$B:$E,4,0)</f>
        <v>499.95</v>
      </c>
    </row>
    <row r="954" spans="1:21" x14ac:dyDescent="0.3">
      <c r="A954">
        <v>27743</v>
      </c>
      <c r="B954" t="s">
        <v>3</v>
      </c>
      <c r="C954">
        <v>4</v>
      </c>
      <c r="D954">
        <v>4</v>
      </c>
      <c r="E954" t="str">
        <f t="shared" si="42"/>
        <v xml:space="preserve"> ONTIME</v>
      </c>
      <c r="F954">
        <f>VLOOKUP($A954,ordered_items!$B$2:$E$4784,2,0)</f>
        <v>403</v>
      </c>
      <c r="G954">
        <f>VLOOKUP($A954,ordered_items!$B$2:$E$4784,3,0)</f>
        <v>1</v>
      </c>
      <c r="H954">
        <f>VLOOKUP($A954,ordered_items!$B$2:$E$4784,4,0)</f>
        <v>129.99</v>
      </c>
      <c r="I954" s="15">
        <f>VLOOKUP(F954,product_info!$A$2:$D$73,4,0)</f>
        <v>4</v>
      </c>
      <c r="J954" s="15" t="str">
        <f>VLOOKUP(I954,department!$A$2:$B$13,2,0)</f>
        <v>Apparel</v>
      </c>
      <c r="K954">
        <v>2534</v>
      </c>
      <c r="L954" t="s">
        <v>233</v>
      </c>
      <c r="M954" s="4">
        <v>43504</v>
      </c>
      <c r="N954" s="12">
        <f t="shared" si="43"/>
        <v>2</v>
      </c>
      <c r="O954" s="13">
        <f t="shared" si="44"/>
        <v>2019</v>
      </c>
      <c r="P954" t="s">
        <v>13</v>
      </c>
      <c r="Q954" t="s">
        <v>234</v>
      </c>
      <c r="R954" t="s">
        <v>14</v>
      </c>
      <c r="S954" t="str" cm="1">
        <f t="array" ref="S954">_xlfn.IFS(R954="COMPLETE", "COMPLETED", R954="CANCELED", "CANCELED", TRUE, "PENDING")</f>
        <v>PENDING</v>
      </c>
      <c r="T954" t="s">
        <v>16</v>
      </c>
      <c r="U954">
        <f>VLOOKUP(A954,ordered_items!$B:$E,4,0)</f>
        <v>129.99</v>
      </c>
    </row>
    <row r="955" spans="1:21" x14ac:dyDescent="0.3">
      <c r="A955">
        <v>27744</v>
      </c>
      <c r="B955" t="s">
        <v>24</v>
      </c>
      <c r="C955">
        <v>5</v>
      </c>
      <c r="D955">
        <v>4</v>
      </c>
      <c r="E955" t="str">
        <f t="shared" si="42"/>
        <v>DELAYED</v>
      </c>
      <c r="F955">
        <f>VLOOKUP($A955,ordered_items!$B$2:$E$4784,2,0)</f>
        <v>403</v>
      </c>
      <c r="G955">
        <f>VLOOKUP($A955,ordered_items!$B$2:$E$4784,3,0)</f>
        <v>1</v>
      </c>
      <c r="H955">
        <f>VLOOKUP($A955,ordered_items!$B$2:$E$4784,4,0)</f>
        <v>129.99</v>
      </c>
      <c r="I955" s="15">
        <f>VLOOKUP(F955,product_info!$A$2:$D$73,4,0)</f>
        <v>4</v>
      </c>
      <c r="J955" s="15" t="str">
        <f>VLOOKUP(I955,department!$A$2:$B$13,2,0)</f>
        <v>Apparel</v>
      </c>
      <c r="K955">
        <v>10034</v>
      </c>
      <c r="L955" t="s">
        <v>233</v>
      </c>
      <c r="M955" s="4">
        <v>43504</v>
      </c>
      <c r="N955" s="12">
        <f t="shared" si="43"/>
        <v>2</v>
      </c>
      <c r="O955" s="13">
        <f t="shared" si="44"/>
        <v>2019</v>
      </c>
      <c r="P955" t="s">
        <v>13</v>
      </c>
      <c r="Q955" t="s">
        <v>234</v>
      </c>
      <c r="R955" t="s">
        <v>31</v>
      </c>
      <c r="S955" t="str" cm="1">
        <f t="array" ref="S955">_xlfn.IFS(R955="COMPLETE", "COMPLETED", R955="CANCELED", "CANCELED", TRUE, "PENDING")</f>
        <v>COMPLETED</v>
      </c>
      <c r="T955" t="s">
        <v>16</v>
      </c>
      <c r="U955">
        <f>VLOOKUP(A955,ordered_items!$B:$E,4,0)</f>
        <v>129.99</v>
      </c>
    </row>
    <row r="956" spans="1:21" x14ac:dyDescent="0.3">
      <c r="A956">
        <v>27763</v>
      </c>
      <c r="B956" t="s">
        <v>51</v>
      </c>
      <c r="C956">
        <v>4</v>
      </c>
      <c r="D956">
        <v>2</v>
      </c>
      <c r="E956" t="str">
        <f t="shared" si="42"/>
        <v>DELAYED</v>
      </c>
      <c r="F956">
        <f>VLOOKUP($A956,ordered_items!$B$2:$E$4784,2,0)</f>
        <v>1073</v>
      </c>
      <c r="G956">
        <f>VLOOKUP($A956,ordered_items!$B$2:$E$4784,3,0)</f>
        <v>1</v>
      </c>
      <c r="H956">
        <f>VLOOKUP($A956,ordered_items!$B$2:$E$4784,4,0)</f>
        <v>199.99</v>
      </c>
      <c r="I956" s="15">
        <f>VLOOKUP(F956,product_info!$A$2:$D$73,4,0)</f>
        <v>7</v>
      </c>
      <c r="J956" s="15" t="str">
        <f>VLOOKUP(I956,department!$A$2:$B$13,2,0)</f>
        <v>Fan Shop</v>
      </c>
      <c r="K956">
        <v>5201</v>
      </c>
      <c r="L956" t="s">
        <v>561</v>
      </c>
      <c r="M956" s="4">
        <v>43505</v>
      </c>
      <c r="N956" s="12">
        <f t="shared" si="43"/>
        <v>2</v>
      </c>
      <c r="O956" s="13">
        <f t="shared" si="44"/>
        <v>2019</v>
      </c>
      <c r="P956" t="s">
        <v>13</v>
      </c>
      <c r="Q956" t="s">
        <v>5779</v>
      </c>
      <c r="R956" t="s">
        <v>57</v>
      </c>
      <c r="S956" t="str" cm="1">
        <f t="array" ref="S956">_xlfn.IFS(R956="COMPLETE", "COMPLETED", R956="CANCELED", "CANCELED", TRUE, "PENDING")</f>
        <v>PENDING</v>
      </c>
      <c r="T956" t="s">
        <v>90</v>
      </c>
      <c r="U956">
        <f>VLOOKUP(A956,ordered_items!$B:$E,4,0)</f>
        <v>199.99</v>
      </c>
    </row>
    <row r="957" spans="1:21" x14ac:dyDescent="0.3">
      <c r="A957">
        <v>27785</v>
      </c>
      <c r="B957" t="s">
        <v>17</v>
      </c>
      <c r="C957">
        <v>6</v>
      </c>
      <c r="D957">
        <v>2</v>
      </c>
      <c r="E957" t="str">
        <f t="shared" si="42"/>
        <v>DELAYED</v>
      </c>
      <c r="F957">
        <f>VLOOKUP($A957,ordered_items!$B$2:$E$4784,2,0)</f>
        <v>403</v>
      </c>
      <c r="G957">
        <f>VLOOKUP($A957,ordered_items!$B$2:$E$4784,3,0)</f>
        <v>1</v>
      </c>
      <c r="H957">
        <f>VLOOKUP($A957,ordered_items!$B$2:$E$4784,4,0)</f>
        <v>129.99</v>
      </c>
      <c r="I957" s="15">
        <f>VLOOKUP(F957,product_info!$A$2:$D$73,4,0)</f>
        <v>4</v>
      </c>
      <c r="J957" s="15" t="str">
        <f>VLOOKUP(I957,department!$A$2:$B$13,2,0)</f>
        <v>Apparel</v>
      </c>
      <c r="K957">
        <v>9116</v>
      </c>
      <c r="L957" t="s">
        <v>275</v>
      </c>
      <c r="M957" s="4">
        <v>43505</v>
      </c>
      <c r="N957" s="12">
        <f t="shared" si="43"/>
        <v>2</v>
      </c>
      <c r="O957" s="13">
        <f t="shared" si="44"/>
        <v>2019</v>
      </c>
      <c r="P957" t="s">
        <v>13</v>
      </c>
      <c r="Q957" t="s">
        <v>80</v>
      </c>
      <c r="R957" t="s">
        <v>23</v>
      </c>
      <c r="S957" t="str" cm="1">
        <f t="array" ref="S957">_xlfn.IFS(R957="COMPLETE", "COMPLETED", R957="CANCELED", "CANCELED", TRUE, "PENDING")</f>
        <v>PENDING</v>
      </c>
      <c r="T957" t="s">
        <v>90</v>
      </c>
      <c r="U957">
        <f>VLOOKUP(A957,ordered_items!$B:$E,4,0)</f>
        <v>129.99</v>
      </c>
    </row>
    <row r="958" spans="1:21" x14ac:dyDescent="0.3">
      <c r="A958">
        <v>27787</v>
      </c>
      <c r="B958" t="s">
        <v>24</v>
      </c>
      <c r="C958">
        <v>3</v>
      </c>
      <c r="D958">
        <v>4</v>
      </c>
      <c r="E958" t="str">
        <f t="shared" si="42"/>
        <v xml:space="preserve"> ONTIME</v>
      </c>
      <c r="F958">
        <f>VLOOKUP($A958,ordered_items!$B$2:$E$4784,2,0)</f>
        <v>1073</v>
      </c>
      <c r="G958">
        <f>VLOOKUP($A958,ordered_items!$B$2:$E$4784,3,0)</f>
        <v>1</v>
      </c>
      <c r="H958">
        <f>VLOOKUP($A958,ordered_items!$B$2:$E$4784,4,0)</f>
        <v>199.99</v>
      </c>
      <c r="I958" s="15">
        <f>VLOOKUP(F958,product_info!$A$2:$D$73,4,0)</f>
        <v>7</v>
      </c>
      <c r="J958" s="15" t="str">
        <f>VLOOKUP(I958,department!$A$2:$B$13,2,0)</f>
        <v>Fan Shop</v>
      </c>
      <c r="K958">
        <v>141</v>
      </c>
      <c r="L958" t="s">
        <v>275</v>
      </c>
      <c r="M958" s="4">
        <v>43505</v>
      </c>
      <c r="N958" s="12">
        <f t="shared" si="43"/>
        <v>2</v>
      </c>
      <c r="O958" s="13">
        <f t="shared" si="44"/>
        <v>2019</v>
      </c>
      <c r="P958" t="s">
        <v>13</v>
      </c>
      <c r="Q958" t="s">
        <v>80</v>
      </c>
      <c r="R958" t="s">
        <v>31</v>
      </c>
      <c r="S958" t="str" cm="1">
        <f t="array" ref="S958">_xlfn.IFS(R958="COMPLETE", "COMPLETED", R958="CANCELED", "CANCELED", TRUE, "PENDING")</f>
        <v>COMPLETED</v>
      </c>
      <c r="T958" t="s">
        <v>16</v>
      </c>
      <c r="U958">
        <f>VLOOKUP(A958,ordered_items!$B:$E,4,0)</f>
        <v>199.99</v>
      </c>
    </row>
    <row r="959" spans="1:21" x14ac:dyDescent="0.3">
      <c r="A959">
        <v>27796</v>
      </c>
      <c r="B959" t="s">
        <v>24</v>
      </c>
      <c r="C959">
        <v>1</v>
      </c>
      <c r="D959">
        <v>0</v>
      </c>
      <c r="E959" t="str">
        <f t="shared" si="42"/>
        <v>DELAYED</v>
      </c>
      <c r="F959">
        <f>VLOOKUP($A959,ordered_items!$B$2:$E$4784,2,0)</f>
        <v>403</v>
      </c>
      <c r="G959">
        <f>VLOOKUP($A959,ordered_items!$B$2:$E$4784,3,0)</f>
        <v>1</v>
      </c>
      <c r="H959">
        <f>VLOOKUP($A959,ordered_items!$B$2:$E$4784,4,0)</f>
        <v>129.99</v>
      </c>
      <c r="I959" s="15">
        <f>VLOOKUP(F959,product_info!$A$2:$D$73,4,0)</f>
        <v>4</v>
      </c>
      <c r="J959" s="15" t="str">
        <f>VLOOKUP(I959,department!$A$2:$B$13,2,0)</f>
        <v>Apparel</v>
      </c>
      <c r="K959">
        <v>11383</v>
      </c>
      <c r="L959" t="s">
        <v>2854</v>
      </c>
      <c r="M959" s="4">
        <v>43505</v>
      </c>
      <c r="N959" s="12">
        <f t="shared" si="43"/>
        <v>2</v>
      </c>
      <c r="O959" s="13">
        <f t="shared" si="44"/>
        <v>2019</v>
      </c>
      <c r="P959" t="s">
        <v>13</v>
      </c>
      <c r="Q959" t="s">
        <v>5781</v>
      </c>
      <c r="R959" t="s">
        <v>31</v>
      </c>
      <c r="S959" t="str" cm="1">
        <f t="array" ref="S959">_xlfn.IFS(R959="COMPLETE", "COMPLETED", R959="CANCELED", "CANCELED", TRUE, "PENDING")</f>
        <v>COMPLETED</v>
      </c>
      <c r="T959" t="s">
        <v>58</v>
      </c>
      <c r="U959">
        <f>VLOOKUP(A959,ordered_items!$B:$E,4,0)</f>
        <v>129.99</v>
      </c>
    </row>
    <row r="960" spans="1:21" x14ac:dyDescent="0.3">
      <c r="A960">
        <v>27800</v>
      </c>
      <c r="B960" t="s">
        <v>24</v>
      </c>
      <c r="C960">
        <v>6</v>
      </c>
      <c r="D960">
        <v>2</v>
      </c>
      <c r="E960" t="str">
        <f t="shared" si="42"/>
        <v>DELAYED</v>
      </c>
      <c r="F960">
        <f>VLOOKUP($A960,ordered_items!$B$2:$E$4784,2,0)</f>
        <v>502</v>
      </c>
      <c r="G960">
        <f>VLOOKUP($A960,ordered_items!$B$2:$E$4784,3,0)</f>
        <v>4</v>
      </c>
      <c r="H960">
        <f>VLOOKUP($A960,ordered_items!$B$2:$E$4784,4,0)</f>
        <v>200</v>
      </c>
      <c r="I960" s="15">
        <f>VLOOKUP(F960,product_info!$A$2:$D$73,4,0)</f>
        <v>5</v>
      </c>
      <c r="J960" s="15" t="str">
        <f>VLOOKUP(I960,department!$A$2:$B$13,2,0)</f>
        <v>Golf</v>
      </c>
      <c r="K960">
        <v>3431</v>
      </c>
      <c r="L960" t="s">
        <v>1086</v>
      </c>
      <c r="M960" s="4">
        <v>43505</v>
      </c>
      <c r="N960" s="12">
        <f t="shared" si="43"/>
        <v>2</v>
      </c>
      <c r="O960" s="13">
        <f t="shared" si="44"/>
        <v>2019</v>
      </c>
      <c r="P960" t="s">
        <v>13</v>
      </c>
      <c r="Q960" t="s">
        <v>1086</v>
      </c>
      <c r="R960" t="s">
        <v>31</v>
      </c>
      <c r="S960" t="str" cm="1">
        <f t="array" ref="S960">_xlfn.IFS(R960="COMPLETE", "COMPLETED", R960="CANCELED", "CANCELED", TRUE, "PENDING")</f>
        <v>COMPLETED</v>
      </c>
      <c r="T960" t="s">
        <v>90</v>
      </c>
      <c r="U960">
        <f>VLOOKUP(A960,ordered_items!$B:$E,4,0)</f>
        <v>200</v>
      </c>
    </row>
    <row r="961" spans="1:21" x14ac:dyDescent="0.3">
      <c r="A961">
        <v>27801</v>
      </c>
      <c r="B961" t="s">
        <v>24</v>
      </c>
      <c r="C961">
        <v>2</v>
      </c>
      <c r="D961">
        <v>2</v>
      </c>
      <c r="E961" t="str">
        <f t="shared" si="42"/>
        <v xml:space="preserve"> ONTIME</v>
      </c>
      <c r="F961">
        <f>VLOOKUP($A961,ordered_items!$B$2:$E$4784,2,0)</f>
        <v>502</v>
      </c>
      <c r="G961">
        <f>VLOOKUP($A961,ordered_items!$B$2:$E$4784,3,0)</f>
        <v>4</v>
      </c>
      <c r="H961">
        <f>VLOOKUP($A961,ordered_items!$B$2:$E$4784,4,0)</f>
        <v>200</v>
      </c>
      <c r="I961" s="15">
        <f>VLOOKUP(F961,product_info!$A$2:$D$73,4,0)</f>
        <v>5</v>
      </c>
      <c r="J961" s="15" t="str">
        <f>VLOOKUP(I961,department!$A$2:$B$13,2,0)</f>
        <v>Golf</v>
      </c>
      <c r="K961">
        <v>7394</v>
      </c>
      <c r="L961" t="s">
        <v>1086</v>
      </c>
      <c r="M961" s="4">
        <v>43505</v>
      </c>
      <c r="N961" s="12">
        <f t="shared" si="43"/>
        <v>2</v>
      </c>
      <c r="O961" s="13">
        <f t="shared" si="44"/>
        <v>2019</v>
      </c>
      <c r="P961" t="s">
        <v>13</v>
      </c>
      <c r="Q961" t="s">
        <v>1086</v>
      </c>
      <c r="R961" t="s">
        <v>31</v>
      </c>
      <c r="S961" t="str" cm="1">
        <f t="array" ref="S961">_xlfn.IFS(R961="COMPLETE", "COMPLETED", R961="CANCELED", "CANCELED", TRUE, "PENDING")</f>
        <v>COMPLETED</v>
      </c>
      <c r="T961" t="s">
        <v>90</v>
      </c>
      <c r="U961">
        <f>VLOOKUP(A961,ordered_items!$B:$E,4,0)</f>
        <v>200</v>
      </c>
    </row>
    <row r="962" spans="1:21" x14ac:dyDescent="0.3">
      <c r="A962">
        <v>27802</v>
      </c>
      <c r="B962" t="s">
        <v>3</v>
      </c>
      <c r="C962">
        <v>3</v>
      </c>
      <c r="D962">
        <v>2</v>
      </c>
      <c r="E962" t="str">
        <f t="shared" si="42"/>
        <v>DELAYED</v>
      </c>
      <c r="F962">
        <f>VLOOKUP($A962,ordered_items!$B$2:$E$4784,2,0)</f>
        <v>235</v>
      </c>
      <c r="G962">
        <f>VLOOKUP($A962,ordered_items!$B$2:$E$4784,3,0)</f>
        <v>2</v>
      </c>
      <c r="H962">
        <f>VLOOKUP($A962,ordered_items!$B$2:$E$4784,4,0)</f>
        <v>69.98</v>
      </c>
      <c r="I962" s="15">
        <f>VLOOKUP(F962,product_info!$A$2:$D$73,4,0)</f>
        <v>3</v>
      </c>
      <c r="J962" s="15" t="str">
        <f>VLOOKUP(I962,department!$A$2:$B$13,2,0)</f>
        <v>Footwear</v>
      </c>
      <c r="K962">
        <v>10932</v>
      </c>
      <c r="L962" t="s">
        <v>1086</v>
      </c>
      <c r="M962" s="4">
        <v>43505</v>
      </c>
      <c r="N962" s="12">
        <f t="shared" si="43"/>
        <v>2</v>
      </c>
      <c r="O962" s="13">
        <f t="shared" si="44"/>
        <v>2019</v>
      </c>
      <c r="P962" t="s">
        <v>13</v>
      </c>
      <c r="Q962" t="s">
        <v>1086</v>
      </c>
      <c r="R962" t="s">
        <v>178</v>
      </c>
      <c r="S962" t="str" cm="1">
        <f t="array" ref="S962">_xlfn.IFS(R962="COMPLETE", "COMPLETED", R962="CANCELED", "CANCELED", TRUE, "PENDING")</f>
        <v>PENDING</v>
      </c>
      <c r="T962" t="s">
        <v>90</v>
      </c>
      <c r="U962">
        <f>VLOOKUP(A962,ordered_items!$B:$E,4,0)</f>
        <v>69.98</v>
      </c>
    </row>
    <row r="963" spans="1:21" x14ac:dyDescent="0.3">
      <c r="A963">
        <v>27803</v>
      </c>
      <c r="B963" t="s">
        <v>24</v>
      </c>
      <c r="C963">
        <v>4</v>
      </c>
      <c r="D963">
        <v>2</v>
      </c>
      <c r="E963" t="str">
        <f t="shared" ref="E963:E1026" si="45">IF(C963-D963&gt;0,"DELAYED"," ONTIME")</f>
        <v>DELAYED</v>
      </c>
      <c r="F963">
        <f>VLOOKUP($A963,ordered_items!$B$2:$E$4784,2,0)</f>
        <v>403</v>
      </c>
      <c r="G963">
        <f>VLOOKUP($A963,ordered_items!$B$2:$E$4784,3,0)</f>
        <v>1</v>
      </c>
      <c r="H963">
        <f>VLOOKUP($A963,ordered_items!$B$2:$E$4784,4,0)</f>
        <v>129.99</v>
      </c>
      <c r="I963" s="15">
        <f>VLOOKUP(F963,product_info!$A$2:$D$73,4,0)</f>
        <v>4</v>
      </c>
      <c r="J963" s="15" t="str">
        <f>VLOOKUP(I963,department!$A$2:$B$13,2,0)</f>
        <v>Apparel</v>
      </c>
      <c r="K963">
        <v>7282</v>
      </c>
      <c r="L963" t="s">
        <v>1086</v>
      </c>
      <c r="M963" s="4">
        <v>43505</v>
      </c>
      <c r="N963" s="12">
        <f t="shared" ref="N963:N1026" si="46">MONTH(M963)</f>
        <v>2</v>
      </c>
      <c r="O963" s="13">
        <f t="shared" ref="O963:O1026" si="47">YEAR(M963)</f>
        <v>2019</v>
      </c>
      <c r="P963" t="s">
        <v>13</v>
      </c>
      <c r="Q963" t="s">
        <v>1086</v>
      </c>
      <c r="R963" t="s">
        <v>31</v>
      </c>
      <c r="S963" t="str" cm="1">
        <f t="array" ref="S963">_xlfn.IFS(R963="COMPLETE", "COMPLETED", R963="CANCELED", "CANCELED", TRUE, "PENDING")</f>
        <v>COMPLETED</v>
      </c>
      <c r="T963" t="s">
        <v>90</v>
      </c>
      <c r="U963">
        <f>VLOOKUP(A963,ordered_items!$B:$E,4,0)</f>
        <v>129.99</v>
      </c>
    </row>
    <row r="964" spans="1:21" x14ac:dyDescent="0.3">
      <c r="A964">
        <v>27804</v>
      </c>
      <c r="B964" t="s">
        <v>24</v>
      </c>
      <c r="C964">
        <v>5</v>
      </c>
      <c r="D964">
        <v>2</v>
      </c>
      <c r="E964" t="str">
        <f t="shared" si="45"/>
        <v>DELAYED</v>
      </c>
      <c r="F964">
        <f>VLOOKUP($A964,ordered_items!$B$2:$E$4784,2,0)</f>
        <v>44</v>
      </c>
      <c r="G964">
        <f>VLOOKUP($A964,ordered_items!$B$2:$E$4784,3,0)</f>
        <v>4</v>
      </c>
      <c r="H964">
        <f>VLOOKUP($A964,ordered_items!$B$2:$E$4784,4,0)</f>
        <v>239.96</v>
      </c>
      <c r="I964" s="15">
        <f>VLOOKUP(F964,product_info!$A$2:$D$73,4,0)</f>
        <v>2</v>
      </c>
      <c r="J964" s="15" t="str">
        <f>VLOOKUP(I964,department!$A$2:$B$13,2,0)</f>
        <v>Fitness</v>
      </c>
      <c r="K964">
        <v>8339</v>
      </c>
      <c r="L964" t="s">
        <v>1086</v>
      </c>
      <c r="M964" s="4">
        <v>43505</v>
      </c>
      <c r="N964" s="12">
        <f t="shared" si="46"/>
        <v>2</v>
      </c>
      <c r="O964" s="13">
        <f t="shared" si="47"/>
        <v>2019</v>
      </c>
      <c r="P964" t="s">
        <v>13</v>
      </c>
      <c r="Q964" t="s">
        <v>1086</v>
      </c>
      <c r="R964" t="s">
        <v>31</v>
      </c>
      <c r="S964" t="str" cm="1">
        <f t="array" ref="S964">_xlfn.IFS(R964="COMPLETE", "COMPLETED", R964="CANCELED", "CANCELED", TRUE, "PENDING")</f>
        <v>COMPLETED</v>
      </c>
      <c r="T964" t="s">
        <v>90</v>
      </c>
      <c r="U964">
        <f>VLOOKUP(A964,ordered_items!$B:$E,4,0)</f>
        <v>239.96</v>
      </c>
    </row>
    <row r="965" spans="1:21" x14ac:dyDescent="0.3">
      <c r="A965">
        <v>27807</v>
      </c>
      <c r="B965" t="s">
        <v>51</v>
      </c>
      <c r="C965">
        <v>3</v>
      </c>
      <c r="D965">
        <v>2</v>
      </c>
      <c r="E965" t="str">
        <f t="shared" si="45"/>
        <v>DELAYED</v>
      </c>
      <c r="F965">
        <f>VLOOKUP($A965,ordered_items!$B$2:$E$4784,2,0)</f>
        <v>365</v>
      </c>
      <c r="G965">
        <f>VLOOKUP($A965,ordered_items!$B$2:$E$4784,3,0)</f>
        <v>3</v>
      </c>
      <c r="H965">
        <f>VLOOKUP($A965,ordered_items!$B$2:$E$4784,4,0)</f>
        <v>179.97</v>
      </c>
      <c r="I965" s="15">
        <f>VLOOKUP(F965,product_info!$A$2:$D$73,4,0)</f>
        <v>4</v>
      </c>
      <c r="J965" s="15" t="str">
        <f>VLOOKUP(I965,department!$A$2:$B$13,2,0)</f>
        <v>Apparel</v>
      </c>
      <c r="K965">
        <v>7985</v>
      </c>
      <c r="L965" t="s">
        <v>894</v>
      </c>
      <c r="M965" s="4">
        <v>43505</v>
      </c>
      <c r="N965" s="12">
        <f t="shared" si="46"/>
        <v>2</v>
      </c>
      <c r="O965" s="13">
        <f t="shared" si="47"/>
        <v>2019</v>
      </c>
      <c r="P965" t="s">
        <v>13</v>
      </c>
      <c r="Q965" t="s">
        <v>894</v>
      </c>
      <c r="R965" t="s">
        <v>57</v>
      </c>
      <c r="S965" t="str" cm="1">
        <f t="array" ref="S965">_xlfn.IFS(R965="COMPLETE", "COMPLETED", R965="CANCELED", "CANCELED", TRUE, "PENDING")</f>
        <v>PENDING</v>
      </c>
      <c r="T965" t="s">
        <v>90</v>
      </c>
      <c r="U965">
        <f>VLOOKUP(A965,ordered_items!$B:$E,4,0)</f>
        <v>179.97</v>
      </c>
    </row>
    <row r="966" spans="1:21" x14ac:dyDescent="0.3">
      <c r="A966">
        <v>27808</v>
      </c>
      <c r="B966" t="s">
        <v>51</v>
      </c>
      <c r="C966">
        <v>4</v>
      </c>
      <c r="D966">
        <v>4</v>
      </c>
      <c r="E966" t="str">
        <f t="shared" si="45"/>
        <v xml:space="preserve"> ONTIME</v>
      </c>
      <c r="F966">
        <f>VLOOKUP($A966,ordered_items!$B$2:$E$4784,2,0)</f>
        <v>502</v>
      </c>
      <c r="G966">
        <f>VLOOKUP($A966,ordered_items!$B$2:$E$4784,3,0)</f>
        <v>3</v>
      </c>
      <c r="H966">
        <f>VLOOKUP($A966,ordered_items!$B$2:$E$4784,4,0)</f>
        <v>150</v>
      </c>
      <c r="I966" s="15">
        <f>VLOOKUP(F966,product_info!$A$2:$D$73,4,0)</f>
        <v>5</v>
      </c>
      <c r="J966" s="15" t="str">
        <f>VLOOKUP(I966,department!$A$2:$B$13,2,0)</f>
        <v>Golf</v>
      </c>
      <c r="K966">
        <v>644</v>
      </c>
      <c r="L966" t="s">
        <v>894</v>
      </c>
      <c r="M966" s="4">
        <v>43505</v>
      </c>
      <c r="N966" s="12">
        <f t="shared" si="46"/>
        <v>2</v>
      </c>
      <c r="O966" s="13">
        <f t="shared" si="47"/>
        <v>2019</v>
      </c>
      <c r="P966" t="s">
        <v>13</v>
      </c>
      <c r="Q966" t="s">
        <v>894</v>
      </c>
      <c r="R966" t="s">
        <v>57</v>
      </c>
      <c r="S966" t="str" cm="1">
        <f t="array" ref="S966">_xlfn.IFS(R966="COMPLETE", "COMPLETED", R966="CANCELED", "CANCELED", TRUE, "PENDING")</f>
        <v>PENDING</v>
      </c>
      <c r="T966" t="s">
        <v>16</v>
      </c>
      <c r="U966">
        <f>VLOOKUP(A966,ordered_items!$B:$E,4,0)</f>
        <v>150</v>
      </c>
    </row>
    <row r="967" spans="1:21" x14ac:dyDescent="0.3">
      <c r="A967">
        <v>27819</v>
      </c>
      <c r="B967" t="s">
        <v>51</v>
      </c>
      <c r="C967">
        <v>2</v>
      </c>
      <c r="D967">
        <v>1</v>
      </c>
      <c r="E967" t="str">
        <f t="shared" si="45"/>
        <v>DELAYED</v>
      </c>
      <c r="F967">
        <f>VLOOKUP($A967,ordered_items!$B$2:$E$4784,2,0)</f>
        <v>191</v>
      </c>
      <c r="G967">
        <f>VLOOKUP($A967,ordered_items!$B$2:$E$4784,3,0)</f>
        <v>1</v>
      </c>
      <c r="H967">
        <f>VLOOKUP($A967,ordered_items!$B$2:$E$4784,4,0)</f>
        <v>99.99</v>
      </c>
      <c r="I967" s="15">
        <f>VLOOKUP(F967,product_info!$A$2:$D$73,4,0)</f>
        <v>3</v>
      </c>
      <c r="J967" s="15" t="str">
        <f>VLOOKUP(I967,department!$A$2:$B$13,2,0)</f>
        <v>Footwear</v>
      </c>
      <c r="K967">
        <v>11318</v>
      </c>
      <c r="L967" t="s">
        <v>70</v>
      </c>
      <c r="M967" s="4">
        <v>43506</v>
      </c>
      <c r="N967" s="12">
        <f t="shared" si="46"/>
        <v>2</v>
      </c>
      <c r="O967" s="13">
        <f t="shared" si="47"/>
        <v>2019</v>
      </c>
      <c r="P967" t="s">
        <v>13</v>
      </c>
      <c r="Q967" t="s">
        <v>70</v>
      </c>
      <c r="R967" t="s">
        <v>1275</v>
      </c>
      <c r="S967" t="str" cm="1">
        <f t="array" ref="S967">_xlfn.IFS(R967="COMPLETE", "COMPLETED", R967="CANCELED", "CANCELED", TRUE, "PENDING")</f>
        <v>PENDING</v>
      </c>
      <c r="T967" t="s">
        <v>32</v>
      </c>
      <c r="U967">
        <f>VLOOKUP(A967,ordered_items!$B:$E,4,0)</f>
        <v>99.99</v>
      </c>
    </row>
    <row r="968" spans="1:21" x14ac:dyDescent="0.3">
      <c r="A968">
        <v>27820</v>
      </c>
      <c r="B968" t="s">
        <v>24</v>
      </c>
      <c r="C968">
        <v>2</v>
      </c>
      <c r="D968">
        <v>1</v>
      </c>
      <c r="E968" t="str">
        <f t="shared" si="45"/>
        <v>DELAYED</v>
      </c>
      <c r="F968">
        <f>VLOOKUP($A968,ordered_items!$B$2:$E$4784,2,0)</f>
        <v>1014</v>
      </c>
      <c r="G968">
        <f>VLOOKUP($A968,ordered_items!$B$2:$E$4784,3,0)</f>
        <v>2</v>
      </c>
      <c r="H968">
        <f>VLOOKUP($A968,ordered_items!$B$2:$E$4784,4,0)</f>
        <v>99.96</v>
      </c>
      <c r="I968" s="15">
        <f>VLOOKUP(F968,product_info!$A$2:$D$73,4,0)</f>
        <v>7</v>
      </c>
      <c r="J968" s="15" t="str">
        <f>VLOOKUP(I968,department!$A$2:$B$13,2,0)</f>
        <v>Fan Shop</v>
      </c>
      <c r="K968">
        <v>6731</v>
      </c>
      <c r="L968" t="s">
        <v>70</v>
      </c>
      <c r="M968" s="4">
        <v>43506</v>
      </c>
      <c r="N968" s="12">
        <f t="shared" si="46"/>
        <v>2</v>
      </c>
      <c r="O968" s="13">
        <f t="shared" si="47"/>
        <v>2019</v>
      </c>
      <c r="P968" t="s">
        <v>13</v>
      </c>
      <c r="Q968" t="s">
        <v>70</v>
      </c>
      <c r="R968" t="s">
        <v>31</v>
      </c>
      <c r="S968" t="str" cm="1">
        <f t="array" ref="S968">_xlfn.IFS(R968="COMPLETE", "COMPLETED", R968="CANCELED", "CANCELED", TRUE, "PENDING")</f>
        <v>COMPLETED</v>
      </c>
      <c r="T968" t="s">
        <v>32</v>
      </c>
      <c r="U968">
        <f>VLOOKUP(A968,ordered_items!$B:$E,4,0)</f>
        <v>99.96</v>
      </c>
    </row>
    <row r="969" spans="1:21" x14ac:dyDescent="0.3">
      <c r="A969">
        <v>27847</v>
      </c>
      <c r="B969" t="s">
        <v>51</v>
      </c>
      <c r="C969">
        <v>3</v>
      </c>
      <c r="D969">
        <v>4</v>
      </c>
      <c r="E969" t="str">
        <f t="shared" si="45"/>
        <v xml:space="preserve"> ONTIME</v>
      </c>
      <c r="F969">
        <f>VLOOKUP($A969,ordered_items!$B$2:$E$4784,2,0)</f>
        <v>1073</v>
      </c>
      <c r="G969">
        <f>VLOOKUP($A969,ordered_items!$B$2:$E$4784,3,0)</f>
        <v>1</v>
      </c>
      <c r="H969">
        <f>VLOOKUP($A969,ordered_items!$B$2:$E$4784,4,0)</f>
        <v>199.99</v>
      </c>
      <c r="I969" s="15">
        <f>VLOOKUP(F969,product_info!$A$2:$D$73,4,0)</f>
        <v>7</v>
      </c>
      <c r="J969" s="15" t="str">
        <f>VLOOKUP(I969,department!$A$2:$B$13,2,0)</f>
        <v>Fan Shop</v>
      </c>
      <c r="K969">
        <v>8099</v>
      </c>
      <c r="L969" t="s">
        <v>963</v>
      </c>
      <c r="M969" s="4">
        <v>43506</v>
      </c>
      <c r="N969" s="12">
        <f t="shared" si="46"/>
        <v>2</v>
      </c>
      <c r="O969" s="13">
        <f t="shared" si="47"/>
        <v>2019</v>
      </c>
      <c r="P969" t="s">
        <v>13</v>
      </c>
      <c r="Q969" t="s">
        <v>47</v>
      </c>
      <c r="R969" t="s">
        <v>57</v>
      </c>
      <c r="S969" t="str" cm="1">
        <f t="array" ref="S969">_xlfn.IFS(R969="COMPLETE", "COMPLETED", R969="CANCELED", "CANCELED", TRUE, "PENDING")</f>
        <v>PENDING</v>
      </c>
      <c r="T969" t="s">
        <v>16</v>
      </c>
      <c r="U969">
        <f>VLOOKUP(A969,ordered_items!$B:$E,4,0)</f>
        <v>199.99</v>
      </c>
    </row>
    <row r="970" spans="1:21" x14ac:dyDescent="0.3">
      <c r="A970">
        <v>27850</v>
      </c>
      <c r="B970" t="s">
        <v>24</v>
      </c>
      <c r="C970">
        <v>6</v>
      </c>
      <c r="D970">
        <v>4</v>
      </c>
      <c r="E970" t="str">
        <f t="shared" si="45"/>
        <v>DELAYED</v>
      </c>
      <c r="F970">
        <f>VLOOKUP($A970,ordered_items!$B$2:$E$4784,2,0)</f>
        <v>191</v>
      </c>
      <c r="G970">
        <f>VLOOKUP($A970,ordered_items!$B$2:$E$4784,3,0)</f>
        <v>5</v>
      </c>
      <c r="H970">
        <f>VLOOKUP($A970,ordered_items!$B$2:$E$4784,4,0)</f>
        <v>499.95</v>
      </c>
      <c r="I970" s="15">
        <f>VLOOKUP(F970,product_info!$A$2:$D$73,4,0)</f>
        <v>3</v>
      </c>
      <c r="J970" s="15" t="str">
        <f>VLOOKUP(I970,department!$A$2:$B$13,2,0)</f>
        <v>Footwear</v>
      </c>
      <c r="K970">
        <v>7750</v>
      </c>
      <c r="L970" t="s">
        <v>660</v>
      </c>
      <c r="M970" s="4">
        <v>43506</v>
      </c>
      <c r="N970" s="12">
        <f t="shared" si="46"/>
        <v>2</v>
      </c>
      <c r="O970" s="13">
        <f t="shared" si="47"/>
        <v>2019</v>
      </c>
      <c r="P970" t="s">
        <v>13</v>
      </c>
      <c r="Q970" t="s">
        <v>99</v>
      </c>
      <c r="R970" t="s">
        <v>31</v>
      </c>
      <c r="S970" t="str" cm="1">
        <f t="array" ref="S970">_xlfn.IFS(R970="COMPLETE", "COMPLETED", R970="CANCELED", "CANCELED", TRUE, "PENDING")</f>
        <v>COMPLETED</v>
      </c>
      <c r="T970" t="s">
        <v>16</v>
      </c>
      <c r="U970">
        <f>VLOOKUP(A970,ordered_items!$B:$E,4,0)</f>
        <v>499.95</v>
      </c>
    </row>
    <row r="971" spans="1:21" x14ac:dyDescent="0.3">
      <c r="A971">
        <v>27857</v>
      </c>
      <c r="B971" t="s">
        <v>3</v>
      </c>
      <c r="C971">
        <v>3</v>
      </c>
      <c r="D971">
        <v>4</v>
      </c>
      <c r="E971" t="str">
        <f t="shared" si="45"/>
        <v xml:space="preserve"> ONTIME</v>
      </c>
      <c r="F971">
        <f>VLOOKUP($A971,ordered_items!$B$2:$E$4784,2,0)</f>
        <v>1014</v>
      </c>
      <c r="G971">
        <f>VLOOKUP($A971,ordered_items!$B$2:$E$4784,3,0)</f>
        <v>1</v>
      </c>
      <c r="H971">
        <f>VLOOKUP($A971,ordered_items!$B$2:$E$4784,4,0)</f>
        <v>49.98</v>
      </c>
      <c r="I971" s="15">
        <f>VLOOKUP(F971,product_info!$A$2:$D$73,4,0)</f>
        <v>7</v>
      </c>
      <c r="J971" s="15" t="str">
        <f>VLOOKUP(I971,department!$A$2:$B$13,2,0)</f>
        <v>Fan Shop</v>
      </c>
      <c r="K971">
        <v>7940</v>
      </c>
      <c r="L971" t="s">
        <v>258</v>
      </c>
      <c r="M971" s="4">
        <v>43506</v>
      </c>
      <c r="N971" s="12">
        <f t="shared" si="46"/>
        <v>2</v>
      </c>
      <c r="O971" s="13">
        <f t="shared" si="47"/>
        <v>2019</v>
      </c>
      <c r="P971" t="s">
        <v>13</v>
      </c>
      <c r="Q971" t="s">
        <v>30</v>
      </c>
      <c r="R971" t="s">
        <v>38</v>
      </c>
      <c r="S971" t="str" cm="1">
        <f t="array" ref="S971">_xlfn.IFS(R971="COMPLETE", "COMPLETED", R971="CANCELED", "CANCELED", TRUE, "PENDING")</f>
        <v>PENDING</v>
      </c>
      <c r="T971" t="s">
        <v>16</v>
      </c>
      <c r="U971">
        <f>VLOOKUP(A971,ordered_items!$B:$E,4,0)</f>
        <v>49.98</v>
      </c>
    </row>
    <row r="972" spans="1:21" x14ac:dyDescent="0.3">
      <c r="A972">
        <v>27858</v>
      </c>
      <c r="B972" t="s">
        <v>3</v>
      </c>
      <c r="C972">
        <v>4</v>
      </c>
      <c r="D972">
        <v>4</v>
      </c>
      <c r="E972" t="str">
        <f t="shared" si="45"/>
        <v xml:space="preserve"> ONTIME</v>
      </c>
      <c r="F972">
        <f>VLOOKUP($A972,ordered_items!$B$2:$E$4784,2,0)</f>
        <v>365</v>
      </c>
      <c r="G972">
        <f>VLOOKUP($A972,ordered_items!$B$2:$E$4784,3,0)</f>
        <v>5</v>
      </c>
      <c r="H972">
        <f>VLOOKUP($A972,ordered_items!$B$2:$E$4784,4,0)</f>
        <v>299.95</v>
      </c>
      <c r="I972" s="15">
        <f>VLOOKUP(F972,product_info!$A$2:$D$73,4,0)</f>
        <v>4</v>
      </c>
      <c r="J972" s="15" t="str">
        <f>VLOOKUP(I972,department!$A$2:$B$13,2,0)</f>
        <v>Apparel</v>
      </c>
      <c r="K972">
        <v>142</v>
      </c>
      <c r="L972" t="s">
        <v>258</v>
      </c>
      <c r="M972" s="4">
        <v>43506</v>
      </c>
      <c r="N972" s="12">
        <f t="shared" si="46"/>
        <v>2</v>
      </c>
      <c r="O972" s="13">
        <f t="shared" si="47"/>
        <v>2019</v>
      </c>
      <c r="P972" t="s">
        <v>13</v>
      </c>
      <c r="Q972" t="s">
        <v>30</v>
      </c>
      <c r="R972" t="s">
        <v>14</v>
      </c>
      <c r="S972" t="str" cm="1">
        <f t="array" ref="S972">_xlfn.IFS(R972="COMPLETE", "COMPLETED", R972="CANCELED", "CANCELED", TRUE, "PENDING")</f>
        <v>PENDING</v>
      </c>
      <c r="T972" t="s">
        <v>16</v>
      </c>
      <c r="U972">
        <f>VLOOKUP(A972,ordered_items!$B:$E,4,0)</f>
        <v>299.95</v>
      </c>
    </row>
    <row r="973" spans="1:21" x14ac:dyDescent="0.3">
      <c r="A973">
        <v>27859</v>
      </c>
      <c r="B973" t="s">
        <v>24</v>
      </c>
      <c r="C973">
        <v>5</v>
      </c>
      <c r="D973">
        <v>4</v>
      </c>
      <c r="E973" t="str">
        <f t="shared" si="45"/>
        <v>DELAYED</v>
      </c>
      <c r="F973">
        <f>VLOOKUP($A973,ordered_items!$B$2:$E$4784,2,0)</f>
        <v>1014</v>
      </c>
      <c r="G973">
        <f>VLOOKUP($A973,ordered_items!$B$2:$E$4784,3,0)</f>
        <v>3</v>
      </c>
      <c r="H973">
        <f>VLOOKUP($A973,ordered_items!$B$2:$E$4784,4,0)</f>
        <v>149.94</v>
      </c>
      <c r="I973" s="15">
        <f>VLOOKUP(F973,product_info!$A$2:$D$73,4,0)</f>
        <v>7</v>
      </c>
      <c r="J973" s="15" t="str">
        <f>VLOOKUP(I973,department!$A$2:$B$13,2,0)</f>
        <v>Fan Shop</v>
      </c>
      <c r="K973">
        <v>10957</v>
      </c>
      <c r="L973" t="s">
        <v>258</v>
      </c>
      <c r="M973" s="4">
        <v>43506</v>
      </c>
      <c r="N973" s="12">
        <f t="shared" si="46"/>
        <v>2</v>
      </c>
      <c r="O973" s="13">
        <f t="shared" si="47"/>
        <v>2019</v>
      </c>
      <c r="P973" t="s">
        <v>13</v>
      </c>
      <c r="Q973" t="s">
        <v>30</v>
      </c>
      <c r="R973" t="s">
        <v>31</v>
      </c>
      <c r="S973" t="str" cm="1">
        <f t="array" ref="S973">_xlfn.IFS(R973="COMPLETE", "COMPLETED", R973="CANCELED", "CANCELED", TRUE, "PENDING")</f>
        <v>COMPLETED</v>
      </c>
      <c r="T973" t="s">
        <v>16</v>
      </c>
      <c r="U973">
        <f>VLOOKUP(A973,ordered_items!$B:$E,4,0)</f>
        <v>149.94</v>
      </c>
    </row>
    <row r="974" spans="1:21" x14ac:dyDescent="0.3">
      <c r="A974">
        <v>27860</v>
      </c>
      <c r="B974" t="s">
        <v>24</v>
      </c>
      <c r="C974">
        <v>6</v>
      </c>
      <c r="D974">
        <v>4</v>
      </c>
      <c r="E974" t="str">
        <f t="shared" si="45"/>
        <v>DELAYED</v>
      </c>
      <c r="F974">
        <f>VLOOKUP($A974,ordered_items!$B$2:$E$4784,2,0)</f>
        <v>365</v>
      </c>
      <c r="G974">
        <f>VLOOKUP($A974,ordered_items!$B$2:$E$4784,3,0)</f>
        <v>5</v>
      </c>
      <c r="H974">
        <f>VLOOKUP($A974,ordered_items!$B$2:$E$4784,4,0)</f>
        <v>299.95</v>
      </c>
      <c r="I974" s="15">
        <f>VLOOKUP(F974,product_info!$A$2:$D$73,4,0)</f>
        <v>4</v>
      </c>
      <c r="J974" s="15" t="str">
        <f>VLOOKUP(I974,department!$A$2:$B$13,2,0)</f>
        <v>Apparel</v>
      </c>
      <c r="K974">
        <v>10424</v>
      </c>
      <c r="L974" t="s">
        <v>290</v>
      </c>
      <c r="M974" s="4">
        <v>43506</v>
      </c>
      <c r="N974" s="12">
        <f t="shared" si="46"/>
        <v>2</v>
      </c>
      <c r="O974" s="13">
        <f t="shared" si="47"/>
        <v>2019</v>
      </c>
      <c r="P974" t="s">
        <v>13</v>
      </c>
      <c r="Q974" t="s">
        <v>130</v>
      </c>
      <c r="R974" t="s">
        <v>378</v>
      </c>
      <c r="S974" t="str" cm="1">
        <f t="array" ref="S974">_xlfn.IFS(R974="COMPLETE", "COMPLETED", R974="CANCELED", "CANCELED", TRUE, "PENDING")</f>
        <v>PENDING</v>
      </c>
      <c r="T974" t="s">
        <v>16</v>
      </c>
      <c r="U974">
        <f>VLOOKUP(A974,ordered_items!$B:$E,4,0)</f>
        <v>299.95</v>
      </c>
    </row>
    <row r="975" spans="1:21" x14ac:dyDescent="0.3">
      <c r="A975">
        <v>27880</v>
      </c>
      <c r="B975" t="s">
        <v>24</v>
      </c>
      <c r="C975">
        <v>6</v>
      </c>
      <c r="D975">
        <v>4</v>
      </c>
      <c r="E975" t="str">
        <f t="shared" si="45"/>
        <v>DELAYED</v>
      </c>
      <c r="F975">
        <f>VLOOKUP($A975,ordered_items!$B$2:$E$4784,2,0)</f>
        <v>403</v>
      </c>
      <c r="G975">
        <f>VLOOKUP($A975,ordered_items!$B$2:$E$4784,3,0)</f>
        <v>1</v>
      </c>
      <c r="H975">
        <f>VLOOKUP($A975,ordered_items!$B$2:$E$4784,4,0)</f>
        <v>129.99</v>
      </c>
      <c r="I975" s="15">
        <f>VLOOKUP(F975,product_info!$A$2:$D$73,4,0)</f>
        <v>4</v>
      </c>
      <c r="J975" s="15" t="str">
        <f>VLOOKUP(I975,department!$A$2:$B$13,2,0)</f>
        <v>Apparel</v>
      </c>
      <c r="K975">
        <v>12038</v>
      </c>
      <c r="L975" t="s">
        <v>713</v>
      </c>
      <c r="M975" s="4">
        <v>43506</v>
      </c>
      <c r="N975" s="12">
        <f t="shared" si="46"/>
        <v>2</v>
      </c>
      <c r="O975" s="13">
        <f t="shared" si="47"/>
        <v>2019</v>
      </c>
      <c r="P975" t="s">
        <v>13</v>
      </c>
      <c r="Q975" t="s">
        <v>99</v>
      </c>
      <c r="R975" t="s">
        <v>378</v>
      </c>
      <c r="S975" t="str" cm="1">
        <f t="array" ref="S975">_xlfn.IFS(R975="COMPLETE", "COMPLETED", R975="CANCELED", "CANCELED", TRUE, "PENDING")</f>
        <v>PENDING</v>
      </c>
      <c r="T975" t="s">
        <v>16</v>
      </c>
      <c r="U975">
        <f>VLOOKUP(A975,ordered_items!$B:$E,4,0)</f>
        <v>129.99</v>
      </c>
    </row>
    <row r="976" spans="1:21" x14ac:dyDescent="0.3">
      <c r="A976">
        <v>27881</v>
      </c>
      <c r="B976" t="s">
        <v>3</v>
      </c>
      <c r="C976">
        <v>2</v>
      </c>
      <c r="D976">
        <v>2</v>
      </c>
      <c r="E976" t="str">
        <f t="shared" si="45"/>
        <v xml:space="preserve"> ONTIME</v>
      </c>
      <c r="F976">
        <f>VLOOKUP($A976,ordered_items!$B$2:$E$4784,2,0)</f>
        <v>1073</v>
      </c>
      <c r="G976">
        <f>VLOOKUP($A976,ordered_items!$B$2:$E$4784,3,0)</f>
        <v>1</v>
      </c>
      <c r="H976">
        <f>VLOOKUP($A976,ordered_items!$B$2:$E$4784,4,0)</f>
        <v>199.99</v>
      </c>
      <c r="I976" s="15">
        <f>VLOOKUP(F976,product_info!$A$2:$D$73,4,0)</f>
        <v>7</v>
      </c>
      <c r="J976" s="15" t="str">
        <f>VLOOKUP(I976,department!$A$2:$B$13,2,0)</f>
        <v>Fan Shop</v>
      </c>
      <c r="K976">
        <v>11941</v>
      </c>
      <c r="L976" t="s">
        <v>713</v>
      </c>
      <c r="M976" s="4">
        <v>43506</v>
      </c>
      <c r="N976" s="12">
        <f t="shared" si="46"/>
        <v>2</v>
      </c>
      <c r="O976" s="13">
        <f t="shared" si="47"/>
        <v>2019</v>
      </c>
      <c r="P976" t="s">
        <v>13</v>
      </c>
      <c r="Q976" t="s">
        <v>99</v>
      </c>
      <c r="R976" t="s">
        <v>38</v>
      </c>
      <c r="S976" t="str" cm="1">
        <f t="array" ref="S976">_xlfn.IFS(R976="COMPLETE", "COMPLETED", R976="CANCELED", "CANCELED", TRUE, "PENDING")</f>
        <v>PENDING</v>
      </c>
      <c r="T976" t="s">
        <v>90</v>
      </c>
      <c r="U976">
        <f>VLOOKUP(A976,ordered_items!$B:$E,4,0)</f>
        <v>199.99</v>
      </c>
    </row>
    <row r="977" spans="1:21" x14ac:dyDescent="0.3">
      <c r="A977">
        <v>27882</v>
      </c>
      <c r="B977" t="s">
        <v>24</v>
      </c>
      <c r="C977">
        <v>3</v>
      </c>
      <c r="D977">
        <v>4</v>
      </c>
      <c r="E977" t="str">
        <f t="shared" si="45"/>
        <v xml:space="preserve"> ONTIME</v>
      </c>
      <c r="F977">
        <f>VLOOKUP($A977,ordered_items!$B$2:$E$4784,2,0)</f>
        <v>191</v>
      </c>
      <c r="G977">
        <f>VLOOKUP($A977,ordered_items!$B$2:$E$4784,3,0)</f>
        <v>2</v>
      </c>
      <c r="H977">
        <f>VLOOKUP($A977,ordered_items!$B$2:$E$4784,4,0)</f>
        <v>199.98</v>
      </c>
      <c r="I977" s="15">
        <f>VLOOKUP(F977,product_info!$A$2:$D$73,4,0)</f>
        <v>3</v>
      </c>
      <c r="J977" s="15" t="str">
        <f>VLOOKUP(I977,department!$A$2:$B$13,2,0)</f>
        <v>Footwear</v>
      </c>
      <c r="K977">
        <v>995</v>
      </c>
      <c r="L977" t="s">
        <v>713</v>
      </c>
      <c r="M977" s="4">
        <v>43506</v>
      </c>
      <c r="N977" s="12">
        <f t="shared" si="46"/>
        <v>2</v>
      </c>
      <c r="O977" s="13">
        <f t="shared" si="47"/>
        <v>2019</v>
      </c>
      <c r="P977" t="s">
        <v>13</v>
      </c>
      <c r="Q977" t="s">
        <v>99</v>
      </c>
      <c r="R977" t="s">
        <v>378</v>
      </c>
      <c r="S977" t="str" cm="1">
        <f t="array" ref="S977">_xlfn.IFS(R977="COMPLETE", "COMPLETED", R977="CANCELED", "CANCELED", TRUE, "PENDING")</f>
        <v>PENDING</v>
      </c>
      <c r="T977" t="s">
        <v>16</v>
      </c>
      <c r="U977">
        <f>VLOOKUP(A977,ordered_items!$B:$E,4,0)</f>
        <v>199.98</v>
      </c>
    </row>
    <row r="978" spans="1:21" x14ac:dyDescent="0.3">
      <c r="A978">
        <v>27885</v>
      </c>
      <c r="B978" t="s">
        <v>51</v>
      </c>
      <c r="C978">
        <v>6</v>
      </c>
      <c r="D978">
        <v>4</v>
      </c>
      <c r="E978" t="str">
        <f t="shared" si="45"/>
        <v>DELAYED</v>
      </c>
      <c r="F978">
        <f>VLOOKUP($A978,ordered_items!$B$2:$E$4784,2,0)</f>
        <v>885</v>
      </c>
      <c r="G978">
        <f>VLOOKUP($A978,ordered_items!$B$2:$E$4784,3,0)</f>
        <v>2</v>
      </c>
      <c r="H978">
        <f>VLOOKUP($A978,ordered_items!$B$2:$E$4784,4,0)</f>
        <v>49.98</v>
      </c>
      <c r="I978" s="15">
        <f>VLOOKUP(F978,product_info!$A$2:$D$73,4,0)</f>
        <v>6</v>
      </c>
      <c r="J978" s="15" t="str">
        <f>VLOOKUP(I978,department!$A$2:$B$13,2,0)</f>
        <v>Outdoors</v>
      </c>
      <c r="K978">
        <v>11225</v>
      </c>
      <c r="L978" t="s">
        <v>764</v>
      </c>
      <c r="M978" s="4">
        <v>43507</v>
      </c>
      <c r="N978" s="12">
        <f t="shared" si="46"/>
        <v>2</v>
      </c>
      <c r="O978" s="13">
        <f t="shared" si="47"/>
        <v>2019</v>
      </c>
      <c r="P978" t="s">
        <v>13</v>
      </c>
      <c r="Q978" t="s">
        <v>30</v>
      </c>
      <c r="R978" t="s">
        <v>57</v>
      </c>
      <c r="S978" t="str" cm="1">
        <f t="array" ref="S978">_xlfn.IFS(R978="COMPLETE", "COMPLETED", R978="CANCELED", "CANCELED", TRUE, "PENDING")</f>
        <v>PENDING</v>
      </c>
      <c r="T978" t="s">
        <v>16</v>
      </c>
      <c r="U978">
        <f>VLOOKUP(A978,ordered_items!$B:$E,4,0)</f>
        <v>49.98</v>
      </c>
    </row>
    <row r="979" spans="1:21" x14ac:dyDescent="0.3">
      <c r="A979">
        <v>27886</v>
      </c>
      <c r="B979" t="s">
        <v>17</v>
      </c>
      <c r="C979">
        <v>2</v>
      </c>
      <c r="D979">
        <v>4</v>
      </c>
      <c r="E979" t="str">
        <f t="shared" si="45"/>
        <v xml:space="preserve"> ONTIME</v>
      </c>
      <c r="F979">
        <f>VLOOKUP($A979,ordered_items!$B$2:$E$4784,2,0)</f>
        <v>502</v>
      </c>
      <c r="G979">
        <f>VLOOKUP($A979,ordered_items!$B$2:$E$4784,3,0)</f>
        <v>1</v>
      </c>
      <c r="H979">
        <f>VLOOKUP($A979,ordered_items!$B$2:$E$4784,4,0)</f>
        <v>50</v>
      </c>
      <c r="I979" s="15">
        <f>VLOOKUP(F979,product_info!$A$2:$D$73,4,0)</f>
        <v>5</v>
      </c>
      <c r="J979" s="15" t="str">
        <f>VLOOKUP(I979,department!$A$2:$B$13,2,0)</f>
        <v>Golf</v>
      </c>
      <c r="K979">
        <v>8750</v>
      </c>
      <c r="L979" t="s">
        <v>764</v>
      </c>
      <c r="M979" s="4">
        <v>43507</v>
      </c>
      <c r="N979" s="12">
        <f t="shared" si="46"/>
        <v>2</v>
      </c>
      <c r="O979" s="13">
        <f t="shared" si="47"/>
        <v>2019</v>
      </c>
      <c r="P979" t="s">
        <v>13</v>
      </c>
      <c r="Q979" t="s">
        <v>30</v>
      </c>
      <c r="R979" t="s">
        <v>23</v>
      </c>
      <c r="S979" t="str" cm="1">
        <f t="array" ref="S979">_xlfn.IFS(R979="COMPLETE", "COMPLETED", R979="CANCELED", "CANCELED", TRUE, "PENDING")</f>
        <v>PENDING</v>
      </c>
      <c r="T979" t="s">
        <v>16</v>
      </c>
      <c r="U979">
        <f>VLOOKUP(A979,ordered_items!$B:$E,4,0)</f>
        <v>50</v>
      </c>
    </row>
    <row r="980" spans="1:21" x14ac:dyDescent="0.3">
      <c r="A980">
        <v>27887</v>
      </c>
      <c r="B980" t="s">
        <v>17</v>
      </c>
      <c r="C980">
        <v>3</v>
      </c>
      <c r="D980">
        <v>4</v>
      </c>
      <c r="E980" t="str">
        <f t="shared" si="45"/>
        <v xml:space="preserve"> ONTIME</v>
      </c>
      <c r="F980">
        <f>VLOOKUP($A980,ordered_items!$B$2:$E$4784,2,0)</f>
        <v>191</v>
      </c>
      <c r="G980">
        <f>VLOOKUP($A980,ordered_items!$B$2:$E$4784,3,0)</f>
        <v>1</v>
      </c>
      <c r="H980">
        <f>VLOOKUP($A980,ordered_items!$B$2:$E$4784,4,0)</f>
        <v>99.99</v>
      </c>
      <c r="I980" s="15">
        <f>VLOOKUP(F980,product_info!$A$2:$D$73,4,0)</f>
        <v>3</v>
      </c>
      <c r="J980" s="15" t="str">
        <f>VLOOKUP(I980,department!$A$2:$B$13,2,0)</f>
        <v>Footwear</v>
      </c>
      <c r="K980">
        <v>2561</v>
      </c>
      <c r="L980" t="s">
        <v>450</v>
      </c>
      <c r="M980" s="4">
        <v>43507</v>
      </c>
      <c r="N980" s="12">
        <f t="shared" si="46"/>
        <v>2</v>
      </c>
      <c r="O980" s="13">
        <f t="shared" si="47"/>
        <v>2019</v>
      </c>
      <c r="P980" t="s">
        <v>13</v>
      </c>
      <c r="Q980" t="s">
        <v>286</v>
      </c>
      <c r="R980" t="s">
        <v>23</v>
      </c>
      <c r="S980" t="str" cm="1">
        <f t="array" ref="S980">_xlfn.IFS(R980="COMPLETE", "COMPLETED", R980="CANCELED", "CANCELED", TRUE, "PENDING")</f>
        <v>PENDING</v>
      </c>
      <c r="T980" t="s">
        <v>16</v>
      </c>
      <c r="U980">
        <f>VLOOKUP(A980,ordered_items!$B:$E,4,0)</f>
        <v>99.99</v>
      </c>
    </row>
    <row r="981" spans="1:21" x14ac:dyDescent="0.3">
      <c r="A981">
        <v>27888</v>
      </c>
      <c r="B981" t="s">
        <v>24</v>
      </c>
      <c r="C981">
        <v>4</v>
      </c>
      <c r="D981">
        <v>4</v>
      </c>
      <c r="E981" t="str">
        <f t="shared" si="45"/>
        <v xml:space="preserve"> ONTIME</v>
      </c>
      <c r="F981">
        <f>VLOOKUP($A981,ordered_items!$B$2:$E$4784,2,0)</f>
        <v>403</v>
      </c>
      <c r="G981">
        <f>VLOOKUP($A981,ordered_items!$B$2:$E$4784,3,0)</f>
        <v>1</v>
      </c>
      <c r="H981">
        <f>VLOOKUP($A981,ordered_items!$B$2:$E$4784,4,0)</f>
        <v>129.99</v>
      </c>
      <c r="I981" s="15">
        <f>VLOOKUP(F981,product_info!$A$2:$D$73,4,0)</f>
        <v>4</v>
      </c>
      <c r="J981" s="15" t="str">
        <f>VLOOKUP(I981,department!$A$2:$B$13,2,0)</f>
        <v>Apparel</v>
      </c>
      <c r="K981">
        <v>4226</v>
      </c>
      <c r="L981" t="s">
        <v>450</v>
      </c>
      <c r="M981" s="4">
        <v>43507</v>
      </c>
      <c r="N981" s="12">
        <f t="shared" si="46"/>
        <v>2</v>
      </c>
      <c r="O981" s="13">
        <f t="shared" si="47"/>
        <v>2019</v>
      </c>
      <c r="P981" t="s">
        <v>13</v>
      </c>
      <c r="Q981" t="s">
        <v>286</v>
      </c>
      <c r="R981" t="s">
        <v>31</v>
      </c>
      <c r="S981" t="str" cm="1">
        <f t="array" ref="S981">_xlfn.IFS(R981="COMPLETE", "COMPLETED", R981="CANCELED", "CANCELED", TRUE, "PENDING")</f>
        <v>COMPLETED</v>
      </c>
      <c r="T981" t="s">
        <v>16</v>
      </c>
      <c r="U981">
        <f>VLOOKUP(A981,ordered_items!$B:$E,4,0)</f>
        <v>129.99</v>
      </c>
    </row>
    <row r="982" spans="1:21" x14ac:dyDescent="0.3">
      <c r="A982">
        <v>27889</v>
      </c>
      <c r="B982" t="s">
        <v>51</v>
      </c>
      <c r="C982">
        <v>5</v>
      </c>
      <c r="D982">
        <v>4</v>
      </c>
      <c r="E982" t="str">
        <f t="shared" si="45"/>
        <v>DELAYED</v>
      </c>
      <c r="F982">
        <f>VLOOKUP($A982,ordered_items!$B$2:$E$4784,2,0)</f>
        <v>793</v>
      </c>
      <c r="G982">
        <f>VLOOKUP($A982,ordered_items!$B$2:$E$4784,3,0)</f>
        <v>1</v>
      </c>
      <c r="H982">
        <f>VLOOKUP($A982,ordered_items!$B$2:$E$4784,4,0)</f>
        <v>14.99</v>
      </c>
      <c r="I982" s="15">
        <f>VLOOKUP(F982,product_info!$A$2:$D$73,4,0)</f>
        <v>6</v>
      </c>
      <c r="J982" s="15" t="str">
        <f>VLOOKUP(I982,department!$A$2:$B$13,2,0)</f>
        <v>Outdoors</v>
      </c>
      <c r="K982">
        <v>2727</v>
      </c>
      <c r="L982" t="s">
        <v>450</v>
      </c>
      <c r="M982" s="4">
        <v>43507</v>
      </c>
      <c r="N982" s="12">
        <f t="shared" si="46"/>
        <v>2</v>
      </c>
      <c r="O982" s="13">
        <f t="shared" si="47"/>
        <v>2019</v>
      </c>
      <c r="P982" t="s">
        <v>13</v>
      </c>
      <c r="Q982" t="s">
        <v>286</v>
      </c>
      <c r="R982" t="s">
        <v>57</v>
      </c>
      <c r="S982" t="str" cm="1">
        <f t="array" ref="S982">_xlfn.IFS(R982="COMPLETE", "COMPLETED", R982="CANCELED", "CANCELED", TRUE, "PENDING")</f>
        <v>PENDING</v>
      </c>
      <c r="T982" t="s">
        <v>16</v>
      </c>
      <c r="U982">
        <f>VLOOKUP(A982,ordered_items!$B:$E,4,0)</f>
        <v>14.99</v>
      </c>
    </row>
    <row r="983" spans="1:21" x14ac:dyDescent="0.3">
      <c r="A983">
        <v>27890</v>
      </c>
      <c r="B983" t="s">
        <v>24</v>
      </c>
      <c r="C983">
        <v>6</v>
      </c>
      <c r="D983">
        <v>4</v>
      </c>
      <c r="E983" t="str">
        <f t="shared" si="45"/>
        <v>DELAYED</v>
      </c>
      <c r="F983">
        <f>VLOOKUP($A983,ordered_items!$B$2:$E$4784,2,0)</f>
        <v>365</v>
      </c>
      <c r="G983">
        <f>VLOOKUP($A983,ordered_items!$B$2:$E$4784,3,0)</f>
        <v>4</v>
      </c>
      <c r="H983">
        <f>VLOOKUP($A983,ordered_items!$B$2:$E$4784,4,0)</f>
        <v>239.96</v>
      </c>
      <c r="I983" s="15">
        <f>VLOOKUP(F983,product_info!$A$2:$D$73,4,0)</f>
        <v>4</v>
      </c>
      <c r="J983" s="15" t="str">
        <f>VLOOKUP(I983,department!$A$2:$B$13,2,0)</f>
        <v>Apparel</v>
      </c>
      <c r="K983">
        <v>11751</v>
      </c>
      <c r="L983" t="s">
        <v>572</v>
      </c>
      <c r="M983" s="4">
        <v>43507</v>
      </c>
      <c r="N983" s="12">
        <f t="shared" si="46"/>
        <v>2</v>
      </c>
      <c r="O983" s="13">
        <f t="shared" si="47"/>
        <v>2019</v>
      </c>
      <c r="P983" t="s">
        <v>13</v>
      </c>
      <c r="Q983" t="s">
        <v>47</v>
      </c>
      <c r="R983" t="s">
        <v>378</v>
      </c>
      <c r="S983" t="str" cm="1">
        <f t="array" ref="S983">_xlfn.IFS(R983="COMPLETE", "COMPLETED", R983="CANCELED", "CANCELED", TRUE, "PENDING")</f>
        <v>PENDING</v>
      </c>
      <c r="T983" t="s">
        <v>16</v>
      </c>
      <c r="U983">
        <f>VLOOKUP(A983,ordered_items!$B:$E,4,0)</f>
        <v>239.96</v>
      </c>
    </row>
    <row r="984" spans="1:21" x14ac:dyDescent="0.3">
      <c r="A984">
        <v>27892</v>
      </c>
      <c r="B984" t="s">
        <v>3</v>
      </c>
      <c r="C984">
        <v>2</v>
      </c>
      <c r="D984">
        <v>1</v>
      </c>
      <c r="E984" t="str">
        <f t="shared" si="45"/>
        <v>DELAYED</v>
      </c>
      <c r="F984">
        <f>VLOOKUP($A984,ordered_items!$B$2:$E$4784,2,0)</f>
        <v>1014</v>
      </c>
      <c r="G984">
        <f>VLOOKUP($A984,ordered_items!$B$2:$E$4784,3,0)</f>
        <v>2</v>
      </c>
      <c r="H984">
        <f>VLOOKUP($A984,ordered_items!$B$2:$E$4784,4,0)</f>
        <v>99.96</v>
      </c>
      <c r="I984" s="15">
        <f>VLOOKUP(F984,product_info!$A$2:$D$73,4,0)</f>
        <v>7</v>
      </c>
      <c r="J984" s="15" t="str">
        <f>VLOOKUP(I984,department!$A$2:$B$13,2,0)</f>
        <v>Fan Shop</v>
      </c>
      <c r="K984">
        <v>1424</v>
      </c>
      <c r="L984" t="s">
        <v>743</v>
      </c>
      <c r="M984" s="4">
        <v>43507</v>
      </c>
      <c r="N984" s="12">
        <f t="shared" si="46"/>
        <v>2</v>
      </c>
      <c r="O984" s="13">
        <f t="shared" si="47"/>
        <v>2019</v>
      </c>
      <c r="P984" t="s">
        <v>13</v>
      </c>
      <c r="Q984" t="s">
        <v>5780</v>
      </c>
      <c r="R984" t="s">
        <v>38</v>
      </c>
      <c r="S984" t="str" cm="1">
        <f t="array" ref="S984">_xlfn.IFS(R984="COMPLETE", "COMPLETED", R984="CANCELED", "CANCELED", TRUE, "PENDING")</f>
        <v>PENDING</v>
      </c>
      <c r="T984" t="s">
        <v>32</v>
      </c>
      <c r="U984">
        <f>VLOOKUP(A984,ordered_items!$B:$E,4,0)</f>
        <v>99.96</v>
      </c>
    </row>
    <row r="985" spans="1:21" x14ac:dyDescent="0.3">
      <c r="A985">
        <v>27902</v>
      </c>
      <c r="B985" t="s">
        <v>51</v>
      </c>
      <c r="C985">
        <v>3</v>
      </c>
      <c r="D985">
        <v>4</v>
      </c>
      <c r="E985" t="str">
        <f t="shared" si="45"/>
        <v xml:space="preserve"> ONTIME</v>
      </c>
      <c r="F985">
        <f>VLOOKUP($A985,ordered_items!$B$2:$E$4784,2,0)</f>
        <v>1073</v>
      </c>
      <c r="G985">
        <f>VLOOKUP($A985,ordered_items!$B$2:$E$4784,3,0)</f>
        <v>1</v>
      </c>
      <c r="H985">
        <f>VLOOKUP($A985,ordered_items!$B$2:$E$4784,4,0)</f>
        <v>199.99</v>
      </c>
      <c r="I985" s="15">
        <f>VLOOKUP(F985,product_info!$A$2:$D$73,4,0)</f>
        <v>7</v>
      </c>
      <c r="J985" s="15" t="str">
        <f>VLOOKUP(I985,department!$A$2:$B$13,2,0)</f>
        <v>Fan Shop</v>
      </c>
      <c r="K985">
        <v>5330</v>
      </c>
      <c r="L985" t="s">
        <v>206</v>
      </c>
      <c r="M985" s="4">
        <v>43507</v>
      </c>
      <c r="N985" s="12">
        <f t="shared" si="46"/>
        <v>2</v>
      </c>
      <c r="O985" s="13">
        <f t="shared" si="47"/>
        <v>2019</v>
      </c>
      <c r="P985" t="s">
        <v>13</v>
      </c>
      <c r="Q985" t="s">
        <v>30</v>
      </c>
      <c r="R985" t="s">
        <v>57</v>
      </c>
      <c r="S985" t="str" cm="1">
        <f t="array" ref="S985">_xlfn.IFS(R985="COMPLETE", "COMPLETED", R985="CANCELED", "CANCELED", TRUE, "PENDING")</f>
        <v>PENDING</v>
      </c>
      <c r="T985" t="s">
        <v>16</v>
      </c>
      <c r="U985">
        <f>VLOOKUP(A985,ordered_items!$B:$E,4,0)</f>
        <v>199.99</v>
      </c>
    </row>
    <row r="986" spans="1:21" x14ac:dyDescent="0.3">
      <c r="A986">
        <v>27921</v>
      </c>
      <c r="B986" t="s">
        <v>51</v>
      </c>
      <c r="C986">
        <v>2</v>
      </c>
      <c r="D986">
        <v>4</v>
      </c>
      <c r="E986" t="str">
        <f t="shared" si="45"/>
        <v xml:space="preserve"> ONTIME</v>
      </c>
      <c r="F986">
        <f>VLOOKUP($A986,ordered_items!$B$2:$E$4784,2,0)</f>
        <v>403</v>
      </c>
      <c r="G986">
        <f>VLOOKUP($A986,ordered_items!$B$2:$E$4784,3,0)</f>
        <v>1</v>
      </c>
      <c r="H986">
        <f>VLOOKUP($A986,ordered_items!$B$2:$E$4784,4,0)</f>
        <v>129.99</v>
      </c>
      <c r="I986" s="15">
        <f>VLOOKUP(F986,product_info!$A$2:$D$73,4,0)</f>
        <v>4</v>
      </c>
      <c r="J986" s="15" t="str">
        <f>VLOOKUP(I986,department!$A$2:$B$13,2,0)</f>
        <v>Apparel</v>
      </c>
      <c r="K986">
        <v>6611</v>
      </c>
      <c r="L986" t="s">
        <v>534</v>
      </c>
      <c r="M986" s="4">
        <v>43507</v>
      </c>
      <c r="N986" s="12">
        <f t="shared" si="46"/>
        <v>2</v>
      </c>
      <c r="O986" s="13">
        <f t="shared" si="47"/>
        <v>2019</v>
      </c>
      <c r="P986" t="s">
        <v>13</v>
      </c>
      <c r="Q986" t="s">
        <v>30</v>
      </c>
      <c r="R986" t="s">
        <v>57</v>
      </c>
      <c r="S986" t="str" cm="1">
        <f t="array" ref="S986">_xlfn.IFS(R986="COMPLETE", "COMPLETED", R986="CANCELED", "CANCELED", TRUE, "PENDING")</f>
        <v>PENDING</v>
      </c>
      <c r="T986" t="s">
        <v>16</v>
      </c>
      <c r="U986">
        <f>VLOOKUP(A986,ordered_items!$B:$E,4,0)</f>
        <v>129.99</v>
      </c>
    </row>
    <row r="987" spans="1:21" x14ac:dyDescent="0.3">
      <c r="A987">
        <v>27942</v>
      </c>
      <c r="B987" t="s">
        <v>24</v>
      </c>
      <c r="C987">
        <v>3</v>
      </c>
      <c r="D987">
        <v>4</v>
      </c>
      <c r="E987" t="str">
        <f t="shared" si="45"/>
        <v xml:space="preserve"> ONTIME</v>
      </c>
      <c r="F987">
        <f>VLOOKUP($A987,ordered_items!$B$2:$E$4784,2,0)</f>
        <v>403</v>
      </c>
      <c r="G987">
        <f>VLOOKUP($A987,ordered_items!$B$2:$E$4784,3,0)</f>
        <v>1</v>
      </c>
      <c r="H987">
        <f>VLOOKUP($A987,ordered_items!$B$2:$E$4784,4,0)</f>
        <v>129.99</v>
      </c>
      <c r="I987" s="15">
        <f>VLOOKUP(F987,product_info!$A$2:$D$73,4,0)</f>
        <v>4</v>
      </c>
      <c r="J987" s="15" t="str">
        <f>VLOOKUP(I987,department!$A$2:$B$13,2,0)</f>
        <v>Apparel</v>
      </c>
      <c r="K987">
        <v>2774</v>
      </c>
      <c r="L987" t="s">
        <v>591</v>
      </c>
      <c r="M987" s="4">
        <v>43507</v>
      </c>
      <c r="N987" s="12">
        <f t="shared" si="46"/>
        <v>2</v>
      </c>
      <c r="O987" s="13">
        <f t="shared" si="47"/>
        <v>2019</v>
      </c>
      <c r="P987" t="s">
        <v>13</v>
      </c>
      <c r="Q987" t="s">
        <v>130</v>
      </c>
      <c r="R987" t="s">
        <v>31</v>
      </c>
      <c r="S987" t="str" cm="1">
        <f t="array" ref="S987">_xlfn.IFS(R987="COMPLETE", "COMPLETED", R987="CANCELED", "CANCELED", TRUE, "PENDING")</f>
        <v>COMPLETED</v>
      </c>
      <c r="T987" t="s">
        <v>16</v>
      </c>
      <c r="U987">
        <f>VLOOKUP(A987,ordered_items!$B:$E,4,0)</f>
        <v>129.99</v>
      </c>
    </row>
    <row r="988" spans="1:21" x14ac:dyDescent="0.3">
      <c r="A988">
        <v>27943</v>
      </c>
      <c r="B988" t="s">
        <v>51</v>
      </c>
      <c r="C988">
        <v>4</v>
      </c>
      <c r="D988">
        <v>4</v>
      </c>
      <c r="E988" t="str">
        <f t="shared" si="45"/>
        <v xml:space="preserve"> ONTIME</v>
      </c>
      <c r="F988">
        <f>VLOOKUP($A988,ordered_items!$B$2:$E$4784,2,0)</f>
        <v>1073</v>
      </c>
      <c r="G988">
        <f>VLOOKUP($A988,ordered_items!$B$2:$E$4784,3,0)</f>
        <v>1</v>
      </c>
      <c r="H988">
        <f>VLOOKUP($A988,ordered_items!$B$2:$E$4784,4,0)</f>
        <v>199.99</v>
      </c>
      <c r="I988" s="15">
        <f>VLOOKUP(F988,product_info!$A$2:$D$73,4,0)</f>
        <v>7</v>
      </c>
      <c r="J988" s="15" t="str">
        <f>VLOOKUP(I988,department!$A$2:$B$13,2,0)</f>
        <v>Fan Shop</v>
      </c>
      <c r="K988">
        <v>3347</v>
      </c>
      <c r="L988" t="s">
        <v>591</v>
      </c>
      <c r="M988" s="4">
        <v>43507</v>
      </c>
      <c r="N988" s="12">
        <f t="shared" si="46"/>
        <v>2</v>
      </c>
      <c r="O988" s="13">
        <f t="shared" si="47"/>
        <v>2019</v>
      </c>
      <c r="P988" t="s">
        <v>13</v>
      </c>
      <c r="Q988" t="s">
        <v>130</v>
      </c>
      <c r="R988" t="s">
        <v>57</v>
      </c>
      <c r="S988" t="str" cm="1">
        <f t="array" ref="S988">_xlfn.IFS(R988="COMPLETE", "COMPLETED", R988="CANCELED", "CANCELED", TRUE, "PENDING")</f>
        <v>PENDING</v>
      </c>
      <c r="T988" t="s">
        <v>16</v>
      </c>
      <c r="U988">
        <f>VLOOKUP(A988,ordered_items!$B:$E,4,0)</f>
        <v>199.99</v>
      </c>
    </row>
    <row r="989" spans="1:21" x14ac:dyDescent="0.3">
      <c r="A989">
        <v>27946</v>
      </c>
      <c r="B989" t="s">
        <v>24</v>
      </c>
      <c r="C989">
        <v>2</v>
      </c>
      <c r="D989">
        <v>4</v>
      </c>
      <c r="E989" t="str">
        <f t="shared" si="45"/>
        <v xml:space="preserve"> ONTIME</v>
      </c>
      <c r="F989">
        <f>VLOOKUP($A989,ordered_items!$B$2:$E$4784,2,0)</f>
        <v>191</v>
      </c>
      <c r="G989">
        <f>VLOOKUP($A989,ordered_items!$B$2:$E$4784,3,0)</f>
        <v>2</v>
      </c>
      <c r="H989">
        <f>VLOOKUP($A989,ordered_items!$B$2:$E$4784,4,0)</f>
        <v>199.98</v>
      </c>
      <c r="I989" s="15">
        <f>VLOOKUP(F989,product_info!$A$2:$D$73,4,0)</f>
        <v>3</v>
      </c>
      <c r="J989" s="15" t="str">
        <f>VLOOKUP(I989,department!$A$2:$B$13,2,0)</f>
        <v>Footwear</v>
      </c>
      <c r="K989">
        <v>6200</v>
      </c>
      <c r="L989" t="s">
        <v>233</v>
      </c>
      <c r="M989" s="4">
        <v>43507</v>
      </c>
      <c r="N989" s="12">
        <f t="shared" si="46"/>
        <v>2</v>
      </c>
      <c r="O989" s="13">
        <f t="shared" si="47"/>
        <v>2019</v>
      </c>
      <c r="P989" t="s">
        <v>13</v>
      </c>
      <c r="Q989" t="s">
        <v>234</v>
      </c>
      <c r="R989" t="s">
        <v>31</v>
      </c>
      <c r="S989" t="str" cm="1">
        <f t="array" ref="S989">_xlfn.IFS(R989="COMPLETE", "COMPLETED", R989="CANCELED", "CANCELED", TRUE, "PENDING")</f>
        <v>COMPLETED</v>
      </c>
      <c r="T989" t="s">
        <v>16</v>
      </c>
      <c r="U989">
        <f>VLOOKUP(A989,ordered_items!$B:$E,4,0)</f>
        <v>199.98</v>
      </c>
    </row>
    <row r="990" spans="1:21" x14ac:dyDescent="0.3">
      <c r="A990">
        <v>27969</v>
      </c>
      <c r="B990" t="s">
        <v>3</v>
      </c>
      <c r="C990">
        <v>5</v>
      </c>
      <c r="D990">
        <v>2</v>
      </c>
      <c r="E990" t="str">
        <f t="shared" si="45"/>
        <v>DELAYED</v>
      </c>
      <c r="F990">
        <f>VLOOKUP($A990,ordered_items!$B$2:$E$4784,2,0)</f>
        <v>1073</v>
      </c>
      <c r="G990">
        <f>VLOOKUP($A990,ordered_items!$B$2:$E$4784,3,0)</f>
        <v>1</v>
      </c>
      <c r="H990">
        <f>VLOOKUP($A990,ordered_items!$B$2:$E$4784,4,0)</f>
        <v>199.99</v>
      </c>
      <c r="I990" s="15">
        <f>VLOOKUP(F990,product_info!$A$2:$D$73,4,0)</f>
        <v>7</v>
      </c>
      <c r="J990" s="15" t="str">
        <f>VLOOKUP(I990,department!$A$2:$B$13,2,0)</f>
        <v>Fan Shop</v>
      </c>
      <c r="K990">
        <v>8221</v>
      </c>
      <c r="L990" t="s">
        <v>1040</v>
      </c>
      <c r="M990" s="4">
        <v>43508</v>
      </c>
      <c r="N990" s="12">
        <f t="shared" si="46"/>
        <v>2</v>
      </c>
      <c r="O990" s="13">
        <f t="shared" si="47"/>
        <v>2019</v>
      </c>
      <c r="P990" t="s">
        <v>13</v>
      </c>
      <c r="Q990" t="s">
        <v>377</v>
      </c>
      <c r="R990" t="s">
        <v>14</v>
      </c>
      <c r="S990" t="str" cm="1">
        <f t="array" ref="S990">_xlfn.IFS(R990="COMPLETE", "COMPLETED", R990="CANCELED", "CANCELED", TRUE, "PENDING")</f>
        <v>PENDING</v>
      </c>
      <c r="T990" t="s">
        <v>90</v>
      </c>
      <c r="U990">
        <f>VLOOKUP(A990,ordered_items!$B:$E,4,0)</f>
        <v>199.99</v>
      </c>
    </row>
    <row r="991" spans="1:21" x14ac:dyDescent="0.3">
      <c r="A991">
        <v>27994</v>
      </c>
      <c r="B991" t="s">
        <v>3</v>
      </c>
      <c r="C991">
        <v>2</v>
      </c>
      <c r="D991">
        <v>1</v>
      </c>
      <c r="E991" t="str">
        <f t="shared" si="45"/>
        <v>DELAYED</v>
      </c>
      <c r="F991">
        <f>VLOOKUP($A991,ordered_items!$B$2:$E$4784,2,0)</f>
        <v>135</v>
      </c>
      <c r="G991">
        <f>VLOOKUP($A991,ordered_items!$B$2:$E$4784,3,0)</f>
        <v>3</v>
      </c>
      <c r="H991">
        <f>VLOOKUP($A991,ordered_items!$B$2:$E$4784,4,0)</f>
        <v>66</v>
      </c>
      <c r="I991" s="15">
        <f>VLOOKUP(F991,product_info!$A$2:$D$73,4,0)</f>
        <v>2</v>
      </c>
      <c r="J991" s="15" t="str">
        <f>VLOOKUP(I991,department!$A$2:$B$13,2,0)</f>
        <v>Fitness</v>
      </c>
      <c r="K991">
        <v>9602</v>
      </c>
      <c r="L991" t="s">
        <v>202</v>
      </c>
      <c r="M991" s="4">
        <v>43508</v>
      </c>
      <c r="N991" s="12">
        <f t="shared" si="46"/>
        <v>2</v>
      </c>
      <c r="O991" s="13">
        <f t="shared" si="47"/>
        <v>2019</v>
      </c>
      <c r="P991" t="s">
        <v>13</v>
      </c>
      <c r="Q991" t="s">
        <v>203</v>
      </c>
      <c r="R991" t="s">
        <v>38</v>
      </c>
      <c r="S991" t="str" cm="1">
        <f t="array" ref="S991">_xlfn.IFS(R991="COMPLETE", "COMPLETED", R991="CANCELED", "CANCELED", TRUE, "PENDING")</f>
        <v>PENDING</v>
      </c>
      <c r="T991" t="s">
        <v>32</v>
      </c>
      <c r="U991">
        <f>VLOOKUP(A991,ordered_items!$B:$E,4,0)</f>
        <v>66</v>
      </c>
    </row>
    <row r="992" spans="1:21" x14ac:dyDescent="0.3">
      <c r="A992">
        <v>27995</v>
      </c>
      <c r="B992" t="s">
        <v>24</v>
      </c>
      <c r="C992">
        <v>6</v>
      </c>
      <c r="D992">
        <v>4</v>
      </c>
      <c r="E992" t="str">
        <f t="shared" si="45"/>
        <v>DELAYED</v>
      </c>
      <c r="F992">
        <f>VLOOKUP($A992,ordered_items!$B$2:$E$4784,2,0)</f>
        <v>1073</v>
      </c>
      <c r="G992">
        <f>VLOOKUP($A992,ordered_items!$B$2:$E$4784,3,0)</f>
        <v>1</v>
      </c>
      <c r="H992">
        <f>VLOOKUP($A992,ordered_items!$B$2:$E$4784,4,0)</f>
        <v>199.99</v>
      </c>
      <c r="I992" s="15">
        <f>VLOOKUP(F992,product_info!$A$2:$D$73,4,0)</f>
        <v>7</v>
      </c>
      <c r="J992" s="15" t="str">
        <f>VLOOKUP(I992,department!$A$2:$B$13,2,0)</f>
        <v>Fan Shop</v>
      </c>
      <c r="K992">
        <v>1518</v>
      </c>
      <c r="L992" t="s">
        <v>202</v>
      </c>
      <c r="M992" s="4">
        <v>43508</v>
      </c>
      <c r="N992" s="12">
        <f t="shared" si="46"/>
        <v>2</v>
      </c>
      <c r="O992" s="13">
        <f t="shared" si="47"/>
        <v>2019</v>
      </c>
      <c r="P992" t="s">
        <v>13</v>
      </c>
      <c r="Q992" t="s">
        <v>203</v>
      </c>
      <c r="R992" t="s">
        <v>31</v>
      </c>
      <c r="S992" t="str" cm="1">
        <f t="array" ref="S992">_xlfn.IFS(R992="COMPLETE", "COMPLETED", R992="CANCELED", "CANCELED", TRUE, "PENDING")</f>
        <v>COMPLETED</v>
      </c>
      <c r="T992" t="s">
        <v>16</v>
      </c>
      <c r="U992">
        <f>VLOOKUP(A992,ordered_items!$B:$E,4,0)</f>
        <v>199.99</v>
      </c>
    </row>
    <row r="993" spans="1:21" x14ac:dyDescent="0.3">
      <c r="A993">
        <v>28004</v>
      </c>
      <c r="B993" t="s">
        <v>3</v>
      </c>
      <c r="C993">
        <v>5</v>
      </c>
      <c r="D993">
        <v>4</v>
      </c>
      <c r="E993" t="str">
        <f t="shared" si="45"/>
        <v>DELAYED</v>
      </c>
      <c r="F993">
        <f>VLOOKUP($A993,ordered_items!$B$2:$E$4784,2,0)</f>
        <v>249</v>
      </c>
      <c r="G993">
        <f>VLOOKUP($A993,ordered_items!$B$2:$E$4784,3,0)</f>
        <v>2</v>
      </c>
      <c r="H993">
        <f>VLOOKUP($A993,ordered_items!$B$2:$E$4784,4,0)</f>
        <v>109.94</v>
      </c>
      <c r="I993" s="15">
        <f>VLOOKUP(F993,product_info!$A$2:$D$73,4,0)</f>
        <v>3</v>
      </c>
      <c r="J993" s="15" t="str">
        <f>VLOOKUP(I993,department!$A$2:$B$13,2,0)</f>
        <v>Footwear</v>
      </c>
      <c r="K993">
        <v>6047</v>
      </c>
      <c r="L993" t="s">
        <v>1215</v>
      </c>
      <c r="M993" s="4">
        <v>43508</v>
      </c>
      <c r="N993" s="12">
        <f t="shared" si="46"/>
        <v>2</v>
      </c>
      <c r="O993" s="13">
        <f t="shared" si="47"/>
        <v>2019</v>
      </c>
      <c r="P993" t="s">
        <v>13</v>
      </c>
      <c r="Q993" t="s">
        <v>5777</v>
      </c>
      <c r="R993" t="s">
        <v>38</v>
      </c>
      <c r="S993" t="str" cm="1">
        <f t="array" ref="S993">_xlfn.IFS(R993="COMPLETE", "COMPLETED", R993="CANCELED", "CANCELED", TRUE, "PENDING")</f>
        <v>PENDING</v>
      </c>
      <c r="T993" t="s">
        <v>16</v>
      </c>
      <c r="U993">
        <f>VLOOKUP(A993,ordered_items!$B:$E,4,0)</f>
        <v>109.94</v>
      </c>
    </row>
    <row r="994" spans="1:21" x14ac:dyDescent="0.3">
      <c r="A994">
        <v>28008</v>
      </c>
      <c r="B994" t="s">
        <v>51</v>
      </c>
      <c r="C994">
        <v>4</v>
      </c>
      <c r="D994">
        <v>4</v>
      </c>
      <c r="E994" t="str">
        <f t="shared" si="45"/>
        <v xml:space="preserve"> ONTIME</v>
      </c>
      <c r="F994">
        <f>VLOOKUP($A994,ordered_items!$B$2:$E$4784,2,0)</f>
        <v>1073</v>
      </c>
      <c r="G994">
        <f>VLOOKUP($A994,ordered_items!$B$2:$E$4784,3,0)</f>
        <v>1</v>
      </c>
      <c r="H994">
        <f>VLOOKUP($A994,ordered_items!$B$2:$E$4784,4,0)</f>
        <v>199.99</v>
      </c>
      <c r="I994" s="15">
        <f>VLOOKUP(F994,product_info!$A$2:$D$73,4,0)</f>
        <v>7</v>
      </c>
      <c r="J994" s="15" t="str">
        <f>VLOOKUP(I994,department!$A$2:$B$13,2,0)</f>
        <v>Fan Shop</v>
      </c>
      <c r="K994">
        <v>3794</v>
      </c>
      <c r="L994" t="s">
        <v>930</v>
      </c>
      <c r="M994" s="4">
        <v>43508</v>
      </c>
      <c r="N994" s="12">
        <f t="shared" si="46"/>
        <v>2</v>
      </c>
      <c r="O994" s="13">
        <f t="shared" si="47"/>
        <v>2019</v>
      </c>
      <c r="P994" t="s">
        <v>13</v>
      </c>
      <c r="Q994" t="s">
        <v>30</v>
      </c>
      <c r="R994" t="s">
        <v>57</v>
      </c>
      <c r="S994" t="str" cm="1">
        <f t="array" ref="S994">_xlfn.IFS(R994="COMPLETE", "COMPLETED", R994="CANCELED", "CANCELED", TRUE, "PENDING")</f>
        <v>PENDING</v>
      </c>
      <c r="T994" t="s">
        <v>16</v>
      </c>
      <c r="U994">
        <f>VLOOKUP(A994,ordered_items!$B:$E,4,0)</f>
        <v>199.99</v>
      </c>
    </row>
    <row r="995" spans="1:21" x14ac:dyDescent="0.3">
      <c r="A995">
        <v>28009</v>
      </c>
      <c r="B995" t="s">
        <v>3</v>
      </c>
      <c r="C995">
        <v>5</v>
      </c>
      <c r="D995">
        <v>4</v>
      </c>
      <c r="E995" t="str">
        <f t="shared" si="45"/>
        <v>DELAYED</v>
      </c>
      <c r="F995">
        <f>VLOOKUP($A995,ordered_items!$B$2:$E$4784,2,0)</f>
        <v>1073</v>
      </c>
      <c r="G995">
        <f>VLOOKUP($A995,ordered_items!$B$2:$E$4784,3,0)</f>
        <v>1</v>
      </c>
      <c r="H995">
        <f>VLOOKUP($A995,ordered_items!$B$2:$E$4784,4,0)</f>
        <v>199.99</v>
      </c>
      <c r="I995" s="15">
        <f>VLOOKUP(F995,product_info!$A$2:$D$73,4,0)</f>
        <v>7</v>
      </c>
      <c r="J995" s="15" t="str">
        <f>VLOOKUP(I995,department!$A$2:$B$13,2,0)</f>
        <v>Fan Shop</v>
      </c>
      <c r="K995">
        <v>8638</v>
      </c>
      <c r="L995" t="s">
        <v>930</v>
      </c>
      <c r="M995" s="4">
        <v>43508</v>
      </c>
      <c r="N995" s="12">
        <f t="shared" si="46"/>
        <v>2</v>
      </c>
      <c r="O995" s="13">
        <f t="shared" si="47"/>
        <v>2019</v>
      </c>
      <c r="P995" t="s">
        <v>13</v>
      </c>
      <c r="Q995" t="s">
        <v>30</v>
      </c>
      <c r="R995" t="s">
        <v>14</v>
      </c>
      <c r="S995" t="str" cm="1">
        <f t="array" ref="S995">_xlfn.IFS(R995="COMPLETE", "COMPLETED", R995="CANCELED", "CANCELED", TRUE, "PENDING")</f>
        <v>PENDING</v>
      </c>
      <c r="T995" t="s">
        <v>16</v>
      </c>
      <c r="U995">
        <f>VLOOKUP(A995,ordered_items!$B:$E,4,0)</f>
        <v>199.99</v>
      </c>
    </row>
    <row r="996" spans="1:21" x14ac:dyDescent="0.3">
      <c r="A996">
        <v>28016</v>
      </c>
      <c r="B996" t="s">
        <v>51</v>
      </c>
      <c r="C996">
        <v>2</v>
      </c>
      <c r="D996">
        <v>4</v>
      </c>
      <c r="E996" t="str">
        <f t="shared" si="45"/>
        <v xml:space="preserve"> ONTIME</v>
      </c>
      <c r="F996">
        <f>VLOOKUP($A996,ordered_items!$B$2:$E$4784,2,0)</f>
        <v>1073</v>
      </c>
      <c r="G996">
        <f>VLOOKUP($A996,ordered_items!$B$2:$E$4784,3,0)</f>
        <v>1</v>
      </c>
      <c r="H996">
        <f>VLOOKUP($A996,ordered_items!$B$2:$E$4784,4,0)</f>
        <v>199.99</v>
      </c>
      <c r="I996" s="15">
        <f>VLOOKUP(F996,product_info!$A$2:$D$73,4,0)</f>
        <v>7</v>
      </c>
      <c r="J996" s="15" t="str">
        <f>VLOOKUP(I996,department!$A$2:$B$13,2,0)</f>
        <v>Fan Shop</v>
      </c>
      <c r="K996">
        <v>4907</v>
      </c>
      <c r="L996" t="s">
        <v>430</v>
      </c>
      <c r="M996" s="4">
        <v>43508</v>
      </c>
      <c r="N996" s="12">
        <f t="shared" si="46"/>
        <v>2</v>
      </c>
      <c r="O996" s="13">
        <f t="shared" si="47"/>
        <v>2019</v>
      </c>
      <c r="P996" t="s">
        <v>13</v>
      </c>
      <c r="Q996" t="s">
        <v>431</v>
      </c>
      <c r="R996" t="s">
        <v>57</v>
      </c>
      <c r="S996" t="str" cm="1">
        <f t="array" ref="S996">_xlfn.IFS(R996="COMPLETE", "COMPLETED", R996="CANCELED", "CANCELED", TRUE, "PENDING")</f>
        <v>PENDING</v>
      </c>
      <c r="T996" t="s">
        <v>16</v>
      </c>
      <c r="U996">
        <f>VLOOKUP(A996,ordered_items!$B:$E,4,0)</f>
        <v>199.99</v>
      </c>
    </row>
    <row r="997" spans="1:21" x14ac:dyDescent="0.3">
      <c r="A997">
        <v>28017</v>
      </c>
      <c r="B997" t="s">
        <v>3</v>
      </c>
      <c r="C997">
        <v>3</v>
      </c>
      <c r="D997">
        <v>4</v>
      </c>
      <c r="E997" t="str">
        <f t="shared" si="45"/>
        <v xml:space="preserve"> ONTIME</v>
      </c>
      <c r="F997">
        <f>VLOOKUP($A997,ordered_items!$B$2:$E$4784,2,0)</f>
        <v>926</v>
      </c>
      <c r="G997">
        <f>VLOOKUP($A997,ordered_items!$B$2:$E$4784,3,0)</f>
        <v>5</v>
      </c>
      <c r="H997">
        <f>VLOOKUP($A997,ordered_items!$B$2:$E$4784,4,0)</f>
        <v>79.95</v>
      </c>
      <c r="I997" s="15">
        <f>VLOOKUP(F997,product_info!$A$2:$D$73,4,0)</f>
        <v>6</v>
      </c>
      <c r="J997" s="15" t="str">
        <f>VLOOKUP(I997,department!$A$2:$B$13,2,0)</f>
        <v>Outdoors</v>
      </c>
      <c r="K997">
        <v>8845</v>
      </c>
      <c r="L997" t="s">
        <v>430</v>
      </c>
      <c r="M997" s="4">
        <v>43508</v>
      </c>
      <c r="N997" s="12">
        <f t="shared" si="46"/>
        <v>2</v>
      </c>
      <c r="O997" s="13">
        <f t="shared" si="47"/>
        <v>2019</v>
      </c>
      <c r="P997" t="s">
        <v>13</v>
      </c>
      <c r="Q997" t="s">
        <v>431</v>
      </c>
      <c r="R997" t="s">
        <v>38</v>
      </c>
      <c r="S997" t="str" cm="1">
        <f t="array" ref="S997">_xlfn.IFS(R997="COMPLETE", "COMPLETED", R997="CANCELED", "CANCELED", TRUE, "PENDING")</f>
        <v>PENDING</v>
      </c>
      <c r="T997" t="s">
        <v>16</v>
      </c>
      <c r="U997">
        <f>VLOOKUP(A997,ordered_items!$B:$E,4,0)</f>
        <v>79.95</v>
      </c>
    </row>
    <row r="998" spans="1:21" x14ac:dyDescent="0.3">
      <c r="A998">
        <v>28018</v>
      </c>
      <c r="B998" t="s">
        <v>51</v>
      </c>
      <c r="C998">
        <v>1</v>
      </c>
      <c r="D998">
        <v>0</v>
      </c>
      <c r="E998" t="str">
        <f t="shared" si="45"/>
        <v>DELAYED</v>
      </c>
      <c r="F998">
        <f>VLOOKUP($A998,ordered_items!$B$2:$E$4784,2,0)</f>
        <v>957</v>
      </c>
      <c r="G998">
        <f>VLOOKUP($A998,ordered_items!$B$2:$E$4784,3,0)</f>
        <v>1</v>
      </c>
      <c r="H998">
        <f>VLOOKUP($A998,ordered_items!$B$2:$E$4784,4,0)</f>
        <v>299.98</v>
      </c>
      <c r="I998" s="15">
        <f>VLOOKUP(F998,product_info!$A$2:$D$73,4,0)</f>
        <v>7</v>
      </c>
      <c r="J998" s="15" t="str">
        <f>VLOOKUP(I998,department!$A$2:$B$13,2,0)</f>
        <v>Fan Shop</v>
      </c>
      <c r="K998">
        <v>5974</v>
      </c>
      <c r="L998" t="s">
        <v>430</v>
      </c>
      <c r="M998" s="4">
        <v>43508</v>
      </c>
      <c r="N998" s="12">
        <f t="shared" si="46"/>
        <v>2</v>
      </c>
      <c r="O998" s="13">
        <f t="shared" si="47"/>
        <v>2019</v>
      </c>
      <c r="P998" t="s">
        <v>13</v>
      </c>
      <c r="Q998" t="s">
        <v>431</v>
      </c>
      <c r="R998" t="s">
        <v>57</v>
      </c>
      <c r="S998" t="str" cm="1">
        <f t="array" ref="S998">_xlfn.IFS(R998="COMPLETE", "COMPLETED", R998="CANCELED", "CANCELED", TRUE, "PENDING")</f>
        <v>PENDING</v>
      </c>
      <c r="T998" t="s">
        <v>58</v>
      </c>
      <c r="U998">
        <f>VLOOKUP(A998,ordered_items!$B:$E,4,0)</f>
        <v>299.98</v>
      </c>
    </row>
    <row r="999" spans="1:21" x14ac:dyDescent="0.3">
      <c r="A999">
        <v>28025</v>
      </c>
      <c r="B999" t="s">
        <v>24</v>
      </c>
      <c r="C999">
        <v>6</v>
      </c>
      <c r="D999">
        <v>4</v>
      </c>
      <c r="E999" t="str">
        <f t="shared" si="45"/>
        <v>DELAYED</v>
      </c>
      <c r="F999">
        <f>VLOOKUP($A999,ordered_items!$B$2:$E$4784,2,0)</f>
        <v>924</v>
      </c>
      <c r="G999">
        <f>VLOOKUP($A999,ordered_items!$B$2:$E$4784,3,0)</f>
        <v>1</v>
      </c>
      <c r="H999">
        <f>VLOOKUP($A999,ordered_items!$B$2:$E$4784,4,0)</f>
        <v>15.99</v>
      </c>
      <c r="I999" s="15">
        <f>VLOOKUP(F999,product_info!$A$2:$D$73,4,0)</f>
        <v>6</v>
      </c>
      <c r="J999" s="15" t="str">
        <f>VLOOKUP(I999,department!$A$2:$B$13,2,0)</f>
        <v>Outdoors</v>
      </c>
      <c r="K999">
        <v>3421</v>
      </c>
      <c r="L999" t="s">
        <v>129</v>
      </c>
      <c r="M999" s="4">
        <v>43509</v>
      </c>
      <c r="N999" s="12">
        <f t="shared" si="46"/>
        <v>2</v>
      </c>
      <c r="O999" s="13">
        <f t="shared" si="47"/>
        <v>2019</v>
      </c>
      <c r="P999" t="s">
        <v>13</v>
      </c>
      <c r="Q999" t="s">
        <v>130</v>
      </c>
      <c r="R999" t="s">
        <v>31</v>
      </c>
      <c r="S999" t="str" cm="1">
        <f t="array" ref="S999">_xlfn.IFS(R999="COMPLETE", "COMPLETED", R999="CANCELED", "CANCELED", TRUE, "PENDING")</f>
        <v>COMPLETED</v>
      </c>
      <c r="T999" t="s">
        <v>16</v>
      </c>
      <c r="U999">
        <f>VLOOKUP(A999,ordered_items!$B:$E,4,0)</f>
        <v>15.99</v>
      </c>
    </row>
    <row r="1000" spans="1:21" x14ac:dyDescent="0.3">
      <c r="A1000">
        <v>28033</v>
      </c>
      <c r="B1000" t="s">
        <v>51</v>
      </c>
      <c r="C1000">
        <v>4</v>
      </c>
      <c r="D1000">
        <v>4</v>
      </c>
      <c r="E1000" t="str">
        <f t="shared" si="45"/>
        <v xml:space="preserve"> ONTIME</v>
      </c>
      <c r="F1000">
        <f>VLOOKUP($A1000,ordered_items!$B$2:$E$4784,2,0)</f>
        <v>191</v>
      </c>
      <c r="G1000">
        <f>VLOOKUP($A1000,ordered_items!$B$2:$E$4784,3,0)</f>
        <v>1</v>
      </c>
      <c r="H1000">
        <f>VLOOKUP($A1000,ordered_items!$B$2:$E$4784,4,0)</f>
        <v>99.99</v>
      </c>
      <c r="I1000" s="15">
        <f>VLOOKUP(F1000,product_info!$A$2:$D$73,4,0)</f>
        <v>3</v>
      </c>
      <c r="J1000" s="15" t="str">
        <f>VLOOKUP(I1000,department!$A$2:$B$13,2,0)</f>
        <v>Footwear</v>
      </c>
      <c r="K1000">
        <v>5040</v>
      </c>
      <c r="L1000" t="s">
        <v>110</v>
      </c>
      <c r="M1000" s="4">
        <v>43509</v>
      </c>
      <c r="N1000" s="12">
        <f t="shared" si="46"/>
        <v>2</v>
      </c>
      <c r="O1000" s="13">
        <f t="shared" si="47"/>
        <v>2019</v>
      </c>
      <c r="P1000" t="s">
        <v>13</v>
      </c>
      <c r="Q1000" t="s">
        <v>99</v>
      </c>
      <c r="R1000" t="s">
        <v>57</v>
      </c>
      <c r="S1000" t="str" cm="1">
        <f t="array" ref="S1000">_xlfn.IFS(R1000="COMPLETE", "COMPLETED", R1000="CANCELED", "CANCELED", TRUE, "PENDING")</f>
        <v>PENDING</v>
      </c>
      <c r="T1000" t="s">
        <v>16</v>
      </c>
      <c r="U1000">
        <f>VLOOKUP(A1000,ordered_items!$B:$E,4,0)</f>
        <v>99.99</v>
      </c>
    </row>
    <row r="1001" spans="1:21" x14ac:dyDescent="0.3">
      <c r="A1001">
        <v>28034</v>
      </c>
      <c r="B1001" t="s">
        <v>3</v>
      </c>
      <c r="C1001">
        <v>5</v>
      </c>
      <c r="D1001">
        <v>4</v>
      </c>
      <c r="E1001" t="str">
        <f t="shared" si="45"/>
        <v>DELAYED</v>
      </c>
      <c r="F1001">
        <f>VLOOKUP($A1001,ordered_items!$B$2:$E$4784,2,0)</f>
        <v>403</v>
      </c>
      <c r="G1001">
        <f>VLOOKUP($A1001,ordered_items!$B$2:$E$4784,3,0)</f>
        <v>1</v>
      </c>
      <c r="H1001">
        <f>VLOOKUP($A1001,ordered_items!$B$2:$E$4784,4,0)</f>
        <v>129.99</v>
      </c>
      <c r="I1001" s="15">
        <f>VLOOKUP(F1001,product_info!$A$2:$D$73,4,0)</f>
        <v>4</v>
      </c>
      <c r="J1001" s="15" t="str">
        <f>VLOOKUP(I1001,department!$A$2:$B$13,2,0)</f>
        <v>Apparel</v>
      </c>
      <c r="K1001">
        <v>1151</v>
      </c>
      <c r="L1001" t="s">
        <v>110</v>
      </c>
      <c r="M1001" s="4">
        <v>43509</v>
      </c>
      <c r="N1001" s="12">
        <f t="shared" si="46"/>
        <v>2</v>
      </c>
      <c r="O1001" s="13">
        <f t="shared" si="47"/>
        <v>2019</v>
      </c>
      <c r="P1001" t="s">
        <v>13</v>
      </c>
      <c r="Q1001" t="s">
        <v>99</v>
      </c>
      <c r="R1001" t="s">
        <v>38</v>
      </c>
      <c r="S1001" t="str" cm="1">
        <f t="array" ref="S1001">_xlfn.IFS(R1001="COMPLETE", "COMPLETED", R1001="CANCELED", "CANCELED", TRUE, "PENDING")</f>
        <v>PENDING</v>
      </c>
      <c r="T1001" t="s">
        <v>16</v>
      </c>
      <c r="U1001">
        <f>VLOOKUP(A1001,ordered_items!$B:$E,4,0)</f>
        <v>129.99</v>
      </c>
    </row>
    <row r="1002" spans="1:21" x14ac:dyDescent="0.3">
      <c r="A1002">
        <v>28035</v>
      </c>
      <c r="B1002" t="s">
        <v>51</v>
      </c>
      <c r="C1002">
        <v>6</v>
      </c>
      <c r="D1002">
        <v>4</v>
      </c>
      <c r="E1002" t="str">
        <f t="shared" si="45"/>
        <v>DELAYED</v>
      </c>
      <c r="F1002">
        <f>VLOOKUP($A1002,ordered_items!$B$2:$E$4784,2,0)</f>
        <v>1004</v>
      </c>
      <c r="G1002">
        <f>VLOOKUP($A1002,ordered_items!$B$2:$E$4784,3,0)</f>
        <v>1</v>
      </c>
      <c r="H1002">
        <f>VLOOKUP($A1002,ordered_items!$B$2:$E$4784,4,0)</f>
        <v>399.98</v>
      </c>
      <c r="I1002" s="15">
        <f>VLOOKUP(F1002,product_info!$A$2:$D$73,4,0)</f>
        <v>7</v>
      </c>
      <c r="J1002" s="15" t="str">
        <f>VLOOKUP(I1002,department!$A$2:$B$13,2,0)</f>
        <v>Fan Shop</v>
      </c>
      <c r="K1002">
        <v>6821</v>
      </c>
      <c r="L1002" t="s">
        <v>110</v>
      </c>
      <c r="M1002" s="4">
        <v>43509</v>
      </c>
      <c r="N1002" s="12">
        <f t="shared" si="46"/>
        <v>2</v>
      </c>
      <c r="O1002" s="13">
        <f t="shared" si="47"/>
        <v>2019</v>
      </c>
      <c r="P1002" t="s">
        <v>13</v>
      </c>
      <c r="Q1002" t="s">
        <v>99</v>
      </c>
      <c r="R1002" t="s">
        <v>57</v>
      </c>
      <c r="S1002" t="str" cm="1">
        <f t="array" ref="S1002">_xlfn.IFS(R1002="COMPLETE", "COMPLETED", R1002="CANCELED", "CANCELED", TRUE, "PENDING")</f>
        <v>PENDING</v>
      </c>
      <c r="T1002" t="s">
        <v>16</v>
      </c>
      <c r="U1002">
        <f>VLOOKUP(A1002,ordered_items!$B:$E,4,0)</f>
        <v>399.98</v>
      </c>
    </row>
    <row r="1003" spans="1:21" x14ac:dyDescent="0.3">
      <c r="A1003">
        <v>28036</v>
      </c>
      <c r="B1003" t="s">
        <v>24</v>
      </c>
      <c r="C1003">
        <v>2</v>
      </c>
      <c r="D1003">
        <v>4</v>
      </c>
      <c r="E1003" t="str">
        <f t="shared" si="45"/>
        <v xml:space="preserve"> ONTIME</v>
      </c>
      <c r="F1003">
        <f>VLOOKUP($A1003,ordered_items!$B$2:$E$4784,2,0)</f>
        <v>403</v>
      </c>
      <c r="G1003">
        <f>VLOOKUP($A1003,ordered_items!$B$2:$E$4784,3,0)</f>
        <v>1</v>
      </c>
      <c r="H1003">
        <f>VLOOKUP($A1003,ordered_items!$B$2:$E$4784,4,0)</f>
        <v>129.99</v>
      </c>
      <c r="I1003" s="15">
        <f>VLOOKUP(F1003,product_info!$A$2:$D$73,4,0)</f>
        <v>4</v>
      </c>
      <c r="J1003" s="15" t="str">
        <f>VLOOKUP(I1003,department!$A$2:$B$13,2,0)</f>
        <v>Apparel</v>
      </c>
      <c r="K1003">
        <v>702</v>
      </c>
      <c r="L1003" t="s">
        <v>110</v>
      </c>
      <c r="M1003" s="4">
        <v>43509</v>
      </c>
      <c r="N1003" s="12">
        <f t="shared" si="46"/>
        <v>2</v>
      </c>
      <c r="O1003" s="13">
        <f t="shared" si="47"/>
        <v>2019</v>
      </c>
      <c r="P1003" t="s">
        <v>13</v>
      </c>
      <c r="Q1003" t="s">
        <v>99</v>
      </c>
      <c r="R1003" t="s">
        <v>31</v>
      </c>
      <c r="S1003" t="str" cm="1">
        <f t="array" ref="S1003">_xlfn.IFS(R1003="COMPLETE", "COMPLETED", R1003="CANCELED", "CANCELED", TRUE, "PENDING")</f>
        <v>COMPLETED</v>
      </c>
      <c r="T1003" t="s">
        <v>16</v>
      </c>
      <c r="U1003">
        <f>VLOOKUP(A1003,ordered_items!$B:$E,4,0)</f>
        <v>129.99</v>
      </c>
    </row>
    <row r="1004" spans="1:21" x14ac:dyDescent="0.3">
      <c r="A1004">
        <v>28038</v>
      </c>
      <c r="B1004" t="s">
        <v>51</v>
      </c>
      <c r="C1004">
        <v>4</v>
      </c>
      <c r="D1004">
        <v>4</v>
      </c>
      <c r="E1004" t="str">
        <f t="shared" si="45"/>
        <v xml:space="preserve"> ONTIME</v>
      </c>
      <c r="F1004">
        <f>VLOOKUP($A1004,ordered_items!$B$2:$E$4784,2,0)</f>
        <v>1073</v>
      </c>
      <c r="G1004">
        <f>VLOOKUP($A1004,ordered_items!$B$2:$E$4784,3,0)</f>
        <v>1</v>
      </c>
      <c r="H1004">
        <f>VLOOKUP($A1004,ordered_items!$B$2:$E$4784,4,0)</f>
        <v>199.99</v>
      </c>
      <c r="I1004" s="15">
        <f>VLOOKUP(F1004,product_info!$A$2:$D$73,4,0)</f>
        <v>7</v>
      </c>
      <c r="J1004" s="15" t="str">
        <f>VLOOKUP(I1004,department!$A$2:$B$13,2,0)</f>
        <v>Fan Shop</v>
      </c>
      <c r="K1004">
        <v>2612</v>
      </c>
      <c r="L1004" t="s">
        <v>110</v>
      </c>
      <c r="M1004" s="4">
        <v>43509</v>
      </c>
      <c r="N1004" s="12">
        <f t="shared" si="46"/>
        <v>2</v>
      </c>
      <c r="O1004" s="13">
        <f t="shared" si="47"/>
        <v>2019</v>
      </c>
      <c r="P1004" t="s">
        <v>13</v>
      </c>
      <c r="Q1004" t="s">
        <v>99</v>
      </c>
      <c r="R1004" t="s">
        <v>57</v>
      </c>
      <c r="S1004" t="str" cm="1">
        <f t="array" ref="S1004">_xlfn.IFS(R1004="COMPLETE", "COMPLETED", R1004="CANCELED", "CANCELED", TRUE, "PENDING")</f>
        <v>PENDING</v>
      </c>
      <c r="T1004" t="s">
        <v>16</v>
      </c>
      <c r="U1004">
        <f>VLOOKUP(A1004,ordered_items!$B:$E,4,0)</f>
        <v>199.99</v>
      </c>
    </row>
    <row r="1005" spans="1:21" x14ac:dyDescent="0.3">
      <c r="A1005">
        <v>28041</v>
      </c>
      <c r="B1005" t="s">
        <v>3</v>
      </c>
      <c r="C1005">
        <v>2</v>
      </c>
      <c r="D1005">
        <v>2</v>
      </c>
      <c r="E1005" t="str">
        <f t="shared" si="45"/>
        <v xml:space="preserve"> ONTIME</v>
      </c>
      <c r="F1005">
        <f>VLOOKUP($A1005,ordered_items!$B$2:$E$4784,2,0)</f>
        <v>365</v>
      </c>
      <c r="G1005">
        <f>VLOOKUP($A1005,ordered_items!$B$2:$E$4784,3,0)</f>
        <v>5</v>
      </c>
      <c r="H1005">
        <f>VLOOKUP($A1005,ordered_items!$B$2:$E$4784,4,0)</f>
        <v>299.95</v>
      </c>
      <c r="I1005" s="15">
        <f>VLOOKUP(F1005,product_info!$A$2:$D$73,4,0)</f>
        <v>4</v>
      </c>
      <c r="J1005" s="15" t="str">
        <f>VLOOKUP(I1005,department!$A$2:$B$13,2,0)</f>
        <v>Apparel</v>
      </c>
      <c r="K1005">
        <v>11232</v>
      </c>
      <c r="L1005" t="s">
        <v>764</v>
      </c>
      <c r="M1005" s="4">
        <v>43509</v>
      </c>
      <c r="N1005" s="12">
        <f t="shared" si="46"/>
        <v>2</v>
      </c>
      <c r="O1005" s="13">
        <f t="shared" si="47"/>
        <v>2019</v>
      </c>
      <c r="P1005" t="s">
        <v>13</v>
      </c>
      <c r="Q1005" t="s">
        <v>30</v>
      </c>
      <c r="R1005" t="s">
        <v>38</v>
      </c>
      <c r="S1005" t="str" cm="1">
        <f t="array" ref="S1005">_xlfn.IFS(R1005="COMPLETE", "COMPLETED", R1005="CANCELED", "CANCELED", TRUE, "PENDING")</f>
        <v>PENDING</v>
      </c>
      <c r="T1005" t="s">
        <v>90</v>
      </c>
      <c r="U1005">
        <f>VLOOKUP(A1005,ordered_items!$B:$E,4,0)</f>
        <v>299.95</v>
      </c>
    </row>
    <row r="1006" spans="1:21" x14ac:dyDescent="0.3">
      <c r="A1006">
        <v>28042</v>
      </c>
      <c r="B1006" t="s">
        <v>24</v>
      </c>
      <c r="C1006">
        <v>3</v>
      </c>
      <c r="D1006">
        <v>2</v>
      </c>
      <c r="E1006" t="str">
        <f t="shared" si="45"/>
        <v>DELAYED</v>
      </c>
      <c r="F1006">
        <f>VLOOKUP($A1006,ordered_items!$B$2:$E$4784,2,0)</f>
        <v>957</v>
      </c>
      <c r="G1006">
        <f>VLOOKUP($A1006,ordered_items!$B$2:$E$4784,3,0)</f>
        <v>1</v>
      </c>
      <c r="H1006">
        <f>VLOOKUP($A1006,ordered_items!$B$2:$E$4784,4,0)</f>
        <v>299.98</v>
      </c>
      <c r="I1006" s="15">
        <f>VLOOKUP(F1006,product_info!$A$2:$D$73,4,0)</f>
        <v>7</v>
      </c>
      <c r="J1006" s="15" t="str">
        <f>VLOOKUP(I1006,department!$A$2:$B$13,2,0)</f>
        <v>Fan Shop</v>
      </c>
      <c r="K1006">
        <v>12025</v>
      </c>
      <c r="L1006" t="s">
        <v>764</v>
      </c>
      <c r="M1006" s="4">
        <v>43509</v>
      </c>
      <c r="N1006" s="12">
        <f t="shared" si="46"/>
        <v>2</v>
      </c>
      <c r="O1006" s="13">
        <f t="shared" si="47"/>
        <v>2019</v>
      </c>
      <c r="P1006" t="s">
        <v>13</v>
      </c>
      <c r="Q1006" t="s">
        <v>30</v>
      </c>
      <c r="R1006" t="s">
        <v>31</v>
      </c>
      <c r="S1006" t="str" cm="1">
        <f t="array" ref="S1006">_xlfn.IFS(R1006="COMPLETE", "COMPLETED", R1006="CANCELED", "CANCELED", TRUE, "PENDING")</f>
        <v>COMPLETED</v>
      </c>
      <c r="T1006" t="s">
        <v>90</v>
      </c>
      <c r="U1006">
        <f>VLOOKUP(A1006,ordered_items!$B:$E,4,0)</f>
        <v>299.98</v>
      </c>
    </row>
    <row r="1007" spans="1:21" x14ac:dyDescent="0.3">
      <c r="A1007">
        <v>28049</v>
      </c>
      <c r="B1007" t="s">
        <v>3</v>
      </c>
      <c r="C1007">
        <v>5</v>
      </c>
      <c r="D1007">
        <v>4</v>
      </c>
      <c r="E1007" t="str">
        <f t="shared" si="45"/>
        <v>DELAYED</v>
      </c>
      <c r="F1007">
        <f>VLOOKUP($A1007,ordered_items!$B$2:$E$4784,2,0)</f>
        <v>885</v>
      </c>
      <c r="G1007">
        <f>VLOOKUP($A1007,ordered_items!$B$2:$E$4784,3,0)</f>
        <v>5</v>
      </c>
      <c r="H1007">
        <f>VLOOKUP($A1007,ordered_items!$B$2:$E$4784,4,0)</f>
        <v>124.95</v>
      </c>
      <c r="I1007" s="15">
        <f>VLOOKUP(F1007,product_info!$A$2:$D$73,4,0)</f>
        <v>6</v>
      </c>
      <c r="J1007" s="15" t="str">
        <f>VLOOKUP(I1007,department!$A$2:$B$13,2,0)</f>
        <v>Outdoors</v>
      </c>
      <c r="K1007">
        <v>6846</v>
      </c>
      <c r="L1007" t="s">
        <v>409</v>
      </c>
      <c r="M1007" s="4">
        <v>43509</v>
      </c>
      <c r="N1007" s="12">
        <f t="shared" si="46"/>
        <v>2</v>
      </c>
      <c r="O1007" s="13">
        <f t="shared" si="47"/>
        <v>2019</v>
      </c>
      <c r="P1007" t="s">
        <v>13</v>
      </c>
      <c r="Q1007" t="s">
        <v>410</v>
      </c>
      <c r="R1007" t="s">
        <v>38</v>
      </c>
      <c r="S1007" t="str" cm="1">
        <f t="array" ref="S1007">_xlfn.IFS(R1007="COMPLETE", "COMPLETED", R1007="CANCELED", "CANCELED", TRUE, "PENDING")</f>
        <v>PENDING</v>
      </c>
      <c r="T1007" t="s">
        <v>16</v>
      </c>
      <c r="U1007">
        <f>VLOOKUP(A1007,ordered_items!$B:$E,4,0)</f>
        <v>124.95</v>
      </c>
    </row>
    <row r="1008" spans="1:21" x14ac:dyDescent="0.3">
      <c r="A1008">
        <v>28051</v>
      </c>
      <c r="B1008" t="s">
        <v>3</v>
      </c>
      <c r="C1008">
        <v>2</v>
      </c>
      <c r="D1008">
        <v>4</v>
      </c>
      <c r="E1008" t="str">
        <f t="shared" si="45"/>
        <v xml:space="preserve"> ONTIME</v>
      </c>
      <c r="F1008">
        <f>VLOOKUP($A1008,ordered_items!$B$2:$E$4784,2,0)</f>
        <v>797</v>
      </c>
      <c r="G1008">
        <f>VLOOKUP($A1008,ordered_items!$B$2:$E$4784,3,0)</f>
        <v>3</v>
      </c>
      <c r="H1008">
        <f>VLOOKUP($A1008,ordered_items!$B$2:$E$4784,4,0)</f>
        <v>53.97</v>
      </c>
      <c r="I1008" s="15">
        <f>VLOOKUP(F1008,product_info!$A$2:$D$73,4,0)</f>
        <v>6</v>
      </c>
      <c r="J1008" s="15" t="str">
        <f>VLOOKUP(I1008,department!$A$2:$B$13,2,0)</f>
        <v>Outdoors</v>
      </c>
      <c r="K1008">
        <v>5104</v>
      </c>
      <c r="L1008" t="s">
        <v>258</v>
      </c>
      <c r="M1008" s="4">
        <v>43509</v>
      </c>
      <c r="N1008" s="12">
        <f t="shared" si="46"/>
        <v>2</v>
      </c>
      <c r="O1008" s="13">
        <f t="shared" si="47"/>
        <v>2019</v>
      </c>
      <c r="P1008" t="s">
        <v>13</v>
      </c>
      <c r="Q1008" t="s">
        <v>30</v>
      </c>
      <c r="R1008" t="s">
        <v>38</v>
      </c>
      <c r="S1008" t="str" cm="1">
        <f t="array" ref="S1008">_xlfn.IFS(R1008="COMPLETE", "COMPLETED", R1008="CANCELED", "CANCELED", TRUE, "PENDING")</f>
        <v>PENDING</v>
      </c>
      <c r="T1008" t="s">
        <v>16</v>
      </c>
      <c r="U1008">
        <f>VLOOKUP(A1008,ordered_items!$B:$E,4,0)</f>
        <v>53.97</v>
      </c>
    </row>
    <row r="1009" spans="1:21" x14ac:dyDescent="0.3">
      <c r="A1009">
        <v>28074</v>
      </c>
      <c r="B1009" t="s">
        <v>24</v>
      </c>
      <c r="C1009">
        <v>2</v>
      </c>
      <c r="D1009">
        <v>1</v>
      </c>
      <c r="E1009" t="str">
        <f t="shared" si="45"/>
        <v>DELAYED</v>
      </c>
      <c r="F1009">
        <f>VLOOKUP($A1009,ordered_items!$B$2:$E$4784,2,0)</f>
        <v>502</v>
      </c>
      <c r="G1009">
        <f>VLOOKUP($A1009,ordered_items!$B$2:$E$4784,3,0)</f>
        <v>3</v>
      </c>
      <c r="H1009">
        <f>VLOOKUP($A1009,ordered_items!$B$2:$E$4784,4,0)</f>
        <v>150</v>
      </c>
      <c r="I1009" s="15">
        <f>VLOOKUP(F1009,product_info!$A$2:$D$73,4,0)</f>
        <v>5</v>
      </c>
      <c r="J1009" s="15" t="str">
        <f>VLOOKUP(I1009,department!$A$2:$B$13,2,0)</f>
        <v>Golf</v>
      </c>
      <c r="K1009">
        <v>2786</v>
      </c>
      <c r="L1009" t="s">
        <v>426</v>
      </c>
      <c r="M1009" s="4">
        <v>43509</v>
      </c>
      <c r="N1009" s="12">
        <f t="shared" si="46"/>
        <v>2</v>
      </c>
      <c r="O1009" s="13">
        <f t="shared" si="47"/>
        <v>2019</v>
      </c>
      <c r="P1009" t="s">
        <v>13</v>
      </c>
      <c r="Q1009" t="s">
        <v>245</v>
      </c>
      <c r="R1009" t="s">
        <v>31</v>
      </c>
      <c r="S1009" t="str" cm="1">
        <f t="array" ref="S1009">_xlfn.IFS(R1009="COMPLETE", "COMPLETED", R1009="CANCELED", "CANCELED", TRUE, "PENDING")</f>
        <v>COMPLETED</v>
      </c>
      <c r="T1009" t="s">
        <v>32</v>
      </c>
      <c r="U1009">
        <f>VLOOKUP(A1009,ordered_items!$B:$E,4,0)</f>
        <v>150</v>
      </c>
    </row>
    <row r="1010" spans="1:21" x14ac:dyDescent="0.3">
      <c r="A1010">
        <v>28075</v>
      </c>
      <c r="B1010" t="s">
        <v>24</v>
      </c>
      <c r="C1010">
        <v>2</v>
      </c>
      <c r="D1010">
        <v>1</v>
      </c>
      <c r="E1010" t="str">
        <f t="shared" si="45"/>
        <v>DELAYED</v>
      </c>
      <c r="F1010">
        <f>VLOOKUP($A1010,ordered_items!$B$2:$E$4784,2,0)</f>
        <v>1004</v>
      </c>
      <c r="G1010">
        <f>VLOOKUP($A1010,ordered_items!$B$2:$E$4784,3,0)</f>
        <v>1</v>
      </c>
      <c r="H1010">
        <f>VLOOKUP($A1010,ordered_items!$B$2:$E$4784,4,0)</f>
        <v>399.98</v>
      </c>
      <c r="I1010" s="15">
        <f>VLOOKUP(F1010,product_info!$A$2:$D$73,4,0)</f>
        <v>7</v>
      </c>
      <c r="J1010" s="15" t="str">
        <f>VLOOKUP(I1010,department!$A$2:$B$13,2,0)</f>
        <v>Fan Shop</v>
      </c>
      <c r="K1010">
        <v>1877</v>
      </c>
      <c r="L1010" t="s">
        <v>426</v>
      </c>
      <c r="M1010" s="4">
        <v>43509</v>
      </c>
      <c r="N1010" s="12">
        <f t="shared" si="46"/>
        <v>2</v>
      </c>
      <c r="O1010" s="13">
        <f t="shared" si="47"/>
        <v>2019</v>
      </c>
      <c r="P1010" t="s">
        <v>13</v>
      </c>
      <c r="Q1010" t="s">
        <v>245</v>
      </c>
      <c r="R1010" t="s">
        <v>31</v>
      </c>
      <c r="S1010" t="str" cm="1">
        <f t="array" ref="S1010">_xlfn.IFS(R1010="COMPLETE", "COMPLETED", R1010="CANCELED", "CANCELED", TRUE, "PENDING")</f>
        <v>COMPLETED</v>
      </c>
      <c r="T1010" t="s">
        <v>32</v>
      </c>
      <c r="U1010">
        <f>VLOOKUP(A1010,ordered_items!$B:$E,4,0)</f>
        <v>399.98</v>
      </c>
    </row>
    <row r="1011" spans="1:21" x14ac:dyDescent="0.3">
      <c r="A1011">
        <v>28077</v>
      </c>
      <c r="B1011" t="s">
        <v>51</v>
      </c>
      <c r="C1011">
        <v>2</v>
      </c>
      <c r="D1011">
        <v>1</v>
      </c>
      <c r="E1011" t="str">
        <f t="shared" si="45"/>
        <v>DELAYED</v>
      </c>
      <c r="F1011">
        <f>VLOOKUP($A1011,ordered_items!$B$2:$E$4784,2,0)</f>
        <v>1073</v>
      </c>
      <c r="G1011">
        <f>VLOOKUP($A1011,ordered_items!$B$2:$E$4784,3,0)</f>
        <v>1</v>
      </c>
      <c r="H1011">
        <f>VLOOKUP($A1011,ordered_items!$B$2:$E$4784,4,0)</f>
        <v>199.99</v>
      </c>
      <c r="I1011" s="15">
        <f>VLOOKUP(F1011,product_info!$A$2:$D$73,4,0)</f>
        <v>7</v>
      </c>
      <c r="J1011" s="15" t="str">
        <f>VLOOKUP(I1011,department!$A$2:$B$13,2,0)</f>
        <v>Fan Shop</v>
      </c>
      <c r="K1011">
        <v>376</v>
      </c>
      <c r="L1011" t="s">
        <v>70</v>
      </c>
      <c r="M1011" s="4">
        <v>43509</v>
      </c>
      <c r="N1011" s="12">
        <f t="shared" si="46"/>
        <v>2</v>
      </c>
      <c r="O1011" s="13">
        <f t="shared" si="47"/>
        <v>2019</v>
      </c>
      <c r="P1011" t="s">
        <v>13</v>
      </c>
      <c r="Q1011" t="s">
        <v>70</v>
      </c>
      <c r="R1011" t="s">
        <v>57</v>
      </c>
      <c r="S1011" t="str" cm="1">
        <f t="array" ref="S1011">_xlfn.IFS(R1011="COMPLETE", "COMPLETED", R1011="CANCELED", "CANCELED", TRUE, "PENDING")</f>
        <v>PENDING</v>
      </c>
      <c r="T1011" t="s">
        <v>32</v>
      </c>
      <c r="U1011">
        <f>VLOOKUP(A1011,ordered_items!$B:$E,4,0)</f>
        <v>199.99</v>
      </c>
    </row>
    <row r="1012" spans="1:21" x14ac:dyDescent="0.3">
      <c r="A1012">
        <v>28139</v>
      </c>
      <c r="B1012" t="s">
        <v>24</v>
      </c>
      <c r="C1012">
        <v>5</v>
      </c>
      <c r="D1012">
        <v>4</v>
      </c>
      <c r="E1012" t="str">
        <f t="shared" si="45"/>
        <v>DELAYED</v>
      </c>
      <c r="F1012">
        <f>VLOOKUP($A1012,ordered_items!$B$2:$E$4784,2,0)</f>
        <v>1004</v>
      </c>
      <c r="G1012">
        <f>VLOOKUP($A1012,ordered_items!$B$2:$E$4784,3,0)</f>
        <v>1</v>
      </c>
      <c r="H1012">
        <f>VLOOKUP($A1012,ordered_items!$B$2:$E$4784,4,0)</f>
        <v>399.98</v>
      </c>
      <c r="I1012" s="15">
        <f>VLOOKUP(F1012,product_info!$A$2:$D$73,4,0)</f>
        <v>7</v>
      </c>
      <c r="J1012" s="15" t="str">
        <f>VLOOKUP(I1012,department!$A$2:$B$13,2,0)</f>
        <v>Fan Shop</v>
      </c>
      <c r="K1012">
        <v>2906</v>
      </c>
      <c r="L1012" t="s">
        <v>327</v>
      </c>
      <c r="M1012" s="4">
        <v>43510</v>
      </c>
      <c r="N1012" s="12">
        <f t="shared" si="46"/>
        <v>2</v>
      </c>
      <c r="O1012" s="13">
        <f t="shared" si="47"/>
        <v>2019</v>
      </c>
      <c r="P1012" t="s">
        <v>13</v>
      </c>
      <c r="Q1012" t="s">
        <v>227</v>
      </c>
      <c r="R1012" t="s">
        <v>31</v>
      </c>
      <c r="S1012" t="str" cm="1">
        <f t="array" ref="S1012">_xlfn.IFS(R1012="COMPLETE", "COMPLETED", R1012="CANCELED", "CANCELED", TRUE, "PENDING")</f>
        <v>COMPLETED</v>
      </c>
      <c r="T1012" t="s">
        <v>16</v>
      </c>
      <c r="U1012">
        <f>VLOOKUP(A1012,ordered_items!$B:$E,4,0)</f>
        <v>399.98</v>
      </c>
    </row>
    <row r="1013" spans="1:21" x14ac:dyDescent="0.3">
      <c r="A1013">
        <v>28153</v>
      </c>
      <c r="B1013" t="s">
        <v>24</v>
      </c>
      <c r="C1013">
        <v>4</v>
      </c>
      <c r="D1013">
        <v>2</v>
      </c>
      <c r="E1013" t="str">
        <f t="shared" si="45"/>
        <v>DELAYED</v>
      </c>
      <c r="F1013">
        <f>VLOOKUP($A1013,ordered_items!$B$2:$E$4784,2,0)</f>
        <v>924</v>
      </c>
      <c r="G1013">
        <f>VLOOKUP($A1013,ordered_items!$B$2:$E$4784,3,0)</f>
        <v>5</v>
      </c>
      <c r="H1013">
        <f>VLOOKUP($A1013,ordered_items!$B$2:$E$4784,4,0)</f>
        <v>79.95</v>
      </c>
      <c r="I1013" s="15">
        <f>VLOOKUP(F1013,product_info!$A$2:$D$73,4,0)</f>
        <v>6</v>
      </c>
      <c r="J1013" s="15" t="str">
        <f>VLOOKUP(I1013,department!$A$2:$B$13,2,0)</f>
        <v>Outdoors</v>
      </c>
      <c r="K1013">
        <v>3288</v>
      </c>
      <c r="L1013" t="s">
        <v>465</v>
      </c>
      <c r="M1013" s="4">
        <v>43510</v>
      </c>
      <c r="N1013" s="12">
        <f t="shared" si="46"/>
        <v>2</v>
      </c>
      <c r="O1013" s="13">
        <f t="shared" si="47"/>
        <v>2019</v>
      </c>
      <c r="P1013" t="s">
        <v>13</v>
      </c>
      <c r="Q1013" t="s">
        <v>99</v>
      </c>
      <c r="R1013" t="s">
        <v>31</v>
      </c>
      <c r="S1013" t="str" cm="1">
        <f t="array" ref="S1013">_xlfn.IFS(R1013="COMPLETE", "COMPLETED", R1013="CANCELED", "CANCELED", TRUE, "PENDING")</f>
        <v>COMPLETED</v>
      </c>
      <c r="T1013" t="s">
        <v>90</v>
      </c>
      <c r="U1013">
        <f>VLOOKUP(A1013,ordered_items!$B:$E,4,0)</f>
        <v>79.95</v>
      </c>
    </row>
    <row r="1014" spans="1:21" x14ac:dyDescent="0.3">
      <c r="A1014">
        <v>28158</v>
      </c>
      <c r="B1014" t="s">
        <v>17</v>
      </c>
      <c r="C1014">
        <v>4</v>
      </c>
      <c r="D1014">
        <v>4</v>
      </c>
      <c r="E1014" t="str">
        <f t="shared" si="45"/>
        <v xml:space="preserve"> ONTIME</v>
      </c>
      <c r="F1014">
        <f>VLOOKUP($A1014,ordered_items!$B$2:$E$4784,2,0)</f>
        <v>1014</v>
      </c>
      <c r="G1014">
        <f>VLOOKUP($A1014,ordered_items!$B$2:$E$4784,3,0)</f>
        <v>4</v>
      </c>
      <c r="H1014">
        <f>VLOOKUP($A1014,ordered_items!$B$2:$E$4784,4,0)</f>
        <v>199.92</v>
      </c>
      <c r="I1014" s="15">
        <f>VLOOKUP(F1014,product_info!$A$2:$D$73,4,0)</f>
        <v>7</v>
      </c>
      <c r="J1014" s="15" t="str">
        <f>VLOOKUP(I1014,department!$A$2:$B$13,2,0)</f>
        <v>Fan Shop</v>
      </c>
      <c r="K1014">
        <v>8867</v>
      </c>
      <c r="L1014" t="s">
        <v>525</v>
      </c>
      <c r="M1014" s="4">
        <v>43511</v>
      </c>
      <c r="N1014" s="12">
        <f t="shared" si="46"/>
        <v>2</v>
      </c>
      <c r="O1014" s="13">
        <f t="shared" si="47"/>
        <v>2019</v>
      </c>
      <c r="P1014" t="s">
        <v>13</v>
      </c>
      <c r="Q1014" t="s">
        <v>5778</v>
      </c>
      <c r="R1014" t="s">
        <v>23</v>
      </c>
      <c r="S1014" t="str" cm="1">
        <f t="array" ref="S1014">_xlfn.IFS(R1014="COMPLETE", "COMPLETED", R1014="CANCELED", "CANCELED", TRUE, "PENDING")</f>
        <v>PENDING</v>
      </c>
      <c r="T1014" t="s">
        <v>16</v>
      </c>
      <c r="U1014">
        <f>VLOOKUP(A1014,ordered_items!$B:$E,4,0)</f>
        <v>199.92</v>
      </c>
    </row>
    <row r="1015" spans="1:21" x14ac:dyDescent="0.3">
      <c r="A1015">
        <v>28160</v>
      </c>
      <c r="B1015" t="s">
        <v>24</v>
      </c>
      <c r="C1015">
        <v>6</v>
      </c>
      <c r="D1015">
        <v>4</v>
      </c>
      <c r="E1015" t="str">
        <f t="shared" si="45"/>
        <v>DELAYED</v>
      </c>
      <c r="F1015">
        <f>VLOOKUP($A1015,ordered_items!$B$2:$E$4784,2,0)</f>
        <v>403</v>
      </c>
      <c r="G1015">
        <f>VLOOKUP($A1015,ordered_items!$B$2:$E$4784,3,0)</f>
        <v>1</v>
      </c>
      <c r="H1015">
        <f>VLOOKUP($A1015,ordered_items!$B$2:$E$4784,4,0)</f>
        <v>129.99</v>
      </c>
      <c r="I1015" s="15">
        <f>VLOOKUP(F1015,product_info!$A$2:$D$73,4,0)</f>
        <v>4</v>
      </c>
      <c r="J1015" s="15" t="str">
        <f>VLOOKUP(I1015,department!$A$2:$B$13,2,0)</f>
        <v>Apparel</v>
      </c>
      <c r="K1015">
        <v>11404</v>
      </c>
      <c r="L1015" t="s">
        <v>1040</v>
      </c>
      <c r="M1015" s="4">
        <v>43511</v>
      </c>
      <c r="N1015" s="12">
        <f t="shared" si="46"/>
        <v>2</v>
      </c>
      <c r="O1015" s="13">
        <f t="shared" si="47"/>
        <v>2019</v>
      </c>
      <c r="P1015" t="s">
        <v>13</v>
      </c>
      <c r="Q1015" t="s">
        <v>377</v>
      </c>
      <c r="R1015" t="s">
        <v>31</v>
      </c>
      <c r="S1015" t="str" cm="1">
        <f t="array" ref="S1015">_xlfn.IFS(R1015="COMPLETE", "COMPLETED", R1015="CANCELED", "CANCELED", TRUE, "PENDING")</f>
        <v>COMPLETED</v>
      </c>
      <c r="T1015" t="s">
        <v>16</v>
      </c>
      <c r="U1015">
        <f>VLOOKUP(A1015,ordered_items!$B:$E,4,0)</f>
        <v>129.99</v>
      </c>
    </row>
    <row r="1016" spans="1:21" x14ac:dyDescent="0.3">
      <c r="A1016">
        <v>28161</v>
      </c>
      <c r="B1016" t="s">
        <v>3</v>
      </c>
      <c r="C1016">
        <v>2</v>
      </c>
      <c r="D1016">
        <v>4</v>
      </c>
      <c r="E1016" t="str">
        <f t="shared" si="45"/>
        <v xml:space="preserve"> ONTIME</v>
      </c>
      <c r="F1016">
        <f>VLOOKUP($A1016,ordered_items!$B$2:$E$4784,2,0)</f>
        <v>1004</v>
      </c>
      <c r="G1016">
        <f>VLOOKUP($A1016,ordered_items!$B$2:$E$4784,3,0)</f>
        <v>1</v>
      </c>
      <c r="H1016">
        <f>VLOOKUP($A1016,ordered_items!$B$2:$E$4784,4,0)</f>
        <v>399.98</v>
      </c>
      <c r="I1016" s="15">
        <f>VLOOKUP(F1016,product_info!$A$2:$D$73,4,0)</f>
        <v>7</v>
      </c>
      <c r="J1016" s="15" t="str">
        <f>VLOOKUP(I1016,department!$A$2:$B$13,2,0)</f>
        <v>Fan Shop</v>
      </c>
      <c r="K1016">
        <v>8544</v>
      </c>
      <c r="L1016" t="s">
        <v>1040</v>
      </c>
      <c r="M1016" s="4">
        <v>43511</v>
      </c>
      <c r="N1016" s="12">
        <f t="shared" si="46"/>
        <v>2</v>
      </c>
      <c r="O1016" s="13">
        <f t="shared" si="47"/>
        <v>2019</v>
      </c>
      <c r="P1016" t="s">
        <v>13</v>
      </c>
      <c r="Q1016" t="s">
        <v>377</v>
      </c>
      <c r="R1016" t="s">
        <v>38</v>
      </c>
      <c r="S1016" t="str" cm="1">
        <f t="array" ref="S1016">_xlfn.IFS(R1016="COMPLETE", "COMPLETED", R1016="CANCELED", "CANCELED", TRUE, "PENDING")</f>
        <v>PENDING</v>
      </c>
      <c r="T1016" t="s">
        <v>16</v>
      </c>
      <c r="U1016">
        <f>VLOOKUP(A1016,ordered_items!$B:$E,4,0)</f>
        <v>399.98</v>
      </c>
    </row>
    <row r="1017" spans="1:21" x14ac:dyDescent="0.3">
      <c r="A1017">
        <v>28165</v>
      </c>
      <c r="B1017" t="s">
        <v>51</v>
      </c>
      <c r="C1017">
        <v>6</v>
      </c>
      <c r="D1017">
        <v>4</v>
      </c>
      <c r="E1017" t="str">
        <f t="shared" si="45"/>
        <v>DELAYED</v>
      </c>
      <c r="F1017">
        <f>VLOOKUP($A1017,ordered_items!$B$2:$E$4784,2,0)</f>
        <v>1073</v>
      </c>
      <c r="G1017">
        <f>VLOOKUP($A1017,ordered_items!$B$2:$E$4784,3,0)</f>
        <v>1</v>
      </c>
      <c r="H1017">
        <f>VLOOKUP($A1017,ordered_items!$B$2:$E$4784,4,0)</f>
        <v>199.99</v>
      </c>
      <c r="I1017" s="15">
        <f>VLOOKUP(F1017,product_info!$A$2:$D$73,4,0)</f>
        <v>7</v>
      </c>
      <c r="J1017" s="15" t="str">
        <f>VLOOKUP(I1017,department!$A$2:$B$13,2,0)</f>
        <v>Fan Shop</v>
      </c>
      <c r="K1017">
        <v>1163</v>
      </c>
      <c r="L1017" t="s">
        <v>29</v>
      </c>
      <c r="M1017" s="4">
        <v>43511</v>
      </c>
      <c r="N1017" s="12">
        <f t="shared" si="46"/>
        <v>2</v>
      </c>
      <c r="O1017" s="13">
        <f t="shared" si="47"/>
        <v>2019</v>
      </c>
      <c r="P1017" t="s">
        <v>13</v>
      </c>
      <c r="Q1017" t="s">
        <v>30</v>
      </c>
      <c r="R1017" t="s">
        <v>57</v>
      </c>
      <c r="S1017" t="str" cm="1">
        <f t="array" ref="S1017">_xlfn.IFS(R1017="COMPLETE", "COMPLETED", R1017="CANCELED", "CANCELED", TRUE, "PENDING")</f>
        <v>PENDING</v>
      </c>
      <c r="T1017" t="s">
        <v>16</v>
      </c>
      <c r="U1017">
        <f>VLOOKUP(A1017,ordered_items!$B:$E,4,0)</f>
        <v>199.99</v>
      </c>
    </row>
    <row r="1018" spans="1:21" x14ac:dyDescent="0.3">
      <c r="A1018">
        <v>28169</v>
      </c>
      <c r="B1018" t="s">
        <v>24</v>
      </c>
      <c r="C1018">
        <v>5</v>
      </c>
      <c r="D1018">
        <v>4</v>
      </c>
      <c r="E1018" t="str">
        <f t="shared" si="45"/>
        <v>DELAYED</v>
      </c>
      <c r="F1018">
        <f>VLOOKUP($A1018,ordered_items!$B$2:$E$4784,2,0)</f>
        <v>403</v>
      </c>
      <c r="G1018">
        <f>VLOOKUP($A1018,ordered_items!$B$2:$E$4784,3,0)</f>
        <v>1</v>
      </c>
      <c r="H1018">
        <f>VLOOKUP($A1018,ordered_items!$B$2:$E$4784,4,0)</f>
        <v>129.99</v>
      </c>
      <c r="I1018" s="15">
        <f>VLOOKUP(F1018,product_info!$A$2:$D$73,4,0)</f>
        <v>4</v>
      </c>
      <c r="J1018" s="15" t="str">
        <f>VLOOKUP(I1018,department!$A$2:$B$13,2,0)</f>
        <v>Apparel</v>
      </c>
      <c r="K1018">
        <v>12305</v>
      </c>
      <c r="L1018" t="s">
        <v>1215</v>
      </c>
      <c r="M1018" s="4">
        <v>43511</v>
      </c>
      <c r="N1018" s="12">
        <f t="shared" si="46"/>
        <v>2</v>
      </c>
      <c r="O1018" s="13">
        <f t="shared" si="47"/>
        <v>2019</v>
      </c>
      <c r="P1018" t="s">
        <v>13</v>
      </c>
      <c r="Q1018" t="s">
        <v>5777</v>
      </c>
      <c r="R1018" t="s">
        <v>31</v>
      </c>
      <c r="S1018" t="str" cm="1">
        <f t="array" ref="S1018">_xlfn.IFS(R1018="COMPLETE", "COMPLETED", R1018="CANCELED", "CANCELED", TRUE, "PENDING")</f>
        <v>COMPLETED</v>
      </c>
      <c r="T1018" t="s">
        <v>16</v>
      </c>
      <c r="U1018">
        <f>VLOOKUP(A1018,ordered_items!$B:$E,4,0)</f>
        <v>129.99</v>
      </c>
    </row>
    <row r="1019" spans="1:21" x14ac:dyDescent="0.3">
      <c r="A1019">
        <v>28170</v>
      </c>
      <c r="B1019" t="s">
        <v>3</v>
      </c>
      <c r="C1019">
        <v>6</v>
      </c>
      <c r="D1019">
        <v>4</v>
      </c>
      <c r="E1019" t="str">
        <f t="shared" si="45"/>
        <v>DELAYED</v>
      </c>
      <c r="F1019">
        <f>VLOOKUP($A1019,ordered_items!$B$2:$E$4784,2,0)</f>
        <v>1073</v>
      </c>
      <c r="G1019">
        <f>VLOOKUP($A1019,ordered_items!$B$2:$E$4784,3,0)</f>
        <v>1</v>
      </c>
      <c r="H1019">
        <f>VLOOKUP($A1019,ordered_items!$B$2:$E$4784,4,0)</f>
        <v>199.99</v>
      </c>
      <c r="I1019" s="15">
        <f>VLOOKUP(F1019,product_info!$A$2:$D$73,4,0)</f>
        <v>7</v>
      </c>
      <c r="J1019" s="15" t="str">
        <f>VLOOKUP(I1019,department!$A$2:$B$13,2,0)</f>
        <v>Fan Shop</v>
      </c>
      <c r="K1019">
        <v>7579</v>
      </c>
      <c r="L1019" t="s">
        <v>405</v>
      </c>
      <c r="M1019" s="4">
        <v>43511</v>
      </c>
      <c r="N1019" s="12">
        <f t="shared" si="46"/>
        <v>2</v>
      </c>
      <c r="O1019" s="13">
        <f t="shared" si="47"/>
        <v>2019</v>
      </c>
      <c r="P1019" t="s">
        <v>13</v>
      </c>
      <c r="Q1019" t="s">
        <v>130</v>
      </c>
      <c r="R1019" t="s">
        <v>14</v>
      </c>
      <c r="S1019" t="str" cm="1">
        <f t="array" ref="S1019">_xlfn.IFS(R1019="COMPLETE", "COMPLETED", R1019="CANCELED", "CANCELED", TRUE, "PENDING")</f>
        <v>PENDING</v>
      </c>
      <c r="T1019" t="s">
        <v>16</v>
      </c>
      <c r="U1019">
        <f>VLOOKUP(A1019,ordered_items!$B:$E,4,0)</f>
        <v>199.99</v>
      </c>
    </row>
    <row r="1020" spans="1:21" x14ac:dyDescent="0.3">
      <c r="A1020">
        <v>28185</v>
      </c>
      <c r="B1020" t="s">
        <v>3</v>
      </c>
      <c r="C1020">
        <v>6</v>
      </c>
      <c r="D1020">
        <v>4</v>
      </c>
      <c r="E1020" t="str">
        <f t="shared" si="45"/>
        <v>DELAYED</v>
      </c>
      <c r="F1020">
        <f>VLOOKUP($A1020,ordered_items!$B$2:$E$4784,2,0)</f>
        <v>957</v>
      </c>
      <c r="G1020">
        <f>VLOOKUP($A1020,ordered_items!$B$2:$E$4784,3,0)</f>
        <v>1</v>
      </c>
      <c r="H1020">
        <f>VLOOKUP($A1020,ordered_items!$B$2:$E$4784,4,0)</f>
        <v>299.98</v>
      </c>
      <c r="I1020" s="15">
        <f>VLOOKUP(F1020,product_info!$A$2:$D$73,4,0)</f>
        <v>7</v>
      </c>
      <c r="J1020" s="15" t="str">
        <f>VLOOKUP(I1020,department!$A$2:$B$13,2,0)</f>
        <v>Fan Shop</v>
      </c>
      <c r="K1020">
        <v>1058</v>
      </c>
      <c r="L1020" t="s">
        <v>867</v>
      </c>
      <c r="M1020" s="4">
        <v>43511</v>
      </c>
      <c r="N1020" s="12">
        <f t="shared" si="46"/>
        <v>2</v>
      </c>
      <c r="O1020" s="13">
        <f t="shared" si="47"/>
        <v>2019</v>
      </c>
      <c r="P1020" t="s">
        <v>13</v>
      </c>
      <c r="Q1020" t="s">
        <v>5778</v>
      </c>
      <c r="R1020" t="s">
        <v>14</v>
      </c>
      <c r="S1020" t="str" cm="1">
        <f t="array" ref="S1020">_xlfn.IFS(R1020="COMPLETE", "COMPLETED", R1020="CANCELED", "CANCELED", TRUE, "PENDING")</f>
        <v>PENDING</v>
      </c>
      <c r="T1020" t="s">
        <v>16</v>
      </c>
      <c r="U1020">
        <f>VLOOKUP(A1020,ordered_items!$B:$E,4,0)</f>
        <v>299.98</v>
      </c>
    </row>
    <row r="1021" spans="1:21" x14ac:dyDescent="0.3">
      <c r="A1021">
        <v>28212</v>
      </c>
      <c r="B1021" t="s">
        <v>17</v>
      </c>
      <c r="C1021">
        <v>3</v>
      </c>
      <c r="D1021">
        <v>2</v>
      </c>
      <c r="E1021" t="str">
        <f t="shared" si="45"/>
        <v>DELAYED</v>
      </c>
      <c r="F1021">
        <f>VLOOKUP($A1021,ordered_items!$B$2:$E$4784,2,0)</f>
        <v>191</v>
      </c>
      <c r="G1021">
        <f>VLOOKUP($A1021,ordered_items!$B$2:$E$4784,3,0)</f>
        <v>1</v>
      </c>
      <c r="H1021">
        <f>VLOOKUP($A1021,ordered_items!$B$2:$E$4784,4,0)</f>
        <v>99.99</v>
      </c>
      <c r="I1021" s="15">
        <f>VLOOKUP(F1021,product_info!$A$2:$D$73,4,0)</f>
        <v>3</v>
      </c>
      <c r="J1021" s="15" t="str">
        <f>VLOOKUP(I1021,department!$A$2:$B$13,2,0)</f>
        <v>Footwear</v>
      </c>
      <c r="K1021">
        <v>10779</v>
      </c>
      <c r="L1021" t="s">
        <v>758</v>
      </c>
      <c r="M1021" s="4">
        <v>43511</v>
      </c>
      <c r="N1021" s="12">
        <f t="shared" si="46"/>
        <v>2</v>
      </c>
      <c r="O1021" s="13">
        <f t="shared" si="47"/>
        <v>2019</v>
      </c>
      <c r="P1021" t="s">
        <v>13</v>
      </c>
      <c r="Q1021" t="s">
        <v>431</v>
      </c>
      <c r="R1021" t="s">
        <v>23</v>
      </c>
      <c r="S1021" t="str" cm="1">
        <f t="array" ref="S1021">_xlfn.IFS(R1021="COMPLETE", "COMPLETED", R1021="CANCELED", "CANCELED", TRUE, "PENDING")</f>
        <v>PENDING</v>
      </c>
      <c r="T1021" t="s">
        <v>90</v>
      </c>
      <c r="U1021">
        <f>VLOOKUP(A1021,ordered_items!$B:$E,4,0)</f>
        <v>99.99</v>
      </c>
    </row>
    <row r="1022" spans="1:21" x14ac:dyDescent="0.3">
      <c r="A1022">
        <v>28255</v>
      </c>
      <c r="B1022" t="s">
        <v>51</v>
      </c>
      <c r="C1022">
        <v>0</v>
      </c>
      <c r="D1022">
        <v>0</v>
      </c>
      <c r="E1022" t="str">
        <f t="shared" si="45"/>
        <v xml:space="preserve"> ONTIME</v>
      </c>
      <c r="F1022">
        <f>VLOOKUP($A1022,ordered_items!$B$2:$E$4784,2,0)</f>
        <v>502</v>
      </c>
      <c r="G1022">
        <f>VLOOKUP($A1022,ordered_items!$B$2:$E$4784,3,0)</f>
        <v>2</v>
      </c>
      <c r="H1022">
        <f>VLOOKUP($A1022,ordered_items!$B$2:$E$4784,4,0)</f>
        <v>100</v>
      </c>
      <c r="I1022" s="15">
        <f>VLOOKUP(F1022,product_info!$A$2:$D$73,4,0)</f>
        <v>5</v>
      </c>
      <c r="J1022" s="15" t="str">
        <f>VLOOKUP(I1022,department!$A$2:$B$13,2,0)</f>
        <v>Golf</v>
      </c>
      <c r="K1022">
        <v>3162</v>
      </c>
      <c r="L1022" t="s">
        <v>1181</v>
      </c>
      <c r="M1022" s="4">
        <v>43512</v>
      </c>
      <c r="N1022" s="12">
        <f t="shared" si="46"/>
        <v>2</v>
      </c>
      <c r="O1022" s="13">
        <f t="shared" si="47"/>
        <v>2019</v>
      </c>
      <c r="P1022" t="s">
        <v>13</v>
      </c>
      <c r="Q1022" t="s">
        <v>377</v>
      </c>
      <c r="R1022" t="s">
        <v>57</v>
      </c>
      <c r="S1022" t="str" cm="1">
        <f t="array" ref="S1022">_xlfn.IFS(R1022="COMPLETE", "COMPLETED", R1022="CANCELED", "CANCELED", TRUE, "PENDING")</f>
        <v>PENDING</v>
      </c>
      <c r="T1022" t="s">
        <v>58</v>
      </c>
      <c r="U1022">
        <f>VLOOKUP(A1022,ordered_items!$B:$E,4,0)</f>
        <v>100</v>
      </c>
    </row>
    <row r="1023" spans="1:21" x14ac:dyDescent="0.3">
      <c r="A1023">
        <v>28279</v>
      </c>
      <c r="B1023" t="s">
        <v>3</v>
      </c>
      <c r="C1023">
        <v>1</v>
      </c>
      <c r="D1023">
        <v>0</v>
      </c>
      <c r="E1023" t="str">
        <f t="shared" si="45"/>
        <v>DELAYED</v>
      </c>
      <c r="F1023">
        <f>VLOOKUP($A1023,ordered_items!$B$2:$E$4784,2,0)</f>
        <v>1014</v>
      </c>
      <c r="G1023">
        <f>VLOOKUP($A1023,ordered_items!$B$2:$E$4784,3,0)</f>
        <v>4</v>
      </c>
      <c r="H1023">
        <f>VLOOKUP($A1023,ordered_items!$B$2:$E$4784,4,0)</f>
        <v>199.92</v>
      </c>
      <c r="I1023" s="15">
        <f>VLOOKUP(F1023,product_info!$A$2:$D$73,4,0)</f>
        <v>7</v>
      </c>
      <c r="J1023" s="15" t="str">
        <f>VLOOKUP(I1023,department!$A$2:$B$13,2,0)</f>
        <v>Fan Shop</v>
      </c>
      <c r="K1023">
        <v>7640</v>
      </c>
      <c r="L1023" t="s">
        <v>233</v>
      </c>
      <c r="M1023" s="4">
        <v>43512</v>
      </c>
      <c r="N1023" s="12">
        <f t="shared" si="46"/>
        <v>2</v>
      </c>
      <c r="O1023" s="13">
        <f t="shared" si="47"/>
        <v>2019</v>
      </c>
      <c r="P1023" t="s">
        <v>13</v>
      </c>
      <c r="Q1023" t="s">
        <v>234</v>
      </c>
      <c r="R1023" t="s">
        <v>38</v>
      </c>
      <c r="S1023" t="str" cm="1">
        <f t="array" ref="S1023">_xlfn.IFS(R1023="COMPLETE", "COMPLETED", R1023="CANCELED", "CANCELED", TRUE, "PENDING")</f>
        <v>PENDING</v>
      </c>
      <c r="T1023" t="s">
        <v>58</v>
      </c>
      <c r="U1023">
        <f>VLOOKUP(A1023,ordered_items!$B:$E,4,0)</f>
        <v>199.92</v>
      </c>
    </row>
    <row r="1024" spans="1:21" x14ac:dyDescent="0.3">
      <c r="A1024">
        <v>28280</v>
      </c>
      <c r="B1024" t="s">
        <v>51</v>
      </c>
      <c r="C1024">
        <v>6</v>
      </c>
      <c r="D1024">
        <v>2</v>
      </c>
      <c r="E1024" t="str">
        <f t="shared" si="45"/>
        <v>DELAYED</v>
      </c>
      <c r="F1024">
        <f>VLOOKUP($A1024,ordered_items!$B$2:$E$4784,2,0)</f>
        <v>365</v>
      </c>
      <c r="G1024">
        <f>VLOOKUP($A1024,ordered_items!$B$2:$E$4784,3,0)</f>
        <v>2</v>
      </c>
      <c r="H1024">
        <f>VLOOKUP($A1024,ordered_items!$B$2:$E$4784,4,0)</f>
        <v>119.98</v>
      </c>
      <c r="I1024" s="15">
        <f>VLOOKUP(F1024,product_info!$A$2:$D$73,4,0)</f>
        <v>4</v>
      </c>
      <c r="J1024" s="15" t="str">
        <f>VLOOKUP(I1024,department!$A$2:$B$13,2,0)</f>
        <v>Apparel</v>
      </c>
      <c r="K1024">
        <v>1682</v>
      </c>
      <c r="L1024" t="s">
        <v>233</v>
      </c>
      <c r="M1024" s="4">
        <v>43512</v>
      </c>
      <c r="N1024" s="12">
        <f t="shared" si="46"/>
        <v>2</v>
      </c>
      <c r="O1024" s="13">
        <f t="shared" si="47"/>
        <v>2019</v>
      </c>
      <c r="P1024" t="s">
        <v>13</v>
      </c>
      <c r="Q1024" t="s">
        <v>234</v>
      </c>
      <c r="R1024" t="s">
        <v>57</v>
      </c>
      <c r="S1024" t="str" cm="1">
        <f t="array" ref="S1024">_xlfn.IFS(R1024="COMPLETE", "COMPLETED", R1024="CANCELED", "CANCELED", TRUE, "PENDING")</f>
        <v>PENDING</v>
      </c>
      <c r="T1024" t="s">
        <v>90</v>
      </c>
      <c r="U1024">
        <f>VLOOKUP(A1024,ordered_items!$B:$E,4,0)</f>
        <v>119.98</v>
      </c>
    </row>
    <row r="1025" spans="1:21" x14ac:dyDescent="0.3">
      <c r="A1025">
        <v>28281</v>
      </c>
      <c r="B1025" t="s">
        <v>17</v>
      </c>
      <c r="C1025">
        <v>2</v>
      </c>
      <c r="D1025">
        <v>2</v>
      </c>
      <c r="E1025" t="str">
        <f t="shared" si="45"/>
        <v xml:space="preserve"> ONTIME</v>
      </c>
      <c r="F1025">
        <f>VLOOKUP($A1025,ordered_items!$B$2:$E$4784,2,0)</f>
        <v>403</v>
      </c>
      <c r="G1025">
        <f>VLOOKUP($A1025,ordered_items!$B$2:$E$4784,3,0)</f>
        <v>1</v>
      </c>
      <c r="H1025">
        <f>VLOOKUP($A1025,ordered_items!$B$2:$E$4784,4,0)</f>
        <v>129.99</v>
      </c>
      <c r="I1025" s="15">
        <f>VLOOKUP(F1025,product_info!$A$2:$D$73,4,0)</f>
        <v>4</v>
      </c>
      <c r="J1025" s="15" t="str">
        <f>VLOOKUP(I1025,department!$A$2:$B$13,2,0)</f>
        <v>Apparel</v>
      </c>
      <c r="K1025">
        <v>4225</v>
      </c>
      <c r="L1025" t="s">
        <v>233</v>
      </c>
      <c r="M1025" s="4">
        <v>43512</v>
      </c>
      <c r="N1025" s="12">
        <f t="shared" si="46"/>
        <v>2</v>
      </c>
      <c r="O1025" s="13">
        <f t="shared" si="47"/>
        <v>2019</v>
      </c>
      <c r="P1025" t="s">
        <v>13</v>
      </c>
      <c r="Q1025" t="s">
        <v>234</v>
      </c>
      <c r="R1025" t="s">
        <v>23</v>
      </c>
      <c r="S1025" t="str" cm="1">
        <f t="array" ref="S1025">_xlfn.IFS(R1025="COMPLETE", "COMPLETED", R1025="CANCELED", "CANCELED", TRUE, "PENDING")</f>
        <v>PENDING</v>
      </c>
      <c r="T1025" t="s">
        <v>90</v>
      </c>
      <c r="U1025">
        <f>VLOOKUP(A1025,ordered_items!$B:$E,4,0)</f>
        <v>129.99</v>
      </c>
    </row>
    <row r="1026" spans="1:21" x14ac:dyDescent="0.3">
      <c r="A1026">
        <v>28282</v>
      </c>
      <c r="B1026" t="s">
        <v>24</v>
      </c>
      <c r="C1026">
        <v>3</v>
      </c>
      <c r="D1026">
        <v>2</v>
      </c>
      <c r="E1026" t="str">
        <f t="shared" si="45"/>
        <v>DELAYED</v>
      </c>
      <c r="F1026">
        <f>VLOOKUP($A1026,ordered_items!$B$2:$E$4784,2,0)</f>
        <v>1073</v>
      </c>
      <c r="G1026">
        <f>VLOOKUP($A1026,ordered_items!$B$2:$E$4784,3,0)</f>
        <v>1</v>
      </c>
      <c r="H1026">
        <f>VLOOKUP($A1026,ordered_items!$B$2:$E$4784,4,0)</f>
        <v>199.99</v>
      </c>
      <c r="I1026" s="15">
        <f>VLOOKUP(F1026,product_info!$A$2:$D$73,4,0)</f>
        <v>7</v>
      </c>
      <c r="J1026" s="15" t="str">
        <f>VLOOKUP(I1026,department!$A$2:$B$13,2,0)</f>
        <v>Fan Shop</v>
      </c>
      <c r="K1026">
        <v>11901</v>
      </c>
      <c r="L1026" t="s">
        <v>233</v>
      </c>
      <c r="M1026" s="4">
        <v>43512</v>
      </c>
      <c r="N1026" s="12">
        <f t="shared" si="46"/>
        <v>2</v>
      </c>
      <c r="O1026" s="13">
        <f t="shared" si="47"/>
        <v>2019</v>
      </c>
      <c r="P1026" t="s">
        <v>13</v>
      </c>
      <c r="Q1026" t="s">
        <v>234</v>
      </c>
      <c r="R1026" t="s">
        <v>31</v>
      </c>
      <c r="S1026" t="str" cm="1">
        <f t="array" ref="S1026">_xlfn.IFS(R1026="COMPLETE", "COMPLETED", R1026="CANCELED", "CANCELED", TRUE, "PENDING")</f>
        <v>COMPLETED</v>
      </c>
      <c r="T1026" t="s">
        <v>90</v>
      </c>
      <c r="U1026">
        <f>VLOOKUP(A1026,ordered_items!$B:$E,4,0)</f>
        <v>199.99</v>
      </c>
    </row>
    <row r="1027" spans="1:21" x14ac:dyDescent="0.3">
      <c r="A1027">
        <v>28291</v>
      </c>
      <c r="B1027" t="s">
        <v>51</v>
      </c>
      <c r="C1027">
        <v>2</v>
      </c>
      <c r="D1027">
        <v>1</v>
      </c>
      <c r="E1027" t="str">
        <f t="shared" ref="E1027:E1090" si="48">IF(C1027-D1027&gt;0,"DELAYED"," ONTIME")</f>
        <v>DELAYED</v>
      </c>
      <c r="F1027">
        <f>VLOOKUP($A1027,ordered_items!$B$2:$E$4784,2,0)</f>
        <v>1014</v>
      </c>
      <c r="G1027">
        <f>VLOOKUP($A1027,ordered_items!$B$2:$E$4784,3,0)</f>
        <v>5</v>
      </c>
      <c r="H1027">
        <f>VLOOKUP($A1027,ordered_items!$B$2:$E$4784,4,0)</f>
        <v>249.9</v>
      </c>
      <c r="I1027" s="15">
        <f>VLOOKUP(F1027,product_info!$A$2:$D$73,4,0)</f>
        <v>7</v>
      </c>
      <c r="J1027" s="15" t="str">
        <f>VLOOKUP(I1027,department!$A$2:$B$13,2,0)</f>
        <v>Fan Shop</v>
      </c>
      <c r="K1027">
        <v>3218</v>
      </c>
      <c r="L1027" t="s">
        <v>226</v>
      </c>
      <c r="M1027" s="4">
        <v>43512</v>
      </c>
      <c r="N1027" s="12">
        <f t="shared" ref="N1027:N1090" si="49">MONTH(M1027)</f>
        <v>2</v>
      </c>
      <c r="O1027" s="13">
        <f t="shared" ref="O1027:O1090" si="50">YEAR(M1027)</f>
        <v>2019</v>
      </c>
      <c r="P1027" t="s">
        <v>13</v>
      </c>
      <c r="Q1027" t="s">
        <v>227</v>
      </c>
      <c r="R1027" t="s">
        <v>57</v>
      </c>
      <c r="S1027" t="str" cm="1">
        <f t="array" ref="S1027">_xlfn.IFS(R1027="COMPLETE", "COMPLETED", R1027="CANCELED", "CANCELED", TRUE, "PENDING")</f>
        <v>PENDING</v>
      </c>
      <c r="T1027" t="s">
        <v>32</v>
      </c>
      <c r="U1027">
        <f>VLOOKUP(A1027,ordered_items!$B:$E,4,0)</f>
        <v>249.9</v>
      </c>
    </row>
    <row r="1028" spans="1:21" x14ac:dyDescent="0.3">
      <c r="A1028">
        <v>28292</v>
      </c>
      <c r="B1028" t="s">
        <v>51</v>
      </c>
      <c r="C1028">
        <v>3</v>
      </c>
      <c r="D1028">
        <v>2</v>
      </c>
      <c r="E1028" t="str">
        <f t="shared" si="48"/>
        <v>DELAYED</v>
      </c>
      <c r="F1028">
        <f>VLOOKUP($A1028,ordered_items!$B$2:$E$4784,2,0)</f>
        <v>924</v>
      </c>
      <c r="G1028">
        <f>VLOOKUP($A1028,ordered_items!$B$2:$E$4784,3,0)</f>
        <v>3</v>
      </c>
      <c r="H1028">
        <f>VLOOKUP($A1028,ordered_items!$B$2:$E$4784,4,0)</f>
        <v>47.97</v>
      </c>
      <c r="I1028" s="15">
        <f>VLOOKUP(F1028,product_info!$A$2:$D$73,4,0)</f>
        <v>6</v>
      </c>
      <c r="J1028" s="15" t="str">
        <f>VLOOKUP(I1028,department!$A$2:$B$13,2,0)</f>
        <v>Outdoors</v>
      </c>
      <c r="K1028">
        <v>10533</v>
      </c>
      <c r="L1028" t="s">
        <v>226</v>
      </c>
      <c r="M1028" s="4">
        <v>43512</v>
      </c>
      <c r="N1028" s="12">
        <f t="shared" si="49"/>
        <v>2</v>
      </c>
      <c r="O1028" s="13">
        <f t="shared" si="50"/>
        <v>2019</v>
      </c>
      <c r="P1028" t="s">
        <v>13</v>
      </c>
      <c r="Q1028" t="s">
        <v>227</v>
      </c>
      <c r="R1028" t="s">
        <v>57</v>
      </c>
      <c r="S1028" t="str" cm="1">
        <f t="array" ref="S1028">_xlfn.IFS(R1028="COMPLETE", "COMPLETED", R1028="CANCELED", "CANCELED", TRUE, "PENDING")</f>
        <v>PENDING</v>
      </c>
      <c r="T1028" t="s">
        <v>90</v>
      </c>
      <c r="U1028">
        <f>VLOOKUP(A1028,ordered_items!$B:$E,4,0)</f>
        <v>47.97</v>
      </c>
    </row>
    <row r="1029" spans="1:21" x14ac:dyDescent="0.3">
      <c r="A1029">
        <v>28294</v>
      </c>
      <c r="B1029" t="s">
        <v>24</v>
      </c>
      <c r="C1029">
        <v>5</v>
      </c>
      <c r="D1029">
        <v>4</v>
      </c>
      <c r="E1029" t="str">
        <f t="shared" si="48"/>
        <v>DELAYED</v>
      </c>
      <c r="F1029">
        <f>VLOOKUP($A1029,ordered_items!$B$2:$E$4784,2,0)</f>
        <v>957</v>
      </c>
      <c r="G1029">
        <f>VLOOKUP($A1029,ordered_items!$B$2:$E$4784,3,0)</f>
        <v>1</v>
      </c>
      <c r="H1029">
        <f>VLOOKUP($A1029,ordered_items!$B$2:$E$4784,4,0)</f>
        <v>299.98</v>
      </c>
      <c r="I1029" s="15">
        <f>VLOOKUP(F1029,product_info!$A$2:$D$73,4,0)</f>
        <v>7</v>
      </c>
      <c r="J1029" s="15" t="str">
        <f>VLOOKUP(I1029,department!$A$2:$B$13,2,0)</f>
        <v>Fan Shop</v>
      </c>
      <c r="K1029">
        <v>255</v>
      </c>
      <c r="L1029" t="s">
        <v>186</v>
      </c>
      <c r="M1029" s="4">
        <v>43513</v>
      </c>
      <c r="N1029" s="12">
        <f t="shared" si="49"/>
        <v>2</v>
      </c>
      <c r="O1029" s="13">
        <f t="shared" si="50"/>
        <v>2019</v>
      </c>
      <c r="P1029" t="s">
        <v>13</v>
      </c>
      <c r="Q1029" t="s">
        <v>5778</v>
      </c>
      <c r="R1029" t="s">
        <v>31</v>
      </c>
      <c r="S1029" t="str" cm="1">
        <f t="array" ref="S1029">_xlfn.IFS(R1029="COMPLETE", "COMPLETED", R1029="CANCELED", "CANCELED", TRUE, "PENDING")</f>
        <v>COMPLETED</v>
      </c>
      <c r="T1029" t="s">
        <v>16</v>
      </c>
      <c r="U1029">
        <f>VLOOKUP(A1029,ordered_items!$B:$E,4,0)</f>
        <v>299.98</v>
      </c>
    </row>
    <row r="1030" spans="1:21" x14ac:dyDescent="0.3">
      <c r="A1030">
        <v>28296</v>
      </c>
      <c r="B1030" t="s">
        <v>3</v>
      </c>
      <c r="C1030">
        <v>2</v>
      </c>
      <c r="D1030">
        <v>4</v>
      </c>
      <c r="E1030" t="str">
        <f t="shared" si="48"/>
        <v xml:space="preserve"> ONTIME</v>
      </c>
      <c r="F1030">
        <f>VLOOKUP($A1030,ordered_items!$B$2:$E$4784,2,0)</f>
        <v>1073</v>
      </c>
      <c r="G1030">
        <f>VLOOKUP($A1030,ordered_items!$B$2:$E$4784,3,0)</f>
        <v>1</v>
      </c>
      <c r="H1030">
        <f>VLOOKUP($A1030,ordered_items!$B$2:$E$4784,4,0)</f>
        <v>199.99</v>
      </c>
      <c r="I1030" s="15">
        <f>VLOOKUP(F1030,product_info!$A$2:$D$73,4,0)</f>
        <v>7</v>
      </c>
      <c r="J1030" s="15" t="str">
        <f>VLOOKUP(I1030,department!$A$2:$B$13,2,0)</f>
        <v>Fan Shop</v>
      </c>
      <c r="K1030">
        <v>43</v>
      </c>
      <c r="L1030" t="s">
        <v>233</v>
      </c>
      <c r="M1030" s="4">
        <v>43513</v>
      </c>
      <c r="N1030" s="12">
        <f t="shared" si="49"/>
        <v>2</v>
      </c>
      <c r="O1030" s="13">
        <f t="shared" si="50"/>
        <v>2019</v>
      </c>
      <c r="P1030" t="s">
        <v>13</v>
      </c>
      <c r="Q1030" t="s">
        <v>234</v>
      </c>
      <c r="R1030" t="s">
        <v>14</v>
      </c>
      <c r="S1030" t="str" cm="1">
        <f t="array" ref="S1030">_xlfn.IFS(R1030="COMPLETE", "COMPLETED", R1030="CANCELED", "CANCELED", TRUE, "PENDING")</f>
        <v>PENDING</v>
      </c>
      <c r="T1030" t="s">
        <v>16</v>
      </c>
      <c r="U1030">
        <f>VLOOKUP(A1030,ordered_items!$B:$E,4,0)</f>
        <v>199.99</v>
      </c>
    </row>
    <row r="1031" spans="1:21" x14ac:dyDescent="0.3">
      <c r="A1031">
        <v>28317</v>
      </c>
      <c r="B1031" t="s">
        <v>51</v>
      </c>
      <c r="C1031">
        <v>3</v>
      </c>
      <c r="D1031">
        <v>4</v>
      </c>
      <c r="E1031" t="str">
        <f t="shared" si="48"/>
        <v xml:space="preserve"> ONTIME</v>
      </c>
      <c r="F1031">
        <f>VLOOKUP($A1031,ordered_items!$B$2:$E$4784,2,0)</f>
        <v>365</v>
      </c>
      <c r="G1031">
        <f>VLOOKUP($A1031,ordered_items!$B$2:$E$4784,3,0)</f>
        <v>2</v>
      </c>
      <c r="H1031">
        <f>VLOOKUP($A1031,ordered_items!$B$2:$E$4784,4,0)</f>
        <v>119.98</v>
      </c>
      <c r="I1031" s="15">
        <f>VLOOKUP(F1031,product_info!$A$2:$D$73,4,0)</f>
        <v>4</v>
      </c>
      <c r="J1031" s="15" t="str">
        <f>VLOOKUP(I1031,department!$A$2:$B$13,2,0)</f>
        <v>Apparel</v>
      </c>
      <c r="K1031">
        <v>3202</v>
      </c>
      <c r="L1031" t="s">
        <v>327</v>
      </c>
      <c r="M1031" s="4">
        <v>43513</v>
      </c>
      <c r="N1031" s="12">
        <f t="shared" si="49"/>
        <v>2</v>
      </c>
      <c r="O1031" s="13">
        <f t="shared" si="50"/>
        <v>2019</v>
      </c>
      <c r="P1031" t="s">
        <v>13</v>
      </c>
      <c r="Q1031" t="s">
        <v>227</v>
      </c>
      <c r="R1031" t="s">
        <v>57</v>
      </c>
      <c r="S1031" t="str" cm="1">
        <f t="array" ref="S1031">_xlfn.IFS(R1031="COMPLETE", "COMPLETED", R1031="CANCELED", "CANCELED", TRUE, "PENDING")</f>
        <v>PENDING</v>
      </c>
      <c r="T1031" t="s">
        <v>16</v>
      </c>
      <c r="U1031">
        <f>VLOOKUP(A1031,ordered_items!$B:$E,4,0)</f>
        <v>119.98</v>
      </c>
    </row>
    <row r="1032" spans="1:21" x14ac:dyDescent="0.3">
      <c r="A1032">
        <v>28318</v>
      </c>
      <c r="B1032" t="s">
        <v>24</v>
      </c>
      <c r="C1032">
        <v>4</v>
      </c>
      <c r="D1032">
        <v>4</v>
      </c>
      <c r="E1032" t="str">
        <f t="shared" si="48"/>
        <v xml:space="preserve"> ONTIME</v>
      </c>
      <c r="F1032">
        <f>VLOOKUP($A1032,ordered_items!$B$2:$E$4784,2,0)</f>
        <v>1014</v>
      </c>
      <c r="G1032">
        <f>VLOOKUP($A1032,ordered_items!$B$2:$E$4784,3,0)</f>
        <v>4</v>
      </c>
      <c r="H1032">
        <f>VLOOKUP($A1032,ordered_items!$B$2:$E$4784,4,0)</f>
        <v>199.92</v>
      </c>
      <c r="I1032" s="15">
        <f>VLOOKUP(F1032,product_info!$A$2:$D$73,4,0)</f>
        <v>7</v>
      </c>
      <c r="J1032" s="15" t="str">
        <f>VLOOKUP(I1032,department!$A$2:$B$13,2,0)</f>
        <v>Fan Shop</v>
      </c>
      <c r="K1032">
        <v>3413</v>
      </c>
      <c r="L1032" t="s">
        <v>327</v>
      </c>
      <c r="M1032" s="4">
        <v>43513</v>
      </c>
      <c r="N1032" s="12">
        <f t="shared" si="49"/>
        <v>2</v>
      </c>
      <c r="O1032" s="13">
        <f t="shared" si="50"/>
        <v>2019</v>
      </c>
      <c r="P1032" t="s">
        <v>13</v>
      </c>
      <c r="Q1032" t="s">
        <v>227</v>
      </c>
      <c r="R1032" t="s">
        <v>31</v>
      </c>
      <c r="S1032" t="str" cm="1">
        <f t="array" ref="S1032">_xlfn.IFS(R1032="COMPLETE", "COMPLETED", R1032="CANCELED", "CANCELED", TRUE, "PENDING")</f>
        <v>COMPLETED</v>
      </c>
      <c r="T1032" t="s">
        <v>16</v>
      </c>
      <c r="U1032">
        <f>VLOOKUP(A1032,ordered_items!$B:$E,4,0)</f>
        <v>199.92</v>
      </c>
    </row>
    <row r="1033" spans="1:21" x14ac:dyDescent="0.3">
      <c r="A1033">
        <v>28329</v>
      </c>
      <c r="B1033" t="s">
        <v>24</v>
      </c>
      <c r="C1033">
        <v>5</v>
      </c>
      <c r="D1033">
        <v>2</v>
      </c>
      <c r="E1033" t="str">
        <f t="shared" si="48"/>
        <v>DELAYED</v>
      </c>
      <c r="F1033">
        <f>VLOOKUP($A1033,ordered_items!$B$2:$E$4784,2,0)</f>
        <v>403</v>
      </c>
      <c r="G1033">
        <f>VLOOKUP($A1033,ordered_items!$B$2:$E$4784,3,0)</f>
        <v>1</v>
      </c>
      <c r="H1033">
        <f>VLOOKUP($A1033,ordered_items!$B$2:$E$4784,4,0)</f>
        <v>129.99</v>
      </c>
      <c r="I1033" s="15">
        <f>VLOOKUP(F1033,product_info!$A$2:$D$73,4,0)</f>
        <v>4</v>
      </c>
      <c r="J1033" s="15" t="str">
        <f>VLOOKUP(I1033,department!$A$2:$B$13,2,0)</f>
        <v>Apparel</v>
      </c>
      <c r="K1033">
        <v>4212</v>
      </c>
      <c r="L1033" t="s">
        <v>1525</v>
      </c>
      <c r="M1033" s="4">
        <v>43513</v>
      </c>
      <c r="N1033" s="12">
        <f t="shared" si="49"/>
        <v>2</v>
      </c>
      <c r="O1033" s="13">
        <f t="shared" si="50"/>
        <v>2019</v>
      </c>
      <c r="P1033" t="s">
        <v>13</v>
      </c>
      <c r="Q1033" t="s">
        <v>377</v>
      </c>
      <c r="R1033" t="s">
        <v>31</v>
      </c>
      <c r="S1033" t="str" cm="1">
        <f t="array" ref="S1033">_xlfn.IFS(R1033="COMPLETE", "COMPLETED", R1033="CANCELED", "CANCELED", TRUE, "PENDING")</f>
        <v>COMPLETED</v>
      </c>
      <c r="T1033" t="s">
        <v>90</v>
      </c>
      <c r="U1033">
        <f>VLOOKUP(A1033,ordered_items!$B:$E,4,0)</f>
        <v>129.99</v>
      </c>
    </row>
    <row r="1034" spans="1:21" x14ac:dyDescent="0.3">
      <c r="A1034">
        <v>28330</v>
      </c>
      <c r="B1034" t="s">
        <v>17</v>
      </c>
      <c r="C1034">
        <v>6</v>
      </c>
      <c r="D1034">
        <v>4</v>
      </c>
      <c r="E1034" t="str">
        <f t="shared" si="48"/>
        <v>DELAYED</v>
      </c>
      <c r="F1034">
        <f>VLOOKUP($A1034,ordered_items!$B$2:$E$4784,2,0)</f>
        <v>823</v>
      </c>
      <c r="G1034">
        <f>VLOOKUP($A1034,ordered_items!$B$2:$E$4784,3,0)</f>
        <v>3</v>
      </c>
      <c r="H1034">
        <f>VLOOKUP($A1034,ordered_items!$B$2:$E$4784,4,0)</f>
        <v>155.97</v>
      </c>
      <c r="I1034" s="15">
        <f>VLOOKUP(F1034,product_info!$A$2:$D$73,4,0)</f>
        <v>6</v>
      </c>
      <c r="J1034" s="15" t="str">
        <f>VLOOKUP(I1034,department!$A$2:$B$13,2,0)</f>
        <v>Outdoors</v>
      </c>
      <c r="K1034">
        <v>1640</v>
      </c>
      <c r="L1034" t="s">
        <v>1525</v>
      </c>
      <c r="M1034" s="4">
        <v>43513</v>
      </c>
      <c r="N1034" s="12">
        <f t="shared" si="49"/>
        <v>2</v>
      </c>
      <c r="O1034" s="13">
        <f t="shared" si="50"/>
        <v>2019</v>
      </c>
      <c r="P1034" t="s">
        <v>13</v>
      </c>
      <c r="Q1034" t="s">
        <v>377</v>
      </c>
      <c r="R1034" t="s">
        <v>23</v>
      </c>
      <c r="S1034" t="str" cm="1">
        <f t="array" ref="S1034">_xlfn.IFS(R1034="COMPLETE", "COMPLETED", R1034="CANCELED", "CANCELED", TRUE, "PENDING")</f>
        <v>PENDING</v>
      </c>
      <c r="T1034" t="s">
        <v>16</v>
      </c>
      <c r="U1034">
        <f>VLOOKUP(A1034,ordered_items!$B:$E,4,0)</f>
        <v>155.97</v>
      </c>
    </row>
    <row r="1035" spans="1:21" x14ac:dyDescent="0.3">
      <c r="A1035">
        <v>28331</v>
      </c>
      <c r="B1035" t="s">
        <v>24</v>
      </c>
      <c r="C1035">
        <v>2</v>
      </c>
      <c r="D1035">
        <v>4</v>
      </c>
      <c r="E1035" t="str">
        <f t="shared" si="48"/>
        <v xml:space="preserve"> ONTIME</v>
      </c>
      <c r="F1035">
        <f>VLOOKUP($A1035,ordered_items!$B$2:$E$4784,2,0)</f>
        <v>1014</v>
      </c>
      <c r="G1035">
        <f>VLOOKUP($A1035,ordered_items!$B$2:$E$4784,3,0)</f>
        <v>1</v>
      </c>
      <c r="H1035">
        <f>VLOOKUP($A1035,ordered_items!$B$2:$E$4784,4,0)</f>
        <v>49.98</v>
      </c>
      <c r="I1035" s="15">
        <f>VLOOKUP(F1035,product_info!$A$2:$D$73,4,0)</f>
        <v>7</v>
      </c>
      <c r="J1035" s="15" t="str">
        <f>VLOOKUP(I1035,department!$A$2:$B$13,2,0)</f>
        <v>Fan Shop</v>
      </c>
      <c r="K1035">
        <v>8386</v>
      </c>
      <c r="L1035" t="s">
        <v>1525</v>
      </c>
      <c r="M1035" s="4">
        <v>43513</v>
      </c>
      <c r="N1035" s="12">
        <f t="shared" si="49"/>
        <v>2</v>
      </c>
      <c r="O1035" s="13">
        <f t="shared" si="50"/>
        <v>2019</v>
      </c>
      <c r="P1035" t="s">
        <v>13</v>
      </c>
      <c r="Q1035" t="s">
        <v>377</v>
      </c>
      <c r="R1035" t="s">
        <v>378</v>
      </c>
      <c r="S1035" t="str" cm="1">
        <f t="array" ref="S1035">_xlfn.IFS(R1035="COMPLETE", "COMPLETED", R1035="CANCELED", "CANCELED", TRUE, "PENDING")</f>
        <v>PENDING</v>
      </c>
      <c r="T1035" t="s">
        <v>16</v>
      </c>
      <c r="U1035">
        <f>VLOOKUP(A1035,ordered_items!$B:$E,4,0)</f>
        <v>49.98</v>
      </c>
    </row>
    <row r="1036" spans="1:21" x14ac:dyDescent="0.3">
      <c r="A1036">
        <v>28332</v>
      </c>
      <c r="B1036" t="s">
        <v>24</v>
      </c>
      <c r="C1036">
        <v>3</v>
      </c>
      <c r="D1036">
        <v>4</v>
      </c>
      <c r="E1036" t="str">
        <f t="shared" si="48"/>
        <v xml:space="preserve"> ONTIME</v>
      </c>
      <c r="F1036">
        <f>VLOOKUP($A1036,ordered_items!$B$2:$E$4784,2,0)</f>
        <v>365</v>
      </c>
      <c r="G1036">
        <f>VLOOKUP($A1036,ordered_items!$B$2:$E$4784,3,0)</f>
        <v>4</v>
      </c>
      <c r="H1036">
        <f>VLOOKUP($A1036,ordered_items!$B$2:$E$4784,4,0)</f>
        <v>239.96</v>
      </c>
      <c r="I1036" s="15">
        <f>VLOOKUP(F1036,product_info!$A$2:$D$73,4,0)</f>
        <v>4</v>
      </c>
      <c r="J1036" s="15" t="str">
        <f>VLOOKUP(I1036,department!$A$2:$B$13,2,0)</f>
        <v>Apparel</v>
      </c>
      <c r="K1036">
        <v>11758</v>
      </c>
      <c r="L1036" t="s">
        <v>1073</v>
      </c>
      <c r="M1036" s="4">
        <v>43513</v>
      </c>
      <c r="N1036" s="12">
        <f t="shared" si="49"/>
        <v>2</v>
      </c>
      <c r="O1036" s="13">
        <f t="shared" si="50"/>
        <v>2019</v>
      </c>
      <c r="P1036" t="s">
        <v>13</v>
      </c>
      <c r="Q1036" t="s">
        <v>47</v>
      </c>
      <c r="R1036" t="s">
        <v>31</v>
      </c>
      <c r="S1036" t="str" cm="1">
        <f t="array" ref="S1036">_xlfn.IFS(R1036="COMPLETE", "COMPLETED", R1036="CANCELED", "CANCELED", TRUE, "PENDING")</f>
        <v>COMPLETED</v>
      </c>
      <c r="T1036" t="s">
        <v>16</v>
      </c>
      <c r="U1036">
        <f>VLOOKUP(A1036,ordered_items!$B:$E,4,0)</f>
        <v>239.96</v>
      </c>
    </row>
    <row r="1037" spans="1:21" x14ac:dyDescent="0.3">
      <c r="A1037">
        <v>28333</v>
      </c>
      <c r="B1037" t="s">
        <v>24</v>
      </c>
      <c r="C1037">
        <v>4</v>
      </c>
      <c r="D1037">
        <v>4</v>
      </c>
      <c r="E1037" t="str">
        <f t="shared" si="48"/>
        <v xml:space="preserve"> ONTIME</v>
      </c>
      <c r="F1037">
        <f>VLOOKUP($A1037,ordered_items!$B$2:$E$4784,2,0)</f>
        <v>957</v>
      </c>
      <c r="G1037">
        <f>VLOOKUP($A1037,ordered_items!$B$2:$E$4784,3,0)</f>
        <v>1</v>
      </c>
      <c r="H1037">
        <f>VLOOKUP($A1037,ordered_items!$B$2:$E$4784,4,0)</f>
        <v>299.98</v>
      </c>
      <c r="I1037" s="15">
        <f>VLOOKUP(F1037,product_info!$A$2:$D$73,4,0)</f>
        <v>7</v>
      </c>
      <c r="J1037" s="15" t="str">
        <f>VLOOKUP(I1037,department!$A$2:$B$13,2,0)</f>
        <v>Fan Shop</v>
      </c>
      <c r="K1037">
        <v>3745</v>
      </c>
      <c r="L1037" t="s">
        <v>1073</v>
      </c>
      <c r="M1037" s="4">
        <v>43513</v>
      </c>
      <c r="N1037" s="12">
        <f t="shared" si="49"/>
        <v>2</v>
      </c>
      <c r="O1037" s="13">
        <f t="shared" si="50"/>
        <v>2019</v>
      </c>
      <c r="P1037" t="s">
        <v>13</v>
      </c>
      <c r="Q1037" t="s">
        <v>47</v>
      </c>
      <c r="R1037" t="s">
        <v>31</v>
      </c>
      <c r="S1037" t="str" cm="1">
        <f t="array" ref="S1037">_xlfn.IFS(R1037="COMPLETE", "COMPLETED", R1037="CANCELED", "CANCELED", TRUE, "PENDING")</f>
        <v>COMPLETED</v>
      </c>
      <c r="T1037" t="s">
        <v>16</v>
      </c>
      <c r="U1037">
        <f>VLOOKUP(A1037,ordered_items!$B:$E,4,0)</f>
        <v>299.98</v>
      </c>
    </row>
    <row r="1038" spans="1:21" x14ac:dyDescent="0.3">
      <c r="A1038">
        <v>28334</v>
      </c>
      <c r="B1038" t="s">
        <v>24</v>
      </c>
      <c r="C1038">
        <v>5</v>
      </c>
      <c r="D1038">
        <v>4</v>
      </c>
      <c r="E1038" t="str">
        <f t="shared" si="48"/>
        <v>DELAYED</v>
      </c>
      <c r="F1038">
        <f>VLOOKUP($A1038,ordered_items!$B$2:$E$4784,2,0)</f>
        <v>403</v>
      </c>
      <c r="G1038">
        <f>VLOOKUP($A1038,ordered_items!$B$2:$E$4784,3,0)</f>
        <v>1</v>
      </c>
      <c r="H1038">
        <f>VLOOKUP($A1038,ordered_items!$B$2:$E$4784,4,0)</f>
        <v>129.99</v>
      </c>
      <c r="I1038" s="15">
        <f>VLOOKUP(F1038,product_info!$A$2:$D$73,4,0)</f>
        <v>4</v>
      </c>
      <c r="J1038" s="15" t="str">
        <f>VLOOKUP(I1038,department!$A$2:$B$13,2,0)</f>
        <v>Apparel</v>
      </c>
      <c r="K1038">
        <v>6430</v>
      </c>
      <c r="L1038" t="s">
        <v>1073</v>
      </c>
      <c r="M1038" s="4">
        <v>43513</v>
      </c>
      <c r="N1038" s="12">
        <f t="shared" si="49"/>
        <v>2</v>
      </c>
      <c r="O1038" s="13">
        <f t="shared" si="50"/>
        <v>2019</v>
      </c>
      <c r="P1038" t="s">
        <v>13</v>
      </c>
      <c r="Q1038" t="s">
        <v>47</v>
      </c>
      <c r="R1038" t="s">
        <v>31</v>
      </c>
      <c r="S1038" t="str" cm="1">
        <f t="array" ref="S1038">_xlfn.IFS(R1038="COMPLETE", "COMPLETED", R1038="CANCELED", "CANCELED", TRUE, "PENDING")</f>
        <v>COMPLETED</v>
      </c>
      <c r="T1038" t="s">
        <v>16</v>
      </c>
      <c r="U1038">
        <f>VLOOKUP(A1038,ordered_items!$B:$E,4,0)</f>
        <v>129.99</v>
      </c>
    </row>
    <row r="1039" spans="1:21" x14ac:dyDescent="0.3">
      <c r="A1039">
        <v>28336</v>
      </c>
      <c r="B1039" t="s">
        <v>51</v>
      </c>
      <c r="C1039">
        <v>2</v>
      </c>
      <c r="D1039">
        <v>2</v>
      </c>
      <c r="E1039" t="str">
        <f t="shared" si="48"/>
        <v xml:space="preserve"> ONTIME</v>
      </c>
      <c r="F1039">
        <f>VLOOKUP($A1039,ordered_items!$B$2:$E$4784,2,0)</f>
        <v>403</v>
      </c>
      <c r="G1039">
        <f>VLOOKUP($A1039,ordered_items!$B$2:$E$4784,3,0)</f>
        <v>1</v>
      </c>
      <c r="H1039">
        <f>VLOOKUP($A1039,ordered_items!$B$2:$E$4784,4,0)</f>
        <v>129.99</v>
      </c>
      <c r="I1039" s="15">
        <f>VLOOKUP(F1039,product_info!$A$2:$D$73,4,0)</f>
        <v>4</v>
      </c>
      <c r="J1039" s="15" t="str">
        <f>VLOOKUP(I1039,department!$A$2:$B$13,2,0)</f>
        <v>Apparel</v>
      </c>
      <c r="K1039">
        <v>7634</v>
      </c>
      <c r="L1039" t="s">
        <v>980</v>
      </c>
      <c r="M1039" s="4">
        <v>43513</v>
      </c>
      <c r="N1039" s="12">
        <f t="shared" si="49"/>
        <v>2</v>
      </c>
      <c r="O1039" s="13">
        <f t="shared" si="50"/>
        <v>2019</v>
      </c>
      <c r="P1039" t="s">
        <v>13</v>
      </c>
      <c r="Q1039" t="s">
        <v>30</v>
      </c>
      <c r="R1039" t="s">
        <v>57</v>
      </c>
      <c r="S1039" t="str" cm="1">
        <f t="array" ref="S1039">_xlfn.IFS(R1039="COMPLETE", "COMPLETED", R1039="CANCELED", "CANCELED", TRUE, "PENDING")</f>
        <v>PENDING</v>
      </c>
      <c r="T1039" t="s">
        <v>90</v>
      </c>
      <c r="U1039">
        <f>VLOOKUP(A1039,ordered_items!$B:$E,4,0)</f>
        <v>129.99</v>
      </c>
    </row>
    <row r="1040" spans="1:21" x14ac:dyDescent="0.3">
      <c r="A1040">
        <v>28337</v>
      </c>
      <c r="B1040" t="s">
        <v>51</v>
      </c>
      <c r="C1040">
        <v>3</v>
      </c>
      <c r="D1040">
        <v>2</v>
      </c>
      <c r="E1040" t="str">
        <f t="shared" si="48"/>
        <v>DELAYED</v>
      </c>
      <c r="F1040">
        <f>VLOOKUP($A1040,ordered_items!$B$2:$E$4784,2,0)</f>
        <v>403</v>
      </c>
      <c r="G1040">
        <f>VLOOKUP($A1040,ordered_items!$B$2:$E$4784,3,0)</f>
        <v>1</v>
      </c>
      <c r="H1040">
        <f>VLOOKUP($A1040,ordered_items!$B$2:$E$4784,4,0)</f>
        <v>129.99</v>
      </c>
      <c r="I1040" s="15">
        <f>VLOOKUP(F1040,product_info!$A$2:$D$73,4,0)</f>
        <v>4</v>
      </c>
      <c r="J1040" s="15" t="str">
        <f>VLOOKUP(I1040,department!$A$2:$B$13,2,0)</f>
        <v>Apparel</v>
      </c>
      <c r="K1040">
        <v>1971</v>
      </c>
      <c r="L1040" t="s">
        <v>980</v>
      </c>
      <c r="M1040" s="4">
        <v>43513</v>
      </c>
      <c r="N1040" s="12">
        <f t="shared" si="49"/>
        <v>2</v>
      </c>
      <c r="O1040" s="13">
        <f t="shared" si="50"/>
        <v>2019</v>
      </c>
      <c r="P1040" t="s">
        <v>13</v>
      </c>
      <c r="Q1040" t="s">
        <v>30</v>
      </c>
      <c r="R1040" t="s">
        <v>57</v>
      </c>
      <c r="S1040" t="str" cm="1">
        <f t="array" ref="S1040">_xlfn.IFS(R1040="COMPLETE", "COMPLETED", R1040="CANCELED", "CANCELED", TRUE, "PENDING")</f>
        <v>PENDING</v>
      </c>
      <c r="T1040" t="s">
        <v>90</v>
      </c>
      <c r="U1040">
        <f>VLOOKUP(A1040,ordered_items!$B:$E,4,0)</f>
        <v>129.99</v>
      </c>
    </row>
    <row r="1041" spans="1:21" x14ac:dyDescent="0.3">
      <c r="A1041">
        <v>28344</v>
      </c>
      <c r="B1041" t="s">
        <v>3</v>
      </c>
      <c r="C1041">
        <v>2</v>
      </c>
      <c r="D1041">
        <v>1</v>
      </c>
      <c r="E1041" t="str">
        <f t="shared" si="48"/>
        <v>DELAYED</v>
      </c>
      <c r="F1041">
        <f>VLOOKUP($A1041,ordered_items!$B$2:$E$4784,2,0)</f>
        <v>502</v>
      </c>
      <c r="G1041">
        <f>VLOOKUP($A1041,ordered_items!$B$2:$E$4784,3,0)</f>
        <v>2</v>
      </c>
      <c r="H1041">
        <f>VLOOKUP($A1041,ordered_items!$B$2:$E$4784,4,0)</f>
        <v>100</v>
      </c>
      <c r="I1041" s="15">
        <f>VLOOKUP(F1041,product_info!$A$2:$D$73,4,0)</f>
        <v>5</v>
      </c>
      <c r="J1041" s="15" t="str">
        <f>VLOOKUP(I1041,department!$A$2:$B$13,2,0)</f>
        <v>Golf</v>
      </c>
      <c r="K1041">
        <v>972</v>
      </c>
      <c r="L1041" t="s">
        <v>202</v>
      </c>
      <c r="M1041" s="4">
        <v>43513</v>
      </c>
      <c r="N1041" s="12">
        <f t="shared" si="49"/>
        <v>2</v>
      </c>
      <c r="O1041" s="13">
        <f t="shared" si="50"/>
        <v>2019</v>
      </c>
      <c r="P1041" t="s">
        <v>13</v>
      </c>
      <c r="Q1041" t="s">
        <v>99</v>
      </c>
      <c r="R1041" t="s">
        <v>235</v>
      </c>
      <c r="S1041" t="str" cm="1">
        <f t="array" ref="S1041">_xlfn.IFS(R1041="COMPLETE", "COMPLETED", R1041="CANCELED", "CANCELED", TRUE, "PENDING")</f>
        <v>CANCELED</v>
      </c>
      <c r="T1041" t="s">
        <v>32</v>
      </c>
      <c r="U1041">
        <f>VLOOKUP(A1041,ordered_items!$B:$E,4,0)</f>
        <v>100</v>
      </c>
    </row>
    <row r="1042" spans="1:21" x14ac:dyDescent="0.3">
      <c r="A1042">
        <v>28345</v>
      </c>
      <c r="B1042" t="s">
        <v>24</v>
      </c>
      <c r="C1042">
        <v>6</v>
      </c>
      <c r="D1042">
        <v>4</v>
      </c>
      <c r="E1042" t="str">
        <f t="shared" si="48"/>
        <v>DELAYED</v>
      </c>
      <c r="F1042">
        <f>VLOOKUP($A1042,ordered_items!$B$2:$E$4784,2,0)</f>
        <v>365</v>
      </c>
      <c r="G1042">
        <f>VLOOKUP($A1042,ordered_items!$B$2:$E$4784,3,0)</f>
        <v>1</v>
      </c>
      <c r="H1042">
        <f>VLOOKUP($A1042,ordered_items!$B$2:$E$4784,4,0)</f>
        <v>59.99</v>
      </c>
      <c r="I1042" s="15">
        <f>VLOOKUP(F1042,product_info!$A$2:$D$73,4,0)</f>
        <v>4</v>
      </c>
      <c r="J1042" s="15" t="str">
        <f>VLOOKUP(I1042,department!$A$2:$B$13,2,0)</f>
        <v>Apparel</v>
      </c>
      <c r="K1042">
        <v>5817</v>
      </c>
      <c r="L1042" t="s">
        <v>202</v>
      </c>
      <c r="M1042" s="4">
        <v>43513</v>
      </c>
      <c r="N1042" s="12">
        <f t="shared" si="49"/>
        <v>2</v>
      </c>
      <c r="O1042" s="13">
        <f t="shared" si="50"/>
        <v>2019</v>
      </c>
      <c r="P1042" t="s">
        <v>13</v>
      </c>
      <c r="Q1042" t="s">
        <v>99</v>
      </c>
      <c r="R1042" t="s">
        <v>31</v>
      </c>
      <c r="S1042" t="str" cm="1">
        <f t="array" ref="S1042">_xlfn.IFS(R1042="COMPLETE", "COMPLETED", R1042="CANCELED", "CANCELED", TRUE, "PENDING")</f>
        <v>COMPLETED</v>
      </c>
      <c r="T1042" t="s">
        <v>16</v>
      </c>
      <c r="U1042">
        <f>VLOOKUP(A1042,ordered_items!$B:$E,4,0)</f>
        <v>59.99</v>
      </c>
    </row>
    <row r="1043" spans="1:21" x14ac:dyDescent="0.3">
      <c r="A1043">
        <v>28346</v>
      </c>
      <c r="B1043" t="s">
        <v>51</v>
      </c>
      <c r="C1043">
        <v>2</v>
      </c>
      <c r="D1043">
        <v>4</v>
      </c>
      <c r="E1043" t="str">
        <f t="shared" si="48"/>
        <v xml:space="preserve"> ONTIME</v>
      </c>
      <c r="F1043">
        <f>VLOOKUP($A1043,ordered_items!$B$2:$E$4784,2,0)</f>
        <v>1073</v>
      </c>
      <c r="G1043">
        <f>VLOOKUP($A1043,ordered_items!$B$2:$E$4784,3,0)</f>
        <v>1</v>
      </c>
      <c r="H1043">
        <f>VLOOKUP($A1043,ordered_items!$B$2:$E$4784,4,0)</f>
        <v>199.99</v>
      </c>
      <c r="I1043" s="15">
        <f>VLOOKUP(F1043,product_info!$A$2:$D$73,4,0)</f>
        <v>7</v>
      </c>
      <c r="J1043" s="15" t="str">
        <f>VLOOKUP(I1043,department!$A$2:$B$13,2,0)</f>
        <v>Fan Shop</v>
      </c>
      <c r="K1043">
        <v>1936</v>
      </c>
      <c r="L1043" t="s">
        <v>202</v>
      </c>
      <c r="M1043" s="4">
        <v>43513</v>
      </c>
      <c r="N1043" s="12">
        <f t="shared" si="49"/>
        <v>2</v>
      </c>
      <c r="O1043" s="13">
        <f t="shared" si="50"/>
        <v>2019</v>
      </c>
      <c r="P1043" t="s">
        <v>13</v>
      </c>
      <c r="Q1043" t="s">
        <v>99</v>
      </c>
      <c r="R1043" t="s">
        <v>57</v>
      </c>
      <c r="S1043" t="str" cm="1">
        <f t="array" ref="S1043">_xlfn.IFS(R1043="COMPLETE", "COMPLETED", R1043="CANCELED", "CANCELED", TRUE, "PENDING")</f>
        <v>PENDING</v>
      </c>
      <c r="T1043" t="s">
        <v>16</v>
      </c>
      <c r="U1043">
        <f>VLOOKUP(A1043,ordered_items!$B:$E,4,0)</f>
        <v>199.99</v>
      </c>
    </row>
    <row r="1044" spans="1:21" x14ac:dyDescent="0.3">
      <c r="A1044">
        <v>28347</v>
      </c>
      <c r="B1044" t="s">
        <v>51</v>
      </c>
      <c r="C1044">
        <v>3</v>
      </c>
      <c r="D1044">
        <v>4</v>
      </c>
      <c r="E1044" t="str">
        <f t="shared" si="48"/>
        <v xml:space="preserve"> ONTIME</v>
      </c>
      <c r="F1044">
        <f>VLOOKUP($A1044,ordered_items!$B$2:$E$4784,2,0)</f>
        <v>957</v>
      </c>
      <c r="G1044">
        <f>VLOOKUP($A1044,ordered_items!$B$2:$E$4784,3,0)</f>
        <v>1</v>
      </c>
      <c r="H1044">
        <f>VLOOKUP($A1044,ordered_items!$B$2:$E$4784,4,0)</f>
        <v>299.98</v>
      </c>
      <c r="I1044" s="15">
        <f>VLOOKUP(F1044,product_info!$A$2:$D$73,4,0)</f>
        <v>7</v>
      </c>
      <c r="J1044" s="15" t="str">
        <f>VLOOKUP(I1044,department!$A$2:$B$13,2,0)</f>
        <v>Fan Shop</v>
      </c>
      <c r="K1044">
        <v>8579</v>
      </c>
      <c r="L1044" t="s">
        <v>202</v>
      </c>
      <c r="M1044" s="4">
        <v>43513</v>
      </c>
      <c r="N1044" s="12">
        <f t="shared" si="49"/>
        <v>2</v>
      </c>
      <c r="O1044" s="13">
        <f t="shared" si="50"/>
        <v>2019</v>
      </c>
      <c r="P1044" t="s">
        <v>13</v>
      </c>
      <c r="Q1044" t="s">
        <v>99</v>
      </c>
      <c r="R1044" t="s">
        <v>1275</v>
      </c>
      <c r="S1044" t="str" cm="1">
        <f t="array" ref="S1044">_xlfn.IFS(R1044="COMPLETE", "COMPLETED", R1044="CANCELED", "CANCELED", TRUE, "PENDING")</f>
        <v>PENDING</v>
      </c>
      <c r="T1044" t="s">
        <v>16</v>
      </c>
      <c r="U1044">
        <f>VLOOKUP(A1044,ordered_items!$B:$E,4,0)</f>
        <v>299.98</v>
      </c>
    </row>
    <row r="1045" spans="1:21" x14ac:dyDescent="0.3">
      <c r="A1045">
        <v>28364</v>
      </c>
      <c r="B1045" t="s">
        <v>51</v>
      </c>
      <c r="C1045">
        <v>5</v>
      </c>
      <c r="D1045">
        <v>4</v>
      </c>
      <c r="E1045" t="str">
        <f t="shared" si="48"/>
        <v>DELAYED</v>
      </c>
      <c r="F1045">
        <f>VLOOKUP($A1045,ordered_items!$B$2:$E$4784,2,0)</f>
        <v>627</v>
      </c>
      <c r="G1045">
        <f>VLOOKUP($A1045,ordered_items!$B$2:$E$4784,3,0)</f>
        <v>5</v>
      </c>
      <c r="H1045">
        <f>VLOOKUP($A1045,ordered_items!$B$2:$E$4784,4,0)</f>
        <v>199.95</v>
      </c>
      <c r="I1045" s="15">
        <f>VLOOKUP(F1045,product_info!$A$2:$D$73,4,0)</f>
        <v>5</v>
      </c>
      <c r="J1045" s="15" t="str">
        <f>VLOOKUP(I1045,department!$A$2:$B$13,2,0)</f>
        <v>Golf</v>
      </c>
      <c r="K1045">
        <v>1940</v>
      </c>
      <c r="L1045" t="s">
        <v>921</v>
      </c>
      <c r="M1045" s="4">
        <v>43514</v>
      </c>
      <c r="N1045" s="12">
        <f t="shared" si="49"/>
        <v>2</v>
      </c>
      <c r="O1045" s="13">
        <f t="shared" si="50"/>
        <v>2019</v>
      </c>
      <c r="P1045" t="s">
        <v>13</v>
      </c>
      <c r="Q1045" t="s">
        <v>99</v>
      </c>
      <c r="R1045" t="s">
        <v>57</v>
      </c>
      <c r="S1045" t="str" cm="1">
        <f t="array" ref="S1045">_xlfn.IFS(R1045="COMPLETE", "COMPLETED", R1045="CANCELED", "CANCELED", TRUE, "PENDING")</f>
        <v>PENDING</v>
      </c>
      <c r="T1045" t="s">
        <v>16</v>
      </c>
      <c r="U1045">
        <f>VLOOKUP(A1045,ordered_items!$B:$E,4,0)</f>
        <v>199.95</v>
      </c>
    </row>
    <row r="1046" spans="1:21" x14ac:dyDescent="0.3">
      <c r="A1046">
        <v>28376</v>
      </c>
      <c r="B1046" t="s">
        <v>3</v>
      </c>
      <c r="C1046">
        <v>2</v>
      </c>
      <c r="D1046">
        <v>2</v>
      </c>
      <c r="E1046" t="str">
        <f t="shared" si="48"/>
        <v xml:space="preserve"> ONTIME</v>
      </c>
      <c r="F1046">
        <f>VLOOKUP($A1046,ordered_items!$B$2:$E$4784,2,0)</f>
        <v>1073</v>
      </c>
      <c r="G1046">
        <f>VLOOKUP($A1046,ordered_items!$B$2:$E$4784,3,0)</f>
        <v>1</v>
      </c>
      <c r="H1046">
        <f>VLOOKUP($A1046,ordered_items!$B$2:$E$4784,4,0)</f>
        <v>199.99</v>
      </c>
      <c r="I1046" s="15">
        <f>VLOOKUP(F1046,product_info!$A$2:$D$73,4,0)</f>
        <v>7</v>
      </c>
      <c r="J1046" s="15" t="str">
        <f>VLOOKUP(I1046,department!$A$2:$B$13,2,0)</f>
        <v>Fan Shop</v>
      </c>
      <c r="K1046">
        <v>6163</v>
      </c>
      <c r="L1046" t="s">
        <v>70</v>
      </c>
      <c r="M1046" s="4">
        <v>43514</v>
      </c>
      <c r="N1046" s="12">
        <f t="shared" si="49"/>
        <v>2</v>
      </c>
      <c r="O1046" s="13">
        <f t="shared" si="50"/>
        <v>2019</v>
      </c>
      <c r="P1046" t="s">
        <v>13</v>
      </c>
      <c r="Q1046" t="s">
        <v>70</v>
      </c>
      <c r="R1046" t="s">
        <v>14</v>
      </c>
      <c r="S1046" t="str" cm="1">
        <f t="array" ref="S1046">_xlfn.IFS(R1046="COMPLETE", "COMPLETED", R1046="CANCELED", "CANCELED", TRUE, "PENDING")</f>
        <v>PENDING</v>
      </c>
      <c r="T1046" t="s">
        <v>90</v>
      </c>
      <c r="U1046">
        <f>VLOOKUP(A1046,ordered_items!$B:$E,4,0)</f>
        <v>199.99</v>
      </c>
    </row>
    <row r="1047" spans="1:21" x14ac:dyDescent="0.3">
      <c r="A1047">
        <v>28381</v>
      </c>
      <c r="B1047" t="s">
        <v>3</v>
      </c>
      <c r="C1047">
        <v>2</v>
      </c>
      <c r="D1047">
        <v>2</v>
      </c>
      <c r="E1047" t="str">
        <f t="shared" si="48"/>
        <v xml:space="preserve"> ONTIME</v>
      </c>
      <c r="F1047">
        <f>VLOOKUP($A1047,ordered_items!$B$2:$E$4784,2,0)</f>
        <v>1073</v>
      </c>
      <c r="G1047">
        <f>VLOOKUP($A1047,ordered_items!$B$2:$E$4784,3,0)</f>
        <v>1</v>
      </c>
      <c r="H1047">
        <f>VLOOKUP($A1047,ordered_items!$B$2:$E$4784,4,0)</f>
        <v>199.99</v>
      </c>
      <c r="I1047" s="15">
        <f>VLOOKUP(F1047,product_info!$A$2:$D$73,4,0)</f>
        <v>7</v>
      </c>
      <c r="J1047" s="15" t="str">
        <f>VLOOKUP(I1047,department!$A$2:$B$13,2,0)</f>
        <v>Fan Shop</v>
      </c>
      <c r="K1047">
        <v>6074</v>
      </c>
      <c r="L1047" t="s">
        <v>1215</v>
      </c>
      <c r="M1047" s="4">
        <v>43514</v>
      </c>
      <c r="N1047" s="12">
        <f t="shared" si="49"/>
        <v>2</v>
      </c>
      <c r="O1047" s="13">
        <f t="shared" si="50"/>
        <v>2019</v>
      </c>
      <c r="P1047" t="s">
        <v>13</v>
      </c>
      <c r="Q1047" t="s">
        <v>5777</v>
      </c>
      <c r="R1047" t="s">
        <v>38</v>
      </c>
      <c r="S1047" t="str" cm="1">
        <f t="array" ref="S1047">_xlfn.IFS(R1047="COMPLETE", "COMPLETED", R1047="CANCELED", "CANCELED", TRUE, "PENDING")</f>
        <v>PENDING</v>
      </c>
      <c r="T1047" t="s">
        <v>90</v>
      </c>
      <c r="U1047">
        <f>VLOOKUP(A1047,ordered_items!$B:$E,4,0)</f>
        <v>199.99</v>
      </c>
    </row>
    <row r="1048" spans="1:21" x14ac:dyDescent="0.3">
      <c r="A1048">
        <v>28382</v>
      </c>
      <c r="B1048" t="s">
        <v>3</v>
      </c>
      <c r="C1048">
        <v>3</v>
      </c>
      <c r="D1048">
        <v>4</v>
      </c>
      <c r="E1048" t="str">
        <f t="shared" si="48"/>
        <v xml:space="preserve"> ONTIME</v>
      </c>
      <c r="F1048">
        <f>VLOOKUP($A1048,ordered_items!$B$2:$E$4784,2,0)</f>
        <v>627</v>
      </c>
      <c r="G1048">
        <f>VLOOKUP($A1048,ordered_items!$B$2:$E$4784,3,0)</f>
        <v>5</v>
      </c>
      <c r="H1048">
        <f>VLOOKUP($A1048,ordered_items!$B$2:$E$4784,4,0)</f>
        <v>199.95</v>
      </c>
      <c r="I1048" s="15">
        <f>VLOOKUP(F1048,product_info!$A$2:$D$73,4,0)</f>
        <v>5</v>
      </c>
      <c r="J1048" s="15" t="str">
        <f>VLOOKUP(I1048,department!$A$2:$B$13,2,0)</f>
        <v>Golf</v>
      </c>
      <c r="K1048">
        <v>6637</v>
      </c>
      <c r="L1048" t="s">
        <v>1215</v>
      </c>
      <c r="M1048" s="4">
        <v>43514</v>
      </c>
      <c r="N1048" s="12">
        <f t="shared" si="49"/>
        <v>2</v>
      </c>
      <c r="O1048" s="13">
        <f t="shared" si="50"/>
        <v>2019</v>
      </c>
      <c r="P1048" t="s">
        <v>13</v>
      </c>
      <c r="Q1048" t="s">
        <v>5777</v>
      </c>
      <c r="R1048" t="s">
        <v>178</v>
      </c>
      <c r="S1048" t="str" cm="1">
        <f t="array" ref="S1048">_xlfn.IFS(R1048="COMPLETE", "COMPLETED", R1048="CANCELED", "CANCELED", TRUE, "PENDING")</f>
        <v>PENDING</v>
      </c>
      <c r="T1048" t="s">
        <v>16</v>
      </c>
      <c r="U1048">
        <f>VLOOKUP(A1048,ordered_items!$B:$E,4,0)</f>
        <v>199.95</v>
      </c>
    </row>
    <row r="1049" spans="1:21" x14ac:dyDescent="0.3">
      <c r="A1049">
        <v>28385</v>
      </c>
      <c r="B1049" t="s">
        <v>51</v>
      </c>
      <c r="C1049">
        <v>6</v>
      </c>
      <c r="D1049">
        <v>2</v>
      </c>
      <c r="E1049" t="str">
        <f t="shared" si="48"/>
        <v>DELAYED</v>
      </c>
      <c r="F1049">
        <f>VLOOKUP($A1049,ordered_items!$B$2:$E$4784,2,0)</f>
        <v>365</v>
      </c>
      <c r="G1049">
        <f>VLOOKUP($A1049,ordered_items!$B$2:$E$4784,3,0)</f>
        <v>1</v>
      </c>
      <c r="H1049">
        <f>VLOOKUP($A1049,ordered_items!$B$2:$E$4784,4,0)</f>
        <v>59.99</v>
      </c>
      <c r="I1049" s="15">
        <f>VLOOKUP(F1049,product_info!$A$2:$D$73,4,0)</f>
        <v>4</v>
      </c>
      <c r="J1049" s="15" t="str">
        <f>VLOOKUP(I1049,department!$A$2:$B$13,2,0)</f>
        <v>Apparel</v>
      </c>
      <c r="K1049">
        <v>8603</v>
      </c>
      <c r="L1049" t="s">
        <v>258</v>
      </c>
      <c r="M1049" s="4">
        <v>43514</v>
      </c>
      <c r="N1049" s="12">
        <f t="shared" si="49"/>
        <v>2</v>
      </c>
      <c r="O1049" s="13">
        <f t="shared" si="50"/>
        <v>2019</v>
      </c>
      <c r="P1049" t="s">
        <v>13</v>
      </c>
      <c r="Q1049" t="s">
        <v>30</v>
      </c>
      <c r="R1049" t="s">
        <v>57</v>
      </c>
      <c r="S1049" t="str" cm="1">
        <f t="array" ref="S1049">_xlfn.IFS(R1049="COMPLETE", "COMPLETED", R1049="CANCELED", "CANCELED", TRUE, "PENDING")</f>
        <v>PENDING</v>
      </c>
      <c r="T1049" t="s">
        <v>90</v>
      </c>
      <c r="U1049">
        <f>VLOOKUP(A1049,ordered_items!$B:$E,4,0)</f>
        <v>59.99</v>
      </c>
    </row>
    <row r="1050" spans="1:21" x14ac:dyDescent="0.3">
      <c r="A1050">
        <v>28387</v>
      </c>
      <c r="B1050" t="s">
        <v>24</v>
      </c>
      <c r="C1050">
        <v>3</v>
      </c>
      <c r="D1050">
        <v>4</v>
      </c>
      <c r="E1050" t="str">
        <f t="shared" si="48"/>
        <v xml:space="preserve"> ONTIME</v>
      </c>
      <c r="F1050">
        <f>VLOOKUP($A1050,ordered_items!$B$2:$E$4784,2,0)</f>
        <v>957</v>
      </c>
      <c r="G1050">
        <f>VLOOKUP($A1050,ordered_items!$B$2:$E$4784,3,0)</f>
        <v>1</v>
      </c>
      <c r="H1050">
        <f>VLOOKUP($A1050,ordered_items!$B$2:$E$4784,4,0)</f>
        <v>299.98</v>
      </c>
      <c r="I1050" s="15">
        <f>VLOOKUP(F1050,product_info!$A$2:$D$73,4,0)</f>
        <v>7</v>
      </c>
      <c r="J1050" s="15" t="str">
        <f>VLOOKUP(I1050,department!$A$2:$B$13,2,0)</f>
        <v>Fan Shop</v>
      </c>
      <c r="K1050">
        <v>439</v>
      </c>
      <c r="L1050" t="s">
        <v>104</v>
      </c>
      <c r="M1050" s="4">
        <v>43514</v>
      </c>
      <c r="N1050" s="12">
        <f t="shared" si="49"/>
        <v>2</v>
      </c>
      <c r="O1050" s="13">
        <f t="shared" si="50"/>
        <v>2019</v>
      </c>
      <c r="P1050" t="s">
        <v>13</v>
      </c>
      <c r="Q1050" t="s">
        <v>420</v>
      </c>
      <c r="R1050" t="s">
        <v>31</v>
      </c>
      <c r="S1050" t="str" cm="1">
        <f t="array" ref="S1050">_xlfn.IFS(R1050="COMPLETE", "COMPLETED", R1050="CANCELED", "CANCELED", TRUE, "PENDING")</f>
        <v>COMPLETED</v>
      </c>
      <c r="T1050" t="s">
        <v>16</v>
      </c>
      <c r="U1050">
        <f>VLOOKUP(A1050,ordered_items!$B:$E,4,0)</f>
        <v>299.98</v>
      </c>
    </row>
    <row r="1051" spans="1:21" x14ac:dyDescent="0.3">
      <c r="A1051">
        <v>28388</v>
      </c>
      <c r="B1051" t="s">
        <v>24</v>
      </c>
      <c r="C1051">
        <v>4</v>
      </c>
      <c r="D1051">
        <v>2</v>
      </c>
      <c r="E1051" t="str">
        <f t="shared" si="48"/>
        <v>DELAYED</v>
      </c>
      <c r="F1051">
        <f>VLOOKUP($A1051,ordered_items!$B$2:$E$4784,2,0)</f>
        <v>403</v>
      </c>
      <c r="G1051">
        <f>VLOOKUP($A1051,ordered_items!$B$2:$E$4784,3,0)</f>
        <v>1</v>
      </c>
      <c r="H1051">
        <f>VLOOKUP($A1051,ordered_items!$B$2:$E$4784,4,0)</f>
        <v>129.99</v>
      </c>
      <c r="I1051" s="15">
        <f>VLOOKUP(F1051,product_info!$A$2:$D$73,4,0)</f>
        <v>4</v>
      </c>
      <c r="J1051" s="15" t="str">
        <f>VLOOKUP(I1051,department!$A$2:$B$13,2,0)</f>
        <v>Apparel</v>
      </c>
      <c r="K1051">
        <v>2877</v>
      </c>
      <c r="L1051" t="s">
        <v>104</v>
      </c>
      <c r="M1051" s="4">
        <v>43514</v>
      </c>
      <c r="N1051" s="12">
        <f t="shared" si="49"/>
        <v>2</v>
      </c>
      <c r="O1051" s="13">
        <f t="shared" si="50"/>
        <v>2019</v>
      </c>
      <c r="P1051" t="s">
        <v>13</v>
      </c>
      <c r="Q1051" t="s">
        <v>420</v>
      </c>
      <c r="R1051" t="s">
        <v>31</v>
      </c>
      <c r="S1051" t="str" cm="1">
        <f t="array" ref="S1051">_xlfn.IFS(R1051="COMPLETE", "COMPLETED", R1051="CANCELED", "CANCELED", TRUE, "PENDING")</f>
        <v>COMPLETED</v>
      </c>
      <c r="T1051" t="s">
        <v>90</v>
      </c>
      <c r="U1051">
        <f>VLOOKUP(A1051,ordered_items!$B:$E,4,0)</f>
        <v>129.99</v>
      </c>
    </row>
    <row r="1052" spans="1:21" x14ac:dyDescent="0.3">
      <c r="A1052">
        <v>28390</v>
      </c>
      <c r="B1052" t="s">
        <v>3</v>
      </c>
      <c r="C1052">
        <v>6</v>
      </c>
      <c r="D1052">
        <v>2</v>
      </c>
      <c r="E1052" t="str">
        <f t="shared" si="48"/>
        <v>DELAYED</v>
      </c>
      <c r="F1052">
        <f>VLOOKUP($A1052,ordered_items!$B$2:$E$4784,2,0)</f>
        <v>502</v>
      </c>
      <c r="G1052">
        <f>VLOOKUP($A1052,ordered_items!$B$2:$E$4784,3,0)</f>
        <v>2</v>
      </c>
      <c r="H1052">
        <f>VLOOKUP($A1052,ordered_items!$B$2:$E$4784,4,0)</f>
        <v>100</v>
      </c>
      <c r="I1052" s="15">
        <f>VLOOKUP(F1052,product_info!$A$2:$D$73,4,0)</f>
        <v>5</v>
      </c>
      <c r="J1052" s="15" t="str">
        <f>VLOOKUP(I1052,department!$A$2:$B$13,2,0)</f>
        <v>Golf</v>
      </c>
      <c r="K1052">
        <v>7260</v>
      </c>
      <c r="L1052" t="s">
        <v>46</v>
      </c>
      <c r="M1052" s="4">
        <v>43514</v>
      </c>
      <c r="N1052" s="12">
        <f t="shared" si="49"/>
        <v>2</v>
      </c>
      <c r="O1052" s="13">
        <f t="shared" si="50"/>
        <v>2019</v>
      </c>
      <c r="P1052" t="s">
        <v>13</v>
      </c>
      <c r="Q1052" t="s">
        <v>47</v>
      </c>
      <c r="R1052" t="s">
        <v>14</v>
      </c>
      <c r="S1052" t="str" cm="1">
        <f t="array" ref="S1052">_xlfn.IFS(R1052="COMPLETE", "COMPLETED", R1052="CANCELED", "CANCELED", TRUE, "PENDING")</f>
        <v>PENDING</v>
      </c>
      <c r="T1052" t="s">
        <v>90</v>
      </c>
      <c r="U1052">
        <f>VLOOKUP(A1052,ordered_items!$B:$E,4,0)</f>
        <v>100</v>
      </c>
    </row>
    <row r="1053" spans="1:21" x14ac:dyDescent="0.3">
      <c r="A1053">
        <v>28391</v>
      </c>
      <c r="B1053" t="s">
        <v>24</v>
      </c>
      <c r="C1053">
        <v>2</v>
      </c>
      <c r="D1053">
        <v>2</v>
      </c>
      <c r="E1053" t="str">
        <f t="shared" si="48"/>
        <v xml:space="preserve"> ONTIME</v>
      </c>
      <c r="F1053">
        <f>VLOOKUP($A1053,ordered_items!$B$2:$E$4784,2,0)</f>
        <v>1014</v>
      </c>
      <c r="G1053">
        <f>VLOOKUP($A1053,ordered_items!$B$2:$E$4784,3,0)</f>
        <v>3</v>
      </c>
      <c r="H1053">
        <f>VLOOKUP($A1053,ordered_items!$B$2:$E$4784,4,0)</f>
        <v>149.94</v>
      </c>
      <c r="I1053" s="15">
        <f>VLOOKUP(F1053,product_info!$A$2:$D$73,4,0)</f>
        <v>7</v>
      </c>
      <c r="J1053" s="15" t="str">
        <f>VLOOKUP(I1053,department!$A$2:$B$13,2,0)</f>
        <v>Fan Shop</v>
      </c>
      <c r="K1053">
        <v>5217</v>
      </c>
      <c r="L1053" t="s">
        <v>669</v>
      </c>
      <c r="M1053" s="4">
        <v>43514</v>
      </c>
      <c r="N1053" s="12">
        <f t="shared" si="49"/>
        <v>2</v>
      </c>
      <c r="O1053" s="13">
        <f t="shared" si="50"/>
        <v>2019</v>
      </c>
      <c r="P1053" t="s">
        <v>13</v>
      </c>
      <c r="Q1053" t="s">
        <v>227</v>
      </c>
      <c r="R1053" t="s">
        <v>31</v>
      </c>
      <c r="S1053" t="str" cm="1">
        <f t="array" ref="S1053">_xlfn.IFS(R1053="COMPLETE", "COMPLETED", R1053="CANCELED", "CANCELED", TRUE, "PENDING")</f>
        <v>COMPLETED</v>
      </c>
      <c r="T1053" t="s">
        <v>90</v>
      </c>
      <c r="U1053">
        <f>VLOOKUP(A1053,ordered_items!$B:$E,4,0)</f>
        <v>149.94</v>
      </c>
    </row>
    <row r="1054" spans="1:21" x14ac:dyDescent="0.3">
      <c r="A1054">
        <v>28392</v>
      </c>
      <c r="B1054" t="s">
        <v>17</v>
      </c>
      <c r="C1054">
        <v>3</v>
      </c>
      <c r="D1054">
        <v>4</v>
      </c>
      <c r="E1054" t="str">
        <f t="shared" si="48"/>
        <v xml:space="preserve"> ONTIME</v>
      </c>
      <c r="F1054">
        <f>VLOOKUP($A1054,ordered_items!$B$2:$E$4784,2,0)</f>
        <v>957</v>
      </c>
      <c r="G1054">
        <f>VLOOKUP($A1054,ordered_items!$B$2:$E$4784,3,0)</f>
        <v>1</v>
      </c>
      <c r="H1054">
        <f>VLOOKUP($A1054,ordered_items!$B$2:$E$4784,4,0)</f>
        <v>299.98</v>
      </c>
      <c r="I1054" s="15">
        <f>VLOOKUP(F1054,product_info!$A$2:$D$73,4,0)</f>
        <v>7</v>
      </c>
      <c r="J1054" s="15" t="str">
        <f>VLOOKUP(I1054,department!$A$2:$B$13,2,0)</f>
        <v>Fan Shop</v>
      </c>
      <c r="K1054">
        <v>4026</v>
      </c>
      <c r="L1054" t="s">
        <v>669</v>
      </c>
      <c r="M1054" s="4">
        <v>43514</v>
      </c>
      <c r="N1054" s="12">
        <f t="shared" si="49"/>
        <v>2</v>
      </c>
      <c r="O1054" s="13">
        <f t="shared" si="50"/>
        <v>2019</v>
      </c>
      <c r="P1054" t="s">
        <v>13</v>
      </c>
      <c r="Q1054" t="s">
        <v>227</v>
      </c>
      <c r="R1054" t="s">
        <v>23</v>
      </c>
      <c r="S1054" t="str" cm="1">
        <f t="array" ref="S1054">_xlfn.IFS(R1054="COMPLETE", "COMPLETED", R1054="CANCELED", "CANCELED", TRUE, "PENDING")</f>
        <v>PENDING</v>
      </c>
      <c r="T1054" t="s">
        <v>16</v>
      </c>
      <c r="U1054">
        <f>VLOOKUP(A1054,ordered_items!$B:$E,4,0)</f>
        <v>299.98</v>
      </c>
    </row>
    <row r="1055" spans="1:21" x14ac:dyDescent="0.3">
      <c r="A1055">
        <v>28424</v>
      </c>
      <c r="B1055" t="s">
        <v>24</v>
      </c>
      <c r="C1055">
        <v>2</v>
      </c>
      <c r="D1055">
        <v>1</v>
      </c>
      <c r="E1055" t="str">
        <f t="shared" si="48"/>
        <v>DELAYED</v>
      </c>
      <c r="F1055">
        <f>VLOOKUP($A1055,ordered_items!$B$2:$E$4784,2,0)</f>
        <v>1073</v>
      </c>
      <c r="G1055">
        <f>VLOOKUP($A1055,ordered_items!$B$2:$E$4784,3,0)</f>
        <v>1</v>
      </c>
      <c r="H1055">
        <f>VLOOKUP($A1055,ordered_items!$B$2:$E$4784,4,0)</f>
        <v>199.99</v>
      </c>
      <c r="I1055" s="15">
        <f>VLOOKUP(F1055,product_info!$A$2:$D$73,4,0)</f>
        <v>7</v>
      </c>
      <c r="J1055" s="15" t="str">
        <f>VLOOKUP(I1055,department!$A$2:$B$13,2,0)</f>
        <v>Fan Shop</v>
      </c>
      <c r="K1055">
        <v>9693</v>
      </c>
      <c r="L1055" t="s">
        <v>850</v>
      </c>
      <c r="M1055" s="4">
        <v>43514</v>
      </c>
      <c r="N1055" s="12">
        <f t="shared" si="49"/>
        <v>2</v>
      </c>
      <c r="O1055" s="13">
        <f t="shared" si="50"/>
        <v>2019</v>
      </c>
      <c r="P1055" t="s">
        <v>13</v>
      </c>
      <c r="Q1055" t="s">
        <v>99</v>
      </c>
      <c r="R1055" t="s">
        <v>378</v>
      </c>
      <c r="S1055" t="str" cm="1">
        <f t="array" ref="S1055">_xlfn.IFS(R1055="COMPLETE", "COMPLETED", R1055="CANCELED", "CANCELED", TRUE, "PENDING")</f>
        <v>PENDING</v>
      </c>
      <c r="T1055" t="s">
        <v>32</v>
      </c>
      <c r="U1055">
        <f>VLOOKUP(A1055,ordered_items!$B:$E,4,0)</f>
        <v>199.99</v>
      </c>
    </row>
    <row r="1056" spans="1:21" x14ac:dyDescent="0.3">
      <c r="A1056">
        <v>28425</v>
      </c>
      <c r="B1056" t="s">
        <v>51</v>
      </c>
      <c r="C1056">
        <v>2</v>
      </c>
      <c r="D1056">
        <v>1</v>
      </c>
      <c r="E1056" t="str">
        <f t="shared" si="48"/>
        <v>DELAYED</v>
      </c>
      <c r="F1056">
        <f>VLOOKUP($A1056,ordered_items!$B$2:$E$4784,2,0)</f>
        <v>403</v>
      </c>
      <c r="G1056">
        <f>VLOOKUP($A1056,ordered_items!$B$2:$E$4784,3,0)</f>
        <v>1</v>
      </c>
      <c r="H1056">
        <f>VLOOKUP($A1056,ordered_items!$B$2:$E$4784,4,0)</f>
        <v>129.99</v>
      </c>
      <c r="I1056" s="15">
        <f>VLOOKUP(F1056,product_info!$A$2:$D$73,4,0)</f>
        <v>4</v>
      </c>
      <c r="J1056" s="15" t="str">
        <f>VLOOKUP(I1056,department!$A$2:$B$13,2,0)</f>
        <v>Apparel</v>
      </c>
      <c r="K1056">
        <v>7192</v>
      </c>
      <c r="L1056" t="s">
        <v>850</v>
      </c>
      <c r="M1056" s="4">
        <v>43514</v>
      </c>
      <c r="N1056" s="12">
        <f t="shared" si="49"/>
        <v>2</v>
      </c>
      <c r="O1056" s="13">
        <f t="shared" si="50"/>
        <v>2019</v>
      </c>
      <c r="P1056" t="s">
        <v>13</v>
      </c>
      <c r="Q1056" t="s">
        <v>99</v>
      </c>
      <c r="R1056" t="s">
        <v>57</v>
      </c>
      <c r="S1056" t="str" cm="1">
        <f t="array" ref="S1056">_xlfn.IFS(R1056="COMPLETE", "COMPLETED", R1056="CANCELED", "CANCELED", TRUE, "PENDING")</f>
        <v>PENDING</v>
      </c>
      <c r="T1056" t="s">
        <v>32</v>
      </c>
      <c r="U1056">
        <f>VLOOKUP(A1056,ordered_items!$B:$E,4,0)</f>
        <v>129.99</v>
      </c>
    </row>
    <row r="1057" spans="1:21" x14ac:dyDescent="0.3">
      <c r="A1057">
        <v>28427</v>
      </c>
      <c r="B1057" t="s">
        <v>24</v>
      </c>
      <c r="C1057">
        <v>2</v>
      </c>
      <c r="D1057">
        <v>1</v>
      </c>
      <c r="E1057" t="str">
        <f t="shared" si="48"/>
        <v>DELAYED</v>
      </c>
      <c r="F1057">
        <f>VLOOKUP($A1057,ordered_items!$B$2:$E$4784,2,0)</f>
        <v>116</v>
      </c>
      <c r="G1057">
        <f>VLOOKUP($A1057,ordered_items!$B$2:$E$4784,3,0)</f>
        <v>1</v>
      </c>
      <c r="H1057">
        <f>VLOOKUP($A1057,ordered_items!$B$2:$E$4784,4,0)</f>
        <v>44.99</v>
      </c>
      <c r="I1057" s="15">
        <f>VLOOKUP(F1057,product_info!$A$2:$D$73,4,0)</f>
        <v>2</v>
      </c>
      <c r="J1057" s="15" t="str">
        <f>VLOOKUP(I1057,department!$A$2:$B$13,2,0)</f>
        <v>Fitness</v>
      </c>
      <c r="K1057">
        <v>12396</v>
      </c>
      <c r="L1057" t="s">
        <v>1606</v>
      </c>
      <c r="M1057" s="4">
        <v>43514</v>
      </c>
      <c r="N1057" s="12">
        <f t="shared" si="49"/>
        <v>2</v>
      </c>
      <c r="O1057" s="13">
        <f t="shared" si="50"/>
        <v>2019</v>
      </c>
      <c r="P1057" t="s">
        <v>13</v>
      </c>
      <c r="Q1057" t="s">
        <v>420</v>
      </c>
      <c r="R1057" t="s">
        <v>31</v>
      </c>
      <c r="S1057" t="str" cm="1">
        <f t="array" ref="S1057">_xlfn.IFS(R1057="COMPLETE", "COMPLETED", R1057="CANCELED", "CANCELED", TRUE, "PENDING")</f>
        <v>COMPLETED</v>
      </c>
      <c r="T1057" t="s">
        <v>32</v>
      </c>
      <c r="U1057">
        <f>VLOOKUP(A1057,ordered_items!$B:$E,4,0)</f>
        <v>44.99</v>
      </c>
    </row>
    <row r="1058" spans="1:21" x14ac:dyDescent="0.3">
      <c r="A1058">
        <v>28428</v>
      </c>
      <c r="B1058" t="s">
        <v>24</v>
      </c>
      <c r="C1058">
        <v>2</v>
      </c>
      <c r="D1058">
        <v>1</v>
      </c>
      <c r="E1058" t="str">
        <f t="shared" si="48"/>
        <v>DELAYED</v>
      </c>
      <c r="F1058">
        <f>VLOOKUP($A1058,ordered_items!$B$2:$E$4784,2,0)</f>
        <v>403</v>
      </c>
      <c r="G1058">
        <f>VLOOKUP($A1058,ordered_items!$B$2:$E$4784,3,0)</f>
        <v>1</v>
      </c>
      <c r="H1058">
        <f>VLOOKUP($A1058,ordered_items!$B$2:$E$4784,4,0)</f>
        <v>129.99</v>
      </c>
      <c r="I1058" s="15">
        <f>VLOOKUP(F1058,product_info!$A$2:$D$73,4,0)</f>
        <v>4</v>
      </c>
      <c r="J1058" s="15" t="str">
        <f>VLOOKUP(I1058,department!$A$2:$B$13,2,0)</f>
        <v>Apparel</v>
      </c>
      <c r="K1058">
        <v>7684</v>
      </c>
      <c r="L1058" t="s">
        <v>383</v>
      </c>
      <c r="M1058" s="4">
        <v>43514</v>
      </c>
      <c r="N1058" s="12">
        <f t="shared" si="49"/>
        <v>2</v>
      </c>
      <c r="O1058" s="13">
        <f t="shared" si="50"/>
        <v>2019</v>
      </c>
      <c r="P1058" t="s">
        <v>13</v>
      </c>
      <c r="Q1058" t="s">
        <v>5781</v>
      </c>
      <c r="R1058" t="s">
        <v>31</v>
      </c>
      <c r="S1058" t="str" cm="1">
        <f t="array" ref="S1058">_xlfn.IFS(R1058="COMPLETE", "COMPLETED", R1058="CANCELED", "CANCELED", TRUE, "PENDING")</f>
        <v>COMPLETED</v>
      </c>
      <c r="T1058" t="s">
        <v>32</v>
      </c>
      <c r="U1058">
        <f>VLOOKUP(A1058,ordered_items!$B:$E,4,0)</f>
        <v>129.99</v>
      </c>
    </row>
    <row r="1059" spans="1:21" x14ac:dyDescent="0.3">
      <c r="A1059">
        <v>28430</v>
      </c>
      <c r="B1059" t="s">
        <v>24</v>
      </c>
      <c r="C1059">
        <v>6</v>
      </c>
      <c r="D1059">
        <v>4</v>
      </c>
      <c r="E1059" t="str">
        <f t="shared" si="48"/>
        <v>DELAYED</v>
      </c>
      <c r="F1059">
        <f>VLOOKUP($A1059,ordered_items!$B$2:$E$4784,2,0)</f>
        <v>565</v>
      </c>
      <c r="G1059">
        <f>VLOOKUP($A1059,ordered_items!$B$2:$E$4784,3,0)</f>
        <v>4</v>
      </c>
      <c r="H1059">
        <f>VLOOKUP($A1059,ordered_items!$B$2:$E$4784,4,0)</f>
        <v>280</v>
      </c>
      <c r="I1059" s="15">
        <f>VLOOKUP(F1059,product_info!$A$2:$D$73,4,0)</f>
        <v>5</v>
      </c>
      <c r="J1059" s="15" t="str">
        <f>VLOOKUP(I1059,department!$A$2:$B$13,2,0)</f>
        <v>Golf</v>
      </c>
      <c r="K1059">
        <v>7747</v>
      </c>
      <c r="L1059" t="s">
        <v>383</v>
      </c>
      <c r="M1059" s="4">
        <v>43514</v>
      </c>
      <c r="N1059" s="12">
        <f t="shared" si="49"/>
        <v>2</v>
      </c>
      <c r="O1059" s="13">
        <f t="shared" si="50"/>
        <v>2019</v>
      </c>
      <c r="P1059" t="s">
        <v>13</v>
      </c>
      <c r="Q1059" t="s">
        <v>5781</v>
      </c>
      <c r="R1059" t="s">
        <v>31</v>
      </c>
      <c r="S1059" t="str" cm="1">
        <f t="array" ref="S1059">_xlfn.IFS(R1059="COMPLETE", "COMPLETED", R1059="CANCELED", "CANCELED", TRUE, "PENDING")</f>
        <v>COMPLETED</v>
      </c>
      <c r="T1059" t="s">
        <v>16</v>
      </c>
      <c r="U1059">
        <f>VLOOKUP(A1059,ordered_items!$B:$E,4,0)</f>
        <v>280</v>
      </c>
    </row>
    <row r="1060" spans="1:21" x14ac:dyDescent="0.3">
      <c r="A1060">
        <v>28443</v>
      </c>
      <c r="B1060" t="s">
        <v>24</v>
      </c>
      <c r="C1060">
        <v>4</v>
      </c>
      <c r="D1060">
        <v>2</v>
      </c>
      <c r="E1060" t="str">
        <f t="shared" si="48"/>
        <v>DELAYED</v>
      </c>
      <c r="F1060">
        <f>VLOOKUP($A1060,ordered_items!$B$2:$E$4784,2,0)</f>
        <v>403</v>
      </c>
      <c r="G1060">
        <f>VLOOKUP($A1060,ordered_items!$B$2:$E$4784,3,0)</f>
        <v>1</v>
      </c>
      <c r="H1060">
        <f>VLOOKUP($A1060,ordered_items!$B$2:$E$4784,4,0)</f>
        <v>129.99</v>
      </c>
      <c r="I1060" s="15">
        <f>VLOOKUP(F1060,product_info!$A$2:$D$73,4,0)</f>
        <v>4</v>
      </c>
      <c r="J1060" s="15" t="str">
        <f>VLOOKUP(I1060,department!$A$2:$B$13,2,0)</f>
        <v>Apparel</v>
      </c>
      <c r="K1060">
        <v>10721</v>
      </c>
      <c r="L1060" t="s">
        <v>570</v>
      </c>
      <c r="M1060" s="4">
        <v>43515</v>
      </c>
      <c r="N1060" s="12">
        <f t="shared" si="49"/>
        <v>2</v>
      </c>
      <c r="O1060" s="13">
        <f t="shared" si="50"/>
        <v>2019</v>
      </c>
      <c r="P1060" t="s">
        <v>13</v>
      </c>
      <c r="Q1060" t="s">
        <v>99</v>
      </c>
      <c r="R1060" t="s">
        <v>31</v>
      </c>
      <c r="S1060" t="str" cm="1">
        <f t="array" ref="S1060">_xlfn.IFS(R1060="COMPLETE", "COMPLETED", R1060="CANCELED", "CANCELED", TRUE, "PENDING")</f>
        <v>COMPLETED</v>
      </c>
      <c r="T1060" t="s">
        <v>90</v>
      </c>
      <c r="U1060">
        <f>VLOOKUP(A1060,ordered_items!$B:$E,4,0)</f>
        <v>129.99</v>
      </c>
    </row>
    <row r="1061" spans="1:21" x14ac:dyDescent="0.3">
      <c r="A1061">
        <v>28444</v>
      </c>
      <c r="B1061" t="s">
        <v>17</v>
      </c>
      <c r="C1061">
        <v>5</v>
      </c>
      <c r="D1061">
        <v>4</v>
      </c>
      <c r="E1061" t="str">
        <f t="shared" si="48"/>
        <v>DELAYED</v>
      </c>
      <c r="F1061">
        <f>VLOOKUP($A1061,ordered_items!$B$2:$E$4784,2,0)</f>
        <v>403</v>
      </c>
      <c r="G1061">
        <f>VLOOKUP($A1061,ordered_items!$B$2:$E$4784,3,0)</f>
        <v>1</v>
      </c>
      <c r="H1061">
        <f>VLOOKUP($A1061,ordered_items!$B$2:$E$4784,4,0)</f>
        <v>129.99</v>
      </c>
      <c r="I1061" s="15">
        <f>VLOOKUP(F1061,product_info!$A$2:$D$73,4,0)</f>
        <v>4</v>
      </c>
      <c r="J1061" s="15" t="str">
        <f>VLOOKUP(I1061,department!$A$2:$B$13,2,0)</f>
        <v>Apparel</v>
      </c>
      <c r="K1061">
        <v>11542</v>
      </c>
      <c r="L1061" t="s">
        <v>570</v>
      </c>
      <c r="M1061" s="4">
        <v>43515</v>
      </c>
      <c r="N1061" s="12">
        <f t="shared" si="49"/>
        <v>2</v>
      </c>
      <c r="O1061" s="13">
        <f t="shared" si="50"/>
        <v>2019</v>
      </c>
      <c r="P1061" t="s">
        <v>13</v>
      </c>
      <c r="Q1061" t="s">
        <v>99</v>
      </c>
      <c r="R1061" t="s">
        <v>23</v>
      </c>
      <c r="S1061" t="str" cm="1">
        <f t="array" ref="S1061">_xlfn.IFS(R1061="COMPLETE", "COMPLETED", R1061="CANCELED", "CANCELED", TRUE, "PENDING")</f>
        <v>PENDING</v>
      </c>
      <c r="T1061" t="s">
        <v>16</v>
      </c>
      <c r="U1061">
        <f>VLOOKUP(A1061,ordered_items!$B:$E,4,0)</f>
        <v>129.99</v>
      </c>
    </row>
    <row r="1062" spans="1:21" x14ac:dyDescent="0.3">
      <c r="A1062">
        <v>28458</v>
      </c>
      <c r="B1062" t="s">
        <v>51</v>
      </c>
      <c r="C1062">
        <v>4</v>
      </c>
      <c r="D1062">
        <v>4</v>
      </c>
      <c r="E1062" t="str">
        <f t="shared" si="48"/>
        <v xml:space="preserve"> ONTIME</v>
      </c>
      <c r="F1062">
        <f>VLOOKUP($A1062,ordered_items!$B$2:$E$4784,2,0)</f>
        <v>957</v>
      </c>
      <c r="G1062">
        <f>VLOOKUP($A1062,ordered_items!$B$2:$E$4784,3,0)</f>
        <v>1</v>
      </c>
      <c r="H1062">
        <f>VLOOKUP($A1062,ordered_items!$B$2:$E$4784,4,0)</f>
        <v>299.98</v>
      </c>
      <c r="I1062" s="15">
        <f>VLOOKUP(F1062,product_info!$A$2:$D$73,4,0)</f>
        <v>7</v>
      </c>
      <c r="J1062" s="15" t="str">
        <f>VLOOKUP(I1062,department!$A$2:$B$13,2,0)</f>
        <v>Fan Shop</v>
      </c>
      <c r="K1062">
        <v>2783</v>
      </c>
      <c r="L1062" t="s">
        <v>497</v>
      </c>
      <c r="M1062" s="4">
        <v>43515</v>
      </c>
      <c r="N1062" s="12">
        <f t="shared" si="49"/>
        <v>2</v>
      </c>
      <c r="O1062" s="13">
        <f t="shared" si="50"/>
        <v>2019</v>
      </c>
      <c r="P1062" t="s">
        <v>13</v>
      </c>
      <c r="Q1062" t="s">
        <v>99</v>
      </c>
      <c r="R1062" t="s">
        <v>57</v>
      </c>
      <c r="S1062" t="str" cm="1">
        <f t="array" ref="S1062">_xlfn.IFS(R1062="COMPLETE", "COMPLETED", R1062="CANCELED", "CANCELED", TRUE, "PENDING")</f>
        <v>PENDING</v>
      </c>
      <c r="T1062" t="s">
        <v>16</v>
      </c>
      <c r="U1062">
        <f>VLOOKUP(A1062,ordered_items!$B:$E,4,0)</f>
        <v>299.98</v>
      </c>
    </row>
    <row r="1063" spans="1:21" x14ac:dyDescent="0.3">
      <c r="A1063">
        <v>28459</v>
      </c>
      <c r="B1063" t="s">
        <v>24</v>
      </c>
      <c r="C1063">
        <v>5</v>
      </c>
      <c r="D1063">
        <v>4</v>
      </c>
      <c r="E1063" t="str">
        <f t="shared" si="48"/>
        <v>DELAYED</v>
      </c>
      <c r="F1063">
        <f>VLOOKUP($A1063,ordered_items!$B$2:$E$4784,2,0)</f>
        <v>365</v>
      </c>
      <c r="G1063">
        <f>VLOOKUP($A1063,ordered_items!$B$2:$E$4784,3,0)</f>
        <v>1</v>
      </c>
      <c r="H1063">
        <f>VLOOKUP($A1063,ordered_items!$B$2:$E$4784,4,0)</f>
        <v>59.99</v>
      </c>
      <c r="I1063" s="15">
        <f>VLOOKUP(F1063,product_info!$A$2:$D$73,4,0)</f>
        <v>4</v>
      </c>
      <c r="J1063" s="15" t="str">
        <f>VLOOKUP(I1063,department!$A$2:$B$13,2,0)</f>
        <v>Apparel</v>
      </c>
      <c r="K1063">
        <v>2280</v>
      </c>
      <c r="L1063" t="s">
        <v>206</v>
      </c>
      <c r="M1063" s="4">
        <v>43515</v>
      </c>
      <c r="N1063" s="12">
        <f t="shared" si="49"/>
        <v>2</v>
      </c>
      <c r="O1063" s="13">
        <f t="shared" si="50"/>
        <v>2019</v>
      </c>
      <c r="P1063" t="s">
        <v>13</v>
      </c>
      <c r="Q1063" t="s">
        <v>30</v>
      </c>
      <c r="R1063" t="s">
        <v>31</v>
      </c>
      <c r="S1063" t="str" cm="1">
        <f t="array" ref="S1063">_xlfn.IFS(R1063="COMPLETE", "COMPLETED", R1063="CANCELED", "CANCELED", TRUE, "PENDING")</f>
        <v>COMPLETED</v>
      </c>
      <c r="T1063" t="s">
        <v>16</v>
      </c>
      <c r="U1063">
        <f>VLOOKUP(A1063,ordered_items!$B:$E,4,0)</f>
        <v>59.99</v>
      </c>
    </row>
    <row r="1064" spans="1:21" x14ac:dyDescent="0.3">
      <c r="A1064">
        <v>28480</v>
      </c>
      <c r="B1064" t="s">
        <v>3</v>
      </c>
      <c r="C1064">
        <v>6</v>
      </c>
      <c r="D1064">
        <v>4</v>
      </c>
      <c r="E1064" t="str">
        <f t="shared" si="48"/>
        <v>DELAYED</v>
      </c>
      <c r="F1064">
        <f>VLOOKUP($A1064,ordered_items!$B$2:$E$4784,2,0)</f>
        <v>502</v>
      </c>
      <c r="G1064">
        <f>VLOOKUP($A1064,ordered_items!$B$2:$E$4784,3,0)</f>
        <v>1</v>
      </c>
      <c r="H1064">
        <f>VLOOKUP($A1064,ordered_items!$B$2:$E$4784,4,0)</f>
        <v>50</v>
      </c>
      <c r="I1064" s="15">
        <f>VLOOKUP(F1064,product_info!$A$2:$D$73,4,0)</f>
        <v>5</v>
      </c>
      <c r="J1064" s="15" t="str">
        <f>VLOOKUP(I1064,department!$A$2:$B$13,2,0)</f>
        <v>Golf</v>
      </c>
      <c r="K1064">
        <v>8157</v>
      </c>
      <c r="L1064" t="s">
        <v>258</v>
      </c>
      <c r="M1064" s="4">
        <v>43515</v>
      </c>
      <c r="N1064" s="12">
        <f t="shared" si="49"/>
        <v>2</v>
      </c>
      <c r="O1064" s="13">
        <f t="shared" si="50"/>
        <v>2019</v>
      </c>
      <c r="P1064" t="s">
        <v>13</v>
      </c>
      <c r="Q1064" t="s">
        <v>30</v>
      </c>
      <c r="R1064" t="s">
        <v>14</v>
      </c>
      <c r="S1064" t="str" cm="1">
        <f t="array" ref="S1064">_xlfn.IFS(R1064="COMPLETE", "COMPLETED", R1064="CANCELED", "CANCELED", TRUE, "PENDING")</f>
        <v>PENDING</v>
      </c>
      <c r="T1064" t="s">
        <v>16</v>
      </c>
      <c r="U1064">
        <f>VLOOKUP(A1064,ordered_items!$B:$E,4,0)</f>
        <v>50</v>
      </c>
    </row>
    <row r="1065" spans="1:21" x14ac:dyDescent="0.3">
      <c r="A1065">
        <v>28481</v>
      </c>
      <c r="B1065" t="s">
        <v>3</v>
      </c>
      <c r="C1065">
        <v>2</v>
      </c>
      <c r="D1065">
        <v>1</v>
      </c>
      <c r="E1065" t="str">
        <f t="shared" si="48"/>
        <v>DELAYED</v>
      </c>
      <c r="F1065">
        <f>VLOOKUP($A1065,ordered_items!$B$2:$E$4784,2,0)</f>
        <v>365</v>
      </c>
      <c r="G1065">
        <f>VLOOKUP($A1065,ordered_items!$B$2:$E$4784,3,0)</f>
        <v>5</v>
      </c>
      <c r="H1065">
        <f>VLOOKUP($A1065,ordered_items!$B$2:$E$4784,4,0)</f>
        <v>299.95</v>
      </c>
      <c r="I1065" s="15">
        <f>VLOOKUP(F1065,product_info!$A$2:$D$73,4,0)</f>
        <v>4</v>
      </c>
      <c r="J1065" s="15" t="str">
        <f>VLOOKUP(I1065,department!$A$2:$B$13,2,0)</f>
        <v>Apparel</v>
      </c>
      <c r="K1065">
        <v>12028</v>
      </c>
      <c r="L1065" t="s">
        <v>258</v>
      </c>
      <c r="M1065" s="4">
        <v>43515</v>
      </c>
      <c r="N1065" s="12">
        <f t="shared" si="49"/>
        <v>2</v>
      </c>
      <c r="O1065" s="13">
        <f t="shared" si="50"/>
        <v>2019</v>
      </c>
      <c r="P1065" t="s">
        <v>13</v>
      </c>
      <c r="Q1065" t="s">
        <v>30</v>
      </c>
      <c r="R1065" t="s">
        <v>178</v>
      </c>
      <c r="S1065" t="str" cm="1">
        <f t="array" ref="S1065">_xlfn.IFS(R1065="COMPLETE", "COMPLETED", R1065="CANCELED", "CANCELED", TRUE, "PENDING")</f>
        <v>PENDING</v>
      </c>
      <c r="T1065" t="s">
        <v>32</v>
      </c>
      <c r="U1065">
        <f>VLOOKUP(A1065,ordered_items!$B:$E,4,0)</f>
        <v>299.95</v>
      </c>
    </row>
    <row r="1066" spans="1:21" x14ac:dyDescent="0.3">
      <c r="A1066">
        <v>28484</v>
      </c>
      <c r="B1066" t="s">
        <v>3</v>
      </c>
      <c r="C1066">
        <v>5</v>
      </c>
      <c r="D1066">
        <v>4</v>
      </c>
      <c r="E1066" t="str">
        <f t="shared" si="48"/>
        <v>DELAYED</v>
      </c>
      <c r="F1066">
        <f>VLOOKUP($A1066,ordered_items!$B$2:$E$4784,2,0)</f>
        <v>1073</v>
      </c>
      <c r="G1066">
        <f>VLOOKUP($A1066,ordered_items!$B$2:$E$4784,3,0)</f>
        <v>1</v>
      </c>
      <c r="H1066">
        <f>VLOOKUP($A1066,ordered_items!$B$2:$E$4784,4,0)</f>
        <v>199.99</v>
      </c>
      <c r="I1066" s="15">
        <f>VLOOKUP(F1066,product_info!$A$2:$D$73,4,0)</f>
        <v>7</v>
      </c>
      <c r="J1066" s="15" t="str">
        <f>VLOOKUP(I1066,department!$A$2:$B$13,2,0)</f>
        <v>Fan Shop</v>
      </c>
      <c r="K1066">
        <v>5618</v>
      </c>
      <c r="L1066" t="s">
        <v>258</v>
      </c>
      <c r="M1066" s="4">
        <v>43515</v>
      </c>
      <c r="N1066" s="12">
        <f t="shared" si="49"/>
        <v>2</v>
      </c>
      <c r="O1066" s="13">
        <f t="shared" si="50"/>
        <v>2019</v>
      </c>
      <c r="P1066" t="s">
        <v>13</v>
      </c>
      <c r="Q1066" t="s">
        <v>30</v>
      </c>
      <c r="R1066" t="s">
        <v>38</v>
      </c>
      <c r="S1066" t="str" cm="1">
        <f t="array" ref="S1066">_xlfn.IFS(R1066="COMPLETE", "COMPLETED", R1066="CANCELED", "CANCELED", TRUE, "PENDING")</f>
        <v>PENDING</v>
      </c>
      <c r="T1066" t="s">
        <v>16</v>
      </c>
      <c r="U1066">
        <f>VLOOKUP(A1066,ordered_items!$B:$E,4,0)</f>
        <v>199.99</v>
      </c>
    </row>
    <row r="1067" spans="1:21" x14ac:dyDescent="0.3">
      <c r="A1067">
        <v>28485</v>
      </c>
      <c r="B1067" t="s">
        <v>51</v>
      </c>
      <c r="C1067">
        <v>6</v>
      </c>
      <c r="D1067">
        <v>4</v>
      </c>
      <c r="E1067" t="str">
        <f t="shared" si="48"/>
        <v>DELAYED</v>
      </c>
      <c r="F1067">
        <f>VLOOKUP($A1067,ordered_items!$B$2:$E$4784,2,0)</f>
        <v>825</v>
      </c>
      <c r="G1067">
        <f>VLOOKUP($A1067,ordered_items!$B$2:$E$4784,3,0)</f>
        <v>1</v>
      </c>
      <c r="H1067">
        <f>VLOOKUP($A1067,ordered_items!$B$2:$E$4784,4,0)</f>
        <v>31.99</v>
      </c>
      <c r="I1067" s="15">
        <f>VLOOKUP(F1067,product_info!$A$2:$D$73,4,0)</f>
        <v>6</v>
      </c>
      <c r="J1067" s="15" t="str">
        <f>VLOOKUP(I1067,department!$A$2:$B$13,2,0)</f>
        <v>Outdoors</v>
      </c>
      <c r="K1067">
        <v>9352</v>
      </c>
      <c r="L1067" t="s">
        <v>258</v>
      </c>
      <c r="M1067" s="4">
        <v>43515</v>
      </c>
      <c r="N1067" s="12">
        <f t="shared" si="49"/>
        <v>2</v>
      </c>
      <c r="O1067" s="13">
        <f t="shared" si="50"/>
        <v>2019</v>
      </c>
      <c r="P1067" t="s">
        <v>13</v>
      </c>
      <c r="Q1067" t="s">
        <v>30</v>
      </c>
      <c r="R1067" t="s">
        <v>57</v>
      </c>
      <c r="S1067" t="str" cm="1">
        <f t="array" ref="S1067">_xlfn.IFS(R1067="COMPLETE", "COMPLETED", R1067="CANCELED", "CANCELED", TRUE, "PENDING")</f>
        <v>PENDING</v>
      </c>
      <c r="T1067" t="s">
        <v>16</v>
      </c>
      <c r="U1067">
        <f>VLOOKUP(A1067,ordered_items!$B:$E,4,0)</f>
        <v>31.99</v>
      </c>
    </row>
    <row r="1068" spans="1:21" x14ac:dyDescent="0.3">
      <c r="A1068">
        <v>28486</v>
      </c>
      <c r="B1068" t="s">
        <v>3</v>
      </c>
      <c r="C1068">
        <v>2</v>
      </c>
      <c r="D1068">
        <v>2</v>
      </c>
      <c r="E1068" t="str">
        <f t="shared" si="48"/>
        <v xml:space="preserve"> ONTIME</v>
      </c>
      <c r="F1068">
        <f>VLOOKUP($A1068,ordered_items!$B$2:$E$4784,2,0)</f>
        <v>792</v>
      </c>
      <c r="G1068">
        <f>VLOOKUP($A1068,ordered_items!$B$2:$E$4784,3,0)</f>
        <v>2</v>
      </c>
      <c r="H1068">
        <f>VLOOKUP($A1068,ordered_items!$B$2:$E$4784,4,0)</f>
        <v>29.98</v>
      </c>
      <c r="I1068" s="15">
        <f>VLOOKUP(F1068,product_info!$A$2:$D$73,4,0)</f>
        <v>6</v>
      </c>
      <c r="J1068" s="15" t="str">
        <f>VLOOKUP(I1068,department!$A$2:$B$13,2,0)</f>
        <v>Outdoors</v>
      </c>
      <c r="K1068">
        <v>400</v>
      </c>
      <c r="L1068" t="s">
        <v>258</v>
      </c>
      <c r="M1068" s="4">
        <v>43515</v>
      </c>
      <c r="N1068" s="12">
        <f t="shared" si="49"/>
        <v>2</v>
      </c>
      <c r="O1068" s="13">
        <f t="shared" si="50"/>
        <v>2019</v>
      </c>
      <c r="P1068" t="s">
        <v>13</v>
      </c>
      <c r="Q1068" t="s">
        <v>30</v>
      </c>
      <c r="R1068" t="s">
        <v>38</v>
      </c>
      <c r="S1068" t="str" cm="1">
        <f t="array" ref="S1068">_xlfn.IFS(R1068="COMPLETE", "COMPLETED", R1068="CANCELED", "CANCELED", TRUE, "PENDING")</f>
        <v>PENDING</v>
      </c>
      <c r="T1068" t="s">
        <v>90</v>
      </c>
      <c r="U1068">
        <f>VLOOKUP(A1068,ordered_items!$B:$E,4,0)</f>
        <v>29.98</v>
      </c>
    </row>
    <row r="1069" spans="1:21" x14ac:dyDescent="0.3">
      <c r="A1069">
        <v>28487</v>
      </c>
      <c r="B1069" t="s">
        <v>3</v>
      </c>
      <c r="C1069">
        <v>3</v>
      </c>
      <c r="D1069">
        <v>2</v>
      </c>
      <c r="E1069" t="str">
        <f t="shared" si="48"/>
        <v>DELAYED</v>
      </c>
      <c r="F1069">
        <f>VLOOKUP($A1069,ordered_items!$B$2:$E$4784,2,0)</f>
        <v>957</v>
      </c>
      <c r="G1069">
        <f>VLOOKUP($A1069,ordered_items!$B$2:$E$4784,3,0)</f>
        <v>1</v>
      </c>
      <c r="H1069">
        <f>VLOOKUP($A1069,ordered_items!$B$2:$E$4784,4,0)</f>
        <v>299.98</v>
      </c>
      <c r="I1069" s="15">
        <f>VLOOKUP(F1069,product_info!$A$2:$D$73,4,0)</f>
        <v>7</v>
      </c>
      <c r="J1069" s="15" t="str">
        <f>VLOOKUP(I1069,department!$A$2:$B$13,2,0)</f>
        <v>Fan Shop</v>
      </c>
      <c r="K1069">
        <v>3929</v>
      </c>
      <c r="L1069" t="s">
        <v>258</v>
      </c>
      <c r="M1069" s="4">
        <v>43515</v>
      </c>
      <c r="N1069" s="12">
        <f t="shared" si="49"/>
        <v>2</v>
      </c>
      <c r="O1069" s="13">
        <f t="shared" si="50"/>
        <v>2019</v>
      </c>
      <c r="P1069" t="s">
        <v>13</v>
      </c>
      <c r="Q1069" t="s">
        <v>30</v>
      </c>
      <c r="R1069" t="s">
        <v>235</v>
      </c>
      <c r="S1069" t="str" cm="1">
        <f t="array" ref="S1069">_xlfn.IFS(R1069="COMPLETE", "COMPLETED", R1069="CANCELED", "CANCELED", TRUE, "PENDING")</f>
        <v>CANCELED</v>
      </c>
      <c r="T1069" t="s">
        <v>90</v>
      </c>
      <c r="U1069">
        <f>VLOOKUP(A1069,ordered_items!$B:$E,4,0)</f>
        <v>299.98</v>
      </c>
    </row>
    <row r="1070" spans="1:21" x14ac:dyDescent="0.3">
      <c r="A1070">
        <v>28491</v>
      </c>
      <c r="B1070" t="s">
        <v>24</v>
      </c>
      <c r="C1070">
        <v>2</v>
      </c>
      <c r="D1070">
        <v>4</v>
      </c>
      <c r="E1070" t="str">
        <f t="shared" si="48"/>
        <v xml:space="preserve"> ONTIME</v>
      </c>
      <c r="F1070">
        <f>VLOOKUP($A1070,ordered_items!$B$2:$E$4784,2,0)</f>
        <v>502</v>
      </c>
      <c r="G1070">
        <f>VLOOKUP($A1070,ordered_items!$B$2:$E$4784,3,0)</f>
        <v>1</v>
      </c>
      <c r="H1070">
        <f>VLOOKUP($A1070,ordered_items!$B$2:$E$4784,4,0)</f>
        <v>50</v>
      </c>
      <c r="I1070" s="15">
        <f>VLOOKUP(F1070,product_info!$A$2:$D$73,4,0)</f>
        <v>5</v>
      </c>
      <c r="J1070" s="15" t="str">
        <f>VLOOKUP(I1070,department!$A$2:$B$13,2,0)</f>
        <v>Golf</v>
      </c>
      <c r="K1070">
        <v>11725</v>
      </c>
      <c r="L1070" t="s">
        <v>426</v>
      </c>
      <c r="M1070" s="4">
        <v>43515</v>
      </c>
      <c r="N1070" s="12">
        <f t="shared" si="49"/>
        <v>2</v>
      </c>
      <c r="O1070" s="13">
        <f t="shared" si="50"/>
        <v>2019</v>
      </c>
      <c r="P1070" t="s">
        <v>13</v>
      </c>
      <c r="Q1070" t="s">
        <v>245</v>
      </c>
      <c r="R1070" t="s">
        <v>31</v>
      </c>
      <c r="S1070" t="str" cm="1">
        <f t="array" ref="S1070">_xlfn.IFS(R1070="COMPLETE", "COMPLETED", R1070="CANCELED", "CANCELED", TRUE, "PENDING")</f>
        <v>COMPLETED</v>
      </c>
      <c r="T1070" t="s">
        <v>16</v>
      </c>
      <c r="U1070">
        <f>VLOOKUP(A1070,ordered_items!$B:$E,4,0)</f>
        <v>50</v>
      </c>
    </row>
    <row r="1071" spans="1:21" x14ac:dyDescent="0.3">
      <c r="A1071">
        <v>28492</v>
      </c>
      <c r="B1071" t="s">
        <v>3</v>
      </c>
      <c r="C1071">
        <v>3</v>
      </c>
      <c r="D1071">
        <v>4</v>
      </c>
      <c r="E1071" t="str">
        <f t="shared" si="48"/>
        <v xml:space="preserve"> ONTIME</v>
      </c>
      <c r="F1071">
        <f>VLOOKUP($A1071,ordered_items!$B$2:$E$4784,2,0)</f>
        <v>365</v>
      </c>
      <c r="G1071">
        <f>VLOOKUP($A1071,ordered_items!$B$2:$E$4784,3,0)</f>
        <v>3</v>
      </c>
      <c r="H1071">
        <f>VLOOKUP($A1071,ordered_items!$B$2:$E$4784,4,0)</f>
        <v>179.97</v>
      </c>
      <c r="I1071" s="15">
        <f>VLOOKUP(F1071,product_info!$A$2:$D$73,4,0)</f>
        <v>4</v>
      </c>
      <c r="J1071" s="15" t="str">
        <f>VLOOKUP(I1071,department!$A$2:$B$13,2,0)</f>
        <v>Apparel</v>
      </c>
      <c r="K1071">
        <v>1886</v>
      </c>
      <c r="L1071" t="s">
        <v>426</v>
      </c>
      <c r="M1071" s="4">
        <v>43515</v>
      </c>
      <c r="N1071" s="12">
        <f t="shared" si="49"/>
        <v>2</v>
      </c>
      <c r="O1071" s="13">
        <f t="shared" si="50"/>
        <v>2019</v>
      </c>
      <c r="P1071" t="s">
        <v>13</v>
      </c>
      <c r="Q1071" t="s">
        <v>245</v>
      </c>
      <c r="R1071" t="s">
        <v>235</v>
      </c>
      <c r="S1071" t="str" cm="1">
        <f t="array" ref="S1071">_xlfn.IFS(R1071="COMPLETE", "COMPLETED", R1071="CANCELED", "CANCELED", TRUE, "PENDING")</f>
        <v>CANCELED</v>
      </c>
      <c r="T1071" t="s">
        <v>16</v>
      </c>
      <c r="U1071">
        <f>VLOOKUP(A1071,ordered_items!$B:$E,4,0)</f>
        <v>179.97</v>
      </c>
    </row>
    <row r="1072" spans="1:21" x14ac:dyDescent="0.3">
      <c r="A1072">
        <v>28503</v>
      </c>
      <c r="B1072" t="s">
        <v>51</v>
      </c>
      <c r="C1072">
        <v>4</v>
      </c>
      <c r="D1072">
        <v>2</v>
      </c>
      <c r="E1072" t="str">
        <f t="shared" si="48"/>
        <v>DELAYED</v>
      </c>
      <c r="F1072">
        <f>VLOOKUP($A1072,ordered_items!$B$2:$E$4784,2,0)</f>
        <v>1073</v>
      </c>
      <c r="G1072">
        <f>VLOOKUP($A1072,ordered_items!$B$2:$E$4784,3,0)</f>
        <v>1</v>
      </c>
      <c r="H1072">
        <f>VLOOKUP($A1072,ordered_items!$B$2:$E$4784,4,0)</f>
        <v>199.99</v>
      </c>
      <c r="I1072" s="15">
        <f>VLOOKUP(F1072,product_info!$A$2:$D$73,4,0)</f>
        <v>7</v>
      </c>
      <c r="J1072" s="15" t="str">
        <f>VLOOKUP(I1072,department!$A$2:$B$13,2,0)</f>
        <v>Fan Shop</v>
      </c>
      <c r="K1072">
        <v>7680</v>
      </c>
      <c r="L1072" t="s">
        <v>258</v>
      </c>
      <c r="M1072" s="4">
        <v>43516</v>
      </c>
      <c r="N1072" s="12">
        <f t="shared" si="49"/>
        <v>2</v>
      </c>
      <c r="O1072" s="13">
        <f t="shared" si="50"/>
        <v>2019</v>
      </c>
      <c r="P1072" t="s">
        <v>13</v>
      </c>
      <c r="Q1072" t="s">
        <v>30</v>
      </c>
      <c r="R1072" t="s">
        <v>57</v>
      </c>
      <c r="S1072" t="str" cm="1">
        <f t="array" ref="S1072">_xlfn.IFS(R1072="COMPLETE", "COMPLETED", R1072="CANCELED", "CANCELED", TRUE, "PENDING")</f>
        <v>PENDING</v>
      </c>
      <c r="T1072" t="s">
        <v>90</v>
      </c>
      <c r="U1072">
        <f>VLOOKUP(A1072,ordered_items!$B:$E,4,0)</f>
        <v>199.99</v>
      </c>
    </row>
    <row r="1073" spans="1:21" x14ac:dyDescent="0.3">
      <c r="A1073">
        <v>28511</v>
      </c>
      <c r="B1073" t="s">
        <v>17</v>
      </c>
      <c r="C1073">
        <v>2</v>
      </c>
      <c r="D1073">
        <v>4</v>
      </c>
      <c r="E1073" t="str">
        <f t="shared" si="48"/>
        <v xml:space="preserve"> ONTIME</v>
      </c>
      <c r="F1073">
        <f>VLOOKUP($A1073,ordered_items!$B$2:$E$4784,2,0)</f>
        <v>1004</v>
      </c>
      <c r="G1073">
        <f>VLOOKUP($A1073,ordered_items!$B$2:$E$4784,3,0)</f>
        <v>1</v>
      </c>
      <c r="H1073">
        <f>VLOOKUP($A1073,ordered_items!$B$2:$E$4784,4,0)</f>
        <v>399.98</v>
      </c>
      <c r="I1073" s="15">
        <f>VLOOKUP(F1073,product_info!$A$2:$D$73,4,0)</f>
        <v>7</v>
      </c>
      <c r="J1073" s="15" t="str">
        <f>VLOOKUP(I1073,department!$A$2:$B$13,2,0)</f>
        <v>Fan Shop</v>
      </c>
      <c r="K1073">
        <v>2769</v>
      </c>
      <c r="L1073" t="s">
        <v>295</v>
      </c>
      <c r="M1073" s="4">
        <v>43516</v>
      </c>
      <c r="N1073" s="12">
        <f t="shared" si="49"/>
        <v>2</v>
      </c>
      <c r="O1073" s="13">
        <f t="shared" si="50"/>
        <v>2019</v>
      </c>
      <c r="P1073" t="s">
        <v>13</v>
      </c>
      <c r="Q1073" t="s">
        <v>80</v>
      </c>
      <c r="R1073" t="s">
        <v>23</v>
      </c>
      <c r="S1073" t="str" cm="1">
        <f t="array" ref="S1073">_xlfn.IFS(R1073="COMPLETE", "COMPLETED", R1073="CANCELED", "CANCELED", TRUE, "PENDING")</f>
        <v>PENDING</v>
      </c>
      <c r="T1073" t="s">
        <v>16</v>
      </c>
      <c r="U1073">
        <f>VLOOKUP(A1073,ordered_items!$B:$E,4,0)</f>
        <v>399.98</v>
      </c>
    </row>
    <row r="1074" spans="1:21" x14ac:dyDescent="0.3">
      <c r="A1074">
        <v>28512</v>
      </c>
      <c r="B1074" t="s">
        <v>51</v>
      </c>
      <c r="C1074">
        <v>0</v>
      </c>
      <c r="D1074">
        <v>0</v>
      </c>
      <c r="E1074" t="str">
        <f t="shared" si="48"/>
        <v xml:space="preserve"> ONTIME</v>
      </c>
      <c r="F1074">
        <f>VLOOKUP($A1074,ordered_items!$B$2:$E$4784,2,0)</f>
        <v>957</v>
      </c>
      <c r="G1074">
        <f>VLOOKUP($A1074,ordered_items!$B$2:$E$4784,3,0)</f>
        <v>1</v>
      </c>
      <c r="H1074">
        <f>VLOOKUP($A1074,ordered_items!$B$2:$E$4784,4,0)</f>
        <v>299.98</v>
      </c>
      <c r="I1074" s="15">
        <f>VLOOKUP(F1074,product_info!$A$2:$D$73,4,0)</f>
        <v>7</v>
      </c>
      <c r="J1074" s="15" t="str">
        <f>VLOOKUP(I1074,department!$A$2:$B$13,2,0)</f>
        <v>Fan Shop</v>
      </c>
      <c r="K1074">
        <v>833</v>
      </c>
      <c r="L1074" t="s">
        <v>295</v>
      </c>
      <c r="M1074" s="4">
        <v>43516</v>
      </c>
      <c r="N1074" s="12">
        <f t="shared" si="49"/>
        <v>2</v>
      </c>
      <c r="O1074" s="13">
        <f t="shared" si="50"/>
        <v>2019</v>
      </c>
      <c r="P1074" t="s">
        <v>13</v>
      </c>
      <c r="Q1074" t="s">
        <v>80</v>
      </c>
      <c r="R1074" t="s">
        <v>57</v>
      </c>
      <c r="S1074" t="str" cm="1">
        <f t="array" ref="S1074">_xlfn.IFS(R1074="COMPLETE", "COMPLETED", R1074="CANCELED", "CANCELED", TRUE, "PENDING")</f>
        <v>PENDING</v>
      </c>
      <c r="T1074" t="s">
        <v>58</v>
      </c>
      <c r="U1074">
        <f>VLOOKUP(A1074,ordered_items!$B:$E,4,0)</f>
        <v>299.98</v>
      </c>
    </row>
    <row r="1075" spans="1:21" x14ac:dyDescent="0.3">
      <c r="A1075">
        <v>28521</v>
      </c>
      <c r="B1075" t="s">
        <v>17</v>
      </c>
      <c r="C1075">
        <v>0</v>
      </c>
      <c r="D1075">
        <v>0</v>
      </c>
      <c r="E1075" t="str">
        <f t="shared" si="48"/>
        <v xml:space="preserve"> ONTIME</v>
      </c>
      <c r="F1075">
        <f>VLOOKUP($A1075,ordered_items!$B$2:$E$4784,2,0)</f>
        <v>1073</v>
      </c>
      <c r="G1075">
        <f>VLOOKUP($A1075,ordered_items!$B$2:$E$4784,3,0)</f>
        <v>1</v>
      </c>
      <c r="H1075">
        <f>VLOOKUP($A1075,ordered_items!$B$2:$E$4784,4,0)</f>
        <v>199.99</v>
      </c>
      <c r="I1075" s="15">
        <f>VLOOKUP(F1075,product_info!$A$2:$D$73,4,0)</f>
        <v>7</v>
      </c>
      <c r="J1075" s="15" t="str">
        <f>VLOOKUP(I1075,department!$A$2:$B$13,2,0)</f>
        <v>Fan Shop</v>
      </c>
      <c r="K1075">
        <v>12258</v>
      </c>
      <c r="L1075" t="s">
        <v>258</v>
      </c>
      <c r="M1075" s="4">
        <v>43516</v>
      </c>
      <c r="N1075" s="12">
        <f t="shared" si="49"/>
        <v>2</v>
      </c>
      <c r="O1075" s="13">
        <f t="shared" si="50"/>
        <v>2019</v>
      </c>
      <c r="P1075" t="s">
        <v>13</v>
      </c>
      <c r="Q1075" t="s">
        <v>30</v>
      </c>
      <c r="R1075" t="s">
        <v>23</v>
      </c>
      <c r="S1075" t="str" cm="1">
        <f t="array" ref="S1075">_xlfn.IFS(R1075="COMPLETE", "COMPLETED", R1075="CANCELED", "CANCELED", TRUE, "PENDING")</f>
        <v>PENDING</v>
      </c>
      <c r="T1075" t="s">
        <v>58</v>
      </c>
      <c r="U1075">
        <f>VLOOKUP(A1075,ordered_items!$B:$E,4,0)</f>
        <v>199.99</v>
      </c>
    </row>
    <row r="1076" spans="1:21" x14ac:dyDescent="0.3">
      <c r="A1076">
        <v>28537</v>
      </c>
      <c r="B1076" t="s">
        <v>17</v>
      </c>
      <c r="C1076">
        <v>3</v>
      </c>
      <c r="D1076">
        <v>4</v>
      </c>
      <c r="E1076" t="str">
        <f t="shared" si="48"/>
        <v xml:space="preserve"> ONTIME</v>
      </c>
      <c r="F1076">
        <f>VLOOKUP($A1076,ordered_items!$B$2:$E$4784,2,0)</f>
        <v>191</v>
      </c>
      <c r="G1076">
        <f>VLOOKUP($A1076,ordered_items!$B$2:$E$4784,3,0)</f>
        <v>1</v>
      </c>
      <c r="H1076">
        <f>VLOOKUP($A1076,ordered_items!$B$2:$E$4784,4,0)</f>
        <v>99.99</v>
      </c>
      <c r="I1076" s="15">
        <f>VLOOKUP(F1076,product_info!$A$2:$D$73,4,0)</f>
        <v>3</v>
      </c>
      <c r="J1076" s="15" t="str">
        <f>VLOOKUP(I1076,department!$A$2:$B$13,2,0)</f>
        <v>Footwear</v>
      </c>
      <c r="K1076">
        <v>4125</v>
      </c>
      <c r="L1076" t="s">
        <v>70</v>
      </c>
      <c r="M1076" s="4">
        <v>43516</v>
      </c>
      <c r="N1076" s="12">
        <f t="shared" si="49"/>
        <v>2</v>
      </c>
      <c r="O1076" s="13">
        <f t="shared" si="50"/>
        <v>2019</v>
      </c>
      <c r="P1076" t="s">
        <v>13</v>
      </c>
      <c r="Q1076" t="s">
        <v>70</v>
      </c>
      <c r="R1076" t="s">
        <v>23</v>
      </c>
      <c r="S1076" t="str" cm="1">
        <f t="array" ref="S1076">_xlfn.IFS(R1076="COMPLETE", "COMPLETED", R1076="CANCELED", "CANCELED", TRUE, "PENDING")</f>
        <v>PENDING</v>
      </c>
      <c r="T1076" t="s">
        <v>16</v>
      </c>
      <c r="U1076">
        <f>VLOOKUP(A1076,ordered_items!$B:$E,4,0)</f>
        <v>99.99</v>
      </c>
    </row>
    <row r="1077" spans="1:21" x14ac:dyDescent="0.3">
      <c r="A1077">
        <v>28552</v>
      </c>
      <c r="B1077" t="s">
        <v>24</v>
      </c>
      <c r="C1077">
        <v>3</v>
      </c>
      <c r="D1077">
        <v>4</v>
      </c>
      <c r="E1077" t="str">
        <f t="shared" si="48"/>
        <v xml:space="preserve"> ONTIME</v>
      </c>
      <c r="F1077">
        <f>VLOOKUP($A1077,ordered_items!$B$2:$E$4784,2,0)</f>
        <v>191</v>
      </c>
      <c r="G1077">
        <f>VLOOKUP($A1077,ordered_items!$B$2:$E$4784,3,0)</f>
        <v>3</v>
      </c>
      <c r="H1077">
        <f>VLOOKUP($A1077,ordered_items!$B$2:$E$4784,4,0)</f>
        <v>299.97000000000003</v>
      </c>
      <c r="I1077" s="15">
        <f>VLOOKUP(F1077,product_info!$A$2:$D$73,4,0)</f>
        <v>3</v>
      </c>
      <c r="J1077" s="15" t="str">
        <f>VLOOKUP(I1077,department!$A$2:$B$13,2,0)</f>
        <v>Footwear</v>
      </c>
      <c r="K1077">
        <v>2775</v>
      </c>
      <c r="L1077" t="s">
        <v>2310</v>
      </c>
      <c r="M1077" s="4">
        <v>43516</v>
      </c>
      <c r="N1077" s="12">
        <f t="shared" si="49"/>
        <v>2</v>
      </c>
      <c r="O1077" s="13">
        <f t="shared" si="50"/>
        <v>2019</v>
      </c>
      <c r="P1077" t="s">
        <v>13</v>
      </c>
      <c r="Q1077" t="s">
        <v>30</v>
      </c>
      <c r="R1077" t="s">
        <v>31</v>
      </c>
      <c r="S1077" t="str" cm="1">
        <f t="array" ref="S1077">_xlfn.IFS(R1077="COMPLETE", "COMPLETED", R1077="CANCELED", "CANCELED", TRUE, "PENDING")</f>
        <v>COMPLETED</v>
      </c>
      <c r="T1077" t="s">
        <v>16</v>
      </c>
      <c r="U1077">
        <f>VLOOKUP(A1077,ordered_items!$B:$E,4,0)</f>
        <v>299.97000000000003</v>
      </c>
    </row>
    <row r="1078" spans="1:21" x14ac:dyDescent="0.3">
      <c r="A1078">
        <v>28553</v>
      </c>
      <c r="B1078" t="s">
        <v>24</v>
      </c>
      <c r="C1078">
        <v>4</v>
      </c>
      <c r="D1078">
        <v>4</v>
      </c>
      <c r="E1078" t="str">
        <f t="shared" si="48"/>
        <v xml:space="preserve"> ONTIME</v>
      </c>
      <c r="F1078">
        <f>VLOOKUP($A1078,ordered_items!$B$2:$E$4784,2,0)</f>
        <v>703</v>
      </c>
      <c r="G1078">
        <f>VLOOKUP($A1078,ordered_items!$B$2:$E$4784,3,0)</f>
        <v>2</v>
      </c>
      <c r="H1078">
        <f>VLOOKUP($A1078,ordered_items!$B$2:$E$4784,4,0)</f>
        <v>39.979999999999997</v>
      </c>
      <c r="I1078" s="15">
        <f>VLOOKUP(F1078,product_info!$A$2:$D$73,4,0)</f>
        <v>6</v>
      </c>
      <c r="J1078" s="15" t="str">
        <f>VLOOKUP(I1078,department!$A$2:$B$13,2,0)</f>
        <v>Outdoors</v>
      </c>
      <c r="K1078">
        <v>5783</v>
      </c>
      <c r="L1078" t="s">
        <v>2310</v>
      </c>
      <c r="M1078" s="4">
        <v>43516</v>
      </c>
      <c r="N1078" s="12">
        <f t="shared" si="49"/>
        <v>2</v>
      </c>
      <c r="O1078" s="13">
        <f t="shared" si="50"/>
        <v>2019</v>
      </c>
      <c r="P1078" t="s">
        <v>13</v>
      </c>
      <c r="Q1078" t="s">
        <v>30</v>
      </c>
      <c r="R1078" t="s">
        <v>31</v>
      </c>
      <c r="S1078" t="str" cm="1">
        <f t="array" ref="S1078">_xlfn.IFS(R1078="COMPLETE", "COMPLETED", R1078="CANCELED", "CANCELED", TRUE, "PENDING")</f>
        <v>COMPLETED</v>
      </c>
      <c r="T1078" t="s">
        <v>16</v>
      </c>
      <c r="U1078">
        <f>VLOOKUP(A1078,ordered_items!$B:$E,4,0)</f>
        <v>39.979999999999997</v>
      </c>
    </row>
    <row r="1079" spans="1:21" x14ac:dyDescent="0.3">
      <c r="A1079">
        <v>28554</v>
      </c>
      <c r="B1079" t="s">
        <v>51</v>
      </c>
      <c r="C1079">
        <v>5</v>
      </c>
      <c r="D1079">
        <v>4</v>
      </c>
      <c r="E1079" t="str">
        <f t="shared" si="48"/>
        <v>DELAYED</v>
      </c>
      <c r="F1079">
        <f>VLOOKUP($A1079,ordered_items!$B$2:$E$4784,2,0)</f>
        <v>1004</v>
      </c>
      <c r="G1079">
        <f>VLOOKUP($A1079,ordered_items!$B$2:$E$4784,3,0)</f>
        <v>1</v>
      </c>
      <c r="H1079">
        <f>VLOOKUP($A1079,ordered_items!$B$2:$E$4784,4,0)</f>
        <v>399.98</v>
      </c>
      <c r="I1079" s="15">
        <f>VLOOKUP(F1079,product_info!$A$2:$D$73,4,0)</f>
        <v>7</v>
      </c>
      <c r="J1079" s="15" t="str">
        <f>VLOOKUP(I1079,department!$A$2:$B$13,2,0)</f>
        <v>Fan Shop</v>
      </c>
      <c r="K1079">
        <v>7211</v>
      </c>
      <c r="L1079" t="s">
        <v>2310</v>
      </c>
      <c r="M1079" s="4">
        <v>43516</v>
      </c>
      <c r="N1079" s="12">
        <f t="shared" si="49"/>
        <v>2</v>
      </c>
      <c r="O1079" s="13">
        <f t="shared" si="50"/>
        <v>2019</v>
      </c>
      <c r="P1079" t="s">
        <v>13</v>
      </c>
      <c r="Q1079" t="s">
        <v>30</v>
      </c>
      <c r="R1079" t="s">
        <v>57</v>
      </c>
      <c r="S1079" t="str" cm="1">
        <f t="array" ref="S1079">_xlfn.IFS(R1079="COMPLETE", "COMPLETED", R1079="CANCELED", "CANCELED", TRUE, "PENDING")</f>
        <v>PENDING</v>
      </c>
      <c r="T1079" t="s">
        <v>16</v>
      </c>
      <c r="U1079">
        <f>VLOOKUP(A1079,ordered_items!$B:$E,4,0)</f>
        <v>399.98</v>
      </c>
    </row>
    <row r="1080" spans="1:21" x14ac:dyDescent="0.3">
      <c r="A1080">
        <v>28555</v>
      </c>
      <c r="B1080" t="s">
        <v>24</v>
      </c>
      <c r="C1080">
        <v>6</v>
      </c>
      <c r="D1080">
        <v>4</v>
      </c>
      <c r="E1080" t="str">
        <f t="shared" si="48"/>
        <v>DELAYED</v>
      </c>
      <c r="F1080">
        <f>VLOOKUP($A1080,ordered_items!$B$2:$E$4784,2,0)</f>
        <v>276</v>
      </c>
      <c r="G1080">
        <f>VLOOKUP($A1080,ordered_items!$B$2:$E$4784,3,0)</f>
        <v>5</v>
      </c>
      <c r="H1080">
        <f>VLOOKUP($A1080,ordered_items!$B$2:$E$4784,4,0)</f>
        <v>159.94999999999999</v>
      </c>
      <c r="I1080" s="15">
        <f>VLOOKUP(F1080,product_info!$A$2:$D$73,4,0)</f>
        <v>3</v>
      </c>
      <c r="J1080" s="15" t="str">
        <f>VLOOKUP(I1080,department!$A$2:$B$13,2,0)</f>
        <v>Footwear</v>
      </c>
      <c r="K1080">
        <v>8448</v>
      </c>
      <c r="L1080" t="s">
        <v>894</v>
      </c>
      <c r="M1080" s="4">
        <v>43516</v>
      </c>
      <c r="N1080" s="12">
        <f t="shared" si="49"/>
        <v>2</v>
      </c>
      <c r="O1080" s="13">
        <f t="shared" si="50"/>
        <v>2019</v>
      </c>
      <c r="P1080" t="s">
        <v>13</v>
      </c>
      <c r="Q1080" t="s">
        <v>894</v>
      </c>
      <c r="R1080" t="s">
        <v>31</v>
      </c>
      <c r="S1080" t="str" cm="1">
        <f t="array" ref="S1080">_xlfn.IFS(R1080="COMPLETE", "COMPLETED", R1080="CANCELED", "CANCELED", TRUE, "PENDING")</f>
        <v>COMPLETED</v>
      </c>
      <c r="T1080" t="s">
        <v>16</v>
      </c>
      <c r="U1080">
        <f>VLOOKUP(A1080,ordered_items!$B:$E,4,0)</f>
        <v>159.94999999999999</v>
      </c>
    </row>
    <row r="1081" spans="1:21" x14ac:dyDescent="0.3">
      <c r="A1081">
        <v>28557</v>
      </c>
      <c r="B1081" t="s">
        <v>24</v>
      </c>
      <c r="C1081">
        <v>2</v>
      </c>
      <c r="D1081">
        <v>1</v>
      </c>
      <c r="E1081" t="str">
        <f t="shared" si="48"/>
        <v>DELAYED</v>
      </c>
      <c r="F1081">
        <f>VLOOKUP($A1081,ordered_items!$B$2:$E$4784,2,0)</f>
        <v>1004</v>
      </c>
      <c r="G1081">
        <f>VLOOKUP($A1081,ordered_items!$B$2:$E$4784,3,0)</f>
        <v>1</v>
      </c>
      <c r="H1081">
        <f>VLOOKUP($A1081,ordered_items!$B$2:$E$4784,4,0)</f>
        <v>399.98</v>
      </c>
      <c r="I1081" s="15">
        <f>VLOOKUP(F1081,product_info!$A$2:$D$73,4,0)</f>
        <v>7</v>
      </c>
      <c r="J1081" s="15" t="str">
        <f>VLOOKUP(I1081,department!$A$2:$B$13,2,0)</f>
        <v>Fan Shop</v>
      </c>
      <c r="K1081">
        <v>1405</v>
      </c>
      <c r="L1081" t="s">
        <v>1287</v>
      </c>
      <c r="M1081" s="4">
        <v>43516</v>
      </c>
      <c r="N1081" s="12">
        <f t="shared" si="49"/>
        <v>2</v>
      </c>
      <c r="O1081" s="13">
        <f t="shared" si="50"/>
        <v>2019</v>
      </c>
      <c r="P1081" t="s">
        <v>13</v>
      </c>
      <c r="Q1081" t="s">
        <v>227</v>
      </c>
      <c r="R1081" t="s">
        <v>31</v>
      </c>
      <c r="S1081" t="str" cm="1">
        <f t="array" ref="S1081">_xlfn.IFS(R1081="COMPLETE", "COMPLETED", R1081="CANCELED", "CANCELED", TRUE, "PENDING")</f>
        <v>COMPLETED</v>
      </c>
      <c r="T1081" t="s">
        <v>32</v>
      </c>
      <c r="U1081">
        <f>VLOOKUP(A1081,ordered_items!$B:$E,4,0)</f>
        <v>399.98</v>
      </c>
    </row>
    <row r="1082" spans="1:21" x14ac:dyDescent="0.3">
      <c r="A1082">
        <v>28558</v>
      </c>
      <c r="B1082" t="s">
        <v>3</v>
      </c>
      <c r="C1082">
        <v>2</v>
      </c>
      <c r="D1082">
        <v>1</v>
      </c>
      <c r="E1082" t="str">
        <f t="shared" si="48"/>
        <v>DELAYED</v>
      </c>
      <c r="F1082">
        <f>VLOOKUP($A1082,ordered_items!$B$2:$E$4784,2,0)</f>
        <v>627</v>
      </c>
      <c r="G1082">
        <f>VLOOKUP($A1082,ordered_items!$B$2:$E$4784,3,0)</f>
        <v>1</v>
      </c>
      <c r="H1082">
        <f>VLOOKUP($A1082,ordered_items!$B$2:$E$4784,4,0)</f>
        <v>39.99</v>
      </c>
      <c r="I1082" s="15">
        <f>VLOOKUP(F1082,product_info!$A$2:$D$73,4,0)</f>
        <v>5</v>
      </c>
      <c r="J1082" s="15" t="str">
        <f>VLOOKUP(I1082,department!$A$2:$B$13,2,0)</f>
        <v>Golf</v>
      </c>
      <c r="K1082">
        <v>6178</v>
      </c>
      <c r="L1082" t="s">
        <v>1287</v>
      </c>
      <c r="M1082" s="4">
        <v>43516</v>
      </c>
      <c r="N1082" s="12">
        <f t="shared" si="49"/>
        <v>2</v>
      </c>
      <c r="O1082" s="13">
        <f t="shared" si="50"/>
        <v>2019</v>
      </c>
      <c r="P1082" t="s">
        <v>13</v>
      </c>
      <c r="Q1082" t="s">
        <v>227</v>
      </c>
      <c r="R1082" t="s">
        <v>38</v>
      </c>
      <c r="S1082" t="str" cm="1">
        <f t="array" ref="S1082">_xlfn.IFS(R1082="COMPLETE", "COMPLETED", R1082="CANCELED", "CANCELED", TRUE, "PENDING")</f>
        <v>PENDING</v>
      </c>
      <c r="T1082" t="s">
        <v>32</v>
      </c>
      <c r="U1082">
        <f>VLOOKUP(A1082,ordered_items!$B:$E,4,0)</f>
        <v>39.99</v>
      </c>
    </row>
    <row r="1083" spans="1:21" x14ac:dyDescent="0.3">
      <c r="A1083">
        <v>28589</v>
      </c>
      <c r="B1083" t="s">
        <v>17</v>
      </c>
      <c r="C1083">
        <v>2</v>
      </c>
      <c r="D1083">
        <v>1</v>
      </c>
      <c r="E1083" t="str">
        <f t="shared" si="48"/>
        <v>DELAYED</v>
      </c>
      <c r="F1083">
        <f>VLOOKUP($A1083,ordered_items!$B$2:$E$4784,2,0)</f>
        <v>502</v>
      </c>
      <c r="G1083">
        <f>VLOOKUP($A1083,ordered_items!$B$2:$E$4784,3,0)</f>
        <v>1</v>
      </c>
      <c r="H1083">
        <f>VLOOKUP($A1083,ordered_items!$B$2:$E$4784,4,0)</f>
        <v>50</v>
      </c>
      <c r="I1083" s="15">
        <f>VLOOKUP(F1083,product_info!$A$2:$D$73,4,0)</f>
        <v>5</v>
      </c>
      <c r="J1083" s="15" t="str">
        <f>VLOOKUP(I1083,department!$A$2:$B$13,2,0)</f>
        <v>Golf</v>
      </c>
      <c r="K1083">
        <v>6648</v>
      </c>
      <c r="L1083" t="s">
        <v>206</v>
      </c>
      <c r="M1083" s="4">
        <v>43517</v>
      </c>
      <c r="N1083" s="12">
        <f t="shared" si="49"/>
        <v>2</v>
      </c>
      <c r="O1083" s="13">
        <f t="shared" si="50"/>
        <v>2019</v>
      </c>
      <c r="P1083" t="s">
        <v>13</v>
      </c>
      <c r="Q1083" t="s">
        <v>30</v>
      </c>
      <c r="R1083" t="s">
        <v>23</v>
      </c>
      <c r="S1083" t="str" cm="1">
        <f t="array" ref="S1083">_xlfn.IFS(R1083="COMPLETE", "COMPLETED", R1083="CANCELED", "CANCELED", TRUE, "PENDING")</f>
        <v>PENDING</v>
      </c>
      <c r="T1083" t="s">
        <v>32</v>
      </c>
      <c r="U1083">
        <f>VLOOKUP(A1083,ordered_items!$B:$E,4,0)</f>
        <v>50</v>
      </c>
    </row>
    <row r="1084" spans="1:21" x14ac:dyDescent="0.3">
      <c r="A1084">
        <v>28590</v>
      </c>
      <c r="B1084" t="s">
        <v>24</v>
      </c>
      <c r="C1084">
        <v>2</v>
      </c>
      <c r="D1084">
        <v>1</v>
      </c>
      <c r="E1084" t="str">
        <f t="shared" si="48"/>
        <v>DELAYED</v>
      </c>
      <c r="F1084">
        <f>VLOOKUP($A1084,ordered_items!$B$2:$E$4784,2,0)</f>
        <v>502</v>
      </c>
      <c r="G1084">
        <f>VLOOKUP($A1084,ordered_items!$B$2:$E$4784,3,0)</f>
        <v>1</v>
      </c>
      <c r="H1084">
        <f>VLOOKUP($A1084,ordered_items!$B$2:$E$4784,4,0)</f>
        <v>50</v>
      </c>
      <c r="I1084" s="15">
        <f>VLOOKUP(F1084,product_info!$A$2:$D$73,4,0)</f>
        <v>5</v>
      </c>
      <c r="J1084" s="15" t="str">
        <f>VLOOKUP(I1084,department!$A$2:$B$13,2,0)</f>
        <v>Golf</v>
      </c>
      <c r="K1084">
        <v>11182</v>
      </c>
      <c r="L1084" t="s">
        <v>206</v>
      </c>
      <c r="M1084" s="4">
        <v>43517</v>
      </c>
      <c r="N1084" s="12">
        <f t="shared" si="49"/>
        <v>2</v>
      </c>
      <c r="O1084" s="13">
        <f t="shared" si="50"/>
        <v>2019</v>
      </c>
      <c r="P1084" t="s">
        <v>13</v>
      </c>
      <c r="Q1084" t="s">
        <v>30</v>
      </c>
      <c r="R1084" t="s">
        <v>31</v>
      </c>
      <c r="S1084" t="str" cm="1">
        <f t="array" ref="S1084">_xlfn.IFS(R1084="COMPLETE", "COMPLETED", R1084="CANCELED", "CANCELED", TRUE, "PENDING")</f>
        <v>COMPLETED</v>
      </c>
      <c r="T1084" t="s">
        <v>32</v>
      </c>
      <c r="U1084">
        <f>VLOOKUP(A1084,ordered_items!$B:$E,4,0)</f>
        <v>50</v>
      </c>
    </row>
    <row r="1085" spans="1:21" x14ac:dyDescent="0.3">
      <c r="A1085">
        <v>28601</v>
      </c>
      <c r="B1085" t="s">
        <v>51</v>
      </c>
      <c r="C1085">
        <v>2</v>
      </c>
      <c r="D1085">
        <v>4</v>
      </c>
      <c r="E1085" t="str">
        <f t="shared" si="48"/>
        <v xml:space="preserve"> ONTIME</v>
      </c>
      <c r="F1085">
        <f>VLOOKUP($A1085,ordered_items!$B$2:$E$4784,2,0)</f>
        <v>1073</v>
      </c>
      <c r="G1085">
        <f>VLOOKUP($A1085,ordered_items!$B$2:$E$4784,3,0)</f>
        <v>1</v>
      </c>
      <c r="H1085">
        <f>VLOOKUP($A1085,ordered_items!$B$2:$E$4784,4,0)</f>
        <v>199.99</v>
      </c>
      <c r="I1085" s="15">
        <f>VLOOKUP(F1085,product_info!$A$2:$D$73,4,0)</f>
        <v>7</v>
      </c>
      <c r="J1085" s="15" t="str">
        <f>VLOOKUP(I1085,department!$A$2:$B$13,2,0)</f>
        <v>Fan Shop</v>
      </c>
      <c r="K1085">
        <v>3195</v>
      </c>
      <c r="L1085" t="s">
        <v>1599</v>
      </c>
      <c r="M1085" s="4">
        <v>43517</v>
      </c>
      <c r="N1085" s="12">
        <f t="shared" si="49"/>
        <v>2</v>
      </c>
      <c r="O1085" s="13">
        <f t="shared" si="50"/>
        <v>2019</v>
      </c>
      <c r="P1085" t="s">
        <v>13</v>
      </c>
      <c r="Q1085" t="s">
        <v>47</v>
      </c>
      <c r="R1085" t="s">
        <v>57</v>
      </c>
      <c r="S1085" t="str" cm="1">
        <f t="array" ref="S1085">_xlfn.IFS(R1085="COMPLETE", "COMPLETED", R1085="CANCELED", "CANCELED", TRUE, "PENDING")</f>
        <v>PENDING</v>
      </c>
      <c r="T1085" t="s">
        <v>16</v>
      </c>
      <c r="U1085">
        <f>VLOOKUP(A1085,ordered_items!$B:$E,4,0)</f>
        <v>199.99</v>
      </c>
    </row>
    <row r="1086" spans="1:21" x14ac:dyDescent="0.3">
      <c r="A1086">
        <v>28602</v>
      </c>
      <c r="B1086" t="s">
        <v>24</v>
      </c>
      <c r="C1086">
        <v>3</v>
      </c>
      <c r="D1086">
        <v>4</v>
      </c>
      <c r="E1086" t="str">
        <f t="shared" si="48"/>
        <v xml:space="preserve"> ONTIME</v>
      </c>
      <c r="F1086">
        <f>VLOOKUP($A1086,ordered_items!$B$2:$E$4784,2,0)</f>
        <v>365</v>
      </c>
      <c r="G1086">
        <f>VLOOKUP($A1086,ordered_items!$B$2:$E$4784,3,0)</f>
        <v>3</v>
      </c>
      <c r="H1086">
        <f>VLOOKUP($A1086,ordered_items!$B$2:$E$4784,4,0)</f>
        <v>179.97</v>
      </c>
      <c r="I1086" s="15">
        <f>VLOOKUP(F1086,product_info!$A$2:$D$73,4,0)</f>
        <v>4</v>
      </c>
      <c r="J1086" s="15" t="str">
        <f>VLOOKUP(I1086,department!$A$2:$B$13,2,0)</f>
        <v>Apparel</v>
      </c>
      <c r="K1086">
        <v>5749</v>
      </c>
      <c r="L1086" t="s">
        <v>1599</v>
      </c>
      <c r="M1086" s="4">
        <v>43517</v>
      </c>
      <c r="N1086" s="12">
        <f t="shared" si="49"/>
        <v>2</v>
      </c>
      <c r="O1086" s="13">
        <f t="shared" si="50"/>
        <v>2019</v>
      </c>
      <c r="P1086" t="s">
        <v>13</v>
      </c>
      <c r="Q1086" t="s">
        <v>47</v>
      </c>
      <c r="R1086" t="s">
        <v>31</v>
      </c>
      <c r="S1086" t="str" cm="1">
        <f t="array" ref="S1086">_xlfn.IFS(R1086="COMPLETE", "COMPLETED", R1086="CANCELED", "CANCELED", TRUE, "PENDING")</f>
        <v>COMPLETED</v>
      </c>
      <c r="T1086" t="s">
        <v>16</v>
      </c>
      <c r="U1086">
        <f>VLOOKUP(A1086,ordered_items!$B:$E,4,0)</f>
        <v>179.97</v>
      </c>
    </row>
    <row r="1087" spans="1:21" x14ac:dyDescent="0.3">
      <c r="A1087">
        <v>28604</v>
      </c>
      <c r="B1087" t="s">
        <v>24</v>
      </c>
      <c r="C1087">
        <v>5</v>
      </c>
      <c r="D1087">
        <v>4</v>
      </c>
      <c r="E1087" t="str">
        <f t="shared" si="48"/>
        <v>DELAYED</v>
      </c>
      <c r="F1087">
        <f>VLOOKUP($A1087,ordered_items!$B$2:$E$4784,2,0)</f>
        <v>1073</v>
      </c>
      <c r="G1087">
        <f>VLOOKUP($A1087,ordered_items!$B$2:$E$4784,3,0)</f>
        <v>1</v>
      </c>
      <c r="H1087">
        <f>VLOOKUP($A1087,ordered_items!$B$2:$E$4784,4,0)</f>
        <v>199.99</v>
      </c>
      <c r="I1087" s="15">
        <f>VLOOKUP(F1087,product_info!$A$2:$D$73,4,0)</f>
        <v>7</v>
      </c>
      <c r="J1087" s="15" t="str">
        <f>VLOOKUP(I1087,department!$A$2:$B$13,2,0)</f>
        <v>Fan Shop</v>
      </c>
      <c r="K1087">
        <v>1054</v>
      </c>
      <c r="L1087" t="s">
        <v>465</v>
      </c>
      <c r="M1087" s="4">
        <v>43517</v>
      </c>
      <c r="N1087" s="12">
        <f t="shared" si="49"/>
        <v>2</v>
      </c>
      <c r="O1087" s="13">
        <f t="shared" si="50"/>
        <v>2019</v>
      </c>
      <c r="P1087" t="s">
        <v>13</v>
      </c>
      <c r="Q1087" t="s">
        <v>99</v>
      </c>
      <c r="R1087" t="s">
        <v>31</v>
      </c>
      <c r="S1087" t="str" cm="1">
        <f t="array" ref="S1087">_xlfn.IFS(R1087="COMPLETE", "COMPLETED", R1087="CANCELED", "CANCELED", TRUE, "PENDING")</f>
        <v>COMPLETED</v>
      </c>
      <c r="T1087" t="s">
        <v>16</v>
      </c>
      <c r="U1087">
        <f>VLOOKUP(A1087,ordered_items!$B:$E,4,0)</f>
        <v>199.99</v>
      </c>
    </row>
    <row r="1088" spans="1:21" x14ac:dyDescent="0.3">
      <c r="A1088">
        <v>28605</v>
      </c>
      <c r="B1088" t="s">
        <v>17</v>
      </c>
      <c r="C1088">
        <v>6</v>
      </c>
      <c r="D1088">
        <v>4</v>
      </c>
      <c r="E1088" t="str">
        <f t="shared" si="48"/>
        <v>DELAYED</v>
      </c>
      <c r="F1088">
        <f>VLOOKUP($A1088,ordered_items!$B$2:$E$4784,2,0)</f>
        <v>191</v>
      </c>
      <c r="G1088">
        <f>VLOOKUP($A1088,ordered_items!$B$2:$E$4784,3,0)</f>
        <v>1</v>
      </c>
      <c r="H1088">
        <f>VLOOKUP($A1088,ordered_items!$B$2:$E$4784,4,0)</f>
        <v>99.99</v>
      </c>
      <c r="I1088" s="15">
        <f>VLOOKUP(F1088,product_info!$A$2:$D$73,4,0)</f>
        <v>3</v>
      </c>
      <c r="J1088" s="15" t="str">
        <f>VLOOKUP(I1088,department!$A$2:$B$13,2,0)</f>
        <v>Footwear</v>
      </c>
      <c r="K1088">
        <v>6302</v>
      </c>
      <c r="L1088" t="s">
        <v>465</v>
      </c>
      <c r="M1088" s="4">
        <v>43517</v>
      </c>
      <c r="N1088" s="12">
        <f t="shared" si="49"/>
        <v>2</v>
      </c>
      <c r="O1088" s="13">
        <f t="shared" si="50"/>
        <v>2019</v>
      </c>
      <c r="P1088" t="s">
        <v>13</v>
      </c>
      <c r="Q1088" t="s">
        <v>99</v>
      </c>
      <c r="R1088" t="s">
        <v>23</v>
      </c>
      <c r="S1088" t="str" cm="1">
        <f t="array" ref="S1088">_xlfn.IFS(R1088="COMPLETE", "COMPLETED", R1088="CANCELED", "CANCELED", TRUE, "PENDING")</f>
        <v>PENDING</v>
      </c>
      <c r="T1088" t="s">
        <v>16</v>
      </c>
      <c r="U1088">
        <f>VLOOKUP(A1088,ordered_items!$B:$E,4,0)</f>
        <v>99.99</v>
      </c>
    </row>
    <row r="1089" spans="1:21" x14ac:dyDescent="0.3">
      <c r="A1089">
        <v>28606</v>
      </c>
      <c r="B1089" t="s">
        <v>24</v>
      </c>
      <c r="C1089">
        <v>2</v>
      </c>
      <c r="D1089">
        <v>2</v>
      </c>
      <c r="E1089" t="str">
        <f t="shared" si="48"/>
        <v xml:space="preserve"> ONTIME</v>
      </c>
      <c r="F1089">
        <f>VLOOKUP($A1089,ordered_items!$B$2:$E$4784,2,0)</f>
        <v>893</v>
      </c>
      <c r="G1089">
        <f>VLOOKUP($A1089,ordered_items!$B$2:$E$4784,3,0)</f>
        <v>2</v>
      </c>
      <c r="H1089">
        <f>VLOOKUP($A1089,ordered_items!$B$2:$E$4784,4,0)</f>
        <v>49.98</v>
      </c>
      <c r="I1089" s="15">
        <f>VLOOKUP(F1089,product_info!$A$2:$D$73,4,0)</f>
        <v>6</v>
      </c>
      <c r="J1089" s="15" t="str">
        <f>VLOOKUP(I1089,department!$A$2:$B$13,2,0)</f>
        <v>Outdoors</v>
      </c>
      <c r="K1089">
        <v>1757</v>
      </c>
      <c r="L1089" t="s">
        <v>465</v>
      </c>
      <c r="M1089" s="4">
        <v>43517</v>
      </c>
      <c r="N1089" s="12">
        <f t="shared" si="49"/>
        <v>2</v>
      </c>
      <c r="O1089" s="13">
        <f t="shared" si="50"/>
        <v>2019</v>
      </c>
      <c r="P1089" t="s">
        <v>13</v>
      </c>
      <c r="Q1089" t="s">
        <v>99</v>
      </c>
      <c r="R1089" t="s">
        <v>31</v>
      </c>
      <c r="S1089" t="str" cm="1">
        <f t="array" ref="S1089">_xlfn.IFS(R1089="COMPLETE", "COMPLETED", R1089="CANCELED", "CANCELED", TRUE, "PENDING")</f>
        <v>COMPLETED</v>
      </c>
      <c r="T1089" t="s">
        <v>90</v>
      </c>
      <c r="U1089">
        <f>VLOOKUP(A1089,ordered_items!$B:$E,4,0)</f>
        <v>49.98</v>
      </c>
    </row>
    <row r="1090" spans="1:21" x14ac:dyDescent="0.3">
      <c r="A1090">
        <v>28638</v>
      </c>
      <c r="B1090" t="s">
        <v>24</v>
      </c>
      <c r="C1090">
        <v>4</v>
      </c>
      <c r="D1090">
        <v>4</v>
      </c>
      <c r="E1090" t="str">
        <f t="shared" si="48"/>
        <v xml:space="preserve"> ONTIME</v>
      </c>
      <c r="F1090">
        <f>VLOOKUP($A1090,ordered_items!$B$2:$E$4784,2,0)</f>
        <v>502</v>
      </c>
      <c r="G1090">
        <f>VLOOKUP($A1090,ordered_items!$B$2:$E$4784,3,0)</f>
        <v>4</v>
      </c>
      <c r="H1090">
        <f>VLOOKUP($A1090,ordered_items!$B$2:$E$4784,4,0)</f>
        <v>200</v>
      </c>
      <c r="I1090" s="15">
        <f>VLOOKUP(F1090,product_info!$A$2:$D$73,4,0)</f>
        <v>5</v>
      </c>
      <c r="J1090" s="15" t="str">
        <f>VLOOKUP(I1090,department!$A$2:$B$13,2,0)</f>
        <v>Golf</v>
      </c>
      <c r="K1090">
        <v>1744</v>
      </c>
      <c r="L1090" t="s">
        <v>202</v>
      </c>
      <c r="M1090" s="4">
        <v>43518</v>
      </c>
      <c r="N1090" s="12">
        <f t="shared" si="49"/>
        <v>2</v>
      </c>
      <c r="O1090" s="13">
        <f t="shared" si="50"/>
        <v>2019</v>
      </c>
      <c r="P1090" t="s">
        <v>13</v>
      </c>
      <c r="Q1090" t="s">
        <v>99</v>
      </c>
      <c r="R1090" t="s">
        <v>31</v>
      </c>
      <c r="S1090" t="str" cm="1">
        <f t="array" ref="S1090">_xlfn.IFS(R1090="COMPLETE", "COMPLETED", R1090="CANCELED", "CANCELED", TRUE, "PENDING")</f>
        <v>COMPLETED</v>
      </c>
      <c r="T1090" t="s">
        <v>16</v>
      </c>
      <c r="U1090">
        <f>VLOOKUP(A1090,ordered_items!$B:$E,4,0)</f>
        <v>200</v>
      </c>
    </row>
    <row r="1091" spans="1:21" x14ac:dyDescent="0.3">
      <c r="A1091">
        <v>28639</v>
      </c>
      <c r="B1091" t="s">
        <v>3</v>
      </c>
      <c r="C1091">
        <v>5</v>
      </c>
      <c r="D1091">
        <v>4</v>
      </c>
      <c r="E1091" t="str">
        <f t="shared" ref="E1091:E1154" si="51">IF(C1091-D1091&gt;0,"DELAYED"," ONTIME")</f>
        <v>DELAYED</v>
      </c>
      <c r="F1091">
        <f>VLOOKUP($A1091,ordered_items!$B$2:$E$4784,2,0)</f>
        <v>365</v>
      </c>
      <c r="G1091">
        <f>VLOOKUP($A1091,ordered_items!$B$2:$E$4784,3,0)</f>
        <v>2</v>
      </c>
      <c r="H1091">
        <f>VLOOKUP($A1091,ordered_items!$B$2:$E$4784,4,0)</f>
        <v>119.98</v>
      </c>
      <c r="I1091" s="15">
        <f>VLOOKUP(F1091,product_info!$A$2:$D$73,4,0)</f>
        <v>4</v>
      </c>
      <c r="J1091" s="15" t="str">
        <f>VLOOKUP(I1091,department!$A$2:$B$13,2,0)</f>
        <v>Apparel</v>
      </c>
      <c r="K1091">
        <v>6474</v>
      </c>
      <c r="L1091" t="s">
        <v>202</v>
      </c>
      <c r="M1091" s="4">
        <v>43518</v>
      </c>
      <c r="N1091" s="12">
        <f t="shared" ref="N1091:N1154" si="52">MONTH(M1091)</f>
        <v>2</v>
      </c>
      <c r="O1091" s="13">
        <f t="shared" ref="O1091:O1154" si="53">YEAR(M1091)</f>
        <v>2019</v>
      </c>
      <c r="P1091" t="s">
        <v>13</v>
      </c>
      <c r="Q1091" t="s">
        <v>99</v>
      </c>
      <c r="R1091" t="s">
        <v>14</v>
      </c>
      <c r="S1091" t="str" cm="1">
        <f t="array" ref="S1091">_xlfn.IFS(R1091="COMPLETE", "COMPLETED", R1091="CANCELED", "CANCELED", TRUE, "PENDING")</f>
        <v>PENDING</v>
      </c>
      <c r="T1091" t="s">
        <v>16</v>
      </c>
      <c r="U1091">
        <f>VLOOKUP(A1091,ordered_items!$B:$E,4,0)</f>
        <v>119.98</v>
      </c>
    </row>
    <row r="1092" spans="1:21" x14ac:dyDescent="0.3">
      <c r="A1092">
        <v>28640</v>
      </c>
      <c r="B1092" t="s">
        <v>24</v>
      </c>
      <c r="C1092">
        <v>6</v>
      </c>
      <c r="D1092">
        <v>4</v>
      </c>
      <c r="E1092" t="str">
        <f t="shared" si="51"/>
        <v>DELAYED</v>
      </c>
      <c r="F1092">
        <f>VLOOKUP($A1092,ordered_items!$B$2:$E$4784,2,0)</f>
        <v>191</v>
      </c>
      <c r="G1092">
        <f>VLOOKUP($A1092,ordered_items!$B$2:$E$4784,3,0)</f>
        <v>1</v>
      </c>
      <c r="H1092">
        <f>VLOOKUP($A1092,ordered_items!$B$2:$E$4784,4,0)</f>
        <v>99.99</v>
      </c>
      <c r="I1092" s="15">
        <f>VLOOKUP(F1092,product_info!$A$2:$D$73,4,0)</f>
        <v>3</v>
      </c>
      <c r="J1092" s="15" t="str">
        <f>VLOOKUP(I1092,department!$A$2:$B$13,2,0)</f>
        <v>Footwear</v>
      </c>
      <c r="K1092">
        <v>11426</v>
      </c>
      <c r="L1092" t="s">
        <v>202</v>
      </c>
      <c r="M1092" s="4">
        <v>43518</v>
      </c>
      <c r="N1092" s="12">
        <f t="shared" si="52"/>
        <v>2</v>
      </c>
      <c r="O1092" s="13">
        <f t="shared" si="53"/>
        <v>2019</v>
      </c>
      <c r="P1092" t="s">
        <v>13</v>
      </c>
      <c r="Q1092" t="s">
        <v>99</v>
      </c>
      <c r="R1092" t="s">
        <v>31</v>
      </c>
      <c r="S1092" t="str" cm="1">
        <f t="array" ref="S1092">_xlfn.IFS(R1092="COMPLETE", "COMPLETED", R1092="CANCELED", "CANCELED", TRUE, "PENDING")</f>
        <v>COMPLETED</v>
      </c>
      <c r="T1092" t="s">
        <v>16</v>
      </c>
      <c r="U1092">
        <f>VLOOKUP(A1092,ordered_items!$B:$E,4,0)</f>
        <v>99.99</v>
      </c>
    </row>
    <row r="1093" spans="1:21" x14ac:dyDescent="0.3">
      <c r="A1093">
        <v>28641</v>
      </c>
      <c r="B1093" t="s">
        <v>3</v>
      </c>
      <c r="C1093">
        <v>2</v>
      </c>
      <c r="D1093">
        <v>4</v>
      </c>
      <c r="E1093" t="str">
        <f t="shared" si="51"/>
        <v xml:space="preserve"> ONTIME</v>
      </c>
      <c r="F1093">
        <f>VLOOKUP($A1093,ordered_items!$B$2:$E$4784,2,0)</f>
        <v>403</v>
      </c>
      <c r="G1093">
        <f>VLOOKUP($A1093,ordered_items!$B$2:$E$4784,3,0)</f>
        <v>1</v>
      </c>
      <c r="H1093">
        <f>VLOOKUP($A1093,ordered_items!$B$2:$E$4784,4,0)</f>
        <v>129.99</v>
      </c>
      <c r="I1093" s="15">
        <f>VLOOKUP(F1093,product_info!$A$2:$D$73,4,0)</f>
        <v>4</v>
      </c>
      <c r="J1093" s="15" t="str">
        <f>VLOOKUP(I1093,department!$A$2:$B$13,2,0)</f>
        <v>Apparel</v>
      </c>
      <c r="K1093">
        <v>10898</v>
      </c>
      <c r="L1093" t="s">
        <v>202</v>
      </c>
      <c r="M1093" s="4">
        <v>43518</v>
      </c>
      <c r="N1093" s="12">
        <f t="shared" si="52"/>
        <v>2</v>
      </c>
      <c r="O1093" s="13">
        <f t="shared" si="53"/>
        <v>2019</v>
      </c>
      <c r="P1093" t="s">
        <v>13</v>
      </c>
      <c r="Q1093" t="s">
        <v>99</v>
      </c>
      <c r="R1093" t="s">
        <v>38</v>
      </c>
      <c r="S1093" t="str" cm="1">
        <f t="array" ref="S1093">_xlfn.IFS(R1093="COMPLETE", "COMPLETED", R1093="CANCELED", "CANCELED", TRUE, "PENDING")</f>
        <v>PENDING</v>
      </c>
      <c r="T1093" t="s">
        <v>16</v>
      </c>
      <c r="U1093">
        <f>VLOOKUP(A1093,ordered_items!$B:$E,4,0)</f>
        <v>129.99</v>
      </c>
    </row>
    <row r="1094" spans="1:21" x14ac:dyDescent="0.3">
      <c r="A1094">
        <v>28642</v>
      </c>
      <c r="B1094" t="s">
        <v>3</v>
      </c>
      <c r="C1094">
        <v>3</v>
      </c>
      <c r="D1094">
        <v>4</v>
      </c>
      <c r="E1094" t="str">
        <f t="shared" si="51"/>
        <v xml:space="preserve"> ONTIME</v>
      </c>
      <c r="F1094">
        <f>VLOOKUP($A1094,ordered_items!$B$2:$E$4784,2,0)</f>
        <v>403</v>
      </c>
      <c r="G1094">
        <f>VLOOKUP($A1094,ordered_items!$B$2:$E$4784,3,0)</f>
        <v>1</v>
      </c>
      <c r="H1094">
        <f>VLOOKUP($A1094,ordered_items!$B$2:$E$4784,4,0)</f>
        <v>129.99</v>
      </c>
      <c r="I1094" s="15">
        <f>VLOOKUP(F1094,product_info!$A$2:$D$73,4,0)</f>
        <v>4</v>
      </c>
      <c r="J1094" s="15" t="str">
        <f>VLOOKUP(I1094,department!$A$2:$B$13,2,0)</f>
        <v>Apparel</v>
      </c>
      <c r="K1094">
        <v>11851</v>
      </c>
      <c r="L1094" t="s">
        <v>439</v>
      </c>
      <c r="M1094" s="4">
        <v>43518</v>
      </c>
      <c r="N1094" s="12">
        <f t="shared" si="52"/>
        <v>2</v>
      </c>
      <c r="O1094" s="13">
        <f t="shared" si="53"/>
        <v>2019</v>
      </c>
      <c r="P1094" t="s">
        <v>13</v>
      </c>
      <c r="Q1094" t="s">
        <v>377</v>
      </c>
      <c r="R1094" t="s">
        <v>14</v>
      </c>
      <c r="S1094" t="str" cm="1">
        <f t="array" ref="S1094">_xlfn.IFS(R1094="COMPLETE", "COMPLETED", R1094="CANCELED", "CANCELED", TRUE, "PENDING")</f>
        <v>PENDING</v>
      </c>
      <c r="T1094" t="s">
        <v>16</v>
      </c>
      <c r="U1094">
        <f>VLOOKUP(A1094,ordered_items!$B:$E,4,0)</f>
        <v>129.99</v>
      </c>
    </row>
    <row r="1095" spans="1:21" x14ac:dyDescent="0.3">
      <c r="A1095">
        <v>28643</v>
      </c>
      <c r="B1095" t="s">
        <v>24</v>
      </c>
      <c r="C1095">
        <v>4</v>
      </c>
      <c r="D1095">
        <v>4</v>
      </c>
      <c r="E1095" t="str">
        <f t="shared" si="51"/>
        <v xml:space="preserve"> ONTIME</v>
      </c>
      <c r="F1095">
        <f>VLOOKUP($A1095,ordered_items!$B$2:$E$4784,2,0)</f>
        <v>191</v>
      </c>
      <c r="G1095">
        <f>VLOOKUP($A1095,ordered_items!$B$2:$E$4784,3,0)</f>
        <v>1</v>
      </c>
      <c r="H1095">
        <f>VLOOKUP($A1095,ordered_items!$B$2:$E$4784,4,0)</f>
        <v>99.99</v>
      </c>
      <c r="I1095" s="15">
        <f>VLOOKUP(F1095,product_info!$A$2:$D$73,4,0)</f>
        <v>3</v>
      </c>
      <c r="J1095" s="15" t="str">
        <f>VLOOKUP(I1095,department!$A$2:$B$13,2,0)</f>
        <v>Footwear</v>
      </c>
      <c r="K1095">
        <v>11438</v>
      </c>
      <c r="L1095" t="s">
        <v>439</v>
      </c>
      <c r="M1095" s="4">
        <v>43518</v>
      </c>
      <c r="N1095" s="12">
        <f t="shared" si="52"/>
        <v>2</v>
      </c>
      <c r="O1095" s="13">
        <f t="shared" si="53"/>
        <v>2019</v>
      </c>
      <c r="P1095" t="s">
        <v>13</v>
      </c>
      <c r="Q1095" t="s">
        <v>377</v>
      </c>
      <c r="R1095" t="s">
        <v>31</v>
      </c>
      <c r="S1095" t="str" cm="1">
        <f t="array" ref="S1095">_xlfn.IFS(R1095="COMPLETE", "COMPLETED", R1095="CANCELED", "CANCELED", TRUE, "PENDING")</f>
        <v>COMPLETED</v>
      </c>
      <c r="T1095" t="s">
        <v>16</v>
      </c>
      <c r="U1095">
        <f>VLOOKUP(A1095,ordered_items!$B:$E,4,0)</f>
        <v>99.99</v>
      </c>
    </row>
    <row r="1096" spans="1:21" x14ac:dyDescent="0.3">
      <c r="A1096">
        <v>28644</v>
      </c>
      <c r="B1096" t="s">
        <v>3</v>
      </c>
      <c r="C1096">
        <v>5</v>
      </c>
      <c r="D1096">
        <v>4</v>
      </c>
      <c r="E1096" t="str">
        <f t="shared" si="51"/>
        <v>DELAYED</v>
      </c>
      <c r="F1096">
        <f>VLOOKUP($A1096,ordered_items!$B$2:$E$4784,2,0)</f>
        <v>44</v>
      </c>
      <c r="G1096">
        <f>VLOOKUP($A1096,ordered_items!$B$2:$E$4784,3,0)</f>
        <v>5</v>
      </c>
      <c r="H1096">
        <f>VLOOKUP($A1096,ordered_items!$B$2:$E$4784,4,0)</f>
        <v>299.95</v>
      </c>
      <c r="I1096" s="15">
        <f>VLOOKUP(F1096,product_info!$A$2:$D$73,4,0)</f>
        <v>2</v>
      </c>
      <c r="J1096" s="15" t="str">
        <f>VLOOKUP(I1096,department!$A$2:$B$13,2,0)</f>
        <v>Fitness</v>
      </c>
      <c r="K1096">
        <v>254</v>
      </c>
      <c r="L1096" t="s">
        <v>641</v>
      </c>
      <c r="M1096" s="4">
        <v>43518</v>
      </c>
      <c r="N1096" s="12">
        <f t="shared" si="52"/>
        <v>2</v>
      </c>
      <c r="O1096" s="13">
        <f t="shared" si="53"/>
        <v>2019</v>
      </c>
      <c r="P1096" t="s">
        <v>13</v>
      </c>
      <c r="Q1096" t="s">
        <v>377</v>
      </c>
      <c r="R1096" t="s">
        <v>38</v>
      </c>
      <c r="S1096" t="str" cm="1">
        <f t="array" ref="S1096">_xlfn.IFS(R1096="COMPLETE", "COMPLETED", R1096="CANCELED", "CANCELED", TRUE, "PENDING")</f>
        <v>PENDING</v>
      </c>
      <c r="T1096" t="s">
        <v>16</v>
      </c>
      <c r="U1096">
        <f>VLOOKUP(A1096,ordered_items!$B:$E,4,0)</f>
        <v>299.95</v>
      </c>
    </row>
    <row r="1097" spans="1:21" x14ac:dyDescent="0.3">
      <c r="A1097">
        <v>28645</v>
      </c>
      <c r="B1097" t="s">
        <v>24</v>
      </c>
      <c r="C1097">
        <v>2</v>
      </c>
      <c r="D1097">
        <v>1</v>
      </c>
      <c r="E1097" t="str">
        <f t="shared" si="51"/>
        <v>DELAYED</v>
      </c>
      <c r="F1097">
        <f>VLOOKUP($A1097,ordered_items!$B$2:$E$4784,2,0)</f>
        <v>1073</v>
      </c>
      <c r="G1097">
        <f>VLOOKUP($A1097,ordered_items!$B$2:$E$4784,3,0)</f>
        <v>1</v>
      </c>
      <c r="H1097">
        <f>VLOOKUP($A1097,ordered_items!$B$2:$E$4784,4,0)</f>
        <v>199.99</v>
      </c>
      <c r="I1097" s="15">
        <f>VLOOKUP(F1097,product_info!$A$2:$D$73,4,0)</f>
        <v>7</v>
      </c>
      <c r="J1097" s="15" t="str">
        <f>VLOOKUP(I1097,department!$A$2:$B$13,2,0)</f>
        <v>Fan Shop</v>
      </c>
      <c r="K1097">
        <v>634</v>
      </c>
      <c r="L1097" t="s">
        <v>641</v>
      </c>
      <c r="M1097" s="4">
        <v>43518</v>
      </c>
      <c r="N1097" s="12">
        <f t="shared" si="52"/>
        <v>2</v>
      </c>
      <c r="O1097" s="13">
        <f t="shared" si="53"/>
        <v>2019</v>
      </c>
      <c r="P1097" t="s">
        <v>13</v>
      </c>
      <c r="Q1097" t="s">
        <v>377</v>
      </c>
      <c r="R1097" t="s">
        <v>31</v>
      </c>
      <c r="S1097" t="str" cm="1">
        <f t="array" ref="S1097">_xlfn.IFS(R1097="COMPLETE", "COMPLETED", R1097="CANCELED", "CANCELED", TRUE, "PENDING")</f>
        <v>COMPLETED</v>
      </c>
      <c r="T1097" t="s">
        <v>32</v>
      </c>
      <c r="U1097">
        <f>VLOOKUP(A1097,ordered_items!$B:$E,4,0)</f>
        <v>199.99</v>
      </c>
    </row>
    <row r="1098" spans="1:21" x14ac:dyDescent="0.3">
      <c r="A1098">
        <v>28646</v>
      </c>
      <c r="B1098" t="s">
        <v>24</v>
      </c>
      <c r="C1098">
        <v>2</v>
      </c>
      <c r="D1098">
        <v>2</v>
      </c>
      <c r="E1098" t="str">
        <f t="shared" si="51"/>
        <v xml:space="preserve"> ONTIME</v>
      </c>
      <c r="F1098">
        <f>VLOOKUP($A1098,ordered_items!$B$2:$E$4784,2,0)</f>
        <v>502</v>
      </c>
      <c r="G1098">
        <f>VLOOKUP($A1098,ordered_items!$B$2:$E$4784,3,0)</f>
        <v>4</v>
      </c>
      <c r="H1098">
        <f>VLOOKUP($A1098,ordered_items!$B$2:$E$4784,4,0)</f>
        <v>200</v>
      </c>
      <c r="I1098" s="15">
        <f>VLOOKUP(F1098,product_info!$A$2:$D$73,4,0)</f>
        <v>5</v>
      </c>
      <c r="J1098" s="15" t="str">
        <f>VLOOKUP(I1098,department!$A$2:$B$13,2,0)</f>
        <v>Golf</v>
      </c>
      <c r="K1098">
        <v>5514</v>
      </c>
      <c r="L1098" t="s">
        <v>641</v>
      </c>
      <c r="M1098" s="4">
        <v>43518</v>
      </c>
      <c r="N1098" s="12">
        <f t="shared" si="52"/>
        <v>2</v>
      </c>
      <c r="O1098" s="13">
        <f t="shared" si="53"/>
        <v>2019</v>
      </c>
      <c r="P1098" t="s">
        <v>13</v>
      </c>
      <c r="Q1098" t="s">
        <v>377</v>
      </c>
      <c r="R1098" t="s">
        <v>31</v>
      </c>
      <c r="S1098" t="str" cm="1">
        <f t="array" ref="S1098">_xlfn.IFS(R1098="COMPLETE", "COMPLETED", R1098="CANCELED", "CANCELED", TRUE, "PENDING")</f>
        <v>COMPLETED</v>
      </c>
      <c r="T1098" t="s">
        <v>90</v>
      </c>
      <c r="U1098">
        <f>VLOOKUP(A1098,ordered_items!$B:$E,4,0)</f>
        <v>200</v>
      </c>
    </row>
    <row r="1099" spans="1:21" x14ac:dyDescent="0.3">
      <c r="A1099">
        <v>28672</v>
      </c>
      <c r="B1099" t="s">
        <v>24</v>
      </c>
      <c r="C1099">
        <v>2</v>
      </c>
      <c r="D1099">
        <v>1</v>
      </c>
      <c r="E1099" t="str">
        <f t="shared" si="51"/>
        <v>DELAYED</v>
      </c>
      <c r="F1099">
        <f>VLOOKUP($A1099,ordered_items!$B$2:$E$4784,2,0)</f>
        <v>1073</v>
      </c>
      <c r="G1099">
        <f>VLOOKUP($A1099,ordered_items!$B$2:$E$4784,3,0)</f>
        <v>1</v>
      </c>
      <c r="H1099">
        <f>VLOOKUP($A1099,ordered_items!$B$2:$E$4784,4,0)</f>
        <v>199.99</v>
      </c>
      <c r="I1099" s="15">
        <f>VLOOKUP(F1099,product_info!$A$2:$D$73,4,0)</f>
        <v>7</v>
      </c>
      <c r="J1099" s="15" t="str">
        <f>VLOOKUP(I1099,department!$A$2:$B$13,2,0)</f>
        <v>Fan Shop</v>
      </c>
      <c r="K1099">
        <v>6111</v>
      </c>
      <c r="L1099" t="s">
        <v>743</v>
      </c>
      <c r="M1099" s="4">
        <v>43518</v>
      </c>
      <c r="N1099" s="12">
        <f t="shared" si="52"/>
        <v>2</v>
      </c>
      <c r="O1099" s="13">
        <f t="shared" si="53"/>
        <v>2019</v>
      </c>
      <c r="P1099" t="s">
        <v>13</v>
      </c>
      <c r="Q1099" t="s">
        <v>5780</v>
      </c>
      <c r="R1099" t="s">
        <v>31</v>
      </c>
      <c r="S1099" t="str" cm="1">
        <f t="array" ref="S1099">_xlfn.IFS(R1099="COMPLETE", "COMPLETED", R1099="CANCELED", "CANCELED", TRUE, "PENDING")</f>
        <v>COMPLETED</v>
      </c>
      <c r="T1099" t="s">
        <v>32</v>
      </c>
      <c r="U1099">
        <f>VLOOKUP(A1099,ordered_items!$B:$E,4,0)</f>
        <v>199.99</v>
      </c>
    </row>
    <row r="1100" spans="1:21" x14ac:dyDescent="0.3">
      <c r="A1100">
        <v>28689</v>
      </c>
      <c r="B1100" t="s">
        <v>24</v>
      </c>
      <c r="C1100">
        <v>5</v>
      </c>
      <c r="D1100">
        <v>4</v>
      </c>
      <c r="E1100" t="str">
        <f t="shared" si="51"/>
        <v>DELAYED</v>
      </c>
      <c r="F1100">
        <f>VLOOKUP($A1100,ordered_items!$B$2:$E$4784,2,0)</f>
        <v>502</v>
      </c>
      <c r="G1100">
        <f>VLOOKUP($A1100,ordered_items!$B$2:$E$4784,3,0)</f>
        <v>2</v>
      </c>
      <c r="H1100">
        <f>VLOOKUP($A1100,ordered_items!$B$2:$E$4784,4,0)</f>
        <v>100</v>
      </c>
      <c r="I1100" s="15">
        <f>VLOOKUP(F1100,product_info!$A$2:$D$73,4,0)</f>
        <v>5</v>
      </c>
      <c r="J1100" s="15" t="str">
        <f>VLOOKUP(I1100,department!$A$2:$B$13,2,0)</f>
        <v>Golf</v>
      </c>
      <c r="K1100">
        <v>6956</v>
      </c>
      <c r="L1100" t="s">
        <v>129</v>
      </c>
      <c r="M1100" s="4">
        <v>43518</v>
      </c>
      <c r="N1100" s="12">
        <f t="shared" si="52"/>
        <v>2</v>
      </c>
      <c r="O1100" s="13">
        <f t="shared" si="53"/>
        <v>2019</v>
      </c>
      <c r="P1100" t="s">
        <v>13</v>
      </c>
      <c r="Q1100" t="s">
        <v>130</v>
      </c>
      <c r="R1100" t="s">
        <v>31</v>
      </c>
      <c r="S1100" t="str" cm="1">
        <f t="array" ref="S1100">_xlfn.IFS(R1100="COMPLETE", "COMPLETED", R1100="CANCELED", "CANCELED", TRUE, "PENDING")</f>
        <v>COMPLETED</v>
      </c>
      <c r="T1100" t="s">
        <v>16</v>
      </c>
      <c r="U1100">
        <f>VLOOKUP(A1100,ordered_items!$B:$E,4,0)</f>
        <v>100</v>
      </c>
    </row>
    <row r="1101" spans="1:21" x14ac:dyDescent="0.3">
      <c r="A1101">
        <v>28690</v>
      </c>
      <c r="B1101" t="s">
        <v>51</v>
      </c>
      <c r="C1101">
        <v>6</v>
      </c>
      <c r="D1101">
        <v>4</v>
      </c>
      <c r="E1101" t="str">
        <f t="shared" si="51"/>
        <v>DELAYED</v>
      </c>
      <c r="F1101">
        <f>VLOOKUP($A1101,ordered_items!$B$2:$E$4784,2,0)</f>
        <v>924</v>
      </c>
      <c r="G1101">
        <f>VLOOKUP($A1101,ordered_items!$B$2:$E$4784,3,0)</f>
        <v>4</v>
      </c>
      <c r="H1101">
        <f>VLOOKUP($A1101,ordered_items!$B$2:$E$4784,4,0)</f>
        <v>63.96</v>
      </c>
      <c r="I1101" s="15">
        <f>VLOOKUP(F1101,product_info!$A$2:$D$73,4,0)</f>
        <v>6</v>
      </c>
      <c r="J1101" s="15" t="str">
        <f>VLOOKUP(I1101,department!$A$2:$B$13,2,0)</f>
        <v>Outdoors</v>
      </c>
      <c r="K1101">
        <v>10767</v>
      </c>
      <c r="L1101" t="s">
        <v>129</v>
      </c>
      <c r="M1101" s="4">
        <v>43518</v>
      </c>
      <c r="N1101" s="12">
        <f t="shared" si="52"/>
        <v>2</v>
      </c>
      <c r="O1101" s="13">
        <f t="shared" si="53"/>
        <v>2019</v>
      </c>
      <c r="P1101" t="s">
        <v>13</v>
      </c>
      <c r="Q1101" t="s">
        <v>130</v>
      </c>
      <c r="R1101" t="s">
        <v>57</v>
      </c>
      <c r="S1101" t="str" cm="1">
        <f t="array" ref="S1101">_xlfn.IFS(R1101="COMPLETE", "COMPLETED", R1101="CANCELED", "CANCELED", TRUE, "PENDING")</f>
        <v>PENDING</v>
      </c>
      <c r="T1101" t="s">
        <v>16</v>
      </c>
      <c r="U1101">
        <f>VLOOKUP(A1101,ordered_items!$B:$E,4,0)</f>
        <v>63.96</v>
      </c>
    </row>
    <row r="1102" spans="1:21" x14ac:dyDescent="0.3">
      <c r="A1102">
        <v>28691</v>
      </c>
      <c r="B1102" t="s">
        <v>3</v>
      </c>
      <c r="C1102">
        <v>2</v>
      </c>
      <c r="D1102">
        <v>4</v>
      </c>
      <c r="E1102" t="str">
        <f t="shared" si="51"/>
        <v xml:space="preserve"> ONTIME</v>
      </c>
      <c r="F1102">
        <f>VLOOKUP($A1102,ordered_items!$B$2:$E$4784,2,0)</f>
        <v>897</v>
      </c>
      <c r="G1102">
        <f>VLOOKUP($A1102,ordered_items!$B$2:$E$4784,3,0)</f>
        <v>5</v>
      </c>
      <c r="H1102">
        <f>VLOOKUP($A1102,ordered_items!$B$2:$E$4784,4,0)</f>
        <v>124.95</v>
      </c>
      <c r="I1102" s="15">
        <f>VLOOKUP(F1102,product_info!$A$2:$D$73,4,0)</f>
        <v>6</v>
      </c>
      <c r="J1102" s="15" t="str">
        <f>VLOOKUP(I1102,department!$A$2:$B$13,2,0)</f>
        <v>Outdoors</v>
      </c>
      <c r="K1102">
        <v>10462</v>
      </c>
      <c r="L1102" t="s">
        <v>850</v>
      </c>
      <c r="M1102" s="4">
        <v>43518</v>
      </c>
      <c r="N1102" s="12">
        <f t="shared" si="52"/>
        <v>2</v>
      </c>
      <c r="O1102" s="13">
        <f t="shared" si="53"/>
        <v>2019</v>
      </c>
      <c r="P1102" t="s">
        <v>13</v>
      </c>
      <c r="Q1102" t="s">
        <v>99</v>
      </c>
      <c r="R1102" t="s">
        <v>14</v>
      </c>
      <c r="S1102" t="str" cm="1">
        <f t="array" ref="S1102">_xlfn.IFS(R1102="COMPLETE", "COMPLETED", R1102="CANCELED", "CANCELED", TRUE, "PENDING")</f>
        <v>PENDING</v>
      </c>
      <c r="T1102" t="s">
        <v>16</v>
      </c>
      <c r="U1102">
        <f>VLOOKUP(A1102,ordered_items!$B:$E,4,0)</f>
        <v>124.95</v>
      </c>
    </row>
    <row r="1103" spans="1:21" x14ac:dyDescent="0.3">
      <c r="A1103">
        <v>28692</v>
      </c>
      <c r="B1103" t="s">
        <v>17</v>
      </c>
      <c r="C1103">
        <v>2</v>
      </c>
      <c r="D1103">
        <v>1</v>
      </c>
      <c r="E1103" t="str">
        <f t="shared" si="51"/>
        <v>DELAYED</v>
      </c>
      <c r="F1103">
        <f>VLOOKUP($A1103,ordered_items!$B$2:$E$4784,2,0)</f>
        <v>957</v>
      </c>
      <c r="G1103">
        <f>VLOOKUP($A1103,ordered_items!$B$2:$E$4784,3,0)</f>
        <v>1</v>
      </c>
      <c r="H1103">
        <f>VLOOKUP($A1103,ordered_items!$B$2:$E$4784,4,0)</f>
        <v>299.98</v>
      </c>
      <c r="I1103" s="15">
        <f>VLOOKUP(F1103,product_info!$A$2:$D$73,4,0)</f>
        <v>7</v>
      </c>
      <c r="J1103" s="15" t="str">
        <f>VLOOKUP(I1103,department!$A$2:$B$13,2,0)</f>
        <v>Fan Shop</v>
      </c>
      <c r="K1103">
        <v>674</v>
      </c>
      <c r="L1103" t="s">
        <v>850</v>
      </c>
      <c r="M1103" s="4">
        <v>43518</v>
      </c>
      <c r="N1103" s="12">
        <f t="shared" si="52"/>
        <v>2</v>
      </c>
      <c r="O1103" s="13">
        <f t="shared" si="53"/>
        <v>2019</v>
      </c>
      <c r="P1103" t="s">
        <v>13</v>
      </c>
      <c r="Q1103" t="s">
        <v>99</v>
      </c>
      <c r="R1103" t="s">
        <v>23</v>
      </c>
      <c r="S1103" t="str" cm="1">
        <f t="array" ref="S1103">_xlfn.IFS(R1103="COMPLETE", "COMPLETED", R1103="CANCELED", "CANCELED", TRUE, "PENDING")</f>
        <v>PENDING</v>
      </c>
      <c r="T1103" t="s">
        <v>32</v>
      </c>
      <c r="U1103">
        <f>VLOOKUP(A1103,ordered_items!$B:$E,4,0)</f>
        <v>299.98</v>
      </c>
    </row>
    <row r="1104" spans="1:21" x14ac:dyDescent="0.3">
      <c r="A1104">
        <v>28694</v>
      </c>
      <c r="B1104" t="s">
        <v>51</v>
      </c>
      <c r="C1104">
        <v>5</v>
      </c>
      <c r="D1104">
        <v>2</v>
      </c>
      <c r="E1104" t="str">
        <f t="shared" si="51"/>
        <v>DELAYED</v>
      </c>
      <c r="F1104">
        <f>VLOOKUP($A1104,ordered_items!$B$2:$E$4784,2,0)</f>
        <v>957</v>
      </c>
      <c r="G1104">
        <f>VLOOKUP($A1104,ordered_items!$B$2:$E$4784,3,0)</f>
        <v>1</v>
      </c>
      <c r="H1104">
        <f>VLOOKUP($A1104,ordered_items!$B$2:$E$4784,4,0)</f>
        <v>299.98</v>
      </c>
      <c r="I1104" s="15">
        <f>VLOOKUP(F1104,product_info!$A$2:$D$73,4,0)</f>
        <v>7</v>
      </c>
      <c r="J1104" s="15" t="str">
        <f>VLOOKUP(I1104,department!$A$2:$B$13,2,0)</f>
        <v>Fan Shop</v>
      </c>
      <c r="K1104">
        <v>2572</v>
      </c>
      <c r="L1104" t="s">
        <v>850</v>
      </c>
      <c r="M1104" s="4">
        <v>43518</v>
      </c>
      <c r="N1104" s="12">
        <f t="shared" si="52"/>
        <v>2</v>
      </c>
      <c r="O1104" s="13">
        <f t="shared" si="53"/>
        <v>2019</v>
      </c>
      <c r="P1104" t="s">
        <v>13</v>
      </c>
      <c r="Q1104" t="s">
        <v>99</v>
      </c>
      <c r="R1104" t="s">
        <v>57</v>
      </c>
      <c r="S1104" t="str" cm="1">
        <f t="array" ref="S1104">_xlfn.IFS(R1104="COMPLETE", "COMPLETED", R1104="CANCELED", "CANCELED", TRUE, "PENDING")</f>
        <v>PENDING</v>
      </c>
      <c r="T1104" t="s">
        <v>90</v>
      </c>
      <c r="U1104">
        <f>VLOOKUP(A1104,ordered_items!$B:$E,4,0)</f>
        <v>299.98</v>
      </c>
    </row>
    <row r="1105" spans="1:21" x14ac:dyDescent="0.3">
      <c r="A1105">
        <v>28701</v>
      </c>
      <c r="B1105" t="s">
        <v>51</v>
      </c>
      <c r="C1105">
        <v>2</v>
      </c>
      <c r="D1105">
        <v>4</v>
      </c>
      <c r="E1105" t="str">
        <f t="shared" si="51"/>
        <v xml:space="preserve"> ONTIME</v>
      </c>
      <c r="F1105">
        <f>VLOOKUP($A1105,ordered_items!$B$2:$E$4784,2,0)</f>
        <v>565</v>
      </c>
      <c r="G1105">
        <f>VLOOKUP($A1105,ordered_items!$B$2:$E$4784,3,0)</f>
        <v>2</v>
      </c>
      <c r="H1105">
        <f>VLOOKUP($A1105,ordered_items!$B$2:$E$4784,4,0)</f>
        <v>140</v>
      </c>
      <c r="I1105" s="15">
        <f>VLOOKUP(F1105,product_info!$A$2:$D$73,4,0)</f>
        <v>5</v>
      </c>
      <c r="J1105" s="15" t="str">
        <f>VLOOKUP(I1105,department!$A$2:$B$13,2,0)</f>
        <v>Golf</v>
      </c>
      <c r="K1105">
        <v>1492</v>
      </c>
      <c r="L1105" t="s">
        <v>1481</v>
      </c>
      <c r="M1105" s="4">
        <v>43518</v>
      </c>
      <c r="N1105" s="12">
        <f t="shared" si="52"/>
        <v>2</v>
      </c>
      <c r="O1105" s="13">
        <f t="shared" si="53"/>
        <v>2019</v>
      </c>
      <c r="P1105" t="s">
        <v>13</v>
      </c>
      <c r="Q1105" t="s">
        <v>286</v>
      </c>
      <c r="R1105" t="s">
        <v>57</v>
      </c>
      <c r="S1105" t="str" cm="1">
        <f t="array" ref="S1105">_xlfn.IFS(R1105="COMPLETE", "COMPLETED", R1105="CANCELED", "CANCELED", TRUE, "PENDING")</f>
        <v>PENDING</v>
      </c>
      <c r="T1105" t="s">
        <v>16</v>
      </c>
      <c r="U1105">
        <f>VLOOKUP(A1105,ordered_items!$B:$E,4,0)</f>
        <v>140</v>
      </c>
    </row>
    <row r="1106" spans="1:21" x14ac:dyDescent="0.3">
      <c r="A1106">
        <v>28702</v>
      </c>
      <c r="B1106" t="s">
        <v>24</v>
      </c>
      <c r="C1106">
        <v>3</v>
      </c>
      <c r="D1106">
        <v>4</v>
      </c>
      <c r="E1106" t="str">
        <f t="shared" si="51"/>
        <v xml:space="preserve"> ONTIME</v>
      </c>
      <c r="F1106">
        <f>VLOOKUP($A1106,ordered_items!$B$2:$E$4784,2,0)</f>
        <v>191</v>
      </c>
      <c r="G1106">
        <f>VLOOKUP($A1106,ordered_items!$B$2:$E$4784,3,0)</f>
        <v>2</v>
      </c>
      <c r="H1106">
        <f>VLOOKUP($A1106,ordered_items!$B$2:$E$4784,4,0)</f>
        <v>199.98</v>
      </c>
      <c r="I1106" s="15">
        <f>VLOOKUP(F1106,product_info!$A$2:$D$73,4,0)</f>
        <v>3</v>
      </c>
      <c r="J1106" s="15" t="str">
        <f>VLOOKUP(I1106,department!$A$2:$B$13,2,0)</f>
        <v>Footwear</v>
      </c>
      <c r="K1106">
        <v>404</v>
      </c>
      <c r="L1106" t="s">
        <v>1481</v>
      </c>
      <c r="M1106" s="4">
        <v>43518</v>
      </c>
      <c r="N1106" s="12">
        <f t="shared" si="52"/>
        <v>2</v>
      </c>
      <c r="O1106" s="13">
        <f t="shared" si="53"/>
        <v>2019</v>
      </c>
      <c r="P1106" t="s">
        <v>13</v>
      </c>
      <c r="Q1106" t="s">
        <v>286</v>
      </c>
      <c r="R1106" t="s">
        <v>31</v>
      </c>
      <c r="S1106" t="str" cm="1">
        <f t="array" ref="S1106">_xlfn.IFS(R1106="COMPLETE", "COMPLETED", R1106="CANCELED", "CANCELED", TRUE, "PENDING")</f>
        <v>COMPLETED</v>
      </c>
      <c r="T1106" t="s">
        <v>16</v>
      </c>
      <c r="U1106">
        <f>VLOOKUP(A1106,ordered_items!$B:$E,4,0)</f>
        <v>199.98</v>
      </c>
    </row>
    <row r="1107" spans="1:21" x14ac:dyDescent="0.3">
      <c r="A1107">
        <v>28708</v>
      </c>
      <c r="B1107" t="s">
        <v>24</v>
      </c>
      <c r="C1107">
        <v>2</v>
      </c>
      <c r="D1107">
        <v>1</v>
      </c>
      <c r="E1107" t="str">
        <f t="shared" si="51"/>
        <v>DELAYED</v>
      </c>
      <c r="F1107">
        <f>VLOOKUP($A1107,ordered_items!$B$2:$E$4784,2,0)</f>
        <v>403</v>
      </c>
      <c r="G1107">
        <f>VLOOKUP($A1107,ordered_items!$B$2:$E$4784,3,0)</f>
        <v>1</v>
      </c>
      <c r="H1107">
        <f>VLOOKUP($A1107,ordered_items!$B$2:$E$4784,4,0)</f>
        <v>129.99</v>
      </c>
      <c r="I1107" s="15">
        <f>VLOOKUP(F1107,product_info!$A$2:$D$73,4,0)</f>
        <v>4</v>
      </c>
      <c r="J1107" s="15" t="str">
        <f>VLOOKUP(I1107,department!$A$2:$B$13,2,0)</f>
        <v>Apparel</v>
      </c>
      <c r="K1107">
        <v>3837</v>
      </c>
      <c r="L1107" t="s">
        <v>146</v>
      </c>
      <c r="M1107" s="4">
        <v>43519</v>
      </c>
      <c r="N1107" s="12">
        <f t="shared" si="52"/>
        <v>2</v>
      </c>
      <c r="O1107" s="13">
        <f t="shared" si="53"/>
        <v>2019</v>
      </c>
      <c r="P1107" t="s">
        <v>13</v>
      </c>
      <c r="Q1107" t="s">
        <v>30</v>
      </c>
      <c r="R1107" t="s">
        <v>31</v>
      </c>
      <c r="S1107" t="str" cm="1">
        <f t="array" ref="S1107">_xlfn.IFS(R1107="COMPLETE", "COMPLETED", R1107="CANCELED", "CANCELED", TRUE, "PENDING")</f>
        <v>COMPLETED</v>
      </c>
      <c r="T1107" t="s">
        <v>32</v>
      </c>
      <c r="U1107">
        <f>VLOOKUP(A1107,ordered_items!$B:$E,4,0)</f>
        <v>129.99</v>
      </c>
    </row>
    <row r="1108" spans="1:21" x14ac:dyDescent="0.3">
      <c r="A1108">
        <v>28709</v>
      </c>
      <c r="B1108" t="s">
        <v>24</v>
      </c>
      <c r="C1108">
        <v>5</v>
      </c>
      <c r="D1108">
        <v>4</v>
      </c>
      <c r="E1108" t="str">
        <f t="shared" si="51"/>
        <v>DELAYED</v>
      </c>
      <c r="F1108">
        <f>VLOOKUP($A1108,ordered_items!$B$2:$E$4784,2,0)</f>
        <v>822</v>
      </c>
      <c r="G1108">
        <f>VLOOKUP($A1108,ordered_items!$B$2:$E$4784,3,0)</f>
        <v>1</v>
      </c>
      <c r="H1108">
        <f>VLOOKUP($A1108,ordered_items!$B$2:$E$4784,4,0)</f>
        <v>47.99</v>
      </c>
      <c r="I1108" s="15">
        <f>VLOOKUP(F1108,product_info!$A$2:$D$73,4,0)</f>
        <v>6</v>
      </c>
      <c r="J1108" s="15" t="str">
        <f>VLOOKUP(I1108,department!$A$2:$B$13,2,0)</f>
        <v>Outdoors</v>
      </c>
      <c r="K1108">
        <v>9932</v>
      </c>
      <c r="L1108" t="s">
        <v>146</v>
      </c>
      <c r="M1108" s="4">
        <v>43519</v>
      </c>
      <c r="N1108" s="12">
        <f t="shared" si="52"/>
        <v>2</v>
      </c>
      <c r="O1108" s="13">
        <f t="shared" si="53"/>
        <v>2019</v>
      </c>
      <c r="P1108" t="s">
        <v>13</v>
      </c>
      <c r="Q1108" t="s">
        <v>30</v>
      </c>
      <c r="R1108" t="s">
        <v>378</v>
      </c>
      <c r="S1108" t="str" cm="1">
        <f t="array" ref="S1108">_xlfn.IFS(R1108="COMPLETE", "COMPLETED", R1108="CANCELED", "CANCELED", TRUE, "PENDING")</f>
        <v>PENDING</v>
      </c>
      <c r="T1108" t="s">
        <v>16</v>
      </c>
      <c r="U1108">
        <f>VLOOKUP(A1108,ordered_items!$B:$E,4,0)</f>
        <v>47.99</v>
      </c>
    </row>
    <row r="1109" spans="1:21" x14ac:dyDescent="0.3">
      <c r="A1109">
        <v>28710</v>
      </c>
      <c r="B1109" t="s">
        <v>3</v>
      </c>
      <c r="C1109">
        <v>6</v>
      </c>
      <c r="D1109">
        <v>4</v>
      </c>
      <c r="E1109" t="str">
        <f t="shared" si="51"/>
        <v>DELAYED</v>
      </c>
      <c r="F1109">
        <f>VLOOKUP($A1109,ordered_items!$B$2:$E$4784,2,0)</f>
        <v>1073</v>
      </c>
      <c r="G1109">
        <f>VLOOKUP($A1109,ordered_items!$B$2:$E$4784,3,0)</f>
        <v>1</v>
      </c>
      <c r="H1109">
        <f>VLOOKUP($A1109,ordered_items!$B$2:$E$4784,4,0)</f>
        <v>199.99</v>
      </c>
      <c r="I1109" s="15">
        <f>VLOOKUP(F1109,product_info!$A$2:$D$73,4,0)</f>
        <v>7</v>
      </c>
      <c r="J1109" s="15" t="str">
        <f>VLOOKUP(I1109,department!$A$2:$B$13,2,0)</f>
        <v>Fan Shop</v>
      </c>
      <c r="K1109">
        <v>6867</v>
      </c>
      <c r="L1109" t="s">
        <v>146</v>
      </c>
      <c r="M1109" s="4">
        <v>43519</v>
      </c>
      <c r="N1109" s="12">
        <f t="shared" si="52"/>
        <v>2</v>
      </c>
      <c r="O1109" s="13">
        <f t="shared" si="53"/>
        <v>2019</v>
      </c>
      <c r="P1109" t="s">
        <v>13</v>
      </c>
      <c r="Q1109" t="s">
        <v>30</v>
      </c>
      <c r="R1109" t="s">
        <v>14</v>
      </c>
      <c r="S1109" t="str" cm="1">
        <f t="array" ref="S1109">_xlfn.IFS(R1109="COMPLETE", "COMPLETED", R1109="CANCELED", "CANCELED", TRUE, "PENDING")</f>
        <v>PENDING</v>
      </c>
      <c r="T1109" t="s">
        <v>16</v>
      </c>
      <c r="U1109">
        <f>VLOOKUP(A1109,ordered_items!$B:$E,4,0)</f>
        <v>199.99</v>
      </c>
    </row>
    <row r="1110" spans="1:21" x14ac:dyDescent="0.3">
      <c r="A1110">
        <v>28736</v>
      </c>
      <c r="B1110" t="s">
        <v>24</v>
      </c>
      <c r="C1110">
        <v>2</v>
      </c>
      <c r="D1110">
        <v>2</v>
      </c>
      <c r="E1110" t="str">
        <f t="shared" si="51"/>
        <v xml:space="preserve"> ONTIME</v>
      </c>
      <c r="F1110">
        <f>VLOOKUP($A1110,ordered_items!$B$2:$E$4784,2,0)</f>
        <v>191</v>
      </c>
      <c r="G1110">
        <f>VLOOKUP($A1110,ordered_items!$B$2:$E$4784,3,0)</f>
        <v>4</v>
      </c>
      <c r="H1110">
        <f>VLOOKUP($A1110,ordered_items!$B$2:$E$4784,4,0)</f>
        <v>399.96</v>
      </c>
      <c r="I1110" s="15">
        <f>VLOOKUP(F1110,product_info!$A$2:$D$73,4,0)</f>
        <v>3</v>
      </c>
      <c r="J1110" s="15" t="str">
        <f>VLOOKUP(I1110,department!$A$2:$B$13,2,0)</f>
        <v>Footwear</v>
      </c>
      <c r="K1110">
        <v>10511</v>
      </c>
      <c r="L1110" t="s">
        <v>253</v>
      </c>
      <c r="M1110" s="4">
        <v>43519</v>
      </c>
      <c r="N1110" s="12">
        <f t="shared" si="52"/>
        <v>2</v>
      </c>
      <c r="O1110" s="13">
        <f t="shared" si="53"/>
        <v>2019</v>
      </c>
      <c r="P1110" t="s">
        <v>13</v>
      </c>
      <c r="Q1110" t="s">
        <v>30</v>
      </c>
      <c r="R1110" t="s">
        <v>31</v>
      </c>
      <c r="S1110" t="str" cm="1">
        <f t="array" ref="S1110">_xlfn.IFS(R1110="COMPLETE", "COMPLETED", R1110="CANCELED", "CANCELED", TRUE, "PENDING")</f>
        <v>COMPLETED</v>
      </c>
      <c r="T1110" t="s">
        <v>90</v>
      </c>
      <c r="U1110">
        <f>VLOOKUP(A1110,ordered_items!$B:$E,4,0)</f>
        <v>399.96</v>
      </c>
    </row>
    <row r="1111" spans="1:21" x14ac:dyDescent="0.3">
      <c r="A1111">
        <v>28737</v>
      </c>
      <c r="B1111" t="s">
        <v>24</v>
      </c>
      <c r="C1111">
        <v>3</v>
      </c>
      <c r="D1111">
        <v>4</v>
      </c>
      <c r="E1111" t="str">
        <f t="shared" si="51"/>
        <v xml:space="preserve"> ONTIME</v>
      </c>
      <c r="F1111">
        <f>VLOOKUP($A1111,ordered_items!$B$2:$E$4784,2,0)</f>
        <v>403</v>
      </c>
      <c r="G1111">
        <f>VLOOKUP($A1111,ordered_items!$B$2:$E$4784,3,0)</f>
        <v>1</v>
      </c>
      <c r="H1111">
        <f>VLOOKUP($A1111,ordered_items!$B$2:$E$4784,4,0)</f>
        <v>129.99</v>
      </c>
      <c r="I1111" s="15">
        <f>VLOOKUP(F1111,product_info!$A$2:$D$73,4,0)</f>
        <v>4</v>
      </c>
      <c r="J1111" s="15" t="str">
        <f>VLOOKUP(I1111,department!$A$2:$B$13,2,0)</f>
        <v>Apparel</v>
      </c>
      <c r="K1111">
        <v>7572</v>
      </c>
      <c r="L1111" t="s">
        <v>439</v>
      </c>
      <c r="M1111" s="4">
        <v>43519</v>
      </c>
      <c r="N1111" s="12">
        <f t="shared" si="52"/>
        <v>2</v>
      </c>
      <c r="O1111" s="13">
        <f t="shared" si="53"/>
        <v>2019</v>
      </c>
      <c r="P1111" t="s">
        <v>13</v>
      </c>
      <c r="Q1111" t="s">
        <v>377</v>
      </c>
      <c r="R1111" t="s">
        <v>378</v>
      </c>
      <c r="S1111" t="str" cm="1">
        <f t="array" ref="S1111">_xlfn.IFS(R1111="COMPLETE", "COMPLETED", R1111="CANCELED", "CANCELED", TRUE, "PENDING")</f>
        <v>PENDING</v>
      </c>
      <c r="T1111" t="s">
        <v>16</v>
      </c>
      <c r="U1111">
        <f>VLOOKUP(A1111,ordered_items!$B:$E,4,0)</f>
        <v>129.99</v>
      </c>
    </row>
    <row r="1112" spans="1:21" x14ac:dyDescent="0.3">
      <c r="A1112">
        <v>28743</v>
      </c>
      <c r="B1112" t="s">
        <v>51</v>
      </c>
      <c r="C1112">
        <v>4</v>
      </c>
      <c r="D1112">
        <v>2</v>
      </c>
      <c r="E1112" t="str">
        <f t="shared" si="51"/>
        <v>DELAYED</v>
      </c>
      <c r="F1112">
        <f>VLOOKUP($A1112,ordered_items!$B$2:$E$4784,2,0)</f>
        <v>1004</v>
      </c>
      <c r="G1112">
        <f>VLOOKUP($A1112,ordered_items!$B$2:$E$4784,3,0)</f>
        <v>1</v>
      </c>
      <c r="H1112">
        <f>VLOOKUP($A1112,ordered_items!$B$2:$E$4784,4,0)</f>
        <v>399.98</v>
      </c>
      <c r="I1112" s="15">
        <f>VLOOKUP(F1112,product_info!$A$2:$D$73,4,0)</f>
        <v>7</v>
      </c>
      <c r="J1112" s="15" t="str">
        <f>VLOOKUP(I1112,department!$A$2:$B$13,2,0)</f>
        <v>Fan Shop</v>
      </c>
      <c r="K1112">
        <v>9108</v>
      </c>
      <c r="L1112" t="s">
        <v>98</v>
      </c>
      <c r="M1112" s="4">
        <v>43519</v>
      </c>
      <c r="N1112" s="12">
        <f t="shared" si="52"/>
        <v>2</v>
      </c>
      <c r="O1112" s="13">
        <f t="shared" si="53"/>
        <v>2019</v>
      </c>
      <c r="P1112" t="s">
        <v>13</v>
      </c>
      <c r="Q1112" t="s">
        <v>99</v>
      </c>
      <c r="R1112" t="s">
        <v>57</v>
      </c>
      <c r="S1112" t="str" cm="1">
        <f t="array" ref="S1112">_xlfn.IFS(R1112="COMPLETE", "COMPLETED", R1112="CANCELED", "CANCELED", TRUE, "PENDING")</f>
        <v>PENDING</v>
      </c>
      <c r="T1112" t="s">
        <v>90</v>
      </c>
      <c r="U1112">
        <f>VLOOKUP(A1112,ordered_items!$B:$E,4,0)</f>
        <v>399.98</v>
      </c>
    </row>
    <row r="1113" spans="1:21" x14ac:dyDescent="0.3">
      <c r="A1113">
        <v>28744</v>
      </c>
      <c r="B1113" t="s">
        <v>51</v>
      </c>
      <c r="C1113">
        <v>5</v>
      </c>
      <c r="D1113">
        <v>2</v>
      </c>
      <c r="E1113" t="str">
        <f t="shared" si="51"/>
        <v>DELAYED</v>
      </c>
      <c r="F1113">
        <f>VLOOKUP($A1113,ordered_items!$B$2:$E$4784,2,0)</f>
        <v>365</v>
      </c>
      <c r="G1113">
        <f>VLOOKUP($A1113,ordered_items!$B$2:$E$4784,3,0)</f>
        <v>2</v>
      </c>
      <c r="H1113">
        <f>VLOOKUP($A1113,ordered_items!$B$2:$E$4784,4,0)</f>
        <v>119.98</v>
      </c>
      <c r="I1113" s="15">
        <f>VLOOKUP(F1113,product_info!$A$2:$D$73,4,0)</f>
        <v>4</v>
      </c>
      <c r="J1113" s="15" t="str">
        <f>VLOOKUP(I1113,department!$A$2:$B$13,2,0)</f>
        <v>Apparel</v>
      </c>
      <c r="K1113">
        <v>9083</v>
      </c>
      <c r="L1113" t="s">
        <v>98</v>
      </c>
      <c r="M1113" s="4">
        <v>43519</v>
      </c>
      <c r="N1113" s="12">
        <f t="shared" si="52"/>
        <v>2</v>
      </c>
      <c r="O1113" s="13">
        <f t="shared" si="53"/>
        <v>2019</v>
      </c>
      <c r="P1113" t="s">
        <v>13</v>
      </c>
      <c r="Q1113" t="s">
        <v>99</v>
      </c>
      <c r="R1113" t="s">
        <v>57</v>
      </c>
      <c r="S1113" t="str" cm="1">
        <f t="array" ref="S1113">_xlfn.IFS(R1113="COMPLETE", "COMPLETED", R1113="CANCELED", "CANCELED", TRUE, "PENDING")</f>
        <v>PENDING</v>
      </c>
      <c r="T1113" t="s">
        <v>90</v>
      </c>
      <c r="U1113">
        <f>VLOOKUP(A1113,ordered_items!$B:$E,4,0)</f>
        <v>119.98</v>
      </c>
    </row>
    <row r="1114" spans="1:21" x14ac:dyDescent="0.3">
      <c r="A1114">
        <v>28746</v>
      </c>
      <c r="B1114" t="s">
        <v>17</v>
      </c>
      <c r="C1114">
        <v>2</v>
      </c>
      <c r="D1114">
        <v>4</v>
      </c>
      <c r="E1114" t="str">
        <f t="shared" si="51"/>
        <v xml:space="preserve"> ONTIME</v>
      </c>
      <c r="F1114">
        <f>VLOOKUP($A1114,ordered_items!$B$2:$E$4784,2,0)</f>
        <v>365</v>
      </c>
      <c r="G1114">
        <f>VLOOKUP($A1114,ordered_items!$B$2:$E$4784,3,0)</f>
        <v>2</v>
      </c>
      <c r="H1114">
        <f>VLOOKUP($A1114,ordered_items!$B$2:$E$4784,4,0)</f>
        <v>119.98</v>
      </c>
      <c r="I1114" s="15">
        <f>VLOOKUP(F1114,product_info!$A$2:$D$73,4,0)</f>
        <v>4</v>
      </c>
      <c r="J1114" s="15" t="str">
        <f>VLOOKUP(I1114,department!$A$2:$B$13,2,0)</f>
        <v>Apparel</v>
      </c>
      <c r="K1114">
        <v>442</v>
      </c>
      <c r="L1114" t="s">
        <v>570</v>
      </c>
      <c r="M1114" s="4">
        <v>43519</v>
      </c>
      <c r="N1114" s="12">
        <f t="shared" si="52"/>
        <v>2</v>
      </c>
      <c r="O1114" s="13">
        <f t="shared" si="53"/>
        <v>2019</v>
      </c>
      <c r="P1114" t="s">
        <v>13</v>
      </c>
      <c r="Q1114" t="s">
        <v>99</v>
      </c>
      <c r="R1114" t="s">
        <v>23</v>
      </c>
      <c r="S1114" t="str" cm="1">
        <f t="array" ref="S1114">_xlfn.IFS(R1114="COMPLETE", "COMPLETED", R1114="CANCELED", "CANCELED", TRUE, "PENDING")</f>
        <v>PENDING</v>
      </c>
      <c r="T1114" t="s">
        <v>16</v>
      </c>
      <c r="U1114">
        <f>VLOOKUP(A1114,ordered_items!$B:$E,4,0)</f>
        <v>119.98</v>
      </c>
    </row>
    <row r="1115" spans="1:21" x14ac:dyDescent="0.3">
      <c r="A1115">
        <v>28760</v>
      </c>
      <c r="B1115" t="s">
        <v>17</v>
      </c>
      <c r="C1115">
        <v>2</v>
      </c>
      <c r="D1115">
        <v>1</v>
      </c>
      <c r="E1115" t="str">
        <f t="shared" si="51"/>
        <v>DELAYED</v>
      </c>
      <c r="F1115">
        <f>VLOOKUP($A1115,ordered_items!$B$2:$E$4784,2,0)</f>
        <v>502</v>
      </c>
      <c r="G1115">
        <f>VLOOKUP($A1115,ordered_items!$B$2:$E$4784,3,0)</f>
        <v>2</v>
      </c>
      <c r="H1115">
        <f>VLOOKUP($A1115,ordered_items!$B$2:$E$4784,4,0)</f>
        <v>100</v>
      </c>
      <c r="I1115" s="15">
        <f>VLOOKUP(F1115,product_info!$A$2:$D$73,4,0)</f>
        <v>5</v>
      </c>
      <c r="J1115" s="15" t="str">
        <f>VLOOKUP(I1115,department!$A$2:$B$13,2,0)</f>
        <v>Golf</v>
      </c>
      <c r="K1115">
        <v>12362</v>
      </c>
      <c r="L1115" t="s">
        <v>867</v>
      </c>
      <c r="M1115" s="4">
        <v>43519</v>
      </c>
      <c r="N1115" s="12">
        <f t="shared" si="52"/>
        <v>2</v>
      </c>
      <c r="O1115" s="13">
        <f t="shared" si="53"/>
        <v>2019</v>
      </c>
      <c r="P1115" t="s">
        <v>13</v>
      </c>
      <c r="Q1115" t="s">
        <v>5781</v>
      </c>
      <c r="R1115" t="s">
        <v>23</v>
      </c>
      <c r="S1115" t="str" cm="1">
        <f t="array" ref="S1115">_xlfn.IFS(R1115="COMPLETE", "COMPLETED", R1115="CANCELED", "CANCELED", TRUE, "PENDING")</f>
        <v>PENDING</v>
      </c>
      <c r="T1115" t="s">
        <v>32</v>
      </c>
      <c r="U1115">
        <f>VLOOKUP(A1115,ordered_items!$B:$E,4,0)</f>
        <v>100</v>
      </c>
    </row>
    <row r="1116" spans="1:21" x14ac:dyDescent="0.3">
      <c r="A1116">
        <v>28761</v>
      </c>
      <c r="B1116" t="s">
        <v>51</v>
      </c>
      <c r="C1116">
        <v>2</v>
      </c>
      <c r="D1116">
        <v>4</v>
      </c>
      <c r="E1116" t="str">
        <f t="shared" si="51"/>
        <v xml:space="preserve"> ONTIME</v>
      </c>
      <c r="F1116">
        <f>VLOOKUP($A1116,ordered_items!$B$2:$E$4784,2,0)</f>
        <v>1014</v>
      </c>
      <c r="G1116">
        <f>VLOOKUP($A1116,ordered_items!$B$2:$E$4784,3,0)</f>
        <v>3</v>
      </c>
      <c r="H1116">
        <f>VLOOKUP($A1116,ordered_items!$B$2:$E$4784,4,0)</f>
        <v>149.94</v>
      </c>
      <c r="I1116" s="15">
        <f>VLOOKUP(F1116,product_info!$A$2:$D$73,4,0)</f>
        <v>7</v>
      </c>
      <c r="J1116" s="15" t="str">
        <f>VLOOKUP(I1116,department!$A$2:$B$13,2,0)</f>
        <v>Fan Shop</v>
      </c>
      <c r="K1116">
        <v>10841</v>
      </c>
      <c r="L1116" t="s">
        <v>867</v>
      </c>
      <c r="M1116" s="4">
        <v>43519</v>
      </c>
      <c r="N1116" s="12">
        <f t="shared" si="52"/>
        <v>2</v>
      </c>
      <c r="O1116" s="13">
        <f t="shared" si="53"/>
        <v>2019</v>
      </c>
      <c r="P1116" t="s">
        <v>13</v>
      </c>
      <c r="Q1116" t="s">
        <v>5781</v>
      </c>
      <c r="R1116" t="s">
        <v>1275</v>
      </c>
      <c r="S1116" t="str" cm="1">
        <f t="array" ref="S1116">_xlfn.IFS(R1116="COMPLETE", "COMPLETED", R1116="CANCELED", "CANCELED", TRUE, "PENDING")</f>
        <v>PENDING</v>
      </c>
      <c r="T1116" t="s">
        <v>16</v>
      </c>
      <c r="U1116">
        <f>VLOOKUP(A1116,ordered_items!$B:$E,4,0)</f>
        <v>149.94</v>
      </c>
    </row>
    <row r="1117" spans="1:21" x14ac:dyDescent="0.3">
      <c r="A1117">
        <v>28763</v>
      </c>
      <c r="B1117" t="s">
        <v>3</v>
      </c>
      <c r="C1117">
        <v>4</v>
      </c>
      <c r="D1117">
        <v>4</v>
      </c>
      <c r="E1117" t="str">
        <f t="shared" si="51"/>
        <v xml:space="preserve"> ONTIME</v>
      </c>
      <c r="F1117">
        <f>VLOOKUP($A1117,ordered_items!$B$2:$E$4784,2,0)</f>
        <v>502</v>
      </c>
      <c r="G1117">
        <f>VLOOKUP($A1117,ordered_items!$B$2:$E$4784,3,0)</f>
        <v>5</v>
      </c>
      <c r="H1117">
        <f>VLOOKUP($A1117,ordered_items!$B$2:$E$4784,4,0)</f>
        <v>250</v>
      </c>
      <c r="I1117" s="15">
        <f>VLOOKUP(F1117,product_info!$A$2:$D$73,4,0)</f>
        <v>5</v>
      </c>
      <c r="J1117" s="15" t="str">
        <f>VLOOKUP(I1117,department!$A$2:$B$13,2,0)</f>
        <v>Golf</v>
      </c>
      <c r="K1117">
        <v>5573</v>
      </c>
      <c r="L1117" t="s">
        <v>867</v>
      </c>
      <c r="M1117" s="4">
        <v>43519</v>
      </c>
      <c r="N1117" s="12">
        <f t="shared" si="52"/>
        <v>2</v>
      </c>
      <c r="O1117" s="13">
        <f t="shared" si="53"/>
        <v>2019</v>
      </c>
      <c r="P1117" t="s">
        <v>13</v>
      </c>
      <c r="Q1117" t="s">
        <v>5781</v>
      </c>
      <c r="R1117" t="s">
        <v>38</v>
      </c>
      <c r="S1117" t="str" cm="1">
        <f t="array" ref="S1117">_xlfn.IFS(R1117="COMPLETE", "COMPLETED", R1117="CANCELED", "CANCELED", TRUE, "PENDING")</f>
        <v>PENDING</v>
      </c>
      <c r="T1117" t="s">
        <v>16</v>
      </c>
      <c r="U1117">
        <f>VLOOKUP(A1117,ordered_items!$B:$E,4,0)</f>
        <v>250</v>
      </c>
    </row>
    <row r="1118" spans="1:21" x14ac:dyDescent="0.3">
      <c r="A1118">
        <v>28771</v>
      </c>
      <c r="B1118" t="s">
        <v>24</v>
      </c>
      <c r="C1118">
        <v>2</v>
      </c>
      <c r="D1118">
        <v>4</v>
      </c>
      <c r="E1118" t="str">
        <f t="shared" si="51"/>
        <v xml:space="preserve"> ONTIME</v>
      </c>
      <c r="F1118">
        <f>VLOOKUP($A1118,ordered_items!$B$2:$E$4784,2,0)</f>
        <v>502</v>
      </c>
      <c r="G1118">
        <f>VLOOKUP($A1118,ordered_items!$B$2:$E$4784,3,0)</f>
        <v>5</v>
      </c>
      <c r="H1118">
        <f>VLOOKUP($A1118,ordered_items!$B$2:$E$4784,4,0)</f>
        <v>250</v>
      </c>
      <c r="I1118" s="15">
        <f>VLOOKUP(F1118,product_info!$A$2:$D$73,4,0)</f>
        <v>5</v>
      </c>
      <c r="J1118" s="15" t="str">
        <f>VLOOKUP(I1118,department!$A$2:$B$13,2,0)</f>
        <v>Golf</v>
      </c>
      <c r="K1118">
        <v>9771</v>
      </c>
      <c r="L1118" t="s">
        <v>963</v>
      </c>
      <c r="M1118" s="4">
        <v>43519</v>
      </c>
      <c r="N1118" s="12">
        <f t="shared" si="52"/>
        <v>2</v>
      </c>
      <c r="O1118" s="13">
        <f t="shared" si="53"/>
        <v>2019</v>
      </c>
      <c r="P1118" t="s">
        <v>13</v>
      </c>
      <c r="Q1118" t="s">
        <v>47</v>
      </c>
      <c r="R1118" t="s">
        <v>31</v>
      </c>
      <c r="S1118" t="str" cm="1">
        <f t="array" ref="S1118">_xlfn.IFS(R1118="COMPLETE", "COMPLETED", R1118="CANCELED", "CANCELED", TRUE, "PENDING")</f>
        <v>COMPLETED</v>
      </c>
      <c r="T1118" t="s">
        <v>16</v>
      </c>
      <c r="U1118">
        <f>VLOOKUP(A1118,ordered_items!$B:$E,4,0)</f>
        <v>250</v>
      </c>
    </row>
    <row r="1119" spans="1:21" x14ac:dyDescent="0.3">
      <c r="A1119">
        <v>28772</v>
      </c>
      <c r="B1119" t="s">
        <v>51</v>
      </c>
      <c r="C1119">
        <v>3</v>
      </c>
      <c r="D1119">
        <v>4</v>
      </c>
      <c r="E1119" t="str">
        <f t="shared" si="51"/>
        <v xml:space="preserve"> ONTIME</v>
      </c>
      <c r="F1119">
        <f>VLOOKUP($A1119,ordered_items!$B$2:$E$4784,2,0)</f>
        <v>778</v>
      </c>
      <c r="G1119">
        <f>VLOOKUP($A1119,ordered_items!$B$2:$E$4784,3,0)</f>
        <v>5</v>
      </c>
      <c r="H1119">
        <f>VLOOKUP($A1119,ordered_items!$B$2:$E$4784,4,0)</f>
        <v>124.95</v>
      </c>
      <c r="I1119" s="15">
        <f>VLOOKUP(F1119,product_info!$A$2:$D$73,4,0)</f>
        <v>6</v>
      </c>
      <c r="J1119" s="15" t="str">
        <f>VLOOKUP(I1119,department!$A$2:$B$13,2,0)</f>
        <v>Outdoors</v>
      </c>
      <c r="K1119">
        <v>1942</v>
      </c>
      <c r="L1119" t="s">
        <v>963</v>
      </c>
      <c r="M1119" s="4">
        <v>43519</v>
      </c>
      <c r="N1119" s="12">
        <f t="shared" si="52"/>
        <v>2</v>
      </c>
      <c r="O1119" s="13">
        <f t="shared" si="53"/>
        <v>2019</v>
      </c>
      <c r="P1119" t="s">
        <v>13</v>
      </c>
      <c r="Q1119" t="s">
        <v>47</v>
      </c>
      <c r="R1119" t="s">
        <v>57</v>
      </c>
      <c r="S1119" t="str" cm="1">
        <f t="array" ref="S1119">_xlfn.IFS(R1119="COMPLETE", "COMPLETED", R1119="CANCELED", "CANCELED", TRUE, "PENDING")</f>
        <v>PENDING</v>
      </c>
      <c r="T1119" t="s">
        <v>16</v>
      </c>
      <c r="U1119">
        <f>VLOOKUP(A1119,ordered_items!$B:$E,4,0)</f>
        <v>124.95</v>
      </c>
    </row>
    <row r="1120" spans="1:21" x14ac:dyDescent="0.3">
      <c r="A1120">
        <v>28773</v>
      </c>
      <c r="B1120" t="s">
        <v>51</v>
      </c>
      <c r="C1120">
        <v>4</v>
      </c>
      <c r="D1120">
        <v>4</v>
      </c>
      <c r="E1120" t="str">
        <f t="shared" si="51"/>
        <v xml:space="preserve"> ONTIME</v>
      </c>
      <c r="F1120">
        <f>VLOOKUP($A1120,ordered_items!$B$2:$E$4784,2,0)</f>
        <v>502</v>
      </c>
      <c r="G1120">
        <f>VLOOKUP($A1120,ordered_items!$B$2:$E$4784,3,0)</f>
        <v>1</v>
      </c>
      <c r="H1120">
        <f>VLOOKUP($A1120,ordered_items!$B$2:$E$4784,4,0)</f>
        <v>50</v>
      </c>
      <c r="I1120" s="15">
        <f>VLOOKUP(F1120,product_info!$A$2:$D$73,4,0)</f>
        <v>5</v>
      </c>
      <c r="J1120" s="15" t="str">
        <f>VLOOKUP(I1120,department!$A$2:$B$13,2,0)</f>
        <v>Golf</v>
      </c>
      <c r="K1120">
        <v>10964</v>
      </c>
      <c r="L1120" t="s">
        <v>439</v>
      </c>
      <c r="M1120" s="4">
        <v>43520</v>
      </c>
      <c r="N1120" s="12">
        <f t="shared" si="52"/>
        <v>2</v>
      </c>
      <c r="O1120" s="13">
        <f t="shared" si="53"/>
        <v>2019</v>
      </c>
      <c r="P1120" t="s">
        <v>13</v>
      </c>
      <c r="Q1120" t="s">
        <v>377</v>
      </c>
      <c r="R1120" t="s">
        <v>57</v>
      </c>
      <c r="S1120" t="str" cm="1">
        <f t="array" ref="S1120">_xlfn.IFS(R1120="COMPLETE", "COMPLETED", R1120="CANCELED", "CANCELED", TRUE, "PENDING")</f>
        <v>PENDING</v>
      </c>
      <c r="T1120" t="s">
        <v>16</v>
      </c>
      <c r="U1120">
        <f>VLOOKUP(A1120,ordered_items!$B:$E,4,0)</f>
        <v>50</v>
      </c>
    </row>
    <row r="1121" spans="1:21" x14ac:dyDescent="0.3">
      <c r="A1121">
        <v>28779</v>
      </c>
      <c r="B1121" t="s">
        <v>51</v>
      </c>
      <c r="C1121">
        <v>2</v>
      </c>
      <c r="D1121">
        <v>1</v>
      </c>
      <c r="E1121" t="str">
        <f t="shared" si="51"/>
        <v>DELAYED</v>
      </c>
      <c r="F1121">
        <f>VLOOKUP($A1121,ordered_items!$B$2:$E$4784,2,0)</f>
        <v>403</v>
      </c>
      <c r="G1121">
        <f>VLOOKUP($A1121,ordered_items!$B$2:$E$4784,3,0)</f>
        <v>1</v>
      </c>
      <c r="H1121">
        <f>VLOOKUP($A1121,ordered_items!$B$2:$E$4784,4,0)</f>
        <v>129.99</v>
      </c>
      <c r="I1121" s="15">
        <f>VLOOKUP(F1121,product_info!$A$2:$D$73,4,0)</f>
        <v>4</v>
      </c>
      <c r="J1121" s="15" t="str">
        <f>VLOOKUP(I1121,department!$A$2:$B$13,2,0)</f>
        <v>Apparel</v>
      </c>
      <c r="K1121">
        <v>301</v>
      </c>
      <c r="L1121" t="s">
        <v>84</v>
      </c>
      <c r="M1121" s="4">
        <v>43520</v>
      </c>
      <c r="N1121" s="12">
        <f t="shared" si="52"/>
        <v>2</v>
      </c>
      <c r="O1121" s="13">
        <f t="shared" si="53"/>
        <v>2019</v>
      </c>
      <c r="P1121" t="s">
        <v>13</v>
      </c>
      <c r="Q1121" t="s">
        <v>80</v>
      </c>
      <c r="R1121" t="s">
        <v>57</v>
      </c>
      <c r="S1121" t="str" cm="1">
        <f t="array" ref="S1121">_xlfn.IFS(R1121="COMPLETE", "COMPLETED", R1121="CANCELED", "CANCELED", TRUE, "PENDING")</f>
        <v>PENDING</v>
      </c>
      <c r="T1121" t="s">
        <v>32</v>
      </c>
      <c r="U1121">
        <f>VLOOKUP(A1121,ordered_items!$B:$E,4,0)</f>
        <v>129.99</v>
      </c>
    </row>
    <row r="1122" spans="1:21" x14ac:dyDescent="0.3">
      <c r="A1122">
        <v>28780</v>
      </c>
      <c r="B1122" t="s">
        <v>51</v>
      </c>
      <c r="C1122">
        <v>2</v>
      </c>
      <c r="D1122">
        <v>1</v>
      </c>
      <c r="E1122" t="str">
        <f t="shared" si="51"/>
        <v>DELAYED</v>
      </c>
      <c r="F1122">
        <f>VLOOKUP($A1122,ordered_items!$B$2:$E$4784,2,0)</f>
        <v>403</v>
      </c>
      <c r="G1122">
        <f>VLOOKUP($A1122,ordered_items!$B$2:$E$4784,3,0)</f>
        <v>1</v>
      </c>
      <c r="H1122">
        <f>VLOOKUP($A1122,ordered_items!$B$2:$E$4784,4,0)</f>
        <v>129.99</v>
      </c>
      <c r="I1122" s="15">
        <f>VLOOKUP(F1122,product_info!$A$2:$D$73,4,0)</f>
        <v>4</v>
      </c>
      <c r="J1122" s="15" t="str">
        <f>VLOOKUP(I1122,department!$A$2:$B$13,2,0)</f>
        <v>Apparel</v>
      </c>
      <c r="K1122">
        <v>11606</v>
      </c>
      <c r="L1122" t="s">
        <v>84</v>
      </c>
      <c r="M1122" s="4">
        <v>43520</v>
      </c>
      <c r="N1122" s="12">
        <f t="shared" si="52"/>
        <v>2</v>
      </c>
      <c r="O1122" s="13">
        <f t="shared" si="53"/>
        <v>2019</v>
      </c>
      <c r="P1122" t="s">
        <v>13</v>
      </c>
      <c r="Q1122" t="s">
        <v>80</v>
      </c>
      <c r="R1122" t="s">
        <v>57</v>
      </c>
      <c r="S1122" t="str" cm="1">
        <f t="array" ref="S1122">_xlfn.IFS(R1122="COMPLETE", "COMPLETED", R1122="CANCELED", "CANCELED", TRUE, "PENDING")</f>
        <v>PENDING</v>
      </c>
      <c r="T1122" t="s">
        <v>32</v>
      </c>
      <c r="U1122">
        <f>VLOOKUP(A1122,ordered_items!$B:$E,4,0)</f>
        <v>129.99</v>
      </c>
    </row>
    <row r="1123" spans="1:21" x14ac:dyDescent="0.3">
      <c r="A1123">
        <v>28781</v>
      </c>
      <c r="B1123" t="s">
        <v>3</v>
      </c>
      <c r="C1123">
        <v>2</v>
      </c>
      <c r="D1123">
        <v>4</v>
      </c>
      <c r="E1123" t="str">
        <f t="shared" si="51"/>
        <v xml:space="preserve"> ONTIME</v>
      </c>
      <c r="F1123">
        <f>VLOOKUP($A1123,ordered_items!$B$2:$E$4784,2,0)</f>
        <v>1014</v>
      </c>
      <c r="G1123">
        <f>VLOOKUP($A1123,ordered_items!$B$2:$E$4784,3,0)</f>
        <v>4</v>
      </c>
      <c r="H1123">
        <f>VLOOKUP($A1123,ordered_items!$B$2:$E$4784,4,0)</f>
        <v>199.92</v>
      </c>
      <c r="I1123" s="15">
        <f>VLOOKUP(F1123,product_info!$A$2:$D$73,4,0)</f>
        <v>7</v>
      </c>
      <c r="J1123" s="15" t="str">
        <f>VLOOKUP(I1123,department!$A$2:$B$13,2,0)</f>
        <v>Fan Shop</v>
      </c>
      <c r="K1123">
        <v>9019</v>
      </c>
      <c r="L1123" t="s">
        <v>84</v>
      </c>
      <c r="M1123" s="4">
        <v>43520</v>
      </c>
      <c r="N1123" s="12">
        <f t="shared" si="52"/>
        <v>2</v>
      </c>
      <c r="O1123" s="13">
        <f t="shared" si="53"/>
        <v>2019</v>
      </c>
      <c r="P1123" t="s">
        <v>13</v>
      </c>
      <c r="Q1123" t="s">
        <v>80</v>
      </c>
      <c r="R1123" t="s">
        <v>38</v>
      </c>
      <c r="S1123" t="str" cm="1">
        <f t="array" ref="S1123">_xlfn.IFS(R1123="COMPLETE", "COMPLETED", R1123="CANCELED", "CANCELED", TRUE, "PENDING")</f>
        <v>PENDING</v>
      </c>
      <c r="T1123" t="s">
        <v>16</v>
      </c>
      <c r="U1123">
        <f>VLOOKUP(A1123,ordered_items!$B:$E,4,0)</f>
        <v>199.92</v>
      </c>
    </row>
    <row r="1124" spans="1:21" x14ac:dyDescent="0.3">
      <c r="A1124">
        <v>28782</v>
      </c>
      <c r="B1124" t="s">
        <v>3</v>
      </c>
      <c r="C1124">
        <v>3</v>
      </c>
      <c r="D1124">
        <v>4</v>
      </c>
      <c r="E1124" t="str">
        <f t="shared" si="51"/>
        <v xml:space="preserve"> ONTIME</v>
      </c>
      <c r="F1124">
        <f>VLOOKUP($A1124,ordered_items!$B$2:$E$4784,2,0)</f>
        <v>627</v>
      </c>
      <c r="G1124">
        <f>VLOOKUP($A1124,ordered_items!$B$2:$E$4784,3,0)</f>
        <v>5</v>
      </c>
      <c r="H1124">
        <f>VLOOKUP($A1124,ordered_items!$B$2:$E$4784,4,0)</f>
        <v>199.95</v>
      </c>
      <c r="I1124" s="15">
        <f>VLOOKUP(F1124,product_info!$A$2:$D$73,4,0)</f>
        <v>5</v>
      </c>
      <c r="J1124" s="15" t="str">
        <f>VLOOKUP(I1124,department!$A$2:$B$13,2,0)</f>
        <v>Golf</v>
      </c>
      <c r="K1124">
        <v>4196</v>
      </c>
      <c r="L1124" t="s">
        <v>660</v>
      </c>
      <c r="M1124" s="4">
        <v>43520</v>
      </c>
      <c r="N1124" s="12">
        <f t="shared" si="52"/>
        <v>2</v>
      </c>
      <c r="O1124" s="13">
        <f t="shared" si="53"/>
        <v>2019</v>
      </c>
      <c r="P1124" t="s">
        <v>13</v>
      </c>
      <c r="Q1124" t="s">
        <v>99</v>
      </c>
      <c r="R1124" t="s">
        <v>14</v>
      </c>
      <c r="S1124" t="str" cm="1">
        <f t="array" ref="S1124">_xlfn.IFS(R1124="COMPLETE", "COMPLETED", R1124="CANCELED", "CANCELED", TRUE, "PENDING")</f>
        <v>PENDING</v>
      </c>
      <c r="T1124" t="s">
        <v>16</v>
      </c>
      <c r="U1124">
        <f>VLOOKUP(A1124,ordered_items!$B:$E,4,0)</f>
        <v>199.95</v>
      </c>
    </row>
    <row r="1125" spans="1:21" x14ac:dyDescent="0.3">
      <c r="A1125">
        <v>28783</v>
      </c>
      <c r="B1125" t="s">
        <v>51</v>
      </c>
      <c r="C1125">
        <v>0</v>
      </c>
      <c r="D1125">
        <v>0</v>
      </c>
      <c r="E1125" t="str">
        <f t="shared" si="51"/>
        <v xml:space="preserve"> ONTIME</v>
      </c>
      <c r="F1125">
        <f>VLOOKUP($A1125,ordered_items!$B$2:$E$4784,2,0)</f>
        <v>627</v>
      </c>
      <c r="G1125">
        <f>VLOOKUP($A1125,ordered_items!$B$2:$E$4784,3,0)</f>
        <v>4</v>
      </c>
      <c r="H1125">
        <f>VLOOKUP($A1125,ordered_items!$B$2:$E$4784,4,0)</f>
        <v>159.96</v>
      </c>
      <c r="I1125" s="15">
        <f>VLOOKUP(F1125,product_info!$A$2:$D$73,4,0)</f>
        <v>5</v>
      </c>
      <c r="J1125" s="15" t="str">
        <f>VLOOKUP(I1125,department!$A$2:$B$13,2,0)</f>
        <v>Golf</v>
      </c>
      <c r="K1125">
        <v>2531</v>
      </c>
      <c r="L1125" t="s">
        <v>660</v>
      </c>
      <c r="M1125" s="4">
        <v>43520</v>
      </c>
      <c r="N1125" s="12">
        <f t="shared" si="52"/>
        <v>2</v>
      </c>
      <c r="O1125" s="13">
        <f t="shared" si="53"/>
        <v>2019</v>
      </c>
      <c r="P1125" t="s">
        <v>13</v>
      </c>
      <c r="Q1125" t="s">
        <v>99</v>
      </c>
      <c r="R1125" t="s">
        <v>57</v>
      </c>
      <c r="S1125" t="str" cm="1">
        <f t="array" ref="S1125">_xlfn.IFS(R1125="COMPLETE", "COMPLETED", R1125="CANCELED", "CANCELED", TRUE, "PENDING")</f>
        <v>PENDING</v>
      </c>
      <c r="T1125" t="s">
        <v>58</v>
      </c>
      <c r="U1125">
        <f>VLOOKUP(A1125,ordered_items!$B:$E,4,0)</f>
        <v>159.96</v>
      </c>
    </row>
    <row r="1126" spans="1:21" x14ac:dyDescent="0.3">
      <c r="A1126">
        <v>28785</v>
      </c>
      <c r="B1126" t="s">
        <v>17</v>
      </c>
      <c r="C1126">
        <v>6</v>
      </c>
      <c r="D1126">
        <v>2</v>
      </c>
      <c r="E1126" t="str">
        <f t="shared" si="51"/>
        <v>DELAYED</v>
      </c>
      <c r="F1126">
        <f>VLOOKUP($A1126,ordered_items!$B$2:$E$4784,2,0)</f>
        <v>1073</v>
      </c>
      <c r="G1126">
        <f>VLOOKUP($A1126,ordered_items!$B$2:$E$4784,3,0)</f>
        <v>1</v>
      </c>
      <c r="H1126">
        <f>VLOOKUP($A1126,ordered_items!$B$2:$E$4784,4,0)</f>
        <v>199.99</v>
      </c>
      <c r="I1126" s="15">
        <f>VLOOKUP(F1126,product_info!$A$2:$D$73,4,0)</f>
        <v>7</v>
      </c>
      <c r="J1126" s="15" t="str">
        <f>VLOOKUP(I1126,department!$A$2:$B$13,2,0)</f>
        <v>Fan Shop</v>
      </c>
      <c r="K1126">
        <v>9852</v>
      </c>
      <c r="L1126" t="s">
        <v>253</v>
      </c>
      <c r="M1126" s="4">
        <v>43520</v>
      </c>
      <c r="N1126" s="12">
        <f t="shared" si="52"/>
        <v>2</v>
      </c>
      <c r="O1126" s="13">
        <f t="shared" si="53"/>
        <v>2019</v>
      </c>
      <c r="P1126" t="s">
        <v>13</v>
      </c>
      <c r="Q1126" t="s">
        <v>30</v>
      </c>
      <c r="R1126" t="s">
        <v>23</v>
      </c>
      <c r="S1126" t="str" cm="1">
        <f t="array" ref="S1126">_xlfn.IFS(R1126="COMPLETE", "COMPLETED", R1126="CANCELED", "CANCELED", TRUE, "PENDING")</f>
        <v>PENDING</v>
      </c>
      <c r="T1126" t="s">
        <v>90</v>
      </c>
      <c r="U1126">
        <f>VLOOKUP(A1126,ordered_items!$B:$E,4,0)</f>
        <v>199.99</v>
      </c>
    </row>
    <row r="1127" spans="1:21" x14ac:dyDescent="0.3">
      <c r="A1127">
        <v>28786</v>
      </c>
      <c r="B1127" t="s">
        <v>51</v>
      </c>
      <c r="C1127">
        <v>2</v>
      </c>
      <c r="D1127">
        <v>2</v>
      </c>
      <c r="E1127" t="str">
        <f t="shared" si="51"/>
        <v xml:space="preserve"> ONTIME</v>
      </c>
      <c r="F1127">
        <f>VLOOKUP($A1127,ordered_items!$B$2:$E$4784,2,0)</f>
        <v>1073</v>
      </c>
      <c r="G1127">
        <f>VLOOKUP($A1127,ordered_items!$B$2:$E$4784,3,0)</f>
        <v>1</v>
      </c>
      <c r="H1127">
        <f>VLOOKUP($A1127,ordered_items!$B$2:$E$4784,4,0)</f>
        <v>199.99</v>
      </c>
      <c r="I1127" s="15">
        <f>VLOOKUP(F1127,product_info!$A$2:$D$73,4,0)</f>
        <v>7</v>
      </c>
      <c r="J1127" s="15" t="str">
        <f>VLOOKUP(I1127,department!$A$2:$B$13,2,0)</f>
        <v>Fan Shop</v>
      </c>
      <c r="K1127">
        <v>5906</v>
      </c>
      <c r="L1127" t="s">
        <v>253</v>
      </c>
      <c r="M1127" s="4">
        <v>43520</v>
      </c>
      <c r="N1127" s="12">
        <f t="shared" si="52"/>
        <v>2</v>
      </c>
      <c r="O1127" s="13">
        <f t="shared" si="53"/>
        <v>2019</v>
      </c>
      <c r="P1127" t="s">
        <v>13</v>
      </c>
      <c r="Q1127" t="s">
        <v>30</v>
      </c>
      <c r="R1127" t="s">
        <v>57</v>
      </c>
      <c r="S1127" t="str" cm="1">
        <f t="array" ref="S1127">_xlfn.IFS(R1127="COMPLETE", "COMPLETED", R1127="CANCELED", "CANCELED", TRUE, "PENDING")</f>
        <v>PENDING</v>
      </c>
      <c r="T1127" t="s">
        <v>90</v>
      </c>
      <c r="U1127">
        <f>VLOOKUP(A1127,ordered_items!$B:$E,4,0)</f>
        <v>199.99</v>
      </c>
    </row>
    <row r="1128" spans="1:21" x14ac:dyDescent="0.3">
      <c r="A1128">
        <v>28787</v>
      </c>
      <c r="B1128" t="s">
        <v>24</v>
      </c>
      <c r="C1128">
        <v>3</v>
      </c>
      <c r="D1128">
        <v>2</v>
      </c>
      <c r="E1128" t="str">
        <f t="shared" si="51"/>
        <v>DELAYED</v>
      </c>
      <c r="F1128">
        <f>VLOOKUP($A1128,ordered_items!$B$2:$E$4784,2,0)</f>
        <v>365</v>
      </c>
      <c r="G1128">
        <f>VLOOKUP($A1128,ordered_items!$B$2:$E$4784,3,0)</f>
        <v>1</v>
      </c>
      <c r="H1128">
        <f>VLOOKUP($A1128,ordered_items!$B$2:$E$4784,4,0)</f>
        <v>59.99</v>
      </c>
      <c r="I1128" s="15">
        <f>VLOOKUP(F1128,product_info!$A$2:$D$73,4,0)</f>
        <v>4</v>
      </c>
      <c r="J1128" s="15" t="str">
        <f>VLOOKUP(I1128,department!$A$2:$B$13,2,0)</f>
        <v>Apparel</v>
      </c>
      <c r="K1128">
        <v>287</v>
      </c>
      <c r="L1128" t="s">
        <v>253</v>
      </c>
      <c r="M1128" s="4">
        <v>43520</v>
      </c>
      <c r="N1128" s="12">
        <f t="shared" si="52"/>
        <v>2</v>
      </c>
      <c r="O1128" s="13">
        <f t="shared" si="53"/>
        <v>2019</v>
      </c>
      <c r="P1128" t="s">
        <v>13</v>
      </c>
      <c r="Q1128" t="s">
        <v>30</v>
      </c>
      <c r="R1128" t="s">
        <v>31</v>
      </c>
      <c r="S1128" t="str" cm="1">
        <f t="array" ref="S1128">_xlfn.IFS(R1128="COMPLETE", "COMPLETED", R1128="CANCELED", "CANCELED", TRUE, "PENDING")</f>
        <v>COMPLETED</v>
      </c>
      <c r="T1128" t="s">
        <v>90</v>
      </c>
      <c r="U1128">
        <f>VLOOKUP(A1128,ordered_items!$B:$E,4,0)</f>
        <v>59.99</v>
      </c>
    </row>
    <row r="1129" spans="1:21" x14ac:dyDescent="0.3">
      <c r="A1129">
        <v>28802</v>
      </c>
      <c r="B1129" t="s">
        <v>17</v>
      </c>
      <c r="C1129">
        <v>3</v>
      </c>
      <c r="D1129">
        <v>4</v>
      </c>
      <c r="E1129" t="str">
        <f t="shared" si="51"/>
        <v xml:space="preserve"> ONTIME</v>
      </c>
      <c r="F1129">
        <f>VLOOKUP($A1129,ordered_items!$B$2:$E$4784,2,0)</f>
        <v>627</v>
      </c>
      <c r="G1129">
        <f>VLOOKUP($A1129,ordered_items!$B$2:$E$4784,3,0)</f>
        <v>3</v>
      </c>
      <c r="H1129">
        <f>VLOOKUP($A1129,ordered_items!$B$2:$E$4784,4,0)</f>
        <v>119.97</v>
      </c>
      <c r="I1129" s="15">
        <f>VLOOKUP(F1129,product_info!$A$2:$D$73,4,0)</f>
        <v>5</v>
      </c>
      <c r="J1129" s="15" t="str">
        <f>VLOOKUP(I1129,department!$A$2:$B$13,2,0)</f>
        <v>Golf</v>
      </c>
      <c r="K1129">
        <v>5332</v>
      </c>
      <c r="L1129" t="s">
        <v>70</v>
      </c>
      <c r="M1129" s="4">
        <v>43520</v>
      </c>
      <c r="N1129" s="12">
        <f t="shared" si="52"/>
        <v>2</v>
      </c>
      <c r="O1129" s="13">
        <f t="shared" si="53"/>
        <v>2019</v>
      </c>
      <c r="P1129" t="s">
        <v>13</v>
      </c>
      <c r="Q1129" t="s">
        <v>70</v>
      </c>
      <c r="R1129" t="s">
        <v>23</v>
      </c>
      <c r="S1129" t="str" cm="1">
        <f t="array" ref="S1129">_xlfn.IFS(R1129="COMPLETE", "COMPLETED", R1129="CANCELED", "CANCELED", TRUE, "PENDING")</f>
        <v>PENDING</v>
      </c>
      <c r="T1129" t="s">
        <v>16</v>
      </c>
      <c r="U1129">
        <f>VLOOKUP(A1129,ordered_items!$B:$E,4,0)</f>
        <v>119.97</v>
      </c>
    </row>
    <row r="1130" spans="1:21" x14ac:dyDescent="0.3">
      <c r="A1130">
        <v>28814</v>
      </c>
      <c r="B1130" t="s">
        <v>24</v>
      </c>
      <c r="C1130">
        <v>5</v>
      </c>
      <c r="D1130">
        <v>4</v>
      </c>
      <c r="E1130" t="str">
        <f t="shared" si="51"/>
        <v>DELAYED</v>
      </c>
      <c r="F1130">
        <f>VLOOKUP($A1130,ordered_items!$B$2:$E$4784,2,0)</f>
        <v>403</v>
      </c>
      <c r="G1130">
        <f>VLOOKUP($A1130,ordered_items!$B$2:$E$4784,3,0)</f>
        <v>1</v>
      </c>
      <c r="H1130">
        <f>VLOOKUP($A1130,ordered_items!$B$2:$E$4784,4,0)</f>
        <v>129.99</v>
      </c>
      <c r="I1130" s="15">
        <f>VLOOKUP(F1130,product_info!$A$2:$D$73,4,0)</f>
        <v>4</v>
      </c>
      <c r="J1130" s="15" t="str">
        <f>VLOOKUP(I1130,department!$A$2:$B$13,2,0)</f>
        <v>Apparel</v>
      </c>
      <c r="K1130">
        <v>8814</v>
      </c>
      <c r="L1130" t="s">
        <v>275</v>
      </c>
      <c r="M1130" s="4">
        <v>43520</v>
      </c>
      <c r="N1130" s="12">
        <f t="shared" si="52"/>
        <v>2</v>
      </c>
      <c r="O1130" s="13">
        <f t="shared" si="53"/>
        <v>2019</v>
      </c>
      <c r="P1130" t="s">
        <v>13</v>
      </c>
      <c r="Q1130" t="s">
        <v>80</v>
      </c>
      <c r="R1130" t="s">
        <v>31</v>
      </c>
      <c r="S1130" t="str" cm="1">
        <f t="array" ref="S1130">_xlfn.IFS(R1130="COMPLETE", "COMPLETED", R1130="CANCELED", "CANCELED", TRUE, "PENDING")</f>
        <v>COMPLETED</v>
      </c>
      <c r="T1130" t="s">
        <v>16</v>
      </c>
      <c r="U1130">
        <f>VLOOKUP(A1130,ordered_items!$B:$E,4,0)</f>
        <v>129.99</v>
      </c>
    </row>
    <row r="1131" spans="1:21" x14ac:dyDescent="0.3">
      <c r="A1131">
        <v>28816</v>
      </c>
      <c r="B1131" t="s">
        <v>24</v>
      </c>
      <c r="C1131">
        <v>2</v>
      </c>
      <c r="D1131">
        <v>4</v>
      </c>
      <c r="E1131" t="str">
        <f t="shared" si="51"/>
        <v xml:space="preserve"> ONTIME</v>
      </c>
      <c r="F1131">
        <f>VLOOKUP($A1131,ordered_items!$B$2:$E$4784,2,0)</f>
        <v>403</v>
      </c>
      <c r="G1131">
        <f>VLOOKUP($A1131,ordered_items!$B$2:$E$4784,3,0)</f>
        <v>1</v>
      </c>
      <c r="H1131">
        <f>VLOOKUP($A1131,ordered_items!$B$2:$E$4784,4,0)</f>
        <v>129.99</v>
      </c>
      <c r="I1131" s="15">
        <f>VLOOKUP(F1131,product_info!$A$2:$D$73,4,0)</f>
        <v>4</v>
      </c>
      <c r="J1131" s="15" t="str">
        <f>VLOOKUP(I1131,department!$A$2:$B$13,2,0)</f>
        <v>Apparel</v>
      </c>
      <c r="K1131">
        <v>1591</v>
      </c>
      <c r="L1131" t="s">
        <v>502</v>
      </c>
      <c r="M1131" s="4">
        <v>43520</v>
      </c>
      <c r="N1131" s="12">
        <f t="shared" si="52"/>
        <v>2</v>
      </c>
      <c r="O1131" s="13">
        <f t="shared" si="53"/>
        <v>2019</v>
      </c>
      <c r="P1131" t="s">
        <v>13</v>
      </c>
      <c r="Q1131" t="s">
        <v>377</v>
      </c>
      <c r="R1131" t="s">
        <v>31</v>
      </c>
      <c r="S1131" t="str" cm="1">
        <f t="array" ref="S1131">_xlfn.IFS(R1131="COMPLETE", "COMPLETED", R1131="CANCELED", "CANCELED", TRUE, "PENDING")</f>
        <v>COMPLETED</v>
      </c>
      <c r="T1131" t="s">
        <v>16</v>
      </c>
      <c r="U1131">
        <f>VLOOKUP(A1131,ordered_items!$B:$E,4,0)</f>
        <v>129.99</v>
      </c>
    </row>
    <row r="1132" spans="1:21" x14ac:dyDescent="0.3">
      <c r="A1132">
        <v>28849</v>
      </c>
      <c r="B1132" t="s">
        <v>51</v>
      </c>
      <c r="C1132">
        <v>5</v>
      </c>
      <c r="D1132">
        <v>2</v>
      </c>
      <c r="E1132" t="str">
        <f t="shared" si="51"/>
        <v>DELAYED</v>
      </c>
      <c r="F1132">
        <f>VLOOKUP($A1132,ordered_items!$B$2:$E$4784,2,0)</f>
        <v>1073</v>
      </c>
      <c r="G1132">
        <f>VLOOKUP($A1132,ordered_items!$B$2:$E$4784,3,0)</f>
        <v>1</v>
      </c>
      <c r="H1132">
        <f>VLOOKUP($A1132,ordered_items!$B$2:$E$4784,4,0)</f>
        <v>199.99</v>
      </c>
      <c r="I1132" s="15">
        <f>VLOOKUP(F1132,product_info!$A$2:$D$73,4,0)</f>
        <v>7</v>
      </c>
      <c r="J1132" s="15" t="str">
        <f>VLOOKUP(I1132,department!$A$2:$B$13,2,0)</f>
        <v>Fan Shop</v>
      </c>
      <c r="K1132">
        <v>9056</v>
      </c>
      <c r="L1132" t="s">
        <v>453</v>
      </c>
      <c r="M1132" s="4">
        <v>43521</v>
      </c>
      <c r="N1132" s="12">
        <f t="shared" si="52"/>
        <v>2</v>
      </c>
      <c r="O1132" s="13">
        <f t="shared" si="53"/>
        <v>2019</v>
      </c>
      <c r="P1132" t="s">
        <v>13</v>
      </c>
      <c r="Q1132" t="s">
        <v>30</v>
      </c>
      <c r="R1132" t="s">
        <v>57</v>
      </c>
      <c r="S1132" t="str" cm="1">
        <f t="array" ref="S1132">_xlfn.IFS(R1132="COMPLETE", "COMPLETED", R1132="CANCELED", "CANCELED", TRUE, "PENDING")</f>
        <v>PENDING</v>
      </c>
      <c r="T1132" t="s">
        <v>90</v>
      </c>
      <c r="U1132">
        <f>VLOOKUP(A1132,ordered_items!$B:$E,4,0)</f>
        <v>199.99</v>
      </c>
    </row>
    <row r="1133" spans="1:21" x14ac:dyDescent="0.3">
      <c r="A1133">
        <v>28850</v>
      </c>
      <c r="B1133" t="s">
        <v>3</v>
      </c>
      <c r="C1133">
        <v>6</v>
      </c>
      <c r="D1133">
        <v>2</v>
      </c>
      <c r="E1133" t="str">
        <f t="shared" si="51"/>
        <v>DELAYED</v>
      </c>
      <c r="F1133">
        <f>VLOOKUP($A1133,ordered_items!$B$2:$E$4784,2,0)</f>
        <v>957</v>
      </c>
      <c r="G1133">
        <f>VLOOKUP($A1133,ordered_items!$B$2:$E$4784,3,0)</f>
        <v>1</v>
      </c>
      <c r="H1133">
        <f>VLOOKUP($A1133,ordered_items!$B$2:$E$4784,4,0)</f>
        <v>299.98</v>
      </c>
      <c r="I1133" s="15">
        <f>VLOOKUP(F1133,product_info!$A$2:$D$73,4,0)</f>
        <v>7</v>
      </c>
      <c r="J1133" s="15" t="str">
        <f>VLOOKUP(I1133,department!$A$2:$B$13,2,0)</f>
        <v>Fan Shop</v>
      </c>
      <c r="K1133">
        <v>8867</v>
      </c>
      <c r="L1133" t="s">
        <v>453</v>
      </c>
      <c r="M1133" s="4">
        <v>43521</v>
      </c>
      <c r="N1133" s="12">
        <f t="shared" si="52"/>
        <v>2</v>
      </c>
      <c r="O1133" s="13">
        <f t="shared" si="53"/>
        <v>2019</v>
      </c>
      <c r="P1133" t="s">
        <v>13</v>
      </c>
      <c r="Q1133" t="s">
        <v>30</v>
      </c>
      <c r="R1133" t="s">
        <v>14</v>
      </c>
      <c r="S1133" t="str" cm="1">
        <f t="array" ref="S1133">_xlfn.IFS(R1133="COMPLETE", "COMPLETED", R1133="CANCELED", "CANCELED", TRUE, "PENDING")</f>
        <v>PENDING</v>
      </c>
      <c r="T1133" t="s">
        <v>90</v>
      </c>
      <c r="U1133">
        <f>VLOOKUP(A1133,ordered_items!$B:$E,4,0)</f>
        <v>299.98</v>
      </c>
    </row>
    <row r="1134" spans="1:21" x14ac:dyDescent="0.3">
      <c r="A1134">
        <v>28851</v>
      </c>
      <c r="B1134" t="s">
        <v>17</v>
      </c>
      <c r="C1134">
        <v>2</v>
      </c>
      <c r="D1134">
        <v>2</v>
      </c>
      <c r="E1134" t="str">
        <f t="shared" si="51"/>
        <v xml:space="preserve"> ONTIME</v>
      </c>
      <c r="F1134">
        <f>VLOOKUP($A1134,ordered_items!$B$2:$E$4784,2,0)</f>
        <v>502</v>
      </c>
      <c r="G1134">
        <f>VLOOKUP($A1134,ordered_items!$B$2:$E$4784,3,0)</f>
        <v>3</v>
      </c>
      <c r="H1134">
        <f>VLOOKUP($A1134,ordered_items!$B$2:$E$4784,4,0)</f>
        <v>150</v>
      </c>
      <c r="I1134" s="15">
        <f>VLOOKUP(F1134,product_info!$A$2:$D$73,4,0)</f>
        <v>5</v>
      </c>
      <c r="J1134" s="15" t="str">
        <f>VLOOKUP(I1134,department!$A$2:$B$13,2,0)</f>
        <v>Golf</v>
      </c>
      <c r="K1134">
        <v>149</v>
      </c>
      <c r="L1134" t="s">
        <v>453</v>
      </c>
      <c r="M1134" s="4">
        <v>43521</v>
      </c>
      <c r="N1134" s="12">
        <f t="shared" si="52"/>
        <v>2</v>
      </c>
      <c r="O1134" s="13">
        <f t="shared" si="53"/>
        <v>2019</v>
      </c>
      <c r="P1134" t="s">
        <v>13</v>
      </c>
      <c r="Q1134" t="s">
        <v>30</v>
      </c>
      <c r="R1134" t="s">
        <v>23</v>
      </c>
      <c r="S1134" t="str" cm="1">
        <f t="array" ref="S1134">_xlfn.IFS(R1134="COMPLETE", "COMPLETED", R1134="CANCELED", "CANCELED", TRUE, "PENDING")</f>
        <v>PENDING</v>
      </c>
      <c r="T1134" t="s">
        <v>90</v>
      </c>
      <c r="U1134">
        <f>VLOOKUP(A1134,ordered_items!$B:$E,4,0)</f>
        <v>150</v>
      </c>
    </row>
    <row r="1135" spans="1:21" x14ac:dyDescent="0.3">
      <c r="A1135">
        <v>28852</v>
      </c>
      <c r="B1135" t="s">
        <v>51</v>
      </c>
      <c r="C1135">
        <v>2</v>
      </c>
      <c r="D1135">
        <v>1</v>
      </c>
      <c r="E1135" t="str">
        <f t="shared" si="51"/>
        <v>DELAYED</v>
      </c>
      <c r="F1135">
        <f>VLOOKUP($A1135,ordered_items!$B$2:$E$4784,2,0)</f>
        <v>191</v>
      </c>
      <c r="G1135">
        <f>VLOOKUP($A1135,ordered_items!$B$2:$E$4784,3,0)</f>
        <v>5</v>
      </c>
      <c r="H1135">
        <f>VLOOKUP($A1135,ordered_items!$B$2:$E$4784,4,0)</f>
        <v>499.95</v>
      </c>
      <c r="I1135" s="15">
        <f>VLOOKUP(F1135,product_info!$A$2:$D$73,4,0)</f>
        <v>3</v>
      </c>
      <c r="J1135" s="15" t="str">
        <f>VLOOKUP(I1135,department!$A$2:$B$13,2,0)</f>
        <v>Footwear</v>
      </c>
      <c r="K1135">
        <v>261</v>
      </c>
      <c r="L1135" t="s">
        <v>453</v>
      </c>
      <c r="M1135" s="4">
        <v>43521</v>
      </c>
      <c r="N1135" s="12">
        <f t="shared" si="52"/>
        <v>2</v>
      </c>
      <c r="O1135" s="13">
        <f t="shared" si="53"/>
        <v>2019</v>
      </c>
      <c r="P1135" t="s">
        <v>13</v>
      </c>
      <c r="Q1135" t="s">
        <v>30</v>
      </c>
      <c r="R1135" t="s">
        <v>57</v>
      </c>
      <c r="S1135" t="str" cm="1">
        <f t="array" ref="S1135">_xlfn.IFS(R1135="COMPLETE", "COMPLETED", R1135="CANCELED", "CANCELED", TRUE, "PENDING")</f>
        <v>PENDING</v>
      </c>
      <c r="T1135" t="s">
        <v>32</v>
      </c>
      <c r="U1135">
        <f>VLOOKUP(A1135,ordered_items!$B:$E,4,0)</f>
        <v>499.95</v>
      </c>
    </row>
    <row r="1136" spans="1:21" x14ac:dyDescent="0.3">
      <c r="A1136">
        <v>28853</v>
      </c>
      <c r="B1136" t="s">
        <v>3</v>
      </c>
      <c r="C1136">
        <v>4</v>
      </c>
      <c r="D1136">
        <v>4</v>
      </c>
      <c r="E1136" t="str">
        <f t="shared" si="51"/>
        <v xml:space="preserve"> ONTIME</v>
      </c>
      <c r="F1136">
        <f>VLOOKUP($A1136,ordered_items!$B$2:$E$4784,2,0)</f>
        <v>1073</v>
      </c>
      <c r="G1136">
        <f>VLOOKUP($A1136,ordered_items!$B$2:$E$4784,3,0)</f>
        <v>1</v>
      </c>
      <c r="H1136">
        <f>VLOOKUP($A1136,ordered_items!$B$2:$E$4784,4,0)</f>
        <v>199.99</v>
      </c>
      <c r="I1136" s="15">
        <f>VLOOKUP(F1136,product_info!$A$2:$D$73,4,0)</f>
        <v>7</v>
      </c>
      <c r="J1136" s="15" t="str">
        <f>VLOOKUP(I1136,department!$A$2:$B$13,2,0)</f>
        <v>Fan Shop</v>
      </c>
      <c r="K1136">
        <v>1381</v>
      </c>
      <c r="L1136" t="s">
        <v>453</v>
      </c>
      <c r="M1136" s="4">
        <v>43521</v>
      </c>
      <c r="N1136" s="12">
        <f t="shared" si="52"/>
        <v>2</v>
      </c>
      <c r="O1136" s="13">
        <f t="shared" si="53"/>
        <v>2019</v>
      </c>
      <c r="P1136" t="s">
        <v>13</v>
      </c>
      <c r="Q1136" t="s">
        <v>30</v>
      </c>
      <c r="R1136" t="s">
        <v>14</v>
      </c>
      <c r="S1136" t="str" cm="1">
        <f t="array" ref="S1136">_xlfn.IFS(R1136="COMPLETE", "COMPLETED", R1136="CANCELED", "CANCELED", TRUE, "PENDING")</f>
        <v>PENDING</v>
      </c>
      <c r="T1136" t="s">
        <v>16</v>
      </c>
      <c r="U1136">
        <f>VLOOKUP(A1136,ordered_items!$B:$E,4,0)</f>
        <v>199.99</v>
      </c>
    </row>
    <row r="1137" spans="1:21" x14ac:dyDescent="0.3">
      <c r="A1137">
        <v>28857</v>
      </c>
      <c r="B1137" t="s">
        <v>3</v>
      </c>
      <c r="C1137">
        <v>3</v>
      </c>
      <c r="D1137">
        <v>4</v>
      </c>
      <c r="E1137" t="str">
        <f t="shared" si="51"/>
        <v xml:space="preserve"> ONTIME</v>
      </c>
      <c r="F1137">
        <f>VLOOKUP($A1137,ordered_items!$B$2:$E$4784,2,0)</f>
        <v>502</v>
      </c>
      <c r="G1137">
        <f>VLOOKUP($A1137,ordered_items!$B$2:$E$4784,3,0)</f>
        <v>4</v>
      </c>
      <c r="H1137">
        <f>VLOOKUP($A1137,ordered_items!$B$2:$E$4784,4,0)</f>
        <v>200</v>
      </c>
      <c r="I1137" s="15">
        <f>VLOOKUP(F1137,product_info!$A$2:$D$73,4,0)</f>
        <v>5</v>
      </c>
      <c r="J1137" s="15" t="str">
        <f>VLOOKUP(I1137,department!$A$2:$B$13,2,0)</f>
        <v>Golf</v>
      </c>
      <c r="K1137">
        <v>77</v>
      </c>
      <c r="L1137" t="s">
        <v>980</v>
      </c>
      <c r="M1137" s="4">
        <v>43521</v>
      </c>
      <c r="N1137" s="12">
        <f t="shared" si="52"/>
        <v>2</v>
      </c>
      <c r="O1137" s="13">
        <f t="shared" si="53"/>
        <v>2019</v>
      </c>
      <c r="P1137" t="s">
        <v>13</v>
      </c>
      <c r="Q1137" t="s">
        <v>30</v>
      </c>
      <c r="R1137" t="s">
        <v>14</v>
      </c>
      <c r="S1137" t="str" cm="1">
        <f t="array" ref="S1137">_xlfn.IFS(R1137="COMPLETE", "COMPLETED", R1137="CANCELED", "CANCELED", TRUE, "PENDING")</f>
        <v>PENDING</v>
      </c>
      <c r="T1137" t="s">
        <v>16</v>
      </c>
      <c r="U1137">
        <f>VLOOKUP(A1137,ordered_items!$B:$E,4,0)</f>
        <v>200</v>
      </c>
    </row>
    <row r="1138" spans="1:21" x14ac:dyDescent="0.3">
      <c r="A1138">
        <v>28862</v>
      </c>
      <c r="B1138" t="s">
        <v>24</v>
      </c>
      <c r="C1138">
        <v>3</v>
      </c>
      <c r="D1138">
        <v>4</v>
      </c>
      <c r="E1138" t="str">
        <f t="shared" si="51"/>
        <v xml:space="preserve"> ONTIME</v>
      </c>
      <c r="F1138">
        <f>VLOOKUP($A1138,ordered_items!$B$2:$E$4784,2,0)</f>
        <v>1014</v>
      </c>
      <c r="G1138">
        <f>VLOOKUP($A1138,ordered_items!$B$2:$E$4784,3,0)</f>
        <v>3</v>
      </c>
      <c r="H1138">
        <f>VLOOKUP($A1138,ordered_items!$B$2:$E$4784,4,0)</f>
        <v>149.94</v>
      </c>
      <c r="I1138" s="15">
        <f>VLOOKUP(F1138,product_info!$A$2:$D$73,4,0)</f>
        <v>7</v>
      </c>
      <c r="J1138" s="15" t="str">
        <f>VLOOKUP(I1138,department!$A$2:$B$13,2,0)</f>
        <v>Fan Shop</v>
      </c>
      <c r="K1138">
        <v>1780</v>
      </c>
      <c r="L1138" t="s">
        <v>764</v>
      </c>
      <c r="M1138" s="4">
        <v>43521</v>
      </c>
      <c r="N1138" s="12">
        <f t="shared" si="52"/>
        <v>2</v>
      </c>
      <c r="O1138" s="13">
        <f t="shared" si="53"/>
        <v>2019</v>
      </c>
      <c r="P1138" t="s">
        <v>13</v>
      </c>
      <c r="Q1138" t="s">
        <v>30</v>
      </c>
      <c r="R1138" t="s">
        <v>31</v>
      </c>
      <c r="S1138" t="str" cm="1">
        <f t="array" ref="S1138">_xlfn.IFS(R1138="COMPLETE", "COMPLETED", R1138="CANCELED", "CANCELED", TRUE, "PENDING")</f>
        <v>COMPLETED</v>
      </c>
      <c r="T1138" t="s">
        <v>16</v>
      </c>
      <c r="U1138">
        <f>VLOOKUP(A1138,ordered_items!$B:$E,4,0)</f>
        <v>149.94</v>
      </c>
    </row>
    <row r="1139" spans="1:21" x14ac:dyDescent="0.3">
      <c r="A1139">
        <v>28867</v>
      </c>
      <c r="B1139" t="s">
        <v>24</v>
      </c>
      <c r="C1139">
        <v>3</v>
      </c>
      <c r="D1139">
        <v>4</v>
      </c>
      <c r="E1139" t="str">
        <f t="shared" si="51"/>
        <v xml:space="preserve"> ONTIME</v>
      </c>
      <c r="F1139">
        <f>VLOOKUP($A1139,ordered_items!$B$2:$E$4784,2,0)</f>
        <v>1014</v>
      </c>
      <c r="G1139">
        <f>VLOOKUP($A1139,ordered_items!$B$2:$E$4784,3,0)</f>
        <v>3</v>
      </c>
      <c r="H1139">
        <f>VLOOKUP($A1139,ordered_items!$B$2:$E$4784,4,0)</f>
        <v>149.94</v>
      </c>
      <c r="I1139" s="15">
        <f>VLOOKUP(F1139,product_info!$A$2:$D$73,4,0)</f>
        <v>7</v>
      </c>
      <c r="J1139" s="15" t="str">
        <f>VLOOKUP(I1139,department!$A$2:$B$13,2,0)</f>
        <v>Fan Shop</v>
      </c>
      <c r="K1139">
        <v>6016</v>
      </c>
      <c r="L1139" t="s">
        <v>525</v>
      </c>
      <c r="M1139" s="4">
        <v>43521</v>
      </c>
      <c r="N1139" s="12">
        <f t="shared" si="52"/>
        <v>2</v>
      </c>
      <c r="O1139" s="13">
        <f t="shared" si="53"/>
        <v>2019</v>
      </c>
      <c r="P1139" t="s">
        <v>13</v>
      </c>
      <c r="Q1139" t="s">
        <v>5778</v>
      </c>
      <c r="R1139" t="s">
        <v>31</v>
      </c>
      <c r="S1139" t="str" cm="1">
        <f t="array" ref="S1139">_xlfn.IFS(R1139="COMPLETE", "COMPLETED", R1139="CANCELED", "CANCELED", TRUE, "PENDING")</f>
        <v>COMPLETED</v>
      </c>
      <c r="T1139" t="s">
        <v>16</v>
      </c>
      <c r="U1139">
        <f>VLOOKUP(A1139,ordered_items!$B:$E,4,0)</f>
        <v>149.94</v>
      </c>
    </row>
    <row r="1140" spans="1:21" x14ac:dyDescent="0.3">
      <c r="A1140">
        <v>28923</v>
      </c>
      <c r="B1140" t="s">
        <v>24</v>
      </c>
      <c r="C1140">
        <v>4</v>
      </c>
      <c r="D1140">
        <v>4</v>
      </c>
      <c r="E1140" t="str">
        <f t="shared" si="51"/>
        <v xml:space="preserve"> ONTIME</v>
      </c>
      <c r="F1140">
        <f>VLOOKUP($A1140,ordered_items!$B$2:$E$4784,2,0)</f>
        <v>403</v>
      </c>
      <c r="G1140">
        <f>VLOOKUP($A1140,ordered_items!$B$2:$E$4784,3,0)</f>
        <v>1</v>
      </c>
      <c r="H1140">
        <f>VLOOKUP($A1140,ordered_items!$B$2:$E$4784,4,0)</f>
        <v>129.99</v>
      </c>
      <c r="I1140" s="15">
        <f>VLOOKUP(F1140,product_info!$A$2:$D$73,4,0)</f>
        <v>4</v>
      </c>
      <c r="J1140" s="15" t="str">
        <f>VLOOKUP(I1140,department!$A$2:$B$13,2,0)</f>
        <v>Apparel</v>
      </c>
      <c r="K1140">
        <v>8024</v>
      </c>
      <c r="L1140" t="s">
        <v>258</v>
      </c>
      <c r="M1140" s="4">
        <v>43522</v>
      </c>
      <c r="N1140" s="12">
        <f t="shared" si="52"/>
        <v>2</v>
      </c>
      <c r="O1140" s="13">
        <f t="shared" si="53"/>
        <v>2019</v>
      </c>
      <c r="P1140" t="s">
        <v>13</v>
      </c>
      <c r="Q1140" t="s">
        <v>30</v>
      </c>
      <c r="R1140" t="s">
        <v>378</v>
      </c>
      <c r="S1140" t="str" cm="1">
        <f t="array" ref="S1140">_xlfn.IFS(R1140="COMPLETE", "COMPLETED", R1140="CANCELED", "CANCELED", TRUE, "PENDING")</f>
        <v>PENDING</v>
      </c>
      <c r="T1140" t="s">
        <v>16</v>
      </c>
      <c r="U1140">
        <f>VLOOKUP(A1140,ordered_items!$B:$E,4,0)</f>
        <v>129.99</v>
      </c>
    </row>
    <row r="1141" spans="1:21" x14ac:dyDescent="0.3">
      <c r="A1141">
        <v>28926</v>
      </c>
      <c r="B1141" t="s">
        <v>24</v>
      </c>
      <c r="C1141">
        <v>2</v>
      </c>
      <c r="D1141">
        <v>4</v>
      </c>
      <c r="E1141" t="str">
        <f t="shared" si="51"/>
        <v xml:space="preserve"> ONTIME</v>
      </c>
      <c r="F1141">
        <f>VLOOKUP($A1141,ordered_items!$B$2:$E$4784,2,0)</f>
        <v>565</v>
      </c>
      <c r="G1141">
        <f>VLOOKUP($A1141,ordered_items!$B$2:$E$4784,3,0)</f>
        <v>4</v>
      </c>
      <c r="H1141">
        <f>VLOOKUP($A1141,ordered_items!$B$2:$E$4784,4,0)</f>
        <v>280</v>
      </c>
      <c r="I1141" s="15">
        <f>VLOOKUP(F1141,product_info!$A$2:$D$73,4,0)</f>
        <v>5</v>
      </c>
      <c r="J1141" s="15" t="str">
        <f>VLOOKUP(I1141,department!$A$2:$B$13,2,0)</f>
        <v>Golf</v>
      </c>
      <c r="K1141">
        <v>2873</v>
      </c>
      <c r="L1141" t="s">
        <v>70</v>
      </c>
      <c r="M1141" s="4">
        <v>43522</v>
      </c>
      <c r="N1141" s="12">
        <f t="shared" si="52"/>
        <v>2</v>
      </c>
      <c r="O1141" s="13">
        <f t="shared" si="53"/>
        <v>2019</v>
      </c>
      <c r="P1141" t="s">
        <v>13</v>
      </c>
      <c r="Q1141" t="s">
        <v>70</v>
      </c>
      <c r="R1141" t="s">
        <v>378</v>
      </c>
      <c r="S1141" t="str" cm="1">
        <f t="array" ref="S1141">_xlfn.IFS(R1141="COMPLETE", "COMPLETED", R1141="CANCELED", "CANCELED", TRUE, "PENDING")</f>
        <v>PENDING</v>
      </c>
      <c r="T1141" t="s">
        <v>16</v>
      </c>
      <c r="U1141">
        <f>VLOOKUP(A1141,ordered_items!$B:$E,4,0)</f>
        <v>280</v>
      </c>
    </row>
    <row r="1142" spans="1:21" x14ac:dyDescent="0.3">
      <c r="A1142">
        <v>28929</v>
      </c>
      <c r="B1142" t="s">
        <v>3</v>
      </c>
      <c r="C1142">
        <v>2</v>
      </c>
      <c r="D1142">
        <v>1</v>
      </c>
      <c r="E1142" t="str">
        <f t="shared" si="51"/>
        <v>DELAYED</v>
      </c>
      <c r="F1142">
        <f>VLOOKUP($A1142,ordered_items!$B$2:$E$4784,2,0)</f>
        <v>1014</v>
      </c>
      <c r="G1142">
        <f>VLOOKUP($A1142,ordered_items!$B$2:$E$4784,3,0)</f>
        <v>3</v>
      </c>
      <c r="H1142">
        <f>VLOOKUP($A1142,ordered_items!$B$2:$E$4784,4,0)</f>
        <v>149.94</v>
      </c>
      <c r="I1142" s="15">
        <f>VLOOKUP(F1142,product_info!$A$2:$D$73,4,0)</f>
        <v>7</v>
      </c>
      <c r="J1142" s="15" t="str">
        <f>VLOOKUP(I1142,department!$A$2:$B$13,2,0)</f>
        <v>Fan Shop</v>
      </c>
      <c r="K1142">
        <v>6970</v>
      </c>
      <c r="L1142" t="s">
        <v>990</v>
      </c>
      <c r="M1142" s="4">
        <v>43522</v>
      </c>
      <c r="N1142" s="12">
        <f t="shared" si="52"/>
        <v>2</v>
      </c>
      <c r="O1142" s="13">
        <f t="shared" si="53"/>
        <v>2019</v>
      </c>
      <c r="P1142" t="s">
        <v>13</v>
      </c>
      <c r="Q1142" t="s">
        <v>377</v>
      </c>
      <c r="R1142" t="s">
        <v>235</v>
      </c>
      <c r="S1142" t="str" cm="1">
        <f t="array" ref="S1142">_xlfn.IFS(R1142="COMPLETE", "COMPLETED", R1142="CANCELED", "CANCELED", TRUE, "PENDING")</f>
        <v>CANCELED</v>
      </c>
      <c r="T1142" t="s">
        <v>32</v>
      </c>
      <c r="U1142">
        <f>VLOOKUP(A1142,ordered_items!$B:$E,4,0)</f>
        <v>149.94</v>
      </c>
    </row>
    <row r="1143" spans="1:21" x14ac:dyDescent="0.3">
      <c r="A1143">
        <v>28932</v>
      </c>
      <c r="B1143" t="s">
        <v>24</v>
      </c>
      <c r="C1143">
        <v>2</v>
      </c>
      <c r="D1143">
        <v>1</v>
      </c>
      <c r="E1143" t="str">
        <f t="shared" si="51"/>
        <v>DELAYED</v>
      </c>
      <c r="F1143">
        <f>VLOOKUP($A1143,ordered_items!$B$2:$E$4784,2,0)</f>
        <v>403</v>
      </c>
      <c r="G1143">
        <f>VLOOKUP($A1143,ordered_items!$B$2:$E$4784,3,0)</f>
        <v>1</v>
      </c>
      <c r="H1143">
        <f>VLOOKUP($A1143,ordered_items!$B$2:$E$4784,4,0)</f>
        <v>129.99</v>
      </c>
      <c r="I1143" s="15">
        <f>VLOOKUP(F1143,product_info!$A$2:$D$73,4,0)</f>
        <v>4</v>
      </c>
      <c r="J1143" s="15" t="str">
        <f>VLOOKUP(I1143,department!$A$2:$B$13,2,0)</f>
        <v>Apparel</v>
      </c>
      <c r="K1143">
        <v>4473</v>
      </c>
      <c r="L1143" t="s">
        <v>104</v>
      </c>
      <c r="M1143" s="4">
        <v>43522</v>
      </c>
      <c r="N1143" s="12">
        <f t="shared" si="52"/>
        <v>2</v>
      </c>
      <c r="O1143" s="13">
        <f t="shared" si="53"/>
        <v>2019</v>
      </c>
      <c r="P1143" t="s">
        <v>13</v>
      </c>
      <c r="Q1143" t="s">
        <v>420</v>
      </c>
      <c r="R1143" t="s">
        <v>31</v>
      </c>
      <c r="S1143" t="str" cm="1">
        <f t="array" ref="S1143">_xlfn.IFS(R1143="COMPLETE", "COMPLETED", R1143="CANCELED", "CANCELED", TRUE, "PENDING")</f>
        <v>COMPLETED</v>
      </c>
      <c r="T1143" t="s">
        <v>32</v>
      </c>
      <c r="U1143">
        <f>VLOOKUP(A1143,ordered_items!$B:$E,4,0)</f>
        <v>129.99</v>
      </c>
    </row>
    <row r="1144" spans="1:21" x14ac:dyDescent="0.3">
      <c r="A1144">
        <v>28933</v>
      </c>
      <c r="B1144" t="s">
        <v>17</v>
      </c>
      <c r="C1144">
        <v>2</v>
      </c>
      <c r="D1144">
        <v>1</v>
      </c>
      <c r="E1144" t="str">
        <f t="shared" si="51"/>
        <v>DELAYED</v>
      </c>
      <c r="F1144">
        <f>VLOOKUP($A1144,ordered_items!$B$2:$E$4784,2,0)</f>
        <v>403</v>
      </c>
      <c r="G1144">
        <f>VLOOKUP($A1144,ordered_items!$B$2:$E$4784,3,0)</f>
        <v>1</v>
      </c>
      <c r="H1144">
        <f>VLOOKUP($A1144,ordered_items!$B$2:$E$4784,4,0)</f>
        <v>129.99</v>
      </c>
      <c r="I1144" s="15">
        <f>VLOOKUP(F1144,product_info!$A$2:$D$73,4,0)</f>
        <v>4</v>
      </c>
      <c r="J1144" s="15" t="str">
        <f>VLOOKUP(I1144,department!$A$2:$B$13,2,0)</f>
        <v>Apparel</v>
      </c>
      <c r="K1144">
        <v>2048</v>
      </c>
      <c r="L1144" t="s">
        <v>104</v>
      </c>
      <c r="M1144" s="4">
        <v>43522</v>
      </c>
      <c r="N1144" s="12">
        <f t="shared" si="52"/>
        <v>2</v>
      </c>
      <c r="O1144" s="13">
        <f t="shared" si="53"/>
        <v>2019</v>
      </c>
      <c r="P1144" t="s">
        <v>13</v>
      </c>
      <c r="Q1144" t="s">
        <v>420</v>
      </c>
      <c r="R1144" t="s">
        <v>23</v>
      </c>
      <c r="S1144" t="str" cm="1">
        <f t="array" ref="S1144">_xlfn.IFS(R1144="COMPLETE", "COMPLETED", R1144="CANCELED", "CANCELED", TRUE, "PENDING")</f>
        <v>PENDING</v>
      </c>
      <c r="T1144" t="s">
        <v>32</v>
      </c>
      <c r="U1144">
        <f>VLOOKUP(A1144,ordered_items!$B:$E,4,0)</f>
        <v>129.99</v>
      </c>
    </row>
    <row r="1145" spans="1:21" x14ac:dyDescent="0.3">
      <c r="A1145">
        <v>28947</v>
      </c>
      <c r="B1145" t="s">
        <v>24</v>
      </c>
      <c r="C1145">
        <v>3</v>
      </c>
      <c r="D1145">
        <v>2</v>
      </c>
      <c r="E1145" t="str">
        <f t="shared" si="51"/>
        <v>DELAYED</v>
      </c>
      <c r="F1145">
        <f>VLOOKUP($A1145,ordered_items!$B$2:$E$4784,2,0)</f>
        <v>957</v>
      </c>
      <c r="G1145">
        <f>VLOOKUP($A1145,ordered_items!$B$2:$E$4784,3,0)</f>
        <v>1</v>
      </c>
      <c r="H1145">
        <f>VLOOKUP($A1145,ordered_items!$B$2:$E$4784,4,0)</f>
        <v>299.98</v>
      </c>
      <c r="I1145" s="15">
        <f>VLOOKUP(F1145,product_info!$A$2:$D$73,4,0)</f>
        <v>7</v>
      </c>
      <c r="J1145" s="15" t="str">
        <f>VLOOKUP(I1145,department!$A$2:$B$13,2,0)</f>
        <v>Fan Shop</v>
      </c>
      <c r="K1145">
        <v>3533</v>
      </c>
      <c r="L1145" t="s">
        <v>233</v>
      </c>
      <c r="M1145" s="4">
        <v>43522</v>
      </c>
      <c r="N1145" s="12">
        <f t="shared" si="52"/>
        <v>2</v>
      </c>
      <c r="O1145" s="13">
        <f t="shared" si="53"/>
        <v>2019</v>
      </c>
      <c r="P1145" t="s">
        <v>13</v>
      </c>
      <c r="Q1145" t="s">
        <v>234</v>
      </c>
      <c r="R1145" t="s">
        <v>378</v>
      </c>
      <c r="S1145" t="str" cm="1">
        <f t="array" ref="S1145">_xlfn.IFS(R1145="COMPLETE", "COMPLETED", R1145="CANCELED", "CANCELED", TRUE, "PENDING")</f>
        <v>PENDING</v>
      </c>
      <c r="T1145" t="s">
        <v>90</v>
      </c>
      <c r="U1145">
        <f>VLOOKUP(A1145,ordered_items!$B:$E,4,0)</f>
        <v>299.98</v>
      </c>
    </row>
    <row r="1146" spans="1:21" x14ac:dyDescent="0.3">
      <c r="A1146">
        <v>28953</v>
      </c>
      <c r="B1146" t="s">
        <v>51</v>
      </c>
      <c r="C1146">
        <v>4</v>
      </c>
      <c r="D1146">
        <v>4</v>
      </c>
      <c r="E1146" t="str">
        <f t="shared" si="51"/>
        <v xml:space="preserve"> ONTIME</v>
      </c>
      <c r="F1146">
        <f>VLOOKUP($A1146,ordered_items!$B$2:$E$4784,2,0)</f>
        <v>365</v>
      </c>
      <c r="G1146">
        <f>VLOOKUP($A1146,ordered_items!$B$2:$E$4784,3,0)</f>
        <v>4</v>
      </c>
      <c r="H1146">
        <f>VLOOKUP($A1146,ordered_items!$B$2:$E$4784,4,0)</f>
        <v>239.96</v>
      </c>
      <c r="I1146" s="15">
        <f>VLOOKUP(F1146,product_info!$A$2:$D$73,4,0)</f>
        <v>4</v>
      </c>
      <c r="J1146" s="15" t="str">
        <f>VLOOKUP(I1146,department!$A$2:$B$13,2,0)</f>
        <v>Apparel</v>
      </c>
      <c r="K1146">
        <v>9610</v>
      </c>
      <c r="L1146" t="s">
        <v>743</v>
      </c>
      <c r="M1146" s="4">
        <v>43522</v>
      </c>
      <c r="N1146" s="12">
        <f t="shared" si="52"/>
        <v>2</v>
      </c>
      <c r="O1146" s="13">
        <f t="shared" si="53"/>
        <v>2019</v>
      </c>
      <c r="P1146" t="s">
        <v>13</v>
      </c>
      <c r="Q1146" t="s">
        <v>5780</v>
      </c>
      <c r="R1146" t="s">
        <v>57</v>
      </c>
      <c r="S1146" t="str" cm="1">
        <f t="array" ref="S1146">_xlfn.IFS(R1146="COMPLETE", "COMPLETED", R1146="CANCELED", "CANCELED", TRUE, "PENDING")</f>
        <v>PENDING</v>
      </c>
      <c r="T1146" t="s">
        <v>16</v>
      </c>
      <c r="U1146">
        <f>VLOOKUP(A1146,ordered_items!$B:$E,4,0)</f>
        <v>239.96</v>
      </c>
    </row>
    <row r="1147" spans="1:21" x14ac:dyDescent="0.3">
      <c r="A1147">
        <v>28963</v>
      </c>
      <c r="B1147" t="s">
        <v>3</v>
      </c>
      <c r="C1147">
        <v>4</v>
      </c>
      <c r="D1147">
        <v>4</v>
      </c>
      <c r="E1147" t="str">
        <f t="shared" si="51"/>
        <v xml:space="preserve"> ONTIME</v>
      </c>
      <c r="F1147">
        <f>VLOOKUP($A1147,ordered_items!$B$2:$E$4784,2,0)</f>
        <v>957</v>
      </c>
      <c r="G1147">
        <f>VLOOKUP($A1147,ordered_items!$B$2:$E$4784,3,0)</f>
        <v>1</v>
      </c>
      <c r="H1147">
        <f>VLOOKUP($A1147,ordered_items!$B$2:$E$4784,4,0)</f>
        <v>299.98</v>
      </c>
      <c r="I1147" s="15">
        <f>VLOOKUP(F1147,product_info!$A$2:$D$73,4,0)</f>
        <v>7</v>
      </c>
      <c r="J1147" s="15" t="str">
        <f>VLOOKUP(I1147,department!$A$2:$B$13,2,0)</f>
        <v>Fan Shop</v>
      </c>
      <c r="K1147">
        <v>11242</v>
      </c>
      <c r="L1147" t="s">
        <v>561</v>
      </c>
      <c r="M1147" s="4">
        <v>43522</v>
      </c>
      <c r="N1147" s="12">
        <f t="shared" si="52"/>
        <v>2</v>
      </c>
      <c r="O1147" s="13">
        <f t="shared" si="53"/>
        <v>2019</v>
      </c>
      <c r="P1147" t="s">
        <v>13</v>
      </c>
      <c r="Q1147" t="s">
        <v>5779</v>
      </c>
      <c r="R1147" t="s">
        <v>178</v>
      </c>
      <c r="S1147" t="str" cm="1">
        <f t="array" ref="S1147">_xlfn.IFS(R1147="COMPLETE", "COMPLETED", R1147="CANCELED", "CANCELED", TRUE, "PENDING")</f>
        <v>PENDING</v>
      </c>
      <c r="T1147" t="s">
        <v>16</v>
      </c>
      <c r="U1147">
        <f>VLOOKUP(A1147,ordered_items!$B:$E,4,0)</f>
        <v>299.98</v>
      </c>
    </row>
    <row r="1148" spans="1:21" x14ac:dyDescent="0.3">
      <c r="A1148">
        <v>28990</v>
      </c>
      <c r="B1148" t="s">
        <v>3</v>
      </c>
      <c r="C1148">
        <v>6</v>
      </c>
      <c r="D1148">
        <v>4</v>
      </c>
      <c r="E1148" t="str">
        <f t="shared" si="51"/>
        <v>DELAYED</v>
      </c>
      <c r="F1148">
        <f>VLOOKUP($A1148,ordered_items!$B$2:$E$4784,2,0)</f>
        <v>403</v>
      </c>
      <c r="G1148">
        <f>VLOOKUP($A1148,ordered_items!$B$2:$E$4784,3,0)</f>
        <v>1</v>
      </c>
      <c r="H1148">
        <f>VLOOKUP($A1148,ordered_items!$B$2:$E$4784,4,0)</f>
        <v>129.99</v>
      </c>
      <c r="I1148" s="15">
        <f>VLOOKUP(F1148,product_info!$A$2:$D$73,4,0)</f>
        <v>4</v>
      </c>
      <c r="J1148" s="15" t="str">
        <f>VLOOKUP(I1148,department!$A$2:$B$13,2,0)</f>
        <v>Apparel</v>
      </c>
      <c r="K1148">
        <v>9524</v>
      </c>
      <c r="L1148" t="s">
        <v>783</v>
      </c>
      <c r="M1148" s="4">
        <v>43523</v>
      </c>
      <c r="N1148" s="12">
        <f t="shared" si="52"/>
        <v>2</v>
      </c>
      <c r="O1148" s="13">
        <f t="shared" si="53"/>
        <v>2019</v>
      </c>
      <c r="P1148" t="s">
        <v>13</v>
      </c>
      <c r="Q1148" t="s">
        <v>30</v>
      </c>
      <c r="R1148" t="s">
        <v>14</v>
      </c>
      <c r="S1148" t="str" cm="1">
        <f t="array" ref="S1148">_xlfn.IFS(R1148="COMPLETE", "COMPLETED", R1148="CANCELED", "CANCELED", TRUE, "PENDING")</f>
        <v>PENDING</v>
      </c>
      <c r="T1148" t="s">
        <v>16</v>
      </c>
      <c r="U1148">
        <f>VLOOKUP(A1148,ordered_items!$B:$E,4,0)</f>
        <v>129.99</v>
      </c>
    </row>
    <row r="1149" spans="1:21" x14ac:dyDescent="0.3">
      <c r="A1149">
        <v>28991</v>
      </c>
      <c r="B1149" t="s">
        <v>24</v>
      </c>
      <c r="C1149">
        <v>2</v>
      </c>
      <c r="D1149">
        <v>4</v>
      </c>
      <c r="E1149" t="str">
        <f t="shared" si="51"/>
        <v xml:space="preserve"> ONTIME</v>
      </c>
      <c r="F1149">
        <f>VLOOKUP($A1149,ordered_items!$B$2:$E$4784,2,0)</f>
        <v>957</v>
      </c>
      <c r="G1149">
        <f>VLOOKUP($A1149,ordered_items!$B$2:$E$4784,3,0)</f>
        <v>1</v>
      </c>
      <c r="H1149">
        <f>VLOOKUP($A1149,ordered_items!$B$2:$E$4784,4,0)</f>
        <v>299.98</v>
      </c>
      <c r="I1149" s="15">
        <f>VLOOKUP(F1149,product_info!$A$2:$D$73,4,0)</f>
        <v>7</v>
      </c>
      <c r="J1149" s="15" t="str">
        <f>VLOOKUP(I1149,department!$A$2:$B$13,2,0)</f>
        <v>Fan Shop</v>
      </c>
      <c r="K1149">
        <v>3965</v>
      </c>
      <c r="L1149" t="s">
        <v>783</v>
      </c>
      <c r="M1149" s="4">
        <v>43523</v>
      </c>
      <c r="N1149" s="12">
        <f t="shared" si="52"/>
        <v>2</v>
      </c>
      <c r="O1149" s="13">
        <f t="shared" si="53"/>
        <v>2019</v>
      </c>
      <c r="P1149" t="s">
        <v>13</v>
      </c>
      <c r="Q1149" t="s">
        <v>30</v>
      </c>
      <c r="R1149" t="s">
        <v>31</v>
      </c>
      <c r="S1149" t="str" cm="1">
        <f t="array" ref="S1149">_xlfn.IFS(R1149="COMPLETE", "COMPLETED", R1149="CANCELED", "CANCELED", TRUE, "PENDING")</f>
        <v>COMPLETED</v>
      </c>
      <c r="T1149" t="s">
        <v>16</v>
      </c>
      <c r="U1149">
        <f>VLOOKUP(A1149,ordered_items!$B:$E,4,0)</f>
        <v>299.98</v>
      </c>
    </row>
    <row r="1150" spans="1:21" x14ac:dyDescent="0.3">
      <c r="A1150">
        <v>28992</v>
      </c>
      <c r="B1150" t="s">
        <v>3</v>
      </c>
      <c r="C1150">
        <v>3</v>
      </c>
      <c r="D1150">
        <v>4</v>
      </c>
      <c r="E1150" t="str">
        <f t="shared" si="51"/>
        <v xml:space="preserve"> ONTIME</v>
      </c>
      <c r="F1150">
        <f>VLOOKUP($A1150,ordered_items!$B$2:$E$4784,2,0)</f>
        <v>627</v>
      </c>
      <c r="G1150">
        <f>VLOOKUP($A1150,ordered_items!$B$2:$E$4784,3,0)</f>
        <v>3</v>
      </c>
      <c r="H1150">
        <f>VLOOKUP($A1150,ordered_items!$B$2:$E$4784,4,0)</f>
        <v>119.97</v>
      </c>
      <c r="I1150" s="15">
        <f>VLOOKUP(F1150,product_info!$A$2:$D$73,4,0)</f>
        <v>5</v>
      </c>
      <c r="J1150" s="15" t="str">
        <f>VLOOKUP(I1150,department!$A$2:$B$13,2,0)</f>
        <v>Golf</v>
      </c>
      <c r="K1150">
        <v>4318</v>
      </c>
      <c r="L1150" t="s">
        <v>783</v>
      </c>
      <c r="M1150" s="4">
        <v>43523</v>
      </c>
      <c r="N1150" s="12">
        <f t="shared" si="52"/>
        <v>2</v>
      </c>
      <c r="O1150" s="13">
        <f t="shared" si="53"/>
        <v>2019</v>
      </c>
      <c r="P1150" t="s">
        <v>13</v>
      </c>
      <c r="Q1150" t="s">
        <v>30</v>
      </c>
      <c r="R1150" t="s">
        <v>38</v>
      </c>
      <c r="S1150" t="str" cm="1">
        <f t="array" ref="S1150">_xlfn.IFS(R1150="COMPLETE", "COMPLETED", R1150="CANCELED", "CANCELED", TRUE, "PENDING")</f>
        <v>PENDING</v>
      </c>
      <c r="T1150" t="s">
        <v>16</v>
      </c>
      <c r="U1150">
        <f>VLOOKUP(A1150,ordered_items!$B:$E,4,0)</f>
        <v>119.97</v>
      </c>
    </row>
    <row r="1151" spans="1:21" x14ac:dyDescent="0.3">
      <c r="A1151">
        <v>28997</v>
      </c>
      <c r="B1151" t="s">
        <v>51</v>
      </c>
      <c r="C1151">
        <v>3</v>
      </c>
      <c r="D1151">
        <v>4</v>
      </c>
      <c r="E1151" t="str">
        <f t="shared" si="51"/>
        <v xml:space="preserve"> ONTIME</v>
      </c>
      <c r="F1151">
        <f>VLOOKUP($A1151,ordered_items!$B$2:$E$4784,2,0)</f>
        <v>116</v>
      </c>
      <c r="G1151">
        <f>VLOOKUP($A1151,ordered_items!$B$2:$E$4784,3,0)</f>
        <v>1</v>
      </c>
      <c r="H1151">
        <f>VLOOKUP($A1151,ordered_items!$B$2:$E$4784,4,0)</f>
        <v>44.99</v>
      </c>
      <c r="I1151" s="15">
        <f>VLOOKUP(F1151,product_info!$A$2:$D$73,4,0)</f>
        <v>2</v>
      </c>
      <c r="J1151" s="15" t="str">
        <f>VLOOKUP(I1151,department!$A$2:$B$13,2,0)</f>
        <v>Fitness</v>
      </c>
      <c r="K1151">
        <v>3129</v>
      </c>
      <c r="L1151" t="s">
        <v>660</v>
      </c>
      <c r="M1151" s="4">
        <v>43523</v>
      </c>
      <c r="N1151" s="12">
        <f t="shared" si="52"/>
        <v>2</v>
      </c>
      <c r="O1151" s="13">
        <f t="shared" si="53"/>
        <v>2019</v>
      </c>
      <c r="P1151" t="s">
        <v>13</v>
      </c>
      <c r="Q1151" t="s">
        <v>99</v>
      </c>
      <c r="R1151" t="s">
        <v>57</v>
      </c>
      <c r="S1151" t="str" cm="1">
        <f t="array" ref="S1151">_xlfn.IFS(R1151="COMPLETE", "COMPLETED", R1151="CANCELED", "CANCELED", TRUE, "PENDING")</f>
        <v>PENDING</v>
      </c>
      <c r="T1151" t="s">
        <v>16</v>
      </c>
      <c r="U1151">
        <f>VLOOKUP(A1151,ordered_items!$B:$E,4,0)</f>
        <v>44.99</v>
      </c>
    </row>
    <row r="1152" spans="1:21" x14ac:dyDescent="0.3">
      <c r="A1152">
        <v>28998</v>
      </c>
      <c r="B1152" t="s">
        <v>24</v>
      </c>
      <c r="C1152">
        <v>4</v>
      </c>
      <c r="D1152">
        <v>4</v>
      </c>
      <c r="E1152" t="str">
        <f t="shared" si="51"/>
        <v xml:space="preserve"> ONTIME</v>
      </c>
      <c r="F1152">
        <f>VLOOKUP($A1152,ordered_items!$B$2:$E$4784,2,0)</f>
        <v>365</v>
      </c>
      <c r="G1152">
        <f>VLOOKUP($A1152,ordered_items!$B$2:$E$4784,3,0)</f>
        <v>2</v>
      </c>
      <c r="H1152">
        <f>VLOOKUP($A1152,ordered_items!$B$2:$E$4784,4,0)</f>
        <v>119.98</v>
      </c>
      <c r="I1152" s="15">
        <f>VLOOKUP(F1152,product_info!$A$2:$D$73,4,0)</f>
        <v>4</v>
      </c>
      <c r="J1152" s="15" t="str">
        <f>VLOOKUP(I1152,department!$A$2:$B$13,2,0)</f>
        <v>Apparel</v>
      </c>
      <c r="K1152">
        <v>3465</v>
      </c>
      <c r="L1152" t="s">
        <v>660</v>
      </c>
      <c r="M1152" s="4">
        <v>43523</v>
      </c>
      <c r="N1152" s="12">
        <f t="shared" si="52"/>
        <v>2</v>
      </c>
      <c r="O1152" s="13">
        <f t="shared" si="53"/>
        <v>2019</v>
      </c>
      <c r="P1152" t="s">
        <v>13</v>
      </c>
      <c r="Q1152" t="s">
        <v>99</v>
      </c>
      <c r="R1152" t="s">
        <v>31</v>
      </c>
      <c r="S1152" t="str" cm="1">
        <f t="array" ref="S1152">_xlfn.IFS(R1152="COMPLETE", "COMPLETED", R1152="CANCELED", "CANCELED", TRUE, "PENDING")</f>
        <v>COMPLETED</v>
      </c>
      <c r="T1152" t="s">
        <v>16</v>
      </c>
      <c r="U1152">
        <f>VLOOKUP(A1152,ordered_items!$B:$E,4,0)</f>
        <v>119.98</v>
      </c>
    </row>
    <row r="1153" spans="1:21" x14ac:dyDescent="0.3">
      <c r="A1153">
        <v>29013</v>
      </c>
      <c r="B1153" t="s">
        <v>51</v>
      </c>
      <c r="C1153">
        <v>1</v>
      </c>
      <c r="D1153">
        <v>0</v>
      </c>
      <c r="E1153" t="str">
        <f t="shared" si="51"/>
        <v>DELAYED</v>
      </c>
      <c r="F1153">
        <f>VLOOKUP($A1153,ordered_items!$B$2:$E$4784,2,0)</f>
        <v>403</v>
      </c>
      <c r="G1153">
        <f>VLOOKUP($A1153,ordered_items!$B$2:$E$4784,3,0)</f>
        <v>1</v>
      </c>
      <c r="H1153">
        <f>VLOOKUP($A1153,ordered_items!$B$2:$E$4784,4,0)</f>
        <v>129.99</v>
      </c>
      <c r="I1153" s="15">
        <f>VLOOKUP(F1153,product_info!$A$2:$D$73,4,0)</f>
        <v>4</v>
      </c>
      <c r="J1153" s="15" t="str">
        <f>VLOOKUP(I1153,department!$A$2:$B$13,2,0)</f>
        <v>Apparel</v>
      </c>
      <c r="K1153">
        <v>4364</v>
      </c>
      <c r="L1153" t="s">
        <v>146</v>
      </c>
      <c r="M1153" s="4">
        <v>43523</v>
      </c>
      <c r="N1153" s="12">
        <f t="shared" si="52"/>
        <v>2</v>
      </c>
      <c r="O1153" s="13">
        <f t="shared" si="53"/>
        <v>2019</v>
      </c>
      <c r="P1153" t="s">
        <v>13</v>
      </c>
      <c r="Q1153" t="s">
        <v>30</v>
      </c>
      <c r="R1153" t="s">
        <v>57</v>
      </c>
      <c r="S1153" t="str" cm="1">
        <f t="array" ref="S1153">_xlfn.IFS(R1153="COMPLETE", "COMPLETED", R1153="CANCELED", "CANCELED", TRUE, "PENDING")</f>
        <v>PENDING</v>
      </c>
      <c r="T1153" t="s">
        <v>58</v>
      </c>
      <c r="U1153">
        <f>VLOOKUP(A1153,ordered_items!$B:$E,4,0)</f>
        <v>129.99</v>
      </c>
    </row>
    <row r="1154" spans="1:21" x14ac:dyDescent="0.3">
      <c r="A1154">
        <v>29014</v>
      </c>
      <c r="B1154" t="s">
        <v>24</v>
      </c>
      <c r="C1154">
        <v>5</v>
      </c>
      <c r="D1154">
        <v>2</v>
      </c>
      <c r="E1154" t="str">
        <f t="shared" si="51"/>
        <v>DELAYED</v>
      </c>
      <c r="F1154">
        <f>VLOOKUP($A1154,ordered_items!$B$2:$E$4784,2,0)</f>
        <v>957</v>
      </c>
      <c r="G1154">
        <f>VLOOKUP($A1154,ordered_items!$B$2:$E$4784,3,0)</f>
        <v>1</v>
      </c>
      <c r="H1154">
        <f>VLOOKUP($A1154,ordered_items!$B$2:$E$4784,4,0)</f>
        <v>299.98</v>
      </c>
      <c r="I1154" s="15">
        <f>VLOOKUP(F1154,product_info!$A$2:$D$73,4,0)</f>
        <v>7</v>
      </c>
      <c r="J1154" s="15" t="str">
        <f>VLOOKUP(I1154,department!$A$2:$B$13,2,0)</f>
        <v>Fan Shop</v>
      </c>
      <c r="K1154">
        <v>6359</v>
      </c>
      <c r="L1154" t="s">
        <v>146</v>
      </c>
      <c r="M1154" s="4">
        <v>43523</v>
      </c>
      <c r="N1154" s="12">
        <f t="shared" si="52"/>
        <v>2</v>
      </c>
      <c r="O1154" s="13">
        <f t="shared" si="53"/>
        <v>2019</v>
      </c>
      <c r="P1154" t="s">
        <v>13</v>
      </c>
      <c r="Q1154" t="s">
        <v>30</v>
      </c>
      <c r="R1154" t="s">
        <v>31</v>
      </c>
      <c r="S1154" t="str" cm="1">
        <f t="array" ref="S1154">_xlfn.IFS(R1154="COMPLETE", "COMPLETED", R1154="CANCELED", "CANCELED", TRUE, "PENDING")</f>
        <v>COMPLETED</v>
      </c>
      <c r="T1154" t="s">
        <v>90</v>
      </c>
      <c r="U1154">
        <f>VLOOKUP(A1154,ordered_items!$B:$E,4,0)</f>
        <v>299.98</v>
      </c>
    </row>
    <row r="1155" spans="1:21" x14ac:dyDescent="0.3">
      <c r="A1155">
        <v>29046</v>
      </c>
      <c r="B1155" t="s">
        <v>24</v>
      </c>
      <c r="C1155">
        <v>2</v>
      </c>
      <c r="D1155">
        <v>4</v>
      </c>
      <c r="E1155" t="str">
        <f t="shared" ref="E1155:E1218" si="54">IF(C1155-D1155&gt;0,"DELAYED"," ONTIME")</f>
        <v xml:space="preserve"> ONTIME</v>
      </c>
      <c r="F1155">
        <f>VLOOKUP($A1155,ordered_items!$B$2:$E$4784,2,0)</f>
        <v>403</v>
      </c>
      <c r="G1155">
        <f>VLOOKUP($A1155,ordered_items!$B$2:$E$4784,3,0)</f>
        <v>1</v>
      </c>
      <c r="H1155">
        <f>VLOOKUP($A1155,ordered_items!$B$2:$E$4784,4,0)</f>
        <v>129.99</v>
      </c>
      <c r="I1155" s="15">
        <f>VLOOKUP(F1155,product_info!$A$2:$D$73,4,0)</f>
        <v>4</v>
      </c>
      <c r="J1155" s="15" t="str">
        <f>VLOOKUP(I1155,department!$A$2:$B$13,2,0)</f>
        <v>Apparel</v>
      </c>
      <c r="K1155">
        <v>1762</v>
      </c>
      <c r="L1155" t="s">
        <v>963</v>
      </c>
      <c r="M1155" s="4">
        <v>43523</v>
      </c>
      <c r="N1155" s="12">
        <f t="shared" ref="N1155:N1218" si="55">MONTH(M1155)</f>
        <v>2</v>
      </c>
      <c r="O1155" s="13">
        <f t="shared" ref="O1155:O1218" si="56">YEAR(M1155)</f>
        <v>2019</v>
      </c>
      <c r="P1155" t="s">
        <v>13</v>
      </c>
      <c r="Q1155" t="s">
        <v>47</v>
      </c>
      <c r="R1155" t="s">
        <v>31</v>
      </c>
      <c r="S1155" t="str" cm="1">
        <f t="array" ref="S1155">_xlfn.IFS(R1155="COMPLETE", "COMPLETED", R1155="CANCELED", "CANCELED", TRUE, "PENDING")</f>
        <v>COMPLETED</v>
      </c>
      <c r="T1155" t="s">
        <v>16</v>
      </c>
      <c r="U1155">
        <f>VLOOKUP(A1155,ordered_items!$B:$E,4,0)</f>
        <v>129.99</v>
      </c>
    </row>
    <row r="1156" spans="1:21" x14ac:dyDescent="0.3">
      <c r="A1156">
        <v>29047</v>
      </c>
      <c r="B1156" t="s">
        <v>24</v>
      </c>
      <c r="C1156">
        <v>3</v>
      </c>
      <c r="D1156">
        <v>4</v>
      </c>
      <c r="E1156" t="str">
        <f t="shared" si="54"/>
        <v xml:space="preserve"> ONTIME</v>
      </c>
      <c r="F1156">
        <f>VLOOKUP($A1156,ordered_items!$B$2:$E$4784,2,0)</f>
        <v>1014</v>
      </c>
      <c r="G1156">
        <f>VLOOKUP($A1156,ordered_items!$B$2:$E$4784,3,0)</f>
        <v>2</v>
      </c>
      <c r="H1156">
        <f>VLOOKUP($A1156,ordered_items!$B$2:$E$4784,4,0)</f>
        <v>99.96</v>
      </c>
      <c r="I1156" s="15">
        <f>VLOOKUP(F1156,product_info!$A$2:$D$73,4,0)</f>
        <v>7</v>
      </c>
      <c r="J1156" s="15" t="str">
        <f>VLOOKUP(I1156,department!$A$2:$B$13,2,0)</f>
        <v>Fan Shop</v>
      </c>
      <c r="K1156">
        <v>1432</v>
      </c>
      <c r="L1156" t="s">
        <v>963</v>
      </c>
      <c r="M1156" s="4">
        <v>43524</v>
      </c>
      <c r="N1156" s="12">
        <f t="shared" si="55"/>
        <v>2</v>
      </c>
      <c r="O1156" s="13">
        <f t="shared" si="56"/>
        <v>2019</v>
      </c>
      <c r="P1156" t="s">
        <v>13</v>
      </c>
      <c r="Q1156" t="s">
        <v>47</v>
      </c>
      <c r="R1156" t="s">
        <v>31</v>
      </c>
      <c r="S1156" t="str" cm="1">
        <f t="array" ref="S1156">_xlfn.IFS(R1156="COMPLETE", "COMPLETED", R1156="CANCELED", "CANCELED", TRUE, "PENDING")</f>
        <v>COMPLETED</v>
      </c>
      <c r="T1156" t="s">
        <v>16</v>
      </c>
      <c r="U1156">
        <f>VLOOKUP(A1156,ordered_items!$B:$E,4,0)</f>
        <v>99.96</v>
      </c>
    </row>
    <row r="1157" spans="1:21" x14ac:dyDescent="0.3">
      <c r="A1157">
        <v>29082</v>
      </c>
      <c r="B1157" t="s">
        <v>24</v>
      </c>
      <c r="C1157">
        <v>3</v>
      </c>
      <c r="D1157">
        <v>2</v>
      </c>
      <c r="E1157" t="str">
        <f t="shared" si="54"/>
        <v>DELAYED</v>
      </c>
      <c r="F1157">
        <f>VLOOKUP($A1157,ordered_items!$B$2:$E$4784,2,0)</f>
        <v>627</v>
      </c>
      <c r="G1157">
        <f>VLOOKUP($A1157,ordered_items!$B$2:$E$4784,3,0)</f>
        <v>4</v>
      </c>
      <c r="H1157">
        <f>VLOOKUP($A1157,ordered_items!$B$2:$E$4784,4,0)</f>
        <v>159.96</v>
      </c>
      <c r="I1157" s="15">
        <f>VLOOKUP(F1157,product_info!$A$2:$D$73,4,0)</f>
        <v>5</v>
      </c>
      <c r="J1157" s="15" t="str">
        <f>VLOOKUP(I1157,department!$A$2:$B$13,2,0)</f>
        <v>Golf</v>
      </c>
      <c r="K1157">
        <v>10622</v>
      </c>
      <c r="L1157" t="s">
        <v>1089</v>
      </c>
      <c r="M1157" s="4">
        <v>43524</v>
      </c>
      <c r="N1157" s="12">
        <f t="shared" si="55"/>
        <v>2</v>
      </c>
      <c r="O1157" s="13">
        <f t="shared" si="56"/>
        <v>2019</v>
      </c>
      <c r="P1157" t="s">
        <v>13</v>
      </c>
      <c r="Q1157" t="s">
        <v>538</v>
      </c>
      <c r="R1157" t="s">
        <v>31</v>
      </c>
      <c r="S1157" t="str" cm="1">
        <f t="array" ref="S1157">_xlfn.IFS(R1157="COMPLETE", "COMPLETED", R1157="CANCELED", "CANCELED", TRUE, "PENDING")</f>
        <v>COMPLETED</v>
      </c>
      <c r="T1157" t="s">
        <v>90</v>
      </c>
      <c r="U1157">
        <f>VLOOKUP(A1157,ordered_items!$B:$E,4,0)</f>
        <v>159.96</v>
      </c>
    </row>
    <row r="1158" spans="1:21" x14ac:dyDescent="0.3">
      <c r="A1158">
        <v>29086</v>
      </c>
      <c r="B1158" t="s">
        <v>17</v>
      </c>
      <c r="C1158">
        <v>2</v>
      </c>
      <c r="D1158">
        <v>4</v>
      </c>
      <c r="E1158" t="str">
        <f t="shared" si="54"/>
        <v xml:space="preserve"> ONTIME</v>
      </c>
      <c r="F1158">
        <f>VLOOKUP($A1158,ordered_items!$B$2:$E$4784,2,0)</f>
        <v>502</v>
      </c>
      <c r="G1158">
        <f>VLOOKUP($A1158,ordered_items!$B$2:$E$4784,3,0)</f>
        <v>2</v>
      </c>
      <c r="H1158">
        <f>VLOOKUP($A1158,ordered_items!$B$2:$E$4784,4,0)</f>
        <v>100</v>
      </c>
      <c r="I1158" s="15">
        <f>VLOOKUP(F1158,product_info!$A$2:$D$73,4,0)</f>
        <v>5</v>
      </c>
      <c r="J1158" s="15" t="str">
        <f>VLOOKUP(I1158,department!$A$2:$B$13,2,0)</f>
        <v>Golf</v>
      </c>
      <c r="K1158">
        <v>3054</v>
      </c>
      <c r="L1158" t="s">
        <v>116</v>
      </c>
      <c r="M1158" s="4">
        <v>43524</v>
      </c>
      <c r="N1158" s="12">
        <f t="shared" si="55"/>
        <v>2</v>
      </c>
      <c r="O1158" s="13">
        <f t="shared" si="56"/>
        <v>2019</v>
      </c>
      <c r="P1158" t="s">
        <v>13</v>
      </c>
      <c r="Q1158" t="s">
        <v>30</v>
      </c>
      <c r="R1158" t="s">
        <v>23</v>
      </c>
      <c r="S1158" t="str" cm="1">
        <f t="array" ref="S1158">_xlfn.IFS(R1158="COMPLETE", "COMPLETED", R1158="CANCELED", "CANCELED", TRUE, "PENDING")</f>
        <v>PENDING</v>
      </c>
      <c r="T1158" t="s">
        <v>16</v>
      </c>
      <c r="U1158">
        <f>VLOOKUP(A1158,ordered_items!$B:$E,4,0)</f>
        <v>100</v>
      </c>
    </row>
    <row r="1159" spans="1:21" x14ac:dyDescent="0.3">
      <c r="A1159">
        <v>29087</v>
      </c>
      <c r="B1159" t="s">
        <v>3</v>
      </c>
      <c r="C1159">
        <v>3</v>
      </c>
      <c r="D1159">
        <v>4</v>
      </c>
      <c r="E1159" t="str">
        <f t="shared" si="54"/>
        <v xml:space="preserve"> ONTIME</v>
      </c>
      <c r="F1159">
        <f>VLOOKUP($A1159,ordered_items!$B$2:$E$4784,2,0)</f>
        <v>1014</v>
      </c>
      <c r="G1159">
        <f>VLOOKUP($A1159,ordered_items!$B$2:$E$4784,3,0)</f>
        <v>4</v>
      </c>
      <c r="H1159">
        <f>VLOOKUP($A1159,ordered_items!$B$2:$E$4784,4,0)</f>
        <v>199.92</v>
      </c>
      <c r="I1159" s="15">
        <f>VLOOKUP(F1159,product_info!$A$2:$D$73,4,0)</f>
        <v>7</v>
      </c>
      <c r="J1159" s="15" t="str">
        <f>VLOOKUP(I1159,department!$A$2:$B$13,2,0)</f>
        <v>Fan Shop</v>
      </c>
      <c r="K1159">
        <v>1022</v>
      </c>
      <c r="L1159" t="s">
        <v>116</v>
      </c>
      <c r="M1159" s="4">
        <v>43524</v>
      </c>
      <c r="N1159" s="12">
        <f t="shared" si="55"/>
        <v>2</v>
      </c>
      <c r="O1159" s="13">
        <f t="shared" si="56"/>
        <v>2019</v>
      </c>
      <c r="P1159" t="s">
        <v>13</v>
      </c>
      <c r="Q1159" t="s">
        <v>30</v>
      </c>
      <c r="R1159" t="s">
        <v>14</v>
      </c>
      <c r="S1159" t="str" cm="1">
        <f t="array" ref="S1159">_xlfn.IFS(R1159="COMPLETE", "COMPLETED", R1159="CANCELED", "CANCELED", TRUE, "PENDING")</f>
        <v>PENDING</v>
      </c>
      <c r="T1159" t="s">
        <v>16</v>
      </c>
      <c r="U1159">
        <f>VLOOKUP(A1159,ordered_items!$B:$E,4,0)</f>
        <v>199.92</v>
      </c>
    </row>
    <row r="1160" spans="1:21" x14ac:dyDescent="0.3">
      <c r="A1160">
        <v>29089</v>
      </c>
      <c r="B1160" t="s">
        <v>24</v>
      </c>
      <c r="C1160">
        <v>5</v>
      </c>
      <c r="D1160">
        <v>4</v>
      </c>
      <c r="E1160" t="str">
        <f t="shared" si="54"/>
        <v>DELAYED</v>
      </c>
      <c r="F1160">
        <f>VLOOKUP($A1160,ordered_items!$B$2:$E$4784,2,0)</f>
        <v>191</v>
      </c>
      <c r="G1160">
        <f>VLOOKUP($A1160,ordered_items!$B$2:$E$4784,3,0)</f>
        <v>5</v>
      </c>
      <c r="H1160">
        <f>VLOOKUP($A1160,ordered_items!$B$2:$E$4784,4,0)</f>
        <v>499.95</v>
      </c>
      <c r="I1160" s="15">
        <f>VLOOKUP(F1160,product_info!$A$2:$D$73,4,0)</f>
        <v>3</v>
      </c>
      <c r="J1160" s="15" t="str">
        <f>VLOOKUP(I1160,department!$A$2:$B$13,2,0)</f>
        <v>Footwear</v>
      </c>
      <c r="K1160">
        <v>40</v>
      </c>
      <c r="L1160" t="s">
        <v>116</v>
      </c>
      <c r="M1160" s="4">
        <v>43524</v>
      </c>
      <c r="N1160" s="12">
        <f t="shared" si="55"/>
        <v>2</v>
      </c>
      <c r="O1160" s="13">
        <f t="shared" si="56"/>
        <v>2019</v>
      </c>
      <c r="P1160" t="s">
        <v>13</v>
      </c>
      <c r="Q1160" t="s">
        <v>30</v>
      </c>
      <c r="R1160" t="s">
        <v>378</v>
      </c>
      <c r="S1160" t="str" cm="1">
        <f t="array" ref="S1160">_xlfn.IFS(R1160="COMPLETE", "COMPLETED", R1160="CANCELED", "CANCELED", TRUE, "PENDING")</f>
        <v>PENDING</v>
      </c>
      <c r="T1160" t="s">
        <v>16</v>
      </c>
      <c r="U1160">
        <f>VLOOKUP(A1160,ordered_items!$B:$E,4,0)</f>
        <v>499.95</v>
      </c>
    </row>
    <row r="1161" spans="1:21" x14ac:dyDescent="0.3">
      <c r="A1161">
        <v>29090</v>
      </c>
      <c r="B1161" t="s">
        <v>51</v>
      </c>
      <c r="C1161">
        <v>6</v>
      </c>
      <c r="D1161">
        <v>4</v>
      </c>
      <c r="E1161" t="str">
        <f t="shared" si="54"/>
        <v>DELAYED</v>
      </c>
      <c r="F1161">
        <f>VLOOKUP($A1161,ordered_items!$B$2:$E$4784,2,0)</f>
        <v>792</v>
      </c>
      <c r="G1161">
        <f>VLOOKUP($A1161,ordered_items!$B$2:$E$4784,3,0)</f>
        <v>3</v>
      </c>
      <c r="H1161">
        <f>VLOOKUP($A1161,ordered_items!$B$2:$E$4784,4,0)</f>
        <v>44.97</v>
      </c>
      <c r="I1161" s="15">
        <f>VLOOKUP(F1161,product_info!$A$2:$D$73,4,0)</f>
        <v>6</v>
      </c>
      <c r="J1161" s="15" t="str">
        <f>VLOOKUP(I1161,department!$A$2:$B$13,2,0)</f>
        <v>Outdoors</v>
      </c>
      <c r="K1161">
        <v>5163</v>
      </c>
      <c r="L1161" t="s">
        <v>116</v>
      </c>
      <c r="M1161" s="4">
        <v>43524</v>
      </c>
      <c r="N1161" s="12">
        <f t="shared" si="55"/>
        <v>2</v>
      </c>
      <c r="O1161" s="13">
        <f t="shared" si="56"/>
        <v>2019</v>
      </c>
      <c r="P1161" t="s">
        <v>13</v>
      </c>
      <c r="Q1161" t="s">
        <v>30</v>
      </c>
      <c r="R1161" t="s">
        <v>57</v>
      </c>
      <c r="S1161" t="str" cm="1">
        <f t="array" ref="S1161">_xlfn.IFS(R1161="COMPLETE", "COMPLETED", R1161="CANCELED", "CANCELED", TRUE, "PENDING")</f>
        <v>PENDING</v>
      </c>
      <c r="T1161" t="s">
        <v>16</v>
      </c>
      <c r="U1161">
        <f>VLOOKUP(A1161,ordered_items!$B:$E,4,0)</f>
        <v>44.97</v>
      </c>
    </row>
    <row r="1162" spans="1:21" x14ac:dyDescent="0.3">
      <c r="A1162">
        <v>29091</v>
      </c>
      <c r="B1162" t="s">
        <v>51</v>
      </c>
      <c r="C1162">
        <v>2</v>
      </c>
      <c r="D1162">
        <v>4</v>
      </c>
      <c r="E1162" t="str">
        <f t="shared" si="54"/>
        <v xml:space="preserve"> ONTIME</v>
      </c>
      <c r="F1162">
        <f>VLOOKUP($A1162,ordered_items!$B$2:$E$4784,2,0)</f>
        <v>365</v>
      </c>
      <c r="G1162">
        <f>VLOOKUP($A1162,ordered_items!$B$2:$E$4784,3,0)</f>
        <v>3</v>
      </c>
      <c r="H1162">
        <f>VLOOKUP($A1162,ordered_items!$B$2:$E$4784,4,0)</f>
        <v>179.97</v>
      </c>
      <c r="I1162" s="15">
        <f>VLOOKUP(F1162,product_info!$A$2:$D$73,4,0)</f>
        <v>4</v>
      </c>
      <c r="J1162" s="15" t="str">
        <f>VLOOKUP(I1162,department!$A$2:$B$13,2,0)</f>
        <v>Apparel</v>
      </c>
      <c r="K1162">
        <v>3382</v>
      </c>
      <c r="L1162" t="s">
        <v>888</v>
      </c>
      <c r="M1162" s="4">
        <v>43524</v>
      </c>
      <c r="N1162" s="12">
        <f t="shared" si="55"/>
        <v>2</v>
      </c>
      <c r="O1162" s="13">
        <f t="shared" si="56"/>
        <v>2019</v>
      </c>
      <c r="P1162" t="s">
        <v>13</v>
      </c>
      <c r="Q1162" t="s">
        <v>30</v>
      </c>
      <c r="R1162" t="s">
        <v>57</v>
      </c>
      <c r="S1162" t="str" cm="1">
        <f t="array" ref="S1162">_xlfn.IFS(R1162="COMPLETE", "COMPLETED", R1162="CANCELED", "CANCELED", TRUE, "PENDING")</f>
        <v>PENDING</v>
      </c>
      <c r="T1162" t="s">
        <v>16</v>
      </c>
      <c r="U1162">
        <f>VLOOKUP(A1162,ordered_items!$B:$E,4,0)</f>
        <v>179.97</v>
      </c>
    </row>
    <row r="1163" spans="1:21" x14ac:dyDescent="0.3">
      <c r="A1163">
        <v>29103</v>
      </c>
      <c r="B1163" t="s">
        <v>24</v>
      </c>
      <c r="C1163">
        <v>4</v>
      </c>
      <c r="D1163">
        <v>4</v>
      </c>
      <c r="E1163" t="str">
        <f t="shared" si="54"/>
        <v xml:space="preserve"> ONTIME</v>
      </c>
      <c r="F1163">
        <f>VLOOKUP($A1163,ordered_items!$B$2:$E$4784,2,0)</f>
        <v>365</v>
      </c>
      <c r="G1163">
        <f>VLOOKUP($A1163,ordered_items!$B$2:$E$4784,3,0)</f>
        <v>2</v>
      </c>
      <c r="H1163">
        <f>VLOOKUP($A1163,ordered_items!$B$2:$E$4784,4,0)</f>
        <v>119.98</v>
      </c>
      <c r="I1163" s="15">
        <f>VLOOKUP(F1163,product_info!$A$2:$D$73,4,0)</f>
        <v>4</v>
      </c>
      <c r="J1163" s="15" t="str">
        <f>VLOOKUP(I1163,department!$A$2:$B$13,2,0)</f>
        <v>Apparel</v>
      </c>
      <c r="K1163">
        <v>908</v>
      </c>
      <c r="L1163" t="s">
        <v>258</v>
      </c>
      <c r="M1163" s="4">
        <v>43524</v>
      </c>
      <c r="N1163" s="12">
        <f t="shared" si="55"/>
        <v>2</v>
      </c>
      <c r="O1163" s="13">
        <f t="shared" si="56"/>
        <v>2019</v>
      </c>
      <c r="P1163" t="s">
        <v>13</v>
      </c>
      <c r="Q1163" t="s">
        <v>30</v>
      </c>
      <c r="R1163" t="s">
        <v>31</v>
      </c>
      <c r="S1163" t="str" cm="1">
        <f t="array" ref="S1163">_xlfn.IFS(R1163="COMPLETE", "COMPLETED", R1163="CANCELED", "CANCELED", TRUE, "PENDING")</f>
        <v>COMPLETED</v>
      </c>
      <c r="T1163" t="s">
        <v>16</v>
      </c>
      <c r="U1163">
        <f>VLOOKUP(A1163,ordered_items!$B:$E,4,0)</f>
        <v>119.98</v>
      </c>
    </row>
    <row r="1164" spans="1:21" x14ac:dyDescent="0.3">
      <c r="A1164">
        <v>29104</v>
      </c>
      <c r="B1164" t="s">
        <v>24</v>
      </c>
      <c r="C1164">
        <v>5</v>
      </c>
      <c r="D1164">
        <v>4</v>
      </c>
      <c r="E1164" t="str">
        <f t="shared" si="54"/>
        <v>DELAYED</v>
      </c>
      <c r="F1164">
        <f>VLOOKUP($A1164,ordered_items!$B$2:$E$4784,2,0)</f>
        <v>1073</v>
      </c>
      <c r="G1164">
        <f>VLOOKUP($A1164,ordered_items!$B$2:$E$4784,3,0)</f>
        <v>1</v>
      </c>
      <c r="H1164">
        <f>VLOOKUP($A1164,ordered_items!$B$2:$E$4784,4,0)</f>
        <v>199.99</v>
      </c>
      <c r="I1164" s="15">
        <f>VLOOKUP(F1164,product_info!$A$2:$D$73,4,0)</f>
        <v>7</v>
      </c>
      <c r="J1164" s="15" t="str">
        <f>VLOOKUP(I1164,department!$A$2:$B$13,2,0)</f>
        <v>Fan Shop</v>
      </c>
      <c r="K1164">
        <v>2545</v>
      </c>
      <c r="L1164" t="s">
        <v>258</v>
      </c>
      <c r="M1164" s="4">
        <v>43524</v>
      </c>
      <c r="N1164" s="12">
        <f t="shared" si="55"/>
        <v>2</v>
      </c>
      <c r="O1164" s="13">
        <f t="shared" si="56"/>
        <v>2019</v>
      </c>
      <c r="P1164" t="s">
        <v>13</v>
      </c>
      <c r="Q1164" t="s">
        <v>30</v>
      </c>
      <c r="R1164" t="s">
        <v>31</v>
      </c>
      <c r="S1164" t="str" cm="1">
        <f t="array" ref="S1164">_xlfn.IFS(R1164="COMPLETE", "COMPLETED", R1164="CANCELED", "CANCELED", TRUE, "PENDING")</f>
        <v>COMPLETED</v>
      </c>
      <c r="T1164" t="s">
        <v>16</v>
      </c>
      <c r="U1164">
        <f>VLOOKUP(A1164,ordered_items!$B:$E,4,0)</f>
        <v>199.99</v>
      </c>
    </row>
    <row r="1165" spans="1:21" x14ac:dyDescent="0.3">
      <c r="A1165">
        <v>29125</v>
      </c>
      <c r="B1165" t="s">
        <v>3</v>
      </c>
      <c r="C1165">
        <v>6</v>
      </c>
      <c r="D1165">
        <v>2</v>
      </c>
      <c r="E1165" t="str">
        <f t="shared" si="54"/>
        <v>DELAYED</v>
      </c>
      <c r="F1165">
        <f>VLOOKUP($A1165,ordered_items!$B$2:$E$4784,2,0)</f>
        <v>1004</v>
      </c>
      <c r="G1165">
        <f>VLOOKUP($A1165,ordered_items!$B$2:$E$4784,3,0)</f>
        <v>1</v>
      </c>
      <c r="H1165">
        <f>VLOOKUP($A1165,ordered_items!$B$2:$E$4784,4,0)</f>
        <v>399.98</v>
      </c>
      <c r="I1165" s="15">
        <f>VLOOKUP(F1165,product_info!$A$2:$D$73,4,0)</f>
        <v>7</v>
      </c>
      <c r="J1165" s="15" t="str">
        <f>VLOOKUP(I1165,department!$A$2:$B$13,2,0)</f>
        <v>Fan Shop</v>
      </c>
      <c r="K1165">
        <v>7295</v>
      </c>
      <c r="L1165" t="s">
        <v>1120</v>
      </c>
      <c r="M1165" s="4">
        <v>43525</v>
      </c>
      <c r="N1165" s="12">
        <f t="shared" si="55"/>
        <v>3</v>
      </c>
      <c r="O1165" s="13">
        <f t="shared" si="56"/>
        <v>2019</v>
      </c>
      <c r="P1165" t="s">
        <v>13</v>
      </c>
      <c r="Q1165" t="s">
        <v>30</v>
      </c>
      <c r="R1165" t="s">
        <v>38</v>
      </c>
      <c r="S1165" t="str" cm="1">
        <f t="array" ref="S1165">_xlfn.IFS(R1165="COMPLETE", "COMPLETED", R1165="CANCELED", "CANCELED", TRUE, "PENDING")</f>
        <v>PENDING</v>
      </c>
      <c r="T1165" t="s">
        <v>90</v>
      </c>
      <c r="U1165">
        <f>VLOOKUP(A1165,ordered_items!$B:$E,4,0)</f>
        <v>399.98</v>
      </c>
    </row>
    <row r="1166" spans="1:21" x14ac:dyDescent="0.3">
      <c r="A1166">
        <v>29151</v>
      </c>
      <c r="B1166" t="s">
        <v>24</v>
      </c>
      <c r="C1166">
        <v>2</v>
      </c>
      <c r="D1166">
        <v>4</v>
      </c>
      <c r="E1166" t="str">
        <f t="shared" si="54"/>
        <v xml:space="preserve"> ONTIME</v>
      </c>
      <c r="F1166">
        <f>VLOOKUP($A1166,ordered_items!$B$2:$E$4784,2,0)</f>
        <v>642</v>
      </c>
      <c r="G1166">
        <f>VLOOKUP($A1166,ordered_items!$B$2:$E$4784,3,0)</f>
        <v>1</v>
      </c>
      <c r="H1166">
        <f>VLOOKUP($A1166,ordered_items!$B$2:$E$4784,4,0)</f>
        <v>30</v>
      </c>
      <c r="I1166" s="15">
        <f>VLOOKUP(F1166,product_info!$A$2:$D$73,4,0)</f>
        <v>5</v>
      </c>
      <c r="J1166" s="15" t="str">
        <f>VLOOKUP(I1166,department!$A$2:$B$13,2,0)</f>
        <v>Golf</v>
      </c>
      <c r="K1166">
        <v>11636</v>
      </c>
      <c r="L1166" t="s">
        <v>758</v>
      </c>
      <c r="M1166" s="4">
        <v>43525</v>
      </c>
      <c r="N1166" s="12">
        <f t="shared" si="55"/>
        <v>3</v>
      </c>
      <c r="O1166" s="13">
        <f t="shared" si="56"/>
        <v>2019</v>
      </c>
      <c r="P1166" t="s">
        <v>13</v>
      </c>
      <c r="Q1166" t="s">
        <v>431</v>
      </c>
      <c r="R1166" t="s">
        <v>31</v>
      </c>
      <c r="S1166" t="str" cm="1">
        <f t="array" ref="S1166">_xlfn.IFS(R1166="COMPLETE", "COMPLETED", R1166="CANCELED", "CANCELED", TRUE, "PENDING")</f>
        <v>COMPLETED</v>
      </c>
      <c r="T1166" t="s">
        <v>16</v>
      </c>
      <c r="U1166">
        <f>VLOOKUP(A1166,ordered_items!$B:$E,4,0)</f>
        <v>30</v>
      </c>
    </row>
    <row r="1167" spans="1:21" x14ac:dyDescent="0.3">
      <c r="A1167">
        <v>29161</v>
      </c>
      <c r="B1167" t="s">
        <v>51</v>
      </c>
      <c r="C1167">
        <v>2</v>
      </c>
      <c r="D1167">
        <v>4</v>
      </c>
      <c r="E1167" t="str">
        <f t="shared" si="54"/>
        <v xml:space="preserve"> ONTIME</v>
      </c>
      <c r="F1167">
        <f>VLOOKUP($A1167,ordered_items!$B$2:$E$4784,2,0)</f>
        <v>1004</v>
      </c>
      <c r="G1167">
        <f>VLOOKUP($A1167,ordered_items!$B$2:$E$4784,3,0)</f>
        <v>1</v>
      </c>
      <c r="H1167">
        <f>VLOOKUP($A1167,ordered_items!$B$2:$E$4784,4,0)</f>
        <v>399.98</v>
      </c>
      <c r="I1167" s="15">
        <f>VLOOKUP(F1167,product_info!$A$2:$D$73,4,0)</f>
        <v>7</v>
      </c>
      <c r="J1167" s="15" t="str">
        <f>VLOOKUP(I1167,department!$A$2:$B$13,2,0)</f>
        <v>Fan Shop</v>
      </c>
      <c r="K1167">
        <v>9676</v>
      </c>
      <c r="L1167" t="s">
        <v>84</v>
      </c>
      <c r="M1167" s="4">
        <v>43525</v>
      </c>
      <c r="N1167" s="12">
        <f t="shared" si="55"/>
        <v>3</v>
      </c>
      <c r="O1167" s="13">
        <f t="shared" si="56"/>
        <v>2019</v>
      </c>
      <c r="P1167" t="s">
        <v>13</v>
      </c>
      <c r="Q1167" t="s">
        <v>80</v>
      </c>
      <c r="R1167" t="s">
        <v>57</v>
      </c>
      <c r="S1167" t="str" cm="1">
        <f t="array" ref="S1167">_xlfn.IFS(R1167="COMPLETE", "COMPLETED", R1167="CANCELED", "CANCELED", TRUE, "PENDING")</f>
        <v>PENDING</v>
      </c>
      <c r="T1167" t="s">
        <v>16</v>
      </c>
      <c r="U1167">
        <f>VLOOKUP(A1167,ordered_items!$B:$E,4,0)</f>
        <v>399.98</v>
      </c>
    </row>
    <row r="1168" spans="1:21" x14ac:dyDescent="0.3">
      <c r="A1168">
        <v>29163</v>
      </c>
      <c r="B1168" t="s">
        <v>3</v>
      </c>
      <c r="C1168">
        <v>2</v>
      </c>
      <c r="D1168">
        <v>1</v>
      </c>
      <c r="E1168" t="str">
        <f t="shared" si="54"/>
        <v>DELAYED</v>
      </c>
      <c r="F1168">
        <f>VLOOKUP($A1168,ordered_items!$B$2:$E$4784,2,0)</f>
        <v>191</v>
      </c>
      <c r="G1168">
        <f>VLOOKUP($A1168,ordered_items!$B$2:$E$4784,3,0)</f>
        <v>2</v>
      </c>
      <c r="H1168">
        <f>VLOOKUP($A1168,ordered_items!$B$2:$E$4784,4,0)</f>
        <v>199.98</v>
      </c>
      <c r="I1168" s="15">
        <f>VLOOKUP(F1168,product_info!$A$2:$D$73,4,0)</f>
        <v>3</v>
      </c>
      <c r="J1168" s="15" t="str">
        <f>VLOOKUP(I1168,department!$A$2:$B$13,2,0)</f>
        <v>Footwear</v>
      </c>
      <c r="K1168">
        <v>377</v>
      </c>
      <c r="L1168" t="s">
        <v>530</v>
      </c>
      <c r="M1168" s="4">
        <v>43525</v>
      </c>
      <c r="N1168" s="12">
        <f t="shared" si="55"/>
        <v>3</v>
      </c>
      <c r="O1168" s="13">
        <f t="shared" si="56"/>
        <v>2019</v>
      </c>
      <c r="P1168" t="s">
        <v>13</v>
      </c>
      <c r="Q1168" t="s">
        <v>5777</v>
      </c>
      <c r="R1168" t="s">
        <v>38</v>
      </c>
      <c r="S1168" t="str" cm="1">
        <f t="array" ref="S1168">_xlfn.IFS(R1168="COMPLETE", "COMPLETED", R1168="CANCELED", "CANCELED", TRUE, "PENDING")</f>
        <v>PENDING</v>
      </c>
      <c r="T1168" t="s">
        <v>32</v>
      </c>
      <c r="U1168">
        <f>VLOOKUP(A1168,ordered_items!$B:$E,4,0)</f>
        <v>199.98</v>
      </c>
    </row>
    <row r="1169" spans="1:21" x14ac:dyDescent="0.3">
      <c r="A1169">
        <v>29173</v>
      </c>
      <c r="B1169" t="s">
        <v>51</v>
      </c>
      <c r="C1169">
        <v>4</v>
      </c>
      <c r="D1169">
        <v>4</v>
      </c>
      <c r="E1169" t="str">
        <f t="shared" si="54"/>
        <v xml:space="preserve"> ONTIME</v>
      </c>
      <c r="F1169">
        <f>VLOOKUP($A1169,ordered_items!$B$2:$E$4784,2,0)</f>
        <v>1014</v>
      </c>
      <c r="G1169">
        <f>VLOOKUP($A1169,ordered_items!$B$2:$E$4784,3,0)</f>
        <v>2</v>
      </c>
      <c r="H1169">
        <f>VLOOKUP($A1169,ordered_items!$B$2:$E$4784,4,0)</f>
        <v>99.96</v>
      </c>
      <c r="I1169" s="15">
        <f>VLOOKUP(F1169,product_info!$A$2:$D$73,4,0)</f>
        <v>7</v>
      </c>
      <c r="J1169" s="15" t="str">
        <f>VLOOKUP(I1169,department!$A$2:$B$13,2,0)</f>
        <v>Fan Shop</v>
      </c>
      <c r="K1169">
        <v>2744</v>
      </c>
      <c r="L1169" t="s">
        <v>439</v>
      </c>
      <c r="M1169" s="4">
        <v>43525</v>
      </c>
      <c r="N1169" s="12">
        <f t="shared" si="55"/>
        <v>3</v>
      </c>
      <c r="O1169" s="13">
        <f t="shared" si="56"/>
        <v>2019</v>
      </c>
      <c r="P1169" t="s">
        <v>13</v>
      </c>
      <c r="Q1169" t="s">
        <v>377</v>
      </c>
      <c r="R1169" t="s">
        <v>57</v>
      </c>
      <c r="S1169" t="str" cm="1">
        <f t="array" ref="S1169">_xlfn.IFS(R1169="COMPLETE", "COMPLETED", R1169="CANCELED", "CANCELED", TRUE, "PENDING")</f>
        <v>PENDING</v>
      </c>
      <c r="T1169" t="s">
        <v>16</v>
      </c>
      <c r="U1169">
        <f>VLOOKUP(A1169,ordered_items!$B:$E,4,0)</f>
        <v>99.96</v>
      </c>
    </row>
    <row r="1170" spans="1:21" x14ac:dyDescent="0.3">
      <c r="A1170">
        <v>29174</v>
      </c>
      <c r="B1170" t="s">
        <v>24</v>
      </c>
      <c r="C1170">
        <v>5</v>
      </c>
      <c r="D1170">
        <v>4</v>
      </c>
      <c r="E1170" t="str">
        <f t="shared" si="54"/>
        <v>DELAYED</v>
      </c>
      <c r="F1170">
        <f>VLOOKUP($A1170,ordered_items!$B$2:$E$4784,2,0)</f>
        <v>403</v>
      </c>
      <c r="G1170">
        <f>VLOOKUP($A1170,ordered_items!$B$2:$E$4784,3,0)</f>
        <v>1</v>
      </c>
      <c r="H1170">
        <f>VLOOKUP($A1170,ordered_items!$B$2:$E$4784,4,0)</f>
        <v>129.99</v>
      </c>
      <c r="I1170" s="15">
        <f>VLOOKUP(F1170,product_info!$A$2:$D$73,4,0)</f>
        <v>4</v>
      </c>
      <c r="J1170" s="15" t="str">
        <f>VLOOKUP(I1170,department!$A$2:$B$13,2,0)</f>
        <v>Apparel</v>
      </c>
      <c r="K1170">
        <v>7566</v>
      </c>
      <c r="L1170" t="s">
        <v>439</v>
      </c>
      <c r="M1170" s="4">
        <v>43525</v>
      </c>
      <c r="N1170" s="12">
        <f t="shared" si="55"/>
        <v>3</v>
      </c>
      <c r="O1170" s="13">
        <f t="shared" si="56"/>
        <v>2019</v>
      </c>
      <c r="P1170" t="s">
        <v>13</v>
      </c>
      <c r="Q1170" t="s">
        <v>377</v>
      </c>
      <c r="R1170" t="s">
        <v>378</v>
      </c>
      <c r="S1170" t="str" cm="1">
        <f t="array" ref="S1170">_xlfn.IFS(R1170="COMPLETE", "COMPLETED", R1170="CANCELED", "CANCELED", TRUE, "PENDING")</f>
        <v>PENDING</v>
      </c>
      <c r="T1170" t="s">
        <v>16</v>
      </c>
      <c r="U1170">
        <f>VLOOKUP(A1170,ordered_items!$B:$E,4,0)</f>
        <v>129.99</v>
      </c>
    </row>
    <row r="1171" spans="1:21" x14ac:dyDescent="0.3">
      <c r="A1171">
        <v>29203</v>
      </c>
      <c r="B1171" t="s">
        <v>3</v>
      </c>
      <c r="C1171">
        <v>4</v>
      </c>
      <c r="D1171">
        <v>4</v>
      </c>
      <c r="E1171" t="str">
        <f t="shared" si="54"/>
        <v xml:space="preserve"> ONTIME</v>
      </c>
      <c r="F1171">
        <f>VLOOKUP($A1171,ordered_items!$B$2:$E$4784,2,0)</f>
        <v>502</v>
      </c>
      <c r="G1171">
        <f>VLOOKUP($A1171,ordered_items!$B$2:$E$4784,3,0)</f>
        <v>2</v>
      </c>
      <c r="H1171">
        <f>VLOOKUP($A1171,ordered_items!$B$2:$E$4784,4,0)</f>
        <v>100</v>
      </c>
      <c r="I1171" s="15">
        <f>VLOOKUP(F1171,product_info!$A$2:$D$73,4,0)</f>
        <v>5</v>
      </c>
      <c r="J1171" s="15" t="str">
        <f>VLOOKUP(I1171,department!$A$2:$B$13,2,0)</f>
        <v>Golf</v>
      </c>
      <c r="K1171">
        <v>8996</v>
      </c>
      <c r="L1171" t="s">
        <v>214</v>
      </c>
      <c r="M1171" s="4">
        <v>43526</v>
      </c>
      <c r="N1171" s="12">
        <f t="shared" si="55"/>
        <v>3</v>
      </c>
      <c r="O1171" s="13">
        <f t="shared" si="56"/>
        <v>2019</v>
      </c>
      <c r="P1171" t="s">
        <v>13</v>
      </c>
      <c r="Q1171" t="s">
        <v>5781</v>
      </c>
      <c r="R1171" t="s">
        <v>38</v>
      </c>
      <c r="S1171" t="str" cm="1">
        <f t="array" ref="S1171">_xlfn.IFS(R1171="COMPLETE", "COMPLETED", R1171="CANCELED", "CANCELED", TRUE, "PENDING")</f>
        <v>PENDING</v>
      </c>
      <c r="T1171" t="s">
        <v>16</v>
      </c>
      <c r="U1171">
        <f>VLOOKUP(A1171,ordered_items!$B:$E,4,0)</f>
        <v>100</v>
      </c>
    </row>
    <row r="1172" spans="1:21" x14ac:dyDescent="0.3">
      <c r="A1172">
        <v>29204</v>
      </c>
      <c r="B1172" t="s">
        <v>24</v>
      </c>
      <c r="C1172">
        <v>5</v>
      </c>
      <c r="D1172">
        <v>4</v>
      </c>
      <c r="E1172" t="str">
        <f t="shared" si="54"/>
        <v>DELAYED</v>
      </c>
      <c r="F1172">
        <f>VLOOKUP($A1172,ordered_items!$B$2:$E$4784,2,0)</f>
        <v>403</v>
      </c>
      <c r="G1172">
        <f>VLOOKUP($A1172,ordered_items!$B$2:$E$4784,3,0)</f>
        <v>1</v>
      </c>
      <c r="H1172">
        <f>VLOOKUP($A1172,ordered_items!$B$2:$E$4784,4,0)</f>
        <v>129.99</v>
      </c>
      <c r="I1172" s="15">
        <f>VLOOKUP(F1172,product_info!$A$2:$D$73,4,0)</f>
        <v>4</v>
      </c>
      <c r="J1172" s="15" t="str">
        <f>VLOOKUP(I1172,department!$A$2:$B$13,2,0)</f>
        <v>Apparel</v>
      </c>
      <c r="K1172">
        <v>9926</v>
      </c>
      <c r="L1172" t="s">
        <v>214</v>
      </c>
      <c r="M1172" s="4">
        <v>43526</v>
      </c>
      <c r="N1172" s="12">
        <f t="shared" si="55"/>
        <v>3</v>
      </c>
      <c r="O1172" s="13">
        <f t="shared" si="56"/>
        <v>2019</v>
      </c>
      <c r="P1172" t="s">
        <v>13</v>
      </c>
      <c r="Q1172" t="s">
        <v>5781</v>
      </c>
      <c r="R1172" t="s">
        <v>31</v>
      </c>
      <c r="S1172" t="str" cm="1">
        <f t="array" ref="S1172">_xlfn.IFS(R1172="COMPLETE", "COMPLETED", R1172="CANCELED", "CANCELED", TRUE, "PENDING")</f>
        <v>COMPLETED</v>
      </c>
      <c r="T1172" t="s">
        <v>16</v>
      </c>
      <c r="U1172">
        <f>VLOOKUP(A1172,ordered_items!$B:$E,4,0)</f>
        <v>129.99</v>
      </c>
    </row>
    <row r="1173" spans="1:21" x14ac:dyDescent="0.3">
      <c r="A1173">
        <v>29216</v>
      </c>
      <c r="B1173" t="s">
        <v>3</v>
      </c>
      <c r="C1173">
        <v>2</v>
      </c>
      <c r="D1173">
        <v>4</v>
      </c>
      <c r="E1173" t="str">
        <f t="shared" si="54"/>
        <v xml:space="preserve"> ONTIME</v>
      </c>
      <c r="F1173">
        <f>VLOOKUP($A1173,ordered_items!$B$2:$E$4784,2,0)</f>
        <v>403</v>
      </c>
      <c r="G1173">
        <f>VLOOKUP($A1173,ordered_items!$B$2:$E$4784,3,0)</f>
        <v>1</v>
      </c>
      <c r="H1173">
        <f>VLOOKUP($A1173,ordered_items!$B$2:$E$4784,4,0)</f>
        <v>129.99</v>
      </c>
      <c r="I1173" s="15">
        <f>VLOOKUP(F1173,product_info!$A$2:$D$73,4,0)</f>
        <v>4</v>
      </c>
      <c r="J1173" s="15" t="str">
        <f>VLOOKUP(I1173,department!$A$2:$B$13,2,0)</f>
        <v>Apparel</v>
      </c>
      <c r="K1173">
        <v>2220</v>
      </c>
      <c r="L1173" t="s">
        <v>258</v>
      </c>
      <c r="M1173" s="4">
        <v>43526</v>
      </c>
      <c r="N1173" s="12">
        <f t="shared" si="55"/>
        <v>3</v>
      </c>
      <c r="O1173" s="13">
        <f t="shared" si="56"/>
        <v>2019</v>
      </c>
      <c r="P1173" t="s">
        <v>13</v>
      </c>
      <c r="Q1173" t="s">
        <v>30</v>
      </c>
      <c r="R1173" t="s">
        <v>235</v>
      </c>
      <c r="S1173" t="str" cm="1">
        <f t="array" ref="S1173">_xlfn.IFS(R1173="COMPLETE", "COMPLETED", R1173="CANCELED", "CANCELED", TRUE, "PENDING")</f>
        <v>CANCELED</v>
      </c>
      <c r="T1173" t="s">
        <v>16</v>
      </c>
      <c r="U1173">
        <f>VLOOKUP(A1173,ordered_items!$B:$E,4,0)</f>
        <v>129.99</v>
      </c>
    </row>
    <row r="1174" spans="1:21" x14ac:dyDescent="0.3">
      <c r="A1174">
        <v>29218</v>
      </c>
      <c r="B1174" t="s">
        <v>3</v>
      </c>
      <c r="C1174">
        <v>1</v>
      </c>
      <c r="D1174">
        <v>0</v>
      </c>
      <c r="E1174" t="str">
        <f t="shared" si="54"/>
        <v>DELAYED</v>
      </c>
      <c r="F1174">
        <f>VLOOKUP($A1174,ordered_items!$B$2:$E$4784,2,0)</f>
        <v>1014</v>
      </c>
      <c r="G1174">
        <f>VLOOKUP($A1174,ordered_items!$B$2:$E$4784,3,0)</f>
        <v>1</v>
      </c>
      <c r="H1174">
        <f>VLOOKUP($A1174,ordered_items!$B$2:$E$4784,4,0)</f>
        <v>49.98</v>
      </c>
      <c r="I1174" s="15">
        <f>VLOOKUP(F1174,product_info!$A$2:$D$73,4,0)</f>
        <v>7</v>
      </c>
      <c r="J1174" s="15" t="str">
        <f>VLOOKUP(I1174,department!$A$2:$B$13,2,0)</f>
        <v>Fan Shop</v>
      </c>
      <c r="K1174">
        <v>10500</v>
      </c>
      <c r="L1174" t="s">
        <v>104</v>
      </c>
      <c r="M1174" s="4">
        <v>43526</v>
      </c>
      <c r="N1174" s="12">
        <f t="shared" si="55"/>
        <v>3</v>
      </c>
      <c r="O1174" s="13">
        <f t="shared" si="56"/>
        <v>2019</v>
      </c>
      <c r="P1174" t="s">
        <v>13</v>
      </c>
      <c r="Q1174" t="s">
        <v>130</v>
      </c>
      <c r="R1174" t="s">
        <v>14</v>
      </c>
      <c r="S1174" t="str" cm="1">
        <f t="array" ref="S1174">_xlfn.IFS(R1174="COMPLETE", "COMPLETED", R1174="CANCELED", "CANCELED", TRUE, "PENDING")</f>
        <v>PENDING</v>
      </c>
      <c r="T1174" t="s">
        <v>58</v>
      </c>
      <c r="U1174">
        <f>VLOOKUP(A1174,ordered_items!$B:$E,4,0)</f>
        <v>49.98</v>
      </c>
    </row>
    <row r="1175" spans="1:21" x14ac:dyDescent="0.3">
      <c r="A1175">
        <v>29220</v>
      </c>
      <c r="B1175" t="s">
        <v>24</v>
      </c>
      <c r="C1175">
        <v>6</v>
      </c>
      <c r="D1175">
        <v>4</v>
      </c>
      <c r="E1175" t="str">
        <f t="shared" si="54"/>
        <v>DELAYED</v>
      </c>
      <c r="F1175">
        <f>VLOOKUP($A1175,ordered_items!$B$2:$E$4784,2,0)</f>
        <v>502</v>
      </c>
      <c r="G1175">
        <f>VLOOKUP($A1175,ordered_items!$B$2:$E$4784,3,0)</f>
        <v>5</v>
      </c>
      <c r="H1175">
        <f>VLOOKUP($A1175,ordered_items!$B$2:$E$4784,4,0)</f>
        <v>250</v>
      </c>
      <c r="I1175" s="15">
        <f>VLOOKUP(F1175,product_info!$A$2:$D$73,4,0)</f>
        <v>5</v>
      </c>
      <c r="J1175" s="15" t="str">
        <f>VLOOKUP(I1175,department!$A$2:$B$13,2,0)</f>
        <v>Golf</v>
      </c>
      <c r="K1175">
        <v>9244</v>
      </c>
      <c r="L1175" t="s">
        <v>104</v>
      </c>
      <c r="M1175" s="4">
        <v>43526</v>
      </c>
      <c r="N1175" s="12">
        <f t="shared" si="55"/>
        <v>3</v>
      </c>
      <c r="O1175" s="13">
        <f t="shared" si="56"/>
        <v>2019</v>
      </c>
      <c r="P1175" t="s">
        <v>13</v>
      </c>
      <c r="Q1175" t="s">
        <v>130</v>
      </c>
      <c r="R1175" t="s">
        <v>31</v>
      </c>
      <c r="S1175" t="str" cm="1">
        <f t="array" ref="S1175">_xlfn.IFS(R1175="COMPLETE", "COMPLETED", R1175="CANCELED", "CANCELED", TRUE, "PENDING")</f>
        <v>COMPLETED</v>
      </c>
      <c r="T1175" t="s">
        <v>16</v>
      </c>
      <c r="U1175">
        <f>VLOOKUP(A1175,ordered_items!$B:$E,4,0)</f>
        <v>250</v>
      </c>
    </row>
    <row r="1176" spans="1:21" x14ac:dyDescent="0.3">
      <c r="A1176">
        <v>29224</v>
      </c>
      <c r="B1176" t="s">
        <v>51</v>
      </c>
      <c r="C1176">
        <v>5</v>
      </c>
      <c r="D1176">
        <v>4</v>
      </c>
      <c r="E1176" t="str">
        <f t="shared" si="54"/>
        <v>DELAYED</v>
      </c>
      <c r="F1176">
        <f>VLOOKUP($A1176,ordered_items!$B$2:$E$4784,2,0)</f>
        <v>365</v>
      </c>
      <c r="G1176">
        <f>VLOOKUP($A1176,ordered_items!$B$2:$E$4784,3,0)</f>
        <v>1</v>
      </c>
      <c r="H1176">
        <f>VLOOKUP($A1176,ordered_items!$B$2:$E$4784,4,0)</f>
        <v>59.99</v>
      </c>
      <c r="I1176" s="15">
        <f>VLOOKUP(F1176,product_info!$A$2:$D$73,4,0)</f>
        <v>4</v>
      </c>
      <c r="J1176" s="15" t="str">
        <f>VLOOKUP(I1176,department!$A$2:$B$13,2,0)</f>
        <v>Apparel</v>
      </c>
      <c r="K1176">
        <v>9713</v>
      </c>
      <c r="L1176" t="s">
        <v>450</v>
      </c>
      <c r="M1176" s="4">
        <v>43526</v>
      </c>
      <c r="N1176" s="12">
        <f t="shared" si="55"/>
        <v>3</v>
      </c>
      <c r="O1176" s="13">
        <f t="shared" si="56"/>
        <v>2019</v>
      </c>
      <c r="P1176" t="s">
        <v>13</v>
      </c>
      <c r="Q1176" t="s">
        <v>286</v>
      </c>
      <c r="R1176" t="s">
        <v>57</v>
      </c>
      <c r="S1176" t="str" cm="1">
        <f t="array" ref="S1176">_xlfn.IFS(R1176="COMPLETE", "COMPLETED", R1176="CANCELED", "CANCELED", TRUE, "PENDING")</f>
        <v>PENDING</v>
      </c>
      <c r="T1176" t="s">
        <v>16</v>
      </c>
      <c r="U1176">
        <f>VLOOKUP(A1176,ordered_items!$B:$E,4,0)</f>
        <v>59.99</v>
      </c>
    </row>
    <row r="1177" spans="1:21" x14ac:dyDescent="0.3">
      <c r="A1177">
        <v>29225</v>
      </c>
      <c r="B1177" t="s">
        <v>24</v>
      </c>
      <c r="C1177">
        <v>6</v>
      </c>
      <c r="D1177">
        <v>4</v>
      </c>
      <c r="E1177" t="str">
        <f t="shared" si="54"/>
        <v>DELAYED</v>
      </c>
      <c r="F1177">
        <f>VLOOKUP($A1177,ordered_items!$B$2:$E$4784,2,0)</f>
        <v>804</v>
      </c>
      <c r="G1177">
        <f>VLOOKUP($A1177,ordered_items!$B$2:$E$4784,3,0)</f>
        <v>3</v>
      </c>
      <c r="H1177">
        <f>VLOOKUP($A1177,ordered_items!$B$2:$E$4784,4,0)</f>
        <v>59.97</v>
      </c>
      <c r="I1177" s="15">
        <f>VLOOKUP(F1177,product_info!$A$2:$D$73,4,0)</f>
        <v>6</v>
      </c>
      <c r="J1177" s="15" t="str">
        <f>VLOOKUP(I1177,department!$A$2:$B$13,2,0)</f>
        <v>Outdoors</v>
      </c>
      <c r="K1177">
        <v>4522</v>
      </c>
      <c r="L1177" t="s">
        <v>450</v>
      </c>
      <c r="M1177" s="4">
        <v>43526</v>
      </c>
      <c r="N1177" s="12">
        <f t="shared" si="55"/>
        <v>3</v>
      </c>
      <c r="O1177" s="13">
        <f t="shared" si="56"/>
        <v>2019</v>
      </c>
      <c r="P1177" t="s">
        <v>13</v>
      </c>
      <c r="Q1177" t="s">
        <v>286</v>
      </c>
      <c r="R1177" t="s">
        <v>378</v>
      </c>
      <c r="S1177" t="str" cm="1">
        <f t="array" ref="S1177">_xlfn.IFS(R1177="COMPLETE", "COMPLETED", R1177="CANCELED", "CANCELED", TRUE, "PENDING")</f>
        <v>PENDING</v>
      </c>
      <c r="T1177" t="s">
        <v>16</v>
      </c>
      <c r="U1177">
        <f>VLOOKUP(A1177,ordered_items!$B:$E,4,0)</f>
        <v>59.97</v>
      </c>
    </row>
    <row r="1178" spans="1:21" x14ac:dyDescent="0.3">
      <c r="A1178">
        <v>29226</v>
      </c>
      <c r="B1178" t="s">
        <v>17</v>
      </c>
      <c r="C1178">
        <v>2</v>
      </c>
      <c r="D1178">
        <v>4</v>
      </c>
      <c r="E1178" t="str">
        <f t="shared" si="54"/>
        <v xml:space="preserve"> ONTIME</v>
      </c>
      <c r="F1178">
        <f>VLOOKUP($A1178,ordered_items!$B$2:$E$4784,2,0)</f>
        <v>627</v>
      </c>
      <c r="G1178">
        <f>VLOOKUP($A1178,ordered_items!$B$2:$E$4784,3,0)</f>
        <v>3</v>
      </c>
      <c r="H1178">
        <f>VLOOKUP($A1178,ordered_items!$B$2:$E$4784,4,0)</f>
        <v>119.97</v>
      </c>
      <c r="I1178" s="15">
        <f>VLOOKUP(F1178,product_info!$A$2:$D$73,4,0)</f>
        <v>5</v>
      </c>
      <c r="J1178" s="15" t="str">
        <f>VLOOKUP(I1178,department!$A$2:$B$13,2,0)</f>
        <v>Golf</v>
      </c>
      <c r="K1178">
        <v>225</v>
      </c>
      <c r="L1178" t="s">
        <v>450</v>
      </c>
      <c r="M1178" s="4">
        <v>43526</v>
      </c>
      <c r="N1178" s="12">
        <f t="shared" si="55"/>
        <v>3</v>
      </c>
      <c r="O1178" s="13">
        <f t="shared" si="56"/>
        <v>2019</v>
      </c>
      <c r="P1178" t="s">
        <v>13</v>
      </c>
      <c r="Q1178" t="s">
        <v>286</v>
      </c>
      <c r="R1178" t="s">
        <v>23</v>
      </c>
      <c r="S1178" t="str" cm="1">
        <f t="array" ref="S1178">_xlfn.IFS(R1178="COMPLETE", "COMPLETED", R1178="CANCELED", "CANCELED", TRUE, "PENDING")</f>
        <v>PENDING</v>
      </c>
      <c r="T1178" t="s">
        <v>16</v>
      </c>
      <c r="U1178">
        <f>VLOOKUP(A1178,ordered_items!$B:$E,4,0)</f>
        <v>119.97</v>
      </c>
    </row>
    <row r="1179" spans="1:21" x14ac:dyDescent="0.3">
      <c r="A1179">
        <v>29227</v>
      </c>
      <c r="B1179" t="s">
        <v>3</v>
      </c>
      <c r="C1179">
        <v>3</v>
      </c>
      <c r="D1179">
        <v>2</v>
      </c>
      <c r="E1179" t="str">
        <f t="shared" si="54"/>
        <v>DELAYED</v>
      </c>
      <c r="F1179">
        <f>VLOOKUP($A1179,ordered_items!$B$2:$E$4784,2,0)</f>
        <v>926</v>
      </c>
      <c r="G1179">
        <f>VLOOKUP($A1179,ordered_items!$B$2:$E$4784,3,0)</f>
        <v>2</v>
      </c>
      <c r="H1179">
        <f>VLOOKUP($A1179,ordered_items!$B$2:$E$4784,4,0)</f>
        <v>31.98</v>
      </c>
      <c r="I1179" s="15">
        <f>VLOOKUP(F1179,product_info!$A$2:$D$73,4,0)</f>
        <v>6</v>
      </c>
      <c r="J1179" s="15" t="str">
        <f>VLOOKUP(I1179,department!$A$2:$B$13,2,0)</f>
        <v>Outdoors</v>
      </c>
      <c r="K1179">
        <v>9367</v>
      </c>
      <c r="L1179" t="s">
        <v>450</v>
      </c>
      <c r="M1179" s="4">
        <v>43526</v>
      </c>
      <c r="N1179" s="12">
        <f t="shared" si="55"/>
        <v>3</v>
      </c>
      <c r="O1179" s="13">
        <f t="shared" si="56"/>
        <v>2019</v>
      </c>
      <c r="P1179" t="s">
        <v>13</v>
      </c>
      <c r="Q1179" t="s">
        <v>286</v>
      </c>
      <c r="R1179" t="s">
        <v>235</v>
      </c>
      <c r="S1179" t="str" cm="1">
        <f t="array" ref="S1179">_xlfn.IFS(R1179="COMPLETE", "COMPLETED", R1179="CANCELED", "CANCELED", TRUE, "PENDING")</f>
        <v>CANCELED</v>
      </c>
      <c r="T1179" t="s">
        <v>90</v>
      </c>
      <c r="U1179">
        <f>VLOOKUP(A1179,ordered_items!$B:$E,4,0)</f>
        <v>31.98</v>
      </c>
    </row>
    <row r="1180" spans="1:21" x14ac:dyDescent="0.3">
      <c r="A1180">
        <v>29234</v>
      </c>
      <c r="B1180" t="s">
        <v>24</v>
      </c>
      <c r="C1180">
        <v>5</v>
      </c>
      <c r="D1180">
        <v>2</v>
      </c>
      <c r="E1180" t="str">
        <f t="shared" si="54"/>
        <v>DELAYED</v>
      </c>
      <c r="F1180">
        <f>VLOOKUP($A1180,ordered_items!$B$2:$E$4784,2,0)</f>
        <v>403</v>
      </c>
      <c r="G1180">
        <f>VLOOKUP($A1180,ordered_items!$B$2:$E$4784,3,0)</f>
        <v>1</v>
      </c>
      <c r="H1180">
        <f>VLOOKUP($A1180,ordered_items!$B$2:$E$4784,4,0)</f>
        <v>129.99</v>
      </c>
      <c r="I1180" s="15">
        <f>VLOOKUP(F1180,product_info!$A$2:$D$73,4,0)</f>
        <v>4</v>
      </c>
      <c r="J1180" s="15" t="str">
        <f>VLOOKUP(I1180,department!$A$2:$B$13,2,0)</f>
        <v>Apparel</v>
      </c>
      <c r="K1180">
        <v>3877</v>
      </c>
      <c r="L1180" t="s">
        <v>572</v>
      </c>
      <c r="M1180" s="4">
        <v>43526</v>
      </c>
      <c r="N1180" s="12">
        <f t="shared" si="55"/>
        <v>3</v>
      </c>
      <c r="O1180" s="13">
        <f t="shared" si="56"/>
        <v>2019</v>
      </c>
      <c r="P1180" t="s">
        <v>13</v>
      </c>
      <c r="Q1180" t="s">
        <v>47</v>
      </c>
      <c r="R1180" t="s">
        <v>31</v>
      </c>
      <c r="S1180" t="str" cm="1">
        <f t="array" ref="S1180">_xlfn.IFS(R1180="COMPLETE", "COMPLETED", R1180="CANCELED", "CANCELED", TRUE, "PENDING")</f>
        <v>COMPLETED</v>
      </c>
      <c r="T1180" t="s">
        <v>90</v>
      </c>
      <c r="U1180">
        <f>VLOOKUP(A1180,ordered_items!$B:$E,4,0)</f>
        <v>129.99</v>
      </c>
    </row>
    <row r="1181" spans="1:21" x14ac:dyDescent="0.3">
      <c r="A1181">
        <v>29235</v>
      </c>
      <c r="B1181" t="s">
        <v>3</v>
      </c>
      <c r="C1181">
        <v>6</v>
      </c>
      <c r="D1181">
        <v>2</v>
      </c>
      <c r="E1181" t="str">
        <f t="shared" si="54"/>
        <v>DELAYED</v>
      </c>
      <c r="F1181">
        <f>VLOOKUP($A1181,ordered_items!$B$2:$E$4784,2,0)</f>
        <v>365</v>
      </c>
      <c r="G1181">
        <f>VLOOKUP($A1181,ordered_items!$B$2:$E$4784,3,0)</f>
        <v>3</v>
      </c>
      <c r="H1181">
        <f>VLOOKUP($A1181,ordered_items!$B$2:$E$4784,4,0)</f>
        <v>179.97</v>
      </c>
      <c r="I1181" s="15">
        <f>VLOOKUP(F1181,product_info!$A$2:$D$73,4,0)</f>
        <v>4</v>
      </c>
      <c r="J1181" s="15" t="str">
        <f>VLOOKUP(I1181,department!$A$2:$B$13,2,0)</f>
        <v>Apparel</v>
      </c>
      <c r="K1181">
        <v>6106</v>
      </c>
      <c r="L1181" t="s">
        <v>572</v>
      </c>
      <c r="M1181" s="4">
        <v>43526</v>
      </c>
      <c r="N1181" s="12">
        <f t="shared" si="55"/>
        <v>3</v>
      </c>
      <c r="O1181" s="13">
        <f t="shared" si="56"/>
        <v>2019</v>
      </c>
      <c r="P1181" t="s">
        <v>13</v>
      </c>
      <c r="Q1181" t="s">
        <v>47</v>
      </c>
      <c r="R1181" t="s">
        <v>14</v>
      </c>
      <c r="S1181" t="str" cm="1">
        <f t="array" ref="S1181">_xlfn.IFS(R1181="COMPLETE", "COMPLETED", R1181="CANCELED", "CANCELED", TRUE, "PENDING")</f>
        <v>PENDING</v>
      </c>
      <c r="T1181" t="s">
        <v>90</v>
      </c>
      <c r="U1181">
        <f>VLOOKUP(A1181,ordered_items!$B:$E,4,0)</f>
        <v>179.97</v>
      </c>
    </row>
    <row r="1182" spans="1:21" x14ac:dyDescent="0.3">
      <c r="A1182">
        <v>29269</v>
      </c>
      <c r="B1182" t="s">
        <v>17</v>
      </c>
      <c r="C1182">
        <v>0</v>
      </c>
      <c r="D1182">
        <v>0</v>
      </c>
      <c r="E1182" t="str">
        <f t="shared" si="54"/>
        <v xml:space="preserve"> ONTIME</v>
      </c>
      <c r="F1182">
        <f>VLOOKUP($A1182,ordered_items!$B$2:$E$4784,2,0)</f>
        <v>957</v>
      </c>
      <c r="G1182">
        <f>VLOOKUP($A1182,ordered_items!$B$2:$E$4784,3,0)</f>
        <v>1</v>
      </c>
      <c r="H1182">
        <f>VLOOKUP($A1182,ordered_items!$B$2:$E$4784,4,0)</f>
        <v>299.98</v>
      </c>
      <c r="I1182" s="15">
        <f>VLOOKUP(F1182,product_info!$A$2:$D$73,4,0)</f>
        <v>7</v>
      </c>
      <c r="J1182" s="15" t="str">
        <f>VLOOKUP(I1182,department!$A$2:$B$13,2,0)</f>
        <v>Fan Shop</v>
      </c>
      <c r="K1182">
        <v>5003</v>
      </c>
      <c r="L1182" t="s">
        <v>202</v>
      </c>
      <c r="M1182" s="4">
        <v>43527</v>
      </c>
      <c r="N1182" s="12">
        <f t="shared" si="55"/>
        <v>3</v>
      </c>
      <c r="O1182" s="13">
        <f t="shared" si="56"/>
        <v>2019</v>
      </c>
      <c r="P1182" t="s">
        <v>13</v>
      </c>
      <c r="Q1182" t="s">
        <v>203</v>
      </c>
      <c r="R1182" t="s">
        <v>23</v>
      </c>
      <c r="S1182" t="str" cm="1">
        <f t="array" ref="S1182">_xlfn.IFS(R1182="COMPLETE", "COMPLETED", R1182="CANCELED", "CANCELED", TRUE, "PENDING")</f>
        <v>PENDING</v>
      </c>
      <c r="T1182" t="s">
        <v>58</v>
      </c>
      <c r="U1182">
        <f>VLOOKUP(A1182,ordered_items!$B:$E,4,0)</f>
        <v>299.98</v>
      </c>
    </row>
    <row r="1183" spans="1:21" x14ac:dyDescent="0.3">
      <c r="A1183">
        <v>29270</v>
      </c>
      <c r="B1183" t="s">
        <v>3</v>
      </c>
      <c r="C1183">
        <v>6</v>
      </c>
      <c r="D1183">
        <v>4</v>
      </c>
      <c r="E1183" t="str">
        <f t="shared" si="54"/>
        <v>DELAYED</v>
      </c>
      <c r="F1183">
        <f>VLOOKUP($A1183,ordered_items!$B$2:$E$4784,2,0)</f>
        <v>365</v>
      </c>
      <c r="G1183">
        <f>VLOOKUP($A1183,ordered_items!$B$2:$E$4784,3,0)</f>
        <v>2</v>
      </c>
      <c r="H1183">
        <f>VLOOKUP($A1183,ordered_items!$B$2:$E$4784,4,0)</f>
        <v>119.98</v>
      </c>
      <c r="I1183" s="15">
        <f>VLOOKUP(F1183,product_info!$A$2:$D$73,4,0)</f>
        <v>4</v>
      </c>
      <c r="J1183" s="15" t="str">
        <f>VLOOKUP(I1183,department!$A$2:$B$13,2,0)</f>
        <v>Apparel</v>
      </c>
      <c r="K1183">
        <v>6187</v>
      </c>
      <c r="L1183" t="s">
        <v>202</v>
      </c>
      <c r="M1183" s="4">
        <v>43527</v>
      </c>
      <c r="N1183" s="12">
        <f t="shared" si="55"/>
        <v>3</v>
      </c>
      <c r="O1183" s="13">
        <f t="shared" si="56"/>
        <v>2019</v>
      </c>
      <c r="P1183" t="s">
        <v>13</v>
      </c>
      <c r="Q1183" t="s">
        <v>203</v>
      </c>
      <c r="R1183" t="s">
        <v>38</v>
      </c>
      <c r="S1183" t="str" cm="1">
        <f t="array" ref="S1183">_xlfn.IFS(R1183="COMPLETE", "COMPLETED", R1183="CANCELED", "CANCELED", TRUE, "PENDING")</f>
        <v>PENDING</v>
      </c>
      <c r="T1183" t="s">
        <v>16</v>
      </c>
      <c r="U1183">
        <f>VLOOKUP(A1183,ordered_items!$B:$E,4,0)</f>
        <v>119.98</v>
      </c>
    </row>
    <row r="1184" spans="1:21" x14ac:dyDescent="0.3">
      <c r="A1184">
        <v>29271</v>
      </c>
      <c r="B1184" t="s">
        <v>17</v>
      </c>
      <c r="C1184">
        <v>2</v>
      </c>
      <c r="D1184">
        <v>4</v>
      </c>
      <c r="E1184" t="str">
        <f t="shared" si="54"/>
        <v xml:space="preserve"> ONTIME</v>
      </c>
      <c r="F1184">
        <f>VLOOKUP($A1184,ordered_items!$B$2:$E$4784,2,0)</f>
        <v>365</v>
      </c>
      <c r="G1184">
        <f>VLOOKUP($A1184,ordered_items!$B$2:$E$4784,3,0)</f>
        <v>4</v>
      </c>
      <c r="H1184">
        <f>VLOOKUP($A1184,ordered_items!$B$2:$E$4784,4,0)</f>
        <v>239.96</v>
      </c>
      <c r="I1184" s="15">
        <f>VLOOKUP(F1184,product_info!$A$2:$D$73,4,0)</f>
        <v>4</v>
      </c>
      <c r="J1184" s="15" t="str">
        <f>VLOOKUP(I1184,department!$A$2:$B$13,2,0)</f>
        <v>Apparel</v>
      </c>
      <c r="K1184">
        <v>7800</v>
      </c>
      <c r="L1184" t="s">
        <v>202</v>
      </c>
      <c r="M1184" s="4">
        <v>43527</v>
      </c>
      <c r="N1184" s="12">
        <f t="shared" si="55"/>
        <v>3</v>
      </c>
      <c r="O1184" s="13">
        <f t="shared" si="56"/>
        <v>2019</v>
      </c>
      <c r="P1184" t="s">
        <v>13</v>
      </c>
      <c r="Q1184" t="s">
        <v>203</v>
      </c>
      <c r="R1184" t="s">
        <v>23</v>
      </c>
      <c r="S1184" t="str" cm="1">
        <f t="array" ref="S1184">_xlfn.IFS(R1184="COMPLETE", "COMPLETED", R1184="CANCELED", "CANCELED", TRUE, "PENDING")</f>
        <v>PENDING</v>
      </c>
      <c r="T1184" t="s">
        <v>16</v>
      </c>
      <c r="U1184">
        <f>VLOOKUP(A1184,ordered_items!$B:$E,4,0)</f>
        <v>239.96</v>
      </c>
    </row>
    <row r="1185" spans="1:21" x14ac:dyDescent="0.3">
      <c r="A1185">
        <v>29272</v>
      </c>
      <c r="B1185" t="s">
        <v>24</v>
      </c>
      <c r="C1185">
        <v>3</v>
      </c>
      <c r="D1185">
        <v>4</v>
      </c>
      <c r="E1185" t="str">
        <f t="shared" si="54"/>
        <v xml:space="preserve"> ONTIME</v>
      </c>
      <c r="F1185">
        <f>VLOOKUP($A1185,ordered_items!$B$2:$E$4784,2,0)</f>
        <v>116</v>
      </c>
      <c r="G1185">
        <f>VLOOKUP($A1185,ordered_items!$B$2:$E$4784,3,0)</f>
        <v>4</v>
      </c>
      <c r="H1185">
        <f>VLOOKUP($A1185,ordered_items!$B$2:$E$4784,4,0)</f>
        <v>179.96</v>
      </c>
      <c r="I1185" s="15">
        <f>VLOOKUP(F1185,product_info!$A$2:$D$73,4,0)</f>
        <v>2</v>
      </c>
      <c r="J1185" s="15" t="str">
        <f>VLOOKUP(I1185,department!$A$2:$B$13,2,0)</f>
        <v>Fitness</v>
      </c>
      <c r="K1185">
        <v>8166</v>
      </c>
      <c r="L1185" t="s">
        <v>202</v>
      </c>
      <c r="M1185" s="4">
        <v>43527</v>
      </c>
      <c r="N1185" s="12">
        <f t="shared" si="55"/>
        <v>3</v>
      </c>
      <c r="O1185" s="13">
        <f t="shared" si="56"/>
        <v>2019</v>
      </c>
      <c r="P1185" t="s">
        <v>13</v>
      </c>
      <c r="Q1185" t="s">
        <v>203</v>
      </c>
      <c r="R1185" t="s">
        <v>31</v>
      </c>
      <c r="S1185" t="str" cm="1">
        <f t="array" ref="S1185">_xlfn.IFS(R1185="COMPLETE", "COMPLETED", R1185="CANCELED", "CANCELED", TRUE, "PENDING")</f>
        <v>COMPLETED</v>
      </c>
      <c r="T1185" t="s">
        <v>16</v>
      </c>
      <c r="U1185">
        <f>VLOOKUP(A1185,ordered_items!$B:$E,4,0)</f>
        <v>179.96</v>
      </c>
    </row>
    <row r="1186" spans="1:21" x14ac:dyDescent="0.3">
      <c r="A1186">
        <v>29273</v>
      </c>
      <c r="B1186" t="s">
        <v>24</v>
      </c>
      <c r="C1186">
        <v>4</v>
      </c>
      <c r="D1186">
        <v>4</v>
      </c>
      <c r="E1186" t="str">
        <f t="shared" si="54"/>
        <v xml:space="preserve"> ONTIME</v>
      </c>
      <c r="F1186">
        <f>VLOOKUP($A1186,ordered_items!$B$2:$E$4784,2,0)</f>
        <v>191</v>
      </c>
      <c r="G1186">
        <f>VLOOKUP($A1186,ordered_items!$B$2:$E$4784,3,0)</f>
        <v>5</v>
      </c>
      <c r="H1186">
        <f>VLOOKUP($A1186,ordered_items!$B$2:$E$4784,4,0)</f>
        <v>499.95</v>
      </c>
      <c r="I1186" s="15">
        <f>VLOOKUP(F1186,product_info!$A$2:$D$73,4,0)</f>
        <v>3</v>
      </c>
      <c r="J1186" s="15" t="str">
        <f>VLOOKUP(I1186,department!$A$2:$B$13,2,0)</f>
        <v>Footwear</v>
      </c>
      <c r="K1186">
        <v>8417</v>
      </c>
      <c r="L1186" t="s">
        <v>202</v>
      </c>
      <c r="M1186" s="4">
        <v>43527</v>
      </c>
      <c r="N1186" s="12">
        <f t="shared" si="55"/>
        <v>3</v>
      </c>
      <c r="O1186" s="13">
        <f t="shared" si="56"/>
        <v>2019</v>
      </c>
      <c r="P1186" t="s">
        <v>13</v>
      </c>
      <c r="Q1186" t="s">
        <v>203</v>
      </c>
      <c r="R1186" t="s">
        <v>31</v>
      </c>
      <c r="S1186" t="str" cm="1">
        <f t="array" ref="S1186">_xlfn.IFS(R1186="COMPLETE", "COMPLETED", R1186="CANCELED", "CANCELED", TRUE, "PENDING")</f>
        <v>COMPLETED</v>
      </c>
      <c r="T1186" t="s">
        <v>16</v>
      </c>
      <c r="U1186">
        <f>VLOOKUP(A1186,ordered_items!$B:$E,4,0)</f>
        <v>499.95</v>
      </c>
    </row>
    <row r="1187" spans="1:21" x14ac:dyDescent="0.3">
      <c r="A1187">
        <v>29284</v>
      </c>
      <c r="B1187" t="s">
        <v>3</v>
      </c>
      <c r="C1187">
        <v>0</v>
      </c>
      <c r="D1187">
        <v>0</v>
      </c>
      <c r="E1187" t="str">
        <f t="shared" si="54"/>
        <v xml:space="preserve"> ONTIME</v>
      </c>
      <c r="F1187">
        <f>VLOOKUP($A1187,ordered_items!$B$2:$E$4784,2,0)</f>
        <v>1073</v>
      </c>
      <c r="G1187">
        <f>VLOOKUP($A1187,ordered_items!$B$2:$E$4784,3,0)</f>
        <v>1</v>
      </c>
      <c r="H1187">
        <f>VLOOKUP($A1187,ordered_items!$B$2:$E$4784,4,0)</f>
        <v>199.99</v>
      </c>
      <c r="I1187" s="15">
        <f>VLOOKUP(F1187,product_info!$A$2:$D$73,4,0)</f>
        <v>7</v>
      </c>
      <c r="J1187" s="15" t="str">
        <f>VLOOKUP(I1187,department!$A$2:$B$13,2,0)</f>
        <v>Fan Shop</v>
      </c>
      <c r="K1187">
        <v>9883</v>
      </c>
      <c r="L1187" t="s">
        <v>576</v>
      </c>
      <c r="M1187" s="4">
        <v>43527</v>
      </c>
      <c r="N1187" s="12">
        <f t="shared" si="55"/>
        <v>3</v>
      </c>
      <c r="O1187" s="13">
        <f t="shared" si="56"/>
        <v>2019</v>
      </c>
      <c r="P1187" t="s">
        <v>13</v>
      </c>
      <c r="Q1187" t="s">
        <v>5780</v>
      </c>
      <c r="R1187" t="s">
        <v>14</v>
      </c>
      <c r="S1187" t="str" cm="1">
        <f t="array" ref="S1187">_xlfn.IFS(R1187="COMPLETE", "COMPLETED", R1187="CANCELED", "CANCELED", TRUE, "PENDING")</f>
        <v>PENDING</v>
      </c>
      <c r="T1187" t="s">
        <v>58</v>
      </c>
      <c r="U1187">
        <f>VLOOKUP(A1187,ordered_items!$B:$E,4,0)</f>
        <v>199.99</v>
      </c>
    </row>
    <row r="1188" spans="1:21" x14ac:dyDescent="0.3">
      <c r="A1188">
        <v>29286</v>
      </c>
      <c r="B1188" t="s">
        <v>3</v>
      </c>
      <c r="C1188">
        <v>2</v>
      </c>
      <c r="D1188">
        <v>4</v>
      </c>
      <c r="E1188" t="str">
        <f t="shared" si="54"/>
        <v xml:space="preserve"> ONTIME</v>
      </c>
      <c r="F1188">
        <f>VLOOKUP($A1188,ordered_items!$B$2:$E$4784,2,0)</f>
        <v>365</v>
      </c>
      <c r="G1188">
        <f>VLOOKUP($A1188,ordered_items!$B$2:$E$4784,3,0)</f>
        <v>5</v>
      </c>
      <c r="H1188">
        <f>VLOOKUP($A1188,ordered_items!$B$2:$E$4784,4,0)</f>
        <v>299.95</v>
      </c>
      <c r="I1188" s="15">
        <f>VLOOKUP(F1188,product_info!$A$2:$D$73,4,0)</f>
        <v>4</v>
      </c>
      <c r="J1188" s="15" t="str">
        <f>VLOOKUP(I1188,department!$A$2:$B$13,2,0)</f>
        <v>Apparel</v>
      </c>
      <c r="K1188">
        <v>10053</v>
      </c>
      <c r="L1188" t="s">
        <v>104</v>
      </c>
      <c r="M1188" s="4">
        <v>43527</v>
      </c>
      <c r="N1188" s="12">
        <f t="shared" si="55"/>
        <v>3</v>
      </c>
      <c r="O1188" s="13">
        <f t="shared" si="56"/>
        <v>2019</v>
      </c>
      <c r="P1188" t="s">
        <v>13</v>
      </c>
      <c r="Q1188" t="s">
        <v>5781</v>
      </c>
      <c r="R1188" t="s">
        <v>38</v>
      </c>
      <c r="S1188" t="str" cm="1">
        <f t="array" ref="S1188">_xlfn.IFS(R1188="COMPLETE", "COMPLETED", R1188="CANCELED", "CANCELED", TRUE, "PENDING")</f>
        <v>PENDING</v>
      </c>
      <c r="T1188" t="s">
        <v>16</v>
      </c>
      <c r="U1188">
        <f>VLOOKUP(A1188,ordered_items!$B:$E,4,0)</f>
        <v>299.95</v>
      </c>
    </row>
    <row r="1189" spans="1:21" x14ac:dyDescent="0.3">
      <c r="A1189">
        <v>29293</v>
      </c>
      <c r="B1189" t="s">
        <v>51</v>
      </c>
      <c r="C1189">
        <v>1</v>
      </c>
      <c r="D1189">
        <v>0</v>
      </c>
      <c r="E1189" t="str">
        <f t="shared" si="54"/>
        <v>DELAYED</v>
      </c>
      <c r="F1189">
        <f>VLOOKUP($A1189,ordered_items!$B$2:$E$4784,2,0)</f>
        <v>403</v>
      </c>
      <c r="G1189">
        <f>VLOOKUP($A1189,ordered_items!$B$2:$E$4784,3,0)</f>
        <v>1</v>
      </c>
      <c r="H1189">
        <f>VLOOKUP($A1189,ordered_items!$B$2:$E$4784,4,0)</f>
        <v>129.99</v>
      </c>
      <c r="I1189" s="15">
        <f>VLOOKUP(F1189,product_info!$A$2:$D$73,4,0)</f>
        <v>4</v>
      </c>
      <c r="J1189" s="15" t="str">
        <f>VLOOKUP(I1189,department!$A$2:$B$13,2,0)</f>
        <v>Apparel</v>
      </c>
      <c r="K1189">
        <v>3102</v>
      </c>
      <c r="L1189" t="s">
        <v>409</v>
      </c>
      <c r="M1189" s="4">
        <v>43527</v>
      </c>
      <c r="N1189" s="12">
        <f t="shared" si="55"/>
        <v>3</v>
      </c>
      <c r="O1189" s="13">
        <f t="shared" si="56"/>
        <v>2019</v>
      </c>
      <c r="P1189" t="s">
        <v>13</v>
      </c>
      <c r="Q1189" t="s">
        <v>410</v>
      </c>
      <c r="R1189" t="s">
        <v>57</v>
      </c>
      <c r="S1189" t="str" cm="1">
        <f t="array" ref="S1189">_xlfn.IFS(R1189="COMPLETE", "COMPLETED", R1189="CANCELED", "CANCELED", TRUE, "PENDING")</f>
        <v>PENDING</v>
      </c>
      <c r="T1189" t="s">
        <v>58</v>
      </c>
      <c r="U1189">
        <f>VLOOKUP(A1189,ordered_items!$B:$E,4,0)</f>
        <v>129.99</v>
      </c>
    </row>
    <row r="1190" spans="1:21" x14ac:dyDescent="0.3">
      <c r="A1190">
        <v>29309</v>
      </c>
      <c r="B1190" t="s">
        <v>17</v>
      </c>
      <c r="C1190">
        <v>5</v>
      </c>
      <c r="D1190">
        <v>2</v>
      </c>
      <c r="E1190" t="str">
        <f t="shared" si="54"/>
        <v>DELAYED</v>
      </c>
      <c r="F1190">
        <f>VLOOKUP($A1190,ordered_items!$B$2:$E$4784,2,0)</f>
        <v>627</v>
      </c>
      <c r="G1190">
        <f>VLOOKUP($A1190,ordered_items!$B$2:$E$4784,3,0)</f>
        <v>1</v>
      </c>
      <c r="H1190">
        <f>VLOOKUP($A1190,ordered_items!$B$2:$E$4784,4,0)</f>
        <v>39.99</v>
      </c>
      <c r="I1190" s="15">
        <f>VLOOKUP(F1190,product_info!$A$2:$D$73,4,0)</f>
        <v>5</v>
      </c>
      <c r="J1190" s="15" t="str">
        <f>VLOOKUP(I1190,department!$A$2:$B$13,2,0)</f>
        <v>Golf</v>
      </c>
      <c r="K1190">
        <v>6518</v>
      </c>
      <c r="L1190" t="s">
        <v>439</v>
      </c>
      <c r="M1190" s="4">
        <v>43527</v>
      </c>
      <c r="N1190" s="12">
        <f t="shared" si="55"/>
        <v>3</v>
      </c>
      <c r="O1190" s="13">
        <f t="shared" si="56"/>
        <v>2019</v>
      </c>
      <c r="P1190" t="s">
        <v>13</v>
      </c>
      <c r="Q1190" t="s">
        <v>377</v>
      </c>
      <c r="R1190" t="s">
        <v>23</v>
      </c>
      <c r="S1190" t="str" cm="1">
        <f t="array" ref="S1190">_xlfn.IFS(R1190="COMPLETE", "COMPLETED", R1190="CANCELED", "CANCELED", TRUE, "PENDING")</f>
        <v>PENDING</v>
      </c>
      <c r="T1190" t="s">
        <v>90</v>
      </c>
      <c r="U1190">
        <f>VLOOKUP(A1190,ordered_items!$B:$E,4,0)</f>
        <v>39.99</v>
      </c>
    </row>
    <row r="1191" spans="1:21" x14ac:dyDescent="0.3">
      <c r="A1191">
        <v>29310</v>
      </c>
      <c r="B1191" t="s">
        <v>24</v>
      </c>
      <c r="C1191">
        <v>6</v>
      </c>
      <c r="D1191">
        <v>2</v>
      </c>
      <c r="E1191" t="str">
        <f t="shared" si="54"/>
        <v>DELAYED</v>
      </c>
      <c r="F1191">
        <f>VLOOKUP($A1191,ordered_items!$B$2:$E$4784,2,0)</f>
        <v>403</v>
      </c>
      <c r="G1191">
        <f>VLOOKUP($A1191,ordered_items!$B$2:$E$4784,3,0)</f>
        <v>1</v>
      </c>
      <c r="H1191">
        <f>VLOOKUP($A1191,ordered_items!$B$2:$E$4784,4,0)</f>
        <v>129.99</v>
      </c>
      <c r="I1191" s="15">
        <f>VLOOKUP(F1191,product_info!$A$2:$D$73,4,0)</f>
        <v>4</v>
      </c>
      <c r="J1191" s="15" t="str">
        <f>VLOOKUP(I1191,department!$A$2:$B$13,2,0)</f>
        <v>Apparel</v>
      </c>
      <c r="K1191">
        <v>6617</v>
      </c>
      <c r="L1191" t="s">
        <v>439</v>
      </c>
      <c r="M1191" s="4">
        <v>43527</v>
      </c>
      <c r="N1191" s="12">
        <f t="shared" si="55"/>
        <v>3</v>
      </c>
      <c r="O1191" s="13">
        <f t="shared" si="56"/>
        <v>2019</v>
      </c>
      <c r="P1191" t="s">
        <v>13</v>
      </c>
      <c r="Q1191" t="s">
        <v>377</v>
      </c>
      <c r="R1191" t="s">
        <v>31</v>
      </c>
      <c r="S1191" t="str" cm="1">
        <f t="array" ref="S1191">_xlfn.IFS(R1191="COMPLETE", "COMPLETED", R1191="CANCELED", "CANCELED", TRUE, "PENDING")</f>
        <v>COMPLETED</v>
      </c>
      <c r="T1191" t="s">
        <v>90</v>
      </c>
      <c r="U1191">
        <f>VLOOKUP(A1191,ordered_items!$B:$E,4,0)</f>
        <v>129.99</v>
      </c>
    </row>
    <row r="1192" spans="1:21" x14ac:dyDescent="0.3">
      <c r="A1192">
        <v>29311</v>
      </c>
      <c r="B1192" t="s">
        <v>24</v>
      </c>
      <c r="C1192">
        <v>2</v>
      </c>
      <c r="D1192">
        <v>4</v>
      </c>
      <c r="E1192" t="str">
        <f t="shared" si="54"/>
        <v xml:space="preserve"> ONTIME</v>
      </c>
      <c r="F1192">
        <f>VLOOKUP($A1192,ordered_items!$B$2:$E$4784,2,0)</f>
        <v>403</v>
      </c>
      <c r="G1192">
        <f>VLOOKUP($A1192,ordered_items!$B$2:$E$4784,3,0)</f>
        <v>1</v>
      </c>
      <c r="H1192">
        <f>VLOOKUP($A1192,ordered_items!$B$2:$E$4784,4,0)</f>
        <v>129.99</v>
      </c>
      <c r="I1192" s="15">
        <f>VLOOKUP(F1192,product_info!$A$2:$D$73,4,0)</f>
        <v>4</v>
      </c>
      <c r="J1192" s="15" t="str">
        <f>VLOOKUP(I1192,department!$A$2:$B$13,2,0)</f>
        <v>Apparel</v>
      </c>
      <c r="K1192">
        <v>9612</v>
      </c>
      <c r="L1192" t="s">
        <v>439</v>
      </c>
      <c r="M1192" s="4">
        <v>43527</v>
      </c>
      <c r="N1192" s="12">
        <f t="shared" si="55"/>
        <v>3</v>
      </c>
      <c r="O1192" s="13">
        <f t="shared" si="56"/>
        <v>2019</v>
      </c>
      <c r="P1192" t="s">
        <v>13</v>
      </c>
      <c r="Q1192" t="s">
        <v>377</v>
      </c>
      <c r="R1192" t="s">
        <v>31</v>
      </c>
      <c r="S1192" t="str" cm="1">
        <f t="array" ref="S1192">_xlfn.IFS(R1192="COMPLETE", "COMPLETED", R1192="CANCELED", "CANCELED", TRUE, "PENDING")</f>
        <v>COMPLETED</v>
      </c>
      <c r="T1192" t="s">
        <v>16</v>
      </c>
      <c r="U1192">
        <f>VLOOKUP(A1192,ordered_items!$B:$E,4,0)</f>
        <v>129.99</v>
      </c>
    </row>
    <row r="1193" spans="1:21" x14ac:dyDescent="0.3">
      <c r="A1193">
        <v>29316</v>
      </c>
      <c r="B1193" t="s">
        <v>24</v>
      </c>
      <c r="C1193">
        <v>2</v>
      </c>
      <c r="D1193">
        <v>4</v>
      </c>
      <c r="E1193" t="str">
        <f t="shared" si="54"/>
        <v xml:space="preserve"> ONTIME</v>
      </c>
      <c r="F1193">
        <f>VLOOKUP($A1193,ordered_items!$B$2:$E$4784,2,0)</f>
        <v>191</v>
      </c>
      <c r="G1193">
        <f>VLOOKUP($A1193,ordered_items!$B$2:$E$4784,3,0)</f>
        <v>5</v>
      </c>
      <c r="H1193">
        <f>VLOOKUP($A1193,ordered_items!$B$2:$E$4784,4,0)</f>
        <v>499.95</v>
      </c>
      <c r="I1193" s="15">
        <f>VLOOKUP(F1193,product_info!$A$2:$D$73,4,0)</f>
        <v>3</v>
      </c>
      <c r="J1193" s="15" t="str">
        <f>VLOOKUP(I1193,department!$A$2:$B$13,2,0)</f>
        <v>Footwear</v>
      </c>
      <c r="K1193">
        <v>8016</v>
      </c>
      <c r="L1193" t="s">
        <v>530</v>
      </c>
      <c r="M1193" s="4">
        <v>43527</v>
      </c>
      <c r="N1193" s="12">
        <f t="shared" si="55"/>
        <v>3</v>
      </c>
      <c r="O1193" s="13">
        <f t="shared" si="56"/>
        <v>2019</v>
      </c>
      <c r="P1193" t="s">
        <v>13</v>
      </c>
      <c r="Q1193" t="s">
        <v>5777</v>
      </c>
      <c r="R1193" t="s">
        <v>31</v>
      </c>
      <c r="S1193" t="str" cm="1">
        <f t="array" ref="S1193">_xlfn.IFS(R1193="COMPLETE", "COMPLETED", R1193="CANCELED", "CANCELED", TRUE, "PENDING")</f>
        <v>COMPLETED</v>
      </c>
      <c r="T1193" t="s">
        <v>16</v>
      </c>
      <c r="U1193">
        <f>VLOOKUP(A1193,ordered_items!$B:$E,4,0)</f>
        <v>499.95</v>
      </c>
    </row>
    <row r="1194" spans="1:21" x14ac:dyDescent="0.3">
      <c r="A1194">
        <v>29317</v>
      </c>
      <c r="B1194" t="s">
        <v>3</v>
      </c>
      <c r="C1194">
        <v>3</v>
      </c>
      <c r="D1194">
        <v>4</v>
      </c>
      <c r="E1194" t="str">
        <f t="shared" si="54"/>
        <v xml:space="preserve"> ONTIME</v>
      </c>
      <c r="F1194">
        <f>VLOOKUP($A1194,ordered_items!$B$2:$E$4784,2,0)</f>
        <v>1014</v>
      </c>
      <c r="G1194">
        <f>VLOOKUP($A1194,ordered_items!$B$2:$E$4784,3,0)</f>
        <v>1</v>
      </c>
      <c r="H1194">
        <f>VLOOKUP($A1194,ordered_items!$B$2:$E$4784,4,0)</f>
        <v>49.98</v>
      </c>
      <c r="I1194" s="15">
        <f>VLOOKUP(F1194,product_info!$A$2:$D$73,4,0)</f>
        <v>7</v>
      </c>
      <c r="J1194" s="15" t="str">
        <f>VLOOKUP(I1194,department!$A$2:$B$13,2,0)</f>
        <v>Fan Shop</v>
      </c>
      <c r="K1194">
        <v>620</v>
      </c>
      <c r="L1194" t="s">
        <v>1255</v>
      </c>
      <c r="M1194" s="4">
        <v>43527</v>
      </c>
      <c r="N1194" s="12">
        <f t="shared" si="55"/>
        <v>3</v>
      </c>
      <c r="O1194" s="13">
        <f t="shared" si="56"/>
        <v>2019</v>
      </c>
      <c r="P1194" t="s">
        <v>13</v>
      </c>
      <c r="Q1194" t="s">
        <v>99</v>
      </c>
      <c r="R1194" t="s">
        <v>235</v>
      </c>
      <c r="S1194" t="str" cm="1">
        <f t="array" ref="S1194">_xlfn.IFS(R1194="COMPLETE", "COMPLETED", R1194="CANCELED", "CANCELED", TRUE, "PENDING")</f>
        <v>CANCELED</v>
      </c>
      <c r="T1194" t="s">
        <v>16</v>
      </c>
      <c r="U1194">
        <f>VLOOKUP(A1194,ordered_items!$B:$E,4,0)</f>
        <v>49.98</v>
      </c>
    </row>
    <row r="1195" spans="1:21" x14ac:dyDescent="0.3">
      <c r="A1195">
        <v>29318</v>
      </c>
      <c r="B1195" t="s">
        <v>24</v>
      </c>
      <c r="C1195">
        <v>4</v>
      </c>
      <c r="D1195">
        <v>4</v>
      </c>
      <c r="E1195" t="str">
        <f t="shared" si="54"/>
        <v xml:space="preserve"> ONTIME</v>
      </c>
      <c r="F1195">
        <f>VLOOKUP($A1195,ordered_items!$B$2:$E$4784,2,0)</f>
        <v>403</v>
      </c>
      <c r="G1195">
        <f>VLOOKUP($A1195,ordered_items!$B$2:$E$4784,3,0)</f>
        <v>1</v>
      </c>
      <c r="H1195">
        <f>VLOOKUP($A1195,ordered_items!$B$2:$E$4784,4,0)</f>
        <v>129.99</v>
      </c>
      <c r="I1195" s="15">
        <f>VLOOKUP(F1195,product_info!$A$2:$D$73,4,0)</f>
        <v>4</v>
      </c>
      <c r="J1195" s="15" t="str">
        <f>VLOOKUP(I1195,department!$A$2:$B$13,2,0)</f>
        <v>Apparel</v>
      </c>
      <c r="K1195">
        <v>12324</v>
      </c>
      <c r="L1195" t="s">
        <v>1255</v>
      </c>
      <c r="M1195" s="4">
        <v>43527</v>
      </c>
      <c r="N1195" s="12">
        <f t="shared" si="55"/>
        <v>3</v>
      </c>
      <c r="O1195" s="13">
        <f t="shared" si="56"/>
        <v>2019</v>
      </c>
      <c r="P1195" t="s">
        <v>13</v>
      </c>
      <c r="Q1195" t="s">
        <v>99</v>
      </c>
      <c r="R1195" t="s">
        <v>31</v>
      </c>
      <c r="S1195" t="str" cm="1">
        <f t="array" ref="S1195">_xlfn.IFS(R1195="COMPLETE", "COMPLETED", R1195="CANCELED", "CANCELED", TRUE, "PENDING")</f>
        <v>COMPLETED</v>
      </c>
      <c r="T1195" t="s">
        <v>16</v>
      </c>
      <c r="U1195">
        <f>VLOOKUP(A1195,ordered_items!$B:$E,4,0)</f>
        <v>129.99</v>
      </c>
    </row>
    <row r="1196" spans="1:21" x14ac:dyDescent="0.3">
      <c r="A1196">
        <v>29320</v>
      </c>
      <c r="B1196" t="s">
        <v>3</v>
      </c>
      <c r="C1196">
        <v>6</v>
      </c>
      <c r="D1196">
        <v>4</v>
      </c>
      <c r="E1196" t="str">
        <f t="shared" si="54"/>
        <v>DELAYED</v>
      </c>
      <c r="F1196">
        <f>VLOOKUP($A1196,ordered_items!$B$2:$E$4784,2,0)</f>
        <v>1073</v>
      </c>
      <c r="G1196">
        <f>VLOOKUP($A1196,ordered_items!$B$2:$E$4784,3,0)</f>
        <v>1</v>
      </c>
      <c r="H1196">
        <f>VLOOKUP($A1196,ordered_items!$B$2:$E$4784,4,0)</f>
        <v>199.99</v>
      </c>
      <c r="I1196" s="15">
        <f>VLOOKUP(F1196,product_info!$A$2:$D$73,4,0)</f>
        <v>7</v>
      </c>
      <c r="J1196" s="15" t="str">
        <f>VLOOKUP(I1196,department!$A$2:$B$13,2,0)</f>
        <v>Fan Shop</v>
      </c>
      <c r="K1196">
        <v>11343</v>
      </c>
      <c r="L1196" t="s">
        <v>1255</v>
      </c>
      <c r="M1196" s="4">
        <v>43527</v>
      </c>
      <c r="N1196" s="12">
        <f t="shared" si="55"/>
        <v>3</v>
      </c>
      <c r="O1196" s="13">
        <f t="shared" si="56"/>
        <v>2019</v>
      </c>
      <c r="P1196" t="s">
        <v>13</v>
      </c>
      <c r="Q1196" t="s">
        <v>99</v>
      </c>
      <c r="R1196" t="s">
        <v>38</v>
      </c>
      <c r="S1196" t="str" cm="1">
        <f t="array" ref="S1196">_xlfn.IFS(R1196="COMPLETE", "COMPLETED", R1196="CANCELED", "CANCELED", TRUE, "PENDING")</f>
        <v>PENDING</v>
      </c>
      <c r="T1196" t="s">
        <v>16</v>
      </c>
      <c r="U1196">
        <f>VLOOKUP(A1196,ordered_items!$B:$E,4,0)</f>
        <v>199.99</v>
      </c>
    </row>
    <row r="1197" spans="1:21" x14ac:dyDescent="0.3">
      <c r="A1197">
        <v>29324</v>
      </c>
      <c r="B1197" t="s">
        <v>3</v>
      </c>
      <c r="C1197">
        <v>5</v>
      </c>
      <c r="D1197">
        <v>4</v>
      </c>
      <c r="E1197" t="str">
        <f t="shared" si="54"/>
        <v>DELAYED</v>
      </c>
      <c r="F1197">
        <f>VLOOKUP($A1197,ordered_items!$B$2:$E$4784,2,0)</f>
        <v>778</v>
      </c>
      <c r="G1197">
        <f>VLOOKUP($A1197,ordered_items!$B$2:$E$4784,3,0)</f>
        <v>5</v>
      </c>
      <c r="H1197">
        <f>VLOOKUP($A1197,ordered_items!$B$2:$E$4784,4,0)</f>
        <v>124.95</v>
      </c>
      <c r="I1197" s="15">
        <f>VLOOKUP(F1197,product_info!$A$2:$D$73,4,0)</f>
        <v>6</v>
      </c>
      <c r="J1197" s="15" t="str">
        <f>VLOOKUP(I1197,department!$A$2:$B$13,2,0)</f>
        <v>Outdoors</v>
      </c>
      <c r="K1197">
        <v>6759</v>
      </c>
      <c r="L1197" t="s">
        <v>110</v>
      </c>
      <c r="M1197" s="4">
        <v>43528</v>
      </c>
      <c r="N1197" s="12">
        <f t="shared" si="55"/>
        <v>3</v>
      </c>
      <c r="O1197" s="13">
        <f t="shared" si="56"/>
        <v>2019</v>
      </c>
      <c r="P1197" t="s">
        <v>13</v>
      </c>
      <c r="Q1197" t="s">
        <v>99</v>
      </c>
      <c r="R1197" t="s">
        <v>14</v>
      </c>
      <c r="S1197" t="str" cm="1">
        <f t="array" ref="S1197">_xlfn.IFS(R1197="COMPLETE", "COMPLETED", R1197="CANCELED", "CANCELED", TRUE, "PENDING")</f>
        <v>PENDING</v>
      </c>
      <c r="T1197" t="s">
        <v>16</v>
      </c>
      <c r="U1197">
        <f>VLOOKUP(A1197,ordered_items!$B:$E,4,0)</f>
        <v>124.95</v>
      </c>
    </row>
    <row r="1198" spans="1:21" x14ac:dyDescent="0.3">
      <c r="A1198">
        <v>29325</v>
      </c>
      <c r="B1198" t="s">
        <v>24</v>
      </c>
      <c r="C1198">
        <v>6</v>
      </c>
      <c r="D1198">
        <v>2</v>
      </c>
      <c r="E1198" t="str">
        <f t="shared" si="54"/>
        <v>DELAYED</v>
      </c>
      <c r="F1198">
        <f>VLOOKUP($A1198,ordered_items!$B$2:$E$4784,2,0)</f>
        <v>403</v>
      </c>
      <c r="G1198">
        <f>VLOOKUP($A1198,ordered_items!$B$2:$E$4784,3,0)</f>
        <v>1</v>
      </c>
      <c r="H1198">
        <f>VLOOKUP($A1198,ordered_items!$B$2:$E$4784,4,0)</f>
        <v>129.99</v>
      </c>
      <c r="I1198" s="15">
        <f>VLOOKUP(F1198,product_info!$A$2:$D$73,4,0)</f>
        <v>4</v>
      </c>
      <c r="J1198" s="15" t="str">
        <f>VLOOKUP(I1198,department!$A$2:$B$13,2,0)</f>
        <v>Apparel</v>
      </c>
      <c r="K1198">
        <v>1721</v>
      </c>
      <c r="L1198" t="s">
        <v>110</v>
      </c>
      <c r="M1198" s="4">
        <v>43528</v>
      </c>
      <c r="N1198" s="12">
        <f t="shared" si="55"/>
        <v>3</v>
      </c>
      <c r="O1198" s="13">
        <f t="shared" si="56"/>
        <v>2019</v>
      </c>
      <c r="P1198" t="s">
        <v>13</v>
      </c>
      <c r="Q1198" t="s">
        <v>99</v>
      </c>
      <c r="R1198" t="s">
        <v>378</v>
      </c>
      <c r="S1198" t="str" cm="1">
        <f t="array" ref="S1198">_xlfn.IFS(R1198="COMPLETE", "COMPLETED", R1198="CANCELED", "CANCELED", TRUE, "PENDING")</f>
        <v>PENDING</v>
      </c>
      <c r="T1198" t="s">
        <v>90</v>
      </c>
      <c r="U1198">
        <f>VLOOKUP(A1198,ordered_items!$B:$E,4,0)</f>
        <v>129.99</v>
      </c>
    </row>
    <row r="1199" spans="1:21" x14ac:dyDescent="0.3">
      <c r="A1199">
        <v>29326</v>
      </c>
      <c r="B1199" t="s">
        <v>3</v>
      </c>
      <c r="C1199">
        <v>2</v>
      </c>
      <c r="D1199">
        <v>2</v>
      </c>
      <c r="E1199" t="str">
        <f t="shared" si="54"/>
        <v xml:space="preserve"> ONTIME</v>
      </c>
      <c r="F1199">
        <f>VLOOKUP($A1199,ordered_items!$B$2:$E$4784,2,0)</f>
        <v>191</v>
      </c>
      <c r="G1199">
        <f>VLOOKUP($A1199,ordered_items!$B$2:$E$4784,3,0)</f>
        <v>1</v>
      </c>
      <c r="H1199">
        <f>VLOOKUP($A1199,ordered_items!$B$2:$E$4784,4,0)</f>
        <v>99.99</v>
      </c>
      <c r="I1199" s="15">
        <f>VLOOKUP(F1199,product_info!$A$2:$D$73,4,0)</f>
        <v>3</v>
      </c>
      <c r="J1199" s="15" t="str">
        <f>VLOOKUP(I1199,department!$A$2:$B$13,2,0)</f>
        <v>Footwear</v>
      </c>
      <c r="K1199">
        <v>8161</v>
      </c>
      <c r="L1199" t="s">
        <v>110</v>
      </c>
      <c r="M1199" s="4">
        <v>43528</v>
      </c>
      <c r="N1199" s="12">
        <f t="shared" si="55"/>
        <v>3</v>
      </c>
      <c r="O1199" s="13">
        <f t="shared" si="56"/>
        <v>2019</v>
      </c>
      <c r="P1199" t="s">
        <v>13</v>
      </c>
      <c r="Q1199" t="s">
        <v>99</v>
      </c>
      <c r="R1199" t="s">
        <v>14</v>
      </c>
      <c r="S1199" t="str" cm="1">
        <f t="array" ref="S1199">_xlfn.IFS(R1199="COMPLETE", "COMPLETED", R1199="CANCELED", "CANCELED", TRUE, "PENDING")</f>
        <v>PENDING</v>
      </c>
      <c r="T1199" t="s">
        <v>90</v>
      </c>
      <c r="U1199">
        <f>VLOOKUP(A1199,ordered_items!$B:$E,4,0)</f>
        <v>99.99</v>
      </c>
    </row>
    <row r="1200" spans="1:21" x14ac:dyDescent="0.3">
      <c r="A1200">
        <v>29327</v>
      </c>
      <c r="B1200" t="s">
        <v>3</v>
      </c>
      <c r="C1200">
        <v>3</v>
      </c>
      <c r="D1200">
        <v>4</v>
      </c>
      <c r="E1200" t="str">
        <f t="shared" si="54"/>
        <v xml:space="preserve"> ONTIME</v>
      </c>
      <c r="F1200">
        <f>VLOOKUP($A1200,ordered_items!$B$2:$E$4784,2,0)</f>
        <v>403</v>
      </c>
      <c r="G1200">
        <f>VLOOKUP($A1200,ordered_items!$B$2:$E$4784,3,0)</f>
        <v>1</v>
      </c>
      <c r="H1200">
        <f>VLOOKUP($A1200,ordered_items!$B$2:$E$4784,4,0)</f>
        <v>129.99</v>
      </c>
      <c r="I1200" s="15">
        <f>VLOOKUP(F1200,product_info!$A$2:$D$73,4,0)</f>
        <v>4</v>
      </c>
      <c r="J1200" s="15" t="str">
        <f>VLOOKUP(I1200,department!$A$2:$B$13,2,0)</f>
        <v>Apparel</v>
      </c>
      <c r="K1200">
        <v>10936</v>
      </c>
      <c r="L1200" t="s">
        <v>110</v>
      </c>
      <c r="M1200" s="4">
        <v>43528</v>
      </c>
      <c r="N1200" s="12">
        <f t="shared" si="55"/>
        <v>3</v>
      </c>
      <c r="O1200" s="13">
        <f t="shared" si="56"/>
        <v>2019</v>
      </c>
      <c r="P1200" t="s">
        <v>13</v>
      </c>
      <c r="Q1200" t="s">
        <v>99</v>
      </c>
      <c r="R1200" t="s">
        <v>38</v>
      </c>
      <c r="S1200" t="str" cm="1">
        <f t="array" ref="S1200">_xlfn.IFS(R1200="COMPLETE", "COMPLETED", R1200="CANCELED", "CANCELED", TRUE, "PENDING")</f>
        <v>PENDING</v>
      </c>
      <c r="T1200" t="s">
        <v>16</v>
      </c>
      <c r="U1200">
        <f>VLOOKUP(A1200,ordered_items!$B:$E,4,0)</f>
        <v>129.99</v>
      </c>
    </row>
    <row r="1201" spans="1:21" x14ac:dyDescent="0.3">
      <c r="A1201">
        <v>29328</v>
      </c>
      <c r="B1201" t="s">
        <v>51</v>
      </c>
      <c r="C1201">
        <v>4</v>
      </c>
      <c r="D1201">
        <v>4</v>
      </c>
      <c r="E1201" t="str">
        <f t="shared" si="54"/>
        <v xml:space="preserve"> ONTIME</v>
      </c>
      <c r="F1201">
        <f>VLOOKUP($A1201,ordered_items!$B$2:$E$4784,2,0)</f>
        <v>403</v>
      </c>
      <c r="G1201">
        <f>VLOOKUP($A1201,ordered_items!$B$2:$E$4784,3,0)</f>
        <v>1</v>
      </c>
      <c r="H1201">
        <f>VLOOKUP($A1201,ordered_items!$B$2:$E$4784,4,0)</f>
        <v>129.99</v>
      </c>
      <c r="I1201" s="15">
        <f>VLOOKUP(F1201,product_info!$A$2:$D$73,4,0)</f>
        <v>4</v>
      </c>
      <c r="J1201" s="15" t="str">
        <f>VLOOKUP(I1201,department!$A$2:$B$13,2,0)</f>
        <v>Apparel</v>
      </c>
      <c r="K1201">
        <v>2776</v>
      </c>
      <c r="L1201" t="s">
        <v>110</v>
      </c>
      <c r="M1201" s="4">
        <v>43528</v>
      </c>
      <c r="N1201" s="12">
        <f t="shared" si="55"/>
        <v>3</v>
      </c>
      <c r="O1201" s="13">
        <f t="shared" si="56"/>
        <v>2019</v>
      </c>
      <c r="P1201" t="s">
        <v>13</v>
      </c>
      <c r="Q1201" t="s">
        <v>99</v>
      </c>
      <c r="R1201" t="s">
        <v>57</v>
      </c>
      <c r="S1201" t="str" cm="1">
        <f t="array" ref="S1201">_xlfn.IFS(R1201="COMPLETE", "COMPLETED", R1201="CANCELED", "CANCELED", TRUE, "PENDING")</f>
        <v>PENDING</v>
      </c>
      <c r="T1201" t="s">
        <v>16</v>
      </c>
      <c r="U1201">
        <f>VLOOKUP(A1201,ordered_items!$B:$E,4,0)</f>
        <v>129.99</v>
      </c>
    </row>
    <row r="1202" spans="1:21" x14ac:dyDescent="0.3">
      <c r="A1202">
        <v>29352</v>
      </c>
      <c r="B1202" t="s">
        <v>51</v>
      </c>
      <c r="C1202">
        <v>3</v>
      </c>
      <c r="D1202">
        <v>4</v>
      </c>
      <c r="E1202" t="str">
        <f t="shared" si="54"/>
        <v xml:space="preserve"> ONTIME</v>
      </c>
      <c r="F1202">
        <f>VLOOKUP($A1202,ordered_items!$B$2:$E$4784,2,0)</f>
        <v>365</v>
      </c>
      <c r="G1202">
        <f>VLOOKUP($A1202,ordered_items!$B$2:$E$4784,3,0)</f>
        <v>3</v>
      </c>
      <c r="H1202">
        <f>VLOOKUP($A1202,ordered_items!$B$2:$E$4784,4,0)</f>
        <v>179.97</v>
      </c>
      <c r="I1202" s="15">
        <f>VLOOKUP(F1202,product_info!$A$2:$D$73,4,0)</f>
        <v>4</v>
      </c>
      <c r="J1202" s="15" t="str">
        <f>VLOOKUP(I1202,department!$A$2:$B$13,2,0)</f>
        <v>Apparel</v>
      </c>
      <c r="K1202">
        <v>10921</v>
      </c>
      <c r="L1202" t="s">
        <v>637</v>
      </c>
      <c r="M1202" s="4">
        <v>43528</v>
      </c>
      <c r="N1202" s="12">
        <f t="shared" si="55"/>
        <v>3</v>
      </c>
      <c r="O1202" s="13">
        <f t="shared" si="56"/>
        <v>2019</v>
      </c>
      <c r="P1202" t="s">
        <v>13</v>
      </c>
      <c r="Q1202" t="s">
        <v>234</v>
      </c>
      <c r="R1202" t="s">
        <v>57</v>
      </c>
      <c r="S1202" t="str" cm="1">
        <f t="array" ref="S1202">_xlfn.IFS(R1202="COMPLETE", "COMPLETED", R1202="CANCELED", "CANCELED", TRUE, "PENDING")</f>
        <v>PENDING</v>
      </c>
      <c r="T1202" t="s">
        <v>16</v>
      </c>
      <c r="U1202">
        <f>VLOOKUP(A1202,ordered_items!$B:$E,4,0)</f>
        <v>179.97</v>
      </c>
    </row>
    <row r="1203" spans="1:21" x14ac:dyDescent="0.3">
      <c r="A1203">
        <v>29354</v>
      </c>
      <c r="B1203" t="s">
        <v>24</v>
      </c>
      <c r="C1203">
        <v>5</v>
      </c>
      <c r="D1203">
        <v>4</v>
      </c>
      <c r="E1203" t="str">
        <f t="shared" si="54"/>
        <v>DELAYED</v>
      </c>
      <c r="F1203">
        <f>VLOOKUP($A1203,ordered_items!$B$2:$E$4784,2,0)</f>
        <v>502</v>
      </c>
      <c r="G1203">
        <f>VLOOKUP($A1203,ordered_items!$B$2:$E$4784,3,0)</f>
        <v>5</v>
      </c>
      <c r="H1203">
        <f>VLOOKUP($A1203,ordered_items!$B$2:$E$4784,4,0)</f>
        <v>250</v>
      </c>
      <c r="I1203" s="15">
        <f>VLOOKUP(F1203,product_info!$A$2:$D$73,4,0)</f>
        <v>5</v>
      </c>
      <c r="J1203" s="15" t="str">
        <f>VLOOKUP(I1203,department!$A$2:$B$13,2,0)</f>
        <v>Golf</v>
      </c>
      <c r="K1203">
        <v>9018</v>
      </c>
      <c r="L1203" t="s">
        <v>959</v>
      </c>
      <c r="M1203" s="4">
        <v>43528</v>
      </c>
      <c r="N1203" s="12">
        <f t="shared" si="55"/>
        <v>3</v>
      </c>
      <c r="O1203" s="13">
        <f t="shared" si="56"/>
        <v>2019</v>
      </c>
      <c r="P1203" t="s">
        <v>13</v>
      </c>
      <c r="Q1203" t="s">
        <v>5779</v>
      </c>
      <c r="R1203" t="s">
        <v>31</v>
      </c>
      <c r="S1203" t="str" cm="1">
        <f t="array" ref="S1203">_xlfn.IFS(R1203="COMPLETE", "COMPLETED", R1203="CANCELED", "CANCELED", TRUE, "PENDING")</f>
        <v>COMPLETED</v>
      </c>
      <c r="T1203" t="s">
        <v>16</v>
      </c>
      <c r="U1203">
        <f>VLOOKUP(A1203,ordered_items!$B:$E,4,0)</f>
        <v>250</v>
      </c>
    </row>
    <row r="1204" spans="1:21" x14ac:dyDescent="0.3">
      <c r="A1204">
        <v>29355</v>
      </c>
      <c r="B1204" t="s">
        <v>17</v>
      </c>
      <c r="C1204">
        <v>6</v>
      </c>
      <c r="D1204">
        <v>4</v>
      </c>
      <c r="E1204" t="str">
        <f t="shared" si="54"/>
        <v>DELAYED</v>
      </c>
      <c r="F1204">
        <f>VLOOKUP($A1204,ordered_items!$B$2:$E$4784,2,0)</f>
        <v>502</v>
      </c>
      <c r="G1204">
        <f>VLOOKUP($A1204,ordered_items!$B$2:$E$4784,3,0)</f>
        <v>1</v>
      </c>
      <c r="H1204">
        <f>VLOOKUP($A1204,ordered_items!$B$2:$E$4784,4,0)</f>
        <v>50</v>
      </c>
      <c r="I1204" s="15">
        <f>VLOOKUP(F1204,product_info!$A$2:$D$73,4,0)</f>
        <v>5</v>
      </c>
      <c r="J1204" s="15" t="str">
        <f>VLOOKUP(I1204,department!$A$2:$B$13,2,0)</f>
        <v>Golf</v>
      </c>
      <c r="K1204">
        <v>4796</v>
      </c>
      <c r="L1204" t="s">
        <v>1073</v>
      </c>
      <c r="M1204" s="4">
        <v>43528</v>
      </c>
      <c r="N1204" s="12">
        <f t="shared" si="55"/>
        <v>3</v>
      </c>
      <c r="O1204" s="13">
        <f t="shared" si="56"/>
        <v>2019</v>
      </c>
      <c r="P1204" t="s">
        <v>13</v>
      </c>
      <c r="Q1204" t="s">
        <v>47</v>
      </c>
      <c r="R1204" t="s">
        <v>23</v>
      </c>
      <c r="S1204" t="str" cm="1">
        <f t="array" ref="S1204">_xlfn.IFS(R1204="COMPLETE", "COMPLETED", R1204="CANCELED", "CANCELED", TRUE, "PENDING")</f>
        <v>PENDING</v>
      </c>
      <c r="T1204" t="s">
        <v>16</v>
      </c>
      <c r="U1204">
        <f>VLOOKUP(A1204,ordered_items!$B:$E,4,0)</f>
        <v>50</v>
      </c>
    </row>
    <row r="1205" spans="1:21" x14ac:dyDescent="0.3">
      <c r="A1205">
        <v>29358</v>
      </c>
      <c r="B1205" t="s">
        <v>3</v>
      </c>
      <c r="C1205">
        <v>4</v>
      </c>
      <c r="D1205">
        <v>4</v>
      </c>
      <c r="E1205" t="str">
        <f t="shared" si="54"/>
        <v xml:space="preserve"> ONTIME</v>
      </c>
      <c r="F1205">
        <f>VLOOKUP($A1205,ordered_items!$B$2:$E$4784,2,0)</f>
        <v>957</v>
      </c>
      <c r="G1205">
        <f>VLOOKUP($A1205,ordered_items!$B$2:$E$4784,3,0)</f>
        <v>1</v>
      </c>
      <c r="H1205">
        <f>VLOOKUP($A1205,ordered_items!$B$2:$E$4784,4,0)</f>
        <v>299.98</v>
      </c>
      <c r="I1205" s="15">
        <f>VLOOKUP(F1205,product_info!$A$2:$D$73,4,0)</f>
        <v>7</v>
      </c>
      <c r="J1205" s="15" t="str">
        <f>VLOOKUP(I1205,department!$A$2:$B$13,2,0)</f>
        <v>Fan Shop</v>
      </c>
      <c r="K1205">
        <v>2063</v>
      </c>
      <c r="L1205" t="s">
        <v>84</v>
      </c>
      <c r="M1205" s="4">
        <v>43528</v>
      </c>
      <c r="N1205" s="12">
        <f t="shared" si="55"/>
        <v>3</v>
      </c>
      <c r="O1205" s="13">
        <f t="shared" si="56"/>
        <v>2019</v>
      </c>
      <c r="P1205" t="s">
        <v>13</v>
      </c>
      <c r="Q1205" t="s">
        <v>80</v>
      </c>
      <c r="R1205" t="s">
        <v>14</v>
      </c>
      <c r="S1205" t="str" cm="1">
        <f t="array" ref="S1205">_xlfn.IFS(R1205="COMPLETE", "COMPLETED", R1205="CANCELED", "CANCELED", TRUE, "PENDING")</f>
        <v>PENDING</v>
      </c>
      <c r="T1205" t="s">
        <v>16</v>
      </c>
      <c r="U1205">
        <f>VLOOKUP(A1205,ordered_items!$B:$E,4,0)</f>
        <v>299.98</v>
      </c>
    </row>
    <row r="1206" spans="1:21" x14ac:dyDescent="0.3">
      <c r="A1206">
        <v>29376</v>
      </c>
      <c r="B1206" t="s">
        <v>24</v>
      </c>
      <c r="C1206">
        <v>2</v>
      </c>
      <c r="D1206">
        <v>2</v>
      </c>
      <c r="E1206" t="str">
        <f t="shared" si="54"/>
        <v xml:space="preserve"> ONTIME</v>
      </c>
      <c r="F1206">
        <f>VLOOKUP($A1206,ordered_items!$B$2:$E$4784,2,0)</f>
        <v>1073</v>
      </c>
      <c r="G1206">
        <f>VLOOKUP($A1206,ordered_items!$B$2:$E$4784,3,0)</f>
        <v>1</v>
      </c>
      <c r="H1206">
        <f>VLOOKUP($A1206,ordered_items!$B$2:$E$4784,4,0)</f>
        <v>199.99</v>
      </c>
      <c r="I1206" s="15">
        <f>VLOOKUP(F1206,product_info!$A$2:$D$73,4,0)</f>
        <v>7</v>
      </c>
      <c r="J1206" s="15" t="str">
        <f>VLOOKUP(I1206,department!$A$2:$B$13,2,0)</f>
        <v>Fan Shop</v>
      </c>
      <c r="K1206">
        <v>1485</v>
      </c>
      <c r="L1206" t="s">
        <v>104</v>
      </c>
      <c r="M1206" s="4">
        <v>43528</v>
      </c>
      <c r="N1206" s="12">
        <f t="shared" si="55"/>
        <v>3</v>
      </c>
      <c r="O1206" s="13">
        <f t="shared" si="56"/>
        <v>2019</v>
      </c>
      <c r="P1206" t="s">
        <v>13</v>
      </c>
      <c r="Q1206" t="s">
        <v>130</v>
      </c>
      <c r="R1206" t="s">
        <v>31</v>
      </c>
      <c r="S1206" t="str" cm="1">
        <f t="array" ref="S1206">_xlfn.IFS(R1206="COMPLETE", "COMPLETED", R1206="CANCELED", "CANCELED", TRUE, "PENDING")</f>
        <v>COMPLETED</v>
      </c>
      <c r="T1206" t="s">
        <v>90</v>
      </c>
      <c r="U1206">
        <f>VLOOKUP(A1206,ordered_items!$B:$E,4,0)</f>
        <v>199.99</v>
      </c>
    </row>
    <row r="1207" spans="1:21" x14ac:dyDescent="0.3">
      <c r="A1207">
        <v>29377</v>
      </c>
      <c r="B1207" t="s">
        <v>51</v>
      </c>
      <c r="C1207">
        <v>3</v>
      </c>
      <c r="D1207">
        <v>2</v>
      </c>
      <c r="E1207" t="str">
        <f t="shared" si="54"/>
        <v>DELAYED</v>
      </c>
      <c r="F1207">
        <f>VLOOKUP($A1207,ordered_items!$B$2:$E$4784,2,0)</f>
        <v>365</v>
      </c>
      <c r="G1207">
        <f>VLOOKUP($A1207,ordered_items!$B$2:$E$4784,3,0)</f>
        <v>1</v>
      </c>
      <c r="H1207">
        <f>VLOOKUP($A1207,ordered_items!$B$2:$E$4784,4,0)</f>
        <v>59.99</v>
      </c>
      <c r="I1207" s="15">
        <f>VLOOKUP(F1207,product_info!$A$2:$D$73,4,0)</f>
        <v>4</v>
      </c>
      <c r="J1207" s="15" t="str">
        <f>VLOOKUP(I1207,department!$A$2:$B$13,2,0)</f>
        <v>Apparel</v>
      </c>
      <c r="K1207">
        <v>44</v>
      </c>
      <c r="L1207" t="s">
        <v>104</v>
      </c>
      <c r="M1207" s="4">
        <v>43528</v>
      </c>
      <c r="N1207" s="12">
        <f t="shared" si="55"/>
        <v>3</v>
      </c>
      <c r="O1207" s="13">
        <f t="shared" si="56"/>
        <v>2019</v>
      </c>
      <c r="P1207" t="s">
        <v>13</v>
      </c>
      <c r="Q1207" t="s">
        <v>130</v>
      </c>
      <c r="R1207" t="s">
        <v>57</v>
      </c>
      <c r="S1207" t="str" cm="1">
        <f t="array" ref="S1207">_xlfn.IFS(R1207="COMPLETE", "COMPLETED", R1207="CANCELED", "CANCELED", TRUE, "PENDING")</f>
        <v>PENDING</v>
      </c>
      <c r="T1207" t="s">
        <v>90</v>
      </c>
      <c r="U1207">
        <f>VLOOKUP(A1207,ordered_items!$B:$E,4,0)</f>
        <v>59.99</v>
      </c>
    </row>
    <row r="1208" spans="1:21" x14ac:dyDescent="0.3">
      <c r="A1208">
        <v>29395</v>
      </c>
      <c r="B1208" t="s">
        <v>51</v>
      </c>
      <c r="C1208">
        <v>6</v>
      </c>
      <c r="D1208">
        <v>4</v>
      </c>
      <c r="E1208" t="str">
        <f t="shared" si="54"/>
        <v>DELAYED</v>
      </c>
      <c r="F1208">
        <f>VLOOKUP($A1208,ordered_items!$B$2:$E$4784,2,0)</f>
        <v>191</v>
      </c>
      <c r="G1208">
        <f>VLOOKUP($A1208,ordered_items!$B$2:$E$4784,3,0)</f>
        <v>3</v>
      </c>
      <c r="H1208">
        <f>VLOOKUP($A1208,ordered_items!$B$2:$E$4784,4,0)</f>
        <v>299.97000000000003</v>
      </c>
      <c r="I1208" s="15">
        <f>VLOOKUP(F1208,product_info!$A$2:$D$73,4,0)</f>
        <v>3</v>
      </c>
      <c r="J1208" s="15" t="str">
        <f>VLOOKUP(I1208,department!$A$2:$B$13,2,0)</f>
        <v>Footwear</v>
      </c>
      <c r="K1208">
        <v>8179</v>
      </c>
      <c r="L1208" t="s">
        <v>525</v>
      </c>
      <c r="M1208" s="4">
        <v>43529</v>
      </c>
      <c r="N1208" s="12">
        <f t="shared" si="55"/>
        <v>3</v>
      </c>
      <c r="O1208" s="13">
        <f t="shared" si="56"/>
        <v>2019</v>
      </c>
      <c r="P1208" t="s">
        <v>13</v>
      </c>
      <c r="Q1208" t="s">
        <v>5778</v>
      </c>
      <c r="R1208" t="s">
        <v>57</v>
      </c>
      <c r="S1208" t="str" cm="1">
        <f t="array" ref="S1208">_xlfn.IFS(R1208="COMPLETE", "COMPLETED", R1208="CANCELED", "CANCELED", TRUE, "PENDING")</f>
        <v>PENDING</v>
      </c>
      <c r="T1208" t="s">
        <v>16</v>
      </c>
      <c r="U1208">
        <f>VLOOKUP(A1208,ordered_items!$B:$E,4,0)</f>
        <v>299.97000000000003</v>
      </c>
    </row>
    <row r="1209" spans="1:21" x14ac:dyDescent="0.3">
      <c r="A1209">
        <v>29446</v>
      </c>
      <c r="B1209" t="s">
        <v>24</v>
      </c>
      <c r="C1209">
        <v>2</v>
      </c>
      <c r="D1209">
        <v>2</v>
      </c>
      <c r="E1209" t="str">
        <f t="shared" si="54"/>
        <v xml:space="preserve"> ONTIME</v>
      </c>
      <c r="F1209">
        <f>VLOOKUP($A1209,ordered_items!$B$2:$E$4784,2,0)</f>
        <v>365</v>
      </c>
      <c r="G1209">
        <f>VLOOKUP($A1209,ordered_items!$B$2:$E$4784,3,0)</f>
        <v>1</v>
      </c>
      <c r="H1209">
        <f>VLOOKUP($A1209,ordered_items!$B$2:$E$4784,4,0)</f>
        <v>59.99</v>
      </c>
      <c r="I1209" s="15">
        <f>VLOOKUP(F1209,product_info!$A$2:$D$73,4,0)</f>
        <v>4</v>
      </c>
      <c r="J1209" s="15" t="str">
        <f>VLOOKUP(I1209,department!$A$2:$B$13,2,0)</f>
        <v>Apparel</v>
      </c>
      <c r="K1209">
        <v>2267</v>
      </c>
      <c r="L1209" t="s">
        <v>214</v>
      </c>
      <c r="M1209" s="4">
        <v>43529</v>
      </c>
      <c r="N1209" s="12">
        <f t="shared" si="55"/>
        <v>3</v>
      </c>
      <c r="O1209" s="13">
        <f t="shared" si="56"/>
        <v>2019</v>
      </c>
      <c r="P1209" t="s">
        <v>13</v>
      </c>
      <c r="Q1209" t="s">
        <v>5781</v>
      </c>
      <c r="R1209" t="s">
        <v>31</v>
      </c>
      <c r="S1209" t="str" cm="1">
        <f t="array" ref="S1209">_xlfn.IFS(R1209="COMPLETE", "COMPLETED", R1209="CANCELED", "CANCELED", TRUE, "PENDING")</f>
        <v>COMPLETED</v>
      </c>
      <c r="T1209" t="s">
        <v>90</v>
      </c>
      <c r="U1209">
        <f>VLOOKUP(A1209,ordered_items!$B:$E,4,0)</f>
        <v>59.99</v>
      </c>
    </row>
    <row r="1210" spans="1:21" x14ac:dyDescent="0.3">
      <c r="A1210">
        <v>29448</v>
      </c>
      <c r="B1210" t="s">
        <v>24</v>
      </c>
      <c r="C1210">
        <v>1</v>
      </c>
      <c r="D1210">
        <v>0</v>
      </c>
      <c r="E1210" t="str">
        <f t="shared" si="54"/>
        <v>DELAYED</v>
      </c>
      <c r="F1210">
        <f>VLOOKUP($A1210,ordered_items!$B$2:$E$4784,2,0)</f>
        <v>793</v>
      </c>
      <c r="G1210">
        <f>VLOOKUP($A1210,ordered_items!$B$2:$E$4784,3,0)</f>
        <v>2</v>
      </c>
      <c r="H1210">
        <f>VLOOKUP($A1210,ordered_items!$B$2:$E$4784,4,0)</f>
        <v>29.98</v>
      </c>
      <c r="I1210" s="15">
        <f>VLOOKUP(F1210,product_info!$A$2:$D$73,4,0)</f>
        <v>6</v>
      </c>
      <c r="J1210" s="15" t="str">
        <f>VLOOKUP(I1210,department!$A$2:$B$13,2,0)</f>
        <v>Outdoors</v>
      </c>
      <c r="K1210">
        <v>4937</v>
      </c>
      <c r="L1210" t="s">
        <v>214</v>
      </c>
      <c r="M1210" s="4">
        <v>43529</v>
      </c>
      <c r="N1210" s="12">
        <f t="shared" si="55"/>
        <v>3</v>
      </c>
      <c r="O1210" s="13">
        <f t="shared" si="56"/>
        <v>2019</v>
      </c>
      <c r="P1210" t="s">
        <v>13</v>
      </c>
      <c r="Q1210" t="s">
        <v>5781</v>
      </c>
      <c r="R1210" t="s">
        <v>31</v>
      </c>
      <c r="S1210" t="str" cm="1">
        <f t="array" ref="S1210">_xlfn.IFS(R1210="COMPLETE", "COMPLETED", R1210="CANCELED", "CANCELED", TRUE, "PENDING")</f>
        <v>COMPLETED</v>
      </c>
      <c r="T1210" t="s">
        <v>58</v>
      </c>
      <c r="U1210">
        <f>VLOOKUP(A1210,ordered_items!$B:$E,4,0)</f>
        <v>29.98</v>
      </c>
    </row>
    <row r="1211" spans="1:21" x14ac:dyDescent="0.3">
      <c r="A1211">
        <v>29449</v>
      </c>
      <c r="B1211" t="s">
        <v>51</v>
      </c>
      <c r="C1211">
        <v>1</v>
      </c>
      <c r="D1211">
        <v>0</v>
      </c>
      <c r="E1211" t="str">
        <f t="shared" si="54"/>
        <v>DELAYED</v>
      </c>
      <c r="F1211">
        <f>VLOOKUP($A1211,ordered_items!$B$2:$E$4784,2,0)</f>
        <v>403</v>
      </c>
      <c r="G1211">
        <f>VLOOKUP($A1211,ordered_items!$B$2:$E$4784,3,0)</f>
        <v>1</v>
      </c>
      <c r="H1211">
        <f>VLOOKUP($A1211,ordered_items!$B$2:$E$4784,4,0)</f>
        <v>129.99</v>
      </c>
      <c r="I1211" s="15">
        <f>VLOOKUP(F1211,product_info!$A$2:$D$73,4,0)</f>
        <v>4</v>
      </c>
      <c r="J1211" s="15" t="str">
        <f>VLOOKUP(I1211,department!$A$2:$B$13,2,0)</f>
        <v>Apparel</v>
      </c>
      <c r="K1211">
        <v>5914</v>
      </c>
      <c r="L1211" t="s">
        <v>1320</v>
      </c>
      <c r="M1211" s="4">
        <v>43529</v>
      </c>
      <c r="N1211" s="12">
        <f t="shared" si="55"/>
        <v>3</v>
      </c>
      <c r="O1211" s="13">
        <f t="shared" si="56"/>
        <v>2019</v>
      </c>
      <c r="P1211" t="s">
        <v>13</v>
      </c>
      <c r="Q1211" t="s">
        <v>227</v>
      </c>
      <c r="R1211" t="s">
        <v>57</v>
      </c>
      <c r="S1211" t="str" cm="1">
        <f t="array" ref="S1211">_xlfn.IFS(R1211="COMPLETE", "COMPLETED", R1211="CANCELED", "CANCELED", TRUE, "PENDING")</f>
        <v>PENDING</v>
      </c>
      <c r="T1211" t="s">
        <v>58</v>
      </c>
      <c r="U1211">
        <f>VLOOKUP(A1211,ordered_items!$B:$E,4,0)</f>
        <v>129.99</v>
      </c>
    </row>
    <row r="1212" spans="1:21" x14ac:dyDescent="0.3">
      <c r="A1212">
        <v>29473</v>
      </c>
      <c r="B1212" t="s">
        <v>51</v>
      </c>
      <c r="C1212">
        <v>2</v>
      </c>
      <c r="D1212">
        <v>1</v>
      </c>
      <c r="E1212" t="str">
        <f t="shared" si="54"/>
        <v>DELAYED</v>
      </c>
      <c r="F1212">
        <f>VLOOKUP($A1212,ordered_items!$B$2:$E$4784,2,0)</f>
        <v>957</v>
      </c>
      <c r="G1212">
        <f>VLOOKUP($A1212,ordered_items!$B$2:$E$4784,3,0)</f>
        <v>1</v>
      </c>
      <c r="H1212">
        <f>VLOOKUP($A1212,ordered_items!$B$2:$E$4784,4,0)</f>
        <v>299.98</v>
      </c>
      <c r="I1212" s="15">
        <f>VLOOKUP(F1212,product_info!$A$2:$D$73,4,0)</f>
        <v>7</v>
      </c>
      <c r="J1212" s="15" t="str">
        <f>VLOOKUP(I1212,department!$A$2:$B$13,2,0)</f>
        <v>Fan Shop</v>
      </c>
      <c r="K1212">
        <v>103</v>
      </c>
      <c r="L1212" t="s">
        <v>930</v>
      </c>
      <c r="M1212" s="4">
        <v>43530</v>
      </c>
      <c r="N1212" s="12">
        <f t="shared" si="55"/>
        <v>3</v>
      </c>
      <c r="O1212" s="13">
        <f t="shared" si="56"/>
        <v>2019</v>
      </c>
      <c r="P1212" t="s">
        <v>13</v>
      </c>
      <c r="Q1212" t="s">
        <v>30</v>
      </c>
      <c r="R1212" t="s">
        <v>57</v>
      </c>
      <c r="S1212" t="str" cm="1">
        <f t="array" ref="S1212">_xlfn.IFS(R1212="COMPLETE", "COMPLETED", R1212="CANCELED", "CANCELED", TRUE, "PENDING")</f>
        <v>PENDING</v>
      </c>
      <c r="T1212" t="s">
        <v>32</v>
      </c>
      <c r="U1212">
        <f>VLOOKUP(A1212,ordered_items!$B:$E,4,0)</f>
        <v>299.98</v>
      </c>
    </row>
    <row r="1213" spans="1:21" x14ac:dyDescent="0.3">
      <c r="A1213">
        <v>29474</v>
      </c>
      <c r="B1213" t="s">
        <v>17</v>
      </c>
      <c r="C1213">
        <v>5</v>
      </c>
      <c r="D1213">
        <v>2</v>
      </c>
      <c r="E1213" t="str">
        <f t="shared" si="54"/>
        <v>DELAYED</v>
      </c>
      <c r="F1213">
        <f>VLOOKUP($A1213,ordered_items!$B$2:$E$4784,2,0)</f>
        <v>502</v>
      </c>
      <c r="G1213">
        <f>VLOOKUP($A1213,ordered_items!$B$2:$E$4784,3,0)</f>
        <v>1</v>
      </c>
      <c r="H1213">
        <f>VLOOKUP($A1213,ordered_items!$B$2:$E$4784,4,0)</f>
        <v>50</v>
      </c>
      <c r="I1213" s="15">
        <f>VLOOKUP(F1213,product_info!$A$2:$D$73,4,0)</f>
        <v>5</v>
      </c>
      <c r="J1213" s="15" t="str">
        <f>VLOOKUP(I1213,department!$A$2:$B$13,2,0)</f>
        <v>Golf</v>
      </c>
      <c r="K1213">
        <v>11354</v>
      </c>
      <c r="L1213" t="s">
        <v>930</v>
      </c>
      <c r="M1213" s="4">
        <v>43530</v>
      </c>
      <c r="N1213" s="12">
        <f t="shared" si="55"/>
        <v>3</v>
      </c>
      <c r="O1213" s="13">
        <f t="shared" si="56"/>
        <v>2019</v>
      </c>
      <c r="P1213" t="s">
        <v>13</v>
      </c>
      <c r="Q1213" t="s">
        <v>30</v>
      </c>
      <c r="R1213" t="s">
        <v>23</v>
      </c>
      <c r="S1213" t="str" cm="1">
        <f t="array" ref="S1213">_xlfn.IFS(R1213="COMPLETE", "COMPLETED", R1213="CANCELED", "CANCELED", TRUE, "PENDING")</f>
        <v>PENDING</v>
      </c>
      <c r="T1213" t="s">
        <v>90</v>
      </c>
      <c r="U1213">
        <f>VLOOKUP(A1213,ordered_items!$B:$E,4,0)</f>
        <v>50</v>
      </c>
    </row>
    <row r="1214" spans="1:21" x14ac:dyDescent="0.3">
      <c r="A1214">
        <v>29510</v>
      </c>
      <c r="B1214" t="s">
        <v>51</v>
      </c>
      <c r="C1214">
        <v>6</v>
      </c>
      <c r="D1214">
        <v>2</v>
      </c>
      <c r="E1214" t="str">
        <f t="shared" si="54"/>
        <v>DELAYED</v>
      </c>
      <c r="F1214">
        <f>VLOOKUP($A1214,ordered_items!$B$2:$E$4784,2,0)</f>
        <v>365</v>
      </c>
      <c r="G1214">
        <f>VLOOKUP($A1214,ordered_items!$B$2:$E$4784,3,0)</f>
        <v>2</v>
      </c>
      <c r="H1214">
        <f>VLOOKUP($A1214,ordered_items!$B$2:$E$4784,4,0)</f>
        <v>119.98</v>
      </c>
      <c r="I1214" s="15">
        <f>VLOOKUP(F1214,product_info!$A$2:$D$73,4,0)</f>
        <v>4</v>
      </c>
      <c r="J1214" s="15" t="str">
        <f>VLOOKUP(I1214,department!$A$2:$B$13,2,0)</f>
        <v>Apparel</v>
      </c>
      <c r="K1214">
        <v>10329</v>
      </c>
      <c r="L1214" t="s">
        <v>70</v>
      </c>
      <c r="M1214" s="4">
        <v>43530</v>
      </c>
      <c r="N1214" s="12">
        <f t="shared" si="55"/>
        <v>3</v>
      </c>
      <c r="O1214" s="13">
        <f t="shared" si="56"/>
        <v>2019</v>
      </c>
      <c r="P1214" t="s">
        <v>13</v>
      </c>
      <c r="Q1214" t="s">
        <v>70</v>
      </c>
      <c r="R1214" t="s">
        <v>57</v>
      </c>
      <c r="S1214" t="str" cm="1">
        <f t="array" ref="S1214">_xlfn.IFS(R1214="COMPLETE", "COMPLETED", R1214="CANCELED", "CANCELED", TRUE, "PENDING")</f>
        <v>PENDING</v>
      </c>
      <c r="T1214" t="s">
        <v>90</v>
      </c>
      <c r="U1214">
        <f>VLOOKUP(A1214,ordered_items!$B:$E,4,0)</f>
        <v>119.98</v>
      </c>
    </row>
    <row r="1215" spans="1:21" x14ac:dyDescent="0.3">
      <c r="A1215">
        <v>29523</v>
      </c>
      <c r="B1215" t="s">
        <v>17</v>
      </c>
      <c r="C1215">
        <v>4</v>
      </c>
      <c r="D1215">
        <v>2</v>
      </c>
      <c r="E1215" t="str">
        <f t="shared" si="54"/>
        <v>DELAYED</v>
      </c>
      <c r="F1215">
        <f>VLOOKUP($A1215,ordered_items!$B$2:$E$4784,2,0)</f>
        <v>1073</v>
      </c>
      <c r="G1215">
        <f>VLOOKUP($A1215,ordered_items!$B$2:$E$4784,3,0)</f>
        <v>1</v>
      </c>
      <c r="H1215">
        <f>VLOOKUP($A1215,ordered_items!$B$2:$E$4784,4,0)</f>
        <v>199.99</v>
      </c>
      <c r="I1215" s="15">
        <f>VLOOKUP(F1215,product_info!$A$2:$D$73,4,0)</f>
        <v>7</v>
      </c>
      <c r="J1215" s="15" t="str">
        <f>VLOOKUP(I1215,department!$A$2:$B$13,2,0)</f>
        <v>Fan Shop</v>
      </c>
      <c r="K1215">
        <v>12316</v>
      </c>
      <c r="L1215" t="s">
        <v>502</v>
      </c>
      <c r="M1215" s="4">
        <v>43530</v>
      </c>
      <c r="N1215" s="12">
        <f t="shared" si="55"/>
        <v>3</v>
      </c>
      <c r="O1215" s="13">
        <f t="shared" si="56"/>
        <v>2019</v>
      </c>
      <c r="P1215" t="s">
        <v>13</v>
      </c>
      <c r="Q1215" t="s">
        <v>377</v>
      </c>
      <c r="R1215" t="s">
        <v>23</v>
      </c>
      <c r="S1215" t="str" cm="1">
        <f t="array" ref="S1215">_xlfn.IFS(R1215="COMPLETE", "COMPLETED", R1215="CANCELED", "CANCELED", TRUE, "PENDING")</f>
        <v>PENDING</v>
      </c>
      <c r="T1215" t="s">
        <v>90</v>
      </c>
      <c r="U1215">
        <f>VLOOKUP(A1215,ordered_items!$B:$E,4,0)</f>
        <v>199.99</v>
      </c>
    </row>
    <row r="1216" spans="1:21" x14ac:dyDescent="0.3">
      <c r="A1216">
        <v>29524</v>
      </c>
      <c r="B1216" t="s">
        <v>51</v>
      </c>
      <c r="C1216">
        <v>5</v>
      </c>
      <c r="D1216">
        <v>2</v>
      </c>
      <c r="E1216" t="str">
        <f t="shared" si="54"/>
        <v>DELAYED</v>
      </c>
      <c r="F1216">
        <f>VLOOKUP($A1216,ordered_items!$B$2:$E$4784,2,0)</f>
        <v>502</v>
      </c>
      <c r="G1216">
        <f>VLOOKUP($A1216,ordered_items!$B$2:$E$4784,3,0)</f>
        <v>2</v>
      </c>
      <c r="H1216">
        <f>VLOOKUP($A1216,ordered_items!$B$2:$E$4784,4,0)</f>
        <v>100</v>
      </c>
      <c r="I1216" s="15">
        <f>VLOOKUP(F1216,product_info!$A$2:$D$73,4,0)</f>
        <v>5</v>
      </c>
      <c r="J1216" s="15" t="str">
        <f>VLOOKUP(I1216,department!$A$2:$B$13,2,0)</f>
        <v>Golf</v>
      </c>
      <c r="K1216">
        <v>10211</v>
      </c>
      <c r="L1216" t="s">
        <v>502</v>
      </c>
      <c r="M1216" s="4">
        <v>43530</v>
      </c>
      <c r="N1216" s="12">
        <f t="shared" si="55"/>
        <v>3</v>
      </c>
      <c r="O1216" s="13">
        <f t="shared" si="56"/>
        <v>2019</v>
      </c>
      <c r="P1216" t="s">
        <v>13</v>
      </c>
      <c r="Q1216" t="s">
        <v>377</v>
      </c>
      <c r="R1216" t="s">
        <v>57</v>
      </c>
      <c r="S1216" t="str" cm="1">
        <f t="array" ref="S1216">_xlfn.IFS(R1216="COMPLETE", "COMPLETED", R1216="CANCELED", "CANCELED", TRUE, "PENDING")</f>
        <v>PENDING</v>
      </c>
      <c r="T1216" t="s">
        <v>90</v>
      </c>
      <c r="U1216">
        <f>VLOOKUP(A1216,ordered_items!$B:$E,4,0)</f>
        <v>100</v>
      </c>
    </row>
    <row r="1217" spans="1:21" x14ac:dyDescent="0.3">
      <c r="A1217">
        <v>29527</v>
      </c>
      <c r="B1217" t="s">
        <v>24</v>
      </c>
      <c r="C1217">
        <v>3</v>
      </c>
      <c r="D1217">
        <v>4</v>
      </c>
      <c r="E1217" t="str">
        <f t="shared" si="54"/>
        <v xml:space="preserve"> ONTIME</v>
      </c>
      <c r="F1217">
        <f>VLOOKUP($A1217,ordered_items!$B$2:$E$4784,2,0)</f>
        <v>1073</v>
      </c>
      <c r="G1217">
        <f>VLOOKUP($A1217,ordered_items!$B$2:$E$4784,3,0)</f>
        <v>1</v>
      </c>
      <c r="H1217">
        <f>VLOOKUP($A1217,ordered_items!$B$2:$E$4784,4,0)</f>
        <v>199.99</v>
      </c>
      <c r="I1217" s="15">
        <f>VLOOKUP(F1217,product_info!$A$2:$D$73,4,0)</f>
        <v>7</v>
      </c>
      <c r="J1217" s="15" t="str">
        <f>VLOOKUP(I1217,department!$A$2:$B$13,2,0)</f>
        <v>Fan Shop</v>
      </c>
      <c r="K1217">
        <v>5952</v>
      </c>
      <c r="L1217" t="s">
        <v>439</v>
      </c>
      <c r="M1217" s="4">
        <v>43531</v>
      </c>
      <c r="N1217" s="12">
        <f t="shared" si="55"/>
        <v>3</v>
      </c>
      <c r="O1217" s="13">
        <f t="shared" si="56"/>
        <v>2019</v>
      </c>
      <c r="P1217" t="s">
        <v>13</v>
      </c>
      <c r="Q1217" t="s">
        <v>377</v>
      </c>
      <c r="R1217" t="s">
        <v>31</v>
      </c>
      <c r="S1217" t="str" cm="1">
        <f t="array" ref="S1217">_xlfn.IFS(R1217="COMPLETE", "COMPLETED", R1217="CANCELED", "CANCELED", TRUE, "PENDING")</f>
        <v>COMPLETED</v>
      </c>
      <c r="T1217" t="s">
        <v>16</v>
      </c>
      <c r="U1217">
        <f>VLOOKUP(A1217,ordered_items!$B:$E,4,0)</f>
        <v>199.99</v>
      </c>
    </row>
    <row r="1218" spans="1:21" x14ac:dyDescent="0.3">
      <c r="A1218">
        <v>29539</v>
      </c>
      <c r="B1218" t="s">
        <v>51</v>
      </c>
      <c r="C1218">
        <v>5</v>
      </c>
      <c r="D1218">
        <v>4</v>
      </c>
      <c r="E1218" t="str">
        <f t="shared" si="54"/>
        <v>DELAYED</v>
      </c>
      <c r="F1218">
        <f>VLOOKUP($A1218,ordered_items!$B$2:$E$4784,2,0)</f>
        <v>403</v>
      </c>
      <c r="G1218">
        <f>VLOOKUP($A1218,ordered_items!$B$2:$E$4784,3,0)</f>
        <v>1</v>
      </c>
      <c r="H1218">
        <f>VLOOKUP($A1218,ordered_items!$B$2:$E$4784,4,0)</f>
        <v>129.99</v>
      </c>
      <c r="I1218" s="15">
        <f>VLOOKUP(F1218,product_info!$A$2:$D$73,4,0)</f>
        <v>4</v>
      </c>
      <c r="J1218" s="15" t="str">
        <f>VLOOKUP(I1218,department!$A$2:$B$13,2,0)</f>
        <v>Apparel</v>
      </c>
      <c r="K1218">
        <v>8694</v>
      </c>
      <c r="L1218" t="s">
        <v>1255</v>
      </c>
      <c r="M1218" s="4">
        <v>43531</v>
      </c>
      <c r="N1218" s="12">
        <f t="shared" si="55"/>
        <v>3</v>
      </c>
      <c r="O1218" s="13">
        <f t="shared" si="56"/>
        <v>2019</v>
      </c>
      <c r="P1218" t="s">
        <v>13</v>
      </c>
      <c r="Q1218" t="s">
        <v>99</v>
      </c>
      <c r="R1218" t="s">
        <v>57</v>
      </c>
      <c r="S1218" t="str" cm="1">
        <f t="array" ref="S1218">_xlfn.IFS(R1218="COMPLETE", "COMPLETED", R1218="CANCELED", "CANCELED", TRUE, "PENDING")</f>
        <v>PENDING</v>
      </c>
      <c r="T1218" t="s">
        <v>16</v>
      </c>
      <c r="U1218">
        <f>VLOOKUP(A1218,ordered_items!$B:$E,4,0)</f>
        <v>129.99</v>
      </c>
    </row>
    <row r="1219" spans="1:21" x14ac:dyDescent="0.3">
      <c r="A1219">
        <v>29540</v>
      </c>
      <c r="B1219" t="s">
        <v>51</v>
      </c>
      <c r="C1219">
        <v>6</v>
      </c>
      <c r="D1219">
        <v>4</v>
      </c>
      <c r="E1219" t="str">
        <f t="shared" ref="E1219:E1282" si="57">IF(C1219-D1219&gt;0,"DELAYED"," ONTIME")</f>
        <v>DELAYED</v>
      </c>
      <c r="F1219">
        <f>VLOOKUP($A1219,ordered_items!$B$2:$E$4784,2,0)</f>
        <v>1014</v>
      </c>
      <c r="G1219">
        <f>VLOOKUP($A1219,ordered_items!$B$2:$E$4784,3,0)</f>
        <v>4</v>
      </c>
      <c r="H1219">
        <f>VLOOKUP($A1219,ordered_items!$B$2:$E$4784,4,0)</f>
        <v>199.92</v>
      </c>
      <c r="I1219" s="15">
        <f>VLOOKUP(F1219,product_info!$A$2:$D$73,4,0)</f>
        <v>7</v>
      </c>
      <c r="J1219" s="15" t="str">
        <f>VLOOKUP(I1219,department!$A$2:$B$13,2,0)</f>
        <v>Fan Shop</v>
      </c>
      <c r="K1219">
        <v>8582</v>
      </c>
      <c r="L1219" t="s">
        <v>1255</v>
      </c>
      <c r="M1219" s="4">
        <v>43531</v>
      </c>
      <c r="N1219" s="12">
        <f t="shared" ref="N1219:N1282" si="58">MONTH(M1219)</f>
        <v>3</v>
      </c>
      <c r="O1219" s="13">
        <f t="shared" ref="O1219:O1282" si="59">YEAR(M1219)</f>
        <v>2019</v>
      </c>
      <c r="P1219" t="s">
        <v>13</v>
      </c>
      <c r="Q1219" t="s">
        <v>99</v>
      </c>
      <c r="R1219" t="s">
        <v>57</v>
      </c>
      <c r="S1219" t="str" cm="1">
        <f t="array" ref="S1219">_xlfn.IFS(R1219="COMPLETE", "COMPLETED", R1219="CANCELED", "CANCELED", TRUE, "PENDING")</f>
        <v>PENDING</v>
      </c>
      <c r="T1219" t="s">
        <v>16</v>
      </c>
      <c r="U1219">
        <f>VLOOKUP(A1219,ordered_items!$B:$E,4,0)</f>
        <v>199.92</v>
      </c>
    </row>
    <row r="1220" spans="1:21" x14ac:dyDescent="0.3">
      <c r="A1220">
        <v>29541</v>
      </c>
      <c r="B1220" t="s">
        <v>3</v>
      </c>
      <c r="C1220">
        <v>2</v>
      </c>
      <c r="D1220">
        <v>2</v>
      </c>
      <c r="E1220" t="str">
        <f t="shared" si="57"/>
        <v xml:space="preserve"> ONTIME</v>
      </c>
      <c r="F1220">
        <f>VLOOKUP($A1220,ordered_items!$B$2:$E$4784,2,0)</f>
        <v>1073</v>
      </c>
      <c r="G1220">
        <f>VLOOKUP($A1220,ordered_items!$B$2:$E$4784,3,0)</f>
        <v>1</v>
      </c>
      <c r="H1220">
        <f>VLOOKUP($A1220,ordered_items!$B$2:$E$4784,4,0)</f>
        <v>199.99</v>
      </c>
      <c r="I1220" s="15">
        <f>VLOOKUP(F1220,product_info!$A$2:$D$73,4,0)</f>
        <v>7</v>
      </c>
      <c r="J1220" s="15" t="str">
        <f>VLOOKUP(I1220,department!$A$2:$B$13,2,0)</f>
        <v>Fan Shop</v>
      </c>
      <c r="K1220">
        <v>551</v>
      </c>
      <c r="L1220" t="s">
        <v>1255</v>
      </c>
      <c r="M1220" s="4">
        <v>43531</v>
      </c>
      <c r="N1220" s="12">
        <f t="shared" si="58"/>
        <v>3</v>
      </c>
      <c r="O1220" s="13">
        <f t="shared" si="59"/>
        <v>2019</v>
      </c>
      <c r="P1220" t="s">
        <v>13</v>
      </c>
      <c r="Q1220" t="s">
        <v>99</v>
      </c>
      <c r="R1220" t="s">
        <v>14</v>
      </c>
      <c r="S1220" t="str" cm="1">
        <f t="array" ref="S1220">_xlfn.IFS(R1220="COMPLETE", "COMPLETED", R1220="CANCELED", "CANCELED", TRUE, "PENDING")</f>
        <v>PENDING</v>
      </c>
      <c r="T1220" t="s">
        <v>90</v>
      </c>
      <c r="U1220">
        <f>VLOOKUP(A1220,ordered_items!$B:$E,4,0)</f>
        <v>199.99</v>
      </c>
    </row>
    <row r="1221" spans="1:21" x14ac:dyDescent="0.3">
      <c r="A1221">
        <v>29542</v>
      </c>
      <c r="B1221" t="s">
        <v>17</v>
      </c>
      <c r="C1221">
        <v>3</v>
      </c>
      <c r="D1221">
        <v>2</v>
      </c>
      <c r="E1221" t="str">
        <f t="shared" si="57"/>
        <v>DELAYED</v>
      </c>
      <c r="F1221">
        <f>VLOOKUP($A1221,ordered_items!$B$2:$E$4784,2,0)</f>
        <v>403</v>
      </c>
      <c r="G1221">
        <f>VLOOKUP($A1221,ordered_items!$B$2:$E$4784,3,0)</f>
        <v>1</v>
      </c>
      <c r="H1221">
        <f>VLOOKUP($A1221,ordered_items!$B$2:$E$4784,4,0)</f>
        <v>129.99</v>
      </c>
      <c r="I1221" s="15">
        <f>VLOOKUP(F1221,product_info!$A$2:$D$73,4,0)</f>
        <v>4</v>
      </c>
      <c r="J1221" s="15" t="str">
        <f>VLOOKUP(I1221,department!$A$2:$B$13,2,0)</f>
        <v>Apparel</v>
      </c>
      <c r="K1221">
        <v>5388</v>
      </c>
      <c r="L1221" t="s">
        <v>1255</v>
      </c>
      <c r="M1221" s="4">
        <v>43531</v>
      </c>
      <c r="N1221" s="12">
        <f t="shared" si="58"/>
        <v>3</v>
      </c>
      <c r="O1221" s="13">
        <f t="shared" si="59"/>
        <v>2019</v>
      </c>
      <c r="P1221" t="s">
        <v>13</v>
      </c>
      <c r="Q1221" t="s">
        <v>99</v>
      </c>
      <c r="R1221" t="s">
        <v>23</v>
      </c>
      <c r="S1221" t="str" cm="1">
        <f t="array" ref="S1221">_xlfn.IFS(R1221="COMPLETE", "COMPLETED", R1221="CANCELED", "CANCELED", TRUE, "PENDING")</f>
        <v>PENDING</v>
      </c>
      <c r="T1221" t="s">
        <v>90</v>
      </c>
      <c r="U1221">
        <f>VLOOKUP(A1221,ordered_items!$B:$E,4,0)</f>
        <v>129.99</v>
      </c>
    </row>
    <row r="1222" spans="1:21" x14ac:dyDescent="0.3">
      <c r="A1222">
        <v>29544</v>
      </c>
      <c r="B1222" t="s">
        <v>24</v>
      </c>
      <c r="C1222">
        <v>5</v>
      </c>
      <c r="D1222">
        <v>2</v>
      </c>
      <c r="E1222" t="str">
        <f t="shared" si="57"/>
        <v>DELAYED</v>
      </c>
      <c r="F1222">
        <f>VLOOKUP($A1222,ordered_items!$B$2:$E$4784,2,0)</f>
        <v>502</v>
      </c>
      <c r="G1222">
        <f>VLOOKUP($A1222,ordered_items!$B$2:$E$4784,3,0)</f>
        <v>1</v>
      </c>
      <c r="H1222">
        <f>VLOOKUP($A1222,ordered_items!$B$2:$E$4784,4,0)</f>
        <v>50</v>
      </c>
      <c r="I1222" s="15">
        <f>VLOOKUP(F1222,product_info!$A$2:$D$73,4,0)</f>
        <v>5</v>
      </c>
      <c r="J1222" s="15" t="str">
        <f>VLOOKUP(I1222,department!$A$2:$B$13,2,0)</f>
        <v>Golf</v>
      </c>
      <c r="K1222">
        <v>8013</v>
      </c>
      <c r="L1222" t="s">
        <v>1255</v>
      </c>
      <c r="M1222" s="4">
        <v>43531</v>
      </c>
      <c r="N1222" s="12">
        <f t="shared" si="58"/>
        <v>3</v>
      </c>
      <c r="O1222" s="13">
        <f t="shared" si="59"/>
        <v>2019</v>
      </c>
      <c r="P1222" t="s">
        <v>13</v>
      </c>
      <c r="Q1222" t="s">
        <v>99</v>
      </c>
      <c r="R1222" t="s">
        <v>31</v>
      </c>
      <c r="S1222" t="str" cm="1">
        <f t="array" ref="S1222">_xlfn.IFS(R1222="COMPLETE", "COMPLETED", R1222="CANCELED", "CANCELED", TRUE, "PENDING")</f>
        <v>COMPLETED</v>
      </c>
      <c r="T1222" t="s">
        <v>90</v>
      </c>
      <c r="U1222">
        <f>VLOOKUP(A1222,ordered_items!$B:$E,4,0)</f>
        <v>50</v>
      </c>
    </row>
    <row r="1223" spans="1:21" x14ac:dyDescent="0.3">
      <c r="A1223">
        <v>29573</v>
      </c>
      <c r="B1223" t="s">
        <v>3</v>
      </c>
      <c r="C1223">
        <v>1</v>
      </c>
      <c r="D1223">
        <v>0</v>
      </c>
      <c r="E1223" t="str">
        <f t="shared" si="57"/>
        <v>DELAYED</v>
      </c>
      <c r="F1223">
        <f>VLOOKUP($A1223,ordered_items!$B$2:$E$4784,2,0)</f>
        <v>1014</v>
      </c>
      <c r="G1223">
        <f>VLOOKUP($A1223,ordered_items!$B$2:$E$4784,3,0)</f>
        <v>1</v>
      </c>
      <c r="H1223">
        <f>VLOOKUP($A1223,ordered_items!$B$2:$E$4784,4,0)</f>
        <v>49.98</v>
      </c>
      <c r="I1223" s="15">
        <f>VLOOKUP(F1223,product_info!$A$2:$D$73,4,0)</f>
        <v>7</v>
      </c>
      <c r="J1223" s="15" t="str">
        <f>VLOOKUP(I1223,department!$A$2:$B$13,2,0)</f>
        <v>Fan Shop</v>
      </c>
      <c r="K1223">
        <v>11830</v>
      </c>
      <c r="L1223" t="s">
        <v>186</v>
      </c>
      <c r="M1223" s="4">
        <v>43531</v>
      </c>
      <c r="N1223" s="12">
        <f t="shared" si="58"/>
        <v>3</v>
      </c>
      <c r="O1223" s="13">
        <f t="shared" si="59"/>
        <v>2019</v>
      </c>
      <c r="P1223" t="s">
        <v>13</v>
      </c>
      <c r="Q1223" t="s">
        <v>5778</v>
      </c>
      <c r="R1223" t="s">
        <v>38</v>
      </c>
      <c r="S1223" t="str" cm="1">
        <f t="array" ref="S1223">_xlfn.IFS(R1223="COMPLETE", "COMPLETED", R1223="CANCELED", "CANCELED", TRUE, "PENDING")</f>
        <v>PENDING</v>
      </c>
      <c r="T1223" t="s">
        <v>58</v>
      </c>
      <c r="U1223">
        <f>VLOOKUP(A1223,ordered_items!$B:$E,4,0)</f>
        <v>49.98</v>
      </c>
    </row>
    <row r="1224" spans="1:21" x14ac:dyDescent="0.3">
      <c r="A1224">
        <v>29574</v>
      </c>
      <c r="B1224" t="s">
        <v>24</v>
      </c>
      <c r="C1224">
        <v>5</v>
      </c>
      <c r="D1224">
        <v>4</v>
      </c>
      <c r="E1224" t="str">
        <f t="shared" si="57"/>
        <v>DELAYED</v>
      </c>
      <c r="F1224">
        <f>VLOOKUP($A1224,ordered_items!$B$2:$E$4784,2,0)</f>
        <v>191</v>
      </c>
      <c r="G1224">
        <f>VLOOKUP($A1224,ordered_items!$B$2:$E$4784,3,0)</f>
        <v>1</v>
      </c>
      <c r="H1224">
        <f>VLOOKUP($A1224,ordered_items!$B$2:$E$4784,4,0)</f>
        <v>99.99</v>
      </c>
      <c r="I1224" s="15">
        <f>VLOOKUP(F1224,product_info!$A$2:$D$73,4,0)</f>
        <v>3</v>
      </c>
      <c r="J1224" s="15" t="str">
        <f>VLOOKUP(I1224,department!$A$2:$B$13,2,0)</f>
        <v>Footwear</v>
      </c>
      <c r="K1224">
        <v>5475</v>
      </c>
      <c r="L1224" t="s">
        <v>244</v>
      </c>
      <c r="M1224" s="4">
        <v>43531</v>
      </c>
      <c r="N1224" s="12">
        <f t="shared" si="58"/>
        <v>3</v>
      </c>
      <c r="O1224" s="13">
        <f t="shared" si="59"/>
        <v>2019</v>
      </c>
      <c r="P1224" t="s">
        <v>13</v>
      </c>
      <c r="Q1224" t="s">
        <v>245</v>
      </c>
      <c r="R1224" t="s">
        <v>378</v>
      </c>
      <c r="S1224" t="str" cm="1">
        <f t="array" ref="S1224">_xlfn.IFS(R1224="COMPLETE", "COMPLETED", R1224="CANCELED", "CANCELED", TRUE, "PENDING")</f>
        <v>PENDING</v>
      </c>
      <c r="T1224" t="s">
        <v>16</v>
      </c>
      <c r="U1224">
        <f>VLOOKUP(A1224,ordered_items!$B:$E,4,0)</f>
        <v>99.99</v>
      </c>
    </row>
    <row r="1225" spans="1:21" x14ac:dyDescent="0.3">
      <c r="A1225">
        <v>29579</v>
      </c>
      <c r="B1225" t="s">
        <v>24</v>
      </c>
      <c r="C1225">
        <v>5</v>
      </c>
      <c r="D1225">
        <v>2</v>
      </c>
      <c r="E1225" t="str">
        <f t="shared" si="57"/>
        <v>DELAYED</v>
      </c>
      <c r="F1225">
        <f>VLOOKUP($A1225,ordered_items!$B$2:$E$4784,2,0)</f>
        <v>365</v>
      </c>
      <c r="G1225">
        <f>VLOOKUP($A1225,ordered_items!$B$2:$E$4784,3,0)</f>
        <v>1</v>
      </c>
      <c r="H1225">
        <f>VLOOKUP($A1225,ordered_items!$B$2:$E$4784,4,0)</f>
        <v>59.99</v>
      </c>
      <c r="I1225" s="15">
        <f>VLOOKUP(F1225,product_info!$A$2:$D$73,4,0)</f>
        <v>4</v>
      </c>
      <c r="J1225" s="15" t="str">
        <f>VLOOKUP(I1225,department!$A$2:$B$13,2,0)</f>
        <v>Apparel</v>
      </c>
      <c r="K1225">
        <v>9356</v>
      </c>
      <c r="L1225" t="s">
        <v>2275</v>
      </c>
      <c r="M1225" s="4">
        <v>43531</v>
      </c>
      <c r="N1225" s="12">
        <f t="shared" si="58"/>
        <v>3</v>
      </c>
      <c r="O1225" s="13">
        <f t="shared" si="59"/>
        <v>2019</v>
      </c>
      <c r="P1225" t="s">
        <v>13</v>
      </c>
      <c r="Q1225" t="s">
        <v>80</v>
      </c>
      <c r="R1225" t="s">
        <v>31</v>
      </c>
      <c r="S1225" t="str" cm="1">
        <f t="array" ref="S1225">_xlfn.IFS(R1225="COMPLETE", "COMPLETED", R1225="CANCELED", "CANCELED", TRUE, "PENDING")</f>
        <v>COMPLETED</v>
      </c>
      <c r="T1225" t="s">
        <v>90</v>
      </c>
      <c r="U1225">
        <f>VLOOKUP(A1225,ordered_items!$B:$E,4,0)</f>
        <v>59.99</v>
      </c>
    </row>
    <row r="1226" spans="1:21" x14ac:dyDescent="0.3">
      <c r="A1226">
        <v>29597</v>
      </c>
      <c r="B1226" t="s">
        <v>3</v>
      </c>
      <c r="C1226">
        <v>3</v>
      </c>
      <c r="D1226">
        <v>4</v>
      </c>
      <c r="E1226" t="str">
        <f t="shared" si="57"/>
        <v xml:space="preserve"> ONTIME</v>
      </c>
      <c r="F1226">
        <f>VLOOKUP($A1226,ordered_items!$B$2:$E$4784,2,0)</f>
        <v>403</v>
      </c>
      <c r="G1226">
        <f>VLOOKUP($A1226,ordered_items!$B$2:$E$4784,3,0)</f>
        <v>1</v>
      </c>
      <c r="H1226">
        <f>VLOOKUP($A1226,ordered_items!$B$2:$E$4784,4,0)</f>
        <v>129.99</v>
      </c>
      <c r="I1226" s="15">
        <f>VLOOKUP(F1226,product_info!$A$2:$D$73,4,0)</f>
        <v>4</v>
      </c>
      <c r="J1226" s="15" t="str">
        <f>VLOOKUP(I1226,department!$A$2:$B$13,2,0)</f>
        <v>Apparel</v>
      </c>
      <c r="K1226">
        <v>2030</v>
      </c>
      <c r="L1226" t="s">
        <v>867</v>
      </c>
      <c r="M1226" s="4">
        <v>43532</v>
      </c>
      <c r="N1226" s="12">
        <f t="shared" si="58"/>
        <v>3</v>
      </c>
      <c r="O1226" s="13">
        <f t="shared" si="59"/>
        <v>2019</v>
      </c>
      <c r="P1226" t="s">
        <v>13</v>
      </c>
      <c r="Q1226" t="s">
        <v>5781</v>
      </c>
      <c r="R1226" t="s">
        <v>14</v>
      </c>
      <c r="S1226" t="str" cm="1">
        <f t="array" ref="S1226">_xlfn.IFS(R1226="COMPLETE", "COMPLETED", R1226="CANCELED", "CANCELED", TRUE, "PENDING")</f>
        <v>PENDING</v>
      </c>
      <c r="T1226" t="s">
        <v>16</v>
      </c>
      <c r="U1226">
        <f>VLOOKUP(A1226,ordered_items!$B:$E,4,0)</f>
        <v>129.99</v>
      </c>
    </row>
    <row r="1227" spans="1:21" x14ac:dyDescent="0.3">
      <c r="A1227">
        <v>29600</v>
      </c>
      <c r="B1227" t="s">
        <v>24</v>
      </c>
      <c r="C1227">
        <v>2</v>
      </c>
      <c r="D1227">
        <v>1</v>
      </c>
      <c r="E1227" t="str">
        <f t="shared" si="57"/>
        <v>DELAYED</v>
      </c>
      <c r="F1227">
        <f>VLOOKUP($A1227,ordered_items!$B$2:$E$4784,2,0)</f>
        <v>365</v>
      </c>
      <c r="G1227">
        <f>VLOOKUP($A1227,ordered_items!$B$2:$E$4784,3,0)</f>
        <v>1</v>
      </c>
      <c r="H1227">
        <f>VLOOKUP($A1227,ordered_items!$B$2:$E$4784,4,0)</f>
        <v>59.99</v>
      </c>
      <c r="I1227" s="15">
        <f>VLOOKUP(F1227,product_info!$A$2:$D$73,4,0)</f>
        <v>4</v>
      </c>
      <c r="J1227" s="15" t="str">
        <f>VLOOKUP(I1227,department!$A$2:$B$13,2,0)</f>
        <v>Apparel</v>
      </c>
      <c r="K1227">
        <v>3452</v>
      </c>
      <c r="L1227" t="s">
        <v>70</v>
      </c>
      <c r="M1227" s="4">
        <v>43532</v>
      </c>
      <c r="N1227" s="12">
        <f t="shared" si="58"/>
        <v>3</v>
      </c>
      <c r="O1227" s="13">
        <f t="shared" si="59"/>
        <v>2019</v>
      </c>
      <c r="P1227" t="s">
        <v>13</v>
      </c>
      <c r="Q1227" t="s">
        <v>70</v>
      </c>
      <c r="R1227" t="s">
        <v>31</v>
      </c>
      <c r="S1227" t="str" cm="1">
        <f t="array" ref="S1227">_xlfn.IFS(R1227="COMPLETE", "COMPLETED", R1227="CANCELED", "CANCELED", TRUE, "PENDING")</f>
        <v>COMPLETED</v>
      </c>
      <c r="T1227" t="s">
        <v>32</v>
      </c>
      <c r="U1227">
        <f>VLOOKUP(A1227,ordered_items!$B:$E,4,0)</f>
        <v>59.99</v>
      </c>
    </row>
    <row r="1228" spans="1:21" x14ac:dyDescent="0.3">
      <c r="A1228">
        <v>29601</v>
      </c>
      <c r="B1228" t="s">
        <v>51</v>
      </c>
      <c r="C1228">
        <v>2</v>
      </c>
      <c r="D1228">
        <v>1</v>
      </c>
      <c r="E1228" t="str">
        <f t="shared" si="57"/>
        <v>DELAYED</v>
      </c>
      <c r="F1228">
        <f>VLOOKUP($A1228,ordered_items!$B$2:$E$4784,2,0)</f>
        <v>957</v>
      </c>
      <c r="G1228">
        <f>VLOOKUP($A1228,ordered_items!$B$2:$E$4784,3,0)</f>
        <v>1</v>
      </c>
      <c r="H1228">
        <f>VLOOKUP($A1228,ordered_items!$B$2:$E$4784,4,0)</f>
        <v>299.98</v>
      </c>
      <c r="I1228" s="15">
        <f>VLOOKUP(F1228,product_info!$A$2:$D$73,4,0)</f>
        <v>7</v>
      </c>
      <c r="J1228" s="15" t="str">
        <f>VLOOKUP(I1228,department!$A$2:$B$13,2,0)</f>
        <v>Fan Shop</v>
      </c>
      <c r="K1228">
        <v>11406</v>
      </c>
      <c r="L1228" t="s">
        <v>70</v>
      </c>
      <c r="M1228" s="4">
        <v>43532</v>
      </c>
      <c r="N1228" s="12">
        <f t="shared" si="58"/>
        <v>3</v>
      </c>
      <c r="O1228" s="13">
        <f t="shared" si="59"/>
        <v>2019</v>
      </c>
      <c r="P1228" t="s">
        <v>13</v>
      </c>
      <c r="Q1228" t="s">
        <v>70</v>
      </c>
      <c r="R1228" t="s">
        <v>57</v>
      </c>
      <c r="S1228" t="str" cm="1">
        <f t="array" ref="S1228">_xlfn.IFS(R1228="COMPLETE", "COMPLETED", R1228="CANCELED", "CANCELED", TRUE, "PENDING")</f>
        <v>PENDING</v>
      </c>
      <c r="T1228" t="s">
        <v>32</v>
      </c>
      <c r="U1228">
        <f>VLOOKUP(A1228,ordered_items!$B:$E,4,0)</f>
        <v>299.98</v>
      </c>
    </row>
    <row r="1229" spans="1:21" x14ac:dyDescent="0.3">
      <c r="A1229">
        <v>29602</v>
      </c>
      <c r="B1229" t="s">
        <v>24</v>
      </c>
      <c r="C1229">
        <v>3</v>
      </c>
      <c r="D1229">
        <v>4</v>
      </c>
      <c r="E1229" t="str">
        <f t="shared" si="57"/>
        <v xml:space="preserve"> ONTIME</v>
      </c>
      <c r="F1229">
        <f>VLOOKUP($A1229,ordered_items!$B$2:$E$4784,2,0)</f>
        <v>403</v>
      </c>
      <c r="G1229">
        <f>VLOOKUP($A1229,ordered_items!$B$2:$E$4784,3,0)</f>
        <v>1</v>
      </c>
      <c r="H1229">
        <f>VLOOKUP($A1229,ordered_items!$B$2:$E$4784,4,0)</f>
        <v>129.99</v>
      </c>
      <c r="I1229" s="15">
        <f>VLOOKUP(F1229,product_info!$A$2:$D$73,4,0)</f>
        <v>4</v>
      </c>
      <c r="J1229" s="15" t="str">
        <f>VLOOKUP(I1229,department!$A$2:$B$13,2,0)</f>
        <v>Apparel</v>
      </c>
      <c r="K1229">
        <v>3803</v>
      </c>
      <c r="L1229" t="s">
        <v>70</v>
      </c>
      <c r="M1229" s="4">
        <v>43532</v>
      </c>
      <c r="N1229" s="12">
        <f t="shared" si="58"/>
        <v>3</v>
      </c>
      <c r="O1229" s="13">
        <f t="shared" si="59"/>
        <v>2019</v>
      </c>
      <c r="P1229" t="s">
        <v>13</v>
      </c>
      <c r="Q1229" t="s">
        <v>70</v>
      </c>
      <c r="R1229" t="s">
        <v>31</v>
      </c>
      <c r="S1229" t="str" cm="1">
        <f t="array" ref="S1229">_xlfn.IFS(R1229="COMPLETE", "COMPLETED", R1229="CANCELED", "CANCELED", TRUE, "PENDING")</f>
        <v>COMPLETED</v>
      </c>
      <c r="T1229" t="s">
        <v>16</v>
      </c>
      <c r="U1229">
        <f>VLOOKUP(A1229,ordered_items!$B:$E,4,0)</f>
        <v>129.99</v>
      </c>
    </row>
    <row r="1230" spans="1:21" x14ac:dyDescent="0.3">
      <c r="A1230">
        <v>29604</v>
      </c>
      <c r="B1230" t="s">
        <v>24</v>
      </c>
      <c r="C1230">
        <v>5</v>
      </c>
      <c r="D1230">
        <v>2</v>
      </c>
      <c r="E1230" t="str">
        <f t="shared" si="57"/>
        <v>DELAYED</v>
      </c>
      <c r="F1230">
        <f>VLOOKUP($A1230,ordered_items!$B$2:$E$4784,2,0)</f>
        <v>502</v>
      </c>
      <c r="G1230">
        <f>VLOOKUP($A1230,ordered_items!$B$2:$E$4784,3,0)</f>
        <v>4</v>
      </c>
      <c r="H1230">
        <f>VLOOKUP($A1230,ordered_items!$B$2:$E$4784,4,0)</f>
        <v>200</v>
      </c>
      <c r="I1230" s="15">
        <f>VLOOKUP(F1230,product_info!$A$2:$D$73,4,0)</f>
        <v>5</v>
      </c>
      <c r="J1230" s="15" t="str">
        <f>VLOOKUP(I1230,department!$A$2:$B$13,2,0)</f>
        <v>Golf</v>
      </c>
      <c r="K1230">
        <v>10753</v>
      </c>
      <c r="L1230" t="s">
        <v>70</v>
      </c>
      <c r="M1230" s="4">
        <v>43532</v>
      </c>
      <c r="N1230" s="12">
        <f t="shared" si="58"/>
        <v>3</v>
      </c>
      <c r="O1230" s="13">
        <f t="shared" si="59"/>
        <v>2019</v>
      </c>
      <c r="P1230" t="s">
        <v>13</v>
      </c>
      <c r="Q1230" t="s">
        <v>70</v>
      </c>
      <c r="R1230" t="s">
        <v>31</v>
      </c>
      <c r="S1230" t="str" cm="1">
        <f t="array" ref="S1230">_xlfn.IFS(R1230="COMPLETE", "COMPLETED", R1230="CANCELED", "CANCELED", TRUE, "PENDING")</f>
        <v>COMPLETED</v>
      </c>
      <c r="T1230" t="s">
        <v>90</v>
      </c>
      <c r="U1230">
        <f>VLOOKUP(A1230,ordered_items!$B:$E,4,0)</f>
        <v>200</v>
      </c>
    </row>
    <row r="1231" spans="1:21" x14ac:dyDescent="0.3">
      <c r="A1231">
        <v>29618</v>
      </c>
      <c r="B1231" t="s">
        <v>3</v>
      </c>
      <c r="C1231">
        <v>2</v>
      </c>
      <c r="D1231">
        <v>1</v>
      </c>
      <c r="E1231" t="str">
        <f t="shared" si="57"/>
        <v>DELAYED</v>
      </c>
      <c r="F1231">
        <f>VLOOKUP($A1231,ordered_items!$B$2:$E$4784,2,0)</f>
        <v>1014</v>
      </c>
      <c r="G1231">
        <f>VLOOKUP($A1231,ordered_items!$B$2:$E$4784,3,0)</f>
        <v>3</v>
      </c>
      <c r="H1231">
        <f>VLOOKUP($A1231,ordered_items!$B$2:$E$4784,4,0)</f>
        <v>149.94</v>
      </c>
      <c r="I1231" s="15">
        <f>VLOOKUP(F1231,product_info!$A$2:$D$73,4,0)</f>
        <v>7</v>
      </c>
      <c r="J1231" s="15" t="str">
        <f>VLOOKUP(I1231,department!$A$2:$B$13,2,0)</f>
        <v>Fan Shop</v>
      </c>
      <c r="K1231">
        <v>954</v>
      </c>
      <c r="L1231" t="s">
        <v>262</v>
      </c>
      <c r="M1231" s="4">
        <v>43532</v>
      </c>
      <c r="N1231" s="12">
        <f t="shared" si="58"/>
        <v>3</v>
      </c>
      <c r="O1231" s="13">
        <f t="shared" si="59"/>
        <v>2019</v>
      </c>
      <c r="P1231" t="s">
        <v>13</v>
      </c>
      <c r="Q1231" t="s">
        <v>5777</v>
      </c>
      <c r="R1231" t="s">
        <v>38</v>
      </c>
      <c r="S1231" t="str" cm="1">
        <f t="array" ref="S1231">_xlfn.IFS(R1231="COMPLETE", "COMPLETED", R1231="CANCELED", "CANCELED", TRUE, "PENDING")</f>
        <v>PENDING</v>
      </c>
      <c r="T1231" t="s">
        <v>32</v>
      </c>
      <c r="U1231">
        <f>VLOOKUP(A1231,ordered_items!$B:$E,4,0)</f>
        <v>149.94</v>
      </c>
    </row>
    <row r="1232" spans="1:21" x14ac:dyDescent="0.3">
      <c r="A1232">
        <v>29620</v>
      </c>
      <c r="B1232" t="s">
        <v>24</v>
      </c>
      <c r="C1232">
        <v>6</v>
      </c>
      <c r="D1232">
        <v>4</v>
      </c>
      <c r="E1232" t="str">
        <f t="shared" si="57"/>
        <v>DELAYED</v>
      </c>
      <c r="F1232">
        <f>VLOOKUP($A1232,ordered_items!$B$2:$E$4784,2,0)</f>
        <v>1073</v>
      </c>
      <c r="G1232">
        <f>VLOOKUP($A1232,ordered_items!$B$2:$E$4784,3,0)</f>
        <v>1</v>
      </c>
      <c r="H1232">
        <f>VLOOKUP($A1232,ordered_items!$B$2:$E$4784,4,0)</f>
        <v>199.99</v>
      </c>
      <c r="I1232" s="15">
        <f>VLOOKUP(F1232,product_info!$A$2:$D$73,4,0)</f>
        <v>7</v>
      </c>
      <c r="J1232" s="15" t="str">
        <f>VLOOKUP(I1232,department!$A$2:$B$13,2,0)</f>
        <v>Fan Shop</v>
      </c>
      <c r="K1232">
        <v>9574</v>
      </c>
      <c r="L1232" t="s">
        <v>430</v>
      </c>
      <c r="M1232" s="4">
        <v>43532</v>
      </c>
      <c r="N1232" s="12">
        <f t="shared" si="58"/>
        <v>3</v>
      </c>
      <c r="O1232" s="13">
        <f t="shared" si="59"/>
        <v>2019</v>
      </c>
      <c r="P1232" t="s">
        <v>13</v>
      </c>
      <c r="Q1232" t="s">
        <v>431</v>
      </c>
      <c r="R1232" t="s">
        <v>31</v>
      </c>
      <c r="S1232" t="str" cm="1">
        <f t="array" ref="S1232">_xlfn.IFS(R1232="COMPLETE", "COMPLETED", R1232="CANCELED", "CANCELED", TRUE, "PENDING")</f>
        <v>COMPLETED</v>
      </c>
      <c r="T1232" t="s">
        <v>16</v>
      </c>
      <c r="U1232">
        <f>VLOOKUP(A1232,ordered_items!$B:$E,4,0)</f>
        <v>199.99</v>
      </c>
    </row>
    <row r="1233" spans="1:21" x14ac:dyDescent="0.3">
      <c r="A1233">
        <v>29659</v>
      </c>
      <c r="B1233" t="s">
        <v>24</v>
      </c>
      <c r="C1233">
        <v>5</v>
      </c>
      <c r="D1233">
        <v>2</v>
      </c>
      <c r="E1233" t="str">
        <f t="shared" si="57"/>
        <v>DELAYED</v>
      </c>
      <c r="F1233">
        <f>VLOOKUP($A1233,ordered_items!$B$2:$E$4784,2,0)</f>
        <v>134</v>
      </c>
      <c r="G1233">
        <f>VLOOKUP($A1233,ordered_items!$B$2:$E$4784,3,0)</f>
        <v>3</v>
      </c>
      <c r="H1233">
        <f>VLOOKUP($A1233,ordered_items!$B$2:$E$4784,4,0)</f>
        <v>75</v>
      </c>
      <c r="I1233" s="15">
        <f>VLOOKUP(F1233,product_info!$A$2:$D$73,4,0)</f>
        <v>2</v>
      </c>
      <c r="J1233" s="15" t="str">
        <f>VLOOKUP(I1233,department!$A$2:$B$13,2,0)</f>
        <v>Fitness</v>
      </c>
      <c r="K1233">
        <v>7315</v>
      </c>
      <c r="L1233" t="s">
        <v>497</v>
      </c>
      <c r="M1233" s="4">
        <v>43532</v>
      </c>
      <c r="N1233" s="12">
        <f t="shared" si="58"/>
        <v>3</v>
      </c>
      <c r="O1233" s="13">
        <f t="shared" si="59"/>
        <v>2019</v>
      </c>
      <c r="P1233" t="s">
        <v>13</v>
      </c>
      <c r="Q1233" t="s">
        <v>99</v>
      </c>
      <c r="R1233" t="s">
        <v>31</v>
      </c>
      <c r="S1233" t="str" cm="1">
        <f t="array" ref="S1233">_xlfn.IFS(R1233="COMPLETE", "COMPLETED", R1233="CANCELED", "CANCELED", TRUE, "PENDING")</f>
        <v>COMPLETED</v>
      </c>
      <c r="T1233" t="s">
        <v>90</v>
      </c>
      <c r="U1233">
        <f>VLOOKUP(A1233,ordered_items!$B:$E,4,0)</f>
        <v>75</v>
      </c>
    </row>
    <row r="1234" spans="1:21" x14ac:dyDescent="0.3">
      <c r="A1234">
        <v>29671</v>
      </c>
      <c r="B1234" t="s">
        <v>17</v>
      </c>
      <c r="C1234">
        <v>2</v>
      </c>
      <c r="D1234">
        <v>1</v>
      </c>
      <c r="E1234" t="str">
        <f t="shared" si="57"/>
        <v>DELAYED</v>
      </c>
      <c r="F1234">
        <f>VLOOKUP($A1234,ordered_items!$B$2:$E$4784,2,0)</f>
        <v>502</v>
      </c>
      <c r="G1234">
        <f>VLOOKUP($A1234,ordered_items!$B$2:$E$4784,3,0)</f>
        <v>3</v>
      </c>
      <c r="H1234">
        <f>VLOOKUP($A1234,ordered_items!$B$2:$E$4784,4,0)</f>
        <v>150</v>
      </c>
      <c r="I1234" s="15">
        <f>VLOOKUP(F1234,product_info!$A$2:$D$73,4,0)</f>
        <v>5</v>
      </c>
      <c r="J1234" s="15" t="str">
        <f>VLOOKUP(I1234,department!$A$2:$B$13,2,0)</f>
        <v>Golf</v>
      </c>
      <c r="K1234">
        <v>9298</v>
      </c>
      <c r="L1234" t="s">
        <v>497</v>
      </c>
      <c r="M1234" s="4">
        <v>43533</v>
      </c>
      <c r="N1234" s="12">
        <f t="shared" si="58"/>
        <v>3</v>
      </c>
      <c r="O1234" s="13">
        <f t="shared" si="59"/>
        <v>2019</v>
      </c>
      <c r="P1234" t="s">
        <v>13</v>
      </c>
      <c r="Q1234" t="s">
        <v>99</v>
      </c>
      <c r="R1234" t="s">
        <v>23</v>
      </c>
      <c r="S1234" t="str" cm="1">
        <f t="array" ref="S1234">_xlfn.IFS(R1234="COMPLETE", "COMPLETED", R1234="CANCELED", "CANCELED", TRUE, "PENDING")</f>
        <v>PENDING</v>
      </c>
      <c r="T1234" t="s">
        <v>32</v>
      </c>
      <c r="U1234">
        <f>VLOOKUP(A1234,ordered_items!$B:$E,4,0)</f>
        <v>150</v>
      </c>
    </row>
    <row r="1235" spans="1:21" x14ac:dyDescent="0.3">
      <c r="A1235">
        <v>29680</v>
      </c>
      <c r="B1235" t="s">
        <v>24</v>
      </c>
      <c r="C1235">
        <v>6</v>
      </c>
      <c r="D1235">
        <v>4</v>
      </c>
      <c r="E1235" t="str">
        <f t="shared" si="57"/>
        <v>DELAYED</v>
      </c>
      <c r="F1235">
        <f>VLOOKUP($A1235,ordered_items!$B$2:$E$4784,2,0)</f>
        <v>502</v>
      </c>
      <c r="G1235">
        <f>VLOOKUP($A1235,ordered_items!$B$2:$E$4784,3,0)</f>
        <v>1</v>
      </c>
      <c r="H1235">
        <f>VLOOKUP($A1235,ordered_items!$B$2:$E$4784,4,0)</f>
        <v>50</v>
      </c>
      <c r="I1235" s="15">
        <f>VLOOKUP(F1235,product_info!$A$2:$D$73,4,0)</f>
        <v>5</v>
      </c>
      <c r="J1235" s="15" t="str">
        <f>VLOOKUP(I1235,department!$A$2:$B$13,2,0)</f>
        <v>Golf</v>
      </c>
      <c r="K1235">
        <v>4932</v>
      </c>
      <c r="L1235" t="s">
        <v>258</v>
      </c>
      <c r="M1235" s="4">
        <v>43533</v>
      </c>
      <c r="N1235" s="12">
        <f t="shared" si="58"/>
        <v>3</v>
      </c>
      <c r="O1235" s="13">
        <f t="shared" si="59"/>
        <v>2019</v>
      </c>
      <c r="P1235" t="s">
        <v>13</v>
      </c>
      <c r="Q1235" t="s">
        <v>30</v>
      </c>
      <c r="R1235" t="s">
        <v>31</v>
      </c>
      <c r="S1235" t="str" cm="1">
        <f t="array" ref="S1235">_xlfn.IFS(R1235="COMPLETE", "COMPLETED", R1235="CANCELED", "CANCELED", TRUE, "PENDING")</f>
        <v>COMPLETED</v>
      </c>
      <c r="T1235" t="s">
        <v>16</v>
      </c>
      <c r="U1235">
        <f>VLOOKUP(A1235,ordered_items!$B:$E,4,0)</f>
        <v>50</v>
      </c>
    </row>
    <row r="1236" spans="1:21" x14ac:dyDescent="0.3">
      <c r="A1236">
        <v>29686</v>
      </c>
      <c r="B1236" t="s">
        <v>24</v>
      </c>
      <c r="C1236">
        <v>2</v>
      </c>
      <c r="D1236">
        <v>4</v>
      </c>
      <c r="E1236" t="str">
        <f t="shared" si="57"/>
        <v xml:space="preserve"> ONTIME</v>
      </c>
      <c r="F1236">
        <f>VLOOKUP($A1236,ordered_items!$B$2:$E$4784,2,0)</f>
        <v>403</v>
      </c>
      <c r="G1236">
        <f>VLOOKUP($A1236,ordered_items!$B$2:$E$4784,3,0)</f>
        <v>1</v>
      </c>
      <c r="H1236">
        <f>VLOOKUP($A1236,ordered_items!$B$2:$E$4784,4,0)</f>
        <v>129.99</v>
      </c>
      <c r="I1236" s="15">
        <f>VLOOKUP(F1236,product_info!$A$2:$D$73,4,0)</f>
        <v>4</v>
      </c>
      <c r="J1236" s="15" t="str">
        <f>VLOOKUP(I1236,department!$A$2:$B$13,2,0)</f>
        <v>Apparel</v>
      </c>
      <c r="K1236">
        <v>7802</v>
      </c>
      <c r="L1236" t="s">
        <v>1355</v>
      </c>
      <c r="M1236" s="4">
        <v>43533</v>
      </c>
      <c r="N1236" s="12">
        <f t="shared" si="58"/>
        <v>3</v>
      </c>
      <c r="O1236" s="13">
        <f t="shared" si="59"/>
        <v>2019</v>
      </c>
      <c r="P1236" t="s">
        <v>13</v>
      </c>
      <c r="Q1236" t="s">
        <v>377</v>
      </c>
      <c r="R1236" t="s">
        <v>31</v>
      </c>
      <c r="S1236" t="str" cm="1">
        <f t="array" ref="S1236">_xlfn.IFS(R1236="COMPLETE", "COMPLETED", R1236="CANCELED", "CANCELED", TRUE, "PENDING")</f>
        <v>COMPLETED</v>
      </c>
      <c r="T1236" t="s">
        <v>16</v>
      </c>
      <c r="U1236">
        <f>VLOOKUP(A1236,ordered_items!$B:$E,4,0)</f>
        <v>129.99</v>
      </c>
    </row>
    <row r="1237" spans="1:21" x14ac:dyDescent="0.3">
      <c r="A1237">
        <v>29687</v>
      </c>
      <c r="B1237" t="s">
        <v>3</v>
      </c>
      <c r="C1237">
        <v>2</v>
      </c>
      <c r="D1237">
        <v>1</v>
      </c>
      <c r="E1237" t="str">
        <f t="shared" si="57"/>
        <v>DELAYED</v>
      </c>
      <c r="F1237">
        <f>VLOOKUP($A1237,ordered_items!$B$2:$E$4784,2,0)</f>
        <v>403</v>
      </c>
      <c r="G1237">
        <f>VLOOKUP($A1237,ordered_items!$B$2:$E$4784,3,0)</f>
        <v>1</v>
      </c>
      <c r="H1237">
        <f>VLOOKUP($A1237,ordered_items!$B$2:$E$4784,4,0)</f>
        <v>129.99</v>
      </c>
      <c r="I1237" s="15">
        <f>VLOOKUP(F1237,product_info!$A$2:$D$73,4,0)</f>
        <v>4</v>
      </c>
      <c r="J1237" s="15" t="str">
        <f>VLOOKUP(I1237,department!$A$2:$B$13,2,0)</f>
        <v>Apparel</v>
      </c>
      <c r="K1237">
        <v>9920</v>
      </c>
      <c r="L1237" t="s">
        <v>1355</v>
      </c>
      <c r="M1237" s="4">
        <v>43533</v>
      </c>
      <c r="N1237" s="12">
        <f t="shared" si="58"/>
        <v>3</v>
      </c>
      <c r="O1237" s="13">
        <f t="shared" si="59"/>
        <v>2019</v>
      </c>
      <c r="P1237" t="s">
        <v>13</v>
      </c>
      <c r="Q1237" t="s">
        <v>377</v>
      </c>
      <c r="R1237" t="s">
        <v>38</v>
      </c>
      <c r="S1237" t="str" cm="1">
        <f t="array" ref="S1237">_xlfn.IFS(R1237="COMPLETE", "COMPLETED", R1237="CANCELED", "CANCELED", TRUE, "PENDING")</f>
        <v>PENDING</v>
      </c>
      <c r="T1237" t="s">
        <v>32</v>
      </c>
      <c r="U1237">
        <f>VLOOKUP(A1237,ordered_items!$B:$E,4,0)</f>
        <v>129.99</v>
      </c>
    </row>
    <row r="1238" spans="1:21" x14ac:dyDescent="0.3">
      <c r="A1238">
        <v>29692</v>
      </c>
      <c r="B1238" t="s">
        <v>24</v>
      </c>
      <c r="C1238">
        <v>2</v>
      </c>
      <c r="D1238">
        <v>1</v>
      </c>
      <c r="E1238" t="str">
        <f t="shared" si="57"/>
        <v>DELAYED</v>
      </c>
      <c r="F1238">
        <f>VLOOKUP($A1238,ordered_items!$B$2:$E$4784,2,0)</f>
        <v>191</v>
      </c>
      <c r="G1238">
        <f>VLOOKUP($A1238,ordered_items!$B$2:$E$4784,3,0)</f>
        <v>1</v>
      </c>
      <c r="H1238">
        <f>VLOOKUP($A1238,ordered_items!$B$2:$E$4784,4,0)</f>
        <v>99.99</v>
      </c>
      <c r="I1238" s="15">
        <f>VLOOKUP(F1238,product_info!$A$2:$D$73,4,0)</f>
        <v>3</v>
      </c>
      <c r="J1238" s="15" t="str">
        <f>VLOOKUP(I1238,department!$A$2:$B$13,2,0)</f>
        <v>Footwear</v>
      </c>
      <c r="K1238">
        <v>4234</v>
      </c>
      <c r="L1238" t="s">
        <v>921</v>
      </c>
      <c r="M1238" s="4">
        <v>43533</v>
      </c>
      <c r="N1238" s="12">
        <f t="shared" si="58"/>
        <v>3</v>
      </c>
      <c r="O1238" s="13">
        <f t="shared" si="59"/>
        <v>2019</v>
      </c>
      <c r="P1238" t="s">
        <v>13</v>
      </c>
      <c r="Q1238" t="s">
        <v>99</v>
      </c>
      <c r="R1238" t="s">
        <v>31</v>
      </c>
      <c r="S1238" t="str" cm="1">
        <f t="array" ref="S1238">_xlfn.IFS(R1238="COMPLETE", "COMPLETED", R1238="CANCELED", "CANCELED", TRUE, "PENDING")</f>
        <v>COMPLETED</v>
      </c>
      <c r="T1238" t="s">
        <v>32</v>
      </c>
      <c r="U1238">
        <f>VLOOKUP(A1238,ordered_items!$B:$E,4,0)</f>
        <v>99.99</v>
      </c>
    </row>
    <row r="1239" spans="1:21" x14ac:dyDescent="0.3">
      <c r="A1239">
        <v>29699</v>
      </c>
      <c r="B1239" t="s">
        <v>24</v>
      </c>
      <c r="C1239">
        <v>5</v>
      </c>
      <c r="D1239">
        <v>4</v>
      </c>
      <c r="E1239" t="str">
        <f t="shared" si="57"/>
        <v>DELAYED</v>
      </c>
      <c r="F1239">
        <f>VLOOKUP($A1239,ordered_items!$B$2:$E$4784,2,0)</f>
        <v>957</v>
      </c>
      <c r="G1239">
        <f>VLOOKUP($A1239,ordered_items!$B$2:$E$4784,3,0)</f>
        <v>1</v>
      </c>
      <c r="H1239">
        <f>VLOOKUP($A1239,ordered_items!$B$2:$E$4784,4,0)</f>
        <v>299.98</v>
      </c>
      <c r="I1239" s="15">
        <f>VLOOKUP(F1239,product_info!$A$2:$D$73,4,0)</f>
        <v>7</v>
      </c>
      <c r="J1239" s="15" t="str">
        <f>VLOOKUP(I1239,department!$A$2:$B$13,2,0)</f>
        <v>Fan Shop</v>
      </c>
      <c r="K1239">
        <v>5446</v>
      </c>
      <c r="L1239" t="s">
        <v>405</v>
      </c>
      <c r="M1239" s="4">
        <v>43533</v>
      </c>
      <c r="N1239" s="12">
        <f t="shared" si="58"/>
        <v>3</v>
      </c>
      <c r="O1239" s="13">
        <f t="shared" si="59"/>
        <v>2019</v>
      </c>
      <c r="P1239" t="s">
        <v>13</v>
      </c>
      <c r="Q1239" t="s">
        <v>5781</v>
      </c>
      <c r="R1239" t="s">
        <v>31</v>
      </c>
      <c r="S1239" t="str" cm="1">
        <f t="array" ref="S1239">_xlfn.IFS(R1239="COMPLETE", "COMPLETED", R1239="CANCELED", "CANCELED", TRUE, "PENDING")</f>
        <v>COMPLETED</v>
      </c>
      <c r="T1239" t="s">
        <v>16</v>
      </c>
      <c r="U1239">
        <f>VLOOKUP(A1239,ordered_items!$B:$E,4,0)</f>
        <v>299.98</v>
      </c>
    </row>
    <row r="1240" spans="1:21" x14ac:dyDescent="0.3">
      <c r="A1240">
        <v>29712</v>
      </c>
      <c r="B1240" t="s">
        <v>51</v>
      </c>
      <c r="C1240">
        <v>2</v>
      </c>
      <c r="D1240">
        <v>1</v>
      </c>
      <c r="E1240" t="str">
        <f t="shared" si="57"/>
        <v>DELAYED</v>
      </c>
      <c r="F1240">
        <f>VLOOKUP($A1240,ordered_items!$B$2:$E$4784,2,0)</f>
        <v>1073</v>
      </c>
      <c r="G1240">
        <f>VLOOKUP($A1240,ordered_items!$B$2:$E$4784,3,0)</f>
        <v>1</v>
      </c>
      <c r="H1240">
        <f>VLOOKUP($A1240,ordered_items!$B$2:$E$4784,4,0)</f>
        <v>199.99</v>
      </c>
      <c r="I1240" s="15">
        <f>VLOOKUP(F1240,product_info!$A$2:$D$73,4,0)</f>
        <v>7</v>
      </c>
      <c r="J1240" s="15" t="str">
        <f>VLOOKUP(I1240,department!$A$2:$B$13,2,0)</f>
        <v>Fan Shop</v>
      </c>
      <c r="K1240">
        <v>3516</v>
      </c>
      <c r="L1240" t="s">
        <v>1233</v>
      </c>
      <c r="M1240" s="4">
        <v>43533</v>
      </c>
      <c r="N1240" s="12">
        <f t="shared" si="58"/>
        <v>3</v>
      </c>
      <c r="O1240" s="13">
        <f t="shared" si="59"/>
        <v>2019</v>
      </c>
      <c r="P1240" t="s">
        <v>13</v>
      </c>
      <c r="Q1240" t="s">
        <v>1234</v>
      </c>
      <c r="R1240" t="s">
        <v>57</v>
      </c>
      <c r="S1240" t="str" cm="1">
        <f t="array" ref="S1240">_xlfn.IFS(R1240="COMPLETE", "COMPLETED", R1240="CANCELED", "CANCELED", TRUE, "PENDING")</f>
        <v>PENDING</v>
      </c>
      <c r="T1240" t="s">
        <v>32</v>
      </c>
      <c r="U1240">
        <f>VLOOKUP(A1240,ordered_items!$B:$E,4,0)</f>
        <v>199.99</v>
      </c>
    </row>
    <row r="1241" spans="1:21" x14ac:dyDescent="0.3">
      <c r="A1241">
        <v>29714</v>
      </c>
      <c r="B1241" t="s">
        <v>17</v>
      </c>
      <c r="C1241">
        <v>2</v>
      </c>
      <c r="D1241">
        <v>1</v>
      </c>
      <c r="E1241" t="str">
        <f t="shared" si="57"/>
        <v>DELAYED</v>
      </c>
      <c r="F1241">
        <f>VLOOKUP($A1241,ordered_items!$B$2:$E$4784,2,0)</f>
        <v>502</v>
      </c>
      <c r="G1241">
        <f>VLOOKUP($A1241,ordered_items!$B$2:$E$4784,3,0)</f>
        <v>4</v>
      </c>
      <c r="H1241">
        <f>VLOOKUP($A1241,ordered_items!$B$2:$E$4784,4,0)</f>
        <v>200</v>
      </c>
      <c r="I1241" s="15">
        <f>VLOOKUP(F1241,product_info!$A$2:$D$73,4,0)</f>
        <v>5</v>
      </c>
      <c r="J1241" s="15" t="str">
        <f>VLOOKUP(I1241,department!$A$2:$B$13,2,0)</f>
        <v>Golf</v>
      </c>
      <c r="K1241">
        <v>5148</v>
      </c>
      <c r="L1241" t="s">
        <v>1233</v>
      </c>
      <c r="M1241" s="4">
        <v>43533</v>
      </c>
      <c r="N1241" s="12">
        <f t="shared" si="58"/>
        <v>3</v>
      </c>
      <c r="O1241" s="13">
        <f t="shared" si="59"/>
        <v>2019</v>
      </c>
      <c r="P1241" t="s">
        <v>13</v>
      </c>
      <c r="Q1241" t="s">
        <v>1234</v>
      </c>
      <c r="R1241" t="s">
        <v>23</v>
      </c>
      <c r="S1241" t="str" cm="1">
        <f t="array" ref="S1241">_xlfn.IFS(R1241="COMPLETE", "COMPLETED", R1241="CANCELED", "CANCELED", TRUE, "PENDING")</f>
        <v>PENDING</v>
      </c>
      <c r="T1241" t="s">
        <v>32</v>
      </c>
      <c r="U1241">
        <f>VLOOKUP(A1241,ordered_items!$B:$E,4,0)</f>
        <v>200</v>
      </c>
    </row>
    <row r="1242" spans="1:21" x14ac:dyDescent="0.3">
      <c r="A1242">
        <v>29719</v>
      </c>
      <c r="B1242" t="s">
        <v>51</v>
      </c>
      <c r="C1242">
        <v>2</v>
      </c>
      <c r="D1242">
        <v>1</v>
      </c>
      <c r="E1242" t="str">
        <f t="shared" si="57"/>
        <v>DELAYED</v>
      </c>
      <c r="F1242">
        <f>VLOOKUP($A1242,ordered_items!$B$2:$E$4784,2,0)</f>
        <v>365</v>
      </c>
      <c r="G1242">
        <f>VLOOKUP($A1242,ordered_items!$B$2:$E$4784,3,0)</f>
        <v>1</v>
      </c>
      <c r="H1242">
        <f>VLOOKUP($A1242,ordered_items!$B$2:$E$4784,4,0)</f>
        <v>59.99</v>
      </c>
      <c r="I1242" s="15">
        <f>VLOOKUP(F1242,product_info!$A$2:$D$73,4,0)</f>
        <v>4</v>
      </c>
      <c r="J1242" s="15" t="str">
        <f>VLOOKUP(I1242,department!$A$2:$B$13,2,0)</f>
        <v>Apparel</v>
      </c>
      <c r="K1242">
        <v>841</v>
      </c>
      <c r="L1242" t="s">
        <v>1287</v>
      </c>
      <c r="M1242" s="4">
        <v>43533</v>
      </c>
      <c r="N1242" s="12">
        <f t="shared" si="58"/>
        <v>3</v>
      </c>
      <c r="O1242" s="13">
        <f t="shared" si="59"/>
        <v>2019</v>
      </c>
      <c r="P1242" t="s">
        <v>13</v>
      </c>
      <c r="Q1242" t="s">
        <v>227</v>
      </c>
      <c r="R1242" t="s">
        <v>57</v>
      </c>
      <c r="S1242" t="str" cm="1">
        <f t="array" ref="S1242">_xlfn.IFS(R1242="COMPLETE", "COMPLETED", R1242="CANCELED", "CANCELED", TRUE, "PENDING")</f>
        <v>PENDING</v>
      </c>
      <c r="T1242" t="s">
        <v>32</v>
      </c>
      <c r="U1242">
        <f>VLOOKUP(A1242,ordered_items!$B:$E,4,0)</f>
        <v>59.99</v>
      </c>
    </row>
    <row r="1243" spans="1:21" x14ac:dyDescent="0.3">
      <c r="A1243">
        <v>29720</v>
      </c>
      <c r="B1243" t="s">
        <v>3</v>
      </c>
      <c r="C1243">
        <v>2</v>
      </c>
      <c r="D1243">
        <v>1</v>
      </c>
      <c r="E1243" t="str">
        <f t="shared" si="57"/>
        <v>DELAYED</v>
      </c>
      <c r="F1243">
        <f>VLOOKUP($A1243,ordered_items!$B$2:$E$4784,2,0)</f>
        <v>278</v>
      </c>
      <c r="G1243">
        <f>VLOOKUP($A1243,ordered_items!$B$2:$E$4784,3,0)</f>
        <v>5</v>
      </c>
      <c r="H1243">
        <f>VLOOKUP($A1243,ordered_items!$B$2:$E$4784,4,0)</f>
        <v>224.95</v>
      </c>
      <c r="I1243" s="15">
        <f>VLOOKUP(F1243,product_info!$A$2:$D$73,4,0)</f>
        <v>3</v>
      </c>
      <c r="J1243" s="15" t="str">
        <f>VLOOKUP(I1243,department!$A$2:$B$13,2,0)</f>
        <v>Footwear</v>
      </c>
      <c r="K1243">
        <v>7282</v>
      </c>
      <c r="L1243" t="s">
        <v>1287</v>
      </c>
      <c r="M1243" s="4">
        <v>43533</v>
      </c>
      <c r="N1243" s="12">
        <f t="shared" si="58"/>
        <v>3</v>
      </c>
      <c r="O1243" s="13">
        <f t="shared" si="59"/>
        <v>2019</v>
      </c>
      <c r="P1243" t="s">
        <v>13</v>
      </c>
      <c r="Q1243" t="s">
        <v>227</v>
      </c>
      <c r="R1243" t="s">
        <v>14</v>
      </c>
      <c r="S1243" t="str" cm="1">
        <f t="array" ref="S1243">_xlfn.IFS(R1243="COMPLETE", "COMPLETED", R1243="CANCELED", "CANCELED", TRUE, "PENDING")</f>
        <v>PENDING</v>
      </c>
      <c r="T1243" t="s">
        <v>32</v>
      </c>
      <c r="U1243">
        <f>VLOOKUP(A1243,ordered_items!$B:$E,4,0)</f>
        <v>224.95</v>
      </c>
    </row>
    <row r="1244" spans="1:21" x14ac:dyDescent="0.3">
      <c r="A1244">
        <v>29729</v>
      </c>
      <c r="B1244" t="s">
        <v>17</v>
      </c>
      <c r="C1244">
        <v>5</v>
      </c>
      <c r="D1244">
        <v>2</v>
      </c>
      <c r="E1244" t="str">
        <f t="shared" si="57"/>
        <v>DELAYED</v>
      </c>
      <c r="F1244">
        <f>VLOOKUP($A1244,ordered_items!$B$2:$E$4784,2,0)</f>
        <v>1014</v>
      </c>
      <c r="G1244">
        <f>VLOOKUP($A1244,ordered_items!$B$2:$E$4784,3,0)</f>
        <v>4</v>
      </c>
      <c r="H1244">
        <f>VLOOKUP($A1244,ordered_items!$B$2:$E$4784,4,0)</f>
        <v>199.92</v>
      </c>
      <c r="I1244" s="15">
        <f>VLOOKUP(F1244,product_info!$A$2:$D$73,4,0)</f>
        <v>7</v>
      </c>
      <c r="J1244" s="15" t="str">
        <f>VLOOKUP(I1244,department!$A$2:$B$13,2,0)</f>
        <v>Fan Shop</v>
      </c>
      <c r="K1244">
        <v>85</v>
      </c>
      <c r="L1244" t="s">
        <v>258</v>
      </c>
      <c r="M1244" s="4">
        <v>43533</v>
      </c>
      <c r="N1244" s="12">
        <f t="shared" si="58"/>
        <v>3</v>
      </c>
      <c r="O1244" s="13">
        <f t="shared" si="59"/>
        <v>2019</v>
      </c>
      <c r="P1244" t="s">
        <v>13</v>
      </c>
      <c r="Q1244" t="s">
        <v>30</v>
      </c>
      <c r="R1244" t="s">
        <v>23</v>
      </c>
      <c r="S1244" t="str" cm="1">
        <f t="array" ref="S1244">_xlfn.IFS(R1244="COMPLETE", "COMPLETED", R1244="CANCELED", "CANCELED", TRUE, "PENDING")</f>
        <v>PENDING</v>
      </c>
      <c r="T1244" t="s">
        <v>90</v>
      </c>
      <c r="U1244">
        <f>VLOOKUP(A1244,ordered_items!$B:$E,4,0)</f>
        <v>199.92</v>
      </c>
    </row>
    <row r="1245" spans="1:21" x14ac:dyDescent="0.3">
      <c r="A1245">
        <v>29747</v>
      </c>
      <c r="B1245" t="s">
        <v>3</v>
      </c>
      <c r="C1245">
        <v>2</v>
      </c>
      <c r="D1245">
        <v>1</v>
      </c>
      <c r="E1245" t="str">
        <f t="shared" si="57"/>
        <v>DELAYED</v>
      </c>
      <c r="F1245">
        <f>VLOOKUP($A1245,ordered_items!$B$2:$E$4784,2,0)</f>
        <v>116</v>
      </c>
      <c r="G1245">
        <f>VLOOKUP($A1245,ordered_items!$B$2:$E$4784,3,0)</f>
        <v>1</v>
      </c>
      <c r="H1245">
        <f>VLOOKUP($A1245,ordered_items!$B$2:$E$4784,4,0)</f>
        <v>44.99</v>
      </c>
      <c r="I1245" s="15">
        <f>VLOOKUP(F1245,product_info!$A$2:$D$73,4,0)</f>
        <v>2</v>
      </c>
      <c r="J1245" s="15" t="str">
        <f>VLOOKUP(I1245,department!$A$2:$B$13,2,0)</f>
        <v>Fitness</v>
      </c>
      <c r="K1245">
        <v>7670</v>
      </c>
      <c r="L1245" t="s">
        <v>146</v>
      </c>
      <c r="M1245" s="4">
        <v>43534</v>
      </c>
      <c r="N1245" s="12">
        <f t="shared" si="58"/>
        <v>3</v>
      </c>
      <c r="O1245" s="13">
        <f t="shared" si="59"/>
        <v>2019</v>
      </c>
      <c r="P1245" t="s">
        <v>13</v>
      </c>
      <c r="Q1245" t="s">
        <v>30</v>
      </c>
      <c r="R1245" t="s">
        <v>14</v>
      </c>
      <c r="S1245" t="str" cm="1">
        <f t="array" ref="S1245">_xlfn.IFS(R1245="COMPLETE", "COMPLETED", R1245="CANCELED", "CANCELED", TRUE, "PENDING")</f>
        <v>PENDING</v>
      </c>
      <c r="T1245" t="s">
        <v>32</v>
      </c>
      <c r="U1245">
        <f>VLOOKUP(A1245,ordered_items!$B:$E,4,0)</f>
        <v>44.99</v>
      </c>
    </row>
    <row r="1246" spans="1:21" x14ac:dyDescent="0.3">
      <c r="A1246">
        <v>29748</v>
      </c>
      <c r="B1246" t="s">
        <v>51</v>
      </c>
      <c r="C1246">
        <v>2</v>
      </c>
      <c r="D1246">
        <v>1</v>
      </c>
      <c r="E1246" t="str">
        <f t="shared" si="57"/>
        <v>DELAYED</v>
      </c>
      <c r="F1246">
        <f>VLOOKUP($A1246,ordered_items!$B$2:$E$4784,2,0)</f>
        <v>403</v>
      </c>
      <c r="G1246">
        <f>VLOOKUP($A1246,ordered_items!$B$2:$E$4784,3,0)</f>
        <v>1</v>
      </c>
      <c r="H1246">
        <f>VLOOKUP($A1246,ordered_items!$B$2:$E$4784,4,0)</f>
        <v>129.99</v>
      </c>
      <c r="I1246" s="15">
        <f>VLOOKUP(F1246,product_info!$A$2:$D$73,4,0)</f>
        <v>4</v>
      </c>
      <c r="J1246" s="15" t="str">
        <f>VLOOKUP(I1246,department!$A$2:$B$13,2,0)</f>
        <v>Apparel</v>
      </c>
      <c r="K1246">
        <v>6792</v>
      </c>
      <c r="L1246" t="s">
        <v>146</v>
      </c>
      <c r="M1246" s="4">
        <v>43534</v>
      </c>
      <c r="N1246" s="12">
        <f t="shared" si="58"/>
        <v>3</v>
      </c>
      <c r="O1246" s="13">
        <f t="shared" si="59"/>
        <v>2019</v>
      </c>
      <c r="P1246" t="s">
        <v>13</v>
      </c>
      <c r="Q1246" t="s">
        <v>30</v>
      </c>
      <c r="R1246" t="s">
        <v>57</v>
      </c>
      <c r="S1246" t="str" cm="1">
        <f t="array" ref="S1246">_xlfn.IFS(R1246="COMPLETE", "COMPLETED", R1246="CANCELED", "CANCELED", TRUE, "PENDING")</f>
        <v>PENDING</v>
      </c>
      <c r="T1246" t="s">
        <v>32</v>
      </c>
      <c r="U1246">
        <f>VLOOKUP(A1246,ordered_items!$B:$E,4,0)</f>
        <v>129.99</v>
      </c>
    </row>
    <row r="1247" spans="1:21" x14ac:dyDescent="0.3">
      <c r="A1247">
        <v>29749</v>
      </c>
      <c r="B1247" t="s">
        <v>3</v>
      </c>
      <c r="C1247">
        <v>2</v>
      </c>
      <c r="D1247">
        <v>1</v>
      </c>
      <c r="E1247" t="str">
        <f t="shared" si="57"/>
        <v>DELAYED</v>
      </c>
      <c r="F1247">
        <f>VLOOKUP($A1247,ordered_items!$B$2:$E$4784,2,0)</f>
        <v>627</v>
      </c>
      <c r="G1247">
        <f>VLOOKUP($A1247,ordered_items!$B$2:$E$4784,3,0)</f>
        <v>4</v>
      </c>
      <c r="H1247">
        <f>VLOOKUP($A1247,ordered_items!$B$2:$E$4784,4,0)</f>
        <v>159.96</v>
      </c>
      <c r="I1247" s="15">
        <f>VLOOKUP(F1247,product_info!$A$2:$D$73,4,0)</f>
        <v>5</v>
      </c>
      <c r="J1247" s="15" t="str">
        <f>VLOOKUP(I1247,department!$A$2:$B$13,2,0)</f>
        <v>Golf</v>
      </c>
      <c r="K1247">
        <v>4399</v>
      </c>
      <c r="L1247" t="s">
        <v>146</v>
      </c>
      <c r="M1247" s="4">
        <v>43534</v>
      </c>
      <c r="N1247" s="12">
        <f t="shared" si="58"/>
        <v>3</v>
      </c>
      <c r="O1247" s="13">
        <f t="shared" si="59"/>
        <v>2019</v>
      </c>
      <c r="P1247" t="s">
        <v>13</v>
      </c>
      <c r="Q1247" t="s">
        <v>30</v>
      </c>
      <c r="R1247" t="s">
        <v>14</v>
      </c>
      <c r="S1247" t="str" cm="1">
        <f t="array" ref="S1247">_xlfn.IFS(R1247="COMPLETE", "COMPLETED", R1247="CANCELED", "CANCELED", TRUE, "PENDING")</f>
        <v>PENDING</v>
      </c>
      <c r="T1247" t="s">
        <v>32</v>
      </c>
      <c r="U1247">
        <f>VLOOKUP(A1247,ordered_items!$B:$E,4,0)</f>
        <v>159.96</v>
      </c>
    </row>
    <row r="1248" spans="1:21" x14ac:dyDescent="0.3">
      <c r="A1248">
        <v>29750</v>
      </c>
      <c r="B1248" t="s">
        <v>51</v>
      </c>
      <c r="C1248">
        <v>2</v>
      </c>
      <c r="D1248">
        <v>1</v>
      </c>
      <c r="E1248" t="str">
        <f t="shared" si="57"/>
        <v>DELAYED</v>
      </c>
      <c r="F1248">
        <f>VLOOKUP($A1248,ordered_items!$B$2:$E$4784,2,0)</f>
        <v>778</v>
      </c>
      <c r="G1248">
        <f>VLOOKUP($A1248,ordered_items!$B$2:$E$4784,3,0)</f>
        <v>3</v>
      </c>
      <c r="H1248">
        <f>VLOOKUP($A1248,ordered_items!$B$2:$E$4784,4,0)</f>
        <v>74.97</v>
      </c>
      <c r="I1248" s="15">
        <f>VLOOKUP(F1248,product_info!$A$2:$D$73,4,0)</f>
        <v>6</v>
      </c>
      <c r="J1248" s="15" t="str">
        <f>VLOOKUP(I1248,department!$A$2:$B$13,2,0)</f>
        <v>Outdoors</v>
      </c>
      <c r="K1248">
        <v>622</v>
      </c>
      <c r="L1248" t="s">
        <v>561</v>
      </c>
      <c r="M1248" s="4">
        <v>43534</v>
      </c>
      <c r="N1248" s="12">
        <f t="shared" si="58"/>
        <v>3</v>
      </c>
      <c r="O1248" s="13">
        <f t="shared" si="59"/>
        <v>2019</v>
      </c>
      <c r="P1248" t="s">
        <v>13</v>
      </c>
      <c r="Q1248" t="s">
        <v>5779</v>
      </c>
      <c r="R1248" t="s">
        <v>57</v>
      </c>
      <c r="S1248" t="str" cm="1">
        <f t="array" ref="S1248">_xlfn.IFS(R1248="COMPLETE", "COMPLETED", R1248="CANCELED", "CANCELED", TRUE, "PENDING")</f>
        <v>PENDING</v>
      </c>
      <c r="T1248" t="s">
        <v>32</v>
      </c>
      <c r="U1248">
        <f>VLOOKUP(A1248,ordered_items!$B:$E,4,0)</f>
        <v>74.97</v>
      </c>
    </row>
    <row r="1249" spans="1:21" x14ac:dyDescent="0.3">
      <c r="A1249">
        <v>29751</v>
      </c>
      <c r="B1249" t="s">
        <v>17</v>
      </c>
      <c r="C1249">
        <v>2</v>
      </c>
      <c r="D1249">
        <v>4</v>
      </c>
      <c r="E1249" t="str">
        <f t="shared" si="57"/>
        <v xml:space="preserve"> ONTIME</v>
      </c>
      <c r="F1249">
        <f>VLOOKUP($A1249,ordered_items!$B$2:$E$4784,2,0)</f>
        <v>957</v>
      </c>
      <c r="G1249">
        <f>VLOOKUP($A1249,ordered_items!$B$2:$E$4784,3,0)</f>
        <v>1</v>
      </c>
      <c r="H1249">
        <f>VLOOKUP($A1249,ordered_items!$B$2:$E$4784,4,0)</f>
        <v>299.98</v>
      </c>
      <c r="I1249" s="15">
        <f>VLOOKUP(F1249,product_info!$A$2:$D$73,4,0)</f>
        <v>7</v>
      </c>
      <c r="J1249" s="15" t="str">
        <f>VLOOKUP(I1249,department!$A$2:$B$13,2,0)</f>
        <v>Fan Shop</v>
      </c>
      <c r="K1249">
        <v>1860</v>
      </c>
      <c r="L1249" t="s">
        <v>561</v>
      </c>
      <c r="M1249" s="4">
        <v>43534</v>
      </c>
      <c r="N1249" s="12">
        <f t="shared" si="58"/>
        <v>3</v>
      </c>
      <c r="O1249" s="13">
        <f t="shared" si="59"/>
        <v>2019</v>
      </c>
      <c r="P1249" t="s">
        <v>13</v>
      </c>
      <c r="Q1249" t="s">
        <v>5779</v>
      </c>
      <c r="R1249" t="s">
        <v>23</v>
      </c>
      <c r="S1249" t="str" cm="1">
        <f t="array" ref="S1249">_xlfn.IFS(R1249="COMPLETE", "COMPLETED", R1249="CANCELED", "CANCELED", TRUE, "PENDING")</f>
        <v>PENDING</v>
      </c>
      <c r="T1249" t="s">
        <v>16</v>
      </c>
      <c r="U1249">
        <f>VLOOKUP(A1249,ordered_items!$B:$E,4,0)</f>
        <v>299.98</v>
      </c>
    </row>
    <row r="1250" spans="1:21" x14ac:dyDescent="0.3">
      <c r="A1250">
        <v>29752</v>
      </c>
      <c r="B1250" t="s">
        <v>24</v>
      </c>
      <c r="C1250">
        <v>3</v>
      </c>
      <c r="D1250">
        <v>4</v>
      </c>
      <c r="E1250" t="str">
        <f t="shared" si="57"/>
        <v xml:space="preserve"> ONTIME</v>
      </c>
      <c r="F1250">
        <f>VLOOKUP($A1250,ordered_items!$B$2:$E$4784,2,0)</f>
        <v>885</v>
      </c>
      <c r="G1250">
        <f>VLOOKUP($A1250,ordered_items!$B$2:$E$4784,3,0)</f>
        <v>2</v>
      </c>
      <c r="H1250">
        <f>VLOOKUP($A1250,ordered_items!$B$2:$E$4784,4,0)</f>
        <v>49.98</v>
      </c>
      <c r="I1250" s="15">
        <f>VLOOKUP(F1250,product_info!$A$2:$D$73,4,0)</f>
        <v>6</v>
      </c>
      <c r="J1250" s="15" t="str">
        <f>VLOOKUP(I1250,department!$A$2:$B$13,2,0)</f>
        <v>Outdoors</v>
      </c>
      <c r="K1250">
        <v>7200</v>
      </c>
      <c r="L1250" t="s">
        <v>561</v>
      </c>
      <c r="M1250" s="4">
        <v>43534</v>
      </c>
      <c r="N1250" s="12">
        <f t="shared" si="58"/>
        <v>3</v>
      </c>
      <c r="O1250" s="13">
        <f t="shared" si="59"/>
        <v>2019</v>
      </c>
      <c r="P1250" t="s">
        <v>13</v>
      </c>
      <c r="Q1250" t="s">
        <v>5779</v>
      </c>
      <c r="R1250" t="s">
        <v>378</v>
      </c>
      <c r="S1250" t="str" cm="1">
        <f t="array" ref="S1250">_xlfn.IFS(R1250="COMPLETE", "COMPLETED", R1250="CANCELED", "CANCELED", TRUE, "PENDING")</f>
        <v>PENDING</v>
      </c>
      <c r="T1250" t="s">
        <v>16</v>
      </c>
      <c r="U1250">
        <f>VLOOKUP(A1250,ordered_items!$B:$E,4,0)</f>
        <v>49.98</v>
      </c>
    </row>
    <row r="1251" spans="1:21" x14ac:dyDescent="0.3">
      <c r="A1251">
        <v>29753</v>
      </c>
      <c r="B1251" t="s">
        <v>24</v>
      </c>
      <c r="C1251">
        <v>4</v>
      </c>
      <c r="D1251">
        <v>4</v>
      </c>
      <c r="E1251" t="str">
        <f t="shared" si="57"/>
        <v xml:space="preserve"> ONTIME</v>
      </c>
      <c r="F1251">
        <f>VLOOKUP($A1251,ordered_items!$B$2:$E$4784,2,0)</f>
        <v>1004</v>
      </c>
      <c r="G1251">
        <f>VLOOKUP($A1251,ordered_items!$B$2:$E$4784,3,0)</f>
        <v>1</v>
      </c>
      <c r="H1251">
        <f>VLOOKUP($A1251,ordered_items!$B$2:$E$4784,4,0)</f>
        <v>399.98</v>
      </c>
      <c r="I1251" s="15">
        <f>VLOOKUP(F1251,product_info!$A$2:$D$73,4,0)</f>
        <v>7</v>
      </c>
      <c r="J1251" s="15" t="str">
        <f>VLOOKUP(I1251,department!$A$2:$B$13,2,0)</f>
        <v>Fan Shop</v>
      </c>
      <c r="K1251">
        <v>2446</v>
      </c>
      <c r="L1251" t="s">
        <v>561</v>
      </c>
      <c r="M1251" s="4">
        <v>43534</v>
      </c>
      <c r="N1251" s="12">
        <f t="shared" si="58"/>
        <v>3</v>
      </c>
      <c r="O1251" s="13">
        <f t="shared" si="59"/>
        <v>2019</v>
      </c>
      <c r="P1251" t="s">
        <v>13</v>
      </c>
      <c r="Q1251" t="s">
        <v>5779</v>
      </c>
      <c r="R1251" t="s">
        <v>31</v>
      </c>
      <c r="S1251" t="str" cm="1">
        <f t="array" ref="S1251">_xlfn.IFS(R1251="COMPLETE", "COMPLETED", R1251="CANCELED", "CANCELED", TRUE, "PENDING")</f>
        <v>COMPLETED</v>
      </c>
      <c r="T1251" t="s">
        <v>16</v>
      </c>
      <c r="U1251">
        <f>VLOOKUP(A1251,ordered_items!$B:$E,4,0)</f>
        <v>399.98</v>
      </c>
    </row>
    <row r="1252" spans="1:21" x14ac:dyDescent="0.3">
      <c r="A1252">
        <v>29780</v>
      </c>
      <c r="B1252" t="s">
        <v>24</v>
      </c>
      <c r="C1252">
        <v>6</v>
      </c>
      <c r="D1252">
        <v>4</v>
      </c>
      <c r="E1252" t="str">
        <f t="shared" si="57"/>
        <v>DELAYED</v>
      </c>
      <c r="F1252">
        <f>VLOOKUP($A1252,ordered_items!$B$2:$E$4784,2,0)</f>
        <v>365</v>
      </c>
      <c r="G1252">
        <f>VLOOKUP($A1252,ordered_items!$B$2:$E$4784,3,0)</f>
        <v>2</v>
      </c>
      <c r="H1252">
        <f>VLOOKUP($A1252,ordered_items!$B$2:$E$4784,4,0)</f>
        <v>119.98</v>
      </c>
      <c r="I1252" s="15">
        <f>VLOOKUP(F1252,product_info!$A$2:$D$73,4,0)</f>
        <v>4</v>
      </c>
      <c r="J1252" s="15" t="str">
        <f>VLOOKUP(I1252,department!$A$2:$B$13,2,0)</f>
        <v>Apparel</v>
      </c>
      <c r="K1252">
        <v>5639</v>
      </c>
      <c r="L1252" t="s">
        <v>1095</v>
      </c>
      <c r="M1252" s="4">
        <v>43534</v>
      </c>
      <c r="N1252" s="12">
        <f t="shared" si="58"/>
        <v>3</v>
      </c>
      <c r="O1252" s="13">
        <f t="shared" si="59"/>
        <v>2019</v>
      </c>
      <c r="P1252" t="s">
        <v>13</v>
      </c>
      <c r="Q1252" t="s">
        <v>5777</v>
      </c>
      <c r="R1252" t="s">
        <v>31</v>
      </c>
      <c r="S1252" t="str" cm="1">
        <f t="array" ref="S1252">_xlfn.IFS(R1252="COMPLETE", "COMPLETED", R1252="CANCELED", "CANCELED", TRUE, "PENDING")</f>
        <v>COMPLETED</v>
      </c>
      <c r="T1252" t="s">
        <v>16</v>
      </c>
      <c r="U1252">
        <f>VLOOKUP(A1252,ordered_items!$B:$E,4,0)</f>
        <v>119.98</v>
      </c>
    </row>
    <row r="1253" spans="1:21" x14ac:dyDescent="0.3">
      <c r="A1253">
        <v>29806</v>
      </c>
      <c r="B1253" t="s">
        <v>3</v>
      </c>
      <c r="C1253">
        <v>2</v>
      </c>
      <c r="D1253">
        <v>4</v>
      </c>
      <c r="E1253" t="str">
        <f t="shared" si="57"/>
        <v xml:space="preserve"> ONTIME</v>
      </c>
      <c r="F1253">
        <f>VLOOKUP($A1253,ordered_items!$B$2:$E$4784,2,0)</f>
        <v>1004</v>
      </c>
      <c r="G1253">
        <f>VLOOKUP($A1253,ordered_items!$B$2:$E$4784,3,0)</f>
        <v>1</v>
      </c>
      <c r="H1253">
        <f>VLOOKUP($A1253,ordered_items!$B$2:$E$4784,4,0)</f>
        <v>399.98</v>
      </c>
      <c r="I1253" s="15">
        <f>VLOOKUP(F1253,product_info!$A$2:$D$73,4,0)</f>
        <v>7</v>
      </c>
      <c r="J1253" s="15" t="str">
        <f>VLOOKUP(I1253,department!$A$2:$B$13,2,0)</f>
        <v>Fan Shop</v>
      </c>
      <c r="K1253">
        <v>8460</v>
      </c>
      <c r="L1253" t="s">
        <v>850</v>
      </c>
      <c r="M1253" s="4">
        <v>43535</v>
      </c>
      <c r="N1253" s="12">
        <f t="shared" si="58"/>
        <v>3</v>
      </c>
      <c r="O1253" s="13">
        <f t="shared" si="59"/>
        <v>2019</v>
      </c>
      <c r="P1253" t="s">
        <v>13</v>
      </c>
      <c r="Q1253" t="s">
        <v>99</v>
      </c>
      <c r="R1253" t="s">
        <v>38</v>
      </c>
      <c r="S1253" t="str" cm="1">
        <f t="array" ref="S1253">_xlfn.IFS(R1253="COMPLETE", "COMPLETED", R1253="CANCELED", "CANCELED", TRUE, "PENDING")</f>
        <v>PENDING</v>
      </c>
      <c r="T1253" t="s">
        <v>16</v>
      </c>
      <c r="U1253">
        <f>VLOOKUP(A1253,ordered_items!$B:$E,4,0)</f>
        <v>399.98</v>
      </c>
    </row>
    <row r="1254" spans="1:21" x14ac:dyDescent="0.3">
      <c r="A1254">
        <v>29865</v>
      </c>
      <c r="B1254" t="s">
        <v>3</v>
      </c>
      <c r="C1254">
        <v>6</v>
      </c>
      <c r="D1254">
        <v>4</v>
      </c>
      <c r="E1254" t="str">
        <f t="shared" si="57"/>
        <v>DELAYED</v>
      </c>
      <c r="F1254">
        <f>VLOOKUP($A1254,ordered_items!$B$2:$E$4784,2,0)</f>
        <v>1073</v>
      </c>
      <c r="G1254">
        <f>VLOOKUP($A1254,ordered_items!$B$2:$E$4784,3,0)</f>
        <v>1</v>
      </c>
      <c r="H1254">
        <f>VLOOKUP($A1254,ordered_items!$B$2:$E$4784,4,0)</f>
        <v>199.99</v>
      </c>
      <c r="I1254" s="15">
        <f>VLOOKUP(F1254,product_info!$A$2:$D$73,4,0)</f>
        <v>7</v>
      </c>
      <c r="J1254" s="15" t="str">
        <f>VLOOKUP(I1254,department!$A$2:$B$13,2,0)</f>
        <v>Fan Shop</v>
      </c>
      <c r="K1254">
        <v>2050</v>
      </c>
      <c r="L1254" t="s">
        <v>84</v>
      </c>
      <c r="M1254" s="4">
        <v>43535</v>
      </c>
      <c r="N1254" s="12">
        <f t="shared" si="58"/>
        <v>3</v>
      </c>
      <c r="O1254" s="13">
        <f t="shared" si="59"/>
        <v>2019</v>
      </c>
      <c r="P1254" t="s">
        <v>13</v>
      </c>
      <c r="Q1254" t="s">
        <v>80</v>
      </c>
      <c r="R1254" t="s">
        <v>14</v>
      </c>
      <c r="S1254" t="str" cm="1">
        <f t="array" ref="S1254">_xlfn.IFS(R1254="COMPLETE", "COMPLETED", R1254="CANCELED", "CANCELED", TRUE, "PENDING")</f>
        <v>PENDING</v>
      </c>
      <c r="T1254" t="s">
        <v>16</v>
      </c>
      <c r="U1254">
        <f>VLOOKUP(A1254,ordered_items!$B:$E,4,0)</f>
        <v>199.99</v>
      </c>
    </row>
    <row r="1255" spans="1:21" x14ac:dyDescent="0.3">
      <c r="A1255">
        <v>29866</v>
      </c>
      <c r="B1255" t="s">
        <v>3</v>
      </c>
      <c r="C1255">
        <v>2</v>
      </c>
      <c r="D1255">
        <v>4</v>
      </c>
      <c r="E1255" t="str">
        <f t="shared" si="57"/>
        <v xml:space="preserve"> ONTIME</v>
      </c>
      <c r="F1255">
        <f>VLOOKUP($A1255,ordered_items!$B$2:$E$4784,2,0)</f>
        <v>572</v>
      </c>
      <c r="G1255">
        <f>VLOOKUP($A1255,ordered_items!$B$2:$E$4784,3,0)</f>
        <v>1</v>
      </c>
      <c r="H1255">
        <f>VLOOKUP($A1255,ordered_items!$B$2:$E$4784,4,0)</f>
        <v>39.99</v>
      </c>
      <c r="I1255" s="15">
        <f>VLOOKUP(F1255,product_info!$A$2:$D$73,4,0)</f>
        <v>5</v>
      </c>
      <c r="J1255" s="15" t="str">
        <f>VLOOKUP(I1255,department!$A$2:$B$13,2,0)</f>
        <v>Golf</v>
      </c>
      <c r="K1255">
        <v>2676</v>
      </c>
      <c r="L1255" t="s">
        <v>84</v>
      </c>
      <c r="M1255" s="4">
        <v>43535</v>
      </c>
      <c r="N1255" s="12">
        <f t="shared" si="58"/>
        <v>3</v>
      </c>
      <c r="O1255" s="13">
        <f t="shared" si="59"/>
        <v>2019</v>
      </c>
      <c r="P1255" t="s">
        <v>13</v>
      </c>
      <c r="Q1255" t="s">
        <v>80</v>
      </c>
      <c r="R1255" t="s">
        <v>14</v>
      </c>
      <c r="S1255" t="str" cm="1">
        <f t="array" ref="S1255">_xlfn.IFS(R1255="COMPLETE", "COMPLETED", R1255="CANCELED", "CANCELED", TRUE, "PENDING")</f>
        <v>PENDING</v>
      </c>
      <c r="T1255" t="s">
        <v>16</v>
      </c>
      <c r="U1255">
        <f>VLOOKUP(A1255,ordered_items!$B:$E,4,0)</f>
        <v>39.99</v>
      </c>
    </row>
    <row r="1256" spans="1:21" x14ac:dyDescent="0.3">
      <c r="A1256">
        <v>29911</v>
      </c>
      <c r="B1256" t="s">
        <v>51</v>
      </c>
      <c r="C1256">
        <v>1</v>
      </c>
      <c r="D1256">
        <v>0</v>
      </c>
      <c r="E1256" t="str">
        <f t="shared" si="57"/>
        <v>DELAYED</v>
      </c>
      <c r="F1256">
        <f>VLOOKUP($A1256,ordered_items!$B$2:$E$4784,2,0)</f>
        <v>502</v>
      </c>
      <c r="G1256">
        <f>VLOOKUP($A1256,ordered_items!$B$2:$E$4784,3,0)</f>
        <v>5</v>
      </c>
      <c r="H1256">
        <f>VLOOKUP($A1256,ordered_items!$B$2:$E$4784,4,0)</f>
        <v>250</v>
      </c>
      <c r="I1256" s="15">
        <f>VLOOKUP(F1256,product_info!$A$2:$D$73,4,0)</f>
        <v>5</v>
      </c>
      <c r="J1256" s="15" t="str">
        <f>VLOOKUP(I1256,department!$A$2:$B$13,2,0)</f>
        <v>Golf</v>
      </c>
      <c r="K1256">
        <v>11046</v>
      </c>
      <c r="L1256" t="s">
        <v>266</v>
      </c>
      <c r="M1256" s="4">
        <v>43536</v>
      </c>
      <c r="N1256" s="12">
        <f t="shared" si="58"/>
        <v>3</v>
      </c>
      <c r="O1256" s="13">
        <f t="shared" si="59"/>
        <v>2019</v>
      </c>
      <c r="P1256" t="s">
        <v>13</v>
      </c>
      <c r="Q1256" t="s">
        <v>5778</v>
      </c>
      <c r="R1256" t="s">
        <v>57</v>
      </c>
      <c r="S1256" t="str" cm="1">
        <f t="array" ref="S1256">_xlfn.IFS(R1256="COMPLETE", "COMPLETED", R1256="CANCELED", "CANCELED", TRUE, "PENDING")</f>
        <v>PENDING</v>
      </c>
      <c r="T1256" t="s">
        <v>58</v>
      </c>
      <c r="U1256">
        <f>VLOOKUP(A1256,ordered_items!$B:$E,4,0)</f>
        <v>250</v>
      </c>
    </row>
    <row r="1257" spans="1:21" x14ac:dyDescent="0.3">
      <c r="A1257">
        <v>29914</v>
      </c>
      <c r="B1257" t="s">
        <v>24</v>
      </c>
      <c r="C1257">
        <v>2</v>
      </c>
      <c r="D1257">
        <v>1</v>
      </c>
      <c r="E1257" t="str">
        <f t="shared" si="57"/>
        <v>DELAYED</v>
      </c>
      <c r="F1257">
        <f>VLOOKUP($A1257,ordered_items!$B$2:$E$4784,2,0)</f>
        <v>403</v>
      </c>
      <c r="G1257">
        <f>VLOOKUP($A1257,ordered_items!$B$2:$E$4784,3,0)</f>
        <v>1</v>
      </c>
      <c r="H1257">
        <f>VLOOKUP($A1257,ordered_items!$B$2:$E$4784,4,0)</f>
        <v>129.99</v>
      </c>
      <c r="I1257" s="15">
        <f>VLOOKUP(F1257,product_info!$A$2:$D$73,4,0)</f>
        <v>4</v>
      </c>
      <c r="J1257" s="15" t="str">
        <f>VLOOKUP(I1257,department!$A$2:$B$13,2,0)</f>
        <v>Apparel</v>
      </c>
      <c r="K1257">
        <v>7528</v>
      </c>
      <c r="L1257" t="s">
        <v>1530</v>
      </c>
      <c r="M1257" s="4">
        <v>43536</v>
      </c>
      <c r="N1257" s="12">
        <f t="shared" si="58"/>
        <v>3</v>
      </c>
      <c r="O1257" s="13">
        <f t="shared" si="59"/>
        <v>2019</v>
      </c>
      <c r="P1257" t="s">
        <v>13</v>
      </c>
      <c r="Q1257" t="s">
        <v>99</v>
      </c>
      <c r="R1257" t="s">
        <v>31</v>
      </c>
      <c r="S1257" t="str" cm="1">
        <f t="array" ref="S1257">_xlfn.IFS(R1257="COMPLETE", "COMPLETED", R1257="CANCELED", "CANCELED", TRUE, "PENDING")</f>
        <v>COMPLETED</v>
      </c>
      <c r="T1257" t="s">
        <v>32</v>
      </c>
      <c r="U1257">
        <f>VLOOKUP(A1257,ordered_items!$B:$E,4,0)</f>
        <v>129.99</v>
      </c>
    </row>
    <row r="1258" spans="1:21" x14ac:dyDescent="0.3">
      <c r="A1258">
        <v>29916</v>
      </c>
      <c r="B1258" t="s">
        <v>3</v>
      </c>
      <c r="C1258">
        <v>2</v>
      </c>
      <c r="D1258">
        <v>4</v>
      </c>
      <c r="E1258" t="str">
        <f t="shared" si="57"/>
        <v xml:space="preserve"> ONTIME</v>
      </c>
      <c r="F1258">
        <f>VLOOKUP($A1258,ordered_items!$B$2:$E$4784,2,0)</f>
        <v>1014</v>
      </c>
      <c r="G1258">
        <f>VLOOKUP($A1258,ordered_items!$B$2:$E$4784,3,0)</f>
        <v>2</v>
      </c>
      <c r="H1258">
        <f>VLOOKUP($A1258,ordered_items!$B$2:$E$4784,4,0)</f>
        <v>99.96</v>
      </c>
      <c r="I1258" s="15">
        <f>VLOOKUP(F1258,product_info!$A$2:$D$73,4,0)</f>
        <v>7</v>
      </c>
      <c r="J1258" s="15" t="str">
        <f>VLOOKUP(I1258,department!$A$2:$B$13,2,0)</f>
        <v>Fan Shop</v>
      </c>
      <c r="K1258">
        <v>3660</v>
      </c>
      <c r="L1258" t="s">
        <v>1530</v>
      </c>
      <c r="M1258" s="4">
        <v>43536</v>
      </c>
      <c r="N1258" s="12">
        <f t="shared" si="58"/>
        <v>3</v>
      </c>
      <c r="O1258" s="13">
        <f t="shared" si="59"/>
        <v>2019</v>
      </c>
      <c r="P1258" t="s">
        <v>13</v>
      </c>
      <c r="Q1258" t="s">
        <v>99</v>
      </c>
      <c r="R1258" t="s">
        <v>38</v>
      </c>
      <c r="S1258" t="str" cm="1">
        <f t="array" ref="S1258">_xlfn.IFS(R1258="COMPLETE", "COMPLETED", R1258="CANCELED", "CANCELED", TRUE, "PENDING")</f>
        <v>PENDING</v>
      </c>
      <c r="T1258" t="s">
        <v>16</v>
      </c>
      <c r="U1258">
        <f>VLOOKUP(A1258,ordered_items!$B:$E,4,0)</f>
        <v>99.96</v>
      </c>
    </row>
    <row r="1259" spans="1:21" x14ac:dyDescent="0.3">
      <c r="A1259">
        <v>29932</v>
      </c>
      <c r="B1259" t="s">
        <v>51</v>
      </c>
      <c r="C1259">
        <v>3</v>
      </c>
      <c r="D1259">
        <v>2</v>
      </c>
      <c r="E1259" t="str">
        <f t="shared" si="57"/>
        <v>DELAYED</v>
      </c>
      <c r="F1259">
        <f>VLOOKUP($A1259,ordered_items!$B$2:$E$4784,2,0)</f>
        <v>1073</v>
      </c>
      <c r="G1259">
        <f>VLOOKUP($A1259,ordered_items!$B$2:$E$4784,3,0)</f>
        <v>1</v>
      </c>
      <c r="H1259">
        <f>VLOOKUP($A1259,ordered_items!$B$2:$E$4784,4,0)</f>
        <v>199.99</v>
      </c>
      <c r="I1259" s="15">
        <f>VLOOKUP(F1259,product_info!$A$2:$D$73,4,0)</f>
        <v>7</v>
      </c>
      <c r="J1259" s="15" t="str">
        <f>VLOOKUP(I1259,department!$A$2:$B$13,2,0)</f>
        <v>Fan Shop</v>
      </c>
      <c r="K1259">
        <v>2224</v>
      </c>
      <c r="L1259" t="s">
        <v>809</v>
      </c>
      <c r="M1259" s="4">
        <v>43536</v>
      </c>
      <c r="N1259" s="12">
        <f t="shared" si="58"/>
        <v>3</v>
      </c>
      <c r="O1259" s="13">
        <f t="shared" si="59"/>
        <v>2019</v>
      </c>
      <c r="P1259" t="s">
        <v>13</v>
      </c>
      <c r="Q1259" t="s">
        <v>30</v>
      </c>
      <c r="R1259" t="s">
        <v>57</v>
      </c>
      <c r="S1259" t="str" cm="1">
        <f t="array" ref="S1259">_xlfn.IFS(R1259="COMPLETE", "COMPLETED", R1259="CANCELED", "CANCELED", TRUE, "PENDING")</f>
        <v>PENDING</v>
      </c>
      <c r="T1259" t="s">
        <v>90</v>
      </c>
      <c r="U1259">
        <f>VLOOKUP(A1259,ordered_items!$B:$E,4,0)</f>
        <v>199.99</v>
      </c>
    </row>
    <row r="1260" spans="1:21" x14ac:dyDescent="0.3">
      <c r="A1260">
        <v>29942</v>
      </c>
      <c r="B1260" t="s">
        <v>17</v>
      </c>
      <c r="C1260">
        <v>0</v>
      </c>
      <c r="D1260">
        <v>0</v>
      </c>
      <c r="E1260" t="str">
        <f t="shared" si="57"/>
        <v xml:space="preserve"> ONTIME</v>
      </c>
      <c r="F1260">
        <f>VLOOKUP($A1260,ordered_items!$B$2:$E$4784,2,0)</f>
        <v>502</v>
      </c>
      <c r="G1260">
        <f>VLOOKUP($A1260,ordered_items!$B$2:$E$4784,3,0)</f>
        <v>4</v>
      </c>
      <c r="H1260">
        <f>VLOOKUP($A1260,ordered_items!$B$2:$E$4784,4,0)</f>
        <v>200</v>
      </c>
      <c r="I1260" s="15">
        <f>VLOOKUP(F1260,product_info!$A$2:$D$73,4,0)</f>
        <v>5</v>
      </c>
      <c r="J1260" s="15" t="str">
        <f>VLOOKUP(I1260,department!$A$2:$B$13,2,0)</f>
        <v>Golf</v>
      </c>
      <c r="K1260">
        <v>409</v>
      </c>
      <c r="L1260" t="s">
        <v>570</v>
      </c>
      <c r="M1260" s="4">
        <v>43537</v>
      </c>
      <c r="N1260" s="12">
        <f t="shared" si="58"/>
        <v>3</v>
      </c>
      <c r="O1260" s="13">
        <f t="shared" si="59"/>
        <v>2019</v>
      </c>
      <c r="P1260" t="s">
        <v>13</v>
      </c>
      <c r="Q1260" t="s">
        <v>99</v>
      </c>
      <c r="R1260" t="s">
        <v>23</v>
      </c>
      <c r="S1260" t="str" cm="1">
        <f t="array" ref="S1260">_xlfn.IFS(R1260="COMPLETE", "COMPLETED", R1260="CANCELED", "CANCELED", TRUE, "PENDING")</f>
        <v>PENDING</v>
      </c>
      <c r="T1260" t="s">
        <v>58</v>
      </c>
      <c r="U1260">
        <f>VLOOKUP(A1260,ordered_items!$B:$E,4,0)</f>
        <v>200</v>
      </c>
    </row>
    <row r="1261" spans="1:21" x14ac:dyDescent="0.3">
      <c r="A1261">
        <v>29988</v>
      </c>
      <c r="B1261" t="s">
        <v>24</v>
      </c>
      <c r="C1261">
        <v>2</v>
      </c>
      <c r="D1261">
        <v>1</v>
      </c>
      <c r="E1261" t="str">
        <f t="shared" si="57"/>
        <v>DELAYED</v>
      </c>
      <c r="F1261">
        <f>VLOOKUP($A1261,ordered_items!$B$2:$E$4784,2,0)</f>
        <v>365</v>
      </c>
      <c r="G1261">
        <f>VLOOKUP($A1261,ordered_items!$B$2:$E$4784,3,0)</f>
        <v>1</v>
      </c>
      <c r="H1261">
        <f>VLOOKUP($A1261,ordered_items!$B$2:$E$4784,4,0)</f>
        <v>59.99</v>
      </c>
      <c r="I1261" s="15">
        <f>VLOOKUP(F1261,product_info!$A$2:$D$73,4,0)</f>
        <v>4</v>
      </c>
      <c r="J1261" s="15" t="str">
        <f>VLOOKUP(I1261,department!$A$2:$B$13,2,0)</f>
        <v>Apparel</v>
      </c>
      <c r="K1261">
        <v>4016</v>
      </c>
      <c r="L1261" t="s">
        <v>12</v>
      </c>
      <c r="M1261" s="4">
        <v>43537</v>
      </c>
      <c r="N1261" s="12">
        <f t="shared" si="58"/>
        <v>3</v>
      </c>
      <c r="O1261" s="13">
        <f t="shared" si="59"/>
        <v>2019</v>
      </c>
      <c r="P1261" t="s">
        <v>13</v>
      </c>
      <c r="Q1261" t="s">
        <v>5781</v>
      </c>
      <c r="R1261" t="s">
        <v>31</v>
      </c>
      <c r="S1261" t="str" cm="1">
        <f t="array" ref="S1261">_xlfn.IFS(R1261="COMPLETE", "COMPLETED", R1261="CANCELED", "CANCELED", TRUE, "PENDING")</f>
        <v>COMPLETED</v>
      </c>
      <c r="T1261" t="s">
        <v>32</v>
      </c>
      <c r="U1261">
        <f>VLOOKUP(A1261,ordered_items!$B:$E,4,0)</f>
        <v>59.99</v>
      </c>
    </row>
    <row r="1262" spans="1:21" x14ac:dyDescent="0.3">
      <c r="A1262">
        <v>29994</v>
      </c>
      <c r="B1262" t="s">
        <v>24</v>
      </c>
      <c r="C1262">
        <v>5</v>
      </c>
      <c r="D1262">
        <v>4</v>
      </c>
      <c r="E1262" t="str">
        <f t="shared" si="57"/>
        <v>DELAYED</v>
      </c>
      <c r="F1262">
        <f>VLOOKUP($A1262,ordered_items!$B$2:$E$4784,2,0)</f>
        <v>1073</v>
      </c>
      <c r="G1262">
        <f>VLOOKUP($A1262,ordered_items!$B$2:$E$4784,3,0)</f>
        <v>1</v>
      </c>
      <c r="H1262">
        <f>VLOOKUP($A1262,ordered_items!$B$2:$E$4784,4,0)</f>
        <v>199.99</v>
      </c>
      <c r="I1262" s="15">
        <f>VLOOKUP(F1262,product_info!$A$2:$D$73,4,0)</f>
        <v>7</v>
      </c>
      <c r="J1262" s="15" t="str">
        <f>VLOOKUP(I1262,department!$A$2:$B$13,2,0)</f>
        <v>Fan Shop</v>
      </c>
      <c r="K1262">
        <v>6358</v>
      </c>
      <c r="L1262" t="s">
        <v>426</v>
      </c>
      <c r="M1262" s="4">
        <v>43537</v>
      </c>
      <c r="N1262" s="12">
        <f t="shared" si="58"/>
        <v>3</v>
      </c>
      <c r="O1262" s="13">
        <f t="shared" si="59"/>
        <v>2019</v>
      </c>
      <c r="P1262" t="s">
        <v>13</v>
      </c>
      <c r="Q1262" t="s">
        <v>245</v>
      </c>
      <c r="R1262" t="s">
        <v>31</v>
      </c>
      <c r="S1262" t="str" cm="1">
        <f t="array" ref="S1262">_xlfn.IFS(R1262="COMPLETE", "COMPLETED", R1262="CANCELED", "CANCELED", TRUE, "PENDING")</f>
        <v>COMPLETED</v>
      </c>
      <c r="T1262" t="s">
        <v>16</v>
      </c>
      <c r="U1262">
        <f>VLOOKUP(A1262,ordered_items!$B:$E,4,0)</f>
        <v>199.99</v>
      </c>
    </row>
    <row r="1263" spans="1:21" x14ac:dyDescent="0.3">
      <c r="A1263">
        <v>29995</v>
      </c>
      <c r="B1263" t="s">
        <v>3</v>
      </c>
      <c r="C1263">
        <v>6</v>
      </c>
      <c r="D1263">
        <v>4</v>
      </c>
      <c r="E1263" t="str">
        <f t="shared" si="57"/>
        <v>DELAYED</v>
      </c>
      <c r="F1263">
        <f>VLOOKUP($A1263,ordered_items!$B$2:$E$4784,2,0)</f>
        <v>924</v>
      </c>
      <c r="G1263">
        <f>VLOOKUP($A1263,ordered_items!$B$2:$E$4784,3,0)</f>
        <v>5</v>
      </c>
      <c r="H1263">
        <f>VLOOKUP($A1263,ordered_items!$B$2:$E$4784,4,0)</f>
        <v>79.95</v>
      </c>
      <c r="I1263" s="15">
        <f>VLOOKUP(F1263,product_info!$A$2:$D$73,4,0)</f>
        <v>6</v>
      </c>
      <c r="J1263" s="15" t="str">
        <f>VLOOKUP(I1263,department!$A$2:$B$13,2,0)</f>
        <v>Outdoors</v>
      </c>
      <c r="K1263">
        <v>387</v>
      </c>
      <c r="L1263" t="s">
        <v>426</v>
      </c>
      <c r="M1263" s="4">
        <v>43537</v>
      </c>
      <c r="N1263" s="12">
        <f t="shared" si="58"/>
        <v>3</v>
      </c>
      <c r="O1263" s="13">
        <f t="shared" si="59"/>
        <v>2019</v>
      </c>
      <c r="P1263" t="s">
        <v>13</v>
      </c>
      <c r="Q1263" t="s">
        <v>245</v>
      </c>
      <c r="R1263" t="s">
        <v>38</v>
      </c>
      <c r="S1263" t="str" cm="1">
        <f t="array" ref="S1263">_xlfn.IFS(R1263="COMPLETE", "COMPLETED", R1263="CANCELED", "CANCELED", TRUE, "PENDING")</f>
        <v>PENDING</v>
      </c>
      <c r="T1263" t="s">
        <v>16</v>
      </c>
      <c r="U1263">
        <f>VLOOKUP(A1263,ordered_items!$B:$E,4,0)</f>
        <v>79.95</v>
      </c>
    </row>
    <row r="1264" spans="1:21" x14ac:dyDescent="0.3">
      <c r="A1264">
        <v>30000</v>
      </c>
      <c r="B1264" t="s">
        <v>51</v>
      </c>
      <c r="C1264">
        <v>6</v>
      </c>
      <c r="D1264">
        <v>4</v>
      </c>
      <c r="E1264" t="str">
        <f t="shared" si="57"/>
        <v>DELAYED</v>
      </c>
      <c r="F1264">
        <f>VLOOKUP($A1264,ordered_items!$B$2:$E$4784,2,0)</f>
        <v>502</v>
      </c>
      <c r="G1264">
        <f>VLOOKUP($A1264,ordered_items!$B$2:$E$4784,3,0)</f>
        <v>3</v>
      </c>
      <c r="H1264">
        <f>VLOOKUP($A1264,ordered_items!$B$2:$E$4784,4,0)</f>
        <v>150</v>
      </c>
      <c r="I1264" s="15">
        <f>VLOOKUP(F1264,product_info!$A$2:$D$73,4,0)</f>
        <v>5</v>
      </c>
      <c r="J1264" s="15" t="str">
        <f>VLOOKUP(I1264,department!$A$2:$B$13,2,0)</f>
        <v>Golf</v>
      </c>
      <c r="K1264">
        <v>9683</v>
      </c>
      <c r="L1264" t="s">
        <v>439</v>
      </c>
      <c r="M1264" s="4">
        <v>43537</v>
      </c>
      <c r="N1264" s="12">
        <f t="shared" si="58"/>
        <v>3</v>
      </c>
      <c r="O1264" s="13">
        <f t="shared" si="59"/>
        <v>2019</v>
      </c>
      <c r="P1264" t="s">
        <v>13</v>
      </c>
      <c r="Q1264" t="s">
        <v>377</v>
      </c>
      <c r="R1264" t="s">
        <v>57</v>
      </c>
      <c r="S1264" t="str" cm="1">
        <f t="array" ref="S1264">_xlfn.IFS(R1264="COMPLETE", "COMPLETED", R1264="CANCELED", "CANCELED", TRUE, "PENDING")</f>
        <v>PENDING</v>
      </c>
      <c r="T1264" t="s">
        <v>16</v>
      </c>
      <c r="U1264">
        <f>VLOOKUP(A1264,ordered_items!$B:$E,4,0)</f>
        <v>150</v>
      </c>
    </row>
    <row r="1265" spans="1:21" x14ac:dyDescent="0.3">
      <c r="A1265">
        <v>30002</v>
      </c>
      <c r="B1265" t="s">
        <v>24</v>
      </c>
      <c r="C1265">
        <v>3</v>
      </c>
      <c r="D1265">
        <v>4</v>
      </c>
      <c r="E1265" t="str">
        <f t="shared" si="57"/>
        <v xml:space="preserve"> ONTIME</v>
      </c>
      <c r="F1265">
        <f>VLOOKUP($A1265,ordered_items!$B$2:$E$4784,2,0)</f>
        <v>403</v>
      </c>
      <c r="G1265">
        <f>VLOOKUP($A1265,ordered_items!$B$2:$E$4784,3,0)</f>
        <v>1</v>
      </c>
      <c r="H1265">
        <f>VLOOKUP($A1265,ordered_items!$B$2:$E$4784,4,0)</f>
        <v>129.99</v>
      </c>
      <c r="I1265" s="15">
        <f>VLOOKUP(F1265,product_info!$A$2:$D$73,4,0)</f>
        <v>4</v>
      </c>
      <c r="J1265" s="15" t="str">
        <f>VLOOKUP(I1265,department!$A$2:$B$13,2,0)</f>
        <v>Apparel</v>
      </c>
      <c r="K1265">
        <v>12034</v>
      </c>
      <c r="L1265" t="s">
        <v>439</v>
      </c>
      <c r="M1265" s="4">
        <v>43537</v>
      </c>
      <c r="N1265" s="12">
        <f t="shared" si="58"/>
        <v>3</v>
      </c>
      <c r="O1265" s="13">
        <f t="shared" si="59"/>
        <v>2019</v>
      </c>
      <c r="P1265" t="s">
        <v>13</v>
      </c>
      <c r="Q1265" t="s">
        <v>377</v>
      </c>
      <c r="R1265" t="s">
        <v>378</v>
      </c>
      <c r="S1265" t="str" cm="1">
        <f t="array" ref="S1265">_xlfn.IFS(R1265="COMPLETE", "COMPLETED", R1265="CANCELED", "CANCELED", TRUE, "PENDING")</f>
        <v>PENDING</v>
      </c>
      <c r="T1265" t="s">
        <v>16</v>
      </c>
      <c r="U1265">
        <f>VLOOKUP(A1265,ordered_items!$B:$E,4,0)</f>
        <v>129.99</v>
      </c>
    </row>
    <row r="1266" spans="1:21" x14ac:dyDescent="0.3">
      <c r="A1266">
        <v>30010</v>
      </c>
      <c r="B1266" t="s">
        <v>3</v>
      </c>
      <c r="C1266">
        <v>6</v>
      </c>
      <c r="D1266">
        <v>4</v>
      </c>
      <c r="E1266" t="str">
        <f t="shared" si="57"/>
        <v>DELAYED</v>
      </c>
      <c r="F1266">
        <f>VLOOKUP($A1266,ordered_items!$B$2:$E$4784,2,0)</f>
        <v>365</v>
      </c>
      <c r="G1266">
        <f>VLOOKUP($A1266,ordered_items!$B$2:$E$4784,3,0)</f>
        <v>4</v>
      </c>
      <c r="H1266">
        <f>VLOOKUP($A1266,ordered_items!$B$2:$E$4784,4,0)</f>
        <v>239.96</v>
      </c>
      <c r="I1266" s="15">
        <f>VLOOKUP(F1266,product_info!$A$2:$D$73,4,0)</f>
        <v>4</v>
      </c>
      <c r="J1266" s="15" t="str">
        <f>VLOOKUP(I1266,department!$A$2:$B$13,2,0)</f>
        <v>Apparel</v>
      </c>
      <c r="K1266">
        <v>12233</v>
      </c>
      <c r="L1266" t="s">
        <v>758</v>
      </c>
      <c r="M1266" s="4">
        <v>43538</v>
      </c>
      <c r="N1266" s="12">
        <f t="shared" si="58"/>
        <v>3</v>
      </c>
      <c r="O1266" s="13">
        <f t="shared" si="59"/>
        <v>2019</v>
      </c>
      <c r="P1266" t="s">
        <v>13</v>
      </c>
      <c r="Q1266" t="s">
        <v>431</v>
      </c>
      <c r="R1266" t="s">
        <v>38</v>
      </c>
      <c r="S1266" t="str" cm="1">
        <f t="array" ref="S1266">_xlfn.IFS(R1266="COMPLETE", "COMPLETED", R1266="CANCELED", "CANCELED", TRUE, "PENDING")</f>
        <v>PENDING</v>
      </c>
      <c r="T1266" t="s">
        <v>16</v>
      </c>
      <c r="U1266">
        <f>VLOOKUP(A1266,ordered_items!$B:$E,4,0)</f>
        <v>239.96</v>
      </c>
    </row>
    <row r="1267" spans="1:21" x14ac:dyDescent="0.3">
      <c r="A1267">
        <v>30013</v>
      </c>
      <c r="B1267" t="s">
        <v>51</v>
      </c>
      <c r="C1267">
        <v>4</v>
      </c>
      <c r="D1267">
        <v>4</v>
      </c>
      <c r="E1267" t="str">
        <f t="shared" si="57"/>
        <v xml:space="preserve"> ONTIME</v>
      </c>
      <c r="F1267">
        <f>VLOOKUP($A1267,ordered_items!$B$2:$E$4784,2,0)</f>
        <v>1073</v>
      </c>
      <c r="G1267">
        <f>VLOOKUP($A1267,ordered_items!$B$2:$E$4784,3,0)</f>
        <v>1</v>
      </c>
      <c r="H1267">
        <f>VLOOKUP($A1267,ordered_items!$B$2:$E$4784,4,0)</f>
        <v>199.99</v>
      </c>
      <c r="I1267" s="15">
        <f>VLOOKUP(F1267,product_info!$A$2:$D$73,4,0)</f>
        <v>7</v>
      </c>
      <c r="J1267" s="15" t="str">
        <f>VLOOKUP(I1267,department!$A$2:$B$13,2,0)</f>
        <v>Fan Shop</v>
      </c>
      <c r="K1267">
        <v>7703</v>
      </c>
      <c r="L1267" t="s">
        <v>1040</v>
      </c>
      <c r="M1267" s="4">
        <v>43538</v>
      </c>
      <c r="N1267" s="12">
        <f t="shared" si="58"/>
        <v>3</v>
      </c>
      <c r="O1267" s="13">
        <f t="shared" si="59"/>
        <v>2019</v>
      </c>
      <c r="P1267" t="s">
        <v>13</v>
      </c>
      <c r="Q1267" t="s">
        <v>377</v>
      </c>
      <c r="R1267" t="s">
        <v>57</v>
      </c>
      <c r="S1267" t="str" cm="1">
        <f t="array" ref="S1267">_xlfn.IFS(R1267="COMPLETE", "COMPLETED", R1267="CANCELED", "CANCELED", TRUE, "PENDING")</f>
        <v>PENDING</v>
      </c>
      <c r="T1267" t="s">
        <v>16</v>
      </c>
      <c r="U1267">
        <f>VLOOKUP(A1267,ordered_items!$B:$E,4,0)</f>
        <v>199.99</v>
      </c>
    </row>
    <row r="1268" spans="1:21" x14ac:dyDescent="0.3">
      <c r="A1268">
        <v>30017</v>
      </c>
      <c r="B1268" t="s">
        <v>24</v>
      </c>
      <c r="C1268">
        <v>3</v>
      </c>
      <c r="D1268">
        <v>2</v>
      </c>
      <c r="E1268" t="str">
        <f t="shared" si="57"/>
        <v>DELAYED</v>
      </c>
      <c r="F1268">
        <f>VLOOKUP($A1268,ordered_items!$B$2:$E$4784,2,0)</f>
        <v>502</v>
      </c>
      <c r="G1268">
        <f>VLOOKUP($A1268,ordered_items!$B$2:$E$4784,3,0)</f>
        <v>4</v>
      </c>
      <c r="H1268">
        <f>VLOOKUP($A1268,ordered_items!$B$2:$E$4784,4,0)</f>
        <v>200</v>
      </c>
      <c r="I1268" s="15">
        <f>VLOOKUP(F1268,product_info!$A$2:$D$73,4,0)</f>
        <v>5</v>
      </c>
      <c r="J1268" s="15" t="str">
        <f>VLOOKUP(I1268,department!$A$2:$B$13,2,0)</f>
        <v>Golf</v>
      </c>
      <c r="K1268">
        <v>319</v>
      </c>
      <c r="L1268" t="s">
        <v>426</v>
      </c>
      <c r="M1268" s="4">
        <v>43538</v>
      </c>
      <c r="N1268" s="12">
        <f t="shared" si="58"/>
        <v>3</v>
      </c>
      <c r="O1268" s="13">
        <f t="shared" si="59"/>
        <v>2019</v>
      </c>
      <c r="P1268" t="s">
        <v>13</v>
      </c>
      <c r="Q1268" t="s">
        <v>245</v>
      </c>
      <c r="R1268" t="s">
        <v>31</v>
      </c>
      <c r="S1268" t="str" cm="1">
        <f t="array" ref="S1268">_xlfn.IFS(R1268="COMPLETE", "COMPLETED", R1268="CANCELED", "CANCELED", TRUE, "PENDING")</f>
        <v>COMPLETED</v>
      </c>
      <c r="T1268" t="s">
        <v>90</v>
      </c>
      <c r="U1268">
        <f>VLOOKUP(A1268,ordered_items!$B:$E,4,0)</f>
        <v>200</v>
      </c>
    </row>
    <row r="1269" spans="1:21" x14ac:dyDescent="0.3">
      <c r="A1269">
        <v>30019</v>
      </c>
      <c r="B1269" t="s">
        <v>17</v>
      </c>
      <c r="C1269">
        <v>5</v>
      </c>
      <c r="D1269">
        <v>2</v>
      </c>
      <c r="E1269" t="str">
        <f t="shared" si="57"/>
        <v>DELAYED</v>
      </c>
      <c r="F1269">
        <f>VLOOKUP($A1269,ordered_items!$B$2:$E$4784,2,0)</f>
        <v>403</v>
      </c>
      <c r="G1269">
        <f>VLOOKUP($A1269,ordered_items!$B$2:$E$4784,3,0)</f>
        <v>1</v>
      </c>
      <c r="H1269">
        <f>VLOOKUP($A1269,ordered_items!$B$2:$E$4784,4,0)</f>
        <v>129.99</v>
      </c>
      <c r="I1269" s="15">
        <f>VLOOKUP(F1269,product_info!$A$2:$D$73,4,0)</f>
        <v>4</v>
      </c>
      <c r="J1269" s="15" t="str">
        <f>VLOOKUP(I1269,department!$A$2:$B$13,2,0)</f>
        <v>Apparel</v>
      </c>
      <c r="K1269">
        <v>6968</v>
      </c>
      <c r="L1269" t="s">
        <v>426</v>
      </c>
      <c r="M1269" s="4">
        <v>43538</v>
      </c>
      <c r="N1269" s="12">
        <f t="shared" si="58"/>
        <v>3</v>
      </c>
      <c r="O1269" s="13">
        <f t="shared" si="59"/>
        <v>2019</v>
      </c>
      <c r="P1269" t="s">
        <v>13</v>
      </c>
      <c r="Q1269" t="s">
        <v>245</v>
      </c>
      <c r="R1269" t="s">
        <v>23</v>
      </c>
      <c r="S1269" t="str" cm="1">
        <f t="array" ref="S1269">_xlfn.IFS(R1269="COMPLETE", "COMPLETED", R1269="CANCELED", "CANCELED", TRUE, "PENDING")</f>
        <v>PENDING</v>
      </c>
      <c r="T1269" t="s">
        <v>90</v>
      </c>
      <c r="U1269">
        <f>VLOOKUP(A1269,ordered_items!$B:$E,4,0)</f>
        <v>129.99</v>
      </c>
    </row>
    <row r="1270" spans="1:21" x14ac:dyDescent="0.3">
      <c r="A1270">
        <v>30033</v>
      </c>
      <c r="B1270" t="s">
        <v>17</v>
      </c>
      <c r="C1270">
        <v>4</v>
      </c>
      <c r="D1270">
        <v>4</v>
      </c>
      <c r="E1270" t="str">
        <f t="shared" si="57"/>
        <v xml:space="preserve"> ONTIME</v>
      </c>
      <c r="F1270">
        <f>VLOOKUP($A1270,ordered_items!$B$2:$E$4784,2,0)</f>
        <v>403</v>
      </c>
      <c r="G1270">
        <f>VLOOKUP($A1270,ordered_items!$B$2:$E$4784,3,0)</f>
        <v>1</v>
      </c>
      <c r="H1270">
        <f>VLOOKUP($A1270,ordered_items!$B$2:$E$4784,4,0)</f>
        <v>129.99</v>
      </c>
      <c r="I1270" s="15">
        <f>VLOOKUP(F1270,product_info!$A$2:$D$73,4,0)</f>
        <v>4</v>
      </c>
      <c r="J1270" s="15" t="str">
        <f>VLOOKUP(I1270,department!$A$2:$B$13,2,0)</f>
        <v>Apparel</v>
      </c>
      <c r="K1270">
        <v>4997</v>
      </c>
      <c r="L1270" t="s">
        <v>233</v>
      </c>
      <c r="M1270" s="4">
        <v>43538</v>
      </c>
      <c r="N1270" s="12">
        <f t="shared" si="58"/>
        <v>3</v>
      </c>
      <c r="O1270" s="13">
        <f t="shared" si="59"/>
        <v>2019</v>
      </c>
      <c r="P1270" t="s">
        <v>13</v>
      </c>
      <c r="Q1270" t="s">
        <v>234</v>
      </c>
      <c r="R1270" t="s">
        <v>23</v>
      </c>
      <c r="S1270" t="str" cm="1">
        <f t="array" ref="S1270">_xlfn.IFS(R1270="COMPLETE", "COMPLETED", R1270="CANCELED", "CANCELED", TRUE, "PENDING")</f>
        <v>PENDING</v>
      </c>
      <c r="T1270" t="s">
        <v>16</v>
      </c>
      <c r="U1270">
        <f>VLOOKUP(A1270,ordered_items!$B:$E,4,0)</f>
        <v>129.99</v>
      </c>
    </row>
    <row r="1271" spans="1:21" x14ac:dyDescent="0.3">
      <c r="A1271">
        <v>30034</v>
      </c>
      <c r="B1271" t="s">
        <v>3</v>
      </c>
      <c r="C1271">
        <v>5</v>
      </c>
      <c r="D1271">
        <v>4</v>
      </c>
      <c r="E1271" t="str">
        <f t="shared" si="57"/>
        <v>DELAYED</v>
      </c>
      <c r="F1271">
        <f>VLOOKUP($A1271,ordered_items!$B$2:$E$4784,2,0)</f>
        <v>403</v>
      </c>
      <c r="G1271">
        <f>VLOOKUP($A1271,ordered_items!$B$2:$E$4784,3,0)</f>
        <v>1</v>
      </c>
      <c r="H1271">
        <f>VLOOKUP($A1271,ordered_items!$B$2:$E$4784,4,0)</f>
        <v>129.99</v>
      </c>
      <c r="I1271" s="15">
        <f>VLOOKUP(F1271,product_info!$A$2:$D$73,4,0)</f>
        <v>4</v>
      </c>
      <c r="J1271" s="15" t="str">
        <f>VLOOKUP(I1271,department!$A$2:$B$13,2,0)</f>
        <v>Apparel</v>
      </c>
      <c r="K1271">
        <v>8997</v>
      </c>
      <c r="L1271" t="s">
        <v>405</v>
      </c>
      <c r="M1271" s="4">
        <v>43538</v>
      </c>
      <c r="N1271" s="12">
        <f t="shared" si="58"/>
        <v>3</v>
      </c>
      <c r="O1271" s="13">
        <f t="shared" si="59"/>
        <v>2019</v>
      </c>
      <c r="P1271" t="s">
        <v>13</v>
      </c>
      <c r="Q1271" t="s">
        <v>5781</v>
      </c>
      <c r="R1271" t="s">
        <v>38</v>
      </c>
      <c r="S1271" t="str" cm="1">
        <f t="array" ref="S1271">_xlfn.IFS(R1271="COMPLETE", "COMPLETED", R1271="CANCELED", "CANCELED", TRUE, "PENDING")</f>
        <v>PENDING</v>
      </c>
      <c r="T1271" t="s">
        <v>16</v>
      </c>
      <c r="U1271">
        <f>VLOOKUP(A1271,ordered_items!$B:$E,4,0)</f>
        <v>129.99</v>
      </c>
    </row>
    <row r="1272" spans="1:21" x14ac:dyDescent="0.3">
      <c r="A1272">
        <v>30042</v>
      </c>
      <c r="B1272" t="s">
        <v>24</v>
      </c>
      <c r="C1272">
        <v>3</v>
      </c>
      <c r="D1272">
        <v>4</v>
      </c>
      <c r="E1272" t="str">
        <f t="shared" si="57"/>
        <v xml:space="preserve"> ONTIME</v>
      </c>
      <c r="F1272">
        <f>VLOOKUP($A1272,ordered_items!$B$2:$E$4784,2,0)</f>
        <v>191</v>
      </c>
      <c r="G1272">
        <f>VLOOKUP($A1272,ordered_items!$B$2:$E$4784,3,0)</f>
        <v>4</v>
      </c>
      <c r="H1272">
        <f>VLOOKUP($A1272,ordered_items!$B$2:$E$4784,4,0)</f>
        <v>399.96</v>
      </c>
      <c r="I1272" s="15">
        <f>VLOOKUP(F1272,product_info!$A$2:$D$73,4,0)</f>
        <v>3</v>
      </c>
      <c r="J1272" s="15" t="str">
        <f>VLOOKUP(I1272,department!$A$2:$B$13,2,0)</f>
        <v>Footwear</v>
      </c>
      <c r="K1272">
        <v>5579</v>
      </c>
      <c r="L1272" t="s">
        <v>262</v>
      </c>
      <c r="M1272" s="4">
        <v>43538</v>
      </c>
      <c r="N1272" s="12">
        <f t="shared" si="58"/>
        <v>3</v>
      </c>
      <c r="O1272" s="13">
        <f t="shared" si="59"/>
        <v>2019</v>
      </c>
      <c r="P1272" t="s">
        <v>13</v>
      </c>
      <c r="Q1272" t="s">
        <v>30</v>
      </c>
      <c r="R1272" t="s">
        <v>31</v>
      </c>
      <c r="S1272" t="str" cm="1">
        <f t="array" ref="S1272">_xlfn.IFS(R1272="COMPLETE", "COMPLETED", R1272="CANCELED", "CANCELED", TRUE, "PENDING")</f>
        <v>COMPLETED</v>
      </c>
      <c r="T1272" t="s">
        <v>16</v>
      </c>
      <c r="U1272">
        <f>VLOOKUP(A1272,ordered_items!$B:$E,4,0)</f>
        <v>399.96</v>
      </c>
    </row>
    <row r="1273" spans="1:21" x14ac:dyDescent="0.3">
      <c r="A1273">
        <v>30043</v>
      </c>
      <c r="B1273" t="s">
        <v>51</v>
      </c>
      <c r="C1273">
        <v>4</v>
      </c>
      <c r="D1273">
        <v>2</v>
      </c>
      <c r="E1273" t="str">
        <f t="shared" si="57"/>
        <v>DELAYED</v>
      </c>
      <c r="F1273">
        <f>VLOOKUP($A1273,ordered_items!$B$2:$E$4784,2,0)</f>
        <v>502</v>
      </c>
      <c r="G1273">
        <f>VLOOKUP($A1273,ordered_items!$B$2:$E$4784,3,0)</f>
        <v>5</v>
      </c>
      <c r="H1273">
        <f>VLOOKUP($A1273,ordered_items!$B$2:$E$4784,4,0)</f>
        <v>250</v>
      </c>
      <c r="I1273" s="15">
        <f>VLOOKUP(F1273,product_info!$A$2:$D$73,4,0)</f>
        <v>5</v>
      </c>
      <c r="J1273" s="15" t="str">
        <f>VLOOKUP(I1273,department!$A$2:$B$13,2,0)</f>
        <v>Golf</v>
      </c>
      <c r="K1273">
        <v>10442</v>
      </c>
      <c r="L1273" t="s">
        <v>262</v>
      </c>
      <c r="M1273" s="4">
        <v>43538</v>
      </c>
      <c r="N1273" s="12">
        <f t="shared" si="58"/>
        <v>3</v>
      </c>
      <c r="O1273" s="13">
        <f t="shared" si="59"/>
        <v>2019</v>
      </c>
      <c r="P1273" t="s">
        <v>13</v>
      </c>
      <c r="Q1273" t="s">
        <v>30</v>
      </c>
      <c r="R1273" t="s">
        <v>57</v>
      </c>
      <c r="S1273" t="str" cm="1">
        <f t="array" ref="S1273">_xlfn.IFS(R1273="COMPLETE", "COMPLETED", R1273="CANCELED", "CANCELED", TRUE, "PENDING")</f>
        <v>PENDING</v>
      </c>
      <c r="T1273" t="s">
        <v>90</v>
      </c>
      <c r="U1273">
        <f>VLOOKUP(A1273,ordered_items!$B:$E,4,0)</f>
        <v>250</v>
      </c>
    </row>
    <row r="1274" spans="1:21" x14ac:dyDescent="0.3">
      <c r="A1274">
        <v>30068</v>
      </c>
      <c r="B1274" t="s">
        <v>51</v>
      </c>
      <c r="C1274">
        <v>4</v>
      </c>
      <c r="D1274">
        <v>2</v>
      </c>
      <c r="E1274" t="str">
        <f t="shared" si="57"/>
        <v>DELAYED</v>
      </c>
      <c r="F1274">
        <f>VLOOKUP($A1274,ordered_items!$B$2:$E$4784,2,0)</f>
        <v>1073</v>
      </c>
      <c r="G1274">
        <f>VLOOKUP($A1274,ordered_items!$B$2:$E$4784,3,0)</f>
        <v>1</v>
      </c>
      <c r="H1274">
        <f>VLOOKUP($A1274,ordered_items!$B$2:$E$4784,4,0)</f>
        <v>199.99</v>
      </c>
      <c r="I1274" s="15">
        <f>VLOOKUP(F1274,product_info!$A$2:$D$73,4,0)</f>
        <v>7</v>
      </c>
      <c r="J1274" s="15" t="str">
        <f>VLOOKUP(I1274,department!$A$2:$B$13,2,0)</f>
        <v>Fan Shop</v>
      </c>
      <c r="K1274">
        <v>4557</v>
      </c>
      <c r="L1274" t="s">
        <v>202</v>
      </c>
      <c r="M1274" s="4">
        <v>43538</v>
      </c>
      <c r="N1274" s="12">
        <f t="shared" si="58"/>
        <v>3</v>
      </c>
      <c r="O1274" s="13">
        <f t="shared" si="59"/>
        <v>2019</v>
      </c>
      <c r="P1274" t="s">
        <v>13</v>
      </c>
      <c r="Q1274" t="s">
        <v>203</v>
      </c>
      <c r="R1274" t="s">
        <v>57</v>
      </c>
      <c r="S1274" t="str" cm="1">
        <f t="array" ref="S1274">_xlfn.IFS(R1274="COMPLETE", "COMPLETED", R1274="CANCELED", "CANCELED", TRUE, "PENDING")</f>
        <v>PENDING</v>
      </c>
      <c r="T1274" t="s">
        <v>90</v>
      </c>
      <c r="U1274">
        <f>VLOOKUP(A1274,ordered_items!$B:$E,4,0)</f>
        <v>199.99</v>
      </c>
    </row>
    <row r="1275" spans="1:21" x14ac:dyDescent="0.3">
      <c r="A1275">
        <v>30069</v>
      </c>
      <c r="B1275" t="s">
        <v>51</v>
      </c>
      <c r="C1275">
        <v>5</v>
      </c>
      <c r="D1275">
        <v>4</v>
      </c>
      <c r="E1275" t="str">
        <f t="shared" si="57"/>
        <v>DELAYED</v>
      </c>
      <c r="F1275">
        <f>VLOOKUP($A1275,ordered_items!$B$2:$E$4784,2,0)</f>
        <v>403</v>
      </c>
      <c r="G1275">
        <f>VLOOKUP($A1275,ordered_items!$B$2:$E$4784,3,0)</f>
        <v>1</v>
      </c>
      <c r="H1275">
        <f>VLOOKUP($A1275,ordered_items!$B$2:$E$4784,4,0)</f>
        <v>129.99</v>
      </c>
      <c r="I1275" s="15">
        <f>VLOOKUP(F1275,product_info!$A$2:$D$73,4,0)</f>
        <v>4</v>
      </c>
      <c r="J1275" s="15" t="str">
        <f>VLOOKUP(I1275,department!$A$2:$B$13,2,0)</f>
        <v>Apparel</v>
      </c>
      <c r="K1275">
        <v>1396</v>
      </c>
      <c r="L1275" t="s">
        <v>202</v>
      </c>
      <c r="M1275" s="4">
        <v>43538</v>
      </c>
      <c r="N1275" s="12">
        <f t="shared" si="58"/>
        <v>3</v>
      </c>
      <c r="O1275" s="13">
        <f t="shared" si="59"/>
        <v>2019</v>
      </c>
      <c r="P1275" t="s">
        <v>13</v>
      </c>
      <c r="Q1275" t="s">
        <v>203</v>
      </c>
      <c r="R1275" t="s">
        <v>57</v>
      </c>
      <c r="S1275" t="str" cm="1">
        <f t="array" ref="S1275">_xlfn.IFS(R1275="COMPLETE", "COMPLETED", R1275="CANCELED", "CANCELED", TRUE, "PENDING")</f>
        <v>PENDING</v>
      </c>
      <c r="T1275" t="s">
        <v>16</v>
      </c>
      <c r="U1275">
        <f>VLOOKUP(A1275,ordered_items!$B:$E,4,0)</f>
        <v>129.99</v>
      </c>
    </row>
    <row r="1276" spans="1:21" x14ac:dyDescent="0.3">
      <c r="A1276">
        <v>30070</v>
      </c>
      <c r="B1276" t="s">
        <v>3</v>
      </c>
      <c r="C1276">
        <v>6</v>
      </c>
      <c r="D1276">
        <v>4</v>
      </c>
      <c r="E1276" t="str">
        <f t="shared" si="57"/>
        <v>DELAYED</v>
      </c>
      <c r="F1276">
        <f>VLOOKUP($A1276,ordered_items!$B$2:$E$4784,2,0)</f>
        <v>365</v>
      </c>
      <c r="G1276">
        <f>VLOOKUP($A1276,ordered_items!$B$2:$E$4784,3,0)</f>
        <v>4</v>
      </c>
      <c r="H1276">
        <f>VLOOKUP($A1276,ordered_items!$B$2:$E$4784,4,0)</f>
        <v>239.96</v>
      </c>
      <c r="I1276" s="15">
        <f>VLOOKUP(F1276,product_info!$A$2:$D$73,4,0)</f>
        <v>4</v>
      </c>
      <c r="J1276" s="15" t="str">
        <f>VLOOKUP(I1276,department!$A$2:$B$13,2,0)</f>
        <v>Apparel</v>
      </c>
      <c r="K1276">
        <v>6476</v>
      </c>
      <c r="L1276" t="s">
        <v>202</v>
      </c>
      <c r="M1276" s="4">
        <v>43538</v>
      </c>
      <c r="N1276" s="12">
        <f t="shared" si="58"/>
        <v>3</v>
      </c>
      <c r="O1276" s="13">
        <f t="shared" si="59"/>
        <v>2019</v>
      </c>
      <c r="P1276" t="s">
        <v>13</v>
      </c>
      <c r="Q1276" t="s">
        <v>203</v>
      </c>
      <c r="R1276" t="s">
        <v>14</v>
      </c>
      <c r="S1276" t="str" cm="1">
        <f t="array" ref="S1276">_xlfn.IFS(R1276="COMPLETE", "COMPLETED", R1276="CANCELED", "CANCELED", TRUE, "PENDING")</f>
        <v>PENDING</v>
      </c>
      <c r="T1276" t="s">
        <v>16</v>
      </c>
      <c r="U1276">
        <f>VLOOKUP(A1276,ordered_items!$B:$E,4,0)</f>
        <v>239.96</v>
      </c>
    </row>
    <row r="1277" spans="1:21" x14ac:dyDescent="0.3">
      <c r="A1277">
        <v>30074</v>
      </c>
      <c r="B1277" t="s">
        <v>3</v>
      </c>
      <c r="C1277">
        <v>5</v>
      </c>
      <c r="D1277">
        <v>2</v>
      </c>
      <c r="E1277" t="str">
        <f t="shared" si="57"/>
        <v>DELAYED</v>
      </c>
      <c r="F1277">
        <f>VLOOKUP($A1277,ordered_items!$B$2:$E$4784,2,0)</f>
        <v>191</v>
      </c>
      <c r="G1277">
        <f>VLOOKUP($A1277,ordered_items!$B$2:$E$4784,3,0)</f>
        <v>3</v>
      </c>
      <c r="H1277">
        <f>VLOOKUP($A1277,ordered_items!$B$2:$E$4784,4,0)</f>
        <v>299.97000000000003</v>
      </c>
      <c r="I1277" s="15">
        <f>VLOOKUP(F1277,product_info!$A$2:$D$73,4,0)</f>
        <v>3</v>
      </c>
      <c r="J1277" s="15" t="str">
        <f>VLOOKUP(I1277,department!$A$2:$B$13,2,0)</f>
        <v>Footwear</v>
      </c>
      <c r="K1277">
        <v>8969</v>
      </c>
      <c r="L1277" t="s">
        <v>206</v>
      </c>
      <c r="M1277" s="4">
        <v>43538</v>
      </c>
      <c r="N1277" s="12">
        <f t="shared" si="58"/>
        <v>3</v>
      </c>
      <c r="O1277" s="13">
        <f t="shared" si="59"/>
        <v>2019</v>
      </c>
      <c r="P1277" t="s">
        <v>13</v>
      </c>
      <c r="Q1277" t="s">
        <v>30</v>
      </c>
      <c r="R1277" t="s">
        <v>38</v>
      </c>
      <c r="S1277" t="str" cm="1">
        <f t="array" ref="S1277">_xlfn.IFS(R1277="COMPLETE", "COMPLETED", R1277="CANCELED", "CANCELED", TRUE, "PENDING")</f>
        <v>PENDING</v>
      </c>
      <c r="T1277" t="s">
        <v>90</v>
      </c>
      <c r="U1277">
        <f>VLOOKUP(A1277,ordered_items!$B:$E,4,0)</f>
        <v>299.97000000000003</v>
      </c>
    </row>
    <row r="1278" spans="1:21" x14ac:dyDescent="0.3">
      <c r="A1278">
        <v>30086</v>
      </c>
      <c r="B1278" t="s">
        <v>51</v>
      </c>
      <c r="C1278">
        <v>2</v>
      </c>
      <c r="D1278">
        <v>4</v>
      </c>
      <c r="E1278" t="str">
        <f t="shared" si="57"/>
        <v xml:space="preserve"> ONTIME</v>
      </c>
      <c r="F1278">
        <f>VLOOKUP($A1278,ordered_items!$B$2:$E$4784,2,0)</f>
        <v>957</v>
      </c>
      <c r="G1278">
        <f>VLOOKUP($A1278,ordered_items!$B$2:$E$4784,3,0)</f>
        <v>1</v>
      </c>
      <c r="H1278">
        <f>VLOOKUP($A1278,ordered_items!$B$2:$E$4784,4,0)</f>
        <v>299.98</v>
      </c>
      <c r="I1278" s="15">
        <f>VLOOKUP(F1278,product_info!$A$2:$D$73,4,0)</f>
        <v>7</v>
      </c>
      <c r="J1278" s="15" t="str">
        <f>VLOOKUP(I1278,department!$A$2:$B$13,2,0)</f>
        <v>Fan Shop</v>
      </c>
      <c r="K1278">
        <v>3336</v>
      </c>
      <c r="L1278" t="s">
        <v>2885</v>
      </c>
      <c r="M1278" s="4">
        <v>43539</v>
      </c>
      <c r="N1278" s="12">
        <f t="shared" si="58"/>
        <v>3</v>
      </c>
      <c r="O1278" s="13">
        <f t="shared" si="59"/>
        <v>2019</v>
      </c>
      <c r="P1278" t="s">
        <v>13</v>
      </c>
      <c r="Q1278" t="s">
        <v>99</v>
      </c>
      <c r="R1278" t="s">
        <v>57</v>
      </c>
      <c r="S1278" t="str" cm="1">
        <f t="array" ref="S1278">_xlfn.IFS(R1278="COMPLETE", "COMPLETED", R1278="CANCELED", "CANCELED", TRUE, "PENDING")</f>
        <v>PENDING</v>
      </c>
      <c r="T1278" t="s">
        <v>16</v>
      </c>
      <c r="U1278">
        <f>VLOOKUP(A1278,ordered_items!$B:$E,4,0)</f>
        <v>299.98</v>
      </c>
    </row>
    <row r="1279" spans="1:21" x14ac:dyDescent="0.3">
      <c r="A1279">
        <v>30087</v>
      </c>
      <c r="B1279" t="s">
        <v>3</v>
      </c>
      <c r="C1279">
        <v>3</v>
      </c>
      <c r="D1279">
        <v>4</v>
      </c>
      <c r="E1279" t="str">
        <f t="shared" si="57"/>
        <v xml:space="preserve"> ONTIME</v>
      </c>
      <c r="F1279">
        <f>VLOOKUP($A1279,ordered_items!$B$2:$E$4784,2,0)</f>
        <v>627</v>
      </c>
      <c r="G1279">
        <f>VLOOKUP($A1279,ordered_items!$B$2:$E$4784,3,0)</f>
        <v>3</v>
      </c>
      <c r="H1279">
        <f>VLOOKUP($A1279,ordered_items!$B$2:$E$4784,4,0)</f>
        <v>119.97</v>
      </c>
      <c r="I1279" s="15">
        <f>VLOOKUP(F1279,product_info!$A$2:$D$73,4,0)</f>
        <v>5</v>
      </c>
      <c r="J1279" s="15" t="str">
        <f>VLOOKUP(I1279,department!$A$2:$B$13,2,0)</f>
        <v>Golf</v>
      </c>
      <c r="K1279">
        <v>1184</v>
      </c>
      <c r="L1279" t="s">
        <v>2885</v>
      </c>
      <c r="M1279" s="4">
        <v>43539</v>
      </c>
      <c r="N1279" s="12">
        <f t="shared" si="58"/>
        <v>3</v>
      </c>
      <c r="O1279" s="13">
        <f t="shared" si="59"/>
        <v>2019</v>
      </c>
      <c r="P1279" t="s">
        <v>13</v>
      </c>
      <c r="Q1279" t="s">
        <v>99</v>
      </c>
      <c r="R1279" t="s">
        <v>14</v>
      </c>
      <c r="S1279" t="str" cm="1">
        <f t="array" ref="S1279">_xlfn.IFS(R1279="COMPLETE", "COMPLETED", R1279="CANCELED", "CANCELED", TRUE, "PENDING")</f>
        <v>PENDING</v>
      </c>
      <c r="T1279" t="s">
        <v>16</v>
      </c>
      <c r="U1279">
        <f>VLOOKUP(A1279,ordered_items!$B:$E,4,0)</f>
        <v>119.97</v>
      </c>
    </row>
    <row r="1280" spans="1:21" x14ac:dyDescent="0.3">
      <c r="A1280">
        <v>30115</v>
      </c>
      <c r="B1280" t="s">
        <v>51</v>
      </c>
      <c r="C1280">
        <v>6</v>
      </c>
      <c r="D1280">
        <v>2</v>
      </c>
      <c r="E1280" t="str">
        <f t="shared" si="57"/>
        <v>DELAYED</v>
      </c>
      <c r="F1280">
        <f>VLOOKUP($A1280,ordered_items!$B$2:$E$4784,2,0)</f>
        <v>365</v>
      </c>
      <c r="G1280">
        <f>VLOOKUP($A1280,ordered_items!$B$2:$E$4784,3,0)</f>
        <v>1</v>
      </c>
      <c r="H1280">
        <f>VLOOKUP($A1280,ordered_items!$B$2:$E$4784,4,0)</f>
        <v>59.99</v>
      </c>
      <c r="I1280" s="15">
        <f>VLOOKUP(F1280,product_info!$A$2:$D$73,4,0)</f>
        <v>4</v>
      </c>
      <c r="J1280" s="15" t="str">
        <f>VLOOKUP(I1280,department!$A$2:$B$13,2,0)</f>
        <v>Apparel</v>
      </c>
      <c r="K1280">
        <v>8893</v>
      </c>
      <c r="L1280" t="s">
        <v>570</v>
      </c>
      <c r="M1280" s="4">
        <v>43539</v>
      </c>
      <c r="N1280" s="12">
        <f t="shared" si="58"/>
        <v>3</v>
      </c>
      <c r="O1280" s="13">
        <f t="shared" si="59"/>
        <v>2019</v>
      </c>
      <c r="P1280" t="s">
        <v>13</v>
      </c>
      <c r="Q1280" t="s">
        <v>99</v>
      </c>
      <c r="R1280" t="s">
        <v>57</v>
      </c>
      <c r="S1280" t="str" cm="1">
        <f t="array" ref="S1280">_xlfn.IFS(R1280="COMPLETE", "COMPLETED", R1280="CANCELED", "CANCELED", TRUE, "PENDING")</f>
        <v>PENDING</v>
      </c>
      <c r="T1280" t="s">
        <v>90</v>
      </c>
      <c r="U1280">
        <f>VLOOKUP(A1280,ordered_items!$B:$E,4,0)</f>
        <v>59.99</v>
      </c>
    </row>
    <row r="1281" spans="1:21" x14ac:dyDescent="0.3">
      <c r="A1281">
        <v>30116</v>
      </c>
      <c r="B1281" t="s">
        <v>3</v>
      </c>
      <c r="C1281">
        <v>2</v>
      </c>
      <c r="D1281">
        <v>4</v>
      </c>
      <c r="E1281" t="str">
        <f t="shared" si="57"/>
        <v xml:space="preserve"> ONTIME</v>
      </c>
      <c r="F1281">
        <f>VLOOKUP($A1281,ordered_items!$B$2:$E$4784,2,0)</f>
        <v>249</v>
      </c>
      <c r="G1281">
        <f>VLOOKUP($A1281,ordered_items!$B$2:$E$4784,3,0)</f>
        <v>4</v>
      </c>
      <c r="H1281">
        <f>VLOOKUP($A1281,ordered_items!$B$2:$E$4784,4,0)</f>
        <v>219.88</v>
      </c>
      <c r="I1281" s="15">
        <f>VLOOKUP(F1281,product_info!$A$2:$D$73,4,0)</f>
        <v>3</v>
      </c>
      <c r="J1281" s="15" t="str">
        <f>VLOOKUP(I1281,department!$A$2:$B$13,2,0)</f>
        <v>Footwear</v>
      </c>
      <c r="K1281">
        <v>1658</v>
      </c>
      <c r="L1281" t="s">
        <v>713</v>
      </c>
      <c r="M1281" s="4">
        <v>43539</v>
      </c>
      <c r="N1281" s="12">
        <f t="shared" si="58"/>
        <v>3</v>
      </c>
      <c r="O1281" s="13">
        <f t="shared" si="59"/>
        <v>2019</v>
      </c>
      <c r="P1281" t="s">
        <v>13</v>
      </c>
      <c r="Q1281" t="s">
        <v>99</v>
      </c>
      <c r="R1281" t="s">
        <v>38</v>
      </c>
      <c r="S1281" t="str" cm="1">
        <f t="array" ref="S1281">_xlfn.IFS(R1281="COMPLETE", "COMPLETED", R1281="CANCELED", "CANCELED", TRUE, "PENDING")</f>
        <v>PENDING</v>
      </c>
      <c r="T1281" t="s">
        <v>16</v>
      </c>
      <c r="U1281">
        <f>VLOOKUP(A1281,ordered_items!$B:$E,4,0)</f>
        <v>219.88</v>
      </c>
    </row>
    <row r="1282" spans="1:21" x14ac:dyDescent="0.3">
      <c r="A1282">
        <v>30123</v>
      </c>
      <c r="B1282" t="s">
        <v>24</v>
      </c>
      <c r="C1282">
        <v>4</v>
      </c>
      <c r="D1282">
        <v>4</v>
      </c>
      <c r="E1282" t="str">
        <f t="shared" si="57"/>
        <v xml:space="preserve"> ONTIME</v>
      </c>
      <c r="F1282">
        <f>VLOOKUP($A1282,ordered_items!$B$2:$E$4784,2,0)</f>
        <v>1014</v>
      </c>
      <c r="G1282">
        <f>VLOOKUP($A1282,ordered_items!$B$2:$E$4784,3,0)</f>
        <v>3</v>
      </c>
      <c r="H1282">
        <f>VLOOKUP($A1282,ordered_items!$B$2:$E$4784,4,0)</f>
        <v>149.94</v>
      </c>
      <c r="I1282" s="15">
        <f>VLOOKUP(F1282,product_info!$A$2:$D$73,4,0)</f>
        <v>7</v>
      </c>
      <c r="J1282" s="15" t="str">
        <f>VLOOKUP(I1282,department!$A$2:$B$13,2,0)</f>
        <v>Fan Shop</v>
      </c>
      <c r="K1282">
        <v>8964</v>
      </c>
      <c r="L1282" t="s">
        <v>84</v>
      </c>
      <c r="M1282" s="4">
        <v>43539</v>
      </c>
      <c r="N1282" s="12">
        <f t="shared" si="58"/>
        <v>3</v>
      </c>
      <c r="O1282" s="13">
        <f t="shared" si="59"/>
        <v>2019</v>
      </c>
      <c r="P1282" t="s">
        <v>13</v>
      </c>
      <c r="Q1282" t="s">
        <v>80</v>
      </c>
      <c r="R1282" t="s">
        <v>31</v>
      </c>
      <c r="S1282" t="str" cm="1">
        <f t="array" ref="S1282">_xlfn.IFS(R1282="COMPLETE", "COMPLETED", R1282="CANCELED", "CANCELED", TRUE, "PENDING")</f>
        <v>COMPLETED</v>
      </c>
      <c r="T1282" t="s">
        <v>16</v>
      </c>
      <c r="U1282">
        <f>VLOOKUP(A1282,ordered_items!$B:$E,4,0)</f>
        <v>149.94</v>
      </c>
    </row>
    <row r="1283" spans="1:21" x14ac:dyDescent="0.3">
      <c r="A1283">
        <v>30124</v>
      </c>
      <c r="B1283" t="s">
        <v>24</v>
      </c>
      <c r="C1283">
        <v>5</v>
      </c>
      <c r="D1283">
        <v>2</v>
      </c>
      <c r="E1283" t="str">
        <f t="shared" ref="E1283:E1346" si="60">IF(C1283-D1283&gt;0,"DELAYED"," ONTIME")</f>
        <v>DELAYED</v>
      </c>
      <c r="F1283">
        <f>VLOOKUP($A1283,ordered_items!$B$2:$E$4784,2,0)</f>
        <v>403</v>
      </c>
      <c r="G1283">
        <f>VLOOKUP($A1283,ordered_items!$B$2:$E$4784,3,0)</f>
        <v>1</v>
      </c>
      <c r="H1283">
        <f>VLOOKUP($A1283,ordered_items!$B$2:$E$4784,4,0)</f>
        <v>129.99</v>
      </c>
      <c r="I1283" s="15">
        <f>VLOOKUP(F1283,product_info!$A$2:$D$73,4,0)</f>
        <v>4</v>
      </c>
      <c r="J1283" s="15" t="str">
        <f>VLOOKUP(I1283,department!$A$2:$B$13,2,0)</f>
        <v>Apparel</v>
      </c>
      <c r="K1283">
        <v>1223</v>
      </c>
      <c r="L1283" t="s">
        <v>434</v>
      </c>
      <c r="M1283" s="4">
        <v>43539</v>
      </c>
      <c r="N1283" s="12">
        <f t="shared" ref="N1283:N1346" si="61">MONTH(M1283)</f>
        <v>3</v>
      </c>
      <c r="O1283" s="13">
        <f t="shared" ref="O1283:O1346" si="62">YEAR(M1283)</f>
        <v>2019</v>
      </c>
      <c r="P1283" t="s">
        <v>13</v>
      </c>
      <c r="Q1283" t="s">
        <v>245</v>
      </c>
      <c r="R1283" t="s">
        <v>378</v>
      </c>
      <c r="S1283" t="str" cm="1">
        <f t="array" ref="S1283">_xlfn.IFS(R1283="COMPLETE", "COMPLETED", R1283="CANCELED", "CANCELED", TRUE, "PENDING")</f>
        <v>PENDING</v>
      </c>
      <c r="T1283" t="s">
        <v>90</v>
      </c>
      <c r="U1283">
        <f>VLOOKUP(A1283,ordered_items!$B:$E,4,0)</f>
        <v>129.99</v>
      </c>
    </row>
    <row r="1284" spans="1:21" x14ac:dyDescent="0.3">
      <c r="A1284">
        <v>30129</v>
      </c>
      <c r="B1284" t="s">
        <v>24</v>
      </c>
      <c r="C1284">
        <v>5</v>
      </c>
      <c r="D1284">
        <v>4</v>
      </c>
      <c r="E1284" t="str">
        <f t="shared" si="60"/>
        <v>DELAYED</v>
      </c>
      <c r="F1284">
        <f>VLOOKUP($A1284,ordered_items!$B$2:$E$4784,2,0)</f>
        <v>957</v>
      </c>
      <c r="G1284">
        <f>VLOOKUP($A1284,ordered_items!$B$2:$E$4784,3,0)</f>
        <v>1</v>
      </c>
      <c r="H1284">
        <f>VLOOKUP($A1284,ordered_items!$B$2:$E$4784,4,0)</f>
        <v>299.98</v>
      </c>
      <c r="I1284" s="15">
        <f>VLOOKUP(F1284,product_info!$A$2:$D$73,4,0)</f>
        <v>7</v>
      </c>
      <c r="J1284" s="15" t="str">
        <f>VLOOKUP(I1284,department!$A$2:$B$13,2,0)</f>
        <v>Fan Shop</v>
      </c>
      <c r="K1284">
        <v>6671</v>
      </c>
      <c r="L1284" t="s">
        <v>1040</v>
      </c>
      <c r="M1284" s="4">
        <v>43539</v>
      </c>
      <c r="N1284" s="12">
        <f t="shared" si="61"/>
        <v>3</v>
      </c>
      <c r="O1284" s="13">
        <f t="shared" si="62"/>
        <v>2019</v>
      </c>
      <c r="P1284" t="s">
        <v>13</v>
      </c>
      <c r="Q1284" t="s">
        <v>377</v>
      </c>
      <c r="R1284" t="s">
        <v>31</v>
      </c>
      <c r="S1284" t="str" cm="1">
        <f t="array" ref="S1284">_xlfn.IFS(R1284="COMPLETE", "COMPLETED", R1284="CANCELED", "CANCELED", TRUE, "PENDING")</f>
        <v>COMPLETED</v>
      </c>
      <c r="T1284" t="s">
        <v>16</v>
      </c>
      <c r="U1284">
        <f>VLOOKUP(A1284,ordered_items!$B:$E,4,0)</f>
        <v>299.98</v>
      </c>
    </row>
    <row r="1285" spans="1:21" x14ac:dyDescent="0.3">
      <c r="A1285">
        <v>30130</v>
      </c>
      <c r="B1285" t="s">
        <v>24</v>
      </c>
      <c r="C1285">
        <v>6</v>
      </c>
      <c r="D1285">
        <v>4</v>
      </c>
      <c r="E1285" t="str">
        <f t="shared" si="60"/>
        <v>DELAYED</v>
      </c>
      <c r="F1285">
        <f>VLOOKUP($A1285,ordered_items!$B$2:$E$4784,2,0)</f>
        <v>191</v>
      </c>
      <c r="G1285">
        <f>VLOOKUP($A1285,ordered_items!$B$2:$E$4784,3,0)</f>
        <v>1</v>
      </c>
      <c r="H1285">
        <f>VLOOKUP($A1285,ordered_items!$B$2:$E$4784,4,0)</f>
        <v>99.99</v>
      </c>
      <c r="I1285" s="15">
        <f>VLOOKUP(F1285,product_info!$A$2:$D$73,4,0)</f>
        <v>3</v>
      </c>
      <c r="J1285" s="15" t="str">
        <f>VLOOKUP(I1285,department!$A$2:$B$13,2,0)</f>
        <v>Footwear</v>
      </c>
      <c r="K1285">
        <v>3886</v>
      </c>
      <c r="L1285" t="s">
        <v>1040</v>
      </c>
      <c r="M1285" s="4">
        <v>43539</v>
      </c>
      <c r="N1285" s="12">
        <f t="shared" si="61"/>
        <v>3</v>
      </c>
      <c r="O1285" s="13">
        <f t="shared" si="62"/>
        <v>2019</v>
      </c>
      <c r="P1285" t="s">
        <v>13</v>
      </c>
      <c r="Q1285" t="s">
        <v>377</v>
      </c>
      <c r="R1285" t="s">
        <v>378</v>
      </c>
      <c r="S1285" t="str" cm="1">
        <f t="array" ref="S1285">_xlfn.IFS(R1285="COMPLETE", "COMPLETED", R1285="CANCELED", "CANCELED", TRUE, "PENDING")</f>
        <v>PENDING</v>
      </c>
      <c r="T1285" t="s">
        <v>16</v>
      </c>
      <c r="U1285">
        <f>VLOOKUP(A1285,ordered_items!$B:$E,4,0)</f>
        <v>99.99</v>
      </c>
    </row>
    <row r="1286" spans="1:21" x14ac:dyDescent="0.3">
      <c r="A1286">
        <v>30140</v>
      </c>
      <c r="B1286" t="s">
        <v>3</v>
      </c>
      <c r="C1286">
        <v>2</v>
      </c>
      <c r="D1286">
        <v>1</v>
      </c>
      <c r="E1286" t="str">
        <f t="shared" si="60"/>
        <v>DELAYED</v>
      </c>
      <c r="F1286">
        <f>VLOOKUP($A1286,ordered_items!$B$2:$E$4784,2,0)</f>
        <v>957</v>
      </c>
      <c r="G1286">
        <f>VLOOKUP($A1286,ordered_items!$B$2:$E$4784,3,0)</f>
        <v>1</v>
      </c>
      <c r="H1286">
        <f>VLOOKUP($A1286,ordered_items!$B$2:$E$4784,4,0)</f>
        <v>299.98</v>
      </c>
      <c r="I1286" s="15">
        <f>VLOOKUP(F1286,product_info!$A$2:$D$73,4,0)</f>
        <v>7</v>
      </c>
      <c r="J1286" s="15" t="str">
        <f>VLOOKUP(I1286,department!$A$2:$B$13,2,0)</f>
        <v>Fan Shop</v>
      </c>
      <c r="K1286">
        <v>10172</v>
      </c>
      <c r="L1286" t="s">
        <v>888</v>
      </c>
      <c r="M1286" s="4">
        <v>43539</v>
      </c>
      <c r="N1286" s="12">
        <f t="shared" si="61"/>
        <v>3</v>
      </c>
      <c r="O1286" s="13">
        <f t="shared" si="62"/>
        <v>2019</v>
      </c>
      <c r="P1286" t="s">
        <v>13</v>
      </c>
      <c r="Q1286" t="s">
        <v>30</v>
      </c>
      <c r="R1286" t="s">
        <v>38</v>
      </c>
      <c r="S1286" t="str" cm="1">
        <f t="array" ref="S1286">_xlfn.IFS(R1286="COMPLETE", "COMPLETED", R1286="CANCELED", "CANCELED", TRUE, "PENDING")</f>
        <v>PENDING</v>
      </c>
      <c r="T1286" t="s">
        <v>32</v>
      </c>
      <c r="U1286">
        <f>VLOOKUP(A1286,ordered_items!$B:$E,4,0)</f>
        <v>299.98</v>
      </c>
    </row>
    <row r="1287" spans="1:21" x14ac:dyDescent="0.3">
      <c r="A1287">
        <v>30181</v>
      </c>
      <c r="B1287" t="s">
        <v>51</v>
      </c>
      <c r="C1287">
        <v>2</v>
      </c>
      <c r="D1287">
        <v>4</v>
      </c>
      <c r="E1287" t="str">
        <f t="shared" si="60"/>
        <v xml:space="preserve"> ONTIME</v>
      </c>
      <c r="F1287">
        <f>VLOOKUP($A1287,ordered_items!$B$2:$E$4784,2,0)</f>
        <v>403</v>
      </c>
      <c r="G1287">
        <f>VLOOKUP($A1287,ordered_items!$B$2:$E$4784,3,0)</f>
        <v>1</v>
      </c>
      <c r="H1287">
        <f>VLOOKUP($A1287,ordered_items!$B$2:$E$4784,4,0)</f>
        <v>129.99</v>
      </c>
      <c r="I1287" s="15">
        <f>VLOOKUP(F1287,product_info!$A$2:$D$73,4,0)</f>
        <v>4</v>
      </c>
      <c r="J1287" s="15" t="str">
        <f>VLOOKUP(I1287,department!$A$2:$B$13,2,0)</f>
        <v>Apparel</v>
      </c>
      <c r="K1287">
        <v>3262</v>
      </c>
      <c r="L1287" t="s">
        <v>854</v>
      </c>
      <c r="M1287" s="4">
        <v>43540</v>
      </c>
      <c r="N1287" s="12">
        <f t="shared" si="61"/>
        <v>3</v>
      </c>
      <c r="O1287" s="13">
        <f t="shared" si="62"/>
        <v>2019</v>
      </c>
      <c r="P1287" t="s">
        <v>13</v>
      </c>
      <c r="Q1287" t="s">
        <v>377</v>
      </c>
      <c r="R1287" t="s">
        <v>57</v>
      </c>
      <c r="S1287" t="str" cm="1">
        <f t="array" ref="S1287">_xlfn.IFS(R1287="COMPLETE", "COMPLETED", R1287="CANCELED", "CANCELED", TRUE, "PENDING")</f>
        <v>PENDING</v>
      </c>
      <c r="T1287" t="s">
        <v>16</v>
      </c>
      <c r="U1287">
        <f>VLOOKUP(A1287,ordered_items!$B:$E,4,0)</f>
        <v>129.99</v>
      </c>
    </row>
    <row r="1288" spans="1:21" x14ac:dyDescent="0.3">
      <c r="A1288">
        <v>30182</v>
      </c>
      <c r="B1288" t="s">
        <v>3</v>
      </c>
      <c r="C1288">
        <v>3</v>
      </c>
      <c r="D1288">
        <v>4</v>
      </c>
      <c r="E1288" t="str">
        <f t="shared" si="60"/>
        <v xml:space="preserve"> ONTIME</v>
      </c>
      <c r="F1288">
        <f>VLOOKUP($A1288,ordered_items!$B$2:$E$4784,2,0)</f>
        <v>703</v>
      </c>
      <c r="G1288">
        <f>VLOOKUP($A1288,ordered_items!$B$2:$E$4784,3,0)</f>
        <v>4</v>
      </c>
      <c r="H1288">
        <f>VLOOKUP($A1288,ordered_items!$B$2:$E$4784,4,0)</f>
        <v>79.959999999999994</v>
      </c>
      <c r="I1288" s="15">
        <f>VLOOKUP(F1288,product_info!$A$2:$D$73,4,0)</f>
        <v>6</v>
      </c>
      <c r="J1288" s="15" t="str">
        <f>VLOOKUP(I1288,department!$A$2:$B$13,2,0)</f>
        <v>Outdoors</v>
      </c>
      <c r="K1288">
        <v>4973</v>
      </c>
      <c r="L1288" t="s">
        <v>357</v>
      </c>
      <c r="M1288" s="4">
        <v>43540</v>
      </c>
      <c r="N1288" s="12">
        <f t="shared" si="61"/>
        <v>3</v>
      </c>
      <c r="O1288" s="13">
        <f t="shared" si="62"/>
        <v>2019</v>
      </c>
      <c r="P1288" t="s">
        <v>13</v>
      </c>
      <c r="Q1288" t="s">
        <v>203</v>
      </c>
      <c r="R1288" t="s">
        <v>235</v>
      </c>
      <c r="S1288" t="str" cm="1">
        <f t="array" ref="S1288">_xlfn.IFS(R1288="COMPLETE", "COMPLETED", R1288="CANCELED", "CANCELED", TRUE, "PENDING")</f>
        <v>CANCELED</v>
      </c>
      <c r="T1288" t="s">
        <v>16</v>
      </c>
      <c r="U1288">
        <f>VLOOKUP(A1288,ordered_items!$B:$E,4,0)</f>
        <v>79.959999999999994</v>
      </c>
    </row>
    <row r="1289" spans="1:21" x14ac:dyDescent="0.3">
      <c r="A1289">
        <v>30199</v>
      </c>
      <c r="B1289" t="s">
        <v>24</v>
      </c>
      <c r="C1289">
        <v>5</v>
      </c>
      <c r="D1289">
        <v>4</v>
      </c>
      <c r="E1289" t="str">
        <f t="shared" si="60"/>
        <v>DELAYED</v>
      </c>
      <c r="F1289">
        <f>VLOOKUP($A1289,ordered_items!$B$2:$E$4784,2,0)</f>
        <v>564</v>
      </c>
      <c r="G1289">
        <f>VLOOKUP($A1289,ordered_items!$B$2:$E$4784,3,0)</f>
        <v>3</v>
      </c>
      <c r="H1289">
        <f>VLOOKUP($A1289,ordered_items!$B$2:$E$4784,4,0)</f>
        <v>90</v>
      </c>
      <c r="I1289" s="15">
        <f>VLOOKUP(F1289,product_info!$A$2:$D$73,4,0)</f>
        <v>5</v>
      </c>
      <c r="J1289" s="15" t="str">
        <f>VLOOKUP(I1289,department!$A$2:$B$13,2,0)</f>
        <v>Golf</v>
      </c>
      <c r="K1289">
        <v>9537</v>
      </c>
      <c r="L1289" t="s">
        <v>1111</v>
      </c>
      <c r="M1289" s="4">
        <v>43540</v>
      </c>
      <c r="N1289" s="12">
        <f t="shared" si="61"/>
        <v>3</v>
      </c>
      <c r="O1289" s="13">
        <f t="shared" si="62"/>
        <v>2019</v>
      </c>
      <c r="P1289" t="s">
        <v>13</v>
      </c>
      <c r="Q1289" t="s">
        <v>5777</v>
      </c>
      <c r="R1289" t="s">
        <v>31</v>
      </c>
      <c r="S1289" t="str" cm="1">
        <f t="array" ref="S1289">_xlfn.IFS(R1289="COMPLETE", "COMPLETED", R1289="CANCELED", "CANCELED", TRUE, "PENDING")</f>
        <v>COMPLETED</v>
      </c>
      <c r="T1289" t="s">
        <v>16</v>
      </c>
      <c r="U1289">
        <f>VLOOKUP(A1289,ordered_items!$B:$E,4,0)</f>
        <v>90</v>
      </c>
    </row>
    <row r="1290" spans="1:21" x14ac:dyDescent="0.3">
      <c r="A1290">
        <v>30200</v>
      </c>
      <c r="B1290" t="s">
        <v>51</v>
      </c>
      <c r="C1290">
        <v>6</v>
      </c>
      <c r="D1290">
        <v>4</v>
      </c>
      <c r="E1290" t="str">
        <f t="shared" si="60"/>
        <v>DELAYED</v>
      </c>
      <c r="F1290">
        <f>VLOOKUP($A1290,ordered_items!$B$2:$E$4784,2,0)</f>
        <v>365</v>
      </c>
      <c r="G1290">
        <f>VLOOKUP($A1290,ordered_items!$B$2:$E$4784,3,0)</f>
        <v>5</v>
      </c>
      <c r="H1290">
        <f>VLOOKUP($A1290,ordered_items!$B$2:$E$4784,4,0)</f>
        <v>299.95</v>
      </c>
      <c r="I1290" s="15">
        <f>VLOOKUP(F1290,product_info!$A$2:$D$73,4,0)</f>
        <v>4</v>
      </c>
      <c r="J1290" s="15" t="str">
        <f>VLOOKUP(I1290,department!$A$2:$B$13,2,0)</f>
        <v>Apparel</v>
      </c>
      <c r="K1290">
        <v>1782</v>
      </c>
      <c r="L1290" t="s">
        <v>1111</v>
      </c>
      <c r="M1290" s="4">
        <v>43540</v>
      </c>
      <c r="N1290" s="12">
        <f t="shared" si="61"/>
        <v>3</v>
      </c>
      <c r="O1290" s="13">
        <f t="shared" si="62"/>
        <v>2019</v>
      </c>
      <c r="P1290" t="s">
        <v>13</v>
      </c>
      <c r="Q1290" t="s">
        <v>5777</v>
      </c>
      <c r="R1290" t="s">
        <v>57</v>
      </c>
      <c r="S1290" t="str" cm="1">
        <f t="array" ref="S1290">_xlfn.IFS(R1290="COMPLETE", "COMPLETED", R1290="CANCELED", "CANCELED", TRUE, "PENDING")</f>
        <v>PENDING</v>
      </c>
      <c r="T1290" t="s">
        <v>16</v>
      </c>
      <c r="U1290">
        <f>VLOOKUP(A1290,ordered_items!$B:$E,4,0)</f>
        <v>299.95</v>
      </c>
    </row>
    <row r="1291" spans="1:21" x14ac:dyDescent="0.3">
      <c r="A1291">
        <v>30201</v>
      </c>
      <c r="B1291" t="s">
        <v>24</v>
      </c>
      <c r="C1291">
        <v>2</v>
      </c>
      <c r="D1291">
        <v>4</v>
      </c>
      <c r="E1291" t="str">
        <f t="shared" si="60"/>
        <v xml:space="preserve"> ONTIME</v>
      </c>
      <c r="F1291">
        <f>VLOOKUP($A1291,ordered_items!$B$2:$E$4784,2,0)</f>
        <v>1073</v>
      </c>
      <c r="G1291">
        <f>VLOOKUP($A1291,ordered_items!$B$2:$E$4784,3,0)</f>
        <v>1</v>
      </c>
      <c r="H1291">
        <f>VLOOKUP($A1291,ordered_items!$B$2:$E$4784,4,0)</f>
        <v>199.99</v>
      </c>
      <c r="I1291" s="15">
        <f>VLOOKUP(F1291,product_info!$A$2:$D$73,4,0)</f>
        <v>7</v>
      </c>
      <c r="J1291" s="15" t="str">
        <f>VLOOKUP(I1291,department!$A$2:$B$13,2,0)</f>
        <v>Fan Shop</v>
      </c>
      <c r="K1291">
        <v>1745</v>
      </c>
      <c r="L1291" t="s">
        <v>206</v>
      </c>
      <c r="M1291" s="4">
        <v>43540</v>
      </c>
      <c r="N1291" s="12">
        <f t="shared" si="61"/>
        <v>3</v>
      </c>
      <c r="O1291" s="13">
        <f t="shared" si="62"/>
        <v>2019</v>
      </c>
      <c r="P1291" t="s">
        <v>13</v>
      </c>
      <c r="Q1291" t="s">
        <v>30</v>
      </c>
      <c r="R1291" t="s">
        <v>31</v>
      </c>
      <c r="S1291" t="str" cm="1">
        <f t="array" ref="S1291">_xlfn.IFS(R1291="COMPLETE", "COMPLETED", R1291="CANCELED", "CANCELED", TRUE, "PENDING")</f>
        <v>COMPLETED</v>
      </c>
      <c r="T1291" t="s">
        <v>16</v>
      </c>
      <c r="U1291">
        <f>VLOOKUP(A1291,ordered_items!$B:$E,4,0)</f>
        <v>199.99</v>
      </c>
    </row>
    <row r="1292" spans="1:21" x14ac:dyDescent="0.3">
      <c r="A1292">
        <v>30263</v>
      </c>
      <c r="B1292" t="s">
        <v>51</v>
      </c>
      <c r="C1292">
        <v>4</v>
      </c>
      <c r="D1292">
        <v>4</v>
      </c>
      <c r="E1292" t="str">
        <f t="shared" si="60"/>
        <v xml:space="preserve"> ONTIME</v>
      </c>
      <c r="F1292">
        <f>VLOOKUP($A1292,ordered_items!$B$2:$E$4784,2,0)</f>
        <v>1014</v>
      </c>
      <c r="G1292">
        <f>VLOOKUP($A1292,ordered_items!$B$2:$E$4784,3,0)</f>
        <v>4</v>
      </c>
      <c r="H1292">
        <f>VLOOKUP($A1292,ordered_items!$B$2:$E$4784,4,0)</f>
        <v>199.92</v>
      </c>
      <c r="I1292" s="15">
        <f>VLOOKUP(F1292,product_info!$A$2:$D$73,4,0)</f>
        <v>7</v>
      </c>
      <c r="J1292" s="15" t="str">
        <f>VLOOKUP(I1292,department!$A$2:$B$13,2,0)</f>
        <v>Fan Shop</v>
      </c>
      <c r="K1292">
        <v>6229</v>
      </c>
      <c r="L1292" t="s">
        <v>497</v>
      </c>
      <c r="M1292" s="4">
        <v>43541</v>
      </c>
      <c r="N1292" s="12">
        <f t="shared" si="61"/>
        <v>3</v>
      </c>
      <c r="O1292" s="13">
        <f t="shared" si="62"/>
        <v>2019</v>
      </c>
      <c r="P1292" t="s">
        <v>13</v>
      </c>
      <c r="Q1292" t="s">
        <v>99</v>
      </c>
      <c r="R1292" t="s">
        <v>57</v>
      </c>
      <c r="S1292" t="str" cm="1">
        <f t="array" ref="S1292">_xlfn.IFS(R1292="COMPLETE", "COMPLETED", R1292="CANCELED", "CANCELED", TRUE, "PENDING")</f>
        <v>PENDING</v>
      </c>
      <c r="T1292" t="s">
        <v>16</v>
      </c>
      <c r="U1292">
        <f>VLOOKUP(A1292,ordered_items!$B:$E,4,0)</f>
        <v>199.92</v>
      </c>
    </row>
    <row r="1293" spans="1:21" x14ac:dyDescent="0.3">
      <c r="A1293">
        <v>30265</v>
      </c>
      <c r="B1293" t="s">
        <v>24</v>
      </c>
      <c r="C1293">
        <v>6</v>
      </c>
      <c r="D1293">
        <v>2</v>
      </c>
      <c r="E1293" t="str">
        <f t="shared" si="60"/>
        <v>DELAYED</v>
      </c>
      <c r="F1293">
        <f>VLOOKUP($A1293,ordered_items!$B$2:$E$4784,2,0)</f>
        <v>134</v>
      </c>
      <c r="G1293">
        <f>VLOOKUP($A1293,ordered_items!$B$2:$E$4784,3,0)</f>
        <v>2</v>
      </c>
      <c r="H1293">
        <f>VLOOKUP($A1293,ordered_items!$B$2:$E$4784,4,0)</f>
        <v>50</v>
      </c>
      <c r="I1293" s="15">
        <f>VLOOKUP(F1293,product_info!$A$2:$D$73,4,0)</f>
        <v>2</v>
      </c>
      <c r="J1293" s="15" t="str">
        <f>VLOOKUP(I1293,department!$A$2:$B$13,2,0)</f>
        <v>Fitness</v>
      </c>
      <c r="K1293">
        <v>7352</v>
      </c>
      <c r="L1293" t="s">
        <v>497</v>
      </c>
      <c r="M1293" s="4">
        <v>43541</v>
      </c>
      <c r="N1293" s="12">
        <f t="shared" si="61"/>
        <v>3</v>
      </c>
      <c r="O1293" s="13">
        <f t="shared" si="62"/>
        <v>2019</v>
      </c>
      <c r="P1293" t="s">
        <v>13</v>
      </c>
      <c r="Q1293" t="s">
        <v>99</v>
      </c>
      <c r="R1293" t="s">
        <v>31</v>
      </c>
      <c r="S1293" t="str" cm="1">
        <f t="array" ref="S1293">_xlfn.IFS(R1293="COMPLETE", "COMPLETED", R1293="CANCELED", "CANCELED", TRUE, "PENDING")</f>
        <v>COMPLETED</v>
      </c>
      <c r="T1293" t="s">
        <v>90</v>
      </c>
      <c r="U1293">
        <f>VLOOKUP(A1293,ordered_items!$B:$E,4,0)</f>
        <v>50</v>
      </c>
    </row>
    <row r="1294" spans="1:21" x14ac:dyDescent="0.3">
      <c r="A1294">
        <v>30282</v>
      </c>
      <c r="B1294" t="s">
        <v>3</v>
      </c>
      <c r="C1294">
        <v>3</v>
      </c>
      <c r="D1294">
        <v>4</v>
      </c>
      <c r="E1294" t="str">
        <f t="shared" si="60"/>
        <v xml:space="preserve"> ONTIME</v>
      </c>
      <c r="F1294">
        <f>VLOOKUP($A1294,ordered_items!$B$2:$E$4784,2,0)</f>
        <v>365</v>
      </c>
      <c r="G1294">
        <f>VLOOKUP($A1294,ordered_items!$B$2:$E$4784,3,0)</f>
        <v>3</v>
      </c>
      <c r="H1294">
        <f>VLOOKUP($A1294,ordered_items!$B$2:$E$4784,4,0)</f>
        <v>179.97</v>
      </c>
      <c r="I1294" s="15">
        <f>VLOOKUP(F1294,product_info!$A$2:$D$73,4,0)</f>
        <v>4</v>
      </c>
      <c r="J1294" s="15" t="str">
        <f>VLOOKUP(I1294,department!$A$2:$B$13,2,0)</f>
        <v>Apparel</v>
      </c>
      <c r="K1294">
        <v>24</v>
      </c>
      <c r="L1294" t="s">
        <v>119</v>
      </c>
      <c r="M1294" s="4">
        <v>43542</v>
      </c>
      <c r="N1294" s="12">
        <f t="shared" si="61"/>
        <v>3</v>
      </c>
      <c r="O1294" s="13">
        <f t="shared" si="62"/>
        <v>2019</v>
      </c>
      <c r="P1294" t="s">
        <v>13</v>
      </c>
      <c r="Q1294" t="s">
        <v>5781</v>
      </c>
      <c r="R1294" t="s">
        <v>14</v>
      </c>
      <c r="S1294" t="str" cm="1">
        <f t="array" ref="S1294">_xlfn.IFS(R1294="COMPLETE", "COMPLETED", R1294="CANCELED", "CANCELED", TRUE, "PENDING")</f>
        <v>PENDING</v>
      </c>
      <c r="T1294" t="s">
        <v>16</v>
      </c>
      <c r="U1294">
        <f>VLOOKUP(A1294,ordered_items!$B:$E,4,0)</f>
        <v>179.97</v>
      </c>
    </row>
    <row r="1295" spans="1:21" x14ac:dyDescent="0.3">
      <c r="A1295">
        <v>71590</v>
      </c>
      <c r="B1295" t="s">
        <v>24</v>
      </c>
      <c r="C1295">
        <v>6</v>
      </c>
      <c r="D1295">
        <v>4</v>
      </c>
      <c r="E1295" t="str">
        <f t="shared" si="60"/>
        <v>DELAYED</v>
      </c>
      <c r="F1295">
        <f>VLOOKUP($A1295,ordered_items!$B$2:$E$4784,2,0)</f>
        <v>1354</v>
      </c>
      <c r="G1295">
        <f>VLOOKUP($A1295,ordered_items!$B$2:$E$4784,3,0)</f>
        <v>1</v>
      </c>
      <c r="H1295">
        <f>VLOOKUP($A1295,ordered_items!$B$2:$E$4784,4,0)</f>
        <v>164.38</v>
      </c>
      <c r="I1295" s="15">
        <f>VLOOKUP(F1295,product_info!$A$2:$D$73,4,0)</f>
        <v>9</v>
      </c>
      <c r="J1295" s="15" t="str">
        <f>VLOOKUP(I1295,department!$A$2:$B$13,2,0)</f>
        <v>Discs Shop</v>
      </c>
      <c r="K1295">
        <v>15143</v>
      </c>
      <c r="L1295" t="s">
        <v>3087</v>
      </c>
      <c r="M1295" s="4">
        <v>44145</v>
      </c>
      <c r="N1295" s="12">
        <f t="shared" si="61"/>
        <v>11</v>
      </c>
      <c r="O1295" s="13">
        <f t="shared" si="62"/>
        <v>2020</v>
      </c>
      <c r="P1295" t="s">
        <v>13</v>
      </c>
      <c r="Q1295" t="s">
        <v>70</v>
      </c>
      <c r="R1295" t="s">
        <v>378</v>
      </c>
      <c r="S1295" t="str" cm="1">
        <f t="array" ref="S1295">_xlfn.IFS(R1295="COMPLETE", "COMPLETED", R1295="CANCELED", "CANCELED", TRUE, "PENDING")</f>
        <v>PENDING</v>
      </c>
      <c r="T1295" t="s">
        <v>16</v>
      </c>
      <c r="U1295">
        <f>VLOOKUP(A1295,ordered_items!$B:$E,4,0)</f>
        <v>164.38</v>
      </c>
    </row>
    <row r="1296" spans="1:21" x14ac:dyDescent="0.3">
      <c r="A1296">
        <v>71627</v>
      </c>
      <c r="B1296" t="s">
        <v>17</v>
      </c>
      <c r="C1296">
        <v>3</v>
      </c>
      <c r="D1296">
        <v>4</v>
      </c>
      <c r="E1296" t="str">
        <f t="shared" si="60"/>
        <v xml:space="preserve"> ONTIME</v>
      </c>
      <c r="F1296">
        <f>VLOOKUP($A1296,ordered_items!$B$2:$E$4784,2,0)</f>
        <v>1354</v>
      </c>
      <c r="G1296">
        <f>VLOOKUP($A1296,ordered_items!$B$2:$E$4784,3,0)</f>
        <v>1</v>
      </c>
      <c r="H1296">
        <f>VLOOKUP($A1296,ordered_items!$B$2:$E$4784,4,0)</f>
        <v>164.38</v>
      </c>
      <c r="I1296" s="15">
        <f>VLOOKUP(F1296,product_info!$A$2:$D$73,4,0)</f>
        <v>9</v>
      </c>
      <c r="J1296" s="15" t="str">
        <f>VLOOKUP(I1296,department!$A$2:$B$13,2,0)</f>
        <v>Discs Shop</v>
      </c>
      <c r="K1296">
        <v>15180</v>
      </c>
      <c r="L1296" t="s">
        <v>783</v>
      </c>
      <c r="M1296" s="4">
        <v>44145</v>
      </c>
      <c r="N1296" s="12">
        <f t="shared" si="61"/>
        <v>11</v>
      </c>
      <c r="O1296" s="13">
        <f t="shared" si="62"/>
        <v>2020</v>
      </c>
      <c r="P1296" t="s">
        <v>13</v>
      </c>
      <c r="Q1296" t="s">
        <v>30</v>
      </c>
      <c r="R1296" t="s">
        <v>23</v>
      </c>
      <c r="S1296" t="str" cm="1">
        <f t="array" ref="S1296">_xlfn.IFS(R1296="COMPLETE", "COMPLETED", R1296="CANCELED", "CANCELED", TRUE, "PENDING")</f>
        <v>PENDING</v>
      </c>
      <c r="T1296" t="s">
        <v>16</v>
      </c>
      <c r="U1296">
        <f>VLOOKUP(A1296,ordered_items!$B:$E,4,0)</f>
        <v>164.38</v>
      </c>
    </row>
    <row r="1297" spans="1:21" x14ac:dyDescent="0.3">
      <c r="A1297">
        <v>71628</v>
      </c>
      <c r="B1297" t="s">
        <v>24</v>
      </c>
      <c r="C1297">
        <v>4</v>
      </c>
      <c r="D1297">
        <v>4</v>
      </c>
      <c r="E1297" t="str">
        <f t="shared" si="60"/>
        <v xml:space="preserve"> ONTIME</v>
      </c>
      <c r="F1297">
        <f>VLOOKUP($A1297,ordered_items!$B$2:$E$4784,2,0)</f>
        <v>1354</v>
      </c>
      <c r="G1297">
        <f>VLOOKUP($A1297,ordered_items!$B$2:$E$4784,3,0)</f>
        <v>1</v>
      </c>
      <c r="H1297">
        <f>VLOOKUP($A1297,ordered_items!$B$2:$E$4784,4,0)</f>
        <v>164.38</v>
      </c>
      <c r="I1297" s="15">
        <f>VLOOKUP(F1297,product_info!$A$2:$D$73,4,0)</f>
        <v>9</v>
      </c>
      <c r="J1297" s="15" t="str">
        <f>VLOOKUP(I1297,department!$A$2:$B$13,2,0)</f>
        <v>Discs Shop</v>
      </c>
      <c r="K1297">
        <v>15181</v>
      </c>
      <c r="L1297" t="s">
        <v>783</v>
      </c>
      <c r="M1297" s="4">
        <v>44145</v>
      </c>
      <c r="N1297" s="12">
        <f t="shared" si="61"/>
        <v>11</v>
      </c>
      <c r="O1297" s="13">
        <f t="shared" si="62"/>
        <v>2020</v>
      </c>
      <c r="P1297" t="s">
        <v>13</v>
      </c>
      <c r="Q1297" t="s">
        <v>30</v>
      </c>
      <c r="R1297" t="s">
        <v>31</v>
      </c>
      <c r="S1297" t="str" cm="1">
        <f t="array" ref="S1297">_xlfn.IFS(R1297="COMPLETE", "COMPLETED", R1297="CANCELED", "CANCELED", TRUE, "PENDING")</f>
        <v>COMPLETED</v>
      </c>
      <c r="T1297" t="s">
        <v>16</v>
      </c>
      <c r="U1297">
        <f>VLOOKUP(A1297,ordered_items!$B:$E,4,0)</f>
        <v>164.38</v>
      </c>
    </row>
    <row r="1298" spans="1:21" x14ac:dyDescent="0.3">
      <c r="A1298">
        <v>71636</v>
      </c>
      <c r="B1298" t="s">
        <v>3</v>
      </c>
      <c r="C1298">
        <v>2</v>
      </c>
      <c r="D1298">
        <v>1</v>
      </c>
      <c r="E1298" t="str">
        <f t="shared" si="60"/>
        <v>DELAYED</v>
      </c>
      <c r="F1298">
        <f>VLOOKUP($A1298,ordered_items!$B$2:$E$4784,2,0)</f>
        <v>1354</v>
      </c>
      <c r="G1298">
        <f>VLOOKUP($A1298,ordered_items!$B$2:$E$4784,3,0)</f>
        <v>1</v>
      </c>
      <c r="H1298">
        <f>VLOOKUP($A1298,ordered_items!$B$2:$E$4784,4,0)</f>
        <v>164.38</v>
      </c>
      <c r="I1298" s="15">
        <f>VLOOKUP(F1298,product_info!$A$2:$D$73,4,0)</f>
        <v>9</v>
      </c>
      <c r="J1298" s="15" t="str">
        <f>VLOOKUP(I1298,department!$A$2:$B$13,2,0)</f>
        <v>Discs Shop</v>
      </c>
      <c r="K1298">
        <v>15189</v>
      </c>
      <c r="L1298" t="s">
        <v>900</v>
      </c>
      <c r="M1298" s="4">
        <v>44145</v>
      </c>
      <c r="N1298" s="12">
        <f t="shared" si="61"/>
        <v>11</v>
      </c>
      <c r="O1298" s="13">
        <f t="shared" si="62"/>
        <v>2020</v>
      </c>
      <c r="P1298" t="s">
        <v>13</v>
      </c>
      <c r="Q1298" t="s">
        <v>99</v>
      </c>
      <c r="R1298" t="s">
        <v>235</v>
      </c>
      <c r="S1298" t="str" cm="1">
        <f t="array" ref="S1298">_xlfn.IFS(R1298="COMPLETE", "COMPLETED", R1298="CANCELED", "CANCELED", TRUE, "PENDING")</f>
        <v>CANCELED</v>
      </c>
      <c r="T1298" t="s">
        <v>32</v>
      </c>
      <c r="U1298">
        <f>VLOOKUP(A1298,ordered_items!$B:$E,4,0)</f>
        <v>164.38</v>
      </c>
    </row>
    <row r="1299" spans="1:21" x14ac:dyDescent="0.3">
      <c r="A1299">
        <v>71651</v>
      </c>
      <c r="B1299" t="s">
        <v>24</v>
      </c>
      <c r="C1299">
        <v>2</v>
      </c>
      <c r="D1299">
        <v>4</v>
      </c>
      <c r="E1299" t="str">
        <f t="shared" si="60"/>
        <v xml:space="preserve"> ONTIME</v>
      </c>
      <c r="F1299">
        <f>VLOOKUP($A1299,ordered_items!$B$2:$E$4784,2,0)</f>
        <v>1354</v>
      </c>
      <c r="G1299">
        <f>VLOOKUP($A1299,ordered_items!$B$2:$E$4784,3,0)</f>
        <v>1</v>
      </c>
      <c r="H1299">
        <f>VLOOKUP($A1299,ordered_items!$B$2:$E$4784,4,0)</f>
        <v>164.38</v>
      </c>
      <c r="I1299" s="15">
        <f>VLOOKUP(F1299,product_info!$A$2:$D$73,4,0)</f>
        <v>9</v>
      </c>
      <c r="J1299" s="15" t="str">
        <f>VLOOKUP(I1299,department!$A$2:$B$13,2,0)</f>
        <v>Discs Shop</v>
      </c>
      <c r="K1299">
        <v>15204</v>
      </c>
      <c r="L1299" t="s">
        <v>104</v>
      </c>
      <c r="M1299" s="4">
        <v>44145</v>
      </c>
      <c r="N1299" s="12">
        <f t="shared" si="61"/>
        <v>11</v>
      </c>
      <c r="O1299" s="13">
        <f t="shared" si="62"/>
        <v>2020</v>
      </c>
      <c r="P1299" t="s">
        <v>13</v>
      </c>
      <c r="Q1299" t="s">
        <v>5781</v>
      </c>
      <c r="R1299" t="s">
        <v>31</v>
      </c>
      <c r="S1299" t="str" cm="1">
        <f t="array" ref="S1299">_xlfn.IFS(R1299="COMPLETE", "COMPLETED", R1299="CANCELED", "CANCELED", TRUE, "PENDING")</f>
        <v>COMPLETED</v>
      </c>
      <c r="T1299" t="s">
        <v>16</v>
      </c>
      <c r="U1299">
        <f>VLOOKUP(A1299,ordered_items!$B:$E,4,0)</f>
        <v>164.38</v>
      </c>
    </row>
    <row r="1300" spans="1:21" x14ac:dyDescent="0.3">
      <c r="A1300">
        <v>71652</v>
      </c>
      <c r="B1300" t="s">
        <v>24</v>
      </c>
      <c r="C1300">
        <v>3</v>
      </c>
      <c r="D1300">
        <v>4</v>
      </c>
      <c r="E1300" t="str">
        <f t="shared" si="60"/>
        <v xml:space="preserve"> ONTIME</v>
      </c>
      <c r="F1300">
        <f>VLOOKUP($A1300,ordered_items!$B$2:$E$4784,2,0)</f>
        <v>1354</v>
      </c>
      <c r="G1300">
        <f>VLOOKUP($A1300,ordered_items!$B$2:$E$4784,3,0)</f>
        <v>1</v>
      </c>
      <c r="H1300">
        <f>VLOOKUP($A1300,ordered_items!$B$2:$E$4784,4,0)</f>
        <v>164.38</v>
      </c>
      <c r="I1300" s="15">
        <f>VLOOKUP(F1300,product_info!$A$2:$D$73,4,0)</f>
        <v>9</v>
      </c>
      <c r="J1300" s="15" t="str">
        <f>VLOOKUP(I1300,department!$A$2:$B$13,2,0)</f>
        <v>Discs Shop</v>
      </c>
      <c r="K1300">
        <v>15205</v>
      </c>
      <c r="L1300" t="s">
        <v>104</v>
      </c>
      <c r="M1300" s="4">
        <v>44145</v>
      </c>
      <c r="N1300" s="12">
        <f t="shared" si="61"/>
        <v>11</v>
      </c>
      <c r="O1300" s="13">
        <f t="shared" si="62"/>
        <v>2020</v>
      </c>
      <c r="P1300" t="s">
        <v>13</v>
      </c>
      <c r="Q1300" t="s">
        <v>5781</v>
      </c>
      <c r="R1300" t="s">
        <v>31</v>
      </c>
      <c r="S1300" t="str" cm="1">
        <f t="array" ref="S1300">_xlfn.IFS(R1300="COMPLETE", "COMPLETED", R1300="CANCELED", "CANCELED", TRUE, "PENDING")</f>
        <v>COMPLETED</v>
      </c>
      <c r="T1300" t="s">
        <v>16</v>
      </c>
      <c r="U1300">
        <f>VLOOKUP(A1300,ordered_items!$B:$E,4,0)</f>
        <v>164.38</v>
      </c>
    </row>
    <row r="1301" spans="1:21" x14ac:dyDescent="0.3">
      <c r="A1301">
        <v>71653</v>
      </c>
      <c r="B1301" t="s">
        <v>51</v>
      </c>
      <c r="C1301">
        <v>4</v>
      </c>
      <c r="D1301">
        <v>4</v>
      </c>
      <c r="E1301" t="str">
        <f t="shared" si="60"/>
        <v xml:space="preserve"> ONTIME</v>
      </c>
      <c r="F1301">
        <f>VLOOKUP($A1301,ordered_items!$B$2:$E$4784,2,0)</f>
        <v>1354</v>
      </c>
      <c r="G1301">
        <f>VLOOKUP($A1301,ordered_items!$B$2:$E$4784,3,0)</f>
        <v>1</v>
      </c>
      <c r="H1301">
        <f>VLOOKUP($A1301,ordered_items!$B$2:$E$4784,4,0)</f>
        <v>164.38</v>
      </c>
      <c r="I1301" s="15">
        <f>VLOOKUP(F1301,product_info!$A$2:$D$73,4,0)</f>
        <v>9</v>
      </c>
      <c r="J1301" s="15" t="str">
        <f>VLOOKUP(I1301,department!$A$2:$B$13,2,0)</f>
        <v>Discs Shop</v>
      </c>
      <c r="K1301">
        <v>15206</v>
      </c>
      <c r="L1301" t="s">
        <v>104</v>
      </c>
      <c r="M1301" s="4">
        <v>44145</v>
      </c>
      <c r="N1301" s="12">
        <f t="shared" si="61"/>
        <v>11</v>
      </c>
      <c r="O1301" s="13">
        <f t="shared" si="62"/>
        <v>2020</v>
      </c>
      <c r="P1301" t="s">
        <v>13</v>
      </c>
      <c r="Q1301" t="s">
        <v>5781</v>
      </c>
      <c r="R1301" t="s">
        <v>57</v>
      </c>
      <c r="S1301" t="str" cm="1">
        <f t="array" ref="S1301">_xlfn.IFS(R1301="COMPLETE", "COMPLETED", R1301="CANCELED", "CANCELED", TRUE, "PENDING")</f>
        <v>PENDING</v>
      </c>
      <c r="T1301" t="s">
        <v>16</v>
      </c>
      <c r="U1301">
        <f>VLOOKUP(A1301,ordered_items!$B:$E,4,0)</f>
        <v>164.38</v>
      </c>
    </row>
    <row r="1302" spans="1:21" x14ac:dyDescent="0.3">
      <c r="A1302">
        <v>71654</v>
      </c>
      <c r="B1302" t="s">
        <v>3</v>
      </c>
      <c r="C1302">
        <v>5</v>
      </c>
      <c r="D1302">
        <v>4</v>
      </c>
      <c r="E1302" t="str">
        <f t="shared" si="60"/>
        <v>DELAYED</v>
      </c>
      <c r="F1302">
        <f>VLOOKUP($A1302,ordered_items!$B$2:$E$4784,2,0)</f>
        <v>1354</v>
      </c>
      <c r="G1302">
        <f>VLOOKUP($A1302,ordered_items!$B$2:$E$4784,3,0)</f>
        <v>1</v>
      </c>
      <c r="H1302">
        <f>VLOOKUP($A1302,ordered_items!$B$2:$E$4784,4,0)</f>
        <v>164.38</v>
      </c>
      <c r="I1302" s="15">
        <f>VLOOKUP(F1302,product_info!$A$2:$D$73,4,0)</f>
        <v>9</v>
      </c>
      <c r="J1302" s="15" t="str">
        <f>VLOOKUP(I1302,department!$A$2:$B$13,2,0)</f>
        <v>Discs Shop</v>
      </c>
      <c r="K1302">
        <v>15207</v>
      </c>
      <c r="L1302" t="s">
        <v>104</v>
      </c>
      <c r="M1302" s="4">
        <v>44145</v>
      </c>
      <c r="N1302" s="12">
        <f t="shared" si="61"/>
        <v>11</v>
      </c>
      <c r="O1302" s="13">
        <f t="shared" si="62"/>
        <v>2020</v>
      </c>
      <c r="P1302" t="s">
        <v>13</v>
      </c>
      <c r="Q1302" t="s">
        <v>5781</v>
      </c>
      <c r="R1302" t="s">
        <v>14</v>
      </c>
      <c r="S1302" t="str" cm="1">
        <f t="array" ref="S1302">_xlfn.IFS(R1302="COMPLETE", "COMPLETED", R1302="CANCELED", "CANCELED", TRUE, "PENDING")</f>
        <v>PENDING</v>
      </c>
      <c r="T1302" t="s">
        <v>16</v>
      </c>
      <c r="U1302">
        <f>VLOOKUP(A1302,ordered_items!$B:$E,4,0)</f>
        <v>164.38</v>
      </c>
    </row>
    <row r="1303" spans="1:21" x14ac:dyDescent="0.3">
      <c r="A1303">
        <v>71655</v>
      </c>
      <c r="B1303" t="s">
        <v>51</v>
      </c>
      <c r="C1303">
        <v>6</v>
      </c>
      <c r="D1303">
        <v>4</v>
      </c>
      <c r="E1303" t="str">
        <f t="shared" si="60"/>
        <v>DELAYED</v>
      </c>
      <c r="F1303">
        <f>VLOOKUP($A1303,ordered_items!$B$2:$E$4784,2,0)</f>
        <v>1354</v>
      </c>
      <c r="G1303">
        <f>VLOOKUP($A1303,ordered_items!$B$2:$E$4784,3,0)</f>
        <v>1</v>
      </c>
      <c r="H1303">
        <f>VLOOKUP($A1303,ordered_items!$B$2:$E$4784,4,0)</f>
        <v>164.38</v>
      </c>
      <c r="I1303" s="15">
        <f>VLOOKUP(F1303,product_info!$A$2:$D$73,4,0)</f>
        <v>9</v>
      </c>
      <c r="J1303" s="15" t="str">
        <f>VLOOKUP(I1303,department!$A$2:$B$13,2,0)</f>
        <v>Discs Shop</v>
      </c>
      <c r="K1303">
        <v>15208</v>
      </c>
      <c r="L1303" t="s">
        <v>104</v>
      </c>
      <c r="M1303" s="4">
        <v>44145</v>
      </c>
      <c r="N1303" s="12">
        <f t="shared" si="61"/>
        <v>11</v>
      </c>
      <c r="O1303" s="13">
        <f t="shared" si="62"/>
        <v>2020</v>
      </c>
      <c r="P1303" t="s">
        <v>13</v>
      </c>
      <c r="Q1303" t="s">
        <v>5781</v>
      </c>
      <c r="R1303" t="s">
        <v>57</v>
      </c>
      <c r="S1303" t="str" cm="1">
        <f t="array" ref="S1303">_xlfn.IFS(R1303="COMPLETE", "COMPLETED", R1303="CANCELED", "CANCELED", TRUE, "PENDING")</f>
        <v>PENDING</v>
      </c>
      <c r="T1303" t="s">
        <v>16</v>
      </c>
      <c r="U1303">
        <f>VLOOKUP(A1303,ordered_items!$B:$E,4,0)</f>
        <v>164.38</v>
      </c>
    </row>
    <row r="1304" spans="1:21" x14ac:dyDescent="0.3">
      <c r="A1304">
        <v>71656</v>
      </c>
      <c r="B1304" t="s">
        <v>3</v>
      </c>
      <c r="C1304">
        <v>2</v>
      </c>
      <c r="D1304">
        <v>2</v>
      </c>
      <c r="E1304" t="str">
        <f t="shared" si="60"/>
        <v xml:space="preserve"> ONTIME</v>
      </c>
      <c r="F1304">
        <f>VLOOKUP($A1304,ordered_items!$B$2:$E$4784,2,0)</f>
        <v>1354</v>
      </c>
      <c r="G1304">
        <f>VLOOKUP($A1304,ordered_items!$B$2:$E$4784,3,0)</f>
        <v>1</v>
      </c>
      <c r="H1304">
        <f>VLOOKUP($A1304,ordered_items!$B$2:$E$4784,4,0)</f>
        <v>164.38</v>
      </c>
      <c r="I1304" s="15">
        <f>VLOOKUP(F1304,product_info!$A$2:$D$73,4,0)</f>
        <v>9</v>
      </c>
      <c r="J1304" s="15" t="str">
        <f>VLOOKUP(I1304,department!$A$2:$B$13,2,0)</f>
        <v>Discs Shop</v>
      </c>
      <c r="K1304">
        <v>15209</v>
      </c>
      <c r="L1304" t="s">
        <v>104</v>
      </c>
      <c r="M1304" s="4">
        <v>44145</v>
      </c>
      <c r="N1304" s="12">
        <f t="shared" si="61"/>
        <v>11</v>
      </c>
      <c r="O1304" s="13">
        <f t="shared" si="62"/>
        <v>2020</v>
      </c>
      <c r="P1304" t="s">
        <v>13</v>
      </c>
      <c r="Q1304" t="s">
        <v>5781</v>
      </c>
      <c r="R1304" t="s">
        <v>14</v>
      </c>
      <c r="S1304" t="str" cm="1">
        <f t="array" ref="S1304">_xlfn.IFS(R1304="COMPLETE", "COMPLETED", R1304="CANCELED", "CANCELED", TRUE, "PENDING")</f>
        <v>PENDING</v>
      </c>
      <c r="T1304" t="s">
        <v>90</v>
      </c>
      <c r="U1304">
        <f>VLOOKUP(A1304,ordered_items!$B:$E,4,0)</f>
        <v>164.38</v>
      </c>
    </row>
    <row r="1305" spans="1:21" x14ac:dyDescent="0.3">
      <c r="A1305">
        <v>71658</v>
      </c>
      <c r="B1305" t="s">
        <v>51</v>
      </c>
      <c r="C1305">
        <v>4</v>
      </c>
      <c r="D1305">
        <v>4</v>
      </c>
      <c r="E1305" t="str">
        <f t="shared" si="60"/>
        <v xml:space="preserve"> ONTIME</v>
      </c>
      <c r="F1305">
        <f>VLOOKUP($A1305,ordered_items!$B$2:$E$4784,2,0)</f>
        <v>1354</v>
      </c>
      <c r="G1305">
        <f>VLOOKUP($A1305,ordered_items!$B$2:$E$4784,3,0)</f>
        <v>1</v>
      </c>
      <c r="H1305">
        <f>VLOOKUP($A1305,ordered_items!$B$2:$E$4784,4,0)</f>
        <v>164.38</v>
      </c>
      <c r="I1305" s="15">
        <f>VLOOKUP(F1305,product_info!$A$2:$D$73,4,0)</f>
        <v>9</v>
      </c>
      <c r="J1305" s="15" t="str">
        <f>VLOOKUP(I1305,department!$A$2:$B$13,2,0)</f>
        <v>Discs Shop</v>
      </c>
      <c r="K1305">
        <v>15211</v>
      </c>
      <c r="L1305" t="s">
        <v>570</v>
      </c>
      <c r="M1305" s="4">
        <v>44146</v>
      </c>
      <c r="N1305" s="12">
        <f t="shared" si="61"/>
        <v>11</v>
      </c>
      <c r="O1305" s="13">
        <f t="shared" si="62"/>
        <v>2020</v>
      </c>
      <c r="P1305" t="s">
        <v>13</v>
      </c>
      <c r="Q1305" t="s">
        <v>99</v>
      </c>
      <c r="R1305" t="s">
        <v>57</v>
      </c>
      <c r="S1305" t="str" cm="1">
        <f t="array" ref="S1305">_xlfn.IFS(R1305="COMPLETE", "COMPLETED", R1305="CANCELED", "CANCELED", TRUE, "PENDING")</f>
        <v>PENDING</v>
      </c>
      <c r="T1305" t="s">
        <v>16</v>
      </c>
      <c r="U1305">
        <f>VLOOKUP(A1305,ordered_items!$B:$E,4,0)</f>
        <v>164.38</v>
      </c>
    </row>
    <row r="1306" spans="1:21" x14ac:dyDescent="0.3">
      <c r="A1306">
        <v>71670</v>
      </c>
      <c r="B1306" t="s">
        <v>3</v>
      </c>
      <c r="C1306">
        <v>6</v>
      </c>
      <c r="D1306">
        <v>2</v>
      </c>
      <c r="E1306" t="str">
        <f t="shared" si="60"/>
        <v>DELAYED</v>
      </c>
      <c r="F1306">
        <f>VLOOKUP($A1306,ordered_items!$B$2:$E$4784,2,0)</f>
        <v>1354</v>
      </c>
      <c r="G1306">
        <f>VLOOKUP($A1306,ordered_items!$B$2:$E$4784,3,0)</f>
        <v>1</v>
      </c>
      <c r="H1306">
        <f>VLOOKUP($A1306,ordered_items!$B$2:$E$4784,4,0)</f>
        <v>164.38</v>
      </c>
      <c r="I1306" s="15">
        <f>VLOOKUP(F1306,product_info!$A$2:$D$73,4,0)</f>
        <v>9</v>
      </c>
      <c r="J1306" s="15" t="str">
        <f>VLOOKUP(I1306,department!$A$2:$B$13,2,0)</f>
        <v>Discs Shop</v>
      </c>
      <c r="K1306">
        <v>15223</v>
      </c>
      <c r="L1306" t="s">
        <v>110</v>
      </c>
      <c r="M1306" s="4">
        <v>44146</v>
      </c>
      <c r="N1306" s="12">
        <f t="shared" si="61"/>
        <v>11</v>
      </c>
      <c r="O1306" s="13">
        <f t="shared" si="62"/>
        <v>2020</v>
      </c>
      <c r="P1306" t="s">
        <v>13</v>
      </c>
      <c r="Q1306" t="s">
        <v>99</v>
      </c>
      <c r="R1306" t="s">
        <v>14</v>
      </c>
      <c r="S1306" t="str" cm="1">
        <f t="array" ref="S1306">_xlfn.IFS(R1306="COMPLETE", "COMPLETED", R1306="CANCELED", "CANCELED", TRUE, "PENDING")</f>
        <v>PENDING</v>
      </c>
      <c r="T1306" t="s">
        <v>90</v>
      </c>
      <c r="U1306">
        <f>VLOOKUP(A1306,ordered_items!$B:$E,4,0)</f>
        <v>164.38</v>
      </c>
    </row>
    <row r="1307" spans="1:21" x14ac:dyDescent="0.3">
      <c r="A1307">
        <v>71671</v>
      </c>
      <c r="B1307" t="s">
        <v>3</v>
      </c>
      <c r="C1307">
        <v>2</v>
      </c>
      <c r="D1307">
        <v>1</v>
      </c>
      <c r="E1307" t="str">
        <f t="shared" si="60"/>
        <v>DELAYED</v>
      </c>
      <c r="F1307">
        <f>VLOOKUP($A1307,ordered_items!$B$2:$E$4784,2,0)</f>
        <v>1354</v>
      </c>
      <c r="G1307">
        <f>VLOOKUP($A1307,ordered_items!$B$2:$E$4784,3,0)</f>
        <v>1</v>
      </c>
      <c r="H1307">
        <f>VLOOKUP($A1307,ordered_items!$B$2:$E$4784,4,0)</f>
        <v>164.38</v>
      </c>
      <c r="I1307" s="15">
        <f>VLOOKUP(F1307,product_info!$A$2:$D$73,4,0)</f>
        <v>9</v>
      </c>
      <c r="J1307" s="15" t="str">
        <f>VLOOKUP(I1307,department!$A$2:$B$13,2,0)</f>
        <v>Discs Shop</v>
      </c>
      <c r="K1307">
        <v>15224</v>
      </c>
      <c r="L1307" t="s">
        <v>110</v>
      </c>
      <c r="M1307" s="4">
        <v>44146</v>
      </c>
      <c r="N1307" s="12">
        <f t="shared" si="61"/>
        <v>11</v>
      </c>
      <c r="O1307" s="13">
        <f t="shared" si="62"/>
        <v>2020</v>
      </c>
      <c r="P1307" t="s">
        <v>13</v>
      </c>
      <c r="Q1307" t="s">
        <v>99</v>
      </c>
      <c r="R1307" t="s">
        <v>14</v>
      </c>
      <c r="S1307" t="str" cm="1">
        <f t="array" ref="S1307">_xlfn.IFS(R1307="COMPLETE", "COMPLETED", R1307="CANCELED", "CANCELED", TRUE, "PENDING")</f>
        <v>PENDING</v>
      </c>
      <c r="T1307" t="s">
        <v>32</v>
      </c>
      <c r="U1307">
        <f>VLOOKUP(A1307,ordered_items!$B:$E,4,0)</f>
        <v>164.38</v>
      </c>
    </row>
    <row r="1308" spans="1:21" x14ac:dyDescent="0.3">
      <c r="A1308">
        <v>71697</v>
      </c>
      <c r="B1308" t="s">
        <v>3</v>
      </c>
      <c r="C1308">
        <v>3</v>
      </c>
      <c r="D1308">
        <v>4</v>
      </c>
      <c r="E1308" t="str">
        <f t="shared" si="60"/>
        <v xml:space="preserve"> ONTIME</v>
      </c>
      <c r="F1308">
        <f>VLOOKUP($A1308,ordered_items!$B$2:$E$4784,2,0)</f>
        <v>1354</v>
      </c>
      <c r="G1308">
        <f>VLOOKUP($A1308,ordered_items!$B$2:$E$4784,3,0)</f>
        <v>1</v>
      </c>
      <c r="H1308">
        <f>VLOOKUP($A1308,ordered_items!$B$2:$E$4784,4,0)</f>
        <v>164.38</v>
      </c>
      <c r="I1308" s="15">
        <f>VLOOKUP(F1308,product_info!$A$2:$D$73,4,0)</f>
        <v>9</v>
      </c>
      <c r="J1308" s="15" t="str">
        <f>VLOOKUP(I1308,department!$A$2:$B$13,2,0)</f>
        <v>Discs Shop</v>
      </c>
      <c r="K1308">
        <v>15250</v>
      </c>
      <c r="L1308" t="s">
        <v>439</v>
      </c>
      <c r="M1308" s="4">
        <v>44146</v>
      </c>
      <c r="N1308" s="12">
        <f t="shared" si="61"/>
        <v>11</v>
      </c>
      <c r="O1308" s="13">
        <f t="shared" si="62"/>
        <v>2020</v>
      </c>
      <c r="P1308" t="s">
        <v>13</v>
      </c>
      <c r="Q1308" t="s">
        <v>377</v>
      </c>
      <c r="R1308" t="s">
        <v>14</v>
      </c>
      <c r="S1308" t="str" cm="1">
        <f t="array" ref="S1308">_xlfn.IFS(R1308="COMPLETE", "COMPLETED", R1308="CANCELED", "CANCELED", TRUE, "PENDING")</f>
        <v>PENDING</v>
      </c>
      <c r="T1308" t="s">
        <v>16</v>
      </c>
      <c r="U1308">
        <f>VLOOKUP(A1308,ordered_items!$B:$E,4,0)</f>
        <v>164.38</v>
      </c>
    </row>
    <row r="1309" spans="1:21" x14ac:dyDescent="0.3">
      <c r="A1309">
        <v>71698</v>
      </c>
      <c r="B1309" t="s">
        <v>51</v>
      </c>
      <c r="C1309">
        <v>4</v>
      </c>
      <c r="D1309">
        <v>4</v>
      </c>
      <c r="E1309" t="str">
        <f t="shared" si="60"/>
        <v xml:space="preserve"> ONTIME</v>
      </c>
      <c r="F1309">
        <f>VLOOKUP($A1309,ordered_items!$B$2:$E$4784,2,0)</f>
        <v>1354</v>
      </c>
      <c r="G1309">
        <f>VLOOKUP($A1309,ordered_items!$B$2:$E$4784,3,0)</f>
        <v>1</v>
      </c>
      <c r="H1309">
        <f>VLOOKUP($A1309,ordered_items!$B$2:$E$4784,4,0)</f>
        <v>164.38</v>
      </c>
      <c r="I1309" s="15">
        <f>VLOOKUP(F1309,product_info!$A$2:$D$73,4,0)</f>
        <v>9</v>
      </c>
      <c r="J1309" s="15" t="str">
        <f>VLOOKUP(I1309,department!$A$2:$B$13,2,0)</f>
        <v>Discs Shop</v>
      </c>
      <c r="K1309">
        <v>15251</v>
      </c>
      <c r="L1309" t="s">
        <v>439</v>
      </c>
      <c r="M1309" s="4">
        <v>44146</v>
      </c>
      <c r="N1309" s="12">
        <f t="shared" si="61"/>
        <v>11</v>
      </c>
      <c r="O1309" s="13">
        <f t="shared" si="62"/>
        <v>2020</v>
      </c>
      <c r="P1309" t="s">
        <v>13</v>
      </c>
      <c r="Q1309" t="s">
        <v>377</v>
      </c>
      <c r="R1309" t="s">
        <v>57</v>
      </c>
      <c r="S1309" t="str" cm="1">
        <f t="array" ref="S1309">_xlfn.IFS(R1309="COMPLETE", "COMPLETED", R1309="CANCELED", "CANCELED", TRUE, "PENDING")</f>
        <v>PENDING</v>
      </c>
      <c r="T1309" t="s">
        <v>16</v>
      </c>
      <c r="U1309">
        <f>VLOOKUP(A1309,ordered_items!$B:$E,4,0)</f>
        <v>164.38</v>
      </c>
    </row>
    <row r="1310" spans="1:21" x14ac:dyDescent="0.3">
      <c r="A1310">
        <v>71714</v>
      </c>
      <c r="B1310" t="s">
        <v>3</v>
      </c>
      <c r="C1310">
        <v>5</v>
      </c>
      <c r="D1310">
        <v>4</v>
      </c>
      <c r="E1310" t="str">
        <f t="shared" si="60"/>
        <v>DELAYED</v>
      </c>
      <c r="F1310">
        <f>VLOOKUP($A1310,ordered_items!$B$2:$E$4784,2,0)</f>
        <v>1354</v>
      </c>
      <c r="G1310">
        <f>VLOOKUP($A1310,ordered_items!$B$2:$E$4784,3,0)</f>
        <v>1</v>
      </c>
      <c r="H1310">
        <f>VLOOKUP($A1310,ordered_items!$B$2:$E$4784,4,0)</f>
        <v>164.38</v>
      </c>
      <c r="I1310" s="15">
        <f>VLOOKUP(F1310,product_info!$A$2:$D$73,4,0)</f>
        <v>9</v>
      </c>
      <c r="J1310" s="15" t="str">
        <f>VLOOKUP(I1310,department!$A$2:$B$13,2,0)</f>
        <v>Discs Shop</v>
      </c>
      <c r="K1310">
        <v>15267</v>
      </c>
      <c r="L1310" t="s">
        <v>266</v>
      </c>
      <c r="M1310" s="4">
        <v>44146</v>
      </c>
      <c r="N1310" s="12">
        <f t="shared" si="61"/>
        <v>11</v>
      </c>
      <c r="O1310" s="13">
        <f t="shared" si="62"/>
        <v>2020</v>
      </c>
      <c r="P1310" t="s">
        <v>13</v>
      </c>
      <c r="Q1310" t="s">
        <v>5778</v>
      </c>
      <c r="R1310" t="s">
        <v>14</v>
      </c>
      <c r="S1310" t="str" cm="1">
        <f t="array" ref="S1310">_xlfn.IFS(R1310="COMPLETE", "COMPLETED", R1310="CANCELED", "CANCELED", TRUE, "PENDING")</f>
        <v>PENDING</v>
      </c>
      <c r="T1310" t="s">
        <v>16</v>
      </c>
      <c r="U1310">
        <f>VLOOKUP(A1310,ordered_items!$B:$E,4,0)</f>
        <v>164.38</v>
      </c>
    </row>
    <row r="1311" spans="1:21" x14ac:dyDescent="0.3">
      <c r="A1311">
        <v>71716</v>
      </c>
      <c r="B1311" t="s">
        <v>51</v>
      </c>
      <c r="C1311">
        <v>1</v>
      </c>
      <c r="D1311">
        <v>0</v>
      </c>
      <c r="E1311" t="str">
        <f t="shared" si="60"/>
        <v>DELAYED</v>
      </c>
      <c r="F1311">
        <f>VLOOKUP($A1311,ordered_items!$B$2:$E$4784,2,0)</f>
        <v>1354</v>
      </c>
      <c r="G1311">
        <f>VLOOKUP($A1311,ordered_items!$B$2:$E$4784,3,0)</f>
        <v>1</v>
      </c>
      <c r="H1311">
        <f>VLOOKUP($A1311,ordered_items!$B$2:$E$4784,4,0)</f>
        <v>164.38</v>
      </c>
      <c r="I1311" s="15">
        <f>VLOOKUP(F1311,product_info!$A$2:$D$73,4,0)</f>
        <v>9</v>
      </c>
      <c r="J1311" s="15" t="str">
        <f>VLOOKUP(I1311,department!$A$2:$B$13,2,0)</f>
        <v>Discs Shop</v>
      </c>
      <c r="K1311">
        <v>15269</v>
      </c>
      <c r="L1311" t="s">
        <v>512</v>
      </c>
      <c r="M1311" s="4">
        <v>44146</v>
      </c>
      <c r="N1311" s="12">
        <f t="shared" si="61"/>
        <v>11</v>
      </c>
      <c r="O1311" s="13">
        <f t="shared" si="62"/>
        <v>2020</v>
      </c>
      <c r="P1311" t="s">
        <v>13</v>
      </c>
      <c r="Q1311" t="s">
        <v>513</v>
      </c>
      <c r="R1311" t="s">
        <v>57</v>
      </c>
      <c r="S1311" t="str" cm="1">
        <f t="array" ref="S1311">_xlfn.IFS(R1311="COMPLETE", "COMPLETED", R1311="CANCELED", "CANCELED", TRUE, "PENDING")</f>
        <v>PENDING</v>
      </c>
      <c r="T1311" t="s">
        <v>58</v>
      </c>
      <c r="U1311">
        <f>VLOOKUP(A1311,ordered_items!$B:$E,4,0)</f>
        <v>164.38</v>
      </c>
    </row>
    <row r="1312" spans="1:21" x14ac:dyDescent="0.3">
      <c r="A1312">
        <v>71717</v>
      </c>
      <c r="B1312" t="s">
        <v>3</v>
      </c>
      <c r="C1312">
        <v>1</v>
      </c>
      <c r="D1312">
        <v>0</v>
      </c>
      <c r="E1312" t="str">
        <f t="shared" si="60"/>
        <v>DELAYED</v>
      </c>
      <c r="F1312">
        <f>VLOOKUP($A1312,ordered_items!$B$2:$E$4784,2,0)</f>
        <v>1354</v>
      </c>
      <c r="G1312">
        <f>VLOOKUP($A1312,ordered_items!$B$2:$E$4784,3,0)</f>
        <v>1</v>
      </c>
      <c r="H1312">
        <f>VLOOKUP($A1312,ordered_items!$B$2:$E$4784,4,0)</f>
        <v>164.38</v>
      </c>
      <c r="I1312" s="15">
        <f>VLOOKUP(F1312,product_info!$A$2:$D$73,4,0)</f>
        <v>9</v>
      </c>
      <c r="J1312" s="15" t="str">
        <f>VLOOKUP(I1312,department!$A$2:$B$13,2,0)</f>
        <v>Discs Shop</v>
      </c>
      <c r="K1312">
        <v>15270</v>
      </c>
      <c r="L1312" t="s">
        <v>512</v>
      </c>
      <c r="M1312" s="4">
        <v>44146</v>
      </c>
      <c r="N1312" s="12">
        <f t="shared" si="61"/>
        <v>11</v>
      </c>
      <c r="O1312" s="13">
        <f t="shared" si="62"/>
        <v>2020</v>
      </c>
      <c r="P1312" t="s">
        <v>13</v>
      </c>
      <c r="Q1312" t="s">
        <v>513</v>
      </c>
      <c r="R1312" t="s">
        <v>14</v>
      </c>
      <c r="S1312" t="str" cm="1">
        <f t="array" ref="S1312">_xlfn.IFS(R1312="COMPLETE", "COMPLETED", R1312="CANCELED", "CANCELED", TRUE, "PENDING")</f>
        <v>PENDING</v>
      </c>
      <c r="T1312" t="s">
        <v>58</v>
      </c>
      <c r="U1312">
        <f>VLOOKUP(A1312,ordered_items!$B:$E,4,0)</f>
        <v>164.38</v>
      </c>
    </row>
    <row r="1313" spans="1:21" x14ac:dyDescent="0.3">
      <c r="A1313">
        <v>71718</v>
      </c>
      <c r="B1313" t="s">
        <v>24</v>
      </c>
      <c r="C1313">
        <v>1</v>
      </c>
      <c r="D1313">
        <v>0</v>
      </c>
      <c r="E1313" t="str">
        <f t="shared" si="60"/>
        <v>DELAYED</v>
      </c>
      <c r="F1313">
        <f>VLOOKUP($A1313,ordered_items!$B$2:$E$4784,2,0)</f>
        <v>1354</v>
      </c>
      <c r="G1313">
        <f>VLOOKUP($A1313,ordered_items!$B$2:$E$4784,3,0)</f>
        <v>1</v>
      </c>
      <c r="H1313">
        <f>VLOOKUP($A1313,ordered_items!$B$2:$E$4784,4,0)</f>
        <v>164.38</v>
      </c>
      <c r="I1313" s="15">
        <f>VLOOKUP(F1313,product_info!$A$2:$D$73,4,0)</f>
        <v>9</v>
      </c>
      <c r="J1313" s="15" t="str">
        <f>VLOOKUP(I1313,department!$A$2:$B$13,2,0)</f>
        <v>Discs Shop</v>
      </c>
      <c r="K1313">
        <v>15271</v>
      </c>
      <c r="L1313" t="s">
        <v>512</v>
      </c>
      <c r="M1313" s="4">
        <v>44146</v>
      </c>
      <c r="N1313" s="12">
        <f t="shared" si="61"/>
        <v>11</v>
      </c>
      <c r="O1313" s="13">
        <f t="shared" si="62"/>
        <v>2020</v>
      </c>
      <c r="P1313" t="s">
        <v>13</v>
      </c>
      <c r="Q1313" t="s">
        <v>513</v>
      </c>
      <c r="R1313" t="s">
        <v>31</v>
      </c>
      <c r="S1313" t="str" cm="1">
        <f t="array" ref="S1313">_xlfn.IFS(R1313="COMPLETE", "COMPLETED", R1313="CANCELED", "CANCELED", TRUE, "PENDING")</f>
        <v>COMPLETED</v>
      </c>
      <c r="T1313" t="s">
        <v>58</v>
      </c>
      <c r="U1313">
        <f>VLOOKUP(A1313,ordered_items!$B:$E,4,0)</f>
        <v>164.38</v>
      </c>
    </row>
    <row r="1314" spans="1:21" x14ac:dyDescent="0.3">
      <c r="A1314">
        <v>71719</v>
      </c>
      <c r="B1314" t="s">
        <v>24</v>
      </c>
      <c r="C1314">
        <v>2</v>
      </c>
      <c r="D1314">
        <v>1</v>
      </c>
      <c r="E1314" t="str">
        <f t="shared" si="60"/>
        <v>DELAYED</v>
      </c>
      <c r="F1314">
        <f>VLOOKUP($A1314,ordered_items!$B$2:$E$4784,2,0)</f>
        <v>1354</v>
      </c>
      <c r="G1314">
        <f>VLOOKUP($A1314,ordered_items!$B$2:$E$4784,3,0)</f>
        <v>1</v>
      </c>
      <c r="H1314">
        <f>VLOOKUP($A1314,ordered_items!$B$2:$E$4784,4,0)</f>
        <v>164.38</v>
      </c>
      <c r="I1314" s="15">
        <f>VLOOKUP(F1314,product_info!$A$2:$D$73,4,0)</f>
        <v>9</v>
      </c>
      <c r="J1314" s="15" t="str">
        <f>VLOOKUP(I1314,department!$A$2:$B$13,2,0)</f>
        <v>Discs Shop</v>
      </c>
      <c r="K1314">
        <v>15272</v>
      </c>
      <c r="L1314" t="s">
        <v>512</v>
      </c>
      <c r="M1314" s="4">
        <v>44146</v>
      </c>
      <c r="N1314" s="12">
        <f t="shared" si="61"/>
        <v>11</v>
      </c>
      <c r="O1314" s="13">
        <f t="shared" si="62"/>
        <v>2020</v>
      </c>
      <c r="P1314" t="s">
        <v>13</v>
      </c>
      <c r="Q1314" t="s">
        <v>513</v>
      </c>
      <c r="R1314" t="s">
        <v>378</v>
      </c>
      <c r="S1314" t="str" cm="1">
        <f t="array" ref="S1314">_xlfn.IFS(R1314="COMPLETE", "COMPLETED", R1314="CANCELED", "CANCELED", TRUE, "PENDING")</f>
        <v>PENDING</v>
      </c>
      <c r="T1314" t="s">
        <v>32</v>
      </c>
      <c r="U1314">
        <f>VLOOKUP(A1314,ordered_items!$B:$E,4,0)</f>
        <v>164.38</v>
      </c>
    </row>
    <row r="1315" spans="1:21" x14ac:dyDescent="0.3">
      <c r="A1315">
        <v>71743</v>
      </c>
      <c r="B1315" t="s">
        <v>17</v>
      </c>
      <c r="C1315">
        <v>4</v>
      </c>
      <c r="D1315">
        <v>4</v>
      </c>
      <c r="E1315" t="str">
        <f t="shared" si="60"/>
        <v xml:space="preserve"> ONTIME</v>
      </c>
      <c r="F1315">
        <f>VLOOKUP($A1315,ordered_items!$B$2:$E$4784,2,0)</f>
        <v>1355</v>
      </c>
      <c r="G1315">
        <f>VLOOKUP($A1315,ordered_items!$B$2:$E$4784,3,0)</f>
        <v>1</v>
      </c>
      <c r="H1315">
        <f>VLOOKUP($A1315,ordered_items!$B$2:$E$4784,4,0)</f>
        <v>532.58000000000004</v>
      </c>
      <c r="I1315" s="15">
        <f>VLOOKUP(F1315,product_info!$A$2:$D$73,4,0)</f>
        <v>6</v>
      </c>
      <c r="J1315" s="15" t="str">
        <f>VLOOKUP(I1315,department!$A$2:$B$13,2,0)</f>
        <v>Outdoors</v>
      </c>
      <c r="K1315">
        <v>15296</v>
      </c>
      <c r="L1315" t="s">
        <v>2126</v>
      </c>
      <c r="M1315" s="4">
        <v>44147</v>
      </c>
      <c r="N1315" s="12">
        <f t="shared" si="61"/>
        <v>11</v>
      </c>
      <c r="O1315" s="13">
        <f t="shared" si="62"/>
        <v>2020</v>
      </c>
      <c r="P1315" t="s">
        <v>13</v>
      </c>
      <c r="Q1315" t="s">
        <v>5777</v>
      </c>
      <c r="R1315" t="s">
        <v>23</v>
      </c>
      <c r="S1315" t="str" cm="1">
        <f t="array" ref="S1315">_xlfn.IFS(R1315="COMPLETE", "COMPLETED", R1315="CANCELED", "CANCELED", TRUE, "PENDING")</f>
        <v>PENDING</v>
      </c>
      <c r="T1315" t="s">
        <v>16</v>
      </c>
      <c r="U1315">
        <f>VLOOKUP(A1315,ordered_items!$B:$E,4,0)</f>
        <v>532.58000000000004</v>
      </c>
    </row>
    <row r="1316" spans="1:21" x14ac:dyDescent="0.3">
      <c r="A1316">
        <v>71744</v>
      </c>
      <c r="B1316" t="s">
        <v>24</v>
      </c>
      <c r="C1316">
        <v>5</v>
      </c>
      <c r="D1316">
        <v>4</v>
      </c>
      <c r="E1316" t="str">
        <f t="shared" si="60"/>
        <v>DELAYED</v>
      </c>
      <c r="F1316">
        <f>VLOOKUP($A1316,ordered_items!$B$2:$E$4784,2,0)</f>
        <v>1355</v>
      </c>
      <c r="G1316">
        <f>VLOOKUP($A1316,ordered_items!$B$2:$E$4784,3,0)</f>
        <v>1</v>
      </c>
      <c r="H1316">
        <f>VLOOKUP($A1316,ordered_items!$B$2:$E$4784,4,0)</f>
        <v>532.58000000000004</v>
      </c>
      <c r="I1316" s="15">
        <f>VLOOKUP(F1316,product_info!$A$2:$D$73,4,0)</f>
        <v>6</v>
      </c>
      <c r="J1316" s="15" t="str">
        <f>VLOOKUP(I1316,department!$A$2:$B$13,2,0)</f>
        <v>Outdoors</v>
      </c>
      <c r="K1316">
        <v>15297</v>
      </c>
      <c r="L1316" t="s">
        <v>2126</v>
      </c>
      <c r="M1316" s="4">
        <v>44147</v>
      </c>
      <c r="N1316" s="12">
        <f t="shared" si="61"/>
        <v>11</v>
      </c>
      <c r="O1316" s="13">
        <f t="shared" si="62"/>
        <v>2020</v>
      </c>
      <c r="P1316" t="s">
        <v>13</v>
      </c>
      <c r="Q1316" t="s">
        <v>5777</v>
      </c>
      <c r="R1316" t="s">
        <v>378</v>
      </c>
      <c r="S1316" t="str" cm="1">
        <f t="array" ref="S1316">_xlfn.IFS(R1316="COMPLETE", "COMPLETED", R1316="CANCELED", "CANCELED", TRUE, "PENDING")</f>
        <v>PENDING</v>
      </c>
      <c r="T1316" t="s">
        <v>16</v>
      </c>
      <c r="U1316">
        <f>VLOOKUP(A1316,ordered_items!$B:$E,4,0)</f>
        <v>532.58000000000004</v>
      </c>
    </row>
    <row r="1317" spans="1:21" x14ac:dyDescent="0.3">
      <c r="A1317">
        <v>71782</v>
      </c>
      <c r="B1317" t="s">
        <v>24</v>
      </c>
      <c r="C1317">
        <v>2</v>
      </c>
      <c r="D1317">
        <v>1</v>
      </c>
      <c r="E1317" t="str">
        <f t="shared" si="60"/>
        <v>DELAYED</v>
      </c>
      <c r="F1317">
        <f>VLOOKUP($A1317,ordered_items!$B$2:$E$4784,2,0)</f>
        <v>1355</v>
      </c>
      <c r="G1317">
        <f>VLOOKUP($A1317,ordered_items!$B$2:$E$4784,3,0)</f>
        <v>1</v>
      </c>
      <c r="H1317">
        <f>VLOOKUP($A1317,ordered_items!$B$2:$E$4784,4,0)</f>
        <v>532.58000000000004</v>
      </c>
      <c r="I1317" s="15">
        <f>VLOOKUP(F1317,product_info!$A$2:$D$73,4,0)</f>
        <v>6</v>
      </c>
      <c r="J1317" s="15" t="str">
        <f>VLOOKUP(I1317,department!$A$2:$B$13,2,0)</f>
        <v>Outdoors</v>
      </c>
      <c r="K1317">
        <v>15335</v>
      </c>
      <c r="L1317" t="s">
        <v>637</v>
      </c>
      <c r="M1317" s="4">
        <v>44147</v>
      </c>
      <c r="N1317" s="12">
        <f t="shared" si="61"/>
        <v>11</v>
      </c>
      <c r="O1317" s="13">
        <f t="shared" si="62"/>
        <v>2020</v>
      </c>
      <c r="P1317" t="s">
        <v>13</v>
      </c>
      <c r="Q1317" t="s">
        <v>234</v>
      </c>
      <c r="R1317" t="s">
        <v>31</v>
      </c>
      <c r="S1317" t="str" cm="1">
        <f t="array" ref="S1317">_xlfn.IFS(R1317="COMPLETE", "COMPLETED", R1317="CANCELED", "CANCELED", TRUE, "PENDING")</f>
        <v>COMPLETED</v>
      </c>
      <c r="T1317" t="s">
        <v>32</v>
      </c>
      <c r="U1317">
        <f>VLOOKUP(A1317,ordered_items!$B:$E,4,0)</f>
        <v>532.58000000000004</v>
      </c>
    </row>
    <row r="1318" spans="1:21" x14ac:dyDescent="0.3">
      <c r="A1318">
        <v>71790</v>
      </c>
      <c r="B1318" t="s">
        <v>3</v>
      </c>
      <c r="C1318">
        <v>6</v>
      </c>
      <c r="D1318">
        <v>4</v>
      </c>
      <c r="E1318" t="str">
        <f t="shared" si="60"/>
        <v>DELAYED</v>
      </c>
      <c r="F1318">
        <f>VLOOKUP($A1318,ordered_items!$B$2:$E$4784,2,0)</f>
        <v>1355</v>
      </c>
      <c r="G1318">
        <f>VLOOKUP($A1318,ordered_items!$B$2:$E$4784,3,0)</f>
        <v>1</v>
      </c>
      <c r="H1318">
        <f>VLOOKUP($A1318,ordered_items!$B$2:$E$4784,4,0)</f>
        <v>532.58000000000004</v>
      </c>
      <c r="I1318" s="15">
        <f>VLOOKUP(F1318,product_info!$A$2:$D$73,4,0)</f>
        <v>6</v>
      </c>
      <c r="J1318" s="15" t="str">
        <f>VLOOKUP(I1318,department!$A$2:$B$13,2,0)</f>
        <v>Outdoors</v>
      </c>
      <c r="K1318">
        <v>15343</v>
      </c>
      <c r="L1318" t="s">
        <v>1741</v>
      </c>
      <c r="M1318" s="4">
        <v>44147</v>
      </c>
      <c r="N1318" s="12">
        <f t="shared" si="61"/>
        <v>11</v>
      </c>
      <c r="O1318" s="13">
        <f t="shared" si="62"/>
        <v>2020</v>
      </c>
      <c r="P1318" t="s">
        <v>13</v>
      </c>
      <c r="Q1318" t="s">
        <v>5777</v>
      </c>
      <c r="R1318" t="s">
        <v>14</v>
      </c>
      <c r="S1318" t="str" cm="1">
        <f t="array" ref="S1318">_xlfn.IFS(R1318="COMPLETE", "COMPLETED", R1318="CANCELED", "CANCELED", TRUE, "PENDING")</f>
        <v>PENDING</v>
      </c>
      <c r="T1318" t="s">
        <v>16</v>
      </c>
      <c r="U1318">
        <f>VLOOKUP(A1318,ordered_items!$B:$E,4,0)</f>
        <v>532.58000000000004</v>
      </c>
    </row>
    <row r="1319" spans="1:21" x14ac:dyDescent="0.3">
      <c r="A1319">
        <v>71803</v>
      </c>
      <c r="B1319" t="s">
        <v>3</v>
      </c>
      <c r="C1319">
        <v>4</v>
      </c>
      <c r="D1319">
        <v>4</v>
      </c>
      <c r="E1319" t="str">
        <f t="shared" si="60"/>
        <v xml:space="preserve"> ONTIME</v>
      </c>
      <c r="F1319">
        <f>VLOOKUP($A1319,ordered_items!$B$2:$E$4784,2,0)</f>
        <v>1355</v>
      </c>
      <c r="G1319">
        <f>VLOOKUP($A1319,ordered_items!$B$2:$E$4784,3,0)</f>
        <v>1</v>
      </c>
      <c r="H1319">
        <f>VLOOKUP($A1319,ordered_items!$B$2:$E$4784,4,0)</f>
        <v>532.58000000000004</v>
      </c>
      <c r="I1319" s="15">
        <f>VLOOKUP(F1319,product_info!$A$2:$D$73,4,0)</f>
        <v>6</v>
      </c>
      <c r="J1319" s="15" t="str">
        <f>VLOOKUP(I1319,department!$A$2:$B$13,2,0)</f>
        <v>Outdoors</v>
      </c>
      <c r="K1319">
        <v>15356</v>
      </c>
      <c r="L1319" t="s">
        <v>79</v>
      </c>
      <c r="M1319" s="4">
        <v>44148</v>
      </c>
      <c r="N1319" s="12">
        <f t="shared" si="61"/>
        <v>11</v>
      </c>
      <c r="O1319" s="13">
        <f t="shared" si="62"/>
        <v>2020</v>
      </c>
      <c r="P1319" t="s">
        <v>13</v>
      </c>
      <c r="Q1319" t="s">
        <v>80</v>
      </c>
      <c r="R1319" t="s">
        <v>235</v>
      </c>
      <c r="S1319" t="str" cm="1">
        <f t="array" ref="S1319">_xlfn.IFS(R1319="COMPLETE", "COMPLETED", R1319="CANCELED", "CANCELED", TRUE, "PENDING")</f>
        <v>CANCELED</v>
      </c>
      <c r="T1319" t="s">
        <v>16</v>
      </c>
      <c r="U1319">
        <f>VLOOKUP(A1319,ordered_items!$B:$E,4,0)</f>
        <v>532.58000000000004</v>
      </c>
    </row>
    <row r="1320" spans="1:21" x14ac:dyDescent="0.3">
      <c r="A1320">
        <v>71804</v>
      </c>
      <c r="B1320" t="s">
        <v>24</v>
      </c>
      <c r="C1320">
        <v>5</v>
      </c>
      <c r="D1320">
        <v>4</v>
      </c>
      <c r="E1320" t="str">
        <f t="shared" si="60"/>
        <v>DELAYED</v>
      </c>
      <c r="F1320">
        <f>VLOOKUP($A1320,ordered_items!$B$2:$E$4784,2,0)</f>
        <v>1355</v>
      </c>
      <c r="G1320">
        <f>VLOOKUP($A1320,ordered_items!$B$2:$E$4784,3,0)</f>
        <v>1</v>
      </c>
      <c r="H1320">
        <f>VLOOKUP($A1320,ordered_items!$B$2:$E$4784,4,0)</f>
        <v>532.58000000000004</v>
      </c>
      <c r="I1320" s="15">
        <f>VLOOKUP(F1320,product_info!$A$2:$D$73,4,0)</f>
        <v>6</v>
      </c>
      <c r="J1320" s="15" t="str">
        <f>VLOOKUP(I1320,department!$A$2:$B$13,2,0)</f>
        <v>Outdoors</v>
      </c>
      <c r="K1320">
        <v>15357</v>
      </c>
      <c r="L1320" t="s">
        <v>79</v>
      </c>
      <c r="M1320" s="4">
        <v>44148</v>
      </c>
      <c r="N1320" s="12">
        <f t="shared" si="61"/>
        <v>11</v>
      </c>
      <c r="O1320" s="13">
        <f t="shared" si="62"/>
        <v>2020</v>
      </c>
      <c r="P1320" t="s">
        <v>13</v>
      </c>
      <c r="Q1320" t="s">
        <v>80</v>
      </c>
      <c r="R1320" t="s">
        <v>31</v>
      </c>
      <c r="S1320" t="str" cm="1">
        <f t="array" ref="S1320">_xlfn.IFS(R1320="COMPLETE", "COMPLETED", R1320="CANCELED", "CANCELED", TRUE, "PENDING")</f>
        <v>COMPLETED</v>
      </c>
      <c r="T1320" t="s">
        <v>16</v>
      </c>
      <c r="U1320">
        <f>VLOOKUP(A1320,ordered_items!$B:$E,4,0)</f>
        <v>532.58000000000004</v>
      </c>
    </row>
    <row r="1321" spans="1:21" x14ac:dyDescent="0.3">
      <c r="A1321">
        <v>71820</v>
      </c>
      <c r="B1321" t="s">
        <v>24</v>
      </c>
      <c r="C1321">
        <v>6</v>
      </c>
      <c r="D1321">
        <v>4</v>
      </c>
      <c r="E1321" t="str">
        <f t="shared" si="60"/>
        <v>DELAYED</v>
      </c>
      <c r="F1321">
        <f>VLOOKUP($A1321,ordered_items!$B$2:$E$4784,2,0)</f>
        <v>1355</v>
      </c>
      <c r="G1321">
        <f>VLOOKUP($A1321,ordered_items!$B$2:$E$4784,3,0)</f>
        <v>1</v>
      </c>
      <c r="H1321">
        <f>VLOOKUP($A1321,ordered_items!$B$2:$E$4784,4,0)</f>
        <v>532.58000000000004</v>
      </c>
      <c r="I1321" s="15">
        <f>VLOOKUP(F1321,product_info!$A$2:$D$73,4,0)</f>
        <v>6</v>
      </c>
      <c r="J1321" s="15" t="str">
        <f>VLOOKUP(I1321,department!$A$2:$B$13,2,0)</f>
        <v>Outdoors</v>
      </c>
      <c r="K1321">
        <v>15373</v>
      </c>
      <c r="L1321" t="s">
        <v>214</v>
      </c>
      <c r="M1321" s="4">
        <v>44148</v>
      </c>
      <c r="N1321" s="12">
        <f t="shared" si="61"/>
        <v>11</v>
      </c>
      <c r="O1321" s="13">
        <f t="shared" si="62"/>
        <v>2020</v>
      </c>
      <c r="P1321" t="s">
        <v>13</v>
      </c>
      <c r="Q1321" t="s">
        <v>5781</v>
      </c>
      <c r="R1321" t="s">
        <v>31</v>
      </c>
      <c r="S1321" t="str" cm="1">
        <f t="array" ref="S1321">_xlfn.IFS(R1321="COMPLETE", "COMPLETED", R1321="CANCELED", "CANCELED", TRUE, "PENDING")</f>
        <v>COMPLETED</v>
      </c>
      <c r="T1321" t="s">
        <v>16</v>
      </c>
      <c r="U1321">
        <f>VLOOKUP(A1321,ordered_items!$B:$E,4,0)</f>
        <v>532.58000000000004</v>
      </c>
    </row>
    <row r="1322" spans="1:21" x14ac:dyDescent="0.3">
      <c r="A1322">
        <v>71838</v>
      </c>
      <c r="B1322" t="s">
        <v>3</v>
      </c>
      <c r="C1322">
        <v>4</v>
      </c>
      <c r="D1322">
        <v>4</v>
      </c>
      <c r="E1322" t="str">
        <f t="shared" si="60"/>
        <v xml:space="preserve"> ONTIME</v>
      </c>
      <c r="F1322">
        <f>VLOOKUP($A1322,ordered_items!$B$2:$E$4784,2,0)</f>
        <v>1355</v>
      </c>
      <c r="G1322">
        <f>VLOOKUP($A1322,ordered_items!$B$2:$E$4784,3,0)</f>
        <v>1</v>
      </c>
      <c r="H1322">
        <f>VLOOKUP($A1322,ordered_items!$B$2:$E$4784,4,0)</f>
        <v>532.58000000000004</v>
      </c>
      <c r="I1322" s="15">
        <f>VLOOKUP(F1322,product_info!$A$2:$D$73,4,0)</f>
        <v>6</v>
      </c>
      <c r="J1322" s="15" t="str">
        <f>VLOOKUP(I1322,department!$A$2:$B$13,2,0)</f>
        <v>Outdoors</v>
      </c>
      <c r="K1322">
        <v>15391</v>
      </c>
      <c r="L1322" t="s">
        <v>1741</v>
      </c>
      <c r="M1322" s="4">
        <v>44148</v>
      </c>
      <c r="N1322" s="12">
        <f t="shared" si="61"/>
        <v>11</v>
      </c>
      <c r="O1322" s="13">
        <f t="shared" si="62"/>
        <v>2020</v>
      </c>
      <c r="P1322" t="s">
        <v>13</v>
      </c>
      <c r="Q1322" t="s">
        <v>5777</v>
      </c>
      <c r="R1322" t="s">
        <v>14</v>
      </c>
      <c r="S1322" t="str" cm="1">
        <f t="array" ref="S1322">_xlfn.IFS(R1322="COMPLETE", "COMPLETED", R1322="CANCELED", "CANCELED", TRUE, "PENDING")</f>
        <v>PENDING</v>
      </c>
      <c r="T1322" t="s">
        <v>16</v>
      </c>
      <c r="U1322">
        <f>VLOOKUP(A1322,ordered_items!$B:$E,4,0)</f>
        <v>532.58000000000004</v>
      </c>
    </row>
    <row r="1323" spans="1:21" x14ac:dyDescent="0.3">
      <c r="A1323">
        <v>71839</v>
      </c>
      <c r="B1323" t="s">
        <v>24</v>
      </c>
      <c r="C1323">
        <v>5</v>
      </c>
      <c r="D1323">
        <v>4</v>
      </c>
      <c r="E1323" t="str">
        <f t="shared" si="60"/>
        <v>DELAYED</v>
      </c>
      <c r="F1323">
        <f>VLOOKUP($A1323,ordered_items!$B$2:$E$4784,2,0)</f>
        <v>1355</v>
      </c>
      <c r="G1323">
        <f>VLOOKUP($A1323,ordered_items!$B$2:$E$4784,3,0)</f>
        <v>1</v>
      </c>
      <c r="H1323">
        <f>VLOOKUP($A1323,ordered_items!$B$2:$E$4784,4,0)</f>
        <v>532.58000000000004</v>
      </c>
      <c r="I1323" s="15">
        <f>VLOOKUP(F1323,product_info!$A$2:$D$73,4,0)</f>
        <v>6</v>
      </c>
      <c r="J1323" s="15" t="str">
        <f>VLOOKUP(I1323,department!$A$2:$B$13,2,0)</f>
        <v>Outdoors</v>
      </c>
      <c r="K1323">
        <v>15392</v>
      </c>
      <c r="L1323" t="s">
        <v>1741</v>
      </c>
      <c r="M1323" s="4">
        <v>44148</v>
      </c>
      <c r="N1323" s="12">
        <f t="shared" si="61"/>
        <v>11</v>
      </c>
      <c r="O1323" s="13">
        <f t="shared" si="62"/>
        <v>2020</v>
      </c>
      <c r="P1323" t="s">
        <v>13</v>
      </c>
      <c r="Q1323" t="s">
        <v>5777</v>
      </c>
      <c r="R1323" t="s">
        <v>31</v>
      </c>
      <c r="S1323" t="str" cm="1">
        <f t="array" ref="S1323">_xlfn.IFS(R1323="COMPLETE", "COMPLETED", R1323="CANCELED", "CANCELED", TRUE, "PENDING")</f>
        <v>COMPLETED</v>
      </c>
      <c r="T1323" t="s">
        <v>16</v>
      </c>
      <c r="U1323">
        <f>VLOOKUP(A1323,ordered_items!$B:$E,4,0)</f>
        <v>532.58000000000004</v>
      </c>
    </row>
    <row r="1324" spans="1:21" x14ac:dyDescent="0.3">
      <c r="A1324">
        <v>71849</v>
      </c>
      <c r="B1324" t="s">
        <v>24</v>
      </c>
      <c r="C1324">
        <v>5</v>
      </c>
      <c r="D1324">
        <v>4</v>
      </c>
      <c r="E1324" t="str">
        <f t="shared" si="60"/>
        <v>DELAYED</v>
      </c>
      <c r="F1324">
        <f>VLOOKUP($A1324,ordered_items!$B$2:$E$4784,2,0)</f>
        <v>1355</v>
      </c>
      <c r="G1324">
        <f>VLOOKUP($A1324,ordered_items!$B$2:$E$4784,3,0)</f>
        <v>1</v>
      </c>
      <c r="H1324">
        <f>VLOOKUP($A1324,ordered_items!$B$2:$E$4784,4,0)</f>
        <v>532.58000000000004</v>
      </c>
      <c r="I1324" s="15">
        <f>VLOOKUP(F1324,product_info!$A$2:$D$73,4,0)</f>
        <v>6</v>
      </c>
      <c r="J1324" s="15" t="str">
        <f>VLOOKUP(I1324,department!$A$2:$B$13,2,0)</f>
        <v>Outdoors</v>
      </c>
      <c r="K1324">
        <v>15402</v>
      </c>
      <c r="L1324" t="s">
        <v>1481</v>
      </c>
      <c r="M1324" s="4">
        <v>44148</v>
      </c>
      <c r="N1324" s="12">
        <f t="shared" si="61"/>
        <v>11</v>
      </c>
      <c r="O1324" s="13">
        <f t="shared" si="62"/>
        <v>2020</v>
      </c>
      <c r="P1324" t="s">
        <v>13</v>
      </c>
      <c r="Q1324" t="s">
        <v>286</v>
      </c>
      <c r="R1324" t="s">
        <v>31</v>
      </c>
      <c r="S1324" t="str" cm="1">
        <f t="array" ref="S1324">_xlfn.IFS(R1324="COMPLETE", "COMPLETED", R1324="CANCELED", "CANCELED", TRUE, "PENDING")</f>
        <v>COMPLETED</v>
      </c>
      <c r="T1324" t="s">
        <v>16</v>
      </c>
      <c r="U1324">
        <f>VLOOKUP(A1324,ordered_items!$B:$E,4,0)</f>
        <v>532.58000000000004</v>
      </c>
    </row>
    <row r="1325" spans="1:21" x14ac:dyDescent="0.3">
      <c r="A1325">
        <v>71857</v>
      </c>
      <c r="B1325" t="s">
        <v>24</v>
      </c>
      <c r="C1325">
        <v>2</v>
      </c>
      <c r="D1325">
        <v>1</v>
      </c>
      <c r="E1325" t="str">
        <f t="shared" si="60"/>
        <v>DELAYED</v>
      </c>
      <c r="F1325">
        <f>VLOOKUP($A1325,ordered_items!$B$2:$E$4784,2,0)</f>
        <v>1355</v>
      </c>
      <c r="G1325">
        <f>VLOOKUP($A1325,ordered_items!$B$2:$E$4784,3,0)</f>
        <v>1</v>
      </c>
      <c r="H1325">
        <f>VLOOKUP($A1325,ordered_items!$B$2:$E$4784,4,0)</f>
        <v>532.58000000000004</v>
      </c>
      <c r="I1325" s="15">
        <f>VLOOKUP(F1325,product_info!$A$2:$D$73,4,0)</f>
        <v>6</v>
      </c>
      <c r="J1325" s="15" t="str">
        <f>VLOOKUP(I1325,department!$A$2:$B$13,2,0)</f>
        <v>Outdoors</v>
      </c>
      <c r="K1325">
        <v>15410</v>
      </c>
      <c r="L1325" t="s">
        <v>376</v>
      </c>
      <c r="M1325" s="4">
        <v>44148</v>
      </c>
      <c r="N1325" s="12">
        <f t="shared" si="61"/>
        <v>11</v>
      </c>
      <c r="O1325" s="13">
        <f t="shared" si="62"/>
        <v>2020</v>
      </c>
      <c r="P1325" t="s">
        <v>13</v>
      </c>
      <c r="Q1325" t="s">
        <v>377</v>
      </c>
      <c r="R1325" t="s">
        <v>31</v>
      </c>
      <c r="S1325" t="str" cm="1">
        <f t="array" ref="S1325">_xlfn.IFS(R1325="COMPLETE", "COMPLETED", R1325="CANCELED", "CANCELED", TRUE, "PENDING")</f>
        <v>COMPLETED</v>
      </c>
      <c r="T1325" t="s">
        <v>32</v>
      </c>
      <c r="U1325">
        <f>VLOOKUP(A1325,ordered_items!$B:$E,4,0)</f>
        <v>532.58000000000004</v>
      </c>
    </row>
    <row r="1326" spans="1:21" x14ac:dyDescent="0.3">
      <c r="A1326">
        <v>71858</v>
      </c>
      <c r="B1326" t="s">
        <v>3</v>
      </c>
      <c r="C1326">
        <v>2</v>
      </c>
      <c r="D1326">
        <v>1</v>
      </c>
      <c r="E1326" t="str">
        <f t="shared" si="60"/>
        <v>DELAYED</v>
      </c>
      <c r="F1326">
        <f>VLOOKUP($A1326,ordered_items!$B$2:$E$4784,2,0)</f>
        <v>1355</v>
      </c>
      <c r="G1326">
        <f>VLOOKUP($A1326,ordered_items!$B$2:$E$4784,3,0)</f>
        <v>1</v>
      </c>
      <c r="H1326">
        <f>VLOOKUP($A1326,ordered_items!$B$2:$E$4784,4,0)</f>
        <v>532.58000000000004</v>
      </c>
      <c r="I1326" s="15">
        <f>VLOOKUP(F1326,product_info!$A$2:$D$73,4,0)</f>
        <v>6</v>
      </c>
      <c r="J1326" s="15" t="str">
        <f>VLOOKUP(I1326,department!$A$2:$B$13,2,0)</f>
        <v>Outdoors</v>
      </c>
      <c r="K1326">
        <v>15411</v>
      </c>
      <c r="L1326" t="s">
        <v>146</v>
      </c>
      <c r="M1326" s="4">
        <v>44148</v>
      </c>
      <c r="N1326" s="12">
        <f t="shared" si="61"/>
        <v>11</v>
      </c>
      <c r="O1326" s="13">
        <f t="shared" si="62"/>
        <v>2020</v>
      </c>
      <c r="P1326" t="s">
        <v>13</v>
      </c>
      <c r="Q1326" t="s">
        <v>30</v>
      </c>
      <c r="R1326" t="s">
        <v>38</v>
      </c>
      <c r="S1326" t="str" cm="1">
        <f t="array" ref="S1326">_xlfn.IFS(R1326="COMPLETE", "COMPLETED", R1326="CANCELED", "CANCELED", TRUE, "PENDING")</f>
        <v>PENDING</v>
      </c>
      <c r="T1326" t="s">
        <v>32</v>
      </c>
      <c r="U1326">
        <f>VLOOKUP(A1326,ordered_items!$B:$E,4,0)</f>
        <v>532.58000000000004</v>
      </c>
    </row>
    <row r="1327" spans="1:21" x14ac:dyDescent="0.3">
      <c r="A1327">
        <v>71871</v>
      </c>
      <c r="B1327" t="s">
        <v>51</v>
      </c>
      <c r="C1327">
        <v>2</v>
      </c>
      <c r="D1327">
        <v>1</v>
      </c>
      <c r="E1327" t="str">
        <f t="shared" si="60"/>
        <v>DELAYED</v>
      </c>
      <c r="F1327">
        <f>VLOOKUP($A1327,ordered_items!$B$2:$E$4784,2,0)</f>
        <v>1355</v>
      </c>
      <c r="G1327">
        <f>VLOOKUP($A1327,ordered_items!$B$2:$E$4784,3,0)</f>
        <v>1</v>
      </c>
      <c r="H1327">
        <f>VLOOKUP($A1327,ordered_items!$B$2:$E$4784,4,0)</f>
        <v>532.58000000000004</v>
      </c>
      <c r="I1327" s="15">
        <f>VLOOKUP(F1327,product_info!$A$2:$D$73,4,0)</f>
        <v>6</v>
      </c>
      <c r="J1327" s="15" t="str">
        <f>VLOOKUP(I1327,department!$A$2:$B$13,2,0)</f>
        <v>Outdoors</v>
      </c>
      <c r="K1327">
        <v>15424</v>
      </c>
      <c r="L1327" t="s">
        <v>110</v>
      </c>
      <c r="M1327" s="4">
        <v>44149</v>
      </c>
      <c r="N1327" s="12">
        <f t="shared" si="61"/>
        <v>11</v>
      </c>
      <c r="O1327" s="13">
        <f t="shared" si="62"/>
        <v>2020</v>
      </c>
      <c r="P1327" t="s">
        <v>13</v>
      </c>
      <c r="Q1327" t="s">
        <v>99</v>
      </c>
      <c r="R1327" t="s">
        <v>1275</v>
      </c>
      <c r="S1327" t="str" cm="1">
        <f t="array" ref="S1327">_xlfn.IFS(R1327="COMPLETE", "COMPLETED", R1327="CANCELED", "CANCELED", TRUE, "PENDING")</f>
        <v>PENDING</v>
      </c>
      <c r="T1327" t="s">
        <v>32</v>
      </c>
      <c r="U1327">
        <f>VLOOKUP(A1327,ordered_items!$B:$E,4,0)</f>
        <v>532.58000000000004</v>
      </c>
    </row>
    <row r="1328" spans="1:21" x14ac:dyDescent="0.3">
      <c r="A1328">
        <v>71872</v>
      </c>
      <c r="B1328" t="s">
        <v>3</v>
      </c>
      <c r="C1328">
        <v>3</v>
      </c>
      <c r="D1328">
        <v>2</v>
      </c>
      <c r="E1328" t="str">
        <f t="shared" si="60"/>
        <v>DELAYED</v>
      </c>
      <c r="F1328">
        <f>VLOOKUP($A1328,ordered_items!$B$2:$E$4784,2,0)</f>
        <v>1355</v>
      </c>
      <c r="G1328">
        <f>VLOOKUP($A1328,ordered_items!$B$2:$E$4784,3,0)</f>
        <v>1</v>
      </c>
      <c r="H1328">
        <f>VLOOKUP($A1328,ordered_items!$B$2:$E$4784,4,0)</f>
        <v>532.58000000000004</v>
      </c>
      <c r="I1328" s="15">
        <f>VLOOKUP(F1328,product_info!$A$2:$D$73,4,0)</f>
        <v>6</v>
      </c>
      <c r="J1328" s="15" t="str">
        <f>VLOOKUP(I1328,department!$A$2:$B$13,2,0)</f>
        <v>Outdoors</v>
      </c>
      <c r="K1328">
        <v>15425</v>
      </c>
      <c r="L1328" t="s">
        <v>110</v>
      </c>
      <c r="M1328" s="4">
        <v>44149</v>
      </c>
      <c r="N1328" s="12">
        <f t="shared" si="61"/>
        <v>11</v>
      </c>
      <c r="O1328" s="13">
        <f t="shared" si="62"/>
        <v>2020</v>
      </c>
      <c r="P1328" t="s">
        <v>13</v>
      </c>
      <c r="Q1328" t="s">
        <v>99</v>
      </c>
      <c r="R1328" t="s">
        <v>178</v>
      </c>
      <c r="S1328" t="str" cm="1">
        <f t="array" ref="S1328">_xlfn.IFS(R1328="COMPLETE", "COMPLETED", R1328="CANCELED", "CANCELED", TRUE, "PENDING")</f>
        <v>PENDING</v>
      </c>
      <c r="T1328" t="s">
        <v>90</v>
      </c>
      <c r="U1328">
        <f>VLOOKUP(A1328,ordered_items!$B:$E,4,0)</f>
        <v>532.58000000000004</v>
      </c>
    </row>
    <row r="1329" spans="1:21" x14ac:dyDescent="0.3">
      <c r="A1329">
        <v>71873</v>
      </c>
      <c r="B1329" t="s">
        <v>24</v>
      </c>
      <c r="C1329">
        <v>4</v>
      </c>
      <c r="D1329">
        <v>4</v>
      </c>
      <c r="E1329" t="str">
        <f t="shared" si="60"/>
        <v xml:space="preserve"> ONTIME</v>
      </c>
      <c r="F1329">
        <f>VLOOKUP($A1329,ordered_items!$B$2:$E$4784,2,0)</f>
        <v>1355</v>
      </c>
      <c r="G1329">
        <f>VLOOKUP($A1329,ordered_items!$B$2:$E$4784,3,0)</f>
        <v>1</v>
      </c>
      <c r="H1329">
        <f>VLOOKUP($A1329,ordered_items!$B$2:$E$4784,4,0)</f>
        <v>532.58000000000004</v>
      </c>
      <c r="I1329" s="15">
        <f>VLOOKUP(F1329,product_info!$A$2:$D$73,4,0)</f>
        <v>6</v>
      </c>
      <c r="J1329" s="15" t="str">
        <f>VLOOKUP(I1329,department!$A$2:$B$13,2,0)</f>
        <v>Outdoors</v>
      </c>
      <c r="K1329">
        <v>15426</v>
      </c>
      <c r="L1329" t="s">
        <v>110</v>
      </c>
      <c r="M1329" s="4">
        <v>44149</v>
      </c>
      <c r="N1329" s="12">
        <f t="shared" si="61"/>
        <v>11</v>
      </c>
      <c r="O1329" s="13">
        <f t="shared" si="62"/>
        <v>2020</v>
      </c>
      <c r="P1329" t="s">
        <v>13</v>
      </c>
      <c r="Q1329" t="s">
        <v>99</v>
      </c>
      <c r="R1329" t="s">
        <v>31</v>
      </c>
      <c r="S1329" t="str" cm="1">
        <f t="array" ref="S1329">_xlfn.IFS(R1329="COMPLETE", "COMPLETED", R1329="CANCELED", "CANCELED", TRUE, "PENDING")</f>
        <v>COMPLETED</v>
      </c>
      <c r="T1329" t="s">
        <v>16</v>
      </c>
      <c r="U1329">
        <f>VLOOKUP(A1329,ordered_items!$B:$E,4,0)</f>
        <v>532.58000000000004</v>
      </c>
    </row>
    <row r="1330" spans="1:21" x14ac:dyDescent="0.3">
      <c r="A1330">
        <v>71875</v>
      </c>
      <c r="B1330" t="s">
        <v>3</v>
      </c>
      <c r="C1330">
        <v>6</v>
      </c>
      <c r="D1330">
        <v>4</v>
      </c>
      <c r="E1330" t="str">
        <f t="shared" si="60"/>
        <v>DELAYED</v>
      </c>
      <c r="F1330">
        <f>VLOOKUP($A1330,ordered_items!$B$2:$E$4784,2,0)</f>
        <v>1355</v>
      </c>
      <c r="G1330">
        <f>VLOOKUP($A1330,ordered_items!$B$2:$E$4784,3,0)</f>
        <v>1</v>
      </c>
      <c r="H1330">
        <f>VLOOKUP($A1330,ordered_items!$B$2:$E$4784,4,0)</f>
        <v>532.58000000000004</v>
      </c>
      <c r="I1330" s="15">
        <f>VLOOKUP(F1330,product_info!$A$2:$D$73,4,0)</f>
        <v>6</v>
      </c>
      <c r="J1330" s="15" t="str">
        <f>VLOOKUP(I1330,department!$A$2:$B$13,2,0)</f>
        <v>Outdoors</v>
      </c>
      <c r="K1330">
        <v>15428</v>
      </c>
      <c r="L1330" t="s">
        <v>233</v>
      </c>
      <c r="M1330" s="4">
        <v>44149</v>
      </c>
      <c r="N1330" s="12">
        <f t="shared" si="61"/>
        <v>11</v>
      </c>
      <c r="O1330" s="13">
        <f t="shared" si="62"/>
        <v>2020</v>
      </c>
      <c r="P1330" t="s">
        <v>13</v>
      </c>
      <c r="Q1330" t="s">
        <v>234</v>
      </c>
      <c r="R1330" t="s">
        <v>38</v>
      </c>
      <c r="S1330" t="str" cm="1">
        <f t="array" ref="S1330">_xlfn.IFS(R1330="COMPLETE", "COMPLETED", R1330="CANCELED", "CANCELED", TRUE, "PENDING")</f>
        <v>PENDING</v>
      </c>
      <c r="T1330" t="s">
        <v>16</v>
      </c>
      <c r="U1330">
        <f>VLOOKUP(A1330,ordered_items!$B:$E,4,0)</f>
        <v>532.58000000000004</v>
      </c>
    </row>
    <row r="1331" spans="1:21" x14ac:dyDescent="0.3">
      <c r="A1331">
        <v>71895</v>
      </c>
      <c r="B1331" t="s">
        <v>24</v>
      </c>
      <c r="C1331">
        <v>6</v>
      </c>
      <c r="D1331">
        <v>4</v>
      </c>
      <c r="E1331" t="str">
        <f t="shared" si="60"/>
        <v>DELAYED</v>
      </c>
      <c r="F1331">
        <f>VLOOKUP($A1331,ordered_items!$B$2:$E$4784,2,0)</f>
        <v>1355</v>
      </c>
      <c r="G1331">
        <f>VLOOKUP($A1331,ordered_items!$B$2:$E$4784,3,0)</f>
        <v>1</v>
      </c>
      <c r="H1331">
        <f>VLOOKUP($A1331,ordered_items!$B$2:$E$4784,4,0)</f>
        <v>532.58000000000004</v>
      </c>
      <c r="I1331" s="15">
        <f>VLOOKUP(F1331,product_info!$A$2:$D$73,4,0)</f>
        <v>6</v>
      </c>
      <c r="J1331" s="15" t="str">
        <f>VLOOKUP(I1331,department!$A$2:$B$13,2,0)</f>
        <v>Outdoors</v>
      </c>
      <c r="K1331">
        <v>15448</v>
      </c>
      <c r="L1331" t="s">
        <v>258</v>
      </c>
      <c r="M1331" s="4">
        <v>44149</v>
      </c>
      <c r="N1331" s="12">
        <f t="shared" si="61"/>
        <v>11</v>
      </c>
      <c r="O1331" s="13">
        <f t="shared" si="62"/>
        <v>2020</v>
      </c>
      <c r="P1331" t="s">
        <v>13</v>
      </c>
      <c r="Q1331" t="s">
        <v>30</v>
      </c>
      <c r="R1331" t="s">
        <v>31</v>
      </c>
      <c r="S1331" t="str" cm="1">
        <f t="array" ref="S1331">_xlfn.IFS(R1331="COMPLETE", "COMPLETED", R1331="CANCELED", "CANCELED", TRUE, "PENDING")</f>
        <v>COMPLETED</v>
      </c>
      <c r="T1331" t="s">
        <v>16</v>
      </c>
      <c r="U1331">
        <f>VLOOKUP(A1331,ordered_items!$B:$E,4,0)</f>
        <v>532.58000000000004</v>
      </c>
    </row>
    <row r="1332" spans="1:21" x14ac:dyDescent="0.3">
      <c r="A1332">
        <v>71914</v>
      </c>
      <c r="B1332" t="s">
        <v>17</v>
      </c>
      <c r="C1332">
        <v>1</v>
      </c>
      <c r="D1332">
        <v>0</v>
      </c>
      <c r="E1332" t="str">
        <f t="shared" si="60"/>
        <v>DELAYED</v>
      </c>
      <c r="F1332">
        <f>VLOOKUP($A1332,ordered_items!$B$2:$E$4784,2,0)</f>
        <v>1355</v>
      </c>
      <c r="G1332">
        <f>VLOOKUP($A1332,ordered_items!$B$2:$E$4784,3,0)</f>
        <v>1</v>
      </c>
      <c r="H1332">
        <f>VLOOKUP($A1332,ordered_items!$B$2:$E$4784,4,0)</f>
        <v>532.58000000000004</v>
      </c>
      <c r="I1332" s="15">
        <f>VLOOKUP(F1332,product_info!$A$2:$D$73,4,0)</f>
        <v>6</v>
      </c>
      <c r="J1332" s="15" t="str">
        <f>VLOOKUP(I1332,department!$A$2:$B$13,2,0)</f>
        <v>Outdoors</v>
      </c>
      <c r="K1332">
        <v>15467</v>
      </c>
      <c r="L1332" t="s">
        <v>660</v>
      </c>
      <c r="M1332" s="4">
        <v>44149</v>
      </c>
      <c r="N1332" s="12">
        <f t="shared" si="61"/>
        <v>11</v>
      </c>
      <c r="O1332" s="13">
        <f t="shared" si="62"/>
        <v>2020</v>
      </c>
      <c r="P1332" t="s">
        <v>13</v>
      </c>
      <c r="Q1332" t="s">
        <v>99</v>
      </c>
      <c r="R1332" t="s">
        <v>23</v>
      </c>
      <c r="S1332" t="str" cm="1">
        <f t="array" ref="S1332">_xlfn.IFS(R1332="COMPLETE", "COMPLETED", R1332="CANCELED", "CANCELED", TRUE, "PENDING")</f>
        <v>PENDING</v>
      </c>
      <c r="T1332" t="s">
        <v>58</v>
      </c>
      <c r="U1332">
        <f>VLOOKUP(A1332,ordered_items!$B:$E,4,0)</f>
        <v>532.58000000000004</v>
      </c>
    </row>
    <row r="1333" spans="1:21" x14ac:dyDescent="0.3">
      <c r="A1333">
        <v>71915</v>
      </c>
      <c r="B1333" t="s">
        <v>3</v>
      </c>
      <c r="C1333">
        <v>1</v>
      </c>
      <c r="D1333">
        <v>0</v>
      </c>
      <c r="E1333" t="str">
        <f t="shared" si="60"/>
        <v>DELAYED</v>
      </c>
      <c r="F1333">
        <f>VLOOKUP($A1333,ordered_items!$B$2:$E$4784,2,0)</f>
        <v>1355</v>
      </c>
      <c r="G1333">
        <f>VLOOKUP($A1333,ordered_items!$B$2:$E$4784,3,0)</f>
        <v>1</v>
      </c>
      <c r="H1333">
        <f>VLOOKUP($A1333,ordered_items!$B$2:$E$4784,4,0)</f>
        <v>532.58000000000004</v>
      </c>
      <c r="I1333" s="15">
        <f>VLOOKUP(F1333,product_info!$A$2:$D$73,4,0)</f>
        <v>6</v>
      </c>
      <c r="J1333" s="15" t="str">
        <f>VLOOKUP(I1333,department!$A$2:$B$13,2,0)</f>
        <v>Outdoors</v>
      </c>
      <c r="K1333">
        <v>15468</v>
      </c>
      <c r="L1333" t="s">
        <v>439</v>
      </c>
      <c r="M1333" s="4">
        <v>44149</v>
      </c>
      <c r="N1333" s="12">
        <f t="shared" si="61"/>
        <v>11</v>
      </c>
      <c r="O1333" s="13">
        <f t="shared" si="62"/>
        <v>2020</v>
      </c>
      <c r="P1333" t="s">
        <v>13</v>
      </c>
      <c r="Q1333" t="s">
        <v>377</v>
      </c>
      <c r="R1333" t="s">
        <v>38</v>
      </c>
      <c r="S1333" t="str" cm="1">
        <f t="array" ref="S1333">_xlfn.IFS(R1333="COMPLETE", "COMPLETED", R1333="CANCELED", "CANCELED", TRUE, "PENDING")</f>
        <v>PENDING</v>
      </c>
      <c r="T1333" t="s">
        <v>58</v>
      </c>
      <c r="U1333">
        <f>VLOOKUP(A1333,ordered_items!$B:$E,4,0)</f>
        <v>532.58000000000004</v>
      </c>
    </row>
    <row r="1334" spans="1:21" x14ac:dyDescent="0.3">
      <c r="A1334">
        <v>71921</v>
      </c>
      <c r="B1334" t="s">
        <v>51</v>
      </c>
      <c r="C1334">
        <v>2</v>
      </c>
      <c r="D1334">
        <v>4</v>
      </c>
      <c r="E1334" t="str">
        <f t="shared" si="60"/>
        <v xml:space="preserve"> ONTIME</v>
      </c>
      <c r="F1334">
        <f>VLOOKUP($A1334,ordered_items!$B$2:$E$4784,2,0)</f>
        <v>1355</v>
      </c>
      <c r="G1334">
        <f>VLOOKUP($A1334,ordered_items!$B$2:$E$4784,3,0)</f>
        <v>1</v>
      </c>
      <c r="H1334">
        <f>VLOOKUP($A1334,ordered_items!$B$2:$E$4784,4,0)</f>
        <v>532.58000000000004</v>
      </c>
      <c r="I1334" s="15">
        <f>VLOOKUP(F1334,product_info!$A$2:$D$73,4,0)</f>
        <v>6</v>
      </c>
      <c r="J1334" s="15" t="str">
        <f>VLOOKUP(I1334,department!$A$2:$B$13,2,0)</f>
        <v>Outdoors</v>
      </c>
      <c r="K1334">
        <v>15474</v>
      </c>
      <c r="L1334" t="s">
        <v>409</v>
      </c>
      <c r="M1334" s="4">
        <v>44149</v>
      </c>
      <c r="N1334" s="12">
        <f t="shared" si="61"/>
        <v>11</v>
      </c>
      <c r="O1334" s="13">
        <f t="shared" si="62"/>
        <v>2020</v>
      </c>
      <c r="P1334" t="s">
        <v>13</v>
      </c>
      <c r="Q1334" t="s">
        <v>410</v>
      </c>
      <c r="R1334" t="s">
        <v>57</v>
      </c>
      <c r="S1334" t="str" cm="1">
        <f t="array" ref="S1334">_xlfn.IFS(R1334="COMPLETE", "COMPLETED", R1334="CANCELED", "CANCELED", TRUE, "PENDING")</f>
        <v>PENDING</v>
      </c>
      <c r="T1334" t="s">
        <v>16</v>
      </c>
      <c r="U1334">
        <f>VLOOKUP(A1334,ordered_items!$B:$E,4,0)</f>
        <v>532.58000000000004</v>
      </c>
    </row>
    <row r="1335" spans="1:21" x14ac:dyDescent="0.3">
      <c r="A1335">
        <v>71968</v>
      </c>
      <c r="B1335" t="s">
        <v>3</v>
      </c>
      <c r="C1335">
        <v>4</v>
      </c>
      <c r="D1335">
        <v>4</v>
      </c>
      <c r="E1335" t="str">
        <f t="shared" si="60"/>
        <v xml:space="preserve"> ONTIME</v>
      </c>
      <c r="F1335">
        <f>VLOOKUP($A1335,ordered_items!$B$2:$E$4784,2,0)</f>
        <v>1355</v>
      </c>
      <c r="G1335">
        <f>VLOOKUP($A1335,ordered_items!$B$2:$E$4784,3,0)</f>
        <v>1</v>
      </c>
      <c r="H1335">
        <f>VLOOKUP($A1335,ordered_items!$B$2:$E$4784,4,0)</f>
        <v>532.58000000000004</v>
      </c>
      <c r="I1335" s="15">
        <f>VLOOKUP(F1335,product_info!$A$2:$D$73,4,0)</f>
        <v>6</v>
      </c>
      <c r="J1335" s="15" t="str">
        <f>VLOOKUP(I1335,department!$A$2:$B$13,2,0)</f>
        <v>Outdoors</v>
      </c>
      <c r="K1335">
        <v>15521</v>
      </c>
      <c r="L1335" t="s">
        <v>357</v>
      </c>
      <c r="M1335" s="4">
        <v>44150</v>
      </c>
      <c r="N1335" s="12">
        <f t="shared" si="61"/>
        <v>11</v>
      </c>
      <c r="O1335" s="13">
        <f t="shared" si="62"/>
        <v>2020</v>
      </c>
      <c r="P1335" t="s">
        <v>13</v>
      </c>
      <c r="Q1335" t="s">
        <v>203</v>
      </c>
      <c r="R1335" t="s">
        <v>235</v>
      </c>
      <c r="S1335" t="str" cm="1">
        <f t="array" ref="S1335">_xlfn.IFS(R1335="COMPLETE", "COMPLETED", R1335="CANCELED", "CANCELED", TRUE, "PENDING")</f>
        <v>CANCELED</v>
      </c>
      <c r="T1335" t="s">
        <v>16</v>
      </c>
      <c r="U1335">
        <f>VLOOKUP(A1335,ordered_items!$B:$E,4,0)</f>
        <v>532.58000000000004</v>
      </c>
    </row>
    <row r="1336" spans="1:21" x14ac:dyDescent="0.3">
      <c r="A1336">
        <v>71981</v>
      </c>
      <c r="B1336" t="s">
        <v>3</v>
      </c>
      <c r="C1336">
        <v>2</v>
      </c>
      <c r="D1336">
        <v>2</v>
      </c>
      <c r="E1336" t="str">
        <f t="shared" si="60"/>
        <v xml:space="preserve"> ONTIME</v>
      </c>
      <c r="F1336">
        <f>VLOOKUP($A1336,ordered_items!$B$2:$E$4784,2,0)</f>
        <v>1355</v>
      </c>
      <c r="G1336">
        <f>VLOOKUP($A1336,ordered_items!$B$2:$E$4784,3,0)</f>
        <v>1</v>
      </c>
      <c r="H1336">
        <f>VLOOKUP($A1336,ordered_items!$B$2:$E$4784,4,0)</f>
        <v>532.58000000000004</v>
      </c>
      <c r="I1336" s="15">
        <f>VLOOKUP(F1336,product_info!$A$2:$D$73,4,0)</f>
        <v>6</v>
      </c>
      <c r="J1336" s="15" t="str">
        <f>VLOOKUP(I1336,department!$A$2:$B$13,2,0)</f>
        <v>Outdoors</v>
      </c>
      <c r="K1336">
        <v>15534</v>
      </c>
      <c r="L1336" t="s">
        <v>262</v>
      </c>
      <c r="M1336" s="4">
        <v>44150</v>
      </c>
      <c r="N1336" s="12">
        <f t="shared" si="61"/>
        <v>11</v>
      </c>
      <c r="O1336" s="13">
        <f t="shared" si="62"/>
        <v>2020</v>
      </c>
      <c r="P1336" t="s">
        <v>13</v>
      </c>
      <c r="Q1336" t="s">
        <v>5777</v>
      </c>
      <c r="R1336" t="s">
        <v>38</v>
      </c>
      <c r="S1336" t="str" cm="1">
        <f t="array" ref="S1336">_xlfn.IFS(R1336="COMPLETE", "COMPLETED", R1336="CANCELED", "CANCELED", TRUE, "PENDING")</f>
        <v>PENDING</v>
      </c>
      <c r="T1336" t="s">
        <v>90</v>
      </c>
      <c r="U1336">
        <f>VLOOKUP(A1336,ordered_items!$B:$E,4,0)</f>
        <v>532.58000000000004</v>
      </c>
    </row>
    <row r="1337" spans="1:21" x14ac:dyDescent="0.3">
      <c r="A1337">
        <v>71992</v>
      </c>
      <c r="B1337" t="s">
        <v>24</v>
      </c>
      <c r="C1337">
        <v>3</v>
      </c>
      <c r="D1337">
        <v>4</v>
      </c>
      <c r="E1337" t="str">
        <f t="shared" si="60"/>
        <v xml:space="preserve"> ONTIME</v>
      </c>
      <c r="F1337">
        <f>VLOOKUP($A1337,ordered_items!$B$2:$E$4784,2,0)</f>
        <v>1355</v>
      </c>
      <c r="G1337">
        <f>VLOOKUP($A1337,ordered_items!$B$2:$E$4784,3,0)</f>
        <v>1</v>
      </c>
      <c r="H1337">
        <f>VLOOKUP($A1337,ordered_items!$B$2:$E$4784,4,0)</f>
        <v>532.58000000000004</v>
      </c>
      <c r="I1337" s="15">
        <f>VLOOKUP(F1337,product_info!$A$2:$D$73,4,0)</f>
        <v>6</v>
      </c>
      <c r="J1337" s="15" t="str">
        <f>VLOOKUP(I1337,department!$A$2:$B$13,2,0)</f>
        <v>Outdoors</v>
      </c>
      <c r="K1337">
        <v>15545</v>
      </c>
      <c r="L1337" t="s">
        <v>525</v>
      </c>
      <c r="M1337" s="4">
        <v>44150</v>
      </c>
      <c r="N1337" s="12">
        <f t="shared" si="61"/>
        <v>11</v>
      </c>
      <c r="O1337" s="13">
        <f t="shared" si="62"/>
        <v>2020</v>
      </c>
      <c r="P1337" t="s">
        <v>13</v>
      </c>
      <c r="Q1337" t="s">
        <v>5778</v>
      </c>
      <c r="R1337" t="s">
        <v>31</v>
      </c>
      <c r="S1337" t="str" cm="1">
        <f t="array" ref="S1337">_xlfn.IFS(R1337="COMPLETE", "COMPLETED", R1337="CANCELED", "CANCELED", TRUE, "PENDING")</f>
        <v>COMPLETED</v>
      </c>
      <c r="T1337" t="s">
        <v>16</v>
      </c>
      <c r="U1337">
        <f>VLOOKUP(A1337,ordered_items!$B:$E,4,0)</f>
        <v>532.58000000000004</v>
      </c>
    </row>
    <row r="1338" spans="1:21" x14ac:dyDescent="0.3">
      <c r="A1338">
        <v>71993</v>
      </c>
      <c r="B1338" t="s">
        <v>51</v>
      </c>
      <c r="C1338">
        <v>4</v>
      </c>
      <c r="D1338">
        <v>4</v>
      </c>
      <c r="E1338" t="str">
        <f t="shared" si="60"/>
        <v xml:space="preserve"> ONTIME</v>
      </c>
      <c r="F1338">
        <f>VLOOKUP($A1338,ordered_items!$B$2:$E$4784,2,0)</f>
        <v>1355</v>
      </c>
      <c r="G1338">
        <f>VLOOKUP($A1338,ordered_items!$B$2:$E$4784,3,0)</f>
        <v>1</v>
      </c>
      <c r="H1338">
        <f>VLOOKUP($A1338,ordered_items!$B$2:$E$4784,4,0)</f>
        <v>532.58000000000004</v>
      </c>
      <c r="I1338" s="15">
        <f>VLOOKUP(F1338,product_info!$A$2:$D$73,4,0)</f>
        <v>6</v>
      </c>
      <c r="J1338" s="15" t="str">
        <f>VLOOKUP(I1338,department!$A$2:$B$13,2,0)</f>
        <v>Outdoors</v>
      </c>
      <c r="K1338">
        <v>15546</v>
      </c>
      <c r="L1338" t="s">
        <v>525</v>
      </c>
      <c r="M1338" s="4">
        <v>44150</v>
      </c>
      <c r="N1338" s="12">
        <f t="shared" si="61"/>
        <v>11</v>
      </c>
      <c r="O1338" s="13">
        <f t="shared" si="62"/>
        <v>2020</v>
      </c>
      <c r="P1338" t="s">
        <v>13</v>
      </c>
      <c r="Q1338" t="s">
        <v>5778</v>
      </c>
      <c r="R1338" t="s">
        <v>57</v>
      </c>
      <c r="S1338" t="str" cm="1">
        <f t="array" ref="S1338">_xlfn.IFS(R1338="COMPLETE", "COMPLETED", R1338="CANCELED", "CANCELED", TRUE, "PENDING")</f>
        <v>PENDING</v>
      </c>
      <c r="T1338" t="s">
        <v>16</v>
      </c>
      <c r="U1338">
        <f>VLOOKUP(A1338,ordered_items!$B:$E,4,0)</f>
        <v>532.58000000000004</v>
      </c>
    </row>
    <row r="1339" spans="1:21" x14ac:dyDescent="0.3">
      <c r="A1339">
        <v>71994</v>
      </c>
      <c r="B1339" t="s">
        <v>51</v>
      </c>
      <c r="C1339">
        <v>1</v>
      </c>
      <c r="D1339">
        <v>0</v>
      </c>
      <c r="E1339" t="str">
        <f t="shared" si="60"/>
        <v>DELAYED</v>
      </c>
      <c r="F1339">
        <f>VLOOKUP($A1339,ordered_items!$B$2:$E$4784,2,0)</f>
        <v>1355</v>
      </c>
      <c r="G1339">
        <f>VLOOKUP($A1339,ordered_items!$B$2:$E$4784,3,0)</f>
        <v>1</v>
      </c>
      <c r="H1339">
        <f>VLOOKUP($A1339,ordered_items!$B$2:$E$4784,4,0)</f>
        <v>532.58000000000004</v>
      </c>
      <c r="I1339" s="15">
        <f>VLOOKUP(F1339,product_info!$A$2:$D$73,4,0)</f>
        <v>6</v>
      </c>
      <c r="J1339" s="15" t="str">
        <f>VLOOKUP(I1339,department!$A$2:$B$13,2,0)</f>
        <v>Outdoors</v>
      </c>
      <c r="K1339">
        <v>15547</v>
      </c>
      <c r="L1339" t="s">
        <v>233</v>
      </c>
      <c r="M1339" s="4">
        <v>44150</v>
      </c>
      <c r="N1339" s="12">
        <f t="shared" si="61"/>
        <v>11</v>
      </c>
      <c r="O1339" s="13">
        <f t="shared" si="62"/>
        <v>2020</v>
      </c>
      <c r="P1339" t="s">
        <v>13</v>
      </c>
      <c r="Q1339" t="s">
        <v>234</v>
      </c>
      <c r="R1339" t="s">
        <v>57</v>
      </c>
      <c r="S1339" t="str" cm="1">
        <f t="array" ref="S1339">_xlfn.IFS(R1339="COMPLETE", "COMPLETED", R1339="CANCELED", "CANCELED", TRUE, "PENDING")</f>
        <v>PENDING</v>
      </c>
      <c r="T1339" t="s">
        <v>58</v>
      </c>
      <c r="U1339">
        <f>VLOOKUP(A1339,ordered_items!$B:$E,4,0)</f>
        <v>532.58000000000004</v>
      </c>
    </row>
    <row r="1340" spans="1:21" x14ac:dyDescent="0.3">
      <c r="A1340">
        <v>72010</v>
      </c>
      <c r="B1340" t="s">
        <v>51</v>
      </c>
      <c r="C1340">
        <v>6</v>
      </c>
      <c r="D1340">
        <v>4</v>
      </c>
      <c r="E1340" t="str">
        <f t="shared" si="60"/>
        <v>DELAYED</v>
      </c>
      <c r="F1340">
        <f>VLOOKUP($A1340,ordered_items!$B$2:$E$4784,2,0)</f>
        <v>1355</v>
      </c>
      <c r="G1340">
        <f>VLOOKUP($A1340,ordered_items!$B$2:$E$4784,3,0)</f>
        <v>1</v>
      </c>
      <c r="H1340">
        <f>VLOOKUP($A1340,ordered_items!$B$2:$E$4784,4,0)</f>
        <v>532.58000000000004</v>
      </c>
      <c r="I1340" s="15">
        <f>VLOOKUP(F1340,product_info!$A$2:$D$73,4,0)</f>
        <v>6</v>
      </c>
      <c r="J1340" s="15" t="str">
        <f>VLOOKUP(I1340,department!$A$2:$B$13,2,0)</f>
        <v>Outdoors</v>
      </c>
      <c r="K1340">
        <v>15563</v>
      </c>
      <c r="L1340" t="s">
        <v>1111</v>
      </c>
      <c r="M1340" s="4">
        <v>44151</v>
      </c>
      <c r="N1340" s="12">
        <f t="shared" si="61"/>
        <v>11</v>
      </c>
      <c r="O1340" s="13">
        <f t="shared" si="62"/>
        <v>2020</v>
      </c>
      <c r="P1340" t="s">
        <v>13</v>
      </c>
      <c r="Q1340" t="s">
        <v>5777</v>
      </c>
      <c r="R1340" t="s">
        <v>57</v>
      </c>
      <c r="S1340" t="str" cm="1">
        <f t="array" ref="S1340">_xlfn.IFS(R1340="COMPLETE", "COMPLETED", R1340="CANCELED", "CANCELED", TRUE, "PENDING")</f>
        <v>PENDING</v>
      </c>
      <c r="T1340" t="s">
        <v>16</v>
      </c>
      <c r="U1340">
        <f>VLOOKUP(A1340,ordered_items!$B:$E,4,0)</f>
        <v>532.58000000000004</v>
      </c>
    </row>
    <row r="1341" spans="1:21" x14ac:dyDescent="0.3">
      <c r="A1341">
        <v>72011</v>
      </c>
      <c r="B1341" t="s">
        <v>17</v>
      </c>
      <c r="C1341">
        <v>2</v>
      </c>
      <c r="D1341">
        <v>4</v>
      </c>
      <c r="E1341" t="str">
        <f t="shared" si="60"/>
        <v xml:space="preserve"> ONTIME</v>
      </c>
      <c r="F1341">
        <f>VLOOKUP($A1341,ordered_items!$B$2:$E$4784,2,0)</f>
        <v>1355</v>
      </c>
      <c r="G1341">
        <f>VLOOKUP($A1341,ordered_items!$B$2:$E$4784,3,0)</f>
        <v>1</v>
      </c>
      <c r="H1341">
        <f>VLOOKUP($A1341,ordered_items!$B$2:$E$4784,4,0)</f>
        <v>532.58000000000004</v>
      </c>
      <c r="I1341" s="15">
        <f>VLOOKUP(F1341,product_info!$A$2:$D$73,4,0)</f>
        <v>6</v>
      </c>
      <c r="J1341" s="15" t="str">
        <f>VLOOKUP(I1341,department!$A$2:$B$13,2,0)</f>
        <v>Outdoors</v>
      </c>
      <c r="K1341">
        <v>15564</v>
      </c>
      <c r="L1341" t="s">
        <v>110</v>
      </c>
      <c r="M1341" s="4">
        <v>44151</v>
      </c>
      <c r="N1341" s="12">
        <f t="shared" si="61"/>
        <v>11</v>
      </c>
      <c r="O1341" s="13">
        <f t="shared" si="62"/>
        <v>2020</v>
      </c>
      <c r="P1341" t="s">
        <v>13</v>
      </c>
      <c r="Q1341" t="s">
        <v>99</v>
      </c>
      <c r="R1341" t="s">
        <v>23</v>
      </c>
      <c r="S1341" t="str" cm="1">
        <f t="array" ref="S1341">_xlfn.IFS(R1341="COMPLETE", "COMPLETED", R1341="CANCELED", "CANCELED", TRUE, "PENDING")</f>
        <v>PENDING</v>
      </c>
      <c r="T1341" t="s">
        <v>16</v>
      </c>
      <c r="U1341">
        <f>VLOOKUP(A1341,ordered_items!$B:$E,4,0)</f>
        <v>532.58000000000004</v>
      </c>
    </row>
    <row r="1342" spans="1:21" x14ac:dyDescent="0.3">
      <c r="A1342">
        <v>72017</v>
      </c>
      <c r="B1342" t="s">
        <v>3</v>
      </c>
      <c r="C1342">
        <v>3</v>
      </c>
      <c r="D1342">
        <v>2</v>
      </c>
      <c r="E1342" t="str">
        <f t="shared" si="60"/>
        <v>DELAYED</v>
      </c>
      <c r="F1342">
        <f>VLOOKUP($A1342,ordered_items!$B$2:$E$4784,2,0)</f>
        <v>1355</v>
      </c>
      <c r="G1342">
        <f>VLOOKUP($A1342,ordered_items!$B$2:$E$4784,3,0)</f>
        <v>1</v>
      </c>
      <c r="H1342">
        <f>VLOOKUP($A1342,ordered_items!$B$2:$E$4784,4,0)</f>
        <v>532.58000000000004</v>
      </c>
      <c r="I1342" s="15">
        <f>VLOOKUP(F1342,product_info!$A$2:$D$73,4,0)</f>
        <v>6</v>
      </c>
      <c r="J1342" s="15" t="str">
        <f>VLOOKUP(I1342,department!$A$2:$B$13,2,0)</f>
        <v>Outdoors</v>
      </c>
      <c r="K1342">
        <v>15570</v>
      </c>
      <c r="L1342" t="s">
        <v>857</v>
      </c>
      <c r="M1342" s="4">
        <v>44151</v>
      </c>
      <c r="N1342" s="12">
        <f t="shared" si="61"/>
        <v>11</v>
      </c>
      <c r="O1342" s="13">
        <f t="shared" si="62"/>
        <v>2020</v>
      </c>
      <c r="P1342" t="s">
        <v>13</v>
      </c>
      <c r="Q1342" t="s">
        <v>80</v>
      </c>
      <c r="R1342" t="s">
        <v>14</v>
      </c>
      <c r="S1342" t="str" cm="1">
        <f t="array" ref="S1342">_xlfn.IFS(R1342="COMPLETE", "COMPLETED", R1342="CANCELED", "CANCELED", TRUE, "PENDING")</f>
        <v>PENDING</v>
      </c>
      <c r="T1342" t="s">
        <v>90</v>
      </c>
      <c r="U1342">
        <f>VLOOKUP(A1342,ordered_items!$B:$E,4,0)</f>
        <v>532.58000000000004</v>
      </c>
    </row>
    <row r="1343" spans="1:21" x14ac:dyDescent="0.3">
      <c r="A1343">
        <v>72020</v>
      </c>
      <c r="B1343" t="s">
        <v>51</v>
      </c>
      <c r="C1343">
        <v>6</v>
      </c>
      <c r="D1343">
        <v>4</v>
      </c>
      <c r="E1343" t="str">
        <f t="shared" si="60"/>
        <v>DELAYED</v>
      </c>
      <c r="F1343">
        <f>VLOOKUP($A1343,ordered_items!$B$2:$E$4784,2,0)</f>
        <v>1355</v>
      </c>
      <c r="G1343">
        <f>VLOOKUP($A1343,ordered_items!$B$2:$E$4784,3,0)</f>
        <v>1</v>
      </c>
      <c r="H1343">
        <f>VLOOKUP($A1343,ordered_items!$B$2:$E$4784,4,0)</f>
        <v>532.58000000000004</v>
      </c>
      <c r="I1343" s="15">
        <f>VLOOKUP(F1343,product_info!$A$2:$D$73,4,0)</f>
        <v>6</v>
      </c>
      <c r="J1343" s="15" t="str">
        <f>VLOOKUP(I1343,department!$A$2:$B$13,2,0)</f>
        <v>Outdoors</v>
      </c>
      <c r="K1343">
        <v>15573</v>
      </c>
      <c r="L1343" t="s">
        <v>950</v>
      </c>
      <c r="M1343" s="4">
        <v>44151</v>
      </c>
      <c r="N1343" s="12">
        <f t="shared" si="61"/>
        <v>11</v>
      </c>
      <c r="O1343" s="13">
        <f t="shared" si="62"/>
        <v>2020</v>
      </c>
      <c r="P1343" t="s">
        <v>13</v>
      </c>
      <c r="Q1343" t="s">
        <v>99</v>
      </c>
      <c r="R1343" t="s">
        <v>57</v>
      </c>
      <c r="S1343" t="str" cm="1">
        <f t="array" ref="S1343">_xlfn.IFS(R1343="COMPLETE", "COMPLETED", R1343="CANCELED", "CANCELED", TRUE, "PENDING")</f>
        <v>PENDING</v>
      </c>
      <c r="T1343" t="s">
        <v>16</v>
      </c>
      <c r="U1343">
        <f>VLOOKUP(A1343,ordered_items!$B:$E,4,0)</f>
        <v>532.58000000000004</v>
      </c>
    </row>
    <row r="1344" spans="1:21" x14ac:dyDescent="0.3">
      <c r="A1344">
        <v>72035</v>
      </c>
      <c r="B1344" t="s">
        <v>17</v>
      </c>
      <c r="C1344">
        <v>6</v>
      </c>
      <c r="D1344">
        <v>2</v>
      </c>
      <c r="E1344" t="str">
        <f t="shared" si="60"/>
        <v>DELAYED</v>
      </c>
      <c r="F1344">
        <f>VLOOKUP($A1344,ordered_items!$B$2:$E$4784,2,0)</f>
        <v>1355</v>
      </c>
      <c r="G1344">
        <f>VLOOKUP($A1344,ordered_items!$B$2:$E$4784,3,0)</f>
        <v>1</v>
      </c>
      <c r="H1344">
        <f>VLOOKUP($A1344,ordered_items!$B$2:$E$4784,4,0)</f>
        <v>532.58000000000004</v>
      </c>
      <c r="I1344" s="15">
        <f>VLOOKUP(F1344,product_info!$A$2:$D$73,4,0)</f>
        <v>6</v>
      </c>
      <c r="J1344" s="15" t="str">
        <f>VLOOKUP(I1344,department!$A$2:$B$13,2,0)</f>
        <v>Outdoors</v>
      </c>
      <c r="K1344">
        <v>15588</v>
      </c>
      <c r="L1344" t="s">
        <v>70</v>
      </c>
      <c r="M1344" s="4">
        <v>44151</v>
      </c>
      <c r="N1344" s="12">
        <f t="shared" si="61"/>
        <v>11</v>
      </c>
      <c r="O1344" s="13">
        <f t="shared" si="62"/>
        <v>2020</v>
      </c>
      <c r="P1344" t="s">
        <v>13</v>
      </c>
      <c r="Q1344" t="s">
        <v>70</v>
      </c>
      <c r="R1344" t="s">
        <v>23</v>
      </c>
      <c r="S1344" t="str" cm="1">
        <f t="array" ref="S1344">_xlfn.IFS(R1344="COMPLETE", "COMPLETED", R1344="CANCELED", "CANCELED", TRUE, "PENDING")</f>
        <v>PENDING</v>
      </c>
      <c r="T1344" t="s">
        <v>90</v>
      </c>
      <c r="U1344">
        <f>VLOOKUP(A1344,ordered_items!$B:$E,4,0)</f>
        <v>532.58000000000004</v>
      </c>
    </row>
    <row r="1345" spans="1:21" x14ac:dyDescent="0.3">
      <c r="A1345">
        <v>72042</v>
      </c>
      <c r="B1345" t="s">
        <v>3</v>
      </c>
      <c r="C1345">
        <v>3</v>
      </c>
      <c r="D1345">
        <v>4</v>
      </c>
      <c r="E1345" t="str">
        <f t="shared" si="60"/>
        <v xml:space="preserve"> ONTIME</v>
      </c>
      <c r="F1345">
        <f>VLOOKUP($A1345,ordered_items!$B$2:$E$4784,2,0)</f>
        <v>1355</v>
      </c>
      <c r="G1345">
        <f>VLOOKUP($A1345,ordered_items!$B$2:$E$4784,3,0)</f>
        <v>1</v>
      </c>
      <c r="H1345">
        <f>VLOOKUP($A1345,ordered_items!$B$2:$E$4784,4,0)</f>
        <v>532.58000000000004</v>
      </c>
      <c r="I1345" s="15">
        <f>VLOOKUP(F1345,product_info!$A$2:$D$73,4,0)</f>
        <v>6</v>
      </c>
      <c r="J1345" s="15" t="str">
        <f>VLOOKUP(I1345,department!$A$2:$B$13,2,0)</f>
        <v>Outdoors</v>
      </c>
      <c r="K1345">
        <v>15595</v>
      </c>
      <c r="L1345" t="s">
        <v>921</v>
      </c>
      <c r="M1345" s="4">
        <v>44151</v>
      </c>
      <c r="N1345" s="12">
        <f t="shared" si="61"/>
        <v>11</v>
      </c>
      <c r="O1345" s="13">
        <f t="shared" si="62"/>
        <v>2020</v>
      </c>
      <c r="P1345" t="s">
        <v>13</v>
      </c>
      <c r="Q1345" t="s">
        <v>99</v>
      </c>
      <c r="R1345" t="s">
        <v>38</v>
      </c>
      <c r="S1345" t="str" cm="1">
        <f t="array" ref="S1345">_xlfn.IFS(R1345="COMPLETE", "COMPLETED", R1345="CANCELED", "CANCELED", TRUE, "PENDING")</f>
        <v>PENDING</v>
      </c>
      <c r="T1345" t="s">
        <v>16</v>
      </c>
      <c r="U1345">
        <f>VLOOKUP(A1345,ordered_items!$B:$E,4,0)</f>
        <v>532.58000000000004</v>
      </c>
    </row>
    <row r="1346" spans="1:21" x14ac:dyDescent="0.3">
      <c r="A1346">
        <v>72043</v>
      </c>
      <c r="B1346" t="s">
        <v>3</v>
      </c>
      <c r="C1346">
        <v>1</v>
      </c>
      <c r="D1346">
        <v>0</v>
      </c>
      <c r="E1346" t="str">
        <f t="shared" si="60"/>
        <v>DELAYED</v>
      </c>
      <c r="F1346">
        <f>VLOOKUP($A1346,ordered_items!$B$2:$E$4784,2,0)</f>
        <v>1355</v>
      </c>
      <c r="G1346">
        <f>VLOOKUP($A1346,ordered_items!$B$2:$E$4784,3,0)</f>
        <v>1</v>
      </c>
      <c r="H1346">
        <f>VLOOKUP($A1346,ordered_items!$B$2:$E$4784,4,0)</f>
        <v>532.58000000000004</v>
      </c>
      <c r="I1346" s="15">
        <f>VLOOKUP(F1346,product_info!$A$2:$D$73,4,0)</f>
        <v>6</v>
      </c>
      <c r="J1346" s="15" t="str">
        <f>VLOOKUP(I1346,department!$A$2:$B$13,2,0)</f>
        <v>Outdoors</v>
      </c>
      <c r="K1346">
        <v>15596</v>
      </c>
      <c r="L1346" t="s">
        <v>921</v>
      </c>
      <c r="M1346" s="4">
        <v>44151</v>
      </c>
      <c r="N1346" s="12">
        <f t="shared" si="61"/>
        <v>11</v>
      </c>
      <c r="O1346" s="13">
        <f t="shared" si="62"/>
        <v>2020</v>
      </c>
      <c r="P1346" t="s">
        <v>13</v>
      </c>
      <c r="Q1346" t="s">
        <v>99</v>
      </c>
      <c r="R1346" t="s">
        <v>38</v>
      </c>
      <c r="S1346" t="str" cm="1">
        <f t="array" ref="S1346">_xlfn.IFS(R1346="COMPLETE", "COMPLETED", R1346="CANCELED", "CANCELED", TRUE, "PENDING")</f>
        <v>PENDING</v>
      </c>
      <c r="T1346" t="s">
        <v>58</v>
      </c>
      <c r="U1346">
        <f>VLOOKUP(A1346,ordered_items!$B:$E,4,0)</f>
        <v>532.58000000000004</v>
      </c>
    </row>
    <row r="1347" spans="1:21" x14ac:dyDescent="0.3">
      <c r="A1347">
        <v>72048</v>
      </c>
      <c r="B1347" t="s">
        <v>24</v>
      </c>
      <c r="C1347">
        <v>4</v>
      </c>
      <c r="D1347">
        <v>4</v>
      </c>
      <c r="E1347" t="str">
        <f t="shared" ref="E1347:E1410" si="63">IF(C1347-D1347&gt;0,"DELAYED"," ONTIME")</f>
        <v xml:space="preserve"> ONTIME</v>
      </c>
      <c r="F1347">
        <f>VLOOKUP($A1347,ordered_items!$B$2:$E$4784,2,0)</f>
        <v>1355</v>
      </c>
      <c r="G1347">
        <f>VLOOKUP($A1347,ordered_items!$B$2:$E$4784,3,0)</f>
        <v>1</v>
      </c>
      <c r="H1347">
        <f>VLOOKUP($A1347,ordered_items!$B$2:$E$4784,4,0)</f>
        <v>532.58000000000004</v>
      </c>
      <c r="I1347" s="15">
        <f>VLOOKUP(F1347,product_info!$A$2:$D$73,4,0)</f>
        <v>6</v>
      </c>
      <c r="J1347" s="15" t="str">
        <f>VLOOKUP(I1347,department!$A$2:$B$13,2,0)</f>
        <v>Outdoors</v>
      </c>
      <c r="K1347">
        <v>15601</v>
      </c>
      <c r="L1347" t="s">
        <v>285</v>
      </c>
      <c r="M1347" s="4">
        <v>44151</v>
      </c>
      <c r="N1347" s="12">
        <f t="shared" ref="N1347:N1410" si="64">MONTH(M1347)</f>
        <v>11</v>
      </c>
      <c r="O1347" s="13">
        <f t="shared" ref="O1347:O1410" si="65">YEAR(M1347)</f>
        <v>2020</v>
      </c>
      <c r="P1347" t="s">
        <v>13</v>
      </c>
      <c r="Q1347" t="s">
        <v>286</v>
      </c>
      <c r="R1347" t="s">
        <v>31</v>
      </c>
      <c r="S1347" t="str" cm="1">
        <f t="array" ref="S1347">_xlfn.IFS(R1347="COMPLETE", "COMPLETED", R1347="CANCELED", "CANCELED", TRUE, "PENDING")</f>
        <v>COMPLETED</v>
      </c>
      <c r="T1347" t="s">
        <v>16</v>
      </c>
      <c r="U1347">
        <f>VLOOKUP(A1347,ordered_items!$B:$E,4,0)</f>
        <v>532.58000000000004</v>
      </c>
    </row>
    <row r="1348" spans="1:21" x14ac:dyDescent="0.3">
      <c r="A1348">
        <v>72070</v>
      </c>
      <c r="B1348" t="s">
        <v>24</v>
      </c>
      <c r="C1348">
        <v>6</v>
      </c>
      <c r="D1348">
        <v>4</v>
      </c>
      <c r="E1348" t="str">
        <f t="shared" si="63"/>
        <v>DELAYED</v>
      </c>
      <c r="F1348">
        <f>VLOOKUP($A1348,ordered_items!$B$2:$E$4784,2,0)</f>
        <v>1355</v>
      </c>
      <c r="G1348">
        <f>VLOOKUP($A1348,ordered_items!$B$2:$E$4784,3,0)</f>
        <v>1</v>
      </c>
      <c r="H1348">
        <f>VLOOKUP($A1348,ordered_items!$B$2:$E$4784,4,0)</f>
        <v>532.58000000000004</v>
      </c>
      <c r="I1348" s="15">
        <f>VLOOKUP(F1348,product_info!$A$2:$D$73,4,0)</f>
        <v>6</v>
      </c>
      <c r="J1348" s="15" t="str">
        <f>VLOOKUP(I1348,department!$A$2:$B$13,2,0)</f>
        <v>Outdoors</v>
      </c>
      <c r="K1348">
        <v>15623</v>
      </c>
      <c r="L1348" t="s">
        <v>1499</v>
      </c>
      <c r="M1348" s="4">
        <v>44152</v>
      </c>
      <c r="N1348" s="12">
        <f t="shared" si="64"/>
        <v>11</v>
      </c>
      <c r="O1348" s="13">
        <f t="shared" si="65"/>
        <v>2020</v>
      </c>
      <c r="P1348" t="s">
        <v>13</v>
      </c>
      <c r="Q1348" t="s">
        <v>538</v>
      </c>
      <c r="R1348" t="s">
        <v>31</v>
      </c>
      <c r="S1348" t="str" cm="1">
        <f t="array" ref="S1348">_xlfn.IFS(R1348="COMPLETE", "COMPLETED", R1348="CANCELED", "CANCELED", TRUE, "PENDING")</f>
        <v>COMPLETED</v>
      </c>
      <c r="T1348" t="s">
        <v>16</v>
      </c>
      <c r="U1348">
        <f>VLOOKUP(A1348,ordered_items!$B:$E,4,0)</f>
        <v>532.58000000000004</v>
      </c>
    </row>
    <row r="1349" spans="1:21" x14ac:dyDescent="0.3">
      <c r="A1349">
        <v>72071</v>
      </c>
      <c r="B1349" t="s">
        <v>17</v>
      </c>
      <c r="C1349">
        <v>2</v>
      </c>
      <c r="D1349">
        <v>4</v>
      </c>
      <c r="E1349" t="str">
        <f t="shared" si="63"/>
        <v xml:space="preserve"> ONTIME</v>
      </c>
      <c r="F1349">
        <f>VLOOKUP($A1349,ordered_items!$B$2:$E$4784,2,0)</f>
        <v>1355</v>
      </c>
      <c r="G1349">
        <f>VLOOKUP($A1349,ordered_items!$B$2:$E$4784,3,0)</f>
        <v>1</v>
      </c>
      <c r="H1349">
        <f>VLOOKUP($A1349,ordered_items!$B$2:$E$4784,4,0)</f>
        <v>532.58000000000004</v>
      </c>
      <c r="I1349" s="15">
        <f>VLOOKUP(F1349,product_info!$A$2:$D$73,4,0)</f>
        <v>6</v>
      </c>
      <c r="J1349" s="15" t="str">
        <f>VLOOKUP(I1349,department!$A$2:$B$13,2,0)</f>
        <v>Outdoors</v>
      </c>
      <c r="K1349">
        <v>15624</v>
      </c>
      <c r="L1349" t="s">
        <v>530</v>
      </c>
      <c r="M1349" s="4">
        <v>44152</v>
      </c>
      <c r="N1349" s="12">
        <f t="shared" si="64"/>
        <v>11</v>
      </c>
      <c r="O1349" s="13">
        <f t="shared" si="65"/>
        <v>2020</v>
      </c>
      <c r="P1349" t="s">
        <v>13</v>
      </c>
      <c r="Q1349" t="s">
        <v>5777</v>
      </c>
      <c r="R1349" t="s">
        <v>23</v>
      </c>
      <c r="S1349" t="str" cm="1">
        <f t="array" ref="S1349">_xlfn.IFS(R1349="COMPLETE", "COMPLETED", R1349="CANCELED", "CANCELED", TRUE, "PENDING")</f>
        <v>PENDING</v>
      </c>
      <c r="T1349" t="s">
        <v>16</v>
      </c>
      <c r="U1349">
        <f>VLOOKUP(A1349,ordered_items!$B:$E,4,0)</f>
        <v>532.58000000000004</v>
      </c>
    </row>
    <row r="1350" spans="1:21" x14ac:dyDescent="0.3">
      <c r="A1350">
        <v>72086</v>
      </c>
      <c r="B1350" t="s">
        <v>3</v>
      </c>
      <c r="C1350">
        <v>2</v>
      </c>
      <c r="D1350">
        <v>4</v>
      </c>
      <c r="E1350" t="str">
        <f t="shared" si="63"/>
        <v xml:space="preserve"> ONTIME</v>
      </c>
      <c r="F1350">
        <f>VLOOKUP($A1350,ordered_items!$B$2:$E$4784,2,0)</f>
        <v>1355</v>
      </c>
      <c r="G1350">
        <f>VLOOKUP($A1350,ordered_items!$B$2:$E$4784,3,0)</f>
        <v>1</v>
      </c>
      <c r="H1350">
        <f>VLOOKUP($A1350,ordered_items!$B$2:$E$4784,4,0)</f>
        <v>532.58000000000004</v>
      </c>
      <c r="I1350" s="15">
        <f>VLOOKUP(F1350,product_info!$A$2:$D$73,4,0)</f>
        <v>6</v>
      </c>
      <c r="J1350" s="15" t="str">
        <f>VLOOKUP(I1350,department!$A$2:$B$13,2,0)</f>
        <v>Outdoors</v>
      </c>
      <c r="K1350">
        <v>15639</v>
      </c>
      <c r="L1350" t="s">
        <v>84</v>
      </c>
      <c r="M1350" s="4">
        <v>44152</v>
      </c>
      <c r="N1350" s="12">
        <f t="shared" si="64"/>
        <v>11</v>
      </c>
      <c r="O1350" s="13">
        <f t="shared" si="65"/>
        <v>2020</v>
      </c>
      <c r="P1350" t="s">
        <v>13</v>
      </c>
      <c r="Q1350" t="s">
        <v>80</v>
      </c>
      <c r="R1350" t="s">
        <v>38</v>
      </c>
      <c r="S1350" t="str" cm="1">
        <f t="array" ref="S1350">_xlfn.IFS(R1350="COMPLETE", "COMPLETED", R1350="CANCELED", "CANCELED", TRUE, "PENDING")</f>
        <v>PENDING</v>
      </c>
      <c r="T1350" t="s">
        <v>16</v>
      </c>
      <c r="U1350">
        <f>VLOOKUP(A1350,ordered_items!$B:$E,4,0)</f>
        <v>532.58000000000004</v>
      </c>
    </row>
    <row r="1351" spans="1:21" x14ac:dyDescent="0.3">
      <c r="A1351">
        <v>72089</v>
      </c>
      <c r="B1351" t="s">
        <v>51</v>
      </c>
      <c r="C1351">
        <v>0</v>
      </c>
      <c r="D1351">
        <v>0</v>
      </c>
      <c r="E1351" t="str">
        <f t="shared" si="63"/>
        <v xml:space="preserve"> ONTIME</v>
      </c>
      <c r="F1351">
        <f>VLOOKUP($A1351,ordered_items!$B$2:$E$4784,2,0)</f>
        <v>1355</v>
      </c>
      <c r="G1351">
        <f>VLOOKUP($A1351,ordered_items!$B$2:$E$4784,3,0)</f>
        <v>1</v>
      </c>
      <c r="H1351">
        <f>VLOOKUP($A1351,ordered_items!$B$2:$E$4784,4,0)</f>
        <v>532.58000000000004</v>
      </c>
      <c r="I1351" s="15">
        <f>VLOOKUP(F1351,product_info!$A$2:$D$73,4,0)</f>
        <v>6</v>
      </c>
      <c r="J1351" s="15" t="str">
        <f>VLOOKUP(I1351,department!$A$2:$B$13,2,0)</f>
        <v>Outdoors</v>
      </c>
      <c r="K1351">
        <v>15642</v>
      </c>
      <c r="L1351" t="s">
        <v>867</v>
      </c>
      <c r="M1351" s="4">
        <v>44152</v>
      </c>
      <c r="N1351" s="12">
        <f t="shared" si="64"/>
        <v>11</v>
      </c>
      <c r="O1351" s="13">
        <f t="shared" si="65"/>
        <v>2020</v>
      </c>
      <c r="P1351" t="s">
        <v>13</v>
      </c>
      <c r="Q1351" t="s">
        <v>5781</v>
      </c>
      <c r="R1351" t="s">
        <v>57</v>
      </c>
      <c r="S1351" t="str" cm="1">
        <f t="array" ref="S1351">_xlfn.IFS(R1351="COMPLETE", "COMPLETED", R1351="CANCELED", "CANCELED", TRUE, "PENDING")</f>
        <v>PENDING</v>
      </c>
      <c r="T1351" t="s">
        <v>58</v>
      </c>
      <c r="U1351">
        <f>VLOOKUP(A1351,ordered_items!$B:$E,4,0)</f>
        <v>532.58000000000004</v>
      </c>
    </row>
    <row r="1352" spans="1:21" x14ac:dyDescent="0.3">
      <c r="A1352">
        <v>72101</v>
      </c>
      <c r="B1352" t="s">
        <v>24</v>
      </c>
      <c r="C1352">
        <v>2</v>
      </c>
      <c r="D1352">
        <v>1</v>
      </c>
      <c r="E1352" t="str">
        <f t="shared" si="63"/>
        <v>DELAYED</v>
      </c>
      <c r="F1352">
        <f>VLOOKUP($A1352,ordered_items!$B$2:$E$4784,2,0)</f>
        <v>1355</v>
      </c>
      <c r="G1352">
        <f>VLOOKUP($A1352,ordered_items!$B$2:$E$4784,3,0)</f>
        <v>1</v>
      </c>
      <c r="H1352">
        <f>VLOOKUP($A1352,ordered_items!$B$2:$E$4784,4,0)</f>
        <v>532.58000000000004</v>
      </c>
      <c r="I1352" s="15">
        <f>VLOOKUP(F1352,product_info!$A$2:$D$73,4,0)</f>
        <v>6</v>
      </c>
      <c r="J1352" s="15" t="str">
        <f>VLOOKUP(I1352,department!$A$2:$B$13,2,0)</f>
        <v>Outdoors</v>
      </c>
      <c r="K1352">
        <v>15654</v>
      </c>
      <c r="L1352" t="s">
        <v>84</v>
      </c>
      <c r="M1352" s="4">
        <v>44152</v>
      </c>
      <c r="N1352" s="12">
        <f t="shared" si="64"/>
        <v>11</v>
      </c>
      <c r="O1352" s="13">
        <f t="shared" si="65"/>
        <v>2020</v>
      </c>
      <c r="P1352" t="s">
        <v>13</v>
      </c>
      <c r="Q1352" t="s">
        <v>80</v>
      </c>
      <c r="R1352" t="s">
        <v>31</v>
      </c>
      <c r="S1352" t="str" cm="1">
        <f t="array" ref="S1352">_xlfn.IFS(R1352="COMPLETE", "COMPLETED", R1352="CANCELED", "CANCELED", TRUE, "PENDING")</f>
        <v>COMPLETED</v>
      </c>
      <c r="T1352" t="s">
        <v>32</v>
      </c>
      <c r="U1352">
        <f>VLOOKUP(A1352,ordered_items!$B:$E,4,0)</f>
        <v>532.58000000000004</v>
      </c>
    </row>
    <row r="1353" spans="1:21" x14ac:dyDescent="0.3">
      <c r="A1353">
        <v>72117</v>
      </c>
      <c r="B1353" t="s">
        <v>24</v>
      </c>
      <c r="C1353">
        <v>3</v>
      </c>
      <c r="D1353">
        <v>2</v>
      </c>
      <c r="E1353" t="str">
        <f t="shared" si="63"/>
        <v>DELAYED</v>
      </c>
      <c r="F1353">
        <f>VLOOKUP($A1353,ordered_items!$B$2:$E$4784,2,0)</f>
        <v>1355</v>
      </c>
      <c r="G1353">
        <f>VLOOKUP($A1353,ordered_items!$B$2:$E$4784,3,0)</f>
        <v>1</v>
      </c>
      <c r="H1353">
        <f>VLOOKUP($A1353,ordered_items!$B$2:$E$4784,4,0)</f>
        <v>532.58000000000004</v>
      </c>
      <c r="I1353" s="15">
        <f>VLOOKUP(F1353,product_info!$A$2:$D$73,4,0)</f>
        <v>6</v>
      </c>
      <c r="J1353" s="15" t="str">
        <f>VLOOKUP(I1353,department!$A$2:$B$13,2,0)</f>
        <v>Outdoors</v>
      </c>
      <c r="K1353">
        <v>15670</v>
      </c>
      <c r="L1353" t="s">
        <v>136</v>
      </c>
      <c r="M1353" s="4">
        <v>44152</v>
      </c>
      <c r="N1353" s="12">
        <f t="shared" si="64"/>
        <v>11</v>
      </c>
      <c r="O1353" s="13">
        <f t="shared" si="65"/>
        <v>2020</v>
      </c>
      <c r="P1353" t="s">
        <v>13</v>
      </c>
      <c r="Q1353" t="s">
        <v>47</v>
      </c>
      <c r="R1353" t="s">
        <v>31</v>
      </c>
      <c r="S1353" t="str" cm="1">
        <f t="array" ref="S1353">_xlfn.IFS(R1353="COMPLETE", "COMPLETED", R1353="CANCELED", "CANCELED", TRUE, "PENDING")</f>
        <v>COMPLETED</v>
      </c>
      <c r="T1353" t="s">
        <v>90</v>
      </c>
      <c r="U1353">
        <f>VLOOKUP(A1353,ordered_items!$B:$E,4,0)</f>
        <v>532.58000000000004</v>
      </c>
    </row>
    <row r="1354" spans="1:21" x14ac:dyDescent="0.3">
      <c r="A1354">
        <v>72118</v>
      </c>
      <c r="B1354" t="s">
        <v>51</v>
      </c>
      <c r="C1354">
        <v>4</v>
      </c>
      <c r="D1354">
        <v>2</v>
      </c>
      <c r="E1354" t="str">
        <f t="shared" si="63"/>
        <v>DELAYED</v>
      </c>
      <c r="F1354">
        <f>VLOOKUP($A1354,ordered_items!$B$2:$E$4784,2,0)</f>
        <v>1355</v>
      </c>
      <c r="G1354">
        <f>VLOOKUP($A1354,ordered_items!$B$2:$E$4784,3,0)</f>
        <v>1</v>
      </c>
      <c r="H1354">
        <f>VLOOKUP($A1354,ordered_items!$B$2:$E$4784,4,0)</f>
        <v>532.58000000000004</v>
      </c>
      <c r="I1354" s="15">
        <f>VLOOKUP(F1354,product_info!$A$2:$D$73,4,0)</f>
        <v>6</v>
      </c>
      <c r="J1354" s="15" t="str">
        <f>VLOOKUP(I1354,department!$A$2:$B$13,2,0)</f>
        <v>Outdoors</v>
      </c>
      <c r="K1354">
        <v>15671</v>
      </c>
      <c r="L1354" t="s">
        <v>136</v>
      </c>
      <c r="M1354" s="4">
        <v>44152</v>
      </c>
      <c r="N1354" s="12">
        <f t="shared" si="64"/>
        <v>11</v>
      </c>
      <c r="O1354" s="13">
        <f t="shared" si="65"/>
        <v>2020</v>
      </c>
      <c r="P1354" t="s">
        <v>13</v>
      </c>
      <c r="Q1354" t="s">
        <v>47</v>
      </c>
      <c r="R1354" t="s">
        <v>57</v>
      </c>
      <c r="S1354" t="str" cm="1">
        <f t="array" ref="S1354">_xlfn.IFS(R1354="COMPLETE", "COMPLETED", R1354="CANCELED", "CANCELED", TRUE, "PENDING")</f>
        <v>PENDING</v>
      </c>
      <c r="T1354" t="s">
        <v>90</v>
      </c>
      <c r="U1354">
        <f>VLOOKUP(A1354,ordered_items!$B:$E,4,0)</f>
        <v>532.58000000000004</v>
      </c>
    </row>
    <row r="1355" spans="1:21" x14ac:dyDescent="0.3">
      <c r="A1355">
        <v>72119</v>
      </c>
      <c r="B1355" t="s">
        <v>24</v>
      </c>
      <c r="C1355">
        <v>5</v>
      </c>
      <c r="D1355">
        <v>4</v>
      </c>
      <c r="E1355" t="str">
        <f t="shared" si="63"/>
        <v>DELAYED</v>
      </c>
      <c r="F1355">
        <f>VLOOKUP($A1355,ordered_items!$B$2:$E$4784,2,0)</f>
        <v>1355</v>
      </c>
      <c r="G1355">
        <f>VLOOKUP($A1355,ordered_items!$B$2:$E$4784,3,0)</f>
        <v>1</v>
      </c>
      <c r="H1355">
        <f>VLOOKUP($A1355,ordered_items!$B$2:$E$4784,4,0)</f>
        <v>532.58000000000004</v>
      </c>
      <c r="I1355" s="15">
        <f>VLOOKUP(F1355,product_info!$A$2:$D$73,4,0)</f>
        <v>6</v>
      </c>
      <c r="J1355" s="15" t="str">
        <f>VLOOKUP(I1355,department!$A$2:$B$13,2,0)</f>
        <v>Outdoors</v>
      </c>
      <c r="K1355">
        <v>15672</v>
      </c>
      <c r="L1355" t="s">
        <v>136</v>
      </c>
      <c r="M1355" s="4">
        <v>44152</v>
      </c>
      <c r="N1355" s="12">
        <f t="shared" si="64"/>
        <v>11</v>
      </c>
      <c r="O1355" s="13">
        <f t="shared" si="65"/>
        <v>2020</v>
      </c>
      <c r="P1355" t="s">
        <v>13</v>
      </c>
      <c r="Q1355" t="s">
        <v>47</v>
      </c>
      <c r="R1355" t="s">
        <v>31</v>
      </c>
      <c r="S1355" t="str" cm="1">
        <f t="array" ref="S1355">_xlfn.IFS(R1355="COMPLETE", "COMPLETED", R1355="CANCELED", "CANCELED", TRUE, "PENDING")</f>
        <v>COMPLETED</v>
      </c>
      <c r="T1355" t="s">
        <v>16</v>
      </c>
      <c r="U1355">
        <f>VLOOKUP(A1355,ordered_items!$B:$E,4,0)</f>
        <v>532.58000000000004</v>
      </c>
    </row>
    <row r="1356" spans="1:21" x14ac:dyDescent="0.3">
      <c r="A1356">
        <v>72123</v>
      </c>
      <c r="B1356" t="s">
        <v>3</v>
      </c>
      <c r="C1356">
        <v>4</v>
      </c>
      <c r="D1356">
        <v>4</v>
      </c>
      <c r="E1356" t="str">
        <f t="shared" si="63"/>
        <v xml:space="preserve"> ONTIME</v>
      </c>
      <c r="F1356">
        <f>VLOOKUP($A1356,ordered_items!$B$2:$E$4784,2,0)</f>
        <v>1355</v>
      </c>
      <c r="G1356">
        <f>VLOOKUP($A1356,ordered_items!$B$2:$E$4784,3,0)</f>
        <v>1</v>
      </c>
      <c r="H1356">
        <f>VLOOKUP($A1356,ordered_items!$B$2:$E$4784,4,0)</f>
        <v>532.58000000000004</v>
      </c>
      <c r="I1356" s="15">
        <f>VLOOKUP(F1356,product_info!$A$2:$D$73,4,0)</f>
        <v>6</v>
      </c>
      <c r="J1356" s="15" t="str">
        <f>VLOOKUP(I1356,department!$A$2:$B$13,2,0)</f>
        <v>Outdoors</v>
      </c>
      <c r="K1356">
        <v>15676</v>
      </c>
      <c r="L1356" t="s">
        <v>1355</v>
      </c>
      <c r="M1356" s="4">
        <v>44152</v>
      </c>
      <c r="N1356" s="12">
        <f t="shared" si="64"/>
        <v>11</v>
      </c>
      <c r="O1356" s="13">
        <f t="shared" si="65"/>
        <v>2020</v>
      </c>
      <c r="P1356" t="s">
        <v>13</v>
      </c>
      <c r="Q1356" t="s">
        <v>377</v>
      </c>
      <c r="R1356" t="s">
        <v>38</v>
      </c>
      <c r="S1356" t="str" cm="1">
        <f t="array" ref="S1356">_xlfn.IFS(R1356="COMPLETE", "COMPLETED", R1356="CANCELED", "CANCELED", TRUE, "PENDING")</f>
        <v>PENDING</v>
      </c>
      <c r="T1356" t="s">
        <v>16</v>
      </c>
      <c r="U1356">
        <f>VLOOKUP(A1356,ordered_items!$B:$E,4,0)</f>
        <v>532.58000000000004</v>
      </c>
    </row>
    <row r="1357" spans="1:21" x14ac:dyDescent="0.3">
      <c r="A1357">
        <v>72124</v>
      </c>
      <c r="B1357" t="s">
        <v>51</v>
      </c>
      <c r="C1357">
        <v>5</v>
      </c>
      <c r="D1357">
        <v>4</v>
      </c>
      <c r="E1357" t="str">
        <f t="shared" si="63"/>
        <v>DELAYED</v>
      </c>
      <c r="F1357">
        <f>VLOOKUP($A1357,ordered_items!$B$2:$E$4784,2,0)</f>
        <v>1355</v>
      </c>
      <c r="G1357">
        <f>VLOOKUP($A1357,ordered_items!$B$2:$E$4784,3,0)</f>
        <v>1</v>
      </c>
      <c r="H1357">
        <f>VLOOKUP($A1357,ordered_items!$B$2:$E$4784,4,0)</f>
        <v>532.58000000000004</v>
      </c>
      <c r="I1357" s="15">
        <f>VLOOKUP(F1357,product_info!$A$2:$D$73,4,0)</f>
        <v>6</v>
      </c>
      <c r="J1357" s="15" t="str">
        <f>VLOOKUP(I1357,department!$A$2:$B$13,2,0)</f>
        <v>Outdoors</v>
      </c>
      <c r="K1357">
        <v>15677</v>
      </c>
      <c r="L1357" t="s">
        <v>1355</v>
      </c>
      <c r="M1357" s="4">
        <v>44152</v>
      </c>
      <c r="N1357" s="12">
        <f t="shared" si="64"/>
        <v>11</v>
      </c>
      <c r="O1357" s="13">
        <f t="shared" si="65"/>
        <v>2020</v>
      </c>
      <c r="P1357" t="s">
        <v>13</v>
      </c>
      <c r="Q1357" t="s">
        <v>377</v>
      </c>
      <c r="R1357" t="s">
        <v>57</v>
      </c>
      <c r="S1357" t="str" cm="1">
        <f t="array" ref="S1357">_xlfn.IFS(R1357="COMPLETE", "COMPLETED", R1357="CANCELED", "CANCELED", TRUE, "PENDING")</f>
        <v>PENDING</v>
      </c>
      <c r="T1357" t="s">
        <v>16</v>
      </c>
      <c r="U1357">
        <f>VLOOKUP(A1357,ordered_items!$B:$E,4,0)</f>
        <v>532.58000000000004</v>
      </c>
    </row>
    <row r="1358" spans="1:21" x14ac:dyDescent="0.3">
      <c r="A1358">
        <v>72125</v>
      </c>
      <c r="B1358" t="s">
        <v>24</v>
      </c>
      <c r="C1358">
        <v>6</v>
      </c>
      <c r="D1358">
        <v>4</v>
      </c>
      <c r="E1358" t="str">
        <f t="shared" si="63"/>
        <v>DELAYED</v>
      </c>
      <c r="F1358">
        <f>VLOOKUP($A1358,ordered_items!$B$2:$E$4784,2,0)</f>
        <v>1356</v>
      </c>
      <c r="G1358">
        <f>VLOOKUP($A1358,ordered_items!$B$2:$E$4784,3,0)</f>
        <v>1</v>
      </c>
      <c r="H1358">
        <f>VLOOKUP($A1358,ordered_items!$B$2:$E$4784,4,0)</f>
        <v>293.04000000000002</v>
      </c>
      <c r="I1358" s="15">
        <f>VLOOKUP(F1358,product_info!$A$2:$D$73,4,0)</f>
        <v>12</v>
      </c>
      <c r="J1358" s="15" t="str">
        <f>VLOOKUP(I1358,department!$A$2:$B$13,2,0)</f>
        <v xml:space="preserve">Health and Beauty </v>
      </c>
      <c r="K1358">
        <v>15678</v>
      </c>
      <c r="L1358" t="s">
        <v>537</v>
      </c>
      <c r="M1358" s="4">
        <v>44152</v>
      </c>
      <c r="N1358" s="12">
        <f t="shared" si="64"/>
        <v>11</v>
      </c>
      <c r="O1358" s="13">
        <f t="shared" si="65"/>
        <v>2020</v>
      </c>
      <c r="P1358" t="s">
        <v>13</v>
      </c>
      <c r="Q1358" t="s">
        <v>538</v>
      </c>
      <c r="R1358" t="s">
        <v>31</v>
      </c>
      <c r="S1358" t="str" cm="1">
        <f t="array" ref="S1358">_xlfn.IFS(R1358="COMPLETE", "COMPLETED", R1358="CANCELED", "CANCELED", TRUE, "PENDING")</f>
        <v>COMPLETED</v>
      </c>
      <c r="T1358" t="s">
        <v>16</v>
      </c>
      <c r="U1358">
        <f>VLOOKUP(A1358,ordered_items!$B:$E,4,0)</f>
        <v>293.04000000000002</v>
      </c>
    </row>
    <row r="1359" spans="1:21" x14ac:dyDescent="0.3">
      <c r="A1359">
        <v>72126</v>
      </c>
      <c r="B1359" t="s">
        <v>3</v>
      </c>
      <c r="C1359">
        <v>2</v>
      </c>
      <c r="D1359">
        <v>4</v>
      </c>
      <c r="E1359" t="str">
        <f t="shared" si="63"/>
        <v xml:space="preserve"> ONTIME</v>
      </c>
      <c r="F1359">
        <f>VLOOKUP($A1359,ordered_items!$B$2:$E$4784,2,0)</f>
        <v>1356</v>
      </c>
      <c r="G1359">
        <f>VLOOKUP($A1359,ordered_items!$B$2:$E$4784,3,0)</f>
        <v>1</v>
      </c>
      <c r="H1359">
        <f>VLOOKUP($A1359,ordered_items!$B$2:$E$4784,4,0)</f>
        <v>293.04000000000002</v>
      </c>
      <c r="I1359" s="15">
        <f>VLOOKUP(F1359,product_info!$A$2:$D$73,4,0)</f>
        <v>12</v>
      </c>
      <c r="J1359" s="15" t="str">
        <f>VLOOKUP(I1359,department!$A$2:$B$13,2,0)</f>
        <v xml:space="preserve">Health and Beauty </v>
      </c>
      <c r="K1359">
        <v>15679</v>
      </c>
      <c r="L1359" t="s">
        <v>537</v>
      </c>
      <c r="M1359" s="4">
        <v>44152</v>
      </c>
      <c r="N1359" s="12">
        <f t="shared" si="64"/>
        <v>11</v>
      </c>
      <c r="O1359" s="13">
        <f t="shared" si="65"/>
        <v>2020</v>
      </c>
      <c r="P1359" t="s">
        <v>13</v>
      </c>
      <c r="Q1359" t="s">
        <v>538</v>
      </c>
      <c r="R1359" t="s">
        <v>38</v>
      </c>
      <c r="S1359" t="str" cm="1">
        <f t="array" ref="S1359">_xlfn.IFS(R1359="COMPLETE", "COMPLETED", R1359="CANCELED", "CANCELED", TRUE, "PENDING")</f>
        <v>PENDING</v>
      </c>
      <c r="T1359" t="s">
        <v>16</v>
      </c>
      <c r="U1359">
        <f>VLOOKUP(A1359,ordered_items!$B:$E,4,0)</f>
        <v>293.04000000000002</v>
      </c>
    </row>
    <row r="1360" spans="1:21" x14ac:dyDescent="0.3">
      <c r="A1360">
        <v>72141</v>
      </c>
      <c r="B1360" t="s">
        <v>51</v>
      </c>
      <c r="C1360">
        <v>2</v>
      </c>
      <c r="D1360">
        <v>1</v>
      </c>
      <c r="E1360" t="str">
        <f t="shared" si="63"/>
        <v>DELAYED</v>
      </c>
      <c r="F1360">
        <f>VLOOKUP($A1360,ordered_items!$B$2:$E$4784,2,0)</f>
        <v>1356</v>
      </c>
      <c r="G1360">
        <f>VLOOKUP($A1360,ordered_items!$B$2:$E$4784,3,0)</f>
        <v>1</v>
      </c>
      <c r="H1360">
        <f>VLOOKUP($A1360,ordered_items!$B$2:$E$4784,4,0)</f>
        <v>293.04000000000002</v>
      </c>
      <c r="I1360" s="15">
        <f>VLOOKUP(F1360,product_info!$A$2:$D$73,4,0)</f>
        <v>12</v>
      </c>
      <c r="J1360" s="15" t="str">
        <f>VLOOKUP(I1360,department!$A$2:$B$13,2,0)</f>
        <v xml:space="preserve">Health and Beauty </v>
      </c>
      <c r="K1360">
        <v>15694</v>
      </c>
      <c r="L1360" t="s">
        <v>888</v>
      </c>
      <c r="M1360" s="4">
        <v>44153</v>
      </c>
      <c r="N1360" s="12">
        <f t="shared" si="64"/>
        <v>11</v>
      </c>
      <c r="O1360" s="13">
        <f t="shared" si="65"/>
        <v>2020</v>
      </c>
      <c r="P1360" t="s">
        <v>13</v>
      </c>
      <c r="Q1360" t="s">
        <v>30</v>
      </c>
      <c r="R1360" t="s">
        <v>57</v>
      </c>
      <c r="S1360" t="str" cm="1">
        <f t="array" ref="S1360">_xlfn.IFS(R1360="COMPLETE", "COMPLETED", R1360="CANCELED", "CANCELED", TRUE, "PENDING")</f>
        <v>PENDING</v>
      </c>
      <c r="T1360" t="s">
        <v>32</v>
      </c>
      <c r="U1360">
        <f>VLOOKUP(A1360,ordered_items!$B:$E,4,0)</f>
        <v>293.04000000000002</v>
      </c>
    </row>
    <row r="1361" spans="1:21" x14ac:dyDescent="0.3">
      <c r="A1361">
        <v>72142</v>
      </c>
      <c r="B1361" t="s">
        <v>17</v>
      </c>
      <c r="C1361">
        <v>3</v>
      </c>
      <c r="D1361">
        <v>2</v>
      </c>
      <c r="E1361" t="str">
        <f t="shared" si="63"/>
        <v>DELAYED</v>
      </c>
      <c r="F1361">
        <f>VLOOKUP($A1361,ordered_items!$B$2:$E$4784,2,0)</f>
        <v>1356</v>
      </c>
      <c r="G1361">
        <f>VLOOKUP($A1361,ordered_items!$B$2:$E$4784,3,0)</f>
        <v>1</v>
      </c>
      <c r="H1361">
        <f>VLOOKUP($A1361,ordered_items!$B$2:$E$4784,4,0)</f>
        <v>293.04000000000002</v>
      </c>
      <c r="I1361" s="15">
        <f>VLOOKUP(F1361,product_info!$A$2:$D$73,4,0)</f>
        <v>12</v>
      </c>
      <c r="J1361" s="15" t="str">
        <f>VLOOKUP(I1361,department!$A$2:$B$13,2,0)</f>
        <v xml:space="preserve">Health and Beauty </v>
      </c>
      <c r="K1361">
        <v>15695</v>
      </c>
      <c r="L1361" t="s">
        <v>888</v>
      </c>
      <c r="M1361" s="4">
        <v>44153</v>
      </c>
      <c r="N1361" s="12">
        <f t="shared" si="64"/>
        <v>11</v>
      </c>
      <c r="O1361" s="13">
        <f t="shared" si="65"/>
        <v>2020</v>
      </c>
      <c r="P1361" t="s">
        <v>13</v>
      </c>
      <c r="Q1361" t="s">
        <v>30</v>
      </c>
      <c r="R1361" t="s">
        <v>23</v>
      </c>
      <c r="S1361" t="str" cm="1">
        <f t="array" ref="S1361">_xlfn.IFS(R1361="COMPLETE", "COMPLETED", R1361="CANCELED", "CANCELED", TRUE, "PENDING")</f>
        <v>PENDING</v>
      </c>
      <c r="T1361" t="s">
        <v>90</v>
      </c>
      <c r="U1361">
        <f>VLOOKUP(A1361,ordered_items!$B:$E,4,0)</f>
        <v>293.04000000000002</v>
      </c>
    </row>
    <row r="1362" spans="1:21" x14ac:dyDescent="0.3">
      <c r="A1362">
        <v>72143</v>
      </c>
      <c r="B1362" t="s">
        <v>3</v>
      </c>
      <c r="C1362">
        <v>4</v>
      </c>
      <c r="D1362">
        <v>2</v>
      </c>
      <c r="E1362" t="str">
        <f t="shared" si="63"/>
        <v>DELAYED</v>
      </c>
      <c r="F1362">
        <f>VLOOKUP($A1362,ordered_items!$B$2:$E$4784,2,0)</f>
        <v>1356</v>
      </c>
      <c r="G1362">
        <f>VLOOKUP($A1362,ordered_items!$B$2:$E$4784,3,0)</f>
        <v>1</v>
      </c>
      <c r="H1362">
        <f>VLOOKUP($A1362,ordered_items!$B$2:$E$4784,4,0)</f>
        <v>293.04000000000002</v>
      </c>
      <c r="I1362" s="15">
        <f>VLOOKUP(F1362,product_info!$A$2:$D$73,4,0)</f>
        <v>12</v>
      </c>
      <c r="J1362" s="15" t="str">
        <f>VLOOKUP(I1362,department!$A$2:$B$13,2,0)</f>
        <v xml:space="preserve">Health and Beauty </v>
      </c>
      <c r="K1362">
        <v>15696</v>
      </c>
      <c r="L1362" t="s">
        <v>888</v>
      </c>
      <c r="M1362" s="4">
        <v>44153</v>
      </c>
      <c r="N1362" s="12">
        <f t="shared" si="64"/>
        <v>11</v>
      </c>
      <c r="O1362" s="13">
        <f t="shared" si="65"/>
        <v>2020</v>
      </c>
      <c r="P1362" t="s">
        <v>13</v>
      </c>
      <c r="Q1362" t="s">
        <v>30</v>
      </c>
      <c r="R1362" t="s">
        <v>14</v>
      </c>
      <c r="S1362" t="str" cm="1">
        <f t="array" ref="S1362">_xlfn.IFS(R1362="COMPLETE", "COMPLETED", R1362="CANCELED", "CANCELED", TRUE, "PENDING")</f>
        <v>PENDING</v>
      </c>
      <c r="T1362" t="s">
        <v>90</v>
      </c>
      <c r="U1362">
        <f>VLOOKUP(A1362,ordered_items!$B:$E,4,0)</f>
        <v>293.04000000000002</v>
      </c>
    </row>
    <row r="1363" spans="1:21" x14ac:dyDescent="0.3">
      <c r="A1363">
        <v>72144</v>
      </c>
      <c r="B1363" t="s">
        <v>24</v>
      </c>
      <c r="C1363">
        <v>2</v>
      </c>
      <c r="D1363">
        <v>1</v>
      </c>
      <c r="E1363" t="str">
        <f t="shared" si="63"/>
        <v>DELAYED</v>
      </c>
      <c r="F1363">
        <f>VLOOKUP($A1363,ordered_items!$B$2:$E$4784,2,0)</f>
        <v>1356</v>
      </c>
      <c r="G1363">
        <f>VLOOKUP($A1363,ordered_items!$B$2:$E$4784,3,0)</f>
        <v>1</v>
      </c>
      <c r="H1363">
        <f>VLOOKUP($A1363,ordered_items!$B$2:$E$4784,4,0)</f>
        <v>293.04000000000002</v>
      </c>
      <c r="I1363" s="15">
        <f>VLOOKUP(F1363,product_info!$A$2:$D$73,4,0)</f>
        <v>12</v>
      </c>
      <c r="J1363" s="15" t="str">
        <f>VLOOKUP(I1363,department!$A$2:$B$13,2,0)</f>
        <v xml:space="preserve">Health and Beauty </v>
      </c>
      <c r="K1363">
        <v>15697</v>
      </c>
      <c r="L1363" t="s">
        <v>888</v>
      </c>
      <c r="M1363" s="4">
        <v>44153</v>
      </c>
      <c r="N1363" s="12">
        <f t="shared" si="64"/>
        <v>11</v>
      </c>
      <c r="O1363" s="13">
        <f t="shared" si="65"/>
        <v>2020</v>
      </c>
      <c r="P1363" t="s">
        <v>13</v>
      </c>
      <c r="Q1363" t="s">
        <v>30</v>
      </c>
      <c r="R1363" t="s">
        <v>31</v>
      </c>
      <c r="S1363" t="str" cm="1">
        <f t="array" ref="S1363">_xlfn.IFS(R1363="COMPLETE", "COMPLETED", R1363="CANCELED", "CANCELED", TRUE, "PENDING")</f>
        <v>COMPLETED</v>
      </c>
      <c r="T1363" t="s">
        <v>32</v>
      </c>
      <c r="U1363">
        <f>VLOOKUP(A1363,ordered_items!$B:$E,4,0)</f>
        <v>293.04000000000002</v>
      </c>
    </row>
    <row r="1364" spans="1:21" x14ac:dyDescent="0.3">
      <c r="A1364">
        <v>72145</v>
      </c>
      <c r="B1364" t="s">
        <v>24</v>
      </c>
      <c r="C1364">
        <v>6</v>
      </c>
      <c r="D1364">
        <v>2</v>
      </c>
      <c r="E1364" t="str">
        <f t="shared" si="63"/>
        <v>DELAYED</v>
      </c>
      <c r="F1364">
        <f>VLOOKUP($A1364,ordered_items!$B$2:$E$4784,2,0)</f>
        <v>1356</v>
      </c>
      <c r="G1364">
        <f>VLOOKUP($A1364,ordered_items!$B$2:$E$4784,3,0)</f>
        <v>1</v>
      </c>
      <c r="H1364">
        <f>VLOOKUP($A1364,ordered_items!$B$2:$E$4784,4,0)</f>
        <v>293.04000000000002</v>
      </c>
      <c r="I1364" s="15">
        <f>VLOOKUP(F1364,product_info!$A$2:$D$73,4,0)</f>
        <v>12</v>
      </c>
      <c r="J1364" s="15" t="str">
        <f>VLOOKUP(I1364,department!$A$2:$B$13,2,0)</f>
        <v xml:space="preserve">Health and Beauty </v>
      </c>
      <c r="K1364">
        <v>15698</v>
      </c>
      <c r="L1364" t="s">
        <v>2438</v>
      </c>
      <c r="M1364" s="4">
        <v>44153</v>
      </c>
      <c r="N1364" s="12">
        <f t="shared" si="64"/>
        <v>11</v>
      </c>
      <c r="O1364" s="13">
        <f t="shared" si="65"/>
        <v>2020</v>
      </c>
      <c r="P1364" t="s">
        <v>13</v>
      </c>
      <c r="Q1364" t="s">
        <v>47</v>
      </c>
      <c r="R1364" t="s">
        <v>31</v>
      </c>
      <c r="S1364" t="str" cm="1">
        <f t="array" ref="S1364">_xlfn.IFS(R1364="COMPLETE", "COMPLETED", R1364="CANCELED", "CANCELED", TRUE, "PENDING")</f>
        <v>COMPLETED</v>
      </c>
      <c r="T1364" t="s">
        <v>90</v>
      </c>
      <c r="U1364">
        <f>VLOOKUP(A1364,ordered_items!$B:$E,4,0)</f>
        <v>293.04000000000002</v>
      </c>
    </row>
    <row r="1365" spans="1:21" x14ac:dyDescent="0.3">
      <c r="A1365">
        <v>72158</v>
      </c>
      <c r="B1365" t="s">
        <v>24</v>
      </c>
      <c r="C1365">
        <v>4</v>
      </c>
      <c r="D1365">
        <v>4</v>
      </c>
      <c r="E1365" t="str">
        <f t="shared" si="63"/>
        <v xml:space="preserve"> ONTIME</v>
      </c>
      <c r="F1365">
        <f>VLOOKUP($A1365,ordered_items!$B$2:$E$4784,2,0)</f>
        <v>1356</v>
      </c>
      <c r="G1365">
        <f>VLOOKUP($A1365,ordered_items!$B$2:$E$4784,3,0)</f>
        <v>1</v>
      </c>
      <c r="H1365">
        <f>VLOOKUP($A1365,ordered_items!$B$2:$E$4784,4,0)</f>
        <v>293.04000000000002</v>
      </c>
      <c r="I1365" s="15">
        <f>VLOOKUP(F1365,product_info!$A$2:$D$73,4,0)</f>
        <v>12</v>
      </c>
      <c r="J1365" s="15" t="str">
        <f>VLOOKUP(I1365,department!$A$2:$B$13,2,0)</f>
        <v xml:space="preserve">Health and Beauty </v>
      </c>
      <c r="K1365">
        <v>15711</v>
      </c>
      <c r="L1365" t="s">
        <v>660</v>
      </c>
      <c r="M1365" s="4">
        <v>44153</v>
      </c>
      <c r="N1365" s="12">
        <f t="shared" si="64"/>
        <v>11</v>
      </c>
      <c r="O1365" s="13">
        <f t="shared" si="65"/>
        <v>2020</v>
      </c>
      <c r="P1365" t="s">
        <v>13</v>
      </c>
      <c r="Q1365" t="s">
        <v>99</v>
      </c>
      <c r="R1365" t="s">
        <v>378</v>
      </c>
      <c r="S1365" t="str" cm="1">
        <f t="array" ref="S1365">_xlfn.IFS(R1365="COMPLETE", "COMPLETED", R1365="CANCELED", "CANCELED", TRUE, "PENDING")</f>
        <v>PENDING</v>
      </c>
      <c r="T1365" t="s">
        <v>16</v>
      </c>
      <c r="U1365">
        <f>VLOOKUP(A1365,ordered_items!$B:$E,4,0)</f>
        <v>293.04000000000002</v>
      </c>
    </row>
    <row r="1366" spans="1:21" x14ac:dyDescent="0.3">
      <c r="A1366">
        <v>72159</v>
      </c>
      <c r="B1366" t="s">
        <v>17</v>
      </c>
      <c r="C1366">
        <v>5</v>
      </c>
      <c r="D1366">
        <v>4</v>
      </c>
      <c r="E1366" t="str">
        <f t="shared" si="63"/>
        <v>DELAYED</v>
      </c>
      <c r="F1366">
        <f>VLOOKUP($A1366,ordered_items!$B$2:$E$4784,2,0)</f>
        <v>1356</v>
      </c>
      <c r="G1366">
        <f>VLOOKUP($A1366,ordered_items!$B$2:$E$4784,3,0)</f>
        <v>1</v>
      </c>
      <c r="H1366">
        <f>VLOOKUP($A1366,ordered_items!$B$2:$E$4784,4,0)</f>
        <v>293.04000000000002</v>
      </c>
      <c r="I1366" s="15">
        <f>VLOOKUP(F1366,product_info!$A$2:$D$73,4,0)</f>
        <v>12</v>
      </c>
      <c r="J1366" s="15" t="str">
        <f>VLOOKUP(I1366,department!$A$2:$B$13,2,0)</f>
        <v xml:space="preserve">Health and Beauty </v>
      </c>
      <c r="K1366">
        <v>15712</v>
      </c>
      <c r="L1366" t="s">
        <v>660</v>
      </c>
      <c r="M1366" s="4">
        <v>44153</v>
      </c>
      <c r="N1366" s="12">
        <f t="shared" si="64"/>
        <v>11</v>
      </c>
      <c r="O1366" s="13">
        <f t="shared" si="65"/>
        <v>2020</v>
      </c>
      <c r="P1366" t="s">
        <v>13</v>
      </c>
      <c r="Q1366" t="s">
        <v>99</v>
      </c>
      <c r="R1366" t="s">
        <v>23</v>
      </c>
      <c r="S1366" t="str" cm="1">
        <f t="array" ref="S1366">_xlfn.IFS(R1366="COMPLETE", "COMPLETED", R1366="CANCELED", "CANCELED", TRUE, "PENDING")</f>
        <v>PENDING</v>
      </c>
      <c r="T1366" t="s">
        <v>16</v>
      </c>
      <c r="U1366">
        <f>VLOOKUP(A1366,ordered_items!$B:$E,4,0)</f>
        <v>293.04000000000002</v>
      </c>
    </row>
    <row r="1367" spans="1:21" x14ac:dyDescent="0.3">
      <c r="A1367">
        <v>72160</v>
      </c>
      <c r="B1367" t="s">
        <v>51</v>
      </c>
      <c r="C1367">
        <v>6</v>
      </c>
      <c r="D1367">
        <v>4</v>
      </c>
      <c r="E1367" t="str">
        <f t="shared" si="63"/>
        <v>DELAYED</v>
      </c>
      <c r="F1367">
        <f>VLOOKUP($A1367,ordered_items!$B$2:$E$4784,2,0)</f>
        <v>1356</v>
      </c>
      <c r="G1367">
        <f>VLOOKUP($A1367,ordered_items!$B$2:$E$4784,3,0)</f>
        <v>1</v>
      </c>
      <c r="H1367">
        <f>VLOOKUP($A1367,ordered_items!$B$2:$E$4784,4,0)</f>
        <v>293.04000000000002</v>
      </c>
      <c r="I1367" s="15">
        <f>VLOOKUP(F1367,product_info!$A$2:$D$73,4,0)</f>
        <v>12</v>
      </c>
      <c r="J1367" s="15" t="str">
        <f>VLOOKUP(I1367,department!$A$2:$B$13,2,0)</f>
        <v xml:space="preserve">Health and Beauty </v>
      </c>
      <c r="K1367">
        <v>15713</v>
      </c>
      <c r="L1367" t="s">
        <v>660</v>
      </c>
      <c r="M1367" s="4">
        <v>44153</v>
      </c>
      <c r="N1367" s="12">
        <f t="shared" si="64"/>
        <v>11</v>
      </c>
      <c r="O1367" s="13">
        <f t="shared" si="65"/>
        <v>2020</v>
      </c>
      <c r="P1367" t="s">
        <v>13</v>
      </c>
      <c r="Q1367" t="s">
        <v>99</v>
      </c>
      <c r="R1367" t="s">
        <v>57</v>
      </c>
      <c r="S1367" t="str" cm="1">
        <f t="array" ref="S1367">_xlfn.IFS(R1367="COMPLETE", "COMPLETED", R1367="CANCELED", "CANCELED", TRUE, "PENDING")</f>
        <v>PENDING</v>
      </c>
      <c r="T1367" t="s">
        <v>16</v>
      </c>
      <c r="U1367">
        <f>VLOOKUP(A1367,ordered_items!$B:$E,4,0)</f>
        <v>293.04000000000002</v>
      </c>
    </row>
    <row r="1368" spans="1:21" x14ac:dyDescent="0.3">
      <c r="A1368">
        <v>72167</v>
      </c>
      <c r="B1368" t="s">
        <v>24</v>
      </c>
      <c r="C1368">
        <v>3</v>
      </c>
      <c r="D1368">
        <v>4</v>
      </c>
      <c r="E1368" t="str">
        <f t="shared" si="63"/>
        <v xml:space="preserve"> ONTIME</v>
      </c>
      <c r="F1368">
        <f>VLOOKUP($A1368,ordered_items!$B$2:$E$4784,2,0)</f>
        <v>1356</v>
      </c>
      <c r="G1368">
        <f>VLOOKUP($A1368,ordered_items!$B$2:$E$4784,3,0)</f>
        <v>1</v>
      </c>
      <c r="H1368">
        <f>VLOOKUP($A1368,ordered_items!$B$2:$E$4784,4,0)</f>
        <v>293.04000000000002</v>
      </c>
      <c r="I1368" s="15">
        <f>VLOOKUP(F1368,product_info!$A$2:$D$73,4,0)</f>
        <v>12</v>
      </c>
      <c r="J1368" s="15" t="str">
        <f>VLOOKUP(I1368,department!$A$2:$B$13,2,0)</f>
        <v xml:space="preserve">Health and Beauty </v>
      </c>
      <c r="K1368">
        <v>15720</v>
      </c>
      <c r="L1368" t="s">
        <v>244</v>
      </c>
      <c r="M1368" s="4">
        <v>44153</v>
      </c>
      <c r="N1368" s="12">
        <f t="shared" si="64"/>
        <v>11</v>
      </c>
      <c r="O1368" s="13">
        <f t="shared" si="65"/>
        <v>2020</v>
      </c>
      <c r="P1368" t="s">
        <v>13</v>
      </c>
      <c r="Q1368" t="s">
        <v>245</v>
      </c>
      <c r="R1368" t="s">
        <v>31</v>
      </c>
      <c r="S1368" t="str" cm="1">
        <f t="array" ref="S1368">_xlfn.IFS(R1368="COMPLETE", "COMPLETED", R1368="CANCELED", "CANCELED", TRUE, "PENDING")</f>
        <v>COMPLETED</v>
      </c>
      <c r="T1368" t="s">
        <v>16</v>
      </c>
      <c r="U1368">
        <f>VLOOKUP(A1368,ordered_items!$B:$E,4,0)</f>
        <v>293.04000000000002</v>
      </c>
    </row>
    <row r="1369" spans="1:21" x14ac:dyDescent="0.3">
      <c r="A1369">
        <v>72177</v>
      </c>
      <c r="B1369" t="s">
        <v>3</v>
      </c>
      <c r="C1369">
        <v>3</v>
      </c>
      <c r="D1369">
        <v>4</v>
      </c>
      <c r="E1369" t="str">
        <f t="shared" si="63"/>
        <v xml:space="preserve"> ONTIME</v>
      </c>
      <c r="F1369">
        <f>VLOOKUP($A1369,ordered_items!$B$2:$E$4784,2,0)</f>
        <v>1356</v>
      </c>
      <c r="G1369">
        <f>VLOOKUP($A1369,ordered_items!$B$2:$E$4784,3,0)</f>
        <v>1</v>
      </c>
      <c r="H1369">
        <f>VLOOKUP($A1369,ordered_items!$B$2:$E$4784,4,0)</f>
        <v>293.04000000000002</v>
      </c>
      <c r="I1369" s="15">
        <f>VLOOKUP(F1369,product_info!$A$2:$D$73,4,0)</f>
        <v>12</v>
      </c>
      <c r="J1369" s="15" t="str">
        <f>VLOOKUP(I1369,department!$A$2:$B$13,2,0)</f>
        <v xml:space="preserve">Health and Beauty </v>
      </c>
      <c r="K1369">
        <v>15730</v>
      </c>
      <c r="L1369" t="s">
        <v>541</v>
      </c>
      <c r="M1369" s="4">
        <v>44153</v>
      </c>
      <c r="N1369" s="12">
        <f t="shared" si="64"/>
        <v>11</v>
      </c>
      <c r="O1369" s="13">
        <f t="shared" si="65"/>
        <v>2020</v>
      </c>
      <c r="P1369" t="s">
        <v>13</v>
      </c>
      <c r="Q1369" t="s">
        <v>5780</v>
      </c>
      <c r="R1369" t="s">
        <v>235</v>
      </c>
      <c r="S1369" t="str" cm="1">
        <f t="array" ref="S1369">_xlfn.IFS(R1369="COMPLETE", "COMPLETED", R1369="CANCELED", "CANCELED", TRUE, "PENDING")</f>
        <v>CANCELED</v>
      </c>
      <c r="T1369" t="s">
        <v>16</v>
      </c>
      <c r="U1369">
        <f>VLOOKUP(A1369,ordered_items!$B:$E,4,0)</f>
        <v>293.04000000000002</v>
      </c>
    </row>
    <row r="1370" spans="1:21" x14ac:dyDescent="0.3">
      <c r="A1370">
        <v>72223</v>
      </c>
      <c r="B1370" t="s">
        <v>3</v>
      </c>
      <c r="C1370">
        <v>4</v>
      </c>
      <c r="D1370">
        <v>2</v>
      </c>
      <c r="E1370" t="str">
        <f t="shared" si="63"/>
        <v>DELAYED</v>
      </c>
      <c r="F1370">
        <f>VLOOKUP($A1370,ordered_items!$B$2:$E$4784,2,0)</f>
        <v>1356</v>
      </c>
      <c r="G1370">
        <f>VLOOKUP($A1370,ordered_items!$B$2:$E$4784,3,0)</f>
        <v>1</v>
      </c>
      <c r="H1370">
        <f>VLOOKUP($A1370,ordered_items!$B$2:$E$4784,4,0)</f>
        <v>293.04000000000002</v>
      </c>
      <c r="I1370" s="15">
        <f>VLOOKUP(F1370,product_info!$A$2:$D$73,4,0)</f>
        <v>12</v>
      </c>
      <c r="J1370" s="15" t="str">
        <f>VLOOKUP(I1370,department!$A$2:$B$13,2,0)</f>
        <v xml:space="preserve">Health and Beauty </v>
      </c>
      <c r="K1370">
        <v>15776</v>
      </c>
      <c r="L1370" t="s">
        <v>202</v>
      </c>
      <c r="M1370" s="4">
        <v>44154</v>
      </c>
      <c r="N1370" s="12">
        <f t="shared" si="64"/>
        <v>11</v>
      </c>
      <c r="O1370" s="13">
        <f t="shared" si="65"/>
        <v>2020</v>
      </c>
      <c r="P1370" t="s">
        <v>13</v>
      </c>
      <c r="Q1370" t="s">
        <v>203</v>
      </c>
      <c r="R1370" t="s">
        <v>38</v>
      </c>
      <c r="S1370" t="str" cm="1">
        <f t="array" ref="S1370">_xlfn.IFS(R1370="COMPLETE", "COMPLETED", R1370="CANCELED", "CANCELED", TRUE, "PENDING")</f>
        <v>PENDING</v>
      </c>
      <c r="T1370" t="s">
        <v>90</v>
      </c>
      <c r="U1370">
        <f>VLOOKUP(A1370,ordered_items!$B:$E,4,0)</f>
        <v>293.04000000000002</v>
      </c>
    </row>
    <row r="1371" spans="1:21" x14ac:dyDescent="0.3">
      <c r="A1371">
        <v>72224</v>
      </c>
      <c r="B1371" t="s">
        <v>3</v>
      </c>
      <c r="C1371">
        <v>5</v>
      </c>
      <c r="D1371">
        <v>2</v>
      </c>
      <c r="E1371" t="str">
        <f t="shared" si="63"/>
        <v>DELAYED</v>
      </c>
      <c r="F1371">
        <f>VLOOKUP($A1371,ordered_items!$B$2:$E$4784,2,0)</f>
        <v>1356</v>
      </c>
      <c r="G1371">
        <f>VLOOKUP($A1371,ordered_items!$B$2:$E$4784,3,0)</f>
        <v>1</v>
      </c>
      <c r="H1371">
        <f>VLOOKUP($A1371,ordered_items!$B$2:$E$4784,4,0)</f>
        <v>293.04000000000002</v>
      </c>
      <c r="I1371" s="15">
        <f>VLOOKUP(F1371,product_info!$A$2:$D$73,4,0)</f>
        <v>12</v>
      </c>
      <c r="J1371" s="15" t="str">
        <f>VLOOKUP(I1371,department!$A$2:$B$13,2,0)</f>
        <v xml:space="preserve">Health and Beauty </v>
      </c>
      <c r="K1371">
        <v>15777</v>
      </c>
      <c r="L1371" t="s">
        <v>202</v>
      </c>
      <c r="M1371" s="4">
        <v>44154</v>
      </c>
      <c r="N1371" s="12">
        <f t="shared" si="64"/>
        <v>11</v>
      </c>
      <c r="O1371" s="13">
        <f t="shared" si="65"/>
        <v>2020</v>
      </c>
      <c r="P1371" t="s">
        <v>13</v>
      </c>
      <c r="Q1371" t="s">
        <v>203</v>
      </c>
      <c r="R1371" t="s">
        <v>178</v>
      </c>
      <c r="S1371" t="str" cm="1">
        <f t="array" ref="S1371">_xlfn.IFS(R1371="COMPLETE", "COMPLETED", R1371="CANCELED", "CANCELED", TRUE, "PENDING")</f>
        <v>PENDING</v>
      </c>
      <c r="T1371" t="s">
        <v>90</v>
      </c>
      <c r="U1371">
        <f>VLOOKUP(A1371,ordered_items!$B:$E,4,0)</f>
        <v>293.04000000000002</v>
      </c>
    </row>
    <row r="1372" spans="1:21" x14ac:dyDescent="0.3">
      <c r="A1372">
        <v>72225</v>
      </c>
      <c r="B1372" t="s">
        <v>17</v>
      </c>
      <c r="C1372">
        <v>2</v>
      </c>
      <c r="D1372">
        <v>1</v>
      </c>
      <c r="E1372" t="str">
        <f t="shared" si="63"/>
        <v>DELAYED</v>
      </c>
      <c r="F1372">
        <f>VLOOKUP($A1372,ordered_items!$B$2:$E$4784,2,0)</f>
        <v>1356</v>
      </c>
      <c r="G1372">
        <f>VLOOKUP($A1372,ordered_items!$B$2:$E$4784,3,0)</f>
        <v>1</v>
      </c>
      <c r="H1372">
        <f>VLOOKUP($A1372,ordered_items!$B$2:$E$4784,4,0)</f>
        <v>293.04000000000002</v>
      </c>
      <c r="I1372" s="15">
        <f>VLOOKUP(F1372,product_info!$A$2:$D$73,4,0)</f>
        <v>12</v>
      </c>
      <c r="J1372" s="15" t="str">
        <f>VLOOKUP(I1372,department!$A$2:$B$13,2,0)</f>
        <v xml:space="preserve">Health and Beauty </v>
      </c>
      <c r="K1372">
        <v>15778</v>
      </c>
      <c r="L1372" t="s">
        <v>202</v>
      </c>
      <c r="M1372" s="4">
        <v>44154</v>
      </c>
      <c r="N1372" s="12">
        <f t="shared" si="64"/>
        <v>11</v>
      </c>
      <c r="O1372" s="13">
        <f t="shared" si="65"/>
        <v>2020</v>
      </c>
      <c r="P1372" t="s">
        <v>13</v>
      </c>
      <c r="Q1372" t="s">
        <v>203</v>
      </c>
      <c r="R1372" t="s">
        <v>23</v>
      </c>
      <c r="S1372" t="str" cm="1">
        <f t="array" ref="S1372">_xlfn.IFS(R1372="COMPLETE", "COMPLETED", R1372="CANCELED", "CANCELED", TRUE, "PENDING")</f>
        <v>PENDING</v>
      </c>
      <c r="T1372" t="s">
        <v>32</v>
      </c>
      <c r="U1372">
        <f>VLOOKUP(A1372,ordered_items!$B:$E,4,0)</f>
        <v>293.04000000000002</v>
      </c>
    </row>
    <row r="1373" spans="1:21" x14ac:dyDescent="0.3">
      <c r="A1373">
        <v>72226</v>
      </c>
      <c r="B1373" t="s">
        <v>51</v>
      </c>
      <c r="C1373">
        <v>2</v>
      </c>
      <c r="D1373">
        <v>4</v>
      </c>
      <c r="E1373" t="str">
        <f t="shared" si="63"/>
        <v xml:space="preserve"> ONTIME</v>
      </c>
      <c r="F1373">
        <f>VLOOKUP($A1373,ordered_items!$B$2:$E$4784,2,0)</f>
        <v>1356</v>
      </c>
      <c r="G1373">
        <f>VLOOKUP($A1373,ordered_items!$B$2:$E$4784,3,0)</f>
        <v>1</v>
      </c>
      <c r="H1373">
        <f>VLOOKUP($A1373,ordered_items!$B$2:$E$4784,4,0)</f>
        <v>293.04000000000002</v>
      </c>
      <c r="I1373" s="15">
        <f>VLOOKUP(F1373,product_info!$A$2:$D$73,4,0)</f>
        <v>12</v>
      </c>
      <c r="J1373" s="15" t="str">
        <f>VLOOKUP(I1373,department!$A$2:$B$13,2,0)</f>
        <v xml:space="preserve">Health and Beauty </v>
      </c>
      <c r="K1373">
        <v>15779</v>
      </c>
      <c r="L1373" t="s">
        <v>70</v>
      </c>
      <c r="M1373" s="4">
        <v>44154</v>
      </c>
      <c r="N1373" s="12">
        <f t="shared" si="64"/>
        <v>11</v>
      </c>
      <c r="O1373" s="13">
        <f t="shared" si="65"/>
        <v>2020</v>
      </c>
      <c r="P1373" t="s">
        <v>13</v>
      </c>
      <c r="Q1373" t="s">
        <v>70</v>
      </c>
      <c r="R1373" t="s">
        <v>57</v>
      </c>
      <c r="S1373" t="str" cm="1">
        <f t="array" ref="S1373">_xlfn.IFS(R1373="COMPLETE", "COMPLETED", R1373="CANCELED", "CANCELED", TRUE, "PENDING")</f>
        <v>PENDING</v>
      </c>
      <c r="T1373" t="s">
        <v>16</v>
      </c>
      <c r="U1373">
        <f>VLOOKUP(A1373,ordered_items!$B:$E,4,0)</f>
        <v>293.04000000000002</v>
      </c>
    </row>
    <row r="1374" spans="1:21" x14ac:dyDescent="0.3">
      <c r="A1374">
        <v>72227</v>
      </c>
      <c r="B1374" t="s">
        <v>24</v>
      </c>
      <c r="C1374">
        <v>3</v>
      </c>
      <c r="D1374">
        <v>4</v>
      </c>
      <c r="E1374" t="str">
        <f t="shared" si="63"/>
        <v xml:space="preserve"> ONTIME</v>
      </c>
      <c r="F1374">
        <f>VLOOKUP($A1374,ordered_items!$B$2:$E$4784,2,0)</f>
        <v>1356</v>
      </c>
      <c r="G1374">
        <f>VLOOKUP($A1374,ordered_items!$B$2:$E$4784,3,0)</f>
        <v>1</v>
      </c>
      <c r="H1374">
        <f>VLOOKUP($A1374,ordered_items!$B$2:$E$4784,4,0)</f>
        <v>293.04000000000002</v>
      </c>
      <c r="I1374" s="15">
        <f>VLOOKUP(F1374,product_info!$A$2:$D$73,4,0)</f>
        <v>12</v>
      </c>
      <c r="J1374" s="15" t="str">
        <f>VLOOKUP(I1374,department!$A$2:$B$13,2,0)</f>
        <v xml:space="preserve">Health and Beauty </v>
      </c>
      <c r="K1374">
        <v>15780</v>
      </c>
      <c r="L1374" t="s">
        <v>70</v>
      </c>
      <c r="M1374" s="4">
        <v>44154</v>
      </c>
      <c r="N1374" s="12">
        <f t="shared" si="64"/>
        <v>11</v>
      </c>
      <c r="O1374" s="13">
        <f t="shared" si="65"/>
        <v>2020</v>
      </c>
      <c r="P1374" t="s">
        <v>13</v>
      </c>
      <c r="Q1374" t="s">
        <v>70</v>
      </c>
      <c r="R1374" t="s">
        <v>31</v>
      </c>
      <c r="S1374" t="str" cm="1">
        <f t="array" ref="S1374">_xlfn.IFS(R1374="COMPLETE", "COMPLETED", R1374="CANCELED", "CANCELED", TRUE, "PENDING")</f>
        <v>COMPLETED</v>
      </c>
      <c r="T1374" t="s">
        <v>16</v>
      </c>
      <c r="U1374">
        <f>VLOOKUP(A1374,ordered_items!$B:$E,4,0)</f>
        <v>293.04000000000002</v>
      </c>
    </row>
    <row r="1375" spans="1:21" x14ac:dyDescent="0.3">
      <c r="A1375">
        <v>72228</v>
      </c>
      <c r="B1375" t="s">
        <v>24</v>
      </c>
      <c r="C1375">
        <v>4</v>
      </c>
      <c r="D1375">
        <v>2</v>
      </c>
      <c r="E1375" t="str">
        <f t="shared" si="63"/>
        <v>DELAYED</v>
      </c>
      <c r="F1375">
        <f>VLOOKUP($A1375,ordered_items!$B$2:$E$4784,2,0)</f>
        <v>1356</v>
      </c>
      <c r="G1375">
        <f>VLOOKUP($A1375,ordered_items!$B$2:$E$4784,3,0)</f>
        <v>1</v>
      </c>
      <c r="H1375">
        <f>VLOOKUP($A1375,ordered_items!$B$2:$E$4784,4,0)</f>
        <v>293.04000000000002</v>
      </c>
      <c r="I1375" s="15">
        <f>VLOOKUP(F1375,product_info!$A$2:$D$73,4,0)</f>
        <v>12</v>
      </c>
      <c r="J1375" s="15" t="str">
        <f>VLOOKUP(I1375,department!$A$2:$B$13,2,0)</f>
        <v xml:space="preserve">Health and Beauty </v>
      </c>
      <c r="K1375">
        <v>15781</v>
      </c>
      <c r="L1375" t="s">
        <v>70</v>
      </c>
      <c r="M1375" s="4">
        <v>44154</v>
      </c>
      <c r="N1375" s="12">
        <f t="shared" si="64"/>
        <v>11</v>
      </c>
      <c r="O1375" s="13">
        <f t="shared" si="65"/>
        <v>2020</v>
      </c>
      <c r="P1375" t="s">
        <v>13</v>
      </c>
      <c r="Q1375" t="s">
        <v>70</v>
      </c>
      <c r="R1375" t="s">
        <v>31</v>
      </c>
      <c r="S1375" t="str" cm="1">
        <f t="array" ref="S1375">_xlfn.IFS(R1375="COMPLETE", "COMPLETED", R1375="CANCELED", "CANCELED", TRUE, "PENDING")</f>
        <v>COMPLETED</v>
      </c>
      <c r="T1375" t="s">
        <v>90</v>
      </c>
      <c r="U1375">
        <f>VLOOKUP(A1375,ordered_items!$B:$E,4,0)</f>
        <v>293.04000000000002</v>
      </c>
    </row>
    <row r="1376" spans="1:21" x14ac:dyDescent="0.3">
      <c r="A1376">
        <v>72229</v>
      </c>
      <c r="B1376" t="s">
        <v>51</v>
      </c>
      <c r="C1376">
        <v>5</v>
      </c>
      <c r="D1376">
        <v>2</v>
      </c>
      <c r="E1376" t="str">
        <f t="shared" si="63"/>
        <v>DELAYED</v>
      </c>
      <c r="F1376">
        <f>VLOOKUP($A1376,ordered_items!$B$2:$E$4784,2,0)</f>
        <v>1356</v>
      </c>
      <c r="G1376">
        <f>VLOOKUP($A1376,ordered_items!$B$2:$E$4784,3,0)</f>
        <v>1</v>
      </c>
      <c r="H1376">
        <f>VLOOKUP($A1376,ordered_items!$B$2:$E$4784,4,0)</f>
        <v>293.04000000000002</v>
      </c>
      <c r="I1376" s="15">
        <f>VLOOKUP(F1376,product_info!$A$2:$D$73,4,0)</f>
        <v>12</v>
      </c>
      <c r="J1376" s="15" t="str">
        <f>VLOOKUP(I1376,department!$A$2:$B$13,2,0)</f>
        <v xml:space="preserve">Health and Beauty </v>
      </c>
      <c r="K1376">
        <v>15782</v>
      </c>
      <c r="L1376" t="s">
        <v>764</v>
      </c>
      <c r="M1376" s="4">
        <v>44154</v>
      </c>
      <c r="N1376" s="12">
        <f t="shared" si="64"/>
        <v>11</v>
      </c>
      <c r="O1376" s="13">
        <f t="shared" si="65"/>
        <v>2020</v>
      </c>
      <c r="P1376" t="s">
        <v>13</v>
      </c>
      <c r="Q1376" t="s">
        <v>30</v>
      </c>
      <c r="R1376" t="s">
        <v>57</v>
      </c>
      <c r="S1376" t="str" cm="1">
        <f t="array" ref="S1376">_xlfn.IFS(R1376="COMPLETE", "COMPLETED", R1376="CANCELED", "CANCELED", TRUE, "PENDING")</f>
        <v>PENDING</v>
      </c>
      <c r="T1376" t="s">
        <v>90</v>
      </c>
      <c r="U1376">
        <f>VLOOKUP(A1376,ordered_items!$B:$E,4,0)</f>
        <v>293.04000000000002</v>
      </c>
    </row>
    <row r="1377" spans="1:21" x14ac:dyDescent="0.3">
      <c r="A1377">
        <v>72230</v>
      </c>
      <c r="B1377" t="s">
        <v>17</v>
      </c>
      <c r="C1377">
        <v>6</v>
      </c>
      <c r="D1377">
        <v>2</v>
      </c>
      <c r="E1377" t="str">
        <f t="shared" si="63"/>
        <v>DELAYED</v>
      </c>
      <c r="F1377">
        <f>VLOOKUP($A1377,ordered_items!$B$2:$E$4784,2,0)</f>
        <v>1356</v>
      </c>
      <c r="G1377">
        <f>VLOOKUP($A1377,ordered_items!$B$2:$E$4784,3,0)</f>
        <v>1</v>
      </c>
      <c r="H1377">
        <f>VLOOKUP($A1377,ordered_items!$B$2:$E$4784,4,0)</f>
        <v>293.04000000000002</v>
      </c>
      <c r="I1377" s="15">
        <f>VLOOKUP(F1377,product_info!$A$2:$D$73,4,0)</f>
        <v>12</v>
      </c>
      <c r="J1377" s="15" t="str">
        <f>VLOOKUP(I1377,department!$A$2:$B$13,2,0)</f>
        <v xml:space="preserve">Health and Beauty </v>
      </c>
      <c r="K1377">
        <v>15783</v>
      </c>
      <c r="L1377" t="s">
        <v>226</v>
      </c>
      <c r="M1377" s="4">
        <v>44154</v>
      </c>
      <c r="N1377" s="12">
        <f t="shared" si="64"/>
        <v>11</v>
      </c>
      <c r="O1377" s="13">
        <f t="shared" si="65"/>
        <v>2020</v>
      </c>
      <c r="P1377" t="s">
        <v>13</v>
      </c>
      <c r="Q1377" t="s">
        <v>227</v>
      </c>
      <c r="R1377" t="s">
        <v>23</v>
      </c>
      <c r="S1377" t="str" cm="1">
        <f t="array" ref="S1377">_xlfn.IFS(R1377="COMPLETE", "COMPLETED", R1377="CANCELED", "CANCELED", TRUE, "PENDING")</f>
        <v>PENDING</v>
      </c>
      <c r="T1377" t="s">
        <v>90</v>
      </c>
      <c r="U1377">
        <f>VLOOKUP(A1377,ordered_items!$B:$E,4,0)</f>
        <v>293.04000000000002</v>
      </c>
    </row>
    <row r="1378" spans="1:21" x14ac:dyDescent="0.3">
      <c r="A1378">
        <v>72231</v>
      </c>
      <c r="B1378" t="s">
        <v>3</v>
      </c>
      <c r="C1378">
        <v>2</v>
      </c>
      <c r="D1378">
        <v>4</v>
      </c>
      <c r="E1378" t="str">
        <f t="shared" si="63"/>
        <v xml:space="preserve"> ONTIME</v>
      </c>
      <c r="F1378">
        <f>VLOOKUP($A1378,ordered_items!$B$2:$E$4784,2,0)</f>
        <v>1356</v>
      </c>
      <c r="G1378">
        <f>VLOOKUP($A1378,ordered_items!$B$2:$E$4784,3,0)</f>
        <v>1</v>
      </c>
      <c r="H1378">
        <f>VLOOKUP($A1378,ordered_items!$B$2:$E$4784,4,0)</f>
        <v>293.04000000000002</v>
      </c>
      <c r="I1378" s="15">
        <f>VLOOKUP(F1378,product_info!$A$2:$D$73,4,0)</f>
        <v>12</v>
      </c>
      <c r="J1378" s="15" t="str">
        <f>VLOOKUP(I1378,department!$A$2:$B$13,2,0)</f>
        <v xml:space="preserve">Health and Beauty </v>
      </c>
      <c r="K1378">
        <v>15784</v>
      </c>
      <c r="L1378" t="s">
        <v>226</v>
      </c>
      <c r="M1378" s="4">
        <v>44154</v>
      </c>
      <c r="N1378" s="12">
        <f t="shared" si="64"/>
        <v>11</v>
      </c>
      <c r="O1378" s="13">
        <f t="shared" si="65"/>
        <v>2020</v>
      </c>
      <c r="P1378" t="s">
        <v>13</v>
      </c>
      <c r="Q1378" t="s">
        <v>227</v>
      </c>
      <c r="R1378" t="s">
        <v>14</v>
      </c>
      <c r="S1378" t="str" cm="1">
        <f t="array" ref="S1378">_xlfn.IFS(R1378="COMPLETE", "COMPLETED", R1378="CANCELED", "CANCELED", TRUE, "PENDING")</f>
        <v>PENDING</v>
      </c>
      <c r="T1378" t="s">
        <v>16</v>
      </c>
      <c r="U1378">
        <f>VLOOKUP(A1378,ordered_items!$B:$E,4,0)</f>
        <v>293.04000000000002</v>
      </c>
    </row>
    <row r="1379" spans="1:21" x14ac:dyDescent="0.3">
      <c r="A1379">
        <v>72232</v>
      </c>
      <c r="B1379" t="s">
        <v>17</v>
      </c>
      <c r="C1379">
        <v>3</v>
      </c>
      <c r="D1379">
        <v>4</v>
      </c>
      <c r="E1379" t="str">
        <f t="shared" si="63"/>
        <v xml:space="preserve"> ONTIME</v>
      </c>
      <c r="F1379">
        <f>VLOOKUP($A1379,ordered_items!$B$2:$E$4784,2,0)</f>
        <v>1356</v>
      </c>
      <c r="G1379">
        <f>VLOOKUP($A1379,ordered_items!$B$2:$E$4784,3,0)</f>
        <v>1</v>
      </c>
      <c r="H1379">
        <f>VLOOKUP($A1379,ordered_items!$B$2:$E$4784,4,0)</f>
        <v>293.04000000000002</v>
      </c>
      <c r="I1379" s="15">
        <f>VLOOKUP(F1379,product_info!$A$2:$D$73,4,0)</f>
        <v>12</v>
      </c>
      <c r="J1379" s="15" t="str">
        <f>VLOOKUP(I1379,department!$A$2:$B$13,2,0)</f>
        <v xml:space="preserve">Health and Beauty </v>
      </c>
      <c r="K1379">
        <v>15785</v>
      </c>
      <c r="L1379" t="s">
        <v>70</v>
      </c>
      <c r="M1379" s="4">
        <v>44154</v>
      </c>
      <c r="N1379" s="12">
        <f t="shared" si="64"/>
        <v>11</v>
      </c>
      <c r="O1379" s="13">
        <f t="shared" si="65"/>
        <v>2020</v>
      </c>
      <c r="P1379" t="s">
        <v>13</v>
      </c>
      <c r="Q1379" t="s">
        <v>70</v>
      </c>
      <c r="R1379" t="s">
        <v>23</v>
      </c>
      <c r="S1379" t="str" cm="1">
        <f t="array" ref="S1379">_xlfn.IFS(R1379="COMPLETE", "COMPLETED", R1379="CANCELED", "CANCELED", TRUE, "PENDING")</f>
        <v>PENDING</v>
      </c>
      <c r="T1379" t="s">
        <v>16</v>
      </c>
      <c r="U1379">
        <f>VLOOKUP(A1379,ordered_items!$B:$E,4,0)</f>
        <v>293.04000000000002</v>
      </c>
    </row>
    <row r="1380" spans="1:21" x14ac:dyDescent="0.3">
      <c r="A1380">
        <v>72233</v>
      </c>
      <c r="B1380" t="s">
        <v>51</v>
      </c>
      <c r="C1380">
        <v>4</v>
      </c>
      <c r="D1380">
        <v>4</v>
      </c>
      <c r="E1380" t="str">
        <f t="shared" si="63"/>
        <v xml:space="preserve"> ONTIME</v>
      </c>
      <c r="F1380">
        <f>VLOOKUP($A1380,ordered_items!$B$2:$E$4784,2,0)</f>
        <v>1356</v>
      </c>
      <c r="G1380">
        <f>VLOOKUP($A1380,ordered_items!$B$2:$E$4784,3,0)</f>
        <v>1</v>
      </c>
      <c r="H1380">
        <f>VLOOKUP($A1380,ordered_items!$B$2:$E$4784,4,0)</f>
        <v>293.04000000000002</v>
      </c>
      <c r="I1380" s="15">
        <f>VLOOKUP(F1380,product_info!$A$2:$D$73,4,0)</f>
        <v>12</v>
      </c>
      <c r="J1380" s="15" t="str">
        <f>VLOOKUP(I1380,department!$A$2:$B$13,2,0)</f>
        <v xml:space="preserve">Health and Beauty </v>
      </c>
      <c r="K1380">
        <v>15786</v>
      </c>
      <c r="L1380" t="s">
        <v>70</v>
      </c>
      <c r="M1380" s="4">
        <v>44154</v>
      </c>
      <c r="N1380" s="12">
        <f t="shared" si="64"/>
        <v>11</v>
      </c>
      <c r="O1380" s="13">
        <f t="shared" si="65"/>
        <v>2020</v>
      </c>
      <c r="P1380" t="s">
        <v>13</v>
      </c>
      <c r="Q1380" t="s">
        <v>70</v>
      </c>
      <c r="R1380" t="s">
        <v>57</v>
      </c>
      <c r="S1380" t="str" cm="1">
        <f t="array" ref="S1380">_xlfn.IFS(R1380="COMPLETE", "COMPLETED", R1380="CANCELED", "CANCELED", TRUE, "PENDING")</f>
        <v>PENDING</v>
      </c>
      <c r="T1380" t="s">
        <v>16</v>
      </c>
      <c r="U1380">
        <f>VLOOKUP(A1380,ordered_items!$B:$E,4,0)</f>
        <v>293.04000000000002</v>
      </c>
    </row>
    <row r="1381" spans="1:21" x14ac:dyDescent="0.3">
      <c r="A1381">
        <v>72243</v>
      </c>
      <c r="B1381" t="s">
        <v>24</v>
      </c>
      <c r="C1381">
        <v>4</v>
      </c>
      <c r="D1381">
        <v>4</v>
      </c>
      <c r="E1381" t="str">
        <f t="shared" si="63"/>
        <v xml:space="preserve"> ONTIME</v>
      </c>
      <c r="F1381">
        <f>VLOOKUP($A1381,ordered_items!$B$2:$E$4784,2,0)</f>
        <v>1356</v>
      </c>
      <c r="G1381">
        <f>VLOOKUP($A1381,ordered_items!$B$2:$E$4784,3,0)</f>
        <v>1</v>
      </c>
      <c r="H1381">
        <f>VLOOKUP($A1381,ordered_items!$B$2:$E$4784,4,0)</f>
        <v>293.04000000000002</v>
      </c>
      <c r="I1381" s="15">
        <f>VLOOKUP(F1381,product_info!$A$2:$D$73,4,0)</f>
        <v>12</v>
      </c>
      <c r="J1381" s="15" t="str">
        <f>VLOOKUP(I1381,department!$A$2:$B$13,2,0)</f>
        <v xml:space="preserve">Health and Beauty </v>
      </c>
      <c r="K1381">
        <v>15796</v>
      </c>
      <c r="L1381" t="s">
        <v>809</v>
      </c>
      <c r="M1381" s="4">
        <v>44154</v>
      </c>
      <c r="N1381" s="12">
        <f t="shared" si="64"/>
        <v>11</v>
      </c>
      <c r="O1381" s="13">
        <f t="shared" si="65"/>
        <v>2020</v>
      </c>
      <c r="P1381" t="s">
        <v>13</v>
      </c>
      <c r="Q1381" t="s">
        <v>30</v>
      </c>
      <c r="R1381" t="s">
        <v>31</v>
      </c>
      <c r="S1381" t="str" cm="1">
        <f t="array" ref="S1381">_xlfn.IFS(R1381="COMPLETE", "COMPLETED", R1381="CANCELED", "CANCELED", TRUE, "PENDING")</f>
        <v>COMPLETED</v>
      </c>
      <c r="T1381" t="s">
        <v>16</v>
      </c>
      <c r="U1381">
        <f>VLOOKUP(A1381,ordered_items!$B:$E,4,0)</f>
        <v>293.04000000000002</v>
      </c>
    </row>
    <row r="1382" spans="1:21" x14ac:dyDescent="0.3">
      <c r="A1382">
        <v>72244</v>
      </c>
      <c r="B1382" t="s">
        <v>24</v>
      </c>
      <c r="C1382">
        <v>2</v>
      </c>
      <c r="D1382">
        <v>1</v>
      </c>
      <c r="E1382" t="str">
        <f t="shared" si="63"/>
        <v>DELAYED</v>
      </c>
      <c r="F1382">
        <f>VLOOKUP($A1382,ordered_items!$B$2:$E$4784,2,0)</f>
        <v>1356</v>
      </c>
      <c r="G1382">
        <f>VLOOKUP($A1382,ordered_items!$B$2:$E$4784,3,0)</f>
        <v>1</v>
      </c>
      <c r="H1382">
        <f>VLOOKUP($A1382,ordered_items!$B$2:$E$4784,4,0)</f>
        <v>293.04000000000002</v>
      </c>
      <c r="I1382" s="15">
        <f>VLOOKUP(F1382,product_info!$A$2:$D$73,4,0)</f>
        <v>12</v>
      </c>
      <c r="J1382" s="15" t="str">
        <f>VLOOKUP(I1382,department!$A$2:$B$13,2,0)</f>
        <v xml:space="preserve">Health and Beauty </v>
      </c>
      <c r="K1382">
        <v>15797</v>
      </c>
      <c r="L1382" t="s">
        <v>129</v>
      </c>
      <c r="M1382" s="4">
        <v>44154</v>
      </c>
      <c r="N1382" s="12">
        <f t="shared" si="64"/>
        <v>11</v>
      </c>
      <c r="O1382" s="13">
        <f t="shared" si="65"/>
        <v>2020</v>
      </c>
      <c r="P1382" t="s">
        <v>13</v>
      </c>
      <c r="Q1382" t="s">
        <v>130</v>
      </c>
      <c r="R1382" t="s">
        <v>378</v>
      </c>
      <c r="S1382" t="str" cm="1">
        <f t="array" ref="S1382">_xlfn.IFS(R1382="COMPLETE", "COMPLETED", R1382="CANCELED", "CANCELED", TRUE, "PENDING")</f>
        <v>PENDING</v>
      </c>
      <c r="T1382" t="s">
        <v>32</v>
      </c>
      <c r="U1382">
        <f>VLOOKUP(A1382,ordered_items!$B:$E,4,0)</f>
        <v>293.04000000000002</v>
      </c>
    </row>
    <row r="1383" spans="1:21" x14ac:dyDescent="0.3">
      <c r="A1383">
        <v>72245</v>
      </c>
      <c r="B1383" t="s">
        <v>24</v>
      </c>
      <c r="C1383">
        <v>2</v>
      </c>
      <c r="D1383">
        <v>1</v>
      </c>
      <c r="E1383" t="str">
        <f t="shared" si="63"/>
        <v>DELAYED</v>
      </c>
      <c r="F1383">
        <f>VLOOKUP($A1383,ordered_items!$B$2:$E$4784,2,0)</f>
        <v>1356</v>
      </c>
      <c r="G1383">
        <f>VLOOKUP($A1383,ordered_items!$B$2:$E$4784,3,0)</f>
        <v>1</v>
      </c>
      <c r="H1383">
        <f>VLOOKUP($A1383,ordered_items!$B$2:$E$4784,4,0)</f>
        <v>293.04000000000002</v>
      </c>
      <c r="I1383" s="15">
        <f>VLOOKUP(F1383,product_info!$A$2:$D$73,4,0)</f>
        <v>12</v>
      </c>
      <c r="J1383" s="15" t="str">
        <f>VLOOKUP(I1383,department!$A$2:$B$13,2,0)</f>
        <v xml:space="preserve">Health and Beauty </v>
      </c>
      <c r="K1383">
        <v>15798</v>
      </c>
      <c r="L1383" t="s">
        <v>129</v>
      </c>
      <c r="M1383" s="4">
        <v>44154</v>
      </c>
      <c r="N1383" s="12">
        <f t="shared" si="64"/>
        <v>11</v>
      </c>
      <c r="O1383" s="13">
        <f t="shared" si="65"/>
        <v>2020</v>
      </c>
      <c r="P1383" t="s">
        <v>13</v>
      </c>
      <c r="Q1383" t="s">
        <v>130</v>
      </c>
      <c r="R1383" t="s">
        <v>31</v>
      </c>
      <c r="S1383" t="str" cm="1">
        <f t="array" ref="S1383">_xlfn.IFS(R1383="COMPLETE", "COMPLETED", R1383="CANCELED", "CANCELED", TRUE, "PENDING")</f>
        <v>COMPLETED</v>
      </c>
      <c r="T1383" t="s">
        <v>32</v>
      </c>
      <c r="U1383">
        <f>VLOOKUP(A1383,ordered_items!$B:$E,4,0)</f>
        <v>293.04000000000002</v>
      </c>
    </row>
    <row r="1384" spans="1:21" x14ac:dyDescent="0.3">
      <c r="A1384">
        <v>72254</v>
      </c>
      <c r="B1384" t="s">
        <v>3</v>
      </c>
      <c r="C1384">
        <v>5</v>
      </c>
      <c r="D1384">
        <v>4</v>
      </c>
      <c r="E1384" t="str">
        <f t="shared" si="63"/>
        <v>DELAYED</v>
      </c>
      <c r="F1384">
        <f>VLOOKUP($A1384,ordered_items!$B$2:$E$4784,2,0)</f>
        <v>1356</v>
      </c>
      <c r="G1384">
        <f>VLOOKUP($A1384,ordered_items!$B$2:$E$4784,3,0)</f>
        <v>1</v>
      </c>
      <c r="H1384">
        <f>VLOOKUP($A1384,ordered_items!$B$2:$E$4784,4,0)</f>
        <v>293.04000000000002</v>
      </c>
      <c r="I1384" s="15">
        <f>VLOOKUP(F1384,product_info!$A$2:$D$73,4,0)</f>
        <v>12</v>
      </c>
      <c r="J1384" s="15" t="str">
        <f>VLOOKUP(I1384,department!$A$2:$B$13,2,0)</f>
        <v xml:space="preserve">Health and Beauty </v>
      </c>
      <c r="K1384">
        <v>15807</v>
      </c>
      <c r="L1384" t="s">
        <v>275</v>
      </c>
      <c r="M1384" s="4">
        <v>44154</v>
      </c>
      <c r="N1384" s="12">
        <f t="shared" si="64"/>
        <v>11</v>
      </c>
      <c r="O1384" s="13">
        <f t="shared" si="65"/>
        <v>2020</v>
      </c>
      <c r="P1384" t="s">
        <v>13</v>
      </c>
      <c r="Q1384" t="s">
        <v>80</v>
      </c>
      <c r="R1384" t="s">
        <v>14</v>
      </c>
      <c r="S1384" t="str" cm="1">
        <f t="array" ref="S1384">_xlfn.IFS(R1384="COMPLETE", "COMPLETED", R1384="CANCELED", "CANCELED", TRUE, "PENDING")</f>
        <v>PENDING</v>
      </c>
      <c r="T1384" t="s">
        <v>16</v>
      </c>
      <c r="U1384">
        <f>VLOOKUP(A1384,ordered_items!$B:$E,4,0)</f>
        <v>293.04000000000002</v>
      </c>
    </row>
    <row r="1385" spans="1:21" x14ac:dyDescent="0.3">
      <c r="A1385">
        <v>72256</v>
      </c>
      <c r="B1385" t="s">
        <v>17</v>
      </c>
      <c r="C1385">
        <v>2</v>
      </c>
      <c r="D1385">
        <v>4</v>
      </c>
      <c r="E1385" t="str">
        <f t="shared" si="63"/>
        <v xml:space="preserve"> ONTIME</v>
      </c>
      <c r="F1385">
        <f>VLOOKUP($A1385,ordered_items!$B$2:$E$4784,2,0)</f>
        <v>1356</v>
      </c>
      <c r="G1385">
        <f>VLOOKUP($A1385,ordered_items!$B$2:$E$4784,3,0)</f>
        <v>1</v>
      </c>
      <c r="H1385">
        <f>VLOOKUP($A1385,ordered_items!$B$2:$E$4784,4,0)</f>
        <v>293.04000000000002</v>
      </c>
      <c r="I1385" s="15">
        <f>VLOOKUP(F1385,product_info!$A$2:$D$73,4,0)</f>
        <v>12</v>
      </c>
      <c r="J1385" s="15" t="str">
        <f>VLOOKUP(I1385,department!$A$2:$B$13,2,0)</f>
        <v xml:space="preserve">Health and Beauty </v>
      </c>
      <c r="K1385">
        <v>15809</v>
      </c>
      <c r="L1385" t="s">
        <v>941</v>
      </c>
      <c r="M1385" s="4">
        <v>44154</v>
      </c>
      <c r="N1385" s="12">
        <f t="shared" si="64"/>
        <v>11</v>
      </c>
      <c r="O1385" s="13">
        <f t="shared" si="65"/>
        <v>2020</v>
      </c>
      <c r="P1385" t="s">
        <v>13</v>
      </c>
      <c r="Q1385" t="s">
        <v>203</v>
      </c>
      <c r="R1385" t="s">
        <v>23</v>
      </c>
      <c r="S1385" t="str" cm="1">
        <f t="array" ref="S1385">_xlfn.IFS(R1385="COMPLETE", "COMPLETED", R1385="CANCELED", "CANCELED", TRUE, "PENDING")</f>
        <v>PENDING</v>
      </c>
      <c r="T1385" t="s">
        <v>16</v>
      </c>
      <c r="U1385">
        <f>VLOOKUP(A1385,ordered_items!$B:$E,4,0)</f>
        <v>293.04000000000002</v>
      </c>
    </row>
    <row r="1386" spans="1:21" x14ac:dyDescent="0.3">
      <c r="A1386">
        <v>72257</v>
      </c>
      <c r="B1386" t="s">
        <v>24</v>
      </c>
      <c r="C1386">
        <v>3</v>
      </c>
      <c r="D1386">
        <v>4</v>
      </c>
      <c r="E1386" t="str">
        <f t="shared" si="63"/>
        <v xml:space="preserve"> ONTIME</v>
      </c>
      <c r="F1386">
        <f>VLOOKUP($A1386,ordered_items!$B$2:$E$4784,2,0)</f>
        <v>1356</v>
      </c>
      <c r="G1386">
        <f>VLOOKUP($A1386,ordered_items!$B$2:$E$4784,3,0)</f>
        <v>1</v>
      </c>
      <c r="H1386">
        <f>VLOOKUP($A1386,ordered_items!$B$2:$E$4784,4,0)</f>
        <v>293.04000000000002</v>
      </c>
      <c r="I1386" s="15">
        <f>VLOOKUP(F1386,product_info!$A$2:$D$73,4,0)</f>
        <v>12</v>
      </c>
      <c r="J1386" s="15" t="str">
        <f>VLOOKUP(I1386,department!$A$2:$B$13,2,0)</f>
        <v xml:space="preserve">Health and Beauty </v>
      </c>
      <c r="K1386">
        <v>15810</v>
      </c>
      <c r="L1386" t="s">
        <v>941</v>
      </c>
      <c r="M1386" s="4">
        <v>44154</v>
      </c>
      <c r="N1386" s="12">
        <f t="shared" si="64"/>
        <v>11</v>
      </c>
      <c r="O1386" s="13">
        <f t="shared" si="65"/>
        <v>2020</v>
      </c>
      <c r="P1386" t="s">
        <v>13</v>
      </c>
      <c r="Q1386" t="s">
        <v>203</v>
      </c>
      <c r="R1386" t="s">
        <v>31</v>
      </c>
      <c r="S1386" t="str" cm="1">
        <f t="array" ref="S1386">_xlfn.IFS(R1386="COMPLETE", "COMPLETED", R1386="CANCELED", "CANCELED", TRUE, "PENDING")</f>
        <v>COMPLETED</v>
      </c>
      <c r="T1386" t="s">
        <v>16</v>
      </c>
      <c r="U1386">
        <f>VLOOKUP(A1386,ordered_items!$B:$E,4,0)</f>
        <v>293.04000000000002</v>
      </c>
    </row>
    <row r="1387" spans="1:21" x14ac:dyDescent="0.3">
      <c r="A1387">
        <v>72260</v>
      </c>
      <c r="B1387" t="s">
        <v>3</v>
      </c>
      <c r="C1387">
        <v>6</v>
      </c>
      <c r="D1387">
        <v>2</v>
      </c>
      <c r="E1387" t="str">
        <f t="shared" si="63"/>
        <v>DELAYED</v>
      </c>
      <c r="F1387">
        <f>VLOOKUP($A1387,ordered_items!$B$2:$E$4784,2,0)</f>
        <v>1356</v>
      </c>
      <c r="G1387">
        <f>VLOOKUP($A1387,ordered_items!$B$2:$E$4784,3,0)</f>
        <v>1</v>
      </c>
      <c r="H1387">
        <f>VLOOKUP($A1387,ordered_items!$B$2:$E$4784,4,0)</f>
        <v>293.04000000000002</v>
      </c>
      <c r="I1387" s="15">
        <f>VLOOKUP(F1387,product_info!$A$2:$D$73,4,0)</f>
        <v>12</v>
      </c>
      <c r="J1387" s="15" t="str">
        <f>VLOOKUP(I1387,department!$A$2:$B$13,2,0)</f>
        <v xml:space="preserve">Health and Beauty </v>
      </c>
      <c r="K1387">
        <v>15813</v>
      </c>
      <c r="L1387" t="s">
        <v>510</v>
      </c>
      <c r="M1387" s="4">
        <v>44154</v>
      </c>
      <c r="N1387" s="12">
        <f t="shared" si="64"/>
        <v>11</v>
      </c>
      <c r="O1387" s="13">
        <f t="shared" si="65"/>
        <v>2020</v>
      </c>
      <c r="P1387" t="s">
        <v>13</v>
      </c>
      <c r="Q1387" t="s">
        <v>5777</v>
      </c>
      <c r="R1387" t="s">
        <v>38</v>
      </c>
      <c r="S1387" t="str" cm="1">
        <f t="array" ref="S1387">_xlfn.IFS(R1387="COMPLETE", "COMPLETED", R1387="CANCELED", "CANCELED", TRUE, "PENDING")</f>
        <v>PENDING</v>
      </c>
      <c r="T1387" t="s">
        <v>90</v>
      </c>
      <c r="U1387">
        <f>VLOOKUP(A1387,ordered_items!$B:$E,4,0)</f>
        <v>293.04000000000002</v>
      </c>
    </row>
    <row r="1388" spans="1:21" x14ac:dyDescent="0.3">
      <c r="A1388">
        <v>72261</v>
      </c>
      <c r="B1388" t="s">
        <v>24</v>
      </c>
      <c r="C1388">
        <v>2</v>
      </c>
      <c r="D1388">
        <v>2</v>
      </c>
      <c r="E1388" t="str">
        <f t="shared" si="63"/>
        <v xml:space="preserve"> ONTIME</v>
      </c>
      <c r="F1388">
        <f>VLOOKUP($A1388,ordered_items!$B$2:$E$4784,2,0)</f>
        <v>1356</v>
      </c>
      <c r="G1388">
        <f>VLOOKUP($A1388,ordered_items!$B$2:$E$4784,3,0)</f>
        <v>1</v>
      </c>
      <c r="H1388">
        <f>VLOOKUP($A1388,ordered_items!$B$2:$E$4784,4,0)</f>
        <v>293.04000000000002</v>
      </c>
      <c r="I1388" s="15">
        <f>VLOOKUP(F1388,product_info!$A$2:$D$73,4,0)</f>
        <v>12</v>
      </c>
      <c r="J1388" s="15" t="str">
        <f>VLOOKUP(I1388,department!$A$2:$B$13,2,0)</f>
        <v xml:space="preserve">Health and Beauty </v>
      </c>
      <c r="K1388">
        <v>15814</v>
      </c>
      <c r="L1388" t="s">
        <v>510</v>
      </c>
      <c r="M1388" s="4">
        <v>44154</v>
      </c>
      <c r="N1388" s="12">
        <f t="shared" si="64"/>
        <v>11</v>
      </c>
      <c r="O1388" s="13">
        <f t="shared" si="65"/>
        <v>2020</v>
      </c>
      <c r="P1388" t="s">
        <v>13</v>
      </c>
      <c r="Q1388" t="s">
        <v>5777</v>
      </c>
      <c r="R1388" t="s">
        <v>31</v>
      </c>
      <c r="S1388" t="str" cm="1">
        <f t="array" ref="S1388">_xlfn.IFS(R1388="COMPLETE", "COMPLETED", R1388="CANCELED", "CANCELED", TRUE, "PENDING")</f>
        <v>COMPLETED</v>
      </c>
      <c r="T1388" t="s">
        <v>90</v>
      </c>
      <c r="U1388">
        <f>VLOOKUP(A1388,ordered_items!$B:$E,4,0)</f>
        <v>293.04000000000002</v>
      </c>
    </row>
    <row r="1389" spans="1:21" x14ac:dyDescent="0.3">
      <c r="A1389">
        <v>72262</v>
      </c>
      <c r="B1389" t="s">
        <v>17</v>
      </c>
      <c r="C1389">
        <v>2</v>
      </c>
      <c r="D1389">
        <v>1</v>
      </c>
      <c r="E1389" t="str">
        <f t="shared" si="63"/>
        <v>DELAYED</v>
      </c>
      <c r="F1389">
        <f>VLOOKUP($A1389,ordered_items!$B$2:$E$4784,2,0)</f>
        <v>1356</v>
      </c>
      <c r="G1389">
        <f>VLOOKUP($A1389,ordered_items!$B$2:$E$4784,3,0)</f>
        <v>1</v>
      </c>
      <c r="H1389">
        <f>VLOOKUP($A1389,ordered_items!$B$2:$E$4784,4,0)</f>
        <v>293.04000000000002</v>
      </c>
      <c r="I1389" s="15">
        <f>VLOOKUP(F1389,product_info!$A$2:$D$73,4,0)</f>
        <v>12</v>
      </c>
      <c r="J1389" s="15" t="str">
        <f>VLOOKUP(I1389,department!$A$2:$B$13,2,0)</f>
        <v xml:space="preserve">Health and Beauty </v>
      </c>
      <c r="K1389">
        <v>15815</v>
      </c>
      <c r="L1389" t="s">
        <v>510</v>
      </c>
      <c r="M1389" s="4">
        <v>44154</v>
      </c>
      <c r="N1389" s="12">
        <f t="shared" si="64"/>
        <v>11</v>
      </c>
      <c r="O1389" s="13">
        <f t="shared" si="65"/>
        <v>2020</v>
      </c>
      <c r="P1389" t="s">
        <v>13</v>
      </c>
      <c r="Q1389" t="s">
        <v>5777</v>
      </c>
      <c r="R1389" t="s">
        <v>23</v>
      </c>
      <c r="S1389" t="str" cm="1">
        <f t="array" ref="S1389">_xlfn.IFS(R1389="COMPLETE", "COMPLETED", R1389="CANCELED", "CANCELED", TRUE, "PENDING")</f>
        <v>PENDING</v>
      </c>
      <c r="T1389" t="s">
        <v>32</v>
      </c>
      <c r="U1389">
        <f>VLOOKUP(A1389,ordered_items!$B:$E,4,0)</f>
        <v>293.04000000000002</v>
      </c>
    </row>
    <row r="1390" spans="1:21" x14ac:dyDescent="0.3">
      <c r="A1390">
        <v>72263</v>
      </c>
      <c r="B1390" t="s">
        <v>24</v>
      </c>
      <c r="C1390">
        <v>2</v>
      </c>
      <c r="D1390">
        <v>1</v>
      </c>
      <c r="E1390" t="str">
        <f t="shared" si="63"/>
        <v>DELAYED</v>
      </c>
      <c r="F1390">
        <f>VLOOKUP($A1390,ordered_items!$B$2:$E$4784,2,0)</f>
        <v>1356</v>
      </c>
      <c r="G1390">
        <f>VLOOKUP($A1390,ordered_items!$B$2:$E$4784,3,0)</f>
        <v>1</v>
      </c>
      <c r="H1390">
        <f>VLOOKUP($A1390,ordered_items!$B$2:$E$4784,4,0)</f>
        <v>293.04000000000002</v>
      </c>
      <c r="I1390" s="15">
        <f>VLOOKUP(F1390,product_info!$A$2:$D$73,4,0)</f>
        <v>12</v>
      </c>
      <c r="J1390" s="15" t="str">
        <f>VLOOKUP(I1390,department!$A$2:$B$13,2,0)</f>
        <v xml:space="preserve">Health and Beauty </v>
      </c>
      <c r="K1390">
        <v>15816</v>
      </c>
      <c r="L1390" t="s">
        <v>510</v>
      </c>
      <c r="M1390" s="4">
        <v>44154</v>
      </c>
      <c r="N1390" s="12">
        <f t="shared" si="64"/>
        <v>11</v>
      </c>
      <c r="O1390" s="13">
        <f t="shared" si="65"/>
        <v>2020</v>
      </c>
      <c r="P1390" t="s">
        <v>13</v>
      </c>
      <c r="Q1390" t="s">
        <v>5777</v>
      </c>
      <c r="R1390" t="s">
        <v>378</v>
      </c>
      <c r="S1390" t="str" cm="1">
        <f t="array" ref="S1390">_xlfn.IFS(R1390="COMPLETE", "COMPLETED", R1390="CANCELED", "CANCELED", TRUE, "PENDING")</f>
        <v>PENDING</v>
      </c>
      <c r="T1390" t="s">
        <v>32</v>
      </c>
      <c r="U1390">
        <f>VLOOKUP(A1390,ordered_items!$B:$E,4,0)</f>
        <v>293.04000000000002</v>
      </c>
    </row>
    <row r="1391" spans="1:21" x14ac:dyDescent="0.3">
      <c r="A1391">
        <v>72264</v>
      </c>
      <c r="B1391" t="s">
        <v>3</v>
      </c>
      <c r="C1391">
        <v>5</v>
      </c>
      <c r="D1391">
        <v>4</v>
      </c>
      <c r="E1391" t="str">
        <f t="shared" si="63"/>
        <v>DELAYED</v>
      </c>
      <c r="F1391">
        <f>VLOOKUP($A1391,ordered_items!$B$2:$E$4784,2,0)</f>
        <v>1356</v>
      </c>
      <c r="G1391">
        <f>VLOOKUP($A1391,ordered_items!$B$2:$E$4784,3,0)</f>
        <v>1</v>
      </c>
      <c r="H1391">
        <f>VLOOKUP($A1391,ordered_items!$B$2:$E$4784,4,0)</f>
        <v>293.04000000000002</v>
      </c>
      <c r="I1391" s="15">
        <f>VLOOKUP(F1391,product_info!$A$2:$D$73,4,0)</f>
        <v>12</v>
      </c>
      <c r="J1391" s="15" t="str">
        <f>VLOOKUP(I1391,department!$A$2:$B$13,2,0)</f>
        <v xml:space="preserve">Health and Beauty </v>
      </c>
      <c r="K1391">
        <v>15817</v>
      </c>
      <c r="L1391" t="s">
        <v>510</v>
      </c>
      <c r="M1391" s="4">
        <v>44154</v>
      </c>
      <c r="N1391" s="12">
        <f t="shared" si="64"/>
        <v>11</v>
      </c>
      <c r="O1391" s="13">
        <f t="shared" si="65"/>
        <v>2020</v>
      </c>
      <c r="P1391" t="s">
        <v>13</v>
      </c>
      <c r="Q1391" t="s">
        <v>5777</v>
      </c>
      <c r="R1391" t="s">
        <v>14</v>
      </c>
      <c r="S1391" t="str" cm="1">
        <f t="array" ref="S1391">_xlfn.IFS(R1391="COMPLETE", "COMPLETED", R1391="CANCELED", "CANCELED", TRUE, "PENDING")</f>
        <v>PENDING</v>
      </c>
      <c r="T1391" t="s">
        <v>16</v>
      </c>
      <c r="U1391">
        <f>VLOOKUP(A1391,ordered_items!$B:$E,4,0)</f>
        <v>293.04000000000002</v>
      </c>
    </row>
    <row r="1392" spans="1:21" x14ac:dyDescent="0.3">
      <c r="A1392">
        <v>72265</v>
      </c>
      <c r="B1392" t="s">
        <v>51</v>
      </c>
      <c r="C1392">
        <v>6</v>
      </c>
      <c r="D1392">
        <v>2</v>
      </c>
      <c r="E1392" t="str">
        <f t="shared" si="63"/>
        <v>DELAYED</v>
      </c>
      <c r="F1392">
        <f>VLOOKUP($A1392,ordered_items!$B$2:$E$4784,2,0)</f>
        <v>1356</v>
      </c>
      <c r="G1392">
        <f>VLOOKUP($A1392,ordered_items!$B$2:$E$4784,3,0)</f>
        <v>1</v>
      </c>
      <c r="H1392">
        <f>VLOOKUP($A1392,ordered_items!$B$2:$E$4784,4,0)</f>
        <v>293.04000000000002</v>
      </c>
      <c r="I1392" s="15">
        <f>VLOOKUP(F1392,product_info!$A$2:$D$73,4,0)</f>
        <v>12</v>
      </c>
      <c r="J1392" s="15" t="str">
        <f>VLOOKUP(I1392,department!$A$2:$B$13,2,0)</f>
        <v xml:space="preserve">Health and Beauty </v>
      </c>
      <c r="K1392">
        <v>15818</v>
      </c>
      <c r="L1392" t="s">
        <v>510</v>
      </c>
      <c r="M1392" s="4">
        <v>44154</v>
      </c>
      <c r="N1392" s="12">
        <f t="shared" si="64"/>
        <v>11</v>
      </c>
      <c r="O1392" s="13">
        <f t="shared" si="65"/>
        <v>2020</v>
      </c>
      <c r="P1392" t="s">
        <v>13</v>
      </c>
      <c r="Q1392" t="s">
        <v>5777</v>
      </c>
      <c r="R1392" t="s">
        <v>57</v>
      </c>
      <c r="S1392" t="str" cm="1">
        <f t="array" ref="S1392">_xlfn.IFS(R1392="COMPLETE", "COMPLETED", R1392="CANCELED", "CANCELED", TRUE, "PENDING")</f>
        <v>PENDING</v>
      </c>
      <c r="T1392" t="s">
        <v>90</v>
      </c>
      <c r="U1392">
        <f>VLOOKUP(A1392,ordered_items!$B:$E,4,0)</f>
        <v>293.04000000000002</v>
      </c>
    </row>
    <row r="1393" spans="1:21" x14ac:dyDescent="0.3">
      <c r="A1393">
        <v>72272</v>
      </c>
      <c r="B1393" t="s">
        <v>17</v>
      </c>
      <c r="C1393">
        <v>3</v>
      </c>
      <c r="D1393">
        <v>2</v>
      </c>
      <c r="E1393" t="str">
        <f t="shared" si="63"/>
        <v>DELAYED</v>
      </c>
      <c r="F1393">
        <f>VLOOKUP($A1393,ordered_items!$B$2:$E$4784,2,0)</f>
        <v>1356</v>
      </c>
      <c r="G1393">
        <f>VLOOKUP($A1393,ordered_items!$B$2:$E$4784,3,0)</f>
        <v>1</v>
      </c>
      <c r="H1393">
        <f>VLOOKUP($A1393,ordered_items!$B$2:$E$4784,4,0)</f>
        <v>293.04000000000002</v>
      </c>
      <c r="I1393" s="15">
        <f>VLOOKUP(F1393,product_info!$A$2:$D$73,4,0)</f>
        <v>12</v>
      </c>
      <c r="J1393" s="15" t="str">
        <f>VLOOKUP(I1393,department!$A$2:$B$13,2,0)</f>
        <v xml:space="preserve">Health and Beauty </v>
      </c>
      <c r="K1393">
        <v>15825</v>
      </c>
      <c r="L1393" t="s">
        <v>129</v>
      </c>
      <c r="M1393" s="4">
        <v>44154</v>
      </c>
      <c r="N1393" s="12">
        <f t="shared" si="64"/>
        <v>11</v>
      </c>
      <c r="O1393" s="13">
        <f t="shared" si="65"/>
        <v>2020</v>
      </c>
      <c r="P1393" t="s">
        <v>13</v>
      </c>
      <c r="Q1393" t="s">
        <v>130</v>
      </c>
      <c r="R1393" t="s">
        <v>23</v>
      </c>
      <c r="S1393" t="str" cm="1">
        <f t="array" ref="S1393">_xlfn.IFS(R1393="COMPLETE", "COMPLETED", R1393="CANCELED", "CANCELED", TRUE, "PENDING")</f>
        <v>PENDING</v>
      </c>
      <c r="T1393" t="s">
        <v>90</v>
      </c>
      <c r="U1393">
        <f>VLOOKUP(A1393,ordered_items!$B:$E,4,0)</f>
        <v>293.04000000000002</v>
      </c>
    </row>
    <row r="1394" spans="1:21" x14ac:dyDescent="0.3">
      <c r="A1394">
        <v>72273</v>
      </c>
      <c r="B1394" t="s">
        <v>3</v>
      </c>
      <c r="C1394">
        <v>2</v>
      </c>
      <c r="D1394">
        <v>1</v>
      </c>
      <c r="E1394" t="str">
        <f t="shared" si="63"/>
        <v>DELAYED</v>
      </c>
      <c r="F1394">
        <f>VLOOKUP($A1394,ordered_items!$B$2:$E$4784,2,0)</f>
        <v>1356</v>
      </c>
      <c r="G1394">
        <f>VLOOKUP($A1394,ordered_items!$B$2:$E$4784,3,0)</f>
        <v>1</v>
      </c>
      <c r="H1394">
        <f>VLOOKUP($A1394,ordered_items!$B$2:$E$4784,4,0)</f>
        <v>293.04000000000002</v>
      </c>
      <c r="I1394" s="15">
        <f>VLOOKUP(F1394,product_info!$A$2:$D$73,4,0)</f>
        <v>12</v>
      </c>
      <c r="J1394" s="15" t="str">
        <f>VLOOKUP(I1394,department!$A$2:$B$13,2,0)</f>
        <v xml:space="preserve">Health and Beauty </v>
      </c>
      <c r="K1394">
        <v>15826</v>
      </c>
      <c r="L1394" t="s">
        <v>129</v>
      </c>
      <c r="M1394" s="4">
        <v>44155</v>
      </c>
      <c r="N1394" s="12">
        <f t="shared" si="64"/>
        <v>11</v>
      </c>
      <c r="O1394" s="13">
        <f t="shared" si="65"/>
        <v>2020</v>
      </c>
      <c r="P1394" t="s">
        <v>13</v>
      </c>
      <c r="Q1394" t="s">
        <v>130</v>
      </c>
      <c r="R1394" t="s">
        <v>38</v>
      </c>
      <c r="S1394" t="str" cm="1">
        <f t="array" ref="S1394">_xlfn.IFS(R1394="COMPLETE", "COMPLETED", R1394="CANCELED", "CANCELED", TRUE, "PENDING")</f>
        <v>PENDING</v>
      </c>
      <c r="T1394" t="s">
        <v>32</v>
      </c>
      <c r="U1394">
        <f>VLOOKUP(A1394,ordered_items!$B:$E,4,0)</f>
        <v>293.04000000000002</v>
      </c>
    </row>
    <row r="1395" spans="1:21" x14ac:dyDescent="0.3">
      <c r="A1395">
        <v>72274</v>
      </c>
      <c r="B1395" t="s">
        <v>17</v>
      </c>
      <c r="C1395">
        <v>2</v>
      </c>
      <c r="D1395">
        <v>1</v>
      </c>
      <c r="E1395" t="str">
        <f t="shared" si="63"/>
        <v>DELAYED</v>
      </c>
      <c r="F1395">
        <f>VLOOKUP($A1395,ordered_items!$B$2:$E$4784,2,0)</f>
        <v>1356</v>
      </c>
      <c r="G1395">
        <f>VLOOKUP($A1395,ordered_items!$B$2:$E$4784,3,0)</f>
        <v>1</v>
      </c>
      <c r="H1395">
        <f>VLOOKUP($A1395,ordered_items!$B$2:$E$4784,4,0)</f>
        <v>293.04000000000002</v>
      </c>
      <c r="I1395" s="15">
        <f>VLOOKUP(F1395,product_info!$A$2:$D$73,4,0)</f>
        <v>12</v>
      </c>
      <c r="J1395" s="15" t="str">
        <f>VLOOKUP(I1395,department!$A$2:$B$13,2,0)</f>
        <v xml:space="preserve">Health and Beauty </v>
      </c>
      <c r="K1395">
        <v>15827</v>
      </c>
      <c r="L1395" t="s">
        <v>129</v>
      </c>
      <c r="M1395" s="4">
        <v>44155</v>
      </c>
      <c r="N1395" s="12">
        <f t="shared" si="64"/>
        <v>11</v>
      </c>
      <c r="O1395" s="13">
        <f t="shared" si="65"/>
        <v>2020</v>
      </c>
      <c r="P1395" t="s">
        <v>13</v>
      </c>
      <c r="Q1395" t="s">
        <v>130</v>
      </c>
      <c r="R1395" t="s">
        <v>23</v>
      </c>
      <c r="S1395" t="str" cm="1">
        <f t="array" ref="S1395">_xlfn.IFS(R1395="COMPLETE", "COMPLETED", R1395="CANCELED", "CANCELED", TRUE, "PENDING")</f>
        <v>PENDING</v>
      </c>
      <c r="T1395" t="s">
        <v>32</v>
      </c>
      <c r="U1395">
        <f>VLOOKUP(A1395,ordered_items!$B:$E,4,0)</f>
        <v>293.04000000000002</v>
      </c>
    </row>
    <row r="1396" spans="1:21" x14ac:dyDescent="0.3">
      <c r="A1396">
        <v>72300</v>
      </c>
      <c r="B1396" t="s">
        <v>17</v>
      </c>
      <c r="C1396">
        <v>6</v>
      </c>
      <c r="D1396">
        <v>4</v>
      </c>
      <c r="E1396" t="str">
        <f t="shared" si="63"/>
        <v>DELAYED</v>
      </c>
      <c r="F1396">
        <f>VLOOKUP($A1396,ordered_items!$B$2:$E$4784,2,0)</f>
        <v>1356</v>
      </c>
      <c r="G1396">
        <f>VLOOKUP($A1396,ordered_items!$B$2:$E$4784,3,0)</f>
        <v>1</v>
      </c>
      <c r="H1396">
        <f>VLOOKUP($A1396,ordered_items!$B$2:$E$4784,4,0)</f>
        <v>293.04000000000002</v>
      </c>
      <c r="I1396" s="15">
        <f>VLOOKUP(F1396,product_info!$A$2:$D$73,4,0)</f>
        <v>12</v>
      </c>
      <c r="J1396" s="15" t="str">
        <f>VLOOKUP(I1396,department!$A$2:$B$13,2,0)</f>
        <v xml:space="preserve">Health and Beauty </v>
      </c>
      <c r="K1396">
        <v>15853</v>
      </c>
      <c r="L1396" t="s">
        <v>854</v>
      </c>
      <c r="M1396" s="4">
        <v>44155</v>
      </c>
      <c r="N1396" s="12">
        <f t="shared" si="64"/>
        <v>11</v>
      </c>
      <c r="O1396" s="13">
        <f t="shared" si="65"/>
        <v>2020</v>
      </c>
      <c r="P1396" t="s">
        <v>13</v>
      </c>
      <c r="Q1396" t="s">
        <v>377</v>
      </c>
      <c r="R1396" t="s">
        <v>23</v>
      </c>
      <c r="S1396" t="str" cm="1">
        <f t="array" ref="S1396">_xlfn.IFS(R1396="COMPLETE", "COMPLETED", R1396="CANCELED", "CANCELED", TRUE, "PENDING")</f>
        <v>PENDING</v>
      </c>
      <c r="T1396" t="s">
        <v>16</v>
      </c>
      <c r="U1396">
        <f>VLOOKUP(A1396,ordered_items!$B:$E,4,0)</f>
        <v>293.04000000000002</v>
      </c>
    </row>
    <row r="1397" spans="1:21" x14ac:dyDescent="0.3">
      <c r="A1397">
        <v>72301</v>
      </c>
      <c r="B1397" t="s">
        <v>17</v>
      </c>
      <c r="C1397">
        <v>2</v>
      </c>
      <c r="D1397">
        <v>1</v>
      </c>
      <c r="E1397" t="str">
        <f t="shared" si="63"/>
        <v>DELAYED</v>
      </c>
      <c r="F1397">
        <f>VLOOKUP($A1397,ordered_items!$B$2:$E$4784,2,0)</f>
        <v>1356</v>
      </c>
      <c r="G1397">
        <f>VLOOKUP($A1397,ordered_items!$B$2:$E$4784,3,0)</f>
        <v>1</v>
      </c>
      <c r="H1397">
        <f>VLOOKUP($A1397,ordered_items!$B$2:$E$4784,4,0)</f>
        <v>293.04000000000002</v>
      </c>
      <c r="I1397" s="15">
        <f>VLOOKUP(F1397,product_info!$A$2:$D$73,4,0)</f>
        <v>12</v>
      </c>
      <c r="J1397" s="15" t="str">
        <f>VLOOKUP(I1397,department!$A$2:$B$13,2,0)</f>
        <v xml:space="preserve">Health and Beauty </v>
      </c>
      <c r="K1397">
        <v>15854</v>
      </c>
      <c r="L1397" t="s">
        <v>854</v>
      </c>
      <c r="M1397" s="4">
        <v>44155</v>
      </c>
      <c r="N1397" s="12">
        <f t="shared" si="64"/>
        <v>11</v>
      </c>
      <c r="O1397" s="13">
        <f t="shared" si="65"/>
        <v>2020</v>
      </c>
      <c r="P1397" t="s">
        <v>13</v>
      </c>
      <c r="Q1397" t="s">
        <v>377</v>
      </c>
      <c r="R1397" t="s">
        <v>23</v>
      </c>
      <c r="S1397" t="str" cm="1">
        <f t="array" ref="S1397">_xlfn.IFS(R1397="COMPLETE", "COMPLETED", R1397="CANCELED", "CANCELED", TRUE, "PENDING")</f>
        <v>PENDING</v>
      </c>
      <c r="T1397" t="s">
        <v>32</v>
      </c>
      <c r="U1397">
        <f>VLOOKUP(A1397,ordered_items!$B:$E,4,0)</f>
        <v>293.04000000000002</v>
      </c>
    </row>
    <row r="1398" spans="1:21" x14ac:dyDescent="0.3">
      <c r="A1398">
        <v>72302</v>
      </c>
      <c r="B1398" t="s">
        <v>24</v>
      </c>
      <c r="C1398">
        <v>3</v>
      </c>
      <c r="D1398">
        <v>4</v>
      </c>
      <c r="E1398" t="str">
        <f t="shared" si="63"/>
        <v xml:space="preserve"> ONTIME</v>
      </c>
      <c r="F1398">
        <f>VLOOKUP($A1398,ordered_items!$B$2:$E$4784,2,0)</f>
        <v>1356</v>
      </c>
      <c r="G1398">
        <f>VLOOKUP($A1398,ordered_items!$B$2:$E$4784,3,0)</f>
        <v>1</v>
      </c>
      <c r="H1398">
        <f>VLOOKUP($A1398,ordered_items!$B$2:$E$4784,4,0)</f>
        <v>293.04000000000002</v>
      </c>
      <c r="I1398" s="15">
        <f>VLOOKUP(F1398,product_info!$A$2:$D$73,4,0)</f>
        <v>12</v>
      </c>
      <c r="J1398" s="15" t="str">
        <f>VLOOKUP(I1398,department!$A$2:$B$13,2,0)</f>
        <v xml:space="preserve">Health and Beauty </v>
      </c>
      <c r="K1398">
        <v>15855</v>
      </c>
      <c r="L1398" t="s">
        <v>854</v>
      </c>
      <c r="M1398" s="4">
        <v>44155</v>
      </c>
      <c r="N1398" s="12">
        <f t="shared" si="64"/>
        <v>11</v>
      </c>
      <c r="O1398" s="13">
        <f t="shared" si="65"/>
        <v>2020</v>
      </c>
      <c r="P1398" t="s">
        <v>13</v>
      </c>
      <c r="Q1398" t="s">
        <v>377</v>
      </c>
      <c r="R1398" t="s">
        <v>378</v>
      </c>
      <c r="S1398" t="str" cm="1">
        <f t="array" ref="S1398">_xlfn.IFS(R1398="COMPLETE", "COMPLETED", R1398="CANCELED", "CANCELED", TRUE, "PENDING")</f>
        <v>PENDING</v>
      </c>
      <c r="T1398" t="s">
        <v>16</v>
      </c>
      <c r="U1398">
        <f>VLOOKUP(A1398,ordered_items!$B:$E,4,0)</f>
        <v>293.04000000000002</v>
      </c>
    </row>
    <row r="1399" spans="1:21" x14ac:dyDescent="0.3">
      <c r="A1399">
        <v>72303</v>
      </c>
      <c r="B1399" t="s">
        <v>24</v>
      </c>
      <c r="C1399">
        <v>4</v>
      </c>
      <c r="D1399">
        <v>4</v>
      </c>
      <c r="E1399" t="str">
        <f t="shared" si="63"/>
        <v xml:space="preserve"> ONTIME</v>
      </c>
      <c r="F1399">
        <f>VLOOKUP($A1399,ordered_items!$B$2:$E$4784,2,0)</f>
        <v>1356</v>
      </c>
      <c r="G1399">
        <f>VLOOKUP($A1399,ordered_items!$B$2:$E$4784,3,0)</f>
        <v>1</v>
      </c>
      <c r="H1399">
        <f>VLOOKUP($A1399,ordered_items!$B$2:$E$4784,4,0)</f>
        <v>293.04000000000002</v>
      </c>
      <c r="I1399" s="15">
        <f>VLOOKUP(F1399,product_info!$A$2:$D$73,4,0)</f>
        <v>12</v>
      </c>
      <c r="J1399" s="15" t="str">
        <f>VLOOKUP(I1399,department!$A$2:$B$13,2,0)</f>
        <v xml:space="preserve">Health and Beauty </v>
      </c>
      <c r="K1399">
        <v>15856</v>
      </c>
      <c r="L1399" t="s">
        <v>854</v>
      </c>
      <c r="M1399" s="4">
        <v>44155</v>
      </c>
      <c r="N1399" s="12">
        <f t="shared" si="64"/>
        <v>11</v>
      </c>
      <c r="O1399" s="13">
        <f t="shared" si="65"/>
        <v>2020</v>
      </c>
      <c r="P1399" t="s">
        <v>13</v>
      </c>
      <c r="Q1399" t="s">
        <v>377</v>
      </c>
      <c r="R1399" t="s">
        <v>31</v>
      </c>
      <c r="S1399" t="str" cm="1">
        <f t="array" ref="S1399">_xlfn.IFS(R1399="COMPLETE", "COMPLETED", R1399="CANCELED", "CANCELED", TRUE, "PENDING")</f>
        <v>COMPLETED</v>
      </c>
      <c r="T1399" t="s">
        <v>16</v>
      </c>
      <c r="U1399">
        <f>VLOOKUP(A1399,ordered_items!$B:$E,4,0)</f>
        <v>293.04000000000002</v>
      </c>
    </row>
    <row r="1400" spans="1:21" x14ac:dyDescent="0.3">
      <c r="A1400">
        <v>72306</v>
      </c>
      <c r="B1400" t="s">
        <v>3</v>
      </c>
      <c r="C1400">
        <v>2</v>
      </c>
      <c r="D1400">
        <v>4</v>
      </c>
      <c r="E1400" t="str">
        <f t="shared" si="63"/>
        <v xml:space="preserve"> ONTIME</v>
      </c>
      <c r="F1400">
        <f>VLOOKUP($A1400,ordered_items!$B$2:$E$4784,2,0)</f>
        <v>1356</v>
      </c>
      <c r="G1400">
        <f>VLOOKUP($A1400,ordered_items!$B$2:$E$4784,3,0)</f>
        <v>1</v>
      </c>
      <c r="H1400">
        <f>VLOOKUP($A1400,ordered_items!$B$2:$E$4784,4,0)</f>
        <v>293.04000000000002</v>
      </c>
      <c r="I1400" s="15">
        <f>VLOOKUP(F1400,product_info!$A$2:$D$73,4,0)</f>
        <v>12</v>
      </c>
      <c r="J1400" s="15" t="str">
        <f>VLOOKUP(I1400,department!$A$2:$B$13,2,0)</f>
        <v xml:space="preserve">Health and Beauty </v>
      </c>
      <c r="K1400">
        <v>15859</v>
      </c>
      <c r="L1400" t="s">
        <v>295</v>
      </c>
      <c r="M1400" s="4">
        <v>44155</v>
      </c>
      <c r="N1400" s="12">
        <f t="shared" si="64"/>
        <v>11</v>
      </c>
      <c r="O1400" s="13">
        <f t="shared" si="65"/>
        <v>2020</v>
      </c>
      <c r="P1400" t="s">
        <v>13</v>
      </c>
      <c r="Q1400" t="s">
        <v>80</v>
      </c>
      <c r="R1400" t="s">
        <v>38</v>
      </c>
      <c r="S1400" t="str" cm="1">
        <f t="array" ref="S1400">_xlfn.IFS(R1400="COMPLETE", "COMPLETED", R1400="CANCELED", "CANCELED", TRUE, "PENDING")</f>
        <v>PENDING</v>
      </c>
      <c r="T1400" t="s">
        <v>16</v>
      </c>
      <c r="U1400">
        <f>VLOOKUP(A1400,ordered_items!$B:$E,4,0)</f>
        <v>293.04000000000002</v>
      </c>
    </row>
    <row r="1401" spans="1:21" x14ac:dyDescent="0.3">
      <c r="A1401">
        <v>72307</v>
      </c>
      <c r="B1401" t="s">
        <v>51</v>
      </c>
      <c r="C1401">
        <v>3</v>
      </c>
      <c r="D1401">
        <v>4</v>
      </c>
      <c r="E1401" t="str">
        <f t="shared" si="63"/>
        <v xml:space="preserve"> ONTIME</v>
      </c>
      <c r="F1401">
        <f>VLOOKUP($A1401,ordered_items!$B$2:$E$4784,2,0)</f>
        <v>1356</v>
      </c>
      <c r="G1401">
        <f>VLOOKUP($A1401,ordered_items!$B$2:$E$4784,3,0)</f>
        <v>1</v>
      </c>
      <c r="H1401">
        <f>VLOOKUP($A1401,ordered_items!$B$2:$E$4784,4,0)</f>
        <v>293.04000000000002</v>
      </c>
      <c r="I1401" s="15">
        <f>VLOOKUP(F1401,product_info!$A$2:$D$73,4,0)</f>
        <v>12</v>
      </c>
      <c r="J1401" s="15" t="str">
        <f>VLOOKUP(I1401,department!$A$2:$B$13,2,0)</f>
        <v xml:space="preserve">Health and Beauty </v>
      </c>
      <c r="K1401">
        <v>15860</v>
      </c>
      <c r="L1401" t="s">
        <v>295</v>
      </c>
      <c r="M1401" s="4">
        <v>44155</v>
      </c>
      <c r="N1401" s="12">
        <f t="shared" si="64"/>
        <v>11</v>
      </c>
      <c r="O1401" s="13">
        <f t="shared" si="65"/>
        <v>2020</v>
      </c>
      <c r="P1401" t="s">
        <v>13</v>
      </c>
      <c r="Q1401" t="s">
        <v>80</v>
      </c>
      <c r="R1401" t="s">
        <v>57</v>
      </c>
      <c r="S1401" t="str" cm="1">
        <f t="array" ref="S1401">_xlfn.IFS(R1401="COMPLETE", "COMPLETED", R1401="CANCELED", "CANCELED", TRUE, "PENDING")</f>
        <v>PENDING</v>
      </c>
      <c r="T1401" t="s">
        <v>16</v>
      </c>
      <c r="U1401">
        <f>VLOOKUP(A1401,ordered_items!$B:$E,4,0)</f>
        <v>293.04000000000002</v>
      </c>
    </row>
    <row r="1402" spans="1:21" x14ac:dyDescent="0.3">
      <c r="A1402">
        <v>72308</v>
      </c>
      <c r="B1402" t="s">
        <v>3</v>
      </c>
      <c r="C1402">
        <v>4</v>
      </c>
      <c r="D1402">
        <v>4</v>
      </c>
      <c r="E1402" t="str">
        <f t="shared" si="63"/>
        <v xml:space="preserve"> ONTIME</v>
      </c>
      <c r="F1402">
        <f>VLOOKUP($A1402,ordered_items!$B$2:$E$4784,2,0)</f>
        <v>1356</v>
      </c>
      <c r="G1402">
        <f>VLOOKUP($A1402,ordered_items!$B$2:$E$4784,3,0)</f>
        <v>1</v>
      </c>
      <c r="H1402">
        <f>VLOOKUP($A1402,ordered_items!$B$2:$E$4784,4,0)</f>
        <v>293.04000000000002</v>
      </c>
      <c r="I1402" s="15">
        <f>VLOOKUP(F1402,product_info!$A$2:$D$73,4,0)</f>
        <v>12</v>
      </c>
      <c r="J1402" s="15" t="str">
        <f>VLOOKUP(I1402,department!$A$2:$B$13,2,0)</f>
        <v xml:space="preserve">Health and Beauty </v>
      </c>
      <c r="K1402">
        <v>15861</v>
      </c>
      <c r="L1402" t="s">
        <v>295</v>
      </c>
      <c r="M1402" s="4">
        <v>44155</v>
      </c>
      <c r="N1402" s="12">
        <f t="shared" si="64"/>
        <v>11</v>
      </c>
      <c r="O1402" s="13">
        <f t="shared" si="65"/>
        <v>2020</v>
      </c>
      <c r="P1402" t="s">
        <v>13</v>
      </c>
      <c r="Q1402" t="s">
        <v>80</v>
      </c>
      <c r="R1402" t="s">
        <v>14</v>
      </c>
      <c r="S1402" t="str" cm="1">
        <f t="array" ref="S1402">_xlfn.IFS(R1402="COMPLETE", "COMPLETED", R1402="CANCELED", "CANCELED", TRUE, "PENDING")</f>
        <v>PENDING</v>
      </c>
      <c r="T1402" t="s">
        <v>16</v>
      </c>
      <c r="U1402">
        <f>VLOOKUP(A1402,ordered_items!$B:$E,4,0)</f>
        <v>293.04000000000002</v>
      </c>
    </row>
    <row r="1403" spans="1:21" x14ac:dyDescent="0.3">
      <c r="A1403">
        <v>72309</v>
      </c>
      <c r="B1403" t="s">
        <v>51</v>
      </c>
      <c r="C1403">
        <v>5</v>
      </c>
      <c r="D1403">
        <v>4</v>
      </c>
      <c r="E1403" t="str">
        <f t="shared" si="63"/>
        <v>DELAYED</v>
      </c>
      <c r="F1403">
        <f>VLOOKUP($A1403,ordered_items!$B$2:$E$4784,2,0)</f>
        <v>1356</v>
      </c>
      <c r="G1403">
        <f>VLOOKUP($A1403,ordered_items!$B$2:$E$4784,3,0)</f>
        <v>1</v>
      </c>
      <c r="H1403">
        <f>VLOOKUP($A1403,ordered_items!$B$2:$E$4784,4,0)</f>
        <v>293.04000000000002</v>
      </c>
      <c r="I1403" s="15">
        <f>VLOOKUP(F1403,product_info!$A$2:$D$73,4,0)</f>
        <v>12</v>
      </c>
      <c r="J1403" s="15" t="str">
        <f>VLOOKUP(I1403,department!$A$2:$B$13,2,0)</f>
        <v xml:space="preserve">Health and Beauty </v>
      </c>
      <c r="K1403">
        <v>15862</v>
      </c>
      <c r="L1403" t="s">
        <v>376</v>
      </c>
      <c r="M1403" s="4">
        <v>44155</v>
      </c>
      <c r="N1403" s="12">
        <f t="shared" si="64"/>
        <v>11</v>
      </c>
      <c r="O1403" s="13">
        <f t="shared" si="65"/>
        <v>2020</v>
      </c>
      <c r="P1403" t="s">
        <v>13</v>
      </c>
      <c r="Q1403" t="s">
        <v>377</v>
      </c>
      <c r="R1403" t="s">
        <v>57</v>
      </c>
      <c r="S1403" t="str" cm="1">
        <f t="array" ref="S1403">_xlfn.IFS(R1403="COMPLETE", "COMPLETED", R1403="CANCELED", "CANCELED", TRUE, "PENDING")</f>
        <v>PENDING</v>
      </c>
      <c r="T1403" t="s">
        <v>16</v>
      </c>
      <c r="U1403">
        <f>VLOOKUP(A1403,ordered_items!$B:$E,4,0)</f>
        <v>293.04000000000002</v>
      </c>
    </row>
    <row r="1404" spans="1:21" x14ac:dyDescent="0.3">
      <c r="A1404">
        <v>72377</v>
      </c>
      <c r="B1404" t="s">
        <v>51</v>
      </c>
      <c r="C1404">
        <v>3</v>
      </c>
      <c r="D1404">
        <v>2</v>
      </c>
      <c r="E1404" t="str">
        <f t="shared" si="63"/>
        <v>DELAYED</v>
      </c>
      <c r="F1404">
        <f>VLOOKUP($A1404,ordered_items!$B$2:$E$4784,2,0)</f>
        <v>1357</v>
      </c>
      <c r="G1404">
        <f>VLOOKUP($A1404,ordered_items!$B$2:$E$4784,3,0)</f>
        <v>1</v>
      </c>
      <c r="H1404">
        <f>VLOOKUP($A1404,ordered_items!$B$2:$E$4784,4,0)</f>
        <v>210.85</v>
      </c>
      <c r="I1404" s="15">
        <f>VLOOKUP(F1404,product_info!$A$2:$D$73,4,0)</f>
        <v>4</v>
      </c>
      <c r="J1404" s="15" t="str">
        <f>VLOOKUP(I1404,department!$A$2:$B$13,2,0)</f>
        <v>Apparel</v>
      </c>
      <c r="K1404">
        <v>15930</v>
      </c>
      <c r="L1404" t="s">
        <v>266</v>
      </c>
      <c r="M1404" s="4">
        <v>44156</v>
      </c>
      <c r="N1404" s="12">
        <f t="shared" si="64"/>
        <v>11</v>
      </c>
      <c r="O1404" s="13">
        <f t="shared" si="65"/>
        <v>2020</v>
      </c>
      <c r="P1404" t="s">
        <v>13</v>
      </c>
      <c r="Q1404" t="s">
        <v>5778</v>
      </c>
      <c r="R1404" t="s">
        <v>57</v>
      </c>
      <c r="S1404" t="str" cm="1">
        <f t="array" ref="S1404">_xlfn.IFS(R1404="COMPLETE", "COMPLETED", R1404="CANCELED", "CANCELED", TRUE, "PENDING")</f>
        <v>PENDING</v>
      </c>
      <c r="T1404" t="s">
        <v>90</v>
      </c>
      <c r="U1404">
        <f>VLOOKUP(A1404,ordered_items!$B:$E,4,0)</f>
        <v>210.85</v>
      </c>
    </row>
    <row r="1405" spans="1:21" x14ac:dyDescent="0.3">
      <c r="A1405">
        <v>72396</v>
      </c>
      <c r="B1405" t="s">
        <v>17</v>
      </c>
      <c r="C1405">
        <v>2</v>
      </c>
      <c r="D1405">
        <v>2</v>
      </c>
      <c r="E1405" t="str">
        <f t="shared" si="63"/>
        <v xml:space="preserve"> ONTIME</v>
      </c>
      <c r="F1405">
        <f>VLOOKUP($A1405,ordered_items!$B$2:$E$4784,2,0)</f>
        <v>1357</v>
      </c>
      <c r="G1405">
        <f>VLOOKUP($A1405,ordered_items!$B$2:$E$4784,3,0)</f>
        <v>1</v>
      </c>
      <c r="H1405">
        <f>VLOOKUP($A1405,ordered_items!$B$2:$E$4784,4,0)</f>
        <v>210.85</v>
      </c>
      <c r="I1405" s="15">
        <f>VLOOKUP(F1405,product_info!$A$2:$D$73,4,0)</f>
        <v>4</v>
      </c>
      <c r="J1405" s="15" t="str">
        <f>VLOOKUP(I1405,department!$A$2:$B$13,2,0)</f>
        <v>Apparel</v>
      </c>
      <c r="K1405">
        <v>15949</v>
      </c>
      <c r="L1405" t="s">
        <v>439</v>
      </c>
      <c r="M1405" s="4">
        <v>44156</v>
      </c>
      <c r="N1405" s="12">
        <f t="shared" si="64"/>
        <v>11</v>
      </c>
      <c r="O1405" s="13">
        <f t="shared" si="65"/>
        <v>2020</v>
      </c>
      <c r="P1405" t="s">
        <v>13</v>
      </c>
      <c r="Q1405" t="s">
        <v>377</v>
      </c>
      <c r="R1405" t="s">
        <v>23</v>
      </c>
      <c r="S1405" t="str" cm="1">
        <f t="array" ref="S1405">_xlfn.IFS(R1405="COMPLETE", "COMPLETED", R1405="CANCELED", "CANCELED", TRUE, "PENDING")</f>
        <v>PENDING</v>
      </c>
      <c r="T1405" t="s">
        <v>90</v>
      </c>
      <c r="U1405">
        <f>VLOOKUP(A1405,ordered_items!$B:$E,4,0)</f>
        <v>210.85</v>
      </c>
    </row>
    <row r="1406" spans="1:21" x14ac:dyDescent="0.3">
      <c r="A1406">
        <v>72397</v>
      </c>
      <c r="B1406" t="s">
        <v>3</v>
      </c>
      <c r="C1406">
        <v>3</v>
      </c>
      <c r="D1406">
        <v>2</v>
      </c>
      <c r="E1406" t="str">
        <f t="shared" si="63"/>
        <v>DELAYED</v>
      </c>
      <c r="F1406">
        <f>VLOOKUP($A1406,ordered_items!$B$2:$E$4784,2,0)</f>
        <v>1357</v>
      </c>
      <c r="G1406">
        <f>VLOOKUP($A1406,ordered_items!$B$2:$E$4784,3,0)</f>
        <v>1</v>
      </c>
      <c r="H1406">
        <f>VLOOKUP($A1406,ordered_items!$B$2:$E$4784,4,0)</f>
        <v>210.85</v>
      </c>
      <c r="I1406" s="15">
        <f>VLOOKUP(F1406,product_info!$A$2:$D$73,4,0)</f>
        <v>4</v>
      </c>
      <c r="J1406" s="15" t="str">
        <f>VLOOKUP(I1406,department!$A$2:$B$13,2,0)</f>
        <v>Apparel</v>
      </c>
      <c r="K1406">
        <v>15950</v>
      </c>
      <c r="L1406" t="s">
        <v>206</v>
      </c>
      <c r="M1406" s="4">
        <v>44156</v>
      </c>
      <c r="N1406" s="12">
        <f t="shared" si="64"/>
        <v>11</v>
      </c>
      <c r="O1406" s="13">
        <f t="shared" si="65"/>
        <v>2020</v>
      </c>
      <c r="P1406" t="s">
        <v>13</v>
      </c>
      <c r="Q1406" t="s">
        <v>30</v>
      </c>
      <c r="R1406" t="s">
        <v>14</v>
      </c>
      <c r="S1406" t="str" cm="1">
        <f t="array" ref="S1406">_xlfn.IFS(R1406="COMPLETE", "COMPLETED", R1406="CANCELED", "CANCELED", TRUE, "PENDING")</f>
        <v>PENDING</v>
      </c>
      <c r="T1406" t="s">
        <v>90</v>
      </c>
      <c r="U1406">
        <f>VLOOKUP(A1406,ordered_items!$B:$E,4,0)</f>
        <v>210.85</v>
      </c>
    </row>
    <row r="1407" spans="1:21" x14ac:dyDescent="0.3">
      <c r="A1407">
        <v>72398</v>
      </c>
      <c r="B1407" t="s">
        <v>3</v>
      </c>
      <c r="C1407">
        <v>4</v>
      </c>
      <c r="D1407">
        <v>2</v>
      </c>
      <c r="E1407" t="str">
        <f t="shared" si="63"/>
        <v>DELAYED</v>
      </c>
      <c r="F1407">
        <f>VLOOKUP($A1407,ordered_items!$B$2:$E$4784,2,0)</f>
        <v>1357</v>
      </c>
      <c r="G1407">
        <f>VLOOKUP($A1407,ordered_items!$B$2:$E$4784,3,0)</f>
        <v>1</v>
      </c>
      <c r="H1407">
        <f>VLOOKUP($A1407,ordered_items!$B$2:$E$4784,4,0)</f>
        <v>210.85</v>
      </c>
      <c r="I1407" s="15">
        <f>VLOOKUP(F1407,product_info!$A$2:$D$73,4,0)</f>
        <v>4</v>
      </c>
      <c r="J1407" s="15" t="str">
        <f>VLOOKUP(I1407,department!$A$2:$B$13,2,0)</f>
        <v>Apparel</v>
      </c>
      <c r="K1407">
        <v>15951</v>
      </c>
      <c r="L1407" t="s">
        <v>258</v>
      </c>
      <c r="M1407" s="4">
        <v>44156</v>
      </c>
      <c r="N1407" s="12">
        <f t="shared" si="64"/>
        <v>11</v>
      </c>
      <c r="O1407" s="13">
        <f t="shared" si="65"/>
        <v>2020</v>
      </c>
      <c r="P1407" t="s">
        <v>13</v>
      </c>
      <c r="Q1407" t="s">
        <v>30</v>
      </c>
      <c r="R1407" t="s">
        <v>38</v>
      </c>
      <c r="S1407" t="str" cm="1">
        <f t="array" ref="S1407">_xlfn.IFS(R1407="COMPLETE", "COMPLETED", R1407="CANCELED", "CANCELED", TRUE, "PENDING")</f>
        <v>PENDING</v>
      </c>
      <c r="T1407" t="s">
        <v>90</v>
      </c>
      <c r="U1407">
        <f>VLOOKUP(A1407,ordered_items!$B:$E,4,0)</f>
        <v>210.85</v>
      </c>
    </row>
    <row r="1408" spans="1:21" x14ac:dyDescent="0.3">
      <c r="A1408">
        <v>72399</v>
      </c>
      <c r="B1408" t="s">
        <v>3</v>
      </c>
      <c r="C1408">
        <v>5</v>
      </c>
      <c r="D1408">
        <v>2</v>
      </c>
      <c r="E1408" t="str">
        <f t="shared" si="63"/>
        <v>DELAYED</v>
      </c>
      <c r="F1408">
        <f>VLOOKUP($A1408,ordered_items!$B$2:$E$4784,2,0)</f>
        <v>1357</v>
      </c>
      <c r="G1408">
        <f>VLOOKUP($A1408,ordered_items!$B$2:$E$4784,3,0)</f>
        <v>1</v>
      </c>
      <c r="H1408">
        <f>VLOOKUP($A1408,ordered_items!$B$2:$E$4784,4,0)</f>
        <v>210.85</v>
      </c>
      <c r="I1408" s="15">
        <f>VLOOKUP(F1408,product_info!$A$2:$D$73,4,0)</f>
        <v>4</v>
      </c>
      <c r="J1408" s="15" t="str">
        <f>VLOOKUP(I1408,department!$A$2:$B$13,2,0)</f>
        <v>Apparel</v>
      </c>
      <c r="K1408">
        <v>15952</v>
      </c>
      <c r="L1408" t="s">
        <v>258</v>
      </c>
      <c r="M1408" s="4">
        <v>44156</v>
      </c>
      <c r="N1408" s="12">
        <f t="shared" si="64"/>
        <v>11</v>
      </c>
      <c r="O1408" s="13">
        <f t="shared" si="65"/>
        <v>2020</v>
      </c>
      <c r="P1408" t="s">
        <v>13</v>
      </c>
      <c r="Q1408" t="s">
        <v>30</v>
      </c>
      <c r="R1408" t="s">
        <v>38</v>
      </c>
      <c r="S1408" t="str" cm="1">
        <f t="array" ref="S1408">_xlfn.IFS(R1408="COMPLETE", "COMPLETED", R1408="CANCELED", "CANCELED", TRUE, "PENDING")</f>
        <v>PENDING</v>
      </c>
      <c r="T1408" t="s">
        <v>90</v>
      </c>
      <c r="U1408">
        <f>VLOOKUP(A1408,ordered_items!$B:$E,4,0)</f>
        <v>210.85</v>
      </c>
    </row>
    <row r="1409" spans="1:21" x14ac:dyDescent="0.3">
      <c r="A1409">
        <v>72400</v>
      </c>
      <c r="B1409" t="s">
        <v>3</v>
      </c>
      <c r="C1409">
        <v>6</v>
      </c>
      <c r="D1409">
        <v>4</v>
      </c>
      <c r="E1409" t="str">
        <f t="shared" si="63"/>
        <v>DELAYED</v>
      </c>
      <c r="F1409">
        <f>VLOOKUP($A1409,ordered_items!$B$2:$E$4784,2,0)</f>
        <v>1357</v>
      </c>
      <c r="G1409">
        <f>VLOOKUP($A1409,ordered_items!$B$2:$E$4784,3,0)</f>
        <v>1</v>
      </c>
      <c r="H1409">
        <f>VLOOKUP($A1409,ordered_items!$B$2:$E$4784,4,0)</f>
        <v>210.85</v>
      </c>
      <c r="I1409" s="15">
        <f>VLOOKUP(F1409,product_info!$A$2:$D$73,4,0)</f>
        <v>4</v>
      </c>
      <c r="J1409" s="15" t="str">
        <f>VLOOKUP(I1409,department!$A$2:$B$13,2,0)</f>
        <v>Apparel</v>
      </c>
      <c r="K1409">
        <v>15953</v>
      </c>
      <c r="L1409" t="s">
        <v>258</v>
      </c>
      <c r="M1409" s="4">
        <v>44156</v>
      </c>
      <c r="N1409" s="12">
        <f t="shared" si="64"/>
        <v>11</v>
      </c>
      <c r="O1409" s="13">
        <f t="shared" si="65"/>
        <v>2020</v>
      </c>
      <c r="P1409" t="s">
        <v>13</v>
      </c>
      <c r="Q1409" t="s">
        <v>30</v>
      </c>
      <c r="R1409" t="s">
        <v>14</v>
      </c>
      <c r="S1409" t="str" cm="1">
        <f t="array" ref="S1409">_xlfn.IFS(R1409="COMPLETE", "COMPLETED", R1409="CANCELED", "CANCELED", TRUE, "PENDING")</f>
        <v>PENDING</v>
      </c>
      <c r="T1409" t="s">
        <v>16</v>
      </c>
      <c r="U1409">
        <f>VLOOKUP(A1409,ordered_items!$B:$E,4,0)</f>
        <v>210.85</v>
      </c>
    </row>
    <row r="1410" spans="1:21" x14ac:dyDescent="0.3">
      <c r="A1410">
        <v>72401</v>
      </c>
      <c r="B1410" t="s">
        <v>3</v>
      </c>
      <c r="C1410">
        <v>2</v>
      </c>
      <c r="D1410">
        <v>4</v>
      </c>
      <c r="E1410" t="str">
        <f t="shared" si="63"/>
        <v xml:space="preserve"> ONTIME</v>
      </c>
      <c r="F1410">
        <f>VLOOKUP($A1410,ordered_items!$B$2:$E$4784,2,0)</f>
        <v>1357</v>
      </c>
      <c r="G1410">
        <f>VLOOKUP($A1410,ordered_items!$B$2:$E$4784,3,0)</f>
        <v>1</v>
      </c>
      <c r="H1410">
        <f>VLOOKUP($A1410,ordered_items!$B$2:$E$4784,4,0)</f>
        <v>210.85</v>
      </c>
      <c r="I1410" s="15">
        <f>VLOOKUP(F1410,product_info!$A$2:$D$73,4,0)</f>
        <v>4</v>
      </c>
      <c r="J1410" s="15" t="str">
        <f>VLOOKUP(I1410,department!$A$2:$B$13,2,0)</f>
        <v>Apparel</v>
      </c>
      <c r="K1410">
        <v>15954</v>
      </c>
      <c r="L1410" t="s">
        <v>258</v>
      </c>
      <c r="M1410" s="4">
        <v>44156</v>
      </c>
      <c r="N1410" s="12">
        <f t="shared" si="64"/>
        <v>11</v>
      </c>
      <c r="O1410" s="13">
        <f t="shared" si="65"/>
        <v>2020</v>
      </c>
      <c r="P1410" t="s">
        <v>13</v>
      </c>
      <c r="Q1410" t="s">
        <v>30</v>
      </c>
      <c r="R1410" t="s">
        <v>14</v>
      </c>
      <c r="S1410" t="str" cm="1">
        <f t="array" ref="S1410">_xlfn.IFS(R1410="COMPLETE", "COMPLETED", R1410="CANCELED", "CANCELED", TRUE, "PENDING")</f>
        <v>PENDING</v>
      </c>
      <c r="T1410" t="s">
        <v>16</v>
      </c>
      <c r="U1410">
        <f>VLOOKUP(A1410,ordered_items!$B:$E,4,0)</f>
        <v>210.85</v>
      </c>
    </row>
    <row r="1411" spans="1:21" x14ac:dyDescent="0.3">
      <c r="A1411">
        <v>72402</v>
      </c>
      <c r="B1411" t="s">
        <v>24</v>
      </c>
      <c r="C1411">
        <v>3</v>
      </c>
      <c r="D1411">
        <v>4</v>
      </c>
      <c r="E1411" t="str">
        <f t="shared" ref="E1411:E1474" si="66">IF(C1411-D1411&gt;0,"DELAYED"," ONTIME")</f>
        <v xml:space="preserve"> ONTIME</v>
      </c>
      <c r="F1411">
        <f>VLOOKUP($A1411,ordered_items!$B$2:$E$4784,2,0)</f>
        <v>1357</v>
      </c>
      <c r="G1411">
        <f>VLOOKUP($A1411,ordered_items!$B$2:$E$4784,3,0)</f>
        <v>1</v>
      </c>
      <c r="H1411">
        <f>VLOOKUP($A1411,ordered_items!$B$2:$E$4784,4,0)</f>
        <v>210.85</v>
      </c>
      <c r="I1411" s="15">
        <f>VLOOKUP(F1411,product_info!$A$2:$D$73,4,0)</f>
        <v>4</v>
      </c>
      <c r="J1411" s="15" t="str">
        <f>VLOOKUP(I1411,department!$A$2:$B$13,2,0)</f>
        <v>Apparel</v>
      </c>
      <c r="K1411">
        <v>15955</v>
      </c>
      <c r="L1411" t="s">
        <v>258</v>
      </c>
      <c r="M1411" s="4">
        <v>44156</v>
      </c>
      <c r="N1411" s="12">
        <f t="shared" ref="N1411:N1474" si="67">MONTH(M1411)</f>
        <v>11</v>
      </c>
      <c r="O1411" s="13">
        <f t="shared" ref="O1411:O1474" si="68">YEAR(M1411)</f>
        <v>2020</v>
      </c>
      <c r="P1411" t="s">
        <v>13</v>
      </c>
      <c r="Q1411" t="s">
        <v>30</v>
      </c>
      <c r="R1411" t="s">
        <v>31</v>
      </c>
      <c r="S1411" t="str" cm="1">
        <f t="array" ref="S1411">_xlfn.IFS(R1411="COMPLETE", "COMPLETED", R1411="CANCELED", "CANCELED", TRUE, "PENDING")</f>
        <v>COMPLETED</v>
      </c>
      <c r="T1411" t="s">
        <v>16</v>
      </c>
      <c r="U1411">
        <f>VLOOKUP(A1411,ordered_items!$B:$E,4,0)</f>
        <v>210.85</v>
      </c>
    </row>
    <row r="1412" spans="1:21" x14ac:dyDescent="0.3">
      <c r="A1412">
        <v>72420</v>
      </c>
      <c r="B1412" t="s">
        <v>51</v>
      </c>
      <c r="C1412">
        <v>2</v>
      </c>
      <c r="D1412">
        <v>1</v>
      </c>
      <c r="E1412" t="str">
        <f t="shared" si="66"/>
        <v>DELAYED</v>
      </c>
      <c r="F1412">
        <f>VLOOKUP($A1412,ordered_items!$B$2:$E$4784,2,0)</f>
        <v>1357</v>
      </c>
      <c r="G1412">
        <f>VLOOKUP($A1412,ordered_items!$B$2:$E$4784,3,0)</f>
        <v>1</v>
      </c>
      <c r="H1412">
        <f>VLOOKUP($A1412,ordered_items!$B$2:$E$4784,4,0)</f>
        <v>210.85</v>
      </c>
      <c r="I1412" s="15">
        <f>VLOOKUP(F1412,product_info!$A$2:$D$73,4,0)</f>
        <v>4</v>
      </c>
      <c r="J1412" s="15" t="str">
        <f>VLOOKUP(I1412,department!$A$2:$B$13,2,0)</f>
        <v>Apparel</v>
      </c>
      <c r="K1412">
        <v>15973</v>
      </c>
      <c r="L1412" t="s">
        <v>1599</v>
      </c>
      <c r="M1412" s="4">
        <v>44157</v>
      </c>
      <c r="N1412" s="12">
        <f t="shared" si="67"/>
        <v>11</v>
      </c>
      <c r="O1412" s="13">
        <f t="shared" si="68"/>
        <v>2020</v>
      </c>
      <c r="P1412" t="s">
        <v>13</v>
      </c>
      <c r="Q1412" t="s">
        <v>47</v>
      </c>
      <c r="R1412" t="s">
        <v>57</v>
      </c>
      <c r="S1412" t="str" cm="1">
        <f t="array" ref="S1412">_xlfn.IFS(R1412="COMPLETE", "COMPLETED", R1412="CANCELED", "CANCELED", TRUE, "PENDING")</f>
        <v>PENDING</v>
      </c>
      <c r="T1412" t="s">
        <v>32</v>
      </c>
      <c r="U1412">
        <f>VLOOKUP(A1412,ordered_items!$B:$E,4,0)</f>
        <v>210.85</v>
      </c>
    </row>
    <row r="1413" spans="1:21" x14ac:dyDescent="0.3">
      <c r="A1413">
        <v>72421</v>
      </c>
      <c r="B1413" t="s">
        <v>3</v>
      </c>
      <c r="C1413">
        <v>2</v>
      </c>
      <c r="D1413">
        <v>1</v>
      </c>
      <c r="E1413" t="str">
        <f t="shared" si="66"/>
        <v>DELAYED</v>
      </c>
      <c r="F1413">
        <f>VLOOKUP($A1413,ordered_items!$B$2:$E$4784,2,0)</f>
        <v>1357</v>
      </c>
      <c r="G1413">
        <f>VLOOKUP($A1413,ordered_items!$B$2:$E$4784,3,0)</f>
        <v>1</v>
      </c>
      <c r="H1413">
        <f>VLOOKUP($A1413,ordered_items!$B$2:$E$4784,4,0)</f>
        <v>210.85</v>
      </c>
      <c r="I1413" s="15">
        <f>VLOOKUP(F1413,product_info!$A$2:$D$73,4,0)</f>
        <v>4</v>
      </c>
      <c r="J1413" s="15" t="str">
        <f>VLOOKUP(I1413,department!$A$2:$B$13,2,0)</f>
        <v>Apparel</v>
      </c>
      <c r="K1413">
        <v>15974</v>
      </c>
      <c r="L1413" t="s">
        <v>1599</v>
      </c>
      <c r="M1413" s="4">
        <v>44157</v>
      </c>
      <c r="N1413" s="12">
        <f t="shared" si="67"/>
        <v>11</v>
      </c>
      <c r="O1413" s="13">
        <f t="shared" si="68"/>
        <v>2020</v>
      </c>
      <c r="P1413" t="s">
        <v>13</v>
      </c>
      <c r="Q1413" t="s">
        <v>47</v>
      </c>
      <c r="R1413" t="s">
        <v>38</v>
      </c>
      <c r="S1413" t="str" cm="1">
        <f t="array" ref="S1413">_xlfn.IFS(R1413="COMPLETE", "COMPLETED", R1413="CANCELED", "CANCELED", TRUE, "PENDING")</f>
        <v>PENDING</v>
      </c>
      <c r="T1413" t="s">
        <v>32</v>
      </c>
      <c r="U1413">
        <f>VLOOKUP(A1413,ordered_items!$B:$E,4,0)</f>
        <v>210.85</v>
      </c>
    </row>
    <row r="1414" spans="1:21" x14ac:dyDescent="0.3">
      <c r="A1414">
        <v>72422</v>
      </c>
      <c r="B1414" t="s">
        <v>24</v>
      </c>
      <c r="C1414">
        <v>3</v>
      </c>
      <c r="D1414">
        <v>2</v>
      </c>
      <c r="E1414" t="str">
        <f t="shared" si="66"/>
        <v>DELAYED</v>
      </c>
      <c r="F1414">
        <f>VLOOKUP($A1414,ordered_items!$B$2:$E$4784,2,0)</f>
        <v>1357</v>
      </c>
      <c r="G1414">
        <f>VLOOKUP($A1414,ordered_items!$B$2:$E$4784,3,0)</f>
        <v>1</v>
      </c>
      <c r="H1414">
        <f>VLOOKUP($A1414,ordered_items!$B$2:$E$4784,4,0)</f>
        <v>210.85</v>
      </c>
      <c r="I1414" s="15">
        <f>VLOOKUP(F1414,product_info!$A$2:$D$73,4,0)</f>
        <v>4</v>
      </c>
      <c r="J1414" s="15" t="str">
        <f>VLOOKUP(I1414,department!$A$2:$B$13,2,0)</f>
        <v>Apparel</v>
      </c>
      <c r="K1414">
        <v>15975</v>
      </c>
      <c r="L1414" t="s">
        <v>1599</v>
      </c>
      <c r="M1414" s="4">
        <v>44157</v>
      </c>
      <c r="N1414" s="12">
        <f t="shared" si="67"/>
        <v>11</v>
      </c>
      <c r="O1414" s="13">
        <f t="shared" si="68"/>
        <v>2020</v>
      </c>
      <c r="P1414" t="s">
        <v>13</v>
      </c>
      <c r="Q1414" t="s">
        <v>47</v>
      </c>
      <c r="R1414" t="s">
        <v>31</v>
      </c>
      <c r="S1414" t="str" cm="1">
        <f t="array" ref="S1414">_xlfn.IFS(R1414="COMPLETE", "COMPLETED", R1414="CANCELED", "CANCELED", TRUE, "PENDING")</f>
        <v>COMPLETED</v>
      </c>
      <c r="T1414" t="s">
        <v>90</v>
      </c>
      <c r="U1414">
        <f>VLOOKUP(A1414,ordered_items!$B:$E,4,0)</f>
        <v>210.85</v>
      </c>
    </row>
    <row r="1415" spans="1:21" x14ac:dyDescent="0.3">
      <c r="A1415">
        <v>72428</v>
      </c>
      <c r="B1415" t="s">
        <v>17</v>
      </c>
      <c r="C1415">
        <v>2</v>
      </c>
      <c r="D1415">
        <v>1</v>
      </c>
      <c r="E1415" t="str">
        <f t="shared" si="66"/>
        <v>DELAYED</v>
      </c>
      <c r="F1415">
        <f>VLOOKUP($A1415,ordered_items!$B$2:$E$4784,2,0)</f>
        <v>1357</v>
      </c>
      <c r="G1415">
        <f>VLOOKUP($A1415,ordered_items!$B$2:$E$4784,3,0)</f>
        <v>1</v>
      </c>
      <c r="H1415">
        <f>VLOOKUP($A1415,ordered_items!$B$2:$E$4784,4,0)</f>
        <v>210.85</v>
      </c>
      <c r="I1415" s="15">
        <f>VLOOKUP(F1415,product_info!$A$2:$D$73,4,0)</f>
        <v>4</v>
      </c>
      <c r="J1415" s="15" t="str">
        <f>VLOOKUP(I1415,department!$A$2:$B$13,2,0)</f>
        <v>Apparel</v>
      </c>
      <c r="K1415">
        <v>15981</v>
      </c>
      <c r="L1415" t="s">
        <v>304</v>
      </c>
      <c r="M1415" s="4">
        <v>44157</v>
      </c>
      <c r="N1415" s="12">
        <f t="shared" si="67"/>
        <v>11</v>
      </c>
      <c r="O1415" s="13">
        <f t="shared" si="68"/>
        <v>2020</v>
      </c>
      <c r="P1415" t="s">
        <v>13</v>
      </c>
      <c r="Q1415" t="s">
        <v>30</v>
      </c>
      <c r="R1415" t="s">
        <v>23</v>
      </c>
      <c r="S1415" t="str" cm="1">
        <f t="array" ref="S1415">_xlfn.IFS(R1415="COMPLETE", "COMPLETED", R1415="CANCELED", "CANCELED", TRUE, "PENDING")</f>
        <v>PENDING</v>
      </c>
      <c r="T1415" t="s">
        <v>32</v>
      </c>
      <c r="U1415">
        <f>VLOOKUP(A1415,ordered_items!$B:$E,4,0)</f>
        <v>210.85</v>
      </c>
    </row>
    <row r="1416" spans="1:21" x14ac:dyDescent="0.3">
      <c r="A1416">
        <v>72429</v>
      </c>
      <c r="B1416" t="s">
        <v>24</v>
      </c>
      <c r="C1416">
        <v>2</v>
      </c>
      <c r="D1416">
        <v>1</v>
      </c>
      <c r="E1416" t="str">
        <f t="shared" si="66"/>
        <v>DELAYED</v>
      </c>
      <c r="F1416">
        <f>VLOOKUP($A1416,ordered_items!$B$2:$E$4784,2,0)</f>
        <v>1357</v>
      </c>
      <c r="G1416">
        <f>VLOOKUP($A1416,ordered_items!$B$2:$E$4784,3,0)</f>
        <v>1</v>
      </c>
      <c r="H1416">
        <f>VLOOKUP($A1416,ordered_items!$B$2:$E$4784,4,0)</f>
        <v>210.85</v>
      </c>
      <c r="I1416" s="15">
        <f>VLOOKUP(F1416,product_info!$A$2:$D$73,4,0)</f>
        <v>4</v>
      </c>
      <c r="J1416" s="15" t="str">
        <f>VLOOKUP(I1416,department!$A$2:$B$13,2,0)</f>
        <v>Apparel</v>
      </c>
      <c r="K1416">
        <v>15982</v>
      </c>
      <c r="L1416" t="s">
        <v>304</v>
      </c>
      <c r="M1416" s="4">
        <v>44157</v>
      </c>
      <c r="N1416" s="12">
        <f t="shared" si="67"/>
        <v>11</v>
      </c>
      <c r="O1416" s="13">
        <f t="shared" si="68"/>
        <v>2020</v>
      </c>
      <c r="P1416" t="s">
        <v>13</v>
      </c>
      <c r="Q1416" t="s">
        <v>30</v>
      </c>
      <c r="R1416" t="s">
        <v>31</v>
      </c>
      <c r="S1416" t="str" cm="1">
        <f t="array" ref="S1416">_xlfn.IFS(R1416="COMPLETE", "COMPLETED", R1416="CANCELED", "CANCELED", TRUE, "PENDING")</f>
        <v>COMPLETED</v>
      </c>
      <c r="T1416" t="s">
        <v>32</v>
      </c>
      <c r="U1416">
        <f>VLOOKUP(A1416,ordered_items!$B:$E,4,0)</f>
        <v>210.85</v>
      </c>
    </row>
    <row r="1417" spans="1:21" x14ac:dyDescent="0.3">
      <c r="A1417">
        <v>72430</v>
      </c>
      <c r="B1417" t="s">
        <v>51</v>
      </c>
      <c r="C1417">
        <v>6</v>
      </c>
      <c r="D1417">
        <v>4</v>
      </c>
      <c r="E1417" t="str">
        <f t="shared" si="66"/>
        <v>DELAYED</v>
      </c>
      <c r="F1417">
        <f>VLOOKUP($A1417,ordered_items!$B$2:$E$4784,2,0)</f>
        <v>1357</v>
      </c>
      <c r="G1417">
        <f>VLOOKUP($A1417,ordered_items!$B$2:$E$4784,3,0)</f>
        <v>1</v>
      </c>
      <c r="H1417">
        <f>VLOOKUP($A1417,ordered_items!$B$2:$E$4784,4,0)</f>
        <v>210.85</v>
      </c>
      <c r="I1417" s="15">
        <f>VLOOKUP(F1417,product_info!$A$2:$D$73,4,0)</f>
        <v>4</v>
      </c>
      <c r="J1417" s="15" t="str">
        <f>VLOOKUP(I1417,department!$A$2:$B$13,2,0)</f>
        <v>Apparel</v>
      </c>
      <c r="K1417">
        <v>15983</v>
      </c>
      <c r="L1417" t="s">
        <v>304</v>
      </c>
      <c r="M1417" s="4">
        <v>44157</v>
      </c>
      <c r="N1417" s="12">
        <f t="shared" si="67"/>
        <v>11</v>
      </c>
      <c r="O1417" s="13">
        <f t="shared" si="68"/>
        <v>2020</v>
      </c>
      <c r="P1417" t="s">
        <v>13</v>
      </c>
      <c r="Q1417" t="s">
        <v>30</v>
      </c>
      <c r="R1417" t="s">
        <v>57</v>
      </c>
      <c r="S1417" t="str" cm="1">
        <f t="array" ref="S1417">_xlfn.IFS(R1417="COMPLETE", "COMPLETED", R1417="CANCELED", "CANCELED", TRUE, "PENDING")</f>
        <v>PENDING</v>
      </c>
      <c r="T1417" t="s">
        <v>16</v>
      </c>
      <c r="U1417">
        <f>VLOOKUP(A1417,ordered_items!$B:$E,4,0)</f>
        <v>210.85</v>
      </c>
    </row>
    <row r="1418" spans="1:21" x14ac:dyDescent="0.3">
      <c r="A1418">
        <v>72431</v>
      </c>
      <c r="B1418" t="s">
        <v>51</v>
      </c>
      <c r="C1418">
        <v>2</v>
      </c>
      <c r="D1418">
        <v>4</v>
      </c>
      <c r="E1418" t="str">
        <f t="shared" si="66"/>
        <v xml:space="preserve"> ONTIME</v>
      </c>
      <c r="F1418">
        <f>VLOOKUP($A1418,ordered_items!$B$2:$E$4784,2,0)</f>
        <v>1357</v>
      </c>
      <c r="G1418">
        <f>VLOOKUP($A1418,ordered_items!$B$2:$E$4784,3,0)</f>
        <v>1</v>
      </c>
      <c r="H1418">
        <f>VLOOKUP($A1418,ordered_items!$B$2:$E$4784,4,0)</f>
        <v>210.85</v>
      </c>
      <c r="I1418" s="15">
        <f>VLOOKUP(F1418,product_info!$A$2:$D$73,4,0)</f>
        <v>4</v>
      </c>
      <c r="J1418" s="15" t="str">
        <f>VLOOKUP(I1418,department!$A$2:$B$13,2,0)</f>
        <v>Apparel</v>
      </c>
      <c r="K1418">
        <v>15984</v>
      </c>
      <c r="L1418" t="s">
        <v>304</v>
      </c>
      <c r="M1418" s="4">
        <v>44157</v>
      </c>
      <c r="N1418" s="12">
        <f t="shared" si="67"/>
        <v>11</v>
      </c>
      <c r="O1418" s="13">
        <f t="shared" si="68"/>
        <v>2020</v>
      </c>
      <c r="P1418" t="s">
        <v>13</v>
      </c>
      <c r="Q1418" t="s">
        <v>30</v>
      </c>
      <c r="R1418" t="s">
        <v>1275</v>
      </c>
      <c r="S1418" t="str" cm="1">
        <f t="array" ref="S1418">_xlfn.IFS(R1418="COMPLETE", "COMPLETED", R1418="CANCELED", "CANCELED", TRUE, "PENDING")</f>
        <v>PENDING</v>
      </c>
      <c r="T1418" t="s">
        <v>16</v>
      </c>
      <c r="U1418">
        <f>VLOOKUP(A1418,ordered_items!$B:$E,4,0)</f>
        <v>210.85</v>
      </c>
    </row>
    <row r="1419" spans="1:21" x14ac:dyDescent="0.3">
      <c r="A1419">
        <v>72451</v>
      </c>
      <c r="B1419" t="s">
        <v>3</v>
      </c>
      <c r="C1419">
        <v>2</v>
      </c>
      <c r="D1419">
        <v>4</v>
      </c>
      <c r="E1419" t="str">
        <f t="shared" si="66"/>
        <v xml:space="preserve"> ONTIME</v>
      </c>
      <c r="F1419">
        <f>VLOOKUP($A1419,ordered_items!$B$2:$E$4784,2,0)</f>
        <v>1357</v>
      </c>
      <c r="G1419">
        <f>VLOOKUP($A1419,ordered_items!$B$2:$E$4784,3,0)</f>
        <v>1</v>
      </c>
      <c r="H1419">
        <f>VLOOKUP($A1419,ordered_items!$B$2:$E$4784,4,0)</f>
        <v>210.85</v>
      </c>
      <c r="I1419" s="15">
        <f>VLOOKUP(F1419,product_info!$A$2:$D$73,4,0)</f>
        <v>4</v>
      </c>
      <c r="J1419" s="15" t="str">
        <f>VLOOKUP(I1419,department!$A$2:$B$13,2,0)</f>
        <v>Apparel</v>
      </c>
      <c r="K1419">
        <v>16004</v>
      </c>
      <c r="L1419" t="s">
        <v>434</v>
      </c>
      <c r="M1419" s="4">
        <v>44157</v>
      </c>
      <c r="N1419" s="12">
        <f t="shared" si="67"/>
        <v>11</v>
      </c>
      <c r="O1419" s="13">
        <f t="shared" si="68"/>
        <v>2020</v>
      </c>
      <c r="P1419" t="s">
        <v>13</v>
      </c>
      <c r="Q1419" t="s">
        <v>245</v>
      </c>
      <c r="R1419" t="s">
        <v>38</v>
      </c>
      <c r="S1419" t="str" cm="1">
        <f t="array" ref="S1419">_xlfn.IFS(R1419="COMPLETE", "COMPLETED", R1419="CANCELED", "CANCELED", TRUE, "PENDING")</f>
        <v>PENDING</v>
      </c>
      <c r="T1419" t="s">
        <v>16</v>
      </c>
      <c r="U1419">
        <f>VLOOKUP(A1419,ordered_items!$B:$E,4,0)</f>
        <v>210.85</v>
      </c>
    </row>
    <row r="1420" spans="1:21" x14ac:dyDescent="0.3">
      <c r="A1420">
        <v>72460</v>
      </c>
      <c r="B1420" t="s">
        <v>24</v>
      </c>
      <c r="C1420">
        <v>6</v>
      </c>
      <c r="D1420">
        <v>4</v>
      </c>
      <c r="E1420" t="str">
        <f t="shared" si="66"/>
        <v>DELAYED</v>
      </c>
      <c r="F1420">
        <f>VLOOKUP($A1420,ordered_items!$B$2:$E$4784,2,0)</f>
        <v>1357</v>
      </c>
      <c r="G1420">
        <f>VLOOKUP($A1420,ordered_items!$B$2:$E$4784,3,0)</f>
        <v>1</v>
      </c>
      <c r="H1420">
        <f>VLOOKUP($A1420,ordered_items!$B$2:$E$4784,4,0)</f>
        <v>210.85</v>
      </c>
      <c r="I1420" s="15">
        <f>VLOOKUP(F1420,product_info!$A$2:$D$73,4,0)</f>
        <v>4</v>
      </c>
      <c r="J1420" s="15" t="str">
        <f>VLOOKUP(I1420,department!$A$2:$B$13,2,0)</f>
        <v>Apparel</v>
      </c>
      <c r="K1420">
        <v>16013</v>
      </c>
      <c r="L1420" t="s">
        <v>258</v>
      </c>
      <c r="M1420" s="4">
        <v>44157</v>
      </c>
      <c r="N1420" s="12">
        <f t="shared" si="67"/>
        <v>11</v>
      </c>
      <c r="O1420" s="13">
        <f t="shared" si="68"/>
        <v>2020</v>
      </c>
      <c r="P1420" t="s">
        <v>13</v>
      </c>
      <c r="Q1420" t="s">
        <v>30</v>
      </c>
      <c r="R1420" t="s">
        <v>31</v>
      </c>
      <c r="S1420" t="str" cm="1">
        <f t="array" ref="S1420">_xlfn.IFS(R1420="COMPLETE", "COMPLETED", R1420="CANCELED", "CANCELED", TRUE, "PENDING")</f>
        <v>COMPLETED</v>
      </c>
      <c r="T1420" t="s">
        <v>16</v>
      </c>
      <c r="U1420">
        <f>VLOOKUP(A1420,ordered_items!$B:$E,4,0)</f>
        <v>210.85</v>
      </c>
    </row>
    <row r="1421" spans="1:21" x14ac:dyDescent="0.3">
      <c r="A1421">
        <v>72482</v>
      </c>
      <c r="B1421" t="s">
        <v>24</v>
      </c>
      <c r="C1421">
        <v>3</v>
      </c>
      <c r="D1421">
        <v>4</v>
      </c>
      <c r="E1421" t="str">
        <f t="shared" si="66"/>
        <v xml:space="preserve"> ONTIME</v>
      </c>
      <c r="F1421">
        <f>VLOOKUP($A1421,ordered_items!$B$2:$E$4784,2,0)</f>
        <v>1357</v>
      </c>
      <c r="G1421">
        <f>VLOOKUP($A1421,ordered_items!$B$2:$E$4784,3,0)</f>
        <v>1</v>
      </c>
      <c r="H1421">
        <f>VLOOKUP($A1421,ordered_items!$B$2:$E$4784,4,0)</f>
        <v>210.85</v>
      </c>
      <c r="I1421" s="15">
        <f>VLOOKUP(F1421,product_info!$A$2:$D$73,4,0)</f>
        <v>4</v>
      </c>
      <c r="J1421" s="15" t="str">
        <f>VLOOKUP(I1421,department!$A$2:$B$13,2,0)</f>
        <v>Apparel</v>
      </c>
      <c r="K1421">
        <v>16035</v>
      </c>
      <c r="L1421" t="s">
        <v>214</v>
      </c>
      <c r="M1421" s="4">
        <v>44158</v>
      </c>
      <c r="N1421" s="12">
        <f t="shared" si="67"/>
        <v>11</v>
      </c>
      <c r="O1421" s="13">
        <f t="shared" si="68"/>
        <v>2020</v>
      </c>
      <c r="P1421" t="s">
        <v>13</v>
      </c>
      <c r="Q1421" t="s">
        <v>5781</v>
      </c>
      <c r="R1421" t="s">
        <v>31</v>
      </c>
      <c r="S1421" t="str" cm="1">
        <f t="array" ref="S1421">_xlfn.IFS(R1421="COMPLETE", "COMPLETED", R1421="CANCELED", "CANCELED", TRUE, "PENDING")</f>
        <v>COMPLETED</v>
      </c>
      <c r="T1421" t="s">
        <v>16</v>
      </c>
      <c r="U1421">
        <f>VLOOKUP(A1421,ordered_items!$B:$E,4,0)</f>
        <v>210.85</v>
      </c>
    </row>
    <row r="1422" spans="1:21" x14ac:dyDescent="0.3">
      <c r="A1422">
        <v>72500</v>
      </c>
      <c r="B1422" t="s">
        <v>3</v>
      </c>
      <c r="C1422">
        <v>6</v>
      </c>
      <c r="D1422">
        <v>2</v>
      </c>
      <c r="E1422" t="str">
        <f t="shared" si="66"/>
        <v>DELAYED</v>
      </c>
      <c r="F1422">
        <f>VLOOKUP($A1422,ordered_items!$B$2:$E$4784,2,0)</f>
        <v>1357</v>
      </c>
      <c r="G1422">
        <f>VLOOKUP($A1422,ordered_items!$B$2:$E$4784,3,0)</f>
        <v>1</v>
      </c>
      <c r="H1422">
        <f>VLOOKUP($A1422,ordered_items!$B$2:$E$4784,4,0)</f>
        <v>210.85</v>
      </c>
      <c r="I1422" s="15">
        <f>VLOOKUP(F1422,product_info!$A$2:$D$73,4,0)</f>
        <v>4</v>
      </c>
      <c r="J1422" s="15" t="str">
        <f>VLOOKUP(I1422,department!$A$2:$B$13,2,0)</f>
        <v>Apparel</v>
      </c>
      <c r="K1422">
        <v>16053</v>
      </c>
      <c r="L1422" t="s">
        <v>206</v>
      </c>
      <c r="M1422" s="4">
        <v>44158</v>
      </c>
      <c r="N1422" s="12">
        <f t="shared" si="67"/>
        <v>11</v>
      </c>
      <c r="O1422" s="13">
        <f t="shared" si="68"/>
        <v>2020</v>
      </c>
      <c r="P1422" t="s">
        <v>13</v>
      </c>
      <c r="Q1422" t="s">
        <v>30</v>
      </c>
      <c r="R1422" t="s">
        <v>14</v>
      </c>
      <c r="S1422" t="str" cm="1">
        <f t="array" ref="S1422">_xlfn.IFS(R1422="COMPLETE", "COMPLETED", R1422="CANCELED", "CANCELED", TRUE, "PENDING")</f>
        <v>PENDING</v>
      </c>
      <c r="T1422" t="s">
        <v>90</v>
      </c>
      <c r="U1422">
        <f>VLOOKUP(A1422,ordered_items!$B:$E,4,0)</f>
        <v>210.85</v>
      </c>
    </row>
    <row r="1423" spans="1:21" x14ac:dyDescent="0.3">
      <c r="A1423">
        <v>72504</v>
      </c>
      <c r="B1423" t="s">
        <v>24</v>
      </c>
      <c r="C1423">
        <v>5</v>
      </c>
      <c r="D1423">
        <v>4</v>
      </c>
      <c r="E1423" t="str">
        <f t="shared" si="66"/>
        <v>DELAYED</v>
      </c>
      <c r="F1423">
        <f>VLOOKUP($A1423,ordered_items!$B$2:$E$4784,2,0)</f>
        <v>1357</v>
      </c>
      <c r="G1423">
        <f>VLOOKUP($A1423,ordered_items!$B$2:$E$4784,3,0)</f>
        <v>1</v>
      </c>
      <c r="H1423">
        <f>VLOOKUP($A1423,ordered_items!$B$2:$E$4784,4,0)</f>
        <v>210.85</v>
      </c>
      <c r="I1423" s="15">
        <f>VLOOKUP(F1423,product_info!$A$2:$D$73,4,0)</f>
        <v>4</v>
      </c>
      <c r="J1423" s="15" t="str">
        <f>VLOOKUP(I1423,department!$A$2:$B$13,2,0)</f>
        <v>Apparel</v>
      </c>
      <c r="K1423">
        <v>16057</v>
      </c>
      <c r="L1423" t="s">
        <v>202</v>
      </c>
      <c r="M1423" s="4">
        <v>44158</v>
      </c>
      <c r="N1423" s="12">
        <f t="shared" si="67"/>
        <v>11</v>
      </c>
      <c r="O1423" s="13">
        <f t="shared" si="68"/>
        <v>2020</v>
      </c>
      <c r="P1423" t="s">
        <v>13</v>
      </c>
      <c r="Q1423" t="s">
        <v>99</v>
      </c>
      <c r="R1423" t="s">
        <v>31</v>
      </c>
      <c r="S1423" t="str" cm="1">
        <f t="array" ref="S1423">_xlfn.IFS(R1423="COMPLETE", "COMPLETED", R1423="CANCELED", "CANCELED", TRUE, "PENDING")</f>
        <v>COMPLETED</v>
      </c>
      <c r="T1423" t="s">
        <v>16</v>
      </c>
      <c r="U1423">
        <f>VLOOKUP(A1423,ordered_items!$B:$E,4,0)</f>
        <v>210.85</v>
      </c>
    </row>
    <row r="1424" spans="1:21" x14ac:dyDescent="0.3">
      <c r="A1424">
        <v>72520</v>
      </c>
      <c r="B1424" t="s">
        <v>17</v>
      </c>
      <c r="C1424">
        <v>6</v>
      </c>
      <c r="D1424">
        <v>4</v>
      </c>
      <c r="E1424" t="str">
        <f t="shared" si="66"/>
        <v>DELAYED</v>
      </c>
      <c r="F1424">
        <f>VLOOKUP($A1424,ordered_items!$B$2:$E$4784,2,0)</f>
        <v>1357</v>
      </c>
      <c r="G1424">
        <f>VLOOKUP($A1424,ordered_items!$B$2:$E$4784,3,0)</f>
        <v>1</v>
      </c>
      <c r="H1424">
        <f>VLOOKUP($A1424,ordered_items!$B$2:$E$4784,4,0)</f>
        <v>210.85</v>
      </c>
      <c r="I1424" s="15">
        <f>VLOOKUP(F1424,product_info!$A$2:$D$73,4,0)</f>
        <v>4</v>
      </c>
      <c r="J1424" s="15" t="str">
        <f>VLOOKUP(I1424,department!$A$2:$B$13,2,0)</f>
        <v>Apparel</v>
      </c>
      <c r="K1424">
        <v>16073</v>
      </c>
      <c r="L1424" t="s">
        <v>290</v>
      </c>
      <c r="M1424" s="4">
        <v>44158</v>
      </c>
      <c r="N1424" s="12">
        <f t="shared" si="67"/>
        <v>11</v>
      </c>
      <c r="O1424" s="13">
        <f t="shared" si="68"/>
        <v>2020</v>
      </c>
      <c r="P1424" t="s">
        <v>13</v>
      </c>
      <c r="Q1424" t="s">
        <v>130</v>
      </c>
      <c r="R1424" t="s">
        <v>23</v>
      </c>
      <c r="S1424" t="str" cm="1">
        <f t="array" ref="S1424">_xlfn.IFS(R1424="COMPLETE", "COMPLETED", R1424="CANCELED", "CANCELED", TRUE, "PENDING")</f>
        <v>PENDING</v>
      </c>
      <c r="T1424" t="s">
        <v>16</v>
      </c>
      <c r="U1424">
        <f>VLOOKUP(A1424,ordered_items!$B:$E,4,0)</f>
        <v>210.85</v>
      </c>
    </row>
    <row r="1425" spans="1:21" x14ac:dyDescent="0.3">
      <c r="A1425">
        <v>72521</v>
      </c>
      <c r="B1425" t="s">
        <v>51</v>
      </c>
      <c r="C1425">
        <v>2</v>
      </c>
      <c r="D1425">
        <v>4</v>
      </c>
      <c r="E1425" t="str">
        <f t="shared" si="66"/>
        <v xml:space="preserve"> ONTIME</v>
      </c>
      <c r="F1425">
        <f>VLOOKUP($A1425,ordered_items!$B$2:$E$4784,2,0)</f>
        <v>1357</v>
      </c>
      <c r="G1425">
        <f>VLOOKUP($A1425,ordered_items!$B$2:$E$4784,3,0)</f>
        <v>1</v>
      </c>
      <c r="H1425">
        <f>VLOOKUP($A1425,ordered_items!$B$2:$E$4784,4,0)</f>
        <v>210.85</v>
      </c>
      <c r="I1425" s="15">
        <f>VLOOKUP(F1425,product_info!$A$2:$D$73,4,0)</f>
        <v>4</v>
      </c>
      <c r="J1425" s="15" t="str">
        <f>VLOOKUP(I1425,department!$A$2:$B$13,2,0)</f>
        <v>Apparel</v>
      </c>
      <c r="K1425">
        <v>16074</v>
      </c>
      <c r="L1425" t="s">
        <v>963</v>
      </c>
      <c r="M1425" s="4">
        <v>44158</v>
      </c>
      <c r="N1425" s="12">
        <f t="shared" si="67"/>
        <v>11</v>
      </c>
      <c r="O1425" s="13">
        <f t="shared" si="68"/>
        <v>2020</v>
      </c>
      <c r="P1425" t="s">
        <v>13</v>
      </c>
      <c r="Q1425" t="s">
        <v>47</v>
      </c>
      <c r="R1425" t="s">
        <v>57</v>
      </c>
      <c r="S1425" t="str" cm="1">
        <f t="array" ref="S1425">_xlfn.IFS(R1425="COMPLETE", "COMPLETED", R1425="CANCELED", "CANCELED", TRUE, "PENDING")</f>
        <v>PENDING</v>
      </c>
      <c r="T1425" t="s">
        <v>16</v>
      </c>
      <c r="U1425">
        <f>VLOOKUP(A1425,ordered_items!$B:$E,4,0)</f>
        <v>210.85</v>
      </c>
    </row>
    <row r="1426" spans="1:21" x14ac:dyDescent="0.3">
      <c r="A1426">
        <v>72529</v>
      </c>
      <c r="B1426" t="s">
        <v>3</v>
      </c>
      <c r="C1426">
        <v>5</v>
      </c>
      <c r="D1426">
        <v>2</v>
      </c>
      <c r="E1426" t="str">
        <f t="shared" si="66"/>
        <v>DELAYED</v>
      </c>
      <c r="F1426">
        <f>VLOOKUP($A1426,ordered_items!$B$2:$E$4784,2,0)</f>
        <v>1357</v>
      </c>
      <c r="G1426">
        <f>VLOOKUP($A1426,ordered_items!$B$2:$E$4784,3,0)</f>
        <v>1</v>
      </c>
      <c r="H1426">
        <f>VLOOKUP($A1426,ordered_items!$B$2:$E$4784,4,0)</f>
        <v>210.85</v>
      </c>
      <c r="I1426" s="15">
        <f>VLOOKUP(F1426,product_info!$A$2:$D$73,4,0)</f>
        <v>4</v>
      </c>
      <c r="J1426" s="15" t="str">
        <f>VLOOKUP(I1426,department!$A$2:$B$13,2,0)</f>
        <v>Apparel</v>
      </c>
      <c r="K1426">
        <v>16082</v>
      </c>
      <c r="L1426" t="s">
        <v>434</v>
      </c>
      <c r="M1426" s="4">
        <v>44158</v>
      </c>
      <c r="N1426" s="12">
        <f t="shared" si="67"/>
        <v>11</v>
      </c>
      <c r="O1426" s="13">
        <f t="shared" si="68"/>
        <v>2020</v>
      </c>
      <c r="P1426" t="s">
        <v>13</v>
      </c>
      <c r="Q1426" t="s">
        <v>245</v>
      </c>
      <c r="R1426" t="s">
        <v>38</v>
      </c>
      <c r="S1426" t="str" cm="1">
        <f t="array" ref="S1426">_xlfn.IFS(R1426="COMPLETE", "COMPLETED", R1426="CANCELED", "CANCELED", TRUE, "PENDING")</f>
        <v>PENDING</v>
      </c>
      <c r="T1426" t="s">
        <v>90</v>
      </c>
      <c r="U1426">
        <f>VLOOKUP(A1426,ordered_items!$B:$E,4,0)</f>
        <v>210.85</v>
      </c>
    </row>
    <row r="1427" spans="1:21" x14ac:dyDescent="0.3">
      <c r="A1427">
        <v>72530</v>
      </c>
      <c r="B1427" t="s">
        <v>3</v>
      </c>
      <c r="C1427">
        <v>6</v>
      </c>
      <c r="D1427">
        <v>4</v>
      </c>
      <c r="E1427" t="str">
        <f t="shared" si="66"/>
        <v>DELAYED</v>
      </c>
      <c r="F1427">
        <f>VLOOKUP($A1427,ordered_items!$B$2:$E$4784,2,0)</f>
        <v>1357</v>
      </c>
      <c r="G1427">
        <f>VLOOKUP($A1427,ordered_items!$B$2:$E$4784,3,0)</f>
        <v>1</v>
      </c>
      <c r="H1427">
        <f>VLOOKUP($A1427,ordered_items!$B$2:$E$4784,4,0)</f>
        <v>210.85</v>
      </c>
      <c r="I1427" s="15">
        <f>VLOOKUP(F1427,product_info!$A$2:$D$73,4,0)</f>
        <v>4</v>
      </c>
      <c r="J1427" s="15" t="str">
        <f>VLOOKUP(I1427,department!$A$2:$B$13,2,0)</f>
        <v>Apparel</v>
      </c>
      <c r="K1427">
        <v>16083</v>
      </c>
      <c r="L1427" t="s">
        <v>434</v>
      </c>
      <c r="M1427" s="4">
        <v>44158</v>
      </c>
      <c r="N1427" s="12">
        <f t="shared" si="67"/>
        <v>11</v>
      </c>
      <c r="O1427" s="13">
        <f t="shared" si="68"/>
        <v>2020</v>
      </c>
      <c r="P1427" t="s">
        <v>13</v>
      </c>
      <c r="Q1427" t="s">
        <v>245</v>
      </c>
      <c r="R1427" t="s">
        <v>14</v>
      </c>
      <c r="S1427" t="str" cm="1">
        <f t="array" ref="S1427">_xlfn.IFS(R1427="COMPLETE", "COMPLETED", R1427="CANCELED", "CANCELED", TRUE, "PENDING")</f>
        <v>PENDING</v>
      </c>
      <c r="T1427" t="s">
        <v>16</v>
      </c>
      <c r="U1427">
        <f>VLOOKUP(A1427,ordered_items!$B:$E,4,0)</f>
        <v>210.85</v>
      </c>
    </row>
    <row r="1428" spans="1:21" x14ac:dyDescent="0.3">
      <c r="A1428">
        <v>72547</v>
      </c>
      <c r="B1428" t="s">
        <v>51</v>
      </c>
      <c r="C1428">
        <v>3</v>
      </c>
      <c r="D1428">
        <v>4</v>
      </c>
      <c r="E1428" t="str">
        <f t="shared" si="66"/>
        <v xml:space="preserve"> ONTIME</v>
      </c>
      <c r="F1428">
        <f>VLOOKUP($A1428,ordered_items!$B$2:$E$4784,2,0)</f>
        <v>1358</v>
      </c>
      <c r="G1428">
        <f>VLOOKUP($A1428,ordered_items!$B$2:$E$4784,3,0)</f>
        <v>1</v>
      </c>
      <c r="H1428">
        <f>VLOOKUP($A1428,ordered_items!$B$2:$E$4784,4,0)</f>
        <v>260.64999999999998</v>
      </c>
      <c r="I1428" s="15">
        <f>VLOOKUP(F1428,product_info!$A$2:$D$73,4,0)</f>
        <v>9</v>
      </c>
      <c r="J1428" s="15" t="str">
        <f>VLOOKUP(I1428,department!$A$2:$B$13,2,0)</f>
        <v>Discs Shop</v>
      </c>
      <c r="K1428">
        <v>16100</v>
      </c>
      <c r="L1428" t="s">
        <v>275</v>
      </c>
      <c r="M1428" s="4">
        <v>44159</v>
      </c>
      <c r="N1428" s="12">
        <f t="shared" si="67"/>
        <v>11</v>
      </c>
      <c r="O1428" s="13">
        <f t="shared" si="68"/>
        <v>2020</v>
      </c>
      <c r="P1428" t="s">
        <v>13</v>
      </c>
      <c r="Q1428" t="s">
        <v>80</v>
      </c>
      <c r="R1428" t="s">
        <v>57</v>
      </c>
      <c r="S1428" t="str" cm="1">
        <f t="array" ref="S1428">_xlfn.IFS(R1428="COMPLETE", "COMPLETED", R1428="CANCELED", "CANCELED", TRUE, "PENDING")</f>
        <v>PENDING</v>
      </c>
      <c r="T1428" t="s">
        <v>16</v>
      </c>
      <c r="U1428">
        <f>VLOOKUP(A1428,ordered_items!$B:$E,4,0)</f>
        <v>260.64999999999998</v>
      </c>
    </row>
    <row r="1429" spans="1:21" x14ac:dyDescent="0.3">
      <c r="A1429">
        <v>72566</v>
      </c>
      <c r="B1429" t="s">
        <v>24</v>
      </c>
      <c r="C1429">
        <v>2</v>
      </c>
      <c r="D1429">
        <v>2</v>
      </c>
      <c r="E1429" t="str">
        <f t="shared" si="66"/>
        <v xml:space="preserve"> ONTIME</v>
      </c>
      <c r="F1429">
        <f>VLOOKUP($A1429,ordered_items!$B$2:$E$4784,2,0)</f>
        <v>1358</v>
      </c>
      <c r="G1429">
        <f>VLOOKUP($A1429,ordered_items!$B$2:$E$4784,3,0)</f>
        <v>1</v>
      </c>
      <c r="H1429">
        <f>VLOOKUP($A1429,ordered_items!$B$2:$E$4784,4,0)</f>
        <v>260.64999999999998</v>
      </c>
      <c r="I1429" s="15">
        <f>VLOOKUP(F1429,product_info!$A$2:$D$73,4,0)</f>
        <v>9</v>
      </c>
      <c r="J1429" s="15" t="str">
        <f>VLOOKUP(I1429,department!$A$2:$B$13,2,0)</f>
        <v>Discs Shop</v>
      </c>
      <c r="K1429">
        <v>16119</v>
      </c>
      <c r="L1429" t="s">
        <v>70</v>
      </c>
      <c r="M1429" s="4">
        <v>44159</v>
      </c>
      <c r="N1429" s="12">
        <f t="shared" si="67"/>
        <v>11</v>
      </c>
      <c r="O1429" s="13">
        <f t="shared" si="68"/>
        <v>2020</v>
      </c>
      <c r="P1429" t="s">
        <v>13</v>
      </c>
      <c r="Q1429" t="s">
        <v>70</v>
      </c>
      <c r="R1429" t="s">
        <v>31</v>
      </c>
      <c r="S1429" t="str" cm="1">
        <f t="array" ref="S1429">_xlfn.IFS(R1429="COMPLETE", "COMPLETED", R1429="CANCELED", "CANCELED", TRUE, "PENDING")</f>
        <v>COMPLETED</v>
      </c>
      <c r="T1429" t="s">
        <v>90</v>
      </c>
      <c r="U1429">
        <f>VLOOKUP(A1429,ordered_items!$B:$E,4,0)</f>
        <v>260.64999999999998</v>
      </c>
    </row>
    <row r="1430" spans="1:21" x14ac:dyDescent="0.3">
      <c r="A1430">
        <v>72568</v>
      </c>
      <c r="B1430" t="s">
        <v>51</v>
      </c>
      <c r="C1430">
        <v>4</v>
      </c>
      <c r="D1430">
        <v>4</v>
      </c>
      <c r="E1430" t="str">
        <f t="shared" si="66"/>
        <v xml:space="preserve"> ONTIME</v>
      </c>
      <c r="F1430">
        <f>VLOOKUP($A1430,ordered_items!$B$2:$E$4784,2,0)</f>
        <v>1358</v>
      </c>
      <c r="G1430">
        <f>VLOOKUP($A1430,ordered_items!$B$2:$E$4784,3,0)</f>
        <v>1</v>
      </c>
      <c r="H1430">
        <f>VLOOKUP($A1430,ordered_items!$B$2:$E$4784,4,0)</f>
        <v>260.64999999999998</v>
      </c>
      <c r="I1430" s="15">
        <f>VLOOKUP(F1430,product_info!$A$2:$D$73,4,0)</f>
        <v>9</v>
      </c>
      <c r="J1430" s="15" t="str">
        <f>VLOOKUP(I1430,department!$A$2:$B$13,2,0)</f>
        <v>Discs Shop</v>
      </c>
      <c r="K1430">
        <v>16121</v>
      </c>
      <c r="L1430" t="s">
        <v>764</v>
      </c>
      <c r="M1430" s="4">
        <v>44159</v>
      </c>
      <c r="N1430" s="12">
        <f t="shared" si="67"/>
        <v>11</v>
      </c>
      <c r="O1430" s="13">
        <f t="shared" si="68"/>
        <v>2020</v>
      </c>
      <c r="P1430" t="s">
        <v>13</v>
      </c>
      <c r="Q1430" t="s">
        <v>30</v>
      </c>
      <c r="R1430" t="s">
        <v>57</v>
      </c>
      <c r="S1430" t="str" cm="1">
        <f t="array" ref="S1430">_xlfn.IFS(R1430="COMPLETE", "COMPLETED", R1430="CANCELED", "CANCELED", TRUE, "PENDING")</f>
        <v>PENDING</v>
      </c>
      <c r="T1430" t="s">
        <v>16</v>
      </c>
      <c r="U1430">
        <f>VLOOKUP(A1430,ordered_items!$B:$E,4,0)</f>
        <v>260.64999999999998</v>
      </c>
    </row>
    <row r="1431" spans="1:21" x14ac:dyDescent="0.3">
      <c r="A1431">
        <v>72570</v>
      </c>
      <c r="B1431" t="s">
        <v>24</v>
      </c>
      <c r="C1431">
        <v>6</v>
      </c>
      <c r="D1431">
        <v>4</v>
      </c>
      <c r="E1431" t="str">
        <f t="shared" si="66"/>
        <v>DELAYED</v>
      </c>
      <c r="F1431">
        <f>VLOOKUP($A1431,ordered_items!$B$2:$E$4784,2,0)</f>
        <v>1358</v>
      </c>
      <c r="G1431">
        <f>VLOOKUP($A1431,ordered_items!$B$2:$E$4784,3,0)</f>
        <v>1</v>
      </c>
      <c r="H1431">
        <f>VLOOKUP($A1431,ordered_items!$B$2:$E$4784,4,0)</f>
        <v>260.64999999999998</v>
      </c>
      <c r="I1431" s="15">
        <f>VLOOKUP(F1431,product_info!$A$2:$D$73,4,0)</f>
        <v>9</v>
      </c>
      <c r="J1431" s="15" t="str">
        <f>VLOOKUP(I1431,department!$A$2:$B$13,2,0)</f>
        <v>Discs Shop</v>
      </c>
      <c r="K1431">
        <v>16123</v>
      </c>
      <c r="L1431" t="s">
        <v>317</v>
      </c>
      <c r="M1431" s="4">
        <v>44159</v>
      </c>
      <c r="N1431" s="12">
        <f t="shared" si="67"/>
        <v>11</v>
      </c>
      <c r="O1431" s="13">
        <f t="shared" si="68"/>
        <v>2020</v>
      </c>
      <c r="P1431" t="s">
        <v>13</v>
      </c>
      <c r="Q1431" t="s">
        <v>227</v>
      </c>
      <c r="R1431" t="s">
        <v>31</v>
      </c>
      <c r="S1431" t="str" cm="1">
        <f t="array" ref="S1431">_xlfn.IFS(R1431="COMPLETE", "COMPLETED", R1431="CANCELED", "CANCELED", TRUE, "PENDING")</f>
        <v>COMPLETED</v>
      </c>
      <c r="T1431" t="s">
        <v>16</v>
      </c>
      <c r="U1431">
        <f>VLOOKUP(A1431,ordered_items!$B:$E,4,0)</f>
        <v>260.64999999999998</v>
      </c>
    </row>
    <row r="1432" spans="1:21" x14ac:dyDescent="0.3">
      <c r="A1432">
        <v>72571</v>
      </c>
      <c r="B1432" t="s">
        <v>51</v>
      </c>
      <c r="C1432">
        <v>2</v>
      </c>
      <c r="D1432">
        <v>4</v>
      </c>
      <c r="E1432" t="str">
        <f t="shared" si="66"/>
        <v xml:space="preserve"> ONTIME</v>
      </c>
      <c r="F1432">
        <f>VLOOKUP($A1432,ordered_items!$B$2:$E$4784,2,0)</f>
        <v>1358</v>
      </c>
      <c r="G1432">
        <f>VLOOKUP($A1432,ordered_items!$B$2:$E$4784,3,0)</f>
        <v>1</v>
      </c>
      <c r="H1432">
        <f>VLOOKUP($A1432,ordered_items!$B$2:$E$4784,4,0)</f>
        <v>260.64999999999998</v>
      </c>
      <c r="I1432" s="15">
        <f>VLOOKUP(F1432,product_info!$A$2:$D$73,4,0)</f>
        <v>9</v>
      </c>
      <c r="J1432" s="15" t="str">
        <f>VLOOKUP(I1432,department!$A$2:$B$13,2,0)</f>
        <v>Discs Shop</v>
      </c>
      <c r="K1432">
        <v>16124</v>
      </c>
      <c r="L1432" t="s">
        <v>317</v>
      </c>
      <c r="M1432" s="4">
        <v>44159</v>
      </c>
      <c r="N1432" s="12">
        <f t="shared" si="67"/>
        <v>11</v>
      </c>
      <c r="O1432" s="13">
        <f t="shared" si="68"/>
        <v>2020</v>
      </c>
      <c r="P1432" t="s">
        <v>13</v>
      </c>
      <c r="Q1432" t="s">
        <v>227</v>
      </c>
      <c r="R1432" t="s">
        <v>57</v>
      </c>
      <c r="S1432" t="str" cm="1">
        <f t="array" ref="S1432">_xlfn.IFS(R1432="COMPLETE", "COMPLETED", R1432="CANCELED", "CANCELED", TRUE, "PENDING")</f>
        <v>PENDING</v>
      </c>
      <c r="T1432" t="s">
        <v>16</v>
      </c>
      <c r="U1432">
        <f>VLOOKUP(A1432,ordered_items!$B:$E,4,0)</f>
        <v>260.64999999999998</v>
      </c>
    </row>
    <row r="1433" spans="1:21" x14ac:dyDescent="0.3">
      <c r="A1433">
        <v>72572</v>
      </c>
      <c r="B1433" t="s">
        <v>24</v>
      </c>
      <c r="C1433">
        <v>3</v>
      </c>
      <c r="D1433">
        <v>4</v>
      </c>
      <c r="E1433" t="str">
        <f t="shared" si="66"/>
        <v xml:space="preserve"> ONTIME</v>
      </c>
      <c r="F1433">
        <f>VLOOKUP($A1433,ordered_items!$B$2:$E$4784,2,0)</f>
        <v>1358</v>
      </c>
      <c r="G1433">
        <f>VLOOKUP($A1433,ordered_items!$B$2:$E$4784,3,0)</f>
        <v>1</v>
      </c>
      <c r="H1433">
        <f>VLOOKUP($A1433,ordered_items!$B$2:$E$4784,4,0)</f>
        <v>260.64999999999998</v>
      </c>
      <c r="I1433" s="15">
        <f>VLOOKUP(F1433,product_info!$A$2:$D$73,4,0)</f>
        <v>9</v>
      </c>
      <c r="J1433" s="15" t="str">
        <f>VLOOKUP(I1433,department!$A$2:$B$13,2,0)</f>
        <v>Discs Shop</v>
      </c>
      <c r="K1433">
        <v>16125</v>
      </c>
      <c r="L1433" t="s">
        <v>317</v>
      </c>
      <c r="M1433" s="4">
        <v>44159</v>
      </c>
      <c r="N1433" s="12">
        <f t="shared" si="67"/>
        <v>11</v>
      </c>
      <c r="O1433" s="13">
        <f t="shared" si="68"/>
        <v>2020</v>
      </c>
      <c r="P1433" t="s">
        <v>13</v>
      </c>
      <c r="Q1433" t="s">
        <v>227</v>
      </c>
      <c r="R1433" t="s">
        <v>31</v>
      </c>
      <c r="S1433" t="str" cm="1">
        <f t="array" ref="S1433">_xlfn.IFS(R1433="COMPLETE", "COMPLETED", R1433="CANCELED", "CANCELED", TRUE, "PENDING")</f>
        <v>COMPLETED</v>
      </c>
      <c r="T1433" t="s">
        <v>16</v>
      </c>
      <c r="U1433">
        <f>VLOOKUP(A1433,ordered_items!$B:$E,4,0)</f>
        <v>260.64999999999998</v>
      </c>
    </row>
    <row r="1434" spans="1:21" x14ac:dyDescent="0.3">
      <c r="A1434">
        <v>72582</v>
      </c>
      <c r="B1434" t="s">
        <v>3</v>
      </c>
      <c r="C1434">
        <v>3</v>
      </c>
      <c r="D1434">
        <v>4</v>
      </c>
      <c r="E1434" t="str">
        <f t="shared" si="66"/>
        <v xml:space="preserve"> ONTIME</v>
      </c>
      <c r="F1434">
        <f>VLOOKUP($A1434,ordered_items!$B$2:$E$4784,2,0)</f>
        <v>1358</v>
      </c>
      <c r="G1434">
        <f>VLOOKUP($A1434,ordered_items!$B$2:$E$4784,3,0)</f>
        <v>1</v>
      </c>
      <c r="H1434">
        <f>VLOOKUP($A1434,ordered_items!$B$2:$E$4784,4,0)</f>
        <v>260.64999999999998</v>
      </c>
      <c r="I1434" s="15">
        <f>VLOOKUP(F1434,product_info!$A$2:$D$73,4,0)</f>
        <v>9</v>
      </c>
      <c r="J1434" s="15" t="str">
        <f>VLOOKUP(I1434,department!$A$2:$B$13,2,0)</f>
        <v>Discs Shop</v>
      </c>
      <c r="K1434">
        <v>16135</v>
      </c>
      <c r="L1434" t="s">
        <v>465</v>
      </c>
      <c r="M1434" s="4">
        <v>44159</v>
      </c>
      <c r="N1434" s="12">
        <f t="shared" si="67"/>
        <v>11</v>
      </c>
      <c r="O1434" s="13">
        <f t="shared" si="68"/>
        <v>2020</v>
      </c>
      <c r="P1434" t="s">
        <v>13</v>
      </c>
      <c r="Q1434" t="s">
        <v>99</v>
      </c>
      <c r="R1434" t="s">
        <v>14</v>
      </c>
      <c r="S1434" t="str" cm="1">
        <f t="array" ref="S1434">_xlfn.IFS(R1434="COMPLETE", "COMPLETED", R1434="CANCELED", "CANCELED", TRUE, "PENDING")</f>
        <v>PENDING</v>
      </c>
      <c r="T1434" t="s">
        <v>16</v>
      </c>
      <c r="U1434">
        <f>VLOOKUP(A1434,ordered_items!$B:$E,4,0)</f>
        <v>260.64999999999998</v>
      </c>
    </row>
    <row r="1435" spans="1:21" x14ac:dyDescent="0.3">
      <c r="A1435">
        <v>72607</v>
      </c>
      <c r="B1435" t="s">
        <v>17</v>
      </c>
      <c r="C1435">
        <v>3</v>
      </c>
      <c r="D1435">
        <v>4</v>
      </c>
      <c r="E1435" t="str">
        <f t="shared" si="66"/>
        <v xml:space="preserve"> ONTIME</v>
      </c>
      <c r="F1435">
        <f>VLOOKUP($A1435,ordered_items!$B$2:$E$4784,2,0)</f>
        <v>1358</v>
      </c>
      <c r="G1435">
        <f>VLOOKUP($A1435,ordered_items!$B$2:$E$4784,3,0)</f>
        <v>1</v>
      </c>
      <c r="H1435">
        <f>VLOOKUP($A1435,ordered_items!$B$2:$E$4784,4,0)</f>
        <v>260.64999999999998</v>
      </c>
      <c r="I1435" s="15">
        <f>VLOOKUP(F1435,product_info!$A$2:$D$73,4,0)</f>
        <v>9</v>
      </c>
      <c r="J1435" s="15" t="str">
        <f>VLOOKUP(I1435,department!$A$2:$B$13,2,0)</f>
        <v>Discs Shop</v>
      </c>
      <c r="K1435">
        <v>16160</v>
      </c>
      <c r="L1435" t="s">
        <v>743</v>
      </c>
      <c r="M1435" s="4">
        <v>44159</v>
      </c>
      <c r="N1435" s="12">
        <f t="shared" si="67"/>
        <v>11</v>
      </c>
      <c r="O1435" s="13">
        <f t="shared" si="68"/>
        <v>2020</v>
      </c>
      <c r="P1435" t="s">
        <v>13</v>
      </c>
      <c r="Q1435" t="s">
        <v>5780</v>
      </c>
      <c r="R1435" t="s">
        <v>23</v>
      </c>
      <c r="S1435" t="str" cm="1">
        <f t="array" ref="S1435">_xlfn.IFS(R1435="COMPLETE", "COMPLETED", R1435="CANCELED", "CANCELED", TRUE, "PENDING")</f>
        <v>PENDING</v>
      </c>
      <c r="T1435" t="s">
        <v>16</v>
      </c>
      <c r="U1435">
        <f>VLOOKUP(A1435,ordered_items!$B:$E,4,0)</f>
        <v>260.64999999999998</v>
      </c>
    </row>
    <row r="1436" spans="1:21" x14ac:dyDescent="0.3">
      <c r="A1436">
        <v>72608</v>
      </c>
      <c r="B1436" t="s">
        <v>51</v>
      </c>
      <c r="C1436">
        <v>4</v>
      </c>
      <c r="D1436">
        <v>4</v>
      </c>
      <c r="E1436" t="str">
        <f t="shared" si="66"/>
        <v xml:space="preserve"> ONTIME</v>
      </c>
      <c r="F1436">
        <f>VLOOKUP($A1436,ordered_items!$B$2:$E$4784,2,0)</f>
        <v>1358</v>
      </c>
      <c r="G1436">
        <f>VLOOKUP($A1436,ordered_items!$B$2:$E$4784,3,0)</f>
        <v>1</v>
      </c>
      <c r="H1436">
        <f>VLOOKUP($A1436,ordered_items!$B$2:$E$4784,4,0)</f>
        <v>260.64999999999998</v>
      </c>
      <c r="I1436" s="15">
        <f>VLOOKUP(F1436,product_info!$A$2:$D$73,4,0)</f>
        <v>9</v>
      </c>
      <c r="J1436" s="15" t="str">
        <f>VLOOKUP(I1436,department!$A$2:$B$13,2,0)</f>
        <v>Discs Shop</v>
      </c>
      <c r="K1436">
        <v>16161</v>
      </c>
      <c r="L1436" t="s">
        <v>743</v>
      </c>
      <c r="M1436" s="4">
        <v>44159</v>
      </c>
      <c r="N1436" s="12">
        <f t="shared" si="67"/>
        <v>11</v>
      </c>
      <c r="O1436" s="13">
        <f t="shared" si="68"/>
        <v>2020</v>
      </c>
      <c r="P1436" t="s">
        <v>13</v>
      </c>
      <c r="Q1436" t="s">
        <v>5780</v>
      </c>
      <c r="R1436" t="s">
        <v>57</v>
      </c>
      <c r="S1436" t="str" cm="1">
        <f t="array" ref="S1436">_xlfn.IFS(R1436="COMPLETE", "COMPLETED", R1436="CANCELED", "CANCELED", TRUE, "PENDING")</f>
        <v>PENDING</v>
      </c>
      <c r="T1436" t="s">
        <v>16</v>
      </c>
      <c r="U1436">
        <f>VLOOKUP(A1436,ordered_items!$B:$E,4,0)</f>
        <v>260.64999999999998</v>
      </c>
    </row>
    <row r="1437" spans="1:21" x14ac:dyDescent="0.3">
      <c r="A1437">
        <v>72609</v>
      </c>
      <c r="B1437" t="s">
        <v>51</v>
      </c>
      <c r="C1437">
        <v>5</v>
      </c>
      <c r="D1437">
        <v>4</v>
      </c>
      <c r="E1437" t="str">
        <f t="shared" si="66"/>
        <v>DELAYED</v>
      </c>
      <c r="F1437">
        <f>VLOOKUP($A1437,ordered_items!$B$2:$E$4784,2,0)</f>
        <v>1358</v>
      </c>
      <c r="G1437">
        <f>VLOOKUP($A1437,ordered_items!$B$2:$E$4784,3,0)</f>
        <v>1</v>
      </c>
      <c r="H1437">
        <f>VLOOKUP($A1437,ordered_items!$B$2:$E$4784,4,0)</f>
        <v>260.64999999999998</v>
      </c>
      <c r="I1437" s="15">
        <f>VLOOKUP(F1437,product_info!$A$2:$D$73,4,0)</f>
        <v>9</v>
      </c>
      <c r="J1437" s="15" t="str">
        <f>VLOOKUP(I1437,department!$A$2:$B$13,2,0)</f>
        <v>Discs Shop</v>
      </c>
      <c r="K1437">
        <v>16162</v>
      </c>
      <c r="L1437" t="s">
        <v>743</v>
      </c>
      <c r="M1437" s="4">
        <v>44159</v>
      </c>
      <c r="N1437" s="12">
        <f t="shared" si="67"/>
        <v>11</v>
      </c>
      <c r="O1437" s="13">
        <f t="shared" si="68"/>
        <v>2020</v>
      </c>
      <c r="P1437" t="s">
        <v>13</v>
      </c>
      <c r="Q1437" t="s">
        <v>5780</v>
      </c>
      <c r="R1437" t="s">
        <v>57</v>
      </c>
      <c r="S1437" t="str" cm="1">
        <f t="array" ref="S1437">_xlfn.IFS(R1437="COMPLETE", "COMPLETED", R1437="CANCELED", "CANCELED", TRUE, "PENDING")</f>
        <v>PENDING</v>
      </c>
      <c r="T1437" t="s">
        <v>16</v>
      </c>
      <c r="U1437">
        <f>VLOOKUP(A1437,ordered_items!$B:$E,4,0)</f>
        <v>260.64999999999998</v>
      </c>
    </row>
    <row r="1438" spans="1:21" x14ac:dyDescent="0.3">
      <c r="A1438">
        <v>72610</v>
      </c>
      <c r="B1438" t="s">
        <v>3</v>
      </c>
      <c r="C1438">
        <v>2</v>
      </c>
      <c r="D1438">
        <v>1</v>
      </c>
      <c r="E1438" t="str">
        <f t="shared" si="66"/>
        <v>DELAYED</v>
      </c>
      <c r="F1438">
        <f>VLOOKUP($A1438,ordered_items!$B$2:$E$4784,2,0)</f>
        <v>1358</v>
      </c>
      <c r="G1438">
        <f>VLOOKUP($A1438,ordered_items!$B$2:$E$4784,3,0)</f>
        <v>1</v>
      </c>
      <c r="H1438">
        <f>VLOOKUP($A1438,ordered_items!$B$2:$E$4784,4,0)</f>
        <v>260.64999999999998</v>
      </c>
      <c r="I1438" s="15">
        <f>VLOOKUP(F1438,product_info!$A$2:$D$73,4,0)</f>
        <v>9</v>
      </c>
      <c r="J1438" s="15" t="str">
        <f>VLOOKUP(I1438,department!$A$2:$B$13,2,0)</f>
        <v>Discs Shop</v>
      </c>
      <c r="K1438">
        <v>16163</v>
      </c>
      <c r="L1438" t="s">
        <v>743</v>
      </c>
      <c r="M1438" s="4">
        <v>44159</v>
      </c>
      <c r="N1438" s="12">
        <f t="shared" si="67"/>
        <v>11</v>
      </c>
      <c r="O1438" s="13">
        <f t="shared" si="68"/>
        <v>2020</v>
      </c>
      <c r="P1438" t="s">
        <v>13</v>
      </c>
      <c r="Q1438" t="s">
        <v>5780</v>
      </c>
      <c r="R1438" t="s">
        <v>14</v>
      </c>
      <c r="S1438" t="str" cm="1">
        <f t="array" ref="S1438">_xlfn.IFS(R1438="COMPLETE", "COMPLETED", R1438="CANCELED", "CANCELED", TRUE, "PENDING")</f>
        <v>PENDING</v>
      </c>
      <c r="T1438" t="s">
        <v>32</v>
      </c>
      <c r="U1438">
        <f>VLOOKUP(A1438,ordered_items!$B:$E,4,0)</f>
        <v>260.64999999999998</v>
      </c>
    </row>
    <row r="1439" spans="1:21" x14ac:dyDescent="0.3">
      <c r="A1439">
        <v>72611</v>
      </c>
      <c r="B1439" t="s">
        <v>3</v>
      </c>
      <c r="C1439">
        <v>2</v>
      </c>
      <c r="D1439">
        <v>2</v>
      </c>
      <c r="E1439" t="str">
        <f t="shared" si="66"/>
        <v xml:space="preserve"> ONTIME</v>
      </c>
      <c r="F1439">
        <f>VLOOKUP($A1439,ordered_items!$B$2:$E$4784,2,0)</f>
        <v>1358</v>
      </c>
      <c r="G1439">
        <f>VLOOKUP($A1439,ordered_items!$B$2:$E$4784,3,0)</f>
        <v>1</v>
      </c>
      <c r="H1439">
        <f>VLOOKUP($A1439,ordered_items!$B$2:$E$4784,4,0)</f>
        <v>260.64999999999998</v>
      </c>
      <c r="I1439" s="15">
        <f>VLOOKUP(F1439,product_info!$A$2:$D$73,4,0)</f>
        <v>9</v>
      </c>
      <c r="J1439" s="15" t="str">
        <f>VLOOKUP(I1439,department!$A$2:$B$13,2,0)</f>
        <v>Discs Shop</v>
      </c>
      <c r="K1439">
        <v>16164</v>
      </c>
      <c r="L1439" t="s">
        <v>743</v>
      </c>
      <c r="M1439" s="4">
        <v>44159</v>
      </c>
      <c r="N1439" s="12">
        <f t="shared" si="67"/>
        <v>11</v>
      </c>
      <c r="O1439" s="13">
        <f t="shared" si="68"/>
        <v>2020</v>
      </c>
      <c r="P1439" t="s">
        <v>13</v>
      </c>
      <c r="Q1439" t="s">
        <v>5780</v>
      </c>
      <c r="R1439" t="s">
        <v>14</v>
      </c>
      <c r="S1439" t="str" cm="1">
        <f t="array" ref="S1439">_xlfn.IFS(R1439="COMPLETE", "COMPLETED", R1439="CANCELED", "CANCELED", TRUE, "PENDING")</f>
        <v>PENDING</v>
      </c>
      <c r="T1439" t="s">
        <v>90</v>
      </c>
      <c r="U1439">
        <f>VLOOKUP(A1439,ordered_items!$B:$E,4,0)</f>
        <v>260.64999999999998</v>
      </c>
    </row>
    <row r="1440" spans="1:21" x14ac:dyDescent="0.3">
      <c r="A1440">
        <v>72612</v>
      </c>
      <c r="B1440" t="s">
        <v>24</v>
      </c>
      <c r="C1440">
        <v>2</v>
      </c>
      <c r="D1440">
        <v>1</v>
      </c>
      <c r="E1440" t="str">
        <f t="shared" si="66"/>
        <v>DELAYED</v>
      </c>
      <c r="F1440">
        <f>VLOOKUP($A1440,ordered_items!$B$2:$E$4784,2,0)</f>
        <v>1358</v>
      </c>
      <c r="G1440">
        <f>VLOOKUP($A1440,ordered_items!$B$2:$E$4784,3,0)</f>
        <v>1</v>
      </c>
      <c r="H1440">
        <f>VLOOKUP($A1440,ordered_items!$B$2:$E$4784,4,0)</f>
        <v>260.64999999999998</v>
      </c>
      <c r="I1440" s="15">
        <f>VLOOKUP(F1440,product_info!$A$2:$D$73,4,0)</f>
        <v>9</v>
      </c>
      <c r="J1440" s="15" t="str">
        <f>VLOOKUP(I1440,department!$A$2:$B$13,2,0)</f>
        <v>Discs Shop</v>
      </c>
      <c r="K1440">
        <v>16165</v>
      </c>
      <c r="L1440" t="s">
        <v>743</v>
      </c>
      <c r="M1440" s="4">
        <v>44159</v>
      </c>
      <c r="N1440" s="12">
        <f t="shared" si="67"/>
        <v>11</v>
      </c>
      <c r="O1440" s="13">
        <f t="shared" si="68"/>
        <v>2020</v>
      </c>
      <c r="P1440" t="s">
        <v>13</v>
      </c>
      <c r="Q1440" t="s">
        <v>5780</v>
      </c>
      <c r="R1440" t="s">
        <v>31</v>
      </c>
      <c r="S1440" t="str" cm="1">
        <f t="array" ref="S1440">_xlfn.IFS(R1440="COMPLETE", "COMPLETED", R1440="CANCELED", "CANCELED", TRUE, "PENDING")</f>
        <v>COMPLETED</v>
      </c>
      <c r="T1440" t="s">
        <v>32</v>
      </c>
      <c r="U1440">
        <f>VLOOKUP(A1440,ordered_items!$B:$E,4,0)</f>
        <v>260.64999999999998</v>
      </c>
    </row>
    <row r="1441" spans="1:21" x14ac:dyDescent="0.3">
      <c r="A1441">
        <v>72619</v>
      </c>
      <c r="B1441" t="s">
        <v>3</v>
      </c>
      <c r="C1441">
        <v>5</v>
      </c>
      <c r="D1441">
        <v>4</v>
      </c>
      <c r="E1441" t="str">
        <f t="shared" si="66"/>
        <v>DELAYED</v>
      </c>
      <c r="F1441">
        <f>VLOOKUP($A1441,ordered_items!$B$2:$E$4784,2,0)</f>
        <v>1358</v>
      </c>
      <c r="G1441">
        <f>VLOOKUP($A1441,ordered_items!$B$2:$E$4784,3,0)</f>
        <v>1</v>
      </c>
      <c r="H1441">
        <f>VLOOKUP($A1441,ordered_items!$B$2:$E$4784,4,0)</f>
        <v>260.64999999999998</v>
      </c>
      <c r="I1441" s="15">
        <f>VLOOKUP(F1441,product_info!$A$2:$D$73,4,0)</f>
        <v>9</v>
      </c>
      <c r="J1441" s="15" t="str">
        <f>VLOOKUP(I1441,department!$A$2:$B$13,2,0)</f>
        <v>Discs Shop</v>
      </c>
      <c r="K1441">
        <v>16172</v>
      </c>
      <c r="L1441" t="s">
        <v>465</v>
      </c>
      <c r="M1441" s="4">
        <v>44160</v>
      </c>
      <c r="N1441" s="12">
        <f t="shared" si="67"/>
        <v>11</v>
      </c>
      <c r="O1441" s="13">
        <f t="shared" si="68"/>
        <v>2020</v>
      </c>
      <c r="P1441" t="s">
        <v>13</v>
      </c>
      <c r="Q1441" t="s">
        <v>99</v>
      </c>
      <c r="R1441" t="s">
        <v>38</v>
      </c>
      <c r="S1441" t="str" cm="1">
        <f t="array" ref="S1441">_xlfn.IFS(R1441="COMPLETE", "COMPLETED", R1441="CANCELED", "CANCELED", TRUE, "PENDING")</f>
        <v>PENDING</v>
      </c>
      <c r="T1441" t="s">
        <v>16</v>
      </c>
      <c r="U1441">
        <f>VLOOKUP(A1441,ordered_items!$B:$E,4,0)</f>
        <v>260.64999999999998</v>
      </c>
    </row>
    <row r="1442" spans="1:21" x14ac:dyDescent="0.3">
      <c r="A1442">
        <v>72651</v>
      </c>
      <c r="B1442" t="s">
        <v>3</v>
      </c>
      <c r="C1442">
        <v>2</v>
      </c>
      <c r="D1442">
        <v>4</v>
      </c>
      <c r="E1442" t="str">
        <f t="shared" si="66"/>
        <v xml:space="preserve"> ONTIME</v>
      </c>
      <c r="F1442">
        <f>VLOOKUP($A1442,ordered_items!$B$2:$E$4784,2,0)</f>
        <v>1358</v>
      </c>
      <c r="G1442">
        <f>VLOOKUP($A1442,ordered_items!$B$2:$E$4784,3,0)</f>
        <v>1</v>
      </c>
      <c r="H1442">
        <f>VLOOKUP($A1442,ordered_items!$B$2:$E$4784,4,0)</f>
        <v>260.64999999999998</v>
      </c>
      <c r="I1442" s="15">
        <f>VLOOKUP(F1442,product_info!$A$2:$D$73,4,0)</f>
        <v>9</v>
      </c>
      <c r="J1442" s="15" t="str">
        <f>VLOOKUP(I1442,department!$A$2:$B$13,2,0)</f>
        <v>Discs Shop</v>
      </c>
      <c r="K1442">
        <v>16204</v>
      </c>
      <c r="L1442" t="s">
        <v>233</v>
      </c>
      <c r="M1442" s="4">
        <v>44160</v>
      </c>
      <c r="N1442" s="12">
        <f t="shared" si="67"/>
        <v>11</v>
      </c>
      <c r="O1442" s="13">
        <f t="shared" si="68"/>
        <v>2020</v>
      </c>
      <c r="P1442" t="s">
        <v>13</v>
      </c>
      <c r="Q1442" t="s">
        <v>234</v>
      </c>
      <c r="R1442" t="s">
        <v>14</v>
      </c>
      <c r="S1442" t="str" cm="1">
        <f t="array" ref="S1442">_xlfn.IFS(R1442="COMPLETE", "COMPLETED", R1442="CANCELED", "CANCELED", TRUE, "PENDING")</f>
        <v>PENDING</v>
      </c>
      <c r="T1442" t="s">
        <v>16</v>
      </c>
      <c r="U1442">
        <f>VLOOKUP(A1442,ordered_items!$B:$E,4,0)</f>
        <v>260.64999999999998</v>
      </c>
    </row>
    <row r="1443" spans="1:21" x14ac:dyDescent="0.3">
      <c r="A1443">
        <v>72652</v>
      </c>
      <c r="B1443" t="s">
        <v>24</v>
      </c>
      <c r="C1443">
        <v>3</v>
      </c>
      <c r="D1443">
        <v>4</v>
      </c>
      <c r="E1443" t="str">
        <f t="shared" si="66"/>
        <v xml:space="preserve"> ONTIME</v>
      </c>
      <c r="F1443">
        <f>VLOOKUP($A1443,ordered_items!$B$2:$E$4784,2,0)</f>
        <v>1358</v>
      </c>
      <c r="G1443">
        <f>VLOOKUP($A1443,ordered_items!$B$2:$E$4784,3,0)</f>
        <v>1</v>
      </c>
      <c r="H1443">
        <f>VLOOKUP($A1443,ordered_items!$B$2:$E$4784,4,0)</f>
        <v>260.64999999999998</v>
      </c>
      <c r="I1443" s="15">
        <f>VLOOKUP(F1443,product_info!$A$2:$D$73,4,0)</f>
        <v>9</v>
      </c>
      <c r="J1443" s="15" t="str">
        <f>VLOOKUP(I1443,department!$A$2:$B$13,2,0)</f>
        <v>Discs Shop</v>
      </c>
      <c r="K1443">
        <v>16205</v>
      </c>
      <c r="L1443" t="s">
        <v>233</v>
      </c>
      <c r="M1443" s="4">
        <v>44160</v>
      </c>
      <c r="N1443" s="12">
        <f t="shared" si="67"/>
        <v>11</v>
      </c>
      <c r="O1443" s="13">
        <f t="shared" si="68"/>
        <v>2020</v>
      </c>
      <c r="P1443" t="s">
        <v>13</v>
      </c>
      <c r="Q1443" t="s">
        <v>234</v>
      </c>
      <c r="R1443" t="s">
        <v>31</v>
      </c>
      <c r="S1443" t="str" cm="1">
        <f t="array" ref="S1443">_xlfn.IFS(R1443="COMPLETE", "COMPLETED", R1443="CANCELED", "CANCELED", TRUE, "PENDING")</f>
        <v>COMPLETED</v>
      </c>
      <c r="T1443" t="s">
        <v>16</v>
      </c>
      <c r="U1443">
        <f>VLOOKUP(A1443,ordered_items!$B:$E,4,0)</f>
        <v>260.64999999999998</v>
      </c>
    </row>
    <row r="1444" spans="1:21" x14ac:dyDescent="0.3">
      <c r="A1444">
        <v>72653</v>
      </c>
      <c r="B1444" t="s">
        <v>17</v>
      </c>
      <c r="C1444">
        <v>4</v>
      </c>
      <c r="D1444">
        <v>4</v>
      </c>
      <c r="E1444" t="str">
        <f t="shared" si="66"/>
        <v xml:space="preserve"> ONTIME</v>
      </c>
      <c r="F1444">
        <f>VLOOKUP($A1444,ordered_items!$B$2:$E$4784,2,0)</f>
        <v>1358</v>
      </c>
      <c r="G1444">
        <f>VLOOKUP($A1444,ordered_items!$B$2:$E$4784,3,0)</f>
        <v>1</v>
      </c>
      <c r="H1444">
        <f>VLOOKUP($A1444,ordered_items!$B$2:$E$4784,4,0)</f>
        <v>260.64999999999998</v>
      </c>
      <c r="I1444" s="15">
        <f>VLOOKUP(F1444,product_info!$A$2:$D$73,4,0)</f>
        <v>9</v>
      </c>
      <c r="J1444" s="15" t="str">
        <f>VLOOKUP(I1444,department!$A$2:$B$13,2,0)</f>
        <v>Discs Shop</v>
      </c>
      <c r="K1444">
        <v>16206</v>
      </c>
      <c r="L1444" t="s">
        <v>233</v>
      </c>
      <c r="M1444" s="4">
        <v>44160</v>
      </c>
      <c r="N1444" s="12">
        <f t="shared" si="67"/>
        <v>11</v>
      </c>
      <c r="O1444" s="13">
        <f t="shared" si="68"/>
        <v>2020</v>
      </c>
      <c r="P1444" t="s">
        <v>13</v>
      </c>
      <c r="Q1444" t="s">
        <v>234</v>
      </c>
      <c r="R1444" t="s">
        <v>23</v>
      </c>
      <c r="S1444" t="str" cm="1">
        <f t="array" ref="S1444">_xlfn.IFS(R1444="COMPLETE", "COMPLETED", R1444="CANCELED", "CANCELED", TRUE, "PENDING")</f>
        <v>PENDING</v>
      </c>
      <c r="T1444" t="s">
        <v>16</v>
      </c>
      <c r="U1444">
        <f>VLOOKUP(A1444,ordered_items!$B:$E,4,0)</f>
        <v>260.64999999999998</v>
      </c>
    </row>
    <row r="1445" spans="1:21" x14ac:dyDescent="0.3">
      <c r="A1445">
        <v>72664</v>
      </c>
      <c r="B1445" t="s">
        <v>24</v>
      </c>
      <c r="C1445">
        <v>5</v>
      </c>
      <c r="D1445">
        <v>4</v>
      </c>
      <c r="E1445" t="str">
        <f t="shared" si="66"/>
        <v>DELAYED</v>
      </c>
      <c r="F1445">
        <f>VLOOKUP($A1445,ordered_items!$B$2:$E$4784,2,0)</f>
        <v>1358</v>
      </c>
      <c r="G1445">
        <f>VLOOKUP($A1445,ordered_items!$B$2:$E$4784,3,0)</f>
        <v>1</v>
      </c>
      <c r="H1445">
        <f>VLOOKUP($A1445,ordered_items!$B$2:$E$4784,4,0)</f>
        <v>260.64999999999998</v>
      </c>
      <c r="I1445" s="15">
        <f>VLOOKUP(F1445,product_info!$A$2:$D$73,4,0)</f>
        <v>9</v>
      </c>
      <c r="J1445" s="15" t="str">
        <f>VLOOKUP(I1445,department!$A$2:$B$13,2,0)</f>
        <v>Discs Shop</v>
      </c>
      <c r="K1445">
        <v>16217</v>
      </c>
      <c r="L1445" t="s">
        <v>613</v>
      </c>
      <c r="M1445" s="4">
        <v>44160</v>
      </c>
      <c r="N1445" s="12">
        <f t="shared" si="67"/>
        <v>11</v>
      </c>
      <c r="O1445" s="13">
        <f t="shared" si="68"/>
        <v>2020</v>
      </c>
      <c r="P1445" t="s">
        <v>13</v>
      </c>
      <c r="Q1445" t="s">
        <v>80</v>
      </c>
      <c r="R1445" t="s">
        <v>31</v>
      </c>
      <c r="S1445" t="str" cm="1">
        <f t="array" ref="S1445">_xlfn.IFS(R1445="COMPLETE", "COMPLETED", R1445="CANCELED", "CANCELED", TRUE, "PENDING")</f>
        <v>COMPLETED</v>
      </c>
      <c r="T1445" t="s">
        <v>16</v>
      </c>
      <c r="U1445">
        <f>VLOOKUP(A1445,ordered_items!$B:$E,4,0)</f>
        <v>260.64999999999998</v>
      </c>
    </row>
    <row r="1446" spans="1:21" x14ac:dyDescent="0.3">
      <c r="A1446">
        <v>72665</v>
      </c>
      <c r="B1446" t="s">
        <v>17</v>
      </c>
      <c r="C1446">
        <v>1</v>
      </c>
      <c r="D1446">
        <v>0</v>
      </c>
      <c r="E1446" t="str">
        <f t="shared" si="66"/>
        <v>DELAYED</v>
      </c>
      <c r="F1446">
        <f>VLOOKUP($A1446,ordered_items!$B$2:$E$4784,2,0)</f>
        <v>1358</v>
      </c>
      <c r="G1446">
        <f>VLOOKUP($A1446,ordered_items!$B$2:$E$4784,3,0)</f>
        <v>1</v>
      </c>
      <c r="H1446">
        <f>VLOOKUP($A1446,ordered_items!$B$2:$E$4784,4,0)</f>
        <v>260.64999999999998</v>
      </c>
      <c r="I1446" s="15">
        <f>VLOOKUP(F1446,product_info!$A$2:$D$73,4,0)</f>
        <v>9</v>
      </c>
      <c r="J1446" s="15" t="str">
        <f>VLOOKUP(I1446,department!$A$2:$B$13,2,0)</f>
        <v>Discs Shop</v>
      </c>
      <c r="K1446">
        <v>16218</v>
      </c>
      <c r="L1446" t="s">
        <v>613</v>
      </c>
      <c r="M1446" s="4">
        <v>44160</v>
      </c>
      <c r="N1446" s="12">
        <f t="shared" si="67"/>
        <v>11</v>
      </c>
      <c r="O1446" s="13">
        <f t="shared" si="68"/>
        <v>2020</v>
      </c>
      <c r="P1446" t="s">
        <v>13</v>
      </c>
      <c r="Q1446" t="s">
        <v>80</v>
      </c>
      <c r="R1446" t="s">
        <v>23</v>
      </c>
      <c r="S1446" t="str" cm="1">
        <f t="array" ref="S1446">_xlfn.IFS(R1446="COMPLETE", "COMPLETED", R1446="CANCELED", "CANCELED", TRUE, "PENDING")</f>
        <v>PENDING</v>
      </c>
      <c r="T1446" t="s">
        <v>58</v>
      </c>
      <c r="U1446">
        <f>VLOOKUP(A1446,ordered_items!$B:$E,4,0)</f>
        <v>260.64999999999998</v>
      </c>
    </row>
    <row r="1447" spans="1:21" x14ac:dyDescent="0.3">
      <c r="A1447">
        <v>72666</v>
      </c>
      <c r="B1447" t="s">
        <v>51</v>
      </c>
      <c r="C1447">
        <v>1</v>
      </c>
      <c r="D1447">
        <v>0</v>
      </c>
      <c r="E1447" t="str">
        <f t="shared" si="66"/>
        <v>DELAYED</v>
      </c>
      <c r="F1447">
        <f>VLOOKUP($A1447,ordered_items!$B$2:$E$4784,2,0)</f>
        <v>1358</v>
      </c>
      <c r="G1447">
        <f>VLOOKUP($A1447,ordered_items!$B$2:$E$4784,3,0)</f>
        <v>1</v>
      </c>
      <c r="H1447">
        <f>VLOOKUP($A1447,ordered_items!$B$2:$E$4784,4,0)</f>
        <v>260.64999999999998</v>
      </c>
      <c r="I1447" s="15">
        <f>VLOOKUP(F1447,product_info!$A$2:$D$73,4,0)</f>
        <v>9</v>
      </c>
      <c r="J1447" s="15" t="str">
        <f>VLOOKUP(I1447,department!$A$2:$B$13,2,0)</f>
        <v>Discs Shop</v>
      </c>
      <c r="K1447">
        <v>16219</v>
      </c>
      <c r="L1447" t="s">
        <v>613</v>
      </c>
      <c r="M1447" s="4">
        <v>44160</v>
      </c>
      <c r="N1447" s="12">
        <f t="shared" si="67"/>
        <v>11</v>
      </c>
      <c r="O1447" s="13">
        <f t="shared" si="68"/>
        <v>2020</v>
      </c>
      <c r="P1447" t="s">
        <v>13</v>
      </c>
      <c r="Q1447" t="s">
        <v>80</v>
      </c>
      <c r="R1447" t="s">
        <v>57</v>
      </c>
      <c r="S1447" t="str" cm="1">
        <f t="array" ref="S1447">_xlfn.IFS(R1447="COMPLETE", "COMPLETED", R1447="CANCELED", "CANCELED", TRUE, "PENDING")</f>
        <v>PENDING</v>
      </c>
      <c r="T1447" t="s">
        <v>58</v>
      </c>
      <c r="U1447">
        <f>VLOOKUP(A1447,ordered_items!$B:$E,4,0)</f>
        <v>260.64999999999998</v>
      </c>
    </row>
    <row r="1448" spans="1:21" x14ac:dyDescent="0.3">
      <c r="A1448">
        <v>72667</v>
      </c>
      <c r="B1448" t="s">
        <v>3</v>
      </c>
      <c r="C1448">
        <v>1</v>
      </c>
      <c r="D1448">
        <v>0</v>
      </c>
      <c r="E1448" t="str">
        <f t="shared" si="66"/>
        <v>DELAYED</v>
      </c>
      <c r="F1448">
        <f>VLOOKUP($A1448,ordered_items!$B$2:$E$4784,2,0)</f>
        <v>1358</v>
      </c>
      <c r="G1448">
        <f>VLOOKUP($A1448,ordered_items!$B$2:$E$4784,3,0)</f>
        <v>1</v>
      </c>
      <c r="H1448">
        <f>VLOOKUP($A1448,ordered_items!$B$2:$E$4784,4,0)</f>
        <v>260.64999999999998</v>
      </c>
      <c r="I1448" s="15">
        <f>VLOOKUP(F1448,product_info!$A$2:$D$73,4,0)</f>
        <v>9</v>
      </c>
      <c r="J1448" s="15" t="str">
        <f>VLOOKUP(I1448,department!$A$2:$B$13,2,0)</f>
        <v>Discs Shop</v>
      </c>
      <c r="K1448">
        <v>16220</v>
      </c>
      <c r="L1448" t="s">
        <v>613</v>
      </c>
      <c r="M1448" s="4">
        <v>44160</v>
      </c>
      <c r="N1448" s="12">
        <f t="shared" si="67"/>
        <v>11</v>
      </c>
      <c r="O1448" s="13">
        <f t="shared" si="68"/>
        <v>2020</v>
      </c>
      <c r="P1448" t="s">
        <v>13</v>
      </c>
      <c r="Q1448" t="s">
        <v>80</v>
      </c>
      <c r="R1448" t="s">
        <v>38</v>
      </c>
      <c r="S1448" t="str" cm="1">
        <f t="array" ref="S1448">_xlfn.IFS(R1448="COMPLETE", "COMPLETED", R1448="CANCELED", "CANCELED", TRUE, "PENDING")</f>
        <v>PENDING</v>
      </c>
      <c r="T1448" t="s">
        <v>58</v>
      </c>
      <c r="U1448">
        <f>VLOOKUP(A1448,ordered_items!$B:$E,4,0)</f>
        <v>260.64999999999998</v>
      </c>
    </row>
    <row r="1449" spans="1:21" x14ac:dyDescent="0.3">
      <c r="A1449">
        <v>72668</v>
      </c>
      <c r="B1449" t="s">
        <v>24</v>
      </c>
      <c r="C1449">
        <v>2</v>
      </c>
      <c r="D1449">
        <v>1</v>
      </c>
      <c r="E1449" t="str">
        <f t="shared" si="66"/>
        <v>DELAYED</v>
      </c>
      <c r="F1449">
        <f>VLOOKUP($A1449,ordered_items!$B$2:$E$4784,2,0)</f>
        <v>1358</v>
      </c>
      <c r="G1449">
        <f>VLOOKUP($A1449,ordered_items!$B$2:$E$4784,3,0)</f>
        <v>1</v>
      </c>
      <c r="H1449">
        <f>VLOOKUP($A1449,ordered_items!$B$2:$E$4784,4,0)</f>
        <v>260.64999999999998</v>
      </c>
      <c r="I1449" s="15">
        <f>VLOOKUP(F1449,product_info!$A$2:$D$73,4,0)</f>
        <v>9</v>
      </c>
      <c r="J1449" s="15" t="str">
        <f>VLOOKUP(I1449,department!$A$2:$B$13,2,0)</f>
        <v>Discs Shop</v>
      </c>
      <c r="K1449">
        <v>16221</v>
      </c>
      <c r="L1449" t="s">
        <v>465</v>
      </c>
      <c r="M1449" s="4">
        <v>44160</v>
      </c>
      <c r="N1449" s="12">
        <f t="shared" si="67"/>
        <v>11</v>
      </c>
      <c r="O1449" s="13">
        <f t="shared" si="68"/>
        <v>2020</v>
      </c>
      <c r="P1449" t="s">
        <v>13</v>
      </c>
      <c r="Q1449" t="s">
        <v>99</v>
      </c>
      <c r="R1449" t="s">
        <v>31</v>
      </c>
      <c r="S1449" t="str" cm="1">
        <f t="array" ref="S1449">_xlfn.IFS(R1449="COMPLETE", "COMPLETED", R1449="CANCELED", "CANCELED", TRUE, "PENDING")</f>
        <v>COMPLETED</v>
      </c>
      <c r="T1449" t="s">
        <v>32</v>
      </c>
      <c r="U1449">
        <f>VLOOKUP(A1449,ordered_items!$B:$E,4,0)</f>
        <v>260.64999999999998</v>
      </c>
    </row>
    <row r="1450" spans="1:21" x14ac:dyDescent="0.3">
      <c r="A1450">
        <v>72669</v>
      </c>
      <c r="B1450" t="s">
        <v>24</v>
      </c>
      <c r="C1450">
        <v>2</v>
      </c>
      <c r="D1450">
        <v>1</v>
      </c>
      <c r="E1450" t="str">
        <f t="shared" si="66"/>
        <v>DELAYED</v>
      </c>
      <c r="F1450">
        <f>VLOOKUP($A1450,ordered_items!$B$2:$E$4784,2,0)</f>
        <v>1358</v>
      </c>
      <c r="G1450">
        <f>VLOOKUP($A1450,ordered_items!$B$2:$E$4784,3,0)</f>
        <v>1</v>
      </c>
      <c r="H1450">
        <f>VLOOKUP($A1450,ordered_items!$B$2:$E$4784,4,0)</f>
        <v>260.64999999999998</v>
      </c>
      <c r="I1450" s="15">
        <f>VLOOKUP(F1450,product_info!$A$2:$D$73,4,0)</f>
        <v>9</v>
      </c>
      <c r="J1450" s="15" t="str">
        <f>VLOOKUP(I1450,department!$A$2:$B$13,2,0)</f>
        <v>Discs Shop</v>
      </c>
      <c r="K1450">
        <v>16222</v>
      </c>
      <c r="L1450" t="s">
        <v>465</v>
      </c>
      <c r="M1450" s="4">
        <v>44160</v>
      </c>
      <c r="N1450" s="12">
        <f t="shared" si="67"/>
        <v>11</v>
      </c>
      <c r="O1450" s="13">
        <f t="shared" si="68"/>
        <v>2020</v>
      </c>
      <c r="P1450" t="s">
        <v>13</v>
      </c>
      <c r="Q1450" t="s">
        <v>99</v>
      </c>
      <c r="R1450" t="s">
        <v>31</v>
      </c>
      <c r="S1450" t="str" cm="1">
        <f t="array" ref="S1450">_xlfn.IFS(R1450="COMPLETE", "COMPLETED", R1450="CANCELED", "CANCELED", TRUE, "PENDING")</f>
        <v>COMPLETED</v>
      </c>
      <c r="T1450" t="s">
        <v>32</v>
      </c>
      <c r="U1450">
        <f>VLOOKUP(A1450,ordered_items!$B:$E,4,0)</f>
        <v>260.64999999999998</v>
      </c>
    </row>
    <row r="1451" spans="1:21" x14ac:dyDescent="0.3">
      <c r="A1451">
        <v>72670</v>
      </c>
      <c r="B1451" t="s">
        <v>24</v>
      </c>
      <c r="C1451">
        <v>6</v>
      </c>
      <c r="D1451">
        <v>4</v>
      </c>
      <c r="E1451" t="str">
        <f t="shared" si="66"/>
        <v>DELAYED</v>
      </c>
      <c r="F1451">
        <f>VLOOKUP($A1451,ordered_items!$B$2:$E$4784,2,0)</f>
        <v>1358</v>
      </c>
      <c r="G1451">
        <f>VLOOKUP($A1451,ordered_items!$B$2:$E$4784,3,0)</f>
        <v>1</v>
      </c>
      <c r="H1451">
        <f>VLOOKUP($A1451,ordered_items!$B$2:$E$4784,4,0)</f>
        <v>260.64999999999998</v>
      </c>
      <c r="I1451" s="15">
        <f>VLOOKUP(F1451,product_info!$A$2:$D$73,4,0)</f>
        <v>9</v>
      </c>
      <c r="J1451" s="15" t="str">
        <f>VLOOKUP(I1451,department!$A$2:$B$13,2,0)</f>
        <v>Discs Shop</v>
      </c>
      <c r="K1451">
        <v>16223</v>
      </c>
      <c r="L1451" t="s">
        <v>465</v>
      </c>
      <c r="M1451" s="4">
        <v>44160</v>
      </c>
      <c r="N1451" s="12">
        <f t="shared" si="67"/>
        <v>11</v>
      </c>
      <c r="O1451" s="13">
        <f t="shared" si="68"/>
        <v>2020</v>
      </c>
      <c r="P1451" t="s">
        <v>13</v>
      </c>
      <c r="Q1451" t="s">
        <v>99</v>
      </c>
      <c r="R1451" t="s">
        <v>31</v>
      </c>
      <c r="S1451" t="str" cm="1">
        <f t="array" ref="S1451">_xlfn.IFS(R1451="COMPLETE", "COMPLETED", R1451="CANCELED", "CANCELED", TRUE, "PENDING")</f>
        <v>COMPLETED</v>
      </c>
      <c r="T1451" t="s">
        <v>16</v>
      </c>
      <c r="U1451">
        <f>VLOOKUP(A1451,ordered_items!$B:$E,4,0)</f>
        <v>260.64999999999998</v>
      </c>
    </row>
    <row r="1452" spans="1:21" x14ac:dyDescent="0.3">
      <c r="A1452">
        <v>72674</v>
      </c>
      <c r="B1452" t="s">
        <v>24</v>
      </c>
      <c r="C1452">
        <v>5</v>
      </c>
      <c r="D1452">
        <v>4</v>
      </c>
      <c r="E1452" t="str">
        <f t="shared" si="66"/>
        <v>DELAYED</v>
      </c>
      <c r="F1452">
        <f>VLOOKUP($A1452,ordered_items!$B$2:$E$4784,2,0)</f>
        <v>1358</v>
      </c>
      <c r="G1452">
        <f>VLOOKUP($A1452,ordered_items!$B$2:$E$4784,3,0)</f>
        <v>1</v>
      </c>
      <c r="H1452">
        <f>VLOOKUP($A1452,ordered_items!$B$2:$E$4784,4,0)</f>
        <v>260.64999999999998</v>
      </c>
      <c r="I1452" s="15">
        <f>VLOOKUP(F1452,product_info!$A$2:$D$73,4,0)</f>
        <v>9</v>
      </c>
      <c r="J1452" s="15" t="str">
        <f>VLOOKUP(I1452,department!$A$2:$B$13,2,0)</f>
        <v>Discs Shop</v>
      </c>
      <c r="K1452">
        <v>16227</v>
      </c>
      <c r="L1452" t="s">
        <v>830</v>
      </c>
      <c r="M1452" s="4">
        <v>44160</v>
      </c>
      <c r="N1452" s="12">
        <f t="shared" si="67"/>
        <v>11</v>
      </c>
      <c r="O1452" s="13">
        <f t="shared" si="68"/>
        <v>2020</v>
      </c>
      <c r="P1452" t="s">
        <v>13</v>
      </c>
      <c r="Q1452" t="s">
        <v>5777</v>
      </c>
      <c r="R1452" t="s">
        <v>31</v>
      </c>
      <c r="S1452" t="str" cm="1">
        <f t="array" ref="S1452">_xlfn.IFS(R1452="COMPLETE", "COMPLETED", R1452="CANCELED", "CANCELED", TRUE, "PENDING")</f>
        <v>COMPLETED</v>
      </c>
      <c r="T1452" t="s">
        <v>16</v>
      </c>
      <c r="U1452">
        <f>VLOOKUP(A1452,ordered_items!$B:$E,4,0)</f>
        <v>260.64999999999998</v>
      </c>
    </row>
    <row r="1453" spans="1:21" x14ac:dyDescent="0.3">
      <c r="A1453">
        <v>72675</v>
      </c>
      <c r="B1453" t="s">
        <v>51</v>
      </c>
      <c r="C1453">
        <v>6</v>
      </c>
      <c r="D1453">
        <v>4</v>
      </c>
      <c r="E1453" t="str">
        <f t="shared" si="66"/>
        <v>DELAYED</v>
      </c>
      <c r="F1453">
        <f>VLOOKUP($A1453,ordered_items!$B$2:$E$4784,2,0)</f>
        <v>1358</v>
      </c>
      <c r="G1453">
        <f>VLOOKUP($A1453,ordered_items!$B$2:$E$4784,3,0)</f>
        <v>1</v>
      </c>
      <c r="H1453">
        <f>VLOOKUP($A1453,ordered_items!$B$2:$E$4784,4,0)</f>
        <v>260.64999999999998</v>
      </c>
      <c r="I1453" s="15">
        <f>VLOOKUP(F1453,product_info!$A$2:$D$73,4,0)</f>
        <v>9</v>
      </c>
      <c r="J1453" s="15" t="str">
        <f>VLOOKUP(I1453,department!$A$2:$B$13,2,0)</f>
        <v>Discs Shop</v>
      </c>
      <c r="K1453">
        <v>16228</v>
      </c>
      <c r="L1453" t="s">
        <v>1481</v>
      </c>
      <c r="M1453" s="4">
        <v>44160</v>
      </c>
      <c r="N1453" s="12">
        <f t="shared" si="67"/>
        <v>11</v>
      </c>
      <c r="O1453" s="13">
        <f t="shared" si="68"/>
        <v>2020</v>
      </c>
      <c r="P1453" t="s">
        <v>13</v>
      </c>
      <c r="Q1453" t="s">
        <v>286</v>
      </c>
      <c r="R1453" t="s">
        <v>57</v>
      </c>
      <c r="S1453" t="str" cm="1">
        <f t="array" ref="S1453">_xlfn.IFS(R1453="COMPLETE", "COMPLETED", R1453="CANCELED", "CANCELED", TRUE, "PENDING")</f>
        <v>PENDING</v>
      </c>
      <c r="T1453" t="s">
        <v>16</v>
      </c>
      <c r="U1453">
        <f>VLOOKUP(A1453,ordered_items!$B:$E,4,0)</f>
        <v>260.64999999999998</v>
      </c>
    </row>
    <row r="1454" spans="1:21" x14ac:dyDescent="0.3">
      <c r="A1454">
        <v>72676</v>
      </c>
      <c r="B1454" t="s">
        <v>51</v>
      </c>
      <c r="C1454">
        <v>2</v>
      </c>
      <c r="D1454">
        <v>4</v>
      </c>
      <c r="E1454" t="str">
        <f t="shared" si="66"/>
        <v xml:space="preserve"> ONTIME</v>
      </c>
      <c r="F1454">
        <f>VLOOKUP($A1454,ordered_items!$B$2:$E$4784,2,0)</f>
        <v>1358</v>
      </c>
      <c r="G1454">
        <f>VLOOKUP($A1454,ordered_items!$B$2:$E$4784,3,0)</f>
        <v>1</v>
      </c>
      <c r="H1454">
        <f>VLOOKUP($A1454,ordered_items!$B$2:$E$4784,4,0)</f>
        <v>260.64999999999998</v>
      </c>
      <c r="I1454" s="15">
        <f>VLOOKUP(F1454,product_info!$A$2:$D$73,4,0)</f>
        <v>9</v>
      </c>
      <c r="J1454" s="15" t="str">
        <f>VLOOKUP(I1454,department!$A$2:$B$13,2,0)</f>
        <v>Discs Shop</v>
      </c>
      <c r="K1454">
        <v>16229</v>
      </c>
      <c r="L1454" t="s">
        <v>1481</v>
      </c>
      <c r="M1454" s="4">
        <v>44160</v>
      </c>
      <c r="N1454" s="12">
        <f t="shared" si="67"/>
        <v>11</v>
      </c>
      <c r="O1454" s="13">
        <f t="shared" si="68"/>
        <v>2020</v>
      </c>
      <c r="P1454" t="s">
        <v>13</v>
      </c>
      <c r="Q1454" t="s">
        <v>286</v>
      </c>
      <c r="R1454" t="s">
        <v>57</v>
      </c>
      <c r="S1454" t="str" cm="1">
        <f t="array" ref="S1454">_xlfn.IFS(R1454="COMPLETE", "COMPLETED", R1454="CANCELED", "CANCELED", TRUE, "PENDING")</f>
        <v>PENDING</v>
      </c>
      <c r="T1454" t="s">
        <v>16</v>
      </c>
      <c r="U1454">
        <f>VLOOKUP(A1454,ordered_items!$B:$E,4,0)</f>
        <v>260.64999999999998</v>
      </c>
    </row>
    <row r="1455" spans="1:21" x14ac:dyDescent="0.3">
      <c r="A1455">
        <v>72697</v>
      </c>
      <c r="B1455" t="s">
        <v>17</v>
      </c>
      <c r="C1455">
        <v>0</v>
      </c>
      <c r="D1455">
        <v>0</v>
      </c>
      <c r="E1455" t="str">
        <f t="shared" si="66"/>
        <v xml:space="preserve"> ONTIME</v>
      </c>
      <c r="F1455">
        <f>VLOOKUP($A1455,ordered_items!$B$2:$E$4784,2,0)</f>
        <v>1358</v>
      </c>
      <c r="G1455">
        <f>VLOOKUP($A1455,ordered_items!$B$2:$E$4784,3,0)</f>
        <v>1</v>
      </c>
      <c r="H1455">
        <f>VLOOKUP($A1455,ordered_items!$B$2:$E$4784,4,0)</f>
        <v>260.64999999999998</v>
      </c>
      <c r="I1455" s="15">
        <f>VLOOKUP(F1455,product_info!$A$2:$D$73,4,0)</f>
        <v>9</v>
      </c>
      <c r="J1455" s="15" t="str">
        <f>VLOOKUP(I1455,department!$A$2:$B$13,2,0)</f>
        <v>Discs Shop</v>
      </c>
      <c r="K1455">
        <v>16250</v>
      </c>
      <c r="L1455" t="s">
        <v>266</v>
      </c>
      <c r="M1455" s="4">
        <v>44161</v>
      </c>
      <c r="N1455" s="12">
        <f t="shared" si="67"/>
        <v>11</v>
      </c>
      <c r="O1455" s="13">
        <f t="shared" si="68"/>
        <v>2020</v>
      </c>
      <c r="P1455" t="s">
        <v>13</v>
      </c>
      <c r="Q1455" t="s">
        <v>5778</v>
      </c>
      <c r="R1455" t="s">
        <v>23</v>
      </c>
      <c r="S1455" t="str" cm="1">
        <f t="array" ref="S1455">_xlfn.IFS(R1455="COMPLETE", "COMPLETED", R1455="CANCELED", "CANCELED", TRUE, "PENDING")</f>
        <v>PENDING</v>
      </c>
      <c r="T1455" t="s">
        <v>58</v>
      </c>
      <c r="U1455">
        <f>VLOOKUP(A1455,ordered_items!$B:$E,4,0)</f>
        <v>260.64999999999998</v>
      </c>
    </row>
    <row r="1456" spans="1:21" x14ac:dyDescent="0.3">
      <c r="A1456">
        <v>72698</v>
      </c>
      <c r="B1456" t="s">
        <v>24</v>
      </c>
      <c r="C1456">
        <v>2</v>
      </c>
      <c r="D1456">
        <v>1</v>
      </c>
      <c r="E1456" t="str">
        <f t="shared" si="66"/>
        <v>DELAYED</v>
      </c>
      <c r="F1456">
        <f>VLOOKUP($A1456,ordered_items!$B$2:$E$4784,2,0)</f>
        <v>1358</v>
      </c>
      <c r="G1456">
        <f>VLOOKUP($A1456,ordered_items!$B$2:$E$4784,3,0)</f>
        <v>1</v>
      </c>
      <c r="H1456">
        <f>VLOOKUP($A1456,ordered_items!$B$2:$E$4784,4,0)</f>
        <v>260.64999999999998</v>
      </c>
      <c r="I1456" s="15">
        <f>VLOOKUP(F1456,product_info!$A$2:$D$73,4,0)</f>
        <v>9</v>
      </c>
      <c r="J1456" s="15" t="str">
        <f>VLOOKUP(I1456,department!$A$2:$B$13,2,0)</f>
        <v>Discs Shop</v>
      </c>
      <c r="K1456">
        <v>16251</v>
      </c>
      <c r="L1456" t="s">
        <v>266</v>
      </c>
      <c r="M1456" s="4">
        <v>44161</v>
      </c>
      <c r="N1456" s="12">
        <f t="shared" si="67"/>
        <v>11</v>
      </c>
      <c r="O1456" s="13">
        <f t="shared" si="68"/>
        <v>2020</v>
      </c>
      <c r="P1456" t="s">
        <v>13</v>
      </c>
      <c r="Q1456" t="s">
        <v>5778</v>
      </c>
      <c r="R1456" t="s">
        <v>31</v>
      </c>
      <c r="S1456" t="str" cm="1">
        <f t="array" ref="S1456">_xlfn.IFS(R1456="COMPLETE", "COMPLETED", R1456="CANCELED", "CANCELED", TRUE, "PENDING")</f>
        <v>COMPLETED</v>
      </c>
      <c r="T1456" t="s">
        <v>32</v>
      </c>
      <c r="U1456">
        <f>VLOOKUP(A1456,ordered_items!$B:$E,4,0)</f>
        <v>260.64999999999998</v>
      </c>
    </row>
    <row r="1457" spans="1:21" x14ac:dyDescent="0.3">
      <c r="A1457">
        <v>72702</v>
      </c>
      <c r="B1457" t="s">
        <v>17</v>
      </c>
      <c r="C1457">
        <v>3</v>
      </c>
      <c r="D1457">
        <v>4</v>
      </c>
      <c r="E1457" t="str">
        <f t="shared" si="66"/>
        <v xml:space="preserve"> ONTIME</v>
      </c>
      <c r="F1457">
        <f>VLOOKUP($A1457,ordered_items!$B$2:$E$4784,2,0)</f>
        <v>1358</v>
      </c>
      <c r="G1457">
        <f>VLOOKUP($A1457,ordered_items!$B$2:$E$4784,3,0)</f>
        <v>1</v>
      </c>
      <c r="H1457">
        <f>VLOOKUP($A1457,ordered_items!$B$2:$E$4784,4,0)</f>
        <v>260.64999999999998</v>
      </c>
      <c r="I1457" s="15">
        <f>VLOOKUP(F1457,product_info!$A$2:$D$73,4,0)</f>
        <v>9</v>
      </c>
      <c r="J1457" s="15" t="str">
        <f>VLOOKUP(I1457,department!$A$2:$B$13,2,0)</f>
        <v>Discs Shop</v>
      </c>
      <c r="K1457">
        <v>16255</v>
      </c>
      <c r="L1457" t="s">
        <v>146</v>
      </c>
      <c r="M1457" s="4">
        <v>44161</v>
      </c>
      <c r="N1457" s="12">
        <f t="shared" si="67"/>
        <v>11</v>
      </c>
      <c r="O1457" s="13">
        <f t="shared" si="68"/>
        <v>2020</v>
      </c>
      <c r="P1457" t="s">
        <v>13</v>
      </c>
      <c r="Q1457" t="s">
        <v>30</v>
      </c>
      <c r="R1457" t="s">
        <v>23</v>
      </c>
      <c r="S1457" t="str" cm="1">
        <f t="array" ref="S1457">_xlfn.IFS(R1457="COMPLETE", "COMPLETED", R1457="CANCELED", "CANCELED", TRUE, "PENDING")</f>
        <v>PENDING</v>
      </c>
      <c r="T1457" t="s">
        <v>16</v>
      </c>
      <c r="U1457">
        <f>VLOOKUP(A1457,ordered_items!$B:$E,4,0)</f>
        <v>260.64999999999998</v>
      </c>
    </row>
    <row r="1458" spans="1:21" x14ac:dyDescent="0.3">
      <c r="A1458">
        <v>72703</v>
      </c>
      <c r="B1458" t="s">
        <v>24</v>
      </c>
      <c r="C1458">
        <v>4</v>
      </c>
      <c r="D1458">
        <v>4</v>
      </c>
      <c r="E1458" t="str">
        <f t="shared" si="66"/>
        <v xml:space="preserve"> ONTIME</v>
      </c>
      <c r="F1458">
        <f>VLOOKUP($A1458,ordered_items!$B$2:$E$4784,2,0)</f>
        <v>1358</v>
      </c>
      <c r="G1458">
        <f>VLOOKUP($A1458,ordered_items!$B$2:$E$4784,3,0)</f>
        <v>1</v>
      </c>
      <c r="H1458">
        <f>VLOOKUP($A1458,ordered_items!$B$2:$E$4784,4,0)</f>
        <v>260.64999999999998</v>
      </c>
      <c r="I1458" s="15">
        <f>VLOOKUP(F1458,product_info!$A$2:$D$73,4,0)</f>
        <v>9</v>
      </c>
      <c r="J1458" s="15" t="str">
        <f>VLOOKUP(I1458,department!$A$2:$B$13,2,0)</f>
        <v>Discs Shop</v>
      </c>
      <c r="K1458">
        <v>16256</v>
      </c>
      <c r="L1458" t="s">
        <v>146</v>
      </c>
      <c r="M1458" s="4">
        <v>44161</v>
      </c>
      <c r="N1458" s="12">
        <f t="shared" si="67"/>
        <v>11</v>
      </c>
      <c r="O1458" s="13">
        <f t="shared" si="68"/>
        <v>2020</v>
      </c>
      <c r="P1458" t="s">
        <v>13</v>
      </c>
      <c r="Q1458" t="s">
        <v>30</v>
      </c>
      <c r="R1458" t="s">
        <v>31</v>
      </c>
      <c r="S1458" t="str" cm="1">
        <f t="array" ref="S1458">_xlfn.IFS(R1458="COMPLETE", "COMPLETED", R1458="CANCELED", "CANCELED", TRUE, "PENDING")</f>
        <v>COMPLETED</v>
      </c>
      <c r="T1458" t="s">
        <v>16</v>
      </c>
      <c r="U1458">
        <f>VLOOKUP(A1458,ordered_items!$B:$E,4,0)</f>
        <v>260.64999999999998</v>
      </c>
    </row>
    <row r="1459" spans="1:21" x14ac:dyDescent="0.3">
      <c r="A1459">
        <v>72704</v>
      </c>
      <c r="B1459" t="s">
        <v>3</v>
      </c>
      <c r="C1459">
        <v>5</v>
      </c>
      <c r="D1459">
        <v>4</v>
      </c>
      <c r="E1459" t="str">
        <f t="shared" si="66"/>
        <v>DELAYED</v>
      </c>
      <c r="F1459">
        <f>VLOOKUP($A1459,ordered_items!$B$2:$E$4784,2,0)</f>
        <v>1358</v>
      </c>
      <c r="G1459">
        <f>VLOOKUP($A1459,ordered_items!$B$2:$E$4784,3,0)</f>
        <v>1</v>
      </c>
      <c r="H1459">
        <f>VLOOKUP($A1459,ordered_items!$B$2:$E$4784,4,0)</f>
        <v>260.64999999999998</v>
      </c>
      <c r="I1459" s="15">
        <f>VLOOKUP(F1459,product_info!$A$2:$D$73,4,0)</f>
        <v>9</v>
      </c>
      <c r="J1459" s="15" t="str">
        <f>VLOOKUP(I1459,department!$A$2:$B$13,2,0)</f>
        <v>Discs Shop</v>
      </c>
      <c r="K1459">
        <v>16257</v>
      </c>
      <c r="L1459" t="s">
        <v>146</v>
      </c>
      <c r="M1459" s="4">
        <v>44161</v>
      </c>
      <c r="N1459" s="12">
        <f t="shared" si="67"/>
        <v>11</v>
      </c>
      <c r="O1459" s="13">
        <f t="shared" si="68"/>
        <v>2020</v>
      </c>
      <c r="P1459" t="s">
        <v>13</v>
      </c>
      <c r="Q1459" t="s">
        <v>30</v>
      </c>
      <c r="R1459" t="s">
        <v>38</v>
      </c>
      <c r="S1459" t="str" cm="1">
        <f t="array" ref="S1459">_xlfn.IFS(R1459="COMPLETE", "COMPLETED", R1459="CANCELED", "CANCELED", TRUE, "PENDING")</f>
        <v>PENDING</v>
      </c>
      <c r="T1459" t="s">
        <v>16</v>
      </c>
      <c r="U1459">
        <f>VLOOKUP(A1459,ordered_items!$B:$E,4,0)</f>
        <v>260.64999999999998</v>
      </c>
    </row>
    <row r="1460" spans="1:21" x14ac:dyDescent="0.3">
      <c r="A1460">
        <v>72705</v>
      </c>
      <c r="B1460" t="s">
        <v>24</v>
      </c>
      <c r="C1460">
        <v>6</v>
      </c>
      <c r="D1460">
        <v>4</v>
      </c>
      <c r="E1460" t="str">
        <f t="shared" si="66"/>
        <v>DELAYED</v>
      </c>
      <c r="F1460">
        <f>VLOOKUP($A1460,ordered_items!$B$2:$E$4784,2,0)</f>
        <v>1358</v>
      </c>
      <c r="G1460">
        <f>VLOOKUP($A1460,ordered_items!$B$2:$E$4784,3,0)</f>
        <v>1</v>
      </c>
      <c r="H1460">
        <f>VLOOKUP($A1460,ordered_items!$B$2:$E$4784,4,0)</f>
        <v>260.64999999999998</v>
      </c>
      <c r="I1460" s="15">
        <f>VLOOKUP(F1460,product_info!$A$2:$D$73,4,0)</f>
        <v>9</v>
      </c>
      <c r="J1460" s="15" t="str">
        <f>VLOOKUP(I1460,department!$A$2:$B$13,2,0)</f>
        <v>Discs Shop</v>
      </c>
      <c r="K1460">
        <v>16258</v>
      </c>
      <c r="L1460" t="s">
        <v>146</v>
      </c>
      <c r="M1460" s="4">
        <v>44161</v>
      </c>
      <c r="N1460" s="12">
        <f t="shared" si="67"/>
        <v>11</v>
      </c>
      <c r="O1460" s="13">
        <f t="shared" si="68"/>
        <v>2020</v>
      </c>
      <c r="P1460" t="s">
        <v>13</v>
      </c>
      <c r="Q1460" t="s">
        <v>30</v>
      </c>
      <c r="R1460" t="s">
        <v>31</v>
      </c>
      <c r="S1460" t="str" cm="1">
        <f t="array" ref="S1460">_xlfn.IFS(R1460="COMPLETE", "COMPLETED", R1460="CANCELED", "CANCELED", TRUE, "PENDING")</f>
        <v>COMPLETED</v>
      </c>
      <c r="T1460" t="s">
        <v>16</v>
      </c>
      <c r="U1460">
        <f>VLOOKUP(A1460,ordered_items!$B:$E,4,0)</f>
        <v>260.64999999999998</v>
      </c>
    </row>
    <row r="1461" spans="1:21" x14ac:dyDescent="0.3">
      <c r="A1461">
        <v>72706</v>
      </c>
      <c r="B1461" t="s">
        <v>51</v>
      </c>
      <c r="C1461">
        <v>2</v>
      </c>
      <c r="D1461">
        <v>4</v>
      </c>
      <c r="E1461" t="str">
        <f t="shared" si="66"/>
        <v xml:space="preserve"> ONTIME</v>
      </c>
      <c r="F1461">
        <f>VLOOKUP($A1461,ordered_items!$B$2:$E$4784,2,0)</f>
        <v>1358</v>
      </c>
      <c r="G1461">
        <f>VLOOKUP($A1461,ordered_items!$B$2:$E$4784,3,0)</f>
        <v>1</v>
      </c>
      <c r="H1461">
        <f>VLOOKUP($A1461,ordered_items!$B$2:$E$4784,4,0)</f>
        <v>260.64999999999998</v>
      </c>
      <c r="I1461" s="15">
        <f>VLOOKUP(F1461,product_info!$A$2:$D$73,4,0)</f>
        <v>9</v>
      </c>
      <c r="J1461" s="15" t="str">
        <f>VLOOKUP(I1461,department!$A$2:$B$13,2,0)</f>
        <v>Discs Shop</v>
      </c>
      <c r="K1461">
        <v>16259</v>
      </c>
      <c r="L1461" t="s">
        <v>146</v>
      </c>
      <c r="M1461" s="4">
        <v>44161</v>
      </c>
      <c r="N1461" s="12">
        <f t="shared" si="67"/>
        <v>11</v>
      </c>
      <c r="O1461" s="13">
        <f t="shared" si="68"/>
        <v>2020</v>
      </c>
      <c r="P1461" t="s">
        <v>13</v>
      </c>
      <c r="Q1461" t="s">
        <v>30</v>
      </c>
      <c r="R1461" t="s">
        <v>57</v>
      </c>
      <c r="S1461" t="str" cm="1">
        <f t="array" ref="S1461">_xlfn.IFS(R1461="COMPLETE", "COMPLETED", R1461="CANCELED", "CANCELED", TRUE, "PENDING")</f>
        <v>PENDING</v>
      </c>
      <c r="T1461" t="s">
        <v>16</v>
      </c>
      <c r="U1461">
        <f>VLOOKUP(A1461,ordered_items!$B:$E,4,0)</f>
        <v>260.64999999999998</v>
      </c>
    </row>
    <row r="1462" spans="1:21" x14ac:dyDescent="0.3">
      <c r="A1462">
        <v>72707</v>
      </c>
      <c r="B1462" t="s">
        <v>24</v>
      </c>
      <c r="C1462">
        <v>3</v>
      </c>
      <c r="D1462">
        <v>4</v>
      </c>
      <c r="E1462" t="str">
        <f t="shared" si="66"/>
        <v xml:space="preserve"> ONTIME</v>
      </c>
      <c r="F1462">
        <f>VLOOKUP($A1462,ordered_items!$B$2:$E$4784,2,0)</f>
        <v>1358</v>
      </c>
      <c r="G1462">
        <f>VLOOKUP($A1462,ordered_items!$B$2:$E$4784,3,0)</f>
        <v>1</v>
      </c>
      <c r="H1462">
        <f>VLOOKUP($A1462,ordered_items!$B$2:$E$4784,4,0)</f>
        <v>260.64999999999998</v>
      </c>
      <c r="I1462" s="15">
        <f>VLOOKUP(F1462,product_info!$A$2:$D$73,4,0)</f>
        <v>9</v>
      </c>
      <c r="J1462" s="15" t="str">
        <f>VLOOKUP(I1462,department!$A$2:$B$13,2,0)</f>
        <v>Discs Shop</v>
      </c>
      <c r="K1462">
        <v>16260</v>
      </c>
      <c r="L1462" t="s">
        <v>146</v>
      </c>
      <c r="M1462" s="4">
        <v>44161</v>
      </c>
      <c r="N1462" s="12">
        <f t="shared" si="67"/>
        <v>11</v>
      </c>
      <c r="O1462" s="13">
        <f t="shared" si="68"/>
        <v>2020</v>
      </c>
      <c r="P1462" t="s">
        <v>13</v>
      </c>
      <c r="Q1462" t="s">
        <v>30</v>
      </c>
      <c r="R1462" t="s">
        <v>31</v>
      </c>
      <c r="S1462" t="str" cm="1">
        <f t="array" ref="S1462">_xlfn.IFS(R1462="COMPLETE", "COMPLETED", R1462="CANCELED", "CANCELED", TRUE, "PENDING")</f>
        <v>COMPLETED</v>
      </c>
      <c r="T1462" t="s">
        <v>16</v>
      </c>
      <c r="U1462">
        <f>VLOOKUP(A1462,ordered_items!$B:$E,4,0)</f>
        <v>260.64999999999998</v>
      </c>
    </row>
    <row r="1463" spans="1:21" x14ac:dyDescent="0.3">
      <c r="A1463">
        <v>72708</v>
      </c>
      <c r="B1463" t="s">
        <v>24</v>
      </c>
      <c r="C1463">
        <v>4</v>
      </c>
      <c r="D1463">
        <v>4</v>
      </c>
      <c r="E1463" t="str">
        <f t="shared" si="66"/>
        <v xml:space="preserve"> ONTIME</v>
      </c>
      <c r="F1463">
        <f>VLOOKUP($A1463,ordered_items!$B$2:$E$4784,2,0)</f>
        <v>1358</v>
      </c>
      <c r="G1463">
        <f>VLOOKUP($A1463,ordered_items!$B$2:$E$4784,3,0)</f>
        <v>1</v>
      </c>
      <c r="H1463">
        <f>VLOOKUP($A1463,ordered_items!$B$2:$E$4784,4,0)</f>
        <v>260.64999999999998</v>
      </c>
      <c r="I1463" s="15">
        <f>VLOOKUP(F1463,product_info!$A$2:$D$73,4,0)</f>
        <v>9</v>
      </c>
      <c r="J1463" s="15" t="str">
        <f>VLOOKUP(I1463,department!$A$2:$B$13,2,0)</f>
        <v>Discs Shop</v>
      </c>
      <c r="K1463">
        <v>16261</v>
      </c>
      <c r="L1463" t="s">
        <v>146</v>
      </c>
      <c r="M1463" s="4">
        <v>44161</v>
      </c>
      <c r="N1463" s="12">
        <f t="shared" si="67"/>
        <v>11</v>
      </c>
      <c r="O1463" s="13">
        <f t="shared" si="68"/>
        <v>2020</v>
      </c>
      <c r="P1463" t="s">
        <v>13</v>
      </c>
      <c r="Q1463" t="s">
        <v>30</v>
      </c>
      <c r="R1463" t="s">
        <v>31</v>
      </c>
      <c r="S1463" t="str" cm="1">
        <f t="array" ref="S1463">_xlfn.IFS(R1463="COMPLETE", "COMPLETED", R1463="CANCELED", "CANCELED", TRUE, "PENDING")</f>
        <v>COMPLETED</v>
      </c>
      <c r="T1463" t="s">
        <v>16</v>
      </c>
      <c r="U1463">
        <f>VLOOKUP(A1463,ordered_items!$B:$E,4,0)</f>
        <v>260.64999999999998</v>
      </c>
    </row>
    <row r="1464" spans="1:21" x14ac:dyDescent="0.3">
      <c r="A1464">
        <v>72709</v>
      </c>
      <c r="B1464" t="s">
        <v>51</v>
      </c>
      <c r="C1464">
        <v>5</v>
      </c>
      <c r="D1464">
        <v>4</v>
      </c>
      <c r="E1464" t="str">
        <f t="shared" si="66"/>
        <v>DELAYED</v>
      </c>
      <c r="F1464">
        <f>VLOOKUP($A1464,ordered_items!$B$2:$E$4784,2,0)</f>
        <v>1358</v>
      </c>
      <c r="G1464">
        <f>VLOOKUP($A1464,ordered_items!$B$2:$E$4784,3,0)</f>
        <v>1</v>
      </c>
      <c r="H1464">
        <f>VLOOKUP($A1464,ordered_items!$B$2:$E$4784,4,0)</f>
        <v>260.64999999999998</v>
      </c>
      <c r="I1464" s="15">
        <f>VLOOKUP(F1464,product_info!$A$2:$D$73,4,0)</f>
        <v>9</v>
      </c>
      <c r="J1464" s="15" t="str">
        <f>VLOOKUP(I1464,department!$A$2:$B$13,2,0)</f>
        <v>Discs Shop</v>
      </c>
      <c r="K1464">
        <v>16262</v>
      </c>
      <c r="L1464" t="s">
        <v>146</v>
      </c>
      <c r="M1464" s="4">
        <v>44161</v>
      </c>
      <c r="N1464" s="12">
        <f t="shared" si="67"/>
        <v>11</v>
      </c>
      <c r="O1464" s="13">
        <f t="shared" si="68"/>
        <v>2020</v>
      </c>
      <c r="P1464" t="s">
        <v>13</v>
      </c>
      <c r="Q1464" t="s">
        <v>30</v>
      </c>
      <c r="R1464" t="s">
        <v>57</v>
      </c>
      <c r="S1464" t="str" cm="1">
        <f t="array" ref="S1464">_xlfn.IFS(R1464="COMPLETE", "COMPLETED", R1464="CANCELED", "CANCELED", TRUE, "PENDING")</f>
        <v>PENDING</v>
      </c>
      <c r="T1464" t="s">
        <v>16</v>
      </c>
      <c r="U1464">
        <f>VLOOKUP(A1464,ordered_items!$B:$E,4,0)</f>
        <v>260.64999999999998</v>
      </c>
    </row>
    <row r="1465" spans="1:21" x14ac:dyDescent="0.3">
      <c r="A1465">
        <v>72710</v>
      </c>
      <c r="B1465" t="s">
        <v>3</v>
      </c>
      <c r="C1465">
        <v>6</v>
      </c>
      <c r="D1465">
        <v>4</v>
      </c>
      <c r="E1465" t="str">
        <f t="shared" si="66"/>
        <v>DELAYED</v>
      </c>
      <c r="F1465">
        <f>VLOOKUP($A1465,ordered_items!$B$2:$E$4784,2,0)</f>
        <v>1358</v>
      </c>
      <c r="G1465">
        <f>VLOOKUP($A1465,ordered_items!$B$2:$E$4784,3,0)</f>
        <v>1</v>
      </c>
      <c r="H1465">
        <f>VLOOKUP($A1465,ordered_items!$B$2:$E$4784,4,0)</f>
        <v>260.64999999999998</v>
      </c>
      <c r="I1465" s="15">
        <f>VLOOKUP(F1465,product_info!$A$2:$D$73,4,0)</f>
        <v>9</v>
      </c>
      <c r="J1465" s="15" t="str">
        <f>VLOOKUP(I1465,department!$A$2:$B$13,2,0)</f>
        <v>Discs Shop</v>
      </c>
      <c r="K1465">
        <v>16263</v>
      </c>
      <c r="L1465" t="s">
        <v>146</v>
      </c>
      <c r="M1465" s="4">
        <v>44161</v>
      </c>
      <c r="N1465" s="12">
        <f t="shared" si="67"/>
        <v>11</v>
      </c>
      <c r="O1465" s="13">
        <f t="shared" si="68"/>
        <v>2020</v>
      </c>
      <c r="P1465" t="s">
        <v>13</v>
      </c>
      <c r="Q1465" t="s">
        <v>30</v>
      </c>
      <c r="R1465" t="s">
        <v>14</v>
      </c>
      <c r="S1465" t="str" cm="1">
        <f t="array" ref="S1465">_xlfn.IFS(R1465="COMPLETE", "COMPLETED", R1465="CANCELED", "CANCELED", TRUE, "PENDING")</f>
        <v>PENDING</v>
      </c>
      <c r="T1465" t="s">
        <v>16</v>
      </c>
      <c r="U1465">
        <f>VLOOKUP(A1465,ordered_items!$B:$E,4,0)</f>
        <v>260.64999999999998</v>
      </c>
    </row>
    <row r="1466" spans="1:21" x14ac:dyDescent="0.3">
      <c r="A1466">
        <v>72711</v>
      </c>
      <c r="B1466" t="s">
        <v>3</v>
      </c>
      <c r="C1466">
        <v>2</v>
      </c>
      <c r="D1466">
        <v>4</v>
      </c>
      <c r="E1466" t="str">
        <f t="shared" si="66"/>
        <v xml:space="preserve"> ONTIME</v>
      </c>
      <c r="F1466">
        <f>VLOOKUP($A1466,ordered_items!$B$2:$E$4784,2,0)</f>
        <v>1358</v>
      </c>
      <c r="G1466">
        <f>VLOOKUP($A1466,ordered_items!$B$2:$E$4784,3,0)</f>
        <v>1</v>
      </c>
      <c r="H1466">
        <f>VLOOKUP($A1466,ordered_items!$B$2:$E$4784,4,0)</f>
        <v>260.64999999999998</v>
      </c>
      <c r="I1466" s="15">
        <f>VLOOKUP(F1466,product_info!$A$2:$D$73,4,0)</f>
        <v>9</v>
      </c>
      <c r="J1466" s="15" t="str">
        <f>VLOOKUP(I1466,department!$A$2:$B$13,2,0)</f>
        <v>Discs Shop</v>
      </c>
      <c r="K1466">
        <v>16264</v>
      </c>
      <c r="L1466" t="s">
        <v>146</v>
      </c>
      <c r="M1466" s="4">
        <v>44161</v>
      </c>
      <c r="N1466" s="12">
        <f t="shared" si="67"/>
        <v>11</v>
      </c>
      <c r="O1466" s="13">
        <f t="shared" si="68"/>
        <v>2020</v>
      </c>
      <c r="P1466" t="s">
        <v>13</v>
      </c>
      <c r="Q1466" t="s">
        <v>30</v>
      </c>
      <c r="R1466" t="s">
        <v>38</v>
      </c>
      <c r="S1466" t="str" cm="1">
        <f t="array" ref="S1466">_xlfn.IFS(R1466="COMPLETE", "COMPLETED", R1466="CANCELED", "CANCELED", TRUE, "PENDING")</f>
        <v>PENDING</v>
      </c>
      <c r="T1466" t="s">
        <v>16</v>
      </c>
      <c r="U1466">
        <f>VLOOKUP(A1466,ordered_items!$B:$E,4,0)</f>
        <v>260.64999999999998</v>
      </c>
    </row>
    <row r="1467" spans="1:21" x14ac:dyDescent="0.3">
      <c r="A1467">
        <v>72712</v>
      </c>
      <c r="B1467" t="s">
        <v>3</v>
      </c>
      <c r="C1467">
        <v>3</v>
      </c>
      <c r="D1467">
        <v>4</v>
      </c>
      <c r="E1467" t="str">
        <f t="shared" si="66"/>
        <v xml:space="preserve"> ONTIME</v>
      </c>
      <c r="F1467">
        <f>VLOOKUP($A1467,ordered_items!$B$2:$E$4784,2,0)</f>
        <v>1358</v>
      </c>
      <c r="G1467">
        <f>VLOOKUP($A1467,ordered_items!$B$2:$E$4784,3,0)</f>
        <v>1</v>
      </c>
      <c r="H1467">
        <f>VLOOKUP($A1467,ordered_items!$B$2:$E$4784,4,0)</f>
        <v>260.64999999999998</v>
      </c>
      <c r="I1467" s="15">
        <f>VLOOKUP(F1467,product_info!$A$2:$D$73,4,0)</f>
        <v>9</v>
      </c>
      <c r="J1467" s="15" t="str">
        <f>VLOOKUP(I1467,department!$A$2:$B$13,2,0)</f>
        <v>Discs Shop</v>
      </c>
      <c r="K1467">
        <v>16265</v>
      </c>
      <c r="L1467" t="s">
        <v>146</v>
      </c>
      <c r="M1467" s="4">
        <v>44161</v>
      </c>
      <c r="N1467" s="12">
        <f t="shared" si="67"/>
        <v>11</v>
      </c>
      <c r="O1467" s="13">
        <f t="shared" si="68"/>
        <v>2020</v>
      </c>
      <c r="P1467" t="s">
        <v>13</v>
      </c>
      <c r="Q1467" t="s">
        <v>30</v>
      </c>
      <c r="R1467" t="s">
        <v>38</v>
      </c>
      <c r="S1467" t="str" cm="1">
        <f t="array" ref="S1467">_xlfn.IFS(R1467="COMPLETE", "COMPLETED", R1467="CANCELED", "CANCELED", TRUE, "PENDING")</f>
        <v>PENDING</v>
      </c>
      <c r="T1467" t="s">
        <v>16</v>
      </c>
      <c r="U1467">
        <f>VLOOKUP(A1467,ordered_items!$B:$E,4,0)</f>
        <v>260.64999999999998</v>
      </c>
    </row>
    <row r="1468" spans="1:21" x14ac:dyDescent="0.3">
      <c r="A1468">
        <v>72758</v>
      </c>
      <c r="B1468" t="s">
        <v>24</v>
      </c>
      <c r="C1468">
        <v>4</v>
      </c>
      <c r="D1468">
        <v>4</v>
      </c>
      <c r="E1468" t="str">
        <f t="shared" si="66"/>
        <v xml:space="preserve"> ONTIME</v>
      </c>
      <c r="F1468">
        <f>VLOOKUP($A1468,ordered_items!$B$2:$E$4784,2,0)</f>
        <v>1358</v>
      </c>
      <c r="G1468">
        <f>VLOOKUP($A1468,ordered_items!$B$2:$E$4784,3,0)</f>
        <v>1</v>
      </c>
      <c r="H1468">
        <f>VLOOKUP($A1468,ordered_items!$B$2:$E$4784,4,0)</f>
        <v>260.64999999999998</v>
      </c>
      <c r="I1468" s="15">
        <f>VLOOKUP(F1468,product_info!$A$2:$D$73,4,0)</f>
        <v>9</v>
      </c>
      <c r="J1468" s="15" t="str">
        <f>VLOOKUP(I1468,department!$A$2:$B$13,2,0)</f>
        <v>Discs Shop</v>
      </c>
      <c r="K1468">
        <v>16311</v>
      </c>
      <c r="L1468" t="s">
        <v>1530</v>
      </c>
      <c r="M1468" s="4">
        <v>44162</v>
      </c>
      <c r="N1468" s="12">
        <f t="shared" si="67"/>
        <v>11</v>
      </c>
      <c r="O1468" s="13">
        <f t="shared" si="68"/>
        <v>2020</v>
      </c>
      <c r="P1468" t="s">
        <v>13</v>
      </c>
      <c r="Q1468" t="s">
        <v>99</v>
      </c>
      <c r="R1468" t="s">
        <v>378</v>
      </c>
      <c r="S1468" t="str" cm="1">
        <f t="array" ref="S1468">_xlfn.IFS(R1468="COMPLETE", "COMPLETED", R1468="CANCELED", "CANCELED", TRUE, "PENDING")</f>
        <v>PENDING</v>
      </c>
      <c r="T1468" t="s">
        <v>16</v>
      </c>
      <c r="U1468">
        <f>VLOOKUP(A1468,ordered_items!$B:$E,4,0)</f>
        <v>260.64999999999998</v>
      </c>
    </row>
    <row r="1469" spans="1:21" x14ac:dyDescent="0.3">
      <c r="A1469">
        <v>72759</v>
      </c>
      <c r="B1469" t="s">
        <v>17</v>
      </c>
      <c r="C1469">
        <v>5</v>
      </c>
      <c r="D1469">
        <v>4</v>
      </c>
      <c r="E1469" t="str">
        <f t="shared" si="66"/>
        <v>DELAYED</v>
      </c>
      <c r="F1469">
        <f>VLOOKUP($A1469,ordered_items!$B$2:$E$4784,2,0)</f>
        <v>1358</v>
      </c>
      <c r="G1469">
        <f>VLOOKUP($A1469,ordered_items!$B$2:$E$4784,3,0)</f>
        <v>1</v>
      </c>
      <c r="H1469">
        <f>VLOOKUP($A1469,ordered_items!$B$2:$E$4784,4,0)</f>
        <v>260.64999999999998</v>
      </c>
      <c r="I1469" s="15">
        <f>VLOOKUP(F1469,product_info!$A$2:$D$73,4,0)</f>
        <v>9</v>
      </c>
      <c r="J1469" s="15" t="str">
        <f>VLOOKUP(I1469,department!$A$2:$B$13,2,0)</f>
        <v>Discs Shop</v>
      </c>
      <c r="K1469">
        <v>16312</v>
      </c>
      <c r="L1469" t="s">
        <v>1530</v>
      </c>
      <c r="M1469" s="4">
        <v>44162</v>
      </c>
      <c r="N1469" s="12">
        <f t="shared" si="67"/>
        <v>11</v>
      </c>
      <c r="O1469" s="13">
        <f t="shared" si="68"/>
        <v>2020</v>
      </c>
      <c r="P1469" t="s">
        <v>13</v>
      </c>
      <c r="Q1469" t="s">
        <v>99</v>
      </c>
      <c r="R1469" t="s">
        <v>23</v>
      </c>
      <c r="S1469" t="str" cm="1">
        <f t="array" ref="S1469">_xlfn.IFS(R1469="COMPLETE", "COMPLETED", R1469="CANCELED", "CANCELED", TRUE, "PENDING")</f>
        <v>PENDING</v>
      </c>
      <c r="T1469" t="s">
        <v>16</v>
      </c>
      <c r="U1469">
        <f>VLOOKUP(A1469,ordered_items!$B:$E,4,0)</f>
        <v>260.64999999999998</v>
      </c>
    </row>
    <row r="1470" spans="1:21" x14ac:dyDescent="0.3">
      <c r="A1470">
        <v>72790</v>
      </c>
      <c r="B1470" t="s">
        <v>51</v>
      </c>
      <c r="C1470">
        <v>6</v>
      </c>
      <c r="D1470">
        <v>2</v>
      </c>
      <c r="E1470" t="str">
        <f t="shared" si="66"/>
        <v>DELAYED</v>
      </c>
      <c r="F1470">
        <f>VLOOKUP($A1470,ordered_items!$B$2:$E$4784,2,0)</f>
        <v>1358</v>
      </c>
      <c r="G1470">
        <f>VLOOKUP($A1470,ordered_items!$B$2:$E$4784,3,0)</f>
        <v>1</v>
      </c>
      <c r="H1470">
        <f>VLOOKUP($A1470,ordered_items!$B$2:$E$4784,4,0)</f>
        <v>260.64999999999998</v>
      </c>
      <c r="I1470" s="15">
        <f>VLOOKUP(F1470,product_info!$A$2:$D$73,4,0)</f>
        <v>9</v>
      </c>
      <c r="J1470" s="15" t="str">
        <f>VLOOKUP(I1470,department!$A$2:$B$13,2,0)</f>
        <v>Discs Shop</v>
      </c>
      <c r="K1470">
        <v>16343</v>
      </c>
      <c r="L1470" t="s">
        <v>1606</v>
      </c>
      <c r="M1470" s="4">
        <v>44162</v>
      </c>
      <c r="N1470" s="12">
        <f t="shared" si="67"/>
        <v>11</v>
      </c>
      <c r="O1470" s="13">
        <f t="shared" si="68"/>
        <v>2020</v>
      </c>
      <c r="P1470" t="s">
        <v>13</v>
      </c>
      <c r="Q1470" t="s">
        <v>420</v>
      </c>
      <c r="R1470" t="s">
        <v>57</v>
      </c>
      <c r="S1470" t="str" cm="1">
        <f t="array" ref="S1470">_xlfn.IFS(R1470="COMPLETE", "COMPLETED", R1470="CANCELED", "CANCELED", TRUE, "PENDING")</f>
        <v>PENDING</v>
      </c>
      <c r="T1470" t="s">
        <v>90</v>
      </c>
      <c r="U1470">
        <f>VLOOKUP(A1470,ordered_items!$B:$E,4,0)</f>
        <v>260.64999999999998</v>
      </c>
    </row>
    <row r="1471" spans="1:21" x14ac:dyDescent="0.3">
      <c r="A1471">
        <v>72794</v>
      </c>
      <c r="B1471" t="s">
        <v>24</v>
      </c>
      <c r="C1471">
        <v>5</v>
      </c>
      <c r="D1471">
        <v>2</v>
      </c>
      <c r="E1471" t="str">
        <f t="shared" si="66"/>
        <v>DELAYED</v>
      </c>
      <c r="F1471">
        <f>VLOOKUP($A1471,ordered_items!$B$2:$E$4784,2,0)</f>
        <v>1358</v>
      </c>
      <c r="G1471">
        <f>VLOOKUP($A1471,ordered_items!$B$2:$E$4784,3,0)</f>
        <v>1</v>
      </c>
      <c r="H1471">
        <f>VLOOKUP($A1471,ordered_items!$B$2:$E$4784,4,0)</f>
        <v>260.64999999999998</v>
      </c>
      <c r="I1471" s="15">
        <f>VLOOKUP(F1471,product_info!$A$2:$D$73,4,0)</f>
        <v>9</v>
      </c>
      <c r="J1471" s="15" t="str">
        <f>VLOOKUP(I1471,department!$A$2:$B$13,2,0)</f>
        <v>Discs Shop</v>
      </c>
      <c r="K1471">
        <v>16347</v>
      </c>
      <c r="L1471" t="s">
        <v>430</v>
      </c>
      <c r="M1471" s="4">
        <v>44162</v>
      </c>
      <c r="N1471" s="12">
        <f t="shared" si="67"/>
        <v>11</v>
      </c>
      <c r="O1471" s="13">
        <f t="shared" si="68"/>
        <v>2020</v>
      </c>
      <c r="P1471" t="s">
        <v>13</v>
      </c>
      <c r="Q1471" t="s">
        <v>431</v>
      </c>
      <c r="R1471" t="s">
        <v>31</v>
      </c>
      <c r="S1471" t="str" cm="1">
        <f t="array" ref="S1471">_xlfn.IFS(R1471="COMPLETE", "COMPLETED", R1471="CANCELED", "CANCELED", TRUE, "PENDING")</f>
        <v>COMPLETED</v>
      </c>
      <c r="T1471" t="s">
        <v>90</v>
      </c>
      <c r="U1471">
        <f>VLOOKUP(A1471,ordered_items!$B:$E,4,0)</f>
        <v>260.64999999999998</v>
      </c>
    </row>
    <row r="1472" spans="1:21" x14ac:dyDescent="0.3">
      <c r="A1472">
        <v>72795</v>
      </c>
      <c r="B1472" t="s">
        <v>24</v>
      </c>
      <c r="C1472">
        <v>2</v>
      </c>
      <c r="D1472">
        <v>1</v>
      </c>
      <c r="E1472" t="str">
        <f t="shared" si="66"/>
        <v>DELAYED</v>
      </c>
      <c r="F1472">
        <f>VLOOKUP($A1472,ordered_items!$B$2:$E$4784,2,0)</f>
        <v>1358</v>
      </c>
      <c r="G1472">
        <f>VLOOKUP($A1472,ordered_items!$B$2:$E$4784,3,0)</f>
        <v>1</v>
      </c>
      <c r="H1472">
        <f>VLOOKUP($A1472,ordered_items!$B$2:$E$4784,4,0)</f>
        <v>260.64999999999998</v>
      </c>
      <c r="I1472" s="15">
        <f>VLOOKUP(F1472,product_info!$A$2:$D$73,4,0)</f>
        <v>9</v>
      </c>
      <c r="J1472" s="15" t="str">
        <f>VLOOKUP(I1472,department!$A$2:$B$13,2,0)</f>
        <v>Discs Shop</v>
      </c>
      <c r="K1472">
        <v>16348</v>
      </c>
      <c r="L1472" t="s">
        <v>430</v>
      </c>
      <c r="M1472" s="4">
        <v>44162</v>
      </c>
      <c r="N1472" s="12">
        <f t="shared" si="67"/>
        <v>11</v>
      </c>
      <c r="O1472" s="13">
        <f t="shared" si="68"/>
        <v>2020</v>
      </c>
      <c r="P1472" t="s">
        <v>13</v>
      </c>
      <c r="Q1472" t="s">
        <v>431</v>
      </c>
      <c r="R1472" t="s">
        <v>31</v>
      </c>
      <c r="S1472" t="str" cm="1">
        <f t="array" ref="S1472">_xlfn.IFS(R1472="COMPLETE", "COMPLETED", R1472="CANCELED", "CANCELED", TRUE, "PENDING")</f>
        <v>COMPLETED</v>
      </c>
      <c r="T1472" t="s">
        <v>32</v>
      </c>
      <c r="U1472">
        <f>VLOOKUP(A1472,ordered_items!$B:$E,4,0)</f>
        <v>260.64999999999998</v>
      </c>
    </row>
    <row r="1473" spans="1:21" x14ac:dyDescent="0.3">
      <c r="A1473">
        <v>72796</v>
      </c>
      <c r="B1473" t="s">
        <v>17</v>
      </c>
      <c r="C1473">
        <v>2</v>
      </c>
      <c r="D1473">
        <v>2</v>
      </c>
      <c r="E1473" t="str">
        <f t="shared" si="66"/>
        <v xml:space="preserve"> ONTIME</v>
      </c>
      <c r="F1473">
        <f>VLOOKUP($A1473,ordered_items!$B$2:$E$4784,2,0)</f>
        <v>1358</v>
      </c>
      <c r="G1473">
        <f>VLOOKUP($A1473,ordered_items!$B$2:$E$4784,3,0)</f>
        <v>1</v>
      </c>
      <c r="H1473">
        <f>VLOOKUP($A1473,ordered_items!$B$2:$E$4784,4,0)</f>
        <v>260.64999999999998</v>
      </c>
      <c r="I1473" s="15">
        <f>VLOOKUP(F1473,product_info!$A$2:$D$73,4,0)</f>
        <v>9</v>
      </c>
      <c r="J1473" s="15" t="str">
        <f>VLOOKUP(I1473,department!$A$2:$B$13,2,0)</f>
        <v>Discs Shop</v>
      </c>
      <c r="K1473">
        <v>16349</v>
      </c>
      <c r="L1473" t="s">
        <v>430</v>
      </c>
      <c r="M1473" s="4">
        <v>44162</v>
      </c>
      <c r="N1473" s="12">
        <f t="shared" si="67"/>
        <v>11</v>
      </c>
      <c r="O1473" s="13">
        <f t="shared" si="68"/>
        <v>2020</v>
      </c>
      <c r="P1473" t="s">
        <v>13</v>
      </c>
      <c r="Q1473" t="s">
        <v>431</v>
      </c>
      <c r="R1473" t="s">
        <v>23</v>
      </c>
      <c r="S1473" t="str" cm="1">
        <f t="array" ref="S1473">_xlfn.IFS(R1473="COMPLETE", "COMPLETED", R1473="CANCELED", "CANCELED", TRUE, "PENDING")</f>
        <v>PENDING</v>
      </c>
      <c r="T1473" t="s">
        <v>90</v>
      </c>
      <c r="U1473">
        <f>VLOOKUP(A1473,ordered_items!$B:$E,4,0)</f>
        <v>260.64999999999998</v>
      </c>
    </row>
    <row r="1474" spans="1:21" x14ac:dyDescent="0.3">
      <c r="A1474">
        <v>72799</v>
      </c>
      <c r="B1474" t="s">
        <v>3</v>
      </c>
      <c r="C1474">
        <v>2</v>
      </c>
      <c r="D1474">
        <v>1</v>
      </c>
      <c r="E1474" t="str">
        <f t="shared" si="66"/>
        <v>DELAYED</v>
      </c>
      <c r="F1474">
        <f>VLOOKUP($A1474,ordered_items!$B$2:$E$4784,2,0)</f>
        <v>1358</v>
      </c>
      <c r="G1474">
        <f>VLOOKUP($A1474,ordered_items!$B$2:$E$4784,3,0)</f>
        <v>1</v>
      </c>
      <c r="H1474">
        <f>VLOOKUP($A1474,ordered_items!$B$2:$E$4784,4,0)</f>
        <v>260.64999999999998</v>
      </c>
      <c r="I1474" s="15">
        <f>VLOOKUP(F1474,product_info!$A$2:$D$73,4,0)</f>
        <v>9</v>
      </c>
      <c r="J1474" s="15" t="str">
        <f>VLOOKUP(I1474,department!$A$2:$B$13,2,0)</f>
        <v>Discs Shop</v>
      </c>
      <c r="K1474">
        <v>16352</v>
      </c>
      <c r="L1474" t="s">
        <v>867</v>
      </c>
      <c r="M1474" s="4">
        <v>44162</v>
      </c>
      <c r="N1474" s="12">
        <f t="shared" si="67"/>
        <v>11</v>
      </c>
      <c r="O1474" s="13">
        <f t="shared" si="68"/>
        <v>2020</v>
      </c>
      <c r="P1474" t="s">
        <v>13</v>
      </c>
      <c r="Q1474" t="s">
        <v>5781</v>
      </c>
      <c r="R1474" t="s">
        <v>38</v>
      </c>
      <c r="S1474" t="str" cm="1">
        <f t="array" ref="S1474">_xlfn.IFS(R1474="COMPLETE", "COMPLETED", R1474="CANCELED", "CANCELED", TRUE, "PENDING")</f>
        <v>PENDING</v>
      </c>
      <c r="T1474" t="s">
        <v>32</v>
      </c>
      <c r="U1474">
        <f>VLOOKUP(A1474,ordered_items!$B:$E,4,0)</f>
        <v>260.64999999999998</v>
      </c>
    </row>
    <row r="1475" spans="1:21" x14ac:dyDescent="0.3">
      <c r="A1475">
        <v>72800</v>
      </c>
      <c r="B1475" t="s">
        <v>24</v>
      </c>
      <c r="C1475">
        <v>2</v>
      </c>
      <c r="D1475">
        <v>1</v>
      </c>
      <c r="E1475" t="str">
        <f t="shared" ref="E1475:E1538" si="69">IF(C1475-D1475&gt;0,"DELAYED"," ONTIME")</f>
        <v>DELAYED</v>
      </c>
      <c r="F1475">
        <f>VLOOKUP($A1475,ordered_items!$B$2:$E$4784,2,0)</f>
        <v>1358</v>
      </c>
      <c r="G1475">
        <f>VLOOKUP($A1475,ordered_items!$B$2:$E$4784,3,0)</f>
        <v>1</v>
      </c>
      <c r="H1475">
        <f>VLOOKUP($A1475,ordered_items!$B$2:$E$4784,4,0)</f>
        <v>260.64999999999998</v>
      </c>
      <c r="I1475" s="15">
        <f>VLOOKUP(F1475,product_info!$A$2:$D$73,4,0)</f>
        <v>9</v>
      </c>
      <c r="J1475" s="15" t="str">
        <f>VLOOKUP(I1475,department!$A$2:$B$13,2,0)</f>
        <v>Discs Shop</v>
      </c>
      <c r="K1475">
        <v>16353</v>
      </c>
      <c r="L1475" t="s">
        <v>867</v>
      </c>
      <c r="M1475" s="4">
        <v>44162</v>
      </c>
      <c r="N1475" s="12">
        <f t="shared" ref="N1475:N1538" si="70">MONTH(M1475)</f>
        <v>11</v>
      </c>
      <c r="O1475" s="13">
        <f t="shared" ref="O1475:O1538" si="71">YEAR(M1475)</f>
        <v>2020</v>
      </c>
      <c r="P1475" t="s">
        <v>13</v>
      </c>
      <c r="Q1475" t="s">
        <v>5781</v>
      </c>
      <c r="R1475" t="s">
        <v>31</v>
      </c>
      <c r="S1475" t="str" cm="1">
        <f t="array" ref="S1475">_xlfn.IFS(R1475="COMPLETE", "COMPLETED", R1475="CANCELED", "CANCELED", TRUE, "PENDING")</f>
        <v>COMPLETED</v>
      </c>
      <c r="T1475" t="s">
        <v>32</v>
      </c>
      <c r="U1475">
        <f>VLOOKUP(A1475,ordered_items!$B:$E,4,0)</f>
        <v>260.64999999999998</v>
      </c>
    </row>
    <row r="1476" spans="1:21" x14ac:dyDescent="0.3">
      <c r="A1476">
        <v>72801</v>
      </c>
      <c r="B1476" t="s">
        <v>51</v>
      </c>
      <c r="C1476">
        <v>2</v>
      </c>
      <c r="D1476">
        <v>4</v>
      </c>
      <c r="E1476" t="str">
        <f t="shared" si="69"/>
        <v xml:space="preserve"> ONTIME</v>
      </c>
      <c r="F1476">
        <f>VLOOKUP($A1476,ordered_items!$B$2:$E$4784,2,0)</f>
        <v>1358</v>
      </c>
      <c r="G1476">
        <f>VLOOKUP($A1476,ordered_items!$B$2:$E$4784,3,0)</f>
        <v>1</v>
      </c>
      <c r="H1476">
        <f>VLOOKUP($A1476,ordered_items!$B$2:$E$4784,4,0)</f>
        <v>260.64999999999998</v>
      </c>
      <c r="I1476" s="15">
        <f>VLOOKUP(F1476,product_info!$A$2:$D$73,4,0)</f>
        <v>9</v>
      </c>
      <c r="J1476" s="15" t="str">
        <f>VLOOKUP(I1476,department!$A$2:$B$13,2,0)</f>
        <v>Discs Shop</v>
      </c>
      <c r="K1476">
        <v>16354</v>
      </c>
      <c r="L1476" t="s">
        <v>867</v>
      </c>
      <c r="M1476" s="4">
        <v>44162</v>
      </c>
      <c r="N1476" s="12">
        <f t="shared" si="70"/>
        <v>11</v>
      </c>
      <c r="O1476" s="13">
        <f t="shared" si="71"/>
        <v>2020</v>
      </c>
      <c r="P1476" t="s">
        <v>13</v>
      </c>
      <c r="Q1476" t="s">
        <v>5781</v>
      </c>
      <c r="R1476" t="s">
        <v>57</v>
      </c>
      <c r="S1476" t="str" cm="1">
        <f t="array" ref="S1476">_xlfn.IFS(R1476="COMPLETE", "COMPLETED", R1476="CANCELED", "CANCELED", TRUE, "PENDING")</f>
        <v>PENDING</v>
      </c>
      <c r="T1476" t="s">
        <v>16</v>
      </c>
      <c r="U1476">
        <f>VLOOKUP(A1476,ordered_items!$B:$E,4,0)</f>
        <v>260.64999999999998</v>
      </c>
    </row>
    <row r="1477" spans="1:21" x14ac:dyDescent="0.3">
      <c r="A1477">
        <v>72803</v>
      </c>
      <c r="B1477" t="s">
        <v>24</v>
      </c>
      <c r="C1477">
        <v>4</v>
      </c>
      <c r="D1477">
        <v>4</v>
      </c>
      <c r="E1477" t="str">
        <f t="shared" si="69"/>
        <v xml:space="preserve"> ONTIME</v>
      </c>
      <c r="F1477">
        <f>VLOOKUP($A1477,ordered_items!$B$2:$E$4784,2,0)</f>
        <v>1358</v>
      </c>
      <c r="G1477">
        <f>VLOOKUP($A1477,ordered_items!$B$2:$E$4784,3,0)</f>
        <v>1</v>
      </c>
      <c r="H1477">
        <f>VLOOKUP($A1477,ordered_items!$B$2:$E$4784,4,0)</f>
        <v>260.64999999999998</v>
      </c>
      <c r="I1477" s="15">
        <f>VLOOKUP(F1477,product_info!$A$2:$D$73,4,0)</f>
        <v>9</v>
      </c>
      <c r="J1477" s="15" t="str">
        <f>VLOOKUP(I1477,department!$A$2:$B$13,2,0)</f>
        <v>Discs Shop</v>
      </c>
      <c r="K1477">
        <v>16356</v>
      </c>
      <c r="L1477" t="s">
        <v>870</v>
      </c>
      <c r="M1477" s="4">
        <v>44162</v>
      </c>
      <c r="N1477" s="12">
        <f t="shared" si="70"/>
        <v>11</v>
      </c>
      <c r="O1477" s="13">
        <f t="shared" si="71"/>
        <v>2020</v>
      </c>
      <c r="P1477" t="s">
        <v>13</v>
      </c>
      <c r="Q1477" t="s">
        <v>5778</v>
      </c>
      <c r="R1477" t="s">
        <v>31</v>
      </c>
      <c r="S1477" t="str" cm="1">
        <f t="array" ref="S1477">_xlfn.IFS(R1477="COMPLETE", "COMPLETED", R1477="CANCELED", "CANCELED", TRUE, "PENDING")</f>
        <v>COMPLETED</v>
      </c>
      <c r="T1477" t="s">
        <v>16</v>
      </c>
      <c r="U1477">
        <f>VLOOKUP(A1477,ordered_items!$B:$E,4,0)</f>
        <v>260.64999999999998</v>
      </c>
    </row>
    <row r="1478" spans="1:21" x14ac:dyDescent="0.3">
      <c r="A1478">
        <v>72804</v>
      </c>
      <c r="B1478" t="s">
        <v>24</v>
      </c>
      <c r="C1478">
        <v>5</v>
      </c>
      <c r="D1478">
        <v>4</v>
      </c>
      <c r="E1478" t="str">
        <f t="shared" si="69"/>
        <v>DELAYED</v>
      </c>
      <c r="F1478">
        <f>VLOOKUP($A1478,ordered_items!$B$2:$E$4784,2,0)</f>
        <v>1358</v>
      </c>
      <c r="G1478">
        <f>VLOOKUP($A1478,ordered_items!$B$2:$E$4784,3,0)</f>
        <v>1</v>
      </c>
      <c r="H1478">
        <f>VLOOKUP($A1478,ordered_items!$B$2:$E$4784,4,0)</f>
        <v>260.64999999999998</v>
      </c>
      <c r="I1478" s="15">
        <f>VLOOKUP(F1478,product_info!$A$2:$D$73,4,0)</f>
        <v>9</v>
      </c>
      <c r="J1478" s="15" t="str">
        <f>VLOOKUP(I1478,department!$A$2:$B$13,2,0)</f>
        <v>Discs Shop</v>
      </c>
      <c r="K1478">
        <v>16357</v>
      </c>
      <c r="L1478" t="s">
        <v>870</v>
      </c>
      <c r="M1478" s="4">
        <v>44162</v>
      </c>
      <c r="N1478" s="12">
        <f t="shared" si="70"/>
        <v>11</v>
      </c>
      <c r="O1478" s="13">
        <f t="shared" si="71"/>
        <v>2020</v>
      </c>
      <c r="P1478" t="s">
        <v>13</v>
      </c>
      <c r="Q1478" t="s">
        <v>5778</v>
      </c>
      <c r="R1478" t="s">
        <v>31</v>
      </c>
      <c r="S1478" t="str" cm="1">
        <f t="array" ref="S1478">_xlfn.IFS(R1478="COMPLETE", "COMPLETED", R1478="CANCELED", "CANCELED", TRUE, "PENDING")</f>
        <v>COMPLETED</v>
      </c>
      <c r="T1478" t="s">
        <v>16</v>
      </c>
      <c r="U1478">
        <f>VLOOKUP(A1478,ordered_items!$B:$E,4,0)</f>
        <v>260.64999999999998</v>
      </c>
    </row>
    <row r="1479" spans="1:21" x14ac:dyDescent="0.3">
      <c r="A1479">
        <v>72847</v>
      </c>
      <c r="B1479" t="s">
        <v>3</v>
      </c>
      <c r="C1479">
        <v>3</v>
      </c>
      <c r="D1479">
        <v>4</v>
      </c>
      <c r="E1479" t="str">
        <f t="shared" si="69"/>
        <v xml:space="preserve"> ONTIME</v>
      </c>
      <c r="F1479">
        <f>VLOOKUP($A1479,ordered_items!$B$2:$E$4784,2,0)</f>
        <v>1359</v>
      </c>
      <c r="G1479">
        <f>VLOOKUP($A1479,ordered_items!$B$2:$E$4784,3,0)</f>
        <v>1</v>
      </c>
      <c r="H1479">
        <f>VLOOKUP($A1479,ordered_items!$B$2:$E$4784,4,0)</f>
        <v>84.4</v>
      </c>
      <c r="I1479" s="15">
        <f>VLOOKUP(F1479,product_info!$A$2:$D$73,4,0)</f>
        <v>11</v>
      </c>
      <c r="J1479" s="15" t="str">
        <f>VLOOKUP(I1479,department!$A$2:$B$13,2,0)</f>
        <v>Pet Shop</v>
      </c>
      <c r="K1479">
        <v>16400</v>
      </c>
      <c r="L1479" t="s">
        <v>867</v>
      </c>
      <c r="M1479" s="4">
        <v>44163</v>
      </c>
      <c r="N1479" s="12">
        <f t="shared" si="70"/>
        <v>11</v>
      </c>
      <c r="O1479" s="13">
        <f t="shared" si="71"/>
        <v>2020</v>
      </c>
      <c r="P1479" t="s">
        <v>13</v>
      </c>
      <c r="Q1479" t="s">
        <v>5778</v>
      </c>
      <c r="R1479" t="s">
        <v>14</v>
      </c>
      <c r="S1479" t="str" cm="1">
        <f t="array" ref="S1479">_xlfn.IFS(R1479="COMPLETE", "COMPLETED", R1479="CANCELED", "CANCELED", TRUE, "PENDING")</f>
        <v>PENDING</v>
      </c>
      <c r="T1479" t="s">
        <v>16</v>
      </c>
      <c r="U1479">
        <f>VLOOKUP(A1479,ordered_items!$B:$E,4,0)</f>
        <v>84.4</v>
      </c>
    </row>
    <row r="1480" spans="1:21" x14ac:dyDescent="0.3">
      <c r="A1480">
        <v>72848</v>
      </c>
      <c r="B1480" t="s">
        <v>51</v>
      </c>
      <c r="C1480">
        <v>4</v>
      </c>
      <c r="D1480">
        <v>4</v>
      </c>
      <c r="E1480" t="str">
        <f t="shared" si="69"/>
        <v xml:space="preserve"> ONTIME</v>
      </c>
      <c r="F1480">
        <f>VLOOKUP($A1480,ordered_items!$B$2:$E$4784,2,0)</f>
        <v>1359</v>
      </c>
      <c r="G1480">
        <f>VLOOKUP($A1480,ordered_items!$B$2:$E$4784,3,0)</f>
        <v>1</v>
      </c>
      <c r="H1480">
        <f>VLOOKUP($A1480,ordered_items!$B$2:$E$4784,4,0)</f>
        <v>84.4</v>
      </c>
      <c r="I1480" s="15">
        <f>VLOOKUP(F1480,product_info!$A$2:$D$73,4,0)</f>
        <v>11</v>
      </c>
      <c r="J1480" s="15" t="str">
        <f>VLOOKUP(I1480,department!$A$2:$B$13,2,0)</f>
        <v>Pet Shop</v>
      </c>
      <c r="K1480">
        <v>16401</v>
      </c>
      <c r="L1480" t="s">
        <v>376</v>
      </c>
      <c r="M1480" s="4">
        <v>44163</v>
      </c>
      <c r="N1480" s="12">
        <f t="shared" si="70"/>
        <v>11</v>
      </c>
      <c r="O1480" s="13">
        <f t="shared" si="71"/>
        <v>2020</v>
      </c>
      <c r="P1480" t="s">
        <v>13</v>
      </c>
      <c r="Q1480" t="s">
        <v>377</v>
      </c>
      <c r="R1480" t="s">
        <v>57</v>
      </c>
      <c r="S1480" t="str" cm="1">
        <f t="array" ref="S1480">_xlfn.IFS(R1480="COMPLETE", "COMPLETED", R1480="CANCELED", "CANCELED", TRUE, "PENDING")</f>
        <v>PENDING</v>
      </c>
      <c r="T1480" t="s">
        <v>16</v>
      </c>
      <c r="U1480">
        <f>VLOOKUP(A1480,ordered_items!$B:$E,4,0)</f>
        <v>84.4</v>
      </c>
    </row>
    <row r="1481" spans="1:21" x14ac:dyDescent="0.3">
      <c r="A1481">
        <v>72868</v>
      </c>
      <c r="B1481" t="s">
        <v>3</v>
      </c>
      <c r="C1481">
        <v>4</v>
      </c>
      <c r="D1481">
        <v>4</v>
      </c>
      <c r="E1481" t="str">
        <f t="shared" si="69"/>
        <v xml:space="preserve"> ONTIME</v>
      </c>
      <c r="F1481">
        <f>VLOOKUP($A1481,ordered_items!$B$2:$E$4784,2,0)</f>
        <v>1359</v>
      </c>
      <c r="G1481">
        <f>VLOOKUP($A1481,ordered_items!$B$2:$E$4784,3,0)</f>
        <v>1</v>
      </c>
      <c r="H1481">
        <f>VLOOKUP($A1481,ordered_items!$B$2:$E$4784,4,0)</f>
        <v>84.4</v>
      </c>
      <c r="I1481" s="15">
        <f>VLOOKUP(F1481,product_info!$A$2:$D$73,4,0)</f>
        <v>11</v>
      </c>
      <c r="J1481" s="15" t="str">
        <f>VLOOKUP(I1481,department!$A$2:$B$13,2,0)</f>
        <v>Pet Shop</v>
      </c>
      <c r="K1481">
        <v>16421</v>
      </c>
      <c r="L1481" t="s">
        <v>214</v>
      </c>
      <c r="M1481" s="4">
        <v>44163</v>
      </c>
      <c r="N1481" s="12">
        <f t="shared" si="70"/>
        <v>11</v>
      </c>
      <c r="O1481" s="13">
        <f t="shared" si="71"/>
        <v>2020</v>
      </c>
      <c r="P1481" t="s">
        <v>13</v>
      </c>
      <c r="Q1481" t="s">
        <v>5781</v>
      </c>
      <c r="R1481" t="s">
        <v>14</v>
      </c>
      <c r="S1481" t="str" cm="1">
        <f t="array" ref="S1481">_xlfn.IFS(R1481="COMPLETE", "COMPLETED", R1481="CANCELED", "CANCELED", TRUE, "PENDING")</f>
        <v>PENDING</v>
      </c>
      <c r="T1481" t="s">
        <v>16</v>
      </c>
      <c r="U1481">
        <f>VLOOKUP(A1481,ordered_items!$B:$E,4,0)</f>
        <v>84.4</v>
      </c>
    </row>
    <row r="1482" spans="1:21" x14ac:dyDescent="0.3">
      <c r="A1482">
        <v>72869</v>
      </c>
      <c r="B1482" t="s">
        <v>51</v>
      </c>
      <c r="C1482">
        <v>5</v>
      </c>
      <c r="D1482">
        <v>4</v>
      </c>
      <c r="E1482" t="str">
        <f t="shared" si="69"/>
        <v>DELAYED</v>
      </c>
      <c r="F1482">
        <f>VLOOKUP($A1482,ordered_items!$B$2:$E$4784,2,0)</f>
        <v>1359</v>
      </c>
      <c r="G1482">
        <f>VLOOKUP($A1482,ordered_items!$B$2:$E$4784,3,0)</f>
        <v>1</v>
      </c>
      <c r="H1482">
        <f>VLOOKUP($A1482,ordered_items!$B$2:$E$4784,4,0)</f>
        <v>84.4</v>
      </c>
      <c r="I1482" s="15">
        <f>VLOOKUP(F1482,product_info!$A$2:$D$73,4,0)</f>
        <v>11</v>
      </c>
      <c r="J1482" s="15" t="str">
        <f>VLOOKUP(I1482,department!$A$2:$B$13,2,0)</f>
        <v>Pet Shop</v>
      </c>
      <c r="K1482">
        <v>16422</v>
      </c>
      <c r="L1482" t="s">
        <v>214</v>
      </c>
      <c r="M1482" s="4">
        <v>44163</v>
      </c>
      <c r="N1482" s="12">
        <f t="shared" si="70"/>
        <v>11</v>
      </c>
      <c r="O1482" s="13">
        <f t="shared" si="71"/>
        <v>2020</v>
      </c>
      <c r="P1482" t="s">
        <v>13</v>
      </c>
      <c r="Q1482" t="s">
        <v>5781</v>
      </c>
      <c r="R1482" t="s">
        <v>57</v>
      </c>
      <c r="S1482" t="str" cm="1">
        <f t="array" ref="S1482">_xlfn.IFS(R1482="COMPLETE", "COMPLETED", R1482="CANCELED", "CANCELED", TRUE, "PENDING")</f>
        <v>PENDING</v>
      </c>
      <c r="T1482" t="s">
        <v>16</v>
      </c>
      <c r="U1482">
        <f>VLOOKUP(A1482,ordered_items!$B:$E,4,0)</f>
        <v>84.4</v>
      </c>
    </row>
    <row r="1483" spans="1:21" x14ac:dyDescent="0.3">
      <c r="A1483">
        <v>72891</v>
      </c>
      <c r="B1483" t="s">
        <v>17</v>
      </c>
      <c r="C1483">
        <v>2</v>
      </c>
      <c r="D1483">
        <v>1</v>
      </c>
      <c r="E1483" t="str">
        <f t="shared" si="69"/>
        <v>DELAYED</v>
      </c>
      <c r="F1483">
        <f>VLOOKUP($A1483,ordered_items!$B$2:$E$4784,2,0)</f>
        <v>1359</v>
      </c>
      <c r="G1483">
        <f>VLOOKUP($A1483,ordered_items!$B$2:$E$4784,3,0)</f>
        <v>1</v>
      </c>
      <c r="H1483">
        <f>VLOOKUP($A1483,ordered_items!$B$2:$E$4784,4,0)</f>
        <v>84.4</v>
      </c>
      <c r="I1483" s="15">
        <f>VLOOKUP(F1483,product_info!$A$2:$D$73,4,0)</f>
        <v>11</v>
      </c>
      <c r="J1483" s="15" t="str">
        <f>VLOOKUP(I1483,department!$A$2:$B$13,2,0)</f>
        <v>Pet Shop</v>
      </c>
      <c r="K1483">
        <v>16444</v>
      </c>
      <c r="L1483" t="s">
        <v>2438</v>
      </c>
      <c r="M1483" s="4">
        <v>44164</v>
      </c>
      <c r="N1483" s="12">
        <f t="shared" si="70"/>
        <v>11</v>
      </c>
      <c r="O1483" s="13">
        <f t="shared" si="71"/>
        <v>2020</v>
      </c>
      <c r="P1483" t="s">
        <v>13</v>
      </c>
      <c r="Q1483" t="s">
        <v>99</v>
      </c>
      <c r="R1483" t="s">
        <v>23</v>
      </c>
      <c r="S1483" t="str" cm="1">
        <f t="array" ref="S1483">_xlfn.IFS(R1483="COMPLETE", "COMPLETED", R1483="CANCELED", "CANCELED", TRUE, "PENDING")</f>
        <v>PENDING</v>
      </c>
      <c r="T1483" t="s">
        <v>32</v>
      </c>
      <c r="U1483">
        <f>VLOOKUP(A1483,ordered_items!$B:$E,4,0)</f>
        <v>84.4</v>
      </c>
    </row>
    <row r="1484" spans="1:21" x14ac:dyDescent="0.3">
      <c r="A1484">
        <v>72915</v>
      </c>
      <c r="B1484" t="s">
        <v>24</v>
      </c>
      <c r="C1484">
        <v>6</v>
      </c>
      <c r="D1484">
        <v>4</v>
      </c>
      <c r="E1484" t="str">
        <f t="shared" si="69"/>
        <v>DELAYED</v>
      </c>
      <c r="F1484">
        <f>VLOOKUP($A1484,ordered_items!$B$2:$E$4784,2,0)</f>
        <v>1359</v>
      </c>
      <c r="G1484">
        <f>VLOOKUP($A1484,ordered_items!$B$2:$E$4784,3,0)</f>
        <v>1</v>
      </c>
      <c r="H1484">
        <f>VLOOKUP($A1484,ordered_items!$B$2:$E$4784,4,0)</f>
        <v>84.4</v>
      </c>
      <c r="I1484" s="15">
        <f>VLOOKUP(F1484,product_info!$A$2:$D$73,4,0)</f>
        <v>11</v>
      </c>
      <c r="J1484" s="15" t="str">
        <f>VLOOKUP(I1484,department!$A$2:$B$13,2,0)</f>
        <v>Pet Shop</v>
      </c>
      <c r="K1484">
        <v>16468</v>
      </c>
      <c r="L1484" t="s">
        <v>921</v>
      </c>
      <c r="M1484" s="4">
        <v>44164</v>
      </c>
      <c r="N1484" s="12">
        <f t="shared" si="70"/>
        <v>11</v>
      </c>
      <c r="O1484" s="13">
        <f t="shared" si="71"/>
        <v>2020</v>
      </c>
      <c r="P1484" t="s">
        <v>13</v>
      </c>
      <c r="Q1484" t="s">
        <v>99</v>
      </c>
      <c r="R1484" t="s">
        <v>31</v>
      </c>
      <c r="S1484" t="str" cm="1">
        <f t="array" ref="S1484">_xlfn.IFS(R1484="COMPLETE", "COMPLETED", R1484="CANCELED", "CANCELED", TRUE, "PENDING")</f>
        <v>COMPLETED</v>
      </c>
      <c r="T1484" t="s">
        <v>16</v>
      </c>
      <c r="U1484">
        <f>VLOOKUP(A1484,ordered_items!$B:$E,4,0)</f>
        <v>84.4</v>
      </c>
    </row>
    <row r="1485" spans="1:21" x14ac:dyDescent="0.3">
      <c r="A1485">
        <v>72932</v>
      </c>
      <c r="B1485" t="s">
        <v>51</v>
      </c>
      <c r="C1485">
        <v>3</v>
      </c>
      <c r="D1485">
        <v>4</v>
      </c>
      <c r="E1485" t="str">
        <f t="shared" si="69"/>
        <v xml:space="preserve"> ONTIME</v>
      </c>
      <c r="F1485">
        <f>VLOOKUP($A1485,ordered_items!$B$2:$E$4784,2,0)</f>
        <v>1359</v>
      </c>
      <c r="G1485">
        <f>VLOOKUP($A1485,ordered_items!$B$2:$E$4784,3,0)</f>
        <v>1</v>
      </c>
      <c r="H1485">
        <f>VLOOKUP($A1485,ordered_items!$B$2:$E$4784,4,0)</f>
        <v>84.4</v>
      </c>
      <c r="I1485" s="15">
        <f>VLOOKUP(F1485,product_info!$A$2:$D$73,4,0)</f>
        <v>11</v>
      </c>
      <c r="J1485" s="15" t="str">
        <f>VLOOKUP(I1485,department!$A$2:$B$13,2,0)</f>
        <v>Pet Shop</v>
      </c>
      <c r="K1485">
        <v>16485</v>
      </c>
      <c r="L1485" t="s">
        <v>439</v>
      </c>
      <c r="M1485" s="4">
        <v>44164</v>
      </c>
      <c r="N1485" s="12">
        <f t="shared" si="70"/>
        <v>11</v>
      </c>
      <c r="O1485" s="13">
        <f t="shared" si="71"/>
        <v>2020</v>
      </c>
      <c r="P1485" t="s">
        <v>13</v>
      </c>
      <c r="Q1485" t="s">
        <v>377</v>
      </c>
      <c r="R1485" t="s">
        <v>57</v>
      </c>
      <c r="S1485" t="str" cm="1">
        <f t="array" ref="S1485">_xlfn.IFS(R1485="COMPLETE", "COMPLETED", R1485="CANCELED", "CANCELED", TRUE, "PENDING")</f>
        <v>PENDING</v>
      </c>
      <c r="T1485" t="s">
        <v>16</v>
      </c>
      <c r="U1485">
        <f>VLOOKUP(A1485,ordered_items!$B:$E,4,0)</f>
        <v>84.4</v>
      </c>
    </row>
    <row r="1486" spans="1:21" x14ac:dyDescent="0.3">
      <c r="A1486">
        <v>72981</v>
      </c>
      <c r="B1486" t="s">
        <v>24</v>
      </c>
      <c r="C1486">
        <v>2</v>
      </c>
      <c r="D1486">
        <v>4</v>
      </c>
      <c r="E1486" t="str">
        <f t="shared" si="69"/>
        <v xml:space="preserve"> ONTIME</v>
      </c>
      <c r="F1486">
        <f>VLOOKUP($A1486,ordered_items!$B$2:$E$4784,2,0)</f>
        <v>1359</v>
      </c>
      <c r="G1486">
        <f>VLOOKUP($A1486,ordered_items!$B$2:$E$4784,3,0)</f>
        <v>1</v>
      </c>
      <c r="H1486">
        <f>VLOOKUP($A1486,ordered_items!$B$2:$E$4784,4,0)</f>
        <v>84.4</v>
      </c>
      <c r="I1486" s="15">
        <f>VLOOKUP(F1486,product_info!$A$2:$D$73,4,0)</f>
        <v>11</v>
      </c>
      <c r="J1486" s="15" t="str">
        <f>VLOOKUP(I1486,department!$A$2:$B$13,2,0)</f>
        <v>Pet Shop</v>
      </c>
      <c r="K1486">
        <v>16534</v>
      </c>
      <c r="L1486" t="s">
        <v>290</v>
      </c>
      <c r="M1486" s="4">
        <v>44165</v>
      </c>
      <c r="N1486" s="12">
        <f t="shared" si="70"/>
        <v>11</v>
      </c>
      <c r="O1486" s="13">
        <f t="shared" si="71"/>
        <v>2020</v>
      </c>
      <c r="P1486" t="s">
        <v>13</v>
      </c>
      <c r="Q1486" t="s">
        <v>130</v>
      </c>
      <c r="R1486" t="s">
        <v>31</v>
      </c>
      <c r="S1486" t="str" cm="1">
        <f t="array" ref="S1486">_xlfn.IFS(R1486="COMPLETE", "COMPLETED", R1486="CANCELED", "CANCELED", TRUE, "PENDING")</f>
        <v>COMPLETED</v>
      </c>
      <c r="T1486" t="s">
        <v>16</v>
      </c>
      <c r="U1486">
        <f>VLOOKUP(A1486,ordered_items!$B:$E,4,0)</f>
        <v>84.4</v>
      </c>
    </row>
    <row r="1487" spans="1:21" x14ac:dyDescent="0.3">
      <c r="A1487">
        <v>72982</v>
      </c>
      <c r="B1487" t="s">
        <v>24</v>
      </c>
      <c r="C1487">
        <v>3</v>
      </c>
      <c r="D1487">
        <v>4</v>
      </c>
      <c r="E1487" t="str">
        <f t="shared" si="69"/>
        <v xml:space="preserve"> ONTIME</v>
      </c>
      <c r="F1487">
        <f>VLOOKUP($A1487,ordered_items!$B$2:$E$4784,2,0)</f>
        <v>1359</v>
      </c>
      <c r="G1487">
        <f>VLOOKUP($A1487,ordered_items!$B$2:$E$4784,3,0)</f>
        <v>1</v>
      </c>
      <c r="H1487">
        <f>VLOOKUP($A1487,ordered_items!$B$2:$E$4784,4,0)</f>
        <v>84.4</v>
      </c>
      <c r="I1487" s="15">
        <f>VLOOKUP(F1487,product_info!$A$2:$D$73,4,0)</f>
        <v>11</v>
      </c>
      <c r="J1487" s="15" t="str">
        <f>VLOOKUP(I1487,department!$A$2:$B$13,2,0)</f>
        <v>Pet Shop</v>
      </c>
      <c r="K1487">
        <v>16535</v>
      </c>
      <c r="L1487" t="s">
        <v>290</v>
      </c>
      <c r="M1487" s="4">
        <v>44165</v>
      </c>
      <c r="N1487" s="12">
        <f t="shared" si="70"/>
        <v>11</v>
      </c>
      <c r="O1487" s="13">
        <f t="shared" si="71"/>
        <v>2020</v>
      </c>
      <c r="P1487" t="s">
        <v>13</v>
      </c>
      <c r="Q1487" t="s">
        <v>130</v>
      </c>
      <c r="R1487" t="s">
        <v>31</v>
      </c>
      <c r="S1487" t="str" cm="1">
        <f t="array" ref="S1487">_xlfn.IFS(R1487="COMPLETE", "COMPLETED", R1487="CANCELED", "CANCELED", TRUE, "PENDING")</f>
        <v>COMPLETED</v>
      </c>
      <c r="T1487" t="s">
        <v>16</v>
      </c>
      <c r="U1487">
        <f>VLOOKUP(A1487,ordered_items!$B:$E,4,0)</f>
        <v>84.4</v>
      </c>
    </row>
    <row r="1488" spans="1:21" x14ac:dyDescent="0.3">
      <c r="A1488">
        <v>72983</v>
      </c>
      <c r="B1488" t="s">
        <v>24</v>
      </c>
      <c r="C1488">
        <v>0</v>
      </c>
      <c r="D1488">
        <v>0</v>
      </c>
      <c r="E1488" t="str">
        <f t="shared" si="69"/>
        <v xml:space="preserve"> ONTIME</v>
      </c>
      <c r="F1488">
        <f>VLOOKUP($A1488,ordered_items!$B$2:$E$4784,2,0)</f>
        <v>1359</v>
      </c>
      <c r="G1488">
        <f>VLOOKUP($A1488,ordered_items!$B$2:$E$4784,3,0)</f>
        <v>1</v>
      </c>
      <c r="H1488">
        <f>VLOOKUP($A1488,ordered_items!$B$2:$E$4784,4,0)</f>
        <v>84.4</v>
      </c>
      <c r="I1488" s="15">
        <f>VLOOKUP(F1488,product_info!$A$2:$D$73,4,0)</f>
        <v>11</v>
      </c>
      <c r="J1488" s="15" t="str">
        <f>VLOOKUP(I1488,department!$A$2:$B$13,2,0)</f>
        <v>Pet Shop</v>
      </c>
      <c r="K1488">
        <v>16536</v>
      </c>
      <c r="L1488" t="s">
        <v>290</v>
      </c>
      <c r="M1488" s="4">
        <v>44165</v>
      </c>
      <c r="N1488" s="12">
        <f t="shared" si="70"/>
        <v>11</v>
      </c>
      <c r="O1488" s="13">
        <f t="shared" si="71"/>
        <v>2020</v>
      </c>
      <c r="P1488" t="s">
        <v>13</v>
      </c>
      <c r="Q1488" t="s">
        <v>130</v>
      </c>
      <c r="R1488" t="s">
        <v>31</v>
      </c>
      <c r="S1488" t="str" cm="1">
        <f t="array" ref="S1488">_xlfn.IFS(R1488="COMPLETE", "COMPLETED", R1488="CANCELED", "CANCELED", TRUE, "PENDING")</f>
        <v>COMPLETED</v>
      </c>
      <c r="T1488" t="s">
        <v>58</v>
      </c>
      <c r="U1488">
        <f>VLOOKUP(A1488,ordered_items!$B:$E,4,0)</f>
        <v>84.4</v>
      </c>
    </row>
    <row r="1489" spans="1:21" x14ac:dyDescent="0.3">
      <c r="A1489">
        <v>72992</v>
      </c>
      <c r="B1489" t="s">
        <v>24</v>
      </c>
      <c r="C1489">
        <v>3</v>
      </c>
      <c r="D1489">
        <v>2</v>
      </c>
      <c r="E1489" t="str">
        <f t="shared" si="69"/>
        <v>DELAYED</v>
      </c>
      <c r="F1489">
        <f>VLOOKUP($A1489,ordered_items!$B$2:$E$4784,2,0)</f>
        <v>1359</v>
      </c>
      <c r="G1489">
        <f>VLOOKUP($A1489,ordered_items!$B$2:$E$4784,3,0)</f>
        <v>1</v>
      </c>
      <c r="H1489">
        <f>VLOOKUP($A1489,ordered_items!$B$2:$E$4784,4,0)</f>
        <v>84.4</v>
      </c>
      <c r="I1489" s="15">
        <f>VLOOKUP(F1489,product_info!$A$2:$D$73,4,0)</f>
        <v>11</v>
      </c>
      <c r="J1489" s="15" t="str">
        <f>VLOOKUP(I1489,department!$A$2:$B$13,2,0)</f>
        <v>Pet Shop</v>
      </c>
      <c r="K1489">
        <v>16545</v>
      </c>
      <c r="L1489" t="s">
        <v>576</v>
      </c>
      <c r="M1489" s="4">
        <v>44165</v>
      </c>
      <c r="N1489" s="12">
        <f t="shared" si="70"/>
        <v>11</v>
      </c>
      <c r="O1489" s="13">
        <f t="shared" si="71"/>
        <v>2020</v>
      </c>
      <c r="P1489" t="s">
        <v>13</v>
      </c>
      <c r="Q1489" t="s">
        <v>5780</v>
      </c>
      <c r="R1489" t="s">
        <v>31</v>
      </c>
      <c r="S1489" t="str" cm="1">
        <f t="array" ref="S1489">_xlfn.IFS(R1489="COMPLETE", "COMPLETED", R1489="CANCELED", "CANCELED", TRUE, "PENDING")</f>
        <v>COMPLETED</v>
      </c>
      <c r="T1489" t="s">
        <v>90</v>
      </c>
      <c r="U1489">
        <f>VLOOKUP(A1489,ordered_items!$B:$E,4,0)</f>
        <v>84.4</v>
      </c>
    </row>
    <row r="1490" spans="1:21" x14ac:dyDescent="0.3">
      <c r="A1490">
        <v>72997</v>
      </c>
      <c r="B1490" t="s">
        <v>3</v>
      </c>
      <c r="C1490">
        <v>3</v>
      </c>
      <c r="D1490">
        <v>2</v>
      </c>
      <c r="E1490" t="str">
        <f t="shared" si="69"/>
        <v>DELAYED</v>
      </c>
      <c r="F1490">
        <f>VLOOKUP($A1490,ordered_items!$B$2:$E$4784,2,0)</f>
        <v>1359</v>
      </c>
      <c r="G1490">
        <f>VLOOKUP($A1490,ordered_items!$B$2:$E$4784,3,0)</f>
        <v>1</v>
      </c>
      <c r="H1490">
        <f>VLOOKUP($A1490,ordered_items!$B$2:$E$4784,4,0)</f>
        <v>84.4</v>
      </c>
      <c r="I1490" s="15">
        <f>VLOOKUP(F1490,product_info!$A$2:$D$73,4,0)</f>
        <v>11</v>
      </c>
      <c r="J1490" s="15" t="str">
        <f>VLOOKUP(I1490,department!$A$2:$B$13,2,0)</f>
        <v>Pet Shop</v>
      </c>
      <c r="K1490">
        <v>16550</v>
      </c>
      <c r="L1490" t="s">
        <v>576</v>
      </c>
      <c r="M1490" s="4">
        <v>44165</v>
      </c>
      <c r="N1490" s="12">
        <f t="shared" si="70"/>
        <v>11</v>
      </c>
      <c r="O1490" s="13">
        <f t="shared" si="71"/>
        <v>2020</v>
      </c>
      <c r="P1490" t="s">
        <v>13</v>
      </c>
      <c r="Q1490" t="s">
        <v>5780</v>
      </c>
      <c r="R1490" t="s">
        <v>14</v>
      </c>
      <c r="S1490" t="str" cm="1">
        <f t="array" ref="S1490">_xlfn.IFS(R1490="COMPLETE", "COMPLETED", R1490="CANCELED", "CANCELED", TRUE, "PENDING")</f>
        <v>PENDING</v>
      </c>
      <c r="T1490" t="s">
        <v>90</v>
      </c>
      <c r="U1490">
        <f>VLOOKUP(A1490,ordered_items!$B:$E,4,0)</f>
        <v>84.4</v>
      </c>
    </row>
    <row r="1491" spans="1:21" x14ac:dyDescent="0.3">
      <c r="A1491">
        <v>72998</v>
      </c>
      <c r="B1491" t="s">
        <v>51</v>
      </c>
      <c r="C1491">
        <v>4</v>
      </c>
      <c r="D1491">
        <v>4</v>
      </c>
      <c r="E1491" t="str">
        <f t="shared" si="69"/>
        <v xml:space="preserve"> ONTIME</v>
      </c>
      <c r="F1491">
        <f>VLOOKUP($A1491,ordered_items!$B$2:$E$4784,2,0)</f>
        <v>1359</v>
      </c>
      <c r="G1491">
        <f>VLOOKUP($A1491,ordered_items!$B$2:$E$4784,3,0)</f>
        <v>1</v>
      </c>
      <c r="H1491">
        <f>VLOOKUP($A1491,ordered_items!$B$2:$E$4784,4,0)</f>
        <v>84.4</v>
      </c>
      <c r="I1491" s="15">
        <f>VLOOKUP(F1491,product_info!$A$2:$D$73,4,0)</f>
        <v>11</v>
      </c>
      <c r="J1491" s="15" t="str">
        <f>VLOOKUP(I1491,department!$A$2:$B$13,2,0)</f>
        <v>Pet Shop</v>
      </c>
      <c r="K1491">
        <v>16551</v>
      </c>
      <c r="L1491" t="s">
        <v>576</v>
      </c>
      <c r="M1491" s="4">
        <v>44165</v>
      </c>
      <c r="N1491" s="12">
        <f t="shared" si="70"/>
        <v>11</v>
      </c>
      <c r="O1491" s="13">
        <f t="shared" si="71"/>
        <v>2020</v>
      </c>
      <c r="P1491" t="s">
        <v>13</v>
      </c>
      <c r="Q1491" t="s">
        <v>5780</v>
      </c>
      <c r="R1491" t="s">
        <v>57</v>
      </c>
      <c r="S1491" t="str" cm="1">
        <f t="array" ref="S1491">_xlfn.IFS(R1491="COMPLETE", "COMPLETED", R1491="CANCELED", "CANCELED", TRUE, "PENDING")</f>
        <v>PENDING</v>
      </c>
      <c r="T1491" t="s">
        <v>16</v>
      </c>
      <c r="U1491">
        <f>VLOOKUP(A1491,ordered_items!$B:$E,4,0)</f>
        <v>84.4</v>
      </c>
    </row>
    <row r="1492" spans="1:21" x14ac:dyDescent="0.3">
      <c r="A1492">
        <v>73013</v>
      </c>
      <c r="B1492" t="s">
        <v>3</v>
      </c>
      <c r="C1492">
        <v>4</v>
      </c>
      <c r="D1492">
        <v>2</v>
      </c>
      <c r="E1492" t="str">
        <f t="shared" si="69"/>
        <v>DELAYED</v>
      </c>
      <c r="F1492">
        <f>VLOOKUP($A1492,ordered_items!$B$2:$E$4784,2,0)</f>
        <v>1359</v>
      </c>
      <c r="G1492">
        <f>VLOOKUP($A1492,ordered_items!$B$2:$E$4784,3,0)</f>
        <v>1</v>
      </c>
      <c r="H1492">
        <f>VLOOKUP($A1492,ordered_items!$B$2:$E$4784,4,0)</f>
        <v>84.4</v>
      </c>
      <c r="I1492" s="15">
        <f>VLOOKUP(F1492,product_info!$A$2:$D$73,4,0)</f>
        <v>11</v>
      </c>
      <c r="J1492" s="15" t="str">
        <f>VLOOKUP(I1492,department!$A$2:$B$13,2,0)</f>
        <v>Pet Shop</v>
      </c>
      <c r="K1492">
        <v>16566</v>
      </c>
      <c r="L1492" t="s">
        <v>357</v>
      </c>
      <c r="M1492" s="4">
        <v>44165</v>
      </c>
      <c r="N1492" s="12">
        <f t="shared" si="70"/>
        <v>11</v>
      </c>
      <c r="O1492" s="13">
        <f t="shared" si="71"/>
        <v>2020</v>
      </c>
      <c r="P1492" t="s">
        <v>13</v>
      </c>
      <c r="Q1492" t="s">
        <v>203</v>
      </c>
      <c r="R1492" t="s">
        <v>14</v>
      </c>
      <c r="S1492" t="str" cm="1">
        <f t="array" ref="S1492">_xlfn.IFS(R1492="COMPLETE", "COMPLETED", R1492="CANCELED", "CANCELED", TRUE, "PENDING")</f>
        <v>PENDING</v>
      </c>
      <c r="T1492" t="s">
        <v>90</v>
      </c>
      <c r="U1492">
        <f>VLOOKUP(A1492,ordered_items!$B:$E,4,0)</f>
        <v>84.4</v>
      </c>
    </row>
    <row r="1493" spans="1:21" x14ac:dyDescent="0.3">
      <c r="A1493">
        <v>73016</v>
      </c>
      <c r="B1493" t="s">
        <v>3</v>
      </c>
      <c r="C1493">
        <v>2</v>
      </c>
      <c r="D1493">
        <v>2</v>
      </c>
      <c r="E1493" t="str">
        <f t="shared" si="69"/>
        <v xml:space="preserve"> ONTIME</v>
      </c>
      <c r="F1493">
        <f>VLOOKUP($A1493,ordered_items!$B$2:$E$4784,2,0)</f>
        <v>1359</v>
      </c>
      <c r="G1493">
        <f>VLOOKUP($A1493,ordered_items!$B$2:$E$4784,3,0)</f>
        <v>1</v>
      </c>
      <c r="H1493">
        <f>VLOOKUP($A1493,ordered_items!$B$2:$E$4784,4,0)</f>
        <v>84.4</v>
      </c>
      <c r="I1493" s="15">
        <f>VLOOKUP(F1493,product_info!$A$2:$D$73,4,0)</f>
        <v>11</v>
      </c>
      <c r="J1493" s="15" t="str">
        <f>VLOOKUP(I1493,department!$A$2:$B$13,2,0)</f>
        <v>Pet Shop</v>
      </c>
      <c r="K1493">
        <v>16569</v>
      </c>
      <c r="L1493" t="s">
        <v>357</v>
      </c>
      <c r="M1493" s="4">
        <v>44165</v>
      </c>
      <c r="N1493" s="12">
        <f t="shared" si="70"/>
        <v>11</v>
      </c>
      <c r="O1493" s="13">
        <f t="shared" si="71"/>
        <v>2020</v>
      </c>
      <c r="P1493" t="s">
        <v>13</v>
      </c>
      <c r="Q1493" t="s">
        <v>203</v>
      </c>
      <c r="R1493" t="s">
        <v>14</v>
      </c>
      <c r="S1493" t="str" cm="1">
        <f t="array" ref="S1493">_xlfn.IFS(R1493="COMPLETE", "COMPLETED", R1493="CANCELED", "CANCELED", TRUE, "PENDING")</f>
        <v>PENDING</v>
      </c>
      <c r="T1493" t="s">
        <v>90</v>
      </c>
      <c r="U1493">
        <f>VLOOKUP(A1493,ordered_items!$B:$E,4,0)</f>
        <v>84.4</v>
      </c>
    </row>
    <row r="1494" spans="1:21" x14ac:dyDescent="0.3">
      <c r="A1494">
        <v>73028</v>
      </c>
      <c r="B1494" t="s">
        <v>24</v>
      </c>
      <c r="C1494">
        <v>2</v>
      </c>
      <c r="D1494">
        <v>1</v>
      </c>
      <c r="E1494" t="str">
        <f t="shared" si="69"/>
        <v>DELAYED</v>
      </c>
      <c r="F1494">
        <f>VLOOKUP($A1494,ordered_items!$B$2:$E$4784,2,0)</f>
        <v>1359</v>
      </c>
      <c r="G1494">
        <f>VLOOKUP($A1494,ordered_items!$B$2:$E$4784,3,0)</f>
        <v>1</v>
      </c>
      <c r="H1494">
        <f>VLOOKUP($A1494,ordered_items!$B$2:$E$4784,4,0)</f>
        <v>84.4</v>
      </c>
      <c r="I1494" s="15">
        <f>VLOOKUP(F1494,product_info!$A$2:$D$73,4,0)</f>
        <v>11</v>
      </c>
      <c r="J1494" s="15" t="str">
        <f>VLOOKUP(I1494,department!$A$2:$B$13,2,0)</f>
        <v>Pet Shop</v>
      </c>
      <c r="K1494">
        <v>16581</v>
      </c>
      <c r="L1494" t="s">
        <v>84</v>
      </c>
      <c r="M1494" s="4">
        <v>44166</v>
      </c>
      <c r="N1494" s="12">
        <f t="shared" si="70"/>
        <v>12</v>
      </c>
      <c r="O1494" s="13">
        <f t="shared" si="71"/>
        <v>2020</v>
      </c>
      <c r="P1494" t="s">
        <v>13</v>
      </c>
      <c r="Q1494" t="s">
        <v>80</v>
      </c>
      <c r="R1494" t="s">
        <v>31</v>
      </c>
      <c r="S1494" t="str" cm="1">
        <f t="array" ref="S1494">_xlfn.IFS(R1494="COMPLETE", "COMPLETED", R1494="CANCELED", "CANCELED", TRUE, "PENDING")</f>
        <v>COMPLETED</v>
      </c>
      <c r="T1494" t="s">
        <v>32</v>
      </c>
      <c r="U1494">
        <f>VLOOKUP(A1494,ordered_items!$B:$E,4,0)</f>
        <v>84.4</v>
      </c>
    </row>
    <row r="1495" spans="1:21" x14ac:dyDescent="0.3">
      <c r="A1495">
        <v>73029</v>
      </c>
      <c r="B1495" t="s">
        <v>24</v>
      </c>
      <c r="C1495">
        <v>5</v>
      </c>
      <c r="D1495">
        <v>2</v>
      </c>
      <c r="E1495" t="str">
        <f t="shared" si="69"/>
        <v>DELAYED</v>
      </c>
      <c r="F1495">
        <f>VLOOKUP($A1495,ordered_items!$B$2:$E$4784,2,0)</f>
        <v>1359</v>
      </c>
      <c r="G1495">
        <f>VLOOKUP($A1495,ordered_items!$B$2:$E$4784,3,0)</f>
        <v>1</v>
      </c>
      <c r="H1495">
        <f>VLOOKUP($A1495,ordered_items!$B$2:$E$4784,4,0)</f>
        <v>84.4</v>
      </c>
      <c r="I1495" s="15">
        <f>VLOOKUP(F1495,product_info!$A$2:$D$73,4,0)</f>
        <v>11</v>
      </c>
      <c r="J1495" s="15" t="str">
        <f>VLOOKUP(I1495,department!$A$2:$B$13,2,0)</f>
        <v>Pet Shop</v>
      </c>
      <c r="K1495">
        <v>16582</v>
      </c>
      <c r="L1495" t="s">
        <v>84</v>
      </c>
      <c r="M1495" s="4">
        <v>44166</v>
      </c>
      <c r="N1495" s="12">
        <f t="shared" si="70"/>
        <v>12</v>
      </c>
      <c r="O1495" s="13">
        <f t="shared" si="71"/>
        <v>2020</v>
      </c>
      <c r="P1495" t="s">
        <v>13</v>
      </c>
      <c r="Q1495" t="s">
        <v>80</v>
      </c>
      <c r="R1495" t="s">
        <v>31</v>
      </c>
      <c r="S1495" t="str" cm="1">
        <f t="array" ref="S1495">_xlfn.IFS(R1495="COMPLETE", "COMPLETED", R1495="CANCELED", "CANCELED", TRUE, "PENDING")</f>
        <v>COMPLETED</v>
      </c>
      <c r="T1495" t="s">
        <v>90</v>
      </c>
      <c r="U1495">
        <f>VLOOKUP(A1495,ordered_items!$B:$E,4,0)</f>
        <v>84.4</v>
      </c>
    </row>
    <row r="1496" spans="1:21" x14ac:dyDescent="0.3">
      <c r="A1496">
        <v>73036</v>
      </c>
      <c r="B1496" t="s">
        <v>51</v>
      </c>
      <c r="C1496">
        <v>2</v>
      </c>
      <c r="D1496">
        <v>2</v>
      </c>
      <c r="E1496" t="str">
        <f t="shared" si="69"/>
        <v xml:space="preserve"> ONTIME</v>
      </c>
      <c r="F1496">
        <f>VLOOKUP($A1496,ordered_items!$B$2:$E$4784,2,0)</f>
        <v>1359</v>
      </c>
      <c r="G1496">
        <f>VLOOKUP($A1496,ordered_items!$B$2:$E$4784,3,0)</f>
        <v>1</v>
      </c>
      <c r="H1496">
        <f>VLOOKUP($A1496,ordered_items!$B$2:$E$4784,4,0)</f>
        <v>84.4</v>
      </c>
      <c r="I1496" s="15">
        <f>VLOOKUP(F1496,product_info!$A$2:$D$73,4,0)</f>
        <v>11</v>
      </c>
      <c r="J1496" s="15" t="str">
        <f>VLOOKUP(I1496,department!$A$2:$B$13,2,0)</f>
        <v>Pet Shop</v>
      </c>
      <c r="K1496">
        <v>16589</v>
      </c>
      <c r="L1496" t="s">
        <v>110</v>
      </c>
      <c r="M1496" s="4">
        <v>44166</v>
      </c>
      <c r="N1496" s="12">
        <f t="shared" si="70"/>
        <v>12</v>
      </c>
      <c r="O1496" s="13">
        <f t="shared" si="71"/>
        <v>2020</v>
      </c>
      <c r="P1496" t="s">
        <v>13</v>
      </c>
      <c r="Q1496" t="s">
        <v>99</v>
      </c>
      <c r="R1496" t="s">
        <v>57</v>
      </c>
      <c r="S1496" t="str" cm="1">
        <f t="array" ref="S1496">_xlfn.IFS(R1496="COMPLETE", "COMPLETED", R1496="CANCELED", "CANCELED", TRUE, "PENDING")</f>
        <v>PENDING</v>
      </c>
      <c r="T1496" t="s">
        <v>90</v>
      </c>
      <c r="U1496">
        <f>VLOOKUP(A1496,ordered_items!$B:$E,4,0)</f>
        <v>84.4</v>
      </c>
    </row>
    <row r="1497" spans="1:21" x14ac:dyDescent="0.3">
      <c r="A1497">
        <v>73037</v>
      </c>
      <c r="B1497" t="s">
        <v>17</v>
      </c>
      <c r="C1497">
        <v>3</v>
      </c>
      <c r="D1497">
        <v>2</v>
      </c>
      <c r="E1497" t="str">
        <f t="shared" si="69"/>
        <v>DELAYED</v>
      </c>
      <c r="F1497">
        <f>VLOOKUP($A1497,ordered_items!$B$2:$E$4784,2,0)</f>
        <v>1359</v>
      </c>
      <c r="G1497">
        <f>VLOOKUP($A1497,ordered_items!$B$2:$E$4784,3,0)</f>
        <v>1</v>
      </c>
      <c r="H1497">
        <f>VLOOKUP($A1497,ordered_items!$B$2:$E$4784,4,0)</f>
        <v>84.4</v>
      </c>
      <c r="I1497" s="15">
        <f>VLOOKUP(F1497,product_info!$A$2:$D$73,4,0)</f>
        <v>11</v>
      </c>
      <c r="J1497" s="15" t="str">
        <f>VLOOKUP(I1497,department!$A$2:$B$13,2,0)</f>
        <v>Pet Shop</v>
      </c>
      <c r="K1497">
        <v>16590</v>
      </c>
      <c r="L1497" t="s">
        <v>110</v>
      </c>
      <c r="M1497" s="4">
        <v>44166</v>
      </c>
      <c r="N1497" s="12">
        <f t="shared" si="70"/>
        <v>12</v>
      </c>
      <c r="O1497" s="13">
        <f t="shared" si="71"/>
        <v>2020</v>
      </c>
      <c r="P1497" t="s">
        <v>13</v>
      </c>
      <c r="Q1497" t="s">
        <v>99</v>
      </c>
      <c r="R1497" t="s">
        <v>23</v>
      </c>
      <c r="S1497" t="str" cm="1">
        <f t="array" ref="S1497">_xlfn.IFS(R1497="COMPLETE", "COMPLETED", R1497="CANCELED", "CANCELED", TRUE, "PENDING")</f>
        <v>PENDING</v>
      </c>
      <c r="T1497" t="s">
        <v>90</v>
      </c>
      <c r="U1497">
        <f>VLOOKUP(A1497,ordered_items!$B:$E,4,0)</f>
        <v>84.4</v>
      </c>
    </row>
    <row r="1498" spans="1:21" x14ac:dyDescent="0.3">
      <c r="A1498">
        <v>73077</v>
      </c>
      <c r="B1498" t="s">
        <v>3</v>
      </c>
      <c r="C1498">
        <v>3</v>
      </c>
      <c r="D1498">
        <v>2</v>
      </c>
      <c r="E1498" t="str">
        <f t="shared" si="69"/>
        <v>DELAYED</v>
      </c>
      <c r="F1498">
        <f>VLOOKUP($A1498,ordered_items!$B$2:$E$4784,2,0)</f>
        <v>1360</v>
      </c>
      <c r="G1498">
        <f>VLOOKUP($A1498,ordered_items!$B$2:$E$4784,3,0)</f>
        <v>1</v>
      </c>
      <c r="H1498">
        <f>VLOOKUP($A1498,ordered_items!$B$2:$E$4784,4,0)</f>
        <v>327.75</v>
      </c>
      <c r="I1498" s="15">
        <f>VLOOKUP(F1498,product_info!$A$2:$D$73,4,0)</f>
        <v>2</v>
      </c>
      <c r="J1498" s="15" t="str">
        <f>VLOOKUP(I1498,department!$A$2:$B$13,2,0)</f>
        <v>Fitness</v>
      </c>
      <c r="K1498">
        <v>16630</v>
      </c>
      <c r="L1498" t="s">
        <v>258</v>
      </c>
      <c r="M1498" s="4">
        <v>44166</v>
      </c>
      <c r="N1498" s="12">
        <f t="shared" si="70"/>
        <v>12</v>
      </c>
      <c r="O1498" s="13">
        <f t="shared" si="71"/>
        <v>2020</v>
      </c>
      <c r="P1498" t="s">
        <v>13</v>
      </c>
      <c r="Q1498" t="s">
        <v>30</v>
      </c>
      <c r="R1498" t="s">
        <v>14</v>
      </c>
      <c r="S1498" t="str" cm="1">
        <f t="array" ref="S1498">_xlfn.IFS(R1498="COMPLETE", "COMPLETED", R1498="CANCELED", "CANCELED", TRUE, "PENDING")</f>
        <v>PENDING</v>
      </c>
      <c r="T1498" t="s">
        <v>90</v>
      </c>
      <c r="U1498">
        <f>VLOOKUP(A1498,ordered_items!$B:$E,4,0)</f>
        <v>327.75</v>
      </c>
    </row>
    <row r="1499" spans="1:21" x14ac:dyDescent="0.3">
      <c r="A1499">
        <v>73080</v>
      </c>
      <c r="B1499" t="s">
        <v>3</v>
      </c>
      <c r="C1499">
        <v>2</v>
      </c>
      <c r="D1499">
        <v>1</v>
      </c>
      <c r="E1499" t="str">
        <f t="shared" si="69"/>
        <v>DELAYED</v>
      </c>
      <c r="F1499">
        <f>VLOOKUP($A1499,ordered_items!$B$2:$E$4784,2,0)</f>
        <v>1360</v>
      </c>
      <c r="G1499">
        <f>VLOOKUP($A1499,ordered_items!$B$2:$E$4784,3,0)</f>
        <v>1</v>
      </c>
      <c r="H1499">
        <f>VLOOKUP($A1499,ordered_items!$B$2:$E$4784,4,0)</f>
        <v>327.75</v>
      </c>
      <c r="I1499" s="15">
        <f>VLOOKUP(F1499,product_info!$A$2:$D$73,4,0)</f>
        <v>2</v>
      </c>
      <c r="J1499" s="15" t="str">
        <f>VLOOKUP(I1499,department!$A$2:$B$13,2,0)</f>
        <v>Fitness</v>
      </c>
      <c r="K1499">
        <v>16633</v>
      </c>
      <c r="L1499" t="s">
        <v>483</v>
      </c>
      <c r="M1499" s="4">
        <v>44166</v>
      </c>
      <c r="N1499" s="12">
        <f t="shared" si="70"/>
        <v>12</v>
      </c>
      <c r="O1499" s="13">
        <f t="shared" si="71"/>
        <v>2020</v>
      </c>
      <c r="P1499" t="s">
        <v>13</v>
      </c>
      <c r="Q1499" t="s">
        <v>203</v>
      </c>
      <c r="R1499" t="s">
        <v>14</v>
      </c>
      <c r="S1499" t="str" cm="1">
        <f t="array" ref="S1499">_xlfn.IFS(R1499="COMPLETE", "COMPLETED", R1499="CANCELED", "CANCELED", TRUE, "PENDING")</f>
        <v>PENDING</v>
      </c>
      <c r="T1499" t="s">
        <v>32</v>
      </c>
      <c r="U1499">
        <f>VLOOKUP(A1499,ordered_items!$B:$E,4,0)</f>
        <v>327.75</v>
      </c>
    </row>
    <row r="1500" spans="1:21" x14ac:dyDescent="0.3">
      <c r="A1500">
        <v>73100</v>
      </c>
      <c r="B1500" t="s">
        <v>3</v>
      </c>
      <c r="C1500">
        <v>0</v>
      </c>
      <c r="D1500">
        <v>0</v>
      </c>
      <c r="E1500" t="str">
        <f t="shared" si="69"/>
        <v xml:space="preserve"> ONTIME</v>
      </c>
      <c r="F1500">
        <f>VLOOKUP($A1500,ordered_items!$B$2:$E$4784,2,0)</f>
        <v>1360</v>
      </c>
      <c r="G1500">
        <f>VLOOKUP($A1500,ordered_items!$B$2:$E$4784,3,0)</f>
        <v>1</v>
      </c>
      <c r="H1500">
        <f>VLOOKUP($A1500,ordered_items!$B$2:$E$4784,4,0)</f>
        <v>327.75</v>
      </c>
      <c r="I1500" s="15">
        <f>VLOOKUP(F1500,product_info!$A$2:$D$73,4,0)</f>
        <v>2</v>
      </c>
      <c r="J1500" s="15" t="str">
        <f>VLOOKUP(I1500,department!$A$2:$B$13,2,0)</f>
        <v>Fitness</v>
      </c>
      <c r="K1500">
        <v>16653</v>
      </c>
      <c r="L1500" t="s">
        <v>405</v>
      </c>
      <c r="M1500" s="4">
        <v>44167</v>
      </c>
      <c r="N1500" s="12">
        <f t="shared" si="70"/>
        <v>12</v>
      </c>
      <c r="O1500" s="13">
        <f t="shared" si="71"/>
        <v>2020</v>
      </c>
      <c r="P1500" t="s">
        <v>13</v>
      </c>
      <c r="Q1500" t="s">
        <v>5781</v>
      </c>
      <c r="R1500" t="s">
        <v>14</v>
      </c>
      <c r="S1500" t="str" cm="1">
        <f t="array" ref="S1500">_xlfn.IFS(R1500="COMPLETE", "COMPLETED", R1500="CANCELED", "CANCELED", TRUE, "PENDING")</f>
        <v>PENDING</v>
      </c>
      <c r="T1500" t="s">
        <v>58</v>
      </c>
      <c r="U1500">
        <f>VLOOKUP(A1500,ordered_items!$B:$E,4,0)</f>
        <v>327.75</v>
      </c>
    </row>
    <row r="1501" spans="1:21" x14ac:dyDescent="0.3">
      <c r="A1501">
        <v>73102</v>
      </c>
      <c r="B1501" t="s">
        <v>24</v>
      </c>
      <c r="C1501">
        <v>3</v>
      </c>
      <c r="D1501">
        <v>2</v>
      </c>
      <c r="E1501" t="str">
        <f t="shared" si="69"/>
        <v>DELAYED</v>
      </c>
      <c r="F1501">
        <f>VLOOKUP($A1501,ordered_items!$B$2:$E$4784,2,0)</f>
        <v>1360</v>
      </c>
      <c r="G1501">
        <f>VLOOKUP($A1501,ordered_items!$B$2:$E$4784,3,0)</f>
        <v>1</v>
      </c>
      <c r="H1501">
        <f>VLOOKUP($A1501,ordered_items!$B$2:$E$4784,4,0)</f>
        <v>327.75</v>
      </c>
      <c r="I1501" s="15">
        <f>VLOOKUP(F1501,product_info!$A$2:$D$73,4,0)</f>
        <v>2</v>
      </c>
      <c r="J1501" s="15" t="str">
        <f>VLOOKUP(I1501,department!$A$2:$B$13,2,0)</f>
        <v>Fitness</v>
      </c>
      <c r="K1501">
        <v>16655</v>
      </c>
      <c r="L1501" t="s">
        <v>400</v>
      </c>
      <c r="M1501" s="4">
        <v>44167</v>
      </c>
      <c r="N1501" s="12">
        <f t="shared" si="70"/>
        <v>12</v>
      </c>
      <c r="O1501" s="13">
        <f t="shared" si="71"/>
        <v>2020</v>
      </c>
      <c r="P1501" t="s">
        <v>13</v>
      </c>
      <c r="Q1501" t="s">
        <v>30</v>
      </c>
      <c r="R1501" t="s">
        <v>31</v>
      </c>
      <c r="S1501" t="str" cm="1">
        <f t="array" ref="S1501">_xlfn.IFS(R1501="COMPLETE", "COMPLETED", R1501="CANCELED", "CANCELED", TRUE, "PENDING")</f>
        <v>COMPLETED</v>
      </c>
      <c r="T1501" t="s">
        <v>90</v>
      </c>
      <c r="U1501">
        <f>VLOOKUP(A1501,ordered_items!$B:$E,4,0)</f>
        <v>327.75</v>
      </c>
    </row>
    <row r="1502" spans="1:21" x14ac:dyDescent="0.3">
      <c r="A1502">
        <v>73124</v>
      </c>
      <c r="B1502" t="s">
        <v>24</v>
      </c>
      <c r="C1502">
        <v>5</v>
      </c>
      <c r="D1502">
        <v>4</v>
      </c>
      <c r="E1502" t="str">
        <f t="shared" si="69"/>
        <v>DELAYED</v>
      </c>
      <c r="F1502">
        <f>VLOOKUP($A1502,ordered_items!$B$2:$E$4784,2,0)</f>
        <v>1360</v>
      </c>
      <c r="G1502">
        <f>VLOOKUP($A1502,ordered_items!$B$2:$E$4784,3,0)</f>
        <v>1</v>
      </c>
      <c r="H1502">
        <f>VLOOKUP($A1502,ordered_items!$B$2:$E$4784,4,0)</f>
        <v>327.75</v>
      </c>
      <c r="I1502" s="15">
        <f>VLOOKUP(F1502,product_info!$A$2:$D$73,4,0)</f>
        <v>2</v>
      </c>
      <c r="J1502" s="15" t="str">
        <f>VLOOKUP(I1502,department!$A$2:$B$13,2,0)</f>
        <v>Fitness</v>
      </c>
      <c r="K1502">
        <v>16677</v>
      </c>
      <c r="L1502" t="s">
        <v>253</v>
      </c>
      <c r="M1502" s="4">
        <v>44167</v>
      </c>
      <c r="N1502" s="12">
        <f t="shared" si="70"/>
        <v>12</v>
      </c>
      <c r="O1502" s="13">
        <f t="shared" si="71"/>
        <v>2020</v>
      </c>
      <c r="P1502" t="s">
        <v>13</v>
      </c>
      <c r="Q1502" t="s">
        <v>30</v>
      </c>
      <c r="R1502" t="s">
        <v>31</v>
      </c>
      <c r="S1502" t="str" cm="1">
        <f t="array" ref="S1502">_xlfn.IFS(R1502="COMPLETE", "COMPLETED", R1502="CANCELED", "CANCELED", TRUE, "PENDING")</f>
        <v>COMPLETED</v>
      </c>
      <c r="T1502" t="s">
        <v>16</v>
      </c>
      <c r="U1502">
        <f>VLOOKUP(A1502,ordered_items!$B:$E,4,0)</f>
        <v>327.75</v>
      </c>
    </row>
    <row r="1503" spans="1:21" x14ac:dyDescent="0.3">
      <c r="A1503">
        <v>73125</v>
      </c>
      <c r="B1503" t="s">
        <v>24</v>
      </c>
      <c r="C1503">
        <v>6</v>
      </c>
      <c r="D1503">
        <v>4</v>
      </c>
      <c r="E1503" t="str">
        <f t="shared" si="69"/>
        <v>DELAYED</v>
      </c>
      <c r="F1503">
        <f>VLOOKUP($A1503,ordered_items!$B$2:$E$4784,2,0)</f>
        <v>1360</v>
      </c>
      <c r="G1503">
        <f>VLOOKUP($A1503,ordered_items!$B$2:$E$4784,3,0)</f>
        <v>1</v>
      </c>
      <c r="H1503">
        <f>VLOOKUP($A1503,ordered_items!$B$2:$E$4784,4,0)</f>
        <v>327.75</v>
      </c>
      <c r="I1503" s="15">
        <f>VLOOKUP(F1503,product_info!$A$2:$D$73,4,0)</f>
        <v>2</v>
      </c>
      <c r="J1503" s="15" t="str">
        <f>VLOOKUP(I1503,department!$A$2:$B$13,2,0)</f>
        <v>Fitness</v>
      </c>
      <c r="K1503">
        <v>16678</v>
      </c>
      <c r="L1503" t="s">
        <v>253</v>
      </c>
      <c r="M1503" s="4">
        <v>44167</v>
      </c>
      <c r="N1503" s="12">
        <f t="shared" si="70"/>
        <v>12</v>
      </c>
      <c r="O1503" s="13">
        <f t="shared" si="71"/>
        <v>2020</v>
      </c>
      <c r="P1503" t="s">
        <v>13</v>
      </c>
      <c r="Q1503" t="s">
        <v>30</v>
      </c>
      <c r="R1503" t="s">
        <v>378</v>
      </c>
      <c r="S1503" t="str" cm="1">
        <f t="array" ref="S1503">_xlfn.IFS(R1503="COMPLETE", "COMPLETED", R1503="CANCELED", "CANCELED", TRUE, "PENDING")</f>
        <v>PENDING</v>
      </c>
      <c r="T1503" t="s">
        <v>16</v>
      </c>
      <c r="U1503">
        <f>VLOOKUP(A1503,ordered_items!$B:$E,4,0)</f>
        <v>327.75</v>
      </c>
    </row>
    <row r="1504" spans="1:21" x14ac:dyDescent="0.3">
      <c r="A1504">
        <v>73143</v>
      </c>
      <c r="B1504" t="s">
        <v>3</v>
      </c>
      <c r="C1504">
        <v>4</v>
      </c>
      <c r="D1504">
        <v>4</v>
      </c>
      <c r="E1504" t="str">
        <f t="shared" si="69"/>
        <v xml:space="preserve"> ONTIME</v>
      </c>
      <c r="F1504">
        <f>VLOOKUP($A1504,ordered_items!$B$2:$E$4784,2,0)</f>
        <v>1360</v>
      </c>
      <c r="G1504">
        <f>VLOOKUP($A1504,ordered_items!$B$2:$E$4784,3,0)</f>
        <v>1</v>
      </c>
      <c r="H1504">
        <f>VLOOKUP($A1504,ordered_items!$B$2:$E$4784,4,0)</f>
        <v>327.75</v>
      </c>
      <c r="I1504" s="15">
        <f>VLOOKUP(F1504,product_info!$A$2:$D$73,4,0)</f>
        <v>2</v>
      </c>
      <c r="J1504" s="15" t="str">
        <f>VLOOKUP(I1504,department!$A$2:$B$13,2,0)</f>
        <v>Fitness</v>
      </c>
      <c r="K1504">
        <v>16696</v>
      </c>
      <c r="L1504" t="s">
        <v>383</v>
      </c>
      <c r="M1504" s="4">
        <v>44167</v>
      </c>
      <c r="N1504" s="12">
        <f t="shared" si="70"/>
        <v>12</v>
      </c>
      <c r="O1504" s="13">
        <f t="shared" si="71"/>
        <v>2020</v>
      </c>
      <c r="P1504" t="s">
        <v>13</v>
      </c>
      <c r="Q1504" t="s">
        <v>5781</v>
      </c>
      <c r="R1504" t="s">
        <v>14</v>
      </c>
      <c r="S1504" t="str" cm="1">
        <f t="array" ref="S1504">_xlfn.IFS(R1504="COMPLETE", "COMPLETED", R1504="CANCELED", "CANCELED", TRUE, "PENDING")</f>
        <v>PENDING</v>
      </c>
      <c r="T1504" t="s">
        <v>16</v>
      </c>
      <c r="U1504">
        <f>VLOOKUP(A1504,ordered_items!$B:$E,4,0)</f>
        <v>327.75</v>
      </c>
    </row>
    <row r="1505" spans="1:21" x14ac:dyDescent="0.3">
      <c r="A1505">
        <v>73144</v>
      </c>
      <c r="B1505" t="s">
        <v>24</v>
      </c>
      <c r="C1505">
        <v>5</v>
      </c>
      <c r="D1505">
        <v>4</v>
      </c>
      <c r="E1505" t="str">
        <f t="shared" si="69"/>
        <v>DELAYED</v>
      </c>
      <c r="F1505">
        <f>VLOOKUP($A1505,ordered_items!$B$2:$E$4784,2,0)</f>
        <v>1360</v>
      </c>
      <c r="G1505">
        <f>VLOOKUP($A1505,ordered_items!$B$2:$E$4784,3,0)</f>
        <v>1</v>
      </c>
      <c r="H1505">
        <f>VLOOKUP($A1505,ordered_items!$B$2:$E$4784,4,0)</f>
        <v>327.75</v>
      </c>
      <c r="I1505" s="15">
        <f>VLOOKUP(F1505,product_info!$A$2:$D$73,4,0)</f>
        <v>2</v>
      </c>
      <c r="J1505" s="15" t="str">
        <f>VLOOKUP(I1505,department!$A$2:$B$13,2,0)</f>
        <v>Fitness</v>
      </c>
      <c r="K1505">
        <v>16697</v>
      </c>
      <c r="L1505" t="s">
        <v>383</v>
      </c>
      <c r="M1505" s="4">
        <v>44167</v>
      </c>
      <c r="N1505" s="12">
        <f t="shared" si="70"/>
        <v>12</v>
      </c>
      <c r="O1505" s="13">
        <f t="shared" si="71"/>
        <v>2020</v>
      </c>
      <c r="P1505" t="s">
        <v>13</v>
      </c>
      <c r="Q1505" t="s">
        <v>5781</v>
      </c>
      <c r="R1505" t="s">
        <v>378</v>
      </c>
      <c r="S1505" t="str" cm="1">
        <f t="array" ref="S1505">_xlfn.IFS(R1505="COMPLETE", "COMPLETED", R1505="CANCELED", "CANCELED", TRUE, "PENDING")</f>
        <v>PENDING</v>
      </c>
      <c r="T1505" t="s">
        <v>16</v>
      </c>
      <c r="U1505">
        <f>VLOOKUP(A1505,ordered_items!$B:$E,4,0)</f>
        <v>327.75</v>
      </c>
    </row>
    <row r="1506" spans="1:21" x14ac:dyDescent="0.3">
      <c r="A1506">
        <v>73173</v>
      </c>
      <c r="B1506" t="s">
        <v>24</v>
      </c>
      <c r="C1506">
        <v>4</v>
      </c>
      <c r="D1506">
        <v>4</v>
      </c>
      <c r="E1506" t="str">
        <f t="shared" si="69"/>
        <v xml:space="preserve"> ONTIME</v>
      </c>
      <c r="F1506">
        <f>VLOOKUP($A1506,ordered_items!$B$2:$E$4784,2,0)</f>
        <v>1360</v>
      </c>
      <c r="G1506">
        <f>VLOOKUP($A1506,ordered_items!$B$2:$E$4784,3,0)</f>
        <v>1</v>
      </c>
      <c r="H1506">
        <f>VLOOKUP($A1506,ordered_items!$B$2:$E$4784,4,0)</f>
        <v>327.75</v>
      </c>
      <c r="I1506" s="15">
        <f>VLOOKUP(F1506,product_info!$A$2:$D$73,4,0)</f>
        <v>2</v>
      </c>
      <c r="J1506" s="15" t="str">
        <f>VLOOKUP(I1506,department!$A$2:$B$13,2,0)</f>
        <v>Fitness</v>
      </c>
      <c r="K1506">
        <v>16726</v>
      </c>
      <c r="L1506" t="s">
        <v>376</v>
      </c>
      <c r="M1506" s="4">
        <v>44168</v>
      </c>
      <c r="N1506" s="12">
        <f t="shared" si="70"/>
        <v>12</v>
      </c>
      <c r="O1506" s="13">
        <f t="shared" si="71"/>
        <v>2020</v>
      </c>
      <c r="P1506" t="s">
        <v>13</v>
      </c>
      <c r="Q1506" t="s">
        <v>377</v>
      </c>
      <c r="R1506" t="s">
        <v>378</v>
      </c>
      <c r="S1506" t="str" cm="1">
        <f t="array" ref="S1506">_xlfn.IFS(R1506="COMPLETE", "COMPLETED", R1506="CANCELED", "CANCELED", TRUE, "PENDING")</f>
        <v>PENDING</v>
      </c>
      <c r="T1506" t="s">
        <v>16</v>
      </c>
      <c r="U1506">
        <f>VLOOKUP(A1506,ordered_items!$B:$E,4,0)</f>
        <v>327.75</v>
      </c>
    </row>
    <row r="1507" spans="1:21" x14ac:dyDescent="0.3">
      <c r="A1507">
        <v>73177</v>
      </c>
      <c r="B1507" t="s">
        <v>17</v>
      </c>
      <c r="C1507">
        <v>3</v>
      </c>
      <c r="D1507">
        <v>4</v>
      </c>
      <c r="E1507" t="str">
        <f t="shared" si="69"/>
        <v xml:space="preserve"> ONTIME</v>
      </c>
      <c r="F1507">
        <f>VLOOKUP($A1507,ordered_items!$B$2:$E$4784,2,0)</f>
        <v>1360</v>
      </c>
      <c r="G1507">
        <f>VLOOKUP($A1507,ordered_items!$B$2:$E$4784,3,0)</f>
        <v>1</v>
      </c>
      <c r="H1507">
        <f>VLOOKUP($A1507,ordered_items!$B$2:$E$4784,4,0)</f>
        <v>327.75</v>
      </c>
      <c r="I1507" s="15">
        <f>VLOOKUP(F1507,product_info!$A$2:$D$73,4,0)</f>
        <v>2</v>
      </c>
      <c r="J1507" s="15" t="str">
        <f>VLOOKUP(I1507,department!$A$2:$B$13,2,0)</f>
        <v>Fitness</v>
      </c>
      <c r="K1507">
        <v>16730</v>
      </c>
      <c r="L1507" t="s">
        <v>79</v>
      </c>
      <c r="M1507" s="4">
        <v>44168</v>
      </c>
      <c r="N1507" s="12">
        <f t="shared" si="70"/>
        <v>12</v>
      </c>
      <c r="O1507" s="13">
        <f t="shared" si="71"/>
        <v>2020</v>
      </c>
      <c r="P1507" t="s">
        <v>13</v>
      </c>
      <c r="Q1507" t="s">
        <v>80</v>
      </c>
      <c r="R1507" t="s">
        <v>23</v>
      </c>
      <c r="S1507" t="str" cm="1">
        <f t="array" ref="S1507">_xlfn.IFS(R1507="COMPLETE", "COMPLETED", R1507="CANCELED", "CANCELED", TRUE, "PENDING")</f>
        <v>PENDING</v>
      </c>
      <c r="T1507" t="s">
        <v>16</v>
      </c>
      <c r="U1507">
        <f>VLOOKUP(A1507,ordered_items!$B:$E,4,0)</f>
        <v>327.75</v>
      </c>
    </row>
    <row r="1508" spans="1:21" x14ac:dyDescent="0.3">
      <c r="A1508">
        <v>73178</v>
      </c>
      <c r="B1508" t="s">
        <v>24</v>
      </c>
      <c r="C1508">
        <v>4</v>
      </c>
      <c r="D1508">
        <v>4</v>
      </c>
      <c r="E1508" t="str">
        <f t="shared" si="69"/>
        <v xml:space="preserve"> ONTIME</v>
      </c>
      <c r="F1508">
        <f>VLOOKUP($A1508,ordered_items!$B$2:$E$4784,2,0)</f>
        <v>1360</v>
      </c>
      <c r="G1508">
        <f>VLOOKUP($A1508,ordered_items!$B$2:$E$4784,3,0)</f>
        <v>1</v>
      </c>
      <c r="H1508">
        <f>VLOOKUP($A1508,ordered_items!$B$2:$E$4784,4,0)</f>
        <v>327.75</v>
      </c>
      <c r="I1508" s="15">
        <f>VLOOKUP(F1508,product_info!$A$2:$D$73,4,0)</f>
        <v>2</v>
      </c>
      <c r="J1508" s="15" t="str">
        <f>VLOOKUP(I1508,department!$A$2:$B$13,2,0)</f>
        <v>Fitness</v>
      </c>
      <c r="K1508">
        <v>16731</v>
      </c>
      <c r="L1508" t="s">
        <v>79</v>
      </c>
      <c r="M1508" s="4">
        <v>44168</v>
      </c>
      <c r="N1508" s="12">
        <f t="shared" si="70"/>
        <v>12</v>
      </c>
      <c r="O1508" s="13">
        <f t="shared" si="71"/>
        <v>2020</v>
      </c>
      <c r="P1508" t="s">
        <v>13</v>
      </c>
      <c r="Q1508" t="s">
        <v>80</v>
      </c>
      <c r="R1508" t="s">
        <v>31</v>
      </c>
      <c r="S1508" t="str" cm="1">
        <f t="array" ref="S1508">_xlfn.IFS(R1508="COMPLETE", "COMPLETED", R1508="CANCELED", "CANCELED", TRUE, "PENDING")</f>
        <v>COMPLETED</v>
      </c>
      <c r="T1508" t="s">
        <v>16</v>
      </c>
      <c r="U1508">
        <f>VLOOKUP(A1508,ordered_items!$B:$E,4,0)</f>
        <v>327.75</v>
      </c>
    </row>
    <row r="1509" spans="1:21" x14ac:dyDescent="0.3">
      <c r="A1509">
        <v>73195</v>
      </c>
      <c r="B1509" t="s">
        <v>51</v>
      </c>
      <c r="C1509">
        <v>6</v>
      </c>
      <c r="D1509">
        <v>4</v>
      </c>
      <c r="E1509" t="str">
        <f t="shared" si="69"/>
        <v>DELAYED</v>
      </c>
      <c r="F1509">
        <f>VLOOKUP($A1509,ordered_items!$B$2:$E$4784,2,0)</f>
        <v>1360</v>
      </c>
      <c r="G1509">
        <f>VLOOKUP($A1509,ordered_items!$B$2:$E$4784,3,0)</f>
        <v>1</v>
      </c>
      <c r="H1509">
        <f>VLOOKUP($A1509,ordered_items!$B$2:$E$4784,4,0)</f>
        <v>327.75</v>
      </c>
      <c r="I1509" s="15">
        <f>VLOOKUP(F1509,product_info!$A$2:$D$73,4,0)</f>
        <v>2</v>
      </c>
      <c r="J1509" s="15" t="str">
        <f>VLOOKUP(I1509,department!$A$2:$B$13,2,0)</f>
        <v>Fitness</v>
      </c>
      <c r="K1509">
        <v>16748</v>
      </c>
      <c r="L1509" t="s">
        <v>253</v>
      </c>
      <c r="M1509" s="4">
        <v>44168</v>
      </c>
      <c r="N1509" s="12">
        <f t="shared" si="70"/>
        <v>12</v>
      </c>
      <c r="O1509" s="13">
        <f t="shared" si="71"/>
        <v>2020</v>
      </c>
      <c r="P1509" t="s">
        <v>13</v>
      </c>
      <c r="Q1509" t="s">
        <v>30</v>
      </c>
      <c r="R1509" t="s">
        <v>57</v>
      </c>
      <c r="S1509" t="str" cm="1">
        <f t="array" ref="S1509">_xlfn.IFS(R1509="COMPLETE", "COMPLETED", R1509="CANCELED", "CANCELED", TRUE, "PENDING")</f>
        <v>PENDING</v>
      </c>
      <c r="T1509" t="s">
        <v>16</v>
      </c>
      <c r="U1509">
        <f>VLOOKUP(A1509,ordered_items!$B:$E,4,0)</f>
        <v>327.75</v>
      </c>
    </row>
    <row r="1510" spans="1:21" x14ac:dyDescent="0.3">
      <c r="A1510">
        <v>73196</v>
      </c>
      <c r="B1510" t="s">
        <v>24</v>
      </c>
      <c r="C1510">
        <v>2</v>
      </c>
      <c r="D1510">
        <v>2</v>
      </c>
      <c r="E1510" t="str">
        <f t="shared" si="69"/>
        <v xml:space="preserve"> ONTIME</v>
      </c>
      <c r="F1510">
        <f>VLOOKUP($A1510,ordered_items!$B$2:$E$4784,2,0)</f>
        <v>1360</v>
      </c>
      <c r="G1510">
        <f>VLOOKUP($A1510,ordered_items!$B$2:$E$4784,3,0)</f>
        <v>1</v>
      </c>
      <c r="H1510">
        <f>VLOOKUP($A1510,ordered_items!$B$2:$E$4784,4,0)</f>
        <v>327.75</v>
      </c>
      <c r="I1510" s="15">
        <f>VLOOKUP(F1510,product_info!$A$2:$D$73,4,0)</f>
        <v>2</v>
      </c>
      <c r="J1510" s="15" t="str">
        <f>VLOOKUP(I1510,department!$A$2:$B$13,2,0)</f>
        <v>Fitness</v>
      </c>
      <c r="K1510">
        <v>16749</v>
      </c>
      <c r="L1510" t="s">
        <v>253</v>
      </c>
      <c r="M1510" s="4">
        <v>44168</v>
      </c>
      <c r="N1510" s="12">
        <f t="shared" si="70"/>
        <v>12</v>
      </c>
      <c r="O1510" s="13">
        <f t="shared" si="71"/>
        <v>2020</v>
      </c>
      <c r="P1510" t="s">
        <v>13</v>
      </c>
      <c r="Q1510" t="s">
        <v>30</v>
      </c>
      <c r="R1510" t="s">
        <v>31</v>
      </c>
      <c r="S1510" t="str" cm="1">
        <f t="array" ref="S1510">_xlfn.IFS(R1510="COMPLETE", "COMPLETED", R1510="CANCELED", "CANCELED", TRUE, "PENDING")</f>
        <v>COMPLETED</v>
      </c>
      <c r="T1510" t="s">
        <v>90</v>
      </c>
      <c r="U1510">
        <f>VLOOKUP(A1510,ordered_items!$B:$E,4,0)</f>
        <v>327.75</v>
      </c>
    </row>
    <row r="1511" spans="1:21" x14ac:dyDescent="0.3">
      <c r="A1511">
        <v>73211</v>
      </c>
      <c r="B1511" t="s">
        <v>24</v>
      </c>
      <c r="C1511">
        <v>2</v>
      </c>
      <c r="D1511">
        <v>4</v>
      </c>
      <c r="E1511" t="str">
        <f t="shared" si="69"/>
        <v xml:space="preserve"> ONTIME</v>
      </c>
      <c r="F1511">
        <f>VLOOKUP($A1511,ordered_items!$B$2:$E$4784,2,0)</f>
        <v>1360</v>
      </c>
      <c r="G1511">
        <f>VLOOKUP($A1511,ordered_items!$B$2:$E$4784,3,0)</f>
        <v>1</v>
      </c>
      <c r="H1511">
        <f>VLOOKUP($A1511,ordered_items!$B$2:$E$4784,4,0)</f>
        <v>327.75</v>
      </c>
      <c r="I1511" s="15">
        <f>VLOOKUP(F1511,product_info!$A$2:$D$73,4,0)</f>
        <v>2</v>
      </c>
      <c r="J1511" s="15" t="str">
        <f>VLOOKUP(I1511,department!$A$2:$B$13,2,0)</f>
        <v>Fitness</v>
      </c>
      <c r="K1511">
        <v>16764</v>
      </c>
      <c r="L1511" t="s">
        <v>357</v>
      </c>
      <c r="M1511" s="4">
        <v>44168</v>
      </c>
      <c r="N1511" s="12">
        <f t="shared" si="70"/>
        <v>12</v>
      </c>
      <c r="O1511" s="13">
        <f t="shared" si="71"/>
        <v>2020</v>
      </c>
      <c r="P1511" t="s">
        <v>13</v>
      </c>
      <c r="Q1511" t="s">
        <v>203</v>
      </c>
      <c r="R1511" t="s">
        <v>31</v>
      </c>
      <c r="S1511" t="str" cm="1">
        <f t="array" ref="S1511">_xlfn.IFS(R1511="COMPLETE", "COMPLETED", R1511="CANCELED", "CANCELED", TRUE, "PENDING")</f>
        <v>COMPLETED</v>
      </c>
      <c r="T1511" t="s">
        <v>16</v>
      </c>
      <c r="U1511">
        <f>VLOOKUP(A1511,ordered_items!$B:$E,4,0)</f>
        <v>327.75</v>
      </c>
    </row>
    <row r="1512" spans="1:21" x14ac:dyDescent="0.3">
      <c r="A1512">
        <v>73212</v>
      </c>
      <c r="B1512" t="s">
        <v>3</v>
      </c>
      <c r="C1512">
        <v>3</v>
      </c>
      <c r="D1512">
        <v>4</v>
      </c>
      <c r="E1512" t="str">
        <f t="shared" si="69"/>
        <v xml:space="preserve"> ONTIME</v>
      </c>
      <c r="F1512">
        <f>VLOOKUP($A1512,ordered_items!$B$2:$E$4784,2,0)</f>
        <v>1360</v>
      </c>
      <c r="G1512">
        <f>VLOOKUP($A1512,ordered_items!$B$2:$E$4784,3,0)</f>
        <v>1</v>
      </c>
      <c r="H1512">
        <f>VLOOKUP($A1512,ordered_items!$B$2:$E$4784,4,0)</f>
        <v>327.75</v>
      </c>
      <c r="I1512" s="15">
        <f>VLOOKUP(F1512,product_info!$A$2:$D$73,4,0)</f>
        <v>2</v>
      </c>
      <c r="J1512" s="15" t="str">
        <f>VLOOKUP(I1512,department!$A$2:$B$13,2,0)</f>
        <v>Fitness</v>
      </c>
      <c r="K1512">
        <v>16765</v>
      </c>
      <c r="L1512" t="s">
        <v>357</v>
      </c>
      <c r="M1512" s="4">
        <v>44168</v>
      </c>
      <c r="N1512" s="12">
        <f t="shared" si="70"/>
        <v>12</v>
      </c>
      <c r="O1512" s="13">
        <f t="shared" si="71"/>
        <v>2020</v>
      </c>
      <c r="P1512" t="s">
        <v>13</v>
      </c>
      <c r="Q1512" t="s">
        <v>203</v>
      </c>
      <c r="R1512" t="s">
        <v>14</v>
      </c>
      <c r="S1512" t="str" cm="1">
        <f t="array" ref="S1512">_xlfn.IFS(R1512="COMPLETE", "COMPLETED", R1512="CANCELED", "CANCELED", TRUE, "PENDING")</f>
        <v>PENDING</v>
      </c>
      <c r="T1512" t="s">
        <v>16</v>
      </c>
      <c r="U1512">
        <f>VLOOKUP(A1512,ordered_items!$B:$E,4,0)</f>
        <v>327.75</v>
      </c>
    </row>
    <row r="1513" spans="1:21" x14ac:dyDescent="0.3">
      <c r="A1513">
        <v>73214</v>
      </c>
      <c r="B1513" t="s">
        <v>3</v>
      </c>
      <c r="C1513">
        <v>5</v>
      </c>
      <c r="D1513">
        <v>4</v>
      </c>
      <c r="E1513" t="str">
        <f t="shared" si="69"/>
        <v>DELAYED</v>
      </c>
      <c r="F1513">
        <f>VLOOKUP($A1513,ordered_items!$B$2:$E$4784,2,0)</f>
        <v>1360</v>
      </c>
      <c r="G1513">
        <f>VLOOKUP($A1513,ordered_items!$B$2:$E$4784,3,0)</f>
        <v>1</v>
      </c>
      <c r="H1513">
        <f>VLOOKUP($A1513,ordered_items!$B$2:$E$4784,4,0)</f>
        <v>327.75</v>
      </c>
      <c r="I1513" s="15">
        <f>VLOOKUP(F1513,product_info!$A$2:$D$73,4,0)</f>
        <v>2</v>
      </c>
      <c r="J1513" s="15" t="str">
        <f>VLOOKUP(I1513,department!$A$2:$B$13,2,0)</f>
        <v>Fitness</v>
      </c>
      <c r="K1513">
        <v>16767</v>
      </c>
      <c r="L1513" t="s">
        <v>327</v>
      </c>
      <c r="M1513" s="4">
        <v>44168</v>
      </c>
      <c r="N1513" s="12">
        <f t="shared" si="70"/>
        <v>12</v>
      </c>
      <c r="O1513" s="13">
        <f t="shared" si="71"/>
        <v>2020</v>
      </c>
      <c r="P1513" t="s">
        <v>13</v>
      </c>
      <c r="Q1513" t="s">
        <v>227</v>
      </c>
      <c r="R1513" t="s">
        <v>38</v>
      </c>
      <c r="S1513" t="str" cm="1">
        <f t="array" ref="S1513">_xlfn.IFS(R1513="COMPLETE", "COMPLETED", R1513="CANCELED", "CANCELED", TRUE, "PENDING")</f>
        <v>PENDING</v>
      </c>
      <c r="T1513" t="s">
        <v>16</v>
      </c>
      <c r="U1513">
        <f>VLOOKUP(A1513,ordered_items!$B:$E,4,0)</f>
        <v>327.75</v>
      </c>
    </row>
    <row r="1514" spans="1:21" x14ac:dyDescent="0.3">
      <c r="A1514">
        <v>73215</v>
      </c>
      <c r="B1514" t="s">
        <v>51</v>
      </c>
      <c r="C1514">
        <v>6</v>
      </c>
      <c r="D1514">
        <v>4</v>
      </c>
      <c r="E1514" t="str">
        <f t="shared" si="69"/>
        <v>DELAYED</v>
      </c>
      <c r="F1514">
        <f>VLOOKUP($A1514,ordered_items!$B$2:$E$4784,2,0)</f>
        <v>1360</v>
      </c>
      <c r="G1514">
        <f>VLOOKUP($A1514,ordered_items!$B$2:$E$4784,3,0)</f>
        <v>1</v>
      </c>
      <c r="H1514">
        <f>VLOOKUP($A1514,ordered_items!$B$2:$E$4784,4,0)</f>
        <v>327.75</v>
      </c>
      <c r="I1514" s="15">
        <f>VLOOKUP(F1514,product_info!$A$2:$D$73,4,0)</f>
        <v>2</v>
      </c>
      <c r="J1514" s="15" t="str">
        <f>VLOOKUP(I1514,department!$A$2:$B$13,2,0)</f>
        <v>Fitness</v>
      </c>
      <c r="K1514">
        <v>16768</v>
      </c>
      <c r="L1514" t="s">
        <v>327</v>
      </c>
      <c r="M1514" s="4">
        <v>44168</v>
      </c>
      <c r="N1514" s="12">
        <f t="shared" si="70"/>
        <v>12</v>
      </c>
      <c r="O1514" s="13">
        <f t="shared" si="71"/>
        <v>2020</v>
      </c>
      <c r="P1514" t="s">
        <v>13</v>
      </c>
      <c r="Q1514" t="s">
        <v>227</v>
      </c>
      <c r="R1514" t="s">
        <v>57</v>
      </c>
      <c r="S1514" t="str" cm="1">
        <f t="array" ref="S1514">_xlfn.IFS(R1514="COMPLETE", "COMPLETED", R1514="CANCELED", "CANCELED", TRUE, "PENDING")</f>
        <v>PENDING</v>
      </c>
      <c r="T1514" t="s">
        <v>16</v>
      </c>
      <c r="U1514">
        <f>VLOOKUP(A1514,ordered_items!$B:$E,4,0)</f>
        <v>327.75</v>
      </c>
    </row>
    <row r="1515" spans="1:21" x14ac:dyDescent="0.3">
      <c r="A1515">
        <v>73216</v>
      </c>
      <c r="B1515" t="s">
        <v>3</v>
      </c>
      <c r="C1515">
        <v>2</v>
      </c>
      <c r="D1515">
        <v>4</v>
      </c>
      <c r="E1515" t="str">
        <f t="shared" si="69"/>
        <v xml:space="preserve"> ONTIME</v>
      </c>
      <c r="F1515">
        <f>VLOOKUP($A1515,ordered_items!$B$2:$E$4784,2,0)</f>
        <v>1360</v>
      </c>
      <c r="G1515">
        <f>VLOOKUP($A1515,ordered_items!$B$2:$E$4784,3,0)</f>
        <v>1</v>
      </c>
      <c r="H1515">
        <f>VLOOKUP($A1515,ordered_items!$B$2:$E$4784,4,0)</f>
        <v>327.75</v>
      </c>
      <c r="I1515" s="15">
        <f>VLOOKUP(F1515,product_info!$A$2:$D$73,4,0)</f>
        <v>2</v>
      </c>
      <c r="J1515" s="15" t="str">
        <f>VLOOKUP(I1515,department!$A$2:$B$13,2,0)</f>
        <v>Fitness</v>
      </c>
      <c r="K1515">
        <v>16769</v>
      </c>
      <c r="L1515" t="s">
        <v>327</v>
      </c>
      <c r="M1515" s="4">
        <v>44168</v>
      </c>
      <c r="N1515" s="12">
        <f t="shared" si="70"/>
        <v>12</v>
      </c>
      <c r="O1515" s="13">
        <f t="shared" si="71"/>
        <v>2020</v>
      </c>
      <c r="P1515" t="s">
        <v>13</v>
      </c>
      <c r="Q1515" t="s">
        <v>227</v>
      </c>
      <c r="R1515" t="s">
        <v>14</v>
      </c>
      <c r="S1515" t="str" cm="1">
        <f t="array" ref="S1515">_xlfn.IFS(R1515="COMPLETE", "COMPLETED", R1515="CANCELED", "CANCELED", TRUE, "PENDING")</f>
        <v>PENDING</v>
      </c>
      <c r="T1515" t="s">
        <v>16</v>
      </c>
      <c r="U1515">
        <f>VLOOKUP(A1515,ordered_items!$B:$E,4,0)</f>
        <v>327.75</v>
      </c>
    </row>
    <row r="1516" spans="1:21" x14ac:dyDescent="0.3">
      <c r="A1516">
        <v>73217</v>
      </c>
      <c r="B1516" t="s">
        <v>51</v>
      </c>
      <c r="C1516">
        <v>3</v>
      </c>
      <c r="D1516">
        <v>4</v>
      </c>
      <c r="E1516" t="str">
        <f t="shared" si="69"/>
        <v xml:space="preserve"> ONTIME</v>
      </c>
      <c r="F1516">
        <f>VLOOKUP($A1516,ordered_items!$B$2:$E$4784,2,0)</f>
        <v>1360</v>
      </c>
      <c r="G1516">
        <f>VLOOKUP($A1516,ordered_items!$B$2:$E$4784,3,0)</f>
        <v>1</v>
      </c>
      <c r="H1516">
        <f>VLOOKUP($A1516,ordered_items!$B$2:$E$4784,4,0)</f>
        <v>327.75</v>
      </c>
      <c r="I1516" s="15">
        <f>VLOOKUP(F1516,product_info!$A$2:$D$73,4,0)</f>
        <v>2</v>
      </c>
      <c r="J1516" s="15" t="str">
        <f>VLOOKUP(I1516,department!$A$2:$B$13,2,0)</f>
        <v>Fitness</v>
      </c>
      <c r="K1516">
        <v>16770</v>
      </c>
      <c r="L1516" t="s">
        <v>327</v>
      </c>
      <c r="M1516" s="4">
        <v>44168</v>
      </c>
      <c r="N1516" s="12">
        <f t="shared" si="70"/>
        <v>12</v>
      </c>
      <c r="O1516" s="13">
        <f t="shared" si="71"/>
        <v>2020</v>
      </c>
      <c r="P1516" t="s">
        <v>13</v>
      </c>
      <c r="Q1516" t="s">
        <v>227</v>
      </c>
      <c r="R1516" t="s">
        <v>57</v>
      </c>
      <c r="S1516" t="str" cm="1">
        <f t="array" ref="S1516">_xlfn.IFS(R1516="COMPLETE", "COMPLETED", R1516="CANCELED", "CANCELED", TRUE, "PENDING")</f>
        <v>PENDING</v>
      </c>
      <c r="T1516" t="s">
        <v>16</v>
      </c>
      <c r="U1516">
        <f>VLOOKUP(A1516,ordered_items!$B:$E,4,0)</f>
        <v>327.75</v>
      </c>
    </row>
    <row r="1517" spans="1:21" x14ac:dyDescent="0.3">
      <c r="A1517">
        <v>73218</v>
      </c>
      <c r="B1517" t="s">
        <v>3</v>
      </c>
      <c r="C1517">
        <v>4</v>
      </c>
      <c r="D1517">
        <v>4</v>
      </c>
      <c r="E1517" t="str">
        <f t="shared" si="69"/>
        <v xml:space="preserve"> ONTIME</v>
      </c>
      <c r="F1517">
        <f>VLOOKUP($A1517,ordered_items!$B$2:$E$4784,2,0)</f>
        <v>1360</v>
      </c>
      <c r="G1517">
        <f>VLOOKUP($A1517,ordered_items!$B$2:$E$4784,3,0)</f>
        <v>1</v>
      </c>
      <c r="H1517">
        <f>VLOOKUP($A1517,ordered_items!$B$2:$E$4784,4,0)</f>
        <v>327.75</v>
      </c>
      <c r="I1517" s="15">
        <f>VLOOKUP(F1517,product_info!$A$2:$D$73,4,0)</f>
        <v>2</v>
      </c>
      <c r="J1517" s="15" t="str">
        <f>VLOOKUP(I1517,department!$A$2:$B$13,2,0)</f>
        <v>Fitness</v>
      </c>
      <c r="K1517">
        <v>16771</v>
      </c>
      <c r="L1517" t="s">
        <v>327</v>
      </c>
      <c r="M1517" s="4">
        <v>44168</v>
      </c>
      <c r="N1517" s="12">
        <f t="shared" si="70"/>
        <v>12</v>
      </c>
      <c r="O1517" s="13">
        <f t="shared" si="71"/>
        <v>2020</v>
      </c>
      <c r="P1517" t="s">
        <v>13</v>
      </c>
      <c r="Q1517" t="s">
        <v>227</v>
      </c>
      <c r="R1517" t="s">
        <v>14</v>
      </c>
      <c r="S1517" t="str" cm="1">
        <f t="array" ref="S1517">_xlfn.IFS(R1517="COMPLETE", "COMPLETED", R1517="CANCELED", "CANCELED", TRUE, "PENDING")</f>
        <v>PENDING</v>
      </c>
      <c r="T1517" t="s">
        <v>16</v>
      </c>
      <c r="U1517">
        <f>VLOOKUP(A1517,ordered_items!$B:$E,4,0)</f>
        <v>327.75</v>
      </c>
    </row>
    <row r="1518" spans="1:21" x14ac:dyDescent="0.3">
      <c r="A1518">
        <v>73219</v>
      </c>
      <c r="B1518" t="s">
        <v>24</v>
      </c>
      <c r="C1518">
        <v>5</v>
      </c>
      <c r="D1518">
        <v>4</v>
      </c>
      <c r="E1518" t="str">
        <f t="shared" si="69"/>
        <v>DELAYED</v>
      </c>
      <c r="F1518">
        <f>VLOOKUP($A1518,ordered_items!$B$2:$E$4784,2,0)</f>
        <v>1360</v>
      </c>
      <c r="G1518">
        <f>VLOOKUP($A1518,ordered_items!$B$2:$E$4784,3,0)</f>
        <v>1</v>
      </c>
      <c r="H1518">
        <f>VLOOKUP($A1518,ordered_items!$B$2:$E$4784,4,0)</f>
        <v>327.75</v>
      </c>
      <c r="I1518" s="15">
        <f>VLOOKUP(F1518,product_info!$A$2:$D$73,4,0)</f>
        <v>2</v>
      </c>
      <c r="J1518" s="15" t="str">
        <f>VLOOKUP(I1518,department!$A$2:$B$13,2,0)</f>
        <v>Fitness</v>
      </c>
      <c r="K1518">
        <v>16772</v>
      </c>
      <c r="L1518" t="s">
        <v>327</v>
      </c>
      <c r="M1518" s="4">
        <v>44168</v>
      </c>
      <c r="N1518" s="12">
        <f t="shared" si="70"/>
        <v>12</v>
      </c>
      <c r="O1518" s="13">
        <f t="shared" si="71"/>
        <v>2020</v>
      </c>
      <c r="P1518" t="s">
        <v>13</v>
      </c>
      <c r="Q1518" t="s">
        <v>227</v>
      </c>
      <c r="R1518" t="s">
        <v>31</v>
      </c>
      <c r="S1518" t="str" cm="1">
        <f t="array" ref="S1518">_xlfn.IFS(R1518="COMPLETE", "COMPLETED", R1518="CANCELED", "CANCELED", TRUE, "PENDING")</f>
        <v>COMPLETED</v>
      </c>
      <c r="T1518" t="s">
        <v>16</v>
      </c>
      <c r="U1518">
        <f>VLOOKUP(A1518,ordered_items!$B:$E,4,0)</f>
        <v>327.75</v>
      </c>
    </row>
    <row r="1519" spans="1:21" x14ac:dyDescent="0.3">
      <c r="A1519">
        <v>73220</v>
      </c>
      <c r="B1519" t="s">
        <v>3</v>
      </c>
      <c r="C1519">
        <v>6</v>
      </c>
      <c r="D1519">
        <v>4</v>
      </c>
      <c r="E1519" t="str">
        <f t="shared" si="69"/>
        <v>DELAYED</v>
      </c>
      <c r="F1519">
        <f>VLOOKUP($A1519,ordered_items!$B$2:$E$4784,2,0)</f>
        <v>1360</v>
      </c>
      <c r="G1519">
        <f>VLOOKUP($A1519,ordered_items!$B$2:$E$4784,3,0)</f>
        <v>1</v>
      </c>
      <c r="H1519">
        <f>VLOOKUP($A1519,ordered_items!$B$2:$E$4784,4,0)</f>
        <v>327.75</v>
      </c>
      <c r="I1519" s="15">
        <f>VLOOKUP(F1519,product_info!$A$2:$D$73,4,0)</f>
        <v>2</v>
      </c>
      <c r="J1519" s="15" t="str">
        <f>VLOOKUP(I1519,department!$A$2:$B$13,2,0)</f>
        <v>Fitness</v>
      </c>
      <c r="K1519">
        <v>16773</v>
      </c>
      <c r="L1519" t="s">
        <v>327</v>
      </c>
      <c r="M1519" s="4">
        <v>44168</v>
      </c>
      <c r="N1519" s="12">
        <f t="shared" si="70"/>
        <v>12</v>
      </c>
      <c r="O1519" s="13">
        <f t="shared" si="71"/>
        <v>2020</v>
      </c>
      <c r="P1519" t="s">
        <v>13</v>
      </c>
      <c r="Q1519" t="s">
        <v>227</v>
      </c>
      <c r="R1519" t="s">
        <v>38</v>
      </c>
      <c r="S1519" t="str" cm="1">
        <f t="array" ref="S1519">_xlfn.IFS(R1519="COMPLETE", "COMPLETED", R1519="CANCELED", "CANCELED", TRUE, "PENDING")</f>
        <v>PENDING</v>
      </c>
      <c r="T1519" t="s">
        <v>16</v>
      </c>
      <c r="U1519">
        <f>VLOOKUP(A1519,ordered_items!$B:$E,4,0)</f>
        <v>327.75</v>
      </c>
    </row>
    <row r="1520" spans="1:21" x14ac:dyDescent="0.3">
      <c r="A1520">
        <v>73221</v>
      </c>
      <c r="B1520" t="s">
        <v>51</v>
      </c>
      <c r="C1520">
        <v>2</v>
      </c>
      <c r="D1520">
        <v>4</v>
      </c>
      <c r="E1520" t="str">
        <f t="shared" si="69"/>
        <v xml:space="preserve"> ONTIME</v>
      </c>
      <c r="F1520">
        <f>VLOOKUP($A1520,ordered_items!$B$2:$E$4784,2,0)</f>
        <v>1360</v>
      </c>
      <c r="G1520">
        <f>VLOOKUP($A1520,ordered_items!$B$2:$E$4784,3,0)</f>
        <v>1</v>
      </c>
      <c r="H1520">
        <f>VLOOKUP($A1520,ordered_items!$B$2:$E$4784,4,0)</f>
        <v>327.75</v>
      </c>
      <c r="I1520" s="15">
        <f>VLOOKUP(F1520,product_info!$A$2:$D$73,4,0)</f>
        <v>2</v>
      </c>
      <c r="J1520" s="15" t="str">
        <f>VLOOKUP(I1520,department!$A$2:$B$13,2,0)</f>
        <v>Fitness</v>
      </c>
      <c r="K1520">
        <v>16774</v>
      </c>
      <c r="L1520" t="s">
        <v>327</v>
      </c>
      <c r="M1520" s="4">
        <v>44168</v>
      </c>
      <c r="N1520" s="12">
        <f t="shared" si="70"/>
        <v>12</v>
      </c>
      <c r="O1520" s="13">
        <f t="shared" si="71"/>
        <v>2020</v>
      </c>
      <c r="P1520" t="s">
        <v>13</v>
      </c>
      <c r="Q1520" t="s">
        <v>227</v>
      </c>
      <c r="R1520" t="s">
        <v>57</v>
      </c>
      <c r="S1520" t="str" cm="1">
        <f t="array" ref="S1520">_xlfn.IFS(R1520="COMPLETE", "COMPLETED", R1520="CANCELED", "CANCELED", TRUE, "PENDING")</f>
        <v>PENDING</v>
      </c>
      <c r="T1520" t="s">
        <v>16</v>
      </c>
      <c r="U1520">
        <f>VLOOKUP(A1520,ordered_items!$B:$E,4,0)</f>
        <v>327.75</v>
      </c>
    </row>
    <row r="1521" spans="1:21" x14ac:dyDescent="0.3">
      <c r="A1521">
        <v>73270</v>
      </c>
      <c r="B1521" t="s">
        <v>51</v>
      </c>
      <c r="C1521">
        <v>6</v>
      </c>
      <c r="D1521">
        <v>4</v>
      </c>
      <c r="E1521" t="str">
        <f t="shared" si="69"/>
        <v>DELAYED</v>
      </c>
      <c r="F1521">
        <f>VLOOKUP($A1521,ordered_items!$B$2:$E$4784,2,0)</f>
        <v>1361</v>
      </c>
      <c r="G1521">
        <f>VLOOKUP($A1521,ordered_items!$B$2:$E$4784,3,0)</f>
        <v>1</v>
      </c>
      <c r="H1521">
        <f>VLOOKUP($A1521,ordered_items!$B$2:$E$4784,4,0)</f>
        <v>11.54</v>
      </c>
      <c r="I1521" s="15">
        <f>VLOOKUP(F1521,product_info!$A$2:$D$73,4,0)</f>
        <v>7</v>
      </c>
      <c r="J1521" s="15" t="str">
        <f>VLOOKUP(I1521,department!$A$2:$B$13,2,0)</f>
        <v>Fan Shop</v>
      </c>
      <c r="K1521">
        <v>16823</v>
      </c>
      <c r="L1521" t="s">
        <v>857</v>
      </c>
      <c r="M1521" s="4">
        <v>44169</v>
      </c>
      <c r="N1521" s="12">
        <f t="shared" si="70"/>
        <v>12</v>
      </c>
      <c r="O1521" s="13">
        <f t="shared" si="71"/>
        <v>2020</v>
      </c>
      <c r="P1521" t="s">
        <v>13</v>
      </c>
      <c r="Q1521" t="s">
        <v>80</v>
      </c>
      <c r="R1521" t="s">
        <v>57</v>
      </c>
      <c r="S1521" t="str" cm="1">
        <f t="array" ref="S1521">_xlfn.IFS(R1521="COMPLETE", "COMPLETED", R1521="CANCELED", "CANCELED", TRUE, "PENDING")</f>
        <v>PENDING</v>
      </c>
      <c r="T1521" t="s">
        <v>16</v>
      </c>
      <c r="U1521">
        <f>VLOOKUP(A1521,ordered_items!$B:$E,4,0)</f>
        <v>11.54</v>
      </c>
    </row>
    <row r="1522" spans="1:21" x14ac:dyDescent="0.3">
      <c r="A1522">
        <v>73271</v>
      </c>
      <c r="B1522" t="s">
        <v>17</v>
      </c>
      <c r="C1522">
        <v>2</v>
      </c>
      <c r="D1522">
        <v>4</v>
      </c>
      <c r="E1522" t="str">
        <f t="shared" si="69"/>
        <v xml:space="preserve"> ONTIME</v>
      </c>
      <c r="F1522">
        <f>VLOOKUP($A1522,ordered_items!$B$2:$E$4784,2,0)</f>
        <v>1361</v>
      </c>
      <c r="G1522">
        <f>VLOOKUP($A1522,ordered_items!$B$2:$E$4784,3,0)</f>
        <v>1</v>
      </c>
      <c r="H1522">
        <f>VLOOKUP($A1522,ordered_items!$B$2:$E$4784,4,0)</f>
        <v>11.54</v>
      </c>
      <c r="I1522" s="15">
        <f>VLOOKUP(F1522,product_info!$A$2:$D$73,4,0)</f>
        <v>7</v>
      </c>
      <c r="J1522" s="15" t="str">
        <f>VLOOKUP(I1522,department!$A$2:$B$13,2,0)</f>
        <v>Fan Shop</v>
      </c>
      <c r="K1522">
        <v>16824</v>
      </c>
      <c r="L1522" t="s">
        <v>844</v>
      </c>
      <c r="M1522" s="4">
        <v>44169</v>
      </c>
      <c r="N1522" s="12">
        <f t="shared" si="70"/>
        <v>12</v>
      </c>
      <c r="O1522" s="13">
        <f t="shared" si="71"/>
        <v>2020</v>
      </c>
      <c r="P1522" t="s">
        <v>13</v>
      </c>
      <c r="Q1522" t="s">
        <v>377</v>
      </c>
      <c r="R1522" t="s">
        <v>23</v>
      </c>
      <c r="S1522" t="str" cm="1">
        <f t="array" ref="S1522">_xlfn.IFS(R1522="COMPLETE", "COMPLETED", R1522="CANCELED", "CANCELED", TRUE, "PENDING")</f>
        <v>PENDING</v>
      </c>
      <c r="T1522" t="s">
        <v>16</v>
      </c>
      <c r="U1522">
        <f>VLOOKUP(A1522,ordered_items!$B:$E,4,0)</f>
        <v>11.54</v>
      </c>
    </row>
    <row r="1523" spans="1:21" x14ac:dyDescent="0.3">
      <c r="A1523">
        <v>73272</v>
      </c>
      <c r="B1523" t="s">
        <v>17</v>
      </c>
      <c r="C1523">
        <v>3</v>
      </c>
      <c r="D1523">
        <v>4</v>
      </c>
      <c r="E1523" t="str">
        <f t="shared" si="69"/>
        <v xml:space="preserve"> ONTIME</v>
      </c>
      <c r="F1523">
        <f>VLOOKUP($A1523,ordered_items!$B$2:$E$4784,2,0)</f>
        <v>1361</v>
      </c>
      <c r="G1523">
        <f>VLOOKUP($A1523,ordered_items!$B$2:$E$4784,3,0)</f>
        <v>1</v>
      </c>
      <c r="H1523">
        <f>VLOOKUP($A1523,ordered_items!$B$2:$E$4784,4,0)</f>
        <v>11.54</v>
      </c>
      <c r="I1523" s="15">
        <f>VLOOKUP(F1523,product_info!$A$2:$D$73,4,0)</f>
        <v>7</v>
      </c>
      <c r="J1523" s="15" t="str">
        <f>VLOOKUP(I1523,department!$A$2:$B$13,2,0)</f>
        <v>Fan Shop</v>
      </c>
      <c r="K1523">
        <v>16825</v>
      </c>
      <c r="L1523" t="s">
        <v>844</v>
      </c>
      <c r="M1523" s="4">
        <v>44169</v>
      </c>
      <c r="N1523" s="12">
        <f t="shared" si="70"/>
        <v>12</v>
      </c>
      <c r="O1523" s="13">
        <f t="shared" si="71"/>
        <v>2020</v>
      </c>
      <c r="P1523" t="s">
        <v>13</v>
      </c>
      <c r="Q1523" t="s">
        <v>377</v>
      </c>
      <c r="R1523" t="s">
        <v>23</v>
      </c>
      <c r="S1523" t="str" cm="1">
        <f t="array" ref="S1523">_xlfn.IFS(R1523="COMPLETE", "COMPLETED", R1523="CANCELED", "CANCELED", TRUE, "PENDING")</f>
        <v>PENDING</v>
      </c>
      <c r="T1523" t="s">
        <v>16</v>
      </c>
      <c r="U1523">
        <f>VLOOKUP(A1523,ordered_items!$B:$E,4,0)</f>
        <v>11.54</v>
      </c>
    </row>
    <row r="1524" spans="1:21" x14ac:dyDescent="0.3">
      <c r="A1524">
        <v>73280</v>
      </c>
      <c r="B1524" t="s">
        <v>3</v>
      </c>
      <c r="C1524">
        <v>1</v>
      </c>
      <c r="D1524">
        <v>0</v>
      </c>
      <c r="E1524" t="str">
        <f t="shared" si="69"/>
        <v>DELAYED</v>
      </c>
      <c r="F1524">
        <f>VLOOKUP($A1524,ordered_items!$B$2:$E$4784,2,0)</f>
        <v>1361</v>
      </c>
      <c r="G1524">
        <f>VLOOKUP($A1524,ordered_items!$B$2:$E$4784,3,0)</f>
        <v>1</v>
      </c>
      <c r="H1524">
        <f>VLOOKUP($A1524,ordered_items!$B$2:$E$4784,4,0)</f>
        <v>11.54</v>
      </c>
      <c r="I1524" s="15">
        <f>VLOOKUP(F1524,product_info!$A$2:$D$73,4,0)</f>
        <v>7</v>
      </c>
      <c r="J1524" s="15" t="str">
        <f>VLOOKUP(I1524,department!$A$2:$B$13,2,0)</f>
        <v>Fan Shop</v>
      </c>
      <c r="K1524">
        <v>16833</v>
      </c>
      <c r="L1524" t="s">
        <v>870</v>
      </c>
      <c r="M1524" s="4">
        <v>44169</v>
      </c>
      <c r="N1524" s="12">
        <f t="shared" si="70"/>
        <v>12</v>
      </c>
      <c r="O1524" s="13">
        <f t="shared" si="71"/>
        <v>2020</v>
      </c>
      <c r="P1524" t="s">
        <v>13</v>
      </c>
      <c r="Q1524" t="s">
        <v>5778</v>
      </c>
      <c r="R1524" t="s">
        <v>14</v>
      </c>
      <c r="S1524" t="str" cm="1">
        <f t="array" ref="S1524">_xlfn.IFS(R1524="COMPLETE", "COMPLETED", R1524="CANCELED", "CANCELED", TRUE, "PENDING")</f>
        <v>PENDING</v>
      </c>
      <c r="T1524" t="s">
        <v>58</v>
      </c>
      <c r="U1524">
        <f>VLOOKUP(A1524,ordered_items!$B:$E,4,0)</f>
        <v>11.54</v>
      </c>
    </row>
    <row r="1525" spans="1:21" x14ac:dyDescent="0.3">
      <c r="A1525">
        <v>73284</v>
      </c>
      <c r="B1525" t="s">
        <v>24</v>
      </c>
      <c r="C1525">
        <v>2</v>
      </c>
      <c r="D1525">
        <v>1</v>
      </c>
      <c r="E1525" t="str">
        <f t="shared" si="69"/>
        <v>DELAYED</v>
      </c>
      <c r="F1525">
        <f>VLOOKUP($A1525,ordered_items!$B$2:$E$4784,2,0)</f>
        <v>1361</v>
      </c>
      <c r="G1525">
        <f>VLOOKUP($A1525,ordered_items!$B$2:$E$4784,3,0)</f>
        <v>1</v>
      </c>
      <c r="H1525">
        <f>VLOOKUP($A1525,ordered_items!$B$2:$E$4784,4,0)</f>
        <v>11.54</v>
      </c>
      <c r="I1525" s="15">
        <f>VLOOKUP(F1525,product_info!$A$2:$D$73,4,0)</f>
        <v>7</v>
      </c>
      <c r="J1525" s="15" t="str">
        <f>VLOOKUP(I1525,department!$A$2:$B$13,2,0)</f>
        <v>Fan Shop</v>
      </c>
      <c r="K1525">
        <v>16837</v>
      </c>
      <c r="L1525" t="s">
        <v>465</v>
      </c>
      <c r="M1525" s="4">
        <v>44169</v>
      </c>
      <c r="N1525" s="12">
        <f t="shared" si="70"/>
        <v>12</v>
      </c>
      <c r="O1525" s="13">
        <f t="shared" si="71"/>
        <v>2020</v>
      </c>
      <c r="P1525" t="s">
        <v>13</v>
      </c>
      <c r="Q1525" t="s">
        <v>99</v>
      </c>
      <c r="R1525" t="s">
        <v>31</v>
      </c>
      <c r="S1525" t="str" cm="1">
        <f t="array" ref="S1525">_xlfn.IFS(R1525="COMPLETE", "COMPLETED", R1525="CANCELED", "CANCELED", TRUE, "PENDING")</f>
        <v>COMPLETED</v>
      </c>
      <c r="T1525" t="s">
        <v>32</v>
      </c>
      <c r="U1525">
        <f>VLOOKUP(A1525,ordered_items!$B:$E,4,0)</f>
        <v>11.54</v>
      </c>
    </row>
    <row r="1526" spans="1:21" x14ac:dyDescent="0.3">
      <c r="A1526">
        <v>73285</v>
      </c>
      <c r="B1526" t="s">
        <v>17</v>
      </c>
      <c r="C1526">
        <v>2</v>
      </c>
      <c r="D1526">
        <v>1</v>
      </c>
      <c r="E1526" t="str">
        <f t="shared" si="69"/>
        <v>DELAYED</v>
      </c>
      <c r="F1526">
        <f>VLOOKUP($A1526,ordered_items!$B$2:$E$4784,2,0)</f>
        <v>1361</v>
      </c>
      <c r="G1526">
        <f>VLOOKUP($A1526,ordered_items!$B$2:$E$4784,3,0)</f>
        <v>1</v>
      </c>
      <c r="H1526">
        <f>VLOOKUP($A1526,ordered_items!$B$2:$E$4784,4,0)</f>
        <v>11.54</v>
      </c>
      <c r="I1526" s="15">
        <f>VLOOKUP(F1526,product_info!$A$2:$D$73,4,0)</f>
        <v>7</v>
      </c>
      <c r="J1526" s="15" t="str">
        <f>VLOOKUP(I1526,department!$A$2:$B$13,2,0)</f>
        <v>Fan Shop</v>
      </c>
      <c r="K1526">
        <v>16838</v>
      </c>
      <c r="L1526" t="s">
        <v>465</v>
      </c>
      <c r="M1526" s="4">
        <v>44169</v>
      </c>
      <c r="N1526" s="12">
        <f t="shared" si="70"/>
        <v>12</v>
      </c>
      <c r="O1526" s="13">
        <f t="shared" si="71"/>
        <v>2020</v>
      </c>
      <c r="P1526" t="s">
        <v>13</v>
      </c>
      <c r="Q1526" t="s">
        <v>99</v>
      </c>
      <c r="R1526" t="s">
        <v>23</v>
      </c>
      <c r="S1526" t="str" cm="1">
        <f t="array" ref="S1526">_xlfn.IFS(R1526="COMPLETE", "COMPLETED", R1526="CANCELED", "CANCELED", TRUE, "PENDING")</f>
        <v>PENDING</v>
      </c>
      <c r="T1526" t="s">
        <v>32</v>
      </c>
      <c r="U1526">
        <f>VLOOKUP(A1526,ordered_items!$B:$E,4,0)</f>
        <v>11.54</v>
      </c>
    </row>
    <row r="1527" spans="1:21" x14ac:dyDescent="0.3">
      <c r="A1527">
        <v>73286</v>
      </c>
      <c r="B1527" t="s">
        <v>3</v>
      </c>
      <c r="C1527">
        <v>2</v>
      </c>
      <c r="D1527">
        <v>1</v>
      </c>
      <c r="E1527" t="str">
        <f t="shared" si="69"/>
        <v>DELAYED</v>
      </c>
      <c r="F1527">
        <f>VLOOKUP($A1527,ordered_items!$B$2:$E$4784,2,0)</f>
        <v>1361</v>
      </c>
      <c r="G1527">
        <f>VLOOKUP($A1527,ordered_items!$B$2:$E$4784,3,0)</f>
        <v>1</v>
      </c>
      <c r="H1527">
        <f>VLOOKUP($A1527,ordered_items!$B$2:$E$4784,4,0)</f>
        <v>11.54</v>
      </c>
      <c r="I1527" s="15">
        <f>VLOOKUP(F1527,product_info!$A$2:$D$73,4,0)</f>
        <v>7</v>
      </c>
      <c r="J1527" s="15" t="str">
        <f>VLOOKUP(I1527,department!$A$2:$B$13,2,0)</f>
        <v>Fan Shop</v>
      </c>
      <c r="K1527">
        <v>16839</v>
      </c>
      <c r="L1527" t="s">
        <v>465</v>
      </c>
      <c r="M1527" s="4">
        <v>44169</v>
      </c>
      <c r="N1527" s="12">
        <f t="shared" si="70"/>
        <v>12</v>
      </c>
      <c r="O1527" s="13">
        <f t="shared" si="71"/>
        <v>2020</v>
      </c>
      <c r="P1527" t="s">
        <v>13</v>
      </c>
      <c r="Q1527" t="s">
        <v>99</v>
      </c>
      <c r="R1527" t="s">
        <v>38</v>
      </c>
      <c r="S1527" t="str" cm="1">
        <f t="array" ref="S1527">_xlfn.IFS(R1527="COMPLETE", "COMPLETED", R1527="CANCELED", "CANCELED", TRUE, "PENDING")</f>
        <v>PENDING</v>
      </c>
      <c r="T1527" t="s">
        <v>32</v>
      </c>
      <c r="U1527">
        <f>VLOOKUP(A1527,ordered_items!$B:$E,4,0)</f>
        <v>11.54</v>
      </c>
    </row>
    <row r="1528" spans="1:21" x14ac:dyDescent="0.3">
      <c r="A1528">
        <v>73296</v>
      </c>
      <c r="B1528" t="s">
        <v>51</v>
      </c>
      <c r="C1528">
        <v>2</v>
      </c>
      <c r="D1528">
        <v>2</v>
      </c>
      <c r="E1528" t="str">
        <f t="shared" si="69"/>
        <v xml:space="preserve"> ONTIME</v>
      </c>
      <c r="F1528">
        <f>VLOOKUP($A1528,ordered_items!$B$2:$E$4784,2,0)</f>
        <v>1361</v>
      </c>
      <c r="G1528">
        <f>VLOOKUP($A1528,ordered_items!$B$2:$E$4784,3,0)</f>
        <v>1</v>
      </c>
      <c r="H1528">
        <f>VLOOKUP($A1528,ordered_items!$B$2:$E$4784,4,0)</f>
        <v>11.54</v>
      </c>
      <c r="I1528" s="15">
        <f>VLOOKUP(F1528,product_info!$A$2:$D$73,4,0)</f>
        <v>7</v>
      </c>
      <c r="J1528" s="15" t="str">
        <f>VLOOKUP(I1528,department!$A$2:$B$13,2,0)</f>
        <v>Fan Shop</v>
      </c>
      <c r="K1528">
        <v>16849</v>
      </c>
      <c r="L1528" t="s">
        <v>1073</v>
      </c>
      <c r="M1528" s="4">
        <v>44169</v>
      </c>
      <c r="N1528" s="12">
        <f t="shared" si="70"/>
        <v>12</v>
      </c>
      <c r="O1528" s="13">
        <f t="shared" si="71"/>
        <v>2020</v>
      </c>
      <c r="P1528" t="s">
        <v>13</v>
      </c>
      <c r="Q1528" t="s">
        <v>47</v>
      </c>
      <c r="R1528" t="s">
        <v>57</v>
      </c>
      <c r="S1528" t="str" cm="1">
        <f t="array" ref="S1528">_xlfn.IFS(R1528="COMPLETE", "COMPLETED", R1528="CANCELED", "CANCELED", TRUE, "PENDING")</f>
        <v>PENDING</v>
      </c>
      <c r="T1528" t="s">
        <v>90</v>
      </c>
      <c r="U1528">
        <f>VLOOKUP(A1528,ordered_items!$B:$E,4,0)</f>
        <v>11.54</v>
      </c>
    </row>
    <row r="1529" spans="1:21" x14ac:dyDescent="0.3">
      <c r="A1529">
        <v>73297</v>
      </c>
      <c r="B1529" t="s">
        <v>24</v>
      </c>
      <c r="C1529">
        <v>3</v>
      </c>
      <c r="D1529">
        <v>2</v>
      </c>
      <c r="E1529" t="str">
        <f t="shared" si="69"/>
        <v>DELAYED</v>
      </c>
      <c r="F1529">
        <f>VLOOKUP($A1529,ordered_items!$B$2:$E$4784,2,0)</f>
        <v>1361</v>
      </c>
      <c r="G1529">
        <f>VLOOKUP($A1529,ordered_items!$B$2:$E$4784,3,0)</f>
        <v>1</v>
      </c>
      <c r="H1529">
        <f>VLOOKUP($A1529,ordered_items!$B$2:$E$4784,4,0)</f>
        <v>11.54</v>
      </c>
      <c r="I1529" s="15">
        <f>VLOOKUP(F1529,product_info!$A$2:$D$73,4,0)</f>
        <v>7</v>
      </c>
      <c r="J1529" s="15" t="str">
        <f>VLOOKUP(I1529,department!$A$2:$B$13,2,0)</f>
        <v>Fan Shop</v>
      </c>
      <c r="K1529">
        <v>16850</v>
      </c>
      <c r="L1529" t="s">
        <v>1073</v>
      </c>
      <c r="M1529" s="4">
        <v>44169</v>
      </c>
      <c r="N1529" s="12">
        <f t="shared" si="70"/>
        <v>12</v>
      </c>
      <c r="O1529" s="13">
        <f t="shared" si="71"/>
        <v>2020</v>
      </c>
      <c r="P1529" t="s">
        <v>13</v>
      </c>
      <c r="Q1529" t="s">
        <v>47</v>
      </c>
      <c r="R1529" t="s">
        <v>378</v>
      </c>
      <c r="S1529" t="str" cm="1">
        <f t="array" ref="S1529">_xlfn.IFS(R1529="COMPLETE", "COMPLETED", R1529="CANCELED", "CANCELED", TRUE, "PENDING")</f>
        <v>PENDING</v>
      </c>
      <c r="T1529" t="s">
        <v>90</v>
      </c>
      <c r="U1529">
        <f>VLOOKUP(A1529,ordered_items!$B:$E,4,0)</f>
        <v>11.54</v>
      </c>
    </row>
    <row r="1530" spans="1:21" x14ac:dyDescent="0.3">
      <c r="A1530">
        <v>73298</v>
      </c>
      <c r="B1530" t="s">
        <v>3</v>
      </c>
      <c r="C1530">
        <v>4</v>
      </c>
      <c r="D1530">
        <v>2</v>
      </c>
      <c r="E1530" t="str">
        <f t="shared" si="69"/>
        <v>DELAYED</v>
      </c>
      <c r="F1530">
        <f>VLOOKUP($A1530,ordered_items!$B$2:$E$4784,2,0)</f>
        <v>1361</v>
      </c>
      <c r="G1530">
        <f>VLOOKUP($A1530,ordered_items!$B$2:$E$4784,3,0)</f>
        <v>1</v>
      </c>
      <c r="H1530">
        <f>VLOOKUP($A1530,ordered_items!$B$2:$E$4784,4,0)</f>
        <v>11.54</v>
      </c>
      <c r="I1530" s="15">
        <f>VLOOKUP(F1530,product_info!$A$2:$D$73,4,0)</f>
        <v>7</v>
      </c>
      <c r="J1530" s="15" t="str">
        <f>VLOOKUP(I1530,department!$A$2:$B$13,2,0)</f>
        <v>Fan Shop</v>
      </c>
      <c r="K1530">
        <v>16851</v>
      </c>
      <c r="L1530" t="s">
        <v>1073</v>
      </c>
      <c r="M1530" s="4">
        <v>44169</v>
      </c>
      <c r="N1530" s="12">
        <f t="shared" si="70"/>
        <v>12</v>
      </c>
      <c r="O1530" s="13">
        <f t="shared" si="71"/>
        <v>2020</v>
      </c>
      <c r="P1530" t="s">
        <v>13</v>
      </c>
      <c r="Q1530" t="s">
        <v>47</v>
      </c>
      <c r="R1530" t="s">
        <v>38</v>
      </c>
      <c r="S1530" t="str" cm="1">
        <f t="array" ref="S1530">_xlfn.IFS(R1530="COMPLETE", "COMPLETED", R1530="CANCELED", "CANCELED", TRUE, "PENDING")</f>
        <v>PENDING</v>
      </c>
      <c r="T1530" t="s">
        <v>90</v>
      </c>
      <c r="U1530">
        <f>VLOOKUP(A1530,ordered_items!$B:$E,4,0)</f>
        <v>11.54</v>
      </c>
    </row>
    <row r="1531" spans="1:21" x14ac:dyDescent="0.3">
      <c r="A1531">
        <v>73309</v>
      </c>
      <c r="B1531" t="s">
        <v>3</v>
      </c>
      <c r="C1531">
        <v>5</v>
      </c>
      <c r="D1531">
        <v>2</v>
      </c>
      <c r="E1531" t="str">
        <f t="shared" si="69"/>
        <v>DELAYED</v>
      </c>
      <c r="F1531">
        <f>VLOOKUP($A1531,ordered_items!$B$2:$E$4784,2,0)</f>
        <v>1361</v>
      </c>
      <c r="G1531">
        <f>VLOOKUP($A1531,ordered_items!$B$2:$E$4784,3,0)</f>
        <v>1</v>
      </c>
      <c r="H1531">
        <f>VLOOKUP($A1531,ordered_items!$B$2:$E$4784,4,0)</f>
        <v>11.54</v>
      </c>
      <c r="I1531" s="15">
        <f>VLOOKUP(F1531,product_info!$A$2:$D$73,4,0)</f>
        <v>7</v>
      </c>
      <c r="J1531" s="15" t="str">
        <f>VLOOKUP(I1531,department!$A$2:$B$13,2,0)</f>
        <v>Fan Shop</v>
      </c>
      <c r="K1531">
        <v>16862</v>
      </c>
      <c r="L1531" t="s">
        <v>116</v>
      </c>
      <c r="M1531" s="4">
        <v>44170</v>
      </c>
      <c r="N1531" s="12">
        <f t="shared" si="70"/>
        <v>12</v>
      </c>
      <c r="O1531" s="13">
        <f t="shared" si="71"/>
        <v>2020</v>
      </c>
      <c r="P1531" t="s">
        <v>13</v>
      </c>
      <c r="Q1531" t="s">
        <v>30</v>
      </c>
      <c r="R1531" t="s">
        <v>38</v>
      </c>
      <c r="S1531" t="str" cm="1">
        <f t="array" ref="S1531">_xlfn.IFS(R1531="COMPLETE", "COMPLETED", R1531="CANCELED", "CANCELED", TRUE, "PENDING")</f>
        <v>PENDING</v>
      </c>
      <c r="T1531" t="s">
        <v>90</v>
      </c>
      <c r="U1531">
        <f>VLOOKUP(A1531,ordered_items!$B:$E,4,0)</f>
        <v>11.54</v>
      </c>
    </row>
    <row r="1532" spans="1:21" x14ac:dyDescent="0.3">
      <c r="A1532">
        <v>73310</v>
      </c>
      <c r="B1532" t="s">
        <v>51</v>
      </c>
      <c r="C1532">
        <v>0</v>
      </c>
      <c r="D1532">
        <v>0</v>
      </c>
      <c r="E1532" t="str">
        <f t="shared" si="69"/>
        <v xml:space="preserve"> ONTIME</v>
      </c>
      <c r="F1532">
        <f>VLOOKUP($A1532,ordered_items!$B$2:$E$4784,2,0)</f>
        <v>1361</v>
      </c>
      <c r="G1532">
        <f>VLOOKUP($A1532,ordered_items!$B$2:$E$4784,3,0)</f>
        <v>1</v>
      </c>
      <c r="H1532">
        <f>VLOOKUP($A1532,ordered_items!$B$2:$E$4784,4,0)</f>
        <v>11.54</v>
      </c>
      <c r="I1532" s="15">
        <f>VLOOKUP(F1532,product_info!$A$2:$D$73,4,0)</f>
        <v>7</v>
      </c>
      <c r="J1532" s="15" t="str">
        <f>VLOOKUP(I1532,department!$A$2:$B$13,2,0)</f>
        <v>Fan Shop</v>
      </c>
      <c r="K1532">
        <v>16863</v>
      </c>
      <c r="L1532" t="s">
        <v>116</v>
      </c>
      <c r="M1532" s="4">
        <v>44170</v>
      </c>
      <c r="N1532" s="12">
        <f t="shared" si="70"/>
        <v>12</v>
      </c>
      <c r="O1532" s="13">
        <f t="shared" si="71"/>
        <v>2020</v>
      </c>
      <c r="P1532" t="s">
        <v>13</v>
      </c>
      <c r="Q1532" t="s">
        <v>30</v>
      </c>
      <c r="R1532" t="s">
        <v>57</v>
      </c>
      <c r="S1532" t="str" cm="1">
        <f t="array" ref="S1532">_xlfn.IFS(R1532="COMPLETE", "COMPLETED", R1532="CANCELED", "CANCELED", TRUE, "PENDING")</f>
        <v>PENDING</v>
      </c>
      <c r="T1532" t="s">
        <v>58</v>
      </c>
      <c r="U1532">
        <f>VLOOKUP(A1532,ordered_items!$B:$E,4,0)</f>
        <v>11.54</v>
      </c>
    </row>
    <row r="1533" spans="1:21" x14ac:dyDescent="0.3">
      <c r="A1533">
        <v>73313</v>
      </c>
      <c r="B1533" t="s">
        <v>51</v>
      </c>
      <c r="C1533">
        <v>2</v>
      </c>
      <c r="D1533">
        <v>1</v>
      </c>
      <c r="E1533" t="str">
        <f t="shared" si="69"/>
        <v>DELAYED</v>
      </c>
      <c r="F1533">
        <f>VLOOKUP($A1533,ordered_items!$B$2:$E$4784,2,0)</f>
        <v>1361</v>
      </c>
      <c r="G1533">
        <f>VLOOKUP($A1533,ordered_items!$B$2:$E$4784,3,0)</f>
        <v>1</v>
      </c>
      <c r="H1533">
        <f>VLOOKUP($A1533,ordered_items!$B$2:$E$4784,4,0)</f>
        <v>11.54</v>
      </c>
      <c r="I1533" s="15">
        <f>VLOOKUP(F1533,product_info!$A$2:$D$73,4,0)</f>
        <v>7</v>
      </c>
      <c r="J1533" s="15" t="str">
        <f>VLOOKUP(I1533,department!$A$2:$B$13,2,0)</f>
        <v>Fan Shop</v>
      </c>
      <c r="K1533">
        <v>16866</v>
      </c>
      <c r="L1533" t="s">
        <v>124</v>
      </c>
      <c r="M1533" s="4">
        <v>44170</v>
      </c>
      <c r="N1533" s="12">
        <f t="shared" si="70"/>
        <v>12</v>
      </c>
      <c r="O1533" s="13">
        <f t="shared" si="71"/>
        <v>2020</v>
      </c>
      <c r="P1533" t="s">
        <v>13</v>
      </c>
      <c r="Q1533" t="s">
        <v>5778</v>
      </c>
      <c r="R1533" t="s">
        <v>57</v>
      </c>
      <c r="S1533" t="str" cm="1">
        <f t="array" ref="S1533">_xlfn.IFS(R1533="COMPLETE", "COMPLETED", R1533="CANCELED", "CANCELED", TRUE, "PENDING")</f>
        <v>PENDING</v>
      </c>
      <c r="T1533" t="s">
        <v>32</v>
      </c>
      <c r="U1533">
        <f>VLOOKUP(A1533,ordered_items!$B:$E,4,0)</f>
        <v>11.54</v>
      </c>
    </row>
    <row r="1534" spans="1:21" x14ac:dyDescent="0.3">
      <c r="A1534">
        <v>73325</v>
      </c>
      <c r="B1534" t="s">
        <v>24</v>
      </c>
      <c r="C1534">
        <v>6</v>
      </c>
      <c r="D1534">
        <v>4</v>
      </c>
      <c r="E1534" t="str">
        <f t="shared" si="69"/>
        <v>DELAYED</v>
      </c>
      <c r="F1534">
        <f>VLOOKUP($A1534,ordered_items!$B$2:$E$4784,2,0)</f>
        <v>1361</v>
      </c>
      <c r="G1534">
        <f>VLOOKUP($A1534,ordered_items!$B$2:$E$4784,3,0)</f>
        <v>1</v>
      </c>
      <c r="H1534">
        <f>VLOOKUP($A1534,ordered_items!$B$2:$E$4784,4,0)</f>
        <v>11.54</v>
      </c>
      <c r="I1534" s="15">
        <f>VLOOKUP(F1534,product_info!$A$2:$D$73,4,0)</f>
        <v>7</v>
      </c>
      <c r="J1534" s="15" t="str">
        <f>VLOOKUP(I1534,department!$A$2:$B$13,2,0)</f>
        <v>Fan Shop</v>
      </c>
      <c r="K1534">
        <v>16878</v>
      </c>
      <c r="L1534" t="s">
        <v>900</v>
      </c>
      <c r="M1534" s="4">
        <v>44170</v>
      </c>
      <c r="N1534" s="12">
        <f t="shared" si="70"/>
        <v>12</v>
      </c>
      <c r="O1534" s="13">
        <f t="shared" si="71"/>
        <v>2020</v>
      </c>
      <c r="P1534" t="s">
        <v>13</v>
      </c>
      <c r="Q1534" t="s">
        <v>99</v>
      </c>
      <c r="R1534" t="s">
        <v>378</v>
      </c>
      <c r="S1534" t="str" cm="1">
        <f t="array" ref="S1534">_xlfn.IFS(R1534="COMPLETE", "COMPLETED", R1534="CANCELED", "CANCELED", TRUE, "PENDING")</f>
        <v>PENDING</v>
      </c>
      <c r="T1534" t="s">
        <v>16</v>
      </c>
      <c r="U1534">
        <f>VLOOKUP(A1534,ordered_items!$B:$E,4,0)</f>
        <v>11.54</v>
      </c>
    </row>
    <row r="1535" spans="1:21" x14ac:dyDescent="0.3">
      <c r="A1535">
        <v>73326</v>
      </c>
      <c r="B1535" t="s">
        <v>24</v>
      </c>
      <c r="C1535">
        <v>2</v>
      </c>
      <c r="D1535">
        <v>1</v>
      </c>
      <c r="E1535" t="str">
        <f t="shared" si="69"/>
        <v>DELAYED</v>
      </c>
      <c r="F1535">
        <f>VLOOKUP($A1535,ordered_items!$B$2:$E$4784,2,0)</f>
        <v>1361</v>
      </c>
      <c r="G1535">
        <f>VLOOKUP($A1535,ordered_items!$B$2:$E$4784,3,0)</f>
        <v>1</v>
      </c>
      <c r="H1535">
        <f>VLOOKUP($A1535,ordered_items!$B$2:$E$4784,4,0)</f>
        <v>11.54</v>
      </c>
      <c r="I1535" s="15">
        <f>VLOOKUP(F1535,product_info!$A$2:$D$73,4,0)</f>
        <v>7</v>
      </c>
      <c r="J1535" s="15" t="str">
        <f>VLOOKUP(I1535,department!$A$2:$B$13,2,0)</f>
        <v>Fan Shop</v>
      </c>
      <c r="K1535">
        <v>16879</v>
      </c>
      <c r="L1535" t="s">
        <v>900</v>
      </c>
      <c r="M1535" s="4">
        <v>44170</v>
      </c>
      <c r="N1535" s="12">
        <f t="shared" si="70"/>
        <v>12</v>
      </c>
      <c r="O1535" s="13">
        <f t="shared" si="71"/>
        <v>2020</v>
      </c>
      <c r="P1535" t="s">
        <v>13</v>
      </c>
      <c r="Q1535" t="s">
        <v>99</v>
      </c>
      <c r="R1535" t="s">
        <v>31</v>
      </c>
      <c r="S1535" t="str" cm="1">
        <f t="array" ref="S1535">_xlfn.IFS(R1535="COMPLETE", "COMPLETED", R1535="CANCELED", "CANCELED", TRUE, "PENDING")</f>
        <v>COMPLETED</v>
      </c>
      <c r="T1535" t="s">
        <v>32</v>
      </c>
      <c r="U1535">
        <f>VLOOKUP(A1535,ordered_items!$B:$E,4,0)</f>
        <v>11.54</v>
      </c>
    </row>
    <row r="1536" spans="1:21" x14ac:dyDescent="0.3">
      <c r="A1536">
        <v>73327</v>
      </c>
      <c r="B1536" t="s">
        <v>24</v>
      </c>
      <c r="C1536">
        <v>3</v>
      </c>
      <c r="D1536">
        <v>2</v>
      </c>
      <c r="E1536" t="str">
        <f t="shared" si="69"/>
        <v>DELAYED</v>
      </c>
      <c r="F1536">
        <f>VLOOKUP($A1536,ordered_items!$B$2:$E$4784,2,0)</f>
        <v>1361</v>
      </c>
      <c r="G1536">
        <f>VLOOKUP($A1536,ordered_items!$B$2:$E$4784,3,0)</f>
        <v>1</v>
      </c>
      <c r="H1536">
        <f>VLOOKUP($A1536,ordered_items!$B$2:$E$4784,4,0)</f>
        <v>11.54</v>
      </c>
      <c r="I1536" s="15">
        <f>VLOOKUP(F1536,product_info!$A$2:$D$73,4,0)</f>
        <v>7</v>
      </c>
      <c r="J1536" s="15" t="str">
        <f>VLOOKUP(I1536,department!$A$2:$B$13,2,0)</f>
        <v>Fan Shop</v>
      </c>
      <c r="K1536">
        <v>16880</v>
      </c>
      <c r="L1536" t="s">
        <v>900</v>
      </c>
      <c r="M1536" s="4">
        <v>44170</v>
      </c>
      <c r="N1536" s="12">
        <f t="shared" si="70"/>
        <v>12</v>
      </c>
      <c r="O1536" s="13">
        <f t="shared" si="71"/>
        <v>2020</v>
      </c>
      <c r="P1536" t="s">
        <v>13</v>
      </c>
      <c r="Q1536" t="s">
        <v>99</v>
      </c>
      <c r="R1536" t="s">
        <v>31</v>
      </c>
      <c r="S1536" t="str" cm="1">
        <f t="array" ref="S1536">_xlfn.IFS(R1536="COMPLETE", "COMPLETED", R1536="CANCELED", "CANCELED", TRUE, "PENDING")</f>
        <v>COMPLETED</v>
      </c>
      <c r="T1536" t="s">
        <v>90</v>
      </c>
      <c r="U1536">
        <f>VLOOKUP(A1536,ordered_items!$B:$E,4,0)</f>
        <v>11.54</v>
      </c>
    </row>
    <row r="1537" spans="1:21" x14ac:dyDescent="0.3">
      <c r="A1537">
        <v>73328</v>
      </c>
      <c r="B1537" t="s">
        <v>3</v>
      </c>
      <c r="C1537">
        <v>4</v>
      </c>
      <c r="D1537">
        <v>2</v>
      </c>
      <c r="E1537" t="str">
        <f t="shared" si="69"/>
        <v>DELAYED</v>
      </c>
      <c r="F1537">
        <f>VLOOKUP($A1537,ordered_items!$B$2:$E$4784,2,0)</f>
        <v>1361</v>
      </c>
      <c r="G1537">
        <f>VLOOKUP($A1537,ordered_items!$B$2:$E$4784,3,0)</f>
        <v>1</v>
      </c>
      <c r="H1537">
        <f>VLOOKUP($A1537,ordered_items!$B$2:$E$4784,4,0)</f>
        <v>11.54</v>
      </c>
      <c r="I1537" s="15">
        <f>VLOOKUP(F1537,product_info!$A$2:$D$73,4,0)</f>
        <v>7</v>
      </c>
      <c r="J1537" s="15" t="str">
        <f>VLOOKUP(I1537,department!$A$2:$B$13,2,0)</f>
        <v>Fan Shop</v>
      </c>
      <c r="K1537">
        <v>16881</v>
      </c>
      <c r="L1537" t="s">
        <v>119</v>
      </c>
      <c r="M1537" s="4">
        <v>44170</v>
      </c>
      <c r="N1537" s="12">
        <f t="shared" si="70"/>
        <v>12</v>
      </c>
      <c r="O1537" s="13">
        <f t="shared" si="71"/>
        <v>2020</v>
      </c>
      <c r="P1537" t="s">
        <v>13</v>
      </c>
      <c r="Q1537" t="s">
        <v>5781</v>
      </c>
      <c r="R1537" t="s">
        <v>14</v>
      </c>
      <c r="S1537" t="str" cm="1">
        <f t="array" ref="S1537">_xlfn.IFS(R1537="COMPLETE", "COMPLETED", R1537="CANCELED", "CANCELED", TRUE, "PENDING")</f>
        <v>PENDING</v>
      </c>
      <c r="T1537" t="s">
        <v>90</v>
      </c>
      <c r="U1537">
        <f>VLOOKUP(A1537,ordered_items!$B:$E,4,0)</f>
        <v>11.54</v>
      </c>
    </row>
    <row r="1538" spans="1:21" x14ac:dyDescent="0.3">
      <c r="A1538">
        <v>73329</v>
      </c>
      <c r="B1538" t="s">
        <v>24</v>
      </c>
      <c r="C1538">
        <v>5</v>
      </c>
      <c r="D1538">
        <v>2</v>
      </c>
      <c r="E1538" t="str">
        <f t="shared" si="69"/>
        <v>DELAYED</v>
      </c>
      <c r="F1538">
        <f>VLOOKUP($A1538,ordered_items!$B$2:$E$4784,2,0)</f>
        <v>1361</v>
      </c>
      <c r="G1538">
        <f>VLOOKUP($A1538,ordered_items!$B$2:$E$4784,3,0)</f>
        <v>1</v>
      </c>
      <c r="H1538">
        <f>VLOOKUP($A1538,ordered_items!$B$2:$E$4784,4,0)</f>
        <v>11.54</v>
      </c>
      <c r="I1538" s="15">
        <f>VLOOKUP(F1538,product_info!$A$2:$D$73,4,0)</f>
        <v>7</v>
      </c>
      <c r="J1538" s="15" t="str">
        <f>VLOOKUP(I1538,department!$A$2:$B$13,2,0)</f>
        <v>Fan Shop</v>
      </c>
      <c r="K1538">
        <v>16882</v>
      </c>
      <c r="L1538" t="s">
        <v>119</v>
      </c>
      <c r="M1538" s="4">
        <v>44170</v>
      </c>
      <c r="N1538" s="12">
        <f t="shared" si="70"/>
        <v>12</v>
      </c>
      <c r="O1538" s="13">
        <f t="shared" si="71"/>
        <v>2020</v>
      </c>
      <c r="P1538" t="s">
        <v>13</v>
      </c>
      <c r="Q1538" t="s">
        <v>5781</v>
      </c>
      <c r="R1538" t="s">
        <v>31</v>
      </c>
      <c r="S1538" t="str" cm="1">
        <f t="array" ref="S1538">_xlfn.IFS(R1538="COMPLETE", "COMPLETED", R1538="CANCELED", "CANCELED", TRUE, "PENDING")</f>
        <v>COMPLETED</v>
      </c>
      <c r="T1538" t="s">
        <v>90</v>
      </c>
      <c r="U1538">
        <f>VLOOKUP(A1538,ordered_items!$B:$E,4,0)</f>
        <v>11.54</v>
      </c>
    </row>
    <row r="1539" spans="1:21" x14ac:dyDescent="0.3">
      <c r="A1539">
        <v>73330</v>
      </c>
      <c r="B1539" t="s">
        <v>24</v>
      </c>
      <c r="C1539">
        <v>6</v>
      </c>
      <c r="D1539">
        <v>2</v>
      </c>
      <c r="E1539" t="str">
        <f t="shared" ref="E1539:E1602" si="72">IF(C1539-D1539&gt;0,"DELAYED"," ONTIME")</f>
        <v>DELAYED</v>
      </c>
      <c r="F1539">
        <f>VLOOKUP($A1539,ordered_items!$B$2:$E$4784,2,0)</f>
        <v>1361</v>
      </c>
      <c r="G1539">
        <f>VLOOKUP($A1539,ordered_items!$B$2:$E$4784,3,0)</f>
        <v>1</v>
      </c>
      <c r="H1539">
        <f>VLOOKUP($A1539,ordered_items!$B$2:$E$4784,4,0)</f>
        <v>11.54</v>
      </c>
      <c r="I1539" s="15">
        <f>VLOOKUP(F1539,product_info!$A$2:$D$73,4,0)</f>
        <v>7</v>
      </c>
      <c r="J1539" s="15" t="str">
        <f>VLOOKUP(I1539,department!$A$2:$B$13,2,0)</f>
        <v>Fan Shop</v>
      </c>
      <c r="K1539">
        <v>16883</v>
      </c>
      <c r="L1539" t="s">
        <v>2400</v>
      </c>
      <c r="M1539" s="4">
        <v>44170</v>
      </c>
      <c r="N1539" s="12">
        <f t="shared" ref="N1539:N1602" si="73">MONTH(M1539)</f>
        <v>12</v>
      </c>
      <c r="O1539" s="13">
        <f t="shared" ref="O1539:O1602" si="74">YEAR(M1539)</f>
        <v>2020</v>
      </c>
      <c r="P1539" t="s">
        <v>13</v>
      </c>
      <c r="Q1539" t="s">
        <v>245</v>
      </c>
      <c r="R1539" t="s">
        <v>31</v>
      </c>
      <c r="S1539" t="str" cm="1">
        <f t="array" ref="S1539">_xlfn.IFS(R1539="COMPLETE", "COMPLETED", R1539="CANCELED", "CANCELED", TRUE, "PENDING")</f>
        <v>COMPLETED</v>
      </c>
      <c r="T1539" t="s">
        <v>90</v>
      </c>
      <c r="U1539">
        <f>VLOOKUP(A1539,ordered_items!$B:$E,4,0)</f>
        <v>11.54</v>
      </c>
    </row>
    <row r="1540" spans="1:21" x14ac:dyDescent="0.3">
      <c r="A1540">
        <v>73331</v>
      </c>
      <c r="B1540" t="s">
        <v>3</v>
      </c>
      <c r="C1540">
        <v>2</v>
      </c>
      <c r="D1540">
        <v>2</v>
      </c>
      <c r="E1540" t="str">
        <f t="shared" si="72"/>
        <v xml:space="preserve"> ONTIME</v>
      </c>
      <c r="F1540">
        <f>VLOOKUP($A1540,ordered_items!$B$2:$E$4784,2,0)</f>
        <v>1361</v>
      </c>
      <c r="G1540">
        <f>VLOOKUP($A1540,ordered_items!$B$2:$E$4784,3,0)</f>
        <v>1</v>
      </c>
      <c r="H1540">
        <f>VLOOKUP($A1540,ordered_items!$B$2:$E$4784,4,0)</f>
        <v>11.54</v>
      </c>
      <c r="I1540" s="15">
        <f>VLOOKUP(F1540,product_info!$A$2:$D$73,4,0)</f>
        <v>7</v>
      </c>
      <c r="J1540" s="15" t="str">
        <f>VLOOKUP(I1540,department!$A$2:$B$13,2,0)</f>
        <v>Fan Shop</v>
      </c>
      <c r="K1540">
        <v>16884</v>
      </c>
      <c r="L1540" t="s">
        <v>2400</v>
      </c>
      <c r="M1540" s="4">
        <v>44170</v>
      </c>
      <c r="N1540" s="12">
        <f t="shared" si="73"/>
        <v>12</v>
      </c>
      <c r="O1540" s="13">
        <f t="shared" si="74"/>
        <v>2020</v>
      </c>
      <c r="P1540" t="s">
        <v>13</v>
      </c>
      <c r="Q1540" t="s">
        <v>245</v>
      </c>
      <c r="R1540" t="s">
        <v>38</v>
      </c>
      <c r="S1540" t="str" cm="1">
        <f t="array" ref="S1540">_xlfn.IFS(R1540="COMPLETE", "COMPLETED", R1540="CANCELED", "CANCELED", TRUE, "PENDING")</f>
        <v>PENDING</v>
      </c>
      <c r="T1540" t="s">
        <v>90</v>
      </c>
      <c r="U1540">
        <f>VLOOKUP(A1540,ordered_items!$B:$E,4,0)</f>
        <v>11.54</v>
      </c>
    </row>
    <row r="1541" spans="1:21" x14ac:dyDescent="0.3">
      <c r="A1541">
        <v>73335</v>
      </c>
      <c r="B1541" t="s">
        <v>24</v>
      </c>
      <c r="C1541">
        <v>6</v>
      </c>
      <c r="D1541">
        <v>4</v>
      </c>
      <c r="E1541" t="str">
        <f t="shared" si="72"/>
        <v>DELAYED</v>
      </c>
      <c r="F1541">
        <f>VLOOKUP($A1541,ordered_items!$B$2:$E$4784,2,0)</f>
        <v>1361</v>
      </c>
      <c r="G1541">
        <f>VLOOKUP($A1541,ordered_items!$B$2:$E$4784,3,0)</f>
        <v>1</v>
      </c>
      <c r="H1541">
        <f>VLOOKUP($A1541,ordered_items!$B$2:$E$4784,4,0)</f>
        <v>11.54</v>
      </c>
      <c r="I1541" s="15">
        <f>VLOOKUP(F1541,product_info!$A$2:$D$73,4,0)</f>
        <v>7</v>
      </c>
      <c r="J1541" s="15" t="str">
        <f>VLOOKUP(I1541,department!$A$2:$B$13,2,0)</f>
        <v>Fan Shop</v>
      </c>
      <c r="K1541">
        <v>16888</v>
      </c>
      <c r="L1541" t="s">
        <v>233</v>
      </c>
      <c r="M1541" s="4">
        <v>44170</v>
      </c>
      <c r="N1541" s="12">
        <f t="shared" si="73"/>
        <v>12</v>
      </c>
      <c r="O1541" s="13">
        <f t="shared" si="74"/>
        <v>2020</v>
      </c>
      <c r="P1541" t="s">
        <v>13</v>
      </c>
      <c r="Q1541" t="s">
        <v>234</v>
      </c>
      <c r="R1541" t="s">
        <v>31</v>
      </c>
      <c r="S1541" t="str" cm="1">
        <f t="array" ref="S1541">_xlfn.IFS(R1541="COMPLETE", "COMPLETED", R1541="CANCELED", "CANCELED", TRUE, "PENDING")</f>
        <v>COMPLETED</v>
      </c>
      <c r="T1541" t="s">
        <v>16</v>
      </c>
      <c r="U1541">
        <f>VLOOKUP(A1541,ordered_items!$B:$E,4,0)</f>
        <v>11.54</v>
      </c>
    </row>
    <row r="1542" spans="1:21" x14ac:dyDescent="0.3">
      <c r="A1542">
        <v>73345</v>
      </c>
      <c r="B1542" t="s">
        <v>24</v>
      </c>
      <c r="C1542">
        <v>6</v>
      </c>
      <c r="D1542">
        <v>2</v>
      </c>
      <c r="E1542" t="str">
        <f t="shared" si="72"/>
        <v>DELAYED</v>
      </c>
      <c r="F1542">
        <f>VLOOKUP($A1542,ordered_items!$B$2:$E$4784,2,0)</f>
        <v>1361</v>
      </c>
      <c r="G1542">
        <f>VLOOKUP($A1542,ordered_items!$B$2:$E$4784,3,0)</f>
        <v>1</v>
      </c>
      <c r="H1542">
        <f>VLOOKUP($A1542,ordered_items!$B$2:$E$4784,4,0)</f>
        <v>11.54</v>
      </c>
      <c r="I1542" s="15">
        <f>VLOOKUP(F1542,product_info!$A$2:$D$73,4,0)</f>
        <v>7</v>
      </c>
      <c r="J1542" s="15" t="str">
        <f>VLOOKUP(I1542,department!$A$2:$B$13,2,0)</f>
        <v>Fan Shop</v>
      </c>
      <c r="K1542">
        <v>16898</v>
      </c>
      <c r="L1542" t="s">
        <v>146</v>
      </c>
      <c r="M1542" s="4">
        <v>44170</v>
      </c>
      <c r="N1542" s="12">
        <f t="shared" si="73"/>
        <v>12</v>
      </c>
      <c r="O1542" s="13">
        <f t="shared" si="74"/>
        <v>2020</v>
      </c>
      <c r="P1542" t="s">
        <v>13</v>
      </c>
      <c r="Q1542" t="s">
        <v>30</v>
      </c>
      <c r="R1542" t="s">
        <v>31</v>
      </c>
      <c r="S1542" t="str" cm="1">
        <f t="array" ref="S1542">_xlfn.IFS(R1542="COMPLETE", "COMPLETED", R1542="CANCELED", "CANCELED", TRUE, "PENDING")</f>
        <v>COMPLETED</v>
      </c>
      <c r="T1542" t="s">
        <v>90</v>
      </c>
      <c r="U1542">
        <f>VLOOKUP(A1542,ordered_items!$B:$E,4,0)</f>
        <v>11.54</v>
      </c>
    </row>
    <row r="1543" spans="1:21" x14ac:dyDescent="0.3">
      <c r="A1543">
        <v>73350</v>
      </c>
      <c r="B1543" t="s">
        <v>3</v>
      </c>
      <c r="C1543">
        <v>6</v>
      </c>
      <c r="D1543">
        <v>4</v>
      </c>
      <c r="E1543" t="str">
        <f t="shared" si="72"/>
        <v>DELAYED</v>
      </c>
      <c r="F1543">
        <f>VLOOKUP($A1543,ordered_items!$B$2:$E$4784,2,0)</f>
        <v>1361</v>
      </c>
      <c r="G1543">
        <f>VLOOKUP($A1543,ordered_items!$B$2:$E$4784,3,0)</f>
        <v>1</v>
      </c>
      <c r="H1543">
        <f>VLOOKUP($A1543,ordered_items!$B$2:$E$4784,4,0)</f>
        <v>11.54</v>
      </c>
      <c r="I1543" s="15">
        <f>VLOOKUP(F1543,product_info!$A$2:$D$73,4,0)</f>
        <v>7</v>
      </c>
      <c r="J1543" s="15" t="str">
        <f>VLOOKUP(I1543,department!$A$2:$B$13,2,0)</f>
        <v>Fan Shop</v>
      </c>
      <c r="K1543">
        <v>16903</v>
      </c>
      <c r="L1543" t="s">
        <v>439</v>
      </c>
      <c r="M1543" s="4">
        <v>44170</v>
      </c>
      <c r="N1543" s="12">
        <f t="shared" si="73"/>
        <v>12</v>
      </c>
      <c r="O1543" s="13">
        <f t="shared" si="74"/>
        <v>2020</v>
      </c>
      <c r="P1543" t="s">
        <v>13</v>
      </c>
      <c r="Q1543" t="s">
        <v>377</v>
      </c>
      <c r="R1543" t="s">
        <v>38</v>
      </c>
      <c r="S1543" t="str" cm="1">
        <f t="array" ref="S1543">_xlfn.IFS(R1543="COMPLETE", "COMPLETED", R1543="CANCELED", "CANCELED", TRUE, "PENDING")</f>
        <v>PENDING</v>
      </c>
      <c r="T1543" t="s">
        <v>16</v>
      </c>
      <c r="U1543">
        <f>VLOOKUP(A1543,ordered_items!$B:$E,4,0)</f>
        <v>11.54</v>
      </c>
    </row>
    <row r="1544" spans="1:21" x14ac:dyDescent="0.3">
      <c r="A1544">
        <v>73351</v>
      </c>
      <c r="B1544" t="s">
        <v>24</v>
      </c>
      <c r="C1544">
        <v>2</v>
      </c>
      <c r="D1544">
        <v>4</v>
      </c>
      <c r="E1544" t="str">
        <f t="shared" si="72"/>
        <v xml:space="preserve"> ONTIME</v>
      </c>
      <c r="F1544">
        <f>VLOOKUP($A1544,ordered_items!$B$2:$E$4784,2,0)</f>
        <v>1361</v>
      </c>
      <c r="G1544">
        <f>VLOOKUP($A1544,ordered_items!$B$2:$E$4784,3,0)</f>
        <v>1</v>
      </c>
      <c r="H1544">
        <f>VLOOKUP($A1544,ordered_items!$B$2:$E$4784,4,0)</f>
        <v>11.54</v>
      </c>
      <c r="I1544" s="15">
        <f>VLOOKUP(F1544,product_info!$A$2:$D$73,4,0)</f>
        <v>7</v>
      </c>
      <c r="J1544" s="15" t="str">
        <f>VLOOKUP(I1544,department!$A$2:$B$13,2,0)</f>
        <v>Fan Shop</v>
      </c>
      <c r="K1544">
        <v>16904</v>
      </c>
      <c r="L1544" t="s">
        <v>830</v>
      </c>
      <c r="M1544" s="4">
        <v>44170</v>
      </c>
      <c r="N1544" s="12">
        <f t="shared" si="73"/>
        <v>12</v>
      </c>
      <c r="O1544" s="13">
        <f t="shared" si="74"/>
        <v>2020</v>
      </c>
      <c r="P1544" t="s">
        <v>13</v>
      </c>
      <c r="Q1544" t="s">
        <v>5777</v>
      </c>
      <c r="R1544" t="s">
        <v>31</v>
      </c>
      <c r="S1544" t="str" cm="1">
        <f t="array" ref="S1544">_xlfn.IFS(R1544="COMPLETE", "COMPLETED", R1544="CANCELED", "CANCELED", TRUE, "PENDING")</f>
        <v>COMPLETED</v>
      </c>
      <c r="T1544" t="s">
        <v>16</v>
      </c>
      <c r="U1544">
        <f>VLOOKUP(A1544,ordered_items!$B:$E,4,0)</f>
        <v>11.54</v>
      </c>
    </row>
    <row r="1545" spans="1:21" x14ac:dyDescent="0.3">
      <c r="A1545">
        <v>73355</v>
      </c>
      <c r="B1545" t="s">
        <v>3</v>
      </c>
      <c r="C1545">
        <v>6</v>
      </c>
      <c r="D1545">
        <v>4</v>
      </c>
      <c r="E1545" t="str">
        <f t="shared" si="72"/>
        <v>DELAYED</v>
      </c>
      <c r="F1545">
        <f>VLOOKUP($A1545,ordered_items!$B$2:$E$4784,2,0)</f>
        <v>1361</v>
      </c>
      <c r="G1545">
        <f>VLOOKUP($A1545,ordered_items!$B$2:$E$4784,3,0)</f>
        <v>1</v>
      </c>
      <c r="H1545">
        <f>VLOOKUP($A1545,ordered_items!$B$2:$E$4784,4,0)</f>
        <v>11.54</v>
      </c>
      <c r="I1545" s="15">
        <f>VLOOKUP(F1545,product_info!$A$2:$D$73,4,0)</f>
        <v>7</v>
      </c>
      <c r="J1545" s="15" t="str">
        <f>VLOOKUP(I1545,department!$A$2:$B$13,2,0)</f>
        <v>Fan Shop</v>
      </c>
      <c r="K1545">
        <v>16908</v>
      </c>
      <c r="L1545" t="s">
        <v>258</v>
      </c>
      <c r="M1545" s="4">
        <v>44170</v>
      </c>
      <c r="N1545" s="12">
        <f t="shared" si="73"/>
        <v>12</v>
      </c>
      <c r="O1545" s="13">
        <f t="shared" si="74"/>
        <v>2020</v>
      </c>
      <c r="P1545" t="s">
        <v>13</v>
      </c>
      <c r="Q1545" t="s">
        <v>30</v>
      </c>
      <c r="R1545" t="s">
        <v>14</v>
      </c>
      <c r="S1545" t="str" cm="1">
        <f t="array" ref="S1545">_xlfn.IFS(R1545="COMPLETE", "COMPLETED", R1545="CANCELED", "CANCELED", TRUE, "PENDING")</f>
        <v>PENDING</v>
      </c>
      <c r="T1545" t="s">
        <v>16</v>
      </c>
      <c r="U1545">
        <f>VLOOKUP(A1545,ordered_items!$B:$E,4,0)</f>
        <v>11.54</v>
      </c>
    </row>
    <row r="1546" spans="1:21" x14ac:dyDescent="0.3">
      <c r="A1546">
        <v>73356</v>
      </c>
      <c r="B1546" t="s">
        <v>3</v>
      </c>
      <c r="C1546">
        <v>2</v>
      </c>
      <c r="D1546">
        <v>4</v>
      </c>
      <c r="E1546" t="str">
        <f t="shared" si="72"/>
        <v xml:space="preserve"> ONTIME</v>
      </c>
      <c r="F1546">
        <f>VLOOKUP($A1546,ordered_items!$B$2:$E$4784,2,0)</f>
        <v>1361</v>
      </c>
      <c r="G1546">
        <f>VLOOKUP($A1546,ordered_items!$B$2:$E$4784,3,0)</f>
        <v>1</v>
      </c>
      <c r="H1546">
        <f>VLOOKUP($A1546,ordered_items!$B$2:$E$4784,4,0)</f>
        <v>11.54</v>
      </c>
      <c r="I1546" s="15">
        <f>VLOOKUP(F1546,product_info!$A$2:$D$73,4,0)</f>
        <v>7</v>
      </c>
      <c r="J1546" s="15" t="str">
        <f>VLOOKUP(I1546,department!$A$2:$B$13,2,0)</f>
        <v>Fan Shop</v>
      </c>
      <c r="K1546">
        <v>16909</v>
      </c>
      <c r="L1546" t="s">
        <v>70</v>
      </c>
      <c r="M1546" s="4">
        <v>44170</v>
      </c>
      <c r="N1546" s="12">
        <f t="shared" si="73"/>
        <v>12</v>
      </c>
      <c r="O1546" s="13">
        <f t="shared" si="74"/>
        <v>2020</v>
      </c>
      <c r="P1546" t="s">
        <v>13</v>
      </c>
      <c r="Q1546" t="s">
        <v>70</v>
      </c>
      <c r="R1546" t="s">
        <v>38</v>
      </c>
      <c r="S1546" t="str" cm="1">
        <f t="array" ref="S1546">_xlfn.IFS(R1546="COMPLETE", "COMPLETED", R1546="CANCELED", "CANCELED", TRUE, "PENDING")</f>
        <v>PENDING</v>
      </c>
      <c r="T1546" t="s">
        <v>16</v>
      </c>
      <c r="U1546">
        <f>VLOOKUP(A1546,ordered_items!$B:$E,4,0)</f>
        <v>11.54</v>
      </c>
    </row>
    <row r="1547" spans="1:21" x14ac:dyDescent="0.3">
      <c r="A1547">
        <v>73357</v>
      </c>
      <c r="B1547" t="s">
        <v>3</v>
      </c>
      <c r="C1547">
        <v>3</v>
      </c>
      <c r="D1547">
        <v>4</v>
      </c>
      <c r="E1547" t="str">
        <f t="shared" si="72"/>
        <v xml:space="preserve"> ONTIME</v>
      </c>
      <c r="F1547">
        <f>VLOOKUP($A1547,ordered_items!$B$2:$E$4784,2,0)</f>
        <v>1361</v>
      </c>
      <c r="G1547">
        <f>VLOOKUP($A1547,ordered_items!$B$2:$E$4784,3,0)</f>
        <v>1</v>
      </c>
      <c r="H1547">
        <f>VLOOKUP($A1547,ordered_items!$B$2:$E$4784,4,0)</f>
        <v>11.54</v>
      </c>
      <c r="I1547" s="15">
        <f>VLOOKUP(F1547,product_info!$A$2:$D$73,4,0)</f>
        <v>7</v>
      </c>
      <c r="J1547" s="15" t="str">
        <f>VLOOKUP(I1547,department!$A$2:$B$13,2,0)</f>
        <v>Fan Shop</v>
      </c>
      <c r="K1547">
        <v>16910</v>
      </c>
      <c r="L1547" t="s">
        <v>70</v>
      </c>
      <c r="M1547" s="4">
        <v>44170</v>
      </c>
      <c r="N1547" s="12">
        <f t="shared" si="73"/>
        <v>12</v>
      </c>
      <c r="O1547" s="13">
        <f t="shared" si="74"/>
        <v>2020</v>
      </c>
      <c r="P1547" t="s">
        <v>13</v>
      </c>
      <c r="Q1547" t="s">
        <v>70</v>
      </c>
      <c r="R1547" t="s">
        <v>38</v>
      </c>
      <c r="S1547" t="str" cm="1">
        <f t="array" ref="S1547">_xlfn.IFS(R1547="COMPLETE", "COMPLETED", R1547="CANCELED", "CANCELED", TRUE, "PENDING")</f>
        <v>PENDING</v>
      </c>
      <c r="T1547" t="s">
        <v>16</v>
      </c>
      <c r="U1547">
        <f>VLOOKUP(A1547,ordered_items!$B:$E,4,0)</f>
        <v>11.54</v>
      </c>
    </row>
    <row r="1548" spans="1:21" x14ac:dyDescent="0.3">
      <c r="A1548">
        <v>73358</v>
      </c>
      <c r="B1548" t="s">
        <v>51</v>
      </c>
      <c r="C1548">
        <v>4</v>
      </c>
      <c r="D1548">
        <v>4</v>
      </c>
      <c r="E1548" t="str">
        <f t="shared" si="72"/>
        <v xml:space="preserve"> ONTIME</v>
      </c>
      <c r="F1548">
        <f>VLOOKUP($A1548,ordered_items!$B$2:$E$4784,2,0)</f>
        <v>1361</v>
      </c>
      <c r="G1548">
        <f>VLOOKUP($A1548,ordered_items!$B$2:$E$4784,3,0)</f>
        <v>1</v>
      </c>
      <c r="H1548">
        <f>VLOOKUP($A1548,ordered_items!$B$2:$E$4784,4,0)</f>
        <v>11.54</v>
      </c>
      <c r="I1548" s="15">
        <f>VLOOKUP(F1548,product_info!$A$2:$D$73,4,0)</f>
        <v>7</v>
      </c>
      <c r="J1548" s="15" t="str">
        <f>VLOOKUP(I1548,department!$A$2:$B$13,2,0)</f>
        <v>Fan Shop</v>
      </c>
      <c r="K1548">
        <v>16911</v>
      </c>
      <c r="L1548" t="s">
        <v>70</v>
      </c>
      <c r="M1548" s="4">
        <v>44170</v>
      </c>
      <c r="N1548" s="12">
        <f t="shared" si="73"/>
        <v>12</v>
      </c>
      <c r="O1548" s="13">
        <f t="shared" si="74"/>
        <v>2020</v>
      </c>
      <c r="P1548" t="s">
        <v>13</v>
      </c>
      <c r="Q1548" t="s">
        <v>70</v>
      </c>
      <c r="R1548" t="s">
        <v>57</v>
      </c>
      <c r="S1548" t="str" cm="1">
        <f t="array" ref="S1548">_xlfn.IFS(R1548="COMPLETE", "COMPLETED", R1548="CANCELED", "CANCELED", TRUE, "PENDING")</f>
        <v>PENDING</v>
      </c>
      <c r="T1548" t="s">
        <v>16</v>
      </c>
      <c r="U1548">
        <f>VLOOKUP(A1548,ordered_items!$B:$E,4,0)</f>
        <v>11.54</v>
      </c>
    </row>
    <row r="1549" spans="1:21" x14ac:dyDescent="0.3">
      <c r="A1549">
        <v>73359</v>
      </c>
      <c r="B1549" t="s">
        <v>3</v>
      </c>
      <c r="C1549">
        <v>5</v>
      </c>
      <c r="D1549">
        <v>4</v>
      </c>
      <c r="E1549" t="str">
        <f t="shared" si="72"/>
        <v>DELAYED</v>
      </c>
      <c r="F1549">
        <f>VLOOKUP($A1549,ordered_items!$B$2:$E$4784,2,0)</f>
        <v>1361</v>
      </c>
      <c r="G1549">
        <f>VLOOKUP($A1549,ordered_items!$B$2:$E$4784,3,0)</f>
        <v>1</v>
      </c>
      <c r="H1549">
        <f>VLOOKUP($A1549,ordered_items!$B$2:$E$4784,4,0)</f>
        <v>11.54</v>
      </c>
      <c r="I1549" s="15">
        <f>VLOOKUP(F1549,product_info!$A$2:$D$73,4,0)</f>
        <v>7</v>
      </c>
      <c r="J1549" s="15" t="str">
        <f>VLOOKUP(I1549,department!$A$2:$B$13,2,0)</f>
        <v>Fan Shop</v>
      </c>
      <c r="K1549">
        <v>16912</v>
      </c>
      <c r="L1549" t="s">
        <v>70</v>
      </c>
      <c r="M1549" s="4">
        <v>44170</v>
      </c>
      <c r="N1549" s="12">
        <f t="shared" si="73"/>
        <v>12</v>
      </c>
      <c r="O1549" s="13">
        <f t="shared" si="74"/>
        <v>2020</v>
      </c>
      <c r="P1549" t="s">
        <v>13</v>
      </c>
      <c r="Q1549" t="s">
        <v>70</v>
      </c>
      <c r="R1549" t="s">
        <v>235</v>
      </c>
      <c r="S1549" t="str" cm="1">
        <f t="array" ref="S1549">_xlfn.IFS(R1549="COMPLETE", "COMPLETED", R1549="CANCELED", "CANCELED", TRUE, "PENDING")</f>
        <v>CANCELED</v>
      </c>
      <c r="T1549" t="s">
        <v>16</v>
      </c>
      <c r="U1549">
        <f>VLOOKUP(A1549,ordered_items!$B:$E,4,0)</f>
        <v>11.54</v>
      </c>
    </row>
    <row r="1550" spans="1:21" x14ac:dyDescent="0.3">
      <c r="A1550">
        <v>73372</v>
      </c>
      <c r="B1550" t="s">
        <v>3</v>
      </c>
      <c r="C1550">
        <v>3</v>
      </c>
      <c r="D1550">
        <v>2</v>
      </c>
      <c r="E1550" t="str">
        <f t="shared" si="72"/>
        <v>DELAYED</v>
      </c>
      <c r="F1550">
        <f>VLOOKUP($A1550,ordered_items!$B$2:$E$4784,2,0)</f>
        <v>1361</v>
      </c>
      <c r="G1550">
        <f>VLOOKUP($A1550,ordered_items!$B$2:$E$4784,3,0)</f>
        <v>1</v>
      </c>
      <c r="H1550">
        <f>VLOOKUP($A1550,ordered_items!$B$2:$E$4784,4,0)</f>
        <v>11.54</v>
      </c>
      <c r="I1550" s="15">
        <f>VLOOKUP(F1550,product_info!$A$2:$D$73,4,0)</f>
        <v>7</v>
      </c>
      <c r="J1550" s="15" t="str">
        <f>VLOOKUP(I1550,department!$A$2:$B$13,2,0)</f>
        <v>Fan Shop</v>
      </c>
      <c r="K1550">
        <v>16925</v>
      </c>
      <c r="L1550" t="s">
        <v>146</v>
      </c>
      <c r="M1550" s="4">
        <v>44171</v>
      </c>
      <c r="N1550" s="12">
        <f t="shared" si="73"/>
        <v>12</v>
      </c>
      <c r="O1550" s="13">
        <f t="shared" si="74"/>
        <v>2020</v>
      </c>
      <c r="P1550" t="s">
        <v>13</v>
      </c>
      <c r="Q1550" t="s">
        <v>30</v>
      </c>
      <c r="R1550" t="s">
        <v>38</v>
      </c>
      <c r="S1550" t="str" cm="1">
        <f t="array" ref="S1550">_xlfn.IFS(R1550="COMPLETE", "COMPLETED", R1550="CANCELED", "CANCELED", TRUE, "PENDING")</f>
        <v>PENDING</v>
      </c>
      <c r="T1550" t="s">
        <v>90</v>
      </c>
      <c r="U1550">
        <f>VLOOKUP(A1550,ordered_items!$B:$E,4,0)</f>
        <v>11.54</v>
      </c>
    </row>
    <row r="1551" spans="1:21" x14ac:dyDescent="0.3">
      <c r="A1551">
        <v>73383</v>
      </c>
      <c r="B1551" t="s">
        <v>24</v>
      </c>
      <c r="C1551">
        <v>2</v>
      </c>
      <c r="D1551">
        <v>1</v>
      </c>
      <c r="E1551" t="str">
        <f t="shared" si="72"/>
        <v>DELAYED</v>
      </c>
      <c r="F1551">
        <f>VLOOKUP($A1551,ordered_items!$B$2:$E$4784,2,0)</f>
        <v>1361</v>
      </c>
      <c r="G1551">
        <f>VLOOKUP($A1551,ordered_items!$B$2:$E$4784,3,0)</f>
        <v>1</v>
      </c>
      <c r="H1551">
        <f>VLOOKUP($A1551,ordered_items!$B$2:$E$4784,4,0)</f>
        <v>11.54</v>
      </c>
      <c r="I1551" s="15">
        <f>VLOOKUP(F1551,product_info!$A$2:$D$73,4,0)</f>
        <v>7</v>
      </c>
      <c r="J1551" s="15" t="str">
        <f>VLOOKUP(I1551,department!$A$2:$B$13,2,0)</f>
        <v>Fan Shop</v>
      </c>
      <c r="K1551">
        <v>16936</v>
      </c>
      <c r="L1551" t="s">
        <v>591</v>
      </c>
      <c r="M1551" s="4">
        <v>44171</v>
      </c>
      <c r="N1551" s="12">
        <f t="shared" si="73"/>
        <v>12</v>
      </c>
      <c r="O1551" s="13">
        <f t="shared" si="74"/>
        <v>2020</v>
      </c>
      <c r="P1551" t="s">
        <v>13</v>
      </c>
      <c r="Q1551" t="s">
        <v>130</v>
      </c>
      <c r="R1551" t="s">
        <v>378</v>
      </c>
      <c r="S1551" t="str" cm="1">
        <f t="array" ref="S1551">_xlfn.IFS(R1551="COMPLETE", "COMPLETED", R1551="CANCELED", "CANCELED", TRUE, "PENDING")</f>
        <v>PENDING</v>
      </c>
      <c r="T1551" t="s">
        <v>32</v>
      </c>
      <c r="U1551">
        <f>VLOOKUP(A1551,ordered_items!$B:$E,4,0)</f>
        <v>11.54</v>
      </c>
    </row>
    <row r="1552" spans="1:21" x14ac:dyDescent="0.3">
      <c r="A1552">
        <v>73384</v>
      </c>
      <c r="B1552" t="s">
        <v>3</v>
      </c>
      <c r="C1552">
        <v>5</v>
      </c>
      <c r="D1552">
        <v>4</v>
      </c>
      <c r="E1552" t="str">
        <f t="shared" si="72"/>
        <v>DELAYED</v>
      </c>
      <c r="F1552">
        <f>VLOOKUP($A1552,ordered_items!$B$2:$E$4784,2,0)</f>
        <v>1361</v>
      </c>
      <c r="G1552">
        <f>VLOOKUP($A1552,ordered_items!$B$2:$E$4784,3,0)</f>
        <v>1</v>
      </c>
      <c r="H1552">
        <f>VLOOKUP($A1552,ordered_items!$B$2:$E$4784,4,0)</f>
        <v>11.54</v>
      </c>
      <c r="I1552" s="15">
        <f>VLOOKUP(F1552,product_info!$A$2:$D$73,4,0)</f>
        <v>7</v>
      </c>
      <c r="J1552" s="15" t="str">
        <f>VLOOKUP(I1552,department!$A$2:$B$13,2,0)</f>
        <v>Fan Shop</v>
      </c>
      <c r="K1552">
        <v>16937</v>
      </c>
      <c r="L1552" t="s">
        <v>591</v>
      </c>
      <c r="M1552" s="4">
        <v>44171</v>
      </c>
      <c r="N1552" s="12">
        <f t="shared" si="73"/>
        <v>12</v>
      </c>
      <c r="O1552" s="13">
        <f t="shared" si="74"/>
        <v>2020</v>
      </c>
      <c r="P1552" t="s">
        <v>13</v>
      </c>
      <c r="Q1552" t="s">
        <v>130</v>
      </c>
      <c r="R1552" t="s">
        <v>14</v>
      </c>
      <c r="S1552" t="str" cm="1">
        <f t="array" ref="S1552">_xlfn.IFS(R1552="COMPLETE", "COMPLETED", R1552="CANCELED", "CANCELED", TRUE, "PENDING")</f>
        <v>PENDING</v>
      </c>
      <c r="T1552" t="s">
        <v>16</v>
      </c>
      <c r="U1552">
        <f>VLOOKUP(A1552,ordered_items!$B:$E,4,0)</f>
        <v>11.54</v>
      </c>
    </row>
    <row r="1553" spans="1:21" x14ac:dyDescent="0.3">
      <c r="A1553">
        <v>73412</v>
      </c>
      <c r="B1553" t="s">
        <v>3</v>
      </c>
      <c r="C1553">
        <v>2</v>
      </c>
      <c r="D1553">
        <v>1</v>
      </c>
      <c r="E1553" t="str">
        <f t="shared" si="72"/>
        <v>DELAYED</v>
      </c>
      <c r="F1553">
        <f>VLOOKUP($A1553,ordered_items!$B$2:$E$4784,2,0)</f>
        <v>1361</v>
      </c>
      <c r="G1553">
        <f>VLOOKUP($A1553,ordered_items!$B$2:$E$4784,3,0)</f>
        <v>1</v>
      </c>
      <c r="H1553">
        <f>VLOOKUP($A1553,ordered_items!$B$2:$E$4784,4,0)</f>
        <v>11.54</v>
      </c>
      <c r="I1553" s="15">
        <f>VLOOKUP(F1553,product_info!$A$2:$D$73,4,0)</f>
        <v>7</v>
      </c>
      <c r="J1553" s="15" t="str">
        <f>VLOOKUP(I1553,department!$A$2:$B$13,2,0)</f>
        <v>Fan Shop</v>
      </c>
      <c r="K1553">
        <v>16965</v>
      </c>
      <c r="L1553" t="s">
        <v>1985</v>
      </c>
      <c r="M1553" s="4">
        <v>44171</v>
      </c>
      <c r="N1553" s="12">
        <f t="shared" si="73"/>
        <v>12</v>
      </c>
      <c r="O1553" s="13">
        <f t="shared" si="74"/>
        <v>2020</v>
      </c>
      <c r="P1553" t="s">
        <v>13</v>
      </c>
      <c r="Q1553" t="s">
        <v>80</v>
      </c>
      <c r="R1553" t="s">
        <v>38</v>
      </c>
      <c r="S1553" t="str" cm="1">
        <f t="array" ref="S1553">_xlfn.IFS(R1553="COMPLETE", "COMPLETED", R1553="CANCELED", "CANCELED", TRUE, "PENDING")</f>
        <v>PENDING</v>
      </c>
      <c r="T1553" t="s">
        <v>32</v>
      </c>
      <c r="U1553">
        <f>VLOOKUP(A1553,ordered_items!$B:$E,4,0)</f>
        <v>11.54</v>
      </c>
    </row>
    <row r="1554" spans="1:21" x14ac:dyDescent="0.3">
      <c r="A1554">
        <v>73432</v>
      </c>
      <c r="B1554" t="s">
        <v>3</v>
      </c>
      <c r="C1554">
        <v>2</v>
      </c>
      <c r="D1554">
        <v>1</v>
      </c>
      <c r="E1554" t="str">
        <f t="shared" si="72"/>
        <v>DELAYED</v>
      </c>
      <c r="F1554">
        <f>VLOOKUP($A1554,ordered_items!$B$2:$E$4784,2,0)</f>
        <v>1361</v>
      </c>
      <c r="G1554">
        <f>VLOOKUP($A1554,ordered_items!$B$2:$E$4784,3,0)</f>
        <v>1</v>
      </c>
      <c r="H1554">
        <f>VLOOKUP($A1554,ordered_items!$B$2:$E$4784,4,0)</f>
        <v>11.54</v>
      </c>
      <c r="I1554" s="15">
        <f>VLOOKUP(F1554,product_info!$A$2:$D$73,4,0)</f>
        <v>7</v>
      </c>
      <c r="J1554" s="15" t="str">
        <f>VLOOKUP(I1554,department!$A$2:$B$13,2,0)</f>
        <v>Fan Shop</v>
      </c>
      <c r="K1554">
        <v>16985</v>
      </c>
      <c r="L1554" t="s">
        <v>146</v>
      </c>
      <c r="M1554" s="4">
        <v>44171</v>
      </c>
      <c r="N1554" s="12">
        <f t="shared" si="73"/>
        <v>12</v>
      </c>
      <c r="O1554" s="13">
        <f t="shared" si="74"/>
        <v>2020</v>
      </c>
      <c r="P1554" t="s">
        <v>13</v>
      </c>
      <c r="Q1554" t="s">
        <v>30</v>
      </c>
      <c r="R1554" t="s">
        <v>38</v>
      </c>
      <c r="S1554" t="str" cm="1">
        <f t="array" ref="S1554">_xlfn.IFS(R1554="COMPLETE", "COMPLETED", R1554="CANCELED", "CANCELED", TRUE, "PENDING")</f>
        <v>PENDING</v>
      </c>
      <c r="T1554" t="s">
        <v>32</v>
      </c>
      <c r="U1554">
        <f>VLOOKUP(A1554,ordered_items!$B:$E,4,0)</f>
        <v>11.54</v>
      </c>
    </row>
    <row r="1555" spans="1:21" x14ac:dyDescent="0.3">
      <c r="A1555">
        <v>73463</v>
      </c>
      <c r="B1555" t="s">
        <v>3</v>
      </c>
      <c r="C1555">
        <v>4</v>
      </c>
      <c r="D1555">
        <v>4</v>
      </c>
      <c r="E1555" t="str">
        <f t="shared" si="72"/>
        <v xml:space="preserve"> ONTIME</v>
      </c>
      <c r="F1555">
        <f>VLOOKUP($A1555,ordered_items!$B$2:$E$4784,2,0)</f>
        <v>1361</v>
      </c>
      <c r="G1555">
        <f>VLOOKUP($A1555,ordered_items!$B$2:$E$4784,3,0)</f>
        <v>1</v>
      </c>
      <c r="H1555">
        <f>VLOOKUP($A1555,ordered_items!$B$2:$E$4784,4,0)</f>
        <v>11.54</v>
      </c>
      <c r="I1555" s="15">
        <f>VLOOKUP(F1555,product_info!$A$2:$D$73,4,0)</f>
        <v>7</v>
      </c>
      <c r="J1555" s="15" t="str">
        <f>VLOOKUP(I1555,department!$A$2:$B$13,2,0)</f>
        <v>Fan Shop</v>
      </c>
      <c r="K1555">
        <v>17016</v>
      </c>
      <c r="L1555" t="s">
        <v>214</v>
      </c>
      <c r="M1555" s="4">
        <v>44172</v>
      </c>
      <c r="N1555" s="12">
        <f t="shared" si="73"/>
        <v>12</v>
      </c>
      <c r="O1555" s="13">
        <f t="shared" si="74"/>
        <v>2020</v>
      </c>
      <c r="P1555" t="s">
        <v>13</v>
      </c>
      <c r="Q1555" t="s">
        <v>5781</v>
      </c>
      <c r="R1555" t="s">
        <v>14</v>
      </c>
      <c r="S1555" t="str" cm="1">
        <f t="array" ref="S1555">_xlfn.IFS(R1555="COMPLETE", "COMPLETED", R1555="CANCELED", "CANCELED", TRUE, "PENDING")</f>
        <v>PENDING</v>
      </c>
      <c r="T1555" t="s">
        <v>16</v>
      </c>
      <c r="U1555">
        <f>VLOOKUP(A1555,ordered_items!$B:$E,4,0)</f>
        <v>11.54</v>
      </c>
    </row>
    <row r="1556" spans="1:21" x14ac:dyDescent="0.3">
      <c r="A1556">
        <v>73476</v>
      </c>
      <c r="B1556" t="s">
        <v>17</v>
      </c>
      <c r="C1556">
        <v>1</v>
      </c>
      <c r="D1556">
        <v>0</v>
      </c>
      <c r="E1556" t="str">
        <f t="shared" si="72"/>
        <v>DELAYED</v>
      </c>
      <c r="F1556">
        <f>VLOOKUP($A1556,ordered_items!$B$2:$E$4784,2,0)</f>
        <v>1362</v>
      </c>
      <c r="G1556">
        <f>VLOOKUP($A1556,ordered_items!$B$2:$E$4784,3,0)</f>
        <v>1</v>
      </c>
      <c r="H1556">
        <f>VLOOKUP($A1556,ordered_items!$B$2:$E$4784,4,0)</f>
        <v>39.75</v>
      </c>
      <c r="I1556" s="15">
        <f>VLOOKUP(F1556,product_info!$A$2:$D$73,4,0)</f>
        <v>9</v>
      </c>
      <c r="J1556" s="15" t="str">
        <f>VLOOKUP(I1556,department!$A$2:$B$13,2,0)</f>
        <v>Discs Shop</v>
      </c>
      <c r="K1556">
        <v>17029</v>
      </c>
      <c r="L1556" t="s">
        <v>70</v>
      </c>
      <c r="M1556" s="4">
        <v>44172</v>
      </c>
      <c r="N1556" s="12">
        <f t="shared" si="73"/>
        <v>12</v>
      </c>
      <c r="O1556" s="13">
        <f t="shared" si="74"/>
        <v>2020</v>
      </c>
      <c r="P1556" t="s">
        <v>13</v>
      </c>
      <c r="Q1556" t="s">
        <v>70</v>
      </c>
      <c r="R1556" t="s">
        <v>23</v>
      </c>
      <c r="S1556" t="str" cm="1">
        <f t="array" ref="S1556">_xlfn.IFS(R1556="COMPLETE", "COMPLETED", R1556="CANCELED", "CANCELED", TRUE, "PENDING")</f>
        <v>PENDING</v>
      </c>
      <c r="T1556" t="s">
        <v>58</v>
      </c>
      <c r="U1556">
        <f>VLOOKUP(A1556,ordered_items!$B:$E,4,0)</f>
        <v>39.75</v>
      </c>
    </row>
    <row r="1557" spans="1:21" x14ac:dyDescent="0.3">
      <c r="A1557">
        <v>73477</v>
      </c>
      <c r="B1557" t="s">
        <v>24</v>
      </c>
      <c r="C1557">
        <v>1</v>
      </c>
      <c r="D1557">
        <v>0</v>
      </c>
      <c r="E1557" t="str">
        <f t="shared" si="72"/>
        <v>DELAYED</v>
      </c>
      <c r="F1557">
        <f>VLOOKUP($A1557,ordered_items!$B$2:$E$4784,2,0)</f>
        <v>1362</v>
      </c>
      <c r="G1557">
        <f>VLOOKUP($A1557,ordered_items!$B$2:$E$4784,3,0)</f>
        <v>1</v>
      </c>
      <c r="H1557">
        <f>VLOOKUP($A1557,ordered_items!$B$2:$E$4784,4,0)</f>
        <v>39.75</v>
      </c>
      <c r="I1557" s="15">
        <f>VLOOKUP(F1557,product_info!$A$2:$D$73,4,0)</f>
        <v>9</v>
      </c>
      <c r="J1557" s="15" t="str">
        <f>VLOOKUP(I1557,department!$A$2:$B$13,2,0)</f>
        <v>Discs Shop</v>
      </c>
      <c r="K1557">
        <v>17030</v>
      </c>
      <c r="L1557" t="s">
        <v>129</v>
      </c>
      <c r="M1557" s="4">
        <v>44172</v>
      </c>
      <c r="N1557" s="12">
        <f t="shared" si="73"/>
        <v>12</v>
      </c>
      <c r="O1557" s="13">
        <f t="shared" si="74"/>
        <v>2020</v>
      </c>
      <c r="P1557" t="s">
        <v>13</v>
      </c>
      <c r="Q1557" t="s">
        <v>130</v>
      </c>
      <c r="R1557" t="s">
        <v>31</v>
      </c>
      <c r="S1557" t="str" cm="1">
        <f t="array" ref="S1557">_xlfn.IFS(R1557="COMPLETE", "COMPLETED", R1557="CANCELED", "CANCELED", TRUE, "PENDING")</f>
        <v>COMPLETED</v>
      </c>
      <c r="T1557" t="s">
        <v>58</v>
      </c>
      <c r="U1557">
        <f>VLOOKUP(A1557,ordered_items!$B:$E,4,0)</f>
        <v>39.75</v>
      </c>
    </row>
    <row r="1558" spans="1:21" x14ac:dyDescent="0.3">
      <c r="A1558">
        <v>73478</v>
      </c>
      <c r="B1558" t="s">
        <v>17</v>
      </c>
      <c r="C1558">
        <v>1</v>
      </c>
      <c r="D1558">
        <v>0</v>
      </c>
      <c r="E1558" t="str">
        <f t="shared" si="72"/>
        <v>DELAYED</v>
      </c>
      <c r="F1558">
        <f>VLOOKUP($A1558,ordered_items!$B$2:$E$4784,2,0)</f>
        <v>1362</v>
      </c>
      <c r="G1558">
        <f>VLOOKUP($A1558,ordered_items!$B$2:$E$4784,3,0)</f>
        <v>1</v>
      </c>
      <c r="H1558">
        <f>VLOOKUP($A1558,ordered_items!$B$2:$E$4784,4,0)</f>
        <v>39.75</v>
      </c>
      <c r="I1558" s="15">
        <f>VLOOKUP(F1558,product_info!$A$2:$D$73,4,0)</f>
        <v>9</v>
      </c>
      <c r="J1558" s="15" t="str">
        <f>VLOOKUP(I1558,department!$A$2:$B$13,2,0)</f>
        <v>Discs Shop</v>
      </c>
      <c r="K1558">
        <v>17031</v>
      </c>
      <c r="L1558" t="s">
        <v>129</v>
      </c>
      <c r="M1558" s="4">
        <v>44172</v>
      </c>
      <c r="N1558" s="12">
        <f t="shared" si="73"/>
        <v>12</v>
      </c>
      <c r="O1558" s="13">
        <f t="shared" si="74"/>
        <v>2020</v>
      </c>
      <c r="P1558" t="s">
        <v>13</v>
      </c>
      <c r="Q1558" t="s">
        <v>130</v>
      </c>
      <c r="R1558" t="s">
        <v>23</v>
      </c>
      <c r="S1558" t="str" cm="1">
        <f t="array" ref="S1558">_xlfn.IFS(R1558="COMPLETE", "COMPLETED", R1558="CANCELED", "CANCELED", TRUE, "PENDING")</f>
        <v>PENDING</v>
      </c>
      <c r="T1558" t="s">
        <v>58</v>
      </c>
      <c r="U1558">
        <f>VLOOKUP(A1558,ordered_items!$B:$E,4,0)</f>
        <v>39.75</v>
      </c>
    </row>
    <row r="1559" spans="1:21" x14ac:dyDescent="0.3">
      <c r="A1559">
        <v>73494</v>
      </c>
      <c r="B1559" t="s">
        <v>3</v>
      </c>
      <c r="C1559">
        <v>5</v>
      </c>
      <c r="D1559">
        <v>4</v>
      </c>
      <c r="E1559" t="str">
        <f t="shared" si="72"/>
        <v>DELAYED</v>
      </c>
      <c r="F1559">
        <f>VLOOKUP($A1559,ordered_items!$B$2:$E$4784,2,0)</f>
        <v>1362</v>
      </c>
      <c r="G1559">
        <f>VLOOKUP($A1559,ordered_items!$B$2:$E$4784,3,0)</f>
        <v>1</v>
      </c>
      <c r="H1559">
        <f>VLOOKUP($A1559,ordered_items!$B$2:$E$4784,4,0)</f>
        <v>39.75</v>
      </c>
      <c r="I1559" s="15">
        <f>VLOOKUP(F1559,product_info!$A$2:$D$73,4,0)</f>
        <v>9</v>
      </c>
      <c r="J1559" s="15" t="str">
        <f>VLOOKUP(I1559,department!$A$2:$B$13,2,0)</f>
        <v>Discs Shop</v>
      </c>
      <c r="K1559">
        <v>17047</v>
      </c>
      <c r="L1559" t="s">
        <v>84</v>
      </c>
      <c r="M1559" s="4">
        <v>44172</v>
      </c>
      <c r="N1559" s="12">
        <f t="shared" si="73"/>
        <v>12</v>
      </c>
      <c r="O1559" s="13">
        <f t="shared" si="74"/>
        <v>2020</v>
      </c>
      <c r="P1559" t="s">
        <v>13</v>
      </c>
      <c r="Q1559" t="s">
        <v>80</v>
      </c>
      <c r="R1559" t="s">
        <v>14</v>
      </c>
      <c r="S1559" t="str" cm="1">
        <f t="array" ref="S1559">_xlfn.IFS(R1559="COMPLETE", "COMPLETED", R1559="CANCELED", "CANCELED", TRUE, "PENDING")</f>
        <v>PENDING</v>
      </c>
      <c r="T1559" t="s">
        <v>16</v>
      </c>
      <c r="U1559">
        <f>VLOOKUP(A1559,ordered_items!$B:$E,4,0)</f>
        <v>39.75</v>
      </c>
    </row>
    <row r="1560" spans="1:21" x14ac:dyDescent="0.3">
      <c r="A1560">
        <v>73495</v>
      </c>
      <c r="B1560" t="s">
        <v>24</v>
      </c>
      <c r="C1560">
        <v>6</v>
      </c>
      <c r="D1560">
        <v>4</v>
      </c>
      <c r="E1560" t="str">
        <f t="shared" si="72"/>
        <v>DELAYED</v>
      </c>
      <c r="F1560">
        <f>VLOOKUP($A1560,ordered_items!$B$2:$E$4784,2,0)</f>
        <v>1362</v>
      </c>
      <c r="G1560">
        <f>VLOOKUP($A1560,ordered_items!$B$2:$E$4784,3,0)</f>
        <v>1</v>
      </c>
      <c r="H1560">
        <f>VLOOKUP($A1560,ordered_items!$B$2:$E$4784,4,0)</f>
        <v>39.75</v>
      </c>
      <c r="I1560" s="15">
        <f>VLOOKUP(F1560,product_info!$A$2:$D$73,4,0)</f>
        <v>9</v>
      </c>
      <c r="J1560" s="15" t="str">
        <f>VLOOKUP(I1560,department!$A$2:$B$13,2,0)</f>
        <v>Discs Shop</v>
      </c>
      <c r="K1560">
        <v>17048</v>
      </c>
      <c r="L1560" t="s">
        <v>84</v>
      </c>
      <c r="M1560" s="4">
        <v>44172</v>
      </c>
      <c r="N1560" s="12">
        <f t="shared" si="73"/>
        <v>12</v>
      </c>
      <c r="O1560" s="13">
        <f t="shared" si="74"/>
        <v>2020</v>
      </c>
      <c r="P1560" t="s">
        <v>13</v>
      </c>
      <c r="Q1560" t="s">
        <v>80</v>
      </c>
      <c r="R1560" t="s">
        <v>378</v>
      </c>
      <c r="S1560" t="str" cm="1">
        <f t="array" ref="S1560">_xlfn.IFS(R1560="COMPLETE", "COMPLETED", R1560="CANCELED", "CANCELED", TRUE, "PENDING")</f>
        <v>PENDING</v>
      </c>
      <c r="T1560" t="s">
        <v>16</v>
      </c>
      <c r="U1560">
        <f>VLOOKUP(A1560,ordered_items!$B:$E,4,0)</f>
        <v>39.75</v>
      </c>
    </row>
    <row r="1561" spans="1:21" x14ac:dyDescent="0.3">
      <c r="A1561">
        <v>73496</v>
      </c>
      <c r="B1561" t="s">
        <v>24</v>
      </c>
      <c r="C1561">
        <v>2</v>
      </c>
      <c r="D1561">
        <v>4</v>
      </c>
      <c r="E1561" t="str">
        <f t="shared" si="72"/>
        <v xml:space="preserve"> ONTIME</v>
      </c>
      <c r="F1561">
        <f>VLOOKUP($A1561,ordered_items!$B$2:$E$4784,2,0)</f>
        <v>1362</v>
      </c>
      <c r="G1561">
        <f>VLOOKUP($A1561,ordered_items!$B$2:$E$4784,3,0)</f>
        <v>1</v>
      </c>
      <c r="H1561">
        <f>VLOOKUP($A1561,ordered_items!$B$2:$E$4784,4,0)</f>
        <v>39.75</v>
      </c>
      <c r="I1561" s="15">
        <f>VLOOKUP(F1561,product_info!$A$2:$D$73,4,0)</f>
        <v>9</v>
      </c>
      <c r="J1561" s="15" t="str">
        <f>VLOOKUP(I1561,department!$A$2:$B$13,2,0)</f>
        <v>Discs Shop</v>
      </c>
      <c r="K1561">
        <v>17049</v>
      </c>
      <c r="L1561" t="s">
        <v>84</v>
      </c>
      <c r="M1561" s="4">
        <v>44172</v>
      </c>
      <c r="N1561" s="12">
        <f t="shared" si="73"/>
        <v>12</v>
      </c>
      <c r="O1561" s="13">
        <f t="shared" si="74"/>
        <v>2020</v>
      </c>
      <c r="P1561" t="s">
        <v>13</v>
      </c>
      <c r="Q1561" t="s">
        <v>80</v>
      </c>
      <c r="R1561" t="s">
        <v>31</v>
      </c>
      <c r="S1561" t="str" cm="1">
        <f t="array" ref="S1561">_xlfn.IFS(R1561="COMPLETE", "COMPLETED", R1561="CANCELED", "CANCELED", TRUE, "PENDING")</f>
        <v>COMPLETED</v>
      </c>
      <c r="T1561" t="s">
        <v>16</v>
      </c>
      <c r="U1561">
        <f>VLOOKUP(A1561,ordered_items!$B:$E,4,0)</f>
        <v>39.75</v>
      </c>
    </row>
    <row r="1562" spans="1:21" x14ac:dyDescent="0.3">
      <c r="A1562">
        <v>73509</v>
      </c>
      <c r="B1562" t="s">
        <v>17</v>
      </c>
      <c r="C1562">
        <v>5</v>
      </c>
      <c r="D1562">
        <v>4</v>
      </c>
      <c r="E1562" t="str">
        <f t="shared" si="72"/>
        <v>DELAYED</v>
      </c>
      <c r="F1562">
        <f>VLOOKUP($A1562,ordered_items!$B$2:$E$4784,2,0)</f>
        <v>1362</v>
      </c>
      <c r="G1562">
        <f>VLOOKUP($A1562,ordered_items!$B$2:$E$4784,3,0)</f>
        <v>1</v>
      </c>
      <c r="H1562">
        <f>VLOOKUP($A1562,ordered_items!$B$2:$E$4784,4,0)</f>
        <v>39.75</v>
      </c>
      <c r="I1562" s="15">
        <f>VLOOKUP(F1562,product_info!$A$2:$D$73,4,0)</f>
        <v>9</v>
      </c>
      <c r="J1562" s="15" t="str">
        <f>VLOOKUP(I1562,department!$A$2:$B$13,2,0)</f>
        <v>Discs Shop</v>
      </c>
      <c r="K1562">
        <v>17062</v>
      </c>
      <c r="L1562" t="s">
        <v>376</v>
      </c>
      <c r="M1562" s="4">
        <v>44173</v>
      </c>
      <c r="N1562" s="12">
        <f t="shared" si="73"/>
        <v>12</v>
      </c>
      <c r="O1562" s="13">
        <f t="shared" si="74"/>
        <v>2020</v>
      </c>
      <c r="P1562" t="s">
        <v>13</v>
      </c>
      <c r="Q1562" t="s">
        <v>377</v>
      </c>
      <c r="R1562" t="s">
        <v>23</v>
      </c>
      <c r="S1562" t="str" cm="1">
        <f t="array" ref="S1562">_xlfn.IFS(R1562="COMPLETE", "COMPLETED", R1562="CANCELED", "CANCELED", TRUE, "PENDING")</f>
        <v>PENDING</v>
      </c>
      <c r="T1562" t="s">
        <v>16</v>
      </c>
      <c r="U1562">
        <f>VLOOKUP(A1562,ordered_items!$B:$E,4,0)</f>
        <v>39.75</v>
      </c>
    </row>
    <row r="1563" spans="1:21" x14ac:dyDescent="0.3">
      <c r="A1563">
        <v>73510</v>
      </c>
      <c r="B1563" t="s">
        <v>3</v>
      </c>
      <c r="C1563">
        <v>6</v>
      </c>
      <c r="D1563">
        <v>4</v>
      </c>
      <c r="E1563" t="str">
        <f t="shared" si="72"/>
        <v>DELAYED</v>
      </c>
      <c r="F1563">
        <f>VLOOKUP($A1563,ordered_items!$B$2:$E$4784,2,0)</f>
        <v>1362</v>
      </c>
      <c r="G1563">
        <f>VLOOKUP($A1563,ordered_items!$B$2:$E$4784,3,0)</f>
        <v>1</v>
      </c>
      <c r="H1563">
        <f>VLOOKUP($A1563,ordered_items!$B$2:$E$4784,4,0)</f>
        <v>39.75</v>
      </c>
      <c r="I1563" s="15">
        <f>VLOOKUP(F1563,product_info!$A$2:$D$73,4,0)</f>
        <v>9</v>
      </c>
      <c r="J1563" s="15" t="str">
        <f>VLOOKUP(I1563,department!$A$2:$B$13,2,0)</f>
        <v>Discs Shop</v>
      </c>
      <c r="K1563">
        <v>17063</v>
      </c>
      <c r="L1563" t="s">
        <v>376</v>
      </c>
      <c r="M1563" s="4">
        <v>44173</v>
      </c>
      <c r="N1563" s="12">
        <f t="shared" si="73"/>
        <v>12</v>
      </c>
      <c r="O1563" s="13">
        <f t="shared" si="74"/>
        <v>2020</v>
      </c>
      <c r="P1563" t="s">
        <v>13</v>
      </c>
      <c r="Q1563" t="s">
        <v>377</v>
      </c>
      <c r="R1563" t="s">
        <v>38</v>
      </c>
      <c r="S1563" t="str" cm="1">
        <f t="array" ref="S1563">_xlfn.IFS(R1563="COMPLETE", "COMPLETED", R1563="CANCELED", "CANCELED", TRUE, "PENDING")</f>
        <v>PENDING</v>
      </c>
      <c r="T1563" t="s">
        <v>16</v>
      </c>
      <c r="U1563">
        <f>VLOOKUP(A1563,ordered_items!$B:$E,4,0)</f>
        <v>39.75</v>
      </c>
    </row>
    <row r="1564" spans="1:21" x14ac:dyDescent="0.3">
      <c r="A1564">
        <v>73526</v>
      </c>
      <c r="B1564" t="s">
        <v>3</v>
      </c>
      <c r="C1564">
        <v>2</v>
      </c>
      <c r="D1564">
        <v>4</v>
      </c>
      <c r="E1564" t="str">
        <f t="shared" si="72"/>
        <v xml:space="preserve"> ONTIME</v>
      </c>
      <c r="F1564">
        <f>VLOOKUP($A1564,ordered_items!$B$2:$E$4784,2,0)</f>
        <v>1362</v>
      </c>
      <c r="G1564">
        <f>VLOOKUP($A1564,ordered_items!$B$2:$E$4784,3,0)</f>
        <v>1</v>
      </c>
      <c r="H1564">
        <f>VLOOKUP($A1564,ordered_items!$B$2:$E$4784,4,0)</f>
        <v>39.75</v>
      </c>
      <c r="I1564" s="15">
        <f>VLOOKUP(F1564,product_info!$A$2:$D$73,4,0)</f>
        <v>9</v>
      </c>
      <c r="J1564" s="15" t="str">
        <f>VLOOKUP(I1564,department!$A$2:$B$13,2,0)</f>
        <v>Discs Shop</v>
      </c>
      <c r="K1564">
        <v>17079</v>
      </c>
      <c r="L1564" t="s">
        <v>660</v>
      </c>
      <c r="M1564" s="4">
        <v>44173</v>
      </c>
      <c r="N1564" s="12">
        <f t="shared" si="73"/>
        <v>12</v>
      </c>
      <c r="O1564" s="13">
        <f t="shared" si="74"/>
        <v>2020</v>
      </c>
      <c r="P1564" t="s">
        <v>13</v>
      </c>
      <c r="Q1564" t="s">
        <v>99</v>
      </c>
      <c r="R1564" t="s">
        <v>38</v>
      </c>
      <c r="S1564" t="str" cm="1">
        <f t="array" ref="S1564">_xlfn.IFS(R1564="COMPLETE", "COMPLETED", R1564="CANCELED", "CANCELED", TRUE, "PENDING")</f>
        <v>PENDING</v>
      </c>
      <c r="T1564" t="s">
        <v>16</v>
      </c>
      <c r="U1564">
        <f>VLOOKUP(A1564,ordered_items!$B:$E,4,0)</f>
        <v>39.75</v>
      </c>
    </row>
    <row r="1565" spans="1:21" x14ac:dyDescent="0.3">
      <c r="A1565">
        <v>73533</v>
      </c>
      <c r="B1565" t="s">
        <v>51</v>
      </c>
      <c r="C1565">
        <v>4</v>
      </c>
      <c r="D1565">
        <v>4</v>
      </c>
      <c r="E1565" t="str">
        <f t="shared" si="72"/>
        <v xml:space="preserve"> ONTIME</v>
      </c>
      <c r="F1565">
        <f>VLOOKUP($A1565,ordered_items!$B$2:$E$4784,2,0)</f>
        <v>1362</v>
      </c>
      <c r="G1565">
        <f>VLOOKUP($A1565,ordered_items!$B$2:$E$4784,3,0)</f>
        <v>1</v>
      </c>
      <c r="H1565">
        <f>VLOOKUP($A1565,ordered_items!$B$2:$E$4784,4,0)</f>
        <v>39.75</v>
      </c>
      <c r="I1565" s="15">
        <f>VLOOKUP(F1565,product_info!$A$2:$D$73,4,0)</f>
        <v>9</v>
      </c>
      <c r="J1565" s="15" t="str">
        <f>VLOOKUP(I1565,department!$A$2:$B$13,2,0)</f>
        <v>Discs Shop</v>
      </c>
      <c r="K1565">
        <v>17086</v>
      </c>
      <c r="L1565" t="s">
        <v>959</v>
      </c>
      <c r="M1565" s="4">
        <v>44173</v>
      </c>
      <c r="N1565" s="12">
        <f t="shared" si="73"/>
        <v>12</v>
      </c>
      <c r="O1565" s="13">
        <f t="shared" si="74"/>
        <v>2020</v>
      </c>
      <c r="P1565" t="s">
        <v>13</v>
      </c>
      <c r="Q1565" t="s">
        <v>5779</v>
      </c>
      <c r="R1565" t="s">
        <v>57</v>
      </c>
      <c r="S1565" t="str" cm="1">
        <f t="array" ref="S1565">_xlfn.IFS(R1565="COMPLETE", "COMPLETED", R1565="CANCELED", "CANCELED", TRUE, "PENDING")</f>
        <v>PENDING</v>
      </c>
      <c r="T1565" t="s">
        <v>16</v>
      </c>
      <c r="U1565">
        <f>VLOOKUP(A1565,ordered_items!$B:$E,4,0)</f>
        <v>39.75</v>
      </c>
    </row>
    <row r="1566" spans="1:21" x14ac:dyDescent="0.3">
      <c r="A1566">
        <v>73534</v>
      </c>
      <c r="B1566" t="s">
        <v>51</v>
      </c>
      <c r="C1566">
        <v>5</v>
      </c>
      <c r="D1566">
        <v>4</v>
      </c>
      <c r="E1566" t="str">
        <f t="shared" si="72"/>
        <v>DELAYED</v>
      </c>
      <c r="F1566">
        <f>VLOOKUP($A1566,ordered_items!$B$2:$E$4784,2,0)</f>
        <v>1362</v>
      </c>
      <c r="G1566">
        <f>VLOOKUP($A1566,ordered_items!$B$2:$E$4784,3,0)</f>
        <v>1</v>
      </c>
      <c r="H1566">
        <f>VLOOKUP($A1566,ordered_items!$B$2:$E$4784,4,0)</f>
        <v>39.75</v>
      </c>
      <c r="I1566" s="15">
        <f>VLOOKUP(F1566,product_info!$A$2:$D$73,4,0)</f>
        <v>9</v>
      </c>
      <c r="J1566" s="15" t="str">
        <f>VLOOKUP(I1566,department!$A$2:$B$13,2,0)</f>
        <v>Discs Shop</v>
      </c>
      <c r="K1566">
        <v>17087</v>
      </c>
      <c r="L1566" t="s">
        <v>959</v>
      </c>
      <c r="M1566" s="4">
        <v>44173</v>
      </c>
      <c r="N1566" s="12">
        <f t="shared" si="73"/>
        <v>12</v>
      </c>
      <c r="O1566" s="13">
        <f t="shared" si="74"/>
        <v>2020</v>
      </c>
      <c r="P1566" t="s">
        <v>13</v>
      </c>
      <c r="Q1566" t="s">
        <v>5779</v>
      </c>
      <c r="R1566" t="s">
        <v>1275</v>
      </c>
      <c r="S1566" t="str" cm="1">
        <f t="array" ref="S1566">_xlfn.IFS(R1566="COMPLETE", "COMPLETED", R1566="CANCELED", "CANCELED", TRUE, "PENDING")</f>
        <v>PENDING</v>
      </c>
      <c r="T1566" t="s">
        <v>16</v>
      </c>
      <c r="U1566">
        <f>VLOOKUP(A1566,ordered_items!$B:$E,4,0)</f>
        <v>39.75</v>
      </c>
    </row>
    <row r="1567" spans="1:21" x14ac:dyDescent="0.3">
      <c r="A1567">
        <v>73541</v>
      </c>
      <c r="B1567" t="s">
        <v>51</v>
      </c>
      <c r="C1567">
        <v>2</v>
      </c>
      <c r="D1567">
        <v>4</v>
      </c>
      <c r="E1567" t="str">
        <f t="shared" si="72"/>
        <v xml:space="preserve"> ONTIME</v>
      </c>
      <c r="F1567">
        <f>VLOOKUP($A1567,ordered_items!$B$2:$E$4784,2,0)</f>
        <v>1362</v>
      </c>
      <c r="G1567">
        <f>VLOOKUP($A1567,ordered_items!$B$2:$E$4784,3,0)</f>
        <v>1</v>
      </c>
      <c r="H1567">
        <f>VLOOKUP($A1567,ordered_items!$B$2:$E$4784,4,0)</f>
        <v>39.75</v>
      </c>
      <c r="I1567" s="15">
        <f>VLOOKUP(F1567,product_info!$A$2:$D$73,4,0)</f>
        <v>9</v>
      </c>
      <c r="J1567" s="15" t="str">
        <f>VLOOKUP(I1567,department!$A$2:$B$13,2,0)</f>
        <v>Discs Shop</v>
      </c>
      <c r="K1567">
        <v>17094</v>
      </c>
      <c r="L1567" t="s">
        <v>258</v>
      </c>
      <c r="M1567" s="4">
        <v>44173</v>
      </c>
      <c r="N1567" s="12">
        <f t="shared" si="73"/>
        <v>12</v>
      </c>
      <c r="O1567" s="13">
        <f t="shared" si="74"/>
        <v>2020</v>
      </c>
      <c r="P1567" t="s">
        <v>13</v>
      </c>
      <c r="Q1567" t="s">
        <v>30</v>
      </c>
      <c r="R1567" t="s">
        <v>57</v>
      </c>
      <c r="S1567" t="str" cm="1">
        <f t="array" ref="S1567">_xlfn.IFS(R1567="COMPLETE", "COMPLETED", R1567="CANCELED", "CANCELED", TRUE, "PENDING")</f>
        <v>PENDING</v>
      </c>
      <c r="T1567" t="s">
        <v>16</v>
      </c>
      <c r="U1567">
        <f>VLOOKUP(A1567,ordered_items!$B:$E,4,0)</f>
        <v>39.75</v>
      </c>
    </row>
    <row r="1568" spans="1:21" x14ac:dyDescent="0.3">
      <c r="A1568">
        <v>73542</v>
      </c>
      <c r="B1568" t="s">
        <v>3</v>
      </c>
      <c r="C1568">
        <v>3</v>
      </c>
      <c r="D1568">
        <v>4</v>
      </c>
      <c r="E1568" t="str">
        <f t="shared" si="72"/>
        <v xml:space="preserve"> ONTIME</v>
      </c>
      <c r="F1568">
        <f>VLOOKUP($A1568,ordered_items!$B$2:$E$4784,2,0)</f>
        <v>1362</v>
      </c>
      <c r="G1568">
        <f>VLOOKUP($A1568,ordered_items!$B$2:$E$4784,3,0)</f>
        <v>1</v>
      </c>
      <c r="H1568">
        <f>VLOOKUP($A1568,ordered_items!$B$2:$E$4784,4,0)</f>
        <v>39.75</v>
      </c>
      <c r="I1568" s="15">
        <f>VLOOKUP(F1568,product_info!$A$2:$D$73,4,0)</f>
        <v>9</v>
      </c>
      <c r="J1568" s="15" t="str">
        <f>VLOOKUP(I1568,department!$A$2:$B$13,2,0)</f>
        <v>Discs Shop</v>
      </c>
      <c r="K1568">
        <v>17095</v>
      </c>
      <c r="L1568" t="s">
        <v>258</v>
      </c>
      <c r="M1568" s="4">
        <v>44173</v>
      </c>
      <c r="N1568" s="12">
        <f t="shared" si="73"/>
        <v>12</v>
      </c>
      <c r="O1568" s="13">
        <f t="shared" si="74"/>
        <v>2020</v>
      </c>
      <c r="P1568" t="s">
        <v>13</v>
      </c>
      <c r="Q1568" t="s">
        <v>30</v>
      </c>
      <c r="R1568" t="s">
        <v>38</v>
      </c>
      <c r="S1568" t="str" cm="1">
        <f t="array" ref="S1568">_xlfn.IFS(R1568="COMPLETE", "COMPLETED", R1568="CANCELED", "CANCELED", TRUE, "PENDING")</f>
        <v>PENDING</v>
      </c>
      <c r="T1568" t="s">
        <v>16</v>
      </c>
      <c r="U1568">
        <f>VLOOKUP(A1568,ordered_items!$B:$E,4,0)</f>
        <v>39.75</v>
      </c>
    </row>
    <row r="1569" spans="1:21" x14ac:dyDescent="0.3">
      <c r="A1569">
        <v>73578</v>
      </c>
      <c r="B1569" t="s">
        <v>3</v>
      </c>
      <c r="C1569">
        <v>4</v>
      </c>
      <c r="D1569">
        <v>2</v>
      </c>
      <c r="E1569" t="str">
        <f t="shared" si="72"/>
        <v>DELAYED</v>
      </c>
      <c r="F1569">
        <f>VLOOKUP($A1569,ordered_items!$B$2:$E$4784,2,0)</f>
        <v>1362</v>
      </c>
      <c r="G1569">
        <f>VLOOKUP($A1569,ordered_items!$B$2:$E$4784,3,0)</f>
        <v>1</v>
      </c>
      <c r="H1569">
        <f>VLOOKUP($A1569,ordered_items!$B$2:$E$4784,4,0)</f>
        <v>39.75</v>
      </c>
      <c r="I1569" s="15">
        <f>VLOOKUP(F1569,product_info!$A$2:$D$73,4,0)</f>
        <v>9</v>
      </c>
      <c r="J1569" s="15" t="str">
        <f>VLOOKUP(I1569,department!$A$2:$B$13,2,0)</f>
        <v>Discs Shop</v>
      </c>
      <c r="K1569">
        <v>17131</v>
      </c>
      <c r="L1569" t="s">
        <v>1530</v>
      </c>
      <c r="M1569" s="4">
        <v>44174</v>
      </c>
      <c r="N1569" s="12">
        <f t="shared" si="73"/>
        <v>12</v>
      </c>
      <c r="O1569" s="13">
        <f t="shared" si="74"/>
        <v>2020</v>
      </c>
      <c r="P1569" t="s">
        <v>13</v>
      </c>
      <c r="Q1569" t="s">
        <v>99</v>
      </c>
      <c r="R1569" t="s">
        <v>38</v>
      </c>
      <c r="S1569" t="str" cm="1">
        <f t="array" ref="S1569">_xlfn.IFS(R1569="COMPLETE", "COMPLETED", R1569="CANCELED", "CANCELED", TRUE, "PENDING")</f>
        <v>PENDING</v>
      </c>
      <c r="T1569" t="s">
        <v>90</v>
      </c>
      <c r="U1569">
        <f>VLOOKUP(A1569,ordered_items!$B:$E,4,0)</f>
        <v>39.75</v>
      </c>
    </row>
    <row r="1570" spans="1:21" x14ac:dyDescent="0.3">
      <c r="A1570">
        <v>73579</v>
      </c>
      <c r="B1570" t="s">
        <v>51</v>
      </c>
      <c r="C1570">
        <v>5</v>
      </c>
      <c r="D1570">
        <v>4</v>
      </c>
      <c r="E1570" t="str">
        <f t="shared" si="72"/>
        <v>DELAYED</v>
      </c>
      <c r="F1570">
        <f>VLOOKUP($A1570,ordered_items!$B$2:$E$4784,2,0)</f>
        <v>1362</v>
      </c>
      <c r="G1570">
        <f>VLOOKUP($A1570,ordered_items!$B$2:$E$4784,3,0)</f>
        <v>1</v>
      </c>
      <c r="H1570">
        <f>VLOOKUP($A1570,ordered_items!$B$2:$E$4784,4,0)</f>
        <v>39.75</v>
      </c>
      <c r="I1570" s="15">
        <f>VLOOKUP(F1570,product_info!$A$2:$D$73,4,0)</f>
        <v>9</v>
      </c>
      <c r="J1570" s="15" t="str">
        <f>VLOOKUP(I1570,department!$A$2:$B$13,2,0)</f>
        <v>Discs Shop</v>
      </c>
      <c r="K1570">
        <v>17132</v>
      </c>
      <c r="L1570" t="s">
        <v>1530</v>
      </c>
      <c r="M1570" s="4">
        <v>44174</v>
      </c>
      <c r="N1570" s="12">
        <f t="shared" si="73"/>
        <v>12</v>
      </c>
      <c r="O1570" s="13">
        <f t="shared" si="74"/>
        <v>2020</v>
      </c>
      <c r="P1570" t="s">
        <v>13</v>
      </c>
      <c r="Q1570" t="s">
        <v>99</v>
      </c>
      <c r="R1570" t="s">
        <v>57</v>
      </c>
      <c r="S1570" t="str" cm="1">
        <f t="array" ref="S1570">_xlfn.IFS(R1570="COMPLETE", "COMPLETED", R1570="CANCELED", "CANCELED", TRUE, "PENDING")</f>
        <v>PENDING</v>
      </c>
      <c r="T1570" t="s">
        <v>16</v>
      </c>
      <c r="U1570">
        <f>VLOOKUP(A1570,ordered_items!$B:$E,4,0)</f>
        <v>39.75</v>
      </c>
    </row>
    <row r="1571" spans="1:21" x14ac:dyDescent="0.3">
      <c r="A1571">
        <v>73580</v>
      </c>
      <c r="B1571" t="s">
        <v>3</v>
      </c>
      <c r="C1571">
        <v>6</v>
      </c>
      <c r="D1571">
        <v>4</v>
      </c>
      <c r="E1571" t="str">
        <f t="shared" si="72"/>
        <v>DELAYED</v>
      </c>
      <c r="F1571">
        <f>VLOOKUP($A1571,ordered_items!$B$2:$E$4784,2,0)</f>
        <v>1362</v>
      </c>
      <c r="G1571">
        <f>VLOOKUP($A1571,ordered_items!$B$2:$E$4784,3,0)</f>
        <v>1</v>
      </c>
      <c r="H1571">
        <f>VLOOKUP($A1571,ordered_items!$B$2:$E$4784,4,0)</f>
        <v>39.75</v>
      </c>
      <c r="I1571" s="15">
        <f>VLOOKUP(F1571,product_info!$A$2:$D$73,4,0)</f>
        <v>9</v>
      </c>
      <c r="J1571" s="15" t="str">
        <f>VLOOKUP(I1571,department!$A$2:$B$13,2,0)</f>
        <v>Discs Shop</v>
      </c>
      <c r="K1571">
        <v>17133</v>
      </c>
      <c r="L1571" t="s">
        <v>1530</v>
      </c>
      <c r="M1571" s="4">
        <v>44174</v>
      </c>
      <c r="N1571" s="12">
        <f t="shared" si="73"/>
        <v>12</v>
      </c>
      <c r="O1571" s="13">
        <f t="shared" si="74"/>
        <v>2020</v>
      </c>
      <c r="P1571" t="s">
        <v>13</v>
      </c>
      <c r="Q1571" t="s">
        <v>99</v>
      </c>
      <c r="R1571" t="s">
        <v>235</v>
      </c>
      <c r="S1571" t="str" cm="1">
        <f t="array" ref="S1571">_xlfn.IFS(R1571="COMPLETE", "COMPLETED", R1571="CANCELED", "CANCELED", TRUE, "PENDING")</f>
        <v>CANCELED</v>
      </c>
      <c r="T1571" t="s">
        <v>16</v>
      </c>
      <c r="U1571">
        <f>VLOOKUP(A1571,ordered_items!$B:$E,4,0)</f>
        <v>39.75</v>
      </c>
    </row>
    <row r="1572" spans="1:21" x14ac:dyDescent="0.3">
      <c r="A1572">
        <v>73583</v>
      </c>
      <c r="B1572" t="s">
        <v>24</v>
      </c>
      <c r="C1572">
        <v>4</v>
      </c>
      <c r="D1572">
        <v>4</v>
      </c>
      <c r="E1572" t="str">
        <f t="shared" si="72"/>
        <v xml:space="preserve"> ONTIME</v>
      </c>
      <c r="F1572">
        <f>VLOOKUP($A1572,ordered_items!$B$2:$E$4784,2,0)</f>
        <v>1362</v>
      </c>
      <c r="G1572">
        <f>VLOOKUP($A1572,ordered_items!$B$2:$E$4784,3,0)</f>
        <v>1</v>
      </c>
      <c r="H1572">
        <f>VLOOKUP($A1572,ordered_items!$B$2:$E$4784,4,0)</f>
        <v>39.75</v>
      </c>
      <c r="I1572" s="15">
        <f>VLOOKUP(F1572,product_info!$A$2:$D$73,4,0)</f>
        <v>9</v>
      </c>
      <c r="J1572" s="15" t="str">
        <f>VLOOKUP(I1572,department!$A$2:$B$13,2,0)</f>
        <v>Discs Shop</v>
      </c>
      <c r="K1572">
        <v>17136</v>
      </c>
      <c r="L1572" t="s">
        <v>262</v>
      </c>
      <c r="M1572" s="4">
        <v>44174</v>
      </c>
      <c r="N1572" s="12">
        <f t="shared" si="73"/>
        <v>12</v>
      </c>
      <c r="O1572" s="13">
        <f t="shared" si="74"/>
        <v>2020</v>
      </c>
      <c r="P1572" t="s">
        <v>13</v>
      </c>
      <c r="Q1572" t="s">
        <v>30</v>
      </c>
      <c r="R1572" t="s">
        <v>378</v>
      </c>
      <c r="S1572" t="str" cm="1">
        <f t="array" ref="S1572">_xlfn.IFS(R1572="COMPLETE", "COMPLETED", R1572="CANCELED", "CANCELED", TRUE, "PENDING")</f>
        <v>PENDING</v>
      </c>
      <c r="T1572" t="s">
        <v>16</v>
      </c>
      <c r="U1572">
        <f>VLOOKUP(A1572,ordered_items!$B:$E,4,0)</f>
        <v>39.75</v>
      </c>
    </row>
    <row r="1573" spans="1:21" x14ac:dyDescent="0.3">
      <c r="A1573">
        <v>73605</v>
      </c>
      <c r="B1573" t="s">
        <v>3</v>
      </c>
      <c r="C1573">
        <v>6</v>
      </c>
      <c r="D1573">
        <v>4</v>
      </c>
      <c r="E1573" t="str">
        <f t="shared" si="72"/>
        <v>DELAYED</v>
      </c>
      <c r="F1573">
        <f>VLOOKUP($A1573,ordered_items!$B$2:$E$4784,2,0)</f>
        <v>1362</v>
      </c>
      <c r="G1573">
        <f>VLOOKUP($A1573,ordered_items!$B$2:$E$4784,3,0)</f>
        <v>1</v>
      </c>
      <c r="H1573">
        <f>VLOOKUP($A1573,ordered_items!$B$2:$E$4784,4,0)</f>
        <v>39.75</v>
      </c>
      <c r="I1573" s="15">
        <f>VLOOKUP(F1573,product_info!$A$2:$D$73,4,0)</f>
        <v>9</v>
      </c>
      <c r="J1573" s="15" t="str">
        <f>VLOOKUP(I1573,department!$A$2:$B$13,2,0)</f>
        <v>Discs Shop</v>
      </c>
      <c r="K1573">
        <v>17158</v>
      </c>
      <c r="L1573" t="s">
        <v>84</v>
      </c>
      <c r="M1573" s="4">
        <v>44174</v>
      </c>
      <c r="N1573" s="12">
        <f t="shared" si="73"/>
        <v>12</v>
      </c>
      <c r="O1573" s="13">
        <f t="shared" si="74"/>
        <v>2020</v>
      </c>
      <c r="P1573" t="s">
        <v>13</v>
      </c>
      <c r="Q1573" t="s">
        <v>80</v>
      </c>
      <c r="R1573" t="s">
        <v>38</v>
      </c>
      <c r="S1573" t="str" cm="1">
        <f t="array" ref="S1573">_xlfn.IFS(R1573="COMPLETE", "COMPLETED", R1573="CANCELED", "CANCELED", TRUE, "PENDING")</f>
        <v>PENDING</v>
      </c>
      <c r="T1573" t="s">
        <v>16</v>
      </c>
      <c r="U1573">
        <f>VLOOKUP(A1573,ordered_items!$B:$E,4,0)</f>
        <v>39.75</v>
      </c>
    </row>
    <row r="1574" spans="1:21" x14ac:dyDescent="0.3">
      <c r="A1574">
        <v>73608</v>
      </c>
      <c r="B1574" t="s">
        <v>51</v>
      </c>
      <c r="C1574">
        <v>4</v>
      </c>
      <c r="D1574">
        <v>2</v>
      </c>
      <c r="E1574" t="str">
        <f t="shared" si="72"/>
        <v>DELAYED</v>
      </c>
      <c r="F1574">
        <f>VLOOKUP($A1574,ordered_items!$B$2:$E$4784,2,0)</f>
        <v>1362</v>
      </c>
      <c r="G1574">
        <f>VLOOKUP($A1574,ordered_items!$B$2:$E$4784,3,0)</f>
        <v>1</v>
      </c>
      <c r="H1574">
        <f>VLOOKUP($A1574,ordered_items!$B$2:$E$4784,4,0)</f>
        <v>39.75</v>
      </c>
      <c r="I1574" s="15">
        <f>VLOOKUP(F1574,product_info!$A$2:$D$73,4,0)</f>
        <v>9</v>
      </c>
      <c r="J1574" s="15" t="str">
        <f>VLOOKUP(I1574,department!$A$2:$B$13,2,0)</f>
        <v>Discs Shop</v>
      </c>
      <c r="K1574">
        <v>17161</v>
      </c>
      <c r="L1574" t="s">
        <v>2438</v>
      </c>
      <c r="M1574" s="4">
        <v>44174</v>
      </c>
      <c r="N1574" s="12">
        <f t="shared" si="73"/>
        <v>12</v>
      </c>
      <c r="O1574" s="13">
        <f t="shared" si="74"/>
        <v>2020</v>
      </c>
      <c r="P1574" t="s">
        <v>13</v>
      </c>
      <c r="Q1574" t="s">
        <v>47</v>
      </c>
      <c r="R1574" t="s">
        <v>57</v>
      </c>
      <c r="S1574" t="str" cm="1">
        <f t="array" ref="S1574">_xlfn.IFS(R1574="COMPLETE", "COMPLETED", R1574="CANCELED", "CANCELED", TRUE, "PENDING")</f>
        <v>PENDING</v>
      </c>
      <c r="T1574" t="s">
        <v>90</v>
      </c>
      <c r="U1574">
        <f>VLOOKUP(A1574,ordered_items!$B:$E,4,0)</f>
        <v>39.75</v>
      </c>
    </row>
    <row r="1575" spans="1:21" x14ac:dyDescent="0.3">
      <c r="A1575">
        <v>73627</v>
      </c>
      <c r="B1575" t="s">
        <v>24</v>
      </c>
      <c r="C1575">
        <v>2</v>
      </c>
      <c r="D1575">
        <v>1</v>
      </c>
      <c r="E1575" t="str">
        <f t="shared" si="72"/>
        <v>DELAYED</v>
      </c>
      <c r="F1575">
        <f>VLOOKUP($A1575,ordered_items!$B$2:$E$4784,2,0)</f>
        <v>1362</v>
      </c>
      <c r="G1575">
        <f>VLOOKUP($A1575,ordered_items!$B$2:$E$4784,3,0)</f>
        <v>1</v>
      </c>
      <c r="H1575">
        <f>VLOOKUP($A1575,ordered_items!$B$2:$E$4784,4,0)</f>
        <v>39.75</v>
      </c>
      <c r="I1575" s="15">
        <f>VLOOKUP(F1575,product_info!$A$2:$D$73,4,0)</f>
        <v>9</v>
      </c>
      <c r="J1575" s="15" t="str">
        <f>VLOOKUP(I1575,department!$A$2:$B$13,2,0)</f>
        <v>Discs Shop</v>
      </c>
      <c r="K1575">
        <v>17180</v>
      </c>
      <c r="L1575" t="s">
        <v>409</v>
      </c>
      <c r="M1575" s="4">
        <v>44174</v>
      </c>
      <c r="N1575" s="12">
        <f t="shared" si="73"/>
        <v>12</v>
      </c>
      <c r="O1575" s="13">
        <f t="shared" si="74"/>
        <v>2020</v>
      </c>
      <c r="P1575" t="s">
        <v>13</v>
      </c>
      <c r="Q1575" t="s">
        <v>410</v>
      </c>
      <c r="R1575" t="s">
        <v>31</v>
      </c>
      <c r="S1575" t="str" cm="1">
        <f t="array" ref="S1575">_xlfn.IFS(R1575="COMPLETE", "COMPLETED", R1575="CANCELED", "CANCELED", TRUE, "PENDING")</f>
        <v>COMPLETED</v>
      </c>
      <c r="T1575" t="s">
        <v>32</v>
      </c>
      <c r="U1575">
        <f>VLOOKUP(A1575,ordered_items!$B:$E,4,0)</f>
        <v>39.75</v>
      </c>
    </row>
    <row r="1576" spans="1:21" x14ac:dyDescent="0.3">
      <c r="A1576">
        <v>73629</v>
      </c>
      <c r="B1576" t="s">
        <v>3</v>
      </c>
      <c r="C1576">
        <v>2</v>
      </c>
      <c r="D1576">
        <v>1</v>
      </c>
      <c r="E1576" t="str">
        <f t="shared" si="72"/>
        <v>DELAYED</v>
      </c>
      <c r="F1576">
        <f>VLOOKUP($A1576,ordered_items!$B$2:$E$4784,2,0)</f>
        <v>1362</v>
      </c>
      <c r="G1576">
        <f>VLOOKUP($A1576,ordered_items!$B$2:$E$4784,3,0)</f>
        <v>1</v>
      </c>
      <c r="H1576">
        <f>VLOOKUP($A1576,ordered_items!$B$2:$E$4784,4,0)</f>
        <v>39.75</v>
      </c>
      <c r="I1576" s="15">
        <f>VLOOKUP(F1576,product_info!$A$2:$D$73,4,0)</f>
        <v>9</v>
      </c>
      <c r="J1576" s="15" t="str">
        <f>VLOOKUP(I1576,department!$A$2:$B$13,2,0)</f>
        <v>Discs Shop</v>
      </c>
      <c r="K1576">
        <v>17182</v>
      </c>
      <c r="L1576" t="s">
        <v>70</v>
      </c>
      <c r="M1576" s="4">
        <v>44174</v>
      </c>
      <c r="N1576" s="12">
        <f t="shared" si="73"/>
        <v>12</v>
      </c>
      <c r="O1576" s="13">
        <f t="shared" si="74"/>
        <v>2020</v>
      </c>
      <c r="P1576" t="s">
        <v>13</v>
      </c>
      <c r="Q1576" t="s">
        <v>70</v>
      </c>
      <c r="R1576" t="s">
        <v>38</v>
      </c>
      <c r="S1576" t="str" cm="1">
        <f t="array" ref="S1576">_xlfn.IFS(R1576="COMPLETE", "COMPLETED", R1576="CANCELED", "CANCELED", TRUE, "PENDING")</f>
        <v>PENDING</v>
      </c>
      <c r="T1576" t="s">
        <v>32</v>
      </c>
      <c r="U1576">
        <f>VLOOKUP(A1576,ordered_items!$B:$E,4,0)</f>
        <v>39.75</v>
      </c>
    </row>
    <row r="1577" spans="1:21" x14ac:dyDescent="0.3">
      <c r="A1577">
        <v>73630</v>
      </c>
      <c r="B1577" t="s">
        <v>3</v>
      </c>
      <c r="C1577">
        <v>6</v>
      </c>
      <c r="D1577">
        <v>2</v>
      </c>
      <c r="E1577" t="str">
        <f t="shared" si="72"/>
        <v>DELAYED</v>
      </c>
      <c r="F1577">
        <f>VLOOKUP($A1577,ordered_items!$B$2:$E$4784,2,0)</f>
        <v>1362</v>
      </c>
      <c r="G1577">
        <f>VLOOKUP($A1577,ordered_items!$B$2:$E$4784,3,0)</f>
        <v>1</v>
      </c>
      <c r="H1577">
        <f>VLOOKUP($A1577,ordered_items!$B$2:$E$4784,4,0)</f>
        <v>39.75</v>
      </c>
      <c r="I1577" s="15">
        <f>VLOOKUP(F1577,product_info!$A$2:$D$73,4,0)</f>
        <v>9</v>
      </c>
      <c r="J1577" s="15" t="str">
        <f>VLOOKUP(I1577,department!$A$2:$B$13,2,0)</f>
        <v>Discs Shop</v>
      </c>
      <c r="K1577">
        <v>17183</v>
      </c>
      <c r="L1577" t="s">
        <v>70</v>
      </c>
      <c r="M1577" s="4">
        <v>44174</v>
      </c>
      <c r="N1577" s="12">
        <f t="shared" si="73"/>
        <v>12</v>
      </c>
      <c r="O1577" s="13">
        <f t="shared" si="74"/>
        <v>2020</v>
      </c>
      <c r="P1577" t="s">
        <v>13</v>
      </c>
      <c r="Q1577" t="s">
        <v>70</v>
      </c>
      <c r="R1577" t="s">
        <v>38</v>
      </c>
      <c r="S1577" t="str" cm="1">
        <f t="array" ref="S1577">_xlfn.IFS(R1577="COMPLETE", "COMPLETED", R1577="CANCELED", "CANCELED", TRUE, "PENDING")</f>
        <v>PENDING</v>
      </c>
      <c r="T1577" t="s">
        <v>90</v>
      </c>
      <c r="U1577">
        <f>VLOOKUP(A1577,ordered_items!$B:$E,4,0)</f>
        <v>39.75</v>
      </c>
    </row>
    <row r="1578" spans="1:21" x14ac:dyDescent="0.3">
      <c r="A1578">
        <v>73631</v>
      </c>
      <c r="B1578" t="s">
        <v>24</v>
      </c>
      <c r="C1578">
        <v>2</v>
      </c>
      <c r="D1578">
        <v>2</v>
      </c>
      <c r="E1578" t="str">
        <f t="shared" si="72"/>
        <v xml:space="preserve"> ONTIME</v>
      </c>
      <c r="F1578">
        <f>VLOOKUP($A1578,ordered_items!$B$2:$E$4784,2,0)</f>
        <v>1362</v>
      </c>
      <c r="G1578">
        <f>VLOOKUP($A1578,ordered_items!$B$2:$E$4784,3,0)</f>
        <v>1</v>
      </c>
      <c r="H1578">
        <f>VLOOKUP($A1578,ordered_items!$B$2:$E$4784,4,0)</f>
        <v>39.75</v>
      </c>
      <c r="I1578" s="15">
        <f>VLOOKUP(F1578,product_info!$A$2:$D$73,4,0)</f>
        <v>9</v>
      </c>
      <c r="J1578" s="15" t="str">
        <f>VLOOKUP(I1578,department!$A$2:$B$13,2,0)</f>
        <v>Discs Shop</v>
      </c>
      <c r="K1578">
        <v>17184</v>
      </c>
      <c r="L1578" t="s">
        <v>70</v>
      </c>
      <c r="M1578" s="4">
        <v>44174</v>
      </c>
      <c r="N1578" s="12">
        <f t="shared" si="73"/>
        <v>12</v>
      </c>
      <c r="O1578" s="13">
        <f t="shared" si="74"/>
        <v>2020</v>
      </c>
      <c r="P1578" t="s">
        <v>13</v>
      </c>
      <c r="Q1578" t="s">
        <v>70</v>
      </c>
      <c r="R1578" t="s">
        <v>378</v>
      </c>
      <c r="S1578" t="str" cm="1">
        <f t="array" ref="S1578">_xlfn.IFS(R1578="COMPLETE", "COMPLETED", R1578="CANCELED", "CANCELED", TRUE, "PENDING")</f>
        <v>PENDING</v>
      </c>
      <c r="T1578" t="s">
        <v>90</v>
      </c>
      <c r="U1578">
        <f>VLOOKUP(A1578,ordered_items!$B:$E,4,0)</f>
        <v>39.75</v>
      </c>
    </row>
    <row r="1579" spans="1:21" x14ac:dyDescent="0.3">
      <c r="A1579">
        <v>73632</v>
      </c>
      <c r="B1579" t="s">
        <v>24</v>
      </c>
      <c r="C1579">
        <v>3</v>
      </c>
      <c r="D1579">
        <v>4</v>
      </c>
      <c r="E1579" t="str">
        <f t="shared" si="72"/>
        <v xml:space="preserve"> ONTIME</v>
      </c>
      <c r="F1579">
        <f>VLOOKUP($A1579,ordered_items!$B$2:$E$4784,2,0)</f>
        <v>1362</v>
      </c>
      <c r="G1579">
        <f>VLOOKUP($A1579,ordered_items!$B$2:$E$4784,3,0)</f>
        <v>1</v>
      </c>
      <c r="H1579">
        <f>VLOOKUP($A1579,ordered_items!$B$2:$E$4784,4,0)</f>
        <v>39.75</v>
      </c>
      <c r="I1579" s="15">
        <f>VLOOKUP(F1579,product_info!$A$2:$D$73,4,0)</f>
        <v>9</v>
      </c>
      <c r="J1579" s="15" t="str">
        <f>VLOOKUP(I1579,department!$A$2:$B$13,2,0)</f>
        <v>Discs Shop</v>
      </c>
      <c r="K1579">
        <v>17185</v>
      </c>
      <c r="L1579" t="s">
        <v>70</v>
      </c>
      <c r="M1579" s="4">
        <v>44174</v>
      </c>
      <c r="N1579" s="12">
        <f t="shared" si="73"/>
        <v>12</v>
      </c>
      <c r="O1579" s="13">
        <f t="shared" si="74"/>
        <v>2020</v>
      </c>
      <c r="P1579" t="s">
        <v>13</v>
      </c>
      <c r="Q1579" t="s">
        <v>70</v>
      </c>
      <c r="R1579" t="s">
        <v>31</v>
      </c>
      <c r="S1579" t="str" cm="1">
        <f t="array" ref="S1579">_xlfn.IFS(R1579="COMPLETE", "COMPLETED", R1579="CANCELED", "CANCELED", TRUE, "PENDING")</f>
        <v>COMPLETED</v>
      </c>
      <c r="T1579" t="s">
        <v>16</v>
      </c>
      <c r="U1579">
        <f>VLOOKUP(A1579,ordered_items!$B:$E,4,0)</f>
        <v>39.75</v>
      </c>
    </row>
    <row r="1580" spans="1:21" x14ac:dyDescent="0.3">
      <c r="A1580">
        <v>73633</v>
      </c>
      <c r="B1580" t="s">
        <v>3</v>
      </c>
      <c r="C1580">
        <v>4</v>
      </c>
      <c r="D1580">
        <v>4</v>
      </c>
      <c r="E1580" t="str">
        <f t="shared" si="72"/>
        <v xml:space="preserve"> ONTIME</v>
      </c>
      <c r="F1580">
        <f>VLOOKUP($A1580,ordered_items!$B$2:$E$4784,2,0)</f>
        <v>1362</v>
      </c>
      <c r="G1580">
        <f>VLOOKUP($A1580,ordered_items!$B$2:$E$4784,3,0)</f>
        <v>1</v>
      </c>
      <c r="H1580">
        <f>VLOOKUP($A1580,ordered_items!$B$2:$E$4784,4,0)</f>
        <v>39.75</v>
      </c>
      <c r="I1580" s="15">
        <f>VLOOKUP(F1580,product_info!$A$2:$D$73,4,0)</f>
        <v>9</v>
      </c>
      <c r="J1580" s="15" t="str">
        <f>VLOOKUP(I1580,department!$A$2:$B$13,2,0)</f>
        <v>Discs Shop</v>
      </c>
      <c r="K1580">
        <v>17186</v>
      </c>
      <c r="L1580" t="s">
        <v>70</v>
      </c>
      <c r="M1580" s="4">
        <v>44174</v>
      </c>
      <c r="N1580" s="12">
        <f t="shared" si="73"/>
        <v>12</v>
      </c>
      <c r="O1580" s="13">
        <f t="shared" si="74"/>
        <v>2020</v>
      </c>
      <c r="P1580" t="s">
        <v>13</v>
      </c>
      <c r="Q1580" t="s">
        <v>70</v>
      </c>
      <c r="R1580" t="s">
        <v>14</v>
      </c>
      <c r="S1580" t="str" cm="1">
        <f t="array" ref="S1580">_xlfn.IFS(R1580="COMPLETE", "COMPLETED", R1580="CANCELED", "CANCELED", TRUE, "PENDING")</f>
        <v>PENDING</v>
      </c>
      <c r="T1580" t="s">
        <v>16</v>
      </c>
      <c r="U1580">
        <f>VLOOKUP(A1580,ordered_items!$B:$E,4,0)</f>
        <v>39.75</v>
      </c>
    </row>
    <row r="1581" spans="1:21" x14ac:dyDescent="0.3">
      <c r="A1581">
        <v>73676</v>
      </c>
      <c r="B1581" t="s">
        <v>24</v>
      </c>
      <c r="C1581">
        <v>2</v>
      </c>
      <c r="D1581">
        <v>4</v>
      </c>
      <c r="E1581" t="str">
        <f t="shared" si="72"/>
        <v xml:space="preserve"> ONTIME</v>
      </c>
      <c r="F1581">
        <f>VLOOKUP($A1581,ordered_items!$B$2:$E$4784,2,0)</f>
        <v>1362</v>
      </c>
      <c r="G1581">
        <f>VLOOKUP($A1581,ordered_items!$B$2:$E$4784,3,0)</f>
        <v>1</v>
      </c>
      <c r="H1581">
        <f>VLOOKUP($A1581,ordered_items!$B$2:$E$4784,4,0)</f>
        <v>39.75</v>
      </c>
      <c r="I1581" s="15">
        <f>VLOOKUP(F1581,product_info!$A$2:$D$73,4,0)</f>
        <v>9</v>
      </c>
      <c r="J1581" s="15" t="str">
        <f>VLOOKUP(I1581,department!$A$2:$B$13,2,0)</f>
        <v>Discs Shop</v>
      </c>
      <c r="K1581">
        <v>17229</v>
      </c>
      <c r="L1581" t="s">
        <v>780</v>
      </c>
      <c r="M1581" s="4">
        <v>44175</v>
      </c>
      <c r="N1581" s="12">
        <f t="shared" si="73"/>
        <v>12</v>
      </c>
      <c r="O1581" s="13">
        <f t="shared" si="74"/>
        <v>2020</v>
      </c>
      <c r="P1581" t="s">
        <v>13</v>
      </c>
      <c r="Q1581" t="s">
        <v>80</v>
      </c>
      <c r="R1581" t="s">
        <v>31</v>
      </c>
      <c r="S1581" t="str" cm="1">
        <f t="array" ref="S1581">_xlfn.IFS(R1581="COMPLETE", "COMPLETED", R1581="CANCELED", "CANCELED", TRUE, "PENDING")</f>
        <v>COMPLETED</v>
      </c>
      <c r="T1581" t="s">
        <v>16</v>
      </c>
      <c r="U1581">
        <f>VLOOKUP(A1581,ordered_items!$B:$E,4,0)</f>
        <v>39.75</v>
      </c>
    </row>
    <row r="1582" spans="1:21" x14ac:dyDescent="0.3">
      <c r="A1582">
        <v>73720</v>
      </c>
      <c r="B1582" t="s">
        <v>17</v>
      </c>
      <c r="C1582">
        <v>6</v>
      </c>
      <c r="D1582">
        <v>4</v>
      </c>
      <c r="E1582" t="str">
        <f t="shared" si="72"/>
        <v>DELAYED</v>
      </c>
      <c r="F1582">
        <f>VLOOKUP($A1582,ordered_items!$B$2:$E$4784,2,0)</f>
        <v>1363</v>
      </c>
      <c r="G1582">
        <f>VLOOKUP($A1582,ordered_items!$B$2:$E$4784,3,0)</f>
        <v>1</v>
      </c>
      <c r="H1582">
        <f>VLOOKUP($A1582,ordered_items!$B$2:$E$4784,4,0)</f>
        <v>215.82</v>
      </c>
      <c r="I1582" s="15">
        <f>VLOOKUP(F1582,product_info!$A$2:$D$73,4,0)</f>
        <v>4</v>
      </c>
      <c r="J1582" s="15" t="str">
        <f>VLOOKUP(I1582,department!$A$2:$B$13,2,0)</f>
        <v>Apparel</v>
      </c>
      <c r="K1582">
        <v>17273</v>
      </c>
      <c r="L1582" t="s">
        <v>980</v>
      </c>
      <c r="M1582" s="4">
        <v>44176</v>
      </c>
      <c r="N1582" s="12">
        <f t="shared" si="73"/>
        <v>12</v>
      </c>
      <c r="O1582" s="13">
        <f t="shared" si="74"/>
        <v>2020</v>
      </c>
      <c r="P1582" t="s">
        <v>13</v>
      </c>
      <c r="Q1582" t="s">
        <v>30</v>
      </c>
      <c r="R1582" t="s">
        <v>23</v>
      </c>
      <c r="S1582" t="str" cm="1">
        <f t="array" ref="S1582">_xlfn.IFS(R1582="COMPLETE", "COMPLETED", R1582="CANCELED", "CANCELED", TRUE, "PENDING")</f>
        <v>PENDING</v>
      </c>
      <c r="T1582" t="s">
        <v>16</v>
      </c>
      <c r="U1582">
        <f>VLOOKUP(A1582,ordered_items!$B:$E,4,0)</f>
        <v>215.82</v>
      </c>
    </row>
    <row r="1583" spans="1:21" x14ac:dyDescent="0.3">
      <c r="A1583">
        <v>73742</v>
      </c>
      <c r="B1583" t="s">
        <v>51</v>
      </c>
      <c r="C1583">
        <v>0</v>
      </c>
      <c r="D1583">
        <v>0</v>
      </c>
      <c r="E1583" t="str">
        <f t="shared" si="72"/>
        <v xml:space="preserve"> ONTIME</v>
      </c>
      <c r="F1583">
        <f>VLOOKUP($A1583,ordered_items!$B$2:$E$4784,2,0)</f>
        <v>1363</v>
      </c>
      <c r="G1583">
        <f>VLOOKUP($A1583,ordered_items!$B$2:$E$4784,3,0)</f>
        <v>1</v>
      </c>
      <c r="H1583">
        <f>VLOOKUP($A1583,ordered_items!$B$2:$E$4784,4,0)</f>
        <v>215.82</v>
      </c>
      <c r="I1583" s="15">
        <f>VLOOKUP(F1583,product_info!$A$2:$D$73,4,0)</f>
        <v>4</v>
      </c>
      <c r="J1583" s="15" t="str">
        <f>VLOOKUP(I1583,department!$A$2:$B$13,2,0)</f>
        <v>Apparel</v>
      </c>
      <c r="K1583">
        <v>17295</v>
      </c>
      <c r="L1583" t="s">
        <v>660</v>
      </c>
      <c r="M1583" s="4">
        <v>44176</v>
      </c>
      <c r="N1583" s="12">
        <f t="shared" si="73"/>
        <v>12</v>
      </c>
      <c r="O1583" s="13">
        <f t="shared" si="74"/>
        <v>2020</v>
      </c>
      <c r="P1583" t="s">
        <v>13</v>
      </c>
      <c r="Q1583" t="s">
        <v>99</v>
      </c>
      <c r="R1583" t="s">
        <v>57</v>
      </c>
      <c r="S1583" t="str" cm="1">
        <f t="array" ref="S1583">_xlfn.IFS(R1583="COMPLETE", "COMPLETED", R1583="CANCELED", "CANCELED", TRUE, "PENDING")</f>
        <v>PENDING</v>
      </c>
      <c r="T1583" t="s">
        <v>58</v>
      </c>
      <c r="U1583">
        <f>VLOOKUP(A1583,ordered_items!$B:$E,4,0)</f>
        <v>215.82</v>
      </c>
    </row>
    <row r="1584" spans="1:21" x14ac:dyDescent="0.3">
      <c r="A1584">
        <v>73744</v>
      </c>
      <c r="B1584" t="s">
        <v>3</v>
      </c>
      <c r="C1584">
        <v>0</v>
      </c>
      <c r="D1584">
        <v>0</v>
      </c>
      <c r="E1584" t="str">
        <f t="shared" si="72"/>
        <v xml:space="preserve"> ONTIME</v>
      </c>
      <c r="F1584">
        <f>VLOOKUP($A1584,ordered_items!$B$2:$E$4784,2,0)</f>
        <v>1363</v>
      </c>
      <c r="G1584">
        <f>VLOOKUP($A1584,ordered_items!$B$2:$E$4784,3,0)</f>
        <v>1</v>
      </c>
      <c r="H1584">
        <f>VLOOKUP($A1584,ordered_items!$B$2:$E$4784,4,0)</f>
        <v>215.82</v>
      </c>
      <c r="I1584" s="15">
        <f>VLOOKUP(F1584,product_info!$A$2:$D$73,4,0)</f>
        <v>4</v>
      </c>
      <c r="J1584" s="15" t="str">
        <f>VLOOKUP(I1584,department!$A$2:$B$13,2,0)</f>
        <v>Apparel</v>
      </c>
      <c r="K1584">
        <v>17297</v>
      </c>
      <c r="L1584" t="s">
        <v>233</v>
      </c>
      <c r="M1584" s="4">
        <v>44176</v>
      </c>
      <c r="N1584" s="12">
        <f t="shared" si="73"/>
        <v>12</v>
      </c>
      <c r="O1584" s="13">
        <f t="shared" si="74"/>
        <v>2020</v>
      </c>
      <c r="P1584" t="s">
        <v>13</v>
      </c>
      <c r="Q1584" t="s">
        <v>234</v>
      </c>
      <c r="R1584" t="s">
        <v>14</v>
      </c>
      <c r="S1584" t="str" cm="1">
        <f t="array" ref="S1584">_xlfn.IFS(R1584="COMPLETE", "COMPLETED", R1584="CANCELED", "CANCELED", TRUE, "PENDING")</f>
        <v>PENDING</v>
      </c>
      <c r="T1584" t="s">
        <v>58</v>
      </c>
      <c r="U1584">
        <f>VLOOKUP(A1584,ordered_items!$B:$E,4,0)</f>
        <v>215.82</v>
      </c>
    </row>
    <row r="1585" spans="1:21" x14ac:dyDescent="0.3">
      <c r="A1585">
        <v>73745</v>
      </c>
      <c r="B1585" t="s">
        <v>24</v>
      </c>
      <c r="C1585">
        <v>0</v>
      </c>
      <c r="D1585">
        <v>0</v>
      </c>
      <c r="E1585" t="str">
        <f t="shared" si="72"/>
        <v xml:space="preserve"> ONTIME</v>
      </c>
      <c r="F1585">
        <f>VLOOKUP($A1585,ordered_items!$B$2:$E$4784,2,0)</f>
        <v>1363</v>
      </c>
      <c r="G1585">
        <f>VLOOKUP($A1585,ordered_items!$B$2:$E$4784,3,0)</f>
        <v>1</v>
      </c>
      <c r="H1585">
        <f>VLOOKUP($A1585,ordered_items!$B$2:$E$4784,4,0)</f>
        <v>215.82</v>
      </c>
      <c r="I1585" s="15">
        <f>VLOOKUP(F1585,product_info!$A$2:$D$73,4,0)</f>
        <v>4</v>
      </c>
      <c r="J1585" s="15" t="str">
        <f>VLOOKUP(I1585,department!$A$2:$B$13,2,0)</f>
        <v>Apparel</v>
      </c>
      <c r="K1585">
        <v>17298</v>
      </c>
      <c r="L1585" t="s">
        <v>233</v>
      </c>
      <c r="M1585" s="4">
        <v>44176</v>
      </c>
      <c r="N1585" s="12">
        <f t="shared" si="73"/>
        <v>12</v>
      </c>
      <c r="O1585" s="13">
        <f t="shared" si="74"/>
        <v>2020</v>
      </c>
      <c r="P1585" t="s">
        <v>13</v>
      </c>
      <c r="Q1585" t="s">
        <v>234</v>
      </c>
      <c r="R1585" t="s">
        <v>31</v>
      </c>
      <c r="S1585" t="str" cm="1">
        <f t="array" ref="S1585">_xlfn.IFS(R1585="COMPLETE", "COMPLETED", R1585="CANCELED", "CANCELED", TRUE, "PENDING")</f>
        <v>COMPLETED</v>
      </c>
      <c r="T1585" t="s">
        <v>58</v>
      </c>
      <c r="U1585">
        <f>VLOOKUP(A1585,ordered_items!$B:$E,4,0)</f>
        <v>215.82</v>
      </c>
    </row>
    <row r="1586" spans="1:21" x14ac:dyDescent="0.3">
      <c r="A1586">
        <v>73762</v>
      </c>
      <c r="B1586" t="s">
        <v>24</v>
      </c>
      <c r="C1586">
        <v>1</v>
      </c>
      <c r="D1586">
        <v>0</v>
      </c>
      <c r="E1586" t="str">
        <f t="shared" si="72"/>
        <v>DELAYED</v>
      </c>
      <c r="F1586">
        <f>VLOOKUP($A1586,ordered_items!$B$2:$E$4784,2,0)</f>
        <v>1363</v>
      </c>
      <c r="G1586">
        <f>VLOOKUP($A1586,ordered_items!$B$2:$E$4784,3,0)</f>
        <v>1</v>
      </c>
      <c r="H1586">
        <f>VLOOKUP($A1586,ordered_items!$B$2:$E$4784,4,0)</f>
        <v>215.82</v>
      </c>
      <c r="I1586" s="15">
        <f>VLOOKUP(F1586,product_info!$A$2:$D$73,4,0)</f>
        <v>4</v>
      </c>
      <c r="J1586" s="15" t="str">
        <f>VLOOKUP(I1586,department!$A$2:$B$13,2,0)</f>
        <v>Apparel</v>
      </c>
      <c r="K1586">
        <v>17315</v>
      </c>
      <c r="L1586" t="s">
        <v>202</v>
      </c>
      <c r="M1586" s="4">
        <v>44176</v>
      </c>
      <c r="N1586" s="12">
        <f t="shared" si="73"/>
        <v>12</v>
      </c>
      <c r="O1586" s="13">
        <f t="shared" si="74"/>
        <v>2020</v>
      </c>
      <c r="P1586" t="s">
        <v>13</v>
      </c>
      <c r="Q1586" t="s">
        <v>99</v>
      </c>
      <c r="R1586" t="s">
        <v>31</v>
      </c>
      <c r="S1586" t="str" cm="1">
        <f t="array" ref="S1586">_xlfn.IFS(R1586="COMPLETE", "COMPLETED", R1586="CANCELED", "CANCELED", TRUE, "PENDING")</f>
        <v>COMPLETED</v>
      </c>
      <c r="T1586" t="s">
        <v>58</v>
      </c>
      <c r="U1586">
        <f>VLOOKUP(A1586,ordered_items!$B:$E,4,0)</f>
        <v>215.82</v>
      </c>
    </row>
    <row r="1587" spans="1:21" x14ac:dyDescent="0.3">
      <c r="A1587">
        <v>73763</v>
      </c>
      <c r="B1587" t="s">
        <v>17</v>
      </c>
      <c r="C1587">
        <v>2</v>
      </c>
      <c r="D1587">
        <v>1</v>
      </c>
      <c r="E1587" t="str">
        <f t="shared" si="72"/>
        <v>DELAYED</v>
      </c>
      <c r="F1587">
        <f>VLOOKUP($A1587,ordered_items!$B$2:$E$4784,2,0)</f>
        <v>1363</v>
      </c>
      <c r="G1587">
        <f>VLOOKUP($A1587,ordered_items!$B$2:$E$4784,3,0)</f>
        <v>1</v>
      </c>
      <c r="H1587">
        <f>VLOOKUP($A1587,ordered_items!$B$2:$E$4784,4,0)</f>
        <v>215.82</v>
      </c>
      <c r="I1587" s="15">
        <f>VLOOKUP(F1587,product_info!$A$2:$D$73,4,0)</f>
        <v>4</v>
      </c>
      <c r="J1587" s="15" t="str">
        <f>VLOOKUP(I1587,department!$A$2:$B$13,2,0)</f>
        <v>Apparel</v>
      </c>
      <c r="K1587">
        <v>17316</v>
      </c>
      <c r="L1587" t="s">
        <v>202</v>
      </c>
      <c r="M1587" s="4">
        <v>44176</v>
      </c>
      <c r="N1587" s="12">
        <f t="shared" si="73"/>
        <v>12</v>
      </c>
      <c r="O1587" s="13">
        <f t="shared" si="74"/>
        <v>2020</v>
      </c>
      <c r="P1587" t="s">
        <v>13</v>
      </c>
      <c r="Q1587" t="s">
        <v>99</v>
      </c>
      <c r="R1587" t="s">
        <v>23</v>
      </c>
      <c r="S1587" t="str" cm="1">
        <f t="array" ref="S1587">_xlfn.IFS(R1587="COMPLETE", "COMPLETED", R1587="CANCELED", "CANCELED", TRUE, "PENDING")</f>
        <v>PENDING</v>
      </c>
      <c r="T1587" t="s">
        <v>32</v>
      </c>
      <c r="U1587">
        <f>VLOOKUP(A1587,ordered_items!$B:$E,4,0)</f>
        <v>215.82</v>
      </c>
    </row>
    <row r="1588" spans="1:21" x14ac:dyDescent="0.3">
      <c r="A1588">
        <v>73764</v>
      </c>
      <c r="B1588" t="s">
        <v>24</v>
      </c>
      <c r="C1588">
        <v>5</v>
      </c>
      <c r="D1588">
        <v>2</v>
      </c>
      <c r="E1588" t="str">
        <f t="shared" si="72"/>
        <v>DELAYED</v>
      </c>
      <c r="F1588">
        <f>VLOOKUP($A1588,ordered_items!$B$2:$E$4784,2,0)</f>
        <v>1363</v>
      </c>
      <c r="G1588">
        <f>VLOOKUP($A1588,ordered_items!$B$2:$E$4784,3,0)</f>
        <v>1</v>
      </c>
      <c r="H1588">
        <f>VLOOKUP($A1588,ordered_items!$B$2:$E$4784,4,0)</f>
        <v>215.82</v>
      </c>
      <c r="I1588" s="15">
        <f>VLOOKUP(F1588,product_info!$A$2:$D$73,4,0)</f>
        <v>4</v>
      </c>
      <c r="J1588" s="15" t="str">
        <f>VLOOKUP(I1588,department!$A$2:$B$13,2,0)</f>
        <v>Apparel</v>
      </c>
      <c r="K1588">
        <v>17317</v>
      </c>
      <c r="L1588" t="s">
        <v>202</v>
      </c>
      <c r="M1588" s="4">
        <v>44176</v>
      </c>
      <c r="N1588" s="12">
        <f t="shared" si="73"/>
        <v>12</v>
      </c>
      <c r="O1588" s="13">
        <f t="shared" si="74"/>
        <v>2020</v>
      </c>
      <c r="P1588" t="s">
        <v>13</v>
      </c>
      <c r="Q1588" t="s">
        <v>99</v>
      </c>
      <c r="R1588" t="s">
        <v>31</v>
      </c>
      <c r="S1588" t="str" cm="1">
        <f t="array" ref="S1588">_xlfn.IFS(R1588="COMPLETE", "COMPLETED", R1588="CANCELED", "CANCELED", TRUE, "PENDING")</f>
        <v>COMPLETED</v>
      </c>
      <c r="T1588" t="s">
        <v>90</v>
      </c>
      <c r="U1588">
        <f>VLOOKUP(A1588,ordered_items!$B:$E,4,0)</f>
        <v>215.82</v>
      </c>
    </row>
    <row r="1589" spans="1:21" x14ac:dyDescent="0.3">
      <c r="A1589">
        <v>73765</v>
      </c>
      <c r="B1589" t="s">
        <v>24</v>
      </c>
      <c r="C1589">
        <v>6</v>
      </c>
      <c r="D1589">
        <v>2</v>
      </c>
      <c r="E1589" t="str">
        <f t="shared" si="72"/>
        <v>DELAYED</v>
      </c>
      <c r="F1589">
        <f>VLOOKUP($A1589,ordered_items!$B$2:$E$4784,2,0)</f>
        <v>1363</v>
      </c>
      <c r="G1589">
        <f>VLOOKUP($A1589,ordered_items!$B$2:$E$4784,3,0)</f>
        <v>1</v>
      </c>
      <c r="H1589">
        <f>VLOOKUP($A1589,ordered_items!$B$2:$E$4784,4,0)</f>
        <v>215.82</v>
      </c>
      <c r="I1589" s="15">
        <f>VLOOKUP(F1589,product_info!$A$2:$D$73,4,0)</f>
        <v>4</v>
      </c>
      <c r="J1589" s="15" t="str">
        <f>VLOOKUP(I1589,department!$A$2:$B$13,2,0)</f>
        <v>Apparel</v>
      </c>
      <c r="K1589">
        <v>17318</v>
      </c>
      <c r="L1589" t="s">
        <v>206</v>
      </c>
      <c r="M1589" s="4">
        <v>44176</v>
      </c>
      <c r="N1589" s="12">
        <f t="shared" si="73"/>
        <v>12</v>
      </c>
      <c r="O1589" s="13">
        <f t="shared" si="74"/>
        <v>2020</v>
      </c>
      <c r="P1589" t="s">
        <v>13</v>
      </c>
      <c r="Q1589" t="s">
        <v>30</v>
      </c>
      <c r="R1589" t="s">
        <v>31</v>
      </c>
      <c r="S1589" t="str" cm="1">
        <f t="array" ref="S1589">_xlfn.IFS(R1589="COMPLETE", "COMPLETED", R1589="CANCELED", "CANCELED", TRUE, "PENDING")</f>
        <v>COMPLETED</v>
      </c>
      <c r="T1589" t="s">
        <v>90</v>
      </c>
      <c r="U1589">
        <f>VLOOKUP(A1589,ordered_items!$B:$E,4,0)</f>
        <v>215.82</v>
      </c>
    </row>
    <row r="1590" spans="1:21" x14ac:dyDescent="0.3">
      <c r="A1590">
        <v>73776</v>
      </c>
      <c r="B1590" t="s">
        <v>3</v>
      </c>
      <c r="C1590">
        <v>2</v>
      </c>
      <c r="D1590">
        <v>4</v>
      </c>
      <c r="E1590" t="str">
        <f t="shared" si="72"/>
        <v xml:space="preserve"> ONTIME</v>
      </c>
      <c r="F1590">
        <f>VLOOKUP($A1590,ordered_items!$B$2:$E$4784,2,0)</f>
        <v>1363</v>
      </c>
      <c r="G1590">
        <f>VLOOKUP($A1590,ordered_items!$B$2:$E$4784,3,0)</f>
        <v>1</v>
      </c>
      <c r="H1590">
        <f>VLOOKUP($A1590,ordered_items!$B$2:$E$4784,4,0)</f>
        <v>215.82</v>
      </c>
      <c r="I1590" s="15">
        <f>VLOOKUP(F1590,product_info!$A$2:$D$73,4,0)</f>
        <v>4</v>
      </c>
      <c r="J1590" s="15" t="str">
        <f>VLOOKUP(I1590,department!$A$2:$B$13,2,0)</f>
        <v>Apparel</v>
      </c>
      <c r="K1590">
        <v>17329</v>
      </c>
      <c r="L1590" t="s">
        <v>2400</v>
      </c>
      <c r="M1590" s="4">
        <v>44176</v>
      </c>
      <c r="N1590" s="12">
        <f t="shared" si="73"/>
        <v>12</v>
      </c>
      <c r="O1590" s="13">
        <f t="shared" si="74"/>
        <v>2020</v>
      </c>
      <c r="P1590" t="s">
        <v>13</v>
      </c>
      <c r="Q1590" t="s">
        <v>245</v>
      </c>
      <c r="R1590" t="s">
        <v>14</v>
      </c>
      <c r="S1590" t="str" cm="1">
        <f t="array" ref="S1590">_xlfn.IFS(R1590="COMPLETE", "COMPLETED", R1590="CANCELED", "CANCELED", TRUE, "PENDING")</f>
        <v>PENDING</v>
      </c>
      <c r="T1590" t="s">
        <v>16</v>
      </c>
      <c r="U1590">
        <f>VLOOKUP(A1590,ordered_items!$B:$E,4,0)</f>
        <v>215.82</v>
      </c>
    </row>
    <row r="1591" spans="1:21" x14ac:dyDescent="0.3">
      <c r="A1591">
        <v>73780</v>
      </c>
      <c r="B1591" t="s">
        <v>24</v>
      </c>
      <c r="C1591">
        <v>6</v>
      </c>
      <c r="D1591">
        <v>4</v>
      </c>
      <c r="E1591" t="str">
        <f t="shared" si="72"/>
        <v>DELAYED</v>
      </c>
      <c r="F1591">
        <f>VLOOKUP($A1591,ordered_items!$B$2:$E$4784,2,0)</f>
        <v>1363</v>
      </c>
      <c r="G1591">
        <f>VLOOKUP($A1591,ordered_items!$B$2:$E$4784,3,0)</f>
        <v>1</v>
      </c>
      <c r="H1591">
        <f>VLOOKUP($A1591,ordered_items!$B$2:$E$4784,4,0)</f>
        <v>215.82</v>
      </c>
      <c r="I1591" s="15">
        <f>VLOOKUP(F1591,product_info!$A$2:$D$73,4,0)</f>
        <v>4</v>
      </c>
      <c r="J1591" s="15" t="str">
        <f>VLOOKUP(I1591,department!$A$2:$B$13,2,0)</f>
        <v>Apparel</v>
      </c>
      <c r="K1591">
        <v>17333</v>
      </c>
      <c r="L1591" t="s">
        <v>530</v>
      </c>
      <c r="M1591" s="4">
        <v>44177</v>
      </c>
      <c r="N1591" s="12">
        <f t="shared" si="73"/>
        <v>12</v>
      </c>
      <c r="O1591" s="13">
        <f t="shared" si="74"/>
        <v>2020</v>
      </c>
      <c r="P1591" t="s">
        <v>13</v>
      </c>
      <c r="Q1591" t="s">
        <v>5777</v>
      </c>
      <c r="R1591" t="s">
        <v>31</v>
      </c>
      <c r="S1591" t="str" cm="1">
        <f t="array" ref="S1591">_xlfn.IFS(R1591="COMPLETE", "COMPLETED", R1591="CANCELED", "CANCELED", TRUE, "PENDING")</f>
        <v>COMPLETED</v>
      </c>
      <c r="T1591" t="s">
        <v>16</v>
      </c>
      <c r="U1591">
        <f>VLOOKUP(A1591,ordered_items!$B:$E,4,0)</f>
        <v>215.82</v>
      </c>
    </row>
    <row r="1592" spans="1:21" x14ac:dyDescent="0.3">
      <c r="A1592">
        <v>73787</v>
      </c>
      <c r="B1592" t="s">
        <v>51</v>
      </c>
      <c r="C1592">
        <v>3</v>
      </c>
      <c r="D1592">
        <v>4</v>
      </c>
      <c r="E1592" t="str">
        <f t="shared" si="72"/>
        <v xml:space="preserve"> ONTIME</v>
      </c>
      <c r="F1592">
        <f>VLOOKUP($A1592,ordered_items!$B$2:$E$4784,2,0)</f>
        <v>1363</v>
      </c>
      <c r="G1592">
        <f>VLOOKUP($A1592,ordered_items!$B$2:$E$4784,3,0)</f>
        <v>1</v>
      </c>
      <c r="H1592">
        <f>VLOOKUP($A1592,ordered_items!$B$2:$E$4784,4,0)</f>
        <v>215.82</v>
      </c>
      <c r="I1592" s="15">
        <f>VLOOKUP(F1592,product_info!$A$2:$D$73,4,0)</f>
        <v>4</v>
      </c>
      <c r="J1592" s="15" t="str">
        <f>VLOOKUP(I1592,department!$A$2:$B$13,2,0)</f>
        <v>Apparel</v>
      </c>
      <c r="K1592">
        <v>17340</v>
      </c>
      <c r="L1592" t="s">
        <v>439</v>
      </c>
      <c r="M1592" s="4">
        <v>44177</v>
      </c>
      <c r="N1592" s="12">
        <f t="shared" si="73"/>
        <v>12</v>
      </c>
      <c r="O1592" s="13">
        <f t="shared" si="74"/>
        <v>2020</v>
      </c>
      <c r="P1592" t="s">
        <v>13</v>
      </c>
      <c r="Q1592" t="s">
        <v>377</v>
      </c>
      <c r="R1592" t="s">
        <v>57</v>
      </c>
      <c r="S1592" t="str" cm="1">
        <f t="array" ref="S1592">_xlfn.IFS(R1592="COMPLETE", "COMPLETED", R1592="CANCELED", "CANCELED", TRUE, "PENDING")</f>
        <v>PENDING</v>
      </c>
      <c r="T1592" t="s">
        <v>16</v>
      </c>
      <c r="U1592">
        <f>VLOOKUP(A1592,ordered_items!$B:$E,4,0)</f>
        <v>215.82</v>
      </c>
    </row>
    <row r="1593" spans="1:21" x14ac:dyDescent="0.3">
      <c r="A1593">
        <v>73788</v>
      </c>
      <c r="B1593" t="s">
        <v>51</v>
      </c>
      <c r="C1593">
        <v>4</v>
      </c>
      <c r="D1593">
        <v>4</v>
      </c>
      <c r="E1593" t="str">
        <f t="shared" si="72"/>
        <v xml:space="preserve"> ONTIME</v>
      </c>
      <c r="F1593">
        <f>VLOOKUP($A1593,ordered_items!$B$2:$E$4784,2,0)</f>
        <v>1363</v>
      </c>
      <c r="G1593">
        <f>VLOOKUP($A1593,ordered_items!$B$2:$E$4784,3,0)</f>
        <v>1</v>
      </c>
      <c r="H1593">
        <f>VLOOKUP($A1593,ordered_items!$B$2:$E$4784,4,0)</f>
        <v>215.82</v>
      </c>
      <c r="I1593" s="15">
        <f>VLOOKUP(F1593,product_info!$A$2:$D$73,4,0)</f>
        <v>4</v>
      </c>
      <c r="J1593" s="15" t="str">
        <f>VLOOKUP(I1593,department!$A$2:$B$13,2,0)</f>
        <v>Apparel</v>
      </c>
      <c r="K1593">
        <v>17341</v>
      </c>
      <c r="L1593" t="s">
        <v>439</v>
      </c>
      <c r="M1593" s="4">
        <v>44177</v>
      </c>
      <c r="N1593" s="12">
        <f t="shared" si="73"/>
        <v>12</v>
      </c>
      <c r="O1593" s="13">
        <f t="shared" si="74"/>
        <v>2020</v>
      </c>
      <c r="P1593" t="s">
        <v>13</v>
      </c>
      <c r="Q1593" t="s">
        <v>377</v>
      </c>
      <c r="R1593" t="s">
        <v>57</v>
      </c>
      <c r="S1593" t="str" cm="1">
        <f t="array" ref="S1593">_xlfn.IFS(R1593="COMPLETE", "COMPLETED", R1593="CANCELED", "CANCELED", TRUE, "PENDING")</f>
        <v>PENDING</v>
      </c>
      <c r="T1593" t="s">
        <v>16</v>
      </c>
      <c r="U1593">
        <f>VLOOKUP(A1593,ordered_items!$B:$E,4,0)</f>
        <v>215.82</v>
      </c>
    </row>
    <row r="1594" spans="1:21" x14ac:dyDescent="0.3">
      <c r="A1594">
        <v>73789</v>
      </c>
      <c r="B1594" t="s">
        <v>24</v>
      </c>
      <c r="C1594">
        <v>5</v>
      </c>
      <c r="D1594">
        <v>4</v>
      </c>
      <c r="E1594" t="str">
        <f t="shared" si="72"/>
        <v>DELAYED</v>
      </c>
      <c r="F1594">
        <f>VLOOKUP($A1594,ordered_items!$B$2:$E$4784,2,0)</f>
        <v>1363</v>
      </c>
      <c r="G1594">
        <f>VLOOKUP($A1594,ordered_items!$B$2:$E$4784,3,0)</f>
        <v>1</v>
      </c>
      <c r="H1594">
        <f>VLOOKUP($A1594,ordered_items!$B$2:$E$4784,4,0)</f>
        <v>215.82</v>
      </c>
      <c r="I1594" s="15">
        <f>VLOOKUP(F1594,product_info!$A$2:$D$73,4,0)</f>
        <v>4</v>
      </c>
      <c r="J1594" s="15" t="str">
        <f>VLOOKUP(I1594,department!$A$2:$B$13,2,0)</f>
        <v>Apparel</v>
      </c>
      <c r="K1594">
        <v>17342</v>
      </c>
      <c r="L1594" t="s">
        <v>439</v>
      </c>
      <c r="M1594" s="4">
        <v>44177</v>
      </c>
      <c r="N1594" s="12">
        <f t="shared" si="73"/>
        <v>12</v>
      </c>
      <c r="O1594" s="13">
        <f t="shared" si="74"/>
        <v>2020</v>
      </c>
      <c r="P1594" t="s">
        <v>13</v>
      </c>
      <c r="Q1594" t="s">
        <v>377</v>
      </c>
      <c r="R1594" t="s">
        <v>31</v>
      </c>
      <c r="S1594" t="str" cm="1">
        <f t="array" ref="S1594">_xlfn.IFS(R1594="COMPLETE", "COMPLETED", R1594="CANCELED", "CANCELED", TRUE, "PENDING")</f>
        <v>COMPLETED</v>
      </c>
      <c r="T1594" t="s">
        <v>16</v>
      </c>
      <c r="U1594">
        <f>VLOOKUP(A1594,ordered_items!$B:$E,4,0)</f>
        <v>215.82</v>
      </c>
    </row>
    <row r="1595" spans="1:21" x14ac:dyDescent="0.3">
      <c r="A1595">
        <v>73808</v>
      </c>
      <c r="B1595" t="s">
        <v>3</v>
      </c>
      <c r="C1595">
        <v>4</v>
      </c>
      <c r="D1595">
        <v>2</v>
      </c>
      <c r="E1595" t="str">
        <f t="shared" si="72"/>
        <v>DELAYED</v>
      </c>
      <c r="F1595">
        <f>VLOOKUP($A1595,ordered_items!$B$2:$E$4784,2,0)</f>
        <v>1363</v>
      </c>
      <c r="G1595">
        <f>VLOOKUP($A1595,ordered_items!$B$2:$E$4784,3,0)</f>
        <v>1</v>
      </c>
      <c r="H1595">
        <f>VLOOKUP($A1595,ordered_items!$B$2:$E$4784,4,0)</f>
        <v>215.82</v>
      </c>
      <c r="I1595" s="15">
        <f>VLOOKUP(F1595,product_info!$A$2:$D$73,4,0)</f>
        <v>4</v>
      </c>
      <c r="J1595" s="15" t="str">
        <f>VLOOKUP(I1595,department!$A$2:$B$13,2,0)</f>
        <v>Apparel</v>
      </c>
      <c r="K1595">
        <v>17361</v>
      </c>
      <c r="L1595" t="s">
        <v>525</v>
      </c>
      <c r="M1595" s="4">
        <v>44177</v>
      </c>
      <c r="N1595" s="12">
        <f t="shared" si="73"/>
        <v>12</v>
      </c>
      <c r="O1595" s="13">
        <f t="shared" si="74"/>
        <v>2020</v>
      </c>
      <c r="P1595" t="s">
        <v>13</v>
      </c>
      <c r="Q1595" t="s">
        <v>5778</v>
      </c>
      <c r="R1595" t="s">
        <v>38</v>
      </c>
      <c r="S1595" t="str" cm="1">
        <f t="array" ref="S1595">_xlfn.IFS(R1595="COMPLETE", "COMPLETED", R1595="CANCELED", "CANCELED", TRUE, "PENDING")</f>
        <v>PENDING</v>
      </c>
      <c r="T1595" t="s">
        <v>90</v>
      </c>
      <c r="U1595">
        <f>VLOOKUP(A1595,ordered_items!$B:$E,4,0)</f>
        <v>215.82</v>
      </c>
    </row>
    <row r="1596" spans="1:21" x14ac:dyDescent="0.3">
      <c r="A1596">
        <v>73812</v>
      </c>
      <c r="B1596" t="s">
        <v>24</v>
      </c>
      <c r="C1596">
        <v>2</v>
      </c>
      <c r="D1596">
        <v>1</v>
      </c>
      <c r="E1596" t="str">
        <f t="shared" si="72"/>
        <v>DELAYED</v>
      </c>
      <c r="F1596">
        <f>VLOOKUP($A1596,ordered_items!$B$2:$E$4784,2,0)</f>
        <v>1363</v>
      </c>
      <c r="G1596">
        <f>VLOOKUP($A1596,ordered_items!$B$2:$E$4784,3,0)</f>
        <v>1</v>
      </c>
      <c r="H1596">
        <f>VLOOKUP($A1596,ordered_items!$B$2:$E$4784,4,0)</f>
        <v>215.82</v>
      </c>
      <c r="I1596" s="15">
        <f>VLOOKUP(F1596,product_info!$A$2:$D$73,4,0)</f>
        <v>4</v>
      </c>
      <c r="J1596" s="15" t="str">
        <f>VLOOKUP(I1596,department!$A$2:$B$13,2,0)</f>
        <v>Apparel</v>
      </c>
      <c r="K1596">
        <v>17365</v>
      </c>
      <c r="L1596" t="s">
        <v>2108</v>
      </c>
      <c r="M1596" s="4">
        <v>44177</v>
      </c>
      <c r="N1596" s="12">
        <f t="shared" si="73"/>
        <v>12</v>
      </c>
      <c r="O1596" s="13">
        <f t="shared" si="74"/>
        <v>2020</v>
      </c>
      <c r="P1596" t="s">
        <v>13</v>
      </c>
      <c r="Q1596" t="s">
        <v>99</v>
      </c>
      <c r="R1596" t="s">
        <v>31</v>
      </c>
      <c r="S1596" t="str" cm="1">
        <f t="array" ref="S1596">_xlfn.IFS(R1596="COMPLETE", "COMPLETED", R1596="CANCELED", "CANCELED", TRUE, "PENDING")</f>
        <v>COMPLETED</v>
      </c>
      <c r="T1596" t="s">
        <v>32</v>
      </c>
      <c r="U1596">
        <f>VLOOKUP(A1596,ordered_items!$B:$E,4,0)</f>
        <v>215.82</v>
      </c>
    </row>
    <row r="1597" spans="1:21" x14ac:dyDescent="0.3">
      <c r="A1597">
        <v>73823</v>
      </c>
      <c r="B1597" t="s">
        <v>24</v>
      </c>
      <c r="C1597">
        <v>2</v>
      </c>
      <c r="D1597">
        <v>1</v>
      </c>
      <c r="E1597" t="str">
        <f t="shared" si="72"/>
        <v>DELAYED</v>
      </c>
      <c r="F1597">
        <f>VLOOKUP($A1597,ordered_items!$B$2:$E$4784,2,0)</f>
        <v>1363</v>
      </c>
      <c r="G1597">
        <f>VLOOKUP($A1597,ordered_items!$B$2:$E$4784,3,0)</f>
        <v>1</v>
      </c>
      <c r="H1597">
        <f>VLOOKUP($A1597,ordered_items!$B$2:$E$4784,4,0)</f>
        <v>215.82</v>
      </c>
      <c r="I1597" s="15">
        <f>VLOOKUP(F1597,product_info!$A$2:$D$73,4,0)</f>
        <v>4</v>
      </c>
      <c r="J1597" s="15" t="str">
        <f>VLOOKUP(I1597,department!$A$2:$B$13,2,0)</f>
        <v>Apparel</v>
      </c>
      <c r="K1597">
        <v>17376</v>
      </c>
      <c r="L1597" t="s">
        <v>660</v>
      </c>
      <c r="M1597" s="4">
        <v>44177</v>
      </c>
      <c r="N1597" s="12">
        <f t="shared" si="73"/>
        <v>12</v>
      </c>
      <c r="O1597" s="13">
        <f t="shared" si="74"/>
        <v>2020</v>
      </c>
      <c r="P1597" t="s">
        <v>13</v>
      </c>
      <c r="Q1597" t="s">
        <v>99</v>
      </c>
      <c r="R1597" t="s">
        <v>31</v>
      </c>
      <c r="S1597" t="str" cm="1">
        <f t="array" ref="S1597">_xlfn.IFS(R1597="COMPLETE", "COMPLETED", R1597="CANCELED", "CANCELED", TRUE, "PENDING")</f>
        <v>COMPLETED</v>
      </c>
      <c r="T1597" t="s">
        <v>32</v>
      </c>
      <c r="U1597">
        <f>VLOOKUP(A1597,ordered_items!$B:$E,4,0)</f>
        <v>215.82</v>
      </c>
    </row>
    <row r="1598" spans="1:21" x14ac:dyDescent="0.3">
      <c r="A1598">
        <v>73825</v>
      </c>
      <c r="B1598" t="s">
        <v>3</v>
      </c>
      <c r="C1598">
        <v>6</v>
      </c>
      <c r="D1598">
        <v>4</v>
      </c>
      <c r="E1598" t="str">
        <f t="shared" si="72"/>
        <v>DELAYED</v>
      </c>
      <c r="F1598">
        <f>VLOOKUP($A1598,ordered_items!$B$2:$E$4784,2,0)</f>
        <v>1363</v>
      </c>
      <c r="G1598">
        <f>VLOOKUP($A1598,ordered_items!$B$2:$E$4784,3,0)</f>
        <v>1</v>
      </c>
      <c r="H1598">
        <f>VLOOKUP($A1598,ordered_items!$B$2:$E$4784,4,0)</f>
        <v>215.82</v>
      </c>
      <c r="I1598" s="15">
        <f>VLOOKUP(F1598,product_info!$A$2:$D$73,4,0)</f>
        <v>4</v>
      </c>
      <c r="J1598" s="15" t="str">
        <f>VLOOKUP(I1598,department!$A$2:$B$13,2,0)</f>
        <v>Apparel</v>
      </c>
      <c r="K1598">
        <v>17378</v>
      </c>
      <c r="L1598" t="s">
        <v>233</v>
      </c>
      <c r="M1598" s="4">
        <v>44177</v>
      </c>
      <c r="N1598" s="12">
        <f t="shared" si="73"/>
        <v>12</v>
      </c>
      <c r="O1598" s="13">
        <f t="shared" si="74"/>
        <v>2020</v>
      </c>
      <c r="P1598" t="s">
        <v>13</v>
      </c>
      <c r="Q1598" t="s">
        <v>234</v>
      </c>
      <c r="R1598" t="s">
        <v>38</v>
      </c>
      <c r="S1598" t="str" cm="1">
        <f t="array" ref="S1598">_xlfn.IFS(R1598="COMPLETE", "COMPLETED", R1598="CANCELED", "CANCELED", TRUE, "PENDING")</f>
        <v>PENDING</v>
      </c>
      <c r="T1598" t="s">
        <v>16</v>
      </c>
      <c r="U1598">
        <f>VLOOKUP(A1598,ordered_items!$B:$E,4,0)</f>
        <v>215.82</v>
      </c>
    </row>
    <row r="1599" spans="1:21" x14ac:dyDescent="0.3">
      <c r="A1599">
        <v>73828</v>
      </c>
      <c r="B1599" t="s">
        <v>24</v>
      </c>
      <c r="C1599">
        <v>2</v>
      </c>
      <c r="D1599">
        <v>1</v>
      </c>
      <c r="E1599" t="str">
        <f t="shared" si="72"/>
        <v>DELAYED</v>
      </c>
      <c r="F1599">
        <f>VLOOKUP($A1599,ordered_items!$B$2:$E$4784,2,0)</f>
        <v>1363</v>
      </c>
      <c r="G1599">
        <f>VLOOKUP($A1599,ordered_items!$B$2:$E$4784,3,0)</f>
        <v>1</v>
      </c>
      <c r="H1599">
        <f>VLOOKUP($A1599,ordered_items!$B$2:$E$4784,4,0)</f>
        <v>215.82</v>
      </c>
      <c r="I1599" s="15">
        <f>VLOOKUP(F1599,product_info!$A$2:$D$73,4,0)</f>
        <v>4</v>
      </c>
      <c r="J1599" s="15" t="str">
        <f>VLOOKUP(I1599,department!$A$2:$B$13,2,0)</f>
        <v>Apparel</v>
      </c>
      <c r="K1599">
        <v>17381</v>
      </c>
      <c r="L1599" t="s">
        <v>1430</v>
      </c>
      <c r="M1599" s="4">
        <v>44177</v>
      </c>
      <c r="N1599" s="12">
        <f t="shared" si="73"/>
        <v>12</v>
      </c>
      <c r="O1599" s="13">
        <f t="shared" si="74"/>
        <v>2020</v>
      </c>
      <c r="P1599" t="s">
        <v>13</v>
      </c>
      <c r="Q1599" t="s">
        <v>5777</v>
      </c>
      <c r="R1599" t="s">
        <v>31</v>
      </c>
      <c r="S1599" t="str" cm="1">
        <f t="array" ref="S1599">_xlfn.IFS(R1599="COMPLETE", "COMPLETED", R1599="CANCELED", "CANCELED", TRUE, "PENDING")</f>
        <v>COMPLETED</v>
      </c>
      <c r="T1599" t="s">
        <v>32</v>
      </c>
      <c r="U1599">
        <f>VLOOKUP(A1599,ordered_items!$B:$E,4,0)</f>
        <v>215.82</v>
      </c>
    </row>
    <row r="1600" spans="1:21" x14ac:dyDescent="0.3">
      <c r="A1600">
        <v>73839</v>
      </c>
      <c r="B1600" t="s">
        <v>24</v>
      </c>
      <c r="C1600">
        <v>5</v>
      </c>
      <c r="D1600">
        <v>4</v>
      </c>
      <c r="E1600" t="str">
        <f t="shared" si="72"/>
        <v>DELAYED</v>
      </c>
      <c r="F1600">
        <f>VLOOKUP($A1600,ordered_items!$B$2:$E$4784,2,0)</f>
        <v>1363</v>
      </c>
      <c r="G1600">
        <f>VLOOKUP($A1600,ordered_items!$B$2:$E$4784,3,0)</f>
        <v>1</v>
      </c>
      <c r="H1600">
        <f>VLOOKUP($A1600,ordered_items!$B$2:$E$4784,4,0)</f>
        <v>215.82</v>
      </c>
      <c r="I1600" s="15">
        <f>VLOOKUP(F1600,product_info!$A$2:$D$73,4,0)</f>
        <v>4</v>
      </c>
      <c r="J1600" s="15" t="str">
        <f>VLOOKUP(I1600,department!$A$2:$B$13,2,0)</f>
        <v>Apparel</v>
      </c>
      <c r="K1600">
        <v>17392</v>
      </c>
      <c r="L1600" t="s">
        <v>124</v>
      </c>
      <c r="M1600" s="4">
        <v>44177</v>
      </c>
      <c r="N1600" s="12">
        <f t="shared" si="73"/>
        <v>12</v>
      </c>
      <c r="O1600" s="13">
        <f t="shared" si="74"/>
        <v>2020</v>
      </c>
      <c r="P1600" t="s">
        <v>13</v>
      </c>
      <c r="Q1600" t="s">
        <v>5778</v>
      </c>
      <c r="R1600" t="s">
        <v>31</v>
      </c>
      <c r="S1600" t="str" cm="1">
        <f t="array" ref="S1600">_xlfn.IFS(R1600="COMPLETE", "COMPLETED", R1600="CANCELED", "CANCELED", TRUE, "PENDING")</f>
        <v>COMPLETED</v>
      </c>
      <c r="T1600" t="s">
        <v>16</v>
      </c>
      <c r="U1600">
        <f>VLOOKUP(A1600,ordered_items!$B:$E,4,0)</f>
        <v>215.82</v>
      </c>
    </row>
    <row r="1601" spans="1:21" x14ac:dyDescent="0.3">
      <c r="A1601">
        <v>73840</v>
      </c>
      <c r="B1601" t="s">
        <v>17</v>
      </c>
      <c r="C1601">
        <v>6</v>
      </c>
      <c r="D1601">
        <v>4</v>
      </c>
      <c r="E1601" t="str">
        <f t="shared" si="72"/>
        <v>DELAYED</v>
      </c>
      <c r="F1601">
        <f>VLOOKUP($A1601,ordered_items!$B$2:$E$4784,2,0)</f>
        <v>1363</v>
      </c>
      <c r="G1601">
        <f>VLOOKUP($A1601,ordered_items!$B$2:$E$4784,3,0)</f>
        <v>1</v>
      </c>
      <c r="H1601">
        <f>VLOOKUP($A1601,ordered_items!$B$2:$E$4784,4,0)</f>
        <v>215.82</v>
      </c>
      <c r="I1601" s="15">
        <f>VLOOKUP(F1601,product_info!$A$2:$D$73,4,0)</f>
        <v>4</v>
      </c>
      <c r="J1601" s="15" t="str">
        <f>VLOOKUP(I1601,department!$A$2:$B$13,2,0)</f>
        <v>Apparel</v>
      </c>
      <c r="K1601">
        <v>17393</v>
      </c>
      <c r="L1601" t="s">
        <v>124</v>
      </c>
      <c r="M1601" s="4">
        <v>44177</v>
      </c>
      <c r="N1601" s="12">
        <f t="shared" si="73"/>
        <v>12</v>
      </c>
      <c r="O1601" s="13">
        <f t="shared" si="74"/>
        <v>2020</v>
      </c>
      <c r="P1601" t="s">
        <v>13</v>
      </c>
      <c r="Q1601" t="s">
        <v>5778</v>
      </c>
      <c r="R1601" t="s">
        <v>23</v>
      </c>
      <c r="S1601" t="str" cm="1">
        <f t="array" ref="S1601">_xlfn.IFS(R1601="COMPLETE", "COMPLETED", R1601="CANCELED", "CANCELED", TRUE, "PENDING")</f>
        <v>PENDING</v>
      </c>
      <c r="T1601" t="s">
        <v>16</v>
      </c>
      <c r="U1601">
        <f>VLOOKUP(A1601,ordered_items!$B:$E,4,0)</f>
        <v>215.82</v>
      </c>
    </row>
    <row r="1602" spans="1:21" x14ac:dyDescent="0.3">
      <c r="A1602">
        <v>73841</v>
      </c>
      <c r="B1602" t="s">
        <v>51</v>
      </c>
      <c r="C1602">
        <v>2</v>
      </c>
      <c r="D1602">
        <v>4</v>
      </c>
      <c r="E1602" t="str">
        <f t="shared" si="72"/>
        <v xml:space="preserve"> ONTIME</v>
      </c>
      <c r="F1602">
        <f>VLOOKUP($A1602,ordered_items!$B$2:$E$4784,2,0)</f>
        <v>1363</v>
      </c>
      <c r="G1602">
        <f>VLOOKUP($A1602,ordered_items!$B$2:$E$4784,3,0)</f>
        <v>1</v>
      </c>
      <c r="H1602">
        <f>VLOOKUP($A1602,ordered_items!$B$2:$E$4784,4,0)</f>
        <v>215.82</v>
      </c>
      <c r="I1602" s="15">
        <f>VLOOKUP(F1602,product_info!$A$2:$D$73,4,0)</f>
        <v>4</v>
      </c>
      <c r="J1602" s="15" t="str">
        <f>VLOOKUP(I1602,department!$A$2:$B$13,2,0)</f>
        <v>Apparel</v>
      </c>
      <c r="K1602">
        <v>17394</v>
      </c>
      <c r="L1602" t="s">
        <v>2854</v>
      </c>
      <c r="M1602" s="4">
        <v>44177</v>
      </c>
      <c r="N1602" s="12">
        <f t="shared" si="73"/>
        <v>12</v>
      </c>
      <c r="O1602" s="13">
        <f t="shared" si="74"/>
        <v>2020</v>
      </c>
      <c r="P1602" t="s">
        <v>13</v>
      </c>
      <c r="Q1602" t="s">
        <v>5781</v>
      </c>
      <c r="R1602" t="s">
        <v>57</v>
      </c>
      <c r="S1602" t="str" cm="1">
        <f t="array" ref="S1602">_xlfn.IFS(R1602="COMPLETE", "COMPLETED", R1602="CANCELED", "CANCELED", TRUE, "PENDING")</f>
        <v>PENDING</v>
      </c>
      <c r="T1602" t="s">
        <v>16</v>
      </c>
      <c r="U1602">
        <f>VLOOKUP(A1602,ordered_items!$B:$E,4,0)</f>
        <v>215.82</v>
      </c>
    </row>
    <row r="1603" spans="1:21" x14ac:dyDescent="0.3">
      <c r="A1603">
        <v>73843</v>
      </c>
      <c r="B1603" t="s">
        <v>24</v>
      </c>
      <c r="C1603">
        <v>4</v>
      </c>
      <c r="D1603">
        <v>2</v>
      </c>
      <c r="E1603" t="str">
        <f t="shared" ref="E1603:E1666" si="75">IF(C1603-D1603&gt;0,"DELAYED"," ONTIME")</f>
        <v>DELAYED</v>
      </c>
      <c r="F1603">
        <f>VLOOKUP($A1603,ordered_items!$B$2:$E$4784,2,0)</f>
        <v>1363</v>
      </c>
      <c r="G1603">
        <f>VLOOKUP($A1603,ordered_items!$B$2:$E$4784,3,0)</f>
        <v>1</v>
      </c>
      <c r="H1603">
        <f>VLOOKUP($A1603,ordered_items!$B$2:$E$4784,4,0)</f>
        <v>215.82</v>
      </c>
      <c r="I1603" s="15">
        <f>VLOOKUP(F1603,product_info!$A$2:$D$73,4,0)</f>
        <v>4</v>
      </c>
      <c r="J1603" s="15" t="str">
        <f>VLOOKUP(I1603,department!$A$2:$B$13,2,0)</f>
        <v>Apparel</v>
      </c>
      <c r="K1603">
        <v>17396</v>
      </c>
      <c r="L1603" t="s">
        <v>84</v>
      </c>
      <c r="M1603" s="4">
        <v>44177</v>
      </c>
      <c r="N1603" s="12">
        <f t="shared" ref="N1603:N1666" si="76">MONTH(M1603)</f>
        <v>12</v>
      </c>
      <c r="O1603" s="13">
        <f t="shared" ref="O1603:O1666" si="77">YEAR(M1603)</f>
        <v>2020</v>
      </c>
      <c r="P1603" t="s">
        <v>13</v>
      </c>
      <c r="Q1603" t="s">
        <v>80</v>
      </c>
      <c r="R1603" t="s">
        <v>31</v>
      </c>
      <c r="S1603" t="str" cm="1">
        <f t="array" ref="S1603">_xlfn.IFS(R1603="COMPLETE", "COMPLETED", R1603="CANCELED", "CANCELED", TRUE, "PENDING")</f>
        <v>COMPLETED</v>
      </c>
      <c r="T1603" t="s">
        <v>90</v>
      </c>
      <c r="U1603">
        <f>VLOOKUP(A1603,ordered_items!$B:$E,4,0)</f>
        <v>215.82</v>
      </c>
    </row>
    <row r="1604" spans="1:21" x14ac:dyDescent="0.3">
      <c r="A1604">
        <v>73844</v>
      </c>
      <c r="B1604" t="s">
        <v>3</v>
      </c>
      <c r="C1604">
        <v>5</v>
      </c>
      <c r="D1604">
        <v>2</v>
      </c>
      <c r="E1604" t="str">
        <f t="shared" si="75"/>
        <v>DELAYED</v>
      </c>
      <c r="F1604">
        <f>VLOOKUP($A1604,ordered_items!$B$2:$E$4784,2,0)</f>
        <v>1363</v>
      </c>
      <c r="G1604">
        <f>VLOOKUP($A1604,ordered_items!$B$2:$E$4784,3,0)</f>
        <v>1</v>
      </c>
      <c r="H1604">
        <f>VLOOKUP($A1604,ordered_items!$B$2:$E$4784,4,0)</f>
        <v>215.82</v>
      </c>
      <c r="I1604" s="15">
        <f>VLOOKUP(F1604,product_info!$A$2:$D$73,4,0)</f>
        <v>4</v>
      </c>
      <c r="J1604" s="15" t="str">
        <f>VLOOKUP(I1604,department!$A$2:$B$13,2,0)</f>
        <v>Apparel</v>
      </c>
      <c r="K1604">
        <v>17397</v>
      </c>
      <c r="L1604" t="s">
        <v>84</v>
      </c>
      <c r="M1604" s="4">
        <v>44177</v>
      </c>
      <c r="N1604" s="12">
        <f t="shared" si="76"/>
        <v>12</v>
      </c>
      <c r="O1604" s="13">
        <f t="shared" si="77"/>
        <v>2020</v>
      </c>
      <c r="P1604" t="s">
        <v>13</v>
      </c>
      <c r="Q1604" t="s">
        <v>80</v>
      </c>
      <c r="R1604" t="s">
        <v>14</v>
      </c>
      <c r="S1604" t="str" cm="1">
        <f t="array" ref="S1604">_xlfn.IFS(R1604="COMPLETE", "COMPLETED", R1604="CANCELED", "CANCELED", TRUE, "PENDING")</f>
        <v>PENDING</v>
      </c>
      <c r="T1604" t="s">
        <v>90</v>
      </c>
      <c r="U1604">
        <f>VLOOKUP(A1604,ordered_items!$B:$E,4,0)</f>
        <v>215.82</v>
      </c>
    </row>
    <row r="1605" spans="1:21" x14ac:dyDescent="0.3">
      <c r="A1605">
        <v>73860</v>
      </c>
      <c r="B1605" t="s">
        <v>24</v>
      </c>
      <c r="C1605">
        <v>6</v>
      </c>
      <c r="D1605">
        <v>4</v>
      </c>
      <c r="E1605" t="str">
        <f t="shared" si="75"/>
        <v>DELAYED</v>
      </c>
      <c r="F1605">
        <f>VLOOKUP($A1605,ordered_items!$B$2:$E$4784,2,0)</f>
        <v>1363</v>
      </c>
      <c r="G1605">
        <f>VLOOKUP($A1605,ordered_items!$B$2:$E$4784,3,0)</f>
        <v>1</v>
      </c>
      <c r="H1605">
        <f>VLOOKUP($A1605,ordered_items!$B$2:$E$4784,4,0)</f>
        <v>215.82</v>
      </c>
      <c r="I1605" s="15">
        <f>VLOOKUP(F1605,product_info!$A$2:$D$73,4,0)</f>
        <v>4</v>
      </c>
      <c r="J1605" s="15" t="str">
        <f>VLOOKUP(I1605,department!$A$2:$B$13,2,0)</f>
        <v>Apparel</v>
      </c>
      <c r="K1605">
        <v>17413</v>
      </c>
      <c r="L1605" t="s">
        <v>1040</v>
      </c>
      <c r="M1605" s="4">
        <v>44178</v>
      </c>
      <c r="N1605" s="12">
        <f t="shared" si="76"/>
        <v>12</v>
      </c>
      <c r="O1605" s="13">
        <f t="shared" si="77"/>
        <v>2020</v>
      </c>
      <c r="P1605" t="s">
        <v>13</v>
      </c>
      <c r="Q1605" t="s">
        <v>377</v>
      </c>
      <c r="R1605" t="s">
        <v>31</v>
      </c>
      <c r="S1605" t="str" cm="1">
        <f t="array" ref="S1605">_xlfn.IFS(R1605="COMPLETE", "COMPLETED", R1605="CANCELED", "CANCELED", TRUE, "PENDING")</f>
        <v>COMPLETED</v>
      </c>
      <c r="T1605" t="s">
        <v>16</v>
      </c>
      <c r="U1605">
        <f>VLOOKUP(A1605,ordered_items!$B:$E,4,0)</f>
        <v>215.82</v>
      </c>
    </row>
    <row r="1606" spans="1:21" x14ac:dyDescent="0.3">
      <c r="A1606">
        <v>73863</v>
      </c>
      <c r="B1606" t="s">
        <v>17</v>
      </c>
      <c r="C1606">
        <v>4</v>
      </c>
      <c r="D1606">
        <v>2</v>
      </c>
      <c r="E1606" t="str">
        <f t="shared" si="75"/>
        <v>DELAYED</v>
      </c>
      <c r="F1606">
        <f>VLOOKUP($A1606,ordered_items!$B$2:$E$4784,2,0)</f>
        <v>1363</v>
      </c>
      <c r="G1606">
        <f>VLOOKUP($A1606,ordered_items!$B$2:$E$4784,3,0)</f>
        <v>1</v>
      </c>
      <c r="H1606">
        <f>VLOOKUP($A1606,ordered_items!$B$2:$E$4784,4,0)</f>
        <v>215.82</v>
      </c>
      <c r="I1606" s="15">
        <f>VLOOKUP(F1606,product_info!$A$2:$D$73,4,0)</f>
        <v>4</v>
      </c>
      <c r="J1606" s="15" t="str">
        <f>VLOOKUP(I1606,department!$A$2:$B$13,2,0)</f>
        <v>Apparel</v>
      </c>
      <c r="K1606">
        <v>17416</v>
      </c>
      <c r="L1606" t="s">
        <v>963</v>
      </c>
      <c r="M1606" s="4">
        <v>44178</v>
      </c>
      <c r="N1606" s="12">
        <f t="shared" si="76"/>
        <v>12</v>
      </c>
      <c r="O1606" s="13">
        <f t="shared" si="77"/>
        <v>2020</v>
      </c>
      <c r="P1606" t="s">
        <v>13</v>
      </c>
      <c r="Q1606" t="s">
        <v>47</v>
      </c>
      <c r="R1606" t="s">
        <v>23</v>
      </c>
      <c r="S1606" t="str" cm="1">
        <f t="array" ref="S1606">_xlfn.IFS(R1606="COMPLETE", "COMPLETED", R1606="CANCELED", "CANCELED", TRUE, "PENDING")</f>
        <v>PENDING</v>
      </c>
      <c r="T1606" t="s">
        <v>90</v>
      </c>
      <c r="U1606">
        <f>VLOOKUP(A1606,ordered_items!$B:$E,4,0)</f>
        <v>215.82</v>
      </c>
    </row>
    <row r="1607" spans="1:21" x14ac:dyDescent="0.3">
      <c r="A1607">
        <v>73864</v>
      </c>
      <c r="B1607" t="s">
        <v>24</v>
      </c>
      <c r="C1607">
        <v>5</v>
      </c>
      <c r="D1607">
        <v>2</v>
      </c>
      <c r="E1607" t="str">
        <f t="shared" si="75"/>
        <v>DELAYED</v>
      </c>
      <c r="F1607">
        <f>VLOOKUP($A1607,ordered_items!$B$2:$E$4784,2,0)</f>
        <v>1363</v>
      </c>
      <c r="G1607">
        <f>VLOOKUP($A1607,ordered_items!$B$2:$E$4784,3,0)</f>
        <v>1</v>
      </c>
      <c r="H1607">
        <f>VLOOKUP($A1607,ordered_items!$B$2:$E$4784,4,0)</f>
        <v>215.82</v>
      </c>
      <c r="I1607" s="15">
        <f>VLOOKUP(F1607,product_info!$A$2:$D$73,4,0)</f>
        <v>4</v>
      </c>
      <c r="J1607" s="15" t="str">
        <f>VLOOKUP(I1607,department!$A$2:$B$13,2,0)</f>
        <v>Apparel</v>
      </c>
      <c r="K1607">
        <v>17417</v>
      </c>
      <c r="L1607" t="s">
        <v>963</v>
      </c>
      <c r="M1607" s="4">
        <v>44178</v>
      </c>
      <c r="N1607" s="12">
        <f t="shared" si="76"/>
        <v>12</v>
      </c>
      <c r="O1607" s="13">
        <f t="shared" si="77"/>
        <v>2020</v>
      </c>
      <c r="P1607" t="s">
        <v>13</v>
      </c>
      <c r="Q1607" t="s">
        <v>47</v>
      </c>
      <c r="R1607" t="s">
        <v>31</v>
      </c>
      <c r="S1607" t="str" cm="1">
        <f t="array" ref="S1607">_xlfn.IFS(R1607="COMPLETE", "COMPLETED", R1607="CANCELED", "CANCELED", TRUE, "PENDING")</f>
        <v>COMPLETED</v>
      </c>
      <c r="T1607" t="s">
        <v>90</v>
      </c>
      <c r="U1607">
        <f>VLOOKUP(A1607,ordered_items!$B:$E,4,0)</f>
        <v>215.82</v>
      </c>
    </row>
    <row r="1608" spans="1:21" x14ac:dyDescent="0.3">
      <c r="A1608">
        <v>73865</v>
      </c>
      <c r="B1608" t="s">
        <v>17</v>
      </c>
      <c r="C1608">
        <v>6</v>
      </c>
      <c r="D1608">
        <v>2</v>
      </c>
      <c r="E1608" t="str">
        <f t="shared" si="75"/>
        <v>DELAYED</v>
      </c>
      <c r="F1608">
        <f>VLOOKUP($A1608,ordered_items!$B$2:$E$4784,2,0)</f>
        <v>1363</v>
      </c>
      <c r="G1608">
        <f>VLOOKUP($A1608,ordered_items!$B$2:$E$4784,3,0)</f>
        <v>1</v>
      </c>
      <c r="H1608">
        <f>VLOOKUP($A1608,ordered_items!$B$2:$E$4784,4,0)</f>
        <v>215.82</v>
      </c>
      <c r="I1608" s="15">
        <f>VLOOKUP(F1608,product_info!$A$2:$D$73,4,0)</f>
        <v>4</v>
      </c>
      <c r="J1608" s="15" t="str">
        <f>VLOOKUP(I1608,department!$A$2:$B$13,2,0)</f>
        <v>Apparel</v>
      </c>
      <c r="K1608">
        <v>17418</v>
      </c>
      <c r="L1608" t="s">
        <v>963</v>
      </c>
      <c r="M1608" s="4">
        <v>44178</v>
      </c>
      <c r="N1608" s="12">
        <f t="shared" si="76"/>
        <v>12</v>
      </c>
      <c r="O1608" s="13">
        <f t="shared" si="77"/>
        <v>2020</v>
      </c>
      <c r="P1608" t="s">
        <v>13</v>
      </c>
      <c r="Q1608" t="s">
        <v>47</v>
      </c>
      <c r="R1608" t="s">
        <v>23</v>
      </c>
      <c r="S1608" t="str" cm="1">
        <f t="array" ref="S1608">_xlfn.IFS(R1608="COMPLETE", "COMPLETED", R1608="CANCELED", "CANCELED", TRUE, "PENDING")</f>
        <v>PENDING</v>
      </c>
      <c r="T1608" t="s">
        <v>90</v>
      </c>
      <c r="U1608">
        <f>VLOOKUP(A1608,ordered_items!$B:$E,4,0)</f>
        <v>215.82</v>
      </c>
    </row>
    <row r="1609" spans="1:21" x14ac:dyDescent="0.3">
      <c r="A1609">
        <v>73866</v>
      </c>
      <c r="B1609" t="s">
        <v>24</v>
      </c>
      <c r="C1609">
        <v>2</v>
      </c>
      <c r="D1609">
        <v>2</v>
      </c>
      <c r="E1609" t="str">
        <f t="shared" si="75"/>
        <v xml:space="preserve"> ONTIME</v>
      </c>
      <c r="F1609">
        <f>VLOOKUP($A1609,ordered_items!$B$2:$E$4784,2,0)</f>
        <v>1363</v>
      </c>
      <c r="G1609">
        <f>VLOOKUP($A1609,ordered_items!$B$2:$E$4784,3,0)</f>
        <v>1</v>
      </c>
      <c r="H1609">
        <f>VLOOKUP($A1609,ordered_items!$B$2:$E$4784,4,0)</f>
        <v>215.82</v>
      </c>
      <c r="I1609" s="15">
        <f>VLOOKUP(F1609,product_info!$A$2:$D$73,4,0)</f>
        <v>4</v>
      </c>
      <c r="J1609" s="15" t="str">
        <f>VLOOKUP(I1609,department!$A$2:$B$13,2,0)</f>
        <v>Apparel</v>
      </c>
      <c r="K1609">
        <v>17419</v>
      </c>
      <c r="L1609" t="s">
        <v>963</v>
      </c>
      <c r="M1609" s="4">
        <v>44178</v>
      </c>
      <c r="N1609" s="12">
        <f t="shared" si="76"/>
        <v>12</v>
      </c>
      <c r="O1609" s="13">
        <f t="shared" si="77"/>
        <v>2020</v>
      </c>
      <c r="P1609" t="s">
        <v>13</v>
      </c>
      <c r="Q1609" t="s">
        <v>47</v>
      </c>
      <c r="R1609" t="s">
        <v>31</v>
      </c>
      <c r="S1609" t="str" cm="1">
        <f t="array" ref="S1609">_xlfn.IFS(R1609="COMPLETE", "COMPLETED", R1609="CANCELED", "CANCELED", TRUE, "PENDING")</f>
        <v>COMPLETED</v>
      </c>
      <c r="T1609" t="s">
        <v>90</v>
      </c>
      <c r="U1609">
        <f>VLOOKUP(A1609,ordered_items!$B:$E,4,0)</f>
        <v>215.82</v>
      </c>
    </row>
    <row r="1610" spans="1:21" x14ac:dyDescent="0.3">
      <c r="A1610">
        <v>73867</v>
      </c>
      <c r="B1610" t="s">
        <v>3</v>
      </c>
      <c r="C1610">
        <v>3</v>
      </c>
      <c r="D1610">
        <v>4</v>
      </c>
      <c r="E1610" t="str">
        <f t="shared" si="75"/>
        <v xml:space="preserve"> ONTIME</v>
      </c>
      <c r="F1610">
        <f>VLOOKUP($A1610,ordered_items!$B$2:$E$4784,2,0)</f>
        <v>1363</v>
      </c>
      <c r="G1610">
        <f>VLOOKUP($A1610,ordered_items!$B$2:$E$4784,3,0)</f>
        <v>1</v>
      </c>
      <c r="H1610">
        <f>VLOOKUP($A1610,ordered_items!$B$2:$E$4784,4,0)</f>
        <v>215.82</v>
      </c>
      <c r="I1610" s="15">
        <f>VLOOKUP(F1610,product_info!$A$2:$D$73,4,0)</f>
        <v>4</v>
      </c>
      <c r="J1610" s="15" t="str">
        <f>VLOOKUP(I1610,department!$A$2:$B$13,2,0)</f>
        <v>Apparel</v>
      </c>
      <c r="K1610">
        <v>17420</v>
      </c>
      <c r="L1610" t="s">
        <v>963</v>
      </c>
      <c r="M1610" s="4">
        <v>44178</v>
      </c>
      <c r="N1610" s="12">
        <f t="shared" si="76"/>
        <v>12</v>
      </c>
      <c r="O1610" s="13">
        <f t="shared" si="77"/>
        <v>2020</v>
      </c>
      <c r="P1610" t="s">
        <v>13</v>
      </c>
      <c r="Q1610" t="s">
        <v>47</v>
      </c>
      <c r="R1610" t="s">
        <v>14</v>
      </c>
      <c r="S1610" t="str" cm="1">
        <f t="array" ref="S1610">_xlfn.IFS(R1610="COMPLETE", "COMPLETED", R1610="CANCELED", "CANCELED", TRUE, "PENDING")</f>
        <v>PENDING</v>
      </c>
      <c r="T1610" t="s">
        <v>16</v>
      </c>
      <c r="U1610">
        <f>VLOOKUP(A1610,ordered_items!$B:$E,4,0)</f>
        <v>215.82</v>
      </c>
    </row>
    <row r="1611" spans="1:21" x14ac:dyDescent="0.3">
      <c r="A1611">
        <v>73891</v>
      </c>
      <c r="B1611" t="s">
        <v>51</v>
      </c>
      <c r="C1611">
        <v>2</v>
      </c>
      <c r="D1611">
        <v>2</v>
      </c>
      <c r="E1611" t="str">
        <f t="shared" si="75"/>
        <v xml:space="preserve"> ONTIME</v>
      </c>
      <c r="F1611">
        <f>VLOOKUP($A1611,ordered_items!$B$2:$E$4784,2,0)</f>
        <v>1363</v>
      </c>
      <c r="G1611">
        <f>VLOOKUP($A1611,ordered_items!$B$2:$E$4784,3,0)</f>
        <v>1</v>
      </c>
      <c r="H1611">
        <f>VLOOKUP($A1611,ordered_items!$B$2:$E$4784,4,0)</f>
        <v>215.82</v>
      </c>
      <c r="I1611" s="15">
        <f>VLOOKUP(F1611,product_info!$A$2:$D$73,4,0)</f>
        <v>4</v>
      </c>
      <c r="J1611" s="15" t="str">
        <f>VLOOKUP(I1611,department!$A$2:$B$13,2,0)</f>
        <v>Apparel</v>
      </c>
      <c r="K1611">
        <v>17444</v>
      </c>
      <c r="L1611" t="s">
        <v>754</v>
      </c>
      <c r="M1611" s="4">
        <v>44178</v>
      </c>
      <c r="N1611" s="12">
        <f t="shared" si="76"/>
        <v>12</v>
      </c>
      <c r="O1611" s="13">
        <f t="shared" si="77"/>
        <v>2020</v>
      </c>
      <c r="P1611" t="s">
        <v>13</v>
      </c>
      <c r="Q1611" t="s">
        <v>99</v>
      </c>
      <c r="R1611" t="s">
        <v>57</v>
      </c>
      <c r="S1611" t="str" cm="1">
        <f t="array" ref="S1611">_xlfn.IFS(R1611="COMPLETE", "COMPLETED", R1611="CANCELED", "CANCELED", TRUE, "PENDING")</f>
        <v>PENDING</v>
      </c>
      <c r="T1611" t="s">
        <v>90</v>
      </c>
      <c r="U1611">
        <f>VLOOKUP(A1611,ordered_items!$B:$E,4,0)</f>
        <v>215.82</v>
      </c>
    </row>
    <row r="1612" spans="1:21" x14ac:dyDescent="0.3">
      <c r="A1612">
        <v>73892</v>
      </c>
      <c r="B1612" t="s">
        <v>24</v>
      </c>
      <c r="C1612">
        <v>3</v>
      </c>
      <c r="D1612">
        <v>2</v>
      </c>
      <c r="E1612" t="str">
        <f t="shared" si="75"/>
        <v>DELAYED</v>
      </c>
      <c r="F1612">
        <f>VLOOKUP($A1612,ordered_items!$B$2:$E$4784,2,0)</f>
        <v>1363</v>
      </c>
      <c r="G1612">
        <f>VLOOKUP($A1612,ordered_items!$B$2:$E$4784,3,0)</f>
        <v>1</v>
      </c>
      <c r="H1612">
        <f>VLOOKUP($A1612,ordered_items!$B$2:$E$4784,4,0)</f>
        <v>215.82</v>
      </c>
      <c r="I1612" s="15">
        <f>VLOOKUP(F1612,product_info!$A$2:$D$73,4,0)</f>
        <v>4</v>
      </c>
      <c r="J1612" s="15" t="str">
        <f>VLOOKUP(I1612,department!$A$2:$B$13,2,0)</f>
        <v>Apparel</v>
      </c>
      <c r="K1612">
        <v>17445</v>
      </c>
      <c r="L1612" t="s">
        <v>70</v>
      </c>
      <c r="M1612" s="4">
        <v>44178</v>
      </c>
      <c r="N1612" s="12">
        <f t="shared" si="76"/>
        <v>12</v>
      </c>
      <c r="O1612" s="13">
        <f t="shared" si="77"/>
        <v>2020</v>
      </c>
      <c r="P1612" t="s">
        <v>13</v>
      </c>
      <c r="Q1612" t="s">
        <v>70</v>
      </c>
      <c r="R1612" t="s">
        <v>31</v>
      </c>
      <c r="S1612" t="str" cm="1">
        <f t="array" ref="S1612">_xlfn.IFS(R1612="COMPLETE", "COMPLETED", R1612="CANCELED", "CANCELED", TRUE, "PENDING")</f>
        <v>COMPLETED</v>
      </c>
      <c r="T1612" t="s">
        <v>90</v>
      </c>
      <c r="U1612">
        <f>VLOOKUP(A1612,ordered_items!$B:$E,4,0)</f>
        <v>215.82</v>
      </c>
    </row>
    <row r="1613" spans="1:21" x14ac:dyDescent="0.3">
      <c r="A1613">
        <v>73932</v>
      </c>
      <c r="B1613" t="s">
        <v>24</v>
      </c>
      <c r="C1613">
        <v>3</v>
      </c>
      <c r="D1613">
        <v>2</v>
      </c>
      <c r="E1613" t="str">
        <f t="shared" si="75"/>
        <v>DELAYED</v>
      </c>
      <c r="F1613">
        <f>VLOOKUP($A1613,ordered_items!$B$2:$E$4784,2,0)</f>
        <v>1363</v>
      </c>
      <c r="G1613">
        <f>VLOOKUP($A1613,ordered_items!$B$2:$E$4784,3,0)</f>
        <v>1</v>
      </c>
      <c r="H1613">
        <f>VLOOKUP($A1613,ordered_items!$B$2:$E$4784,4,0)</f>
        <v>215.82</v>
      </c>
      <c r="I1613" s="15">
        <f>VLOOKUP(F1613,product_info!$A$2:$D$73,4,0)</f>
        <v>4</v>
      </c>
      <c r="J1613" s="15" t="str">
        <f>VLOOKUP(I1613,department!$A$2:$B$13,2,0)</f>
        <v>Apparel</v>
      </c>
      <c r="K1613">
        <v>17485</v>
      </c>
      <c r="L1613" t="s">
        <v>383</v>
      </c>
      <c r="M1613" s="4">
        <v>44179</v>
      </c>
      <c r="N1613" s="12">
        <f t="shared" si="76"/>
        <v>12</v>
      </c>
      <c r="O1613" s="13">
        <f t="shared" si="77"/>
        <v>2020</v>
      </c>
      <c r="P1613" t="s">
        <v>13</v>
      </c>
      <c r="Q1613" t="s">
        <v>5781</v>
      </c>
      <c r="R1613" t="s">
        <v>31</v>
      </c>
      <c r="S1613" t="str" cm="1">
        <f t="array" ref="S1613">_xlfn.IFS(R1613="COMPLETE", "COMPLETED", R1613="CANCELED", "CANCELED", TRUE, "PENDING")</f>
        <v>COMPLETED</v>
      </c>
      <c r="T1613" t="s">
        <v>90</v>
      </c>
      <c r="U1613">
        <f>VLOOKUP(A1613,ordered_items!$B:$E,4,0)</f>
        <v>215.82</v>
      </c>
    </row>
    <row r="1614" spans="1:21" x14ac:dyDescent="0.3">
      <c r="A1614">
        <v>73934</v>
      </c>
      <c r="B1614" t="s">
        <v>24</v>
      </c>
      <c r="C1614">
        <v>5</v>
      </c>
      <c r="D1614">
        <v>2</v>
      </c>
      <c r="E1614" t="str">
        <f t="shared" si="75"/>
        <v>DELAYED</v>
      </c>
      <c r="F1614">
        <f>VLOOKUP($A1614,ordered_items!$B$2:$E$4784,2,0)</f>
        <v>1363</v>
      </c>
      <c r="G1614">
        <f>VLOOKUP($A1614,ordered_items!$B$2:$E$4784,3,0)</f>
        <v>1</v>
      </c>
      <c r="H1614">
        <f>VLOOKUP($A1614,ordered_items!$B$2:$E$4784,4,0)</f>
        <v>215.82</v>
      </c>
      <c r="I1614" s="15">
        <f>VLOOKUP(F1614,product_info!$A$2:$D$73,4,0)</f>
        <v>4</v>
      </c>
      <c r="J1614" s="15" t="str">
        <f>VLOOKUP(I1614,department!$A$2:$B$13,2,0)</f>
        <v>Apparel</v>
      </c>
      <c r="K1614">
        <v>17487</v>
      </c>
      <c r="L1614" t="s">
        <v>754</v>
      </c>
      <c r="M1614" s="4">
        <v>44179</v>
      </c>
      <c r="N1614" s="12">
        <f t="shared" si="76"/>
        <v>12</v>
      </c>
      <c r="O1614" s="13">
        <f t="shared" si="77"/>
        <v>2020</v>
      </c>
      <c r="P1614" t="s">
        <v>13</v>
      </c>
      <c r="Q1614" t="s">
        <v>99</v>
      </c>
      <c r="R1614" t="s">
        <v>31</v>
      </c>
      <c r="S1614" t="str" cm="1">
        <f t="array" ref="S1614">_xlfn.IFS(R1614="COMPLETE", "COMPLETED", R1614="CANCELED", "CANCELED", TRUE, "PENDING")</f>
        <v>COMPLETED</v>
      </c>
      <c r="T1614" t="s">
        <v>90</v>
      </c>
      <c r="U1614">
        <f>VLOOKUP(A1614,ordered_items!$B:$E,4,0)</f>
        <v>215.82</v>
      </c>
    </row>
    <row r="1615" spans="1:21" x14ac:dyDescent="0.3">
      <c r="A1615">
        <v>73958</v>
      </c>
      <c r="B1615" t="s">
        <v>3</v>
      </c>
      <c r="C1615">
        <v>4</v>
      </c>
      <c r="D1615">
        <v>4</v>
      </c>
      <c r="E1615" t="str">
        <f t="shared" si="75"/>
        <v xml:space="preserve"> ONTIME</v>
      </c>
      <c r="F1615">
        <f>VLOOKUP($A1615,ordered_items!$B$2:$E$4784,2,0)</f>
        <v>1363</v>
      </c>
      <c r="G1615">
        <f>VLOOKUP($A1615,ordered_items!$B$2:$E$4784,3,0)</f>
        <v>1</v>
      </c>
      <c r="H1615">
        <f>VLOOKUP($A1615,ordered_items!$B$2:$E$4784,4,0)</f>
        <v>215.82</v>
      </c>
      <c r="I1615" s="15">
        <f>VLOOKUP(F1615,product_info!$A$2:$D$73,4,0)</f>
        <v>4</v>
      </c>
      <c r="J1615" s="15" t="str">
        <f>VLOOKUP(I1615,department!$A$2:$B$13,2,0)</f>
        <v>Apparel</v>
      </c>
      <c r="K1615">
        <v>17511</v>
      </c>
      <c r="L1615" t="s">
        <v>1530</v>
      </c>
      <c r="M1615" s="4">
        <v>44179</v>
      </c>
      <c r="N1615" s="12">
        <f t="shared" si="76"/>
        <v>12</v>
      </c>
      <c r="O1615" s="13">
        <f t="shared" si="77"/>
        <v>2020</v>
      </c>
      <c r="P1615" t="s">
        <v>13</v>
      </c>
      <c r="Q1615" t="s">
        <v>99</v>
      </c>
      <c r="R1615" t="s">
        <v>14</v>
      </c>
      <c r="S1615" t="str" cm="1">
        <f t="array" ref="S1615">_xlfn.IFS(R1615="COMPLETE", "COMPLETED", R1615="CANCELED", "CANCELED", TRUE, "PENDING")</f>
        <v>PENDING</v>
      </c>
      <c r="T1615" t="s">
        <v>16</v>
      </c>
      <c r="U1615">
        <f>VLOOKUP(A1615,ordered_items!$B:$E,4,0)</f>
        <v>215.82</v>
      </c>
    </row>
    <row r="1616" spans="1:21" x14ac:dyDescent="0.3">
      <c r="A1616">
        <v>73960</v>
      </c>
      <c r="B1616" t="s">
        <v>17</v>
      </c>
      <c r="C1616">
        <v>6</v>
      </c>
      <c r="D1616">
        <v>4</v>
      </c>
      <c r="E1616" t="str">
        <f t="shared" si="75"/>
        <v>DELAYED</v>
      </c>
      <c r="F1616">
        <f>VLOOKUP($A1616,ordered_items!$B$2:$E$4784,2,0)</f>
        <v>1363</v>
      </c>
      <c r="G1616">
        <f>VLOOKUP($A1616,ordered_items!$B$2:$E$4784,3,0)</f>
        <v>1</v>
      </c>
      <c r="H1616">
        <f>VLOOKUP($A1616,ordered_items!$B$2:$E$4784,4,0)</f>
        <v>215.82</v>
      </c>
      <c r="I1616" s="15">
        <f>VLOOKUP(F1616,product_info!$A$2:$D$73,4,0)</f>
        <v>4</v>
      </c>
      <c r="J1616" s="15" t="str">
        <f>VLOOKUP(I1616,department!$A$2:$B$13,2,0)</f>
        <v>Apparel</v>
      </c>
      <c r="K1616">
        <v>17513</v>
      </c>
      <c r="L1616" t="s">
        <v>1499</v>
      </c>
      <c r="M1616" s="4">
        <v>44179</v>
      </c>
      <c r="N1616" s="12">
        <f t="shared" si="76"/>
        <v>12</v>
      </c>
      <c r="O1616" s="13">
        <f t="shared" si="77"/>
        <v>2020</v>
      </c>
      <c r="P1616" t="s">
        <v>13</v>
      </c>
      <c r="Q1616" t="s">
        <v>538</v>
      </c>
      <c r="R1616" t="s">
        <v>23</v>
      </c>
      <c r="S1616" t="str" cm="1">
        <f t="array" ref="S1616">_xlfn.IFS(R1616="COMPLETE", "COMPLETED", R1616="CANCELED", "CANCELED", TRUE, "PENDING")</f>
        <v>PENDING</v>
      </c>
      <c r="T1616" t="s">
        <v>16</v>
      </c>
      <c r="U1616">
        <f>VLOOKUP(A1616,ordered_items!$B:$E,4,0)</f>
        <v>215.82</v>
      </c>
    </row>
    <row r="1617" spans="1:21" x14ac:dyDescent="0.3">
      <c r="A1617">
        <v>73961</v>
      </c>
      <c r="B1617" t="s">
        <v>3</v>
      </c>
      <c r="C1617">
        <v>2</v>
      </c>
      <c r="D1617">
        <v>4</v>
      </c>
      <c r="E1617" t="str">
        <f t="shared" si="75"/>
        <v xml:space="preserve"> ONTIME</v>
      </c>
      <c r="F1617">
        <f>VLOOKUP($A1617,ordered_items!$B$2:$E$4784,2,0)</f>
        <v>1363</v>
      </c>
      <c r="G1617">
        <f>VLOOKUP($A1617,ordered_items!$B$2:$E$4784,3,0)</f>
        <v>1</v>
      </c>
      <c r="H1617">
        <f>VLOOKUP($A1617,ordered_items!$B$2:$E$4784,4,0)</f>
        <v>215.82</v>
      </c>
      <c r="I1617" s="15">
        <f>VLOOKUP(F1617,product_info!$A$2:$D$73,4,0)</f>
        <v>4</v>
      </c>
      <c r="J1617" s="15" t="str">
        <f>VLOOKUP(I1617,department!$A$2:$B$13,2,0)</f>
        <v>Apparel</v>
      </c>
      <c r="K1617">
        <v>17514</v>
      </c>
      <c r="L1617" t="s">
        <v>1499</v>
      </c>
      <c r="M1617" s="4">
        <v>44179</v>
      </c>
      <c r="N1617" s="12">
        <f t="shared" si="76"/>
        <v>12</v>
      </c>
      <c r="O1617" s="13">
        <f t="shared" si="77"/>
        <v>2020</v>
      </c>
      <c r="P1617" t="s">
        <v>13</v>
      </c>
      <c r="Q1617" t="s">
        <v>538</v>
      </c>
      <c r="R1617" t="s">
        <v>14</v>
      </c>
      <c r="S1617" t="str" cm="1">
        <f t="array" ref="S1617">_xlfn.IFS(R1617="COMPLETE", "COMPLETED", R1617="CANCELED", "CANCELED", TRUE, "PENDING")</f>
        <v>PENDING</v>
      </c>
      <c r="T1617" t="s">
        <v>16</v>
      </c>
      <c r="U1617">
        <f>VLOOKUP(A1617,ordered_items!$B:$E,4,0)</f>
        <v>215.82</v>
      </c>
    </row>
    <row r="1618" spans="1:21" x14ac:dyDescent="0.3">
      <c r="A1618">
        <v>73962</v>
      </c>
      <c r="B1618" t="s">
        <v>3</v>
      </c>
      <c r="C1618">
        <v>3</v>
      </c>
      <c r="D1618">
        <v>4</v>
      </c>
      <c r="E1618" t="str">
        <f t="shared" si="75"/>
        <v xml:space="preserve"> ONTIME</v>
      </c>
      <c r="F1618">
        <f>VLOOKUP($A1618,ordered_items!$B$2:$E$4784,2,0)</f>
        <v>1363</v>
      </c>
      <c r="G1618">
        <f>VLOOKUP($A1618,ordered_items!$B$2:$E$4784,3,0)</f>
        <v>1</v>
      </c>
      <c r="H1618">
        <f>VLOOKUP($A1618,ordered_items!$B$2:$E$4784,4,0)</f>
        <v>215.82</v>
      </c>
      <c r="I1618" s="15">
        <f>VLOOKUP(F1618,product_info!$A$2:$D$73,4,0)</f>
        <v>4</v>
      </c>
      <c r="J1618" s="15" t="str">
        <f>VLOOKUP(I1618,department!$A$2:$B$13,2,0)</f>
        <v>Apparel</v>
      </c>
      <c r="K1618">
        <v>17515</v>
      </c>
      <c r="L1618" t="s">
        <v>1499</v>
      </c>
      <c r="M1618" s="4">
        <v>44179</v>
      </c>
      <c r="N1618" s="12">
        <f t="shared" si="76"/>
        <v>12</v>
      </c>
      <c r="O1618" s="13">
        <f t="shared" si="77"/>
        <v>2020</v>
      </c>
      <c r="P1618" t="s">
        <v>13</v>
      </c>
      <c r="Q1618" t="s">
        <v>538</v>
      </c>
      <c r="R1618" t="s">
        <v>38</v>
      </c>
      <c r="S1618" t="str" cm="1">
        <f t="array" ref="S1618">_xlfn.IFS(R1618="COMPLETE", "COMPLETED", R1618="CANCELED", "CANCELED", TRUE, "PENDING")</f>
        <v>PENDING</v>
      </c>
      <c r="T1618" t="s">
        <v>16</v>
      </c>
      <c r="U1618">
        <f>VLOOKUP(A1618,ordered_items!$B:$E,4,0)</f>
        <v>215.82</v>
      </c>
    </row>
    <row r="1619" spans="1:21" x14ac:dyDescent="0.3">
      <c r="A1619">
        <v>73963</v>
      </c>
      <c r="B1619" t="s">
        <v>3</v>
      </c>
      <c r="C1619">
        <v>4</v>
      </c>
      <c r="D1619">
        <v>4</v>
      </c>
      <c r="E1619" t="str">
        <f t="shared" si="75"/>
        <v xml:space="preserve"> ONTIME</v>
      </c>
      <c r="F1619">
        <f>VLOOKUP($A1619,ordered_items!$B$2:$E$4784,2,0)</f>
        <v>1363</v>
      </c>
      <c r="G1619">
        <f>VLOOKUP($A1619,ordered_items!$B$2:$E$4784,3,0)</f>
        <v>1</v>
      </c>
      <c r="H1619">
        <f>VLOOKUP($A1619,ordered_items!$B$2:$E$4784,4,0)</f>
        <v>215.82</v>
      </c>
      <c r="I1619" s="15">
        <f>VLOOKUP(F1619,product_info!$A$2:$D$73,4,0)</f>
        <v>4</v>
      </c>
      <c r="J1619" s="15" t="str">
        <f>VLOOKUP(I1619,department!$A$2:$B$13,2,0)</f>
        <v>Apparel</v>
      </c>
      <c r="K1619">
        <v>17516</v>
      </c>
      <c r="L1619" t="s">
        <v>1499</v>
      </c>
      <c r="M1619" s="4">
        <v>44179</v>
      </c>
      <c r="N1619" s="12">
        <f t="shared" si="76"/>
        <v>12</v>
      </c>
      <c r="O1619" s="13">
        <f t="shared" si="77"/>
        <v>2020</v>
      </c>
      <c r="P1619" t="s">
        <v>13</v>
      </c>
      <c r="Q1619" t="s">
        <v>538</v>
      </c>
      <c r="R1619" t="s">
        <v>38</v>
      </c>
      <c r="S1619" t="str" cm="1">
        <f t="array" ref="S1619">_xlfn.IFS(R1619="COMPLETE", "COMPLETED", R1619="CANCELED", "CANCELED", TRUE, "PENDING")</f>
        <v>PENDING</v>
      </c>
      <c r="T1619" t="s">
        <v>16</v>
      </c>
      <c r="U1619">
        <f>VLOOKUP(A1619,ordered_items!$B:$E,4,0)</f>
        <v>215.82</v>
      </c>
    </row>
    <row r="1620" spans="1:21" x14ac:dyDescent="0.3">
      <c r="A1620">
        <v>73975</v>
      </c>
      <c r="B1620" t="s">
        <v>24</v>
      </c>
      <c r="C1620">
        <v>1</v>
      </c>
      <c r="D1620">
        <v>0</v>
      </c>
      <c r="E1620" t="str">
        <f t="shared" si="75"/>
        <v>DELAYED</v>
      </c>
      <c r="F1620">
        <f>VLOOKUP($A1620,ordered_items!$B$2:$E$4784,2,0)</f>
        <v>1346</v>
      </c>
      <c r="G1620">
        <f>VLOOKUP($A1620,ordered_items!$B$2:$E$4784,3,0)</f>
        <v>1</v>
      </c>
      <c r="H1620">
        <f>VLOOKUP($A1620,ordered_items!$B$2:$E$4784,4,0)</f>
        <v>31.08</v>
      </c>
      <c r="I1620" s="15">
        <f>VLOOKUP(F1620,product_info!$A$2:$D$73,4,0)</f>
        <v>8</v>
      </c>
      <c r="J1620" s="15" t="str">
        <f>VLOOKUP(I1620,department!$A$2:$B$13,2,0)</f>
        <v>Book Shop</v>
      </c>
      <c r="K1620">
        <v>17528</v>
      </c>
      <c r="L1620" t="s">
        <v>613</v>
      </c>
      <c r="M1620" s="4">
        <v>44179</v>
      </c>
      <c r="N1620" s="12">
        <f t="shared" si="76"/>
        <v>12</v>
      </c>
      <c r="O1620" s="13">
        <f t="shared" si="77"/>
        <v>2020</v>
      </c>
      <c r="P1620" t="s">
        <v>13</v>
      </c>
      <c r="Q1620" t="s">
        <v>80</v>
      </c>
      <c r="R1620" t="s">
        <v>31</v>
      </c>
      <c r="S1620" t="str" cm="1">
        <f t="array" ref="S1620">_xlfn.IFS(R1620="COMPLETE", "COMPLETED", R1620="CANCELED", "CANCELED", TRUE, "PENDING")</f>
        <v>COMPLETED</v>
      </c>
      <c r="T1620" t="s">
        <v>58</v>
      </c>
      <c r="U1620">
        <f>VLOOKUP(A1620,ordered_items!$B:$E,4,0)</f>
        <v>31.08</v>
      </c>
    </row>
    <row r="1621" spans="1:21" x14ac:dyDescent="0.3">
      <c r="A1621">
        <v>73976</v>
      </c>
      <c r="B1621" t="s">
        <v>24</v>
      </c>
      <c r="C1621">
        <v>1</v>
      </c>
      <c r="D1621">
        <v>0</v>
      </c>
      <c r="E1621" t="str">
        <f t="shared" si="75"/>
        <v>DELAYED</v>
      </c>
      <c r="F1621">
        <f>VLOOKUP($A1621,ordered_items!$B$2:$E$4784,2,0)</f>
        <v>1346</v>
      </c>
      <c r="G1621">
        <f>VLOOKUP($A1621,ordered_items!$B$2:$E$4784,3,0)</f>
        <v>1</v>
      </c>
      <c r="H1621">
        <f>VLOOKUP($A1621,ordered_items!$B$2:$E$4784,4,0)</f>
        <v>31.08</v>
      </c>
      <c r="I1621" s="15">
        <f>VLOOKUP(F1621,product_info!$A$2:$D$73,4,0)</f>
        <v>8</v>
      </c>
      <c r="J1621" s="15" t="str">
        <f>VLOOKUP(I1621,department!$A$2:$B$13,2,0)</f>
        <v>Book Shop</v>
      </c>
      <c r="K1621">
        <v>17529</v>
      </c>
      <c r="L1621" t="s">
        <v>613</v>
      </c>
      <c r="M1621" s="4">
        <v>44179</v>
      </c>
      <c r="N1621" s="12">
        <f t="shared" si="76"/>
        <v>12</v>
      </c>
      <c r="O1621" s="13">
        <f t="shared" si="77"/>
        <v>2020</v>
      </c>
      <c r="P1621" t="s">
        <v>13</v>
      </c>
      <c r="Q1621" t="s">
        <v>80</v>
      </c>
      <c r="R1621" t="s">
        <v>31</v>
      </c>
      <c r="S1621" t="str" cm="1">
        <f t="array" ref="S1621">_xlfn.IFS(R1621="COMPLETE", "COMPLETED", R1621="CANCELED", "CANCELED", TRUE, "PENDING")</f>
        <v>COMPLETED</v>
      </c>
      <c r="T1621" t="s">
        <v>58</v>
      </c>
      <c r="U1621">
        <f>VLOOKUP(A1621,ordered_items!$B:$E,4,0)</f>
        <v>31.08</v>
      </c>
    </row>
    <row r="1622" spans="1:21" x14ac:dyDescent="0.3">
      <c r="A1622">
        <v>73977</v>
      </c>
      <c r="B1622" t="s">
        <v>51</v>
      </c>
      <c r="C1622">
        <v>1</v>
      </c>
      <c r="D1622">
        <v>0</v>
      </c>
      <c r="E1622" t="str">
        <f t="shared" si="75"/>
        <v>DELAYED</v>
      </c>
      <c r="F1622">
        <f>VLOOKUP($A1622,ordered_items!$B$2:$E$4784,2,0)</f>
        <v>1346</v>
      </c>
      <c r="G1622">
        <f>VLOOKUP($A1622,ordered_items!$B$2:$E$4784,3,0)</f>
        <v>1</v>
      </c>
      <c r="H1622">
        <f>VLOOKUP($A1622,ordered_items!$B$2:$E$4784,4,0)</f>
        <v>31.08</v>
      </c>
      <c r="I1622" s="15">
        <f>VLOOKUP(F1622,product_info!$A$2:$D$73,4,0)</f>
        <v>8</v>
      </c>
      <c r="J1622" s="15" t="str">
        <f>VLOOKUP(I1622,department!$A$2:$B$13,2,0)</f>
        <v>Book Shop</v>
      </c>
      <c r="K1622">
        <v>17530</v>
      </c>
      <c r="L1622" t="s">
        <v>613</v>
      </c>
      <c r="M1622" s="4">
        <v>44179</v>
      </c>
      <c r="N1622" s="12">
        <f t="shared" si="76"/>
        <v>12</v>
      </c>
      <c r="O1622" s="13">
        <f t="shared" si="77"/>
        <v>2020</v>
      </c>
      <c r="P1622" t="s">
        <v>13</v>
      </c>
      <c r="Q1622" t="s">
        <v>80</v>
      </c>
      <c r="R1622" t="s">
        <v>57</v>
      </c>
      <c r="S1622" t="str" cm="1">
        <f t="array" ref="S1622">_xlfn.IFS(R1622="COMPLETE", "COMPLETED", R1622="CANCELED", "CANCELED", TRUE, "PENDING")</f>
        <v>PENDING</v>
      </c>
      <c r="T1622" t="s">
        <v>58</v>
      </c>
      <c r="U1622">
        <f>VLOOKUP(A1622,ordered_items!$B:$E,4,0)</f>
        <v>31.08</v>
      </c>
    </row>
    <row r="1623" spans="1:21" x14ac:dyDescent="0.3">
      <c r="A1623">
        <v>74000</v>
      </c>
      <c r="B1623" t="s">
        <v>24</v>
      </c>
      <c r="C1623">
        <v>0</v>
      </c>
      <c r="D1623">
        <v>0</v>
      </c>
      <c r="E1623" t="str">
        <f t="shared" si="75"/>
        <v xml:space="preserve"> ONTIME</v>
      </c>
      <c r="F1623">
        <f>VLOOKUP($A1623,ordered_items!$B$2:$E$4784,2,0)</f>
        <v>1346</v>
      </c>
      <c r="G1623">
        <f>VLOOKUP($A1623,ordered_items!$B$2:$E$4784,3,0)</f>
        <v>1</v>
      </c>
      <c r="H1623">
        <f>VLOOKUP($A1623,ordered_items!$B$2:$E$4784,4,0)</f>
        <v>31.08</v>
      </c>
      <c r="I1623" s="15">
        <f>VLOOKUP(F1623,product_info!$A$2:$D$73,4,0)</f>
        <v>8</v>
      </c>
      <c r="J1623" s="15" t="str">
        <f>VLOOKUP(I1623,department!$A$2:$B$13,2,0)</f>
        <v>Book Shop</v>
      </c>
      <c r="K1623">
        <v>17553</v>
      </c>
      <c r="L1623" t="s">
        <v>206</v>
      </c>
      <c r="M1623" s="4">
        <v>44180</v>
      </c>
      <c r="N1623" s="12">
        <f t="shared" si="76"/>
        <v>12</v>
      </c>
      <c r="O1623" s="13">
        <f t="shared" si="77"/>
        <v>2020</v>
      </c>
      <c r="P1623" t="s">
        <v>13</v>
      </c>
      <c r="Q1623" t="s">
        <v>30</v>
      </c>
      <c r="R1623" t="s">
        <v>31</v>
      </c>
      <c r="S1623" t="str" cm="1">
        <f t="array" ref="S1623">_xlfn.IFS(R1623="COMPLETE", "COMPLETED", R1623="CANCELED", "CANCELED", TRUE, "PENDING")</f>
        <v>COMPLETED</v>
      </c>
      <c r="T1623" t="s">
        <v>58</v>
      </c>
      <c r="U1623">
        <f>VLOOKUP(A1623,ordered_items!$B:$E,4,0)</f>
        <v>31.08</v>
      </c>
    </row>
    <row r="1624" spans="1:21" x14ac:dyDescent="0.3">
      <c r="A1624">
        <v>74001</v>
      </c>
      <c r="B1624" t="s">
        <v>3</v>
      </c>
      <c r="C1624">
        <v>2</v>
      </c>
      <c r="D1624">
        <v>1</v>
      </c>
      <c r="E1624" t="str">
        <f t="shared" si="75"/>
        <v>DELAYED</v>
      </c>
      <c r="F1624">
        <f>VLOOKUP($A1624,ordered_items!$B$2:$E$4784,2,0)</f>
        <v>1346</v>
      </c>
      <c r="G1624">
        <f>VLOOKUP($A1624,ordered_items!$B$2:$E$4784,3,0)</f>
        <v>1</v>
      </c>
      <c r="H1624">
        <f>VLOOKUP($A1624,ordered_items!$B$2:$E$4784,4,0)</f>
        <v>31.08</v>
      </c>
      <c r="I1624" s="15">
        <f>VLOOKUP(F1624,product_info!$A$2:$D$73,4,0)</f>
        <v>8</v>
      </c>
      <c r="J1624" s="15" t="str">
        <f>VLOOKUP(I1624,department!$A$2:$B$13,2,0)</f>
        <v>Book Shop</v>
      </c>
      <c r="K1624">
        <v>17554</v>
      </c>
      <c r="L1624" t="s">
        <v>206</v>
      </c>
      <c r="M1624" s="4">
        <v>44180</v>
      </c>
      <c r="N1624" s="12">
        <f t="shared" si="76"/>
        <v>12</v>
      </c>
      <c r="O1624" s="13">
        <f t="shared" si="77"/>
        <v>2020</v>
      </c>
      <c r="P1624" t="s">
        <v>13</v>
      </c>
      <c r="Q1624" t="s">
        <v>30</v>
      </c>
      <c r="R1624" t="s">
        <v>14</v>
      </c>
      <c r="S1624" t="str" cm="1">
        <f t="array" ref="S1624">_xlfn.IFS(R1624="COMPLETE", "COMPLETED", R1624="CANCELED", "CANCELED", TRUE, "PENDING")</f>
        <v>PENDING</v>
      </c>
      <c r="T1624" t="s">
        <v>32</v>
      </c>
      <c r="U1624">
        <f>VLOOKUP(A1624,ordered_items!$B:$E,4,0)</f>
        <v>31.08</v>
      </c>
    </row>
    <row r="1625" spans="1:21" x14ac:dyDescent="0.3">
      <c r="A1625">
        <v>74002</v>
      </c>
      <c r="B1625" t="s">
        <v>3</v>
      </c>
      <c r="C1625">
        <v>2</v>
      </c>
      <c r="D1625">
        <v>1</v>
      </c>
      <c r="E1625" t="str">
        <f t="shared" si="75"/>
        <v>DELAYED</v>
      </c>
      <c r="F1625">
        <f>VLOOKUP($A1625,ordered_items!$B$2:$E$4784,2,0)</f>
        <v>1346</v>
      </c>
      <c r="G1625">
        <f>VLOOKUP($A1625,ordered_items!$B$2:$E$4784,3,0)</f>
        <v>1</v>
      </c>
      <c r="H1625">
        <f>VLOOKUP($A1625,ordered_items!$B$2:$E$4784,4,0)</f>
        <v>31.08</v>
      </c>
      <c r="I1625" s="15">
        <f>VLOOKUP(F1625,product_info!$A$2:$D$73,4,0)</f>
        <v>8</v>
      </c>
      <c r="J1625" s="15" t="str">
        <f>VLOOKUP(I1625,department!$A$2:$B$13,2,0)</f>
        <v>Book Shop</v>
      </c>
      <c r="K1625">
        <v>17555</v>
      </c>
      <c r="L1625" t="s">
        <v>206</v>
      </c>
      <c r="M1625" s="4">
        <v>44180</v>
      </c>
      <c r="N1625" s="12">
        <f t="shared" si="76"/>
        <v>12</v>
      </c>
      <c r="O1625" s="13">
        <f t="shared" si="77"/>
        <v>2020</v>
      </c>
      <c r="P1625" t="s">
        <v>13</v>
      </c>
      <c r="Q1625" t="s">
        <v>30</v>
      </c>
      <c r="R1625" t="s">
        <v>14</v>
      </c>
      <c r="S1625" t="str" cm="1">
        <f t="array" ref="S1625">_xlfn.IFS(R1625="COMPLETE", "COMPLETED", R1625="CANCELED", "CANCELED", TRUE, "PENDING")</f>
        <v>PENDING</v>
      </c>
      <c r="T1625" t="s">
        <v>32</v>
      </c>
      <c r="U1625">
        <f>VLOOKUP(A1625,ordered_items!$B:$E,4,0)</f>
        <v>31.08</v>
      </c>
    </row>
    <row r="1626" spans="1:21" x14ac:dyDescent="0.3">
      <c r="A1626">
        <v>74007</v>
      </c>
      <c r="B1626" t="s">
        <v>3</v>
      </c>
      <c r="C1626">
        <v>3</v>
      </c>
      <c r="D1626">
        <v>4</v>
      </c>
      <c r="E1626" t="str">
        <f t="shared" si="75"/>
        <v xml:space="preserve"> ONTIME</v>
      </c>
      <c r="F1626">
        <f>VLOOKUP($A1626,ordered_items!$B$2:$E$4784,2,0)</f>
        <v>1346</v>
      </c>
      <c r="G1626">
        <f>VLOOKUP($A1626,ordered_items!$B$2:$E$4784,3,0)</f>
        <v>1</v>
      </c>
      <c r="H1626">
        <f>VLOOKUP($A1626,ordered_items!$B$2:$E$4784,4,0)</f>
        <v>31.08</v>
      </c>
      <c r="I1626" s="15">
        <f>VLOOKUP(F1626,product_info!$A$2:$D$73,4,0)</f>
        <v>8</v>
      </c>
      <c r="J1626" s="15" t="str">
        <f>VLOOKUP(I1626,department!$A$2:$B$13,2,0)</f>
        <v>Book Shop</v>
      </c>
      <c r="K1626">
        <v>17560</v>
      </c>
      <c r="L1626" t="s">
        <v>780</v>
      </c>
      <c r="M1626" s="4">
        <v>44180</v>
      </c>
      <c r="N1626" s="12">
        <f t="shared" si="76"/>
        <v>12</v>
      </c>
      <c r="O1626" s="13">
        <f t="shared" si="77"/>
        <v>2020</v>
      </c>
      <c r="P1626" t="s">
        <v>13</v>
      </c>
      <c r="Q1626" t="s">
        <v>80</v>
      </c>
      <c r="R1626" t="s">
        <v>38</v>
      </c>
      <c r="S1626" t="str" cm="1">
        <f t="array" ref="S1626">_xlfn.IFS(R1626="COMPLETE", "COMPLETED", R1626="CANCELED", "CANCELED", TRUE, "PENDING")</f>
        <v>PENDING</v>
      </c>
      <c r="T1626" t="s">
        <v>16</v>
      </c>
      <c r="U1626">
        <f>VLOOKUP(A1626,ordered_items!$B:$E,4,0)</f>
        <v>31.08</v>
      </c>
    </row>
    <row r="1627" spans="1:21" x14ac:dyDescent="0.3">
      <c r="A1627">
        <v>74008</v>
      </c>
      <c r="B1627" t="s">
        <v>3</v>
      </c>
      <c r="C1627">
        <v>4</v>
      </c>
      <c r="D1627">
        <v>4</v>
      </c>
      <c r="E1627" t="str">
        <f t="shared" si="75"/>
        <v xml:space="preserve"> ONTIME</v>
      </c>
      <c r="F1627">
        <f>VLOOKUP($A1627,ordered_items!$B$2:$E$4784,2,0)</f>
        <v>1346</v>
      </c>
      <c r="G1627">
        <f>VLOOKUP($A1627,ordered_items!$B$2:$E$4784,3,0)</f>
        <v>1</v>
      </c>
      <c r="H1627">
        <f>VLOOKUP($A1627,ordered_items!$B$2:$E$4784,4,0)</f>
        <v>31.08</v>
      </c>
      <c r="I1627" s="15">
        <f>VLOOKUP(F1627,product_info!$A$2:$D$73,4,0)</f>
        <v>8</v>
      </c>
      <c r="J1627" s="15" t="str">
        <f>VLOOKUP(I1627,department!$A$2:$B$13,2,0)</f>
        <v>Book Shop</v>
      </c>
      <c r="K1627">
        <v>17561</v>
      </c>
      <c r="L1627" t="s">
        <v>780</v>
      </c>
      <c r="M1627" s="4">
        <v>44180</v>
      </c>
      <c r="N1627" s="12">
        <f t="shared" si="76"/>
        <v>12</v>
      </c>
      <c r="O1627" s="13">
        <f t="shared" si="77"/>
        <v>2020</v>
      </c>
      <c r="P1627" t="s">
        <v>13</v>
      </c>
      <c r="Q1627" t="s">
        <v>80</v>
      </c>
      <c r="R1627" t="s">
        <v>178</v>
      </c>
      <c r="S1627" t="str" cm="1">
        <f t="array" ref="S1627">_xlfn.IFS(R1627="COMPLETE", "COMPLETED", R1627="CANCELED", "CANCELED", TRUE, "PENDING")</f>
        <v>PENDING</v>
      </c>
      <c r="T1627" t="s">
        <v>16</v>
      </c>
      <c r="U1627">
        <f>VLOOKUP(A1627,ordered_items!$B:$E,4,0)</f>
        <v>31.08</v>
      </c>
    </row>
    <row r="1628" spans="1:21" x14ac:dyDescent="0.3">
      <c r="A1628">
        <v>74009</v>
      </c>
      <c r="B1628" t="s">
        <v>51</v>
      </c>
      <c r="C1628">
        <v>5</v>
      </c>
      <c r="D1628">
        <v>4</v>
      </c>
      <c r="E1628" t="str">
        <f t="shared" si="75"/>
        <v>DELAYED</v>
      </c>
      <c r="F1628">
        <f>VLOOKUP($A1628,ordered_items!$B$2:$E$4784,2,0)</f>
        <v>1346</v>
      </c>
      <c r="G1628">
        <f>VLOOKUP($A1628,ordered_items!$B$2:$E$4784,3,0)</f>
        <v>1</v>
      </c>
      <c r="H1628">
        <f>VLOOKUP($A1628,ordered_items!$B$2:$E$4784,4,0)</f>
        <v>31.08</v>
      </c>
      <c r="I1628" s="15">
        <f>VLOOKUP(F1628,product_info!$A$2:$D$73,4,0)</f>
        <v>8</v>
      </c>
      <c r="J1628" s="15" t="str">
        <f>VLOOKUP(I1628,department!$A$2:$B$13,2,0)</f>
        <v>Book Shop</v>
      </c>
      <c r="K1628">
        <v>17562</v>
      </c>
      <c r="L1628" t="s">
        <v>780</v>
      </c>
      <c r="M1628" s="4">
        <v>44180</v>
      </c>
      <c r="N1628" s="12">
        <f t="shared" si="76"/>
        <v>12</v>
      </c>
      <c r="O1628" s="13">
        <f t="shared" si="77"/>
        <v>2020</v>
      </c>
      <c r="P1628" t="s">
        <v>13</v>
      </c>
      <c r="Q1628" t="s">
        <v>80</v>
      </c>
      <c r="R1628" t="s">
        <v>1275</v>
      </c>
      <c r="S1628" t="str" cm="1">
        <f t="array" ref="S1628">_xlfn.IFS(R1628="COMPLETE", "COMPLETED", R1628="CANCELED", "CANCELED", TRUE, "PENDING")</f>
        <v>PENDING</v>
      </c>
      <c r="T1628" t="s">
        <v>16</v>
      </c>
      <c r="U1628">
        <f>VLOOKUP(A1628,ordered_items!$B:$E,4,0)</f>
        <v>31.08</v>
      </c>
    </row>
    <row r="1629" spans="1:21" x14ac:dyDescent="0.3">
      <c r="A1629">
        <v>74051</v>
      </c>
      <c r="B1629" t="s">
        <v>3</v>
      </c>
      <c r="C1629">
        <v>2</v>
      </c>
      <c r="D1629">
        <v>4</v>
      </c>
      <c r="E1629" t="str">
        <f t="shared" si="75"/>
        <v xml:space="preserve"> ONTIME</v>
      </c>
      <c r="F1629">
        <f>VLOOKUP($A1629,ordered_items!$B$2:$E$4784,2,0)</f>
        <v>1346</v>
      </c>
      <c r="G1629">
        <f>VLOOKUP($A1629,ordered_items!$B$2:$E$4784,3,0)</f>
        <v>1</v>
      </c>
      <c r="H1629">
        <f>VLOOKUP($A1629,ordered_items!$B$2:$E$4784,4,0)</f>
        <v>31.08</v>
      </c>
      <c r="I1629" s="15">
        <f>VLOOKUP(F1629,product_info!$A$2:$D$73,4,0)</f>
        <v>8</v>
      </c>
      <c r="J1629" s="15" t="str">
        <f>VLOOKUP(I1629,department!$A$2:$B$13,2,0)</f>
        <v>Book Shop</v>
      </c>
      <c r="K1629">
        <v>17604</v>
      </c>
      <c r="L1629" t="s">
        <v>262</v>
      </c>
      <c r="M1629" s="4">
        <v>44180</v>
      </c>
      <c r="N1629" s="12">
        <f t="shared" si="76"/>
        <v>12</v>
      </c>
      <c r="O1629" s="13">
        <f t="shared" si="77"/>
        <v>2020</v>
      </c>
      <c r="P1629" t="s">
        <v>13</v>
      </c>
      <c r="Q1629" t="s">
        <v>30</v>
      </c>
      <c r="R1629" t="s">
        <v>38</v>
      </c>
      <c r="S1629" t="str" cm="1">
        <f t="array" ref="S1629">_xlfn.IFS(R1629="COMPLETE", "COMPLETED", R1629="CANCELED", "CANCELED", TRUE, "PENDING")</f>
        <v>PENDING</v>
      </c>
      <c r="T1629" t="s">
        <v>16</v>
      </c>
      <c r="U1629">
        <f>VLOOKUP(A1629,ordered_items!$B:$E,4,0)</f>
        <v>31.08</v>
      </c>
    </row>
    <row r="1630" spans="1:21" x14ac:dyDescent="0.3">
      <c r="A1630">
        <v>74070</v>
      </c>
      <c r="B1630" t="s">
        <v>24</v>
      </c>
      <c r="C1630">
        <v>6</v>
      </c>
      <c r="D1630">
        <v>4</v>
      </c>
      <c r="E1630" t="str">
        <f t="shared" si="75"/>
        <v>DELAYED</v>
      </c>
      <c r="F1630">
        <f>VLOOKUP($A1630,ordered_items!$B$2:$E$4784,2,0)</f>
        <v>1346</v>
      </c>
      <c r="G1630">
        <f>VLOOKUP($A1630,ordered_items!$B$2:$E$4784,3,0)</f>
        <v>1</v>
      </c>
      <c r="H1630">
        <f>VLOOKUP($A1630,ordered_items!$B$2:$E$4784,4,0)</f>
        <v>31.08</v>
      </c>
      <c r="I1630" s="15">
        <f>VLOOKUP(F1630,product_info!$A$2:$D$73,4,0)</f>
        <v>8</v>
      </c>
      <c r="J1630" s="15" t="str">
        <f>VLOOKUP(I1630,department!$A$2:$B$13,2,0)</f>
        <v>Book Shop</v>
      </c>
      <c r="K1630">
        <v>17623</v>
      </c>
      <c r="L1630" t="s">
        <v>285</v>
      </c>
      <c r="M1630" s="4">
        <v>44181</v>
      </c>
      <c r="N1630" s="12">
        <f t="shared" si="76"/>
        <v>12</v>
      </c>
      <c r="O1630" s="13">
        <f t="shared" si="77"/>
        <v>2020</v>
      </c>
      <c r="P1630" t="s">
        <v>13</v>
      </c>
      <c r="Q1630" t="s">
        <v>286</v>
      </c>
      <c r="R1630" t="s">
        <v>31</v>
      </c>
      <c r="S1630" t="str" cm="1">
        <f t="array" ref="S1630">_xlfn.IFS(R1630="COMPLETE", "COMPLETED", R1630="CANCELED", "CANCELED", TRUE, "PENDING")</f>
        <v>COMPLETED</v>
      </c>
      <c r="T1630" t="s">
        <v>16</v>
      </c>
      <c r="U1630">
        <f>VLOOKUP(A1630,ordered_items!$B:$E,4,0)</f>
        <v>31.08</v>
      </c>
    </row>
    <row r="1631" spans="1:21" x14ac:dyDescent="0.3">
      <c r="A1631">
        <v>74071</v>
      </c>
      <c r="B1631" t="s">
        <v>3</v>
      </c>
      <c r="C1631">
        <v>2</v>
      </c>
      <c r="D1631">
        <v>4</v>
      </c>
      <c r="E1631" t="str">
        <f t="shared" si="75"/>
        <v xml:space="preserve"> ONTIME</v>
      </c>
      <c r="F1631">
        <f>VLOOKUP($A1631,ordered_items!$B$2:$E$4784,2,0)</f>
        <v>1346</v>
      </c>
      <c r="G1631">
        <f>VLOOKUP($A1631,ordered_items!$B$2:$E$4784,3,0)</f>
        <v>1</v>
      </c>
      <c r="H1631">
        <f>VLOOKUP($A1631,ordered_items!$B$2:$E$4784,4,0)</f>
        <v>31.08</v>
      </c>
      <c r="I1631" s="15">
        <f>VLOOKUP(F1631,product_info!$A$2:$D$73,4,0)</f>
        <v>8</v>
      </c>
      <c r="J1631" s="15" t="str">
        <f>VLOOKUP(I1631,department!$A$2:$B$13,2,0)</f>
        <v>Book Shop</v>
      </c>
      <c r="K1631">
        <v>17624</v>
      </c>
      <c r="L1631" t="s">
        <v>285</v>
      </c>
      <c r="M1631" s="4">
        <v>44181</v>
      </c>
      <c r="N1631" s="12">
        <f t="shared" si="76"/>
        <v>12</v>
      </c>
      <c r="O1631" s="13">
        <f t="shared" si="77"/>
        <v>2020</v>
      </c>
      <c r="P1631" t="s">
        <v>13</v>
      </c>
      <c r="Q1631" t="s">
        <v>286</v>
      </c>
      <c r="R1631" t="s">
        <v>178</v>
      </c>
      <c r="S1631" t="str" cm="1">
        <f t="array" ref="S1631">_xlfn.IFS(R1631="COMPLETE", "COMPLETED", R1631="CANCELED", "CANCELED", TRUE, "PENDING")</f>
        <v>PENDING</v>
      </c>
      <c r="T1631" t="s">
        <v>16</v>
      </c>
      <c r="U1631">
        <f>VLOOKUP(A1631,ordered_items!$B:$E,4,0)</f>
        <v>31.08</v>
      </c>
    </row>
    <row r="1632" spans="1:21" x14ac:dyDescent="0.3">
      <c r="A1632">
        <v>74072</v>
      </c>
      <c r="B1632" t="s">
        <v>51</v>
      </c>
      <c r="C1632">
        <v>3</v>
      </c>
      <c r="D1632">
        <v>4</v>
      </c>
      <c r="E1632" t="str">
        <f t="shared" si="75"/>
        <v xml:space="preserve"> ONTIME</v>
      </c>
      <c r="F1632">
        <f>VLOOKUP($A1632,ordered_items!$B$2:$E$4784,2,0)</f>
        <v>1347</v>
      </c>
      <c r="G1632">
        <f>VLOOKUP($A1632,ordered_items!$B$2:$E$4784,3,0)</f>
        <v>1</v>
      </c>
      <c r="H1632">
        <f>VLOOKUP($A1632,ordered_items!$B$2:$E$4784,4,0)</f>
        <v>59.08</v>
      </c>
      <c r="I1632" s="15">
        <f>VLOOKUP(F1632,product_info!$A$2:$D$73,4,0)</f>
        <v>4</v>
      </c>
      <c r="J1632" s="15" t="str">
        <f>VLOOKUP(I1632,department!$A$2:$B$13,2,0)</f>
        <v>Apparel</v>
      </c>
      <c r="K1632">
        <v>17625</v>
      </c>
      <c r="L1632" t="s">
        <v>146</v>
      </c>
      <c r="M1632" s="4">
        <v>44181</v>
      </c>
      <c r="N1632" s="12">
        <f t="shared" si="76"/>
        <v>12</v>
      </c>
      <c r="O1632" s="13">
        <f t="shared" si="77"/>
        <v>2020</v>
      </c>
      <c r="P1632" t="s">
        <v>13</v>
      </c>
      <c r="Q1632" t="s">
        <v>30</v>
      </c>
      <c r="R1632" t="s">
        <v>57</v>
      </c>
      <c r="S1632" t="str" cm="1">
        <f t="array" ref="S1632">_xlfn.IFS(R1632="COMPLETE", "COMPLETED", R1632="CANCELED", "CANCELED", TRUE, "PENDING")</f>
        <v>PENDING</v>
      </c>
      <c r="T1632" t="s">
        <v>16</v>
      </c>
      <c r="U1632">
        <f>VLOOKUP(A1632,ordered_items!$B:$E,4,0)</f>
        <v>59.08</v>
      </c>
    </row>
    <row r="1633" spans="1:21" x14ac:dyDescent="0.3">
      <c r="A1633">
        <v>74079</v>
      </c>
      <c r="B1633" t="s">
        <v>3</v>
      </c>
      <c r="C1633">
        <v>5</v>
      </c>
      <c r="D1633">
        <v>4</v>
      </c>
      <c r="E1633" t="str">
        <f t="shared" si="75"/>
        <v>DELAYED</v>
      </c>
      <c r="F1633">
        <f>VLOOKUP($A1633,ordered_items!$B$2:$E$4784,2,0)</f>
        <v>1347</v>
      </c>
      <c r="G1633">
        <f>VLOOKUP($A1633,ordered_items!$B$2:$E$4784,3,0)</f>
        <v>1</v>
      </c>
      <c r="H1633">
        <f>VLOOKUP($A1633,ordered_items!$B$2:$E$4784,4,0)</f>
        <v>59.08</v>
      </c>
      <c r="I1633" s="15">
        <f>VLOOKUP(F1633,product_info!$A$2:$D$73,4,0)</f>
        <v>4</v>
      </c>
      <c r="J1633" s="15" t="str">
        <f>VLOOKUP(I1633,department!$A$2:$B$13,2,0)</f>
        <v>Apparel</v>
      </c>
      <c r="K1633">
        <v>17632</v>
      </c>
      <c r="L1633" t="s">
        <v>743</v>
      </c>
      <c r="M1633" s="4">
        <v>44181</v>
      </c>
      <c r="N1633" s="12">
        <f t="shared" si="76"/>
        <v>12</v>
      </c>
      <c r="O1633" s="13">
        <f t="shared" si="77"/>
        <v>2020</v>
      </c>
      <c r="P1633" t="s">
        <v>13</v>
      </c>
      <c r="Q1633" t="s">
        <v>5780</v>
      </c>
      <c r="R1633" t="s">
        <v>178</v>
      </c>
      <c r="S1633" t="str" cm="1">
        <f t="array" ref="S1633">_xlfn.IFS(R1633="COMPLETE", "COMPLETED", R1633="CANCELED", "CANCELED", TRUE, "PENDING")</f>
        <v>PENDING</v>
      </c>
      <c r="T1633" t="s">
        <v>16</v>
      </c>
      <c r="U1633">
        <f>VLOOKUP(A1633,ordered_items!$B:$E,4,0)</f>
        <v>59.08</v>
      </c>
    </row>
    <row r="1634" spans="1:21" x14ac:dyDescent="0.3">
      <c r="A1634">
        <v>74080</v>
      </c>
      <c r="B1634" t="s">
        <v>51</v>
      </c>
      <c r="C1634">
        <v>6</v>
      </c>
      <c r="D1634">
        <v>2</v>
      </c>
      <c r="E1634" t="str">
        <f t="shared" si="75"/>
        <v>DELAYED</v>
      </c>
      <c r="F1634">
        <f>VLOOKUP($A1634,ordered_items!$B$2:$E$4784,2,0)</f>
        <v>1347</v>
      </c>
      <c r="G1634">
        <f>VLOOKUP($A1634,ordered_items!$B$2:$E$4784,3,0)</f>
        <v>1</v>
      </c>
      <c r="H1634">
        <f>VLOOKUP($A1634,ordered_items!$B$2:$E$4784,4,0)</f>
        <v>59.08</v>
      </c>
      <c r="I1634" s="15">
        <f>VLOOKUP(F1634,product_info!$A$2:$D$73,4,0)</f>
        <v>4</v>
      </c>
      <c r="J1634" s="15" t="str">
        <f>VLOOKUP(I1634,department!$A$2:$B$13,2,0)</f>
        <v>Apparel</v>
      </c>
      <c r="K1634">
        <v>17633</v>
      </c>
      <c r="L1634" t="s">
        <v>743</v>
      </c>
      <c r="M1634" s="4">
        <v>44181</v>
      </c>
      <c r="N1634" s="12">
        <f t="shared" si="76"/>
        <v>12</v>
      </c>
      <c r="O1634" s="13">
        <f t="shared" si="77"/>
        <v>2020</v>
      </c>
      <c r="P1634" t="s">
        <v>13</v>
      </c>
      <c r="Q1634" t="s">
        <v>5780</v>
      </c>
      <c r="R1634" t="s">
        <v>57</v>
      </c>
      <c r="S1634" t="str" cm="1">
        <f t="array" ref="S1634">_xlfn.IFS(R1634="COMPLETE", "COMPLETED", R1634="CANCELED", "CANCELED", TRUE, "PENDING")</f>
        <v>PENDING</v>
      </c>
      <c r="T1634" t="s">
        <v>90</v>
      </c>
      <c r="U1634">
        <f>VLOOKUP(A1634,ordered_items!$B:$E,4,0)</f>
        <v>59.08</v>
      </c>
    </row>
    <row r="1635" spans="1:21" x14ac:dyDescent="0.3">
      <c r="A1635">
        <v>74081</v>
      </c>
      <c r="B1635" t="s">
        <v>51</v>
      </c>
      <c r="C1635">
        <v>2</v>
      </c>
      <c r="D1635">
        <v>2</v>
      </c>
      <c r="E1635" t="str">
        <f t="shared" si="75"/>
        <v xml:space="preserve"> ONTIME</v>
      </c>
      <c r="F1635">
        <f>VLOOKUP($A1635,ordered_items!$B$2:$E$4784,2,0)</f>
        <v>1347</v>
      </c>
      <c r="G1635">
        <f>VLOOKUP($A1635,ordered_items!$B$2:$E$4784,3,0)</f>
        <v>1</v>
      </c>
      <c r="H1635">
        <f>VLOOKUP($A1635,ordered_items!$B$2:$E$4784,4,0)</f>
        <v>59.08</v>
      </c>
      <c r="I1635" s="15">
        <f>VLOOKUP(F1635,product_info!$A$2:$D$73,4,0)</f>
        <v>4</v>
      </c>
      <c r="J1635" s="15" t="str">
        <f>VLOOKUP(I1635,department!$A$2:$B$13,2,0)</f>
        <v>Apparel</v>
      </c>
      <c r="K1635">
        <v>17634</v>
      </c>
      <c r="L1635" t="s">
        <v>258</v>
      </c>
      <c r="M1635" s="4">
        <v>44181</v>
      </c>
      <c r="N1635" s="12">
        <f t="shared" si="76"/>
        <v>12</v>
      </c>
      <c r="O1635" s="13">
        <f t="shared" si="77"/>
        <v>2020</v>
      </c>
      <c r="P1635" t="s">
        <v>13</v>
      </c>
      <c r="Q1635" t="s">
        <v>30</v>
      </c>
      <c r="R1635" t="s">
        <v>57</v>
      </c>
      <c r="S1635" t="str" cm="1">
        <f t="array" ref="S1635">_xlfn.IFS(R1635="COMPLETE", "COMPLETED", R1635="CANCELED", "CANCELED", TRUE, "PENDING")</f>
        <v>PENDING</v>
      </c>
      <c r="T1635" t="s">
        <v>90</v>
      </c>
      <c r="U1635">
        <f>VLOOKUP(A1635,ordered_items!$B:$E,4,0)</f>
        <v>59.08</v>
      </c>
    </row>
    <row r="1636" spans="1:21" x14ac:dyDescent="0.3">
      <c r="A1636">
        <v>74087</v>
      </c>
      <c r="B1636" t="s">
        <v>3</v>
      </c>
      <c r="C1636">
        <v>2</v>
      </c>
      <c r="D1636">
        <v>1</v>
      </c>
      <c r="E1636" t="str">
        <f t="shared" si="75"/>
        <v>DELAYED</v>
      </c>
      <c r="F1636">
        <f>VLOOKUP($A1636,ordered_items!$B$2:$E$4784,2,0)</f>
        <v>1347</v>
      </c>
      <c r="G1636">
        <f>VLOOKUP($A1636,ordered_items!$B$2:$E$4784,3,0)</f>
        <v>1</v>
      </c>
      <c r="H1636">
        <f>VLOOKUP($A1636,ordered_items!$B$2:$E$4784,4,0)</f>
        <v>59.08</v>
      </c>
      <c r="I1636" s="15">
        <f>VLOOKUP(F1636,product_info!$A$2:$D$73,4,0)</f>
        <v>4</v>
      </c>
      <c r="J1636" s="15" t="str">
        <f>VLOOKUP(I1636,department!$A$2:$B$13,2,0)</f>
        <v>Apparel</v>
      </c>
      <c r="K1636">
        <v>17640</v>
      </c>
      <c r="L1636" t="s">
        <v>202</v>
      </c>
      <c r="M1636" s="4">
        <v>44181</v>
      </c>
      <c r="N1636" s="12">
        <f t="shared" si="76"/>
        <v>12</v>
      </c>
      <c r="O1636" s="13">
        <f t="shared" si="77"/>
        <v>2020</v>
      </c>
      <c r="P1636" t="s">
        <v>13</v>
      </c>
      <c r="Q1636" t="s">
        <v>203</v>
      </c>
      <c r="R1636" t="s">
        <v>178</v>
      </c>
      <c r="S1636" t="str" cm="1">
        <f t="array" ref="S1636">_xlfn.IFS(R1636="COMPLETE", "COMPLETED", R1636="CANCELED", "CANCELED", TRUE, "PENDING")</f>
        <v>PENDING</v>
      </c>
      <c r="T1636" t="s">
        <v>32</v>
      </c>
      <c r="U1636">
        <f>VLOOKUP(A1636,ordered_items!$B:$E,4,0)</f>
        <v>59.08</v>
      </c>
    </row>
    <row r="1637" spans="1:21" x14ac:dyDescent="0.3">
      <c r="A1637">
        <v>74088</v>
      </c>
      <c r="B1637" t="s">
        <v>17</v>
      </c>
      <c r="C1637">
        <v>4</v>
      </c>
      <c r="D1637">
        <v>4</v>
      </c>
      <c r="E1637" t="str">
        <f t="shared" si="75"/>
        <v xml:space="preserve"> ONTIME</v>
      </c>
      <c r="F1637">
        <f>VLOOKUP($A1637,ordered_items!$B$2:$E$4784,2,0)</f>
        <v>1347</v>
      </c>
      <c r="G1637">
        <f>VLOOKUP($A1637,ordered_items!$B$2:$E$4784,3,0)</f>
        <v>1</v>
      </c>
      <c r="H1637">
        <f>VLOOKUP($A1637,ordered_items!$B$2:$E$4784,4,0)</f>
        <v>59.08</v>
      </c>
      <c r="I1637" s="15">
        <f>VLOOKUP(F1637,product_info!$A$2:$D$73,4,0)</f>
        <v>4</v>
      </c>
      <c r="J1637" s="15" t="str">
        <f>VLOOKUP(I1637,department!$A$2:$B$13,2,0)</f>
        <v>Apparel</v>
      </c>
      <c r="K1637">
        <v>17641</v>
      </c>
      <c r="L1637" t="s">
        <v>439</v>
      </c>
      <c r="M1637" s="4">
        <v>44181</v>
      </c>
      <c r="N1637" s="12">
        <f t="shared" si="76"/>
        <v>12</v>
      </c>
      <c r="O1637" s="13">
        <f t="shared" si="77"/>
        <v>2020</v>
      </c>
      <c r="P1637" t="s">
        <v>13</v>
      </c>
      <c r="Q1637" t="s">
        <v>377</v>
      </c>
      <c r="R1637" t="s">
        <v>23</v>
      </c>
      <c r="S1637" t="str" cm="1">
        <f t="array" ref="S1637">_xlfn.IFS(R1637="COMPLETE", "COMPLETED", R1637="CANCELED", "CANCELED", TRUE, "PENDING")</f>
        <v>PENDING</v>
      </c>
      <c r="T1637" t="s">
        <v>16</v>
      </c>
      <c r="U1637">
        <f>VLOOKUP(A1637,ordered_items!$B:$E,4,0)</f>
        <v>59.08</v>
      </c>
    </row>
    <row r="1638" spans="1:21" x14ac:dyDescent="0.3">
      <c r="A1638">
        <v>74118</v>
      </c>
      <c r="B1638" t="s">
        <v>17</v>
      </c>
      <c r="C1638">
        <v>1</v>
      </c>
      <c r="D1638">
        <v>0</v>
      </c>
      <c r="E1638" t="str">
        <f t="shared" si="75"/>
        <v>DELAYED</v>
      </c>
      <c r="F1638">
        <f>VLOOKUP($A1638,ordered_items!$B$2:$E$4784,2,0)</f>
        <v>1347</v>
      </c>
      <c r="G1638">
        <f>VLOOKUP($A1638,ordered_items!$B$2:$E$4784,3,0)</f>
        <v>1</v>
      </c>
      <c r="H1638">
        <f>VLOOKUP($A1638,ordered_items!$B$2:$E$4784,4,0)</f>
        <v>59.08</v>
      </c>
      <c r="I1638" s="15">
        <f>VLOOKUP(F1638,product_info!$A$2:$D$73,4,0)</f>
        <v>4</v>
      </c>
      <c r="J1638" s="15" t="str">
        <f>VLOOKUP(I1638,department!$A$2:$B$13,2,0)</f>
        <v>Apparel</v>
      </c>
      <c r="K1638">
        <v>17671</v>
      </c>
      <c r="L1638" t="s">
        <v>1129</v>
      </c>
      <c r="M1638" s="4">
        <v>44181</v>
      </c>
      <c r="N1638" s="12">
        <f t="shared" si="76"/>
        <v>12</v>
      </c>
      <c r="O1638" s="13">
        <f t="shared" si="77"/>
        <v>2020</v>
      </c>
      <c r="P1638" t="s">
        <v>13</v>
      </c>
      <c r="Q1638" t="s">
        <v>99</v>
      </c>
      <c r="R1638" t="s">
        <v>23</v>
      </c>
      <c r="S1638" t="str" cm="1">
        <f t="array" ref="S1638">_xlfn.IFS(R1638="COMPLETE", "COMPLETED", R1638="CANCELED", "CANCELED", TRUE, "PENDING")</f>
        <v>PENDING</v>
      </c>
      <c r="T1638" t="s">
        <v>58</v>
      </c>
      <c r="U1638">
        <f>VLOOKUP(A1638,ordered_items!$B:$E,4,0)</f>
        <v>59.08</v>
      </c>
    </row>
    <row r="1639" spans="1:21" x14ac:dyDescent="0.3">
      <c r="A1639">
        <v>74121</v>
      </c>
      <c r="B1639" t="s">
        <v>24</v>
      </c>
      <c r="C1639">
        <v>1</v>
      </c>
      <c r="D1639">
        <v>0</v>
      </c>
      <c r="E1639" t="str">
        <f t="shared" si="75"/>
        <v>DELAYED</v>
      </c>
      <c r="F1639">
        <f>VLOOKUP($A1639,ordered_items!$B$2:$E$4784,2,0)</f>
        <v>1347</v>
      </c>
      <c r="G1639">
        <f>VLOOKUP($A1639,ordered_items!$B$2:$E$4784,3,0)</f>
        <v>1</v>
      </c>
      <c r="H1639">
        <f>VLOOKUP($A1639,ordered_items!$B$2:$E$4784,4,0)</f>
        <v>59.08</v>
      </c>
      <c r="I1639" s="15">
        <f>VLOOKUP(F1639,product_info!$A$2:$D$73,4,0)</f>
        <v>4</v>
      </c>
      <c r="J1639" s="15" t="str">
        <f>VLOOKUP(I1639,department!$A$2:$B$13,2,0)</f>
        <v>Apparel</v>
      </c>
      <c r="K1639">
        <v>17674</v>
      </c>
      <c r="L1639" t="s">
        <v>233</v>
      </c>
      <c r="M1639" s="4">
        <v>44181</v>
      </c>
      <c r="N1639" s="12">
        <f t="shared" si="76"/>
        <v>12</v>
      </c>
      <c r="O1639" s="13">
        <f t="shared" si="77"/>
        <v>2020</v>
      </c>
      <c r="P1639" t="s">
        <v>13</v>
      </c>
      <c r="Q1639" t="s">
        <v>234</v>
      </c>
      <c r="R1639" t="s">
        <v>378</v>
      </c>
      <c r="S1639" t="str" cm="1">
        <f t="array" ref="S1639">_xlfn.IFS(R1639="COMPLETE", "COMPLETED", R1639="CANCELED", "CANCELED", TRUE, "PENDING")</f>
        <v>PENDING</v>
      </c>
      <c r="T1639" t="s">
        <v>58</v>
      </c>
      <c r="U1639">
        <f>VLOOKUP(A1639,ordered_items!$B:$E,4,0)</f>
        <v>59.08</v>
      </c>
    </row>
    <row r="1640" spans="1:21" x14ac:dyDescent="0.3">
      <c r="A1640">
        <v>74122</v>
      </c>
      <c r="B1640" t="s">
        <v>24</v>
      </c>
      <c r="C1640">
        <v>1</v>
      </c>
      <c r="D1640">
        <v>0</v>
      </c>
      <c r="E1640" t="str">
        <f t="shared" si="75"/>
        <v>DELAYED</v>
      </c>
      <c r="F1640">
        <f>VLOOKUP($A1640,ordered_items!$B$2:$E$4784,2,0)</f>
        <v>1347</v>
      </c>
      <c r="G1640">
        <f>VLOOKUP($A1640,ordered_items!$B$2:$E$4784,3,0)</f>
        <v>1</v>
      </c>
      <c r="H1640">
        <f>VLOOKUP($A1640,ordered_items!$B$2:$E$4784,4,0)</f>
        <v>59.08</v>
      </c>
      <c r="I1640" s="15">
        <f>VLOOKUP(F1640,product_info!$A$2:$D$73,4,0)</f>
        <v>4</v>
      </c>
      <c r="J1640" s="15" t="str">
        <f>VLOOKUP(I1640,department!$A$2:$B$13,2,0)</f>
        <v>Apparel</v>
      </c>
      <c r="K1640">
        <v>17675</v>
      </c>
      <c r="L1640" t="s">
        <v>233</v>
      </c>
      <c r="M1640" s="4">
        <v>44181</v>
      </c>
      <c r="N1640" s="12">
        <f t="shared" si="76"/>
        <v>12</v>
      </c>
      <c r="O1640" s="13">
        <f t="shared" si="77"/>
        <v>2020</v>
      </c>
      <c r="P1640" t="s">
        <v>13</v>
      </c>
      <c r="Q1640" t="s">
        <v>234</v>
      </c>
      <c r="R1640" t="s">
        <v>31</v>
      </c>
      <c r="S1640" t="str" cm="1">
        <f t="array" ref="S1640">_xlfn.IFS(R1640="COMPLETE", "COMPLETED", R1640="CANCELED", "CANCELED", TRUE, "PENDING")</f>
        <v>COMPLETED</v>
      </c>
      <c r="T1640" t="s">
        <v>58</v>
      </c>
      <c r="U1640">
        <f>VLOOKUP(A1640,ordered_items!$B:$E,4,0)</f>
        <v>59.08</v>
      </c>
    </row>
    <row r="1641" spans="1:21" x14ac:dyDescent="0.3">
      <c r="A1641">
        <v>74193</v>
      </c>
      <c r="B1641" t="s">
        <v>24</v>
      </c>
      <c r="C1641">
        <v>4</v>
      </c>
      <c r="D1641">
        <v>4</v>
      </c>
      <c r="E1641" t="str">
        <f t="shared" si="75"/>
        <v xml:space="preserve"> ONTIME</v>
      </c>
      <c r="F1641">
        <f>VLOOKUP($A1641,ordered_items!$B$2:$E$4784,2,0)</f>
        <v>1347</v>
      </c>
      <c r="G1641">
        <f>VLOOKUP($A1641,ordered_items!$B$2:$E$4784,3,0)</f>
        <v>1</v>
      </c>
      <c r="H1641">
        <f>VLOOKUP($A1641,ordered_items!$B$2:$E$4784,4,0)</f>
        <v>59.08</v>
      </c>
      <c r="I1641" s="15">
        <f>VLOOKUP(F1641,product_info!$A$2:$D$73,4,0)</f>
        <v>4</v>
      </c>
      <c r="J1641" s="15" t="str">
        <f>VLOOKUP(I1641,department!$A$2:$B$13,2,0)</f>
        <v>Apparel</v>
      </c>
      <c r="K1641">
        <v>17746</v>
      </c>
      <c r="L1641" t="s">
        <v>275</v>
      </c>
      <c r="M1641" s="4">
        <v>44183</v>
      </c>
      <c r="N1641" s="12">
        <f t="shared" si="76"/>
        <v>12</v>
      </c>
      <c r="O1641" s="13">
        <f t="shared" si="77"/>
        <v>2020</v>
      </c>
      <c r="P1641" t="s">
        <v>13</v>
      </c>
      <c r="Q1641" t="s">
        <v>80</v>
      </c>
      <c r="R1641" t="s">
        <v>31</v>
      </c>
      <c r="S1641" t="str" cm="1">
        <f t="array" ref="S1641">_xlfn.IFS(R1641="COMPLETE", "COMPLETED", R1641="CANCELED", "CANCELED", TRUE, "PENDING")</f>
        <v>COMPLETED</v>
      </c>
      <c r="T1641" t="s">
        <v>16</v>
      </c>
      <c r="U1641">
        <f>VLOOKUP(A1641,ordered_items!$B:$E,4,0)</f>
        <v>59.08</v>
      </c>
    </row>
    <row r="1642" spans="1:21" x14ac:dyDescent="0.3">
      <c r="A1642">
        <v>74194</v>
      </c>
      <c r="B1642" t="s">
        <v>24</v>
      </c>
      <c r="C1642">
        <v>5</v>
      </c>
      <c r="D1642">
        <v>4</v>
      </c>
      <c r="E1642" t="str">
        <f t="shared" si="75"/>
        <v>DELAYED</v>
      </c>
      <c r="F1642">
        <f>VLOOKUP($A1642,ordered_items!$B$2:$E$4784,2,0)</f>
        <v>1347</v>
      </c>
      <c r="G1642">
        <f>VLOOKUP($A1642,ordered_items!$B$2:$E$4784,3,0)</f>
        <v>1</v>
      </c>
      <c r="H1642">
        <f>VLOOKUP($A1642,ordered_items!$B$2:$E$4784,4,0)</f>
        <v>59.08</v>
      </c>
      <c r="I1642" s="15">
        <f>VLOOKUP(F1642,product_info!$A$2:$D$73,4,0)</f>
        <v>4</v>
      </c>
      <c r="J1642" s="15" t="str">
        <f>VLOOKUP(I1642,department!$A$2:$B$13,2,0)</f>
        <v>Apparel</v>
      </c>
      <c r="K1642">
        <v>17747</v>
      </c>
      <c r="L1642" t="s">
        <v>275</v>
      </c>
      <c r="M1642" s="4">
        <v>44183</v>
      </c>
      <c r="N1642" s="12">
        <f t="shared" si="76"/>
        <v>12</v>
      </c>
      <c r="O1642" s="13">
        <f t="shared" si="77"/>
        <v>2020</v>
      </c>
      <c r="P1642" t="s">
        <v>13</v>
      </c>
      <c r="Q1642" t="s">
        <v>80</v>
      </c>
      <c r="R1642" t="s">
        <v>31</v>
      </c>
      <c r="S1642" t="str" cm="1">
        <f t="array" ref="S1642">_xlfn.IFS(R1642="COMPLETE", "COMPLETED", R1642="CANCELED", "CANCELED", TRUE, "PENDING")</f>
        <v>COMPLETED</v>
      </c>
      <c r="T1642" t="s">
        <v>16</v>
      </c>
      <c r="U1642">
        <f>VLOOKUP(A1642,ordered_items!$B:$E,4,0)</f>
        <v>59.08</v>
      </c>
    </row>
    <row r="1643" spans="1:21" x14ac:dyDescent="0.3">
      <c r="A1643">
        <v>74195</v>
      </c>
      <c r="B1643" t="s">
        <v>3</v>
      </c>
      <c r="C1643">
        <v>6</v>
      </c>
      <c r="D1643">
        <v>4</v>
      </c>
      <c r="E1643" t="str">
        <f t="shared" si="75"/>
        <v>DELAYED</v>
      </c>
      <c r="F1643">
        <f>VLOOKUP($A1643,ordered_items!$B$2:$E$4784,2,0)</f>
        <v>1347</v>
      </c>
      <c r="G1643">
        <f>VLOOKUP($A1643,ordered_items!$B$2:$E$4784,3,0)</f>
        <v>1</v>
      </c>
      <c r="H1643">
        <f>VLOOKUP($A1643,ordered_items!$B$2:$E$4784,4,0)</f>
        <v>59.08</v>
      </c>
      <c r="I1643" s="15">
        <f>VLOOKUP(F1643,product_info!$A$2:$D$73,4,0)</f>
        <v>4</v>
      </c>
      <c r="J1643" s="15" t="str">
        <f>VLOOKUP(I1643,department!$A$2:$B$13,2,0)</f>
        <v>Apparel</v>
      </c>
      <c r="K1643">
        <v>17748</v>
      </c>
      <c r="L1643" t="s">
        <v>275</v>
      </c>
      <c r="M1643" s="4">
        <v>44183</v>
      </c>
      <c r="N1643" s="12">
        <f t="shared" si="76"/>
        <v>12</v>
      </c>
      <c r="O1643" s="13">
        <f t="shared" si="77"/>
        <v>2020</v>
      </c>
      <c r="P1643" t="s">
        <v>13</v>
      </c>
      <c r="Q1643" t="s">
        <v>80</v>
      </c>
      <c r="R1643" t="s">
        <v>14</v>
      </c>
      <c r="S1643" t="str" cm="1">
        <f t="array" ref="S1643">_xlfn.IFS(R1643="COMPLETE", "COMPLETED", R1643="CANCELED", "CANCELED", TRUE, "PENDING")</f>
        <v>PENDING</v>
      </c>
      <c r="T1643" t="s">
        <v>16</v>
      </c>
      <c r="U1643">
        <f>VLOOKUP(A1643,ordered_items!$B:$E,4,0)</f>
        <v>59.08</v>
      </c>
    </row>
    <row r="1644" spans="1:21" x14ac:dyDescent="0.3">
      <c r="A1644">
        <v>74196</v>
      </c>
      <c r="B1644" t="s">
        <v>51</v>
      </c>
      <c r="C1644">
        <v>2</v>
      </c>
      <c r="D1644">
        <v>4</v>
      </c>
      <c r="E1644" t="str">
        <f t="shared" si="75"/>
        <v xml:space="preserve"> ONTIME</v>
      </c>
      <c r="F1644">
        <f>VLOOKUP($A1644,ordered_items!$B$2:$E$4784,2,0)</f>
        <v>1347</v>
      </c>
      <c r="G1644">
        <f>VLOOKUP($A1644,ordered_items!$B$2:$E$4784,3,0)</f>
        <v>1</v>
      </c>
      <c r="H1644">
        <f>VLOOKUP($A1644,ordered_items!$B$2:$E$4784,4,0)</f>
        <v>59.08</v>
      </c>
      <c r="I1644" s="15">
        <f>VLOOKUP(F1644,product_info!$A$2:$D$73,4,0)</f>
        <v>4</v>
      </c>
      <c r="J1644" s="15" t="str">
        <f>VLOOKUP(I1644,department!$A$2:$B$13,2,0)</f>
        <v>Apparel</v>
      </c>
      <c r="K1644">
        <v>17749</v>
      </c>
      <c r="L1644" t="s">
        <v>275</v>
      </c>
      <c r="M1644" s="4">
        <v>44183</v>
      </c>
      <c r="N1644" s="12">
        <f t="shared" si="76"/>
        <v>12</v>
      </c>
      <c r="O1644" s="13">
        <f t="shared" si="77"/>
        <v>2020</v>
      </c>
      <c r="P1644" t="s">
        <v>13</v>
      </c>
      <c r="Q1644" t="s">
        <v>80</v>
      </c>
      <c r="R1644" t="s">
        <v>57</v>
      </c>
      <c r="S1644" t="str" cm="1">
        <f t="array" ref="S1644">_xlfn.IFS(R1644="COMPLETE", "COMPLETED", R1644="CANCELED", "CANCELED", TRUE, "PENDING")</f>
        <v>PENDING</v>
      </c>
      <c r="T1644" t="s">
        <v>16</v>
      </c>
      <c r="U1644">
        <f>VLOOKUP(A1644,ordered_items!$B:$E,4,0)</f>
        <v>59.08</v>
      </c>
    </row>
    <row r="1645" spans="1:21" x14ac:dyDescent="0.3">
      <c r="A1645">
        <v>74197</v>
      </c>
      <c r="B1645" t="s">
        <v>51</v>
      </c>
      <c r="C1645">
        <v>3</v>
      </c>
      <c r="D1645">
        <v>4</v>
      </c>
      <c r="E1645" t="str">
        <f t="shared" si="75"/>
        <v xml:space="preserve"> ONTIME</v>
      </c>
      <c r="F1645">
        <f>VLOOKUP($A1645,ordered_items!$B$2:$E$4784,2,0)</f>
        <v>1348</v>
      </c>
      <c r="G1645">
        <f>VLOOKUP($A1645,ordered_items!$B$2:$E$4784,3,0)</f>
        <v>1</v>
      </c>
      <c r="H1645">
        <f>VLOOKUP($A1645,ordered_items!$B$2:$E$4784,4,0)</f>
        <v>11.29</v>
      </c>
      <c r="I1645" s="15">
        <f>VLOOKUP(F1645,product_info!$A$2:$D$73,4,0)</f>
        <v>9</v>
      </c>
      <c r="J1645" s="15" t="str">
        <f>VLOOKUP(I1645,department!$A$2:$B$13,2,0)</f>
        <v>Discs Shop</v>
      </c>
      <c r="K1645">
        <v>17750</v>
      </c>
      <c r="L1645" t="s">
        <v>275</v>
      </c>
      <c r="M1645" s="4">
        <v>44183</v>
      </c>
      <c r="N1645" s="12">
        <f t="shared" si="76"/>
        <v>12</v>
      </c>
      <c r="O1645" s="13">
        <f t="shared" si="77"/>
        <v>2020</v>
      </c>
      <c r="P1645" t="s">
        <v>13</v>
      </c>
      <c r="Q1645" t="s">
        <v>80</v>
      </c>
      <c r="R1645" t="s">
        <v>57</v>
      </c>
      <c r="S1645" t="str" cm="1">
        <f t="array" ref="S1645">_xlfn.IFS(R1645="COMPLETE", "COMPLETED", R1645="CANCELED", "CANCELED", TRUE, "PENDING")</f>
        <v>PENDING</v>
      </c>
      <c r="T1645" t="s">
        <v>16</v>
      </c>
      <c r="U1645">
        <f>VLOOKUP(A1645,ordered_items!$B:$E,4,0)</f>
        <v>11.29</v>
      </c>
    </row>
    <row r="1646" spans="1:21" x14ac:dyDescent="0.3">
      <c r="A1646">
        <v>74211</v>
      </c>
      <c r="B1646" t="s">
        <v>24</v>
      </c>
      <c r="C1646">
        <v>2</v>
      </c>
      <c r="D1646">
        <v>4</v>
      </c>
      <c r="E1646" t="str">
        <f t="shared" si="75"/>
        <v xml:space="preserve"> ONTIME</v>
      </c>
      <c r="F1646">
        <f>VLOOKUP($A1646,ordered_items!$B$2:$E$4784,2,0)</f>
        <v>1348</v>
      </c>
      <c r="G1646">
        <f>VLOOKUP($A1646,ordered_items!$B$2:$E$4784,3,0)</f>
        <v>1</v>
      </c>
      <c r="H1646">
        <f>VLOOKUP($A1646,ordered_items!$B$2:$E$4784,4,0)</f>
        <v>11.29</v>
      </c>
      <c r="I1646" s="15">
        <f>VLOOKUP(F1646,product_info!$A$2:$D$73,4,0)</f>
        <v>9</v>
      </c>
      <c r="J1646" s="15" t="str">
        <f>VLOOKUP(I1646,department!$A$2:$B$13,2,0)</f>
        <v>Discs Shop</v>
      </c>
      <c r="K1646">
        <v>17764</v>
      </c>
      <c r="L1646" t="s">
        <v>1078</v>
      </c>
      <c r="M1646" s="4">
        <v>44183</v>
      </c>
      <c r="N1646" s="12">
        <f t="shared" si="76"/>
        <v>12</v>
      </c>
      <c r="O1646" s="13">
        <f t="shared" si="77"/>
        <v>2020</v>
      </c>
      <c r="P1646" t="s">
        <v>13</v>
      </c>
      <c r="Q1646" t="s">
        <v>5780</v>
      </c>
      <c r="R1646" t="s">
        <v>31</v>
      </c>
      <c r="S1646" t="str" cm="1">
        <f t="array" ref="S1646">_xlfn.IFS(R1646="COMPLETE", "COMPLETED", R1646="CANCELED", "CANCELED", TRUE, "PENDING")</f>
        <v>COMPLETED</v>
      </c>
      <c r="T1646" t="s">
        <v>16</v>
      </c>
      <c r="U1646">
        <f>VLOOKUP(A1646,ordered_items!$B:$E,4,0)</f>
        <v>11.29</v>
      </c>
    </row>
    <row r="1647" spans="1:21" x14ac:dyDescent="0.3">
      <c r="A1647">
        <v>74212</v>
      </c>
      <c r="B1647" t="s">
        <v>3</v>
      </c>
      <c r="C1647">
        <v>3</v>
      </c>
      <c r="D1647">
        <v>4</v>
      </c>
      <c r="E1647" t="str">
        <f t="shared" si="75"/>
        <v xml:space="preserve"> ONTIME</v>
      </c>
      <c r="F1647">
        <f>VLOOKUP($A1647,ordered_items!$B$2:$E$4784,2,0)</f>
        <v>1348</v>
      </c>
      <c r="G1647">
        <f>VLOOKUP($A1647,ordered_items!$B$2:$E$4784,3,0)</f>
        <v>1</v>
      </c>
      <c r="H1647">
        <f>VLOOKUP($A1647,ordered_items!$B$2:$E$4784,4,0)</f>
        <v>11.29</v>
      </c>
      <c r="I1647" s="15">
        <f>VLOOKUP(F1647,product_info!$A$2:$D$73,4,0)</f>
        <v>9</v>
      </c>
      <c r="J1647" s="15" t="str">
        <f>VLOOKUP(I1647,department!$A$2:$B$13,2,0)</f>
        <v>Discs Shop</v>
      </c>
      <c r="K1647">
        <v>17765</v>
      </c>
      <c r="L1647" t="s">
        <v>1078</v>
      </c>
      <c r="M1647" s="4">
        <v>44183</v>
      </c>
      <c r="N1647" s="12">
        <f t="shared" si="76"/>
        <v>12</v>
      </c>
      <c r="O1647" s="13">
        <f t="shared" si="77"/>
        <v>2020</v>
      </c>
      <c r="P1647" t="s">
        <v>13</v>
      </c>
      <c r="Q1647" t="s">
        <v>5780</v>
      </c>
      <c r="R1647" t="s">
        <v>38</v>
      </c>
      <c r="S1647" t="str" cm="1">
        <f t="array" ref="S1647">_xlfn.IFS(R1647="COMPLETE", "COMPLETED", R1647="CANCELED", "CANCELED", TRUE, "PENDING")</f>
        <v>PENDING</v>
      </c>
      <c r="T1647" t="s">
        <v>16</v>
      </c>
      <c r="U1647">
        <f>VLOOKUP(A1647,ordered_items!$B:$E,4,0)</f>
        <v>11.29</v>
      </c>
    </row>
    <row r="1648" spans="1:21" x14ac:dyDescent="0.3">
      <c r="A1648">
        <v>74224</v>
      </c>
      <c r="B1648" t="s">
        <v>24</v>
      </c>
      <c r="C1648">
        <v>0</v>
      </c>
      <c r="D1648">
        <v>0</v>
      </c>
      <c r="E1648" t="str">
        <f t="shared" si="75"/>
        <v xml:space="preserve"> ONTIME</v>
      </c>
      <c r="F1648">
        <f>VLOOKUP($A1648,ordered_items!$B$2:$E$4784,2,0)</f>
        <v>1348</v>
      </c>
      <c r="G1648">
        <f>VLOOKUP($A1648,ordered_items!$B$2:$E$4784,3,0)</f>
        <v>1</v>
      </c>
      <c r="H1648">
        <f>VLOOKUP($A1648,ordered_items!$B$2:$E$4784,4,0)</f>
        <v>11.29</v>
      </c>
      <c r="I1648" s="15">
        <f>VLOOKUP(F1648,product_info!$A$2:$D$73,4,0)</f>
        <v>9</v>
      </c>
      <c r="J1648" s="15" t="str">
        <f>VLOOKUP(I1648,department!$A$2:$B$13,2,0)</f>
        <v>Discs Shop</v>
      </c>
      <c r="K1648">
        <v>17777</v>
      </c>
      <c r="L1648" t="s">
        <v>894</v>
      </c>
      <c r="M1648" s="4">
        <v>44183</v>
      </c>
      <c r="N1648" s="12">
        <f t="shared" si="76"/>
        <v>12</v>
      </c>
      <c r="O1648" s="13">
        <f t="shared" si="77"/>
        <v>2020</v>
      </c>
      <c r="P1648" t="s">
        <v>13</v>
      </c>
      <c r="Q1648" t="s">
        <v>894</v>
      </c>
      <c r="R1648" t="s">
        <v>31</v>
      </c>
      <c r="S1648" t="str" cm="1">
        <f t="array" ref="S1648">_xlfn.IFS(R1648="COMPLETE", "COMPLETED", R1648="CANCELED", "CANCELED", TRUE, "PENDING")</f>
        <v>COMPLETED</v>
      </c>
      <c r="T1648" t="s">
        <v>58</v>
      </c>
      <c r="U1648">
        <f>VLOOKUP(A1648,ordered_items!$B:$E,4,0)</f>
        <v>11.29</v>
      </c>
    </row>
    <row r="1649" spans="1:21" x14ac:dyDescent="0.3">
      <c r="A1649">
        <v>74225</v>
      </c>
      <c r="B1649" t="s">
        <v>17</v>
      </c>
      <c r="C1649">
        <v>2</v>
      </c>
      <c r="D1649">
        <v>1</v>
      </c>
      <c r="E1649" t="str">
        <f t="shared" si="75"/>
        <v>DELAYED</v>
      </c>
      <c r="F1649">
        <f>VLOOKUP($A1649,ordered_items!$B$2:$E$4784,2,0)</f>
        <v>1348</v>
      </c>
      <c r="G1649">
        <f>VLOOKUP($A1649,ordered_items!$B$2:$E$4784,3,0)</f>
        <v>1</v>
      </c>
      <c r="H1649">
        <f>VLOOKUP($A1649,ordered_items!$B$2:$E$4784,4,0)</f>
        <v>11.29</v>
      </c>
      <c r="I1649" s="15">
        <f>VLOOKUP(F1649,product_info!$A$2:$D$73,4,0)</f>
        <v>9</v>
      </c>
      <c r="J1649" s="15" t="str">
        <f>VLOOKUP(I1649,department!$A$2:$B$13,2,0)</f>
        <v>Discs Shop</v>
      </c>
      <c r="K1649">
        <v>17778</v>
      </c>
      <c r="L1649" t="s">
        <v>894</v>
      </c>
      <c r="M1649" s="4">
        <v>44183</v>
      </c>
      <c r="N1649" s="12">
        <f t="shared" si="76"/>
        <v>12</v>
      </c>
      <c r="O1649" s="13">
        <f t="shared" si="77"/>
        <v>2020</v>
      </c>
      <c r="P1649" t="s">
        <v>13</v>
      </c>
      <c r="Q1649" t="s">
        <v>894</v>
      </c>
      <c r="R1649" t="s">
        <v>23</v>
      </c>
      <c r="S1649" t="str" cm="1">
        <f t="array" ref="S1649">_xlfn.IFS(R1649="COMPLETE", "COMPLETED", R1649="CANCELED", "CANCELED", TRUE, "PENDING")</f>
        <v>PENDING</v>
      </c>
      <c r="T1649" t="s">
        <v>32</v>
      </c>
      <c r="U1649">
        <f>VLOOKUP(A1649,ordered_items!$B:$E,4,0)</f>
        <v>11.29</v>
      </c>
    </row>
    <row r="1650" spans="1:21" x14ac:dyDescent="0.3">
      <c r="A1650">
        <v>74227</v>
      </c>
      <c r="B1650" t="s">
        <v>17</v>
      </c>
      <c r="C1650">
        <v>3</v>
      </c>
      <c r="D1650">
        <v>4</v>
      </c>
      <c r="E1650" t="str">
        <f t="shared" si="75"/>
        <v xml:space="preserve"> ONTIME</v>
      </c>
      <c r="F1650">
        <f>VLOOKUP($A1650,ordered_items!$B$2:$E$4784,2,0)</f>
        <v>1348</v>
      </c>
      <c r="G1650">
        <f>VLOOKUP($A1650,ordered_items!$B$2:$E$4784,3,0)</f>
        <v>1</v>
      </c>
      <c r="H1650">
        <f>VLOOKUP($A1650,ordered_items!$B$2:$E$4784,4,0)</f>
        <v>11.29</v>
      </c>
      <c r="I1650" s="15">
        <f>VLOOKUP(F1650,product_info!$A$2:$D$73,4,0)</f>
        <v>9</v>
      </c>
      <c r="J1650" s="15" t="str">
        <f>VLOOKUP(I1650,department!$A$2:$B$13,2,0)</f>
        <v>Discs Shop</v>
      </c>
      <c r="K1650">
        <v>17780</v>
      </c>
      <c r="L1650" t="s">
        <v>1499</v>
      </c>
      <c r="M1650" s="4">
        <v>44183</v>
      </c>
      <c r="N1650" s="12">
        <f t="shared" si="76"/>
        <v>12</v>
      </c>
      <c r="O1650" s="13">
        <f t="shared" si="77"/>
        <v>2020</v>
      </c>
      <c r="P1650" t="s">
        <v>13</v>
      </c>
      <c r="Q1650" t="s">
        <v>538</v>
      </c>
      <c r="R1650" t="s">
        <v>23</v>
      </c>
      <c r="S1650" t="str" cm="1">
        <f t="array" ref="S1650">_xlfn.IFS(R1650="COMPLETE", "COMPLETED", R1650="CANCELED", "CANCELED", TRUE, "PENDING")</f>
        <v>PENDING</v>
      </c>
      <c r="T1650" t="s">
        <v>16</v>
      </c>
      <c r="U1650">
        <f>VLOOKUP(A1650,ordered_items!$B:$E,4,0)</f>
        <v>11.29</v>
      </c>
    </row>
    <row r="1651" spans="1:21" x14ac:dyDescent="0.3">
      <c r="A1651">
        <v>74234</v>
      </c>
      <c r="B1651" t="s">
        <v>24</v>
      </c>
      <c r="C1651">
        <v>5</v>
      </c>
      <c r="D1651">
        <v>2</v>
      </c>
      <c r="E1651" t="str">
        <f t="shared" si="75"/>
        <v>DELAYED</v>
      </c>
      <c r="F1651">
        <f>VLOOKUP($A1651,ordered_items!$B$2:$E$4784,2,0)</f>
        <v>1348</v>
      </c>
      <c r="G1651">
        <f>VLOOKUP($A1651,ordered_items!$B$2:$E$4784,3,0)</f>
        <v>1</v>
      </c>
      <c r="H1651">
        <f>VLOOKUP($A1651,ordered_items!$B$2:$E$4784,4,0)</f>
        <v>11.29</v>
      </c>
      <c r="I1651" s="15">
        <f>VLOOKUP(F1651,product_info!$A$2:$D$73,4,0)</f>
        <v>9</v>
      </c>
      <c r="J1651" s="15" t="str">
        <f>VLOOKUP(I1651,department!$A$2:$B$13,2,0)</f>
        <v>Discs Shop</v>
      </c>
      <c r="K1651">
        <v>17787</v>
      </c>
      <c r="L1651" t="s">
        <v>258</v>
      </c>
      <c r="M1651" s="4">
        <v>44183</v>
      </c>
      <c r="N1651" s="12">
        <f t="shared" si="76"/>
        <v>12</v>
      </c>
      <c r="O1651" s="13">
        <f t="shared" si="77"/>
        <v>2020</v>
      </c>
      <c r="P1651" t="s">
        <v>13</v>
      </c>
      <c r="Q1651" t="s">
        <v>30</v>
      </c>
      <c r="R1651" t="s">
        <v>31</v>
      </c>
      <c r="S1651" t="str" cm="1">
        <f t="array" ref="S1651">_xlfn.IFS(R1651="COMPLETE", "COMPLETED", R1651="CANCELED", "CANCELED", TRUE, "PENDING")</f>
        <v>COMPLETED</v>
      </c>
      <c r="T1651" t="s">
        <v>90</v>
      </c>
      <c r="U1651">
        <f>VLOOKUP(A1651,ordered_items!$B:$E,4,0)</f>
        <v>11.29</v>
      </c>
    </row>
    <row r="1652" spans="1:21" x14ac:dyDescent="0.3">
      <c r="A1652">
        <v>74235</v>
      </c>
      <c r="B1652" t="s">
        <v>51</v>
      </c>
      <c r="C1652">
        <v>6</v>
      </c>
      <c r="D1652">
        <v>2</v>
      </c>
      <c r="E1652" t="str">
        <f t="shared" si="75"/>
        <v>DELAYED</v>
      </c>
      <c r="F1652">
        <f>VLOOKUP($A1652,ordered_items!$B$2:$E$4784,2,0)</f>
        <v>1348</v>
      </c>
      <c r="G1652">
        <f>VLOOKUP($A1652,ordered_items!$B$2:$E$4784,3,0)</f>
        <v>1</v>
      </c>
      <c r="H1652">
        <f>VLOOKUP($A1652,ordered_items!$B$2:$E$4784,4,0)</f>
        <v>11.29</v>
      </c>
      <c r="I1652" s="15">
        <f>VLOOKUP(F1652,product_info!$A$2:$D$73,4,0)</f>
        <v>9</v>
      </c>
      <c r="J1652" s="15" t="str">
        <f>VLOOKUP(I1652,department!$A$2:$B$13,2,0)</f>
        <v>Discs Shop</v>
      </c>
      <c r="K1652">
        <v>17788</v>
      </c>
      <c r="L1652" t="s">
        <v>258</v>
      </c>
      <c r="M1652" s="4">
        <v>44183</v>
      </c>
      <c r="N1652" s="12">
        <f t="shared" si="76"/>
        <v>12</v>
      </c>
      <c r="O1652" s="13">
        <f t="shared" si="77"/>
        <v>2020</v>
      </c>
      <c r="P1652" t="s">
        <v>13</v>
      </c>
      <c r="Q1652" t="s">
        <v>30</v>
      </c>
      <c r="R1652" t="s">
        <v>57</v>
      </c>
      <c r="S1652" t="str" cm="1">
        <f t="array" ref="S1652">_xlfn.IFS(R1652="COMPLETE", "COMPLETED", R1652="CANCELED", "CANCELED", TRUE, "PENDING")</f>
        <v>PENDING</v>
      </c>
      <c r="T1652" t="s">
        <v>90</v>
      </c>
      <c r="U1652">
        <f>VLOOKUP(A1652,ordered_items!$B:$E,4,0)</f>
        <v>11.29</v>
      </c>
    </row>
    <row r="1653" spans="1:21" x14ac:dyDescent="0.3">
      <c r="A1653">
        <v>74254</v>
      </c>
      <c r="B1653" t="s">
        <v>24</v>
      </c>
      <c r="C1653">
        <v>5</v>
      </c>
      <c r="D1653">
        <v>4</v>
      </c>
      <c r="E1653" t="str">
        <f t="shared" si="75"/>
        <v>DELAYED</v>
      </c>
      <c r="F1653">
        <f>VLOOKUP($A1653,ordered_items!$B$2:$E$4784,2,0)</f>
        <v>1348</v>
      </c>
      <c r="G1653">
        <f>VLOOKUP($A1653,ordered_items!$B$2:$E$4784,3,0)</f>
        <v>1</v>
      </c>
      <c r="H1653">
        <f>VLOOKUP($A1653,ordered_items!$B$2:$E$4784,4,0)</f>
        <v>11.29</v>
      </c>
      <c r="I1653" s="15">
        <f>VLOOKUP(F1653,product_info!$A$2:$D$73,4,0)</f>
        <v>9</v>
      </c>
      <c r="J1653" s="15" t="str">
        <f>VLOOKUP(I1653,department!$A$2:$B$13,2,0)</f>
        <v>Discs Shop</v>
      </c>
      <c r="K1653">
        <v>17807</v>
      </c>
      <c r="L1653" t="s">
        <v>119</v>
      </c>
      <c r="M1653" s="4">
        <v>44183</v>
      </c>
      <c r="N1653" s="12">
        <f t="shared" si="76"/>
        <v>12</v>
      </c>
      <c r="O1653" s="13">
        <f t="shared" si="77"/>
        <v>2020</v>
      </c>
      <c r="P1653" t="s">
        <v>13</v>
      </c>
      <c r="Q1653" t="s">
        <v>5781</v>
      </c>
      <c r="R1653" t="s">
        <v>31</v>
      </c>
      <c r="S1653" t="str" cm="1">
        <f t="array" ref="S1653">_xlfn.IFS(R1653="COMPLETE", "COMPLETED", R1653="CANCELED", "CANCELED", TRUE, "PENDING")</f>
        <v>COMPLETED</v>
      </c>
      <c r="T1653" t="s">
        <v>16</v>
      </c>
      <c r="U1653">
        <f>VLOOKUP(A1653,ordered_items!$B:$E,4,0)</f>
        <v>11.29</v>
      </c>
    </row>
    <row r="1654" spans="1:21" x14ac:dyDescent="0.3">
      <c r="A1654">
        <v>74255</v>
      </c>
      <c r="B1654" t="s">
        <v>24</v>
      </c>
      <c r="C1654">
        <v>6</v>
      </c>
      <c r="D1654">
        <v>4</v>
      </c>
      <c r="E1654" t="str">
        <f t="shared" si="75"/>
        <v>DELAYED</v>
      </c>
      <c r="F1654">
        <f>VLOOKUP($A1654,ordered_items!$B$2:$E$4784,2,0)</f>
        <v>1348</v>
      </c>
      <c r="G1654">
        <f>VLOOKUP($A1654,ordered_items!$B$2:$E$4784,3,0)</f>
        <v>1</v>
      </c>
      <c r="H1654">
        <f>VLOOKUP($A1654,ordered_items!$B$2:$E$4784,4,0)</f>
        <v>11.29</v>
      </c>
      <c r="I1654" s="15">
        <f>VLOOKUP(F1654,product_info!$A$2:$D$73,4,0)</f>
        <v>9</v>
      </c>
      <c r="J1654" s="15" t="str">
        <f>VLOOKUP(I1654,department!$A$2:$B$13,2,0)</f>
        <v>Discs Shop</v>
      </c>
      <c r="K1654">
        <v>17808</v>
      </c>
      <c r="L1654" t="s">
        <v>119</v>
      </c>
      <c r="M1654" s="4">
        <v>44183</v>
      </c>
      <c r="N1654" s="12">
        <f t="shared" si="76"/>
        <v>12</v>
      </c>
      <c r="O1654" s="13">
        <f t="shared" si="77"/>
        <v>2020</v>
      </c>
      <c r="P1654" t="s">
        <v>13</v>
      </c>
      <c r="Q1654" t="s">
        <v>5781</v>
      </c>
      <c r="R1654" t="s">
        <v>31</v>
      </c>
      <c r="S1654" t="str" cm="1">
        <f t="array" ref="S1654">_xlfn.IFS(R1654="COMPLETE", "COMPLETED", R1654="CANCELED", "CANCELED", TRUE, "PENDING")</f>
        <v>COMPLETED</v>
      </c>
      <c r="T1654" t="s">
        <v>16</v>
      </c>
      <c r="U1654">
        <f>VLOOKUP(A1654,ordered_items!$B:$E,4,0)</f>
        <v>11.29</v>
      </c>
    </row>
    <row r="1655" spans="1:21" x14ac:dyDescent="0.3">
      <c r="A1655">
        <v>74260</v>
      </c>
      <c r="B1655" t="s">
        <v>24</v>
      </c>
      <c r="C1655">
        <v>6</v>
      </c>
      <c r="D1655">
        <v>4</v>
      </c>
      <c r="E1655" t="str">
        <f t="shared" si="75"/>
        <v>DELAYED</v>
      </c>
      <c r="F1655">
        <f>VLOOKUP($A1655,ordered_items!$B$2:$E$4784,2,0)</f>
        <v>1348</v>
      </c>
      <c r="G1655">
        <f>VLOOKUP($A1655,ordered_items!$B$2:$E$4784,3,0)</f>
        <v>1</v>
      </c>
      <c r="H1655">
        <f>VLOOKUP($A1655,ordered_items!$B$2:$E$4784,4,0)</f>
        <v>11.29</v>
      </c>
      <c r="I1655" s="15">
        <f>VLOOKUP(F1655,product_info!$A$2:$D$73,4,0)</f>
        <v>9</v>
      </c>
      <c r="J1655" s="15" t="str">
        <f>VLOOKUP(I1655,department!$A$2:$B$13,2,0)</f>
        <v>Discs Shop</v>
      </c>
      <c r="K1655">
        <v>17813</v>
      </c>
      <c r="L1655" t="s">
        <v>743</v>
      </c>
      <c r="M1655" s="4">
        <v>44184</v>
      </c>
      <c r="N1655" s="12">
        <f t="shared" si="76"/>
        <v>12</v>
      </c>
      <c r="O1655" s="13">
        <f t="shared" si="77"/>
        <v>2020</v>
      </c>
      <c r="P1655" t="s">
        <v>13</v>
      </c>
      <c r="Q1655" t="s">
        <v>5780</v>
      </c>
      <c r="R1655" t="s">
        <v>378</v>
      </c>
      <c r="S1655" t="str" cm="1">
        <f t="array" ref="S1655">_xlfn.IFS(R1655="COMPLETE", "COMPLETED", R1655="CANCELED", "CANCELED", TRUE, "PENDING")</f>
        <v>PENDING</v>
      </c>
      <c r="T1655" t="s">
        <v>16</v>
      </c>
      <c r="U1655">
        <f>VLOOKUP(A1655,ordered_items!$B:$E,4,0)</f>
        <v>11.29</v>
      </c>
    </row>
    <row r="1656" spans="1:21" x14ac:dyDescent="0.3">
      <c r="A1656">
        <v>74268</v>
      </c>
      <c r="B1656" t="s">
        <v>51</v>
      </c>
      <c r="C1656">
        <v>4</v>
      </c>
      <c r="D1656">
        <v>4</v>
      </c>
      <c r="E1656" t="str">
        <f t="shared" si="75"/>
        <v xml:space="preserve"> ONTIME</v>
      </c>
      <c r="F1656">
        <f>VLOOKUP($A1656,ordered_items!$B$2:$E$4784,2,0)</f>
        <v>1348</v>
      </c>
      <c r="G1656">
        <f>VLOOKUP($A1656,ordered_items!$B$2:$E$4784,3,0)</f>
        <v>1</v>
      </c>
      <c r="H1656">
        <f>VLOOKUP($A1656,ordered_items!$B$2:$E$4784,4,0)</f>
        <v>11.29</v>
      </c>
      <c r="I1656" s="15">
        <f>VLOOKUP(F1656,product_info!$A$2:$D$73,4,0)</f>
        <v>9</v>
      </c>
      <c r="J1656" s="15" t="str">
        <f>VLOOKUP(I1656,department!$A$2:$B$13,2,0)</f>
        <v>Discs Shop</v>
      </c>
      <c r="K1656">
        <v>17821</v>
      </c>
      <c r="L1656" t="s">
        <v>713</v>
      </c>
      <c r="M1656" s="4">
        <v>44184</v>
      </c>
      <c r="N1656" s="12">
        <f t="shared" si="76"/>
        <v>12</v>
      </c>
      <c r="O1656" s="13">
        <f t="shared" si="77"/>
        <v>2020</v>
      </c>
      <c r="P1656" t="s">
        <v>13</v>
      </c>
      <c r="Q1656" t="s">
        <v>99</v>
      </c>
      <c r="R1656" t="s">
        <v>57</v>
      </c>
      <c r="S1656" t="str" cm="1">
        <f t="array" ref="S1656">_xlfn.IFS(R1656="COMPLETE", "COMPLETED", R1656="CANCELED", "CANCELED", TRUE, "PENDING")</f>
        <v>PENDING</v>
      </c>
      <c r="T1656" t="s">
        <v>16</v>
      </c>
      <c r="U1656">
        <f>VLOOKUP(A1656,ordered_items!$B:$E,4,0)</f>
        <v>11.29</v>
      </c>
    </row>
    <row r="1657" spans="1:21" x14ac:dyDescent="0.3">
      <c r="A1657">
        <v>74288</v>
      </c>
      <c r="B1657" t="s">
        <v>3</v>
      </c>
      <c r="C1657">
        <v>4</v>
      </c>
      <c r="D1657">
        <v>4</v>
      </c>
      <c r="E1657" t="str">
        <f t="shared" si="75"/>
        <v xml:space="preserve"> ONTIME</v>
      </c>
      <c r="F1657">
        <f>VLOOKUP($A1657,ordered_items!$B$2:$E$4784,2,0)</f>
        <v>1348</v>
      </c>
      <c r="G1657">
        <f>VLOOKUP($A1657,ordered_items!$B$2:$E$4784,3,0)</f>
        <v>1</v>
      </c>
      <c r="H1657">
        <f>VLOOKUP($A1657,ordered_items!$B$2:$E$4784,4,0)</f>
        <v>11.29</v>
      </c>
      <c r="I1657" s="15">
        <f>VLOOKUP(F1657,product_info!$A$2:$D$73,4,0)</f>
        <v>9</v>
      </c>
      <c r="J1657" s="15" t="str">
        <f>VLOOKUP(I1657,department!$A$2:$B$13,2,0)</f>
        <v>Discs Shop</v>
      </c>
      <c r="K1657">
        <v>17841</v>
      </c>
      <c r="L1657" t="s">
        <v>525</v>
      </c>
      <c r="M1657" s="4">
        <v>44184</v>
      </c>
      <c r="N1657" s="12">
        <f t="shared" si="76"/>
        <v>12</v>
      </c>
      <c r="O1657" s="13">
        <f t="shared" si="77"/>
        <v>2020</v>
      </c>
      <c r="P1657" t="s">
        <v>13</v>
      </c>
      <c r="Q1657" t="s">
        <v>5778</v>
      </c>
      <c r="R1657" t="s">
        <v>38</v>
      </c>
      <c r="S1657" t="str" cm="1">
        <f t="array" ref="S1657">_xlfn.IFS(R1657="COMPLETE", "COMPLETED", R1657="CANCELED", "CANCELED", TRUE, "PENDING")</f>
        <v>PENDING</v>
      </c>
      <c r="T1657" t="s">
        <v>16</v>
      </c>
      <c r="U1657">
        <f>VLOOKUP(A1657,ordered_items!$B:$E,4,0)</f>
        <v>11.29</v>
      </c>
    </row>
    <row r="1658" spans="1:21" x14ac:dyDescent="0.3">
      <c r="A1658">
        <v>74289</v>
      </c>
      <c r="B1658" t="s">
        <v>24</v>
      </c>
      <c r="C1658">
        <v>5</v>
      </c>
      <c r="D1658">
        <v>4</v>
      </c>
      <c r="E1658" t="str">
        <f t="shared" si="75"/>
        <v>DELAYED</v>
      </c>
      <c r="F1658">
        <f>VLOOKUP($A1658,ordered_items!$B$2:$E$4784,2,0)</f>
        <v>1348</v>
      </c>
      <c r="G1658">
        <f>VLOOKUP($A1658,ordered_items!$B$2:$E$4784,3,0)</f>
        <v>1</v>
      </c>
      <c r="H1658">
        <f>VLOOKUP($A1658,ordered_items!$B$2:$E$4784,4,0)</f>
        <v>11.29</v>
      </c>
      <c r="I1658" s="15">
        <f>VLOOKUP(F1658,product_info!$A$2:$D$73,4,0)</f>
        <v>9</v>
      </c>
      <c r="J1658" s="15" t="str">
        <f>VLOOKUP(I1658,department!$A$2:$B$13,2,0)</f>
        <v>Discs Shop</v>
      </c>
      <c r="K1658">
        <v>17842</v>
      </c>
      <c r="L1658" t="s">
        <v>525</v>
      </c>
      <c r="M1658" s="4">
        <v>44184</v>
      </c>
      <c r="N1658" s="12">
        <f t="shared" si="76"/>
        <v>12</v>
      </c>
      <c r="O1658" s="13">
        <f t="shared" si="77"/>
        <v>2020</v>
      </c>
      <c r="P1658" t="s">
        <v>13</v>
      </c>
      <c r="Q1658" t="s">
        <v>5778</v>
      </c>
      <c r="R1658" t="s">
        <v>31</v>
      </c>
      <c r="S1658" t="str" cm="1">
        <f t="array" ref="S1658">_xlfn.IFS(R1658="COMPLETE", "COMPLETED", R1658="CANCELED", "CANCELED", TRUE, "PENDING")</f>
        <v>COMPLETED</v>
      </c>
      <c r="T1658" t="s">
        <v>16</v>
      </c>
      <c r="U1658">
        <f>VLOOKUP(A1658,ordered_items!$B:$E,4,0)</f>
        <v>11.29</v>
      </c>
    </row>
    <row r="1659" spans="1:21" x14ac:dyDescent="0.3">
      <c r="A1659">
        <v>74290</v>
      </c>
      <c r="B1659" t="s">
        <v>3</v>
      </c>
      <c r="C1659">
        <v>2</v>
      </c>
      <c r="D1659">
        <v>1</v>
      </c>
      <c r="E1659" t="str">
        <f t="shared" si="75"/>
        <v>DELAYED</v>
      </c>
      <c r="F1659">
        <f>VLOOKUP($A1659,ordered_items!$B$2:$E$4784,2,0)</f>
        <v>1348</v>
      </c>
      <c r="G1659">
        <f>VLOOKUP($A1659,ordered_items!$B$2:$E$4784,3,0)</f>
        <v>1</v>
      </c>
      <c r="H1659">
        <f>VLOOKUP($A1659,ordered_items!$B$2:$E$4784,4,0)</f>
        <v>11.29</v>
      </c>
      <c r="I1659" s="15">
        <f>VLOOKUP(F1659,product_info!$A$2:$D$73,4,0)</f>
        <v>9</v>
      </c>
      <c r="J1659" s="15" t="str">
        <f>VLOOKUP(I1659,department!$A$2:$B$13,2,0)</f>
        <v>Discs Shop</v>
      </c>
      <c r="K1659">
        <v>17843</v>
      </c>
      <c r="L1659" t="s">
        <v>525</v>
      </c>
      <c r="M1659" s="4">
        <v>44184</v>
      </c>
      <c r="N1659" s="12">
        <f t="shared" si="76"/>
        <v>12</v>
      </c>
      <c r="O1659" s="13">
        <f t="shared" si="77"/>
        <v>2020</v>
      </c>
      <c r="P1659" t="s">
        <v>13</v>
      </c>
      <c r="Q1659" t="s">
        <v>5778</v>
      </c>
      <c r="R1659" t="s">
        <v>38</v>
      </c>
      <c r="S1659" t="str" cm="1">
        <f t="array" ref="S1659">_xlfn.IFS(R1659="COMPLETE", "COMPLETED", R1659="CANCELED", "CANCELED", TRUE, "PENDING")</f>
        <v>PENDING</v>
      </c>
      <c r="T1659" t="s">
        <v>32</v>
      </c>
      <c r="U1659">
        <f>VLOOKUP(A1659,ordered_items!$B:$E,4,0)</f>
        <v>11.29</v>
      </c>
    </row>
    <row r="1660" spans="1:21" x14ac:dyDescent="0.3">
      <c r="A1660">
        <v>74329</v>
      </c>
      <c r="B1660" t="s">
        <v>3</v>
      </c>
      <c r="C1660">
        <v>2</v>
      </c>
      <c r="D1660">
        <v>1</v>
      </c>
      <c r="E1660" t="str">
        <f t="shared" si="75"/>
        <v>DELAYED</v>
      </c>
      <c r="F1660">
        <f>VLOOKUP($A1660,ordered_items!$B$2:$E$4784,2,0)</f>
        <v>1348</v>
      </c>
      <c r="G1660">
        <f>VLOOKUP($A1660,ordered_items!$B$2:$E$4784,3,0)</f>
        <v>1</v>
      </c>
      <c r="H1660">
        <f>VLOOKUP($A1660,ordered_items!$B$2:$E$4784,4,0)</f>
        <v>11.29</v>
      </c>
      <c r="I1660" s="15">
        <f>VLOOKUP(F1660,product_info!$A$2:$D$73,4,0)</f>
        <v>9</v>
      </c>
      <c r="J1660" s="15" t="str">
        <f>VLOOKUP(I1660,department!$A$2:$B$13,2,0)</f>
        <v>Discs Shop</v>
      </c>
      <c r="K1660">
        <v>17882</v>
      </c>
      <c r="L1660" t="s">
        <v>426</v>
      </c>
      <c r="M1660" s="4">
        <v>44185</v>
      </c>
      <c r="N1660" s="12">
        <f t="shared" si="76"/>
        <v>12</v>
      </c>
      <c r="O1660" s="13">
        <f t="shared" si="77"/>
        <v>2020</v>
      </c>
      <c r="P1660" t="s">
        <v>13</v>
      </c>
      <c r="Q1660" t="s">
        <v>245</v>
      </c>
      <c r="R1660" t="s">
        <v>38</v>
      </c>
      <c r="S1660" t="str" cm="1">
        <f t="array" ref="S1660">_xlfn.IFS(R1660="COMPLETE", "COMPLETED", R1660="CANCELED", "CANCELED", TRUE, "PENDING")</f>
        <v>PENDING</v>
      </c>
      <c r="T1660" t="s">
        <v>32</v>
      </c>
      <c r="U1660">
        <f>VLOOKUP(A1660,ordered_items!$B:$E,4,0)</f>
        <v>11.29</v>
      </c>
    </row>
    <row r="1661" spans="1:21" x14ac:dyDescent="0.3">
      <c r="A1661">
        <v>74330</v>
      </c>
      <c r="B1661" t="s">
        <v>24</v>
      </c>
      <c r="C1661">
        <v>2</v>
      </c>
      <c r="D1661">
        <v>1</v>
      </c>
      <c r="E1661" t="str">
        <f t="shared" si="75"/>
        <v>DELAYED</v>
      </c>
      <c r="F1661">
        <f>VLOOKUP($A1661,ordered_items!$B$2:$E$4784,2,0)</f>
        <v>1348</v>
      </c>
      <c r="G1661">
        <f>VLOOKUP($A1661,ordered_items!$B$2:$E$4784,3,0)</f>
        <v>1</v>
      </c>
      <c r="H1661">
        <f>VLOOKUP($A1661,ordered_items!$B$2:$E$4784,4,0)</f>
        <v>11.29</v>
      </c>
      <c r="I1661" s="15">
        <f>VLOOKUP(F1661,product_info!$A$2:$D$73,4,0)</f>
        <v>9</v>
      </c>
      <c r="J1661" s="15" t="str">
        <f>VLOOKUP(I1661,department!$A$2:$B$13,2,0)</f>
        <v>Discs Shop</v>
      </c>
      <c r="K1661">
        <v>17883</v>
      </c>
      <c r="L1661" t="s">
        <v>426</v>
      </c>
      <c r="M1661" s="4">
        <v>44185</v>
      </c>
      <c r="N1661" s="12">
        <f t="shared" si="76"/>
        <v>12</v>
      </c>
      <c r="O1661" s="13">
        <f t="shared" si="77"/>
        <v>2020</v>
      </c>
      <c r="P1661" t="s">
        <v>13</v>
      </c>
      <c r="Q1661" t="s">
        <v>245</v>
      </c>
      <c r="R1661" t="s">
        <v>31</v>
      </c>
      <c r="S1661" t="str" cm="1">
        <f t="array" ref="S1661">_xlfn.IFS(R1661="COMPLETE", "COMPLETED", R1661="CANCELED", "CANCELED", TRUE, "PENDING")</f>
        <v>COMPLETED</v>
      </c>
      <c r="T1661" t="s">
        <v>32</v>
      </c>
      <c r="U1661">
        <f>VLOOKUP(A1661,ordered_items!$B:$E,4,0)</f>
        <v>11.29</v>
      </c>
    </row>
    <row r="1662" spans="1:21" x14ac:dyDescent="0.3">
      <c r="A1662">
        <v>74331</v>
      </c>
      <c r="B1662" t="s">
        <v>17</v>
      </c>
      <c r="C1662">
        <v>2</v>
      </c>
      <c r="D1662">
        <v>1</v>
      </c>
      <c r="E1662" t="str">
        <f t="shared" si="75"/>
        <v>DELAYED</v>
      </c>
      <c r="F1662">
        <f>VLOOKUP($A1662,ordered_items!$B$2:$E$4784,2,0)</f>
        <v>1348</v>
      </c>
      <c r="G1662">
        <f>VLOOKUP($A1662,ordered_items!$B$2:$E$4784,3,0)</f>
        <v>1</v>
      </c>
      <c r="H1662">
        <f>VLOOKUP($A1662,ordered_items!$B$2:$E$4784,4,0)</f>
        <v>11.29</v>
      </c>
      <c r="I1662" s="15">
        <f>VLOOKUP(F1662,product_info!$A$2:$D$73,4,0)</f>
        <v>9</v>
      </c>
      <c r="J1662" s="15" t="str">
        <f>VLOOKUP(I1662,department!$A$2:$B$13,2,0)</f>
        <v>Discs Shop</v>
      </c>
      <c r="K1662">
        <v>17884</v>
      </c>
      <c r="L1662" t="s">
        <v>426</v>
      </c>
      <c r="M1662" s="4">
        <v>44185</v>
      </c>
      <c r="N1662" s="12">
        <f t="shared" si="76"/>
        <v>12</v>
      </c>
      <c r="O1662" s="13">
        <f t="shared" si="77"/>
        <v>2020</v>
      </c>
      <c r="P1662" t="s">
        <v>13</v>
      </c>
      <c r="Q1662" t="s">
        <v>245</v>
      </c>
      <c r="R1662" t="s">
        <v>23</v>
      </c>
      <c r="S1662" t="str" cm="1">
        <f t="array" ref="S1662">_xlfn.IFS(R1662="COMPLETE", "COMPLETED", R1662="CANCELED", "CANCELED", TRUE, "PENDING")</f>
        <v>PENDING</v>
      </c>
      <c r="T1662" t="s">
        <v>32</v>
      </c>
      <c r="U1662">
        <f>VLOOKUP(A1662,ordered_items!$B:$E,4,0)</f>
        <v>11.29</v>
      </c>
    </row>
    <row r="1663" spans="1:21" x14ac:dyDescent="0.3">
      <c r="A1663">
        <v>74332</v>
      </c>
      <c r="B1663" t="s">
        <v>24</v>
      </c>
      <c r="C1663">
        <v>2</v>
      </c>
      <c r="D1663">
        <v>1</v>
      </c>
      <c r="E1663" t="str">
        <f t="shared" si="75"/>
        <v>DELAYED</v>
      </c>
      <c r="F1663">
        <f>VLOOKUP($A1663,ordered_items!$B$2:$E$4784,2,0)</f>
        <v>1348</v>
      </c>
      <c r="G1663">
        <f>VLOOKUP($A1663,ordered_items!$B$2:$E$4784,3,0)</f>
        <v>1</v>
      </c>
      <c r="H1663">
        <f>VLOOKUP($A1663,ordered_items!$B$2:$E$4784,4,0)</f>
        <v>11.29</v>
      </c>
      <c r="I1663" s="15">
        <f>VLOOKUP(F1663,product_info!$A$2:$D$73,4,0)</f>
        <v>9</v>
      </c>
      <c r="J1663" s="15" t="str">
        <f>VLOOKUP(I1663,department!$A$2:$B$13,2,0)</f>
        <v>Discs Shop</v>
      </c>
      <c r="K1663">
        <v>17885</v>
      </c>
      <c r="L1663" t="s">
        <v>426</v>
      </c>
      <c r="M1663" s="4">
        <v>44185</v>
      </c>
      <c r="N1663" s="12">
        <f t="shared" si="76"/>
        <v>12</v>
      </c>
      <c r="O1663" s="13">
        <f t="shared" si="77"/>
        <v>2020</v>
      </c>
      <c r="P1663" t="s">
        <v>13</v>
      </c>
      <c r="Q1663" t="s">
        <v>245</v>
      </c>
      <c r="R1663" t="s">
        <v>31</v>
      </c>
      <c r="S1663" t="str" cm="1">
        <f t="array" ref="S1663">_xlfn.IFS(R1663="COMPLETE", "COMPLETED", R1663="CANCELED", "CANCELED", TRUE, "PENDING")</f>
        <v>COMPLETED</v>
      </c>
      <c r="T1663" t="s">
        <v>32</v>
      </c>
      <c r="U1663">
        <f>VLOOKUP(A1663,ordered_items!$B:$E,4,0)</f>
        <v>11.29</v>
      </c>
    </row>
    <row r="1664" spans="1:21" x14ac:dyDescent="0.3">
      <c r="A1664">
        <v>74333</v>
      </c>
      <c r="B1664" t="s">
        <v>3</v>
      </c>
      <c r="C1664">
        <v>2</v>
      </c>
      <c r="D1664">
        <v>1</v>
      </c>
      <c r="E1664" t="str">
        <f t="shared" si="75"/>
        <v>DELAYED</v>
      </c>
      <c r="F1664">
        <f>VLOOKUP($A1664,ordered_items!$B$2:$E$4784,2,0)</f>
        <v>1348</v>
      </c>
      <c r="G1664">
        <f>VLOOKUP($A1664,ordered_items!$B$2:$E$4784,3,0)</f>
        <v>1</v>
      </c>
      <c r="H1664">
        <f>VLOOKUP($A1664,ordered_items!$B$2:$E$4784,4,0)</f>
        <v>11.29</v>
      </c>
      <c r="I1664" s="15">
        <f>VLOOKUP(F1664,product_info!$A$2:$D$73,4,0)</f>
        <v>9</v>
      </c>
      <c r="J1664" s="15" t="str">
        <f>VLOOKUP(I1664,department!$A$2:$B$13,2,0)</f>
        <v>Discs Shop</v>
      </c>
      <c r="K1664">
        <v>17886</v>
      </c>
      <c r="L1664" t="s">
        <v>426</v>
      </c>
      <c r="M1664" s="4">
        <v>44185</v>
      </c>
      <c r="N1664" s="12">
        <f t="shared" si="76"/>
        <v>12</v>
      </c>
      <c r="O1664" s="13">
        <f t="shared" si="77"/>
        <v>2020</v>
      </c>
      <c r="P1664" t="s">
        <v>13</v>
      </c>
      <c r="Q1664" t="s">
        <v>245</v>
      </c>
      <c r="R1664" t="s">
        <v>235</v>
      </c>
      <c r="S1664" t="str" cm="1">
        <f t="array" ref="S1664">_xlfn.IFS(R1664="COMPLETE", "COMPLETED", R1664="CANCELED", "CANCELED", TRUE, "PENDING")</f>
        <v>CANCELED</v>
      </c>
      <c r="T1664" t="s">
        <v>32</v>
      </c>
      <c r="U1664">
        <f>VLOOKUP(A1664,ordered_items!$B:$E,4,0)</f>
        <v>11.29</v>
      </c>
    </row>
    <row r="1665" spans="1:21" x14ac:dyDescent="0.3">
      <c r="A1665">
        <v>74334</v>
      </c>
      <c r="B1665" t="s">
        <v>24</v>
      </c>
      <c r="C1665">
        <v>2</v>
      </c>
      <c r="D1665">
        <v>1</v>
      </c>
      <c r="E1665" t="str">
        <f t="shared" si="75"/>
        <v>DELAYED</v>
      </c>
      <c r="F1665">
        <f>VLOOKUP($A1665,ordered_items!$B$2:$E$4784,2,0)</f>
        <v>1348</v>
      </c>
      <c r="G1665">
        <f>VLOOKUP($A1665,ordered_items!$B$2:$E$4784,3,0)</f>
        <v>1</v>
      </c>
      <c r="H1665">
        <f>VLOOKUP($A1665,ordered_items!$B$2:$E$4784,4,0)</f>
        <v>11.29</v>
      </c>
      <c r="I1665" s="15">
        <f>VLOOKUP(F1665,product_info!$A$2:$D$73,4,0)</f>
        <v>9</v>
      </c>
      <c r="J1665" s="15" t="str">
        <f>VLOOKUP(I1665,department!$A$2:$B$13,2,0)</f>
        <v>Discs Shop</v>
      </c>
      <c r="K1665">
        <v>17887</v>
      </c>
      <c r="L1665" t="s">
        <v>426</v>
      </c>
      <c r="M1665" s="4">
        <v>44185</v>
      </c>
      <c r="N1665" s="12">
        <f t="shared" si="76"/>
        <v>12</v>
      </c>
      <c r="O1665" s="13">
        <f t="shared" si="77"/>
        <v>2020</v>
      </c>
      <c r="P1665" t="s">
        <v>13</v>
      </c>
      <c r="Q1665" t="s">
        <v>245</v>
      </c>
      <c r="R1665" t="s">
        <v>378</v>
      </c>
      <c r="S1665" t="str" cm="1">
        <f t="array" ref="S1665">_xlfn.IFS(R1665="COMPLETE", "COMPLETED", R1665="CANCELED", "CANCELED", TRUE, "PENDING")</f>
        <v>PENDING</v>
      </c>
      <c r="T1665" t="s">
        <v>32</v>
      </c>
      <c r="U1665">
        <f>VLOOKUP(A1665,ordered_items!$B:$E,4,0)</f>
        <v>11.29</v>
      </c>
    </row>
    <row r="1666" spans="1:21" x14ac:dyDescent="0.3">
      <c r="A1666">
        <v>74335</v>
      </c>
      <c r="B1666" t="s">
        <v>51</v>
      </c>
      <c r="C1666">
        <v>2</v>
      </c>
      <c r="D1666">
        <v>1</v>
      </c>
      <c r="E1666" t="str">
        <f t="shared" si="75"/>
        <v>DELAYED</v>
      </c>
      <c r="F1666">
        <f>VLOOKUP($A1666,ordered_items!$B$2:$E$4784,2,0)</f>
        <v>1349</v>
      </c>
      <c r="G1666">
        <f>VLOOKUP($A1666,ordered_items!$B$2:$E$4784,3,0)</f>
        <v>1</v>
      </c>
      <c r="H1666">
        <f>VLOOKUP($A1666,ordered_items!$B$2:$E$4784,4,0)</f>
        <v>452.04</v>
      </c>
      <c r="I1666" s="15">
        <f>VLOOKUP(F1666,product_info!$A$2:$D$73,4,0)</f>
        <v>10</v>
      </c>
      <c r="J1666" s="15" t="str">
        <f>VLOOKUP(I1666,department!$A$2:$B$13,2,0)</f>
        <v>Technology</v>
      </c>
      <c r="K1666">
        <v>17888</v>
      </c>
      <c r="L1666" t="s">
        <v>426</v>
      </c>
      <c r="M1666" s="4">
        <v>44185</v>
      </c>
      <c r="N1666" s="12">
        <f t="shared" si="76"/>
        <v>12</v>
      </c>
      <c r="O1666" s="13">
        <f t="shared" si="77"/>
        <v>2020</v>
      </c>
      <c r="P1666" t="s">
        <v>13</v>
      </c>
      <c r="Q1666" t="s">
        <v>245</v>
      </c>
      <c r="R1666" t="s">
        <v>57</v>
      </c>
      <c r="S1666" t="str" cm="1">
        <f t="array" ref="S1666">_xlfn.IFS(R1666="COMPLETE", "COMPLETED", R1666="CANCELED", "CANCELED", TRUE, "PENDING")</f>
        <v>PENDING</v>
      </c>
      <c r="T1666" t="s">
        <v>32</v>
      </c>
      <c r="U1666">
        <f>VLOOKUP(A1666,ordered_items!$B:$E,4,0)</f>
        <v>452.04</v>
      </c>
    </row>
    <row r="1667" spans="1:21" x14ac:dyDescent="0.3">
      <c r="A1667">
        <v>74336</v>
      </c>
      <c r="B1667" t="s">
        <v>17</v>
      </c>
      <c r="C1667">
        <v>2</v>
      </c>
      <c r="D1667">
        <v>1</v>
      </c>
      <c r="E1667" t="str">
        <f t="shared" ref="E1667:E1730" si="78">IF(C1667-D1667&gt;0,"DELAYED"," ONTIME")</f>
        <v>DELAYED</v>
      </c>
      <c r="F1667">
        <f>VLOOKUP($A1667,ordered_items!$B$2:$E$4784,2,0)</f>
        <v>1349</v>
      </c>
      <c r="G1667">
        <f>VLOOKUP($A1667,ordered_items!$B$2:$E$4784,3,0)</f>
        <v>1</v>
      </c>
      <c r="H1667">
        <f>VLOOKUP($A1667,ordered_items!$B$2:$E$4784,4,0)</f>
        <v>452.04</v>
      </c>
      <c r="I1667" s="15">
        <f>VLOOKUP(F1667,product_info!$A$2:$D$73,4,0)</f>
        <v>10</v>
      </c>
      <c r="J1667" s="15" t="str">
        <f>VLOOKUP(I1667,department!$A$2:$B$13,2,0)</f>
        <v>Technology</v>
      </c>
      <c r="K1667">
        <v>17889</v>
      </c>
      <c r="L1667" t="s">
        <v>426</v>
      </c>
      <c r="M1667" s="4">
        <v>44185</v>
      </c>
      <c r="N1667" s="12">
        <f t="shared" ref="N1667:N1730" si="79">MONTH(M1667)</f>
        <v>12</v>
      </c>
      <c r="O1667" s="13">
        <f t="shared" ref="O1667:O1730" si="80">YEAR(M1667)</f>
        <v>2020</v>
      </c>
      <c r="P1667" t="s">
        <v>13</v>
      </c>
      <c r="Q1667" t="s">
        <v>245</v>
      </c>
      <c r="R1667" t="s">
        <v>23</v>
      </c>
      <c r="S1667" t="str" cm="1">
        <f t="array" ref="S1667">_xlfn.IFS(R1667="COMPLETE", "COMPLETED", R1667="CANCELED", "CANCELED", TRUE, "PENDING")</f>
        <v>PENDING</v>
      </c>
      <c r="T1667" t="s">
        <v>32</v>
      </c>
      <c r="U1667">
        <f>VLOOKUP(A1667,ordered_items!$B:$E,4,0)</f>
        <v>452.04</v>
      </c>
    </row>
    <row r="1668" spans="1:21" x14ac:dyDescent="0.3">
      <c r="A1668">
        <v>74337</v>
      </c>
      <c r="B1668" t="s">
        <v>24</v>
      </c>
      <c r="C1668">
        <v>3</v>
      </c>
      <c r="D1668">
        <v>4</v>
      </c>
      <c r="E1668" t="str">
        <f t="shared" si="78"/>
        <v xml:space="preserve"> ONTIME</v>
      </c>
      <c r="F1668">
        <f>VLOOKUP($A1668,ordered_items!$B$2:$E$4784,2,0)</f>
        <v>1349</v>
      </c>
      <c r="G1668">
        <f>VLOOKUP($A1668,ordered_items!$B$2:$E$4784,3,0)</f>
        <v>1</v>
      </c>
      <c r="H1668">
        <f>VLOOKUP($A1668,ordered_items!$B$2:$E$4784,4,0)</f>
        <v>452.04</v>
      </c>
      <c r="I1668" s="15">
        <f>VLOOKUP(F1668,product_info!$A$2:$D$73,4,0)</f>
        <v>10</v>
      </c>
      <c r="J1668" s="15" t="str">
        <f>VLOOKUP(I1668,department!$A$2:$B$13,2,0)</f>
        <v>Technology</v>
      </c>
      <c r="K1668">
        <v>17890</v>
      </c>
      <c r="L1668" t="s">
        <v>426</v>
      </c>
      <c r="M1668" s="4">
        <v>44185</v>
      </c>
      <c r="N1668" s="12">
        <f t="shared" si="79"/>
        <v>12</v>
      </c>
      <c r="O1668" s="13">
        <f t="shared" si="80"/>
        <v>2020</v>
      </c>
      <c r="P1668" t="s">
        <v>13</v>
      </c>
      <c r="Q1668" t="s">
        <v>245</v>
      </c>
      <c r="R1668" t="s">
        <v>31</v>
      </c>
      <c r="S1668" t="str" cm="1">
        <f t="array" ref="S1668">_xlfn.IFS(R1668="COMPLETE", "COMPLETED", R1668="CANCELED", "CANCELED", TRUE, "PENDING")</f>
        <v>COMPLETED</v>
      </c>
      <c r="T1668" t="s">
        <v>16</v>
      </c>
      <c r="U1668">
        <f>VLOOKUP(A1668,ordered_items!$B:$E,4,0)</f>
        <v>452.04</v>
      </c>
    </row>
    <row r="1669" spans="1:21" x14ac:dyDescent="0.3">
      <c r="A1669">
        <v>74360</v>
      </c>
      <c r="B1669" t="s">
        <v>24</v>
      </c>
      <c r="C1669">
        <v>6</v>
      </c>
      <c r="D1669">
        <v>2</v>
      </c>
      <c r="E1669" t="str">
        <f t="shared" si="78"/>
        <v>DELAYED</v>
      </c>
      <c r="F1669">
        <f>VLOOKUP($A1669,ordered_items!$B$2:$E$4784,2,0)</f>
        <v>1350</v>
      </c>
      <c r="G1669">
        <f>VLOOKUP($A1669,ordered_items!$B$2:$E$4784,3,0)</f>
        <v>1</v>
      </c>
      <c r="H1669">
        <f>VLOOKUP($A1669,ordered_items!$B$2:$E$4784,4,0)</f>
        <v>357.1</v>
      </c>
      <c r="I1669" s="15">
        <f>VLOOKUP(F1669,product_info!$A$2:$D$73,4,0)</f>
        <v>4</v>
      </c>
      <c r="J1669" s="15" t="str">
        <f>VLOOKUP(I1669,department!$A$2:$B$13,2,0)</f>
        <v>Apparel</v>
      </c>
      <c r="K1669">
        <v>17913</v>
      </c>
      <c r="L1669" t="s">
        <v>1306</v>
      </c>
      <c r="M1669" s="4">
        <v>44185</v>
      </c>
      <c r="N1669" s="12">
        <f t="shared" si="79"/>
        <v>12</v>
      </c>
      <c r="O1669" s="13">
        <f t="shared" si="80"/>
        <v>2020</v>
      </c>
      <c r="P1669" t="s">
        <v>13</v>
      </c>
      <c r="Q1669" t="s">
        <v>203</v>
      </c>
      <c r="R1669" t="s">
        <v>31</v>
      </c>
      <c r="S1669" t="str" cm="1">
        <f t="array" ref="S1669">_xlfn.IFS(R1669="COMPLETE", "COMPLETED", R1669="CANCELED", "CANCELED", TRUE, "PENDING")</f>
        <v>COMPLETED</v>
      </c>
      <c r="T1669" t="s">
        <v>90</v>
      </c>
      <c r="U1669">
        <f>VLOOKUP(A1669,ordered_items!$B:$E,4,0)</f>
        <v>357.1</v>
      </c>
    </row>
    <row r="1670" spans="1:21" x14ac:dyDescent="0.3">
      <c r="A1670">
        <v>74361</v>
      </c>
      <c r="B1670" t="s">
        <v>3</v>
      </c>
      <c r="C1670">
        <v>2</v>
      </c>
      <c r="D1670">
        <v>4</v>
      </c>
      <c r="E1670" t="str">
        <f t="shared" si="78"/>
        <v xml:space="preserve"> ONTIME</v>
      </c>
      <c r="F1670">
        <f>VLOOKUP($A1670,ordered_items!$B$2:$E$4784,2,0)</f>
        <v>1350</v>
      </c>
      <c r="G1670">
        <f>VLOOKUP($A1670,ordered_items!$B$2:$E$4784,3,0)</f>
        <v>1</v>
      </c>
      <c r="H1670">
        <f>VLOOKUP($A1670,ordered_items!$B$2:$E$4784,4,0)</f>
        <v>357.1</v>
      </c>
      <c r="I1670" s="15">
        <f>VLOOKUP(F1670,product_info!$A$2:$D$73,4,0)</f>
        <v>4</v>
      </c>
      <c r="J1670" s="15" t="str">
        <f>VLOOKUP(I1670,department!$A$2:$B$13,2,0)</f>
        <v>Apparel</v>
      </c>
      <c r="K1670">
        <v>17914</v>
      </c>
      <c r="L1670" t="s">
        <v>1306</v>
      </c>
      <c r="M1670" s="4">
        <v>44185</v>
      </c>
      <c r="N1670" s="12">
        <f t="shared" si="79"/>
        <v>12</v>
      </c>
      <c r="O1670" s="13">
        <f t="shared" si="80"/>
        <v>2020</v>
      </c>
      <c r="P1670" t="s">
        <v>13</v>
      </c>
      <c r="Q1670" t="s">
        <v>203</v>
      </c>
      <c r="R1670" t="s">
        <v>38</v>
      </c>
      <c r="S1670" t="str" cm="1">
        <f t="array" ref="S1670">_xlfn.IFS(R1670="COMPLETE", "COMPLETED", R1670="CANCELED", "CANCELED", TRUE, "PENDING")</f>
        <v>PENDING</v>
      </c>
      <c r="T1670" t="s">
        <v>16</v>
      </c>
      <c r="U1670">
        <f>VLOOKUP(A1670,ordered_items!$B:$E,4,0)</f>
        <v>357.1</v>
      </c>
    </row>
    <row r="1671" spans="1:21" x14ac:dyDescent="0.3">
      <c r="A1671">
        <v>74362</v>
      </c>
      <c r="B1671" t="s">
        <v>17</v>
      </c>
      <c r="C1671">
        <v>3</v>
      </c>
      <c r="D1671">
        <v>4</v>
      </c>
      <c r="E1671" t="str">
        <f t="shared" si="78"/>
        <v xml:space="preserve"> ONTIME</v>
      </c>
      <c r="F1671">
        <f>VLOOKUP($A1671,ordered_items!$B$2:$E$4784,2,0)</f>
        <v>1350</v>
      </c>
      <c r="G1671">
        <f>VLOOKUP($A1671,ordered_items!$B$2:$E$4784,3,0)</f>
        <v>1</v>
      </c>
      <c r="H1671">
        <f>VLOOKUP($A1671,ordered_items!$B$2:$E$4784,4,0)</f>
        <v>357.1</v>
      </c>
      <c r="I1671" s="15">
        <f>VLOOKUP(F1671,product_info!$A$2:$D$73,4,0)</f>
        <v>4</v>
      </c>
      <c r="J1671" s="15" t="str">
        <f>VLOOKUP(I1671,department!$A$2:$B$13,2,0)</f>
        <v>Apparel</v>
      </c>
      <c r="K1671">
        <v>17915</v>
      </c>
      <c r="L1671" t="s">
        <v>119</v>
      </c>
      <c r="M1671" s="4">
        <v>44185</v>
      </c>
      <c r="N1671" s="12">
        <f t="shared" si="79"/>
        <v>12</v>
      </c>
      <c r="O1671" s="13">
        <f t="shared" si="80"/>
        <v>2020</v>
      </c>
      <c r="P1671" t="s">
        <v>13</v>
      </c>
      <c r="Q1671" t="s">
        <v>5781</v>
      </c>
      <c r="R1671" t="s">
        <v>23</v>
      </c>
      <c r="S1671" t="str" cm="1">
        <f t="array" ref="S1671">_xlfn.IFS(R1671="COMPLETE", "COMPLETED", R1671="CANCELED", "CANCELED", TRUE, "PENDING")</f>
        <v>PENDING</v>
      </c>
      <c r="T1671" t="s">
        <v>16</v>
      </c>
      <c r="U1671">
        <f>VLOOKUP(A1671,ordered_items!$B:$E,4,0)</f>
        <v>357.1</v>
      </c>
    </row>
    <row r="1672" spans="1:21" x14ac:dyDescent="0.3">
      <c r="A1672">
        <v>74363</v>
      </c>
      <c r="B1672" t="s">
        <v>24</v>
      </c>
      <c r="C1672">
        <v>4</v>
      </c>
      <c r="D1672">
        <v>4</v>
      </c>
      <c r="E1672" t="str">
        <f t="shared" si="78"/>
        <v xml:space="preserve"> ONTIME</v>
      </c>
      <c r="F1672">
        <f>VLOOKUP($A1672,ordered_items!$B$2:$E$4784,2,0)</f>
        <v>1350</v>
      </c>
      <c r="G1672">
        <f>VLOOKUP($A1672,ordered_items!$B$2:$E$4784,3,0)</f>
        <v>1</v>
      </c>
      <c r="H1672">
        <f>VLOOKUP($A1672,ordered_items!$B$2:$E$4784,4,0)</f>
        <v>357.1</v>
      </c>
      <c r="I1672" s="15">
        <f>VLOOKUP(F1672,product_info!$A$2:$D$73,4,0)</f>
        <v>4</v>
      </c>
      <c r="J1672" s="15" t="str">
        <f>VLOOKUP(I1672,department!$A$2:$B$13,2,0)</f>
        <v>Apparel</v>
      </c>
      <c r="K1672">
        <v>17916</v>
      </c>
      <c r="L1672" t="s">
        <v>119</v>
      </c>
      <c r="M1672" s="4">
        <v>44185</v>
      </c>
      <c r="N1672" s="12">
        <f t="shared" si="79"/>
        <v>12</v>
      </c>
      <c r="O1672" s="13">
        <f t="shared" si="80"/>
        <v>2020</v>
      </c>
      <c r="P1672" t="s">
        <v>13</v>
      </c>
      <c r="Q1672" t="s">
        <v>5781</v>
      </c>
      <c r="R1672" t="s">
        <v>378</v>
      </c>
      <c r="S1672" t="str" cm="1">
        <f t="array" ref="S1672">_xlfn.IFS(R1672="COMPLETE", "COMPLETED", R1672="CANCELED", "CANCELED", TRUE, "PENDING")</f>
        <v>PENDING</v>
      </c>
      <c r="T1672" t="s">
        <v>16</v>
      </c>
      <c r="U1672">
        <f>VLOOKUP(A1672,ordered_items!$B:$E,4,0)</f>
        <v>357.1</v>
      </c>
    </row>
    <row r="1673" spans="1:21" x14ac:dyDescent="0.3">
      <c r="A1673">
        <v>74364</v>
      </c>
      <c r="B1673" t="s">
        <v>3</v>
      </c>
      <c r="C1673">
        <v>5</v>
      </c>
      <c r="D1673">
        <v>4</v>
      </c>
      <c r="E1673" t="str">
        <f t="shared" si="78"/>
        <v>DELAYED</v>
      </c>
      <c r="F1673">
        <f>VLOOKUP($A1673,ordered_items!$B$2:$E$4784,2,0)</f>
        <v>1350</v>
      </c>
      <c r="G1673">
        <f>VLOOKUP($A1673,ordered_items!$B$2:$E$4784,3,0)</f>
        <v>1</v>
      </c>
      <c r="H1673">
        <f>VLOOKUP($A1673,ordered_items!$B$2:$E$4784,4,0)</f>
        <v>357.1</v>
      </c>
      <c r="I1673" s="15">
        <f>VLOOKUP(F1673,product_info!$A$2:$D$73,4,0)</f>
        <v>4</v>
      </c>
      <c r="J1673" s="15" t="str">
        <f>VLOOKUP(I1673,department!$A$2:$B$13,2,0)</f>
        <v>Apparel</v>
      </c>
      <c r="K1673">
        <v>17917</v>
      </c>
      <c r="L1673" t="s">
        <v>119</v>
      </c>
      <c r="M1673" s="4">
        <v>44185</v>
      </c>
      <c r="N1673" s="12">
        <f t="shared" si="79"/>
        <v>12</v>
      </c>
      <c r="O1673" s="13">
        <f t="shared" si="80"/>
        <v>2020</v>
      </c>
      <c r="P1673" t="s">
        <v>13</v>
      </c>
      <c r="Q1673" t="s">
        <v>5781</v>
      </c>
      <c r="R1673" t="s">
        <v>14</v>
      </c>
      <c r="S1673" t="str" cm="1">
        <f t="array" ref="S1673">_xlfn.IFS(R1673="COMPLETE", "COMPLETED", R1673="CANCELED", "CANCELED", TRUE, "PENDING")</f>
        <v>PENDING</v>
      </c>
      <c r="T1673" t="s">
        <v>16</v>
      </c>
      <c r="U1673">
        <f>VLOOKUP(A1673,ordered_items!$B:$E,4,0)</f>
        <v>357.1</v>
      </c>
    </row>
    <row r="1674" spans="1:21" x14ac:dyDescent="0.3">
      <c r="A1674">
        <v>74368</v>
      </c>
      <c r="B1674" t="s">
        <v>24</v>
      </c>
      <c r="C1674">
        <v>4</v>
      </c>
      <c r="D1674">
        <v>2</v>
      </c>
      <c r="E1674" t="str">
        <f t="shared" si="78"/>
        <v>DELAYED</v>
      </c>
      <c r="F1674">
        <f>VLOOKUP($A1674,ordered_items!$B$2:$E$4784,2,0)</f>
        <v>1350</v>
      </c>
      <c r="G1674">
        <f>VLOOKUP($A1674,ordered_items!$B$2:$E$4784,3,0)</f>
        <v>1</v>
      </c>
      <c r="H1674">
        <f>VLOOKUP($A1674,ordered_items!$B$2:$E$4784,4,0)</f>
        <v>357.1</v>
      </c>
      <c r="I1674" s="15">
        <f>VLOOKUP(F1674,product_info!$A$2:$D$73,4,0)</f>
        <v>4</v>
      </c>
      <c r="J1674" s="15" t="str">
        <f>VLOOKUP(I1674,department!$A$2:$B$13,2,0)</f>
        <v>Apparel</v>
      </c>
      <c r="K1674">
        <v>17921</v>
      </c>
      <c r="L1674" t="s">
        <v>1078</v>
      </c>
      <c r="M1674" s="4">
        <v>44185</v>
      </c>
      <c r="N1674" s="12">
        <f t="shared" si="79"/>
        <v>12</v>
      </c>
      <c r="O1674" s="13">
        <f t="shared" si="80"/>
        <v>2020</v>
      </c>
      <c r="P1674" t="s">
        <v>13</v>
      </c>
      <c r="Q1674" t="s">
        <v>5780</v>
      </c>
      <c r="R1674" t="s">
        <v>31</v>
      </c>
      <c r="S1674" t="str" cm="1">
        <f t="array" ref="S1674">_xlfn.IFS(R1674="COMPLETE", "COMPLETED", R1674="CANCELED", "CANCELED", TRUE, "PENDING")</f>
        <v>COMPLETED</v>
      </c>
      <c r="T1674" t="s">
        <v>90</v>
      </c>
      <c r="U1674">
        <f>VLOOKUP(A1674,ordered_items!$B:$E,4,0)</f>
        <v>357.1</v>
      </c>
    </row>
    <row r="1675" spans="1:21" x14ac:dyDescent="0.3">
      <c r="A1675">
        <v>74369</v>
      </c>
      <c r="B1675" t="s">
        <v>24</v>
      </c>
      <c r="C1675">
        <v>5</v>
      </c>
      <c r="D1675">
        <v>2</v>
      </c>
      <c r="E1675" t="str">
        <f t="shared" si="78"/>
        <v>DELAYED</v>
      </c>
      <c r="F1675">
        <f>VLOOKUP($A1675,ordered_items!$B$2:$E$4784,2,0)</f>
        <v>1350</v>
      </c>
      <c r="G1675">
        <f>VLOOKUP($A1675,ordered_items!$B$2:$E$4784,3,0)</f>
        <v>1</v>
      </c>
      <c r="H1675">
        <f>VLOOKUP($A1675,ordered_items!$B$2:$E$4784,4,0)</f>
        <v>357.1</v>
      </c>
      <c r="I1675" s="15">
        <f>VLOOKUP(F1675,product_info!$A$2:$D$73,4,0)</f>
        <v>4</v>
      </c>
      <c r="J1675" s="15" t="str">
        <f>VLOOKUP(I1675,department!$A$2:$B$13,2,0)</f>
        <v>Apparel</v>
      </c>
      <c r="K1675">
        <v>17922</v>
      </c>
      <c r="L1675" t="s">
        <v>1078</v>
      </c>
      <c r="M1675" s="4">
        <v>44185</v>
      </c>
      <c r="N1675" s="12">
        <f t="shared" si="79"/>
        <v>12</v>
      </c>
      <c r="O1675" s="13">
        <f t="shared" si="80"/>
        <v>2020</v>
      </c>
      <c r="P1675" t="s">
        <v>13</v>
      </c>
      <c r="Q1675" t="s">
        <v>5780</v>
      </c>
      <c r="R1675" t="s">
        <v>31</v>
      </c>
      <c r="S1675" t="str" cm="1">
        <f t="array" ref="S1675">_xlfn.IFS(R1675="COMPLETE", "COMPLETED", R1675="CANCELED", "CANCELED", TRUE, "PENDING")</f>
        <v>COMPLETED</v>
      </c>
      <c r="T1675" t="s">
        <v>90</v>
      </c>
      <c r="U1675">
        <f>VLOOKUP(A1675,ordered_items!$B:$E,4,0)</f>
        <v>357.1</v>
      </c>
    </row>
    <row r="1676" spans="1:21" x14ac:dyDescent="0.3">
      <c r="A1676">
        <v>74370</v>
      </c>
      <c r="B1676" t="s">
        <v>17</v>
      </c>
      <c r="C1676">
        <v>6</v>
      </c>
      <c r="D1676">
        <v>2</v>
      </c>
      <c r="E1676" t="str">
        <f t="shared" si="78"/>
        <v>DELAYED</v>
      </c>
      <c r="F1676">
        <f>VLOOKUP($A1676,ordered_items!$B$2:$E$4784,2,0)</f>
        <v>1350</v>
      </c>
      <c r="G1676">
        <f>VLOOKUP($A1676,ordered_items!$B$2:$E$4784,3,0)</f>
        <v>1</v>
      </c>
      <c r="H1676">
        <f>VLOOKUP($A1676,ordered_items!$B$2:$E$4784,4,0)</f>
        <v>357.1</v>
      </c>
      <c r="I1676" s="15">
        <f>VLOOKUP(F1676,product_info!$A$2:$D$73,4,0)</f>
        <v>4</v>
      </c>
      <c r="J1676" s="15" t="str">
        <f>VLOOKUP(I1676,department!$A$2:$B$13,2,0)</f>
        <v>Apparel</v>
      </c>
      <c r="K1676">
        <v>17923</v>
      </c>
      <c r="L1676" t="s">
        <v>1078</v>
      </c>
      <c r="M1676" s="4">
        <v>44185</v>
      </c>
      <c r="N1676" s="12">
        <f t="shared" si="79"/>
        <v>12</v>
      </c>
      <c r="O1676" s="13">
        <f t="shared" si="80"/>
        <v>2020</v>
      </c>
      <c r="P1676" t="s">
        <v>13</v>
      </c>
      <c r="Q1676" t="s">
        <v>5780</v>
      </c>
      <c r="R1676" t="s">
        <v>23</v>
      </c>
      <c r="S1676" t="str" cm="1">
        <f t="array" ref="S1676">_xlfn.IFS(R1676="COMPLETE", "COMPLETED", R1676="CANCELED", "CANCELED", TRUE, "PENDING")</f>
        <v>PENDING</v>
      </c>
      <c r="T1676" t="s">
        <v>90</v>
      </c>
      <c r="U1676">
        <f>VLOOKUP(A1676,ordered_items!$B:$E,4,0)</f>
        <v>357.1</v>
      </c>
    </row>
    <row r="1677" spans="1:21" x14ac:dyDescent="0.3">
      <c r="A1677">
        <v>74371</v>
      </c>
      <c r="B1677" t="s">
        <v>51</v>
      </c>
      <c r="C1677">
        <v>2</v>
      </c>
      <c r="D1677">
        <v>2</v>
      </c>
      <c r="E1677" t="str">
        <f t="shared" si="78"/>
        <v xml:space="preserve"> ONTIME</v>
      </c>
      <c r="F1677">
        <f>VLOOKUP($A1677,ordered_items!$B$2:$E$4784,2,0)</f>
        <v>1350</v>
      </c>
      <c r="G1677">
        <f>VLOOKUP($A1677,ordered_items!$B$2:$E$4784,3,0)</f>
        <v>1</v>
      </c>
      <c r="H1677">
        <f>VLOOKUP($A1677,ordered_items!$B$2:$E$4784,4,0)</f>
        <v>357.1</v>
      </c>
      <c r="I1677" s="15">
        <f>VLOOKUP(F1677,product_info!$A$2:$D$73,4,0)</f>
        <v>4</v>
      </c>
      <c r="J1677" s="15" t="str">
        <f>VLOOKUP(I1677,department!$A$2:$B$13,2,0)</f>
        <v>Apparel</v>
      </c>
      <c r="K1677">
        <v>17924</v>
      </c>
      <c r="L1677" t="s">
        <v>1078</v>
      </c>
      <c r="M1677" s="4">
        <v>44185</v>
      </c>
      <c r="N1677" s="12">
        <f t="shared" si="79"/>
        <v>12</v>
      </c>
      <c r="O1677" s="13">
        <f t="shared" si="80"/>
        <v>2020</v>
      </c>
      <c r="P1677" t="s">
        <v>13</v>
      </c>
      <c r="Q1677" t="s">
        <v>5780</v>
      </c>
      <c r="R1677" t="s">
        <v>57</v>
      </c>
      <c r="S1677" t="str" cm="1">
        <f t="array" ref="S1677">_xlfn.IFS(R1677="COMPLETE", "COMPLETED", R1677="CANCELED", "CANCELED", TRUE, "PENDING")</f>
        <v>PENDING</v>
      </c>
      <c r="T1677" t="s">
        <v>90</v>
      </c>
      <c r="U1677">
        <f>VLOOKUP(A1677,ordered_items!$B:$E,4,0)</f>
        <v>357.1</v>
      </c>
    </row>
    <row r="1678" spans="1:21" x14ac:dyDescent="0.3">
      <c r="A1678">
        <v>74416</v>
      </c>
      <c r="B1678" t="s">
        <v>17</v>
      </c>
      <c r="C1678">
        <v>2</v>
      </c>
      <c r="D1678">
        <v>2</v>
      </c>
      <c r="E1678" t="str">
        <f t="shared" si="78"/>
        <v xml:space="preserve"> ONTIME</v>
      </c>
      <c r="F1678">
        <f>VLOOKUP($A1678,ordered_items!$B$2:$E$4784,2,0)</f>
        <v>1350</v>
      </c>
      <c r="G1678">
        <f>VLOOKUP($A1678,ordered_items!$B$2:$E$4784,3,0)</f>
        <v>1</v>
      </c>
      <c r="H1678">
        <f>VLOOKUP($A1678,ordered_items!$B$2:$E$4784,4,0)</f>
        <v>357.1</v>
      </c>
      <c r="I1678" s="15">
        <f>VLOOKUP(F1678,product_info!$A$2:$D$73,4,0)</f>
        <v>4</v>
      </c>
      <c r="J1678" s="15" t="str">
        <f>VLOOKUP(I1678,department!$A$2:$B$13,2,0)</f>
        <v>Apparel</v>
      </c>
      <c r="K1678">
        <v>17969</v>
      </c>
      <c r="L1678" t="s">
        <v>809</v>
      </c>
      <c r="M1678" s="4">
        <v>44186</v>
      </c>
      <c r="N1678" s="12">
        <f t="shared" si="79"/>
        <v>12</v>
      </c>
      <c r="O1678" s="13">
        <f t="shared" si="80"/>
        <v>2020</v>
      </c>
      <c r="P1678" t="s">
        <v>13</v>
      </c>
      <c r="Q1678" t="s">
        <v>30</v>
      </c>
      <c r="R1678" t="s">
        <v>23</v>
      </c>
      <c r="S1678" t="str" cm="1">
        <f t="array" ref="S1678">_xlfn.IFS(R1678="COMPLETE", "COMPLETED", R1678="CANCELED", "CANCELED", TRUE, "PENDING")</f>
        <v>PENDING</v>
      </c>
      <c r="T1678" t="s">
        <v>90</v>
      </c>
      <c r="U1678">
        <f>VLOOKUP(A1678,ordered_items!$B:$E,4,0)</f>
        <v>357.1</v>
      </c>
    </row>
    <row r="1679" spans="1:21" x14ac:dyDescent="0.3">
      <c r="A1679">
        <v>74417</v>
      </c>
      <c r="B1679" t="s">
        <v>51</v>
      </c>
      <c r="C1679">
        <v>3</v>
      </c>
      <c r="D1679">
        <v>2</v>
      </c>
      <c r="E1679" t="str">
        <f t="shared" si="78"/>
        <v>DELAYED</v>
      </c>
      <c r="F1679">
        <f>VLOOKUP($A1679,ordered_items!$B$2:$E$4784,2,0)</f>
        <v>1350</v>
      </c>
      <c r="G1679">
        <f>VLOOKUP($A1679,ordered_items!$B$2:$E$4784,3,0)</f>
        <v>1</v>
      </c>
      <c r="H1679">
        <f>VLOOKUP($A1679,ordered_items!$B$2:$E$4784,4,0)</f>
        <v>357.1</v>
      </c>
      <c r="I1679" s="15">
        <f>VLOOKUP(F1679,product_info!$A$2:$D$73,4,0)</f>
        <v>4</v>
      </c>
      <c r="J1679" s="15" t="str">
        <f>VLOOKUP(I1679,department!$A$2:$B$13,2,0)</f>
        <v>Apparel</v>
      </c>
      <c r="K1679">
        <v>17970</v>
      </c>
      <c r="L1679" t="s">
        <v>809</v>
      </c>
      <c r="M1679" s="4">
        <v>44186</v>
      </c>
      <c r="N1679" s="12">
        <f t="shared" si="79"/>
        <v>12</v>
      </c>
      <c r="O1679" s="13">
        <f t="shared" si="80"/>
        <v>2020</v>
      </c>
      <c r="P1679" t="s">
        <v>13</v>
      </c>
      <c r="Q1679" t="s">
        <v>30</v>
      </c>
      <c r="R1679" t="s">
        <v>57</v>
      </c>
      <c r="S1679" t="str" cm="1">
        <f t="array" ref="S1679">_xlfn.IFS(R1679="COMPLETE", "COMPLETED", R1679="CANCELED", "CANCELED", TRUE, "PENDING")</f>
        <v>PENDING</v>
      </c>
      <c r="T1679" t="s">
        <v>90</v>
      </c>
      <c r="U1679">
        <f>VLOOKUP(A1679,ordered_items!$B:$E,4,0)</f>
        <v>357.1</v>
      </c>
    </row>
    <row r="1680" spans="1:21" x14ac:dyDescent="0.3">
      <c r="A1680">
        <v>74418</v>
      </c>
      <c r="B1680" t="s">
        <v>17</v>
      </c>
      <c r="C1680">
        <v>4</v>
      </c>
      <c r="D1680">
        <v>2</v>
      </c>
      <c r="E1680" t="str">
        <f t="shared" si="78"/>
        <v>DELAYED</v>
      </c>
      <c r="F1680">
        <f>VLOOKUP($A1680,ordered_items!$B$2:$E$4784,2,0)</f>
        <v>1350</v>
      </c>
      <c r="G1680">
        <f>VLOOKUP($A1680,ordered_items!$B$2:$E$4784,3,0)</f>
        <v>1</v>
      </c>
      <c r="H1680">
        <f>VLOOKUP($A1680,ordered_items!$B$2:$E$4784,4,0)</f>
        <v>357.1</v>
      </c>
      <c r="I1680" s="15">
        <f>VLOOKUP(F1680,product_info!$A$2:$D$73,4,0)</f>
        <v>4</v>
      </c>
      <c r="J1680" s="15" t="str">
        <f>VLOOKUP(I1680,department!$A$2:$B$13,2,0)</f>
        <v>Apparel</v>
      </c>
      <c r="K1680">
        <v>17971</v>
      </c>
      <c r="L1680" t="s">
        <v>809</v>
      </c>
      <c r="M1680" s="4">
        <v>44186</v>
      </c>
      <c r="N1680" s="12">
        <f t="shared" si="79"/>
        <v>12</v>
      </c>
      <c r="O1680" s="13">
        <f t="shared" si="80"/>
        <v>2020</v>
      </c>
      <c r="P1680" t="s">
        <v>13</v>
      </c>
      <c r="Q1680" t="s">
        <v>30</v>
      </c>
      <c r="R1680" t="s">
        <v>23</v>
      </c>
      <c r="S1680" t="str" cm="1">
        <f t="array" ref="S1680">_xlfn.IFS(R1680="COMPLETE", "COMPLETED", R1680="CANCELED", "CANCELED", TRUE, "PENDING")</f>
        <v>PENDING</v>
      </c>
      <c r="T1680" t="s">
        <v>90</v>
      </c>
      <c r="U1680">
        <f>VLOOKUP(A1680,ordered_items!$B:$E,4,0)</f>
        <v>357.1</v>
      </c>
    </row>
    <row r="1681" spans="1:21" x14ac:dyDescent="0.3">
      <c r="A1681">
        <v>74419</v>
      </c>
      <c r="B1681" t="s">
        <v>24</v>
      </c>
      <c r="C1681">
        <v>5</v>
      </c>
      <c r="D1681">
        <v>4</v>
      </c>
      <c r="E1681" t="str">
        <f t="shared" si="78"/>
        <v>DELAYED</v>
      </c>
      <c r="F1681">
        <f>VLOOKUP($A1681,ordered_items!$B$2:$E$4784,2,0)</f>
        <v>1350</v>
      </c>
      <c r="G1681">
        <f>VLOOKUP($A1681,ordered_items!$B$2:$E$4784,3,0)</f>
        <v>1</v>
      </c>
      <c r="H1681">
        <f>VLOOKUP($A1681,ordered_items!$B$2:$E$4784,4,0)</f>
        <v>357.1</v>
      </c>
      <c r="I1681" s="15">
        <f>VLOOKUP(F1681,product_info!$A$2:$D$73,4,0)</f>
        <v>4</v>
      </c>
      <c r="J1681" s="15" t="str">
        <f>VLOOKUP(I1681,department!$A$2:$B$13,2,0)</f>
        <v>Apparel</v>
      </c>
      <c r="K1681">
        <v>17972</v>
      </c>
      <c r="L1681" t="s">
        <v>809</v>
      </c>
      <c r="M1681" s="4">
        <v>44186</v>
      </c>
      <c r="N1681" s="12">
        <f t="shared" si="79"/>
        <v>12</v>
      </c>
      <c r="O1681" s="13">
        <f t="shared" si="80"/>
        <v>2020</v>
      </c>
      <c r="P1681" t="s">
        <v>13</v>
      </c>
      <c r="Q1681" t="s">
        <v>30</v>
      </c>
      <c r="R1681" t="s">
        <v>31</v>
      </c>
      <c r="S1681" t="str" cm="1">
        <f t="array" ref="S1681">_xlfn.IFS(R1681="COMPLETE", "COMPLETED", R1681="CANCELED", "CANCELED", TRUE, "PENDING")</f>
        <v>COMPLETED</v>
      </c>
      <c r="T1681" t="s">
        <v>16</v>
      </c>
      <c r="U1681">
        <f>VLOOKUP(A1681,ordered_items!$B:$E,4,0)</f>
        <v>357.1</v>
      </c>
    </row>
    <row r="1682" spans="1:21" x14ac:dyDescent="0.3">
      <c r="A1682">
        <v>74420</v>
      </c>
      <c r="B1682" t="s">
        <v>51</v>
      </c>
      <c r="C1682">
        <v>6</v>
      </c>
      <c r="D1682">
        <v>4</v>
      </c>
      <c r="E1682" t="str">
        <f t="shared" si="78"/>
        <v>DELAYED</v>
      </c>
      <c r="F1682">
        <f>VLOOKUP($A1682,ordered_items!$B$2:$E$4784,2,0)</f>
        <v>1350</v>
      </c>
      <c r="G1682">
        <f>VLOOKUP($A1682,ordered_items!$B$2:$E$4784,3,0)</f>
        <v>1</v>
      </c>
      <c r="H1682">
        <f>VLOOKUP($A1682,ordered_items!$B$2:$E$4784,4,0)</f>
        <v>357.1</v>
      </c>
      <c r="I1682" s="15">
        <f>VLOOKUP(F1682,product_info!$A$2:$D$73,4,0)</f>
        <v>4</v>
      </c>
      <c r="J1682" s="15" t="str">
        <f>VLOOKUP(I1682,department!$A$2:$B$13,2,0)</f>
        <v>Apparel</v>
      </c>
      <c r="K1682">
        <v>17973</v>
      </c>
      <c r="L1682" t="s">
        <v>809</v>
      </c>
      <c r="M1682" s="4">
        <v>44186</v>
      </c>
      <c r="N1682" s="12">
        <f t="shared" si="79"/>
        <v>12</v>
      </c>
      <c r="O1682" s="13">
        <f t="shared" si="80"/>
        <v>2020</v>
      </c>
      <c r="P1682" t="s">
        <v>13</v>
      </c>
      <c r="Q1682" t="s">
        <v>30</v>
      </c>
      <c r="R1682" t="s">
        <v>57</v>
      </c>
      <c r="S1682" t="str" cm="1">
        <f t="array" ref="S1682">_xlfn.IFS(R1682="COMPLETE", "COMPLETED", R1682="CANCELED", "CANCELED", TRUE, "PENDING")</f>
        <v>PENDING</v>
      </c>
      <c r="T1682" t="s">
        <v>16</v>
      </c>
      <c r="U1682">
        <f>VLOOKUP(A1682,ordered_items!$B:$E,4,0)</f>
        <v>357.1</v>
      </c>
    </row>
    <row r="1683" spans="1:21" x14ac:dyDescent="0.3">
      <c r="A1683">
        <v>74421</v>
      </c>
      <c r="B1683" t="s">
        <v>3</v>
      </c>
      <c r="C1683">
        <v>2</v>
      </c>
      <c r="D1683">
        <v>4</v>
      </c>
      <c r="E1683" t="str">
        <f t="shared" si="78"/>
        <v xml:space="preserve"> ONTIME</v>
      </c>
      <c r="F1683">
        <f>VLOOKUP($A1683,ordered_items!$B$2:$E$4784,2,0)</f>
        <v>1350</v>
      </c>
      <c r="G1683">
        <f>VLOOKUP($A1683,ordered_items!$B$2:$E$4784,3,0)</f>
        <v>1</v>
      </c>
      <c r="H1683">
        <f>VLOOKUP($A1683,ordered_items!$B$2:$E$4784,4,0)</f>
        <v>357.1</v>
      </c>
      <c r="I1683" s="15">
        <f>VLOOKUP(F1683,product_info!$A$2:$D$73,4,0)</f>
        <v>4</v>
      </c>
      <c r="J1683" s="15" t="str">
        <f>VLOOKUP(I1683,department!$A$2:$B$13,2,0)</f>
        <v>Apparel</v>
      </c>
      <c r="K1683">
        <v>17974</v>
      </c>
      <c r="L1683" t="s">
        <v>809</v>
      </c>
      <c r="M1683" s="4">
        <v>44186</v>
      </c>
      <c r="N1683" s="12">
        <f t="shared" si="79"/>
        <v>12</v>
      </c>
      <c r="O1683" s="13">
        <f t="shared" si="80"/>
        <v>2020</v>
      </c>
      <c r="P1683" t="s">
        <v>13</v>
      </c>
      <c r="Q1683" t="s">
        <v>30</v>
      </c>
      <c r="R1683" t="s">
        <v>38</v>
      </c>
      <c r="S1683" t="str" cm="1">
        <f t="array" ref="S1683">_xlfn.IFS(R1683="COMPLETE", "COMPLETED", R1683="CANCELED", "CANCELED", TRUE, "PENDING")</f>
        <v>PENDING</v>
      </c>
      <c r="T1683" t="s">
        <v>16</v>
      </c>
      <c r="U1683">
        <f>VLOOKUP(A1683,ordered_items!$B:$E,4,0)</f>
        <v>357.1</v>
      </c>
    </row>
    <row r="1684" spans="1:21" x14ac:dyDescent="0.3">
      <c r="A1684">
        <v>74454</v>
      </c>
      <c r="B1684" t="s">
        <v>24</v>
      </c>
      <c r="C1684">
        <v>5</v>
      </c>
      <c r="D1684">
        <v>4</v>
      </c>
      <c r="E1684" t="str">
        <f t="shared" si="78"/>
        <v>DELAYED</v>
      </c>
      <c r="F1684">
        <f>VLOOKUP($A1684,ordered_items!$B$2:$E$4784,2,0)</f>
        <v>1350</v>
      </c>
      <c r="G1684">
        <f>VLOOKUP($A1684,ordered_items!$B$2:$E$4784,3,0)</f>
        <v>1</v>
      </c>
      <c r="H1684">
        <f>VLOOKUP($A1684,ordered_items!$B$2:$E$4784,4,0)</f>
        <v>357.1</v>
      </c>
      <c r="I1684" s="15">
        <f>VLOOKUP(F1684,product_info!$A$2:$D$73,4,0)</f>
        <v>4</v>
      </c>
      <c r="J1684" s="15" t="str">
        <f>VLOOKUP(I1684,department!$A$2:$B$13,2,0)</f>
        <v>Apparel</v>
      </c>
      <c r="K1684">
        <v>18007</v>
      </c>
      <c r="L1684" t="s">
        <v>244</v>
      </c>
      <c r="M1684" s="4">
        <v>44186</v>
      </c>
      <c r="N1684" s="12">
        <f t="shared" si="79"/>
        <v>12</v>
      </c>
      <c r="O1684" s="13">
        <f t="shared" si="80"/>
        <v>2020</v>
      </c>
      <c r="P1684" t="s">
        <v>13</v>
      </c>
      <c r="Q1684" t="s">
        <v>245</v>
      </c>
      <c r="R1684" t="s">
        <v>31</v>
      </c>
      <c r="S1684" t="str" cm="1">
        <f t="array" ref="S1684">_xlfn.IFS(R1684="COMPLETE", "COMPLETED", R1684="CANCELED", "CANCELED", TRUE, "PENDING")</f>
        <v>COMPLETED</v>
      </c>
      <c r="T1684" t="s">
        <v>16</v>
      </c>
      <c r="U1684">
        <f>VLOOKUP(A1684,ordered_items!$B:$E,4,0)</f>
        <v>357.1</v>
      </c>
    </row>
    <row r="1685" spans="1:21" x14ac:dyDescent="0.3">
      <c r="A1685">
        <v>74455</v>
      </c>
      <c r="B1685" t="s">
        <v>17</v>
      </c>
      <c r="C1685">
        <v>6</v>
      </c>
      <c r="D1685">
        <v>4</v>
      </c>
      <c r="E1685" t="str">
        <f t="shared" si="78"/>
        <v>DELAYED</v>
      </c>
      <c r="F1685">
        <f>VLOOKUP($A1685,ordered_items!$B$2:$E$4784,2,0)</f>
        <v>1350</v>
      </c>
      <c r="G1685">
        <f>VLOOKUP($A1685,ordered_items!$B$2:$E$4784,3,0)</f>
        <v>1</v>
      </c>
      <c r="H1685">
        <f>VLOOKUP($A1685,ordered_items!$B$2:$E$4784,4,0)</f>
        <v>357.1</v>
      </c>
      <c r="I1685" s="15">
        <f>VLOOKUP(F1685,product_info!$A$2:$D$73,4,0)</f>
        <v>4</v>
      </c>
      <c r="J1685" s="15" t="str">
        <f>VLOOKUP(I1685,department!$A$2:$B$13,2,0)</f>
        <v>Apparel</v>
      </c>
      <c r="K1685">
        <v>18008</v>
      </c>
      <c r="L1685" t="s">
        <v>244</v>
      </c>
      <c r="M1685" s="4">
        <v>44186</v>
      </c>
      <c r="N1685" s="12">
        <f t="shared" si="79"/>
        <v>12</v>
      </c>
      <c r="O1685" s="13">
        <f t="shared" si="80"/>
        <v>2020</v>
      </c>
      <c r="P1685" t="s">
        <v>13</v>
      </c>
      <c r="Q1685" t="s">
        <v>245</v>
      </c>
      <c r="R1685" t="s">
        <v>23</v>
      </c>
      <c r="S1685" t="str" cm="1">
        <f t="array" ref="S1685">_xlfn.IFS(R1685="COMPLETE", "COMPLETED", R1685="CANCELED", "CANCELED", TRUE, "PENDING")</f>
        <v>PENDING</v>
      </c>
      <c r="T1685" t="s">
        <v>16</v>
      </c>
      <c r="U1685">
        <f>VLOOKUP(A1685,ordered_items!$B:$E,4,0)</f>
        <v>357.1</v>
      </c>
    </row>
    <row r="1686" spans="1:21" x14ac:dyDescent="0.3">
      <c r="A1686">
        <v>74456</v>
      </c>
      <c r="B1686" t="s">
        <v>51</v>
      </c>
      <c r="C1686">
        <v>2</v>
      </c>
      <c r="D1686">
        <v>4</v>
      </c>
      <c r="E1686" t="str">
        <f t="shared" si="78"/>
        <v xml:space="preserve"> ONTIME</v>
      </c>
      <c r="F1686">
        <f>VLOOKUP($A1686,ordered_items!$B$2:$E$4784,2,0)</f>
        <v>1350</v>
      </c>
      <c r="G1686">
        <f>VLOOKUP($A1686,ordered_items!$B$2:$E$4784,3,0)</f>
        <v>1</v>
      </c>
      <c r="H1686">
        <f>VLOOKUP($A1686,ordered_items!$B$2:$E$4784,4,0)</f>
        <v>357.1</v>
      </c>
      <c r="I1686" s="15">
        <f>VLOOKUP(F1686,product_info!$A$2:$D$73,4,0)</f>
        <v>4</v>
      </c>
      <c r="J1686" s="15" t="str">
        <f>VLOOKUP(I1686,department!$A$2:$B$13,2,0)</f>
        <v>Apparel</v>
      </c>
      <c r="K1686">
        <v>18009</v>
      </c>
      <c r="L1686" t="s">
        <v>244</v>
      </c>
      <c r="M1686" s="4">
        <v>44186</v>
      </c>
      <c r="N1686" s="12">
        <f t="shared" si="79"/>
        <v>12</v>
      </c>
      <c r="O1686" s="13">
        <f t="shared" si="80"/>
        <v>2020</v>
      </c>
      <c r="P1686" t="s">
        <v>13</v>
      </c>
      <c r="Q1686" t="s">
        <v>245</v>
      </c>
      <c r="R1686" t="s">
        <v>57</v>
      </c>
      <c r="S1686" t="str" cm="1">
        <f t="array" ref="S1686">_xlfn.IFS(R1686="COMPLETE", "COMPLETED", R1686="CANCELED", "CANCELED", TRUE, "PENDING")</f>
        <v>PENDING</v>
      </c>
      <c r="T1686" t="s">
        <v>16</v>
      </c>
      <c r="U1686">
        <f>VLOOKUP(A1686,ordered_items!$B:$E,4,0)</f>
        <v>357.1</v>
      </c>
    </row>
    <row r="1687" spans="1:21" x14ac:dyDescent="0.3">
      <c r="A1687">
        <v>74496</v>
      </c>
      <c r="B1687" t="s">
        <v>3</v>
      </c>
      <c r="C1687">
        <v>2</v>
      </c>
      <c r="D1687">
        <v>4</v>
      </c>
      <c r="E1687" t="str">
        <f t="shared" si="78"/>
        <v xml:space="preserve"> ONTIME</v>
      </c>
      <c r="F1687">
        <f>VLOOKUP($A1687,ordered_items!$B$2:$E$4784,2,0)</f>
        <v>1351</v>
      </c>
      <c r="G1687">
        <f>VLOOKUP($A1687,ordered_items!$B$2:$E$4784,3,0)</f>
        <v>1</v>
      </c>
      <c r="H1687">
        <f>VLOOKUP($A1687,ordered_items!$B$2:$E$4784,4,0)</f>
        <v>1500</v>
      </c>
      <c r="I1687" s="15">
        <f>VLOOKUP(F1687,product_info!$A$2:$D$73,4,0)</f>
        <v>10</v>
      </c>
      <c r="J1687" s="15" t="str">
        <f>VLOOKUP(I1687,department!$A$2:$B$13,2,0)</f>
        <v>Technology</v>
      </c>
      <c r="K1687">
        <v>18049</v>
      </c>
      <c r="L1687" t="s">
        <v>1985</v>
      </c>
      <c r="M1687" s="4">
        <v>44187</v>
      </c>
      <c r="N1687" s="12">
        <f t="shared" si="79"/>
        <v>12</v>
      </c>
      <c r="O1687" s="13">
        <f t="shared" si="80"/>
        <v>2020</v>
      </c>
      <c r="P1687" t="s">
        <v>13</v>
      </c>
      <c r="Q1687" t="s">
        <v>80</v>
      </c>
      <c r="R1687" t="s">
        <v>14</v>
      </c>
      <c r="S1687" t="str" cm="1">
        <f t="array" ref="S1687">_xlfn.IFS(R1687="COMPLETE", "COMPLETED", R1687="CANCELED", "CANCELED", TRUE, "PENDING")</f>
        <v>PENDING</v>
      </c>
      <c r="T1687" t="s">
        <v>16</v>
      </c>
      <c r="U1687">
        <f>VLOOKUP(A1687,ordered_items!$B:$E,4,0)</f>
        <v>1500</v>
      </c>
    </row>
    <row r="1688" spans="1:21" x14ac:dyDescent="0.3">
      <c r="A1688">
        <v>74502</v>
      </c>
      <c r="B1688" t="s">
        <v>24</v>
      </c>
      <c r="C1688">
        <v>3</v>
      </c>
      <c r="D1688">
        <v>2</v>
      </c>
      <c r="E1688" t="str">
        <f t="shared" si="78"/>
        <v>DELAYED</v>
      </c>
      <c r="F1688">
        <f>VLOOKUP($A1688,ordered_items!$B$2:$E$4784,2,0)</f>
        <v>1351</v>
      </c>
      <c r="G1688">
        <f>VLOOKUP($A1688,ordered_items!$B$2:$E$4784,3,0)</f>
        <v>1</v>
      </c>
      <c r="H1688">
        <f>VLOOKUP($A1688,ordered_items!$B$2:$E$4784,4,0)</f>
        <v>1500</v>
      </c>
      <c r="I1688" s="15">
        <f>VLOOKUP(F1688,product_info!$A$2:$D$73,4,0)</f>
        <v>10</v>
      </c>
      <c r="J1688" s="15" t="str">
        <f>VLOOKUP(I1688,department!$A$2:$B$13,2,0)</f>
        <v>Technology</v>
      </c>
      <c r="K1688">
        <v>18055</v>
      </c>
      <c r="L1688" t="s">
        <v>405</v>
      </c>
      <c r="M1688" s="4">
        <v>44187</v>
      </c>
      <c r="N1688" s="12">
        <f t="shared" si="79"/>
        <v>12</v>
      </c>
      <c r="O1688" s="13">
        <f t="shared" si="80"/>
        <v>2020</v>
      </c>
      <c r="P1688" t="s">
        <v>13</v>
      </c>
      <c r="Q1688" t="s">
        <v>130</v>
      </c>
      <c r="R1688" t="s">
        <v>31</v>
      </c>
      <c r="S1688" t="str" cm="1">
        <f t="array" ref="S1688">_xlfn.IFS(R1688="COMPLETE", "COMPLETED", R1688="CANCELED", "CANCELED", TRUE, "PENDING")</f>
        <v>COMPLETED</v>
      </c>
      <c r="T1688" t="s">
        <v>90</v>
      </c>
      <c r="U1688">
        <f>VLOOKUP(A1688,ordered_items!$B:$E,4,0)</f>
        <v>1500</v>
      </c>
    </row>
    <row r="1689" spans="1:21" x14ac:dyDescent="0.3">
      <c r="A1689">
        <v>74515</v>
      </c>
      <c r="B1689" t="s">
        <v>3</v>
      </c>
      <c r="C1689">
        <v>6</v>
      </c>
      <c r="D1689">
        <v>2</v>
      </c>
      <c r="E1689" t="str">
        <f t="shared" si="78"/>
        <v>DELAYED</v>
      </c>
      <c r="F1689">
        <f>VLOOKUP($A1689,ordered_items!$B$2:$E$4784,2,0)</f>
        <v>1351</v>
      </c>
      <c r="G1689">
        <f>VLOOKUP($A1689,ordered_items!$B$2:$E$4784,3,0)</f>
        <v>1</v>
      </c>
      <c r="H1689">
        <f>VLOOKUP($A1689,ordered_items!$B$2:$E$4784,4,0)</f>
        <v>1500</v>
      </c>
      <c r="I1689" s="15">
        <f>VLOOKUP(F1689,product_info!$A$2:$D$73,4,0)</f>
        <v>10</v>
      </c>
      <c r="J1689" s="15" t="str">
        <f>VLOOKUP(I1689,department!$A$2:$B$13,2,0)</f>
        <v>Technology</v>
      </c>
      <c r="K1689">
        <v>18068</v>
      </c>
      <c r="L1689" t="s">
        <v>660</v>
      </c>
      <c r="M1689" s="4">
        <v>44187</v>
      </c>
      <c r="N1689" s="12">
        <f t="shared" si="79"/>
        <v>12</v>
      </c>
      <c r="O1689" s="13">
        <f t="shared" si="80"/>
        <v>2020</v>
      </c>
      <c r="P1689" t="s">
        <v>13</v>
      </c>
      <c r="Q1689" t="s">
        <v>99</v>
      </c>
      <c r="R1689" t="s">
        <v>38</v>
      </c>
      <c r="S1689" t="str" cm="1">
        <f t="array" ref="S1689">_xlfn.IFS(R1689="COMPLETE", "COMPLETED", R1689="CANCELED", "CANCELED", TRUE, "PENDING")</f>
        <v>PENDING</v>
      </c>
      <c r="T1689" t="s">
        <v>90</v>
      </c>
      <c r="U1689">
        <f>VLOOKUP(A1689,ordered_items!$B:$E,4,0)</f>
        <v>1500</v>
      </c>
    </row>
    <row r="1690" spans="1:21" x14ac:dyDescent="0.3">
      <c r="A1690">
        <v>74516</v>
      </c>
      <c r="B1690" t="s">
        <v>51</v>
      </c>
      <c r="C1690">
        <v>2</v>
      </c>
      <c r="D1690">
        <v>2</v>
      </c>
      <c r="E1690" t="str">
        <f t="shared" si="78"/>
        <v xml:space="preserve"> ONTIME</v>
      </c>
      <c r="F1690">
        <f>VLOOKUP($A1690,ordered_items!$B$2:$E$4784,2,0)</f>
        <v>1351</v>
      </c>
      <c r="G1690">
        <f>VLOOKUP($A1690,ordered_items!$B$2:$E$4784,3,0)</f>
        <v>1</v>
      </c>
      <c r="H1690">
        <f>VLOOKUP($A1690,ordered_items!$B$2:$E$4784,4,0)</f>
        <v>1500</v>
      </c>
      <c r="I1690" s="15">
        <f>VLOOKUP(F1690,product_info!$A$2:$D$73,4,0)</f>
        <v>10</v>
      </c>
      <c r="J1690" s="15" t="str">
        <f>VLOOKUP(I1690,department!$A$2:$B$13,2,0)</f>
        <v>Technology</v>
      </c>
      <c r="K1690">
        <v>18069</v>
      </c>
      <c r="L1690" t="s">
        <v>1927</v>
      </c>
      <c r="M1690" s="4">
        <v>44187</v>
      </c>
      <c r="N1690" s="12">
        <f t="shared" si="79"/>
        <v>12</v>
      </c>
      <c r="O1690" s="13">
        <f t="shared" si="80"/>
        <v>2020</v>
      </c>
      <c r="P1690" t="s">
        <v>13</v>
      </c>
      <c r="Q1690" t="s">
        <v>234</v>
      </c>
      <c r="R1690" t="s">
        <v>57</v>
      </c>
      <c r="S1690" t="str" cm="1">
        <f t="array" ref="S1690">_xlfn.IFS(R1690="COMPLETE", "COMPLETED", R1690="CANCELED", "CANCELED", TRUE, "PENDING")</f>
        <v>PENDING</v>
      </c>
      <c r="T1690" t="s">
        <v>90</v>
      </c>
      <c r="U1690">
        <f>VLOOKUP(A1690,ordered_items!$B:$E,4,0)</f>
        <v>1500</v>
      </c>
    </row>
    <row r="1691" spans="1:21" x14ac:dyDescent="0.3">
      <c r="A1691">
        <v>74534</v>
      </c>
      <c r="B1691" t="s">
        <v>24</v>
      </c>
      <c r="C1691">
        <v>5</v>
      </c>
      <c r="D1691">
        <v>2</v>
      </c>
      <c r="E1691" t="str">
        <f t="shared" si="78"/>
        <v>DELAYED</v>
      </c>
      <c r="F1691">
        <f>VLOOKUP($A1691,ordered_items!$B$2:$E$4784,2,0)</f>
        <v>1351</v>
      </c>
      <c r="G1691">
        <f>VLOOKUP($A1691,ordered_items!$B$2:$E$4784,3,0)</f>
        <v>1</v>
      </c>
      <c r="H1691">
        <f>VLOOKUP($A1691,ordered_items!$B$2:$E$4784,4,0)</f>
        <v>1500</v>
      </c>
      <c r="I1691" s="15">
        <f>VLOOKUP(F1691,product_info!$A$2:$D$73,4,0)</f>
        <v>10</v>
      </c>
      <c r="J1691" s="15" t="str">
        <f>VLOOKUP(I1691,department!$A$2:$B$13,2,0)</f>
        <v>Technology</v>
      </c>
      <c r="K1691">
        <v>18087</v>
      </c>
      <c r="L1691" t="s">
        <v>525</v>
      </c>
      <c r="M1691" s="4">
        <v>44188</v>
      </c>
      <c r="N1691" s="12">
        <f t="shared" si="79"/>
        <v>12</v>
      </c>
      <c r="O1691" s="13">
        <f t="shared" si="80"/>
        <v>2020</v>
      </c>
      <c r="P1691" t="s">
        <v>13</v>
      </c>
      <c r="Q1691" t="s">
        <v>5778</v>
      </c>
      <c r="R1691" t="s">
        <v>31</v>
      </c>
      <c r="S1691" t="str" cm="1">
        <f t="array" ref="S1691">_xlfn.IFS(R1691="COMPLETE", "COMPLETED", R1691="CANCELED", "CANCELED", TRUE, "PENDING")</f>
        <v>COMPLETED</v>
      </c>
      <c r="T1691" t="s">
        <v>90</v>
      </c>
      <c r="U1691">
        <f>VLOOKUP(A1691,ordered_items!$B:$E,4,0)</f>
        <v>1500</v>
      </c>
    </row>
    <row r="1692" spans="1:21" x14ac:dyDescent="0.3">
      <c r="A1692">
        <v>74535</v>
      </c>
      <c r="B1692" t="s">
        <v>24</v>
      </c>
      <c r="C1692">
        <v>2</v>
      </c>
      <c r="D1692">
        <v>1</v>
      </c>
      <c r="E1692" t="str">
        <f t="shared" si="78"/>
        <v>DELAYED</v>
      </c>
      <c r="F1692">
        <f>VLOOKUP($A1692,ordered_items!$B$2:$E$4784,2,0)</f>
        <v>1351</v>
      </c>
      <c r="G1692">
        <f>VLOOKUP($A1692,ordered_items!$B$2:$E$4784,3,0)</f>
        <v>1</v>
      </c>
      <c r="H1692">
        <f>VLOOKUP($A1692,ordered_items!$B$2:$E$4784,4,0)</f>
        <v>1500</v>
      </c>
      <c r="I1692" s="15">
        <f>VLOOKUP(F1692,product_info!$A$2:$D$73,4,0)</f>
        <v>10</v>
      </c>
      <c r="J1692" s="15" t="str">
        <f>VLOOKUP(I1692,department!$A$2:$B$13,2,0)</f>
        <v>Technology</v>
      </c>
      <c r="K1692">
        <v>18088</v>
      </c>
      <c r="L1692" t="s">
        <v>525</v>
      </c>
      <c r="M1692" s="4">
        <v>44188</v>
      </c>
      <c r="N1692" s="12">
        <f t="shared" si="79"/>
        <v>12</v>
      </c>
      <c r="O1692" s="13">
        <f t="shared" si="80"/>
        <v>2020</v>
      </c>
      <c r="P1692" t="s">
        <v>13</v>
      </c>
      <c r="Q1692" t="s">
        <v>5778</v>
      </c>
      <c r="R1692" t="s">
        <v>31</v>
      </c>
      <c r="S1692" t="str" cm="1">
        <f t="array" ref="S1692">_xlfn.IFS(R1692="COMPLETE", "COMPLETED", R1692="CANCELED", "CANCELED", TRUE, "PENDING")</f>
        <v>COMPLETED</v>
      </c>
      <c r="T1692" t="s">
        <v>32</v>
      </c>
      <c r="U1692">
        <f>VLOOKUP(A1692,ordered_items!$B:$E,4,0)</f>
        <v>1500</v>
      </c>
    </row>
    <row r="1693" spans="1:21" x14ac:dyDescent="0.3">
      <c r="A1693">
        <v>74536</v>
      </c>
      <c r="B1693" t="s">
        <v>24</v>
      </c>
      <c r="C1693">
        <v>2</v>
      </c>
      <c r="D1693">
        <v>2</v>
      </c>
      <c r="E1693" t="str">
        <f t="shared" si="78"/>
        <v xml:space="preserve"> ONTIME</v>
      </c>
      <c r="F1693">
        <f>VLOOKUP($A1693,ordered_items!$B$2:$E$4784,2,0)</f>
        <v>1351</v>
      </c>
      <c r="G1693">
        <f>VLOOKUP($A1693,ordered_items!$B$2:$E$4784,3,0)</f>
        <v>1</v>
      </c>
      <c r="H1693">
        <f>VLOOKUP($A1693,ordered_items!$B$2:$E$4784,4,0)</f>
        <v>1500</v>
      </c>
      <c r="I1693" s="15">
        <f>VLOOKUP(F1693,product_info!$A$2:$D$73,4,0)</f>
        <v>10</v>
      </c>
      <c r="J1693" s="15" t="str">
        <f>VLOOKUP(I1693,department!$A$2:$B$13,2,0)</f>
        <v>Technology</v>
      </c>
      <c r="K1693">
        <v>18089</v>
      </c>
      <c r="L1693" t="s">
        <v>525</v>
      </c>
      <c r="M1693" s="4">
        <v>44188</v>
      </c>
      <c r="N1693" s="12">
        <f t="shared" si="79"/>
        <v>12</v>
      </c>
      <c r="O1693" s="13">
        <f t="shared" si="80"/>
        <v>2020</v>
      </c>
      <c r="P1693" t="s">
        <v>13</v>
      </c>
      <c r="Q1693" t="s">
        <v>5778</v>
      </c>
      <c r="R1693" t="s">
        <v>31</v>
      </c>
      <c r="S1693" t="str" cm="1">
        <f t="array" ref="S1693">_xlfn.IFS(R1693="COMPLETE", "COMPLETED", R1693="CANCELED", "CANCELED", TRUE, "PENDING")</f>
        <v>COMPLETED</v>
      </c>
      <c r="T1693" t="s">
        <v>90</v>
      </c>
      <c r="U1693">
        <f>VLOOKUP(A1693,ordered_items!$B:$E,4,0)</f>
        <v>1500</v>
      </c>
    </row>
    <row r="1694" spans="1:21" x14ac:dyDescent="0.3">
      <c r="A1694">
        <v>74580</v>
      </c>
      <c r="B1694" t="s">
        <v>51</v>
      </c>
      <c r="C1694">
        <v>6</v>
      </c>
      <c r="D1694">
        <v>4</v>
      </c>
      <c r="E1694" t="str">
        <f t="shared" si="78"/>
        <v>DELAYED</v>
      </c>
      <c r="F1694">
        <f>VLOOKUP($A1694,ordered_items!$B$2:$E$4784,2,0)</f>
        <v>1352</v>
      </c>
      <c r="G1694">
        <f>VLOOKUP($A1694,ordered_items!$B$2:$E$4784,3,0)</f>
        <v>1</v>
      </c>
      <c r="H1694">
        <f>VLOOKUP($A1694,ordered_items!$B$2:$E$4784,4,0)</f>
        <v>252.88</v>
      </c>
      <c r="I1694" s="15">
        <f>VLOOKUP(F1694,product_info!$A$2:$D$73,4,0)</f>
        <v>10</v>
      </c>
      <c r="J1694" s="15" t="str">
        <f>VLOOKUP(I1694,department!$A$2:$B$13,2,0)</f>
        <v>Technology</v>
      </c>
      <c r="K1694">
        <v>18133</v>
      </c>
      <c r="L1694" t="s">
        <v>233</v>
      </c>
      <c r="M1694" s="4">
        <v>44188</v>
      </c>
      <c r="N1694" s="12">
        <f t="shared" si="79"/>
        <v>12</v>
      </c>
      <c r="O1694" s="13">
        <f t="shared" si="80"/>
        <v>2020</v>
      </c>
      <c r="P1694" t="s">
        <v>13</v>
      </c>
      <c r="Q1694" t="s">
        <v>234</v>
      </c>
      <c r="R1694" t="s">
        <v>57</v>
      </c>
      <c r="S1694" t="str" cm="1">
        <f t="array" ref="S1694">_xlfn.IFS(R1694="COMPLETE", "COMPLETED", R1694="CANCELED", "CANCELED", TRUE, "PENDING")</f>
        <v>PENDING</v>
      </c>
      <c r="T1694" t="s">
        <v>16</v>
      </c>
      <c r="U1694">
        <f>VLOOKUP(A1694,ordered_items!$B:$E,4,0)</f>
        <v>252.88</v>
      </c>
    </row>
    <row r="1695" spans="1:21" x14ac:dyDescent="0.3">
      <c r="A1695">
        <v>74590</v>
      </c>
      <c r="B1695" t="s">
        <v>3</v>
      </c>
      <c r="C1695">
        <v>6</v>
      </c>
      <c r="D1695">
        <v>4</v>
      </c>
      <c r="E1695" t="str">
        <f t="shared" si="78"/>
        <v>DELAYED</v>
      </c>
      <c r="F1695">
        <f>VLOOKUP($A1695,ordered_items!$B$2:$E$4784,2,0)</f>
        <v>1352</v>
      </c>
      <c r="G1695">
        <f>VLOOKUP($A1695,ordered_items!$B$2:$E$4784,3,0)</f>
        <v>1</v>
      </c>
      <c r="H1695">
        <f>VLOOKUP($A1695,ordered_items!$B$2:$E$4784,4,0)</f>
        <v>252.88</v>
      </c>
      <c r="I1695" s="15">
        <f>VLOOKUP(F1695,product_info!$A$2:$D$73,4,0)</f>
        <v>10</v>
      </c>
      <c r="J1695" s="15" t="str">
        <f>VLOOKUP(I1695,department!$A$2:$B$13,2,0)</f>
        <v>Technology</v>
      </c>
      <c r="K1695">
        <v>18143</v>
      </c>
      <c r="L1695" t="s">
        <v>2198</v>
      </c>
      <c r="M1695" s="4">
        <v>44188</v>
      </c>
      <c r="N1695" s="12">
        <f t="shared" si="79"/>
        <v>12</v>
      </c>
      <c r="O1695" s="13">
        <f t="shared" si="80"/>
        <v>2020</v>
      </c>
      <c r="P1695" t="s">
        <v>13</v>
      </c>
      <c r="Q1695" t="s">
        <v>203</v>
      </c>
      <c r="R1695" t="s">
        <v>14</v>
      </c>
      <c r="S1695" t="str" cm="1">
        <f t="array" ref="S1695">_xlfn.IFS(R1695="COMPLETE", "COMPLETED", R1695="CANCELED", "CANCELED", TRUE, "PENDING")</f>
        <v>PENDING</v>
      </c>
      <c r="T1695" t="s">
        <v>16</v>
      </c>
      <c r="U1695">
        <f>VLOOKUP(A1695,ordered_items!$B:$E,4,0)</f>
        <v>252.88</v>
      </c>
    </row>
    <row r="1696" spans="1:21" x14ac:dyDescent="0.3">
      <c r="A1696">
        <v>74591</v>
      </c>
      <c r="B1696" t="s">
        <v>24</v>
      </c>
      <c r="C1696">
        <v>2</v>
      </c>
      <c r="D1696">
        <v>4</v>
      </c>
      <c r="E1696" t="str">
        <f t="shared" si="78"/>
        <v xml:space="preserve"> ONTIME</v>
      </c>
      <c r="F1696">
        <f>VLOOKUP($A1696,ordered_items!$B$2:$E$4784,2,0)</f>
        <v>1352</v>
      </c>
      <c r="G1696">
        <f>VLOOKUP($A1696,ordered_items!$B$2:$E$4784,3,0)</f>
        <v>1</v>
      </c>
      <c r="H1696">
        <f>VLOOKUP($A1696,ordered_items!$B$2:$E$4784,4,0)</f>
        <v>252.88</v>
      </c>
      <c r="I1696" s="15">
        <f>VLOOKUP(F1696,product_info!$A$2:$D$73,4,0)</f>
        <v>10</v>
      </c>
      <c r="J1696" s="15" t="str">
        <f>VLOOKUP(I1696,department!$A$2:$B$13,2,0)</f>
        <v>Technology</v>
      </c>
      <c r="K1696">
        <v>18144</v>
      </c>
      <c r="L1696" t="s">
        <v>2198</v>
      </c>
      <c r="M1696" s="4">
        <v>44188</v>
      </c>
      <c r="N1696" s="12">
        <f t="shared" si="79"/>
        <v>12</v>
      </c>
      <c r="O1696" s="13">
        <f t="shared" si="80"/>
        <v>2020</v>
      </c>
      <c r="P1696" t="s">
        <v>13</v>
      </c>
      <c r="Q1696" t="s">
        <v>203</v>
      </c>
      <c r="R1696" t="s">
        <v>31</v>
      </c>
      <c r="S1696" t="str" cm="1">
        <f t="array" ref="S1696">_xlfn.IFS(R1696="COMPLETE", "COMPLETED", R1696="CANCELED", "CANCELED", TRUE, "PENDING")</f>
        <v>COMPLETED</v>
      </c>
      <c r="T1696" t="s">
        <v>16</v>
      </c>
      <c r="U1696">
        <f>VLOOKUP(A1696,ordered_items!$B:$E,4,0)</f>
        <v>252.88</v>
      </c>
    </row>
    <row r="1697" spans="1:21" x14ac:dyDescent="0.3">
      <c r="A1697">
        <v>74615</v>
      </c>
      <c r="B1697" t="s">
        <v>51</v>
      </c>
      <c r="C1697">
        <v>6</v>
      </c>
      <c r="D1697">
        <v>2</v>
      </c>
      <c r="E1697" t="str">
        <f t="shared" si="78"/>
        <v>DELAYED</v>
      </c>
      <c r="F1697">
        <f>VLOOKUP($A1697,ordered_items!$B$2:$E$4784,2,0)</f>
        <v>1352</v>
      </c>
      <c r="G1697">
        <f>VLOOKUP($A1697,ordered_items!$B$2:$E$4784,3,0)</f>
        <v>1</v>
      </c>
      <c r="H1697">
        <f>VLOOKUP($A1697,ordered_items!$B$2:$E$4784,4,0)</f>
        <v>252.88</v>
      </c>
      <c r="I1697" s="15">
        <f>VLOOKUP(F1697,product_info!$A$2:$D$73,4,0)</f>
        <v>10</v>
      </c>
      <c r="J1697" s="15" t="str">
        <f>VLOOKUP(I1697,department!$A$2:$B$13,2,0)</f>
        <v>Technology</v>
      </c>
      <c r="K1697">
        <v>18168</v>
      </c>
      <c r="L1697" t="s">
        <v>1089</v>
      </c>
      <c r="M1697" s="4">
        <v>44189</v>
      </c>
      <c r="N1697" s="12">
        <f t="shared" si="79"/>
        <v>12</v>
      </c>
      <c r="O1697" s="13">
        <f t="shared" si="80"/>
        <v>2020</v>
      </c>
      <c r="P1697" t="s">
        <v>13</v>
      </c>
      <c r="Q1697" t="s">
        <v>538</v>
      </c>
      <c r="R1697" t="s">
        <v>57</v>
      </c>
      <c r="S1697" t="str" cm="1">
        <f t="array" ref="S1697">_xlfn.IFS(R1697="COMPLETE", "COMPLETED", R1697="CANCELED", "CANCELED", TRUE, "PENDING")</f>
        <v>PENDING</v>
      </c>
      <c r="T1697" t="s">
        <v>90</v>
      </c>
      <c r="U1697">
        <f>VLOOKUP(A1697,ordered_items!$B:$E,4,0)</f>
        <v>252.88</v>
      </c>
    </row>
    <row r="1698" spans="1:21" x14ac:dyDescent="0.3">
      <c r="A1698">
        <v>74616</v>
      </c>
      <c r="B1698" t="s">
        <v>51</v>
      </c>
      <c r="C1698">
        <v>2</v>
      </c>
      <c r="D1698">
        <v>4</v>
      </c>
      <c r="E1698" t="str">
        <f t="shared" si="78"/>
        <v xml:space="preserve"> ONTIME</v>
      </c>
      <c r="F1698">
        <f>VLOOKUP($A1698,ordered_items!$B$2:$E$4784,2,0)</f>
        <v>1352</v>
      </c>
      <c r="G1698">
        <f>VLOOKUP($A1698,ordered_items!$B$2:$E$4784,3,0)</f>
        <v>1</v>
      </c>
      <c r="H1698">
        <f>VLOOKUP($A1698,ordered_items!$B$2:$E$4784,4,0)</f>
        <v>252.88</v>
      </c>
      <c r="I1698" s="15">
        <f>VLOOKUP(F1698,product_info!$A$2:$D$73,4,0)</f>
        <v>10</v>
      </c>
      <c r="J1698" s="15" t="str">
        <f>VLOOKUP(I1698,department!$A$2:$B$13,2,0)</f>
        <v>Technology</v>
      </c>
      <c r="K1698">
        <v>18169</v>
      </c>
      <c r="L1698" t="s">
        <v>1089</v>
      </c>
      <c r="M1698" s="4">
        <v>44189</v>
      </c>
      <c r="N1698" s="12">
        <f t="shared" si="79"/>
        <v>12</v>
      </c>
      <c r="O1698" s="13">
        <f t="shared" si="80"/>
        <v>2020</v>
      </c>
      <c r="P1698" t="s">
        <v>13</v>
      </c>
      <c r="Q1698" t="s">
        <v>538</v>
      </c>
      <c r="R1698" t="s">
        <v>57</v>
      </c>
      <c r="S1698" t="str" cm="1">
        <f t="array" ref="S1698">_xlfn.IFS(R1698="COMPLETE", "COMPLETED", R1698="CANCELED", "CANCELED", TRUE, "PENDING")</f>
        <v>PENDING</v>
      </c>
      <c r="T1698" t="s">
        <v>16</v>
      </c>
      <c r="U1698">
        <f>VLOOKUP(A1698,ordered_items!$B:$E,4,0)</f>
        <v>252.88</v>
      </c>
    </row>
    <row r="1699" spans="1:21" x14ac:dyDescent="0.3">
      <c r="A1699">
        <v>74617</v>
      </c>
      <c r="B1699" t="s">
        <v>17</v>
      </c>
      <c r="C1699">
        <v>3</v>
      </c>
      <c r="D1699">
        <v>4</v>
      </c>
      <c r="E1699" t="str">
        <f t="shared" si="78"/>
        <v xml:space="preserve"> ONTIME</v>
      </c>
      <c r="F1699">
        <f>VLOOKUP($A1699,ordered_items!$B$2:$E$4784,2,0)</f>
        <v>1352</v>
      </c>
      <c r="G1699">
        <f>VLOOKUP($A1699,ordered_items!$B$2:$E$4784,3,0)</f>
        <v>1</v>
      </c>
      <c r="H1699">
        <f>VLOOKUP($A1699,ordered_items!$B$2:$E$4784,4,0)</f>
        <v>252.88</v>
      </c>
      <c r="I1699" s="15">
        <f>VLOOKUP(F1699,product_info!$A$2:$D$73,4,0)</f>
        <v>10</v>
      </c>
      <c r="J1699" s="15" t="str">
        <f>VLOOKUP(I1699,department!$A$2:$B$13,2,0)</f>
        <v>Technology</v>
      </c>
      <c r="K1699">
        <v>18170</v>
      </c>
      <c r="L1699" t="s">
        <v>1089</v>
      </c>
      <c r="M1699" s="4">
        <v>44189</v>
      </c>
      <c r="N1699" s="12">
        <f t="shared" si="79"/>
        <v>12</v>
      </c>
      <c r="O1699" s="13">
        <f t="shared" si="80"/>
        <v>2020</v>
      </c>
      <c r="P1699" t="s">
        <v>13</v>
      </c>
      <c r="Q1699" t="s">
        <v>538</v>
      </c>
      <c r="R1699" t="s">
        <v>23</v>
      </c>
      <c r="S1699" t="str" cm="1">
        <f t="array" ref="S1699">_xlfn.IFS(R1699="COMPLETE", "COMPLETED", R1699="CANCELED", "CANCELED", TRUE, "PENDING")</f>
        <v>PENDING</v>
      </c>
      <c r="T1699" t="s">
        <v>16</v>
      </c>
      <c r="U1699">
        <f>VLOOKUP(A1699,ordered_items!$B:$E,4,0)</f>
        <v>252.88</v>
      </c>
    </row>
    <row r="1700" spans="1:21" x14ac:dyDescent="0.3">
      <c r="A1700">
        <v>74620</v>
      </c>
      <c r="B1700" t="s">
        <v>24</v>
      </c>
      <c r="C1700">
        <v>6</v>
      </c>
      <c r="D1700">
        <v>4</v>
      </c>
      <c r="E1700" t="str">
        <f t="shared" si="78"/>
        <v>DELAYED</v>
      </c>
      <c r="F1700">
        <f>VLOOKUP($A1700,ordered_items!$B$2:$E$4784,2,0)</f>
        <v>1352</v>
      </c>
      <c r="G1700">
        <f>VLOOKUP($A1700,ordered_items!$B$2:$E$4784,3,0)</f>
        <v>1</v>
      </c>
      <c r="H1700">
        <f>VLOOKUP($A1700,ordered_items!$B$2:$E$4784,4,0)</f>
        <v>252.88</v>
      </c>
      <c r="I1700" s="15">
        <f>VLOOKUP(F1700,product_info!$A$2:$D$73,4,0)</f>
        <v>10</v>
      </c>
      <c r="J1700" s="15" t="str">
        <f>VLOOKUP(I1700,department!$A$2:$B$13,2,0)</f>
        <v>Technology</v>
      </c>
      <c r="K1700">
        <v>18173</v>
      </c>
      <c r="L1700" t="s">
        <v>743</v>
      </c>
      <c r="M1700" s="4">
        <v>44189</v>
      </c>
      <c r="N1700" s="12">
        <f t="shared" si="79"/>
        <v>12</v>
      </c>
      <c r="O1700" s="13">
        <f t="shared" si="80"/>
        <v>2020</v>
      </c>
      <c r="P1700" t="s">
        <v>13</v>
      </c>
      <c r="Q1700" t="s">
        <v>5780</v>
      </c>
      <c r="R1700" t="s">
        <v>31</v>
      </c>
      <c r="S1700" t="str" cm="1">
        <f t="array" ref="S1700">_xlfn.IFS(R1700="COMPLETE", "COMPLETED", R1700="CANCELED", "CANCELED", TRUE, "PENDING")</f>
        <v>COMPLETED</v>
      </c>
      <c r="T1700" t="s">
        <v>16</v>
      </c>
      <c r="U1700">
        <f>VLOOKUP(A1700,ordered_items!$B:$E,4,0)</f>
        <v>252.88</v>
      </c>
    </row>
    <row r="1701" spans="1:21" x14ac:dyDescent="0.3">
      <c r="A1701">
        <v>74621</v>
      </c>
      <c r="B1701" t="s">
        <v>17</v>
      </c>
      <c r="C1701">
        <v>2</v>
      </c>
      <c r="D1701">
        <v>4</v>
      </c>
      <c r="E1701" t="str">
        <f t="shared" si="78"/>
        <v xml:space="preserve"> ONTIME</v>
      </c>
      <c r="F1701">
        <f>VLOOKUP($A1701,ordered_items!$B$2:$E$4784,2,0)</f>
        <v>1352</v>
      </c>
      <c r="G1701">
        <f>VLOOKUP($A1701,ordered_items!$B$2:$E$4784,3,0)</f>
        <v>1</v>
      </c>
      <c r="H1701">
        <f>VLOOKUP($A1701,ordered_items!$B$2:$E$4784,4,0)</f>
        <v>252.88</v>
      </c>
      <c r="I1701" s="15">
        <f>VLOOKUP(F1701,product_info!$A$2:$D$73,4,0)</f>
        <v>10</v>
      </c>
      <c r="J1701" s="15" t="str">
        <f>VLOOKUP(I1701,department!$A$2:$B$13,2,0)</f>
        <v>Technology</v>
      </c>
      <c r="K1701">
        <v>18174</v>
      </c>
      <c r="L1701" t="s">
        <v>743</v>
      </c>
      <c r="M1701" s="4">
        <v>44189</v>
      </c>
      <c r="N1701" s="12">
        <f t="shared" si="79"/>
        <v>12</v>
      </c>
      <c r="O1701" s="13">
        <f t="shared" si="80"/>
        <v>2020</v>
      </c>
      <c r="P1701" t="s">
        <v>13</v>
      </c>
      <c r="Q1701" t="s">
        <v>5780</v>
      </c>
      <c r="R1701" t="s">
        <v>23</v>
      </c>
      <c r="S1701" t="str" cm="1">
        <f t="array" ref="S1701">_xlfn.IFS(R1701="COMPLETE", "COMPLETED", R1701="CANCELED", "CANCELED", TRUE, "PENDING")</f>
        <v>PENDING</v>
      </c>
      <c r="T1701" t="s">
        <v>16</v>
      </c>
      <c r="U1701">
        <f>VLOOKUP(A1701,ordered_items!$B:$E,4,0)</f>
        <v>252.88</v>
      </c>
    </row>
    <row r="1702" spans="1:21" x14ac:dyDescent="0.3">
      <c r="A1702">
        <v>74647</v>
      </c>
      <c r="B1702" t="s">
        <v>17</v>
      </c>
      <c r="C1702">
        <v>3</v>
      </c>
      <c r="D1702">
        <v>4</v>
      </c>
      <c r="E1702" t="str">
        <f t="shared" si="78"/>
        <v xml:space="preserve"> ONTIME</v>
      </c>
      <c r="F1702">
        <f>VLOOKUP($A1702,ordered_items!$B$2:$E$4784,2,0)</f>
        <v>1352</v>
      </c>
      <c r="G1702">
        <f>VLOOKUP($A1702,ordered_items!$B$2:$E$4784,3,0)</f>
        <v>1</v>
      </c>
      <c r="H1702">
        <f>VLOOKUP($A1702,ordered_items!$B$2:$E$4784,4,0)</f>
        <v>252.88</v>
      </c>
      <c r="I1702" s="15">
        <f>VLOOKUP(F1702,product_info!$A$2:$D$73,4,0)</f>
        <v>10</v>
      </c>
      <c r="J1702" s="15" t="str">
        <f>VLOOKUP(I1702,department!$A$2:$B$13,2,0)</f>
        <v>Technology</v>
      </c>
      <c r="K1702">
        <v>18200</v>
      </c>
      <c r="L1702" t="s">
        <v>258</v>
      </c>
      <c r="M1702" s="4">
        <v>44189</v>
      </c>
      <c r="N1702" s="12">
        <f t="shared" si="79"/>
        <v>12</v>
      </c>
      <c r="O1702" s="13">
        <f t="shared" si="80"/>
        <v>2020</v>
      </c>
      <c r="P1702" t="s">
        <v>13</v>
      </c>
      <c r="Q1702" t="s">
        <v>30</v>
      </c>
      <c r="R1702" t="s">
        <v>23</v>
      </c>
      <c r="S1702" t="str" cm="1">
        <f t="array" ref="S1702">_xlfn.IFS(R1702="COMPLETE", "COMPLETED", R1702="CANCELED", "CANCELED", TRUE, "PENDING")</f>
        <v>PENDING</v>
      </c>
      <c r="T1702" t="s">
        <v>16</v>
      </c>
      <c r="U1702">
        <f>VLOOKUP(A1702,ordered_items!$B:$E,4,0)</f>
        <v>252.88</v>
      </c>
    </row>
    <row r="1703" spans="1:21" x14ac:dyDescent="0.3">
      <c r="A1703">
        <v>74648</v>
      </c>
      <c r="B1703" t="s">
        <v>17</v>
      </c>
      <c r="C1703">
        <v>4</v>
      </c>
      <c r="D1703">
        <v>4</v>
      </c>
      <c r="E1703" t="str">
        <f t="shared" si="78"/>
        <v xml:space="preserve"> ONTIME</v>
      </c>
      <c r="F1703">
        <f>VLOOKUP($A1703,ordered_items!$B$2:$E$4784,2,0)</f>
        <v>1352</v>
      </c>
      <c r="G1703">
        <f>VLOOKUP($A1703,ordered_items!$B$2:$E$4784,3,0)</f>
        <v>1</v>
      </c>
      <c r="H1703">
        <f>VLOOKUP($A1703,ordered_items!$B$2:$E$4784,4,0)</f>
        <v>252.88</v>
      </c>
      <c r="I1703" s="15">
        <f>VLOOKUP(F1703,product_info!$A$2:$D$73,4,0)</f>
        <v>10</v>
      </c>
      <c r="J1703" s="15" t="str">
        <f>VLOOKUP(I1703,department!$A$2:$B$13,2,0)</f>
        <v>Technology</v>
      </c>
      <c r="K1703">
        <v>18201</v>
      </c>
      <c r="L1703" t="s">
        <v>258</v>
      </c>
      <c r="M1703" s="4">
        <v>44189</v>
      </c>
      <c r="N1703" s="12">
        <f t="shared" si="79"/>
        <v>12</v>
      </c>
      <c r="O1703" s="13">
        <f t="shared" si="80"/>
        <v>2020</v>
      </c>
      <c r="P1703" t="s">
        <v>13</v>
      </c>
      <c r="Q1703" t="s">
        <v>30</v>
      </c>
      <c r="R1703" t="s">
        <v>23</v>
      </c>
      <c r="S1703" t="str" cm="1">
        <f t="array" ref="S1703">_xlfn.IFS(R1703="COMPLETE", "COMPLETED", R1703="CANCELED", "CANCELED", TRUE, "PENDING")</f>
        <v>PENDING</v>
      </c>
      <c r="T1703" t="s">
        <v>16</v>
      </c>
      <c r="U1703">
        <f>VLOOKUP(A1703,ordered_items!$B:$E,4,0)</f>
        <v>252.88</v>
      </c>
    </row>
    <row r="1704" spans="1:21" x14ac:dyDescent="0.3">
      <c r="A1704">
        <v>74649</v>
      </c>
      <c r="B1704" t="s">
        <v>51</v>
      </c>
      <c r="C1704">
        <v>5</v>
      </c>
      <c r="D1704">
        <v>4</v>
      </c>
      <c r="E1704" t="str">
        <f t="shared" si="78"/>
        <v>DELAYED</v>
      </c>
      <c r="F1704">
        <f>VLOOKUP($A1704,ordered_items!$B$2:$E$4784,2,0)</f>
        <v>1352</v>
      </c>
      <c r="G1704">
        <f>VLOOKUP($A1704,ordered_items!$B$2:$E$4784,3,0)</f>
        <v>1</v>
      </c>
      <c r="H1704">
        <f>VLOOKUP($A1704,ordered_items!$B$2:$E$4784,4,0)</f>
        <v>252.88</v>
      </c>
      <c r="I1704" s="15">
        <f>VLOOKUP(F1704,product_info!$A$2:$D$73,4,0)</f>
        <v>10</v>
      </c>
      <c r="J1704" s="15" t="str">
        <f>VLOOKUP(I1704,department!$A$2:$B$13,2,0)</f>
        <v>Technology</v>
      </c>
      <c r="K1704">
        <v>18202</v>
      </c>
      <c r="L1704" t="s">
        <v>768</v>
      </c>
      <c r="M1704" s="4">
        <v>44189</v>
      </c>
      <c r="N1704" s="12">
        <f t="shared" si="79"/>
        <v>12</v>
      </c>
      <c r="O1704" s="13">
        <f t="shared" si="80"/>
        <v>2020</v>
      </c>
      <c r="P1704" t="s">
        <v>13</v>
      </c>
      <c r="Q1704" t="s">
        <v>431</v>
      </c>
      <c r="R1704" t="s">
        <v>57</v>
      </c>
      <c r="S1704" t="str" cm="1">
        <f t="array" ref="S1704">_xlfn.IFS(R1704="COMPLETE", "COMPLETED", R1704="CANCELED", "CANCELED", TRUE, "PENDING")</f>
        <v>PENDING</v>
      </c>
      <c r="T1704" t="s">
        <v>16</v>
      </c>
      <c r="U1704">
        <f>VLOOKUP(A1704,ordered_items!$B:$E,4,0)</f>
        <v>252.88</v>
      </c>
    </row>
    <row r="1705" spans="1:21" x14ac:dyDescent="0.3">
      <c r="A1705">
        <v>74671</v>
      </c>
      <c r="B1705" t="s">
        <v>51</v>
      </c>
      <c r="C1705">
        <v>2</v>
      </c>
      <c r="D1705">
        <v>4</v>
      </c>
      <c r="E1705" t="str">
        <f t="shared" si="78"/>
        <v xml:space="preserve"> ONTIME</v>
      </c>
      <c r="F1705">
        <f>VLOOKUP($A1705,ordered_items!$B$2:$E$4784,2,0)</f>
        <v>1352</v>
      </c>
      <c r="G1705">
        <f>VLOOKUP($A1705,ordered_items!$B$2:$E$4784,3,0)</f>
        <v>1</v>
      </c>
      <c r="H1705">
        <f>VLOOKUP($A1705,ordered_items!$B$2:$E$4784,4,0)</f>
        <v>252.88</v>
      </c>
      <c r="I1705" s="15">
        <f>VLOOKUP(F1705,product_info!$A$2:$D$73,4,0)</f>
        <v>10</v>
      </c>
      <c r="J1705" s="15" t="str">
        <f>VLOOKUP(I1705,department!$A$2:$B$13,2,0)</f>
        <v>Technology</v>
      </c>
      <c r="K1705">
        <v>18224</v>
      </c>
      <c r="L1705" t="s">
        <v>70</v>
      </c>
      <c r="M1705" s="4">
        <v>44190</v>
      </c>
      <c r="N1705" s="12">
        <f t="shared" si="79"/>
        <v>12</v>
      </c>
      <c r="O1705" s="13">
        <f t="shared" si="80"/>
        <v>2020</v>
      </c>
      <c r="P1705" t="s">
        <v>13</v>
      </c>
      <c r="Q1705" t="s">
        <v>70</v>
      </c>
      <c r="R1705" t="s">
        <v>57</v>
      </c>
      <c r="S1705" t="str" cm="1">
        <f t="array" ref="S1705">_xlfn.IFS(R1705="COMPLETE", "COMPLETED", R1705="CANCELED", "CANCELED", TRUE, "PENDING")</f>
        <v>PENDING</v>
      </c>
      <c r="T1705" t="s">
        <v>16</v>
      </c>
      <c r="U1705">
        <f>VLOOKUP(A1705,ordered_items!$B:$E,4,0)</f>
        <v>252.88</v>
      </c>
    </row>
    <row r="1706" spans="1:21" x14ac:dyDescent="0.3">
      <c r="A1706">
        <v>74676</v>
      </c>
      <c r="B1706" t="s">
        <v>24</v>
      </c>
      <c r="C1706">
        <v>2</v>
      </c>
      <c r="D1706">
        <v>2</v>
      </c>
      <c r="E1706" t="str">
        <f t="shared" si="78"/>
        <v xml:space="preserve"> ONTIME</v>
      </c>
      <c r="F1706">
        <f>VLOOKUP($A1706,ordered_items!$B$2:$E$4784,2,0)</f>
        <v>1352</v>
      </c>
      <c r="G1706">
        <f>VLOOKUP($A1706,ordered_items!$B$2:$E$4784,3,0)</f>
        <v>1</v>
      </c>
      <c r="H1706">
        <f>VLOOKUP($A1706,ordered_items!$B$2:$E$4784,4,0)</f>
        <v>252.88</v>
      </c>
      <c r="I1706" s="15">
        <f>VLOOKUP(F1706,product_info!$A$2:$D$73,4,0)</f>
        <v>10</v>
      </c>
      <c r="J1706" s="15" t="str">
        <f>VLOOKUP(I1706,department!$A$2:$B$13,2,0)</f>
        <v>Technology</v>
      </c>
      <c r="K1706">
        <v>18229</v>
      </c>
      <c r="L1706" t="s">
        <v>780</v>
      </c>
      <c r="M1706" s="4">
        <v>44190</v>
      </c>
      <c r="N1706" s="12">
        <f t="shared" si="79"/>
        <v>12</v>
      </c>
      <c r="O1706" s="13">
        <f t="shared" si="80"/>
        <v>2020</v>
      </c>
      <c r="P1706" t="s">
        <v>13</v>
      </c>
      <c r="Q1706" t="s">
        <v>80</v>
      </c>
      <c r="R1706" t="s">
        <v>31</v>
      </c>
      <c r="S1706" t="str" cm="1">
        <f t="array" ref="S1706">_xlfn.IFS(R1706="COMPLETE", "COMPLETED", R1706="CANCELED", "CANCELED", TRUE, "PENDING")</f>
        <v>COMPLETED</v>
      </c>
      <c r="T1706" t="s">
        <v>90</v>
      </c>
      <c r="U1706">
        <f>VLOOKUP(A1706,ordered_items!$B:$E,4,0)</f>
        <v>252.88</v>
      </c>
    </row>
    <row r="1707" spans="1:21" x14ac:dyDescent="0.3">
      <c r="A1707">
        <v>74677</v>
      </c>
      <c r="B1707" t="s">
        <v>24</v>
      </c>
      <c r="C1707">
        <v>2</v>
      </c>
      <c r="D1707">
        <v>1</v>
      </c>
      <c r="E1707" t="str">
        <f t="shared" si="78"/>
        <v>DELAYED</v>
      </c>
      <c r="F1707">
        <f>VLOOKUP($A1707,ordered_items!$B$2:$E$4784,2,0)</f>
        <v>1352</v>
      </c>
      <c r="G1707">
        <f>VLOOKUP($A1707,ordered_items!$B$2:$E$4784,3,0)</f>
        <v>1</v>
      </c>
      <c r="H1707">
        <f>VLOOKUP($A1707,ordered_items!$B$2:$E$4784,4,0)</f>
        <v>252.88</v>
      </c>
      <c r="I1707" s="15">
        <f>VLOOKUP(F1707,product_info!$A$2:$D$73,4,0)</f>
        <v>10</v>
      </c>
      <c r="J1707" s="15" t="str">
        <f>VLOOKUP(I1707,department!$A$2:$B$13,2,0)</f>
        <v>Technology</v>
      </c>
      <c r="K1707">
        <v>18230</v>
      </c>
      <c r="L1707" t="s">
        <v>780</v>
      </c>
      <c r="M1707" s="4">
        <v>44190</v>
      </c>
      <c r="N1707" s="12">
        <f t="shared" si="79"/>
        <v>12</v>
      </c>
      <c r="O1707" s="13">
        <f t="shared" si="80"/>
        <v>2020</v>
      </c>
      <c r="P1707" t="s">
        <v>13</v>
      </c>
      <c r="Q1707" t="s">
        <v>80</v>
      </c>
      <c r="R1707" t="s">
        <v>31</v>
      </c>
      <c r="S1707" t="str" cm="1">
        <f t="array" ref="S1707">_xlfn.IFS(R1707="COMPLETE", "COMPLETED", R1707="CANCELED", "CANCELED", TRUE, "PENDING")</f>
        <v>COMPLETED</v>
      </c>
      <c r="T1707" t="s">
        <v>32</v>
      </c>
      <c r="U1707">
        <f>VLOOKUP(A1707,ordered_items!$B:$E,4,0)</f>
        <v>252.88</v>
      </c>
    </row>
    <row r="1708" spans="1:21" x14ac:dyDescent="0.3">
      <c r="A1708">
        <v>74679</v>
      </c>
      <c r="B1708" t="s">
        <v>3</v>
      </c>
      <c r="C1708">
        <v>5</v>
      </c>
      <c r="D1708">
        <v>4</v>
      </c>
      <c r="E1708" t="str">
        <f t="shared" si="78"/>
        <v>DELAYED</v>
      </c>
      <c r="F1708">
        <f>VLOOKUP($A1708,ordered_items!$B$2:$E$4784,2,0)</f>
        <v>1352</v>
      </c>
      <c r="G1708">
        <f>VLOOKUP($A1708,ordered_items!$B$2:$E$4784,3,0)</f>
        <v>1</v>
      </c>
      <c r="H1708">
        <f>VLOOKUP($A1708,ordered_items!$B$2:$E$4784,4,0)</f>
        <v>252.88</v>
      </c>
      <c r="I1708" s="15">
        <f>VLOOKUP(F1708,product_info!$A$2:$D$73,4,0)</f>
        <v>10</v>
      </c>
      <c r="J1708" s="15" t="str">
        <f>VLOOKUP(I1708,department!$A$2:$B$13,2,0)</f>
        <v>Technology</v>
      </c>
      <c r="K1708">
        <v>18232</v>
      </c>
      <c r="L1708" t="s">
        <v>186</v>
      </c>
      <c r="M1708" s="4">
        <v>44190</v>
      </c>
      <c r="N1708" s="12">
        <f t="shared" si="79"/>
        <v>12</v>
      </c>
      <c r="O1708" s="13">
        <f t="shared" si="80"/>
        <v>2020</v>
      </c>
      <c r="P1708" t="s">
        <v>13</v>
      </c>
      <c r="Q1708" t="s">
        <v>5778</v>
      </c>
      <c r="R1708" t="s">
        <v>178</v>
      </c>
      <c r="S1708" t="str" cm="1">
        <f t="array" ref="S1708">_xlfn.IFS(R1708="COMPLETE", "COMPLETED", R1708="CANCELED", "CANCELED", TRUE, "PENDING")</f>
        <v>PENDING</v>
      </c>
      <c r="T1708" t="s">
        <v>16</v>
      </c>
      <c r="U1708">
        <f>VLOOKUP(A1708,ordered_items!$B:$E,4,0)</f>
        <v>252.88</v>
      </c>
    </row>
    <row r="1709" spans="1:21" x14ac:dyDescent="0.3">
      <c r="A1709">
        <v>74680</v>
      </c>
      <c r="B1709" t="s">
        <v>51</v>
      </c>
      <c r="C1709">
        <v>6</v>
      </c>
      <c r="D1709">
        <v>4</v>
      </c>
      <c r="E1709" t="str">
        <f t="shared" si="78"/>
        <v>DELAYED</v>
      </c>
      <c r="F1709">
        <f>VLOOKUP($A1709,ordered_items!$B$2:$E$4784,2,0)</f>
        <v>1352</v>
      </c>
      <c r="G1709">
        <f>VLOOKUP($A1709,ordered_items!$B$2:$E$4784,3,0)</f>
        <v>1</v>
      </c>
      <c r="H1709">
        <f>VLOOKUP($A1709,ordered_items!$B$2:$E$4784,4,0)</f>
        <v>252.88</v>
      </c>
      <c r="I1709" s="15">
        <f>VLOOKUP(F1709,product_info!$A$2:$D$73,4,0)</f>
        <v>10</v>
      </c>
      <c r="J1709" s="15" t="str">
        <f>VLOOKUP(I1709,department!$A$2:$B$13,2,0)</f>
        <v>Technology</v>
      </c>
      <c r="K1709">
        <v>18233</v>
      </c>
      <c r="L1709" t="s">
        <v>79</v>
      </c>
      <c r="M1709" s="4">
        <v>44190</v>
      </c>
      <c r="N1709" s="12">
        <f t="shared" si="79"/>
        <v>12</v>
      </c>
      <c r="O1709" s="13">
        <f t="shared" si="80"/>
        <v>2020</v>
      </c>
      <c r="P1709" t="s">
        <v>13</v>
      </c>
      <c r="Q1709" t="s">
        <v>80</v>
      </c>
      <c r="R1709" t="s">
        <v>57</v>
      </c>
      <c r="S1709" t="str" cm="1">
        <f t="array" ref="S1709">_xlfn.IFS(R1709="COMPLETE", "COMPLETED", R1709="CANCELED", "CANCELED", TRUE, "PENDING")</f>
        <v>PENDING</v>
      </c>
      <c r="T1709" t="s">
        <v>16</v>
      </c>
      <c r="U1709">
        <f>VLOOKUP(A1709,ordered_items!$B:$E,4,0)</f>
        <v>252.88</v>
      </c>
    </row>
    <row r="1710" spans="1:21" x14ac:dyDescent="0.3">
      <c r="A1710">
        <v>74681</v>
      </c>
      <c r="B1710" t="s">
        <v>24</v>
      </c>
      <c r="C1710">
        <v>2</v>
      </c>
      <c r="D1710">
        <v>4</v>
      </c>
      <c r="E1710" t="str">
        <f t="shared" si="78"/>
        <v xml:space="preserve"> ONTIME</v>
      </c>
      <c r="F1710">
        <f>VLOOKUP($A1710,ordered_items!$B$2:$E$4784,2,0)</f>
        <v>1352</v>
      </c>
      <c r="G1710">
        <f>VLOOKUP($A1710,ordered_items!$B$2:$E$4784,3,0)</f>
        <v>1</v>
      </c>
      <c r="H1710">
        <f>VLOOKUP($A1710,ordered_items!$B$2:$E$4784,4,0)</f>
        <v>252.88</v>
      </c>
      <c r="I1710" s="15">
        <f>VLOOKUP(F1710,product_info!$A$2:$D$73,4,0)</f>
        <v>10</v>
      </c>
      <c r="J1710" s="15" t="str">
        <f>VLOOKUP(I1710,department!$A$2:$B$13,2,0)</f>
        <v>Technology</v>
      </c>
      <c r="K1710">
        <v>18234</v>
      </c>
      <c r="L1710" t="s">
        <v>79</v>
      </c>
      <c r="M1710" s="4">
        <v>44190</v>
      </c>
      <c r="N1710" s="12">
        <f t="shared" si="79"/>
        <v>12</v>
      </c>
      <c r="O1710" s="13">
        <f t="shared" si="80"/>
        <v>2020</v>
      </c>
      <c r="P1710" t="s">
        <v>13</v>
      </c>
      <c r="Q1710" t="s">
        <v>80</v>
      </c>
      <c r="R1710" t="s">
        <v>31</v>
      </c>
      <c r="S1710" t="str" cm="1">
        <f t="array" ref="S1710">_xlfn.IFS(R1710="COMPLETE", "COMPLETED", R1710="CANCELED", "CANCELED", TRUE, "PENDING")</f>
        <v>COMPLETED</v>
      </c>
      <c r="T1710" t="s">
        <v>16</v>
      </c>
      <c r="U1710">
        <f>VLOOKUP(A1710,ordered_items!$B:$E,4,0)</f>
        <v>252.88</v>
      </c>
    </row>
    <row r="1711" spans="1:21" x14ac:dyDescent="0.3">
      <c r="A1711">
        <v>74682</v>
      </c>
      <c r="B1711" t="s">
        <v>17</v>
      </c>
      <c r="C1711">
        <v>3</v>
      </c>
      <c r="D1711">
        <v>4</v>
      </c>
      <c r="E1711" t="str">
        <f t="shared" si="78"/>
        <v xml:space="preserve"> ONTIME</v>
      </c>
      <c r="F1711">
        <f>VLOOKUP($A1711,ordered_items!$B$2:$E$4784,2,0)</f>
        <v>1352</v>
      </c>
      <c r="G1711">
        <f>VLOOKUP($A1711,ordered_items!$B$2:$E$4784,3,0)</f>
        <v>1</v>
      </c>
      <c r="H1711">
        <f>VLOOKUP($A1711,ordered_items!$B$2:$E$4784,4,0)</f>
        <v>252.88</v>
      </c>
      <c r="I1711" s="15">
        <f>VLOOKUP(F1711,product_info!$A$2:$D$73,4,0)</f>
        <v>10</v>
      </c>
      <c r="J1711" s="15" t="str">
        <f>VLOOKUP(I1711,department!$A$2:$B$13,2,0)</f>
        <v>Technology</v>
      </c>
      <c r="K1711">
        <v>18235</v>
      </c>
      <c r="L1711" t="s">
        <v>79</v>
      </c>
      <c r="M1711" s="4">
        <v>44190</v>
      </c>
      <c r="N1711" s="12">
        <f t="shared" si="79"/>
        <v>12</v>
      </c>
      <c r="O1711" s="13">
        <f t="shared" si="80"/>
        <v>2020</v>
      </c>
      <c r="P1711" t="s">
        <v>13</v>
      </c>
      <c r="Q1711" t="s">
        <v>80</v>
      </c>
      <c r="R1711" t="s">
        <v>23</v>
      </c>
      <c r="S1711" t="str" cm="1">
        <f t="array" ref="S1711">_xlfn.IFS(R1711="COMPLETE", "COMPLETED", R1711="CANCELED", "CANCELED", TRUE, "PENDING")</f>
        <v>PENDING</v>
      </c>
      <c r="T1711" t="s">
        <v>16</v>
      </c>
      <c r="U1711">
        <f>VLOOKUP(A1711,ordered_items!$B:$E,4,0)</f>
        <v>252.88</v>
      </c>
    </row>
    <row r="1712" spans="1:21" x14ac:dyDescent="0.3">
      <c r="A1712">
        <v>74683</v>
      </c>
      <c r="B1712" t="s">
        <v>24</v>
      </c>
      <c r="C1712">
        <v>4</v>
      </c>
      <c r="D1712">
        <v>4</v>
      </c>
      <c r="E1712" t="str">
        <f t="shared" si="78"/>
        <v xml:space="preserve"> ONTIME</v>
      </c>
      <c r="F1712">
        <f>VLOOKUP($A1712,ordered_items!$B$2:$E$4784,2,0)</f>
        <v>1352</v>
      </c>
      <c r="G1712">
        <f>VLOOKUP($A1712,ordered_items!$B$2:$E$4784,3,0)</f>
        <v>1</v>
      </c>
      <c r="H1712">
        <f>VLOOKUP($A1712,ordered_items!$B$2:$E$4784,4,0)</f>
        <v>252.88</v>
      </c>
      <c r="I1712" s="15">
        <f>VLOOKUP(F1712,product_info!$A$2:$D$73,4,0)</f>
        <v>10</v>
      </c>
      <c r="J1712" s="15" t="str">
        <f>VLOOKUP(I1712,department!$A$2:$B$13,2,0)</f>
        <v>Technology</v>
      </c>
      <c r="K1712">
        <v>18236</v>
      </c>
      <c r="L1712" t="s">
        <v>79</v>
      </c>
      <c r="M1712" s="4">
        <v>44190</v>
      </c>
      <c r="N1712" s="12">
        <f t="shared" si="79"/>
        <v>12</v>
      </c>
      <c r="O1712" s="13">
        <f t="shared" si="80"/>
        <v>2020</v>
      </c>
      <c r="P1712" t="s">
        <v>13</v>
      </c>
      <c r="Q1712" t="s">
        <v>80</v>
      </c>
      <c r="R1712" t="s">
        <v>31</v>
      </c>
      <c r="S1712" t="str" cm="1">
        <f t="array" ref="S1712">_xlfn.IFS(R1712="COMPLETE", "COMPLETED", R1712="CANCELED", "CANCELED", TRUE, "PENDING")</f>
        <v>COMPLETED</v>
      </c>
      <c r="T1712" t="s">
        <v>16</v>
      </c>
      <c r="U1712">
        <f>VLOOKUP(A1712,ordered_items!$B:$E,4,0)</f>
        <v>252.88</v>
      </c>
    </row>
    <row r="1713" spans="1:21" x14ac:dyDescent="0.3">
      <c r="A1713">
        <v>74685</v>
      </c>
      <c r="B1713" t="s">
        <v>3</v>
      </c>
      <c r="C1713">
        <v>6</v>
      </c>
      <c r="D1713">
        <v>2</v>
      </c>
      <c r="E1713" t="str">
        <f t="shared" si="78"/>
        <v>DELAYED</v>
      </c>
      <c r="F1713">
        <f>VLOOKUP($A1713,ordered_items!$B$2:$E$4784,2,0)</f>
        <v>1352</v>
      </c>
      <c r="G1713">
        <f>VLOOKUP($A1713,ordered_items!$B$2:$E$4784,3,0)</f>
        <v>1</v>
      </c>
      <c r="H1713">
        <f>VLOOKUP($A1713,ordered_items!$B$2:$E$4784,4,0)</f>
        <v>252.88</v>
      </c>
      <c r="I1713" s="15">
        <f>VLOOKUP(F1713,product_info!$A$2:$D$73,4,0)</f>
        <v>10</v>
      </c>
      <c r="J1713" s="15" t="str">
        <f>VLOOKUP(I1713,department!$A$2:$B$13,2,0)</f>
        <v>Technology</v>
      </c>
      <c r="K1713">
        <v>18238</v>
      </c>
      <c r="L1713" t="s">
        <v>881</v>
      </c>
      <c r="M1713" s="4">
        <v>44190</v>
      </c>
      <c r="N1713" s="12">
        <f t="shared" si="79"/>
        <v>12</v>
      </c>
      <c r="O1713" s="13">
        <f t="shared" si="80"/>
        <v>2020</v>
      </c>
      <c r="P1713" t="s">
        <v>13</v>
      </c>
      <c r="Q1713" t="s">
        <v>99</v>
      </c>
      <c r="R1713" t="s">
        <v>14</v>
      </c>
      <c r="S1713" t="str" cm="1">
        <f t="array" ref="S1713">_xlfn.IFS(R1713="COMPLETE", "COMPLETED", R1713="CANCELED", "CANCELED", TRUE, "PENDING")</f>
        <v>PENDING</v>
      </c>
      <c r="T1713" t="s">
        <v>90</v>
      </c>
      <c r="U1713">
        <f>VLOOKUP(A1713,ordered_items!$B:$E,4,0)</f>
        <v>252.88</v>
      </c>
    </row>
    <row r="1714" spans="1:21" x14ac:dyDescent="0.3">
      <c r="A1714">
        <v>74686</v>
      </c>
      <c r="B1714" t="s">
        <v>24</v>
      </c>
      <c r="C1714">
        <v>2</v>
      </c>
      <c r="D1714">
        <v>4</v>
      </c>
      <c r="E1714" t="str">
        <f t="shared" si="78"/>
        <v xml:space="preserve"> ONTIME</v>
      </c>
      <c r="F1714">
        <f>VLOOKUP($A1714,ordered_items!$B$2:$E$4784,2,0)</f>
        <v>1352</v>
      </c>
      <c r="G1714">
        <f>VLOOKUP($A1714,ordered_items!$B$2:$E$4784,3,0)</f>
        <v>1</v>
      </c>
      <c r="H1714">
        <f>VLOOKUP($A1714,ordered_items!$B$2:$E$4784,4,0)</f>
        <v>252.88</v>
      </c>
      <c r="I1714" s="15">
        <f>VLOOKUP(F1714,product_info!$A$2:$D$73,4,0)</f>
        <v>10</v>
      </c>
      <c r="J1714" s="15" t="str">
        <f>VLOOKUP(I1714,department!$A$2:$B$13,2,0)</f>
        <v>Technology</v>
      </c>
      <c r="K1714">
        <v>18239</v>
      </c>
      <c r="L1714" t="s">
        <v>857</v>
      </c>
      <c r="M1714" s="4">
        <v>44190</v>
      </c>
      <c r="N1714" s="12">
        <f t="shared" si="79"/>
        <v>12</v>
      </c>
      <c r="O1714" s="13">
        <f t="shared" si="80"/>
        <v>2020</v>
      </c>
      <c r="P1714" t="s">
        <v>13</v>
      </c>
      <c r="Q1714" t="s">
        <v>80</v>
      </c>
      <c r="R1714" t="s">
        <v>31</v>
      </c>
      <c r="S1714" t="str" cm="1">
        <f t="array" ref="S1714">_xlfn.IFS(R1714="COMPLETE", "COMPLETED", R1714="CANCELED", "CANCELED", TRUE, "PENDING")</f>
        <v>COMPLETED</v>
      </c>
      <c r="T1714" t="s">
        <v>16</v>
      </c>
      <c r="U1714">
        <f>VLOOKUP(A1714,ordered_items!$B:$E,4,0)</f>
        <v>252.88</v>
      </c>
    </row>
    <row r="1715" spans="1:21" x14ac:dyDescent="0.3">
      <c r="A1715">
        <v>74687</v>
      </c>
      <c r="B1715" t="s">
        <v>51</v>
      </c>
      <c r="C1715">
        <v>3</v>
      </c>
      <c r="D1715">
        <v>4</v>
      </c>
      <c r="E1715" t="str">
        <f t="shared" si="78"/>
        <v xml:space="preserve"> ONTIME</v>
      </c>
      <c r="F1715">
        <f>VLOOKUP($A1715,ordered_items!$B$2:$E$4784,2,0)</f>
        <v>1352</v>
      </c>
      <c r="G1715">
        <f>VLOOKUP($A1715,ordered_items!$B$2:$E$4784,3,0)</f>
        <v>1</v>
      </c>
      <c r="H1715">
        <f>VLOOKUP($A1715,ordered_items!$B$2:$E$4784,4,0)</f>
        <v>252.88</v>
      </c>
      <c r="I1715" s="15">
        <f>VLOOKUP(F1715,product_info!$A$2:$D$73,4,0)</f>
        <v>10</v>
      </c>
      <c r="J1715" s="15" t="str">
        <f>VLOOKUP(I1715,department!$A$2:$B$13,2,0)</f>
        <v>Technology</v>
      </c>
      <c r="K1715">
        <v>18240</v>
      </c>
      <c r="L1715" t="s">
        <v>357</v>
      </c>
      <c r="M1715" s="4">
        <v>44190</v>
      </c>
      <c r="N1715" s="12">
        <f t="shared" si="79"/>
        <v>12</v>
      </c>
      <c r="O1715" s="13">
        <f t="shared" si="80"/>
        <v>2020</v>
      </c>
      <c r="P1715" t="s">
        <v>13</v>
      </c>
      <c r="Q1715" t="s">
        <v>203</v>
      </c>
      <c r="R1715" t="s">
        <v>57</v>
      </c>
      <c r="S1715" t="str" cm="1">
        <f t="array" ref="S1715">_xlfn.IFS(R1715="COMPLETE", "COMPLETED", R1715="CANCELED", "CANCELED", TRUE, "PENDING")</f>
        <v>PENDING</v>
      </c>
      <c r="T1715" t="s">
        <v>16</v>
      </c>
      <c r="U1715">
        <f>VLOOKUP(A1715,ordered_items!$B:$E,4,0)</f>
        <v>252.88</v>
      </c>
    </row>
    <row r="1716" spans="1:21" x14ac:dyDescent="0.3">
      <c r="A1716">
        <v>74688</v>
      </c>
      <c r="B1716" t="s">
        <v>24</v>
      </c>
      <c r="C1716">
        <v>4</v>
      </c>
      <c r="D1716">
        <v>4</v>
      </c>
      <c r="E1716" t="str">
        <f t="shared" si="78"/>
        <v xml:space="preserve"> ONTIME</v>
      </c>
      <c r="F1716">
        <f>VLOOKUP($A1716,ordered_items!$B$2:$E$4784,2,0)</f>
        <v>1352</v>
      </c>
      <c r="G1716">
        <f>VLOOKUP($A1716,ordered_items!$B$2:$E$4784,3,0)</f>
        <v>1</v>
      </c>
      <c r="H1716">
        <f>VLOOKUP($A1716,ordered_items!$B$2:$E$4784,4,0)</f>
        <v>252.88</v>
      </c>
      <c r="I1716" s="15">
        <f>VLOOKUP(F1716,product_info!$A$2:$D$73,4,0)</f>
        <v>10</v>
      </c>
      <c r="J1716" s="15" t="str">
        <f>VLOOKUP(I1716,department!$A$2:$B$13,2,0)</f>
        <v>Technology</v>
      </c>
      <c r="K1716">
        <v>18241</v>
      </c>
      <c r="L1716" t="s">
        <v>357</v>
      </c>
      <c r="M1716" s="4">
        <v>44190</v>
      </c>
      <c r="N1716" s="12">
        <f t="shared" si="79"/>
        <v>12</v>
      </c>
      <c r="O1716" s="13">
        <f t="shared" si="80"/>
        <v>2020</v>
      </c>
      <c r="P1716" t="s">
        <v>13</v>
      </c>
      <c r="Q1716" t="s">
        <v>203</v>
      </c>
      <c r="R1716" t="s">
        <v>31</v>
      </c>
      <c r="S1716" t="str" cm="1">
        <f t="array" ref="S1716">_xlfn.IFS(R1716="COMPLETE", "COMPLETED", R1716="CANCELED", "CANCELED", TRUE, "PENDING")</f>
        <v>COMPLETED</v>
      </c>
      <c r="T1716" t="s">
        <v>16</v>
      </c>
      <c r="U1716">
        <f>VLOOKUP(A1716,ordered_items!$B:$E,4,0)</f>
        <v>252.88</v>
      </c>
    </row>
    <row r="1717" spans="1:21" x14ac:dyDescent="0.3">
      <c r="A1717">
        <v>74694</v>
      </c>
      <c r="B1717" t="s">
        <v>17</v>
      </c>
      <c r="C1717">
        <v>5</v>
      </c>
      <c r="D1717">
        <v>2</v>
      </c>
      <c r="E1717" t="str">
        <f t="shared" si="78"/>
        <v>DELAYED</v>
      </c>
      <c r="F1717">
        <f>VLOOKUP($A1717,ordered_items!$B$2:$E$4784,2,0)</f>
        <v>1352</v>
      </c>
      <c r="G1717">
        <f>VLOOKUP($A1717,ordered_items!$B$2:$E$4784,3,0)</f>
        <v>1</v>
      </c>
      <c r="H1717">
        <f>VLOOKUP($A1717,ordered_items!$B$2:$E$4784,4,0)</f>
        <v>252.88</v>
      </c>
      <c r="I1717" s="15">
        <f>VLOOKUP(F1717,product_info!$A$2:$D$73,4,0)</f>
        <v>10</v>
      </c>
      <c r="J1717" s="15" t="str">
        <f>VLOOKUP(I1717,department!$A$2:$B$13,2,0)</f>
        <v>Technology</v>
      </c>
      <c r="K1717">
        <v>18247</v>
      </c>
      <c r="L1717" t="s">
        <v>465</v>
      </c>
      <c r="M1717" s="4">
        <v>44190</v>
      </c>
      <c r="N1717" s="12">
        <f t="shared" si="79"/>
        <v>12</v>
      </c>
      <c r="O1717" s="13">
        <f t="shared" si="80"/>
        <v>2020</v>
      </c>
      <c r="P1717" t="s">
        <v>13</v>
      </c>
      <c r="Q1717" t="s">
        <v>99</v>
      </c>
      <c r="R1717" t="s">
        <v>23</v>
      </c>
      <c r="S1717" t="str" cm="1">
        <f t="array" ref="S1717">_xlfn.IFS(R1717="COMPLETE", "COMPLETED", R1717="CANCELED", "CANCELED", TRUE, "PENDING")</f>
        <v>PENDING</v>
      </c>
      <c r="T1717" t="s">
        <v>90</v>
      </c>
      <c r="U1717">
        <f>VLOOKUP(A1717,ordered_items!$B:$E,4,0)</f>
        <v>252.88</v>
      </c>
    </row>
    <row r="1718" spans="1:21" x14ac:dyDescent="0.3">
      <c r="A1718">
        <v>74695</v>
      </c>
      <c r="B1718" t="s">
        <v>51</v>
      </c>
      <c r="C1718">
        <v>6</v>
      </c>
      <c r="D1718">
        <v>2</v>
      </c>
      <c r="E1718" t="str">
        <f t="shared" si="78"/>
        <v>DELAYED</v>
      </c>
      <c r="F1718">
        <f>VLOOKUP($A1718,ordered_items!$B$2:$E$4784,2,0)</f>
        <v>1352</v>
      </c>
      <c r="G1718">
        <f>VLOOKUP($A1718,ordered_items!$B$2:$E$4784,3,0)</f>
        <v>1</v>
      </c>
      <c r="H1718">
        <f>VLOOKUP($A1718,ordered_items!$B$2:$E$4784,4,0)</f>
        <v>252.88</v>
      </c>
      <c r="I1718" s="15">
        <f>VLOOKUP(F1718,product_info!$A$2:$D$73,4,0)</f>
        <v>10</v>
      </c>
      <c r="J1718" s="15" t="str">
        <f>VLOOKUP(I1718,department!$A$2:$B$13,2,0)</f>
        <v>Technology</v>
      </c>
      <c r="K1718">
        <v>18248</v>
      </c>
      <c r="L1718" t="s">
        <v>465</v>
      </c>
      <c r="M1718" s="4">
        <v>44190</v>
      </c>
      <c r="N1718" s="12">
        <f t="shared" si="79"/>
        <v>12</v>
      </c>
      <c r="O1718" s="13">
        <f t="shared" si="80"/>
        <v>2020</v>
      </c>
      <c r="P1718" t="s">
        <v>13</v>
      </c>
      <c r="Q1718" t="s">
        <v>99</v>
      </c>
      <c r="R1718" t="s">
        <v>57</v>
      </c>
      <c r="S1718" t="str" cm="1">
        <f t="array" ref="S1718">_xlfn.IFS(R1718="COMPLETE", "COMPLETED", R1718="CANCELED", "CANCELED", TRUE, "PENDING")</f>
        <v>PENDING</v>
      </c>
      <c r="T1718" t="s">
        <v>90</v>
      </c>
      <c r="U1718">
        <f>VLOOKUP(A1718,ordered_items!$B:$E,4,0)</f>
        <v>252.88</v>
      </c>
    </row>
    <row r="1719" spans="1:21" x14ac:dyDescent="0.3">
      <c r="A1719">
        <v>74696</v>
      </c>
      <c r="B1719" t="s">
        <v>24</v>
      </c>
      <c r="C1719">
        <v>2</v>
      </c>
      <c r="D1719">
        <v>4</v>
      </c>
      <c r="E1719" t="str">
        <f t="shared" si="78"/>
        <v xml:space="preserve"> ONTIME</v>
      </c>
      <c r="F1719">
        <f>VLOOKUP($A1719,ordered_items!$B$2:$E$4784,2,0)</f>
        <v>1352</v>
      </c>
      <c r="G1719">
        <f>VLOOKUP($A1719,ordered_items!$B$2:$E$4784,3,0)</f>
        <v>1</v>
      </c>
      <c r="H1719">
        <f>VLOOKUP($A1719,ordered_items!$B$2:$E$4784,4,0)</f>
        <v>252.88</v>
      </c>
      <c r="I1719" s="15">
        <f>VLOOKUP(F1719,product_info!$A$2:$D$73,4,0)</f>
        <v>10</v>
      </c>
      <c r="J1719" s="15" t="str">
        <f>VLOOKUP(I1719,department!$A$2:$B$13,2,0)</f>
        <v>Technology</v>
      </c>
      <c r="K1719">
        <v>18249</v>
      </c>
      <c r="L1719" t="s">
        <v>465</v>
      </c>
      <c r="M1719" s="4">
        <v>44190</v>
      </c>
      <c r="N1719" s="12">
        <f t="shared" si="79"/>
        <v>12</v>
      </c>
      <c r="O1719" s="13">
        <f t="shared" si="80"/>
        <v>2020</v>
      </c>
      <c r="P1719" t="s">
        <v>13</v>
      </c>
      <c r="Q1719" t="s">
        <v>99</v>
      </c>
      <c r="R1719" t="s">
        <v>31</v>
      </c>
      <c r="S1719" t="str" cm="1">
        <f t="array" ref="S1719">_xlfn.IFS(R1719="COMPLETE", "COMPLETED", R1719="CANCELED", "CANCELED", TRUE, "PENDING")</f>
        <v>COMPLETED</v>
      </c>
      <c r="T1719" t="s">
        <v>16</v>
      </c>
      <c r="U1719">
        <f>VLOOKUP(A1719,ordered_items!$B:$E,4,0)</f>
        <v>252.88</v>
      </c>
    </row>
    <row r="1720" spans="1:21" x14ac:dyDescent="0.3">
      <c r="A1720">
        <v>74697</v>
      </c>
      <c r="B1720" t="s">
        <v>24</v>
      </c>
      <c r="C1720">
        <v>3</v>
      </c>
      <c r="D1720">
        <v>2</v>
      </c>
      <c r="E1720" t="str">
        <f t="shared" si="78"/>
        <v>DELAYED</v>
      </c>
      <c r="F1720">
        <f>VLOOKUP($A1720,ordered_items!$B$2:$E$4784,2,0)</f>
        <v>1352</v>
      </c>
      <c r="G1720">
        <f>VLOOKUP($A1720,ordered_items!$B$2:$E$4784,3,0)</f>
        <v>1</v>
      </c>
      <c r="H1720">
        <f>VLOOKUP($A1720,ordered_items!$B$2:$E$4784,4,0)</f>
        <v>252.88</v>
      </c>
      <c r="I1720" s="15">
        <f>VLOOKUP(F1720,product_info!$A$2:$D$73,4,0)</f>
        <v>10</v>
      </c>
      <c r="J1720" s="15" t="str">
        <f>VLOOKUP(I1720,department!$A$2:$B$13,2,0)</f>
        <v>Technology</v>
      </c>
      <c r="K1720">
        <v>18250</v>
      </c>
      <c r="L1720" t="s">
        <v>465</v>
      </c>
      <c r="M1720" s="4">
        <v>44190</v>
      </c>
      <c r="N1720" s="12">
        <f t="shared" si="79"/>
        <v>12</v>
      </c>
      <c r="O1720" s="13">
        <f t="shared" si="80"/>
        <v>2020</v>
      </c>
      <c r="P1720" t="s">
        <v>13</v>
      </c>
      <c r="Q1720" t="s">
        <v>99</v>
      </c>
      <c r="R1720" t="s">
        <v>31</v>
      </c>
      <c r="S1720" t="str" cm="1">
        <f t="array" ref="S1720">_xlfn.IFS(R1720="COMPLETE", "COMPLETED", R1720="CANCELED", "CANCELED", TRUE, "PENDING")</f>
        <v>COMPLETED</v>
      </c>
      <c r="T1720" t="s">
        <v>90</v>
      </c>
      <c r="U1720">
        <f>VLOOKUP(A1720,ordered_items!$B:$E,4,0)</f>
        <v>252.88</v>
      </c>
    </row>
    <row r="1721" spans="1:21" x14ac:dyDescent="0.3">
      <c r="A1721">
        <v>74708</v>
      </c>
      <c r="B1721" t="s">
        <v>17</v>
      </c>
      <c r="C1721">
        <v>1</v>
      </c>
      <c r="D1721">
        <v>0</v>
      </c>
      <c r="E1721" t="str">
        <f t="shared" si="78"/>
        <v>DELAYED</v>
      </c>
      <c r="F1721">
        <f>VLOOKUP($A1721,ordered_items!$B$2:$E$4784,2,0)</f>
        <v>1352</v>
      </c>
      <c r="G1721">
        <f>VLOOKUP($A1721,ordered_items!$B$2:$E$4784,3,0)</f>
        <v>1</v>
      </c>
      <c r="H1721">
        <f>VLOOKUP($A1721,ordered_items!$B$2:$E$4784,4,0)</f>
        <v>252.88</v>
      </c>
      <c r="I1721" s="15">
        <f>VLOOKUP(F1721,product_info!$A$2:$D$73,4,0)</f>
        <v>10</v>
      </c>
      <c r="J1721" s="15" t="str">
        <f>VLOOKUP(I1721,department!$A$2:$B$13,2,0)</f>
        <v>Technology</v>
      </c>
      <c r="K1721">
        <v>18261</v>
      </c>
      <c r="L1721" t="s">
        <v>214</v>
      </c>
      <c r="M1721" s="4">
        <v>44190</v>
      </c>
      <c r="N1721" s="12">
        <f t="shared" si="79"/>
        <v>12</v>
      </c>
      <c r="O1721" s="13">
        <f t="shared" si="80"/>
        <v>2020</v>
      </c>
      <c r="P1721" t="s">
        <v>13</v>
      </c>
      <c r="Q1721" t="s">
        <v>5781</v>
      </c>
      <c r="R1721" t="s">
        <v>23</v>
      </c>
      <c r="S1721" t="str" cm="1">
        <f t="array" ref="S1721">_xlfn.IFS(R1721="COMPLETE", "COMPLETED", R1721="CANCELED", "CANCELED", TRUE, "PENDING")</f>
        <v>PENDING</v>
      </c>
      <c r="T1721" t="s">
        <v>58</v>
      </c>
      <c r="U1721">
        <f>VLOOKUP(A1721,ordered_items!$B:$E,4,0)</f>
        <v>252.88</v>
      </c>
    </row>
    <row r="1722" spans="1:21" x14ac:dyDescent="0.3">
      <c r="A1722">
        <v>74709</v>
      </c>
      <c r="B1722" t="s">
        <v>3</v>
      </c>
      <c r="C1722">
        <v>1</v>
      </c>
      <c r="D1722">
        <v>0</v>
      </c>
      <c r="E1722" t="str">
        <f t="shared" si="78"/>
        <v>DELAYED</v>
      </c>
      <c r="F1722">
        <f>VLOOKUP($A1722,ordered_items!$B$2:$E$4784,2,0)</f>
        <v>1352</v>
      </c>
      <c r="G1722">
        <f>VLOOKUP($A1722,ordered_items!$B$2:$E$4784,3,0)</f>
        <v>1</v>
      </c>
      <c r="H1722">
        <f>VLOOKUP($A1722,ordered_items!$B$2:$E$4784,4,0)</f>
        <v>252.88</v>
      </c>
      <c r="I1722" s="15">
        <f>VLOOKUP(F1722,product_info!$A$2:$D$73,4,0)</f>
        <v>10</v>
      </c>
      <c r="J1722" s="15" t="str">
        <f>VLOOKUP(I1722,department!$A$2:$B$13,2,0)</f>
        <v>Technology</v>
      </c>
      <c r="K1722">
        <v>18262</v>
      </c>
      <c r="L1722" t="s">
        <v>214</v>
      </c>
      <c r="M1722" s="4">
        <v>44190</v>
      </c>
      <c r="N1722" s="12">
        <f t="shared" si="79"/>
        <v>12</v>
      </c>
      <c r="O1722" s="13">
        <f t="shared" si="80"/>
        <v>2020</v>
      </c>
      <c r="P1722" t="s">
        <v>13</v>
      </c>
      <c r="Q1722" t="s">
        <v>5781</v>
      </c>
      <c r="R1722" t="s">
        <v>14</v>
      </c>
      <c r="S1722" t="str" cm="1">
        <f t="array" ref="S1722">_xlfn.IFS(R1722="COMPLETE", "COMPLETED", R1722="CANCELED", "CANCELED", TRUE, "PENDING")</f>
        <v>PENDING</v>
      </c>
      <c r="T1722" t="s">
        <v>58</v>
      </c>
      <c r="U1722">
        <f>VLOOKUP(A1722,ordered_items!$B:$E,4,0)</f>
        <v>252.88</v>
      </c>
    </row>
    <row r="1723" spans="1:21" x14ac:dyDescent="0.3">
      <c r="A1723">
        <v>74729</v>
      </c>
      <c r="B1723" t="s">
        <v>51</v>
      </c>
      <c r="C1723">
        <v>2</v>
      </c>
      <c r="D1723">
        <v>1</v>
      </c>
      <c r="E1723" t="str">
        <f t="shared" si="78"/>
        <v>DELAYED</v>
      </c>
      <c r="F1723">
        <f>VLOOKUP($A1723,ordered_items!$B$2:$E$4784,2,0)</f>
        <v>1353</v>
      </c>
      <c r="G1723">
        <f>VLOOKUP($A1723,ordered_items!$B$2:$E$4784,3,0)</f>
        <v>1</v>
      </c>
      <c r="H1723">
        <f>VLOOKUP($A1723,ordered_items!$B$2:$E$4784,4,0)</f>
        <v>461.48</v>
      </c>
      <c r="I1723" s="15">
        <f>VLOOKUP(F1723,product_info!$A$2:$D$73,4,0)</f>
        <v>4</v>
      </c>
      <c r="J1723" s="15" t="str">
        <f>VLOOKUP(I1723,department!$A$2:$B$13,2,0)</f>
        <v>Apparel</v>
      </c>
      <c r="K1723">
        <v>18282</v>
      </c>
      <c r="L1723" t="s">
        <v>867</v>
      </c>
      <c r="M1723" s="4">
        <v>44190</v>
      </c>
      <c r="N1723" s="12">
        <f t="shared" si="79"/>
        <v>12</v>
      </c>
      <c r="O1723" s="13">
        <f t="shared" si="80"/>
        <v>2020</v>
      </c>
      <c r="P1723" t="s">
        <v>13</v>
      </c>
      <c r="Q1723" t="s">
        <v>5781</v>
      </c>
      <c r="R1723" t="s">
        <v>57</v>
      </c>
      <c r="S1723" t="str" cm="1">
        <f t="array" ref="S1723">_xlfn.IFS(R1723="COMPLETE", "COMPLETED", R1723="CANCELED", "CANCELED", TRUE, "PENDING")</f>
        <v>PENDING</v>
      </c>
      <c r="T1723" t="s">
        <v>32</v>
      </c>
      <c r="U1723">
        <f>VLOOKUP(A1723,ordered_items!$B:$E,4,0)</f>
        <v>461.48</v>
      </c>
    </row>
    <row r="1724" spans="1:21" x14ac:dyDescent="0.3">
      <c r="A1724">
        <v>74730</v>
      </c>
      <c r="B1724" t="s">
        <v>17</v>
      </c>
      <c r="C1724">
        <v>6</v>
      </c>
      <c r="D1724">
        <v>2</v>
      </c>
      <c r="E1724" t="str">
        <f t="shared" si="78"/>
        <v>DELAYED</v>
      </c>
      <c r="F1724">
        <f>VLOOKUP($A1724,ordered_items!$B$2:$E$4784,2,0)</f>
        <v>1353</v>
      </c>
      <c r="G1724">
        <f>VLOOKUP($A1724,ordered_items!$B$2:$E$4784,3,0)</f>
        <v>1</v>
      </c>
      <c r="H1724">
        <f>VLOOKUP($A1724,ordered_items!$B$2:$E$4784,4,0)</f>
        <v>461.48</v>
      </c>
      <c r="I1724" s="15">
        <f>VLOOKUP(F1724,product_info!$A$2:$D$73,4,0)</f>
        <v>4</v>
      </c>
      <c r="J1724" s="15" t="str">
        <f>VLOOKUP(I1724,department!$A$2:$B$13,2,0)</f>
        <v>Apparel</v>
      </c>
      <c r="K1724">
        <v>18283</v>
      </c>
      <c r="L1724" t="s">
        <v>867</v>
      </c>
      <c r="M1724" s="4">
        <v>44190</v>
      </c>
      <c r="N1724" s="12">
        <f t="shared" si="79"/>
        <v>12</v>
      </c>
      <c r="O1724" s="13">
        <f t="shared" si="80"/>
        <v>2020</v>
      </c>
      <c r="P1724" t="s">
        <v>13</v>
      </c>
      <c r="Q1724" t="s">
        <v>5781</v>
      </c>
      <c r="R1724" t="s">
        <v>23</v>
      </c>
      <c r="S1724" t="str" cm="1">
        <f t="array" ref="S1724">_xlfn.IFS(R1724="COMPLETE", "COMPLETED", R1724="CANCELED", "CANCELED", TRUE, "PENDING")</f>
        <v>PENDING</v>
      </c>
      <c r="T1724" t="s">
        <v>90</v>
      </c>
      <c r="U1724">
        <f>VLOOKUP(A1724,ordered_items!$B:$E,4,0)</f>
        <v>461.48</v>
      </c>
    </row>
    <row r="1725" spans="1:21" x14ac:dyDescent="0.3">
      <c r="A1725">
        <v>74733</v>
      </c>
      <c r="B1725" t="s">
        <v>24</v>
      </c>
      <c r="C1725">
        <v>2</v>
      </c>
      <c r="D1725">
        <v>1</v>
      </c>
      <c r="E1725" t="str">
        <f t="shared" si="78"/>
        <v>DELAYED</v>
      </c>
      <c r="F1725">
        <f>VLOOKUP($A1725,ordered_items!$B$2:$E$4784,2,0)</f>
        <v>1353</v>
      </c>
      <c r="G1725">
        <f>VLOOKUP($A1725,ordered_items!$B$2:$E$4784,3,0)</f>
        <v>1</v>
      </c>
      <c r="H1725">
        <f>VLOOKUP($A1725,ordered_items!$B$2:$E$4784,4,0)</f>
        <v>461.48</v>
      </c>
      <c r="I1725" s="15">
        <f>VLOOKUP(F1725,product_info!$A$2:$D$73,4,0)</f>
        <v>4</v>
      </c>
      <c r="J1725" s="15" t="str">
        <f>VLOOKUP(I1725,department!$A$2:$B$13,2,0)</f>
        <v>Apparel</v>
      </c>
      <c r="K1725">
        <v>18286</v>
      </c>
      <c r="L1725" t="s">
        <v>450</v>
      </c>
      <c r="M1725" s="4">
        <v>44190</v>
      </c>
      <c r="N1725" s="12">
        <f t="shared" si="79"/>
        <v>12</v>
      </c>
      <c r="O1725" s="13">
        <f t="shared" si="80"/>
        <v>2020</v>
      </c>
      <c r="P1725" t="s">
        <v>13</v>
      </c>
      <c r="Q1725" t="s">
        <v>286</v>
      </c>
      <c r="R1725" t="s">
        <v>31</v>
      </c>
      <c r="S1725" t="str" cm="1">
        <f t="array" ref="S1725">_xlfn.IFS(R1725="COMPLETE", "COMPLETED", R1725="CANCELED", "CANCELED", TRUE, "PENDING")</f>
        <v>COMPLETED</v>
      </c>
      <c r="T1725" t="s">
        <v>32</v>
      </c>
      <c r="U1725">
        <f>VLOOKUP(A1725,ordered_items!$B:$E,4,0)</f>
        <v>461.48</v>
      </c>
    </row>
    <row r="1726" spans="1:21" x14ac:dyDescent="0.3">
      <c r="A1726">
        <v>74747</v>
      </c>
      <c r="B1726" t="s">
        <v>24</v>
      </c>
      <c r="C1726">
        <v>2</v>
      </c>
      <c r="D1726">
        <v>1</v>
      </c>
      <c r="E1726" t="str">
        <f t="shared" si="78"/>
        <v>DELAYED</v>
      </c>
      <c r="F1726">
        <f>VLOOKUP($A1726,ordered_items!$B$2:$E$4784,2,0)</f>
        <v>1353</v>
      </c>
      <c r="G1726">
        <f>VLOOKUP($A1726,ordered_items!$B$2:$E$4784,3,0)</f>
        <v>1</v>
      </c>
      <c r="H1726">
        <f>VLOOKUP($A1726,ordered_items!$B$2:$E$4784,4,0)</f>
        <v>461.48</v>
      </c>
      <c r="I1726" s="15">
        <f>VLOOKUP(F1726,product_info!$A$2:$D$73,4,0)</f>
        <v>4</v>
      </c>
      <c r="J1726" s="15" t="str">
        <f>VLOOKUP(I1726,department!$A$2:$B$13,2,0)</f>
        <v>Apparel</v>
      </c>
      <c r="K1726">
        <v>18300</v>
      </c>
      <c r="L1726" t="s">
        <v>980</v>
      </c>
      <c r="M1726" s="4">
        <v>44191</v>
      </c>
      <c r="N1726" s="12">
        <f t="shared" si="79"/>
        <v>12</v>
      </c>
      <c r="O1726" s="13">
        <f t="shared" si="80"/>
        <v>2020</v>
      </c>
      <c r="P1726" t="s">
        <v>13</v>
      </c>
      <c r="Q1726" t="s">
        <v>30</v>
      </c>
      <c r="R1726" t="s">
        <v>31</v>
      </c>
      <c r="S1726" t="str" cm="1">
        <f t="array" ref="S1726">_xlfn.IFS(R1726="COMPLETE", "COMPLETED", R1726="CANCELED", "CANCELED", TRUE, "PENDING")</f>
        <v>COMPLETED</v>
      </c>
      <c r="T1726" t="s">
        <v>32</v>
      </c>
      <c r="U1726">
        <f>VLOOKUP(A1726,ordered_items!$B:$E,4,0)</f>
        <v>461.48</v>
      </c>
    </row>
    <row r="1727" spans="1:21" x14ac:dyDescent="0.3">
      <c r="A1727">
        <v>74756</v>
      </c>
      <c r="B1727" t="s">
        <v>24</v>
      </c>
      <c r="C1727">
        <v>2</v>
      </c>
      <c r="D1727">
        <v>4</v>
      </c>
      <c r="E1727" t="str">
        <f t="shared" si="78"/>
        <v xml:space="preserve"> ONTIME</v>
      </c>
      <c r="F1727">
        <f>VLOOKUP($A1727,ordered_items!$B$2:$E$4784,2,0)</f>
        <v>1353</v>
      </c>
      <c r="G1727">
        <f>VLOOKUP($A1727,ordered_items!$B$2:$E$4784,3,0)</f>
        <v>1</v>
      </c>
      <c r="H1727">
        <f>VLOOKUP($A1727,ordered_items!$B$2:$E$4784,4,0)</f>
        <v>461.48</v>
      </c>
      <c r="I1727" s="15">
        <f>VLOOKUP(F1727,product_info!$A$2:$D$73,4,0)</f>
        <v>4</v>
      </c>
      <c r="J1727" s="15" t="str">
        <f>VLOOKUP(I1727,department!$A$2:$B$13,2,0)</f>
        <v>Apparel</v>
      </c>
      <c r="K1727">
        <v>18309</v>
      </c>
      <c r="L1727" t="s">
        <v>426</v>
      </c>
      <c r="M1727" s="4">
        <v>44191</v>
      </c>
      <c r="N1727" s="12">
        <f t="shared" si="79"/>
        <v>12</v>
      </c>
      <c r="O1727" s="13">
        <f t="shared" si="80"/>
        <v>2020</v>
      </c>
      <c r="P1727" t="s">
        <v>13</v>
      </c>
      <c r="Q1727" t="s">
        <v>245</v>
      </c>
      <c r="R1727" t="s">
        <v>31</v>
      </c>
      <c r="S1727" t="str" cm="1">
        <f t="array" ref="S1727">_xlfn.IFS(R1727="COMPLETE", "COMPLETED", R1727="CANCELED", "CANCELED", TRUE, "PENDING")</f>
        <v>COMPLETED</v>
      </c>
      <c r="T1727" t="s">
        <v>16</v>
      </c>
      <c r="U1727">
        <f>VLOOKUP(A1727,ordered_items!$B:$E,4,0)</f>
        <v>461.48</v>
      </c>
    </row>
    <row r="1728" spans="1:21" x14ac:dyDescent="0.3">
      <c r="A1728">
        <v>74760</v>
      </c>
      <c r="B1728" t="s">
        <v>24</v>
      </c>
      <c r="C1728">
        <v>2</v>
      </c>
      <c r="D1728">
        <v>1</v>
      </c>
      <c r="E1728" t="str">
        <f t="shared" si="78"/>
        <v>DELAYED</v>
      </c>
      <c r="F1728">
        <f>VLOOKUP($A1728,ordered_items!$B$2:$E$4784,2,0)</f>
        <v>1353</v>
      </c>
      <c r="G1728">
        <f>VLOOKUP($A1728,ordered_items!$B$2:$E$4784,3,0)</f>
        <v>1</v>
      </c>
      <c r="H1728">
        <f>VLOOKUP($A1728,ordered_items!$B$2:$E$4784,4,0)</f>
        <v>461.48</v>
      </c>
      <c r="I1728" s="15">
        <f>VLOOKUP(F1728,product_info!$A$2:$D$73,4,0)</f>
        <v>4</v>
      </c>
      <c r="J1728" s="15" t="str">
        <f>VLOOKUP(I1728,department!$A$2:$B$13,2,0)</f>
        <v>Apparel</v>
      </c>
      <c r="K1728">
        <v>18313</v>
      </c>
      <c r="L1728" t="s">
        <v>258</v>
      </c>
      <c r="M1728" s="4">
        <v>44191</v>
      </c>
      <c r="N1728" s="12">
        <f t="shared" si="79"/>
        <v>12</v>
      </c>
      <c r="O1728" s="13">
        <f t="shared" si="80"/>
        <v>2020</v>
      </c>
      <c r="P1728" t="s">
        <v>13</v>
      </c>
      <c r="Q1728" t="s">
        <v>30</v>
      </c>
      <c r="R1728" t="s">
        <v>378</v>
      </c>
      <c r="S1728" t="str" cm="1">
        <f t="array" ref="S1728">_xlfn.IFS(R1728="COMPLETE", "COMPLETED", R1728="CANCELED", "CANCELED", TRUE, "PENDING")</f>
        <v>PENDING</v>
      </c>
      <c r="T1728" t="s">
        <v>32</v>
      </c>
      <c r="U1728">
        <f>VLOOKUP(A1728,ordered_items!$B:$E,4,0)</f>
        <v>461.48</v>
      </c>
    </row>
    <row r="1729" spans="1:21" x14ac:dyDescent="0.3">
      <c r="A1729">
        <v>74805</v>
      </c>
      <c r="B1729" t="s">
        <v>17</v>
      </c>
      <c r="C1729">
        <v>6</v>
      </c>
      <c r="D1729">
        <v>4</v>
      </c>
      <c r="E1729" t="str">
        <f t="shared" si="78"/>
        <v>DELAYED</v>
      </c>
      <c r="F1729">
        <f>VLOOKUP($A1729,ordered_items!$B$2:$E$4784,2,0)</f>
        <v>1353</v>
      </c>
      <c r="G1729">
        <f>VLOOKUP($A1729,ordered_items!$B$2:$E$4784,3,0)</f>
        <v>1</v>
      </c>
      <c r="H1729">
        <f>VLOOKUP($A1729,ordered_items!$B$2:$E$4784,4,0)</f>
        <v>461.48</v>
      </c>
      <c r="I1729" s="15">
        <f>VLOOKUP(F1729,product_info!$A$2:$D$73,4,0)</f>
        <v>4</v>
      </c>
      <c r="J1729" s="15" t="str">
        <f>VLOOKUP(I1729,department!$A$2:$B$13,2,0)</f>
        <v>Apparel</v>
      </c>
      <c r="K1729">
        <v>18358</v>
      </c>
      <c r="L1729" t="s">
        <v>202</v>
      </c>
      <c r="M1729" s="4">
        <v>44191</v>
      </c>
      <c r="N1729" s="12">
        <f t="shared" si="79"/>
        <v>12</v>
      </c>
      <c r="O1729" s="13">
        <f t="shared" si="80"/>
        <v>2020</v>
      </c>
      <c r="P1729" t="s">
        <v>13</v>
      </c>
      <c r="Q1729" t="s">
        <v>203</v>
      </c>
      <c r="R1729" t="s">
        <v>23</v>
      </c>
      <c r="S1729" t="str" cm="1">
        <f t="array" ref="S1729">_xlfn.IFS(R1729="COMPLETE", "COMPLETED", R1729="CANCELED", "CANCELED", TRUE, "PENDING")</f>
        <v>PENDING</v>
      </c>
      <c r="T1729" t="s">
        <v>16</v>
      </c>
      <c r="U1729">
        <f>VLOOKUP(A1729,ordered_items!$B:$E,4,0)</f>
        <v>461.48</v>
      </c>
    </row>
    <row r="1730" spans="1:21" x14ac:dyDescent="0.3">
      <c r="A1730">
        <v>74806</v>
      </c>
      <c r="B1730" t="s">
        <v>3</v>
      </c>
      <c r="C1730">
        <v>2</v>
      </c>
      <c r="D1730">
        <v>2</v>
      </c>
      <c r="E1730" t="str">
        <f t="shared" si="78"/>
        <v xml:space="preserve"> ONTIME</v>
      </c>
      <c r="F1730">
        <f>VLOOKUP($A1730,ordered_items!$B$2:$E$4784,2,0)</f>
        <v>1353</v>
      </c>
      <c r="G1730">
        <f>VLOOKUP($A1730,ordered_items!$B$2:$E$4784,3,0)</f>
        <v>1</v>
      </c>
      <c r="H1730">
        <f>VLOOKUP($A1730,ordered_items!$B$2:$E$4784,4,0)</f>
        <v>461.48</v>
      </c>
      <c r="I1730" s="15">
        <f>VLOOKUP(F1730,product_info!$A$2:$D$73,4,0)</f>
        <v>4</v>
      </c>
      <c r="J1730" s="15" t="str">
        <f>VLOOKUP(I1730,department!$A$2:$B$13,2,0)</f>
        <v>Apparel</v>
      </c>
      <c r="K1730">
        <v>18359</v>
      </c>
      <c r="L1730" t="s">
        <v>202</v>
      </c>
      <c r="M1730" s="4">
        <v>44191</v>
      </c>
      <c r="N1730" s="12">
        <f t="shared" si="79"/>
        <v>12</v>
      </c>
      <c r="O1730" s="13">
        <f t="shared" si="80"/>
        <v>2020</v>
      </c>
      <c r="P1730" t="s">
        <v>13</v>
      </c>
      <c r="Q1730" t="s">
        <v>203</v>
      </c>
      <c r="R1730" t="s">
        <v>14</v>
      </c>
      <c r="S1730" t="str" cm="1">
        <f t="array" ref="S1730">_xlfn.IFS(R1730="COMPLETE", "COMPLETED", R1730="CANCELED", "CANCELED", TRUE, "PENDING")</f>
        <v>PENDING</v>
      </c>
      <c r="T1730" t="s">
        <v>90</v>
      </c>
      <c r="U1730">
        <f>VLOOKUP(A1730,ordered_items!$B:$E,4,0)</f>
        <v>461.48</v>
      </c>
    </row>
    <row r="1731" spans="1:21" x14ac:dyDescent="0.3">
      <c r="A1731">
        <v>74807</v>
      </c>
      <c r="B1731" t="s">
        <v>3</v>
      </c>
      <c r="C1731">
        <v>3</v>
      </c>
      <c r="D1731">
        <v>2</v>
      </c>
      <c r="E1731" t="str">
        <f t="shared" ref="E1731:E1794" si="81">IF(C1731-D1731&gt;0,"DELAYED"," ONTIME")</f>
        <v>DELAYED</v>
      </c>
      <c r="F1731">
        <f>VLOOKUP($A1731,ordered_items!$B$2:$E$4784,2,0)</f>
        <v>1353</v>
      </c>
      <c r="G1731">
        <f>VLOOKUP($A1731,ordered_items!$B$2:$E$4784,3,0)</f>
        <v>1</v>
      </c>
      <c r="H1731">
        <f>VLOOKUP($A1731,ordered_items!$B$2:$E$4784,4,0)</f>
        <v>461.48</v>
      </c>
      <c r="I1731" s="15">
        <f>VLOOKUP(F1731,product_info!$A$2:$D$73,4,0)</f>
        <v>4</v>
      </c>
      <c r="J1731" s="15" t="str">
        <f>VLOOKUP(I1731,department!$A$2:$B$13,2,0)</f>
        <v>Apparel</v>
      </c>
      <c r="K1731">
        <v>18360</v>
      </c>
      <c r="L1731" t="s">
        <v>202</v>
      </c>
      <c r="M1731" s="4">
        <v>44191</v>
      </c>
      <c r="N1731" s="12">
        <f t="shared" ref="N1731:N1794" si="82">MONTH(M1731)</f>
        <v>12</v>
      </c>
      <c r="O1731" s="13">
        <f t="shared" ref="O1731:O1794" si="83">YEAR(M1731)</f>
        <v>2020</v>
      </c>
      <c r="P1731" t="s">
        <v>13</v>
      </c>
      <c r="Q1731" t="s">
        <v>203</v>
      </c>
      <c r="R1731" t="s">
        <v>14</v>
      </c>
      <c r="S1731" t="str" cm="1">
        <f t="array" ref="S1731">_xlfn.IFS(R1731="COMPLETE", "COMPLETED", R1731="CANCELED", "CANCELED", TRUE, "PENDING")</f>
        <v>PENDING</v>
      </c>
      <c r="T1731" t="s">
        <v>90</v>
      </c>
      <c r="U1731">
        <f>VLOOKUP(A1731,ordered_items!$B:$E,4,0)</f>
        <v>461.48</v>
      </c>
    </row>
    <row r="1732" spans="1:21" x14ac:dyDescent="0.3">
      <c r="A1732">
        <v>74808</v>
      </c>
      <c r="B1732" t="s">
        <v>17</v>
      </c>
      <c r="C1732">
        <v>4</v>
      </c>
      <c r="D1732">
        <v>4</v>
      </c>
      <c r="E1732" t="str">
        <f t="shared" si="81"/>
        <v xml:space="preserve"> ONTIME</v>
      </c>
      <c r="F1732">
        <f>VLOOKUP($A1732,ordered_items!$B$2:$E$4784,2,0)</f>
        <v>1353</v>
      </c>
      <c r="G1732">
        <f>VLOOKUP($A1732,ordered_items!$B$2:$E$4784,3,0)</f>
        <v>1</v>
      </c>
      <c r="H1732">
        <f>VLOOKUP($A1732,ordered_items!$B$2:$E$4784,4,0)</f>
        <v>461.48</v>
      </c>
      <c r="I1732" s="15">
        <f>VLOOKUP(F1732,product_info!$A$2:$D$73,4,0)</f>
        <v>4</v>
      </c>
      <c r="J1732" s="15" t="str">
        <f>VLOOKUP(I1732,department!$A$2:$B$13,2,0)</f>
        <v>Apparel</v>
      </c>
      <c r="K1732">
        <v>18361</v>
      </c>
      <c r="L1732" t="s">
        <v>570</v>
      </c>
      <c r="M1732" s="4">
        <v>44192</v>
      </c>
      <c r="N1732" s="12">
        <f t="shared" si="82"/>
        <v>12</v>
      </c>
      <c r="O1732" s="13">
        <f t="shared" si="83"/>
        <v>2020</v>
      </c>
      <c r="P1732" t="s">
        <v>13</v>
      </c>
      <c r="Q1732" t="s">
        <v>99</v>
      </c>
      <c r="R1732" t="s">
        <v>23</v>
      </c>
      <c r="S1732" t="str" cm="1">
        <f t="array" ref="S1732">_xlfn.IFS(R1732="COMPLETE", "COMPLETED", R1732="CANCELED", "CANCELED", TRUE, "PENDING")</f>
        <v>PENDING</v>
      </c>
      <c r="T1732" t="s">
        <v>16</v>
      </c>
      <c r="U1732">
        <f>VLOOKUP(A1732,ordered_items!$B:$E,4,0)</f>
        <v>461.48</v>
      </c>
    </row>
    <row r="1733" spans="1:21" x14ac:dyDescent="0.3">
      <c r="A1733">
        <v>74820</v>
      </c>
      <c r="B1733" t="s">
        <v>51</v>
      </c>
      <c r="C1733">
        <v>2</v>
      </c>
      <c r="D1733">
        <v>1</v>
      </c>
      <c r="E1733" t="str">
        <f t="shared" si="81"/>
        <v>DELAYED</v>
      </c>
      <c r="F1733">
        <f>VLOOKUP($A1733,ordered_items!$B$2:$E$4784,2,0)</f>
        <v>1353</v>
      </c>
      <c r="G1733">
        <f>VLOOKUP($A1733,ordered_items!$B$2:$E$4784,3,0)</f>
        <v>1</v>
      </c>
      <c r="H1733">
        <f>VLOOKUP($A1733,ordered_items!$B$2:$E$4784,4,0)</f>
        <v>461.48</v>
      </c>
      <c r="I1733" s="15">
        <f>VLOOKUP(F1733,product_info!$A$2:$D$73,4,0)</f>
        <v>4</v>
      </c>
      <c r="J1733" s="15" t="str">
        <f>VLOOKUP(I1733,department!$A$2:$B$13,2,0)</f>
        <v>Apparel</v>
      </c>
      <c r="K1733">
        <v>18373</v>
      </c>
      <c r="L1733" t="s">
        <v>266</v>
      </c>
      <c r="M1733" s="4">
        <v>44192</v>
      </c>
      <c r="N1733" s="12">
        <f t="shared" si="82"/>
        <v>12</v>
      </c>
      <c r="O1733" s="13">
        <f t="shared" si="83"/>
        <v>2020</v>
      </c>
      <c r="P1733" t="s">
        <v>13</v>
      </c>
      <c r="Q1733" t="s">
        <v>5778</v>
      </c>
      <c r="R1733" t="s">
        <v>57</v>
      </c>
      <c r="S1733" t="str" cm="1">
        <f t="array" ref="S1733">_xlfn.IFS(R1733="COMPLETE", "COMPLETED", R1733="CANCELED", "CANCELED", TRUE, "PENDING")</f>
        <v>PENDING</v>
      </c>
      <c r="T1733" t="s">
        <v>32</v>
      </c>
      <c r="U1733">
        <f>VLOOKUP(A1733,ordered_items!$B:$E,4,0)</f>
        <v>461.48</v>
      </c>
    </row>
    <row r="1734" spans="1:21" x14ac:dyDescent="0.3">
      <c r="A1734">
        <v>74821</v>
      </c>
      <c r="B1734" t="s">
        <v>24</v>
      </c>
      <c r="C1734">
        <v>2</v>
      </c>
      <c r="D1734">
        <v>4</v>
      </c>
      <c r="E1734" t="str">
        <f t="shared" si="81"/>
        <v xml:space="preserve"> ONTIME</v>
      </c>
      <c r="F1734">
        <f>VLOOKUP($A1734,ordered_items!$B$2:$E$4784,2,0)</f>
        <v>1353</v>
      </c>
      <c r="G1734">
        <f>VLOOKUP($A1734,ordered_items!$B$2:$E$4784,3,0)</f>
        <v>1</v>
      </c>
      <c r="H1734">
        <f>VLOOKUP($A1734,ordered_items!$B$2:$E$4784,4,0)</f>
        <v>461.48</v>
      </c>
      <c r="I1734" s="15">
        <f>VLOOKUP(F1734,product_info!$A$2:$D$73,4,0)</f>
        <v>4</v>
      </c>
      <c r="J1734" s="15" t="str">
        <f>VLOOKUP(I1734,department!$A$2:$B$13,2,0)</f>
        <v>Apparel</v>
      </c>
      <c r="K1734">
        <v>18374</v>
      </c>
      <c r="L1734" t="s">
        <v>266</v>
      </c>
      <c r="M1734" s="4">
        <v>44192</v>
      </c>
      <c r="N1734" s="12">
        <f t="shared" si="82"/>
        <v>12</v>
      </c>
      <c r="O1734" s="13">
        <f t="shared" si="83"/>
        <v>2020</v>
      </c>
      <c r="P1734" t="s">
        <v>13</v>
      </c>
      <c r="Q1734" t="s">
        <v>5778</v>
      </c>
      <c r="R1734" t="s">
        <v>31</v>
      </c>
      <c r="S1734" t="str" cm="1">
        <f t="array" ref="S1734">_xlfn.IFS(R1734="COMPLETE", "COMPLETED", R1734="CANCELED", "CANCELED", TRUE, "PENDING")</f>
        <v>COMPLETED</v>
      </c>
      <c r="T1734" t="s">
        <v>16</v>
      </c>
      <c r="U1734">
        <f>VLOOKUP(A1734,ordered_items!$B:$E,4,0)</f>
        <v>461.48</v>
      </c>
    </row>
    <row r="1735" spans="1:21" x14ac:dyDescent="0.3">
      <c r="A1735">
        <v>74822</v>
      </c>
      <c r="B1735" t="s">
        <v>51</v>
      </c>
      <c r="C1735">
        <v>3</v>
      </c>
      <c r="D1735">
        <v>4</v>
      </c>
      <c r="E1735" t="str">
        <f t="shared" si="81"/>
        <v xml:space="preserve"> ONTIME</v>
      </c>
      <c r="F1735">
        <f>VLOOKUP($A1735,ordered_items!$B$2:$E$4784,2,0)</f>
        <v>1353</v>
      </c>
      <c r="G1735">
        <f>VLOOKUP($A1735,ordered_items!$B$2:$E$4784,3,0)</f>
        <v>1</v>
      </c>
      <c r="H1735">
        <f>VLOOKUP($A1735,ordered_items!$B$2:$E$4784,4,0)</f>
        <v>461.48</v>
      </c>
      <c r="I1735" s="15">
        <f>VLOOKUP(F1735,product_info!$A$2:$D$73,4,0)</f>
        <v>4</v>
      </c>
      <c r="J1735" s="15" t="str">
        <f>VLOOKUP(I1735,department!$A$2:$B$13,2,0)</f>
        <v>Apparel</v>
      </c>
      <c r="K1735">
        <v>18375</v>
      </c>
      <c r="L1735" t="s">
        <v>266</v>
      </c>
      <c r="M1735" s="4">
        <v>44192</v>
      </c>
      <c r="N1735" s="12">
        <f t="shared" si="82"/>
        <v>12</v>
      </c>
      <c r="O1735" s="13">
        <f t="shared" si="83"/>
        <v>2020</v>
      </c>
      <c r="P1735" t="s">
        <v>13</v>
      </c>
      <c r="Q1735" t="s">
        <v>5778</v>
      </c>
      <c r="R1735" t="s">
        <v>57</v>
      </c>
      <c r="S1735" t="str" cm="1">
        <f t="array" ref="S1735">_xlfn.IFS(R1735="COMPLETE", "COMPLETED", R1735="CANCELED", "CANCELED", TRUE, "PENDING")</f>
        <v>PENDING</v>
      </c>
      <c r="T1735" t="s">
        <v>16</v>
      </c>
      <c r="U1735">
        <f>VLOOKUP(A1735,ordered_items!$B:$E,4,0)</f>
        <v>461.48</v>
      </c>
    </row>
    <row r="1736" spans="1:21" x14ac:dyDescent="0.3">
      <c r="A1736">
        <v>74823</v>
      </c>
      <c r="B1736" t="s">
        <v>3</v>
      </c>
      <c r="C1736">
        <v>4</v>
      </c>
      <c r="D1736">
        <v>4</v>
      </c>
      <c r="E1736" t="str">
        <f t="shared" si="81"/>
        <v xml:space="preserve"> ONTIME</v>
      </c>
      <c r="F1736">
        <f>VLOOKUP($A1736,ordered_items!$B$2:$E$4784,2,0)</f>
        <v>1353</v>
      </c>
      <c r="G1736">
        <f>VLOOKUP($A1736,ordered_items!$B$2:$E$4784,3,0)</f>
        <v>1</v>
      </c>
      <c r="H1736">
        <f>VLOOKUP($A1736,ordered_items!$B$2:$E$4784,4,0)</f>
        <v>461.48</v>
      </c>
      <c r="I1736" s="15">
        <f>VLOOKUP(F1736,product_info!$A$2:$D$73,4,0)</f>
        <v>4</v>
      </c>
      <c r="J1736" s="15" t="str">
        <f>VLOOKUP(I1736,department!$A$2:$B$13,2,0)</f>
        <v>Apparel</v>
      </c>
      <c r="K1736">
        <v>18376</v>
      </c>
      <c r="L1736" t="s">
        <v>266</v>
      </c>
      <c r="M1736" s="4">
        <v>44192</v>
      </c>
      <c r="N1736" s="12">
        <f t="shared" si="82"/>
        <v>12</v>
      </c>
      <c r="O1736" s="13">
        <f t="shared" si="83"/>
        <v>2020</v>
      </c>
      <c r="P1736" t="s">
        <v>13</v>
      </c>
      <c r="Q1736" t="s">
        <v>5778</v>
      </c>
      <c r="R1736" t="s">
        <v>14</v>
      </c>
      <c r="S1736" t="str" cm="1">
        <f t="array" ref="S1736">_xlfn.IFS(R1736="COMPLETE", "COMPLETED", R1736="CANCELED", "CANCELED", TRUE, "PENDING")</f>
        <v>PENDING</v>
      </c>
      <c r="T1736" t="s">
        <v>16</v>
      </c>
      <c r="U1736">
        <f>VLOOKUP(A1736,ordered_items!$B:$E,4,0)</f>
        <v>461.48</v>
      </c>
    </row>
    <row r="1737" spans="1:21" x14ac:dyDescent="0.3">
      <c r="A1737">
        <v>74847</v>
      </c>
      <c r="B1737" t="s">
        <v>24</v>
      </c>
      <c r="C1737">
        <v>2</v>
      </c>
      <c r="D1737">
        <v>1</v>
      </c>
      <c r="E1737" t="str">
        <f t="shared" si="81"/>
        <v>DELAYED</v>
      </c>
      <c r="F1737">
        <f>VLOOKUP($A1737,ordered_items!$B$2:$E$4784,2,0)</f>
        <v>1353</v>
      </c>
      <c r="G1737">
        <f>VLOOKUP($A1737,ordered_items!$B$2:$E$4784,3,0)</f>
        <v>1</v>
      </c>
      <c r="H1737">
        <f>VLOOKUP($A1737,ordered_items!$B$2:$E$4784,4,0)</f>
        <v>461.48</v>
      </c>
      <c r="I1737" s="15">
        <f>VLOOKUP(F1737,product_info!$A$2:$D$73,4,0)</f>
        <v>4</v>
      </c>
      <c r="J1737" s="15" t="str">
        <f>VLOOKUP(I1737,department!$A$2:$B$13,2,0)</f>
        <v>Apparel</v>
      </c>
      <c r="K1737">
        <v>18400</v>
      </c>
      <c r="L1737" t="s">
        <v>660</v>
      </c>
      <c r="M1737" s="4">
        <v>44192</v>
      </c>
      <c r="N1737" s="12">
        <f t="shared" si="82"/>
        <v>12</v>
      </c>
      <c r="O1737" s="13">
        <f t="shared" si="83"/>
        <v>2020</v>
      </c>
      <c r="P1737" t="s">
        <v>13</v>
      </c>
      <c r="Q1737" t="s">
        <v>99</v>
      </c>
      <c r="R1737" t="s">
        <v>378</v>
      </c>
      <c r="S1737" t="str" cm="1">
        <f t="array" ref="S1737">_xlfn.IFS(R1737="COMPLETE", "COMPLETED", R1737="CANCELED", "CANCELED", TRUE, "PENDING")</f>
        <v>PENDING</v>
      </c>
      <c r="T1737" t="s">
        <v>32</v>
      </c>
      <c r="U1737">
        <f>VLOOKUP(A1737,ordered_items!$B:$E,4,0)</f>
        <v>461.48</v>
      </c>
    </row>
    <row r="1738" spans="1:21" x14ac:dyDescent="0.3">
      <c r="A1738">
        <v>74866</v>
      </c>
      <c r="B1738" t="s">
        <v>24</v>
      </c>
      <c r="C1738">
        <v>2</v>
      </c>
      <c r="D1738">
        <v>2</v>
      </c>
      <c r="E1738" t="str">
        <f t="shared" si="81"/>
        <v xml:space="preserve"> ONTIME</v>
      </c>
      <c r="F1738">
        <f>VLOOKUP($A1738,ordered_items!$B$2:$E$4784,2,0)</f>
        <v>1353</v>
      </c>
      <c r="G1738">
        <f>VLOOKUP($A1738,ordered_items!$B$2:$E$4784,3,0)</f>
        <v>1</v>
      </c>
      <c r="H1738">
        <f>VLOOKUP($A1738,ordered_items!$B$2:$E$4784,4,0)</f>
        <v>461.48</v>
      </c>
      <c r="I1738" s="15">
        <f>VLOOKUP(F1738,product_info!$A$2:$D$73,4,0)</f>
        <v>4</v>
      </c>
      <c r="J1738" s="15" t="str">
        <f>VLOOKUP(I1738,department!$A$2:$B$13,2,0)</f>
        <v>Apparel</v>
      </c>
      <c r="K1738">
        <v>18419</v>
      </c>
      <c r="L1738" t="s">
        <v>400</v>
      </c>
      <c r="M1738" s="4">
        <v>44192</v>
      </c>
      <c r="N1738" s="12">
        <f t="shared" si="82"/>
        <v>12</v>
      </c>
      <c r="O1738" s="13">
        <f t="shared" si="83"/>
        <v>2020</v>
      </c>
      <c r="P1738" t="s">
        <v>13</v>
      </c>
      <c r="Q1738" t="s">
        <v>30</v>
      </c>
      <c r="R1738" t="s">
        <v>31</v>
      </c>
      <c r="S1738" t="str" cm="1">
        <f t="array" ref="S1738">_xlfn.IFS(R1738="COMPLETE", "COMPLETED", R1738="CANCELED", "CANCELED", TRUE, "PENDING")</f>
        <v>COMPLETED</v>
      </c>
      <c r="T1738" t="s">
        <v>90</v>
      </c>
      <c r="U1738">
        <f>VLOOKUP(A1738,ordered_items!$B:$E,4,0)</f>
        <v>461.48</v>
      </c>
    </row>
    <row r="1739" spans="1:21" x14ac:dyDescent="0.3">
      <c r="A1739">
        <v>74869</v>
      </c>
      <c r="B1739" t="s">
        <v>24</v>
      </c>
      <c r="C1739">
        <v>5</v>
      </c>
      <c r="D1739">
        <v>2</v>
      </c>
      <c r="E1739" t="str">
        <f t="shared" si="81"/>
        <v>DELAYED</v>
      </c>
      <c r="F1739">
        <f>VLOOKUP($A1739,ordered_items!$B$2:$E$4784,2,0)</f>
        <v>1353</v>
      </c>
      <c r="G1739">
        <f>VLOOKUP($A1739,ordered_items!$B$2:$E$4784,3,0)</f>
        <v>1</v>
      </c>
      <c r="H1739">
        <f>VLOOKUP($A1739,ordered_items!$B$2:$E$4784,4,0)</f>
        <v>461.48</v>
      </c>
      <c r="I1739" s="15">
        <f>VLOOKUP(F1739,product_info!$A$2:$D$73,4,0)</f>
        <v>4</v>
      </c>
      <c r="J1739" s="15" t="str">
        <f>VLOOKUP(I1739,department!$A$2:$B$13,2,0)</f>
        <v>Apparel</v>
      </c>
      <c r="K1739">
        <v>18422</v>
      </c>
      <c r="L1739" t="s">
        <v>84</v>
      </c>
      <c r="M1739" s="4">
        <v>44192</v>
      </c>
      <c r="N1739" s="12">
        <f t="shared" si="82"/>
        <v>12</v>
      </c>
      <c r="O1739" s="13">
        <f t="shared" si="83"/>
        <v>2020</v>
      </c>
      <c r="P1739" t="s">
        <v>13</v>
      </c>
      <c r="Q1739" t="s">
        <v>80</v>
      </c>
      <c r="R1739" t="s">
        <v>31</v>
      </c>
      <c r="S1739" t="str" cm="1">
        <f t="array" ref="S1739">_xlfn.IFS(R1739="COMPLETE", "COMPLETED", R1739="CANCELED", "CANCELED", TRUE, "PENDING")</f>
        <v>COMPLETED</v>
      </c>
      <c r="T1739" t="s">
        <v>90</v>
      </c>
      <c r="U1739">
        <f>VLOOKUP(A1739,ordered_items!$B:$E,4,0)</f>
        <v>461.48</v>
      </c>
    </row>
    <row r="1740" spans="1:21" x14ac:dyDescent="0.3">
      <c r="A1740">
        <v>74880</v>
      </c>
      <c r="B1740" t="s">
        <v>3</v>
      </c>
      <c r="C1740">
        <v>6</v>
      </c>
      <c r="D1740">
        <v>2</v>
      </c>
      <c r="E1740" t="str">
        <f t="shared" si="81"/>
        <v>DELAYED</v>
      </c>
      <c r="F1740">
        <f>VLOOKUP($A1740,ordered_items!$B$2:$E$4784,2,0)</f>
        <v>1353</v>
      </c>
      <c r="G1740">
        <f>VLOOKUP($A1740,ordered_items!$B$2:$E$4784,3,0)</f>
        <v>1</v>
      </c>
      <c r="H1740">
        <f>VLOOKUP($A1740,ordered_items!$B$2:$E$4784,4,0)</f>
        <v>461.48</v>
      </c>
      <c r="I1740" s="15">
        <f>VLOOKUP(F1740,product_info!$A$2:$D$73,4,0)</f>
        <v>4</v>
      </c>
      <c r="J1740" s="15" t="str">
        <f>VLOOKUP(I1740,department!$A$2:$B$13,2,0)</f>
        <v>Apparel</v>
      </c>
      <c r="K1740">
        <v>18433</v>
      </c>
      <c r="L1740" t="s">
        <v>809</v>
      </c>
      <c r="M1740" s="4">
        <v>44193</v>
      </c>
      <c r="N1740" s="12">
        <f t="shared" si="82"/>
        <v>12</v>
      </c>
      <c r="O1740" s="13">
        <f t="shared" si="83"/>
        <v>2020</v>
      </c>
      <c r="P1740" t="s">
        <v>13</v>
      </c>
      <c r="Q1740" t="s">
        <v>30</v>
      </c>
      <c r="R1740" t="s">
        <v>14</v>
      </c>
      <c r="S1740" t="str" cm="1">
        <f t="array" ref="S1740">_xlfn.IFS(R1740="COMPLETE", "COMPLETED", R1740="CANCELED", "CANCELED", TRUE, "PENDING")</f>
        <v>PENDING</v>
      </c>
      <c r="T1740" t="s">
        <v>90</v>
      </c>
      <c r="U1740">
        <f>VLOOKUP(A1740,ordered_items!$B:$E,4,0)</f>
        <v>461.48</v>
      </c>
    </row>
    <row r="1741" spans="1:21" x14ac:dyDescent="0.3">
      <c r="A1741">
        <v>74881</v>
      </c>
      <c r="B1741" t="s">
        <v>17</v>
      </c>
      <c r="C1741">
        <v>2</v>
      </c>
      <c r="D1741">
        <v>1</v>
      </c>
      <c r="E1741" t="str">
        <f t="shared" si="81"/>
        <v>DELAYED</v>
      </c>
      <c r="F1741">
        <f>VLOOKUP($A1741,ordered_items!$B$2:$E$4784,2,0)</f>
        <v>1353</v>
      </c>
      <c r="G1741">
        <f>VLOOKUP($A1741,ordered_items!$B$2:$E$4784,3,0)</f>
        <v>1</v>
      </c>
      <c r="H1741">
        <f>VLOOKUP($A1741,ordered_items!$B$2:$E$4784,4,0)</f>
        <v>461.48</v>
      </c>
      <c r="I1741" s="15">
        <f>VLOOKUP(F1741,product_info!$A$2:$D$73,4,0)</f>
        <v>4</v>
      </c>
      <c r="J1741" s="15" t="str">
        <f>VLOOKUP(I1741,department!$A$2:$B$13,2,0)</f>
        <v>Apparel</v>
      </c>
      <c r="K1741">
        <v>18434</v>
      </c>
      <c r="L1741" t="s">
        <v>809</v>
      </c>
      <c r="M1741" s="4">
        <v>44193</v>
      </c>
      <c r="N1741" s="12">
        <f t="shared" si="82"/>
        <v>12</v>
      </c>
      <c r="O1741" s="13">
        <f t="shared" si="83"/>
        <v>2020</v>
      </c>
      <c r="P1741" t="s">
        <v>13</v>
      </c>
      <c r="Q1741" t="s">
        <v>30</v>
      </c>
      <c r="R1741" t="s">
        <v>23</v>
      </c>
      <c r="S1741" t="str" cm="1">
        <f t="array" ref="S1741">_xlfn.IFS(R1741="COMPLETE", "COMPLETED", R1741="CANCELED", "CANCELED", TRUE, "PENDING")</f>
        <v>PENDING</v>
      </c>
      <c r="T1741" t="s">
        <v>32</v>
      </c>
      <c r="U1741">
        <f>VLOOKUP(A1741,ordered_items!$B:$E,4,0)</f>
        <v>461.48</v>
      </c>
    </row>
    <row r="1742" spans="1:21" x14ac:dyDescent="0.3">
      <c r="A1742">
        <v>74882</v>
      </c>
      <c r="B1742" t="s">
        <v>3</v>
      </c>
      <c r="C1742">
        <v>2</v>
      </c>
      <c r="D1742">
        <v>1</v>
      </c>
      <c r="E1742" t="str">
        <f t="shared" si="81"/>
        <v>DELAYED</v>
      </c>
      <c r="F1742">
        <f>VLOOKUP($A1742,ordered_items!$B$2:$E$4784,2,0)</f>
        <v>1353</v>
      </c>
      <c r="G1742">
        <f>VLOOKUP($A1742,ordered_items!$B$2:$E$4784,3,0)</f>
        <v>1</v>
      </c>
      <c r="H1742">
        <f>VLOOKUP($A1742,ordered_items!$B$2:$E$4784,4,0)</f>
        <v>461.48</v>
      </c>
      <c r="I1742" s="15">
        <f>VLOOKUP(F1742,product_info!$A$2:$D$73,4,0)</f>
        <v>4</v>
      </c>
      <c r="J1742" s="15" t="str">
        <f>VLOOKUP(I1742,department!$A$2:$B$13,2,0)</f>
        <v>Apparel</v>
      </c>
      <c r="K1742">
        <v>18435</v>
      </c>
      <c r="L1742" t="s">
        <v>809</v>
      </c>
      <c r="M1742" s="4">
        <v>44193</v>
      </c>
      <c r="N1742" s="12">
        <f t="shared" si="82"/>
        <v>12</v>
      </c>
      <c r="O1742" s="13">
        <f t="shared" si="83"/>
        <v>2020</v>
      </c>
      <c r="P1742" t="s">
        <v>13</v>
      </c>
      <c r="Q1742" t="s">
        <v>30</v>
      </c>
      <c r="R1742" t="s">
        <v>178</v>
      </c>
      <c r="S1742" t="str" cm="1">
        <f t="array" ref="S1742">_xlfn.IFS(R1742="COMPLETE", "COMPLETED", R1742="CANCELED", "CANCELED", TRUE, "PENDING")</f>
        <v>PENDING</v>
      </c>
      <c r="T1742" t="s">
        <v>32</v>
      </c>
      <c r="U1742">
        <f>VLOOKUP(A1742,ordered_items!$B:$E,4,0)</f>
        <v>461.48</v>
      </c>
    </row>
    <row r="1743" spans="1:21" x14ac:dyDescent="0.3">
      <c r="A1743">
        <v>74883</v>
      </c>
      <c r="B1743" t="s">
        <v>51</v>
      </c>
      <c r="C1743">
        <v>2</v>
      </c>
      <c r="D1743">
        <v>1</v>
      </c>
      <c r="E1743" t="str">
        <f t="shared" si="81"/>
        <v>DELAYED</v>
      </c>
      <c r="F1743">
        <f>VLOOKUP($A1743,ordered_items!$B$2:$E$4784,2,0)</f>
        <v>1353</v>
      </c>
      <c r="G1743">
        <f>VLOOKUP($A1743,ordered_items!$B$2:$E$4784,3,0)</f>
        <v>1</v>
      </c>
      <c r="H1743">
        <f>VLOOKUP($A1743,ordered_items!$B$2:$E$4784,4,0)</f>
        <v>461.48</v>
      </c>
      <c r="I1743" s="15">
        <f>VLOOKUP(F1743,product_info!$A$2:$D$73,4,0)</f>
        <v>4</v>
      </c>
      <c r="J1743" s="15" t="str">
        <f>VLOOKUP(I1743,department!$A$2:$B$13,2,0)</f>
        <v>Apparel</v>
      </c>
      <c r="K1743">
        <v>18436</v>
      </c>
      <c r="L1743" t="s">
        <v>809</v>
      </c>
      <c r="M1743" s="4">
        <v>44193</v>
      </c>
      <c r="N1743" s="12">
        <f t="shared" si="82"/>
        <v>12</v>
      </c>
      <c r="O1743" s="13">
        <f t="shared" si="83"/>
        <v>2020</v>
      </c>
      <c r="P1743" t="s">
        <v>13</v>
      </c>
      <c r="Q1743" t="s">
        <v>30</v>
      </c>
      <c r="R1743" t="s">
        <v>57</v>
      </c>
      <c r="S1743" t="str" cm="1">
        <f t="array" ref="S1743">_xlfn.IFS(R1743="COMPLETE", "COMPLETED", R1743="CANCELED", "CANCELED", TRUE, "PENDING")</f>
        <v>PENDING</v>
      </c>
      <c r="T1743" t="s">
        <v>32</v>
      </c>
      <c r="U1743">
        <f>VLOOKUP(A1743,ordered_items!$B:$E,4,0)</f>
        <v>461.48</v>
      </c>
    </row>
    <row r="1744" spans="1:21" x14ac:dyDescent="0.3">
      <c r="A1744">
        <v>74928</v>
      </c>
      <c r="B1744" t="s">
        <v>17</v>
      </c>
      <c r="C1744">
        <v>4</v>
      </c>
      <c r="D1744">
        <v>2</v>
      </c>
      <c r="E1744" t="str">
        <f t="shared" si="81"/>
        <v>DELAYED</v>
      </c>
      <c r="F1744">
        <f>VLOOKUP($A1744,ordered_items!$B$2:$E$4784,2,0)</f>
        <v>1353</v>
      </c>
      <c r="G1744">
        <f>VLOOKUP($A1744,ordered_items!$B$2:$E$4784,3,0)</f>
        <v>1</v>
      </c>
      <c r="H1744">
        <f>VLOOKUP($A1744,ordered_items!$B$2:$E$4784,4,0)</f>
        <v>461.48</v>
      </c>
      <c r="I1744" s="15">
        <f>VLOOKUP(F1744,product_info!$A$2:$D$73,4,0)</f>
        <v>4</v>
      </c>
      <c r="J1744" s="15" t="str">
        <f>VLOOKUP(I1744,department!$A$2:$B$13,2,0)</f>
        <v>Apparel</v>
      </c>
      <c r="K1744">
        <v>18481</v>
      </c>
      <c r="L1744" t="s">
        <v>214</v>
      </c>
      <c r="M1744" s="4">
        <v>44193</v>
      </c>
      <c r="N1744" s="12">
        <f t="shared" si="82"/>
        <v>12</v>
      </c>
      <c r="O1744" s="13">
        <f t="shared" si="83"/>
        <v>2020</v>
      </c>
      <c r="P1744" t="s">
        <v>13</v>
      </c>
      <c r="Q1744" t="s">
        <v>5781</v>
      </c>
      <c r="R1744" t="s">
        <v>23</v>
      </c>
      <c r="S1744" t="str" cm="1">
        <f t="array" ref="S1744">_xlfn.IFS(R1744="COMPLETE", "COMPLETED", R1744="CANCELED", "CANCELED", TRUE, "PENDING")</f>
        <v>PENDING</v>
      </c>
      <c r="T1744" t="s">
        <v>90</v>
      </c>
      <c r="U1744">
        <f>VLOOKUP(A1744,ordered_items!$B:$E,4,0)</f>
        <v>461.48</v>
      </c>
    </row>
    <row r="1745" spans="1:21" x14ac:dyDescent="0.3">
      <c r="A1745">
        <v>74933</v>
      </c>
      <c r="B1745" t="s">
        <v>3</v>
      </c>
      <c r="C1745">
        <v>2</v>
      </c>
      <c r="D1745">
        <v>1</v>
      </c>
      <c r="E1745" t="str">
        <f t="shared" si="81"/>
        <v>DELAYED</v>
      </c>
      <c r="F1745">
        <f>VLOOKUP($A1745,ordered_items!$B$2:$E$4784,2,0)</f>
        <v>1353</v>
      </c>
      <c r="G1745">
        <f>VLOOKUP($A1745,ordered_items!$B$2:$E$4784,3,0)</f>
        <v>1</v>
      </c>
      <c r="H1745">
        <f>VLOOKUP($A1745,ordered_items!$B$2:$E$4784,4,0)</f>
        <v>461.48</v>
      </c>
      <c r="I1745" s="15">
        <f>VLOOKUP(F1745,product_info!$A$2:$D$73,4,0)</f>
        <v>4</v>
      </c>
      <c r="J1745" s="15" t="str">
        <f>VLOOKUP(I1745,department!$A$2:$B$13,2,0)</f>
        <v>Apparel</v>
      </c>
      <c r="K1745">
        <v>18486</v>
      </c>
      <c r="L1745" t="s">
        <v>1848</v>
      </c>
      <c r="M1745" s="4">
        <v>44193</v>
      </c>
      <c r="N1745" s="12">
        <f t="shared" si="82"/>
        <v>12</v>
      </c>
      <c r="O1745" s="13">
        <f t="shared" si="83"/>
        <v>2020</v>
      </c>
      <c r="P1745" t="s">
        <v>13</v>
      </c>
      <c r="Q1745" t="s">
        <v>47</v>
      </c>
      <c r="R1745" t="s">
        <v>38</v>
      </c>
      <c r="S1745" t="str" cm="1">
        <f t="array" ref="S1745">_xlfn.IFS(R1745="COMPLETE", "COMPLETED", R1745="CANCELED", "CANCELED", TRUE, "PENDING")</f>
        <v>PENDING</v>
      </c>
      <c r="T1745" t="s">
        <v>32</v>
      </c>
      <c r="U1745">
        <f>VLOOKUP(A1745,ordered_items!$B:$E,4,0)</f>
        <v>461.48</v>
      </c>
    </row>
    <row r="1746" spans="1:21" x14ac:dyDescent="0.3">
      <c r="A1746">
        <v>74934</v>
      </c>
      <c r="B1746" t="s">
        <v>3</v>
      </c>
      <c r="C1746">
        <v>2</v>
      </c>
      <c r="D1746">
        <v>1</v>
      </c>
      <c r="E1746" t="str">
        <f t="shared" si="81"/>
        <v>DELAYED</v>
      </c>
      <c r="F1746">
        <f>VLOOKUP($A1746,ordered_items!$B$2:$E$4784,2,0)</f>
        <v>1353</v>
      </c>
      <c r="G1746">
        <f>VLOOKUP($A1746,ordered_items!$B$2:$E$4784,3,0)</f>
        <v>1</v>
      </c>
      <c r="H1746">
        <f>VLOOKUP($A1746,ordered_items!$B$2:$E$4784,4,0)</f>
        <v>461.48</v>
      </c>
      <c r="I1746" s="15">
        <f>VLOOKUP(F1746,product_info!$A$2:$D$73,4,0)</f>
        <v>4</v>
      </c>
      <c r="J1746" s="15" t="str">
        <f>VLOOKUP(I1746,department!$A$2:$B$13,2,0)</f>
        <v>Apparel</v>
      </c>
      <c r="K1746">
        <v>18487</v>
      </c>
      <c r="L1746" t="s">
        <v>1848</v>
      </c>
      <c r="M1746" s="4">
        <v>44193</v>
      </c>
      <c r="N1746" s="12">
        <f t="shared" si="82"/>
        <v>12</v>
      </c>
      <c r="O1746" s="13">
        <f t="shared" si="83"/>
        <v>2020</v>
      </c>
      <c r="P1746" t="s">
        <v>13</v>
      </c>
      <c r="Q1746" t="s">
        <v>47</v>
      </c>
      <c r="R1746" t="s">
        <v>14</v>
      </c>
      <c r="S1746" t="str" cm="1">
        <f t="array" ref="S1746">_xlfn.IFS(R1746="COMPLETE", "COMPLETED", R1746="CANCELED", "CANCELED", TRUE, "PENDING")</f>
        <v>PENDING</v>
      </c>
      <c r="T1746" t="s">
        <v>32</v>
      </c>
      <c r="U1746">
        <f>VLOOKUP(A1746,ordered_items!$B:$E,4,0)</f>
        <v>461.48</v>
      </c>
    </row>
    <row r="1747" spans="1:21" x14ac:dyDescent="0.3">
      <c r="A1747">
        <v>74935</v>
      </c>
      <c r="B1747" t="s">
        <v>51</v>
      </c>
      <c r="C1747">
        <v>2</v>
      </c>
      <c r="D1747">
        <v>1</v>
      </c>
      <c r="E1747" t="str">
        <f t="shared" si="81"/>
        <v>DELAYED</v>
      </c>
      <c r="F1747">
        <f>VLOOKUP($A1747,ordered_items!$B$2:$E$4784,2,0)</f>
        <v>1353</v>
      </c>
      <c r="G1747">
        <f>VLOOKUP($A1747,ordered_items!$B$2:$E$4784,3,0)</f>
        <v>1</v>
      </c>
      <c r="H1747">
        <f>VLOOKUP($A1747,ordered_items!$B$2:$E$4784,4,0)</f>
        <v>461.48</v>
      </c>
      <c r="I1747" s="15">
        <f>VLOOKUP(F1747,product_info!$A$2:$D$73,4,0)</f>
        <v>4</v>
      </c>
      <c r="J1747" s="15" t="str">
        <f>VLOOKUP(I1747,department!$A$2:$B$13,2,0)</f>
        <v>Apparel</v>
      </c>
      <c r="K1747">
        <v>18488</v>
      </c>
      <c r="L1747" t="s">
        <v>1848</v>
      </c>
      <c r="M1747" s="4">
        <v>44193</v>
      </c>
      <c r="N1747" s="12">
        <f t="shared" si="82"/>
        <v>12</v>
      </c>
      <c r="O1747" s="13">
        <f t="shared" si="83"/>
        <v>2020</v>
      </c>
      <c r="P1747" t="s">
        <v>13</v>
      </c>
      <c r="Q1747" t="s">
        <v>47</v>
      </c>
      <c r="R1747" t="s">
        <v>57</v>
      </c>
      <c r="S1747" t="str" cm="1">
        <f t="array" ref="S1747">_xlfn.IFS(R1747="COMPLETE", "COMPLETED", R1747="CANCELED", "CANCELED", TRUE, "PENDING")</f>
        <v>PENDING</v>
      </c>
      <c r="T1747" t="s">
        <v>32</v>
      </c>
      <c r="U1747">
        <f>VLOOKUP(A1747,ordered_items!$B:$E,4,0)</f>
        <v>461.48</v>
      </c>
    </row>
    <row r="1748" spans="1:21" x14ac:dyDescent="0.3">
      <c r="A1748">
        <v>74936</v>
      </c>
      <c r="B1748" t="s">
        <v>24</v>
      </c>
      <c r="C1748">
        <v>2</v>
      </c>
      <c r="D1748">
        <v>4</v>
      </c>
      <c r="E1748" t="str">
        <f t="shared" si="81"/>
        <v xml:space="preserve"> ONTIME</v>
      </c>
      <c r="F1748">
        <f>VLOOKUP($A1748,ordered_items!$B$2:$E$4784,2,0)</f>
        <v>1353</v>
      </c>
      <c r="G1748">
        <f>VLOOKUP($A1748,ordered_items!$B$2:$E$4784,3,0)</f>
        <v>1</v>
      </c>
      <c r="H1748">
        <f>VLOOKUP($A1748,ordered_items!$B$2:$E$4784,4,0)</f>
        <v>461.48</v>
      </c>
      <c r="I1748" s="15">
        <f>VLOOKUP(F1748,product_info!$A$2:$D$73,4,0)</f>
        <v>4</v>
      </c>
      <c r="J1748" s="15" t="str">
        <f>VLOOKUP(I1748,department!$A$2:$B$13,2,0)</f>
        <v>Apparel</v>
      </c>
      <c r="K1748">
        <v>18489</v>
      </c>
      <c r="L1748" t="s">
        <v>1848</v>
      </c>
      <c r="M1748" s="4">
        <v>44193</v>
      </c>
      <c r="N1748" s="12">
        <f t="shared" si="82"/>
        <v>12</v>
      </c>
      <c r="O1748" s="13">
        <f t="shared" si="83"/>
        <v>2020</v>
      </c>
      <c r="P1748" t="s">
        <v>13</v>
      </c>
      <c r="Q1748" t="s">
        <v>47</v>
      </c>
      <c r="R1748" t="s">
        <v>31</v>
      </c>
      <c r="S1748" t="str" cm="1">
        <f t="array" ref="S1748">_xlfn.IFS(R1748="COMPLETE", "COMPLETED", R1748="CANCELED", "CANCELED", TRUE, "PENDING")</f>
        <v>COMPLETED</v>
      </c>
      <c r="T1748" t="s">
        <v>16</v>
      </c>
      <c r="U1748">
        <f>VLOOKUP(A1748,ordered_items!$B:$E,4,0)</f>
        <v>461.48</v>
      </c>
    </row>
    <row r="1749" spans="1:21" x14ac:dyDescent="0.3">
      <c r="A1749">
        <v>74939</v>
      </c>
      <c r="B1749" t="s">
        <v>24</v>
      </c>
      <c r="C1749">
        <v>5</v>
      </c>
      <c r="D1749">
        <v>4</v>
      </c>
      <c r="E1749" t="str">
        <f t="shared" si="81"/>
        <v>DELAYED</v>
      </c>
      <c r="F1749">
        <f>VLOOKUP($A1749,ordered_items!$B$2:$E$4784,2,0)</f>
        <v>1353</v>
      </c>
      <c r="G1749">
        <f>VLOOKUP($A1749,ordered_items!$B$2:$E$4784,3,0)</f>
        <v>1</v>
      </c>
      <c r="H1749">
        <f>VLOOKUP($A1749,ordered_items!$B$2:$E$4784,4,0)</f>
        <v>461.48</v>
      </c>
      <c r="I1749" s="15">
        <f>VLOOKUP(F1749,product_info!$A$2:$D$73,4,0)</f>
        <v>4</v>
      </c>
      <c r="J1749" s="15" t="str">
        <f>VLOOKUP(I1749,department!$A$2:$B$13,2,0)</f>
        <v>Apparel</v>
      </c>
      <c r="K1749">
        <v>18492</v>
      </c>
      <c r="L1749" t="s">
        <v>295</v>
      </c>
      <c r="M1749" s="4">
        <v>44193</v>
      </c>
      <c r="N1749" s="12">
        <f t="shared" si="82"/>
        <v>12</v>
      </c>
      <c r="O1749" s="13">
        <f t="shared" si="83"/>
        <v>2020</v>
      </c>
      <c r="P1749" t="s">
        <v>13</v>
      </c>
      <c r="Q1749" t="s">
        <v>80</v>
      </c>
      <c r="R1749" t="s">
        <v>378</v>
      </c>
      <c r="S1749" t="str" cm="1">
        <f t="array" ref="S1749">_xlfn.IFS(R1749="COMPLETE", "COMPLETED", R1749="CANCELED", "CANCELED", TRUE, "PENDING")</f>
        <v>PENDING</v>
      </c>
      <c r="T1749" t="s">
        <v>16</v>
      </c>
      <c r="U1749">
        <f>VLOOKUP(A1749,ordered_items!$B:$E,4,0)</f>
        <v>461.48</v>
      </c>
    </row>
    <row r="1750" spans="1:21" x14ac:dyDescent="0.3">
      <c r="A1750">
        <v>74940</v>
      </c>
      <c r="B1750" t="s">
        <v>3</v>
      </c>
      <c r="C1750">
        <v>6</v>
      </c>
      <c r="D1750">
        <v>4</v>
      </c>
      <c r="E1750" t="str">
        <f t="shared" si="81"/>
        <v>DELAYED</v>
      </c>
      <c r="F1750">
        <f>VLOOKUP($A1750,ordered_items!$B$2:$E$4784,2,0)</f>
        <v>1353</v>
      </c>
      <c r="G1750">
        <f>VLOOKUP($A1750,ordered_items!$B$2:$E$4784,3,0)</f>
        <v>1</v>
      </c>
      <c r="H1750">
        <f>VLOOKUP($A1750,ordered_items!$B$2:$E$4784,4,0)</f>
        <v>461.48</v>
      </c>
      <c r="I1750" s="15">
        <f>VLOOKUP(F1750,product_info!$A$2:$D$73,4,0)</f>
        <v>4</v>
      </c>
      <c r="J1750" s="15" t="str">
        <f>VLOOKUP(I1750,department!$A$2:$B$13,2,0)</f>
        <v>Apparel</v>
      </c>
      <c r="K1750">
        <v>18493</v>
      </c>
      <c r="L1750" t="s">
        <v>295</v>
      </c>
      <c r="M1750" s="4">
        <v>44193</v>
      </c>
      <c r="N1750" s="12">
        <f t="shared" si="82"/>
        <v>12</v>
      </c>
      <c r="O1750" s="13">
        <f t="shared" si="83"/>
        <v>2020</v>
      </c>
      <c r="P1750" t="s">
        <v>13</v>
      </c>
      <c r="Q1750" t="s">
        <v>80</v>
      </c>
      <c r="R1750" t="s">
        <v>38</v>
      </c>
      <c r="S1750" t="str" cm="1">
        <f t="array" ref="S1750">_xlfn.IFS(R1750="COMPLETE", "COMPLETED", R1750="CANCELED", "CANCELED", TRUE, "PENDING")</f>
        <v>PENDING</v>
      </c>
      <c r="T1750" t="s">
        <v>16</v>
      </c>
      <c r="U1750">
        <f>VLOOKUP(A1750,ordered_items!$B:$E,4,0)</f>
        <v>461.48</v>
      </c>
    </row>
    <row r="1751" spans="1:21" x14ac:dyDescent="0.3">
      <c r="A1751">
        <v>74941</v>
      </c>
      <c r="B1751" t="s">
        <v>24</v>
      </c>
      <c r="C1751">
        <v>2</v>
      </c>
      <c r="D1751">
        <v>4</v>
      </c>
      <c r="E1751" t="str">
        <f t="shared" si="81"/>
        <v xml:space="preserve"> ONTIME</v>
      </c>
      <c r="F1751">
        <f>VLOOKUP($A1751,ordered_items!$B$2:$E$4784,2,0)</f>
        <v>1353</v>
      </c>
      <c r="G1751">
        <f>VLOOKUP($A1751,ordered_items!$B$2:$E$4784,3,0)</f>
        <v>1</v>
      </c>
      <c r="H1751">
        <f>VLOOKUP($A1751,ordered_items!$B$2:$E$4784,4,0)</f>
        <v>461.48</v>
      </c>
      <c r="I1751" s="15">
        <f>VLOOKUP(F1751,product_info!$A$2:$D$73,4,0)</f>
        <v>4</v>
      </c>
      <c r="J1751" s="15" t="str">
        <f>VLOOKUP(I1751,department!$A$2:$B$13,2,0)</f>
        <v>Apparel</v>
      </c>
      <c r="K1751">
        <v>18494</v>
      </c>
      <c r="L1751" t="s">
        <v>295</v>
      </c>
      <c r="M1751" s="4">
        <v>44193</v>
      </c>
      <c r="N1751" s="12">
        <f t="shared" si="82"/>
        <v>12</v>
      </c>
      <c r="O1751" s="13">
        <f t="shared" si="83"/>
        <v>2020</v>
      </c>
      <c r="P1751" t="s">
        <v>13</v>
      </c>
      <c r="Q1751" t="s">
        <v>80</v>
      </c>
      <c r="R1751" t="s">
        <v>31</v>
      </c>
      <c r="S1751" t="str" cm="1">
        <f t="array" ref="S1751">_xlfn.IFS(R1751="COMPLETE", "COMPLETED", R1751="CANCELED", "CANCELED", TRUE, "PENDING")</f>
        <v>COMPLETED</v>
      </c>
      <c r="T1751" t="s">
        <v>16</v>
      </c>
      <c r="U1751">
        <f>VLOOKUP(A1751,ordered_items!$B:$E,4,0)</f>
        <v>461.48</v>
      </c>
    </row>
    <row r="1752" spans="1:21" x14ac:dyDescent="0.3">
      <c r="A1752">
        <v>74949</v>
      </c>
      <c r="B1752" t="s">
        <v>3</v>
      </c>
      <c r="C1752">
        <v>2</v>
      </c>
      <c r="D1752">
        <v>1</v>
      </c>
      <c r="E1752" t="str">
        <f t="shared" si="81"/>
        <v>DELAYED</v>
      </c>
      <c r="F1752">
        <f>VLOOKUP($A1752,ordered_items!$B$2:$E$4784,2,0)</f>
        <v>1353</v>
      </c>
      <c r="G1752">
        <f>VLOOKUP($A1752,ordered_items!$B$2:$E$4784,3,0)</f>
        <v>1</v>
      </c>
      <c r="H1752">
        <f>VLOOKUP($A1752,ordered_items!$B$2:$E$4784,4,0)</f>
        <v>461.48</v>
      </c>
      <c r="I1752" s="15">
        <f>VLOOKUP(F1752,product_info!$A$2:$D$73,4,0)</f>
        <v>4</v>
      </c>
      <c r="J1752" s="15" t="str">
        <f>VLOOKUP(I1752,department!$A$2:$B$13,2,0)</f>
        <v>Apparel</v>
      </c>
      <c r="K1752">
        <v>18502</v>
      </c>
      <c r="L1752" t="s">
        <v>426</v>
      </c>
      <c r="M1752" s="4">
        <v>44194</v>
      </c>
      <c r="N1752" s="12">
        <f t="shared" si="82"/>
        <v>12</v>
      </c>
      <c r="O1752" s="13">
        <f t="shared" si="83"/>
        <v>2020</v>
      </c>
      <c r="P1752" t="s">
        <v>13</v>
      </c>
      <c r="Q1752" t="s">
        <v>245</v>
      </c>
      <c r="R1752" t="s">
        <v>235</v>
      </c>
      <c r="S1752" t="str" cm="1">
        <f t="array" ref="S1752">_xlfn.IFS(R1752="COMPLETE", "COMPLETED", R1752="CANCELED", "CANCELED", TRUE, "PENDING")</f>
        <v>CANCELED</v>
      </c>
      <c r="T1752" t="s">
        <v>32</v>
      </c>
      <c r="U1752">
        <f>VLOOKUP(A1752,ordered_items!$B:$E,4,0)</f>
        <v>461.48</v>
      </c>
    </row>
    <row r="1753" spans="1:21" x14ac:dyDescent="0.3">
      <c r="A1753">
        <v>74950</v>
      </c>
      <c r="B1753" t="s">
        <v>3</v>
      </c>
      <c r="C1753">
        <v>6</v>
      </c>
      <c r="D1753">
        <v>4</v>
      </c>
      <c r="E1753" t="str">
        <f t="shared" si="81"/>
        <v>DELAYED</v>
      </c>
      <c r="F1753">
        <f>VLOOKUP($A1753,ordered_items!$B$2:$E$4784,2,0)</f>
        <v>1353</v>
      </c>
      <c r="G1753">
        <f>VLOOKUP($A1753,ordered_items!$B$2:$E$4784,3,0)</f>
        <v>1</v>
      </c>
      <c r="H1753">
        <f>VLOOKUP($A1753,ordered_items!$B$2:$E$4784,4,0)</f>
        <v>461.48</v>
      </c>
      <c r="I1753" s="15">
        <f>VLOOKUP(F1753,product_info!$A$2:$D$73,4,0)</f>
        <v>4</v>
      </c>
      <c r="J1753" s="15" t="str">
        <f>VLOOKUP(I1753,department!$A$2:$B$13,2,0)</f>
        <v>Apparel</v>
      </c>
      <c r="K1753">
        <v>18503</v>
      </c>
      <c r="L1753" t="s">
        <v>426</v>
      </c>
      <c r="M1753" s="4">
        <v>44194</v>
      </c>
      <c r="N1753" s="12">
        <f t="shared" si="82"/>
        <v>12</v>
      </c>
      <c r="O1753" s="13">
        <f t="shared" si="83"/>
        <v>2020</v>
      </c>
      <c r="P1753" t="s">
        <v>13</v>
      </c>
      <c r="Q1753" t="s">
        <v>245</v>
      </c>
      <c r="R1753" t="s">
        <v>178</v>
      </c>
      <c r="S1753" t="str" cm="1">
        <f t="array" ref="S1753">_xlfn.IFS(R1753="COMPLETE", "COMPLETED", R1753="CANCELED", "CANCELED", TRUE, "PENDING")</f>
        <v>PENDING</v>
      </c>
      <c r="T1753" t="s">
        <v>16</v>
      </c>
      <c r="U1753">
        <f>VLOOKUP(A1753,ordered_items!$B:$E,4,0)</f>
        <v>461.48</v>
      </c>
    </row>
    <row r="1754" spans="1:21" x14ac:dyDescent="0.3">
      <c r="A1754">
        <v>74956</v>
      </c>
      <c r="B1754" t="s">
        <v>51</v>
      </c>
      <c r="C1754">
        <v>2</v>
      </c>
      <c r="D1754">
        <v>4</v>
      </c>
      <c r="E1754" t="str">
        <f t="shared" si="81"/>
        <v xml:space="preserve"> ONTIME</v>
      </c>
      <c r="F1754">
        <f>VLOOKUP($A1754,ordered_items!$B$2:$E$4784,2,0)</f>
        <v>1353</v>
      </c>
      <c r="G1754">
        <f>VLOOKUP($A1754,ordered_items!$B$2:$E$4784,3,0)</f>
        <v>1</v>
      </c>
      <c r="H1754">
        <f>VLOOKUP($A1754,ordered_items!$B$2:$E$4784,4,0)</f>
        <v>461.48</v>
      </c>
      <c r="I1754" s="15">
        <f>VLOOKUP(F1754,product_info!$A$2:$D$73,4,0)</f>
        <v>4</v>
      </c>
      <c r="J1754" s="15" t="str">
        <f>VLOOKUP(I1754,department!$A$2:$B$13,2,0)</f>
        <v>Apparel</v>
      </c>
      <c r="K1754">
        <v>18509</v>
      </c>
      <c r="L1754" t="s">
        <v>827</v>
      </c>
      <c r="M1754" s="4">
        <v>44194</v>
      </c>
      <c r="N1754" s="12">
        <f t="shared" si="82"/>
        <v>12</v>
      </c>
      <c r="O1754" s="13">
        <f t="shared" si="83"/>
        <v>2020</v>
      </c>
      <c r="P1754" t="s">
        <v>13</v>
      </c>
      <c r="Q1754" t="s">
        <v>5781</v>
      </c>
      <c r="R1754" t="s">
        <v>57</v>
      </c>
      <c r="S1754" t="str" cm="1">
        <f t="array" ref="S1754">_xlfn.IFS(R1754="COMPLETE", "COMPLETED", R1754="CANCELED", "CANCELED", TRUE, "PENDING")</f>
        <v>PENDING</v>
      </c>
      <c r="T1754" t="s">
        <v>16</v>
      </c>
      <c r="U1754">
        <f>VLOOKUP(A1754,ordered_items!$B:$E,4,0)</f>
        <v>461.48</v>
      </c>
    </row>
    <row r="1755" spans="1:21" x14ac:dyDescent="0.3">
      <c r="A1755">
        <v>74957</v>
      </c>
      <c r="B1755" t="s">
        <v>24</v>
      </c>
      <c r="C1755">
        <v>3</v>
      </c>
      <c r="D1755">
        <v>4</v>
      </c>
      <c r="E1755" t="str">
        <f t="shared" si="81"/>
        <v xml:space="preserve"> ONTIME</v>
      </c>
      <c r="F1755">
        <f>VLOOKUP($A1755,ordered_items!$B$2:$E$4784,2,0)</f>
        <v>1353</v>
      </c>
      <c r="G1755">
        <f>VLOOKUP($A1755,ordered_items!$B$2:$E$4784,3,0)</f>
        <v>1</v>
      </c>
      <c r="H1755">
        <f>VLOOKUP($A1755,ordered_items!$B$2:$E$4784,4,0)</f>
        <v>461.48</v>
      </c>
      <c r="I1755" s="15">
        <f>VLOOKUP(F1755,product_info!$A$2:$D$73,4,0)</f>
        <v>4</v>
      </c>
      <c r="J1755" s="15" t="str">
        <f>VLOOKUP(I1755,department!$A$2:$B$13,2,0)</f>
        <v>Apparel</v>
      </c>
      <c r="K1755">
        <v>18510</v>
      </c>
      <c r="L1755" t="s">
        <v>827</v>
      </c>
      <c r="M1755" s="4">
        <v>44194</v>
      </c>
      <c r="N1755" s="12">
        <f t="shared" si="82"/>
        <v>12</v>
      </c>
      <c r="O1755" s="13">
        <f t="shared" si="83"/>
        <v>2020</v>
      </c>
      <c r="P1755" t="s">
        <v>13</v>
      </c>
      <c r="Q1755" t="s">
        <v>5781</v>
      </c>
      <c r="R1755" t="s">
        <v>31</v>
      </c>
      <c r="S1755" t="str" cm="1">
        <f t="array" ref="S1755">_xlfn.IFS(R1755="COMPLETE", "COMPLETED", R1755="CANCELED", "CANCELED", TRUE, "PENDING")</f>
        <v>COMPLETED</v>
      </c>
      <c r="T1755" t="s">
        <v>16</v>
      </c>
      <c r="U1755">
        <f>VLOOKUP(A1755,ordered_items!$B:$E,4,0)</f>
        <v>461.48</v>
      </c>
    </row>
    <row r="1756" spans="1:21" x14ac:dyDescent="0.3">
      <c r="A1756">
        <v>74958</v>
      </c>
      <c r="B1756" t="s">
        <v>24</v>
      </c>
      <c r="C1756">
        <v>4</v>
      </c>
      <c r="D1756">
        <v>4</v>
      </c>
      <c r="E1756" t="str">
        <f t="shared" si="81"/>
        <v xml:space="preserve"> ONTIME</v>
      </c>
      <c r="F1756">
        <f>VLOOKUP($A1756,ordered_items!$B$2:$E$4784,2,0)</f>
        <v>1353</v>
      </c>
      <c r="G1756">
        <f>VLOOKUP($A1756,ordered_items!$B$2:$E$4784,3,0)</f>
        <v>1</v>
      </c>
      <c r="H1756">
        <f>VLOOKUP($A1756,ordered_items!$B$2:$E$4784,4,0)</f>
        <v>461.48</v>
      </c>
      <c r="I1756" s="15">
        <f>VLOOKUP(F1756,product_info!$A$2:$D$73,4,0)</f>
        <v>4</v>
      </c>
      <c r="J1756" s="15" t="str">
        <f>VLOOKUP(I1756,department!$A$2:$B$13,2,0)</f>
        <v>Apparel</v>
      </c>
      <c r="K1756">
        <v>18511</v>
      </c>
      <c r="L1756" t="s">
        <v>827</v>
      </c>
      <c r="M1756" s="4">
        <v>44194</v>
      </c>
      <c r="N1756" s="12">
        <f t="shared" si="82"/>
        <v>12</v>
      </c>
      <c r="O1756" s="13">
        <f t="shared" si="83"/>
        <v>2020</v>
      </c>
      <c r="P1756" t="s">
        <v>13</v>
      </c>
      <c r="Q1756" t="s">
        <v>5781</v>
      </c>
      <c r="R1756" t="s">
        <v>31</v>
      </c>
      <c r="S1756" t="str" cm="1">
        <f t="array" ref="S1756">_xlfn.IFS(R1756="COMPLETE", "COMPLETED", R1756="CANCELED", "CANCELED", TRUE, "PENDING")</f>
        <v>COMPLETED</v>
      </c>
      <c r="T1756" t="s">
        <v>16</v>
      </c>
      <c r="U1756">
        <f>VLOOKUP(A1756,ordered_items!$B:$E,4,0)</f>
        <v>461.48</v>
      </c>
    </row>
    <row r="1757" spans="1:21" x14ac:dyDescent="0.3">
      <c r="A1757">
        <v>74959</v>
      </c>
      <c r="B1757" t="s">
        <v>17</v>
      </c>
      <c r="C1757">
        <v>2</v>
      </c>
      <c r="D1757">
        <v>1</v>
      </c>
      <c r="E1757" t="str">
        <f t="shared" si="81"/>
        <v>DELAYED</v>
      </c>
      <c r="F1757">
        <f>VLOOKUP($A1757,ordered_items!$B$2:$E$4784,2,0)</f>
        <v>1353</v>
      </c>
      <c r="G1757">
        <f>VLOOKUP($A1757,ordered_items!$B$2:$E$4784,3,0)</f>
        <v>1</v>
      </c>
      <c r="H1757">
        <f>VLOOKUP($A1757,ordered_items!$B$2:$E$4784,4,0)</f>
        <v>461.48</v>
      </c>
      <c r="I1757" s="15">
        <f>VLOOKUP(F1757,product_info!$A$2:$D$73,4,0)</f>
        <v>4</v>
      </c>
      <c r="J1757" s="15" t="str">
        <f>VLOOKUP(I1757,department!$A$2:$B$13,2,0)</f>
        <v>Apparel</v>
      </c>
      <c r="K1757">
        <v>18512</v>
      </c>
      <c r="L1757" t="s">
        <v>827</v>
      </c>
      <c r="M1757" s="4">
        <v>44194</v>
      </c>
      <c r="N1757" s="12">
        <f t="shared" si="82"/>
        <v>12</v>
      </c>
      <c r="O1757" s="13">
        <f t="shared" si="83"/>
        <v>2020</v>
      </c>
      <c r="P1757" t="s">
        <v>13</v>
      </c>
      <c r="Q1757" t="s">
        <v>5781</v>
      </c>
      <c r="R1757" t="s">
        <v>23</v>
      </c>
      <c r="S1757" t="str" cm="1">
        <f t="array" ref="S1757">_xlfn.IFS(R1757="COMPLETE", "COMPLETED", R1757="CANCELED", "CANCELED", TRUE, "PENDING")</f>
        <v>PENDING</v>
      </c>
      <c r="T1757" t="s">
        <v>32</v>
      </c>
      <c r="U1757">
        <f>VLOOKUP(A1757,ordered_items!$B:$E,4,0)</f>
        <v>461.48</v>
      </c>
    </row>
    <row r="1758" spans="1:21" x14ac:dyDescent="0.3">
      <c r="A1758">
        <v>74960</v>
      </c>
      <c r="B1758" t="s">
        <v>17</v>
      </c>
      <c r="C1758">
        <v>6</v>
      </c>
      <c r="D1758">
        <v>2</v>
      </c>
      <c r="E1758" t="str">
        <f t="shared" si="81"/>
        <v>DELAYED</v>
      </c>
      <c r="F1758">
        <f>VLOOKUP($A1758,ordered_items!$B$2:$E$4784,2,0)</f>
        <v>1353</v>
      </c>
      <c r="G1758">
        <f>VLOOKUP($A1758,ordered_items!$B$2:$E$4784,3,0)</f>
        <v>1</v>
      </c>
      <c r="H1758">
        <f>VLOOKUP($A1758,ordered_items!$B$2:$E$4784,4,0)</f>
        <v>461.48</v>
      </c>
      <c r="I1758" s="15">
        <f>VLOOKUP(F1758,product_info!$A$2:$D$73,4,0)</f>
        <v>4</v>
      </c>
      <c r="J1758" s="15" t="str">
        <f>VLOOKUP(I1758,department!$A$2:$B$13,2,0)</f>
        <v>Apparel</v>
      </c>
      <c r="K1758">
        <v>18513</v>
      </c>
      <c r="L1758" t="s">
        <v>827</v>
      </c>
      <c r="M1758" s="4">
        <v>44194</v>
      </c>
      <c r="N1758" s="12">
        <f t="shared" si="82"/>
        <v>12</v>
      </c>
      <c r="O1758" s="13">
        <f t="shared" si="83"/>
        <v>2020</v>
      </c>
      <c r="P1758" t="s">
        <v>13</v>
      </c>
      <c r="Q1758" t="s">
        <v>5781</v>
      </c>
      <c r="R1758" t="s">
        <v>23</v>
      </c>
      <c r="S1758" t="str" cm="1">
        <f t="array" ref="S1758">_xlfn.IFS(R1758="COMPLETE", "COMPLETED", R1758="CANCELED", "CANCELED", TRUE, "PENDING")</f>
        <v>PENDING</v>
      </c>
      <c r="T1758" t="s">
        <v>90</v>
      </c>
      <c r="U1758">
        <f>VLOOKUP(A1758,ordered_items!$B:$E,4,0)</f>
        <v>461.48</v>
      </c>
    </row>
    <row r="1759" spans="1:21" x14ac:dyDescent="0.3">
      <c r="A1759">
        <v>74962</v>
      </c>
      <c r="B1759" t="s">
        <v>24</v>
      </c>
      <c r="C1759">
        <v>3</v>
      </c>
      <c r="D1759">
        <v>4</v>
      </c>
      <c r="E1759" t="str">
        <f t="shared" si="81"/>
        <v xml:space="preserve"> ONTIME</v>
      </c>
      <c r="F1759">
        <f>VLOOKUP($A1759,ordered_items!$B$2:$E$4784,2,0)</f>
        <v>1353</v>
      </c>
      <c r="G1759">
        <f>VLOOKUP($A1759,ordered_items!$B$2:$E$4784,3,0)</f>
        <v>1</v>
      </c>
      <c r="H1759">
        <f>VLOOKUP($A1759,ordered_items!$B$2:$E$4784,4,0)</f>
        <v>461.48</v>
      </c>
      <c r="I1759" s="15">
        <f>VLOOKUP(F1759,product_info!$A$2:$D$73,4,0)</f>
        <v>4</v>
      </c>
      <c r="J1759" s="15" t="str">
        <f>VLOOKUP(I1759,department!$A$2:$B$13,2,0)</f>
        <v>Apparel</v>
      </c>
      <c r="K1759">
        <v>18515</v>
      </c>
      <c r="L1759" t="s">
        <v>980</v>
      </c>
      <c r="M1759" s="4">
        <v>44194</v>
      </c>
      <c r="N1759" s="12">
        <f t="shared" si="82"/>
        <v>12</v>
      </c>
      <c r="O1759" s="13">
        <f t="shared" si="83"/>
        <v>2020</v>
      </c>
      <c r="P1759" t="s">
        <v>13</v>
      </c>
      <c r="Q1759" t="s">
        <v>30</v>
      </c>
      <c r="R1759" t="s">
        <v>31</v>
      </c>
      <c r="S1759" t="str" cm="1">
        <f t="array" ref="S1759">_xlfn.IFS(R1759="COMPLETE", "COMPLETED", R1759="CANCELED", "CANCELED", TRUE, "PENDING")</f>
        <v>COMPLETED</v>
      </c>
      <c r="T1759" t="s">
        <v>16</v>
      </c>
      <c r="U1759">
        <f>VLOOKUP(A1759,ordered_items!$B:$E,4,0)</f>
        <v>461.48</v>
      </c>
    </row>
    <row r="1760" spans="1:21" x14ac:dyDescent="0.3">
      <c r="A1760">
        <v>74963</v>
      </c>
      <c r="B1760" t="s">
        <v>3</v>
      </c>
      <c r="C1760">
        <v>4</v>
      </c>
      <c r="D1760">
        <v>4</v>
      </c>
      <c r="E1760" t="str">
        <f t="shared" si="81"/>
        <v xml:space="preserve"> ONTIME</v>
      </c>
      <c r="F1760">
        <f>VLOOKUP($A1760,ordered_items!$B$2:$E$4784,2,0)</f>
        <v>1353</v>
      </c>
      <c r="G1760">
        <f>VLOOKUP($A1760,ordered_items!$B$2:$E$4784,3,0)</f>
        <v>1</v>
      </c>
      <c r="H1760">
        <f>VLOOKUP($A1760,ordered_items!$B$2:$E$4784,4,0)</f>
        <v>461.48</v>
      </c>
      <c r="I1760" s="15">
        <f>VLOOKUP(F1760,product_info!$A$2:$D$73,4,0)</f>
        <v>4</v>
      </c>
      <c r="J1760" s="15" t="str">
        <f>VLOOKUP(I1760,department!$A$2:$B$13,2,0)</f>
        <v>Apparel</v>
      </c>
      <c r="K1760">
        <v>18516</v>
      </c>
      <c r="L1760" t="s">
        <v>980</v>
      </c>
      <c r="M1760" s="4">
        <v>44194</v>
      </c>
      <c r="N1760" s="12">
        <f t="shared" si="82"/>
        <v>12</v>
      </c>
      <c r="O1760" s="13">
        <f t="shared" si="83"/>
        <v>2020</v>
      </c>
      <c r="P1760" t="s">
        <v>13</v>
      </c>
      <c r="Q1760" t="s">
        <v>30</v>
      </c>
      <c r="R1760" t="s">
        <v>38</v>
      </c>
      <c r="S1760" t="str" cm="1">
        <f t="array" ref="S1760">_xlfn.IFS(R1760="COMPLETE", "COMPLETED", R1760="CANCELED", "CANCELED", TRUE, "PENDING")</f>
        <v>PENDING</v>
      </c>
      <c r="T1760" t="s">
        <v>16</v>
      </c>
      <c r="U1760">
        <f>VLOOKUP(A1760,ordered_items!$B:$E,4,0)</f>
        <v>461.48</v>
      </c>
    </row>
    <row r="1761" spans="1:21" x14ac:dyDescent="0.3">
      <c r="A1761">
        <v>74964</v>
      </c>
      <c r="B1761" t="s">
        <v>3</v>
      </c>
      <c r="C1761">
        <v>5</v>
      </c>
      <c r="D1761">
        <v>4</v>
      </c>
      <c r="E1761" t="str">
        <f t="shared" si="81"/>
        <v>DELAYED</v>
      </c>
      <c r="F1761">
        <f>VLOOKUP($A1761,ordered_items!$B$2:$E$4784,2,0)</f>
        <v>1353</v>
      </c>
      <c r="G1761">
        <f>VLOOKUP($A1761,ordered_items!$B$2:$E$4784,3,0)</f>
        <v>1</v>
      </c>
      <c r="H1761">
        <f>VLOOKUP($A1761,ordered_items!$B$2:$E$4784,4,0)</f>
        <v>461.48</v>
      </c>
      <c r="I1761" s="15">
        <f>VLOOKUP(F1761,product_info!$A$2:$D$73,4,0)</f>
        <v>4</v>
      </c>
      <c r="J1761" s="15" t="str">
        <f>VLOOKUP(I1761,department!$A$2:$B$13,2,0)</f>
        <v>Apparel</v>
      </c>
      <c r="K1761">
        <v>18517</v>
      </c>
      <c r="L1761" t="s">
        <v>980</v>
      </c>
      <c r="M1761" s="4">
        <v>44194</v>
      </c>
      <c r="N1761" s="12">
        <f t="shared" si="82"/>
        <v>12</v>
      </c>
      <c r="O1761" s="13">
        <f t="shared" si="83"/>
        <v>2020</v>
      </c>
      <c r="P1761" t="s">
        <v>13</v>
      </c>
      <c r="Q1761" t="s">
        <v>30</v>
      </c>
      <c r="R1761" t="s">
        <v>14</v>
      </c>
      <c r="S1761" t="str" cm="1">
        <f t="array" ref="S1761">_xlfn.IFS(R1761="COMPLETE", "COMPLETED", R1761="CANCELED", "CANCELED", TRUE, "PENDING")</f>
        <v>PENDING</v>
      </c>
      <c r="T1761" t="s">
        <v>16</v>
      </c>
      <c r="U1761">
        <f>VLOOKUP(A1761,ordered_items!$B:$E,4,0)</f>
        <v>461.48</v>
      </c>
    </row>
    <row r="1762" spans="1:21" x14ac:dyDescent="0.3">
      <c r="A1762">
        <v>74969</v>
      </c>
      <c r="B1762" t="s">
        <v>24</v>
      </c>
      <c r="C1762">
        <v>5</v>
      </c>
      <c r="D1762">
        <v>2</v>
      </c>
      <c r="E1762" t="str">
        <f t="shared" si="81"/>
        <v>DELAYED</v>
      </c>
      <c r="F1762">
        <f>VLOOKUP($A1762,ordered_items!$B$2:$E$4784,2,0)</f>
        <v>1353</v>
      </c>
      <c r="G1762">
        <f>VLOOKUP($A1762,ordered_items!$B$2:$E$4784,3,0)</f>
        <v>1</v>
      </c>
      <c r="H1762">
        <f>VLOOKUP($A1762,ordered_items!$B$2:$E$4784,4,0)</f>
        <v>461.48</v>
      </c>
      <c r="I1762" s="15">
        <f>VLOOKUP(F1762,product_info!$A$2:$D$73,4,0)</f>
        <v>4</v>
      </c>
      <c r="J1762" s="15" t="str">
        <f>VLOOKUP(I1762,department!$A$2:$B$13,2,0)</f>
        <v>Apparel</v>
      </c>
      <c r="K1762">
        <v>18522</v>
      </c>
      <c r="L1762" t="s">
        <v>244</v>
      </c>
      <c r="M1762" s="4">
        <v>44194</v>
      </c>
      <c r="N1762" s="12">
        <f t="shared" si="82"/>
        <v>12</v>
      </c>
      <c r="O1762" s="13">
        <f t="shared" si="83"/>
        <v>2020</v>
      </c>
      <c r="P1762" t="s">
        <v>13</v>
      </c>
      <c r="Q1762" t="s">
        <v>245</v>
      </c>
      <c r="R1762" t="s">
        <v>31</v>
      </c>
      <c r="S1762" t="str" cm="1">
        <f t="array" ref="S1762">_xlfn.IFS(R1762="COMPLETE", "COMPLETED", R1762="CANCELED", "CANCELED", TRUE, "PENDING")</f>
        <v>COMPLETED</v>
      </c>
      <c r="T1762" t="s">
        <v>90</v>
      </c>
      <c r="U1762">
        <f>VLOOKUP(A1762,ordered_items!$B:$E,4,0)</f>
        <v>461.48</v>
      </c>
    </row>
    <row r="1763" spans="1:21" x14ac:dyDescent="0.3">
      <c r="A1763">
        <v>74970</v>
      </c>
      <c r="B1763" t="s">
        <v>24</v>
      </c>
      <c r="C1763">
        <v>6</v>
      </c>
      <c r="D1763">
        <v>2</v>
      </c>
      <c r="E1763" t="str">
        <f t="shared" si="81"/>
        <v>DELAYED</v>
      </c>
      <c r="F1763">
        <f>VLOOKUP($A1763,ordered_items!$B$2:$E$4784,2,0)</f>
        <v>1353</v>
      </c>
      <c r="G1763">
        <f>VLOOKUP($A1763,ordered_items!$B$2:$E$4784,3,0)</f>
        <v>1</v>
      </c>
      <c r="H1763">
        <f>VLOOKUP($A1763,ordered_items!$B$2:$E$4784,4,0)</f>
        <v>461.48</v>
      </c>
      <c r="I1763" s="15">
        <f>VLOOKUP(F1763,product_info!$A$2:$D$73,4,0)</f>
        <v>4</v>
      </c>
      <c r="J1763" s="15" t="str">
        <f>VLOOKUP(I1763,department!$A$2:$B$13,2,0)</f>
        <v>Apparel</v>
      </c>
      <c r="K1763">
        <v>18523</v>
      </c>
      <c r="L1763" t="s">
        <v>244</v>
      </c>
      <c r="M1763" s="4">
        <v>44194</v>
      </c>
      <c r="N1763" s="12">
        <f t="shared" si="82"/>
        <v>12</v>
      </c>
      <c r="O1763" s="13">
        <f t="shared" si="83"/>
        <v>2020</v>
      </c>
      <c r="P1763" t="s">
        <v>13</v>
      </c>
      <c r="Q1763" t="s">
        <v>245</v>
      </c>
      <c r="R1763" t="s">
        <v>31</v>
      </c>
      <c r="S1763" t="str" cm="1">
        <f t="array" ref="S1763">_xlfn.IFS(R1763="COMPLETE", "COMPLETED", R1763="CANCELED", "CANCELED", TRUE, "PENDING")</f>
        <v>COMPLETED</v>
      </c>
      <c r="T1763" t="s">
        <v>90</v>
      </c>
      <c r="U1763">
        <f>VLOOKUP(A1763,ordered_items!$B:$E,4,0)</f>
        <v>461.48</v>
      </c>
    </row>
    <row r="1764" spans="1:21" x14ac:dyDescent="0.3">
      <c r="A1764">
        <v>74971</v>
      </c>
      <c r="B1764" t="s">
        <v>24</v>
      </c>
      <c r="C1764">
        <v>2</v>
      </c>
      <c r="D1764">
        <v>4</v>
      </c>
      <c r="E1764" t="str">
        <f t="shared" si="81"/>
        <v xml:space="preserve"> ONTIME</v>
      </c>
      <c r="F1764">
        <f>VLOOKUP($A1764,ordered_items!$B$2:$E$4784,2,0)</f>
        <v>1353</v>
      </c>
      <c r="G1764">
        <f>VLOOKUP($A1764,ordered_items!$B$2:$E$4784,3,0)</f>
        <v>1</v>
      </c>
      <c r="H1764">
        <f>VLOOKUP($A1764,ordered_items!$B$2:$E$4784,4,0)</f>
        <v>461.48</v>
      </c>
      <c r="I1764" s="15">
        <f>VLOOKUP(F1764,product_info!$A$2:$D$73,4,0)</f>
        <v>4</v>
      </c>
      <c r="J1764" s="15" t="str">
        <f>VLOOKUP(I1764,department!$A$2:$B$13,2,0)</f>
        <v>Apparel</v>
      </c>
      <c r="K1764">
        <v>18524</v>
      </c>
      <c r="L1764" t="s">
        <v>244</v>
      </c>
      <c r="M1764" s="4">
        <v>44194</v>
      </c>
      <c r="N1764" s="12">
        <f t="shared" si="82"/>
        <v>12</v>
      </c>
      <c r="O1764" s="13">
        <f t="shared" si="83"/>
        <v>2020</v>
      </c>
      <c r="P1764" t="s">
        <v>13</v>
      </c>
      <c r="Q1764" t="s">
        <v>245</v>
      </c>
      <c r="R1764" t="s">
        <v>31</v>
      </c>
      <c r="S1764" t="str" cm="1">
        <f t="array" ref="S1764">_xlfn.IFS(R1764="COMPLETE", "COMPLETED", R1764="CANCELED", "CANCELED", TRUE, "PENDING")</f>
        <v>COMPLETED</v>
      </c>
      <c r="T1764" t="s">
        <v>16</v>
      </c>
      <c r="U1764">
        <f>VLOOKUP(A1764,ordered_items!$B:$E,4,0)</f>
        <v>461.48</v>
      </c>
    </row>
    <row r="1765" spans="1:21" x14ac:dyDescent="0.3">
      <c r="A1765">
        <v>74972</v>
      </c>
      <c r="B1765" t="s">
        <v>17</v>
      </c>
      <c r="C1765">
        <v>3</v>
      </c>
      <c r="D1765">
        <v>4</v>
      </c>
      <c r="E1765" t="str">
        <f t="shared" si="81"/>
        <v xml:space="preserve"> ONTIME</v>
      </c>
      <c r="F1765">
        <f>VLOOKUP($A1765,ordered_items!$B$2:$E$4784,2,0)</f>
        <v>1353</v>
      </c>
      <c r="G1765">
        <f>VLOOKUP($A1765,ordered_items!$B$2:$E$4784,3,0)</f>
        <v>1</v>
      </c>
      <c r="H1765">
        <f>VLOOKUP($A1765,ordered_items!$B$2:$E$4784,4,0)</f>
        <v>461.48</v>
      </c>
      <c r="I1765" s="15">
        <f>VLOOKUP(F1765,product_info!$A$2:$D$73,4,0)</f>
        <v>4</v>
      </c>
      <c r="J1765" s="15" t="str">
        <f>VLOOKUP(I1765,department!$A$2:$B$13,2,0)</f>
        <v>Apparel</v>
      </c>
      <c r="K1765">
        <v>18525</v>
      </c>
      <c r="L1765" t="s">
        <v>244</v>
      </c>
      <c r="M1765" s="4">
        <v>44194</v>
      </c>
      <c r="N1765" s="12">
        <f t="shared" si="82"/>
        <v>12</v>
      </c>
      <c r="O1765" s="13">
        <f t="shared" si="83"/>
        <v>2020</v>
      </c>
      <c r="P1765" t="s">
        <v>13</v>
      </c>
      <c r="Q1765" t="s">
        <v>245</v>
      </c>
      <c r="R1765" t="s">
        <v>23</v>
      </c>
      <c r="S1765" t="str" cm="1">
        <f t="array" ref="S1765">_xlfn.IFS(R1765="COMPLETE", "COMPLETED", R1765="CANCELED", "CANCELED", TRUE, "PENDING")</f>
        <v>PENDING</v>
      </c>
      <c r="T1765" t="s">
        <v>16</v>
      </c>
      <c r="U1765">
        <f>VLOOKUP(A1765,ordered_items!$B:$E,4,0)</f>
        <v>461.48</v>
      </c>
    </row>
    <row r="1766" spans="1:21" x14ac:dyDescent="0.3">
      <c r="A1766">
        <v>74973</v>
      </c>
      <c r="B1766" t="s">
        <v>24</v>
      </c>
      <c r="C1766">
        <v>4</v>
      </c>
      <c r="D1766">
        <v>4</v>
      </c>
      <c r="E1766" t="str">
        <f t="shared" si="81"/>
        <v xml:space="preserve"> ONTIME</v>
      </c>
      <c r="F1766">
        <f>VLOOKUP($A1766,ordered_items!$B$2:$E$4784,2,0)</f>
        <v>1354</v>
      </c>
      <c r="G1766">
        <f>VLOOKUP($A1766,ordered_items!$B$2:$E$4784,3,0)</f>
        <v>1</v>
      </c>
      <c r="H1766">
        <f>VLOOKUP($A1766,ordered_items!$B$2:$E$4784,4,0)</f>
        <v>164.38</v>
      </c>
      <c r="I1766" s="15">
        <f>VLOOKUP(F1766,product_info!$A$2:$D$73,4,0)</f>
        <v>9</v>
      </c>
      <c r="J1766" s="15" t="str">
        <f>VLOOKUP(I1766,department!$A$2:$B$13,2,0)</f>
        <v>Discs Shop</v>
      </c>
      <c r="K1766">
        <v>18526</v>
      </c>
      <c r="L1766" t="s">
        <v>244</v>
      </c>
      <c r="M1766" s="4">
        <v>44194</v>
      </c>
      <c r="N1766" s="12">
        <f t="shared" si="82"/>
        <v>12</v>
      </c>
      <c r="O1766" s="13">
        <f t="shared" si="83"/>
        <v>2020</v>
      </c>
      <c r="P1766" t="s">
        <v>13</v>
      </c>
      <c r="Q1766" t="s">
        <v>245</v>
      </c>
      <c r="R1766" t="s">
        <v>31</v>
      </c>
      <c r="S1766" t="str" cm="1">
        <f t="array" ref="S1766">_xlfn.IFS(R1766="COMPLETE", "COMPLETED", R1766="CANCELED", "CANCELED", TRUE, "PENDING")</f>
        <v>COMPLETED</v>
      </c>
      <c r="T1766" t="s">
        <v>16</v>
      </c>
      <c r="U1766">
        <f>VLOOKUP(A1766,ordered_items!$B:$E,4,0)</f>
        <v>164.38</v>
      </c>
    </row>
    <row r="1767" spans="1:21" x14ac:dyDescent="0.3">
      <c r="A1767">
        <v>74974</v>
      </c>
      <c r="B1767" t="s">
        <v>51</v>
      </c>
      <c r="C1767">
        <v>5</v>
      </c>
      <c r="D1767">
        <v>4</v>
      </c>
      <c r="E1767" t="str">
        <f t="shared" si="81"/>
        <v>DELAYED</v>
      </c>
      <c r="F1767">
        <f>VLOOKUP($A1767,ordered_items!$B$2:$E$4784,2,0)</f>
        <v>1354</v>
      </c>
      <c r="G1767">
        <f>VLOOKUP($A1767,ordered_items!$B$2:$E$4784,3,0)</f>
        <v>1</v>
      </c>
      <c r="H1767">
        <f>VLOOKUP($A1767,ordered_items!$B$2:$E$4784,4,0)</f>
        <v>164.38</v>
      </c>
      <c r="I1767" s="15">
        <f>VLOOKUP(F1767,product_info!$A$2:$D$73,4,0)</f>
        <v>9</v>
      </c>
      <c r="J1767" s="15" t="str">
        <f>VLOOKUP(I1767,department!$A$2:$B$13,2,0)</f>
        <v>Discs Shop</v>
      </c>
      <c r="K1767">
        <v>18527</v>
      </c>
      <c r="L1767" t="s">
        <v>146</v>
      </c>
      <c r="M1767" s="4">
        <v>44194</v>
      </c>
      <c r="N1767" s="12">
        <f t="shared" si="82"/>
        <v>12</v>
      </c>
      <c r="O1767" s="13">
        <f t="shared" si="83"/>
        <v>2020</v>
      </c>
      <c r="P1767" t="s">
        <v>13</v>
      </c>
      <c r="Q1767" t="s">
        <v>30</v>
      </c>
      <c r="R1767" t="s">
        <v>57</v>
      </c>
      <c r="S1767" t="str" cm="1">
        <f t="array" ref="S1767">_xlfn.IFS(R1767="COMPLETE", "COMPLETED", R1767="CANCELED", "CANCELED", TRUE, "PENDING")</f>
        <v>PENDING</v>
      </c>
      <c r="T1767" t="s">
        <v>16</v>
      </c>
      <c r="U1767">
        <f>VLOOKUP(A1767,ordered_items!$B:$E,4,0)</f>
        <v>164.38</v>
      </c>
    </row>
    <row r="1768" spans="1:21" x14ac:dyDescent="0.3">
      <c r="A1768">
        <v>74997</v>
      </c>
      <c r="B1768" t="s">
        <v>3</v>
      </c>
      <c r="C1768">
        <v>2</v>
      </c>
      <c r="D1768">
        <v>1</v>
      </c>
      <c r="E1768" t="str">
        <f t="shared" si="81"/>
        <v>DELAYED</v>
      </c>
      <c r="F1768">
        <f>VLOOKUP($A1768,ordered_items!$B$2:$E$4784,2,0)</f>
        <v>1354</v>
      </c>
      <c r="G1768">
        <f>VLOOKUP($A1768,ordered_items!$B$2:$E$4784,3,0)</f>
        <v>1</v>
      </c>
      <c r="H1768">
        <f>VLOOKUP($A1768,ordered_items!$B$2:$E$4784,4,0)</f>
        <v>164.38</v>
      </c>
      <c r="I1768" s="15">
        <f>VLOOKUP(F1768,product_info!$A$2:$D$73,4,0)</f>
        <v>9</v>
      </c>
      <c r="J1768" s="15" t="str">
        <f>VLOOKUP(I1768,department!$A$2:$B$13,2,0)</f>
        <v>Discs Shop</v>
      </c>
      <c r="K1768">
        <v>18550</v>
      </c>
      <c r="L1768" t="s">
        <v>258</v>
      </c>
      <c r="M1768" s="4">
        <v>44194</v>
      </c>
      <c r="N1768" s="12">
        <f t="shared" si="82"/>
        <v>12</v>
      </c>
      <c r="O1768" s="13">
        <f t="shared" si="83"/>
        <v>2020</v>
      </c>
      <c r="P1768" t="s">
        <v>13</v>
      </c>
      <c r="Q1768" t="s">
        <v>30</v>
      </c>
      <c r="R1768" t="s">
        <v>14</v>
      </c>
      <c r="S1768" t="str" cm="1">
        <f t="array" ref="S1768">_xlfn.IFS(R1768="COMPLETE", "COMPLETED", R1768="CANCELED", "CANCELED", TRUE, "PENDING")</f>
        <v>PENDING</v>
      </c>
      <c r="T1768" t="s">
        <v>32</v>
      </c>
      <c r="U1768">
        <f>VLOOKUP(A1768,ordered_items!$B:$E,4,0)</f>
        <v>164.38</v>
      </c>
    </row>
    <row r="1769" spans="1:21" x14ac:dyDescent="0.3">
      <c r="A1769">
        <v>75002</v>
      </c>
      <c r="B1769" t="s">
        <v>24</v>
      </c>
      <c r="C1769">
        <v>3</v>
      </c>
      <c r="D1769">
        <v>2</v>
      </c>
      <c r="E1769" t="str">
        <f t="shared" si="81"/>
        <v>DELAYED</v>
      </c>
      <c r="F1769">
        <f>VLOOKUP($A1769,ordered_items!$B$2:$E$4784,2,0)</f>
        <v>1354</v>
      </c>
      <c r="G1769">
        <f>VLOOKUP($A1769,ordered_items!$B$2:$E$4784,3,0)</f>
        <v>1</v>
      </c>
      <c r="H1769">
        <f>VLOOKUP($A1769,ordered_items!$B$2:$E$4784,4,0)</f>
        <v>164.38</v>
      </c>
      <c r="I1769" s="15">
        <f>VLOOKUP(F1769,product_info!$A$2:$D$73,4,0)</f>
        <v>9</v>
      </c>
      <c r="J1769" s="15" t="str">
        <f>VLOOKUP(I1769,department!$A$2:$B$13,2,0)</f>
        <v>Discs Shop</v>
      </c>
      <c r="K1769">
        <v>18555</v>
      </c>
      <c r="L1769" t="s">
        <v>591</v>
      </c>
      <c r="M1769" s="4">
        <v>44194</v>
      </c>
      <c r="N1769" s="12">
        <f t="shared" si="82"/>
        <v>12</v>
      </c>
      <c r="O1769" s="13">
        <f t="shared" si="83"/>
        <v>2020</v>
      </c>
      <c r="P1769" t="s">
        <v>13</v>
      </c>
      <c r="Q1769" t="s">
        <v>130</v>
      </c>
      <c r="R1769" t="s">
        <v>31</v>
      </c>
      <c r="S1769" t="str" cm="1">
        <f t="array" ref="S1769">_xlfn.IFS(R1769="COMPLETE", "COMPLETED", R1769="CANCELED", "CANCELED", TRUE, "PENDING")</f>
        <v>COMPLETED</v>
      </c>
      <c r="T1769" t="s">
        <v>90</v>
      </c>
      <c r="U1769">
        <f>VLOOKUP(A1769,ordered_items!$B:$E,4,0)</f>
        <v>164.38</v>
      </c>
    </row>
    <row r="1770" spans="1:21" x14ac:dyDescent="0.3">
      <c r="A1770">
        <v>75003</v>
      </c>
      <c r="B1770" t="s">
        <v>51</v>
      </c>
      <c r="C1770">
        <v>4</v>
      </c>
      <c r="D1770">
        <v>2</v>
      </c>
      <c r="E1770" t="str">
        <f t="shared" si="81"/>
        <v>DELAYED</v>
      </c>
      <c r="F1770">
        <f>VLOOKUP($A1770,ordered_items!$B$2:$E$4784,2,0)</f>
        <v>1354</v>
      </c>
      <c r="G1770">
        <f>VLOOKUP($A1770,ordered_items!$B$2:$E$4784,3,0)</f>
        <v>1</v>
      </c>
      <c r="H1770">
        <f>VLOOKUP($A1770,ordered_items!$B$2:$E$4784,4,0)</f>
        <v>164.38</v>
      </c>
      <c r="I1770" s="15">
        <f>VLOOKUP(F1770,product_info!$A$2:$D$73,4,0)</f>
        <v>9</v>
      </c>
      <c r="J1770" s="15" t="str">
        <f>VLOOKUP(I1770,department!$A$2:$B$13,2,0)</f>
        <v>Discs Shop</v>
      </c>
      <c r="K1770">
        <v>18556</v>
      </c>
      <c r="L1770" t="s">
        <v>591</v>
      </c>
      <c r="M1770" s="4">
        <v>44194</v>
      </c>
      <c r="N1770" s="12">
        <f t="shared" si="82"/>
        <v>12</v>
      </c>
      <c r="O1770" s="13">
        <f t="shared" si="83"/>
        <v>2020</v>
      </c>
      <c r="P1770" t="s">
        <v>13</v>
      </c>
      <c r="Q1770" t="s">
        <v>130</v>
      </c>
      <c r="R1770" t="s">
        <v>57</v>
      </c>
      <c r="S1770" t="str" cm="1">
        <f t="array" ref="S1770">_xlfn.IFS(R1770="COMPLETE", "COMPLETED", R1770="CANCELED", "CANCELED", TRUE, "PENDING")</f>
        <v>PENDING</v>
      </c>
      <c r="T1770" t="s">
        <v>90</v>
      </c>
      <c r="U1770">
        <f>VLOOKUP(A1770,ordered_items!$B:$E,4,0)</f>
        <v>164.38</v>
      </c>
    </row>
    <row r="1771" spans="1:21" x14ac:dyDescent="0.3">
      <c r="A1771">
        <v>75004</v>
      </c>
      <c r="B1771" t="s">
        <v>17</v>
      </c>
      <c r="C1771">
        <v>5</v>
      </c>
      <c r="D1771">
        <v>4</v>
      </c>
      <c r="E1771" t="str">
        <f t="shared" si="81"/>
        <v>DELAYED</v>
      </c>
      <c r="F1771">
        <f>VLOOKUP($A1771,ordered_items!$B$2:$E$4784,2,0)</f>
        <v>1354</v>
      </c>
      <c r="G1771">
        <f>VLOOKUP($A1771,ordered_items!$B$2:$E$4784,3,0)</f>
        <v>1</v>
      </c>
      <c r="H1771">
        <f>VLOOKUP($A1771,ordered_items!$B$2:$E$4784,4,0)</f>
        <v>164.38</v>
      </c>
      <c r="I1771" s="15">
        <f>VLOOKUP(F1771,product_info!$A$2:$D$73,4,0)</f>
        <v>9</v>
      </c>
      <c r="J1771" s="15" t="str">
        <f>VLOOKUP(I1771,department!$A$2:$B$13,2,0)</f>
        <v>Discs Shop</v>
      </c>
      <c r="K1771">
        <v>18557</v>
      </c>
      <c r="L1771" t="s">
        <v>591</v>
      </c>
      <c r="M1771" s="4">
        <v>44194</v>
      </c>
      <c r="N1771" s="12">
        <f t="shared" si="82"/>
        <v>12</v>
      </c>
      <c r="O1771" s="13">
        <f t="shared" si="83"/>
        <v>2020</v>
      </c>
      <c r="P1771" t="s">
        <v>13</v>
      </c>
      <c r="Q1771" t="s">
        <v>130</v>
      </c>
      <c r="R1771" t="s">
        <v>23</v>
      </c>
      <c r="S1771" t="str" cm="1">
        <f t="array" ref="S1771">_xlfn.IFS(R1771="COMPLETE", "COMPLETED", R1771="CANCELED", "CANCELED", TRUE, "PENDING")</f>
        <v>PENDING</v>
      </c>
      <c r="T1771" t="s">
        <v>16</v>
      </c>
      <c r="U1771">
        <f>VLOOKUP(A1771,ordered_items!$B:$E,4,0)</f>
        <v>164.38</v>
      </c>
    </row>
    <row r="1772" spans="1:21" x14ac:dyDescent="0.3">
      <c r="A1772">
        <v>75005</v>
      </c>
      <c r="B1772" t="s">
        <v>51</v>
      </c>
      <c r="C1772">
        <v>6</v>
      </c>
      <c r="D1772">
        <v>2</v>
      </c>
      <c r="E1772" t="str">
        <f t="shared" si="81"/>
        <v>DELAYED</v>
      </c>
      <c r="F1772">
        <f>VLOOKUP($A1772,ordered_items!$B$2:$E$4784,2,0)</f>
        <v>1354</v>
      </c>
      <c r="G1772">
        <f>VLOOKUP($A1772,ordered_items!$B$2:$E$4784,3,0)</f>
        <v>1</v>
      </c>
      <c r="H1772">
        <f>VLOOKUP($A1772,ordered_items!$B$2:$E$4784,4,0)</f>
        <v>164.38</v>
      </c>
      <c r="I1772" s="15">
        <f>VLOOKUP(F1772,product_info!$A$2:$D$73,4,0)</f>
        <v>9</v>
      </c>
      <c r="J1772" s="15" t="str">
        <f>VLOOKUP(I1772,department!$A$2:$B$13,2,0)</f>
        <v>Discs Shop</v>
      </c>
      <c r="K1772">
        <v>18558</v>
      </c>
      <c r="L1772" t="s">
        <v>591</v>
      </c>
      <c r="M1772" s="4">
        <v>44194</v>
      </c>
      <c r="N1772" s="12">
        <f t="shared" si="82"/>
        <v>12</v>
      </c>
      <c r="O1772" s="13">
        <f t="shared" si="83"/>
        <v>2020</v>
      </c>
      <c r="P1772" t="s">
        <v>13</v>
      </c>
      <c r="Q1772" t="s">
        <v>130</v>
      </c>
      <c r="R1772" t="s">
        <v>57</v>
      </c>
      <c r="S1772" t="str" cm="1">
        <f t="array" ref="S1772">_xlfn.IFS(R1772="COMPLETE", "COMPLETED", R1772="CANCELED", "CANCELED", TRUE, "PENDING")</f>
        <v>PENDING</v>
      </c>
      <c r="T1772" t="s">
        <v>90</v>
      </c>
      <c r="U1772">
        <f>VLOOKUP(A1772,ordered_items!$B:$E,4,0)</f>
        <v>164.38</v>
      </c>
    </row>
    <row r="1773" spans="1:21" x14ac:dyDescent="0.3">
      <c r="A1773">
        <v>75006</v>
      </c>
      <c r="B1773" t="s">
        <v>24</v>
      </c>
      <c r="C1773">
        <v>2</v>
      </c>
      <c r="D1773">
        <v>4</v>
      </c>
      <c r="E1773" t="str">
        <f t="shared" si="81"/>
        <v xml:space="preserve"> ONTIME</v>
      </c>
      <c r="F1773">
        <f>VLOOKUP($A1773,ordered_items!$B$2:$E$4784,2,0)</f>
        <v>1354</v>
      </c>
      <c r="G1773">
        <f>VLOOKUP($A1773,ordered_items!$B$2:$E$4784,3,0)</f>
        <v>1</v>
      </c>
      <c r="H1773">
        <f>VLOOKUP($A1773,ordered_items!$B$2:$E$4784,4,0)</f>
        <v>164.38</v>
      </c>
      <c r="I1773" s="15">
        <f>VLOOKUP(F1773,product_info!$A$2:$D$73,4,0)</f>
        <v>9</v>
      </c>
      <c r="J1773" s="15" t="str">
        <f>VLOOKUP(I1773,department!$A$2:$B$13,2,0)</f>
        <v>Discs Shop</v>
      </c>
      <c r="K1773">
        <v>18559</v>
      </c>
      <c r="L1773" t="s">
        <v>591</v>
      </c>
      <c r="M1773" s="4">
        <v>44194</v>
      </c>
      <c r="N1773" s="12">
        <f t="shared" si="82"/>
        <v>12</v>
      </c>
      <c r="O1773" s="13">
        <f t="shared" si="83"/>
        <v>2020</v>
      </c>
      <c r="P1773" t="s">
        <v>13</v>
      </c>
      <c r="Q1773" t="s">
        <v>130</v>
      </c>
      <c r="R1773" t="s">
        <v>31</v>
      </c>
      <c r="S1773" t="str" cm="1">
        <f t="array" ref="S1773">_xlfn.IFS(R1773="COMPLETE", "COMPLETED", R1773="CANCELED", "CANCELED", TRUE, "PENDING")</f>
        <v>COMPLETED</v>
      </c>
      <c r="T1773" t="s">
        <v>16</v>
      </c>
      <c r="U1773">
        <f>VLOOKUP(A1773,ordered_items!$B:$E,4,0)</f>
        <v>164.38</v>
      </c>
    </row>
    <row r="1774" spans="1:21" x14ac:dyDescent="0.3">
      <c r="A1774">
        <v>75007</v>
      </c>
      <c r="B1774" t="s">
        <v>3</v>
      </c>
      <c r="C1774">
        <v>3</v>
      </c>
      <c r="D1774">
        <v>4</v>
      </c>
      <c r="E1774" t="str">
        <f t="shared" si="81"/>
        <v xml:space="preserve"> ONTIME</v>
      </c>
      <c r="F1774">
        <f>VLOOKUP($A1774,ordered_items!$B$2:$E$4784,2,0)</f>
        <v>1354</v>
      </c>
      <c r="G1774">
        <f>VLOOKUP($A1774,ordered_items!$B$2:$E$4784,3,0)</f>
        <v>1</v>
      </c>
      <c r="H1774">
        <f>VLOOKUP($A1774,ordered_items!$B$2:$E$4784,4,0)</f>
        <v>164.38</v>
      </c>
      <c r="I1774" s="15">
        <f>VLOOKUP(F1774,product_info!$A$2:$D$73,4,0)</f>
        <v>9</v>
      </c>
      <c r="J1774" s="15" t="str">
        <f>VLOOKUP(I1774,department!$A$2:$B$13,2,0)</f>
        <v>Discs Shop</v>
      </c>
      <c r="K1774">
        <v>18560</v>
      </c>
      <c r="L1774" t="s">
        <v>285</v>
      </c>
      <c r="M1774" s="4">
        <v>44194</v>
      </c>
      <c r="N1774" s="12">
        <f t="shared" si="82"/>
        <v>12</v>
      </c>
      <c r="O1774" s="13">
        <f t="shared" si="83"/>
        <v>2020</v>
      </c>
      <c r="P1774" t="s">
        <v>13</v>
      </c>
      <c r="Q1774" t="s">
        <v>286</v>
      </c>
      <c r="R1774" t="s">
        <v>38</v>
      </c>
      <c r="S1774" t="str" cm="1">
        <f t="array" ref="S1774">_xlfn.IFS(R1774="COMPLETE", "COMPLETED", R1774="CANCELED", "CANCELED", TRUE, "PENDING")</f>
        <v>PENDING</v>
      </c>
      <c r="T1774" t="s">
        <v>16</v>
      </c>
      <c r="U1774">
        <f>VLOOKUP(A1774,ordered_items!$B:$E,4,0)</f>
        <v>164.38</v>
      </c>
    </row>
    <row r="1775" spans="1:21" x14ac:dyDescent="0.3">
      <c r="A1775">
        <v>75013</v>
      </c>
      <c r="B1775" t="s">
        <v>51</v>
      </c>
      <c r="C1775">
        <v>2</v>
      </c>
      <c r="D1775">
        <v>1</v>
      </c>
      <c r="E1775" t="str">
        <f t="shared" si="81"/>
        <v>DELAYED</v>
      </c>
      <c r="F1775">
        <f>VLOOKUP($A1775,ordered_items!$B$2:$E$4784,2,0)</f>
        <v>1354</v>
      </c>
      <c r="G1775">
        <f>VLOOKUP($A1775,ordered_items!$B$2:$E$4784,3,0)</f>
        <v>1</v>
      </c>
      <c r="H1775">
        <f>VLOOKUP($A1775,ordered_items!$B$2:$E$4784,4,0)</f>
        <v>164.38</v>
      </c>
      <c r="I1775" s="15">
        <f>VLOOKUP(F1775,product_info!$A$2:$D$73,4,0)</f>
        <v>9</v>
      </c>
      <c r="J1775" s="15" t="str">
        <f>VLOOKUP(I1775,department!$A$2:$B$13,2,0)</f>
        <v>Discs Shop</v>
      </c>
      <c r="K1775">
        <v>18566</v>
      </c>
      <c r="L1775" t="s">
        <v>285</v>
      </c>
      <c r="M1775" s="4">
        <v>44195</v>
      </c>
      <c r="N1775" s="12">
        <f t="shared" si="82"/>
        <v>12</v>
      </c>
      <c r="O1775" s="13">
        <f t="shared" si="83"/>
        <v>2020</v>
      </c>
      <c r="P1775" t="s">
        <v>13</v>
      </c>
      <c r="Q1775" t="s">
        <v>286</v>
      </c>
      <c r="R1775" t="s">
        <v>57</v>
      </c>
      <c r="S1775" t="str" cm="1">
        <f t="array" ref="S1775">_xlfn.IFS(R1775="COMPLETE", "COMPLETED", R1775="CANCELED", "CANCELED", TRUE, "PENDING")</f>
        <v>PENDING</v>
      </c>
      <c r="T1775" t="s">
        <v>32</v>
      </c>
      <c r="U1775">
        <f>VLOOKUP(A1775,ordered_items!$B:$E,4,0)</f>
        <v>164.38</v>
      </c>
    </row>
    <row r="1776" spans="1:21" x14ac:dyDescent="0.3">
      <c r="A1776">
        <v>75014</v>
      </c>
      <c r="B1776" t="s">
        <v>24</v>
      </c>
      <c r="C1776">
        <v>2</v>
      </c>
      <c r="D1776">
        <v>1</v>
      </c>
      <c r="E1776" t="str">
        <f t="shared" si="81"/>
        <v>DELAYED</v>
      </c>
      <c r="F1776">
        <f>VLOOKUP($A1776,ordered_items!$B$2:$E$4784,2,0)</f>
        <v>1354</v>
      </c>
      <c r="G1776">
        <f>VLOOKUP($A1776,ordered_items!$B$2:$E$4784,3,0)</f>
        <v>1</v>
      </c>
      <c r="H1776">
        <f>VLOOKUP($A1776,ordered_items!$B$2:$E$4784,4,0)</f>
        <v>164.38</v>
      </c>
      <c r="I1776" s="15">
        <f>VLOOKUP(F1776,product_info!$A$2:$D$73,4,0)</f>
        <v>9</v>
      </c>
      <c r="J1776" s="15" t="str">
        <f>VLOOKUP(I1776,department!$A$2:$B$13,2,0)</f>
        <v>Discs Shop</v>
      </c>
      <c r="K1776">
        <v>18567</v>
      </c>
      <c r="L1776" t="s">
        <v>285</v>
      </c>
      <c r="M1776" s="4">
        <v>44195</v>
      </c>
      <c r="N1776" s="12">
        <f t="shared" si="82"/>
        <v>12</v>
      </c>
      <c r="O1776" s="13">
        <f t="shared" si="83"/>
        <v>2020</v>
      </c>
      <c r="P1776" t="s">
        <v>13</v>
      </c>
      <c r="Q1776" t="s">
        <v>286</v>
      </c>
      <c r="R1776" t="s">
        <v>31</v>
      </c>
      <c r="S1776" t="str" cm="1">
        <f t="array" ref="S1776">_xlfn.IFS(R1776="COMPLETE", "COMPLETED", R1776="CANCELED", "CANCELED", TRUE, "PENDING")</f>
        <v>COMPLETED</v>
      </c>
      <c r="T1776" t="s">
        <v>32</v>
      </c>
      <c r="U1776">
        <f>VLOOKUP(A1776,ordered_items!$B:$E,4,0)</f>
        <v>164.38</v>
      </c>
    </row>
    <row r="1777" spans="1:21" x14ac:dyDescent="0.3">
      <c r="A1777">
        <v>75015</v>
      </c>
      <c r="B1777" t="s">
        <v>51</v>
      </c>
      <c r="C1777">
        <v>6</v>
      </c>
      <c r="D1777">
        <v>2</v>
      </c>
      <c r="E1777" t="str">
        <f t="shared" si="81"/>
        <v>DELAYED</v>
      </c>
      <c r="F1777">
        <f>VLOOKUP($A1777,ordered_items!$B$2:$E$4784,2,0)</f>
        <v>1354</v>
      </c>
      <c r="G1777">
        <f>VLOOKUP($A1777,ordered_items!$B$2:$E$4784,3,0)</f>
        <v>1</v>
      </c>
      <c r="H1777">
        <f>VLOOKUP($A1777,ordered_items!$B$2:$E$4784,4,0)</f>
        <v>164.38</v>
      </c>
      <c r="I1777" s="15">
        <f>VLOOKUP(F1777,product_info!$A$2:$D$73,4,0)</f>
        <v>9</v>
      </c>
      <c r="J1777" s="15" t="str">
        <f>VLOOKUP(I1777,department!$A$2:$B$13,2,0)</f>
        <v>Discs Shop</v>
      </c>
      <c r="K1777">
        <v>18568</v>
      </c>
      <c r="L1777" t="s">
        <v>285</v>
      </c>
      <c r="M1777" s="4">
        <v>44195</v>
      </c>
      <c r="N1777" s="12">
        <f t="shared" si="82"/>
        <v>12</v>
      </c>
      <c r="O1777" s="13">
        <f t="shared" si="83"/>
        <v>2020</v>
      </c>
      <c r="P1777" t="s">
        <v>13</v>
      </c>
      <c r="Q1777" t="s">
        <v>286</v>
      </c>
      <c r="R1777" t="s">
        <v>57</v>
      </c>
      <c r="S1777" t="str" cm="1">
        <f t="array" ref="S1777">_xlfn.IFS(R1777="COMPLETE", "COMPLETED", R1777="CANCELED", "CANCELED", TRUE, "PENDING")</f>
        <v>PENDING</v>
      </c>
      <c r="T1777" t="s">
        <v>90</v>
      </c>
      <c r="U1777">
        <f>VLOOKUP(A1777,ordered_items!$B:$E,4,0)</f>
        <v>164.38</v>
      </c>
    </row>
    <row r="1778" spans="1:21" x14ac:dyDescent="0.3">
      <c r="A1778">
        <v>75059</v>
      </c>
      <c r="B1778" t="s">
        <v>51</v>
      </c>
      <c r="C1778">
        <v>5</v>
      </c>
      <c r="D1778">
        <v>4</v>
      </c>
      <c r="E1778" t="str">
        <f t="shared" si="81"/>
        <v>DELAYED</v>
      </c>
      <c r="F1778">
        <f>VLOOKUP($A1778,ordered_items!$B$2:$E$4784,2,0)</f>
        <v>1354</v>
      </c>
      <c r="G1778">
        <f>VLOOKUP($A1778,ordered_items!$B$2:$E$4784,3,0)</f>
        <v>1</v>
      </c>
      <c r="H1778">
        <f>VLOOKUP($A1778,ordered_items!$B$2:$E$4784,4,0)</f>
        <v>164.38</v>
      </c>
      <c r="I1778" s="15">
        <f>VLOOKUP(F1778,product_info!$A$2:$D$73,4,0)</f>
        <v>9</v>
      </c>
      <c r="J1778" s="15" t="str">
        <f>VLOOKUP(I1778,department!$A$2:$B$13,2,0)</f>
        <v>Discs Shop</v>
      </c>
      <c r="K1778">
        <v>18612</v>
      </c>
      <c r="L1778" t="s">
        <v>84</v>
      </c>
      <c r="M1778" s="4">
        <v>44195</v>
      </c>
      <c r="N1778" s="12">
        <f t="shared" si="82"/>
        <v>12</v>
      </c>
      <c r="O1778" s="13">
        <f t="shared" si="83"/>
        <v>2020</v>
      </c>
      <c r="P1778" t="s">
        <v>13</v>
      </c>
      <c r="Q1778" t="s">
        <v>80</v>
      </c>
      <c r="R1778" t="s">
        <v>57</v>
      </c>
      <c r="S1778" t="str" cm="1">
        <f t="array" ref="S1778">_xlfn.IFS(R1778="COMPLETE", "COMPLETED", R1778="CANCELED", "CANCELED", TRUE, "PENDING")</f>
        <v>PENDING</v>
      </c>
      <c r="T1778" t="s">
        <v>16</v>
      </c>
      <c r="U1778">
        <f>VLOOKUP(A1778,ordered_items!$B:$E,4,0)</f>
        <v>164.38</v>
      </c>
    </row>
    <row r="1779" spans="1:21" x14ac:dyDescent="0.3">
      <c r="A1779">
        <v>75121</v>
      </c>
      <c r="B1779" t="s">
        <v>51</v>
      </c>
      <c r="C1779">
        <v>2</v>
      </c>
      <c r="D1779">
        <v>4</v>
      </c>
      <c r="E1779" t="str">
        <f t="shared" si="81"/>
        <v xml:space="preserve"> ONTIME</v>
      </c>
      <c r="F1779">
        <f>VLOOKUP($A1779,ordered_items!$B$2:$E$4784,2,0)</f>
        <v>1355</v>
      </c>
      <c r="G1779">
        <f>VLOOKUP($A1779,ordered_items!$B$2:$E$4784,3,0)</f>
        <v>1</v>
      </c>
      <c r="H1779">
        <f>VLOOKUP($A1779,ordered_items!$B$2:$E$4784,4,0)</f>
        <v>532.58000000000004</v>
      </c>
      <c r="I1779" s="15">
        <f>VLOOKUP(F1779,product_info!$A$2:$D$73,4,0)</f>
        <v>6</v>
      </c>
      <c r="J1779" s="15" t="str">
        <f>VLOOKUP(I1779,department!$A$2:$B$13,2,0)</f>
        <v>Outdoors</v>
      </c>
      <c r="K1779">
        <v>18674</v>
      </c>
      <c r="L1779" t="s">
        <v>430</v>
      </c>
      <c r="M1779" s="4">
        <v>44196</v>
      </c>
      <c r="N1779" s="12">
        <f t="shared" si="82"/>
        <v>12</v>
      </c>
      <c r="O1779" s="13">
        <f t="shared" si="83"/>
        <v>2020</v>
      </c>
      <c r="P1779" t="s">
        <v>13</v>
      </c>
      <c r="Q1779" t="s">
        <v>431</v>
      </c>
      <c r="R1779" t="s">
        <v>57</v>
      </c>
      <c r="S1779" t="str" cm="1">
        <f t="array" ref="S1779">_xlfn.IFS(R1779="COMPLETE", "COMPLETED", R1779="CANCELED", "CANCELED", TRUE, "PENDING")</f>
        <v>PENDING</v>
      </c>
      <c r="T1779" t="s">
        <v>16</v>
      </c>
      <c r="U1779">
        <f>VLOOKUP(A1779,ordered_items!$B:$E,4,0)</f>
        <v>532.58000000000004</v>
      </c>
    </row>
    <row r="1780" spans="1:21" x14ac:dyDescent="0.3">
      <c r="A1780">
        <v>75122</v>
      </c>
      <c r="B1780" t="s">
        <v>24</v>
      </c>
      <c r="C1780">
        <v>3</v>
      </c>
      <c r="D1780">
        <v>4</v>
      </c>
      <c r="E1780" t="str">
        <f t="shared" si="81"/>
        <v xml:space="preserve"> ONTIME</v>
      </c>
      <c r="F1780">
        <f>VLOOKUP($A1780,ordered_items!$B$2:$E$4784,2,0)</f>
        <v>1355</v>
      </c>
      <c r="G1780">
        <f>VLOOKUP($A1780,ordered_items!$B$2:$E$4784,3,0)</f>
        <v>1</v>
      </c>
      <c r="H1780">
        <f>VLOOKUP($A1780,ordered_items!$B$2:$E$4784,4,0)</f>
        <v>532.58000000000004</v>
      </c>
      <c r="I1780" s="15">
        <f>VLOOKUP(F1780,product_info!$A$2:$D$73,4,0)</f>
        <v>6</v>
      </c>
      <c r="J1780" s="15" t="str">
        <f>VLOOKUP(I1780,department!$A$2:$B$13,2,0)</f>
        <v>Outdoors</v>
      </c>
      <c r="K1780">
        <v>18675</v>
      </c>
      <c r="L1780" t="s">
        <v>430</v>
      </c>
      <c r="M1780" s="4">
        <v>44196</v>
      </c>
      <c r="N1780" s="12">
        <f t="shared" si="82"/>
        <v>12</v>
      </c>
      <c r="O1780" s="13">
        <f t="shared" si="83"/>
        <v>2020</v>
      </c>
      <c r="P1780" t="s">
        <v>13</v>
      </c>
      <c r="Q1780" t="s">
        <v>431</v>
      </c>
      <c r="R1780" t="s">
        <v>378</v>
      </c>
      <c r="S1780" t="str" cm="1">
        <f t="array" ref="S1780">_xlfn.IFS(R1780="COMPLETE", "COMPLETED", R1780="CANCELED", "CANCELED", TRUE, "PENDING")</f>
        <v>PENDING</v>
      </c>
      <c r="T1780" t="s">
        <v>16</v>
      </c>
      <c r="U1780">
        <f>VLOOKUP(A1780,ordered_items!$B:$E,4,0)</f>
        <v>532.58000000000004</v>
      </c>
    </row>
    <row r="1781" spans="1:21" x14ac:dyDescent="0.3">
      <c r="A1781">
        <v>75124</v>
      </c>
      <c r="B1781" t="s">
        <v>24</v>
      </c>
      <c r="C1781">
        <v>2</v>
      </c>
      <c r="D1781">
        <v>1</v>
      </c>
      <c r="E1781" t="str">
        <f t="shared" si="81"/>
        <v>DELAYED</v>
      </c>
      <c r="F1781">
        <f>VLOOKUP($A1781,ordered_items!$B$2:$E$4784,2,0)</f>
        <v>1355</v>
      </c>
      <c r="G1781">
        <f>VLOOKUP($A1781,ordered_items!$B$2:$E$4784,3,0)</f>
        <v>1</v>
      </c>
      <c r="H1781">
        <f>VLOOKUP($A1781,ordered_items!$B$2:$E$4784,4,0)</f>
        <v>532.58000000000004</v>
      </c>
      <c r="I1781" s="15">
        <f>VLOOKUP(F1781,product_info!$A$2:$D$73,4,0)</f>
        <v>6</v>
      </c>
      <c r="J1781" s="15" t="str">
        <f>VLOOKUP(I1781,department!$A$2:$B$13,2,0)</f>
        <v>Outdoors</v>
      </c>
      <c r="K1781">
        <v>18677</v>
      </c>
      <c r="L1781" t="s">
        <v>525</v>
      </c>
      <c r="M1781" s="4">
        <v>44196</v>
      </c>
      <c r="N1781" s="12">
        <f t="shared" si="82"/>
        <v>12</v>
      </c>
      <c r="O1781" s="13">
        <f t="shared" si="83"/>
        <v>2020</v>
      </c>
      <c r="P1781" t="s">
        <v>13</v>
      </c>
      <c r="Q1781" t="s">
        <v>5778</v>
      </c>
      <c r="R1781" t="s">
        <v>31</v>
      </c>
      <c r="S1781" t="str" cm="1">
        <f t="array" ref="S1781">_xlfn.IFS(R1781="COMPLETE", "COMPLETED", R1781="CANCELED", "CANCELED", TRUE, "PENDING")</f>
        <v>COMPLETED</v>
      </c>
      <c r="T1781" t="s">
        <v>32</v>
      </c>
      <c r="U1781">
        <f>VLOOKUP(A1781,ordered_items!$B:$E,4,0)</f>
        <v>532.58000000000004</v>
      </c>
    </row>
    <row r="1782" spans="1:21" x14ac:dyDescent="0.3">
      <c r="A1782">
        <v>75125</v>
      </c>
      <c r="B1782" t="s">
        <v>17</v>
      </c>
      <c r="C1782">
        <v>2</v>
      </c>
      <c r="D1782">
        <v>1</v>
      </c>
      <c r="E1782" t="str">
        <f t="shared" si="81"/>
        <v>DELAYED</v>
      </c>
      <c r="F1782">
        <f>VLOOKUP($A1782,ordered_items!$B$2:$E$4784,2,0)</f>
        <v>1355</v>
      </c>
      <c r="G1782">
        <f>VLOOKUP($A1782,ordered_items!$B$2:$E$4784,3,0)</f>
        <v>1</v>
      </c>
      <c r="H1782">
        <f>VLOOKUP($A1782,ordered_items!$B$2:$E$4784,4,0)</f>
        <v>532.58000000000004</v>
      </c>
      <c r="I1782" s="15">
        <f>VLOOKUP(F1782,product_info!$A$2:$D$73,4,0)</f>
        <v>6</v>
      </c>
      <c r="J1782" s="15" t="str">
        <f>VLOOKUP(I1782,department!$A$2:$B$13,2,0)</f>
        <v>Outdoors</v>
      </c>
      <c r="K1782">
        <v>18678</v>
      </c>
      <c r="L1782" t="s">
        <v>525</v>
      </c>
      <c r="M1782" s="4">
        <v>44196</v>
      </c>
      <c r="N1782" s="12">
        <f t="shared" si="82"/>
        <v>12</v>
      </c>
      <c r="O1782" s="13">
        <f t="shared" si="83"/>
        <v>2020</v>
      </c>
      <c r="P1782" t="s">
        <v>13</v>
      </c>
      <c r="Q1782" t="s">
        <v>5778</v>
      </c>
      <c r="R1782" t="s">
        <v>23</v>
      </c>
      <c r="S1782" t="str" cm="1">
        <f t="array" ref="S1782">_xlfn.IFS(R1782="COMPLETE", "COMPLETED", R1782="CANCELED", "CANCELED", TRUE, "PENDING")</f>
        <v>PENDING</v>
      </c>
      <c r="T1782" t="s">
        <v>32</v>
      </c>
      <c r="U1782">
        <f>VLOOKUP(A1782,ordered_items!$B:$E,4,0)</f>
        <v>532.58000000000004</v>
      </c>
    </row>
    <row r="1783" spans="1:21" x14ac:dyDescent="0.3">
      <c r="A1783">
        <v>75126</v>
      </c>
      <c r="B1783" t="s">
        <v>51</v>
      </c>
      <c r="C1783">
        <v>2</v>
      </c>
      <c r="D1783">
        <v>1</v>
      </c>
      <c r="E1783" t="str">
        <f t="shared" si="81"/>
        <v>DELAYED</v>
      </c>
      <c r="F1783">
        <f>VLOOKUP($A1783,ordered_items!$B$2:$E$4784,2,0)</f>
        <v>1355</v>
      </c>
      <c r="G1783">
        <f>VLOOKUP($A1783,ordered_items!$B$2:$E$4784,3,0)</f>
        <v>1</v>
      </c>
      <c r="H1783">
        <f>VLOOKUP($A1783,ordered_items!$B$2:$E$4784,4,0)</f>
        <v>532.58000000000004</v>
      </c>
      <c r="I1783" s="15">
        <f>VLOOKUP(F1783,product_info!$A$2:$D$73,4,0)</f>
        <v>6</v>
      </c>
      <c r="J1783" s="15" t="str">
        <f>VLOOKUP(I1783,department!$A$2:$B$13,2,0)</f>
        <v>Outdoors</v>
      </c>
      <c r="K1783">
        <v>18679</v>
      </c>
      <c r="L1783" t="s">
        <v>525</v>
      </c>
      <c r="M1783" s="4">
        <v>44196</v>
      </c>
      <c r="N1783" s="12">
        <f t="shared" si="82"/>
        <v>12</v>
      </c>
      <c r="O1783" s="13">
        <f t="shared" si="83"/>
        <v>2020</v>
      </c>
      <c r="P1783" t="s">
        <v>13</v>
      </c>
      <c r="Q1783" t="s">
        <v>5778</v>
      </c>
      <c r="R1783" t="s">
        <v>57</v>
      </c>
      <c r="S1783" t="str" cm="1">
        <f t="array" ref="S1783">_xlfn.IFS(R1783="COMPLETE", "COMPLETED", R1783="CANCELED", "CANCELED", TRUE, "PENDING")</f>
        <v>PENDING</v>
      </c>
      <c r="T1783" t="s">
        <v>32</v>
      </c>
      <c r="U1783">
        <f>VLOOKUP(A1783,ordered_items!$B:$E,4,0)</f>
        <v>532.58000000000004</v>
      </c>
    </row>
    <row r="1784" spans="1:21" x14ac:dyDescent="0.3">
      <c r="A1784">
        <v>75127</v>
      </c>
      <c r="B1784" t="s">
        <v>3</v>
      </c>
      <c r="C1784">
        <v>2</v>
      </c>
      <c r="D1784">
        <v>1</v>
      </c>
      <c r="E1784" t="str">
        <f t="shared" si="81"/>
        <v>DELAYED</v>
      </c>
      <c r="F1784">
        <f>VLOOKUP($A1784,ordered_items!$B$2:$E$4784,2,0)</f>
        <v>1355</v>
      </c>
      <c r="G1784">
        <f>VLOOKUP($A1784,ordered_items!$B$2:$E$4784,3,0)</f>
        <v>1</v>
      </c>
      <c r="H1784">
        <f>VLOOKUP($A1784,ordered_items!$B$2:$E$4784,4,0)</f>
        <v>532.58000000000004</v>
      </c>
      <c r="I1784" s="15">
        <f>VLOOKUP(F1784,product_info!$A$2:$D$73,4,0)</f>
        <v>6</v>
      </c>
      <c r="J1784" s="15" t="str">
        <f>VLOOKUP(I1784,department!$A$2:$B$13,2,0)</f>
        <v>Outdoors</v>
      </c>
      <c r="K1784">
        <v>18680</v>
      </c>
      <c r="L1784" t="s">
        <v>525</v>
      </c>
      <c r="M1784" s="4">
        <v>44196</v>
      </c>
      <c r="N1784" s="12">
        <f t="shared" si="82"/>
        <v>12</v>
      </c>
      <c r="O1784" s="13">
        <f t="shared" si="83"/>
        <v>2020</v>
      </c>
      <c r="P1784" t="s">
        <v>13</v>
      </c>
      <c r="Q1784" t="s">
        <v>5778</v>
      </c>
      <c r="R1784" t="s">
        <v>14</v>
      </c>
      <c r="S1784" t="str" cm="1">
        <f t="array" ref="S1784">_xlfn.IFS(R1784="COMPLETE", "COMPLETED", R1784="CANCELED", "CANCELED", TRUE, "PENDING")</f>
        <v>PENDING</v>
      </c>
      <c r="T1784" t="s">
        <v>32</v>
      </c>
      <c r="U1784">
        <f>VLOOKUP(A1784,ordered_items!$B:$E,4,0)</f>
        <v>532.58000000000004</v>
      </c>
    </row>
    <row r="1785" spans="1:21" x14ac:dyDescent="0.3">
      <c r="A1785">
        <v>75128</v>
      </c>
      <c r="B1785" t="s">
        <v>3</v>
      </c>
      <c r="C1785">
        <v>4</v>
      </c>
      <c r="D1785">
        <v>2</v>
      </c>
      <c r="E1785" t="str">
        <f t="shared" si="81"/>
        <v>DELAYED</v>
      </c>
      <c r="F1785">
        <f>VLOOKUP($A1785,ordered_items!$B$2:$E$4784,2,0)</f>
        <v>1355</v>
      </c>
      <c r="G1785">
        <f>VLOOKUP($A1785,ordered_items!$B$2:$E$4784,3,0)</f>
        <v>1</v>
      </c>
      <c r="H1785">
        <f>VLOOKUP($A1785,ordered_items!$B$2:$E$4784,4,0)</f>
        <v>532.58000000000004</v>
      </c>
      <c r="I1785" s="15">
        <f>VLOOKUP(F1785,product_info!$A$2:$D$73,4,0)</f>
        <v>6</v>
      </c>
      <c r="J1785" s="15" t="str">
        <f>VLOOKUP(I1785,department!$A$2:$B$13,2,0)</f>
        <v>Outdoors</v>
      </c>
      <c r="K1785">
        <v>18681</v>
      </c>
      <c r="L1785" t="s">
        <v>525</v>
      </c>
      <c r="M1785" s="4">
        <v>44196</v>
      </c>
      <c r="N1785" s="12">
        <f t="shared" si="82"/>
        <v>12</v>
      </c>
      <c r="O1785" s="13">
        <f t="shared" si="83"/>
        <v>2020</v>
      </c>
      <c r="P1785" t="s">
        <v>13</v>
      </c>
      <c r="Q1785" t="s">
        <v>5778</v>
      </c>
      <c r="R1785" t="s">
        <v>38</v>
      </c>
      <c r="S1785" t="str" cm="1">
        <f t="array" ref="S1785">_xlfn.IFS(R1785="COMPLETE", "COMPLETED", R1785="CANCELED", "CANCELED", TRUE, "PENDING")</f>
        <v>PENDING</v>
      </c>
      <c r="T1785" t="s">
        <v>90</v>
      </c>
      <c r="U1785">
        <f>VLOOKUP(A1785,ordered_items!$B:$E,4,0)</f>
        <v>532.58000000000004</v>
      </c>
    </row>
    <row r="1786" spans="1:21" x14ac:dyDescent="0.3">
      <c r="A1786">
        <v>75129</v>
      </c>
      <c r="B1786" t="s">
        <v>24</v>
      </c>
      <c r="C1786">
        <v>2</v>
      </c>
      <c r="D1786">
        <v>1</v>
      </c>
      <c r="E1786" t="str">
        <f t="shared" si="81"/>
        <v>DELAYED</v>
      </c>
      <c r="F1786">
        <f>VLOOKUP($A1786,ordered_items!$B$2:$E$4784,2,0)</f>
        <v>1355</v>
      </c>
      <c r="G1786">
        <f>VLOOKUP($A1786,ordered_items!$B$2:$E$4784,3,0)</f>
        <v>1</v>
      </c>
      <c r="H1786">
        <f>VLOOKUP($A1786,ordered_items!$B$2:$E$4784,4,0)</f>
        <v>532.58000000000004</v>
      </c>
      <c r="I1786" s="15">
        <f>VLOOKUP(F1786,product_info!$A$2:$D$73,4,0)</f>
        <v>6</v>
      </c>
      <c r="J1786" s="15" t="str">
        <f>VLOOKUP(I1786,department!$A$2:$B$13,2,0)</f>
        <v>Outdoors</v>
      </c>
      <c r="K1786">
        <v>18682</v>
      </c>
      <c r="L1786" t="s">
        <v>525</v>
      </c>
      <c r="M1786" s="4">
        <v>44196</v>
      </c>
      <c r="N1786" s="12">
        <f t="shared" si="82"/>
        <v>12</v>
      </c>
      <c r="O1786" s="13">
        <f t="shared" si="83"/>
        <v>2020</v>
      </c>
      <c r="P1786" t="s">
        <v>13</v>
      </c>
      <c r="Q1786" t="s">
        <v>5778</v>
      </c>
      <c r="R1786" t="s">
        <v>31</v>
      </c>
      <c r="S1786" t="str" cm="1">
        <f t="array" ref="S1786">_xlfn.IFS(R1786="COMPLETE", "COMPLETED", R1786="CANCELED", "CANCELED", TRUE, "PENDING")</f>
        <v>COMPLETED</v>
      </c>
      <c r="T1786" t="s">
        <v>32</v>
      </c>
      <c r="U1786">
        <f>VLOOKUP(A1786,ordered_items!$B:$E,4,0)</f>
        <v>532.58000000000004</v>
      </c>
    </row>
    <row r="1787" spans="1:21" x14ac:dyDescent="0.3">
      <c r="A1787">
        <v>75130</v>
      </c>
      <c r="B1787" t="s">
        <v>3</v>
      </c>
      <c r="C1787">
        <v>2</v>
      </c>
      <c r="D1787">
        <v>1</v>
      </c>
      <c r="E1787" t="str">
        <f t="shared" si="81"/>
        <v>DELAYED</v>
      </c>
      <c r="F1787">
        <f>VLOOKUP($A1787,ordered_items!$B$2:$E$4784,2,0)</f>
        <v>1355</v>
      </c>
      <c r="G1787">
        <f>VLOOKUP($A1787,ordered_items!$B$2:$E$4784,3,0)</f>
        <v>1</v>
      </c>
      <c r="H1787">
        <f>VLOOKUP($A1787,ordered_items!$B$2:$E$4784,4,0)</f>
        <v>532.58000000000004</v>
      </c>
      <c r="I1787" s="15">
        <f>VLOOKUP(F1787,product_info!$A$2:$D$73,4,0)</f>
        <v>6</v>
      </c>
      <c r="J1787" s="15" t="str">
        <f>VLOOKUP(I1787,department!$A$2:$B$13,2,0)</f>
        <v>Outdoors</v>
      </c>
      <c r="K1787">
        <v>18683</v>
      </c>
      <c r="L1787" t="s">
        <v>525</v>
      </c>
      <c r="M1787" s="4">
        <v>44196</v>
      </c>
      <c r="N1787" s="12">
        <f t="shared" si="82"/>
        <v>12</v>
      </c>
      <c r="O1787" s="13">
        <f t="shared" si="83"/>
        <v>2020</v>
      </c>
      <c r="P1787" t="s">
        <v>13</v>
      </c>
      <c r="Q1787" t="s">
        <v>5778</v>
      </c>
      <c r="R1787" t="s">
        <v>14</v>
      </c>
      <c r="S1787" t="str" cm="1">
        <f t="array" ref="S1787">_xlfn.IFS(R1787="COMPLETE", "COMPLETED", R1787="CANCELED", "CANCELED", TRUE, "PENDING")</f>
        <v>PENDING</v>
      </c>
      <c r="T1787" t="s">
        <v>32</v>
      </c>
      <c r="U1787">
        <f>VLOOKUP(A1787,ordered_items!$B:$E,4,0)</f>
        <v>532.58000000000004</v>
      </c>
    </row>
    <row r="1788" spans="1:21" x14ac:dyDescent="0.3">
      <c r="A1788">
        <v>75131</v>
      </c>
      <c r="B1788" t="s">
        <v>24</v>
      </c>
      <c r="C1788">
        <v>2</v>
      </c>
      <c r="D1788">
        <v>2</v>
      </c>
      <c r="E1788" t="str">
        <f t="shared" si="81"/>
        <v xml:space="preserve"> ONTIME</v>
      </c>
      <c r="F1788">
        <f>VLOOKUP($A1788,ordered_items!$B$2:$E$4784,2,0)</f>
        <v>1355</v>
      </c>
      <c r="G1788">
        <f>VLOOKUP($A1788,ordered_items!$B$2:$E$4784,3,0)</f>
        <v>1</v>
      </c>
      <c r="H1788">
        <f>VLOOKUP($A1788,ordered_items!$B$2:$E$4784,4,0)</f>
        <v>532.58000000000004</v>
      </c>
      <c r="I1788" s="15">
        <f>VLOOKUP(F1788,product_info!$A$2:$D$73,4,0)</f>
        <v>6</v>
      </c>
      <c r="J1788" s="15" t="str">
        <f>VLOOKUP(I1788,department!$A$2:$B$13,2,0)</f>
        <v>Outdoors</v>
      </c>
      <c r="K1788">
        <v>18684</v>
      </c>
      <c r="L1788" t="s">
        <v>525</v>
      </c>
      <c r="M1788" s="4">
        <v>44196</v>
      </c>
      <c r="N1788" s="12">
        <f t="shared" si="82"/>
        <v>12</v>
      </c>
      <c r="O1788" s="13">
        <f t="shared" si="83"/>
        <v>2020</v>
      </c>
      <c r="P1788" t="s">
        <v>13</v>
      </c>
      <c r="Q1788" t="s">
        <v>5778</v>
      </c>
      <c r="R1788" t="s">
        <v>31</v>
      </c>
      <c r="S1788" t="str" cm="1">
        <f t="array" ref="S1788">_xlfn.IFS(R1788="COMPLETE", "COMPLETED", R1788="CANCELED", "CANCELED", TRUE, "PENDING")</f>
        <v>COMPLETED</v>
      </c>
      <c r="T1788" t="s">
        <v>90</v>
      </c>
      <c r="U1788">
        <f>VLOOKUP(A1788,ordered_items!$B:$E,4,0)</f>
        <v>532.58000000000004</v>
      </c>
    </row>
    <row r="1789" spans="1:21" x14ac:dyDescent="0.3">
      <c r="A1789">
        <v>75132</v>
      </c>
      <c r="B1789" t="s">
        <v>51</v>
      </c>
      <c r="C1789">
        <v>3</v>
      </c>
      <c r="D1789">
        <v>4</v>
      </c>
      <c r="E1789" t="str">
        <f t="shared" si="81"/>
        <v xml:space="preserve"> ONTIME</v>
      </c>
      <c r="F1789">
        <f>VLOOKUP($A1789,ordered_items!$B$2:$E$4784,2,0)</f>
        <v>1355</v>
      </c>
      <c r="G1789">
        <f>VLOOKUP($A1789,ordered_items!$B$2:$E$4784,3,0)</f>
        <v>1</v>
      </c>
      <c r="H1789">
        <f>VLOOKUP($A1789,ordered_items!$B$2:$E$4784,4,0)</f>
        <v>532.58000000000004</v>
      </c>
      <c r="I1789" s="15">
        <f>VLOOKUP(F1789,product_info!$A$2:$D$73,4,0)</f>
        <v>6</v>
      </c>
      <c r="J1789" s="15" t="str">
        <f>VLOOKUP(I1789,department!$A$2:$B$13,2,0)</f>
        <v>Outdoors</v>
      </c>
      <c r="K1789">
        <v>18685</v>
      </c>
      <c r="L1789" t="s">
        <v>525</v>
      </c>
      <c r="M1789" s="4">
        <v>44196</v>
      </c>
      <c r="N1789" s="12">
        <f t="shared" si="82"/>
        <v>12</v>
      </c>
      <c r="O1789" s="13">
        <f t="shared" si="83"/>
        <v>2020</v>
      </c>
      <c r="P1789" t="s">
        <v>13</v>
      </c>
      <c r="Q1789" t="s">
        <v>5778</v>
      </c>
      <c r="R1789" t="s">
        <v>57</v>
      </c>
      <c r="S1789" t="str" cm="1">
        <f t="array" ref="S1789">_xlfn.IFS(R1789="COMPLETE", "COMPLETED", R1789="CANCELED", "CANCELED", TRUE, "PENDING")</f>
        <v>PENDING</v>
      </c>
      <c r="T1789" t="s">
        <v>16</v>
      </c>
      <c r="U1789">
        <f>VLOOKUP(A1789,ordered_items!$B:$E,4,0)</f>
        <v>532.58000000000004</v>
      </c>
    </row>
    <row r="1790" spans="1:21" x14ac:dyDescent="0.3">
      <c r="A1790">
        <v>75133</v>
      </c>
      <c r="B1790" t="s">
        <v>24</v>
      </c>
      <c r="C1790">
        <v>4</v>
      </c>
      <c r="D1790">
        <v>4</v>
      </c>
      <c r="E1790" t="str">
        <f t="shared" si="81"/>
        <v xml:space="preserve"> ONTIME</v>
      </c>
      <c r="F1790">
        <f>VLOOKUP($A1790,ordered_items!$B$2:$E$4784,2,0)</f>
        <v>1355</v>
      </c>
      <c r="G1790">
        <f>VLOOKUP($A1790,ordered_items!$B$2:$E$4784,3,0)</f>
        <v>1</v>
      </c>
      <c r="H1790">
        <f>VLOOKUP($A1790,ordered_items!$B$2:$E$4784,4,0)</f>
        <v>532.58000000000004</v>
      </c>
      <c r="I1790" s="15">
        <f>VLOOKUP(F1790,product_info!$A$2:$D$73,4,0)</f>
        <v>6</v>
      </c>
      <c r="J1790" s="15" t="str">
        <f>VLOOKUP(I1790,department!$A$2:$B$13,2,0)</f>
        <v>Outdoors</v>
      </c>
      <c r="K1790">
        <v>18686</v>
      </c>
      <c r="L1790" t="s">
        <v>525</v>
      </c>
      <c r="M1790" s="4">
        <v>44196</v>
      </c>
      <c r="N1790" s="12">
        <f t="shared" si="82"/>
        <v>12</v>
      </c>
      <c r="O1790" s="13">
        <f t="shared" si="83"/>
        <v>2020</v>
      </c>
      <c r="P1790" t="s">
        <v>13</v>
      </c>
      <c r="Q1790" t="s">
        <v>5778</v>
      </c>
      <c r="R1790" t="s">
        <v>31</v>
      </c>
      <c r="S1790" t="str" cm="1">
        <f t="array" ref="S1790">_xlfn.IFS(R1790="COMPLETE", "COMPLETED", R1790="CANCELED", "CANCELED", TRUE, "PENDING")</f>
        <v>COMPLETED</v>
      </c>
      <c r="T1790" t="s">
        <v>16</v>
      </c>
      <c r="U1790">
        <f>VLOOKUP(A1790,ordered_items!$B:$E,4,0)</f>
        <v>532.58000000000004</v>
      </c>
    </row>
    <row r="1791" spans="1:21" x14ac:dyDescent="0.3">
      <c r="A1791">
        <v>75134</v>
      </c>
      <c r="B1791" t="s">
        <v>24</v>
      </c>
      <c r="C1791">
        <v>5</v>
      </c>
      <c r="D1791">
        <v>4</v>
      </c>
      <c r="E1791" t="str">
        <f t="shared" si="81"/>
        <v>DELAYED</v>
      </c>
      <c r="F1791">
        <f>VLOOKUP($A1791,ordered_items!$B$2:$E$4784,2,0)</f>
        <v>1355</v>
      </c>
      <c r="G1791">
        <f>VLOOKUP($A1791,ordered_items!$B$2:$E$4784,3,0)</f>
        <v>1</v>
      </c>
      <c r="H1791">
        <f>VLOOKUP($A1791,ordered_items!$B$2:$E$4784,4,0)</f>
        <v>532.58000000000004</v>
      </c>
      <c r="I1791" s="15">
        <f>VLOOKUP(F1791,product_info!$A$2:$D$73,4,0)</f>
        <v>6</v>
      </c>
      <c r="J1791" s="15" t="str">
        <f>VLOOKUP(I1791,department!$A$2:$B$13,2,0)</f>
        <v>Outdoors</v>
      </c>
      <c r="K1791">
        <v>18687</v>
      </c>
      <c r="L1791" t="s">
        <v>84</v>
      </c>
      <c r="M1791" s="4">
        <v>44196</v>
      </c>
      <c r="N1791" s="12">
        <f t="shared" si="82"/>
        <v>12</v>
      </c>
      <c r="O1791" s="13">
        <f t="shared" si="83"/>
        <v>2020</v>
      </c>
      <c r="P1791" t="s">
        <v>13</v>
      </c>
      <c r="Q1791" t="s">
        <v>80</v>
      </c>
      <c r="R1791" t="s">
        <v>31</v>
      </c>
      <c r="S1791" t="str" cm="1">
        <f t="array" ref="S1791">_xlfn.IFS(R1791="COMPLETE", "COMPLETED", R1791="CANCELED", "CANCELED", TRUE, "PENDING")</f>
        <v>COMPLETED</v>
      </c>
      <c r="T1791" t="s">
        <v>16</v>
      </c>
      <c r="U1791">
        <f>VLOOKUP(A1791,ordered_items!$B:$E,4,0)</f>
        <v>532.58000000000004</v>
      </c>
    </row>
    <row r="1792" spans="1:21" x14ac:dyDescent="0.3">
      <c r="A1792">
        <v>75150</v>
      </c>
      <c r="B1792" t="s">
        <v>51</v>
      </c>
      <c r="C1792">
        <v>6</v>
      </c>
      <c r="D1792">
        <v>2</v>
      </c>
      <c r="E1792" t="str">
        <f t="shared" si="81"/>
        <v>DELAYED</v>
      </c>
      <c r="F1792">
        <f>VLOOKUP($A1792,ordered_items!$B$2:$E$4784,2,0)</f>
        <v>1355</v>
      </c>
      <c r="G1792">
        <f>VLOOKUP($A1792,ordered_items!$B$2:$E$4784,3,0)</f>
        <v>1</v>
      </c>
      <c r="H1792">
        <f>VLOOKUP($A1792,ordered_items!$B$2:$E$4784,4,0)</f>
        <v>532.58000000000004</v>
      </c>
      <c r="I1792" s="15">
        <f>VLOOKUP(F1792,product_info!$A$2:$D$73,4,0)</f>
        <v>6</v>
      </c>
      <c r="J1792" s="15" t="str">
        <f>VLOOKUP(I1792,department!$A$2:$B$13,2,0)</f>
        <v>Outdoors</v>
      </c>
      <c r="K1792">
        <v>18703</v>
      </c>
      <c r="L1792" t="s">
        <v>233</v>
      </c>
      <c r="M1792" s="4">
        <v>44197</v>
      </c>
      <c r="N1792" s="12">
        <f t="shared" si="82"/>
        <v>1</v>
      </c>
      <c r="O1792" s="13">
        <f t="shared" si="83"/>
        <v>2021</v>
      </c>
      <c r="P1792" t="s">
        <v>13</v>
      </c>
      <c r="Q1792" t="s">
        <v>234</v>
      </c>
      <c r="R1792" t="s">
        <v>57</v>
      </c>
      <c r="S1792" t="str" cm="1">
        <f t="array" ref="S1792">_xlfn.IFS(R1792="COMPLETE", "COMPLETED", R1792="CANCELED", "CANCELED", TRUE, "PENDING")</f>
        <v>PENDING</v>
      </c>
      <c r="T1792" t="s">
        <v>90</v>
      </c>
      <c r="U1792">
        <f>VLOOKUP(A1792,ordered_items!$B:$E,4,0)</f>
        <v>532.58000000000004</v>
      </c>
    </row>
    <row r="1793" spans="1:21" x14ac:dyDescent="0.3">
      <c r="A1793">
        <v>75160</v>
      </c>
      <c r="B1793" t="s">
        <v>24</v>
      </c>
      <c r="C1793">
        <v>6</v>
      </c>
      <c r="D1793">
        <v>4</v>
      </c>
      <c r="E1793" t="str">
        <f t="shared" si="81"/>
        <v>DELAYED</v>
      </c>
      <c r="F1793">
        <f>VLOOKUP($A1793,ordered_items!$B$2:$E$4784,2,0)</f>
        <v>1355</v>
      </c>
      <c r="G1793">
        <f>VLOOKUP($A1793,ordered_items!$B$2:$E$4784,3,0)</f>
        <v>1</v>
      </c>
      <c r="H1793">
        <f>VLOOKUP($A1793,ordered_items!$B$2:$E$4784,4,0)</f>
        <v>532.58000000000004</v>
      </c>
      <c r="I1793" s="15">
        <f>VLOOKUP(F1793,product_info!$A$2:$D$73,4,0)</f>
        <v>6</v>
      </c>
      <c r="J1793" s="15" t="str">
        <f>VLOOKUP(I1793,department!$A$2:$B$13,2,0)</f>
        <v>Outdoors</v>
      </c>
      <c r="K1793">
        <v>18713</v>
      </c>
      <c r="L1793" t="s">
        <v>253</v>
      </c>
      <c r="M1793" s="4">
        <v>44197</v>
      </c>
      <c r="N1793" s="12">
        <f t="shared" si="82"/>
        <v>1</v>
      </c>
      <c r="O1793" s="13">
        <f t="shared" si="83"/>
        <v>2021</v>
      </c>
      <c r="P1793" t="s">
        <v>13</v>
      </c>
      <c r="Q1793" t="s">
        <v>30</v>
      </c>
      <c r="R1793" t="s">
        <v>31</v>
      </c>
      <c r="S1793" t="str" cm="1">
        <f t="array" ref="S1793">_xlfn.IFS(R1793="COMPLETE", "COMPLETED", R1793="CANCELED", "CANCELED", TRUE, "PENDING")</f>
        <v>COMPLETED</v>
      </c>
      <c r="T1793" t="s">
        <v>16</v>
      </c>
      <c r="U1793">
        <f>VLOOKUP(A1793,ordered_items!$B:$E,4,0)</f>
        <v>532.58000000000004</v>
      </c>
    </row>
    <row r="1794" spans="1:21" x14ac:dyDescent="0.3">
      <c r="A1794">
        <v>75161</v>
      </c>
      <c r="B1794" t="s">
        <v>24</v>
      </c>
      <c r="C1794">
        <v>2</v>
      </c>
      <c r="D1794">
        <v>4</v>
      </c>
      <c r="E1794" t="str">
        <f t="shared" si="81"/>
        <v xml:space="preserve"> ONTIME</v>
      </c>
      <c r="F1794">
        <f>VLOOKUP($A1794,ordered_items!$B$2:$E$4784,2,0)</f>
        <v>1355</v>
      </c>
      <c r="G1794">
        <f>VLOOKUP($A1794,ordered_items!$B$2:$E$4784,3,0)</f>
        <v>1</v>
      </c>
      <c r="H1794">
        <f>VLOOKUP($A1794,ordered_items!$B$2:$E$4784,4,0)</f>
        <v>532.58000000000004</v>
      </c>
      <c r="I1794" s="15">
        <f>VLOOKUP(F1794,product_info!$A$2:$D$73,4,0)</f>
        <v>6</v>
      </c>
      <c r="J1794" s="15" t="str">
        <f>VLOOKUP(I1794,department!$A$2:$B$13,2,0)</f>
        <v>Outdoors</v>
      </c>
      <c r="K1794">
        <v>18714</v>
      </c>
      <c r="L1794" t="s">
        <v>253</v>
      </c>
      <c r="M1794" s="4">
        <v>44197</v>
      </c>
      <c r="N1794" s="12">
        <f t="shared" si="82"/>
        <v>1</v>
      </c>
      <c r="O1794" s="13">
        <f t="shared" si="83"/>
        <v>2021</v>
      </c>
      <c r="P1794" t="s">
        <v>13</v>
      </c>
      <c r="Q1794" t="s">
        <v>30</v>
      </c>
      <c r="R1794" t="s">
        <v>31</v>
      </c>
      <c r="S1794" t="str" cm="1">
        <f t="array" ref="S1794">_xlfn.IFS(R1794="COMPLETE", "COMPLETED", R1794="CANCELED", "CANCELED", TRUE, "PENDING")</f>
        <v>COMPLETED</v>
      </c>
      <c r="T1794" t="s">
        <v>16</v>
      </c>
      <c r="U1794">
        <f>VLOOKUP(A1794,ordered_items!$B:$E,4,0)</f>
        <v>532.58000000000004</v>
      </c>
    </row>
    <row r="1795" spans="1:21" x14ac:dyDescent="0.3">
      <c r="A1795">
        <v>75162</v>
      </c>
      <c r="B1795" t="s">
        <v>17</v>
      </c>
      <c r="C1795">
        <v>3</v>
      </c>
      <c r="D1795">
        <v>4</v>
      </c>
      <c r="E1795" t="str">
        <f t="shared" ref="E1795:E1858" si="84">IF(C1795-D1795&gt;0,"DELAYED"," ONTIME")</f>
        <v xml:space="preserve"> ONTIME</v>
      </c>
      <c r="F1795">
        <f>VLOOKUP($A1795,ordered_items!$B$2:$E$4784,2,0)</f>
        <v>1355</v>
      </c>
      <c r="G1795">
        <f>VLOOKUP($A1795,ordered_items!$B$2:$E$4784,3,0)</f>
        <v>1</v>
      </c>
      <c r="H1795">
        <f>VLOOKUP($A1795,ordered_items!$B$2:$E$4784,4,0)</f>
        <v>532.58000000000004</v>
      </c>
      <c r="I1795" s="15">
        <f>VLOOKUP(F1795,product_info!$A$2:$D$73,4,0)</f>
        <v>6</v>
      </c>
      <c r="J1795" s="15" t="str">
        <f>VLOOKUP(I1795,department!$A$2:$B$13,2,0)</f>
        <v>Outdoors</v>
      </c>
      <c r="K1795">
        <v>18715</v>
      </c>
      <c r="L1795" t="s">
        <v>253</v>
      </c>
      <c r="M1795" s="4">
        <v>44197</v>
      </c>
      <c r="N1795" s="12">
        <f t="shared" ref="N1795:N1858" si="85">MONTH(M1795)</f>
        <v>1</v>
      </c>
      <c r="O1795" s="13">
        <f t="shared" ref="O1795:O1858" si="86">YEAR(M1795)</f>
        <v>2021</v>
      </c>
      <c r="P1795" t="s">
        <v>13</v>
      </c>
      <c r="Q1795" t="s">
        <v>30</v>
      </c>
      <c r="R1795" t="s">
        <v>23</v>
      </c>
      <c r="S1795" t="str" cm="1">
        <f t="array" ref="S1795">_xlfn.IFS(R1795="COMPLETE", "COMPLETED", R1795="CANCELED", "CANCELED", TRUE, "PENDING")</f>
        <v>PENDING</v>
      </c>
      <c r="T1795" t="s">
        <v>16</v>
      </c>
      <c r="U1795">
        <f>VLOOKUP(A1795,ordered_items!$B:$E,4,0)</f>
        <v>532.58000000000004</v>
      </c>
    </row>
    <row r="1796" spans="1:21" x14ac:dyDescent="0.3">
      <c r="A1796">
        <v>75163</v>
      </c>
      <c r="B1796" t="s">
        <v>24</v>
      </c>
      <c r="C1796">
        <v>4</v>
      </c>
      <c r="D1796">
        <v>4</v>
      </c>
      <c r="E1796" t="str">
        <f t="shared" si="84"/>
        <v xml:space="preserve"> ONTIME</v>
      </c>
      <c r="F1796">
        <f>VLOOKUP($A1796,ordered_items!$B$2:$E$4784,2,0)</f>
        <v>1355</v>
      </c>
      <c r="G1796">
        <f>VLOOKUP($A1796,ordered_items!$B$2:$E$4784,3,0)</f>
        <v>1</v>
      </c>
      <c r="H1796">
        <f>VLOOKUP($A1796,ordered_items!$B$2:$E$4784,4,0)</f>
        <v>532.58000000000004</v>
      </c>
      <c r="I1796" s="15">
        <f>VLOOKUP(F1796,product_info!$A$2:$D$73,4,0)</f>
        <v>6</v>
      </c>
      <c r="J1796" s="15" t="str">
        <f>VLOOKUP(I1796,department!$A$2:$B$13,2,0)</f>
        <v>Outdoors</v>
      </c>
      <c r="K1796">
        <v>18716</v>
      </c>
      <c r="L1796" t="s">
        <v>253</v>
      </c>
      <c r="M1796" s="4">
        <v>44197</v>
      </c>
      <c r="N1796" s="12">
        <f t="shared" si="85"/>
        <v>1</v>
      </c>
      <c r="O1796" s="13">
        <f t="shared" si="86"/>
        <v>2021</v>
      </c>
      <c r="P1796" t="s">
        <v>13</v>
      </c>
      <c r="Q1796" t="s">
        <v>30</v>
      </c>
      <c r="R1796" t="s">
        <v>31</v>
      </c>
      <c r="S1796" t="str" cm="1">
        <f t="array" ref="S1796">_xlfn.IFS(R1796="COMPLETE", "COMPLETED", R1796="CANCELED", "CANCELED", TRUE, "PENDING")</f>
        <v>COMPLETED</v>
      </c>
      <c r="T1796" t="s">
        <v>16</v>
      </c>
      <c r="U1796">
        <f>VLOOKUP(A1796,ordered_items!$B:$E,4,0)</f>
        <v>532.58000000000004</v>
      </c>
    </row>
    <row r="1797" spans="1:21" x14ac:dyDescent="0.3">
      <c r="A1797">
        <v>75164</v>
      </c>
      <c r="B1797" t="s">
        <v>24</v>
      </c>
      <c r="C1797">
        <v>5</v>
      </c>
      <c r="D1797">
        <v>4</v>
      </c>
      <c r="E1797" t="str">
        <f t="shared" si="84"/>
        <v>DELAYED</v>
      </c>
      <c r="F1797">
        <f>VLOOKUP($A1797,ordered_items!$B$2:$E$4784,2,0)</f>
        <v>1355</v>
      </c>
      <c r="G1797">
        <f>VLOOKUP($A1797,ordered_items!$B$2:$E$4784,3,0)</f>
        <v>1</v>
      </c>
      <c r="H1797">
        <f>VLOOKUP($A1797,ordered_items!$B$2:$E$4784,4,0)</f>
        <v>532.58000000000004</v>
      </c>
      <c r="I1797" s="15">
        <f>VLOOKUP(F1797,product_info!$A$2:$D$73,4,0)</f>
        <v>6</v>
      </c>
      <c r="J1797" s="15" t="str">
        <f>VLOOKUP(I1797,department!$A$2:$B$13,2,0)</f>
        <v>Outdoors</v>
      </c>
      <c r="K1797">
        <v>18717</v>
      </c>
      <c r="L1797" t="s">
        <v>253</v>
      </c>
      <c r="M1797" s="4">
        <v>44197</v>
      </c>
      <c r="N1797" s="12">
        <f t="shared" si="85"/>
        <v>1</v>
      </c>
      <c r="O1797" s="13">
        <f t="shared" si="86"/>
        <v>2021</v>
      </c>
      <c r="P1797" t="s">
        <v>13</v>
      </c>
      <c r="Q1797" t="s">
        <v>30</v>
      </c>
      <c r="R1797" t="s">
        <v>31</v>
      </c>
      <c r="S1797" t="str" cm="1">
        <f t="array" ref="S1797">_xlfn.IFS(R1797="COMPLETE", "COMPLETED", R1797="CANCELED", "CANCELED", TRUE, "PENDING")</f>
        <v>COMPLETED</v>
      </c>
      <c r="T1797" t="s">
        <v>16</v>
      </c>
      <c r="U1797">
        <f>VLOOKUP(A1797,ordered_items!$B:$E,4,0)</f>
        <v>532.58000000000004</v>
      </c>
    </row>
    <row r="1798" spans="1:21" x14ac:dyDescent="0.3">
      <c r="A1798">
        <v>75165</v>
      </c>
      <c r="B1798" t="s">
        <v>3</v>
      </c>
      <c r="C1798">
        <v>6</v>
      </c>
      <c r="D1798">
        <v>4</v>
      </c>
      <c r="E1798" t="str">
        <f t="shared" si="84"/>
        <v>DELAYED</v>
      </c>
      <c r="F1798">
        <f>VLOOKUP($A1798,ordered_items!$B$2:$E$4784,2,0)</f>
        <v>1355</v>
      </c>
      <c r="G1798">
        <f>VLOOKUP($A1798,ordered_items!$B$2:$E$4784,3,0)</f>
        <v>1</v>
      </c>
      <c r="H1798">
        <f>VLOOKUP($A1798,ordered_items!$B$2:$E$4784,4,0)</f>
        <v>532.58000000000004</v>
      </c>
      <c r="I1798" s="15">
        <f>VLOOKUP(F1798,product_info!$A$2:$D$73,4,0)</f>
        <v>6</v>
      </c>
      <c r="J1798" s="15" t="str">
        <f>VLOOKUP(I1798,department!$A$2:$B$13,2,0)</f>
        <v>Outdoors</v>
      </c>
      <c r="K1798">
        <v>18718</v>
      </c>
      <c r="L1798" t="s">
        <v>253</v>
      </c>
      <c r="M1798" s="4">
        <v>44197</v>
      </c>
      <c r="N1798" s="12">
        <f t="shared" si="85"/>
        <v>1</v>
      </c>
      <c r="O1798" s="13">
        <f t="shared" si="86"/>
        <v>2021</v>
      </c>
      <c r="P1798" t="s">
        <v>13</v>
      </c>
      <c r="Q1798" t="s">
        <v>30</v>
      </c>
      <c r="R1798" t="s">
        <v>38</v>
      </c>
      <c r="S1798" t="str" cm="1">
        <f t="array" ref="S1798">_xlfn.IFS(R1798="COMPLETE", "COMPLETED", R1798="CANCELED", "CANCELED", TRUE, "PENDING")</f>
        <v>PENDING</v>
      </c>
      <c r="T1798" t="s">
        <v>16</v>
      </c>
      <c r="U1798">
        <f>VLOOKUP(A1798,ordered_items!$B:$E,4,0)</f>
        <v>532.58000000000004</v>
      </c>
    </row>
    <row r="1799" spans="1:21" x14ac:dyDescent="0.3">
      <c r="A1799">
        <v>75170</v>
      </c>
      <c r="B1799" t="s">
        <v>51</v>
      </c>
      <c r="C1799">
        <v>6</v>
      </c>
      <c r="D1799">
        <v>4</v>
      </c>
      <c r="E1799" t="str">
        <f t="shared" si="84"/>
        <v>DELAYED</v>
      </c>
      <c r="F1799">
        <f>VLOOKUP($A1799,ordered_items!$B$2:$E$4784,2,0)</f>
        <v>1355</v>
      </c>
      <c r="G1799">
        <f>VLOOKUP($A1799,ordered_items!$B$2:$E$4784,3,0)</f>
        <v>1</v>
      </c>
      <c r="H1799">
        <f>VLOOKUP($A1799,ordered_items!$B$2:$E$4784,4,0)</f>
        <v>532.58000000000004</v>
      </c>
      <c r="I1799" s="15">
        <f>VLOOKUP(F1799,product_info!$A$2:$D$73,4,0)</f>
        <v>6</v>
      </c>
      <c r="J1799" s="15" t="str">
        <f>VLOOKUP(I1799,department!$A$2:$B$13,2,0)</f>
        <v>Outdoors</v>
      </c>
      <c r="K1799">
        <v>18723</v>
      </c>
      <c r="L1799" t="s">
        <v>124</v>
      </c>
      <c r="M1799" s="4">
        <v>44197</v>
      </c>
      <c r="N1799" s="12">
        <f t="shared" si="85"/>
        <v>1</v>
      </c>
      <c r="O1799" s="13">
        <f t="shared" si="86"/>
        <v>2021</v>
      </c>
      <c r="P1799" t="s">
        <v>13</v>
      </c>
      <c r="Q1799" t="s">
        <v>5778</v>
      </c>
      <c r="R1799" t="s">
        <v>57</v>
      </c>
      <c r="S1799" t="str" cm="1">
        <f t="array" ref="S1799">_xlfn.IFS(R1799="COMPLETE", "COMPLETED", R1799="CANCELED", "CANCELED", TRUE, "PENDING")</f>
        <v>PENDING</v>
      </c>
      <c r="T1799" t="s">
        <v>16</v>
      </c>
      <c r="U1799">
        <f>VLOOKUP(A1799,ordered_items!$B:$E,4,0)</f>
        <v>532.58000000000004</v>
      </c>
    </row>
    <row r="1800" spans="1:21" x14ac:dyDescent="0.3">
      <c r="A1800">
        <v>75171</v>
      </c>
      <c r="B1800" t="s">
        <v>51</v>
      </c>
      <c r="C1800">
        <v>2</v>
      </c>
      <c r="D1800">
        <v>4</v>
      </c>
      <c r="E1800" t="str">
        <f t="shared" si="84"/>
        <v xml:space="preserve"> ONTIME</v>
      </c>
      <c r="F1800">
        <f>VLOOKUP($A1800,ordered_items!$B$2:$E$4784,2,0)</f>
        <v>1355</v>
      </c>
      <c r="G1800">
        <f>VLOOKUP($A1800,ordered_items!$B$2:$E$4784,3,0)</f>
        <v>1</v>
      </c>
      <c r="H1800">
        <f>VLOOKUP($A1800,ordered_items!$B$2:$E$4784,4,0)</f>
        <v>532.58000000000004</v>
      </c>
      <c r="I1800" s="15">
        <f>VLOOKUP(F1800,product_info!$A$2:$D$73,4,0)</f>
        <v>6</v>
      </c>
      <c r="J1800" s="15" t="str">
        <f>VLOOKUP(I1800,department!$A$2:$B$13,2,0)</f>
        <v>Outdoors</v>
      </c>
      <c r="K1800">
        <v>18724</v>
      </c>
      <c r="L1800" t="s">
        <v>124</v>
      </c>
      <c r="M1800" s="4">
        <v>44197</v>
      </c>
      <c r="N1800" s="12">
        <f t="shared" si="85"/>
        <v>1</v>
      </c>
      <c r="O1800" s="13">
        <f t="shared" si="86"/>
        <v>2021</v>
      </c>
      <c r="P1800" t="s">
        <v>13</v>
      </c>
      <c r="Q1800" t="s">
        <v>5778</v>
      </c>
      <c r="R1800" t="s">
        <v>57</v>
      </c>
      <c r="S1800" t="str" cm="1">
        <f t="array" ref="S1800">_xlfn.IFS(R1800="COMPLETE", "COMPLETED", R1800="CANCELED", "CANCELED", TRUE, "PENDING")</f>
        <v>PENDING</v>
      </c>
      <c r="T1800" t="s">
        <v>16</v>
      </c>
      <c r="U1800">
        <f>VLOOKUP(A1800,ordered_items!$B:$E,4,0)</f>
        <v>532.58000000000004</v>
      </c>
    </row>
    <row r="1801" spans="1:21" x14ac:dyDescent="0.3">
      <c r="A1801">
        <v>75172</v>
      </c>
      <c r="B1801" t="s">
        <v>17</v>
      </c>
      <c r="C1801">
        <v>3</v>
      </c>
      <c r="D1801">
        <v>4</v>
      </c>
      <c r="E1801" t="str">
        <f t="shared" si="84"/>
        <v xml:space="preserve"> ONTIME</v>
      </c>
      <c r="F1801">
        <f>VLOOKUP($A1801,ordered_items!$B$2:$E$4784,2,0)</f>
        <v>1355</v>
      </c>
      <c r="G1801">
        <f>VLOOKUP($A1801,ordered_items!$B$2:$E$4784,3,0)</f>
        <v>1</v>
      </c>
      <c r="H1801">
        <f>VLOOKUP($A1801,ordered_items!$B$2:$E$4784,4,0)</f>
        <v>532.58000000000004</v>
      </c>
      <c r="I1801" s="15">
        <f>VLOOKUP(F1801,product_info!$A$2:$D$73,4,0)</f>
        <v>6</v>
      </c>
      <c r="J1801" s="15" t="str">
        <f>VLOOKUP(I1801,department!$A$2:$B$13,2,0)</f>
        <v>Outdoors</v>
      </c>
      <c r="K1801">
        <v>18725</v>
      </c>
      <c r="L1801" t="s">
        <v>124</v>
      </c>
      <c r="M1801" s="4">
        <v>44197</v>
      </c>
      <c r="N1801" s="12">
        <f t="shared" si="85"/>
        <v>1</v>
      </c>
      <c r="O1801" s="13">
        <f t="shared" si="86"/>
        <v>2021</v>
      </c>
      <c r="P1801" t="s">
        <v>13</v>
      </c>
      <c r="Q1801" t="s">
        <v>5778</v>
      </c>
      <c r="R1801" t="s">
        <v>23</v>
      </c>
      <c r="S1801" t="str" cm="1">
        <f t="array" ref="S1801">_xlfn.IFS(R1801="COMPLETE", "COMPLETED", R1801="CANCELED", "CANCELED", TRUE, "PENDING")</f>
        <v>PENDING</v>
      </c>
      <c r="T1801" t="s">
        <v>16</v>
      </c>
      <c r="U1801">
        <f>VLOOKUP(A1801,ordered_items!$B:$E,4,0)</f>
        <v>532.58000000000004</v>
      </c>
    </row>
    <row r="1802" spans="1:21" x14ac:dyDescent="0.3">
      <c r="A1802">
        <v>75195</v>
      </c>
      <c r="B1802" t="s">
        <v>24</v>
      </c>
      <c r="C1802">
        <v>6</v>
      </c>
      <c r="D1802">
        <v>4</v>
      </c>
      <c r="E1802" t="str">
        <f t="shared" si="84"/>
        <v>DELAYED</v>
      </c>
      <c r="F1802">
        <f>VLOOKUP($A1802,ordered_items!$B$2:$E$4784,2,0)</f>
        <v>1356</v>
      </c>
      <c r="G1802">
        <f>VLOOKUP($A1802,ordered_items!$B$2:$E$4784,3,0)</f>
        <v>1</v>
      </c>
      <c r="H1802">
        <f>VLOOKUP($A1802,ordered_items!$B$2:$E$4784,4,0)</f>
        <v>293.04000000000002</v>
      </c>
      <c r="I1802" s="15">
        <f>VLOOKUP(F1802,product_info!$A$2:$D$73,4,0)</f>
        <v>12</v>
      </c>
      <c r="J1802" s="15" t="str">
        <f>VLOOKUP(I1802,department!$A$2:$B$13,2,0)</f>
        <v xml:space="preserve">Health and Beauty </v>
      </c>
      <c r="K1802">
        <v>18748</v>
      </c>
      <c r="L1802" t="s">
        <v>110</v>
      </c>
      <c r="M1802" s="4">
        <v>44197</v>
      </c>
      <c r="N1802" s="12">
        <f t="shared" si="85"/>
        <v>1</v>
      </c>
      <c r="O1802" s="13">
        <f t="shared" si="86"/>
        <v>2021</v>
      </c>
      <c r="P1802" t="s">
        <v>13</v>
      </c>
      <c r="Q1802" t="s">
        <v>99</v>
      </c>
      <c r="R1802" t="s">
        <v>31</v>
      </c>
      <c r="S1802" t="str" cm="1">
        <f t="array" ref="S1802">_xlfn.IFS(R1802="COMPLETE", "COMPLETED", R1802="CANCELED", "CANCELED", TRUE, "PENDING")</f>
        <v>COMPLETED</v>
      </c>
      <c r="T1802" t="s">
        <v>16</v>
      </c>
      <c r="U1802">
        <f>VLOOKUP(A1802,ordered_items!$B:$E,4,0)</f>
        <v>293.04000000000002</v>
      </c>
    </row>
    <row r="1803" spans="1:21" x14ac:dyDescent="0.3">
      <c r="A1803">
        <v>75208</v>
      </c>
      <c r="B1803" t="s">
        <v>51</v>
      </c>
      <c r="C1803">
        <v>4</v>
      </c>
      <c r="D1803">
        <v>4</v>
      </c>
      <c r="E1803" t="str">
        <f t="shared" si="84"/>
        <v xml:space="preserve"> ONTIME</v>
      </c>
      <c r="F1803">
        <f>VLOOKUP($A1803,ordered_items!$B$2:$E$4784,2,0)</f>
        <v>1356</v>
      </c>
      <c r="G1803">
        <f>VLOOKUP($A1803,ordered_items!$B$2:$E$4784,3,0)</f>
        <v>1</v>
      </c>
      <c r="H1803">
        <f>VLOOKUP($A1803,ordered_items!$B$2:$E$4784,4,0)</f>
        <v>293.04000000000002</v>
      </c>
      <c r="I1803" s="15">
        <f>VLOOKUP(F1803,product_info!$A$2:$D$73,4,0)</f>
        <v>12</v>
      </c>
      <c r="J1803" s="15" t="str">
        <f>VLOOKUP(I1803,department!$A$2:$B$13,2,0)</f>
        <v xml:space="preserve">Health and Beauty </v>
      </c>
      <c r="K1803">
        <v>18761</v>
      </c>
      <c r="L1803" t="s">
        <v>233</v>
      </c>
      <c r="M1803" s="4">
        <v>44197</v>
      </c>
      <c r="N1803" s="12">
        <f t="shared" si="85"/>
        <v>1</v>
      </c>
      <c r="O1803" s="13">
        <f t="shared" si="86"/>
        <v>2021</v>
      </c>
      <c r="P1803" t="s">
        <v>13</v>
      </c>
      <c r="Q1803" t="s">
        <v>234</v>
      </c>
      <c r="R1803" t="s">
        <v>57</v>
      </c>
      <c r="S1803" t="str" cm="1">
        <f t="array" ref="S1803">_xlfn.IFS(R1803="COMPLETE", "COMPLETED", R1803="CANCELED", "CANCELED", TRUE, "PENDING")</f>
        <v>PENDING</v>
      </c>
      <c r="T1803" t="s">
        <v>16</v>
      </c>
      <c r="U1803">
        <f>VLOOKUP(A1803,ordered_items!$B:$E,4,0)</f>
        <v>293.04000000000002</v>
      </c>
    </row>
    <row r="1804" spans="1:21" x14ac:dyDescent="0.3">
      <c r="A1804">
        <v>75237</v>
      </c>
      <c r="B1804" t="s">
        <v>17</v>
      </c>
      <c r="C1804">
        <v>3</v>
      </c>
      <c r="D1804">
        <v>2</v>
      </c>
      <c r="E1804" t="str">
        <f t="shared" si="84"/>
        <v>DELAYED</v>
      </c>
      <c r="F1804">
        <f>VLOOKUP($A1804,ordered_items!$B$2:$E$4784,2,0)</f>
        <v>1356</v>
      </c>
      <c r="G1804">
        <f>VLOOKUP($A1804,ordered_items!$B$2:$E$4784,3,0)</f>
        <v>1</v>
      </c>
      <c r="H1804">
        <f>VLOOKUP($A1804,ordered_items!$B$2:$E$4784,4,0)</f>
        <v>293.04000000000002</v>
      </c>
      <c r="I1804" s="15">
        <f>VLOOKUP(F1804,product_info!$A$2:$D$73,4,0)</f>
        <v>12</v>
      </c>
      <c r="J1804" s="15" t="str">
        <f>VLOOKUP(I1804,department!$A$2:$B$13,2,0)</f>
        <v xml:space="preserve">Health and Beauty </v>
      </c>
      <c r="K1804">
        <v>18790</v>
      </c>
      <c r="L1804" t="s">
        <v>104</v>
      </c>
      <c r="M1804" s="4">
        <v>44198</v>
      </c>
      <c r="N1804" s="12">
        <f t="shared" si="85"/>
        <v>1</v>
      </c>
      <c r="O1804" s="13">
        <f t="shared" si="86"/>
        <v>2021</v>
      </c>
      <c r="P1804" t="s">
        <v>13</v>
      </c>
      <c r="Q1804" t="s">
        <v>420</v>
      </c>
      <c r="R1804" t="s">
        <v>23</v>
      </c>
      <c r="S1804" t="str" cm="1">
        <f t="array" ref="S1804">_xlfn.IFS(R1804="COMPLETE", "COMPLETED", R1804="CANCELED", "CANCELED", TRUE, "PENDING")</f>
        <v>PENDING</v>
      </c>
      <c r="T1804" t="s">
        <v>90</v>
      </c>
      <c r="U1804">
        <f>VLOOKUP(A1804,ordered_items!$B:$E,4,0)</f>
        <v>293.04000000000002</v>
      </c>
    </row>
    <row r="1805" spans="1:21" x14ac:dyDescent="0.3">
      <c r="A1805">
        <v>75238</v>
      </c>
      <c r="B1805" t="s">
        <v>24</v>
      </c>
      <c r="C1805">
        <v>2</v>
      </c>
      <c r="D1805">
        <v>1</v>
      </c>
      <c r="E1805" t="str">
        <f t="shared" si="84"/>
        <v>DELAYED</v>
      </c>
      <c r="F1805">
        <f>VLOOKUP($A1805,ordered_items!$B$2:$E$4784,2,0)</f>
        <v>1356</v>
      </c>
      <c r="G1805">
        <f>VLOOKUP($A1805,ordered_items!$B$2:$E$4784,3,0)</f>
        <v>1</v>
      </c>
      <c r="H1805">
        <f>VLOOKUP($A1805,ordered_items!$B$2:$E$4784,4,0)</f>
        <v>293.04000000000002</v>
      </c>
      <c r="I1805" s="15">
        <f>VLOOKUP(F1805,product_info!$A$2:$D$73,4,0)</f>
        <v>12</v>
      </c>
      <c r="J1805" s="15" t="str">
        <f>VLOOKUP(I1805,department!$A$2:$B$13,2,0)</f>
        <v xml:space="preserve">Health and Beauty </v>
      </c>
      <c r="K1805">
        <v>18791</v>
      </c>
      <c r="L1805" t="s">
        <v>104</v>
      </c>
      <c r="M1805" s="4">
        <v>44198</v>
      </c>
      <c r="N1805" s="12">
        <f t="shared" si="85"/>
        <v>1</v>
      </c>
      <c r="O1805" s="13">
        <f t="shared" si="86"/>
        <v>2021</v>
      </c>
      <c r="P1805" t="s">
        <v>13</v>
      </c>
      <c r="Q1805" t="s">
        <v>420</v>
      </c>
      <c r="R1805" t="s">
        <v>378</v>
      </c>
      <c r="S1805" t="str" cm="1">
        <f t="array" ref="S1805">_xlfn.IFS(R1805="COMPLETE", "COMPLETED", R1805="CANCELED", "CANCELED", TRUE, "PENDING")</f>
        <v>PENDING</v>
      </c>
      <c r="T1805" t="s">
        <v>32</v>
      </c>
      <c r="U1805">
        <f>VLOOKUP(A1805,ordered_items!$B:$E,4,0)</f>
        <v>293.04000000000002</v>
      </c>
    </row>
    <row r="1806" spans="1:21" x14ac:dyDescent="0.3">
      <c r="A1806">
        <v>75242</v>
      </c>
      <c r="B1806" t="s">
        <v>24</v>
      </c>
      <c r="C1806">
        <v>3</v>
      </c>
      <c r="D1806">
        <v>4</v>
      </c>
      <c r="E1806" t="str">
        <f t="shared" si="84"/>
        <v xml:space="preserve"> ONTIME</v>
      </c>
      <c r="F1806">
        <f>VLOOKUP($A1806,ordered_items!$B$2:$E$4784,2,0)</f>
        <v>1356</v>
      </c>
      <c r="G1806">
        <f>VLOOKUP($A1806,ordered_items!$B$2:$E$4784,3,0)</f>
        <v>1</v>
      </c>
      <c r="H1806">
        <f>VLOOKUP($A1806,ordered_items!$B$2:$E$4784,4,0)</f>
        <v>293.04000000000002</v>
      </c>
      <c r="I1806" s="15">
        <f>VLOOKUP(F1806,product_info!$A$2:$D$73,4,0)</f>
        <v>12</v>
      </c>
      <c r="J1806" s="15" t="str">
        <f>VLOOKUP(I1806,department!$A$2:$B$13,2,0)</f>
        <v xml:space="preserve">Health and Beauty </v>
      </c>
      <c r="K1806">
        <v>18795</v>
      </c>
      <c r="L1806" t="s">
        <v>119</v>
      </c>
      <c r="M1806" s="4">
        <v>44198</v>
      </c>
      <c r="N1806" s="12">
        <f t="shared" si="85"/>
        <v>1</v>
      </c>
      <c r="O1806" s="13">
        <f t="shared" si="86"/>
        <v>2021</v>
      </c>
      <c r="P1806" t="s">
        <v>13</v>
      </c>
      <c r="Q1806" t="s">
        <v>5781</v>
      </c>
      <c r="R1806" t="s">
        <v>31</v>
      </c>
      <c r="S1806" t="str" cm="1">
        <f t="array" ref="S1806">_xlfn.IFS(R1806="COMPLETE", "COMPLETED", R1806="CANCELED", "CANCELED", TRUE, "PENDING")</f>
        <v>COMPLETED</v>
      </c>
      <c r="T1806" t="s">
        <v>16</v>
      </c>
      <c r="U1806">
        <f>VLOOKUP(A1806,ordered_items!$B:$E,4,0)</f>
        <v>293.04000000000002</v>
      </c>
    </row>
    <row r="1807" spans="1:21" x14ac:dyDescent="0.3">
      <c r="A1807">
        <v>75261</v>
      </c>
      <c r="B1807" t="s">
        <v>3</v>
      </c>
      <c r="C1807">
        <v>2</v>
      </c>
      <c r="D1807">
        <v>4</v>
      </c>
      <c r="E1807" t="str">
        <f t="shared" si="84"/>
        <v xml:space="preserve"> ONTIME</v>
      </c>
      <c r="F1807">
        <f>VLOOKUP($A1807,ordered_items!$B$2:$E$4784,2,0)</f>
        <v>1356</v>
      </c>
      <c r="G1807">
        <f>VLOOKUP($A1807,ordered_items!$B$2:$E$4784,3,0)</f>
        <v>1</v>
      </c>
      <c r="H1807">
        <f>VLOOKUP($A1807,ordered_items!$B$2:$E$4784,4,0)</f>
        <v>293.04000000000002</v>
      </c>
      <c r="I1807" s="15">
        <f>VLOOKUP(F1807,product_info!$A$2:$D$73,4,0)</f>
        <v>12</v>
      </c>
      <c r="J1807" s="15" t="str">
        <f>VLOOKUP(I1807,department!$A$2:$B$13,2,0)</f>
        <v xml:space="preserve">Health and Beauty </v>
      </c>
      <c r="K1807">
        <v>18814</v>
      </c>
      <c r="L1807" t="s">
        <v>881</v>
      </c>
      <c r="M1807" s="4">
        <v>44198</v>
      </c>
      <c r="N1807" s="12">
        <f t="shared" si="85"/>
        <v>1</v>
      </c>
      <c r="O1807" s="13">
        <f t="shared" si="86"/>
        <v>2021</v>
      </c>
      <c r="P1807" t="s">
        <v>13</v>
      </c>
      <c r="Q1807" t="s">
        <v>99</v>
      </c>
      <c r="R1807" t="s">
        <v>38</v>
      </c>
      <c r="S1807" t="str" cm="1">
        <f t="array" ref="S1807">_xlfn.IFS(R1807="COMPLETE", "COMPLETED", R1807="CANCELED", "CANCELED", TRUE, "PENDING")</f>
        <v>PENDING</v>
      </c>
      <c r="T1807" t="s">
        <v>16</v>
      </c>
      <c r="U1807">
        <f>VLOOKUP(A1807,ordered_items!$B:$E,4,0)</f>
        <v>293.04000000000002</v>
      </c>
    </row>
    <row r="1808" spans="1:21" x14ac:dyDescent="0.3">
      <c r="A1808">
        <v>75262</v>
      </c>
      <c r="B1808" t="s">
        <v>24</v>
      </c>
      <c r="C1808">
        <v>3</v>
      </c>
      <c r="D1808">
        <v>4</v>
      </c>
      <c r="E1808" t="str">
        <f t="shared" si="84"/>
        <v xml:space="preserve"> ONTIME</v>
      </c>
      <c r="F1808">
        <f>VLOOKUP($A1808,ordered_items!$B$2:$E$4784,2,0)</f>
        <v>1356</v>
      </c>
      <c r="G1808">
        <f>VLOOKUP($A1808,ordered_items!$B$2:$E$4784,3,0)</f>
        <v>1</v>
      </c>
      <c r="H1808">
        <f>VLOOKUP($A1808,ordered_items!$B$2:$E$4784,4,0)</f>
        <v>293.04000000000002</v>
      </c>
      <c r="I1808" s="15">
        <f>VLOOKUP(F1808,product_info!$A$2:$D$73,4,0)</f>
        <v>12</v>
      </c>
      <c r="J1808" s="15" t="str">
        <f>VLOOKUP(I1808,department!$A$2:$B$13,2,0)</f>
        <v xml:space="preserve">Health and Beauty </v>
      </c>
      <c r="K1808">
        <v>18815</v>
      </c>
      <c r="L1808" t="s">
        <v>881</v>
      </c>
      <c r="M1808" s="4">
        <v>44198</v>
      </c>
      <c r="N1808" s="12">
        <f t="shared" si="85"/>
        <v>1</v>
      </c>
      <c r="O1808" s="13">
        <f t="shared" si="86"/>
        <v>2021</v>
      </c>
      <c r="P1808" t="s">
        <v>13</v>
      </c>
      <c r="Q1808" t="s">
        <v>99</v>
      </c>
      <c r="R1808" t="s">
        <v>31</v>
      </c>
      <c r="S1808" t="str" cm="1">
        <f t="array" ref="S1808">_xlfn.IFS(R1808="COMPLETE", "COMPLETED", R1808="CANCELED", "CANCELED", TRUE, "PENDING")</f>
        <v>COMPLETED</v>
      </c>
      <c r="T1808" t="s">
        <v>16</v>
      </c>
      <c r="U1808">
        <f>VLOOKUP(A1808,ordered_items!$B:$E,4,0)</f>
        <v>293.04000000000002</v>
      </c>
    </row>
    <row r="1809" spans="1:21" x14ac:dyDescent="0.3">
      <c r="A1809">
        <v>75263</v>
      </c>
      <c r="B1809" t="s">
        <v>51</v>
      </c>
      <c r="C1809">
        <v>4</v>
      </c>
      <c r="D1809">
        <v>4</v>
      </c>
      <c r="E1809" t="str">
        <f t="shared" si="84"/>
        <v xml:space="preserve"> ONTIME</v>
      </c>
      <c r="F1809">
        <f>VLOOKUP($A1809,ordered_items!$B$2:$E$4784,2,0)</f>
        <v>1356</v>
      </c>
      <c r="G1809">
        <f>VLOOKUP($A1809,ordered_items!$B$2:$E$4784,3,0)</f>
        <v>1</v>
      </c>
      <c r="H1809">
        <f>VLOOKUP($A1809,ordered_items!$B$2:$E$4784,4,0)</f>
        <v>293.04000000000002</v>
      </c>
      <c r="I1809" s="15">
        <f>VLOOKUP(F1809,product_info!$A$2:$D$73,4,0)</f>
        <v>12</v>
      </c>
      <c r="J1809" s="15" t="str">
        <f>VLOOKUP(I1809,department!$A$2:$B$13,2,0)</f>
        <v xml:space="preserve">Health and Beauty </v>
      </c>
      <c r="K1809">
        <v>18816</v>
      </c>
      <c r="L1809" t="s">
        <v>881</v>
      </c>
      <c r="M1809" s="4">
        <v>44198</v>
      </c>
      <c r="N1809" s="12">
        <f t="shared" si="85"/>
        <v>1</v>
      </c>
      <c r="O1809" s="13">
        <f t="shared" si="86"/>
        <v>2021</v>
      </c>
      <c r="P1809" t="s">
        <v>13</v>
      </c>
      <c r="Q1809" t="s">
        <v>99</v>
      </c>
      <c r="R1809" t="s">
        <v>57</v>
      </c>
      <c r="S1809" t="str" cm="1">
        <f t="array" ref="S1809">_xlfn.IFS(R1809="COMPLETE", "COMPLETED", R1809="CANCELED", "CANCELED", TRUE, "PENDING")</f>
        <v>PENDING</v>
      </c>
      <c r="T1809" t="s">
        <v>16</v>
      </c>
      <c r="U1809">
        <f>VLOOKUP(A1809,ordered_items!$B:$E,4,0)</f>
        <v>293.04000000000002</v>
      </c>
    </row>
    <row r="1810" spans="1:21" x14ac:dyDescent="0.3">
      <c r="A1810">
        <v>75264</v>
      </c>
      <c r="B1810" t="s">
        <v>24</v>
      </c>
      <c r="C1810">
        <v>5</v>
      </c>
      <c r="D1810">
        <v>4</v>
      </c>
      <c r="E1810" t="str">
        <f t="shared" si="84"/>
        <v>DELAYED</v>
      </c>
      <c r="F1810">
        <f>VLOOKUP($A1810,ordered_items!$B$2:$E$4784,2,0)</f>
        <v>1356</v>
      </c>
      <c r="G1810">
        <f>VLOOKUP($A1810,ordered_items!$B$2:$E$4784,3,0)</f>
        <v>1</v>
      </c>
      <c r="H1810">
        <f>VLOOKUP($A1810,ordered_items!$B$2:$E$4784,4,0)</f>
        <v>293.04000000000002</v>
      </c>
      <c r="I1810" s="15">
        <f>VLOOKUP(F1810,product_info!$A$2:$D$73,4,0)</f>
        <v>12</v>
      </c>
      <c r="J1810" s="15" t="str">
        <f>VLOOKUP(I1810,department!$A$2:$B$13,2,0)</f>
        <v xml:space="preserve">Health and Beauty </v>
      </c>
      <c r="K1810">
        <v>18817</v>
      </c>
      <c r="L1810" t="s">
        <v>881</v>
      </c>
      <c r="M1810" s="4">
        <v>44198</v>
      </c>
      <c r="N1810" s="12">
        <f t="shared" si="85"/>
        <v>1</v>
      </c>
      <c r="O1810" s="13">
        <f t="shared" si="86"/>
        <v>2021</v>
      </c>
      <c r="P1810" t="s">
        <v>13</v>
      </c>
      <c r="Q1810" t="s">
        <v>99</v>
      </c>
      <c r="R1810" t="s">
        <v>378</v>
      </c>
      <c r="S1810" t="str" cm="1">
        <f t="array" ref="S1810">_xlfn.IFS(R1810="COMPLETE", "COMPLETED", R1810="CANCELED", "CANCELED", TRUE, "PENDING")</f>
        <v>PENDING</v>
      </c>
      <c r="T1810" t="s">
        <v>16</v>
      </c>
      <c r="U1810">
        <f>VLOOKUP(A1810,ordered_items!$B:$E,4,0)</f>
        <v>293.04000000000002</v>
      </c>
    </row>
    <row r="1811" spans="1:21" x14ac:dyDescent="0.3">
      <c r="A1811">
        <v>75267</v>
      </c>
      <c r="B1811" t="s">
        <v>3</v>
      </c>
      <c r="C1811">
        <v>3</v>
      </c>
      <c r="D1811">
        <v>2</v>
      </c>
      <c r="E1811" t="str">
        <f t="shared" si="84"/>
        <v>DELAYED</v>
      </c>
      <c r="F1811">
        <f>VLOOKUP($A1811,ordered_items!$B$2:$E$4784,2,0)</f>
        <v>1356</v>
      </c>
      <c r="G1811">
        <f>VLOOKUP($A1811,ordered_items!$B$2:$E$4784,3,0)</f>
        <v>1</v>
      </c>
      <c r="H1811">
        <f>VLOOKUP($A1811,ordered_items!$B$2:$E$4784,4,0)</f>
        <v>293.04000000000002</v>
      </c>
      <c r="I1811" s="15">
        <f>VLOOKUP(F1811,product_info!$A$2:$D$73,4,0)</f>
        <v>12</v>
      </c>
      <c r="J1811" s="15" t="str">
        <f>VLOOKUP(I1811,department!$A$2:$B$13,2,0)</f>
        <v xml:space="preserve">Health and Beauty </v>
      </c>
      <c r="K1811">
        <v>18820</v>
      </c>
      <c r="L1811" t="s">
        <v>233</v>
      </c>
      <c r="M1811" s="4">
        <v>44198</v>
      </c>
      <c r="N1811" s="12">
        <f t="shared" si="85"/>
        <v>1</v>
      </c>
      <c r="O1811" s="13">
        <f t="shared" si="86"/>
        <v>2021</v>
      </c>
      <c r="P1811" t="s">
        <v>13</v>
      </c>
      <c r="Q1811" t="s">
        <v>234</v>
      </c>
      <c r="R1811" t="s">
        <v>38</v>
      </c>
      <c r="S1811" t="str" cm="1">
        <f t="array" ref="S1811">_xlfn.IFS(R1811="COMPLETE", "COMPLETED", R1811="CANCELED", "CANCELED", TRUE, "PENDING")</f>
        <v>PENDING</v>
      </c>
      <c r="T1811" t="s">
        <v>90</v>
      </c>
      <c r="U1811">
        <f>VLOOKUP(A1811,ordered_items!$B:$E,4,0)</f>
        <v>293.04000000000002</v>
      </c>
    </row>
    <row r="1812" spans="1:21" x14ac:dyDescent="0.3">
      <c r="A1812">
        <v>75268</v>
      </c>
      <c r="B1812" t="s">
        <v>3</v>
      </c>
      <c r="C1812">
        <v>4</v>
      </c>
      <c r="D1812">
        <v>4</v>
      </c>
      <c r="E1812" t="str">
        <f t="shared" si="84"/>
        <v xml:space="preserve"> ONTIME</v>
      </c>
      <c r="F1812">
        <f>VLOOKUP($A1812,ordered_items!$B$2:$E$4784,2,0)</f>
        <v>1356</v>
      </c>
      <c r="G1812">
        <f>VLOOKUP($A1812,ordered_items!$B$2:$E$4784,3,0)</f>
        <v>1</v>
      </c>
      <c r="H1812">
        <f>VLOOKUP($A1812,ordered_items!$B$2:$E$4784,4,0)</f>
        <v>293.04000000000002</v>
      </c>
      <c r="I1812" s="15">
        <f>VLOOKUP(F1812,product_info!$A$2:$D$73,4,0)</f>
        <v>12</v>
      </c>
      <c r="J1812" s="15" t="str">
        <f>VLOOKUP(I1812,department!$A$2:$B$13,2,0)</f>
        <v xml:space="preserve">Health and Beauty </v>
      </c>
      <c r="K1812">
        <v>18821</v>
      </c>
      <c r="L1812" t="s">
        <v>1792</v>
      </c>
      <c r="M1812" s="4">
        <v>44198</v>
      </c>
      <c r="N1812" s="12">
        <f t="shared" si="85"/>
        <v>1</v>
      </c>
      <c r="O1812" s="13">
        <f t="shared" si="86"/>
        <v>2021</v>
      </c>
      <c r="P1812" t="s">
        <v>13</v>
      </c>
      <c r="Q1812" t="s">
        <v>234</v>
      </c>
      <c r="R1812" t="s">
        <v>38</v>
      </c>
      <c r="S1812" t="str" cm="1">
        <f t="array" ref="S1812">_xlfn.IFS(R1812="COMPLETE", "COMPLETED", R1812="CANCELED", "CANCELED", TRUE, "PENDING")</f>
        <v>PENDING</v>
      </c>
      <c r="T1812" t="s">
        <v>16</v>
      </c>
      <c r="U1812">
        <f>VLOOKUP(A1812,ordered_items!$B:$E,4,0)</f>
        <v>293.04000000000002</v>
      </c>
    </row>
    <row r="1813" spans="1:21" x14ac:dyDescent="0.3">
      <c r="A1813">
        <v>75269</v>
      </c>
      <c r="B1813" t="s">
        <v>3</v>
      </c>
      <c r="C1813">
        <v>5</v>
      </c>
      <c r="D1813">
        <v>4</v>
      </c>
      <c r="E1813" t="str">
        <f t="shared" si="84"/>
        <v>DELAYED</v>
      </c>
      <c r="F1813">
        <f>VLOOKUP($A1813,ordered_items!$B$2:$E$4784,2,0)</f>
        <v>1356</v>
      </c>
      <c r="G1813">
        <f>VLOOKUP($A1813,ordered_items!$B$2:$E$4784,3,0)</f>
        <v>1</v>
      </c>
      <c r="H1813">
        <f>VLOOKUP($A1813,ordered_items!$B$2:$E$4784,4,0)</f>
        <v>293.04000000000002</v>
      </c>
      <c r="I1813" s="15">
        <f>VLOOKUP(F1813,product_info!$A$2:$D$73,4,0)</f>
        <v>12</v>
      </c>
      <c r="J1813" s="15" t="str">
        <f>VLOOKUP(I1813,department!$A$2:$B$13,2,0)</f>
        <v xml:space="preserve">Health and Beauty </v>
      </c>
      <c r="K1813">
        <v>18822</v>
      </c>
      <c r="L1813" t="s">
        <v>1792</v>
      </c>
      <c r="M1813" s="4">
        <v>44198</v>
      </c>
      <c r="N1813" s="12">
        <f t="shared" si="85"/>
        <v>1</v>
      </c>
      <c r="O1813" s="13">
        <f t="shared" si="86"/>
        <v>2021</v>
      </c>
      <c r="P1813" t="s">
        <v>13</v>
      </c>
      <c r="Q1813" t="s">
        <v>234</v>
      </c>
      <c r="R1813" t="s">
        <v>38</v>
      </c>
      <c r="S1813" t="str" cm="1">
        <f t="array" ref="S1813">_xlfn.IFS(R1813="COMPLETE", "COMPLETED", R1813="CANCELED", "CANCELED", TRUE, "PENDING")</f>
        <v>PENDING</v>
      </c>
      <c r="T1813" t="s">
        <v>16</v>
      </c>
      <c r="U1813">
        <f>VLOOKUP(A1813,ordered_items!$B:$E,4,0)</f>
        <v>293.04000000000002</v>
      </c>
    </row>
    <row r="1814" spans="1:21" x14ac:dyDescent="0.3">
      <c r="A1814">
        <v>75270</v>
      </c>
      <c r="B1814" t="s">
        <v>24</v>
      </c>
      <c r="C1814">
        <v>6</v>
      </c>
      <c r="D1814">
        <v>4</v>
      </c>
      <c r="E1814" t="str">
        <f t="shared" si="84"/>
        <v>DELAYED</v>
      </c>
      <c r="F1814">
        <f>VLOOKUP($A1814,ordered_items!$B$2:$E$4784,2,0)</f>
        <v>1356</v>
      </c>
      <c r="G1814">
        <f>VLOOKUP($A1814,ordered_items!$B$2:$E$4784,3,0)</f>
        <v>1</v>
      </c>
      <c r="H1814">
        <f>VLOOKUP($A1814,ordered_items!$B$2:$E$4784,4,0)</f>
        <v>293.04000000000002</v>
      </c>
      <c r="I1814" s="15">
        <f>VLOOKUP(F1814,product_info!$A$2:$D$73,4,0)</f>
        <v>12</v>
      </c>
      <c r="J1814" s="15" t="str">
        <f>VLOOKUP(I1814,department!$A$2:$B$13,2,0)</f>
        <v xml:space="preserve">Health and Beauty </v>
      </c>
      <c r="K1814">
        <v>18823</v>
      </c>
      <c r="L1814" t="s">
        <v>439</v>
      </c>
      <c r="M1814" s="4">
        <v>44198</v>
      </c>
      <c r="N1814" s="12">
        <f t="shared" si="85"/>
        <v>1</v>
      </c>
      <c r="O1814" s="13">
        <f t="shared" si="86"/>
        <v>2021</v>
      </c>
      <c r="P1814" t="s">
        <v>13</v>
      </c>
      <c r="Q1814" t="s">
        <v>377</v>
      </c>
      <c r="R1814" t="s">
        <v>31</v>
      </c>
      <c r="S1814" t="str" cm="1">
        <f t="array" ref="S1814">_xlfn.IFS(R1814="COMPLETE", "COMPLETED", R1814="CANCELED", "CANCELED", TRUE, "PENDING")</f>
        <v>COMPLETED</v>
      </c>
      <c r="T1814" t="s">
        <v>16</v>
      </c>
      <c r="U1814">
        <f>VLOOKUP(A1814,ordered_items!$B:$E,4,0)</f>
        <v>293.04000000000002</v>
      </c>
    </row>
    <row r="1815" spans="1:21" x14ac:dyDescent="0.3">
      <c r="A1815">
        <v>75271</v>
      </c>
      <c r="B1815" t="s">
        <v>3</v>
      </c>
      <c r="C1815">
        <v>2</v>
      </c>
      <c r="D1815">
        <v>4</v>
      </c>
      <c r="E1815" t="str">
        <f t="shared" si="84"/>
        <v xml:space="preserve"> ONTIME</v>
      </c>
      <c r="F1815">
        <f>VLOOKUP($A1815,ordered_items!$B$2:$E$4784,2,0)</f>
        <v>1356</v>
      </c>
      <c r="G1815">
        <f>VLOOKUP($A1815,ordered_items!$B$2:$E$4784,3,0)</f>
        <v>1</v>
      </c>
      <c r="H1815">
        <f>VLOOKUP($A1815,ordered_items!$B$2:$E$4784,4,0)</f>
        <v>293.04000000000002</v>
      </c>
      <c r="I1815" s="15">
        <f>VLOOKUP(F1815,product_info!$A$2:$D$73,4,0)</f>
        <v>12</v>
      </c>
      <c r="J1815" s="15" t="str">
        <f>VLOOKUP(I1815,department!$A$2:$B$13,2,0)</f>
        <v xml:space="preserve">Health and Beauty </v>
      </c>
      <c r="K1815">
        <v>18824</v>
      </c>
      <c r="L1815" t="s">
        <v>439</v>
      </c>
      <c r="M1815" s="4">
        <v>44198</v>
      </c>
      <c r="N1815" s="12">
        <f t="shared" si="85"/>
        <v>1</v>
      </c>
      <c r="O1815" s="13">
        <f t="shared" si="86"/>
        <v>2021</v>
      </c>
      <c r="P1815" t="s">
        <v>13</v>
      </c>
      <c r="Q1815" t="s">
        <v>377</v>
      </c>
      <c r="R1815" t="s">
        <v>14</v>
      </c>
      <c r="S1815" t="str" cm="1">
        <f t="array" ref="S1815">_xlfn.IFS(R1815="COMPLETE", "COMPLETED", R1815="CANCELED", "CANCELED", TRUE, "PENDING")</f>
        <v>PENDING</v>
      </c>
      <c r="T1815" t="s">
        <v>16</v>
      </c>
      <c r="U1815">
        <f>VLOOKUP(A1815,ordered_items!$B:$E,4,0)</f>
        <v>293.04000000000002</v>
      </c>
    </row>
    <row r="1816" spans="1:21" x14ac:dyDescent="0.3">
      <c r="A1816">
        <v>75292</v>
      </c>
      <c r="B1816" t="s">
        <v>51</v>
      </c>
      <c r="C1816">
        <v>0</v>
      </c>
      <c r="D1816">
        <v>0</v>
      </c>
      <c r="E1816" t="str">
        <f t="shared" si="84"/>
        <v xml:space="preserve"> ONTIME</v>
      </c>
      <c r="F1816">
        <f>VLOOKUP($A1816,ordered_items!$B$2:$E$4784,2,0)</f>
        <v>1356</v>
      </c>
      <c r="G1816">
        <f>VLOOKUP($A1816,ordered_items!$B$2:$E$4784,3,0)</f>
        <v>1</v>
      </c>
      <c r="H1816">
        <f>VLOOKUP($A1816,ordered_items!$B$2:$E$4784,4,0)</f>
        <v>293.04000000000002</v>
      </c>
      <c r="I1816" s="15">
        <f>VLOOKUP(F1816,product_info!$A$2:$D$73,4,0)</f>
        <v>12</v>
      </c>
      <c r="J1816" s="15" t="str">
        <f>VLOOKUP(I1816,department!$A$2:$B$13,2,0)</f>
        <v xml:space="preserve">Health and Beauty </v>
      </c>
      <c r="K1816">
        <v>18845</v>
      </c>
      <c r="L1816" t="s">
        <v>660</v>
      </c>
      <c r="M1816" s="4">
        <v>44199</v>
      </c>
      <c r="N1816" s="12">
        <f t="shared" si="85"/>
        <v>1</v>
      </c>
      <c r="O1816" s="13">
        <f t="shared" si="86"/>
        <v>2021</v>
      </c>
      <c r="P1816" t="s">
        <v>13</v>
      </c>
      <c r="Q1816" t="s">
        <v>99</v>
      </c>
      <c r="R1816" t="s">
        <v>57</v>
      </c>
      <c r="S1816" t="str" cm="1">
        <f t="array" ref="S1816">_xlfn.IFS(R1816="COMPLETE", "COMPLETED", R1816="CANCELED", "CANCELED", TRUE, "PENDING")</f>
        <v>PENDING</v>
      </c>
      <c r="T1816" t="s">
        <v>58</v>
      </c>
      <c r="U1816">
        <f>VLOOKUP(A1816,ordered_items!$B:$E,4,0)</f>
        <v>293.04000000000002</v>
      </c>
    </row>
    <row r="1817" spans="1:21" x14ac:dyDescent="0.3">
      <c r="A1817">
        <v>75298</v>
      </c>
      <c r="B1817" t="s">
        <v>3</v>
      </c>
      <c r="C1817">
        <v>2</v>
      </c>
      <c r="D1817">
        <v>1</v>
      </c>
      <c r="E1817" t="str">
        <f t="shared" si="84"/>
        <v>DELAYED</v>
      </c>
      <c r="F1817">
        <f>VLOOKUP($A1817,ordered_items!$B$2:$E$4784,2,0)</f>
        <v>1356</v>
      </c>
      <c r="G1817">
        <f>VLOOKUP($A1817,ordered_items!$B$2:$E$4784,3,0)</f>
        <v>1</v>
      </c>
      <c r="H1817">
        <f>VLOOKUP($A1817,ordered_items!$B$2:$E$4784,4,0)</f>
        <v>293.04000000000002</v>
      </c>
      <c r="I1817" s="15">
        <f>VLOOKUP(F1817,product_info!$A$2:$D$73,4,0)</f>
        <v>12</v>
      </c>
      <c r="J1817" s="15" t="str">
        <f>VLOOKUP(I1817,department!$A$2:$B$13,2,0)</f>
        <v xml:space="preserve">Health and Beauty </v>
      </c>
      <c r="K1817">
        <v>18851</v>
      </c>
      <c r="L1817" t="s">
        <v>233</v>
      </c>
      <c r="M1817" s="4">
        <v>44199</v>
      </c>
      <c r="N1817" s="12">
        <f t="shared" si="85"/>
        <v>1</v>
      </c>
      <c r="O1817" s="13">
        <f t="shared" si="86"/>
        <v>2021</v>
      </c>
      <c r="P1817" t="s">
        <v>13</v>
      </c>
      <c r="Q1817" t="s">
        <v>234</v>
      </c>
      <c r="R1817" t="s">
        <v>178</v>
      </c>
      <c r="S1817" t="str" cm="1">
        <f t="array" ref="S1817">_xlfn.IFS(R1817="COMPLETE", "COMPLETED", R1817="CANCELED", "CANCELED", TRUE, "PENDING")</f>
        <v>PENDING</v>
      </c>
      <c r="T1817" t="s">
        <v>32</v>
      </c>
      <c r="U1817">
        <f>VLOOKUP(A1817,ordered_items!$B:$E,4,0)</f>
        <v>293.04000000000002</v>
      </c>
    </row>
    <row r="1818" spans="1:21" x14ac:dyDescent="0.3">
      <c r="A1818">
        <v>75299</v>
      </c>
      <c r="B1818" t="s">
        <v>24</v>
      </c>
      <c r="C1818">
        <v>2</v>
      </c>
      <c r="D1818">
        <v>1</v>
      </c>
      <c r="E1818" t="str">
        <f t="shared" si="84"/>
        <v>DELAYED</v>
      </c>
      <c r="F1818">
        <f>VLOOKUP($A1818,ordered_items!$B$2:$E$4784,2,0)</f>
        <v>1356</v>
      </c>
      <c r="G1818">
        <f>VLOOKUP($A1818,ordered_items!$B$2:$E$4784,3,0)</f>
        <v>1</v>
      </c>
      <c r="H1818">
        <f>VLOOKUP($A1818,ordered_items!$B$2:$E$4784,4,0)</f>
        <v>293.04000000000002</v>
      </c>
      <c r="I1818" s="15">
        <f>VLOOKUP(F1818,product_info!$A$2:$D$73,4,0)</f>
        <v>12</v>
      </c>
      <c r="J1818" s="15" t="str">
        <f>VLOOKUP(I1818,department!$A$2:$B$13,2,0)</f>
        <v xml:space="preserve">Health and Beauty </v>
      </c>
      <c r="K1818">
        <v>18852</v>
      </c>
      <c r="L1818" t="s">
        <v>233</v>
      </c>
      <c r="M1818" s="4">
        <v>44199</v>
      </c>
      <c r="N1818" s="12">
        <f t="shared" si="85"/>
        <v>1</v>
      </c>
      <c r="O1818" s="13">
        <f t="shared" si="86"/>
        <v>2021</v>
      </c>
      <c r="P1818" t="s">
        <v>13</v>
      </c>
      <c r="Q1818" t="s">
        <v>234</v>
      </c>
      <c r="R1818" t="s">
        <v>31</v>
      </c>
      <c r="S1818" t="str" cm="1">
        <f t="array" ref="S1818">_xlfn.IFS(R1818="COMPLETE", "COMPLETED", R1818="CANCELED", "CANCELED", TRUE, "PENDING")</f>
        <v>COMPLETED</v>
      </c>
      <c r="T1818" t="s">
        <v>32</v>
      </c>
      <c r="U1818">
        <f>VLOOKUP(A1818,ordered_items!$B:$E,4,0)</f>
        <v>293.04000000000002</v>
      </c>
    </row>
    <row r="1819" spans="1:21" x14ac:dyDescent="0.3">
      <c r="A1819">
        <v>75306</v>
      </c>
      <c r="B1819" t="s">
        <v>24</v>
      </c>
      <c r="C1819">
        <v>2</v>
      </c>
      <c r="D1819">
        <v>4</v>
      </c>
      <c r="E1819" t="str">
        <f t="shared" si="84"/>
        <v xml:space="preserve"> ONTIME</v>
      </c>
      <c r="F1819">
        <f>VLOOKUP($A1819,ordered_items!$B$2:$E$4784,2,0)</f>
        <v>1356</v>
      </c>
      <c r="G1819">
        <f>VLOOKUP($A1819,ordered_items!$B$2:$E$4784,3,0)</f>
        <v>1</v>
      </c>
      <c r="H1819">
        <f>VLOOKUP($A1819,ordered_items!$B$2:$E$4784,4,0)</f>
        <v>293.04000000000002</v>
      </c>
      <c r="I1819" s="15">
        <f>VLOOKUP(F1819,product_info!$A$2:$D$73,4,0)</f>
        <v>12</v>
      </c>
      <c r="J1819" s="15" t="str">
        <f>VLOOKUP(I1819,department!$A$2:$B$13,2,0)</f>
        <v xml:space="preserve">Health and Beauty </v>
      </c>
      <c r="K1819">
        <v>18859</v>
      </c>
      <c r="L1819" t="s">
        <v>84</v>
      </c>
      <c r="M1819" s="4">
        <v>44199</v>
      </c>
      <c r="N1819" s="12">
        <f t="shared" si="85"/>
        <v>1</v>
      </c>
      <c r="O1819" s="13">
        <f t="shared" si="86"/>
        <v>2021</v>
      </c>
      <c r="P1819" t="s">
        <v>13</v>
      </c>
      <c r="Q1819" t="s">
        <v>80</v>
      </c>
      <c r="R1819" t="s">
        <v>31</v>
      </c>
      <c r="S1819" t="str" cm="1">
        <f t="array" ref="S1819">_xlfn.IFS(R1819="COMPLETE", "COMPLETED", R1819="CANCELED", "CANCELED", TRUE, "PENDING")</f>
        <v>COMPLETED</v>
      </c>
      <c r="T1819" t="s">
        <v>16</v>
      </c>
      <c r="U1819">
        <f>VLOOKUP(A1819,ordered_items!$B:$E,4,0)</f>
        <v>293.04000000000002</v>
      </c>
    </row>
    <row r="1820" spans="1:21" x14ac:dyDescent="0.3">
      <c r="A1820">
        <v>75319</v>
      </c>
      <c r="B1820" t="s">
        <v>3</v>
      </c>
      <c r="C1820">
        <v>2</v>
      </c>
      <c r="D1820">
        <v>1</v>
      </c>
      <c r="E1820" t="str">
        <f t="shared" si="84"/>
        <v>DELAYED</v>
      </c>
      <c r="F1820">
        <f>VLOOKUP($A1820,ordered_items!$B$2:$E$4784,2,0)</f>
        <v>1357</v>
      </c>
      <c r="G1820">
        <f>VLOOKUP($A1820,ordered_items!$B$2:$E$4784,3,0)</f>
        <v>1</v>
      </c>
      <c r="H1820">
        <f>VLOOKUP($A1820,ordered_items!$B$2:$E$4784,4,0)</f>
        <v>210.85</v>
      </c>
      <c r="I1820" s="15">
        <f>VLOOKUP(F1820,product_info!$A$2:$D$73,4,0)</f>
        <v>4</v>
      </c>
      <c r="J1820" s="15" t="str">
        <f>VLOOKUP(I1820,department!$A$2:$B$13,2,0)</f>
        <v>Apparel</v>
      </c>
      <c r="K1820">
        <v>18872</v>
      </c>
      <c r="L1820" t="s">
        <v>758</v>
      </c>
      <c r="M1820" s="4">
        <v>44199</v>
      </c>
      <c r="N1820" s="12">
        <f t="shared" si="85"/>
        <v>1</v>
      </c>
      <c r="O1820" s="13">
        <f t="shared" si="86"/>
        <v>2021</v>
      </c>
      <c r="P1820" t="s">
        <v>13</v>
      </c>
      <c r="Q1820" t="s">
        <v>431</v>
      </c>
      <c r="R1820" t="s">
        <v>38</v>
      </c>
      <c r="S1820" t="str" cm="1">
        <f t="array" ref="S1820">_xlfn.IFS(R1820="COMPLETE", "COMPLETED", R1820="CANCELED", "CANCELED", TRUE, "PENDING")</f>
        <v>PENDING</v>
      </c>
      <c r="T1820" t="s">
        <v>32</v>
      </c>
      <c r="U1820">
        <f>VLOOKUP(A1820,ordered_items!$B:$E,4,0)</f>
        <v>210.85</v>
      </c>
    </row>
    <row r="1821" spans="1:21" x14ac:dyDescent="0.3">
      <c r="A1821">
        <v>75320</v>
      </c>
      <c r="B1821" t="s">
        <v>24</v>
      </c>
      <c r="C1821">
        <v>6</v>
      </c>
      <c r="D1821">
        <v>4</v>
      </c>
      <c r="E1821" t="str">
        <f t="shared" si="84"/>
        <v>DELAYED</v>
      </c>
      <c r="F1821">
        <f>VLOOKUP($A1821,ordered_items!$B$2:$E$4784,2,0)</f>
        <v>1357</v>
      </c>
      <c r="G1821">
        <f>VLOOKUP($A1821,ordered_items!$B$2:$E$4784,3,0)</f>
        <v>1</v>
      </c>
      <c r="H1821">
        <f>VLOOKUP($A1821,ordered_items!$B$2:$E$4784,4,0)</f>
        <v>210.85</v>
      </c>
      <c r="I1821" s="15">
        <f>VLOOKUP(F1821,product_info!$A$2:$D$73,4,0)</f>
        <v>4</v>
      </c>
      <c r="J1821" s="15" t="str">
        <f>VLOOKUP(I1821,department!$A$2:$B$13,2,0)</f>
        <v>Apparel</v>
      </c>
      <c r="K1821">
        <v>18873</v>
      </c>
      <c r="L1821" t="s">
        <v>758</v>
      </c>
      <c r="M1821" s="4">
        <v>44199</v>
      </c>
      <c r="N1821" s="12">
        <f t="shared" si="85"/>
        <v>1</v>
      </c>
      <c r="O1821" s="13">
        <f t="shared" si="86"/>
        <v>2021</v>
      </c>
      <c r="P1821" t="s">
        <v>13</v>
      </c>
      <c r="Q1821" t="s">
        <v>431</v>
      </c>
      <c r="R1821" t="s">
        <v>31</v>
      </c>
      <c r="S1821" t="str" cm="1">
        <f t="array" ref="S1821">_xlfn.IFS(R1821="COMPLETE", "COMPLETED", R1821="CANCELED", "CANCELED", TRUE, "PENDING")</f>
        <v>COMPLETED</v>
      </c>
      <c r="T1821" t="s">
        <v>16</v>
      </c>
      <c r="U1821">
        <f>VLOOKUP(A1821,ordered_items!$B:$E,4,0)</f>
        <v>210.85</v>
      </c>
    </row>
    <row r="1822" spans="1:21" x14ac:dyDescent="0.3">
      <c r="A1822">
        <v>75334</v>
      </c>
      <c r="B1822" t="s">
        <v>3</v>
      </c>
      <c r="C1822">
        <v>5</v>
      </c>
      <c r="D1822">
        <v>4</v>
      </c>
      <c r="E1822" t="str">
        <f t="shared" si="84"/>
        <v>DELAYED</v>
      </c>
      <c r="F1822">
        <f>VLOOKUP($A1822,ordered_items!$B$2:$E$4784,2,0)</f>
        <v>1357</v>
      </c>
      <c r="G1822">
        <f>VLOOKUP($A1822,ordered_items!$B$2:$E$4784,3,0)</f>
        <v>1</v>
      </c>
      <c r="H1822">
        <f>VLOOKUP($A1822,ordered_items!$B$2:$E$4784,4,0)</f>
        <v>210.85</v>
      </c>
      <c r="I1822" s="15">
        <f>VLOOKUP(F1822,product_info!$A$2:$D$73,4,0)</f>
        <v>4</v>
      </c>
      <c r="J1822" s="15" t="str">
        <f>VLOOKUP(I1822,department!$A$2:$B$13,2,0)</f>
        <v>Apparel</v>
      </c>
      <c r="K1822">
        <v>18887</v>
      </c>
      <c r="L1822" t="s">
        <v>980</v>
      </c>
      <c r="M1822" s="4">
        <v>44199</v>
      </c>
      <c r="N1822" s="12">
        <f t="shared" si="85"/>
        <v>1</v>
      </c>
      <c r="O1822" s="13">
        <f t="shared" si="86"/>
        <v>2021</v>
      </c>
      <c r="P1822" t="s">
        <v>13</v>
      </c>
      <c r="Q1822" t="s">
        <v>30</v>
      </c>
      <c r="R1822" t="s">
        <v>38</v>
      </c>
      <c r="S1822" t="str" cm="1">
        <f t="array" ref="S1822">_xlfn.IFS(R1822="COMPLETE", "COMPLETED", R1822="CANCELED", "CANCELED", TRUE, "PENDING")</f>
        <v>PENDING</v>
      </c>
      <c r="T1822" t="s">
        <v>16</v>
      </c>
      <c r="U1822">
        <f>VLOOKUP(A1822,ordered_items!$B:$E,4,0)</f>
        <v>210.85</v>
      </c>
    </row>
    <row r="1823" spans="1:21" x14ac:dyDescent="0.3">
      <c r="A1823">
        <v>75337</v>
      </c>
      <c r="B1823" t="s">
        <v>24</v>
      </c>
      <c r="C1823">
        <v>2</v>
      </c>
      <c r="D1823">
        <v>1</v>
      </c>
      <c r="E1823" t="str">
        <f t="shared" si="84"/>
        <v>DELAYED</v>
      </c>
      <c r="F1823">
        <f>VLOOKUP($A1823,ordered_items!$B$2:$E$4784,2,0)</f>
        <v>1357</v>
      </c>
      <c r="G1823">
        <f>VLOOKUP($A1823,ordered_items!$B$2:$E$4784,3,0)</f>
        <v>1</v>
      </c>
      <c r="H1823">
        <f>VLOOKUP($A1823,ordered_items!$B$2:$E$4784,4,0)</f>
        <v>210.85</v>
      </c>
      <c r="I1823" s="15">
        <f>VLOOKUP(F1823,product_info!$A$2:$D$73,4,0)</f>
        <v>4</v>
      </c>
      <c r="J1823" s="15" t="str">
        <f>VLOOKUP(I1823,department!$A$2:$B$13,2,0)</f>
        <v>Apparel</v>
      </c>
      <c r="K1823">
        <v>18890</v>
      </c>
      <c r="L1823" t="s">
        <v>84</v>
      </c>
      <c r="M1823" s="4">
        <v>44199</v>
      </c>
      <c r="N1823" s="12">
        <f t="shared" si="85"/>
        <v>1</v>
      </c>
      <c r="O1823" s="13">
        <f t="shared" si="86"/>
        <v>2021</v>
      </c>
      <c r="P1823" t="s">
        <v>13</v>
      </c>
      <c r="Q1823" t="s">
        <v>80</v>
      </c>
      <c r="R1823" t="s">
        <v>378</v>
      </c>
      <c r="S1823" t="str" cm="1">
        <f t="array" ref="S1823">_xlfn.IFS(R1823="COMPLETE", "COMPLETED", R1823="CANCELED", "CANCELED", TRUE, "PENDING")</f>
        <v>PENDING</v>
      </c>
      <c r="T1823" t="s">
        <v>32</v>
      </c>
      <c r="U1823">
        <f>VLOOKUP(A1823,ordered_items!$B:$E,4,0)</f>
        <v>210.85</v>
      </c>
    </row>
    <row r="1824" spans="1:21" x14ac:dyDescent="0.3">
      <c r="A1824">
        <v>75347</v>
      </c>
      <c r="B1824" t="s">
        <v>3</v>
      </c>
      <c r="C1824">
        <v>3</v>
      </c>
      <c r="D1824">
        <v>2</v>
      </c>
      <c r="E1824" t="str">
        <f t="shared" si="84"/>
        <v>DELAYED</v>
      </c>
      <c r="F1824">
        <f>VLOOKUP($A1824,ordered_items!$B$2:$E$4784,2,0)</f>
        <v>1358</v>
      </c>
      <c r="G1824">
        <f>VLOOKUP($A1824,ordered_items!$B$2:$E$4784,3,0)</f>
        <v>1</v>
      </c>
      <c r="H1824">
        <f>VLOOKUP($A1824,ordered_items!$B$2:$E$4784,4,0)</f>
        <v>260.64999999999998</v>
      </c>
      <c r="I1824" s="15">
        <f>VLOOKUP(F1824,product_info!$A$2:$D$73,4,0)</f>
        <v>9</v>
      </c>
      <c r="J1824" s="15" t="str">
        <f>VLOOKUP(I1824,department!$A$2:$B$13,2,0)</f>
        <v>Discs Shop</v>
      </c>
      <c r="K1824">
        <v>18900</v>
      </c>
      <c r="L1824" t="s">
        <v>119</v>
      </c>
      <c r="M1824" s="4">
        <v>44199</v>
      </c>
      <c r="N1824" s="12">
        <f t="shared" si="85"/>
        <v>1</v>
      </c>
      <c r="O1824" s="13">
        <f t="shared" si="86"/>
        <v>2021</v>
      </c>
      <c r="P1824" t="s">
        <v>13</v>
      </c>
      <c r="Q1824" t="s">
        <v>5781</v>
      </c>
      <c r="R1824" t="s">
        <v>14</v>
      </c>
      <c r="S1824" t="str" cm="1">
        <f t="array" ref="S1824">_xlfn.IFS(R1824="COMPLETE", "COMPLETED", R1824="CANCELED", "CANCELED", TRUE, "PENDING")</f>
        <v>PENDING</v>
      </c>
      <c r="T1824" t="s">
        <v>90</v>
      </c>
      <c r="U1824">
        <f>VLOOKUP(A1824,ordered_items!$B:$E,4,0)</f>
        <v>260.64999999999998</v>
      </c>
    </row>
    <row r="1825" spans="1:21" x14ac:dyDescent="0.3">
      <c r="A1825">
        <v>75348</v>
      </c>
      <c r="B1825" t="s">
        <v>24</v>
      </c>
      <c r="C1825">
        <v>4</v>
      </c>
      <c r="D1825">
        <v>2</v>
      </c>
      <c r="E1825" t="str">
        <f t="shared" si="84"/>
        <v>DELAYED</v>
      </c>
      <c r="F1825">
        <f>VLOOKUP($A1825,ordered_items!$B$2:$E$4784,2,0)</f>
        <v>1358</v>
      </c>
      <c r="G1825">
        <f>VLOOKUP($A1825,ordered_items!$B$2:$E$4784,3,0)</f>
        <v>1</v>
      </c>
      <c r="H1825">
        <f>VLOOKUP($A1825,ordered_items!$B$2:$E$4784,4,0)</f>
        <v>260.64999999999998</v>
      </c>
      <c r="I1825" s="15">
        <f>VLOOKUP(F1825,product_info!$A$2:$D$73,4,0)</f>
        <v>9</v>
      </c>
      <c r="J1825" s="15" t="str">
        <f>VLOOKUP(I1825,department!$A$2:$B$13,2,0)</f>
        <v>Discs Shop</v>
      </c>
      <c r="K1825">
        <v>18901</v>
      </c>
      <c r="L1825" t="s">
        <v>119</v>
      </c>
      <c r="M1825" s="4">
        <v>44199</v>
      </c>
      <c r="N1825" s="12">
        <f t="shared" si="85"/>
        <v>1</v>
      </c>
      <c r="O1825" s="13">
        <f t="shared" si="86"/>
        <v>2021</v>
      </c>
      <c r="P1825" t="s">
        <v>13</v>
      </c>
      <c r="Q1825" t="s">
        <v>5781</v>
      </c>
      <c r="R1825" t="s">
        <v>31</v>
      </c>
      <c r="S1825" t="str" cm="1">
        <f t="array" ref="S1825">_xlfn.IFS(R1825="COMPLETE", "COMPLETED", R1825="CANCELED", "CANCELED", TRUE, "PENDING")</f>
        <v>COMPLETED</v>
      </c>
      <c r="T1825" t="s">
        <v>90</v>
      </c>
      <c r="U1825">
        <f>VLOOKUP(A1825,ordered_items!$B:$E,4,0)</f>
        <v>260.64999999999998</v>
      </c>
    </row>
    <row r="1826" spans="1:21" x14ac:dyDescent="0.3">
      <c r="A1826">
        <v>75349</v>
      </c>
      <c r="B1826" t="s">
        <v>3</v>
      </c>
      <c r="C1826">
        <v>2</v>
      </c>
      <c r="D1826">
        <v>1</v>
      </c>
      <c r="E1826" t="str">
        <f t="shared" si="84"/>
        <v>DELAYED</v>
      </c>
      <c r="F1826">
        <f>VLOOKUP($A1826,ordered_items!$B$2:$E$4784,2,0)</f>
        <v>1358</v>
      </c>
      <c r="G1826">
        <f>VLOOKUP($A1826,ordered_items!$B$2:$E$4784,3,0)</f>
        <v>1</v>
      </c>
      <c r="H1826">
        <f>VLOOKUP($A1826,ordered_items!$B$2:$E$4784,4,0)</f>
        <v>260.64999999999998</v>
      </c>
      <c r="I1826" s="15">
        <f>VLOOKUP(F1826,product_info!$A$2:$D$73,4,0)</f>
        <v>9</v>
      </c>
      <c r="J1826" s="15" t="str">
        <f>VLOOKUP(I1826,department!$A$2:$B$13,2,0)</f>
        <v>Discs Shop</v>
      </c>
      <c r="K1826">
        <v>18902</v>
      </c>
      <c r="L1826" t="s">
        <v>119</v>
      </c>
      <c r="M1826" s="4">
        <v>44199</v>
      </c>
      <c r="N1826" s="12">
        <f t="shared" si="85"/>
        <v>1</v>
      </c>
      <c r="O1826" s="13">
        <f t="shared" si="86"/>
        <v>2021</v>
      </c>
      <c r="P1826" t="s">
        <v>13</v>
      </c>
      <c r="Q1826" t="s">
        <v>5781</v>
      </c>
      <c r="R1826" t="s">
        <v>14</v>
      </c>
      <c r="S1826" t="str" cm="1">
        <f t="array" ref="S1826">_xlfn.IFS(R1826="COMPLETE", "COMPLETED", R1826="CANCELED", "CANCELED", TRUE, "PENDING")</f>
        <v>PENDING</v>
      </c>
      <c r="T1826" t="s">
        <v>32</v>
      </c>
      <c r="U1826">
        <f>VLOOKUP(A1826,ordered_items!$B:$E,4,0)</f>
        <v>260.64999999999998</v>
      </c>
    </row>
    <row r="1827" spans="1:21" x14ac:dyDescent="0.3">
      <c r="A1827">
        <v>75350</v>
      </c>
      <c r="B1827" t="s">
        <v>51</v>
      </c>
      <c r="C1827">
        <v>2</v>
      </c>
      <c r="D1827">
        <v>1</v>
      </c>
      <c r="E1827" t="str">
        <f t="shared" si="84"/>
        <v>DELAYED</v>
      </c>
      <c r="F1827">
        <f>VLOOKUP($A1827,ordered_items!$B$2:$E$4784,2,0)</f>
        <v>1358</v>
      </c>
      <c r="G1827">
        <f>VLOOKUP($A1827,ordered_items!$B$2:$E$4784,3,0)</f>
        <v>1</v>
      </c>
      <c r="H1827">
        <f>VLOOKUP($A1827,ordered_items!$B$2:$E$4784,4,0)</f>
        <v>260.64999999999998</v>
      </c>
      <c r="I1827" s="15">
        <f>VLOOKUP(F1827,product_info!$A$2:$D$73,4,0)</f>
        <v>9</v>
      </c>
      <c r="J1827" s="15" t="str">
        <f>VLOOKUP(I1827,department!$A$2:$B$13,2,0)</f>
        <v>Discs Shop</v>
      </c>
      <c r="K1827">
        <v>18903</v>
      </c>
      <c r="L1827" t="s">
        <v>119</v>
      </c>
      <c r="M1827" s="4">
        <v>44199</v>
      </c>
      <c r="N1827" s="12">
        <f t="shared" si="85"/>
        <v>1</v>
      </c>
      <c r="O1827" s="13">
        <f t="shared" si="86"/>
        <v>2021</v>
      </c>
      <c r="P1827" t="s">
        <v>13</v>
      </c>
      <c r="Q1827" t="s">
        <v>5781</v>
      </c>
      <c r="R1827" t="s">
        <v>1275</v>
      </c>
      <c r="S1827" t="str" cm="1">
        <f t="array" ref="S1827">_xlfn.IFS(R1827="COMPLETE", "COMPLETED", R1827="CANCELED", "CANCELED", TRUE, "PENDING")</f>
        <v>PENDING</v>
      </c>
      <c r="T1827" t="s">
        <v>32</v>
      </c>
      <c r="U1827">
        <f>VLOOKUP(A1827,ordered_items!$B:$E,4,0)</f>
        <v>260.64999999999998</v>
      </c>
    </row>
    <row r="1828" spans="1:21" x14ac:dyDescent="0.3">
      <c r="A1828">
        <v>75351</v>
      </c>
      <c r="B1828" t="s">
        <v>51</v>
      </c>
      <c r="C1828">
        <v>2</v>
      </c>
      <c r="D1828">
        <v>1</v>
      </c>
      <c r="E1828" t="str">
        <f t="shared" si="84"/>
        <v>DELAYED</v>
      </c>
      <c r="F1828">
        <f>VLOOKUP($A1828,ordered_items!$B$2:$E$4784,2,0)</f>
        <v>1358</v>
      </c>
      <c r="G1828">
        <f>VLOOKUP($A1828,ordered_items!$B$2:$E$4784,3,0)</f>
        <v>1</v>
      </c>
      <c r="H1828">
        <f>VLOOKUP($A1828,ordered_items!$B$2:$E$4784,4,0)</f>
        <v>260.64999999999998</v>
      </c>
      <c r="I1828" s="15">
        <f>VLOOKUP(F1828,product_info!$A$2:$D$73,4,0)</f>
        <v>9</v>
      </c>
      <c r="J1828" s="15" t="str">
        <f>VLOOKUP(I1828,department!$A$2:$B$13,2,0)</f>
        <v>Discs Shop</v>
      </c>
      <c r="K1828">
        <v>18904</v>
      </c>
      <c r="L1828" t="s">
        <v>119</v>
      </c>
      <c r="M1828" s="4">
        <v>44199</v>
      </c>
      <c r="N1828" s="12">
        <f t="shared" si="85"/>
        <v>1</v>
      </c>
      <c r="O1828" s="13">
        <f t="shared" si="86"/>
        <v>2021</v>
      </c>
      <c r="P1828" t="s">
        <v>13</v>
      </c>
      <c r="Q1828" t="s">
        <v>5781</v>
      </c>
      <c r="R1828" t="s">
        <v>57</v>
      </c>
      <c r="S1828" t="str" cm="1">
        <f t="array" ref="S1828">_xlfn.IFS(R1828="COMPLETE", "COMPLETED", R1828="CANCELED", "CANCELED", TRUE, "PENDING")</f>
        <v>PENDING</v>
      </c>
      <c r="T1828" t="s">
        <v>32</v>
      </c>
      <c r="U1828">
        <f>VLOOKUP(A1828,ordered_items!$B:$E,4,0)</f>
        <v>260.64999999999998</v>
      </c>
    </row>
    <row r="1829" spans="1:21" x14ac:dyDescent="0.3">
      <c r="A1829">
        <v>75352</v>
      </c>
      <c r="B1829" t="s">
        <v>3</v>
      </c>
      <c r="C1829">
        <v>2</v>
      </c>
      <c r="D1829">
        <v>1</v>
      </c>
      <c r="E1829" t="str">
        <f t="shared" si="84"/>
        <v>DELAYED</v>
      </c>
      <c r="F1829">
        <f>VLOOKUP($A1829,ordered_items!$B$2:$E$4784,2,0)</f>
        <v>1358</v>
      </c>
      <c r="G1829">
        <f>VLOOKUP($A1829,ordered_items!$B$2:$E$4784,3,0)</f>
        <v>1</v>
      </c>
      <c r="H1829">
        <f>VLOOKUP($A1829,ordered_items!$B$2:$E$4784,4,0)</f>
        <v>260.64999999999998</v>
      </c>
      <c r="I1829" s="15">
        <f>VLOOKUP(F1829,product_info!$A$2:$D$73,4,0)</f>
        <v>9</v>
      </c>
      <c r="J1829" s="15" t="str">
        <f>VLOOKUP(I1829,department!$A$2:$B$13,2,0)</f>
        <v>Discs Shop</v>
      </c>
      <c r="K1829">
        <v>18905</v>
      </c>
      <c r="L1829" t="s">
        <v>119</v>
      </c>
      <c r="M1829" s="4">
        <v>44199</v>
      </c>
      <c r="N1829" s="12">
        <f t="shared" si="85"/>
        <v>1</v>
      </c>
      <c r="O1829" s="13">
        <f t="shared" si="86"/>
        <v>2021</v>
      </c>
      <c r="P1829" t="s">
        <v>13</v>
      </c>
      <c r="Q1829" t="s">
        <v>5781</v>
      </c>
      <c r="R1829" t="s">
        <v>14</v>
      </c>
      <c r="S1829" t="str" cm="1">
        <f t="array" ref="S1829">_xlfn.IFS(R1829="COMPLETE", "COMPLETED", R1829="CANCELED", "CANCELED", TRUE, "PENDING")</f>
        <v>PENDING</v>
      </c>
      <c r="T1829" t="s">
        <v>32</v>
      </c>
      <c r="U1829">
        <f>VLOOKUP(A1829,ordered_items!$B:$E,4,0)</f>
        <v>260.64999999999998</v>
      </c>
    </row>
    <row r="1830" spans="1:21" x14ac:dyDescent="0.3">
      <c r="A1830">
        <v>75353</v>
      </c>
      <c r="B1830" t="s">
        <v>24</v>
      </c>
      <c r="C1830">
        <v>2</v>
      </c>
      <c r="D1830">
        <v>1</v>
      </c>
      <c r="E1830" t="str">
        <f t="shared" si="84"/>
        <v>DELAYED</v>
      </c>
      <c r="F1830">
        <f>VLOOKUP($A1830,ordered_items!$B$2:$E$4784,2,0)</f>
        <v>1358</v>
      </c>
      <c r="G1830">
        <f>VLOOKUP($A1830,ordered_items!$B$2:$E$4784,3,0)</f>
        <v>1</v>
      </c>
      <c r="H1830">
        <f>VLOOKUP($A1830,ordered_items!$B$2:$E$4784,4,0)</f>
        <v>260.64999999999998</v>
      </c>
      <c r="I1830" s="15">
        <f>VLOOKUP(F1830,product_info!$A$2:$D$73,4,0)</f>
        <v>9</v>
      </c>
      <c r="J1830" s="15" t="str">
        <f>VLOOKUP(I1830,department!$A$2:$B$13,2,0)</f>
        <v>Discs Shop</v>
      </c>
      <c r="K1830">
        <v>18906</v>
      </c>
      <c r="L1830" t="s">
        <v>119</v>
      </c>
      <c r="M1830" s="4">
        <v>44199</v>
      </c>
      <c r="N1830" s="12">
        <f t="shared" si="85"/>
        <v>1</v>
      </c>
      <c r="O1830" s="13">
        <f t="shared" si="86"/>
        <v>2021</v>
      </c>
      <c r="P1830" t="s">
        <v>13</v>
      </c>
      <c r="Q1830" t="s">
        <v>5781</v>
      </c>
      <c r="R1830" t="s">
        <v>31</v>
      </c>
      <c r="S1830" t="str" cm="1">
        <f t="array" ref="S1830">_xlfn.IFS(R1830="COMPLETE", "COMPLETED", R1830="CANCELED", "CANCELED", TRUE, "PENDING")</f>
        <v>COMPLETED</v>
      </c>
      <c r="T1830" t="s">
        <v>32</v>
      </c>
      <c r="U1830">
        <f>VLOOKUP(A1830,ordered_items!$B:$E,4,0)</f>
        <v>260.64999999999998</v>
      </c>
    </row>
    <row r="1831" spans="1:21" x14ac:dyDescent="0.3">
      <c r="A1831">
        <v>75369</v>
      </c>
      <c r="B1831" t="s">
        <v>3</v>
      </c>
      <c r="C1831">
        <v>5</v>
      </c>
      <c r="D1831">
        <v>4</v>
      </c>
      <c r="E1831" t="str">
        <f t="shared" si="84"/>
        <v>DELAYED</v>
      </c>
      <c r="F1831">
        <f>VLOOKUP($A1831,ordered_items!$B$2:$E$4784,2,0)</f>
        <v>1358</v>
      </c>
      <c r="G1831">
        <f>VLOOKUP($A1831,ordered_items!$B$2:$E$4784,3,0)</f>
        <v>1</v>
      </c>
      <c r="H1831">
        <f>VLOOKUP($A1831,ordered_items!$B$2:$E$4784,4,0)</f>
        <v>260.64999999999998</v>
      </c>
      <c r="I1831" s="15">
        <f>VLOOKUP(F1831,product_info!$A$2:$D$73,4,0)</f>
        <v>9</v>
      </c>
      <c r="J1831" s="15" t="str">
        <f>VLOOKUP(I1831,department!$A$2:$B$13,2,0)</f>
        <v>Discs Shop</v>
      </c>
      <c r="K1831">
        <v>18922</v>
      </c>
      <c r="L1831" t="s">
        <v>116</v>
      </c>
      <c r="M1831" s="4">
        <v>44200</v>
      </c>
      <c r="N1831" s="12">
        <f t="shared" si="85"/>
        <v>1</v>
      </c>
      <c r="O1831" s="13">
        <f t="shared" si="86"/>
        <v>2021</v>
      </c>
      <c r="P1831" t="s">
        <v>13</v>
      </c>
      <c r="Q1831" t="s">
        <v>30</v>
      </c>
      <c r="R1831" t="s">
        <v>38</v>
      </c>
      <c r="S1831" t="str" cm="1">
        <f t="array" ref="S1831">_xlfn.IFS(R1831="COMPLETE", "COMPLETED", R1831="CANCELED", "CANCELED", TRUE, "PENDING")</f>
        <v>PENDING</v>
      </c>
      <c r="T1831" t="s">
        <v>16</v>
      </c>
      <c r="U1831">
        <f>VLOOKUP(A1831,ordered_items!$B:$E,4,0)</f>
        <v>260.64999999999998</v>
      </c>
    </row>
    <row r="1832" spans="1:21" x14ac:dyDescent="0.3">
      <c r="A1832">
        <v>75381</v>
      </c>
      <c r="B1832" t="s">
        <v>3</v>
      </c>
      <c r="C1832">
        <v>2</v>
      </c>
      <c r="D1832">
        <v>4</v>
      </c>
      <c r="E1832" t="str">
        <f t="shared" si="84"/>
        <v xml:space="preserve"> ONTIME</v>
      </c>
      <c r="F1832">
        <f>VLOOKUP($A1832,ordered_items!$B$2:$E$4784,2,0)</f>
        <v>1358</v>
      </c>
      <c r="G1832">
        <f>VLOOKUP($A1832,ordered_items!$B$2:$E$4784,3,0)</f>
        <v>1</v>
      </c>
      <c r="H1832">
        <f>VLOOKUP($A1832,ordered_items!$B$2:$E$4784,4,0)</f>
        <v>260.64999999999998</v>
      </c>
      <c r="I1832" s="15">
        <f>VLOOKUP(F1832,product_info!$A$2:$D$73,4,0)</f>
        <v>9</v>
      </c>
      <c r="J1832" s="15" t="str">
        <f>VLOOKUP(I1832,department!$A$2:$B$13,2,0)</f>
        <v>Discs Shop</v>
      </c>
      <c r="K1832">
        <v>18934</v>
      </c>
      <c r="L1832" t="s">
        <v>534</v>
      </c>
      <c r="M1832" s="4">
        <v>44200</v>
      </c>
      <c r="N1832" s="12">
        <f t="shared" si="85"/>
        <v>1</v>
      </c>
      <c r="O1832" s="13">
        <f t="shared" si="86"/>
        <v>2021</v>
      </c>
      <c r="P1832" t="s">
        <v>13</v>
      </c>
      <c r="Q1832" t="s">
        <v>30</v>
      </c>
      <c r="R1832" t="s">
        <v>38</v>
      </c>
      <c r="S1832" t="str" cm="1">
        <f t="array" ref="S1832">_xlfn.IFS(R1832="COMPLETE", "COMPLETED", R1832="CANCELED", "CANCELED", TRUE, "PENDING")</f>
        <v>PENDING</v>
      </c>
      <c r="T1832" t="s">
        <v>16</v>
      </c>
      <c r="U1832">
        <f>VLOOKUP(A1832,ordered_items!$B:$E,4,0)</f>
        <v>260.64999999999998</v>
      </c>
    </row>
    <row r="1833" spans="1:21" x14ac:dyDescent="0.3">
      <c r="A1833">
        <v>75382</v>
      </c>
      <c r="B1833" t="s">
        <v>3</v>
      </c>
      <c r="C1833">
        <v>3</v>
      </c>
      <c r="D1833">
        <v>4</v>
      </c>
      <c r="E1833" t="str">
        <f t="shared" si="84"/>
        <v xml:space="preserve"> ONTIME</v>
      </c>
      <c r="F1833">
        <f>VLOOKUP($A1833,ordered_items!$B$2:$E$4784,2,0)</f>
        <v>1358</v>
      </c>
      <c r="G1833">
        <f>VLOOKUP($A1833,ordered_items!$B$2:$E$4784,3,0)</f>
        <v>1</v>
      </c>
      <c r="H1833">
        <f>VLOOKUP($A1833,ordered_items!$B$2:$E$4784,4,0)</f>
        <v>260.64999999999998</v>
      </c>
      <c r="I1833" s="15">
        <f>VLOOKUP(F1833,product_info!$A$2:$D$73,4,0)</f>
        <v>9</v>
      </c>
      <c r="J1833" s="15" t="str">
        <f>VLOOKUP(I1833,department!$A$2:$B$13,2,0)</f>
        <v>Discs Shop</v>
      </c>
      <c r="K1833">
        <v>18935</v>
      </c>
      <c r="L1833" t="s">
        <v>534</v>
      </c>
      <c r="M1833" s="4">
        <v>44200</v>
      </c>
      <c r="N1833" s="12">
        <f t="shared" si="85"/>
        <v>1</v>
      </c>
      <c r="O1833" s="13">
        <f t="shared" si="86"/>
        <v>2021</v>
      </c>
      <c r="P1833" t="s">
        <v>13</v>
      </c>
      <c r="Q1833" t="s">
        <v>30</v>
      </c>
      <c r="R1833" t="s">
        <v>38</v>
      </c>
      <c r="S1833" t="str" cm="1">
        <f t="array" ref="S1833">_xlfn.IFS(R1833="COMPLETE", "COMPLETED", R1833="CANCELED", "CANCELED", TRUE, "PENDING")</f>
        <v>PENDING</v>
      </c>
      <c r="T1833" t="s">
        <v>16</v>
      </c>
      <c r="U1833">
        <f>VLOOKUP(A1833,ordered_items!$B:$E,4,0)</f>
        <v>260.64999999999998</v>
      </c>
    </row>
    <row r="1834" spans="1:21" x14ac:dyDescent="0.3">
      <c r="A1834">
        <v>75388</v>
      </c>
      <c r="B1834" t="s">
        <v>51</v>
      </c>
      <c r="C1834">
        <v>4</v>
      </c>
      <c r="D1834">
        <v>4</v>
      </c>
      <c r="E1834" t="str">
        <f t="shared" si="84"/>
        <v xml:space="preserve"> ONTIME</v>
      </c>
      <c r="F1834">
        <f>VLOOKUP($A1834,ordered_items!$B$2:$E$4784,2,0)</f>
        <v>1358</v>
      </c>
      <c r="G1834">
        <f>VLOOKUP($A1834,ordered_items!$B$2:$E$4784,3,0)</f>
        <v>1</v>
      </c>
      <c r="H1834">
        <f>VLOOKUP($A1834,ordered_items!$B$2:$E$4784,4,0)</f>
        <v>260.64999999999998</v>
      </c>
      <c r="I1834" s="15">
        <f>VLOOKUP(F1834,product_info!$A$2:$D$73,4,0)</f>
        <v>9</v>
      </c>
      <c r="J1834" s="15" t="str">
        <f>VLOOKUP(I1834,department!$A$2:$B$13,2,0)</f>
        <v>Discs Shop</v>
      </c>
      <c r="K1834">
        <v>18941</v>
      </c>
      <c r="L1834" t="s">
        <v>669</v>
      </c>
      <c r="M1834" s="4">
        <v>44200</v>
      </c>
      <c r="N1834" s="12">
        <f t="shared" si="85"/>
        <v>1</v>
      </c>
      <c r="O1834" s="13">
        <f t="shared" si="86"/>
        <v>2021</v>
      </c>
      <c r="P1834" t="s">
        <v>13</v>
      </c>
      <c r="Q1834" t="s">
        <v>227</v>
      </c>
      <c r="R1834" t="s">
        <v>57</v>
      </c>
      <c r="S1834" t="str" cm="1">
        <f t="array" ref="S1834">_xlfn.IFS(R1834="COMPLETE", "COMPLETED", R1834="CANCELED", "CANCELED", TRUE, "PENDING")</f>
        <v>PENDING</v>
      </c>
      <c r="T1834" t="s">
        <v>16</v>
      </c>
      <c r="U1834">
        <f>VLOOKUP(A1834,ordered_items!$B:$E,4,0)</f>
        <v>260.64999999999998</v>
      </c>
    </row>
    <row r="1835" spans="1:21" x14ac:dyDescent="0.3">
      <c r="A1835">
        <v>75389</v>
      </c>
      <c r="B1835" t="s">
        <v>3</v>
      </c>
      <c r="C1835">
        <v>5</v>
      </c>
      <c r="D1835">
        <v>4</v>
      </c>
      <c r="E1835" t="str">
        <f t="shared" si="84"/>
        <v>DELAYED</v>
      </c>
      <c r="F1835">
        <f>VLOOKUP($A1835,ordered_items!$B$2:$E$4784,2,0)</f>
        <v>1358</v>
      </c>
      <c r="G1835">
        <f>VLOOKUP($A1835,ordered_items!$B$2:$E$4784,3,0)</f>
        <v>1</v>
      </c>
      <c r="H1835">
        <f>VLOOKUP($A1835,ordered_items!$B$2:$E$4784,4,0)</f>
        <v>260.64999999999998</v>
      </c>
      <c r="I1835" s="15">
        <f>VLOOKUP(F1835,product_info!$A$2:$D$73,4,0)</f>
        <v>9</v>
      </c>
      <c r="J1835" s="15" t="str">
        <f>VLOOKUP(I1835,department!$A$2:$B$13,2,0)</f>
        <v>Discs Shop</v>
      </c>
      <c r="K1835">
        <v>18942</v>
      </c>
      <c r="L1835" t="s">
        <v>669</v>
      </c>
      <c r="M1835" s="4">
        <v>44200</v>
      </c>
      <c r="N1835" s="12">
        <f t="shared" si="85"/>
        <v>1</v>
      </c>
      <c r="O1835" s="13">
        <f t="shared" si="86"/>
        <v>2021</v>
      </c>
      <c r="P1835" t="s">
        <v>13</v>
      </c>
      <c r="Q1835" t="s">
        <v>227</v>
      </c>
      <c r="R1835" t="s">
        <v>38</v>
      </c>
      <c r="S1835" t="str" cm="1">
        <f t="array" ref="S1835">_xlfn.IFS(R1835="COMPLETE", "COMPLETED", R1835="CANCELED", "CANCELED", TRUE, "PENDING")</f>
        <v>PENDING</v>
      </c>
      <c r="T1835" t="s">
        <v>16</v>
      </c>
      <c r="U1835">
        <f>VLOOKUP(A1835,ordered_items!$B:$E,4,0)</f>
        <v>260.64999999999998</v>
      </c>
    </row>
    <row r="1836" spans="1:21" x14ac:dyDescent="0.3">
      <c r="A1836">
        <v>75390</v>
      </c>
      <c r="B1836" t="s">
        <v>24</v>
      </c>
      <c r="C1836">
        <v>6</v>
      </c>
      <c r="D1836">
        <v>4</v>
      </c>
      <c r="E1836" t="str">
        <f t="shared" si="84"/>
        <v>DELAYED</v>
      </c>
      <c r="F1836">
        <f>VLOOKUP($A1836,ordered_items!$B$2:$E$4784,2,0)</f>
        <v>1358</v>
      </c>
      <c r="G1836">
        <f>VLOOKUP($A1836,ordered_items!$B$2:$E$4784,3,0)</f>
        <v>1</v>
      </c>
      <c r="H1836">
        <f>VLOOKUP($A1836,ordered_items!$B$2:$E$4784,4,0)</f>
        <v>260.64999999999998</v>
      </c>
      <c r="I1836" s="15">
        <f>VLOOKUP(F1836,product_info!$A$2:$D$73,4,0)</f>
        <v>9</v>
      </c>
      <c r="J1836" s="15" t="str">
        <f>VLOOKUP(I1836,department!$A$2:$B$13,2,0)</f>
        <v>Discs Shop</v>
      </c>
      <c r="K1836">
        <v>18943</v>
      </c>
      <c r="L1836" t="s">
        <v>669</v>
      </c>
      <c r="M1836" s="4">
        <v>44200</v>
      </c>
      <c r="N1836" s="12">
        <f t="shared" si="85"/>
        <v>1</v>
      </c>
      <c r="O1836" s="13">
        <f t="shared" si="86"/>
        <v>2021</v>
      </c>
      <c r="P1836" t="s">
        <v>13</v>
      </c>
      <c r="Q1836" t="s">
        <v>227</v>
      </c>
      <c r="R1836" t="s">
        <v>31</v>
      </c>
      <c r="S1836" t="str" cm="1">
        <f t="array" ref="S1836">_xlfn.IFS(R1836="COMPLETE", "COMPLETED", R1836="CANCELED", "CANCELED", TRUE, "PENDING")</f>
        <v>COMPLETED</v>
      </c>
      <c r="T1836" t="s">
        <v>16</v>
      </c>
      <c r="U1836">
        <f>VLOOKUP(A1836,ordered_items!$B:$E,4,0)</f>
        <v>260.64999999999998</v>
      </c>
    </row>
    <row r="1837" spans="1:21" x14ac:dyDescent="0.3">
      <c r="A1837">
        <v>75391</v>
      </c>
      <c r="B1837" t="s">
        <v>17</v>
      </c>
      <c r="C1837">
        <v>2</v>
      </c>
      <c r="D1837">
        <v>4</v>
      </c>
      <c r="E1837" t="str">
        <f t="shared" si="84"/>
        <v xml:space="preserve"> ONTIME</v>
      </c>
      <c r="F1837">
        <f>VLOOKUP($A1837,ordered_items!$B$2:$E$4784,2,0)</f>
        <v>1358</v>
      </c>
      <c r="G1837">
        <f>VLOOKUP($A1837,ordered_items!$B$2:$E$4784,3,0)</f>
        <v>1</v>
      </c>
      <c r="H1837">
        <f>VLOOKUP($A1837,ordered_items!$B$2:$E$4784,4,0)</f>
        <v>260.64999999999998</v>
      </c>
      <c r="I1837" s="15">
        <f>VLOOKUP(F1837,product_info!$A$2:$D$73,4,0)</f>
        <v>9</v>
      </c>
      <c r="J1837" s="15" t="str">
        <f>VLOOKUP(I1837,department!$A$2:$B$13,2,0)</f>
        <v>Discs Shop</v>
      </c>
      <c r="K1837">
        <v>18944</v>
      </c>
      <c r="L1837" t="s">
        <v>669</v>
      </c>
      <c r="M1837" s="4">
        <v>44200</v>
      </c>
      <c r="N1837" s="12">
        <f t="shared" si="85"/>
        <v>1</v>
      </c>
      <c r="O1837" s="13">
        <f t="shared" si="86"/>
        <v>2021</v>
      </c>
      <c r="P1837" t="s">
        <v>13</v>
      </c>
      <c r="Q1837" t="s">
        <v>227</v>
      </c>
      <c r="R1837" t="s">
        <v>23</v>
      </c>
      <c r="S1837" t="str" cm="1">
        <f t="array" ref="S1837">_xlfn.IFS(R1837="COMPLETE", "COMPLETED", R1837="CANCELED", "CANCELED", TRUE, "PENDING")</f>
        <v>PENDING</v>
      </c>
      <c r="T1837" t="s">
        <v>16</v>
      </c>
      <c r="U1837">
        <f>VLOOKUP(A1837,ordered_items!$B:$E,4,0)</f>
        <v>260.64999999999998</v>
      </c>
    </row>
    <row r="1838" spans="1:21" x14ac:dyDescent="0.3">
      <c r="A1838">
        <v>75392</v>
      </c>
      <c r="B1838" t="s">
        <v>24</v>
      </c>
      <c r="C1838">
        <v>3</v>
      </c>
      <c r="D1838">
        <v>4</v>
      </c>
      <c r="E1838" t="str">
        <f t="shared" si="84"/>
        <v xml:space="preserve"> ONTIME</v>
      </c>
      <c r="F1838">
        <f>VLOOKUP($A1838,ordered_items!$B$2:$E$4784,2,0)</f>
        <v>1358</v>
      </c>
      <c r="G1838">
        <f>VLOOKUP($A1838,ordered_items!$B$2:$E$4784,3,0)</f>
        <v>1</v>
      </c>
      <c r="H1838">
        <f>VLOOKUP($A1838,ordered_items!$B$2:$E$4784,4,0)</f>
        <v>260.64999999999998</v>
      </c>
      <c r="I1838" s="15">
        <f>VLOOKUP(F1838,product_info!$A$2:$D$73,4,0)</f>
        <v>9</v>
      </c>
      <c r="J1838" s="15" t="str">
        <f>VLOOKUP(I1838,department!$A$2:$B$13,2,0)</f>
        <v>Discs Shop</v>
      </c>
      <c r="K1838">
        <v>18945</v>
      </c>
      <c r="L1838" t="s">
        <v>669</v>
      </c>
      <c r="M1838" s="4">
        <v>44200</v>
      </c>
      <c r="N1838" s="12">
        <f t="shared" si="85"/>
        <v>1</v>
      </c>
      <c r="O1838" s="13">
        <f t="shared" si="86"/>
        <v>2021</v>
      </c>
      <c r="P1838" t="s">
        <v>13</v>
      </c>
      <c r="Q1838" t="s">
        <v>227</v>
      </c>
      <c r="R1838" t="s">
        <v>31</v>
      </c>
      <c r="S1838" t="str" cm="1">
        <f t="array" ref="S1838">_xlfn.IFS(R1838="COMPLETE", "COMPLETED", R1838="CANCELED", "CANCELED", TRUE, "PENDING")</f>
        <v>COMPLETED</v>
      </c>
      <c r="T1838" t="s">
        <v>16</v>
      </c>
      <c r="U1838">
        <f>VLOOKUP(A1838,ordered_items!$B:$E,4,0)</f>
        <v>260.64999999999998</v>
      </c>
    </row>
    <row r="1839" spans="1:21" x14ac:dyDescent="0.3">
      <c r="A1839">
        <v>75393</v>
      </c>
      <c r="B1839" t="s">
        <v>24</v>
      </c>
      <c r="C1839">
        <v>4</v>
      </c>
      <c r="D1839">
        <v>4</v>
      </c>
      <c r="E1839" t="str">
        <f t="shared" si="84"/>
        <v xml:space="preserve"> ONTIME</v>
      </c>
      <c r="F1839">
        <f>VLOOKUP($A1839,ordered_items!$B$2:$E$4784,2,0)</f>
        <v>1358</v>
      </c>
      <c r="G1839">
        <f>VLOOKUP($A1839,ordered_items!$B$2:$E$4784,3,0)</f>
        <v>1</v>
      </c>
      <c r="H1839">
        <f>VLOOKUP($A1839,ordered_items!$B$2:$E$4784,4,0)</f>
        <v>260.64999999999998</v>
      </c>
      <c r="I1839" s="15">
        <f>VLOOKUP(F1839,product_info!$A$2:$D$73,4,0)</f>
        <v>9</v>
      </c>
      <c r="J1839" s="15" t="str">
        <f>VLOOKUP(I1839,department!$A$2:$B$13,2,0)</f>
        <v>Discs Shop</v>
      </c>
      <c r="K1839">
        <v>18946</v>
      </c>
      <c r="L1839" t="s">
        <v>669</v>
      </c>
      <c r="M1839" s="4">
        <v>44200</v>
      </c>
      <c r="N1839" s="12">
        <f t="shared" si="85"/>
        <v>1</v>
      </c>
      <c r="O1839" s="13">
        <f t="shared" si="86"/>
        <v>2021</v>
      </c>
      <c r="P1839" t="s">
        <v>13</v>
      </c>
      <c r="Q1839" t="s">
        <v>227</v>
      </c>
      <c r="R1839" t="s">
        <v>31</v>
      </c>
      <c r="S1839" t="str" cm="1">
        <f t="array" ref="S1839">_xlfn.IFS(R1839="COMPLETE", "COMPLETED", R1839="CANCELED", "CANCELED", TRUE, "PENDING")</f>
        <v>COMPLETED</v>
      </c>
      <c r="T1839" t="s">
        <v>16</v>
      </c>
      <c r="U1839">
        <f>VLOOKUP(A1839,ordered_items!$B:$E,4,0)</f>
        <v>260.64999999999998</v>
      </c>
    </row>
    <row r="1840" spans="1:21" x14ac:dyDescent="0.3">
      <c r="A1840">
        <v>75394</v>
      </c>
      <c r="B1840" t="s">
        <v>51</v>
      </c>
      <c r="C1840">
        <v>5</v>
      </c>
      <c r="D1840">
        <v>4</v>
      </c>
      <c r="E1840" t="str">
        <f t="shared" si="84"/>
        <v>DELAYED</v>
      </c>
      <c r="F1840">
        <f>VLOOKUP($A1840,ordered_items!$B$2:$E$4784,2,0)</f>
        <v>1358</v>
      </c>
      <c r="G1840">
        <f>VLOOKUP($A1840,ordered_items!$B$2:$E$4784,3,0)</f>
        <v>1</v>
      </c>
      <c r="H1840">
        <f>VLOOKUP($A1840,ordered_items!$B$2:$E$4784,4,0)</f>
        <v>260.64999999999998</v>
      </c>
      <c r="I1840" s="15">
        <f>VLOOKUP(F1840,product_info!$A$2:$D$73,4,0)</f>
        <v>9</v>
      </c>
      <c r="J1840" s="15" t="str">
        <f>VLOOKUP(I1840,department!$A$2:$B$13,2,0)</f>
        <v>Discs Shop</v>
      </c>
      <c r="K1840">
        <v>18947</v>
      </c>
      <c r="L1840" t="s">
        <v>669</v>
      </c>
      <c r="M1840" s="4">
        <v>44200</v>
      </c>
      <c r="N1840" s="12">
        <f t="shared" si="85"/>
        <v>1</v>
      </c>
      <c r="O1840" s="13">
        <f t="shared" si="86"/>
        <v>2021</v>
      </c>
      <c r="P1840" t="s">
        <v>13</v>
      </c>
      <c r="Q1840" t="s">
        <v>227</v>
      </c>
      <c r="R1840" t="s">
        <v>57</v>
      </c>
      <c r="S1840" t="str" cm="1">
        <f t="array" ref="S1840">_xlfn.IFS(R1840="COMPLETE", "COMPLETED", R1840="CANCELED", "CANCELED", TRUE, "PENDING")</f>
        <v>PENDING</v>
      </c>
      <c r="T1840" t="s">
        <v>16</v>
      </c>
      <c r="U1840">
        <f>VLOOKUP(A1840,ordered_items!$B:$E,4,0)</f>
        <v>260.64999999999998</v>
      </c>
    </row>
    <row r="1841" spans="1:21" x14ac:dyDescent="0.3">
      <c r="A1841">
        <v>75395</v>
      </c>
      <c r="B1841" t="s">
        <v>17</v>
      </c>
      <c r="C1841">
        <v>6</v>
      </c>
      <c r="D1841">
        <v>4</v>
      </c>
      <c r="E1841" t="str">
        <f t="shared" si="84"/>
        <v>DELAYED</v>
      </c>
      <c r="F1841">
        <f>VLOOKUP($A1841,ordered_items!$B$2:$E$4784,2,0)</f>
        <v>1358</v>
      </c>
      <c r="G1841">
        <f>VLOOKUP($A1841,ordered_items!$B$2:$E$4784,3,0)</f>
        <v>1</v>
      </c>
      <c r="H1841">
        <f>VLOOKUP($A1841,ordered_items!$B$2:$E$4784,4,0)</f>
        <v>260.64999999999998</v>
      </c>
      <c r="I1841" s="15">
        <f>VLOOKUP(F1841,product_info!$A$2:$D$73,4,0)</f>
        <v>9</v>
      </c>
      <c r="J1841" s="15" t="str">
        <f>VLOOKUP(I1841,department!$A$2:$B$13,2,0)</f>
        <v>Discs Shop</v>
      </c>
      <c r="K1841">
        <v>18948</v>
      </c>
      <c r="L1841" t="s">
        <v>660</v>
      </c>
      <c r="M1841" s="4">
        <v>44200</v>
      </c>
      <c r="N1841" s="12">
        <f t="shared" si="85"/>
        <v>1</v>
      </c>
      <c r="O1841" s="13">
        <f t="shared" si="86"/>
        <v>2021</v>
      </c>
      <c r="P1841" t="s">
        <v>13</v>
      </c>
      <c r="Q1841" t="s">
        <v>99</v>
      </c>
      <c r="R1841" t="s">
        <v>23</v>
      </c>
      <c r="S1841" t="str" cm="1">
        <f t="array" ref="S1841">_xlfn.IFS(R1841="COMPLETE", "COMPLETED", R1841="CANCELED", "CANCELED", TRUE, "PENDING")</f>
        <v>PENDING</v>
      </c>
      <c r="T1841" t="s">
        <v>16</v>
      </c>
      <c r="U1841">
        <f>VLOOKUP(A1841,ordered_items!$B:$E,4,0)</f>
        <v>260.64999999999998</v>
      </c>
    </row>
    <row r="1842" spans="1:21" x14ac:dyDescent="0.3">
      <c r="A1842">
        <v>75410</v>
      </c>
      <c r="B1842" t="s">
        <v>24</v>
      </c>
      <c r="C1842">
        <v>6</v>
      </c>
      <c r="D1842">
        <v>4</v>
      </c>
      <c r="E1842" t="str">
        <f t="shared" si="84"/>
        <v>DELAYED</v>
      </c>
      <c r="F1842">
        <f>VLOOKUP($A1842,ordered_items!$B$2:$E$4784,2,0)</f>
        <v>1358</v>
      </c>
      <c r="G1842">
        <f>VLOOKUP($A1842,ordered_items!$B$2:$E$4784,3,0)</f>
        <v>1</v>
      </c>
      <c r="H1842">
        <f>VLOOKUP($A1842,ordered_items!$B$2:$E$4784,4,0)</f>
        <v>260.64999999999998</v>
      </c>
      <c r="I1842" s="15">
        <f>VLOOKUP(F1842,product_info!$A$2:$D$73,4,0)</f>
        <v>9</v>
      </c>
      <c r="J1842" s="15" t="str">
        <f>VLOOKUP(I1842,department!$A$2:$B$13,2,0)</f>
        <v>Discs Shop</v>
      </c>
      <c r="K1842">
        <v>18963</v>
      </c>
      <c r="L1842" t="s">
        <v>871</v>
      </c>
      <c r="M1842" s="4">
        <v>44200</v>
      </c>
      <c r="N1842" s="12">
        <f t="shared" si="85"/>
        <v>1</v>
      </c>
      <c r="O1842" s="13">
        <f t="shared" si="86"/>
        <v>2021</v>
      </c>
      <c r="P1842" t="s">
        <v>13</v>
      </c>
      <c r="Q1842" t="s">
        <v>30</v>
      </c>
      <c r="R1842" t="s">
        <v>31</v>
      </c>
      <c r="S1842" t="str" cm="1">
        <f t="array" ref="S1842">_xlfn.IFS(R1842="COMPLETE", "COMPLETED", R1842="CANCELED", "CANCELED", TRUE, "PENDING")</f>
        <v>COMPLETED</v>
      </c>
      <c r="T1842" t="s">
        <v>16</v>
      </c>
      <c r="U1842">
        <f>VLOOKUP(A1842,ordered_items!$B:$E,4,0)</f>
        <v>260.64999999999998</v>
      </c>
    </row>
    <row r="1843" spans="1:21" x14ac:dyDescent="0.3">
      <c r="A1843">
        <v>75411</v>
      </c>
      <c r="B1843" t="s">
        <v>17</v>
      </c>
      <c r="C1843">
        <v>2</v>
      </c>
      <c r="D1843">
        <v>4</v>
      </c>
      <c r="E1843" t="str">
        <f t="shared" si="84"/>
        <v xml:space="preserve"> ONTIME</v>
      </c>
      <c r="F1843">
        <f>VLOOKUP($A1843,ordered_items!$B$2:$E$4784,2,0)</f>
        <v>1358</v>
      </c>
      <c r="G1843">
        <f>VLOOKUP($A1843,ordered_items!$B$2:$E$4784,3,0)</f>
        <v>1</v>
      </c>
      <c r="H1843">
        <f>VLOOKUP($A1843,ordered_items!$B$2:$E$4784,4,0)</f>
        <v>260.64999999999998</v>
      </c>
      <c r="I1843" s="15">
        <f>VLOOKUP(F1843,product_info!$A$2:$D$73,4,0)</f>
        <v>9</v>
      </c>
      <c r="J1843" s="15" t="str">
        <f>VLOOKUP(I1843,department!$A$2:$B$13,2,0)</f>
        <v>Discs Shop</v>
      </c>
      <c r="K1843">
        <v>18964</v>
      </c>
      <c r="L1843" t="s">
        <v>871</v>
      </c>
      <c r="M1843" s="4">
        <v>44200</v>
      </c>
      <c r="N1843" s="12">
        <f t="shared" si="85"/>
        <v>1</v>
      </c>
      <c r="O1843" s="13">
        <f t="shared" si="86"/>
        <v>2021</v>
      </c>
      <c r="P1843" t="s">
        <v>13</v>
      </c>
      <c r="Q1843" t="s">
        <v>30</v>
      </c>
      <c r="R1843" t="s">
        <v>23</v>
      </c>
      <c r="S1843" t="str" cm="1">
        <f t="array" ref="S1843">_xlfn.IFS(R1843="COMPLETE", "COMPLETED", R1843="CANCELED", "CANCELED", TRUE, "PENDING")</f>
        <v>PENDING</v>
      </c>
      <c r="T1843" t="s">
        <v>16</v>
      </c>
      <c r="U1843">
        <f>VLOOKUP(A1843,ordered_items!$B:$E,4,0)</f>
        <v>260.64999999999998</v>
      </c>
    </row>
    <row r="1844" spans="1:21" x14ac:dyDescent="0.3">
      <c r="A1844">
        <v>75412</v>
      </c>
      <c r="B1844" t="s">
        <v>17</v>
      </c>
      <c r="C1844">
        <v>3</v>
      </c>
      <c r="D1844">
        <v>4</v>
      </c>
      <c r="E1844" t="str">
        <f t="shared" si="84"/>
        <v xml:space="preserve"> ONTIME</v>
      </c>
      <c r="F1844">
        <f>VLOOKUP($A1844,ordered_items!$B$2:$E$4784,2,0)</f>
        <v>1358</v>
      </c>
      <c r="G1844">
        <f>VLOOKUP($A1844,ordered_items!$B$2:$E$4784,3,0)</f>
        <v>1</v>
      </c>
      <c r="H1844">
        <f>VLOOKUP($A1844,ordered_items!$B$2:$E$4784,4,0)</f>
        <v>260.64999999999998</v>
      </c>
      <c r="I1844" s="15">
        <f>VLOOKUP(F1844,product_info!$A$2:$D$73,4,0)</f>
        <v>9</v>
      </c>
      <c r="J1844" s="15" t="str">
        <f>VLOOKUP(I1844,department!$A$2:$B$13,2,0)</f>
        <v>Discs Shop</v>
      </c>
      <c r="K1844">
        <v>18965</v>
      </c>
      <c r="L1844" t="s">
        <v>871</v>
      </c>
      <c r="M1844" s="4">
        <v>44200</v>
      </c>
      <c r="N1844" s="12">
        <f t="shared" si="85"/>
        <v>1</v>
      </c>
      <c r="O1844" s="13">
        <f t="shared" si="86"/>
        <v>2021</v>
      </c>
      <c r="P1844" t="s">
        <v>13</v>
      </c>
      <c r="Q1844" t="s">
        <v>30</v>
      </c>
      <c r="R1844" t="s">
        <v>23</v>
      </c>
      <c r="S1844" t="str" cm="1">
        <f t="array" ref="S1844">_xlfn.IFS(R1844="COMPLETE", "COMPLETED", R1844="CANCELED", "CANCELED", TRUE, "PENDING")</f>
        <v>PENDING</v>
      </c>
      <c r="T1844" t="s">
        <v>16</v>
      </c>
      <c r="U1844">
        <f>VLOOKUP(A1844,ordered_items!$B:$E,4,0)</f>
        <v>260.64999999999998</v>
      </c>
    </row>
    <row r="1845" spans="1:21" x14ac:dyDescent="0.3">
      <c r="A1845">
        <v>75434</v>
      </c>
      <c r="B1845" t="s">
        <v>17</v>
      </c>
      <c r="C1845">
        <v>5</v>
      </c>
      <c r="D1845">
        <v>4</v>
      </c>
      <c r="E1845" t="str">
        <f t="shared" si="84"/>
        <v>DELAYED</v>
      </c>
      <c r="F1845">
        <f>VLOOKUP($A1845,ordered_items!$B$2:$E$4784,2,0)</f>
        <v>1358</v>
      </c>
      <c r="G1845">
        <f>VLOOKUP($A1845,ordered_items!$B$2:$E$4784,3,0)</f>
        <v>1</v>
      </c>
      <c r="H1845">
        <f>VLOOKUP($A1845,ordered_items!$B$2:$E$4784,4,0)</f>
        <v>260.64999999999998</v>
      </c>
      <c r="I1845" s="15">
        <f>VLOOKUP(F1845,product_info!$A$2:$D$73,4,0)</f>
        <v>9</v>
      </c>
      <c r="J1845" s="15" t="str">
        <f>VLOOKUP(I1845,department!$A$2:$B$13,2,0)</f>
        <v>Discs Shop</v>
      </c>
      <c r="K1845">
        <v>18987</v>
      </c>
      <c r="L1845" t="s">
        <v>79</v>
      </c>
      <c r="M1845" s="4">
        <v>44201</v>
      </c>
      <c r="N1845" s="12">
        <f t="shared" si="85"/>
        <v>1</v>
      </c>
      <c r="O1845" s="13">
        <f t="shared" si="86"/>
        <v>2021</v>
      </c>
      <c r="P1845" t="s">
        <v>13</v>
      </c>
      <c r="Q1845" t="s">
        <v>80</v>
      </c>
      <c r="R1845" t="s">
        <v>23</v>
      </c>
      <c r="S1845" t="str" cm="1">
        <f t="array" ref="S1845">_xlfn.IFS(R1845="COMPLETE", "COMPLETED", R1845="CANCELED", "CANCELED", TRUE, "PENDING")</f>
        <v>PENDING</v>
      </c>
      <c r="T1845" t="s">
        <v>16</v>
      </c>
      <c r="U1845">
        <f>VLOOKUP(A1845,ordered_items!$B:$E,4,0)</f>
        <v>260.64999999999998</v>
      </c>
    </row>
    <row r="1846" spans="1:21" x14ac:dyDescent="0.3">
      <c r="A1846">
        <v>75435</v>
      </c>
      <c r="B1846" t="s">
        <v>24</v>
      </c>
      <c r="C1846">
        <v>6</v>
      </c>
      <c r="D1846">
        <v>4</v>
      </c>
      <c r="E1846" t="str">
        <f t="shared" si="84"/>
        <v>DELAYED</v>
      </c>
      <c r="F1846">
        <f>VLOOKUP($A1846,ordered_items!$B$2:$E$4784,2,0)</f>
        <v>1358</v>
      </c>
      <c r="G1846">
        <f>VLOOKUP($A1846,ordered_items!$B$2:$E$4784,3,0)</f>
        <v>1</v>
      </c>
      <c r="H1846">
        <f>VLOOKUP($A1846,ordered_items!$B$2:$E$4784,4,0)</f>
        <v>260.64999999999998</v>
      </c>
      <c r="I1846" s="15">
        <f>VLOOKUP(F1846,product_info!$A$2:$D$73,4,0)</f>
        <v>9</v>
      </c>
      <c r="J1846" s="15" t="str">
        <f>VLOOKUP(I1846,department!$A$2:$B$13,2,0)</f>
        <v>Discs Shop</v>
      </c>
      <c r="K1846">
        <v>18988</v>
      </c>
      <c r="L1846" t="s">
        <v>79</v>
      </c>
      <c r="M1846" s="4">
        <v>44201</v>
      </c>
      <c r="N1846" s="12">
        <f t="shared" si="85"/>
        <v>1</v>
      </c>
      <c r="O1846" s="13">
        <f t="shared" si="86"/>
        <v>2021</v>
      </c>
      <c r="P1846" t="s">
        <v>13</v>
      </c>
      <c r="Q1846" t="s">
        <v>80</v>
      </c>
      <c r="R1846" t="s">
        <v>31</v>
      </c>
      <c r="S1846" t="str" cm="1">
        <f t="array" ref="S1846">_xlfn.IFS(R1846="COMPLETE", "COMPLETED", R1846="CANCELED", "CANCELED", TRUE, "PENDING")</f>
        <v>COMPLETED</v>
      </c>
      <c r="T1846" t="s">
        <v>16</v>
      </c>
      <c r="U1846">
        <f>VLOOKUP(A1846,ordered_items!$B:$E,4,0)</f>
        <v>260.64999999999998</v>
      </c>
    </row>
    <row r="1847" spans="1:21" x14ac:dyDescent="0.3">
      <c r="A1847">
        <v>75436</v>
      </c>
      <c r="B1847" t="s">
        <v>3</v>
      </c>
      <c r="C1847">
        <v>2</v>
      </c>
      <c r="D1847">
        <v>4</v>
      </c>
      <c r="E1847" t="str">
        <f t="shared" si="84"/>
        <v xml:space="preserve"> ONTIME</v>
      </c>
      <c r="F1847">
        <f>VLOOKUP($A1847,ordered_items!$B$2:$E$4784,2,0)</f>
        <v>1358</v>
      </c>
      <c r="G1847">
        <f>VLOOKUP($A1847,ordered_items!$B$2:$E$4784,3,0)</f>
        <v>1</v>
      </c>
      <c r="H1847">
        <f>VLOOKUP($A1847,ordered_items!$B$2:$E$4784,4,0)</f>
        <v>260.64999999999998</v>
      </c>
      <c r="I1847" s="15">
        <f>VLOOKUP(F1847,product_info!$A$2:$D$73,4,0)</f>
        <v>9</v>
      </c>
      <c r="J1847" s="15" t="str">
        <f>VLOOKUP(I1847,department!$A$2:$B$13,2,0)</f>
        <v>Discs Shop</v>
      </c>
      <c r="K1847">
        <v>18989</v>
      </c>
      <c r="L1847" t="s">
        <v>713</v>
      </c>
      <c r="M1847" s="4">
        <v>44201</v>
      </c>
      <c r="N1847" s="12">
        <f t="shared" si="85"/>
        <v>1</v>
      </c>
      <c r="O1847" s="13">
        <f t="shared" si="86"/>
        <v>2021</v>
      </c>
      <c r="P1847" t="s">
        <v>13</v>
      </c>
      <c r="Q1847" t="s">
        <v>99</v>
      </c>
      <c r="R1847" t="s">
        <v>38</v>
      </c>
      <c r="S1847" t="str" cm="1">
        <f t="array" ref="S1847">_xlfn.IFS(R1847="COMPLETE", "COMPLETED", R1847="CANCELED", "CANCELED", TRUE, "PENDING")</f>
        <v>PENDING</v>
      </c>
      <c r="T1847" t="s">
        <v>16</v>
      </c>
      <c r="U1847">
        <f>VLOOKUP(A1847,ordered_items!$B:$E,4,0)</f>
        <v>260.64999999999998</v>
      </c>
    </row>
    <row r="1848" spans="1:21" x14ac:dyDescent="0.3">
      <c r="A1848">
        <v>75437</v>
      </c>
      <c r="B1848" t="s">
        <v>51</v>
      </c>
      <c r="C1848">
        <v>3</v>
      </c>
      <c r="D1848">
        <v>4</v>
      </c>
      <c r="E1848" t="str">
        <f t="shared" si="84"/>
        <v xml:space="preserve"> ONTIME</v>
      </c>
      <c r="F1848">
        <f>VLOOKUP($A1848,ordered_items!$B$2:$E$4784,2,0)</f>
        <v>1358</v>
      </c>
      <c r="G1848">
        <f>VLOOKUP($A1848,ordered_items!$B$2:$E$4784,3,0)</f>
        <v>1</v>
      </c>
      <c r="H1848">
        <f>VLOOKUP($A1848,ordered_items!$B$2:$E$4784,4,0)</f>
        <v>260.64999999999998</v>
      </c>
      <c r="I1848" s="15">
        <f>VLOOKUP(F1848,product_info!$A$2:$D$73,4,0)</f>
        <v>9</v>
      </c>
      <c r="J1848" s="15" t="str">
        <f>VLOOKUP(I1848,department!$A$2:$B$13,2,0)</f>
        <v>Discs Shop</v>
      </c>
      <c r="K1848">
        <v>18990</v>
      </c>
      <c r="L1848" t="s">
        <v>713</v>
      </c>
      <c r="M1848" s="4">
        <v>44201</v>
      </c>
      <c r="N1848" s="12">
        <f t="shared" si="85"/>
        <v>1</v>
      </c>
      <c r="O1848" s="13">
        <f t="shared" si="86"/>
        <v>2021</v>
      </c>
      <c r="P1848" t="s">
        <v>13</v>
      </c>
      <c r="Q1848" t="s">
        <v>99</v>
      </c>
      <c r="R1848" t="s">
        <v>57</v>
      </c>
      <c r="S1848" t="str" cm="1">
        <f t="array" ref="S1848">_xlfn.IFS(R1848="COMPLETE", "COMPLETED", R1848="CANCELED", "CANCELED", TRUE, "PENDING")</f>
        <v>PENDING</v>
      </c>
      <c r="T1848" t="s">
        <v>16</v>
      </c>
      <c r="U1848">
        <f>VLOOKUP(A1848,ordered_items!$B:$E,4,0)</f>
        <v>260.64999999999998</v>
      </c>
    </row>
    <row r="1849" spans="1:21" x14ac:dyDescent="0.3">
      <c r="A1849">
        <v>75449</v>
      </c>
      <c r="B1849" t="s">
        <v>24</v>
      </c>
      <c r="C1849">
        <v>5</v>
      </c>
      <c r="D1849">
        <v>4</v>
      </c>
      <c r="E1849" t="str">
        <f t="shared" si="84"/>
        <v>DELAYED</v>
      </c>
      <c r="F1849">
        <f>VLOOKUP($A1849,ordered_items!$B$2:$E$4784,2,0)</f>
        <v>1358</v>
      </c>
      <c r="G1849">
        <f>VLOOKUP($A1849,ordered_items!$B$2:$E$4784,3,0)</f>
        <v>1</v>
      </c>
      <c r="H1849">
        <f>VLOOKUP($A1849,ordered_items!$B$2:$E$4784,4,0)</f>
        <v>260.64999999999998</v>
      </c>
      <c r="I1849" s="15">
        <f>VLOOKUP(F1849,product_info!$A$2:$D$73,4,0)</f>
        <v>9</v>
      </c>
      <c r="J1849" s="15" t="str">
        <f>VLOOKUP(I1849,department!$A$2:$B$13,2,0)</f>
        <v>Discs Shop</v>
      </c>
      <c r="K1849">
        <v>19002</v>
      </c>
      <c r="L1849" t="s">
        <v>530</v>
      </c>
      <c r="M1849" s="4">
        <v>44201</v>
      </c>
      <c r="N1849" s="12">
        <f t="shared" si="85"/>
        <v>1</v>
      </c>
      <c r="O1849" s="13">
        <f t="shared" si="86"/>
        <v>2021</v>
      </c>
      <c r="P1849" t="s">
        <v>13</v>
      </c>
      <c r="Q1849" t="s">
        <v>5777</v>
      </c>
      <c r="R1849" t="s">
        <v>31</v>
      </c>
      <c r="S1849" t="str" cm="1">
        <f t="array" ref="S1849">_xlfn.IFS(R1849="COMPLETE", "COMPLETED", R1849="CANCELED", "CANCELED", TRUE, "PENDING")</f>
        <v>COMPLETED</v>
      </c>
      <c r="T1849" t="s">
        <v>16</v>
      </c>
      <c r="U1849">
        <f>VLOOKUP(A1849,ordered_items!$B:$E,4,0)</f>
        <v>260.64999999999998</v>
      </c>
    </row>
    <row r="1850" spans="1:21" x14ac:dyDescent="0.3">
      <c r="A1850">
        <v>75454</v>
      </c>
      <c r="B1850" t="s">
        <v>17</v>
      </c>
      <c r="C1850">
        <v>5</v>
      </c>
      <c r="D1850">
        <v>4</v>
      </c>
      <c r="E1850" t="str">
        <f t="shared" si="84"/>
        <v>DELAYED</v>
      </c>
      <c r="F1850">
        <f>VLOOKUP($A1850,ordered_items!$B$2:$E$4784,2,0)</f>
        <v>1358</v>
      </c>
      <c r="G1850">
        <f>VLOOKUP($A1850,ordered_items!$B$2:$E$4784,3,0)</f>
        <v>1</v>
      </c>
      <c r="H1850">
        <f>VLOOKUP($A1850,ordered_items!$B$2:$E$4784,4,0)</f>
        <v>260.64999999999998</v>
      </c>
      <c r="I1850" s="15">
        <f>VLOOKUP(F1850,product_info!$A$2:$D$73,4,0)</f>
        <v>9</v>
      </c>
      <c r="J1850" s="15" t="str">
        <f>VLOOKUP(I1850,department!$A$2:$B$13,2,0)</f>
        <v>Discs Shop</v>
      </c>
      <c r="K1850">
        <v>19007</v>
      </c>
      <c r="L1850" t="s">
        <v>881</v>
      </c>
      <c r="M1850" s="4">
        <v>44201</v>
      </c>
      <c r="N1850" s="12">
        <f t="shared" si="85"/>
        <v>1</v>
      </c>
      <c r="O1850" s="13">
        <f t="shared" si="86"/>
        <v>2021</v>
      </c>
      <c r="P1850" t="s">
        <v>13</v>
      </c>
      <c r="Q1850" t="s">
        <v>99</v>
      </c>
      <c r="R1850" t="s">
        <v>23</v>
      </c>
      <c r="S1850" t="str" cm="1">
        <f t="array" ref="S1850">_xlfn.IFS(R1850="COMPLETE", "COMPLETED", R1850="CANCELED", "CANCELED", TRUE, "PENDING")</f>
        <v>PENDING</v>
      </c>
      <c r="T1850" t="s">
        <v>16</v>
      </c>
      <c r="U1850">
        <f>VLOOKUP(A1850,ordered_items!$B:$E,4,0)</f>
        <v>260.64999999999998</v>
      </c>
    </row>
    <row r="1851" spans="1:21" x14ac:dyDescent="0.3">
      <c r="A1851">
        <v>75455</v>
      </c>
      <c r="B1851" t="s">
        <v>24</v>
      </c>
      <c r="C1851">
        <v>6</v>
      </c>
      <c r="D1851">
        <v>4</v>
      </c>
      <c r="E1851" t="str">
        <f t="shared" si="84"/>
        <v>DELAYED</v>
      </c>
      <c r="F1851">
        <f>VLOOKUP($A1851,ordered_items!$B$2:$E$4784,2,0)</f>
        <v>1358</v>
      </c>
      <c r="G1851">
        <f>VLOOKUP($A1851,ordered_items!$B$2:$E$4784,3,0)</f>
        <v>1</v>
      </c>
      <c r="H1851">
        <f>VLOOKUP($A1851,ordered_items!$B$2:$E$4784,4,0)</f>
        <v>260.64999999999998</v>
      </c>
      <c r="I1851" s="15">
        <f>VLOOKUP(F1851,product_info!$A$2:$D$73,4,0)</f>
        <v>9</v>
      </c>
      <c r="J1851" s="15" t="str">
        <f>VLOOKUP(I1851,department!$A$2:$B$13,2,0)</f>
        <v>Discs Shop</v>
      </c>
      <c r="K1851">
        <v>19008</v>
      </c>
      <c r="L1851" t="s">
        <v>881</v>
      </c>
      <c r="M1851" s="4">
        <v>44201</v>
      </c>
      <c r="N1851" s="12">
        <f t="shared" si="85"/>
        <v>1</v>
      </c>
      <c r="O1851" s="13">
        <f t="shared" si="86"/>
        <v>2021</v>
      </c>
      <c r="P1851" t="s">
        <v>13</v>
      </c>
      <c r="Q1851" t="s">
        <v>99</v>
      </c>
      <c r="R1851" t="s">
        <v>31</v>
      </c>
      <c r="S1851" t="str" cm="1">
        <f t="array" ref="S1851">_xlfn.IFS(R1851="COMPLETE", "COMPLETED", R1851="CANCELED", "CANCELED", TRUE, "PENDING")</f>
        <v>COMPLETED</v>
      </c>
      <c r="T1851" t="s">
        <v>16</v>
      </c>
      <c r="U1851">
        <f>VLOOKUP(A1851,ordered_items!$B:$E,4,0)</f>
        <v>260.64999999999998</v>
      </c>
    </row>
    <row r="1852" spans="1:21" x14ac:dyDescent="0.3">
      <c r="A1852">
        <v>75456</v>
      </c>
      <c r="B1852" t="s">
        <v>17</v>
      </c>
      <c r="C1852">
        <v>2</v>
      </c>
      <c r="D1852">
        <v>4</v>
      </c>
      <c r="E1852" t="str">
        <f t="shared" si="84"/>
        <v xml:space="preserve"> ONTIME</v>
      </c>
      <c r="F1852">
        <f>VLOOKUP($A1852,ordered_items!$B$2:$E$4784,2,0)</f>
        <v>1358</v>
      </c>
      <c r="G1852">
        <f>VLOOKUP($A1852,ordered_items!$B$2:$E$4784,3,0)</f>
        <v>1</v>
      </c>
      <c r="H1852">
        <f>VLOOKUP($A1852,ordered_items!$B$2:$E$4784,4,0)</f>
        <v>260.64999999999998</v>
      </c>
      <c r="I1852" s="15">
        <f>VLOOKUP(F1852,product_info!$A$2:$D$73,4,0)</f>
        <v>9</v>
      </c>
      <c r="J1852" s="15" t="str">
        <f>VLOOKUP(I1852,department!$A$2:$B$13,2,0)</f>
        <v>Discs Shop</v>
      </c>
      <c r="K1852">
        <v>19009</v>
      </c>
      <c r="L1852" t="s">
        <v>881</v>
      </c>
      <c r="M1852" s="4">
        <v>44201</v>
      </c>
      <c r="N1852" s="12">
        <f t="shared" si="85"/>
        <v>1</v>
      </c>
      <c r="O1852" s="13">
        <f t="shared" si="86"/>
        <v>2021</v>
      </c>
      <c r="P1852" t="s">
        <v>13</v>
      </c>
      <c r="Q1852" t="s">
        <v>99</v>
      </c>
      <c r="R1852" t="s">
        <v>23</v>
      </c>
      <c r="S1852" t="str" cm="1">
        <f t="array" ref="S1852">_xlfn.IFS(R1852="COMPLETE", "COMPLETED", R1852="CANCELED", "CANCELED", TRUE, "PENDING")</f>
        <v>PENDING</v>
      </c>
      <c r="T1852" t="s">
        <v>16</v>
      </c>
      <c r="U1852">
        <f>VLOOKUP(A1852,ordered_items!$B:$E,4,0)</f>
        <v>260.64999999999998</v>
      </c>
    </row>
    <row r="1853" spans="1:21" x14ac:dyDescent="0.3">
      <c r="A1853">
        <v>75462</v>
      </c>
      <c r="B1853" t="s">
        <v>51</v>
      </c>
      <c r="C1853">
        <v>2</v>
      </c>
      <c r="D1853">
        <v>1</v>
      </c>
      <c r="E1853" t="str">
        <f t="shared" si="84"/>
        <v>DELAYED</v>
      </c>
      <c r="F1853">
        <f>VLOOKUP($A1853,ordered_items!$B$2:$E$4784,2,0)</f>
        <v>1358</v>
      </c>
      <c r="G1853">
        <f>VLOOKUP($A1853,ordered_items!$B$2:$E$4784,3,0)</f>
        <v>1</v>
      </c>
      <c r="H1853">
        <f>VLOOKUP($A1853,ordered_items!$B$2:$E$4784,4,0)</f>
        <v>260.64999999999998</v>
      </c>
      <c r="I1853" s="15">
        <f>VLOOKUP(F1853,product_info!$A$2:$D$73,4,0)</f>
        <v>9</v>
      </c>
      <c r="J1853" s="15" t="str">
        <f>VLOOKUP(I1853,department!$A$2:$B$13,2,0)</f>
        <v>Discs Shop</v>
      </c>
      <c r="K1853">
        <v>19015</v>
      </c>
      <c r="L1853" t="s">
        <v>1848</v>
      </c>
      <c r="M1853" s="4">
        <v>44201</v>
      </c>
      <c r="N1853" s="12">
        <f t="shared" si="85"/>
        <v>1</v>
      </c>
      <c r="O1853" s="13">
        <f t="shared" si="86"/>
        <v>2021</v>
      </c>
      <c r="P1853" t="s">
        <v>13</v>
      </c>
      <c r="Q1853" t="s">
        <v>47</v>
      </c>
      <c r="R1853" t="s">
        <v>1275</v>
      </c>
      <c r="S1853" t="str" cm="1">
        <f t="array" ref="S1853">_xlfn.IFS(R1853="COMPLETE", "COMPLETED", R1853="CANCELED", "CANCELED", TRUE, "PENDING")</f>
        <v>PENDING</v>
      </c>
      <c r="T1853" t="s">
        <v>32</v>
      </c>
      <c r="U1853">
        <f>VLOOKUP(A1853,ordered_items!$B:$E,4,0)</f>
        <v>260.64999999999998</v>
      </c>
    </row>
    <row r="1854" spans="1:21" x14ac:dyDescent="0.3">
      <c r="A1854">
        <v>75464</v>
      </c>
      <c r="B1854" t="s">
        <v>3</v>
      </c>
      <c r="C1854">
        <v>2</v>
      </c>
      <c r="D1854">
        <v>1</v>
      </c>
      <c r="E1854" t="str">
        <f t="shared" si="84"/>
        <v>DELAYED</v>
      </c>
      <c r="F1854">
        <f>VLOOKUP($A1854,ordered_items!$B$2:$E$4784,2,0)</f>
        <v>1358</v>
      </c>
      <c r="G1854">
        <f>VLOOKUP($A1854,ordered_items!$B$2:$E$4784,3,0)</f>
        <v>1</v>
      </c>
      <c r="H1854">
        <f>VLOOKUP($A1854,ordered_items!$B$2:$E$4784,4,0)</f>
        <v>260.64999999999998</v>
      </c>
      <c r="I1854" s="15">
        <f>VLOOKUP(F1854,product_info!$A$2:$D$73,4,0)</f>
        <v>9</v>
      </c>
      <c r="J1854" s="15" t="str">
        <f>VLOOKUP(I1854,department!$A$2:$B$13,2,0)</f>
        <v>Discs Shop</v>
      </c>
      <c r="K1854">
        <v>19017</v>
      </c>
      <c r="L1854" t="s">
        <v>3018</v>
      </c>
      <c r="M1854" s="4">
        <v>44201</v>
      </c>
      <c r="N1854" s="12">
        <f t="shared" si="85"/>
        <v>1</v>
      </c>
      <c r="O1854" s="13">
        <f t="shared" si="86"/>
        <v>2021</v>
      </c>
      <c r="P1854" t="s">
        <v>13</v>
      </c>
      <c r="Q1854" t="s">
        <v>30</v>
      </c>
      <c r="R1854" t="s">
        <v>38</v>
      </c>
      <c r="S1854" t="str" cm="1">
        <f t="array" ref="S1854">_xlfn.IFS(R1854="COMPLETE", "COMPLETED", R1854="CANCELED", "CANCELED", TRUE, "PENDING")</f>
        <v>PENDING</v>
      </c>
      <c r="T1854" t="s">
        <v>32</v>
      </c>
      <c r="U1854">
        <f>VLOOKUP(A1854,ordered_items!$B:$E,4,0)</f>
        <v>260.64999999999998</v>
      </c>
    </row>
    <row r="1855" spans="1:21" x14ac:dyDescent="0.3">
      <c r="A1855">
        <v>75466</v>
      </c>
      <c r="B1855" t="s">
        <v>17</v>
      </c>
      <c r="C1855">
        <v>2</v>
      </c>
      <c r="D1855">
        <v>4</v>
      </c>
      <c r="E1855" t="str">
        <f t="shared" si="84"/>
        <v xml:space="preserve"> ONTIME</v>
      </c>
      <c r="F1855">
        <f>VLOOKUP($A1855,ordered_items!$B$2:$E$4784,2,0)</f>
        <v>1358</v>
      </c>
      <c r="G1855">
        <f>VLOOKUP($A1855,ordered_items!$B$2:$E$4784,3,0)</f>
        <v>1</v>
      </c>
      <c r="H1855">
        <f>VLOOKUP($A1855,ordered_items!$B$2:$E$4784,4,0)</f>
        <v>260.64999999999998</v>
      </c>
      <c r="I1855" s="15">
        <f>VLOOKUP(F1855,product_info!$A$2:$D$73,4,0)</f>
        <v>9</v>
      </c>
      <c r="J1855" s="15" t="str">
        <f>VLOOKUP(I1855,department!$A$2:$B$13,2,0)</f>
        <v>Discs Shop</v>
      </c>
      <c r="K1855">
        <v>19019</v>
      </c>
      <c r="L1855" t="s">
        <v>409</v>
      </c>
      <c r="M1855" s="4">
        <v>44201</v>
      </c>
      <c r="N1855" s="12">
        <f t="shared" si="85"/>
        <v>1</v>
      </c>
      <c r="O1855" s="13">
        <f t="shared" si="86"/>
        <v>2021</v>
      </c>
      <c r="P1855" t="s">
        <v>13</v>
      </c>
      <c r="Q1855" t="s">
        <v>410</v>
      </c>
      <c r="R1855" t="s">
        <v>23</v>
      </c>
      <c r="S1855" t="str" cm="1">
        <f t="array" ref="S1855">_xlfn.IFS(R1855="COMPLETE", "COMPLETED", R1855="CANCELED", "CANCELED", TRUE, "PENDING")</f>
        <v>PENDING</v>
      </c>
      <c r="T1855" t="s">
        <v>16</v>
      </c>
      <c r="U1855">
        <f>VLOOKUP(A1855,ordered_items!$B:$E,4,0)</f>
        <v>260.64999999999998</v>
      </c>
    </row>
    <row r="1856" spans="1:21" x14ac:dyDescent="0.3">
      <c r="A1856">
        <v>75467</v>
      </c>
      <c r="B1856" t="s">
        <v>17</v>
      </c>
      <c r="C1856">
        <v>3</v>
      </c>
      <c r="D1856">
        <v>4</v>
      </c>
      <c r="E1856" t="str">
        <f t="shared" si="84"/>
        <v xml:space="preserve"> ONTIME</v>
      </c>
      <c r="F1856">
        <f>VLOOKUP($A1856,ordered_items!$B$2:$E$4784,2,0)</f>
        <v>1358</v>
      </c>
      <c r="G1856">
        <f>VLOOKUP($A1856,ordered_items!$B$2:$E$4784,3,0)</f>
        <v>1</v>
      </c>
      <c r="H1856">
        <f>VLOOKUP($A1856,ordered_items!$B$2:$E$4784,4,0)</f>
        <v>260.64999999999998</v>
      </c>
      <c r="I1856" s="15">
        <f>VLOOKUP(F1856,product_info!$A$2:$D$73,4,0)</f>
        <v>9</v>
      </c>
      <c r="J1856" s="15" t="str">
        <f>VLOOKUP(I1856,department!$A$2:$B$13,2,0)</f>
        <v>Discs Shop</v>
      </c>
      <c r="K1856">
        <v>19020</v>
      </c>
      <c r="L1856" t="s">
        <v>409</v>
      </c>
      <c r="M1856" s="4">
        <v>44201</v>
      </c>
      <c r="N1856" s="12">
        <f t="shared" si="85"/>
        <v>1</v>
      </c>
      <c r="O1856" s="13">
        <f t="shared" si="86"/>
        <v>2021</v>
      </c>
      <c r="P1856" t="s">
        <v>13</v>
      </c>
      <c r="Q1856" t="s">
        <v>410</v>
      </c>
      <c r="R1856" t="s">
        <v>23</v>
      </c>
      <c r="S1856" t="str" cm="1">
        <f t="array" ref="S1856">_xlfn.IFS(R1856="COMPLETE", "COMPLETED", R1856="CANCELED", "CANCELED", TRUE, "PENDING")</f>
        <v>PENDING</v>
      </c>
      <c r="T1856" t="s">
        <v>16</v>
      </c>
      <c r="U1856">
        <f>VLOOKUP(A1856,ordered_items!$B:$E,4,0)</f>
        <v>260.64999999999998</v>
      </c>
    </row>
    <row r="1857" spans="1:21" x14ac:dyDescent="0.3">
      <c r="A1857">
        <v>75468</v>
      </c>
      <c r="B1857" t="s">
        <v>51</v>
      </c>
      <c r="C1857">
        <v>4</v>
      </c>
      <c r="D1857">
        <v>4</v>
      </c>
      <c r="E1857" t="str">
        <f t="shared" si="84"/>
        <v xml:space="preserve"> ONTIME</v>
      </c>
      <c r="F1857">
        <f>VLOOKUP($A1857,ordered_items!$B$2:$E$4784,2,0)</f>
        <v>1358</v>
      </c>
      <c r="G1857">
        <f>VLOOKUP($A1857,ordered_items!$B$2:$E$4784,3,0)</f>
        <v>1</v>
      </c>
      <c r="H1857">
        <f>VLOOKUP($A1857,ordered_items!$B$2:$E$4784,4,0)</f>
        <v>260.64999999999998</v>
      </c>
      <c r="I1857" s="15">
        <f>VLOOKUP(F1857,product_info!$A$2:$D$73,4,0)</f>
        <v>9</v>
      </c>
      <c r="J1857" s="15" t="str">
        <f>VLOOKUP(I1857,department!$A$2:$B$13,2,0)</f>
        <v>Discs Shop</v>
      </c>
      <c r="K1857">
        <v>19021</v>
      </c>
      <c r="L1857" t="s">
        <v>409</v>
      </c>
      <c r="M1857" s="4">
        <v>44201</v>
      </c>
      <c r="N1857" s="12">
        <f t="shared" si="85"/>
        <v>1</v>
      </c>
      <c r="O1857" s="13">
        <f t="shared" si="86"/>
        <v>2021</v>
      </c>
      <c r="P1857" t="s">
        <v>13</v>
      </c>
      <c r="Q1857" t="s">
        <v>410</v>
      </c>
      <c r="R1857" t="s">
        <v>57</v>
      </c>
      <c r="S1857" t="str" cm="1">
        <f t="array" ref="S1857">_xlfn.IFS(R1857="COMPLETE", "COMPLETED", R1857="CANCELED", "CANCELED", TRUE, "PENDING")</f>
        <v>PENDING</v>
      </c>
      <c r="T1857" t="s">
        <v>16</v>
      </c>
      <c r="U1857">
        <f>VLOOKUP(A1857,ordered_items!$B:$E,4,0)</f>
        <v>260.64999999999998</v>
      </c>
    </row>
    <row r="1858" spans="1:21" x14ac:dyDescent="0.3">
      <c r="A1858">
        <v>75479</v>
      </c>
      <c r="B1858" t="s">
        <v>3</v>
      </c>
      <c r="C1858">
        <v>5</v>
      </c>
      <c r="D1858">
        <v>2</v>
      </c>
      <c r="E1858" t="str">
        <f t="shared" si="84"/>
        <v>DELAYED</v>
      </c>
      <c r="F1858">
        <f>VLOOKUP($A1858,ordered_items!$B$2:$E$4784,2,0)</f>
        <v>1358</v>
      </c>
      <c r="G1858">
        <f>VLOOKUP($A1858,ordered_items!$B$2:$E$4784,3,0)</f>
        <v>1</v>
      </c>
      <c r="H1858">
        <f>VLOOKUP($A1858,ordered_items!$B$2:$E$4784,4,0)</f>
        <v>260.64999999999998</v>
      </c>
      <c r="I1858" s="15">
        <f>VLOOKUP(F1858,product_info!$A$2:$D$73,4,0)</f>
        <v>9</v>
      </c>
      <c r="J1858" s="15" t="str">
        <f>VLOOKUP(I1858,department!$A$2:$B$13,2,0)</f>
        <v>Discs Shop</v>
      </c>
      <c r="K1858">
        <v>19032</v>
      </c>
      <c r="L1858" t="s">
        <v>226</v>
      </c>
      <c r="M1858" s="4">
        <v>44201</v>
      </c>
      <c r="N1858" s="12">
        <f t="shared" si="85"/>
        <v>1</v>
      </c>
      <c r="O1858" s="13">
        <f t="shared" si="86"/>
        <v>2021</v>
      </c>
      <c r="P1858" t="s">
        <v>13</v>
      </c>
      <c r="Q1858" t="s">
        <v>30</v>
      </c>
      <c r="R1858" t="s">
        <v>38</v>
      </c>
      <c r="S1858" t="str" cm="1">
        <f t="array" ref="S1858">_xlfn.IFS(R1858="COMPLETE", "COMPLETED", R1858="CANCELED", "CANCELED", TRUE, "PENDING")</f>
        <v>PENDING</v>
      </c>
      <c r="T1858" t="s">
        <v>90</v>
      </c>
      <c r="U1858">
        <f>VLOOKUP(A1858,ordered_items!$B:$E,4,0)</f>
        <v>260.64999999999998</v>
      </c>
    </row>
    <row r="1859" spans="1:21" x14ac:dyDescent="0.3">
      <c r="A1859">
        <v>75480</v>
      </c>
      <c r="B1859" t="s">
        <v>51</v>
      </c>
      <c r="C1859">
        <v>6</v>
      </c>
      <c r="D1859">
        <v>4</v>
      </c>
      <c r="E1859" t="str">
        <f t="shared" ref="E1859:E1922" si="87">IF(C1859-D1859&gt;0,"DELAYED"," ONTIME")</f>
        <v>DELAYED</v>
      </c>
      <c r="F1859">
        <f>VLOOKUP($A1859,ordered_items!$B$2:$E$4784,2,0)</f>
        <v>1358</v>
      </c>
      <c r="G1859">
        <f>VLOOKUP($A1859,ordered_items!$B$2:$E$4784,3,0)</f>
        <v>1</v>
      </c>
      <c r="H1859">
        <f>VLOOKUP($A1859,ordered_items!$B$2:$E$4784,4,0)</f>
        <v>260.64999999999998</v>
      </c>
      <c r="I1859" s="15">
        <f>VLOOKUP(F1859,product_info!$A$2:$D$73,4,0)</f>
        <v>9</v>
      </c>
      <c r="J1859" s="15" t="str">
        <f>VLOOKUP(I1859,department!$A$2:$B$13,2,0)</f>
        <v>Discs Shop</v>
      </c>
      <c r="K1859">
        <v>19033</v>
      </c>
      <c r="L1859" t="s">
        <v>226</v>
      </c>
      <c r="M1859" s="4">
        <v>44201</v>
      </c>
      <c r="N1859" s="12">
        <f t="shared" ref="N1859:N1922" si="88">MONTH(M1859)</f>
        <v>1</v>
      </c>
      <c r="O1859" s="13">
        <f t="shared" ref="O1859:O1922" si="89">YEAR(M1859)</f>
        <v>2021</v>
      </c>
      <c r="P1859" t="s">
        <v>13</v>
      </c>
      <c r="Q1859" t="s">
        <v>30</v>
      </c>
      <c r="R1859" t="s">
        <v>57</v>
      </c>
      <c r="S1859" t="str" cm="1">
        <f t="array" ref="S1859">_xlfn.IFS(R1859="COMPLETE", "COMPLETED", R1859="CANCELED", "CANCELED", TRUE, "PENDING")</f>
        <v>PENDING</v>
      </c>
      <c r="T1859" t="s">
        <v>16</v>
      </c>
      <c r="U1859">
        <f>VLOOKUP(A1859,ordered_items!$B:$E,4,0)</f>
        <v>260.64999999999998</v>
      </c>
    </row>
    <row r="1860" spans="1:21" x14ac:dyDescent="0.3">
      <c r="A1860">
        <v>75485</v>
      </c>
      <c r="B1860" t="s">
        <v>24</v>
      </c>
      <c r="C1860">
        <v>2</v>
      </c>
      <c r="D1860">
        <v>1</v>
      </c>
      <c r="E1860" t="str">
        <f t="shared" si="87"/>
        <v>DELAYED</v>
      </c>
      <c r="F1860">
        <f>VLOOKUP($A1860,ordered_items!$B$2:$E$4784,2,0)</f>
        <v>1359</v>
      </c>
      <c r="G1860">
        <f>VLOOKUP($A1860,ordered_items!$B$2:$E$4784,3,0)</f>
        <v>1</v>
      </c>
      <c r="H1860">
        <f>VLOOKUP($A1860,ordered_items!$B$2:$E$4784,4,0)</f>
        <v>84.4</v>
      </c>
      <c r="I1860" s="15">
        <f>VLOOKUP(F1860,product_info!$A$2:$D$73,4,0)</f>
        <v>11</v>
      </c>
      <c r="J1860" s="15" t="str">
        <f>VLOOKUP(I1860,department!$A$2:$B$13,2,0)</f>
        <v>Pet Shop</v>
      </c>
      <c r="K1860">
        <v>19038</v>
      </c>
      <c r="L1860" t="s">
        <v>764</v>
      </c>
      <c r="M1860" s="4">
        <v>44201</v>
      </c>
      <c r="N1860" s="12">
        <f t="shared" si="88"/>
        <v>1</v>
      </c>
      <c r="O1860" s="13">
        <f t="shared" si="89"/>
        <v>2021</v>
      </c>
      <c r="P1860" t="s">
        <v>13</v>
      </c>
      <c r="Q1860" t="s">
        <v>30</v>
      </c>
      <c r="R1860" t="s">
        <v>31</v>
      </c>
      <c r="S1860" t="str" cm="1">
        <f t="array" ref="S1860">_xlfn.IFS(R1860="COMPLETE", "COMPLETED", R1860="CANCELED", "CANCELED", TRUE, "PENDING")</f>
        <v>COMPLETED</v>
      </c>
      <c r="T1860" t="s">
        <v>32</v>
      </c>
      <c r="U1860">
        <f>VLOOKUP(A1860,ordered_items!$B:$E,4,0)</f>
        <v>84.4</v>
      </c>
    </row>
    <row r="1861" spans="1:21" x14ac:dyDescent="0.3">
      <c r="A1861">
        <v>75490</v>
      </c>
      <c r="B1861" t="s">
        <v>24</v>
      </c>
      <c r="C1861">
        <v>6</v>
      </c>
      <c r="D1861">
        <v>4</v>
      </c>
      <c r="E1861" t="str">
        <f t="shared" si="87"/>
        <v>DELAYED</v>
      </c>
      <c r="F1861">
        <f>VLOOKUP($A1861,ordered_items!$B$2:$E$4784,2,0)</f>
        <v>1359</v>
      </c>
      <c r="G1861">
        <f>VLOOKUP($A1861,ordered_items!$B$2:$E$4784,3,0)</f>
        <v>1</v>
      </c>
      <c r="H1861">
        <f>VLOOKUP($A1861,ordered_items!$B$2:$E$4784,4,0)</f>
        <v>84.4</v>
      </c>
      <c r="I1861" s="15">
        <f>VLOOKUP(F1861,product_info!$A$2:$D$73,4,0)</f>
        <v>11</v>
      </c>
      <c r="J1861" s="15" t="str">
        <f>VLOOKUP(I1861,department!$A$2:$B$13,2,0)</f>
        <v>Pet Shop</v>
      </c>
      <c r="K1861">
        <v>19043</v>
      </c>
      <c r="L1861" t="s">
        <v>405</v>
      </c>
      <c r="M1861" s="4">
        <v>44201</v>
      </c>
      <c r="N1861" s="12">
        <f t="shared" si="88"/>
        <v>1</v>
      </c>
      <c r="O1861" s="13">
        <f t="shared" si="89"/>
        <v>2021</v>
      </c>
      <c r="P1861" t="s">
        <v>13</v>
      </c>
      <c r="Q1861" t="s">
        <v>130</v>
      </c>
      <c r="R1861" t="s">
        <v>378</v>
      </c>
      <c r="S1861" t="str" cm="1">
        <f t="array" ref="S1861">_xlfn.IFS(R1861="COMPLETE", "COMPLETED", R1861="CANCELED", "CANCELED", TRUE, "PENDING")</f>
        <v>PENDING</v>
      </c>
      <c r="T1861" t="s">
        <v>16</v>
      </c>
      <c r="U1861">
        <f>VLOOKUP(A1861,ordered_items!$B:$E,4,0)</f>
        <v>84.4</v>
      </c>
    </row>
    <row r="1862" spans="1:21" x14ac:dyDescent="0.3">
      <c r="A1862">
        <v>75492</v>
      </c>
      <c r="B1862" t="s">
        <v>24</v>
      </c>
      <c r="C1862">
        <v>3</v>
      </c>
      <c r="D1862">
        <v>2</v>
      </c>
      <c r="E1862" t="str">
        <f t="shared" si="87"/>
        <v>DELAYED</v>
      </c>
      <c r="F1862">
        <f>VLOOKUP($A1862,ordered_items!$B$2:$E$4784,2,0)</f>
        <v>1359</v>
      </c>
      <c r="G1862">
        <f>VLOOKUP($A1862,ordered_items!$B$2:$E$4784,3,0)</f>
        <v>1</v>
      </c>
      <c r="H1862">
        <f>VLOOKUP($A1862,ordered_items!$B$2:$E$4784,4,0)</f>
        <v>84.4</v>
      </c>
      <c r="I1862" s="15">
        <f>VLOOKUP(F1862,product_info!$A$2:$D$73,4,0)</f>
        <v>11</v>
      </c>
      <c r="J1862" s="15" t="str">
        <f>VLOOKUP(I1862,department!$A$2:$B$13,2,0)</f>
        <v>Pet Shop</v>
      </c>
      <c r="K1862">
        <v>19045</v>
      </c>
      <c r="L1862" t="s">
        <v>262</v>
      </c>
      <c r="M1862" s="4">
        <v>44201</v>
      </c>
      <c r="N1862" s="12">
        <f t="shared" si="88"/>
        <v>1</v>
      </c>
      <c r="O1862" s="13">
        <f t="shared" si="89"/>
        <v>2021</v>
      </c>
      <c r="P1862" t="s">
        <v>13</v>
      </c>
      <c r="Q1862" t="s">
        <v>30</v>
      </c>
      <c r="R1862" t="s">
        <v>31</v>
      </c>
      <c r="S1862" t="str" cm="1">
        <f t="array" ref="S1862">_xlfn.IFS(R1862="COMPLETE", "COMPLETED", R1862="CANCELED", "CANCELED", TRUE, "PENDING")</f>
        <v>COMPLETED</v>
      </c>
      <c r="T1862" t="s">
        <v>90</v>
      </c>
      <c r="U1862">
        <f>VLOOKUP(A1862,ordered_items!$B:$E,4,0)</f>
        <v>84.4</v>
      </c>
    </row>
    <row r="1863" spans="1:21" x14ac:dyDescent="0.3">
      <c r="A1863">
        <v>75493</v>
      </c>
      <c r="B1863" t="s">
        <v>51</v>
      </c>
      <c r="C1863">
        <v>4</v>
      </c>
      <c r="D1863">
        <v>2</v>
      </c>
      <c r="E1863" t="str">
        <f t="shared" si="87"/>
        <v>DELAYED</v>
      </c>
      <c r="F1863">
        <f>VLOOKUP($A1863,ordered_items!$B$2:$E$4784,2,0)</f>
        <v>1359</v>
      </c>
      <c r="G1863">
        <f>VLOOKUP($A1863,ordered_items!$B$2:$E$4784,3,0)</f>
        <v>1</v>
      </c>
      <c r="H1863">
        <f>VLOOKUP($A1863,ordered_items!$B$2:$E$4784,4,0)</f>
        <v>84.4</v>
      </c>
      <c r="I1863" s="15">
        <f>VLOOKUP(F1863,product_info!$A$2:$D$73,4,0)</f>
        <v>11</v>
      </c>
      <c r="J1863" s="15" t="str">
        <f>VLOOKUP(I1863,department!$A$2:$B$13,2,0)</f>
        <v>Pet Shop</v>
      </c>
      <c r="K1863">
        <v>19046</v>
      </c>
      <c r="L1863" t="s">
        <v>262</v>
      </c>
      <c r="M1863" s="4">
        <v>44202</v>
      </c>
      <c r="N1863" s="12">
        <f t="shared" si="88"/>
        <v>1</v>
      </c>
      <c r="O1863" s="13">
        <f t="shared" si="89"/>
        <v>2021</v>
      </c>
      <c r="P1863" t="s">
        <v>13</v>
      </c>
      <c r="Q1863" t="s">
        <v>30</v>
      </c>
      <c r="R1863" t="s">
        <v>57</v>
      </c>
      <c r="S1863" t="str" cm="1">
        <f t="array" ref="S1863">_xlfn.IFS(R1863="COMPLETE", "COMPLETED", R1863="CANCELED", "CANCELED", TRUE, "PENDING")</f>
        <v>PENDING</v>
      </c>
      <c r="T1863" t="s">
        <v>90</v>
      </c>
      <c r="U1863">
        <f>VLOOKUP(A1863,ordered_items!$B:$E,4,0)</f>
        <v>84.4</v>
      </c>
    </row>
    <row r="1864" spans="1:21" x14ac:dyDescent="0.3">
      <c r="A1864">
        <v>75494</v>
      </c>
      <c r="B1864" t="s">
        <v>51</v>
      </c>
      <c r="C1864">
        <v>5</v>
      </c>
      <c r="D1864">
        <v>2</v>
      </c>
      <c r="E1864" t="str">
        <f t="shared" si="87"/>
        <v>DELAYED</v>
      </c>
      <c r="F1864">
        <f>VLOOKUP($A1864,ordered_items!$B$2:$E$4784,2,0)</f>
        <v>1359</v>
      </c>
      <c r="G1864">
        <f>VLOOKUP($A1864,ordered_items!$B$2:$E$4784,3,0)</f>
        <v>1</v>
      </c>
      <c r="H1864">
        <f>VLOOKUP($A1864,ordered_items!$B$2:$E$4784,4,0)</f>
        <v>84.4</v>
      </c>
      <c r="I1864" s="15">
        <f>VLOOKUP(F1864,product_info!$A$2:$D$73,4,0)</f>
        <v>11</v>
      </c>
      <c r="J1864" s="15" t="str">
        <f>VLOOKUP(I1864,department!$A$2:$B$13,2,0)</f>
        <v>Pet Shop</v>
      </c>
      <c r="K1864">
        <v>19047</v>
      </c>
      <c r="L1864" t="s">
        <v>262</v>
      </c>
      <c r="M1864" s="4">
        <v>44202</v>
      </c>
      <c r="N1864" s="12">
        <f t="shared" si="88"/>
        <v>1</v>
      </c>
      <c r="O1864" s="13">
        <f t="shared" si="89"/>
        <v>2021</v>
      </c>
      <c r="P1864" t="s">
        <v>13</v>
      </c>
      <c r="Q1864" t="s">
        <v>30</v>
      </c>
      <c r="R1864" t="s">
        <v>57</v>
      </c>
      <c r="S1864" t="str" cm="1">
        <f t="array" ref="S1864">_xlfn.IFS(R1864="COMPLETE", "COMPLETED", R1864="CANCELED", "CANCELED", TRUE, "PENDING")</f>
        <v>PENDING</v>
      </c>
      <c r="T1864" t="s">
        <v>90</v>
      </c>
      <c r="U1864">
        <f>VLOOKUP(A1864,ordered_items!$B:$E,4,0)</f>
        <v>84.4</v>
      </c>
    </row>
    <row r="1865" spans="1:21" x14ac:dyDescent="0.3">
      <c r="A1865">
        <v>75525</v>
      </c>
      <c r="B1865" t="s">
        <v>17</v>
      </c>
      <c r="C1865">
        <v>6</v>
      </c>
      <c r="D1865">
        <v>4</v>
      </c>
      <c r="E1865" t="str">
        <f t="shared" si="87"/>
        <v>DELAYED</v>
      </c>
      <c r="F1865">
        <f>VLOOKUP($A1865,ordered_items!$B$2:$E$4784,2,0)</f>
        <v>1359</v>
      </c>
      <c r="G1865">
        <f>VLOOKUP($A1865,ordered_items!$B$2:$E$4784,3,0)</f>
        <v>1</v>
      </c>
      <c r="H1865">
        <f>VLOOKUP($A1865,ordered_items!$B$2:$E$4784,4,0)</f>
        <v>84.4</v>
      </c>
      <c r="I1865" s="15">
        <f>VLOOKUP(F1865,product_info!$A$2:$D$73,4,0)</f>
        <v>11</v>
      </c>
      <c r="J1865" s="15" t="str">
        <f>VLOOKUP(I1865,department!$A$2:$B$13,2,0)</f>
        <v>Pet Shop</v>
      </c>
      <c r="K1865">
        <v>19078</v>
      </c>
      <c r="L1865" t="s">
        <v>136</v>
      </c>
      <c r="M1865" s="4">
        <v>44202</v>
      </c>
      <c r="N1865" s="12">
        <f t="shared" si="88"/>
        <v>1</v>
      </c>
      <c r="O1865" s="13">
        <f t="shared" si="89"/>
        <v>2021</v>
      </c>
      <c r="P1865" t="s">
        <v>13</v>
      </c>
      <c r="Q1865" t="s">
        <v>47</v>
      </c>
      <c r="R1865" t="s">
        <v>23</v>
      </c>
      <c r="S1865" t="str" cm="1">
        <f t="array" ref="S1865">_xlfn.IFS(R1865="COMPLETE", "COMPLETED", R1865="CANCELED", "CANCELED", TRUE, "PENDING")</f>
        <v>PENDING</v>
      </c>
      <c r="T1865" t="s">
        <v>16</v>
      </c>
      <c r="U1865">
        <f>VLOOKUP(A1865,ordered_items!$B:$E,4,0)</f>
        <v>84.4</v>
      </c>
    </row>
    <row r="1866" spans="1:21" x14ac:dyDescent="0.3">
      <c r="A1866">
        <v>75526</v>
      </c>
      <c r="B1866" t="s">
        <v>24</v>
      </c>
      <c r="C1866">
        <v>0</v>
      </c>
      <c r="D1866">
        <v>0</v>
      </c>
      <c r="E1866" t="str">
        <f t="shared" si="87"/>
        <v xml:space="preserve"> ONTIME</v>
      </c>
      <c r="F1866">
        <f>VLOOKUP($A1866,ordered_items!$B$2:$E$4784,2,0)</f>
        <v>1359</v>
      </c>
      <c r="G1866">
        <f>VLOOKUP($A1866,ordered_items!$B$2:$E$4784,3,0)</f>
        <v>1</v>
      </c>
      <c r="H1866">
        <f>VLOOKUP($A1866,ordered_items!$B$2:$E$4784,4,0)</f>
        <v>84.4</v>
      </c>
      <c r="I1866" s="15">
        <f>VLOOKUP(F1866,product_info!$A$2:$D$73,4,0)</f>
        <v>11</v>
      </c>
      <c r="J1866" s="15" t="str">
        <f>VLOOKUP(I1866,department!$A$2:$B$13,2,0)</f>
        <v>Pet Shop</v>
      </c>
      <c r="K1866">
        <v>19079</v>
      </c>
      <c r="L1866" t="s">
        <v>136</v>
      </c>
      <c r="M1866" s="4">
        <v>44202</v>
      </c>
      <c r="N1866" s="12">
        <f t="shared" si="88"/>
        <v>1</v>
      </c>
      <c r="O1866" s="13">
        <f t="shared" si="89"/>
        <v>2021</v>
      </c>
      <c r="P1866" t="s">
        <v>13</v>
      </c>
      <c r="Q1866" t="s">
        <v>47</v>
      </c>
      <c r="R1866" t="s">
        <v>378</v>
      </c>
      <c r="S1866" t="str" cm="1">
        <f t="array" ref="S1866">_xlfn.IFS(R1866="COMPLETE", "COMPLETED", R1866="CANCELED", "CANCELED", TRUE, "PENDING")</f>
        <v>PENDING</v>
      </c>
      <c r="T1866" t="s">
        <v>58</v>
      </c>
      <c r="U1866">
        <f>VLOOKUP(A1866,ordered_items!$B:$E,4,0)</f>
        <v>84.4</v>
      </c>
    </row>
    <row r="1867" spans="1:21" x14ac:dyDescent="0.3">
      <c r="A1867">
        <v>75527</v>
      </c>
      <c r="B1867" t="s">
        <v>24</v>
      </c>
      <c r="C1867">
        <v>1</v>
      </c>
      <c r="D1867">
        <v>0</v>
      </c>
      <c r="E1867" t="str">
        <f t="shared" si="87"/>
        <v>DELAYED</v>
      </c>
      <c r="F1867">
        <f>VLOOKUP($A1867,ordered_items!$B$2:$E$4784,2,0)</f>
        <v>1359</v>
      </c>
      <c r="G1867">
        <f>VLOOKUP($A1867,ordered_items!$B$2:$E$4784,3,0)</f>
        <v>1</v>
      </c>
      <c r="H1867">
        <f>VLOOKUP($A1867,ordered_items!$B$2:$E$4784,4,0)</f>
        <v>84.4</v>
      </c>
      <c r="I1867" s="15">
        <f>VLOOKUP(F1867,product_info!$A$2:$D$73,4,0)</f>
        <v>11</v>
      </c>
      <c r="J1867" s="15" t="str">
        <f>VLOOKUP(I1867,department!$A$2:$B$13,2,0)</f>
        <v>Pet Shop</v>
      </c>
      <c r="K1867">
        <v>19080</v>
      </c>
      <c r="L1867" t="s">
        <v>136</v>
      </c>
      <c r="M1867" s="4">
        <v>44202</v>
      </c>
      <c r="N1867" s="12">
        <f t="shared" si="88"/>
        <v>1</v>
      </c>
      <c r="O1867" s="13">
        <f t="shared" si="89"/>
        <v>2021</v>
      </c>
      <c r="P1867" t="s">
        <v>13</v>
      </c>
      <c r="Q1867" t="s">
        <v>47</v>
      </c>
      <c r="R1867" t="s">
        <v>31</v>
      </c>
      <c r="S1867" t="str" cm="1">
        <f t="array" ref="S1867">_xlfn.IFS(R1867="COMPLETE", "COMPLETED", R1867="CANCELED", "CANCELED", TRUE, "PENDING")</f>
        <v>COMPLETED</v>
      </c>
      <c r="T1867" t="s">
        <v>58</v>
      </c>
      <c r="U1867">
        <f>VLOOKUP(A1867,ordered_items!$B:$E,4,0)</f>
        <v>84.4</v>
      </c>
    </row>
    <row r="1868" spans="1:21" x14ac:dyDescent="0.3">
      <c r="A1868">
        <v>75528</v>
      </c>
      <c r="B1868" t="s">
        <v>3</v>
      </c>
      <c r="C1868">
        <v>2</v>
      </c>
      <c r="D1868">
        <v>1</v>
      </c>
      <c r="E1868" t="str">
        <f t="shared" si="87"/>
        <v>DELAYED</v>
      </c>
      <c r="F1868">
        <f>VLOOKUP($A1868,ordered_items!$B$2:$E$4784,2,0)</f>
        <v>1359</v>
      </c>
      <c r="G1868">
        <f>VLOOKUP($A1868,ordered_items!$B$2:$E$4784,3,0)</f>
        <v>1</v>
      </c>
      <c r="H1868">
        <f>VLOOKUP($A1868,ordered_items!$B$2:$E$4784,4,0)</f>
        <v>84.4</v>
      </c>
      <c r="I1868" s="15">
        <f>VLOOKUP(F1868,product_info!$A$2:$D$73,4,0)</f>
        <v>11</v>
      </c>
      <c r="J1868" s="15" t="str">
        <f>VLOOKUP(I1868,department!$A$2:$B$13,2,0)</f>
        <v>Pet Shop</v>
      </c>
      <c r="K1868">
        <v>19081</v>
      </c>
      <c r="L1868" t="s">
        <v>136</v>
      </c>
      <c r="M1868" s="4">
        <v>44202</v>
      </c>
      <c r="N1868" s="12">
        <f t="shared" si="88"/>
        <v>1</v>
      </c>
      <c r="O1868" s="13">
        <f t="shared" si="89"/>
        <v>2021</v>
      </c>
      <c r="P1868" t="s">
        <v>13</v>
      </c>
      <c r="Q1868" t="s">
        <v>47</v>
      </c>
      <c r="R1868" t="s">
        <v>14</v>
      </c>
      <c r="S1868" t="str" cm="1">
        <f t="array" ref="S1868">_xlfn.IFS(R1868="COMPLETE", "COMPLETED", R1868="CANCELED", "CANCELED", TRUE, "PENDING")</f>
        <v>PENDING</v>
      </c>
      <c r="T1868" t="s">
        <v>32</v>
      </c>
      <c r="U1868">
        <f>VLOOKUP(A1868,ordered_items!$B:$E,4,0)</f>
        <v>84.4</v>
      </c>
    </row>
    <row r="1869" spans="1:21" x14ac:dyDescent="0.3">
      <c r="A1869">
        <v>75539</v>
      </c>
      <c r="B1869" t="s">
        <v>24</v>
      </c>
      <c r="C1869">
        <v>5</v>
      </c>
      <c r="D1869">
        <v>4</v>
      </c>
      <c r="E1869" t="str">
        <f t="shared" si="87"/>
        <v>DELAYED</v>
      </c>
      <c r="F1869">
        <f>VLOOKUP($A1869,ordered_items!$B$2:$E$4784,2,0)</f>
        <v>1359</v>
      </c>
      <c r="G1869">
        <f>VLOOKUP($A1869,ordered_items!$B$2:$E$4784,3,0)</f>
        <v>1</v>
      </c>
      <c r="H1869">
        <f>VLOOKUP($A1869,ordered_items!$B$2:$E$4784,4,0)</f>
        <v>84.4</v>
      </c>
      <c r="I1869" s="15">
        <f>VLOOKUP(F1869,product_info!$A$2:$D$73,4,0)</f>
        <v>11</v>
      </c>
      <c r="J1869" s="15" t="str">
        <f>VLOOKUP(I1869,department!$A$2:$B$13,2,0)</f>
        <v>Pet Shop</v>
      </c>
      <c r="K1869">
        <v>19092</v>
      </c>
      <c r="L1869" t="s">
        <v>124</v>
      </c>
      <c r="M1869" s="4">
        <v>44202</v>
      </c>
      <c r="N1869" s="12">
        <f t="shared" si="88"/>
        <v>1</v>
      </c>
      <c r="O1869" s="13">
        <f t="shared" si="89"/>
        <v>2021</v>
      </c>
      <c r="P1869" t="s">
        <v>13</v>
      </c>
      <c r="Q1869" t="s">
        <v>5778</v>
      </c>
      <c r="R1869" t="s">
        <v>31</v>
      </c>
      <c r="S1869" t="str" cm="1">
        <f t="array" ref="S1869">_xlfn.IFS(R1869="COMPLETE", "COMPLETED", R1869="CANCELED", "CANCELED", TRUE, "PENDING")</f>
        <v>COMPLETED</v>
      </c>
      <c r="T1869" t="s">
        <v>16</v>
      </c>
      <c r="U1869">
        <f>VLOOKUP(A1869,ordered_items!$B:$E,4,0)</f>
        <v>84.4</v>
      </c>
    </row>
    <row r="1870" spans="1:21" x14ac:dyDescent="0.3">
      <c r="A1870">
        <v>75540</v>
      </c>
      <c r="B1870" t="s">
        <v>3</v>
      </c>
      <c r="C1870">
        <v>6</v>
      </c>
      <c r="D1870">
        <v>4</v>
      </c>
      <c r="E1870" t="str">
        <f t="shared" si="87"/>
        <v>DELAYED</v>
      </c>
      <c r="F1870">
        <f>VLOOKUP($A1870,ordered_items!$B$2:$E$4784,2,0)</f>
        <v>1359</v>
      </c>
      <c r="G1870">
        <f>VLOOKUP($A1870,ordered_items!$B$2:$E$4784,3,0)</f>
        <v>1</v>
      </c>
      <c r="H1870">
        <f>VLOOKUP($A1870,ordered_items!$B$2:$E$4784,4,0)</f>
        <v>84.4</v>
      </c>
      <c r="I1870" s="15">
        <f>VLOOKUP(F1870,product_info!$A$2:$D$73,4,0)</f>
        <v>11</v>
      </c>
      <c r="J1870" s="15" t="str">
        <f>VLOOKUP(I1870,department!$A$2:$B$13,2,0)</f>
        <v>Pet Shop</v>
      </c>
      <c r="K1870">
        <v>19093</v>
      </c>
      <c r="L1870" t="s">
        <v>124</v>
      </c>
      <c r="M1870" s="4">
        <v>44202</v>
      </c>
      <c r="N1870" s="12">
        <f t="shared" si="88"/>
        <v>1</v>
      </c>
      <c r="O1870" s="13">
        <f t="shared" si="89"/>
        <v>2021</v>
      </c>
      <c r="P1870" t="s">
        <v>13</v>
      </c>
      <c r="Q1870" t="s">
        <v>5778</v>
      </c>
      <c r="R1870" t="s">
        <v>14</v>
      </c>
      <c r="S1870" t="str" cm="1">
        <f t="array" ref="S1870">_xlfn.IFS(R1870="COMPLETE", "COMPLETED", R1870="CANCELED", "CANCELED", TRUE, "PENDING")</f>
        <v>PENDING</v>
      </c>
      <c r="T1870" t="s">
        <v>16</v>
      </c>
      <c r="U1870">
        <f>VLOOKUP(A1870,ordered_items!$B:$E,4,0)</f>
        <v>84.4</v>
      </c>
    </row>
    <row r="1871" spans="1:21" x14ac:dyDescent="0.3">
      <c r="A1871">
        <v>75541</v>
      </c>
      <c r="B1871" t="s">
        <v>51</v>
      </c>
      <c r="C1871">
        <v>2</v>
      </c>
      <c r="D1871">
        <v>4</v>
      </c>
      <c r="E1871" t="str">
        <f t="shared" si="87"/>
        <v xml:space="preserve"> ONTIME</v>
      </c>
      <c r="F1871">
        <f>VLOOKUP($A1871,ordered_items!$B$2:$E$4784,2,0)</f>
        <v>1359</v>
      </c>
      <c r="G1871">
        <f>VLOOKUP($A1871,ordered_items!$B$2:$E$4784,3,0)</f>
        <v>1</v>
      </c>
      <c r="H1871">
        <f>VLOOKUP($A1871,ordered_items!$B$2:$E$4784,4,0)</f>
        <v>84.4</v>
      </c>
      <c r="I1871" s="15">
        <f>VLOOKUP(F1871,product_info!$A$2:$D$73,4,0)</f>
        <v>11</v>
      </c>
      <c r="J1871" s="15" t="str">
        <f>VLOOKUP(I1871,department!$A$2:$B$13,2,0)</f>
        <v>Pet Shop</v>
      </c>
      <c r="K1871">
        <v>19094</v>
      </c>
      <c r="L1871" t="s">
        <v>124</v>
      </c>
      <c r="M1871" s="4">
        <v>44202</v>
      </c>
      <c r="N1871" s="12">
        <f t="shared" si="88"/>
        <v>1</v>
      </c>
      <c r="O1871" s="13">
        <f t="shared" si="89"/>
        <v>2021</v>
      </c>
      <c r="P1871" t="s">
        <v>13</v>
      </c>
      <c r="Q1871" t="s">
        <v>5778</v>
      </c>
      <c r="R1871" t="s">
        <v>57</v>
      </c>
      <c r="S1871" t="str" cm="1">
        <f t="array" ref="S1871">_xlfn.IFS(R1871="COMPLETE", "COMPLETED", R1871="CANCELED", "CANCELED", TRUE, "PENDING")</f>
        <v>PENDING</v>
      </c>
      <c r="T1871" t="s">
        <v>16</v>
      </c>
      <c r="U1871">
        <f>VLOOKUP(A1871,ordered_items!$B:$E,4,0)</f>
        <v>84.4</v>
      </c>
    </row>
    <row r="1872" spans="1:21" x14ac:dyDescent="0.3">
      <c r="A1872">
        <v>75543</v>
      </c>
      <c r="B1872" t="s">
        <v>51</v>
      </c>
      <c r="C1872">
        <v>4</v>
      </c>
      <c r="D1872">
        <v>4</v>
      </c>
      <c r="E1872" t="str">
        <f t="shared" si="87"/>
        <v xml:space="preserve"> ONTIME</v>
      </c>
      <c r="F1872">
        <f>VLOOKUP($A1872,ordered_items!$B$2:$E$4784,2,0)</f>
        <v>1359</v>
      </c>
      <c r="G1872">
        <f>VLOOKUP($A1872,ordered_items!$B$2:$E$4784,3,0)</f>
        <v>1</v>
      </c>
      <c r="H1872">
        <f>VLOOKUP($A1872,ordered_items!$B$2:$E$4784,4,0)</f>
        <v>84.4</v>
      </c>
      <c r="I1872" s="15">
        <f>VLOOKUP(F1872,product_info!$A$2:$D$73,4,0)</f>
        <v>11</v>
      </c>
      <c r="J1872" s="15" t="str">
        <f>VLOOKUP(I1872,department!$A$2:$B$13,2,0)</f>
        <v>Pet Shop</v>
      </c>
      <c r="K1872">
        <v>19096</v>
      </c>
      <c r="L1872" t="s">
        <v>870</v>
      </c>
      <c r="M1872" s="4">
        <v>44202</v>
      </c>
      <c r="N1872" s="12">
        <f t="shared" si="88"/>
        <v>1</v>
      </c>
      <c r="O1872" s="13">
        <f t="shared" si="89"/>
        <v>2021</v>
      </c>
      <c r="P1872" t="s">
        <v>13</v>
      </c>
      <c r="Q1872" t="s">
        <v>5778</v>
      </c>
      <c r="R1872" t="s">
        <v>57</v>
      </c>
      <c r="S1872" t="str" cm="1">
        <f t="array" ref="S1872">_xlfn.IFS(R1872="COMPLETE", "COMPLETED", R1872="CANCELED", "CANCELED", TRUE, "PENDING")</f>
        <v>PENDING</v>
      </c>
      <c r="T1872" t="s">
        <v>16</v>
      </c>
      <c r="U1872">
        <f>VLOOKUP(A1872,ordered_items!$B:$E,4,0)</f>
        <v>84.4</v>
      </c>
    </row>
    <row r="1873" spans="1:21" x14ac:dyDescent="0.3">
      <c r="A1873">
        <v>75556</v>
      </c>
      <c r="B1873" t="s">
        <v>24</v>
      </c>
      <c r="C1873">
        <v>2</v>
      </c>
      <c r="D1873">
        <v>1</v>
      </c>
      <c r="E1873" t="str">
        <f t="shared" si="87"/>
        <v>DELAYED</v>
      </c>
      <c r="F1873">
        <f>VLOOKUP($A1873,ordered_items!$B$2:$E$4784,2,0)</f>
        <v>1359</v>
      </c>
      <c r="G1873">
        <f>VLOOKUP($A1873,ordered_items!$B$2:$E$4784,3,0)</f>
        <v>1</v>
      </c>
      <c r="H1873">
        <f>VLOOKUP($A1873,ordered_items!$B$2:$E$4784,4,0)</f>
        <v>84.4</v>
      </c>
      <c r="I1873" s="15">
        <f>VLOOKUP(F1873,product_info!$A$2:$D$73,4,0)</f>
        <v>11</v>
      </c>
      <c r="J1873" s="15" t="str">
        <f>VLOOKUP(I1873,department!$A$2:$B$13,2,0)</f>
        <v>Pet Shop</v>
      </c>
      <c r="K1873">
        <v>19109</v>
      </c>
      <c r="L1873" t="s">
        <v>84</v>
      </c>
      <c r="M1873" s="4">
        <v>44202</v>
      </c>
      <c r="N1873" s="12">
        <f t="shared" si="88"/>
        <v>1</v>
      </c>
      <c r="O1873" s="13">
        <f t="shared" si="89"/>
        <v>2021</v>
      </c>
      <c r="P1873" t="s">
        <v>13</v>
      </c>
      <c r="Q1873" t="s">
        <v>80</v>
      </c>
      <c r="R1873" t="s">
        <v>378</v>
      </c>
      <c r="S1873" t="str" cm="1">
        <f t="array" ref="S1873">_xlfn.IFS(R1873="COMPLETE", "COMPLETED", R1873="CANCELED", "CANCELED", TRUE, "PENDING")</f>
        <v>PENDING</v>
      </c>
      <c r="T1873" t="s">
        <v>32</v>
      </c>
      <c r="U1873">
        <f>VLOOKUP(A1873,ordered_items!$B:$E,4,0)</f>
        <v>84.4</v>
      </c>
    </row>
    <row r="1874" spans="1:21" x14ac:dyDescent="0.3">
      <c r="A1874">
        <v>75557</v>
      </c>
      <c r="B1874" t="s">
        <v>24</v>
      </c>
      <c r="C1874">
        <v>2</v>
      </c>
      <c r="D1874">
        <v>1</v>
      </c>
      <c r="E1874" t="str">
        <f t="shared" si="87"/>
        <v>DELAYED</v>
      </c>
      <c r="F1874">
        <f>VLOOKUP($A1874,ordered_items!$B$2:$E$4784,2,0)</f>
        <v>1359</v>
      </c>
      <c r="G1874">
        <f>VLOOKUP($A1874,ordered_items!$B$2:$E$4784,3,0)</f>
        <v>1</v>
      </c>
      <c r="H1874">
        <f>VLOOKUP($A1874,ordered_items!$B$2:$E$4784,4,0)</f>
        <v>84.4</v>
      </c>
      <c r="I1874" s="15">
        <f>VLOOKUP(F1874,product_info!$A$2:$D$73,4,0)</f>
        <v>11</v>
      </c>
      <c r="J1874" s="15" t="str">
        <f>VLOOKUP(I1874,department!$A$2:$B$13,2,0)</f>
        <v>Pet Shop</v>
      </c>
      <c r="K1874">
        <v>19110</v>
      </c>
      <c r="L1874" t="s">
        <v>84</v>
      </c>
      <c r="M1874" s="4">
        <v>44202</v>
      </c>
      <c r="N1874" s="12">
        <f t="shared" si="88"/>
        <v>1</v>
      </c>
      <c r="O1874" s="13">
        <f t="shared" si="89"/>
        <v>2021</v>
      </c>
      <c r="P1874" t="s">
        <v>13</v>
      </c>
      <c r="Q1874" t="s">
        <v>80</v>
      </c>
      <c r="R1874" t="s">
        <v>31</v>
      </c>
      <c r="S1874" t="str" cm="1">
        <f t="array" ref="S1874">_xlfn.IFS(R1874="COMPLETE", "COMPLETED", R1874="CANCELED", "CANCELED", TRUE, "PENDING")</f>
        <v>COMPLETED</v>
      </c>
      <c r="T1874" t="s">
        <v>32</v>
      </c>
      <c r="U1874">
        <f>VLOOKUP(A1874,ordered_items!$B:$E,4,0)</f>
        <v>84.4</v>
      </c>
    </row>
    <row r="1875" spans="1:21" x14ac:dyDescent="0.3">
      <c r="A1875">
        <v>75566</v>
      </c>
      <c r="B1875" t="s">
        <v>24</v>
      </c>
      <c r="C1875">
        <v>2</v>
      </c>
      <c r="D1875">
        <v>4</v>
      </c>
      <c r="E1875" t="str">
        <f t="shared" si="87"/>
        <v xml:space="preserve"> ONTIME</v>
      </c>
      <c r="F1875">
        <f>VLOOKUP($A1875,ordered_items!$B$2:$E$4784,2,0)</f>
        <v>1359</v>
      </c>
      <c r="G1875">
        <f>VLOOKUP($A1875,ordered_items!$B$2:$E$4784,3,0)</f>
        <v>1</v>
      </c>
      <c r="H1875">
        <f>VLOOKUP($A1875,ordered_items!$B$2:$E$4784,4,0)</f>
        <v>84.4</v>
      </c>
      <c r="I1875" s="15">
        <f>VLOOKUP(F1875,product_info!$A$2:$D$73,4,0)</f>
        <v>11</v>
      </c>
      <c r="J1875" s="15" t="str">
        <f>VLOOKUP(I1875,department!$A$2:$B$13,2,0)</f>
        <v>Pet Shop</v>
      </c>
      <c r="K1875">
        <v>19119</v>
      </c>
      <c r="L1875" t="s">
        <v>275</v>
      </c>
      <c r="M1875" s="4">
        <v>44203</v>
      </c>
      <c r="N1875" s="12">
        <f t="shared" si="88"/>
        <v>1</v>
      </c>
      <c r="O1875" s="13">
        <f t="shared" si="89"/>
        <v>2021</v>
      </c>
      <c r="P1875" t="s">
        <v>13</v>
      </c>
      <c r="Q1875" t="s">
        <v>80</v>
      </c>
      <c r="R1875" t="s">
        <v>31</v>
      </c>
      <c r="S1875" t="str" cm="1">
        <f t="array" ref="S1875">_xlfn.IFS(R1875="COMPLETE", "COMPLETED", R1875="CANCELED", "CANCELED", TRUE, "PENDING")</f>
        <v>COMPLETED</v>
      </c>
      <c r="T1875" t="s">
        <v>16</v>
      </c>
      <c r="U1875">
        <f>VLOOKUP(A1875,ordered_items!$B:$E,4,0)</f>
        <v>84.4</v>
      </c>
    </row>
    <row r="1876" spans="1:21" x14ac:dyDescent="0.3">
      <c r="A1876">
        <v>75574</v>
      </c>
      <c r="B1876" t="s">
        <v>51</v>
      </c>
      <c r="C1876">
        <v>2</v>
      </c>
      <c r="D1876">
        <v>1</v>
      </c>
      <c r="E1876" t="str">
        <f t="shared" si="87"/>
        <v>DELAYED</v>
      </c>
      <c r="F1876">
        <f>VLOOKUP($A1876,ordered_items!$B$2:$E$4784,2,0)</f>
        <v>1359</v>
      </c>
      <c r="G1876">
        <f>VLOOKUP($A1876,ordered_items!$B$2:$E$4784,3,0)</f>
        <v>1</v>
      </c>
      <c r="H1876">
        <f>VLOOKUP($A1876,ordered_items!$B$2:$E$4784,4,0)</f>
        <v>84.4</v>
      </c>
      <c r="I1876" s="15">
        <f>VLOOKUP(F1876,product_info!$A$2:$D$73,4,0)</f>
        <v>11</v>
      </c>
      <c r="J1876" s="15" t="str">
        <f>VLOOKUP(I1876,department!$A$2:$B$13,2,0)</f>
        <v>Pet Shop</v>
      </c>
      <c r="K1876">
        <v>19127</v>
      </c>
      <c r="L1876" t="s">
        <v>512</v>
      </c>
      <c r="M1876" s="4">
        <v>44203</v>
      </c>
      <c r="N1876" s="12">
        <f t="shared" si="88"/>
        <v>1</v>
      </c>
      <c r="O1876" s="13">
        <f t="shared" si="89"/>
        <v>2021</v>
      </c>
      <c r="P1876" t="s">
        <v>13</v>
      </c>
      <c r="Q1876" t="s">
        <v>513</v>
      </c>
      <c r="R1876" t="s">
        <v>57</v>
      </c>
      <c r="S1876" t="str" cm="1">
        <f t="array" ref="S1876">_xlfn.IFS(R1876="COMPLETE", "COMPLETED", R1876="CANCELED", "CANCELED", TRUE, "PENDING")</f>
        <v>PENDING</v>
      </c>
      <c r="T1876" t="s">
        <v>32</v>
      </c>
      <c r="U1876">
        <f>VLOOKUP(A1876,ordered_items!$B:$E,4,0)</f>
        <v>84.4</v>
      </c>
    </row>
    <row r="1877" spans="1:21" x14ac:dyDescent="0.3">
      <c r="A1877">
        <v>75581</v>
      </c>
      <c r="B1877" t="s">
        <v>24</v>
      </c>
      <c r="C1877">
        <v>2</v>
      </c>
      <c r="D1877">
        <v>4</v>
      </c>
      <c r="E1877" t="str">
        <f t="shared" si="87"/>
        <v xml:space="preserve"> ONTIME</v>
      </c>
      <c r="F1877">
        <f>VLOOKUP($A1877,ordered_items!$B$2:$E$4784,2,0)</f>
        <v>1359</v>
      </c>
      <c r="G1877">
        <f>VLOOKUP($A1877,ordered_items!$B$2:$E$4784,3,0)</f>
        <v>1</v>
      </c>
      <c r="H1877">
        <f>VLOOKUP($A1877,ordered_items!$B$2:$E$4784,4,0)</f>
        <v>84.4</v>
      </c>
      <c r="I1877" s="15">
        <f>VLOOKUP(F1877,product_info!$A$2:$D$73,4,0)</f>
        <v>11</v>
      </c>
      <c r="J1877" s="15" t="str">
        <f>VLOOKUP(I1877,department!$A$2:$B$13,2,0)</f>
        <v>Pet Shop</v>
      </c>
      <c r="K1877">
        <v>19134</v>
      </c>
      <c r="L1877" t="s">
        <v>1355</v>
      </c>
      <c r="M1877" s="4">
        <v>44203</v>
      </c>
      <c r="N1877" s="12">
        <f t="shared" si="88"/>
        <v>1</v>
      </c>
      <c r="O1877" s="13">
        <f t="shared" si="89"/>
        <v>2021</v>
      </c>
      <c r="P1877" t="s">
        <v>13</v>
      </c>
      <c r="Q1877" t="s">
        <v>377</v>
      </c>
      <c r="R1877" t="s">
        <v>31</v>
      </c>
      <c r="S1877" t="str" cm="1">
        <f t="array" ref="S1877">_xlfn.IFS(R1877="COMPLETE", "COMPLETED", R1877="CANCELED", "CANCELED", TRUE, "PENDING")</f>
        <v>COMPLETED</v>
      </c>
      <c r="T1877" t="s">
        <v>16</v>
      </c>
      <c r="U1877">
        <f>VLOOKUP(A1877,ordered_items!$B:$E,4,0)</f>
        <v>84.4</v>
      </c>
    </row>
    <row r="1878" spans="1:21" x14ac:dyDescent="0.3">
      <c r="A1878">
        <v>75582</v>
      </c>
      <c r="B1878" t="s">
        <v>51</v>
      </c>
      <c r="C1878">
        <v>3</v>
      </c>
      <c r="D1878">
        <v>4</v>
      </c>
      <c r="E1878" t="str">
        <f t="shared" si="87"/>
        <v xml:space="preserve"> ONTIME</v>
      </c>
      <c r="F1878">
        <f>VLOOKUP($A1878,ordered_items!$B$2:$E$4784,2,0)</f>
        <v>1359</v>
      </c>
      <c r="G1878">
        <f>VLOOKUP($A1878,ordered_items!$B$2:$E$4784,3,0)</f>
        <v>1</v>
      </c>
      <c r="H1878">
        <f>VLOOKUP($A1878,ordered_items!$B$2:$E$4784,4,0)</f>
        <v>84.4</v>
      </c>
      <c r="I1878" s="15">
        <f>VLOOKUP(F1878,product_info!$A$2:$D$73,4,0)</f>
        <v>11</v>
      </c>
      <c r="J1878" s="15" t="str">
        <f>VLOOKUP(I1878,department!$A$2:$B$13,2,0)</f>
        <v>Pet Shop</v>
      </c>
      <c r="K1878">
        <v>19135</v>
      </c>
      <c r="L1878" t="s">
        <v>1355</v>
      </c>
      <c r="M1878" s="4">
        <v>44203</v>
      </c>
      <c r="N1878" s="12">
        <f t="shared" si="88"/>
        <v>1</v>
      </c>
      <c r="O1878" s="13">
        <f t="shared" si="89"/>
        <v>2021</v>
      </c>
      <c r="P1878" t="s">
        <v>13</v>
      </c>
      <c r="Q1878" t="s">
        <v>377</v>
      </c>
      <c r="R1878" t="s">
        <v>57</v>
      </c>
      <c r="S1878" t="str" cm="1">
        <f t="array" ref="S1878">_xlfn.IFS(R1878="COMPLETE", "COMPLETED", R1878="CANCELED", "CANCELED", TRUE, "PENDING")</f>
        <v>PENDING</v>
      </c>
      <c r="T1878" t="s">
        <v>16</v>
      </c>
      <c r="U1878">
        <f>VLOOKUP(A1878,ordered_items!$B:$E,4,0)</f>
        <v>84.4</v>
      </c>
    </row>
    <row r="1879" spans="1:21" x14ac:dyDescent="0.3">
      <c r="A1879">
        <v>75605</v>
      </c>
      <c r="B1879" t="s">
        <v>3</v>
      </c>
      <c r="C1879">
        <v>6</v>
      </c>
      <c r="D1879">
        <v>2</v>
      </c>
      <c r="E1879" t="str">
        <f t="shared" si="87"/>
        <v>DELAYED</v>
      </c>
      <c r="F1879">
        <f>VLOOKUP($A1879,ordered_items!$B$2:$E$4784,2,0)</f>
        <v>1359</v>
      </c>
      <c r="G1879">
        <f>VLOOKUP($A1879,ordered_items!$B$2:$E$4784,3,0)</f>
        <v>1</v>
      </c>
      <c r="H1879">
        <f>VLOOKUP($A1879,ordered_items!$B$2:$E$4784,4,0)</f>
        <v>84.4</v>
      </c>
      <c r="I1879" s="15">
        <f>VLOOKUP(F1879,product_info!$A$2:$D$73,4,0)</f>
        <v>11</v>
      </c>
      <c r="J1879" s="15" t="str">
        <f>VLOOKUP(I1879,department!$A$2:$B$13,2,0)</f>
        <v>Pet Shop</v>
      </c>
      <c r="K1879">
        <v>19158</v>
      </c>
      <c r="L1879" t="s">
        <v>637</v>
      </c>
      <c r="M1879" s="4">
        <v>44203</v>
      </c>
      <c r="N1879" s="12">
        <f t="shared" si="88"/>
        <v>1</v>
      </c>
      <c r="O1879" s="13">
        <f t="shared" si="89"/>
        <v>2021</v>
      </c>
      <c r="P1879" t="s">
        <v>13</v>
      </c>
      <c r="Q1879" t="s">
        <v>234</v>
      </c>
      <c r="R1879" t="s">
        <v>14</v>
      </c>
      <c r="S1879" t="str" cm="1">
        <f t="array" ref="S1879">_xlfn.IFS(R1879="COMPLETE", "COMPLETED", R1879="CANCELED", "CANCELED", TRUE, "PENDING")</f>
        <v>PENDING</v>
      </c>
      <c r="T1879" t="s">
        <v>90</v>
      </c>
      <c r="U1879">
        <f>VLOOKUP(A1879,ordered_items!$B:$E,4,0)</f>
        <v>84.4</v>
      </c>
    </row>
    <row r="1880" spans="1:21" x14ac:dyDescent="0.3">
      <c r="A1880">
        <v>75633</v>
      </c>
      <c r="B1880" t="s">
        <v>24</v>
      </c>
      <c r="C1880">
        <v>4</v>
      </c>
      <c r="D1880">
        <v>2</v>
      </c>
      <c r="E1880" t="str">
        <f t="shared" si="87"/>
        <v>DELAYED</v>
      </c>
      <c r="F1880">
        <f>VLOOKUP($A1880,ordered_items!$B$2:$E$4784,2,0)</f>
        <v>1359</v>
      </c>
      <c r="G1880">
        <f>VLOOKUP($A1880,ordered_items!$B$2:$E$4784,3,0)</f>
        <v>1</v>
      </c>
      <c r="H1880">
        <f>VLOOKUP($A1880,ordered_items!$B$2:$E$4784,4,0)</f>
        <v>84.4</v>
      </c>
      <c r="I1880" s="15">
        <f>VLOOKUP(F1880,product_info!$A$2:$D$73,4,0)</f>
        <v>11</v>
      </c>
      <c r="J1880" s="15" t="str">
        <f>VLOOKUP(I1880,department!$A$2:$B$13,2,0)</f>
        <v>Pet Shop</v>
      </c>
      <c r="K1880">
        <v>19186</v>
      </c>
      <c r="L1880" t="s">
        <v>253</v>
      </c>
      <c r="M1880" s="4">
        <v>44204</v>
      </c>
      <c r="N1880" s="12">
        <f t="shared" si="88"/>
        <v>1</v>
      </c>
      <c r="O1880" s="13">
        <f t="shared" si="89"/>
        <v>2021</v>
      </c>
      <c r="P1880" t="s">
        <v>13</v>
      </c>
      <c r="Q1880" t="s">
        <v>30</v>
      </c>
      <c r="R1880" t="s">
        <v>31</v>
      </c>
      <c r="S1880" t="str" cm="1">
        <f t="array" ref="S1880">_xlfn.IFS(R1880="COMPLETE", "COMPLETED", R1880="CANCELED", "CANCELED", TRUE, "PENDING")</f>
        <v>COMPLETED</v>
      </c>
      <c r="T1880" t="s">
        <v>90</v>
      </c>
      <c r="U1880">
        <f>VLOOKUP(A1880,ordered_items!$B:$E,4,0)</f>
        <v>84.4</v>
      </c>
    </row>
    <row r="1881" spans="1:21" x14ac:dyDescent="0.3">
      <c r="A1881">
        <v>75654</v>
      </c>
      <c r="B1881" t="s">
        <v>3</v>
      </c>
      <c r="C1881">
        <v>5</v>
      </c>
      <c r="D1881">
        <v>2</v>
      </c>
      <c r="E1881" t="str">
        <f t="shared" si="87"/>
        <v>DELAYED</v>
      </c>
      <c r="F1881">
        <f>VLOOKUP($A1881,ordered_items!$B$2:$E$4784,2,0)</f>
        <v>1359</v>
      </c>
      <c r="G1881">
        <f>VLOOKUP($A1881,ordered_items!$B$2:$E$4784,3,0)</f>
        <v>1</v>
      </c>
      <c r="H1881">
        <f>VLOOKUP($A1881,ordered_items!$B$2:$E$4784,4,0)</f>
        <v>84.4</v>
      </c>
      <c r="I1881" s="15">
        <f>VLOOKUP(F1881,product_info!$A$2:$D$73,4,0)</f>
        <v>11</v>
      </c>
      <c r="J1881" s="15" t="str">
        <f>VLOOKUP(I1881,department!$A$2:$B$13,2,0)</f>
        <v>Pet Shop</v>
      </c>
      <c r="K1881">
        <v>19207</v>
      </c>
      <c r="L1881" t="s">
        <v>1086</v>
      </c>
      <c r="M1881" s="4">
        <v>44204</v>
      </c>
      <c r="N1881" s="12">
        <f t="shared" si="88"/>
        <v>1</v>
      </c>
      <c r="O1881" s="13">
        <f t="shared" si="89"/>
        <v>2021</v>
      </c>
      <c r="P1881" t="s">
        <v>13</v>
      </c>
      <c r="Q1881" t="s">
        <v>1086</v>
      </c>
      <c r="R1881" t="s">
        <v>38</v>
      </c>
      <c r="S1881" t="str" cm="1">
        <f t="array" ref="S1881">_xlfn.IFS(R1881="COMPLETE", "COMPLETED", R1881="CANCELED", "CANCELED", TRUE, "PENDING")</f>
        <v>PENDING</v>
      </c>
      <c r="T1881" t="s">
        <v>90</v>
      </c>
      <c r="U1881">
        <f>VLOOKUP(A1881,ordered_items!$B:$E,4,0)</f>
        <v>84.4</v>
      </c>
    </row>
    <row r="1882" spans="1:21" x14ac:dyDescent="0.3">
      <c r="A1882">
        <v>75656</v>
      </c>
      <c r="B1882" t="s">
        <v>51</v>
      </c>
      <c r="C1882">
        <v>2</v>
      </c>
      <c r="D1882">
        <v>4</v>
      </c>
      <c r="E1882" t="str">
        <f t="shared" si="87"/>
        <v xml:space="preserve"> ONTIME</v>
      </c>
      <c r="F1882">
        <f>VLOOKUP($A1882,ordered_items!$B$2:$E$4784,2,0)</f>
        <v>1359</v>
      </c>
      <c r="G1882">
        <f>VLOOKUP($A1882,ordered_items!$B$2:$E$4784,3,0)</f>
        <v>1</v>
      </c>
      <c r="H1882">
        <f>VLOOKUP($A1882,ordered_items!$B$2:$E$4784,4,0)</f>
        <v>84.4</v>
      </c>
      <c r="I1882" s="15">
        <f>VLOOKUP(F1882,product_info!$A$2:$D$73,4,0)</f>
        <v>11</v>
      </c>
      <c r="J1882" s="15" t="str">
        <f>VLOOKUP(I1882,department!$A$2:$B$13,2,0)</f>
        <v>Pet Shop</v>
      </c>
      <c r="K1882">
        <v>19209</v>
      </c>
      <c r="L1882" t="s">
        <v>206</v>
      </c>
      <c r="M1882" s="4">
        <v>44204</v>
      </c>
      <c r="N1882" s="12">
        <f t="shared" si="88"/>
        <v>1</v>
      </c>
      <c r="O1882" s="13">
        <f t="shared" si="89"/>
        <v>2021</v>
      </c>
      <c r="P1882" t="s">
        <v>13</v>
      </c>
      <c r="Q1882" t="s">
        <v>30</v>
      </c>
      <c r="R1882" t="s">
        <v>57</v>
      </c>
      <c r="S1882" t="str" cm="1">
        <f t="array" ref="S1882">_xlfn.IFS(R1882="COMPLETE", "COMPLETED", R1882="CANCELED", "CANCELED", TRUE, "PENDING")</f>
        <v>PENDING</v>
      </c>
      <c r="T1882" t="s">
        <v>16</v>
      </c>
      <c r="U1882">
        <f>VLOOKUP(A1882,ordered_items!$B:$E,4,0)</f>
        <v>84.4</v>
      </c>
    </row>
    <row r="1883" spans="1:21" x14ac:dyDescent="0.3">
      <c r="A1883">
        <v>75657</v>
      </c>
      <c r="B1883" t="s">
        <v>17</v>
      </c>
      <c r="C1883">
        <v>3</v>
      </c>
      <c r="D1883">
        <v>4</v>
      </c>
      <c r="E1883" t="str">
        <f t="shared" si="87"/>
        <v xml:space="preserve"> ONTIME</v>
      </c>
      <c r="F1883">
        <f>VLOOKUP($A1883,ordered_items!$B$2:$E$4784,2,0)</f>
        <v>1359</v>
      </c>
      <c r="G1883">
        <f>VLOOKUP($A1883,ordered_items!$B$2:$E$4784,3,0)</f>
        <v>1</v>
      </c>
      <c r="H1883">
        <f>VLOOKUP($A1883,ordered_items!$B$2:$E$4784,4,0)</f>
        <v>84.4</v>
      </c>
      <c r="I1883" s="15">
        <f>VLOOKUP(F1883,product_info!$A$2:$D$73,4,0)</f>
        <v>11</v>
      </c>
      <c r="J1883" s="15" t="str">
        <f>VLOOKUP(I1883,department!$A$2:$B$13,2,0)</f>
        <v>Pet Shop</v>
      </c>
      <c r="K1883">
        <v>19210</v>
      </c>
      <c r="L1883" t="s">
        <v>84</v>
      </c>
      <c r="M1883" s="4">
        <v>44204</v>
      </c>
      <c r="N1883" s="12">
        <f t="shared" si="88"/>
        <v>1</v>
      </c>
      <c r="O1883" s="13">
        <f t="shared" si="89"/>
        <v>2021</v>
      </c>
      <c r="P1883" t="s">
        <v>13</v>
      </c>
      <c r="Q1883" t="s">
        <v>80</v>
      </c>
      <c r="R1883" t="s">
        <v>23</v>
      </c>
      <c r="S1883" t="str" cm="1">
        <f t="array" ref="S1883">_xlfn.IFS(R1883="COMPLETE", "COMPLETED", R1883="CANCELED", "CANCELED", TRUE, "PENDING")</f>
        <v>PENDING</v>
      </c>
      <c r="T1883" t="s">
        <v>16</v>
      </c>
      <c r="U1883">
        <f>VLOOKUP(A1883,ordered_items!$B:$E,4,0)</f>
        <v>84.4</v>
      </c>
    </row>
    <row r="1884" spans="1:21" x14ac:dyDescent="0.3">
      <c r="A1884">
        <v>75658</v>
      </c>
      <c r="B1884" t="s">
        <v>3</v>
      </c>
      <c r="C1884">
        <v>4</v>
      </c>
      <c r="D1884">
        <v>4</v>
      </c>
      <c r="E1884" t="str">
        <f t="shared" si="87"/>
        <v xml:space="preserve"> ONTIME</v>
      </c>
      <c r="F1884">
        <f>VLOOKUP($A1884,ordered_items!$B$2:$E$4784,2,0)</f>
        <v>1359</v>
      </c>
      <c r="G1884">
        <f>VLOOKUP($A1884,ordered_items!$B$2:$E$4784,3,0)</f>
        <v>1</v>
      </c>
      <c r="H1884">
        <f>VLOOKUP($A1884,ordered_items!$B$2:$E$4784,4,0)</f>
        <v>84.4</v>
      </c>
      <c r="I1884" s="15">
        <f>VLOOKUP(F1884,product_info!$A$2:$D$73,4,0)</f>
        <v>11</v>
      </c>
      <c r="J1884" s="15" t="str">
        <f>VLOOKUP(I1884,department!$A$2:$B$13,2,0)</f>
        <v>Pet Shop</v>
      </c>
      <c r="K1884">
        <v>19211</v>
      </c>
      <c r="L1884" t="s">
        <v>84</v>
      </c>
      <c r="M1884" s="4">
        <v>44204</v>
      </c>
      <c r="N1884" s="12">
        <f t="shared" si="88"/>
        <v>1</v>
      </c>
      <c r="O1884" s="13">
        <f t="shared" si="89"/>
        <v>2021</v>
      </c>
      <c r="P1884" t="s">
        <v>13</v>
      </c>
      <c r="Q1884" t="s">
        <v>80</v>
      </c>
      <c r="R1884" t="s">
        <v>38</v>
      </c>
      <c r="S1884" t="str" cm="1">
        <f t="array" ref="S1884">_xlfn.IFS(R1884="COMPLETE", "COMPLETED", R1884="CANCELED", "CANCELED", TRUE, "PENDING")</f>
        <v>PENDING</v>
      </c>
      <c r="T1884" t="s">
        <v>16</v>
      </c>
      <c r="U1884">
        <f>VLOOKUP(A1884,ordered_items!$B:$E,4,0)</f>
        <v>84.4</v>
      </c>
    </row>
    <row r="1885" spans="1:21" x14ac:dyDescent="0.3">
      <c r="A1885">
        <v>75659</v>
      </c>
      <c r="B1885" t="s">
        <v>17</v>
      </c>
      <c r="C1885">
        <v>5</v>
      </c>
      <c r="D1885">
        <v>2</v>
      </c>
      <c r="E1885" t="str">
        <f t="shared" si="87"/>
        <v>DELAYED</v>
      </c>
      <c r="F1885">
        <f>VLOOKUP($A1885,ordered_items!$B$2:$E$4784,2,0)</f>
        <v>1359</v>
      </c>
      <c r="G1885">
        <f>VLOOKUP($A1885,ordered_items!$B$2:$E$4784,3,0)</f>
        <v>1</v>
      </c>
      <c r="H1885">
        <f>VLOOKUP($A1885,ordered_items!$B$2:$E$4784,4,0)</f>
        <v>84.4</v>
      </c>
      <c r="I1885" s="15">
        <f>VLOOKUP(F1885,product_info!$A$2:$D$73,4,0)</f>
        <v>11</v>
      </c>
      <c r="J1885" s="15" t="str">
        <f>VLOOKUP(I1885,department!$A$2:$B$13,2,0)</f>
        <v>Pet Shop</v>
      </c>
      <c r="K1885">
        <v>19212</v>
      </c>
      <c r="L1885" t="s">
        <v>84</v>
      </c>
      <c r="M1885" s="4">
        <v>44204</v>
      </c>
      <c r="N1885" s="12">
        <f t="shared" si="88"/>
        <v>1</v>
      </c>
      <c r="O1885" s="13">
        <f t="shared" si="89"/>
        <v>2021</v>
      </c>
      <c r="P1885" t="s">
        <v>13</v>
      </c>
      <c r="Q1885" t="s">
        <v>80</v>
      </c>
      <c r="R1885" t="s">
        <v>23</v>
      </c>
      <c r="S1885" t="str" cm="1">
        <f t="array" ref="S1885">_xlfn.IFS(R1885="COMPLETE", "COMPLETED", R1885="CANCELED", "CANCELED", TRUE, "PENDING")</f>
        <v>PENDING</v>
      </c>
      <c r="T1885" t="s">
        <v>90</v>
      </c>
      <c r="U1885">
        <f>VLOOKUP(A1885,ordered_items!$B:$E,4,0)</f>
        <v>84.4</v>
      </c>
    </row>
    <row r="1886" spans="1:21" x14ac:dyDescent="0.3">
      <c r="A1886">
        <v>75660</v>
      </c>
      <c r="B1886" t="s">
        <v>17</v>
      </c>
      <c r="C1886">
        <v>6</v>
      </c>
      <c r="D1886">
        <v>4</v>
      </c>
      <c r="E1886" t="str">
        <f t="shared" si="87"/>
        <v>DELAYED</v>
      </c>
      <c r="F1886">
        <f>VLOOKUP($A1886,ordered_items!$B$2:$E$4784,2,0)</f>
        <v>1359</v>
      </c>
      <c r="G1886">
        <f>VLOOKUP($A1886,ordered_items!$B$2:$E$4784,3,0)</f>
        <v>1</v>
      </c>
      <c r="H1886">
        <f>VLOOKUP($A1886,ordered_items!$B$2:$E$4784,4,0)</f>
        <v>84.4</v>
      </c>
      <c r="I1886" s="15">
        <f>VLOOKUP(F1886,product_info!$A$2:$D$73,4,0)</f>
        <v>11</v>
      </c>
      <c r="J1886" s="15" t="str">
        <f>VLOOKUP(I1886,department!$A$2:$B$13,2,0)</f>
        <v>Pet Shop</v>
      </c>
      <c r="K1886">
        <v>19213</v>
      </c>
      <c r="L1886" t="s">
        <v>84</v>
      </c>
      <c r="M1886" s="4">
        <v>44204</v>
      </c>
      <c r="N1886" s="12">
        <f t="shared" si="88"/>
        <v>1</v>
      </c>
      <c r="O1886" s="13">
        <f t="shared" si="89"/>
        <v>2021</v>
      </c>
      <c r="P1886" t="s">
        <v>13</v>
      </c>
      <c r="Q1886" t="s">
        <v>80</v>
      </c>
      <c r="R1886" t="s">
        <v>23</v>
      </c>
      <c r="S1886" t="str" cm="1">
        <f t="array" ref="S1886">_xlfn.IFS(R1886="COMPLETE", "COMPLETED", R1886="CANCELED", "CANCELED", TRUE, "PENDING")</f>
        <v>PENDING</v>
      </c>
      <c r="T1886" t="s">
        <v>16</v>
      </c>
      <c r="U1886">
        <f>VLOOKUP(A1886,ordered_items!$B:$E,4,0)</f>
        <v>84.4</v>
      </c>
    </row>
    <row r="1887" spans="1:21" x14ac:dyDescent="0.3">
      <c r="A1887">
        <v>75661</v>
      </c>
      <c r="B1887" t="s">
        <v>24</v>
      </c>
      <c r="C1887">
        <v>2</v>
      </c>
      <c r="D1887">
        <v>4</v>
      </c>
      <c r="E1887" t="str">
        <f t="shared" si="87"/>
        <v xml:space="preserve"> ONTIME</v>
      </c>
      <c r="F1887">
        <f>VLOOKUP($A1887,ordered_items!$B$2:$E$4784,2,0)</f>
        <v>1359</v>
      </c>
      <c r="G1887">
        <f>VLOOKUP($A1887,ordered_items!$B$2:$E$4784,3,0)</f>
        <v>1</v>
      </c>
      <c r="H1887">
        <f>VLOOKUP($A1887,ordered_items!$B$2:$E$4784,4,0)</f>
        <v>84.4</v>
      </c>
      <c r="I1887" s="15">
        <f>VLOOKUP(F1887,product_info!$A$2:$D$73,4,0)</f>
        <v>11</v>
      </c>
      <c r="J1887" s="15" t="str">
        <f>VLOOKUP(I1887,department!$A$2:$B$13,2,0)</f>
        <v>Pet Shop</v>
      </c>
      <c r="K1887">
        <v>19214</v>
      </c>
      <c r="L1887" t="s">
        <v>84</v>
      </c>
      <c r="M1887" s="4">
        <v>44204</v>
      </c>
      <c r="N1887" s="12">
        <f t="shared" si="88"/>
        <v>1</v>
      </c>
      <c r="O1887" s="13">
        <f t="shared" si="89"/>
        <v>2021</v>
      </c>
      <c r="P1887" t="s">
        <v>13</v>
      </c>
      <c r="Q1887" t="s">
        <v>80</v>
      </c>
      <c r="R1887" t="s">
        <v>31</v>
      </c>
      <c r="S1887" t="str" cm="1">
        <f t="array" ref="S1887">_xlfn.IFS(R1887="COMPLETE", "COMPLETED", R1887="CANCELED", "CANCELED", TRUE, "PENDING")</f>
        <v>COMPLETED</v>
      </c>
      <c r="T1887" t="s">
        <v>16</v>
      </c>
      <c r="U1887">
        <f>VLOOKUP(A1887,ordered_items!$B:$E,4,0)</f>
        <v>84.4</v>
      </c>
    </row>
    <row r="1888" spans="1:21" x14ac:dyDescent="0.3">
      <c r="A1888">
        <v>75662</v>
      </c>
      <c r="B1888" t="s">
        <v>51</v>
      </c>
      <c r="C1888">
        <v>3</v>
      </c>
      <c r="D1888">
        <v>2</v>
      </c>
      <c r="E1888" t="str">
        <f t="shared" si="87"/>
        <v>DELAYED</v>
      </c>
      <c r="F1888">
        <f>VLOOKUP($A1888,ordered_items!$B$2:$E$4784,2,0)</f>
        <v>1359</v>
      </c>
      <c r="G1888">
        <f>VLOOKUP($A1888,ordered_items!$B$2:$E$4784,3,0)</f>
        <v>1</v>
      </c>
      <c r="H1888">
        <f>VLOOKUP($A1888,ordered_items!$B$2:$E$4784,4,0)</f>
        <v>84.4</v>
      </c>
      <c r="I1888" s="15">
        <f>VLOOKUP(F1888,product_info!$A$2:$D$73,4,0)</f>
        <v>11</v>
      </c>
      <c r="J1888" s="15" t="str">
        <f>VLOOKUP(I1888,department!$A$2:$B$13,2,0)</f>
        <v>Pet Shop</v>
      </c>
      <c r="K1888">
        <v>19215</v>
      </c>
      <c r="L1888" t="s">
        <v>84</v>
      </c>
      <c r="M1888" s="4">
        <v>44204</v>
      </c>
      <c r="N1888" s="12">
        <f t="shared" si="88"/>
        <v>1</v>
      </c>
      <c r="O1888" s="13">
        <f t="shared" si="89"/>
        <v>2021</v>
      </c>
      <c r="P1888" t="s">
        <v>13</v>
      </c>
      <c r="Q1888" t="s">
        <v>80</v>
      </c>
      <c r="R1888" t="s">
        <v>57</v>
      </c>
      <c r="S1888" t="str" cm="1">
        <f t="array" ref="S1888">_xlfn.IFS(R1888="COMPLETE", "COMPLETED", R1888="CANCELED", "CANCELED", TRUE, "PENDING")</f>
        <v>PENDING</v>
      </c>
      <c r="T1888" t="s">
        <v>90</v>
      </c>
      <c r="U1888">
        <f>VLOOKUP(A1888,ordered_items!$B:$E,4,0)</f>
        <v>84.4</v>
      </c>
    </row>
    <row r="1889" spans="1:21" x14ac:dyDescent="0.3">
      <c r="A1889">
        <v>75663</v>
      </c>
      <c r="B1889" t="s">
        <v>24</v>
      </c>
      <c r="C1889">
        <v>2</v>
      </c>
      <c r="D1889">
        <v>1</v>
      </c>
      <c r="E1889" t="str">
        <f t="shared" si="87"/>
        <v>DELAYED</v>
      </c>
      <c r="F1889">
        <f>VLOOKUP($A1889,ordered_items!$B$2:$E$4784,2,0)</f>
        <v>1359</v>
      </c>
      <c r="G1889">
        <f>VLOOKUP($A1889,ordered_items!$B$2:$E$4784,3,0)</f>
        <v>1</v>
      </c>
      <c r="H1889">
        <f>VLOOKUP($A1889,ordered_items!$B$2:$E$4784,4,0)</f>
        <v>84.4</v>
      </c>
      <c r="I1889" s="15">
        <f>VLOOKUP(F1889,product_info!$A$2:$D$73,4,0)</f>
        <v>11</v>
      </c>
      <c r="J1889" s="15" t="str">
        <f>VLOOKUP(I1889,department!$A$2:$B$13,2,0)</f>
        <v>Pet Shop</v>
      </c>
      <c r="K1889">
        <v>19216</v>
      </c>
      <c r="L1889" t="s">
        <v>84</v>
      </c>
      <c r="M1889" s="4">
        <v>44204</v>
      </c>
      <c r="N1889" s="12">
        <f t="shared" si="88"/>
        <v>1</v>
      </c>
      <c r="O1889" s="13">
        <f t="shared" si="89"/>
        <v>2021</v>
      </c>
      <c r="P1889" t="s">
        <v>13</v>
      </c>
      <c r="Q1889" t="s">
        <v>80</v>
      </c>
      <c r="R1889" t="s">
        <v>31</v>
      </c>
      <c r="S1889" t="str" cm="1">
        <f t="array" ref="S1889">_xlfn.IFS(R1889="COMPLETE", "COMPLETED", R1889="CANCELED", "CANCELED", TRUE, "PENDING")</f>
        <v>COMPLETED</v>
      </c>
      <c r="T1889" t="s">
        <v>32</v>
      </c>
      <c r="U1889">
        <f>VLOOKUP(A1889,ordered_items!$B:$E,4,0)</f>
        <v>84.4</v>
      </c>
    </row>
    <row r="1890" spans="1:21" x14ac:dyDescent="0.3">
      <c r="A1890">
        <v>75664</v>
      </c>
      <c r="B1890" t="s">
        <v>51</v>
      </c>
      <c r="C1890">
        <v>5</v>
      </c>
      <c r="D1890">
        <v>2</v>
      </c>
      <c r="E1890" t="str">
        <f t="shared" si="87"/>
        <v>DELAYED</v>
      </c>
      <c r="F1890">
        <f>VLOOKUP($A1890,ordered_items!$B$2:$E$4784,2,0)</f>
        <v>1359</v>
      </c>
      <c r="G1890">
        <f>VLOOKUP($A1890,ordered_items!$B$2:$E$4784,3,0)</f>
        <v>1</v>
      </c>
      <c r="H1890">
        <f>VLOOKUP($A1890,ordered_items!$B$2:$E$4784,4,0)</f>
        <v>84.4</v>
      </c>
      <c r="I1890" s="15">
        <f>VLOOKUP(F1890,product_info!$A$2:$D$73,4,0)</f>
        <v>11</v>
      </c>
      <c r="J1890" s="15" t="str">
        <f>VLOOKUP(I1890,department!$A$2:$B$13,2,0)</f>
        <v>Pet Shop</v>
      </c>
      <c r="K1890">
        <v>19217</v>
      </c>
      <c r="L1890" t="s">
        <v>84</v>
      </c>
      <c r="M1890" s="4">
        <v>44204</v>
      </c>
      <c r="N1890" s="12">
        <f t="shared" si="88"/>
        <v>1</v>
      </c>
      <c r="O1890" s="13">
        <f t="shared" si="89"/>
        <v>2021</v>
      </c>
      <c r="P1890" t="s">
        <v>13</v>
      </c>
      <c r="Q1890" t="s">
        <v>80</v>
      </c>
      <c r="R1890" t="s">
        <v>57</v>
      </c>
      <c r="S1890" t="str" cm="1">
        <f t="array" ref="S1890">_xlfn.IFS(R1890="COMPLETE", "COMPLETED", R1890="CANCELED", "CANCELED", TRUE, "PENDING")</f>
        <v>PENDING</v>
      </c>
      <c r="T1890" t="s">
        <v>90</v>
      </c>
      <c r="U1890">
        <f>VLOOKUP(A1890,ordered_items!$B:$E,4,0)</f>
        <v>84.4</v>
      </c>
    </row>
    <row r="1891" spans="1:21" x14ac:dyDescent="0.3">
      <c r="A1891">
        <v>75665</v>
      </c>
      <c r="B1891" t="s">
        <v>51</v>
      </c>
      <c r="C1891">
        <v>6</v>
      </c>
      <c r="D1891">
        <v>2</v>
      </c>
      <c r="E1891" t="str">
        <f t="shared" si="87"/>
        <v>DELAYED</v>
      </c>
      <c r="F1891">
        <f>VLOOKUP($A1891,ordered_items!$B$2:$E$4784,2,0)</f>
        <v>1359</v>
      </c>
      <c r="G1891">
        <f>VLOOKUP($A1891,ordered_items!$B$2:$E$4784,3,0)</f>
        <v>1</v>
      </c>
      <c r="H1891">
        <f>VLOOKUP($A1891,ordered_items!$B$2:$E$4784,4,0)</f>
        <v>84.4</v>
      </c>
      <c r="I1891" s="15">
        <f>VLOOKUP(F1891,product_info!$A$2:$D$73,4,0)</f>
        <v>11</v>
      </c>
      <c r="J1891" s="15" t="str">
        <f>VLOOKUP(I1891,department!$A$2:$B$13,2,0)</f>
        <v>Pet Shop</v>
      </c>
      <c r="K1891">
        <v>19218</v>
      </c>
      <c r="L1891" t="s">
        <v>84</v>
      </c>
      <c r="M1891" s="4">
        <v>44204</v>
      </c>
      <c r="N1891" s="12">
        <f t="shared" si="88"/>
        <v>1</v>
      </c>
      <c r="O1891" s="13">
        <f t="shared" si="89"/>
        <v>2021</v>
      </c>
      <c r="P1891" t="s">
        <v>13</v>
      </c>
      <c r="Q1891" t="s">
        <v>80</v>
      </c>
      <c r="R1891" t="s">
        <v>57</v>
      </c>
      <c r="S1891" t="str" cm="1">
        <f t="array" ref="S1891">_xlfn.IFS(R1891="COMPLETE", "COMPLETED", R1891="CANCELED", "CANCELED", TRUE, "PENDING")</f>
        <v>PENDING</v>
      </c>
      <c r="T1891" t="s">
        <v>90</v>
      </c>
      <c r="U1891">
        <f>VLOOKUP(A1891,ordered_items!$B:$E,4,0)</f>
        <v>84.4</v>
      </c>
    </row>
    <row r="1892" spans="1:21" x14ac:dyDescent="0.3">
      <c r="A1892">
        <v>75693</v>
      </c>
      <c r="B1892" t="s">
        <v>51</v>
      </c>
      <c r="C1892">
        <v>4</v>
      </c>
      <c r="D1892">
        <v>4</v>
      </c>
      <c r="E1892" t="str">
        <f t="shared" si="87"/>
        <v xml:space="preserve"> ONTIME</v>
      </c>
      <c r="F1892">
        <f>VLOOKUP($A1892,ordered_items!$B$2:$E$4784,2,0)</f>
        <v>1359</v>
      </c>
      <c r="G1892">
        <f>VLOOKUP($A1892,ordered_items!$B$2:$E$4784,3,0)</f>
        <v>1</v>
      </c>
      <c r="H1892">
        <f>VLOOKUP($A1892,ordered_items!$B$2:$E$4784,4,0)</f>
        <v>84.4</v>
      </c>
      <c r="I1892" s="15">
        <f>VLOOKUP(F1892,product_info!$A$2:$D$73,4,0)</f>
        <v>11</v>
      </c>
      <c r="J1892" s="15" t="str">
        <f>VLOOKUP(I1892,department!$A$2:$B$13,2,0)</f>
        <v>Pet Shop</v>
      </c>
      <c r="K1892">
        <v>19246</v>
      </c>
      <c r="L1892" t="s">
        <v>534</v>
      </c>
      <c r="M1892" s="4">
        <v>44204</v>
      </c>
      <c r="N1892" s="12">
        <f t="shared" si="88"/>
        <v>1</v>
      </c>
      <c r="O1892" s="13">
        <f t="shared" si="89"/>
        <v>2021</v>
      </c>
      <c r="P1892" t="s">
        <v>13</v>
      </c>
      <c r="Q1892" t="s">
        <v>30</v>
      </c>
      <c r="R1892" t="s">
        <v>57</v>
      </c>
      <c r="S1892" t="str" cm="1">
        <f t="array" ref="S1892">_xlfn.IFS(R1892="COMPLETE", "COMPLETED", R1892="CANCELED", "CANCELED", TRUE, "PENDING")</f>
        <v>PENDING</v>
      </c>
      <c r="T1892" t="s">
        <v>16</v>
      </c>
      <c r="U1892">
        <f>VLOOKUP(A1892,ordered_items!$B:$E,4,0)</f>
        <v>84.4</v>
      </c>
    </row>
    <row r="1893" spans="1:21" x14ac:dyDescent="0.3">
      <c r="A1893">
        <v>75694</v>
      </c>
      <c r="B1893" t="s">
        <v>51</v>
      </c>
      <c r="C1893">
        <v>5</v>
      </c>
      <c r="D1893">
        <v>4</v>
      </c>
      <c r="E1893" t="str">
        <f t="shared" si="87"/>
        <v>DELAYED</v>
      </c>
      <c r="F1893">
        <f>VLOOKUP($A1893,ordered_items!$B$2:$E$4784,2,0)</f>
        <v>1359</v>
      </c>
      <c r="G1893">
        <f>VLOOKUP($A1893,ordered_items!$B$2:$E$4784,3,0)</f>
        <v>1</v>
      </c>
      <c r="H1893">
        <f>VLOOKUP($A1893,ordered_items!$B$2:$E$4784,4,0)</f>
        <v>84.4</v>
      </c>
      <c r="I1893" s="15">
        <f>VLOOKUP(F1893,product_info!$A$2:$D$73,4,0)</f>
        <v>11</v>
      </c>
      <c r="J1893" s="15" t="str">
        <f>VLOOKUP(I1893,department!$A$2:$B$13,2,0)</f>
        <v>Pet Shop</v>
      </c>
      <c r="K1893">
        <v>19247</v>
      </c>
      <c r="L1893" t="s">
        <v>534</v>
      </c>
      <c r="M1893" s="4">
        <v>44204</v>
      </c>
      <c r="N1893" s="12">
        <f t="shared" si="88"/>
        <v>1</v>
      </c>
      <c r="O1893" s="13">
        <f t="shared" si="89"/>
        <v>2021</v>
      </c>
      <c r="P1893" t="s">
        <v>13</v>
      </c>
      <c r="Q1893" t="s">
        <v>30</v>
      </c>
      <c r="R1893" t="s">
        <v>57</v>
      </c>
      <c r="S1893" t="str" cm="1">
        <f t="array" ref="S1893">_xlfn.IFS(R1893="COMPLETE", "COMPLETED", R1893="CANCELED", "CANCELED", TRUE, "PENDING")</f>
        <v>PENDING</v>
      </c>
      <c r="T1893" t="s">
        <v>16</v>
      </c>
      <c r="U1893">
        <f>VLOOKUP(A1893,ordered_items!$B:$E,4,0)</f>
        <v>84.4</v>
      </c>
    </row>
    <row r="1894" spans="1:21" x14ac:dyDescent="0.3">
      <c r="A1894">
        <v>75704</v>
      </c>
      <c r="B1894" t="s">
        <v>3</v>
      </c>
      <c r="C1894">
        <v>2</v>
      </c>
      <c r="D1894">
        <v>1</v>
      </c>
      <c r="E1894" t="str">
        <f t="shared" si="87"/>
        <v>DELAYED</v>
      </c>
      <c r="F1894">
        <f>VLOOKUP($A1894,ordered_items!$B$2:$E$4784,2,0)</f>
        <v>1359</v>
      </c>
      <c r="G1894">
        <f>VLOOKUP($A1894,ordered_items!$B$2:$E$4784,3,0)</f>
        <v>1</v>
      </c>
      <c r="H1894">
        <f>VLOOKUP($A1894,ordered_items!$B$2:$E$4784,4,0)</f>
        <v>84.4</v>
      </c>
      <c r="I1894" s="15">
        <f>VLOOKUP(F1894,product_info!$A$2:$D$73,4,0)</f>
        <v>11</v>
      </c>
      <c r="J1894" s="15" t="str">
        <f>VLOOKUP(I1894,department!$A$2:$B$13,2,0)</f>
        <v>Pet Shop</v>
      </c>
      <c r="K1894">
        <v>19257</v>
      </c>
      <c r="L1894" t="s">
        <v>327</v>
      </c>
      <c r="M1894" s="4">
        <v>44205</v>
      </c>
      <c r="N1894" s="12">
        <f t="shared" si="88"/>
        <v>1</v>
      </c>
      <c r="O1894" s="13">
        <f t="shared" si="89"/>
        <v>2021</v>
      </c>
      <c r="P1894" t="s">
        <v>13</v>
      </c>
      <c r="Q1894" t="s">
        <v>227</v>
      </c>
      <c r="R1894" t="s">
        <v>14</v>
      </c>
      <c r="S1894" t="str" cm="1">
        <f t="array" ref="S1894">_xlfn.IFS(R1894="COMPLETE", "COMPLETED", R1894="CANCELED", "CANCELED", TRUE, "PENDING")</f>
        <v>PENDING</v>
      </c>
      <c r="T1894" t="s">
        <v>32</v>
      </c>
      <c r="U1894">
        <f>VLOOKUP(A1894,ordered_items!$B:$E,4,0)</f>
        <v>84.4</v>
      </c>
    </row>
    <row r="1895" spans="1:21" x14ac:dyDescent="0.3">
      <c r="A1895">
        <v>75747</v>
      </c>
      <c r="B1895" t="s">
        <v>51</v>
      </c>
      <c r="C1895">
        <v>1</v>
      </c>
      <c r="D1895">
        <v>0</v>
      </c>
      <c r="E1895" t="str">
        <f t="shared" si="87"/>
        <v>DELAYED</v>
      </c>
      <c r="F1895">
        <f>VLOOKUP($A1895,ordered_items!$B$2:$E$4784,2,0)</f>
        <v>1360</v>
      </c>
      <c r="G1895">
        <f>VLOOKUP($A1895,ordered_items!$B$2:$E$4784,3,0)</f>
        <v>1</v>
      </c>
      <c r="H1895">
        <f>VLOOKUP($A1895,ordered_items!$B$2:$E$4784,4,0)</f>
        <v>327.75</v>
      </c>
      <c r="I1895" s="15">
        <f>VLOOKUP(F1895,product_info!$A$2:$D$73,4,0)</f>
        <v>2</v>
      </c>
      <c r="J1895" s="15" t="str">
        <f>VLOOKUP(I1895,department!$A$2:$B$13,2,0)</f>
        <v>Fitness</v>
      </c>
      <c r="K1895">
        <v>19300</v>
      </c>
      <c r="L1895" t="s">
        <v>70</v>
      </c>
      <c r="M1895" s="4">
        <v>44205</v>
      </c>
      <c r="N1895" s="12">
        <f t="shared" si="88"/>
        <v>1</v>
      </c>
      <c r="O1895" s="13">
        <f t="shared" si="89"/>
        <v>2021</v>
      </c>
      <c r="P1895" t="s">
        <v>13</v>
      </c>
      <c r="Q1895" t="s">
        <v>70</v>
      </c>
      <c r="R1895" t="s">
        <v>57</v>
      </c>
      <c r="S1895" t="str" cm="1">
        <f t="array" ref="S1895">_xlfn.IFS(R1895="COMPLETE", "COMPLETED", R1895="CANCELED", "CANCELED", TRUE, "PENDING")</f>
        <v>PENDING</v>
      </c>
      <c r="T1895" t="s">
        <v>58</v>
      </c>
      <c r="U1895">
        <f>VLOOKUP(A1895,ordered_items!$B:$E,4,0)</f>
        <v>327.75</v>
      </c>
    </row>
    <row r="1896" spans="1:21" x14ac:dyDescent="0.3">
      <c r="A1896">
        <v>75767</v>
      </c>
      <c r="B1896" t="s">
        <v>3</v>
      </c>
      <c r="C1896">
        <v>3</v>
      </c>
      <c r="D1896">
        <v>4</v>
      </c>
      <c r="E1896" t="str">
        <f t="shared" si="87"/>
        <v xml:space="preserve"> ONTIME</v>
      </c>
      <c r="F1896">
        <f>VLOOKUP($A1896,ordered_items!$B$2:$E$4784,2,0)</f>
        <v>1360</v>
      </c>
      <c r="G1896">
        <f>VLOOKUP($A1896,ordered_items!$B$2:$E$4784,3,0)</f>
        <v>1</v>
      </c>
      <c r="H1896">
        <f>VLOOKUP($A1896,ordered_items!$B$2:$E$4784,4,0)</f>
        <v>327.75</v>
      </c>
      <c r="I1896" s="15">
        <f>VLOOKUP(F1896,product_info!$A$2:$D$73,4,0)</f>
        <v>2</v>
      </c>
      <c r="J1896" s="15" t="str">
        <f>VLOOKUP(I1896,department!$A$2:$B$13,2,0)</f>
        <v>Fitness</v>
      </c>
      <c r="K1896">
        <v>19320</v>
      </c>
      <c r="L1896" t="s">
        <v>146</v>
      </c>
      <c r="M1896" s="4">
        <v>44206</v>
      </c>
      <c r="N1896" s="12">
        <f t="shared" si="88"/>
        <v>1</v>
      </c>
      <c r="O1896" s="13">
        <f t="shared" si="89"/>
        <v>2021</v>
      </c>
      <c r="P1896" t="s">
        <v>13</v>
      </c>
      <c r="Q1896" t="s">
        <v>30</v>
      </c>
      <c r="R1896" t="s">
        <v>38</v>
      </c>
      <c r="S1896" t="str" cm="1">
        <f t="array" ref="S1896">_xlfn.IFS(R1896="COMPLETE", "COMPLETED", R1896="CANCELED", "CANCELED", TRUE, "PENDING")</f>
        <v>PENDING</v>
      </c>
      <c r="T1896" t="s">
        <v>16</v>
      </c>
      <c r="U1896">
        <f>VLOOKUP(A1896,ordered_items!$B:$E,4,0)</f>
        <v>327.75</v>
      </c>
    </row>
    <row r="1897" spans="1:21" x14ac:dyDescent="0.3">
      <c r="A1897">
        <v>75768</v>
      </c>
      <c r="B1897" t="s">
        <v>24</v>
      </c>
      <c r="C1897">
        <v>4</v>
      </c>
      <c r="D1897">
        <v>4</v>
      </c>
      <c r="E1897" t="str">
        <f t="shared" si="87"/>
        <v xml:space="preserve"> ONTIME</v>
      </c>
      <c r="F1897">
        <f>VLOOKUP($A1897,ordered_items!$B$2:$E$4784,2,0)</f>
        <v>1360</v>
      </c>
      <c r="G1897">
        <f>VLOOKUP($A1897,ordered_items!$B$2:$E$4784,3,0)</f>
        <v>1</v>
      </c>
      <c r="H1897">
        <f>VLOOKUP($A1897,ordered_items!$B$2:$E$4784,4,0)</f>
        <v>327.75</v>
      </c>
      <c r="I1897" s="15">
        <f>VLOOKUP(F1897,product_info!$A$2:$D$73,4,0)</f>
        <v>2</v>
      </c>
      <c r="J1897" s="15" t="str">
        <f>VLOOKUP(I1897,department!$A$2:$B$13,2,0)</f>
        <v>Fitness</v>
      </c>
      <c r="K1897">
        <v>19321</v>
      </c>
      <c r="L1897" t="s">
        <v>317</v>
      </c>
      <c r="M1897" s="4">
        <v>44206</v>
      </c>
      <c r="N1897" s="12">
        <f t="shared" si="88"/>
        <v>1</v>
      </c>
      <c r="O1897" s="13">
        <f t="shared" si="89"/>
        <v>2021</v>
      </c>
      <c r="P1897" t="s">
        <v>13</v>
      </c>
      <c r="Q1897" t="s">
        <v>227</v>
      </c>
      <c r="R1897" t="s">
        <v>31</v>
      </c>
      <c r="S1897" t="str" cm="1">
        <f t="array" ref="S1897">_xlfn.IFS(R1897="COMPLETE", "COMPLETED", R1897="CANCELED", "CANCELED", TRUE, "PENDING")</f>
        <v>COMPLETED</v>
      </c>
      <c r="T1897" t="s">
        <v>16</v>
      </c>
      <c r="U1897">
        <f>VLOOKUP(A1897,ordered_items!$B:$E,4,0)</f>
        <v>327.75</v>
      </c>
    </row>
    <row r="1898" spans="1:21" x14ac:dyDescent="0.3">
      <c r="A1898">
        <v>75784</v>
      </c>
      <c r="B1898" t="s">
        <v>51</v>
      </c>
      <c r="C1898">
        <v>5</v>
      </c>
      <c r="D1898">
        <v>4</v>
      </c>
      <c r="E1898" t="str">
        <f t="shared" si="87"/>
        <v>DELAYED</v>
      </c>
      <c r="F1898">
        <f>VLOOKUP($A1898,ordered_items!$B$2:$E$4784,2,0)</f>
        <v>1360</v>
      </c>
      <c r="G1898">
        <f>VLOOKUP($A1898,ordered_items!$B$2:$E$4784,3,0)</f>
        <v>1</v>
      </c>
      <c r="H1898">
        <f>VLOOKUP($A1898,ordered_items!$B$2:$E$4784,4,0)</f>
        <v>327.75</v>
      </c>
      <c r="I1898" s="15">
        <f>VLOOKUP(F1898,product_info!$A$2:$D$73,4,0)</f>
        <v>2</v>
      </c>
      <c r="J1898" s="15" t="str">
        <f>VLOOKUP(I1898,department!$A$2:$B$13,2,0)</f>
        <v>Fitness</v>
      </c>
      <c r="K1898">
        <v>19337</v>
      </c>
      <c r="L1898" t="s">
        <v>304</v>
      </c>
      <c r="M1898" s="4">
        <v>44206</v>
      </c>
      <c r="N1898" s="12">
        <f t="shared" si="88"/>
        <v>1</v>
      </c>
      <c r="O1898" s="13">
        <f t="shared" si="89"/>
        <v>2021</v>
      </c>
      <c r="P1898" t="s">
        <v>13</v>
      </c>
      <c r="Q1898" t="s">
        <v>30</v>
      </c>
      <c r="R1898" t="s">
        <v>57</v>
      </c>
      <c r="S1898" t="str" cm="1">
        <f t="array" ref="S1898">_xlfn.IFS(R1898="COMPLETE", "COMPLETED", R1898="CANCELED", "CANCELED", TRUE, "PENDING")</f>
        <v>PENDING</v>
      </c>
      <c r="T1898" t="s">
        <v>16</v>
      </c>
      <c r="U1898">
        <f>VLOOKUP(A1898,ordered_items!$B:$E,4,0)</f>
        <v>327.75</v>
      </c>
    </row>
    <row r="1899" spans="1:21" x14ac:dyDescent="0.3">
      <c r="A1899">
        <v>75785</v>
      </c>
      <c r="B1899" t="s">
        <v>24</v>
      </c>
      <c r="C1899">
        <v>6</v>
      </c>
      <c r="D1899">
        <v>4</v>
      </c>
      <c r="E1899" t="str">
        <f t="shared" si="87"/>
        <v>DELAYED</v>
      </c>
      <c r="F1899">
        <f>VLOOKUP($A1899,ordered_items!$B$2:$E$4784,2,0)</f>
        <v>1360</v>
      </c>
      <c r="G1899">
        <f>VLOOKUP($A1899,ordered_items!$B$2:$E$4784,3,0)</f>
        <v>1</v>
      </c>
      <c r="H1899">
        <f>VLOOKUP($A1899,ordered_items!$B$2:$E$4784,4,0)</f>
        <v>327.75</v>
      </c>
      <c r="I1899" s="15">
        <f>VLOOKUP(F1899,product_info!$A$2:$D$73,4,0)</f>
        <v>2</v>
      </c>
      <c r="J1899" s="15" t="str">
        <f>VLOOKUP(I1899,department!$A$2:$B$13,2,0)</f>
        <v>Fitness</v>
      </c>
      <c r="K1899">
        <v>19338</v>
      </c>
      <c r="L1899" t="s">
        <v>304</v>
      </c>
      <c r="M1899" s="4">
        <v>44206</v>
      </c>
      <c r="N1899" s="12">
        <f t="shared" si="88"/>
        <v>1</v>
      </c>
      <c r="O1899" s="13">
        <f t="shared" si="89"/>
        <v>2021</v>
      </c>
      <c r="P1899" t="s">
        <v>13</v>
      </c>
      <c r="Q1899" t="s">
        <v>30</v>
      </c>
      <c r="R1899" t="s">
        <v>31</v>
      </c>
      <c r="S1899" t="str" cm="1">
        <f t="array" ref="S1899">_xlfn.IFS(R1899="COMPLETE", "COMPLETED", R1899="CANCELED", "CANCELED", TRUE, "PENDING")</f>
        <v>COMPLETED</v>
      </c>
      <c r="T1899" t="s">
        <v>16</v>
      </c>
      <c r="U1899">
        <f>VLOOKUP(A1899,ordered_items!$B:$E,4,0)</f>
        <v>327.75</v>
      </c>
    </row>
    <row r="1900" spans="1:21" x14ac:dyDescent="0.3">
      <c r="A1900">
        <v>75786</v>
      </c>
      <c r="B1900" t="s">
        <v>3</v>
      </c>
      <c r="C1900">
        <v>2</v>
      </c>
      <c r="D1900">
        <v>1</v>
      </c>
      <c r="E1900" t="str">
        <f t="shared" si="87"/>
        <v>DELAYED</v>
      </c>
      <c r="F1900">
        <f>VLOOKUP($A1900,ordered_items!$B$2:$E$4784,2,0)</f>
        <v>1360</v>
      </c>
      <c r="G1900">
        <f>VLOOKUP($A1900,ordered_items!$B$2:$E$4784,3,0)</f>
        <v>1</v>
      </c>
      <c r="H1900">
        <f>VLOOKUP($A1900,ordered_items!$B$2:$E$4784,4,0)</f>
        <v>327.75</v>
      </c>
      <c r="I1900" s="15">
        <f>VLOOKUP(F1900,product_info!$A$2:$D$73,4,0)</f>
        <v>2</v>
      </c>
      <c r="J1900" s="15" t="str">
        <f>VLOOKUP(I1900,department!$A$2:$B$13,2,0)</f>
        <v>Fitness</v>
      </c>
      <c r="K1900">
        <v>19339</v>
      </c>
      <c r="L1900" t="s">
        <v>304</v>
      </c>
      <c r="M1900" s="4">
        <v>44206</v>
      </c>
      <c r="N1900" s="12">
        <f t="shared" si="88"/>
        <v>1</v>
      </c>
      <c r="O1900" s="13">
        <f t="shared" si="89"/>
        <v>2021</v>
      </c>
      <c r="P1900" t="s">
        <v>13</v>
      </c>
      <c r="Q1900" t="s">
        <v>30</v>
      </c>
      <c r="R1900" t="s">
        <v>38</v>
      </c>
      <c r="S1900" t="str" cm="1">
        <f t="array" ref="S1900">_xlfn.IFS(R1900="COMPLETE", "COMPLETED", R1900="CANCELED", "CANCELED", TRUE, "PENDING")</f>
        <v>PENDING</v>
      </c>
      <c r="T1900" t="s">
        <v>32</v>
      </c>
      <c r="U1900">
        <f>VLOOKUP(A1900,ordered_items!$B:$E,4,0)</f>
        <v>327.75</v>
      </c>
    </row>
    <row r="1901" spans="1:21" x14ac:dyDescent="0.3">
      <c r="A1901">
        <v>75798</v>
      </c>
      <c r="B1901" t="s">
        <v>3</v>
      </c>
      <c r="C1901">
        <v>4</v>
      </c>
      <c r="D1901">
        <v>4</v>
      </c>
      <c r="E1901" t="str">
        <f t="shared" si="87"/>
        <v xml:space="preserve"> ONTIME</v>
      </c>
      <c r="F1901">
        <f>VLOOKUP($A1901,ordered_items!$B$2:$E$4784,2,0)</f>
        <v>1360</v>
      </c>
      <c r="G1901">
        <f>VLOOKUP($A1901,ordered_items!$B$2:$E$4784,3,0)</f>
        <v>1</v>
      </c>
      <c r="H1901">
        <f>VLOOKUP($A1901,ordered_items!$B$2:$E$4784,4,0)</f>
        <v>327.75</v>
      </c>
      <c r="I1901" s="15">
        <f>VLOOKUP(F1901,product_info!$A$2:$D$73,4,0)</f>
        <v>2</v>
      </c>
      <c r="J1901" s="15" t="str">
        <f>VLOOKUP(I1901,department!$A$2:$B$13,2,0)</f>
        <v>Fitness</v>
      </c>
      <c r="K1901">
        <v>19351</v>
      </c>
      <c r="L1901" t="s">
        <v>104</v>
      </c>
      <c r="M1901" s="4">
        <v>44206</v>
      </c>
      <c r="N1901" s="12">
        <f t="shared" si="88"/>
        <v>1</v>
      </c>
      <c r="O1901" s="13">
        <f t="shared" si="89"/>
        <v>2021</v>
      </c>
      <c r="P1901" t="s">
        <v>13</v>
      </c>
      <c r="Q1901" t="s">
        <v>130</v>
      </c>
      <c r="R1901" t="s">
        <v>38</v>
      </c>
      <c r="S1901" t="str" cm="1">
        <f t="array" ref="S1901">_xlfn.IFS(R1901="COMPLETE", "COMPLETED", R1901="CANCELED", "CANCELED", TRUE, "PENDING")</f>
        <v>PENDING</v>
      </c>
      <c r="T1901" t="s">
        <v>16</v>
      </c>
      <c r="U1901">
        <f>VLOOKUP(A1901,ordered_items!$B:$E,4,0)</f>
        <v>327.75</v>
      </c>
    </row>
    <row r="1902" spans="1:21" x14ac:dyDescent="0.3">
      <c r="A1902">
        <v>75800</v>
      </c>
      <c r="B1902" t="s">
        <v>24</v>
      </c>
      <c r="C1902">
        <v>6</v>
      </c>
      <c r="D1902">
        <v>4</v>
      </c>
      <c r="E1902" t="str">
        <f t="shared" si="87"/>
        <v>DELAYED</v>
      </c>
      <c r="F1902">
        <f>VLOOKUP($A1902,ordered_items!$B$2:$E$4784,2,0)</f>
        <v>1360</v>
      </c>
      <c r="G1902">
        <f>VLOOKUP($A1902,ordered_items!$B$2:$E$4784,3,0)</f>
        <v>1</v>
      </c>
      <c r="H1902">
        <f>VLOOKUP($A1902,ordered_items!$B$2:$E$4784,4,0)</f>
        <v>327.75</v>
      </c>
      <c r="I1902" s="15">
        <f>VLOOKUP(F1902,product_info!$A$2:$D$73,4,0)</f>
        <v>2</v>
      </c>
      <c r="J1902" s="15" t="str">
        <f>VLOOKUP(I1902,department!$A$2:$B$13,2,0)</f>
        <v>Fitness</v>
      </c>
      <c r="K1902">
        <v>19353</v>
      </c>
      <c r="L1902" t="s">
        <v>214</v>
      </c>
      <c r="M1902" s="4">
        <v>44206</v>
      </c>
      <c r="N1902" s="12">
        <f t="shared" si="88"/>
        <v>1</v>
      </c>
      <c r="O1902" s="13">
        <f t="shared" si="89"/>
        <v>2021</v>
      </c>
      <c r="P1902" t="s">
        <v>13</v>
      </c>
      <c r="Q1902" t="s">
        <v>5781</v>
      </c>
      <c r="R1902" t="s">
        <v>31</v>
      </c>
      <c r="S1902" t="str" cm="1">
        <f t="array" ref="S1902">_xlfn.IFS(R1902="COMPLETE", "COMPLETED", R1902="CANCELED", "CANCELED", TRUE, "PENDING")</f>
        <v>COMPLETED</v>
      </c>
      <c r="T1902" t="s">
        <v>16</v>
      </c>
      <c r="U1902">
        <f>VLOOKUP(A1902,ordered_items!$B:$E,4,0)</f>
        <v>327.75</v>
      </c>
    </row>
    <row r="1903" spans="1:21" x14ac:dyDescent="0.3">
      <c r="A1903">
        <v>75801</v>
      </c>
      <c r="B1903" t="s">
        <v>24</v>
      </c>
      <c r="C1903">
        <v>1</v>
      </c>
      <c r="D1903">
        <v>0</v>
      </c>
      <c r="E1903" t="str">
        <f t="shared" si="87"/>
        <v>DELAYED</v>
      </c>
      <c r="F1903">
        <f>VLOOKUP($A1903,ordered_items!$B$2:$E$4784,2,0)</f>
        <v>1360</v>
      </c>
      <c r="G1903">
        <f>VLOOKUP($A1903,ordered_items!$B$2:$E$4784,3,0)</f>
        <v>1</v>
      </c>
      <c r="H1903">
        <f>VLOOKUP($A1903,ordered_items!$B$2:$E$4784,4,0)</f>
        <v>327.75</v>
      </c>
      <c r="I1903" s="15">
        <f>VLOOKUP(F1903,product_info!$A$2:$D$73,4,0)</f>
        <v>2</v>
      </c>
      <c r="J1903" s="15" t="str">
        <f>VLOOKUP(I1903,department!$A$2:$B$13,2,0)</f>
        <v>Fitness</v>
      </c>
      <c r="K1903">
        <v>19354</v>
      </c>
      <c r="L1903" t="s">
        <v>214</v>
      </c>
      <c r="M1903" s="4">
        <v>44206</v>
      </c>
      <c r="N1903" s="12">
        <f t="shared" si="88"/>
        <v>1</v>
      </c>
      <c r="O1903" s="13">
        <f t="shared" si="89"/>
        <v>2021</v>
      </c>
      <c r="P1903" t="s">
        <v>13</v>
      </c>
      <c r="Q1903" t="s">
        <v>5781</v>
      </c>
      <c r="R1903" t="s">
        <v>31</v>
      </c>
      <c r="S1903" t="str" cm="1">
        <f t="array" ref="S1903">_xlfn.IFS(R1903="COMPLETE", "COMPLETED", R1903="CANCELED", "CANCELED", TRUE, "PENDING")</f>
        <v>COMPLETED</v>
      </c>
      <c r="T1903" t="s">
        <v>58</v>
      </c>
      <c r="U1903">
        <f>VLOOKUP(A1903,ordered_items!$B:$E,4,0)</f>
        <v>327.75</v>
      </c>
    </row>
    <row r="1904" spans="1:21" x14ac:dyDescent="0.3">
      <c r="A1904">
        <v>75821</v>
      </c>
      <c r="B1904" t="s">
        <v>24</v>
      </c>
      <c r="C1904">
        <v>2</v>
      </c>
      <c r="D1904">
        <v>4</v>
      </c>
      <c r="E1904" t="str">
        <f t="shared" si="87"/>
        <v xml:space="preserve"> ONTIME</v>
      </c>
      <c r="F1904">
        <f>VLOOKUP($A1904,ordered_items!$B$2:$E$4784,2,0)</f>
        <v>1360</v>
      </c>
      <c r="G1904">
        <f>VLOOKUP($A1904,ordered_items!$B$2:$E$4784,3,0)</f>
        <v>1</v>
      </c>
      <c r="H1904">
        <f>VLOOKUP($A1904,ordered_items!$B$2:$E$4784,4,0)</f>
        <v>327.75</v>
      </c>
      <c r="I1904" s="15">
        <f>VLOOKUP(F1904,product_info!$A$2:$D$73,4,0)</f>
        <v>2</v>
      </c>
      <c r="J1904" s="15" t="str">
        <f>VLOOKUP(I1904,department!$A$2:$B$13,2,0)</f>
        <v>Fitness</v>
      </c>
      <c r="K1904">
        <v>19374</v>
      </c>
      <c r="L1904" t="s">
        <v>206</v>
      </c>
      <c r="M1904" s="4">
        <v>44206</v>
      </c>
      <c r="N1904" s="12">
        <f t="shared" si="88"/>
        <v>1</v>
      </c>
      <c r="O1904" s="13">
        <f t="shared" si="89"/>
        <v>2021</v>
      </c>
      <c r="P1904" t="s">
        <v>13</v>
      </c>
      <c r="Q1904" t="s">
        <v>30</v>
      </c>
      <c r="R1904" t="s">
        <v>31</v>
      </c>
      <c r="S1904" t="str" cm="1">
        <f t="array" ref="S1904">_xlfn.IFS(R1904="COMPLETE", "COMPLETED", R1904="CANCELED", "CANCELED", TRUE, "PENDING")</f>
        <v>COMPLETED</v>
      </c>
      <c r="T1904" t="s">
        <v>16</v>
      </c>
      <c r="U1904">
        <f>VLOOKUP(A1904,ordered_items!$B:$E,4,0)</f>
        <v>327.75</v>
      </c>
    </row>
    <row r="1905" spans="1:21" x14ac:dyDescent="0.3">
      <c r="A1905">
        <v>75822</v>
      </c>
      <c r="B1905" t="s">
        <v>24</v>
      </c>
      <c r="C1905">
        <v>3</v>
      </c>
      <c r="D1905">
        <v>4</v>
      </c>
      <c r="E1905" t="str">
        <f t="shared" si="87"/>
        <v xml:space="preserve"> ONTIME</v>
      </c>
      <c r="F1905">
        <f>VLOOKUP($A1905,ordered_items!$B$2:$E$4784,2,0)</f>
        <v>1360</v>
      </c>
      <c r="G1905">
        <f>VLOOKUP($A1905,ordered_items!$B$2:$E$4784,3,0)</f>
        <v>1</v>
      </c>
      <c r="H1905">
        <f>VLOOKUP($A1905,ordered_items!$B$2:$E$4784,4,0)</f>
        <v>327.75</v>
      </c>
      <c r="I1905" s="15">
        <f>VLOOKUP(F1905,product_info!$A$2:$D$73,4,0)</f>
        <v>2</v>
      </c>
      <c r="J1905" s="15" t="str">
        <f>VLOOKUP(I1905,department!$A$2:$B$13,2,0)</f>
        <v>Fitness</v>
      </c>
      <c r="K1905">
        <v>19375</v>
      </c>
      <c r="L1905" t="s">
        <v>206</v>
      </c>
      <c r="M1905" s="4">
        <v>44206</v>
      </c>
      <c r="N1905" s="12">
        <f t="shared" si="88"/>
        <v>1</v>
      </c>
      <c r="O1905" s="13">
        <f t="shared" si="89"/>
        <v>2021</v>
      </c>
      <c r="P1905" t="s">
        <v>13</v>
      </c>
      <c r="Q1905" t="s">
        <v>30</v>
      </c>
      <c r="R1905" t="s">
        <v>31</v>
      </c>
      <c r="S1905" t="str" cm="1">
        <f t="array" ref="S1905">_xlfn.IFS(R1905="COMPLETE", "COMPLETED", R1905="CANCELED", "CANCELED", TRUE, "PENDING")</f>
        <v>COMPLETED</v>
      </c>
      <c r="T1905" t="s">
        <v>16</v>
      </c>
      <c r="U1905">
        <f>VLOOKUP(A1905,ordered_items!$B:$E,4,0)</f>
        <v>327.75</v>
      </c>
    </row>
    <row r="1906" spans="1:21" x14ac:dyDescent="0.3">
      <c r="A1906">
        <v>75831</v>
      </c>
      <c r="B1906" t="s">
        <v>51</v>
      </c>
      <c r="C1906">
        <v>2</v>
      </c>
      <c r="D1906">
        <v>1</v>
      </c>
      <c r="E1906" t="str">
        <f t="shared" si="87"/>
        <v>DELAYED</v>
      </c>
      <c r="F1906">
        <f>VLOOKUP($A1906,ordered_items!$B$2:$E$4784,2,0)</f>
        <v>1360</v>
      </c>
      <c r="G1906">
        <f>VLOOKUP($A1906,ordered_items!$B$2:$E$4784,3,0)</f>
        <v>1</v>
      </c>
      <c r="H1906">
        <f>VLOOKUP($A1906,ordered_items!$B$2:$E$4784,4,0)</f>
        <v>327.75</v>
      </c>
      <c r="I1906" s="15">
        <f>VLOOKUP(F1906,product_info!$A$2:$D$73,4,0)</f>
        <v>2</v>
      </c>
      <c r="J1906" s="15" t="str">
        <f>VLOOKUP(I1906,department!$A$2:$B$13,2,0)</f>
        <v>Fitness</v>
      </c>
      <c r="K1906">
        <v>19384</v>
      </c>
      <c r="L1906" t="s">
        <v>202</v>
      </c>
      <c r="M1906" s="4">
        <v>44206</v>
      </c>
      <c r="N1906" s="12">
        <f t="shared" si="88"/>
        <v>1</v>
      </c>
      <c r="O1906" s="13">
        <f t="shared" si="89"/>
        <v>2021</v>
      </c>
      <c r="P1906" t="s">
        <v>13</v>
      </c>
      <c r="Q1906" t="s">
        <v>203</v>
      </c>
      <c r="R1906" t="s">
        <v>57</v>
      </c>
      <c r="S1906" t="str" cm="1">
        <f t="array" ref="S1906">_xlfn.IFS(R1906="COMPLETE", "COMPLETED", R1906="CANCELED", "CANCELED", TRUE, "PENDING")</f>
        <v>PENDING</v>
      </c>
      <c r="T1906" t="s">
        <v>32</v>
      </c>
      <c r="U1906">
        <f>VLOOKUP(A1906,ordered_items!$B:$E,4,0)</f>
        <v>327.75</v>
      </c>
    </row>
    <row r="1907" spans="1:21" x14ac:dyDescent="0.3">
      <c r="A1907">
        <v>75832</v>
      </c>
      <c r="B1907" t="s">
        <v>17</v>
      </c>
      <c r="C1907">
        <v>2</v>
      </c>
      <c r="D1907">
        <v>1</v>
      </c>
      <c r="E1907" t="str">
        <f t="shared" si="87"/>
        <v>DELAYED</v>
      </c>
      <c r="F1907">
        <f>VLOOKUP($A1907,ordered_items!$B$2:$E$4784,2,0)</f>
        <v>1360</v>
      </c>
      <c r="G1907">
        <f>VLOOKUP($A1907,ordered_items!$B$2:$E$4784,3,0)</f>
        <v>1</v>
      </c>
      <c r="H1907">
        <f>VLOOKUP($A1907,ordered_items!$B$2:$E$4784,4,0)</f>
        <v>327.75</v>
      </c>
      <c r="I1907" s="15">
        <f>VLOOKUP(F1907,product_info!$A$2:$D$73,4,0)</f>
        <v>2</v>
      </c>
      <c r="J1907" s="15" t="str">
        <f>VLOOKUP(I1907,department!$A$2:$B$13,2,0)</f>
        <v>Fitness</v>
      </c>
      <c r="K1907">
        <v>19385</v>
      </c>
      <c r="L1907" t="s">
        <v>186</v>
      </c>
      <c r="M1907" s="4">
        <v>44206</v>
      </c>
      <c r="N1907" s="12">
        <f t="shared" si="88"/>
        <v>1</v>
      </c>
      <c r="O1907" s="13">
        <f t="shared" si="89"/>
        <v>2021</v>
      </c>
      <c r="P1907" t="s">
        <v>13</v>
      </c>
      <c r="Q1907" t="s">
        <v>5778</v>
      </c>
      <c r="R1907" t="s">
        <v>23</v>
      </c>
      <c r="S1907" t="str" cm="1">
        <f t="array" ref="S1907">_xlfn.IFS(R1907="COMPLETE", "COMPLETED", R1907="CANCELED", "CANCELED", TRUE, "PENDING")</f>
        <v>PENDING</v>
      </c>
      <c r="T1907" t="s">
        <v>32</v>
      </c>
      <c r="U1907">
        <f>VLOOKUP(A1907,ordered_items!$B:$E,4,0)</f>
        <v>327.75</v>
      </c>
    </row>
    <row r="1908" spans="1:21" x14ac:dyDescent="0.3">
      <c r="A1908">
        <v>75833</v>
      </c>
      <c r="B1908" t="s">
        <v>24</v>
      </c>
      <c r="C1908">
        <v>2</v>
      </c>
      <c r="D1908">
        <v>1</v>
      </c>
      <c r="E1908" t="str">
        <f t="shared" si="87"/>
        <v>DELAYED</v>
      </c>
      <c r="F1908">
        <f>VLOOKUP($A1908,ordered_items!$B$2:$E$4784,2,0)</f>
        <v>1360</v>
      </c>
      <c r="G1908">
        <f>VLOOKUP($A1908,ordered_items!$B$2:$E$4784,3,0)</f>
        <v>1</v>
      </c>
      <c r="H1908">
        <f>VLOOKUP($A1908,ordered_items!$B$2:$E$4784,4,0)</f>
        <v>327.75</v>
      </c>
      <c r="I1908" s="15">
        <f>VLOOKUP(F1908,product_info!$A$2:$D$73,4,0)</f>
        <v>2</v>
      </c>
      <c r="J1908" s="15" t="str">
        <f>VLOOKUP(I1908,department!$A$2:$B$13,2,0)</f>
        <v>Fitness</v>
      </c>
      <c r="K1908">
        <v>19386</v>
      </c>
      <c r="L1908" t="s">
        <v>186</v>
      </c>
      <c r="M1908" s="4">
        <v>44206</v>
      </c>
      <c r="N1908" s="12">
        <f t="shared" si="88"/>
        <v>1</v>
      </c>
      <c r="O1908" s="13">
        <f t="shared" si="89"/>
        <v>2021</v>
      </c>
      <c r="P1908" t="s">
        <v>13</v>
      </c>
      <c r="Q1908" t="s">
        <v>5778</v>
      </c>
      <c r="R1908" t="s">
        <v>31</v>
      </c>
      <c r="S1908" t="str" cm="1">
        <f t="array" ref="S1908">_xlfn.IFS(R1908="COMPLETE", "COMPLETED", R1908="CANCELED", "CANCELED", TRUE, "PENDING")</f>
        <v>COMPLETED</v>
      </c>
      <c r="T1908" t="s">
        <v>32</v>
      </c>
      <c r="U1908">
        <f>VLOOKUP(A1908,ordered_items!$B:$E,4,0)</f>
        <v>327.75</v>
      </c>
    </row>
    <row r="1909" spans="1:21" x14ac:dyDescent="0.3">
      <c r="A1909">
        <v>75834</v>
      </c>
      <c r="B1909" t="s">
        <v>51</v>
      </c>
      <c r="C1909">
        <v>5</v>
      </c>
      <c r="D1909">
        <v>2</v>
      </c>
      <c r="E1909" t="str">
        <f t="shared" si="87"/>
        <v>DELAYED</v>
      </c>
      <c r="F1909">
        <f>VLOOKUP($A1909,ordered_items!$B$2:$E$4784,2,0)</f>
        <v>1360</v>
      </c>
      <c r="G1909">
        <f>VLOOKUP($A1909,ordered_items!$B$2:$E$4784,3,0)</f>
        <v>1</v>
      </c>
      <c r="H1909">
        <f>VLOOKUP($A1909,ordered_items!$B$2:$E$4784,4,0)</f>
        <v>327.75</v>
      </c>
      <c r="I1909" s="15">
        <f>VLOOKUP(F1909,product_info!$A$2:$D$73,4,0)</f>
        <v>2</v>
      </c>
      <c r="J1909" s="15" t="str">
        <f>VLOOKUP(I1909,department!$A$2:$B$13,2,0)</f>
        <v>Fitness</v>
      </c>
      <c r="K1909">
        <v>19387</v>
      </c>
      <c r="L1909" t="s">
        <v>186</v>
      </c>
      <c r="M1909" s="4">
        <v>44206</v>
      </c>
      <c r="N1909" s="12">
        <f t="shared" si="88"/>
        <v>1</v>
      </c>
      <c r="O1909" s="13">
        <f t="shared" si="89"/>
        <v>2021</v>
      </c>
      <c r="P1909" t="s">
        <v>13</v>
      </c>
      <c r="Q1909" t="s">
        <v>5778</v>
      </c>
      <c r="R1909" t="s">
        <v>57</v>
      </c>
      <c r="S1909" t="str" cm="1">
        <f t="array" ref="S1909">_xlfn.IFS(R1909="COMPLETE", "COMPLETED", R1909="CANCELED", "CANCELED", TRUE, "PENDING")</f>
        <v>PENDING</v>
      </c>
      <c r="T1909" t="s">
        <v>90</v>
      </c>
      <c r="U1909">
        <f>VLOOKUP(A1909,ordered_items!$B:$E,4,0)</f>
        <v>327.75</v>
      </c>
    </row>
    <row r="1910" spans="1:21" x14ac:dyDescent="0.3">
      <c r="A1910">
        <v>75835</v>
      </c>
      <c r="B1910" t="s">
        <v>24</v>
      </c>
      <c r="C1910">
        <v>6</v>
      </c>
      <c r="D1910">
        <v>2</v>
      </c>
      <c r="E1910" t="str">
        <f t="shared" si="87"/>
        <v>DELAYED</v>
      </c>
      <c r="F1910">
        <f>VLOOKUP($A1910,ordered_items!$B$2:$E$4784,2,0)</f>
        <v>1360</v>
      </c>
      <c r="G1910">
        <f>VLOOKUP($A1910,ordered_items!$B$2:$E$4784,3,0)</f>
        <v>1</v>
      </c>
      <c r="H1910">
        <f>VLOOKUP($A1910,ordered_items!$B$2:$E$4784,4,0)</f>
        <v>327.75</v>
      </c>
      <c r="I1910" s="15">
        <f>VLOOKUP(F1910,product_info!$A$2:$D$73,4,0)</f>
        <v>2</v>
      </c>
      <c r="J1910" s="15" t="str">
        <f>VLOOKUP(I1910,department!$A$2:$B$13,2,0)</f>
        <v>Fitness</v>
      </c>
      <c r="K1910">
        <v>19388</v>
      </c>
      <c r="L1910" t="s">
        <v>186</v>
      </c>
      <c r="M1910" s="4">
        <v>44207</v>
      </c>
      <c r="N1910" s="12">
        <f t="shared" si="88"/>
        <v>1</v>
      </c>
      <c r="O1910" s="13">
        <f t="shared" si="89"/>
        <v>2021</v>
      </c>
      <c r="P1910" t="s">
        <v>13</v>
      </c>
      <c r="Q1910" t="s">
        <v>5778</v>
      </c>
      <c r="R1910" t="s">
        <v>31</v>
      </c>
      <c r="S1910" t="str" cm="1">
        <f t="array" ref="S1910">_xlfn.IFS(R1910="COMPLETE", "COMPLETED", R1910="CANCELED", "CANCELED", TRUE, "PENDING")</f>
        <v>COMPLETED</v>
      </c>
      <c r="T1910" t="s">
        <v>90</v>
      </c>
      <c r="U1910">
        <f>VLOOKUP(A1910,ordered_items!$B:$E,4,0)</f>
        <v>327.75</v>
      </c>
    </row>
    <row r="1911" spans="1:21" x14ac:dyDescent="0.3">
      <c r="A1911">
        <v>75846</v>
      </c>
      <c r="B1911" t="s">
        <v>3</v>
      </c>
      <c r="C1911">
        <v>2</v>
      </c>
      <c r="D1911">
        <v>4</v>
      </c>
      <c r="E1911" t="str">
        <f t="shared" si="87"/>
        <v xml:space="preserve"> ONTIME</v>
      </c>
      <c r="F1911">
        <f>VLOOKUP($A1911,ordered_items!$B$2:$E$4784,2,0)</f>
        <v>1360</v>
      </c>
      <c r="G1911">
        <f>VLOOKUP($A1911,ordered_items!$B$2:$E$4784,3,0)</f>
        <v>1</v>
      </c>
      <c r="H1911">
        <f>VLOOKUP($A1911,ordered_items!$B$2:$E$4784,4,0)</f>
        <v>327.75</v>
      </c>
      <c r="I1911" s="15">
        <f>VLOOKUP(F1911,product_info!$A$2:$D$73,4,0)</f>
        <v>2</v>
      </c>
      <c r="J1911" s="15" t="str">
        <f>VLOOKUP(I1911,department!$A$2:$B$13,2,0)</f>
        <v>Fitness</v>
      </c>
      <c r="K1911">
        <v>19399</v>
      </c>
      <c r="L1911" t="s">
        <v>84</v>
      </c>
      <c r="M1911" s="4">
        <v>44207</v>
      </c>
      <c r="N1911" s="12">
        <f t="shared" si="88"/>
        <v>1</v>
      </c>
      <c r="O1911" s="13">
        <f t="shared" si="89"/>
        <v>2021</v>
      </c>
      <c r="P1911" t="s">
        <v>13</v>
      </c>
      <c r="Q1911" t="s">
        <v>80</v>
      </c>
      <c r="R1911" t="s">
        <v>38</v>
      </c>
      <c r="S1911" t="str" cm="1">
        <f t="array" ref="S1911">_xlfn.IFS(R1911="COMPLETE", "COMPLETED", R1911="CANCELED", "CANCELED", TRUE, "PENDING")</f>
        <v>PENDING</v>
      </c>
      <c r="T1911" t="s">
        <v>16</v>
      </c>
      <c r="U1911">
        <f>VLOOKUP(A1911,ordered_items!$B:$E,4,0)</f>
        <v>327.75</v>
      </c>
    </row>
    <row r="1912" spans="1:21" x14ac:dyDescent="0.3">
      <c r="A1912">
        <v>75847</v>
      </c>
      <c r="B1912" t="s">
        <v>3</v>
      </c>
      <c r="C1912">
        <v>3</v>
      </c>
      <c r="D1912">
        <v>2</v>
      </c>
      <c r="E1912" t="str">
        <f t="shared" si="87"/>
        <v>DELAYED</v>
      </c>
      <c r="F1912">
        <f>VLOOKUP($A1912,ordered_items!$B$2:$E$4784,2,0)</f>
        <v>1360</v>
      </c>
      <c r="G1912">
        <f>VLOOKUP($A1912,ordered_items!$B$2:$E$4784,3,0)</f>
        <v>1</v>
      </c>
      <c r="H1912">
        <f>VLOOKUP($A1912,ordered_items!$B$2:$E$4784,4,0)</f>
        <v>327.75</v>
      </c>
      <c r="I1912" s="15">
        <f>VLOOKUP(F1912,product_info!$A$2:$D$73,4,0)</f>
        <v>2</v>
      </c>
      <c r="J1912" s="15" t="str">
        <f>VLOOKUP(I1912,department!$A$2:$B$13,2,0)</f>
        <v>Fitness</v>
      </c>
      <c r="K1912">
        <v>19400</v>
      </c>
      <c r="L1912" t="s">
        <v>84</v>
      </c>
      <c r="M1912" s="4">
        <v>44207</v>
      </c>
      <c r="N1912" s="12">
        <f t="shared" si="88"/>
        <v>1</v>
      </c>
      <c r="O1912" s="13">
        <f t="shared" si="89"/>
        <v>2021</v>
      </c>
      <c r="P1912" t="s">
        <v>13</v>
      </c>
      <c r="Q1912" t="s">
        <v>80</v>
      </c>
      <c r="R1912" t="s">
        <v>178</v>
      </c>
      <c r="S1912" t="str" cm="1">
        <f t="array" ref="S1912">_xlfn.IFS(R1912="COMPLETE", "COMPLETED", R1912="CANCELED", "CANCELED", TRUE, "PENDING")</f>
        <v>PENDING</v>
      </c>
      <c r="T1912" t="s">
        <v>90</v>
      </c>
      <c r="U1912">
        <f>VLOOKUP(A1912,ordered_items!$B:$E,4,0)</f>
        <v>327.75</v>
      </c>
    </row>
    <row r="1913" spans="1:21" x14ac:dyDescent="0.3">
      <c r="A1913">
        <v>75848</v>
      </c>
      <c r="B1913" t="s">
        <v>51</v>
      </c>
      <c r="C1913">
        <v>4</v>
      </c>
      <c r="D1913">
        <v>2</v>
      </c>
      <c r="E1913" t="str">
        <f t="shared" si="87"/>
        <v>DELAYED</v>
      </c>
      <c r="F1913">
        <f>VLOOKUP($A1913,ordered_items!$B$2:$E$4784,2,0)</f>
        <v>1360</v>
      </c>
      <c r="G1913">
        <f>VLOOKUP($A1913,ordered_items!$B$2:$E$4784,3,0)</f>
        <v>1</v>
      </c>
      <c r="H1913">
        <f>VLOOKUP($A1913,ordered_items!$B$2:$E$4784,4,0)</f>
        <v>327.75</v>
      </c>
      <c r="I1913" s="15">
        <f>VLOOKUP(F1913,product_info!$A$2:$D$73,4,0)</f>
        <v>2</v>
      </c>
      <c r="J1913" s="15" t="str">
        <f>VLOOKUP(I1913,department!$A$2:$B$13,2,0)</f>
        <v>Fitness</v>
      </c>
      <c r="K1913">
        <v>19401</v>
      </c>
      <c r="L1913" t="s">
        <v>84</v>
      </c>
      <c r="M1913" s="4">
        <v>44207</v>
      </c>
      <c r="N1913" s="12">
        <f t="shared" si="88"/>
        <v>1</v>
      </c>
      <c r="O1913" s="13">
        <f t="shared" si="89"/>
        <v>2021</v>
      </c>
      <c r="P1913" t="s">
        <v>13</v>
      </c>
      <c r="Q1913" t="s">
        <v>80</v>
      </c>
      <c r="R1913" t="s">
        <v>57</v>
      </c>
      <c r="S1913" t="str" cm="1">
        <f t="array" ref="S1913">_xlfn.IFS(R1913="COMPLETE", "COMPLETED", R1913="CANCELED", "CANCELED", TRUE, "PENDING")</f>
        <v>PENDING</v>
      </c>
      <c r="T1913" t="s">
        <v>90</v>
      </c>
      <c r="U1913">
        <f>VLOOKUP(A1913,ordered_items!$B:$E,4,0)</f>
        <v>327.75</v>
      </c>
    </row>
    <row r="1914" spans="1:21" x14ac:dyDescent="0.3">
      <c r="A1914">
        <v>75849</v>
      </c>
      <c r="B1914" t="s">
        <v>51</v>
      </c>
      <c r="C1914">
        <v>5</v>
      </c>
      <c r="D1914">
        <v>4</v>
      </c>
      <c r="E1914" t="str">
        <f t="shared" si="87"/>
        <v>DELAYED</v>
      </c>
      <c r="F1914">
        <f>VLOOKUP($A1914,ordered_items!$B$2:$E$4784,2,0)</f>
        <v>1360</v>
      </c>
      <c r="G1914">
        <f>VLOOKUP($A1914,ordered_items!$B$2:$E$4784,3,0)</f>
        <v>1</v>
      </c>
      <c r="H1914">
        <f>VLOOKUP($A1914,ordered_items!$B$2:$E$4784,4,0)</f>
        <v>327.75</v>
      </c>
      <c r="I1914" s="15">
        <f>VLOOKUP(F1914,product_info!$A$2:$D$73,4,0)</f>
        <v>2</v>
      </c>
      <c r="J1914" s="15" t="str">
        <f>VLOOKUP(I1914,department!$A$2:$B$13,2,0)</f>
        <v>Fitness</v>
      </c>
      <c r="K1914">
        <v>19402</v>
      </c>
      <c r="L1914" t="s">
        <v>84</v>
      </c>
      <c r="M1914" s="4">
        <v>44207</v>
      </c>
      <c r="N1914" s="12">
        <f t="shared" si="88"/>
        <v>1</v>
      </c>
      <c r="O1914" s="13">
        <f t="shared" si="89"/>
        <v>2021</v>
      </c>
      <c r="P1914" t="s">
        <v>13</v>
      </c>
      <c r="Q1914" t="s">
        <v>80</v>
      </c>
      <c r="R1914" t="s">
        <v>57</v>
      </c>
      <c r="S1914" t="str" cm="1">
        <f t="array" ref="S1914">_xlfn.IFS(R1914="COMPLETE", "COMPLETED", R1914="CANCELED", "CANCELED", TRUE, "PENDING")</f>
        <v>PENDING</v>
      </c>
      <c r="T1914" t="s">
        <v>16</v>
      </c>
      <c r="U1914">
        <f>VLOOKUP(A1914,ordered_items!$B:$E,4,0)</f>
        <v>327.75</v>
      </c>
    </row>
    <row r="1915" spans="1:21" x14ac:dyDescent="0.3">
      <c r="A1915">
        <v>75850</v>
      </c>
      <c r="B1915" t="s">
        <v>24</v>
      </c>
      <c r="C1915">
        <v>6</v>
      </c>
      <c r="D1915">
        <v>4</v>
      </c>
      <c r="E1915" t="str">
        <f t="shared" si="87"/>
        <v>DELAYED</v>
      </c>
      <c r="F1915">
        <f>VLOOKUP($A1915,ordered_items!$B$2:$E$4784,2,0)</f>
        <v>1360</v>
      </c>
      <c r="G1915">
        <f>VLOOKUP($A1915,ordered_items!$B$2:$E$4784,3,0)</f>
        <v>1</v>
      </c>
      <c r="H1915">
        <f>VLOOKUP($A1915,ordered_items!$B$2:$E$4784,4,0)</f>
        <v>327.75</v>
      </c>
      <c r="I1915" s="15">
        <f>VLOOKUP(F1915,product_info!$A$2:$D$73,4,0)</f>
        <v>2</v>
      </c>
      <c r="J1915" s="15" t="str">
        <f>VLOOKUP(I1915,department!$A$2:$B$13,2,0)</f>
        <v>Fitness</v>
      </c>
      <c r="K1915">
        <v>19403</v>
      </c>
      <c r="L1915" t="s">
        <v>84</v>
      </c>
      <c r="M1915" s="4">
        <v>44207</v>
      </c>
      <c r="N1915" s="12">
        <f t="shared" si="88"/>
        <v>1</v>
      </c>
      <c r="O1915" s="13">
        <f t="shared" si="89"/>
        <v>2021</v>
      </c>
      <c r="P1915" t="s">
        <v>13</v>
      </c>
      <c r="Q1915" t="s">
        <v>80</v>
      </c>
      <c r="R1915" t="s">
        <v>31</v>
      </c>
      <c r="S1915" t="str" cm="1">
        <f t="array" ref="S1915">_xlfn.IFS(R1915="COMPLETE", "COMPLETED", R1915="CANCELED", "CANCELED", TRUE, "PENDING")</f>
        <v>COMPLETED</v>
      </c>
      <c r="T1915" t="s">
        <v>16</v>
      </c>
      <c r="U1915">
        <f>VLOOKUP(A1915,ordered_items!$B:$E,4,0)</f>
        <v>327.75</v>
      </c>
    </row>
    <row r="1916" spans="1:21" x14ac:dyDescent="0.3">
      <c r="A1916">
        <v>75869</v>
      </c>
      <c r="B1916" t="s">
        <v>24</v>
      </c>
      <c r="C1916">
        <v>2</v>
      </c>
      <c r="D1916">
        <v>1</v>
      </c>
      <c r="E1916" t="str">
        <f t="shared" si="87"/>
        <v>DELAYED</v>
      </c>
      <c r="F1916">
        <f>VLOOKUP($A1916,ordered_items!$B$2:$E$4784,2,0)</f>
        <v>1360</v>
      </c>
      <c r="G1916">
        <f>VLOOKUP($A1916,ordered_items!$B$2:$E$4784,3,0)</f>
        <v>1</v>
      </c>
      <c r="H1916">
        <f>VLOOKUP($A1916,ordered_items!$B$2:$E$4784,4,0)</f>
        <v>327.75</v>
      </c>
      <c r="I1916" s="15">
        <f>VLOOKUP(F1916,product_info!$A$2:$D$73,4,0)</f>
        <v>2</v>
      </c>
      <c r="J1916" s="15" t="str">
        <f>VLOOKUP(I1916,department!$A$2:$B$13,2,0)</f>
        <v>Fitness</v>
      </c>
      <c r="K1916">
        <v>19422</v>
      </c>
      <c r="L1916" t="s">
        <v>146</v>
      </c>
      <c r="M1916" s="4">
        <v>44207</v>
      </c>
      <c r="N1916" s="12">
        <f t="shared" si="88"/>
        <v>1</v>
      </c>
      <c r="O1916" s="13">
        <f t="shared" si="89"/>
        <v>2021</v>
      </c>
      <c r="P1916" t="s">
        <v>13</v>
      </c>
      <c r="Q1916" t="s">
        <v>30</v>
      </c>
      <c r="R1916" t="s">
        <v>31</v>
      </c>
      <c r="S1916" t="str" cm="1">
        <f t="array" ref="S1916">_xlfn.IFS(R1916="COMPLETE", "COMPLETED", R1916="CANCELED", "CANCELED", TRUE, "PENDING")</f>
        <v>COMPLETED</v>
      </c>
      <c r="T1916" t="s">
        <v>32</v>
      </c>
      <c r="U1916">
        <f>VLOOKUP(A1916,ordered_items!$B:$E,4,0)</f>
        <v>327.75</v>
      </c>
    </row>
    <row r="1917" spans="1:21" x14ac:dyDescent="0.3">
      <c r="A1917">
        <v>75870</v>
      </c>
      <c r="B1917" t="s">
        <v>24</v>
      </c>
      <c r="C1917">
        <v>2</v>
      </c>
      <c r="D1917">
        <v>1</v>
      </c>
      <c r="E1917" t="str">
        <f t="shared" si="87"/>
        <v>DELAYED</v>
      </c>
      <c r="F1917">
        <f>VLOOKUP($A1917,ordered_items!$B$2:$E$4784,2,0)</f>
        <v>1360</v>
      </c>
      <c r="G1917">
        <f>VLOOKUP($A1917,ordered_items!$B$2:$E$4784,3,0)</f>
        <v>1</v>
      </c>
      <c r="H1917">
        <f>VLOOKUP($A1917,ordered_items!$B$2:$E$4784,4,0)</f>
        <v>327.75</v>
      </c>
      <c r="I1917" s="15">
        <f>VLOOKUP(F1917,product_info!$A$2:$D$73,4,0)</f>
        <v>2</v>
      </c>
      <c r="J1917" s="15" t="str">
        <f>VLOOKUP(I1917,department!$A$2:$B$13,2,0)</f>
        <v>Fitness</v>
      </c>
      <c r="K1917">
        <v>19423</v>
      </c>
      <c r="L1917" t="s">
        <v>146</v>
      </c>
      <c r="M1917" s="4">
        <v>44207</v>
      </c>
      <c r="N1917" s="12">
        <f t="shared" si="88"/>
        <v>1</v>
      </c>
      <c r="O1917" s="13">
        <f t="shared" si="89"/>
        <v>2021</v>
      </c>
      <c r="P1917" t="s">
        <v>13</v>
      </c>
      <c r="Q1917" t="s">
        <v>30</v>
      </c>
      <c r="R1917" t="s">
        <v>31</v>
      </c>
      <c r="S1917" t="str" cm="1">
        <f t="array" ref="S1917">_xlfn.IFS(R1917="COMPLETE", "COMPLETED", R1917="CANCELED", "CANCELED", TRUE, "PENDING")</f>
        <v>COMPLETED</v>
      </c>
      <c r="T1917" t="s">
        <v>32</v>
      </c>
      <c r="U1917">
        <f>VLOOKUP(A1917,ordered_items!$B:$E,4,0)</f>
        <v>327.75</v>
      </c>
    </row>
    <row r="1918" spans="1:21" x14ac:dyDescent="0.3">
      <c r="A1918">
        <v>75871</v>
      </c>
      <c r="B1918" t="s">
        <v>24</v>
      </c>
      <c r="C1918">
        <v>2</v>
      </c>
      <c r="D1918">
        <v>1</v>
      </c>
      <c r="E1918" t="str">
        <f t="shared" si="87"/>
        <v>DELAYED</v>
      </c>
      <c r="F1918">
        <f>VLOOKUP($A1918,ordered_items!$B$2:$E$4784,2,0)</f>
        <v>1360</v>
      </c>
      <c r="G1918">
        <f>VLOOKUP($A1918,ordered_items!$B$2:$E$4784,3,0)</f>
        <v>1</v>
      </c>
      <c r="H1918">
        <f>VLOOKUP($A1918,ordered_items!$B$2:$E$4784,4,0)</f>
        <v>327.75</v>
      </c>
      <c r="I1918" s="15">
        <f>VLOOKUP(F1918,product_info!$A$2:$D$73,4,0)</f>
        <v>2</v>
      </c>
      <c r="J1918" s="15" t="str">
        <f>VLOOKUP(I1918,department!$A$2:$B$13,2,0)</f>
        <v>Fitness</v>
      </c>
      <c r="K1918">
        <v>19424</v>
      </c>
      <c r="L1918" t="s">
        <v>146</v>
      </c>
      <c r="M1918" s="4">
        <v>44207</v>
      </c>
      <c r="N1918" s="12">
        <f t="shared" si="88"/>
        <v>1</v>
      </c>
      <c r="O1918" s="13">
        <f t="shared" si="89"/>
        <v>2021</v>
      </c>
      <c r="P1918" t="s">
        <v>13</v>
      </c>
      <c r="Q1918" t="s">
        <v>30</v>
      </c>
      <c r="R1918" t="s">
        <v>31</v>
      </c>
      <c r="S1918" t="str" cm="1">
        <f t="array" ref="S1918">_xlfn.IFS(R1918="COMPLETE", "COMPLETED", R1918="CANCELED", "CANCELED", TRUE, "PENDING")</f>
        <v>COMPLETED</v>
      </c>
      <c r="T1918" t="s">
        <v>32</v>
      </c>
      <c r="U1918">
        <f>VLOOKUP(A1918,ordered_items!$B:$E,4,0)</f>
        <v>327.75</v>
      </c>
    </row>
    <row r="1919" spans="1:21" x14ac:dyDescent="0.3">
      <c r="A1919">
        <v>75872</v>
      </c>
      <c r="B1919" t="s">
        <v>3</v>
      </c>
      <c r="C1919">
        <v>3</v>
      </c>
      <c r="D1919">
        <v>4</v>
      </c>
      <c r="E1919" t="str">
        <f t="shared" si="87"/>
        <v xml:space="preserve"> ONTIME</v>
      </c>
      <c r="F1919">
        <f>VLOOKUP($A1919,ordered_items!$B$2:$E$4784,2,0)</f>
        <v>1360</v>
      </c>
      <c r="G1919">
        <f>VLOOKUP($A1919,ordered_items!$B$2:$E$4784,3,0)</f>
        <v>1</v>
      </c>
      <c r="H1919">
        <f>VLOOKUP($A1919,ordered_items!$B$2:$E$4784,4,0)</f>
        <v>327.75</v>
      </c>
      <c r="I1919" s="15">
        <f>VLOOKUP(F1919,product_info!$A$2:$D$73,4,0)</f>
        <v>2</v>
      </c>
      <c r="J1919" s="15" t="str">
        <f>VLOOKUP(I1919,department!$A$2:$B$13,2,0)</f>
        <v>Fitness</v>
      </c>
      <c r="K1919">
        <v>19425</v>
      </c>
      <c r="L1919" t="s">
        <v>146</v>
      </c>
      <c r="M1919" s="4">
        <v>44207</v>
      </c>
      <c r="N1919" s="12">
        <f t="shared" si="88"/>
        <v>1</v>
      </c>
      <c r="O1919" s="13">
        <f t="shared" si="89"/>
        <v>2021</v>
      </c>
      <c r="P1919" t="s">
        <v>13</v>
      </c>
      <c r="Q1919" t="s">
        <v>30</v>
      </c>
      <c r="R1919" t="s">
        <v>14</v>
      </c>
      <c r="S1919" t="str" cm="1">
        <f t="array" ref="S1919">_xlfn.IFS(R1919="COMPLETE", "COMPLETED", R1919="CANCELED", "CANCELED", TRUE, "PENDING")</f>
        <v>PENDING</v>
      </c>
      <c r="T1919" t="s">
        <v>16</v>
      </c>
      <c r="U1919">
        <f>VLOOKUP(A1919,ordered_items!$B:$E,4,0)</f>
        <v>327.75</v>
      </c>
    </row>
    <row r="1920" spans="1:21" x14ac:dyDescent="0.3">
      <c r="A1920">
        <v>75873</v>
      </c>
      <c r="B1920" t="s">
        <v>3</v>
      </c>
      <c r="C1920">
        <v>4</v>
      </c>
      <c r="D1920">
        <v>4</v>
      </c>
      <c r="E1920" t="str">
        <f t="shared" si="87"/>
        <v xml:space="preserve"> ONTIME</v>
      </c>
      <c r="F1920">
        <f>VLOOKUP($A1920,ordered_items!$B$2:$E$4784,2,0)</f>
        <v>1360</v>
      </c>
      <c r="G1920">
        <f>VLOOKUP($A1920,ordered_items!$B$2:$E$4784,3,0)</f>
        <v>1</v>
      </c>
      <c r="H1920">
        <f>VLOOKUP($A1920,ordered_items!$B$2:$E$4784,4,0)</f>
        <v>327.75</v>
      </c>
      <c r="I1920" s="15">
        <f>VLOOKUP(F1920,product_info!$A$2:$D$73,4,0)</f>
        <v>2</v>
      </c>
      <c r="J1920" s="15" t="str">
        <f>VLOOKUP(I1920,department!$A$2:$B$13,2,0)</f>
        <v>Fitness</v>
      </c>
      <c r="K1920">
        <v>19426</v>
      </c>
      <c r="L1920" t="s">
        <v>146</v>
      </c>
      <c r="M1920" s="4">
        <v>44207</v>
      </c>
      <c r="N1920" s="12">
        <f t="shared" si="88"/>
        <v>1</v>
      </c>
      <c r="O1920" s="13">
        <f t="shared" si="89"/>
        <v>2021</v>
      </c>
      <c r="P1920" t="s">
        <v>13</v>
      </c>
      <c r="Q1920" t="s">
        <v>30</v>
      </c>
      <c r="R1920" t="s">
        <v>38</v>
      </c>
      <c r="S1920" t="str" cm="1">
        <f t="array" ref="S1920">_xlfn.IFS(R1920="COMPLETE", "COMPLETED", R1920="CANCELED", "CANCELED", TRUE, "PENDING")</f>
        <v>PENDING</v>
      </c>
      <c r="T1920" t="s">
        <v>16</v>
      </c>
      <c r="U1920">
        <f>VLOOKUP(A1920,ordered_items!$B:$E,4,0)</f>
        <v>327.75</v>
      </c>
    </row>
    <row r="1921" spans="1:21" x14ac:dyDescent="0.3">
      <c r="A1921">
        <v>75878</v>
      </c>
      <c r="B1921" t="s">
        <v>24</v>
      </c>
      <c r="C1921">
        <v>4</v>
      </c>
      <c r="D1921">
        <v>4</v>
      </c>
      <c r="E1921" t="str">
        <f t="shared" si="87"/>
        <v xml:space="preserve"> ONTIME</v>
      </c>
      <c r="F1921">
        <f>VLOOKUP($A1921,ordered_items!$B$2:$E$4784,2,0)</f>
        <v>1360</v>
      </c>
      <c r="G1921">
        <f>VLOOKUP($A1921,ordered_items!$B$2:$E$4784,3,0)</f>
        <v>1</v>
      </c>
      <c r="H1921">
        <f>VLOOKUP($A1921,ordered_items!$B$2:$E$4784,4,0)</f>
        <v>327.75</v>
      </c>
      <c r="I1921" s="15">
        <f>VLOOKUP(F1921,product_info!$A$2:$D$73,4,0)</f>
        <v>2</v>
      </c>
      <c r="J1921" s="15" t="str">
        <f>VLOOKUP(I1921,department!$A$2:$B$13,2,0)</f>
        <v>Fitness</v>
      </c>
      <c r="K1921">
        <v>19431</v>
      </c>
      <c r="L1921" t="s">
        <v>136</v>
      </c>
      <c r="M1921" s="4">
        <v>44207</v>
      </c>
      <c r="N1921" s="12">
        <f t="shared" si="88"/>
        <v>1</v>
      </c>
      <c r="O1921" s="13">
        <f t="shared" si="89"/>
        <v>2021</v>
      </c>
      <c r="P1921" t="s">
        <v>13</v>
      </c>
      <c r="Q1921" t="s">
        <v>47</v>
      </c>
      <c r="R1921" t="s">
        <v>31</v>
      </c>
      <c r="S1921" t="str" cm="1">
        <f t="array" ref="S1921">_xlfn.IFS(R1921="COMPLETE", "COMPLETED", R1921="CANCELED", "CANCELED", TRUE, "PENDING")</f>
        <v>COMPLETED</v>
      </c>
      <c r="T1921" t="s">
        <v>16</v>
      </c>
      <c r="U1921">
        <f>VLOOKUP(A1921,ordered_items!$B:$E,4,0)</f>
        <v>327.75</v>
      </c>
    </row>
    <row r="1922" spans="1:21" x14ac:dyDescent="0.3">
      <c r="A1922">
        <v>75879</v>
      </c>
      <c r="B1922" t="s">
        <v>3</v>
      </c>
      <c r="C1922">
        <v>5</v>
      </c>
      <c r="D1922">
        <v>4</v>
      </c>
      <c r="E1922" t="str">
        <f t="shared" si="87"/>
        <v>DELAYED</v>
      </c>
      <c r="F1922">
        <f>VLOOKUP($A1922,ordered_items!$B$2:$E$4784,2,0)</f>
        <v>1360</v>
      </c>
      <c r="G1922">
        <f>VLOOKUP($A1922,ordered_items!$B$2:$E$4784,3,0)</f>
        <v>1</v>
      </c>
      <c r="H1922">
        <f>VLOOKUP($A1922,ordered_items!$B$2:$E$4784,4,0)</f>
        <v>327.75</v>
      </c>
      <c r="I1922" s="15">
        <f>VLOOKUP(F1922,product_info!$A$2:$D$73,4,0)</f>
        <v>2</v>
      </c>
      <c r="J1922" s="15" t="str">
        <f>VLOOKUP(I1922,department!$A$2:$B$13,2,0)</f>
        <v>Fitness</v>
      </c>
      <c r="K1922">
        <v>19432</v>
      </c>
      <c r="L1922" t="s">
        <v>136</v>
      </c>
      <c r="M1922" s="4">
        <v>44207</v>
      </c>
      <c r="N1922" s="12">
        <f t="shared" si="88"/>
        <v>1</v>
      </c>
      <c r="O1922" s="13">
        <f t="shared" si="89"/>
        <v>2021</v>
      </c>
      <c r="P1922" t="s">
        <v>13</v>
      </c>
      <c r="Q1922" t="s">
        <v>47</v>
      </c>
      <c r="R1922" t="s">
        <v>38</v>
      </c>
      <c r="S1922" t="str" cm="1">
        <f t="array" ref="S1922">_xlfn.IFS(R1922="COMPLETE", "COMPLETED", R1922="CANCELED", "CANCELED", TRUE, "PENDING")</f>
        <v>PENDING</v>
      </c>
      <c r="T1922" t="s">
        <v>16</v>
      </c>
      <c r="U1922">
        <f>VLOOKUP(A1922,ordered_items!$B:$E,4,0)</f>
        <v>327.75</v>
      </c>
    </row>
    <row r="1923" spans="1:21" x14ac:dyDescent="0.3">
      <c r="A1923">
        <v>75892</v>
      </c>
      <c r="B1923" t="s">
        <v>3</v>
      </c>
      <c r="C1923">
        <v>3</v>
      </c>
      <c r="D1923">
        <v>4</v>
      </c>
      <c r="E1923" t="str">
        <f t="shared" ref="E1923:E1986" si="90">IF(C1923-D1923&gt;0,"DELAYED"," ONTIME")</f>
        <v xml:space="preserve"> ONTIME</v>
      </c>
      <c r="F1923">
        <f>VLOOKUP($A1923,ordered_items!$B$2:$E$4784,2,0)</f>
        <v>1360</v>
      </c>
      <c r="G1923">
        <f>VLOOKUP($A1923,ordered_items!$B$2:$E$4784,3,0)</f>
        <v>1</v>
      </c>
      <c r="H1923">
        <f>VLOOKUP($A1923,ordered_items!$B$2:$E$4784,4,0)</f>
        <v>327.75</v>
      </c>
      <c r="I1923" s="15">
        <f>VLOOKUP(F1923,product_info!$A$2:$D$73,4,0)</f>
        <v>2</v>
      </c>
      <c r="J1923" s="15" t="str">
        <f>VLOOKUP(I1923,department!$A$2:$B$13,2,0)</f>
        <v>Fitness</v>
      </c>
      <c r="K1923">
        <v>19445</v>
      </c>
      <c r="L1923" t="s">
        <v>129</v>
      </c>
      <c r="M1923" s="4">
        <v>44207</v>
      </c>
      <c r="N1923" s="12">
        <f t="shared" ref="N1923:N1986" si="91">MONTH(M1923)</f>
        <v>1</v>
      </c>
      <c r="O1923" s="13">
        <f t="shared" ref="O1923:O1986" si="92">YEAR(M1923)</f>
        <v>2021</v>
      </c>
      <c r="P1923" t="s">
        <v>13</v>
      </c>
      <c r="Q1923" t="s">
        <v>130</v>
      </c>
      <c r="R1923" t="s">
        <v>38</v>
      </c>
      <c r="S1923" t="str" cm="1">
        <f t="array" ref="S1923">_xlfn.IFS(R1923="COMPLETE", "COMPLETED", R1923="CANCELED", "CANCELED", TRUE, "PENDING")</f>
        <v>PENDING</v>
      </c>
      <c r="T1923" t="s">
        <v>16</v>
      </c>
      <c r="U1923">
        <f>VLOOKUP(A1923,ordered_items!$B:$E,4,0)</f>
        <v>327.75</v>
      </c>
    </row>
    <row r="1924" spans="1:21" x14ac:dyDescent="0.3">
      <c r="A1924">
        <v>75894</v>
      </c>
      <c r="B1924" t="s">
        <v>3</v>
      </c>
      <c r="C1924">
        <v>5</v>
      </c>
      <c r="D1924">
        <v>2</v>
      </c>
      <c r="E1924" t="str">
        <f t="shared" si="90"/>
        <v>DELAYED</v>
      </c>
      <c r="F1924">
        <f>VLOOKUP($A1924,ordered_items!$B$2:$E$4784,2,0)</f>
        <v>1360</v>
      </c>
      <c r="G1924">
        <f>VLOOKUP($A1924,ordered_items!$B$2:$E$4784,3,0)</f>
        <v>1</v>
      </c>
      <c r="H1924">
        <f>VLOOKUP($A1924,ordered_items!$B$2:$E$4784,4,0)</f>
        <v>327.75</v>
      </c>
      <c r="I1924" s="15">
        <f>VLOOKUP(F1924,product_info!$A$2:$D$73,4,0)</f>
        <v>2</v>
      </c>
      <c r="J1924" s="15" t="str">
        <f>VLOOKUP(I1924,department!$A$2:$B$13,2,0)</f>
        <v>Fitness</v>
      </c>
      <c r="K1924">
        <v>19447</v>
      </c>
      <c r="L1924" t="s">
        <v>84</v>
      </c>
      <c r="M1924" s="4">
        <v>44207</v>
      </c>
      <c r="N1924" s="12">
        <f t="shared" si="91"/>
        <v>1</v>
      </c>
      <c r="O1924" s="13">
        <f t="shared" si="92"/>
        <v>2021</v>
      </c>
      <c r="P1924" t="s">
        <v>13</v>
      </c>
      <c r="Q1924" t="s">
        <v>80</v>
      </c>
      <c r="R1924" t="s">
        <v>14</v>
      </c>
      <c r="S1924" t="str" cm="1">
        <f t="array" ref="S1924">_xlfn.IFS(R1924="COMPLETE", "COMPLETED", R1924="CANCELED", "CANCELED", TRUE, "PENDING")</f>
        <v>PENDING</v>
      </c>
      <c r="T1924" t="s">
        <v>90</v>
      </c>
      <c r="U1924">
        <f>VLOOKUP(A1924,ordered_items!$B:$E,4,0)</f>
        <v>327.75</v>
      </c>
    </row>
    <row r="1925" spans="1:21" x14ac:dyDescent="0.3">
      <c r="A1925">
        <v>75895</v>
      </c>
      <c r="B1925" t="s">
        <v>3</v>
      </c>
      <c r="C1925">
        <v>6</v>
      </c>
      <c r="D1925">
        <v>4</v>
      </c>
      <c r="E1925" t="str">
        <f t="shared" si="90"/>
        <v>DELAYED</v>
      </c>
      <c r="F1925">
        <f>VLOOKUP($A1925,ordered_items!$B$2:$E$4784,2,0)</f>
        <v>1360</v>
      </c>
      <c r="G1925">
        <f>VLOOKUP($A1925,ordered_items!$B$2:$E$4784,3,0)</f>
        <v>1</v>
      </c>
      <c r="H1925">
        <f>VLOOKUP($A1925,ordered_items!$B$2:$E$4784,4,0)</f>
        <v>327.75</v>
      </c>
      <c r="I1925" s="15">
        <f>VLOOKUP(F1925,product_info!$A$2:$D$73,4,0)</f>
        <v>2</v>
      </c>
      <c r="J1925" s="15" t="str">
        <f>VLOOKUP(I1925,department!$A$2:$B$13,2,0)</f>
        <v>Fitness</v>
      </c>
      <c r="K1925">
        <v>19448</v>
      </c>
      <c r="L1925" t="s">
        <v>84</v>
      </c>
      <c r="M1925" s="4">
        <v>44207</v>
      </c>
      <c r="N1925" s="12">
        <f t="shared" si="91"/>
        <v>1</v>
      </c>
      <c r="O1925" s="13">
        <f t="shared" si="92"/>
        <v>2021</v>
      </c>
      <c r="P1925" t="s">
        <v>13</v>
      </c>
      <c r="Q1925" t="s">
        <v>80</v>
      </c>
      <c r="R1925" t="s">
        <v>14</v>
      </c>
      <c r="S1925" t="str" cm="1">
        <f t="array" ref="S1925">_xlfn.IFS(R1925="COMPLETE", "COMPLETED", R1925="CANCELED", "CANCELED", TRUE, "PENDING")</f>
        <v>PENDING</v>
      </c>
      <c r="T1925" t="s">
        <v>16</v>
      </c>
      <c r="U1925">
        <f>VLOOKUP(A1925,ordered_items!$B:$E,4,0)</f>
        <v>327.75</v>
      </c>
    </row>
    <row r="1926" spans="1:21" x14ac:dyDescent="0.3">
      <c r="A1926">
        <v>75904</v>
      </c>
      <c r="B1926" t="s">
        <v>17</v>
      </c>
      <c r="C1926">
        <v>2</v>
      </c>
      <c r="D1926">
        <v>1</v>
      </c>
      <c r="E1926" t="str">
        <f t="shared" si="90"/>
        <v>DELAYED</v>
      </c>
      <c r="F1926">
        <f>VLOOKUP($A1926,ordered_items!$B$2:$E$4784,2,0)</f>
        <v>1360</v>
      </c>
      <c r="G1926">
        <f>VLOOKUP($A1926,ordered_items!$B$2:$E$4784,3,0)</f>
        <v>1</v>
      </c>
      <c r="H1926">
        <f>VLOOKUP($A1926,ordered_items!$B$2:$E$4784,4,0)</f>
        <v>327.75</v>
      </c>
      <c r="I1926" s="15">
        <f>VLOOKUP(F1926,product_info!$A$2:$D$73,4,0)</f>
        <v>2</v>
      </c>
      <c r="J1926" s="15" t="str">
        <f>VLOOKUP(I1926,department!$A$2:$B$13,2,0)</f>
        <v>Fitness</v>
      </c>
      <c r="K1926">
        <v>19457</v>
      </c>
      <c r="L1926" t="s">
        <v>79</v>
      </c>
      <c r="M1926" s="4">
        <v>44208</v>
      </c>
      <c r="N1926" s="12">
        <f t="shared" si="91"/>
        <v>1</v>
      </c>
      <c r="O1926" s="13">
        <f t="shared" si="92"/>
        <v>2021</v>
      </c>
      <c r="P1926" t="s">
        <v>13</v>
      </c>
      <c r="Q1926" t="s">
        <v>80</v>
      </c>
      <c r="R1926" t="s">
        <v>23</v>
      </c>
      <c r="S1926" t="str" cm="1">
        <f t="array" ref="S1926">_xlfn.IFS(R1926="COMPLETE", "COMPLETED", R1926="CANCELED", "CANCELED", TRUE, "PENDING")</f>
        <v>PENDING</v>
      </c>
      <c r="T1926" t="s">
        <v>32</v>
      </c>
      <c r="U1926">
        <f>VLOOKUP(A1926,ordered_items!$B:$E,4,0)</f>
        <v>327.75</v>
      </c>
    </row>
    <row r="1927" spans="1:21" x14ac:dyDescent="0.3">
      <c r="A1927">
        <v>75908</v>
      </c>
      <c r="B1927" t="s">
        <v>51</v>
      </c>
      <c r="C1927">
        <v>4</v>
      </c>
      <c r="D1927">
        <v>4</v>
      </c>
      <c r="E1927" t="str">
        <f t="shared" si="90"/>
        <v xml:space="preserve"> ONTIME</v>
      </c>
      <c r="F1927">
        <f>VLOOKUP($A1927,ordered_items!$B$2:$E$4784,2,0)</f>
        <v>1360</v>
      </c>
      <c r="G1927">
        <f>VLOOKUP($A1927,ordered_items!$B$2:$E$4784,3,0)</f>
        <v>1</v>
      </c>
      <c r="H1927">
        <f>VLOOKUP($A1927,ordered_items!$B$2:$E$4784,4,0)</f>
        <v>327.75</v>
      </c>
      <c r="I1927" s="15">
        <f>VLOOKUP(F1927,product_info!$A$2:$D$73,4,0)</f>
        <v>2</v>
      </c>
      <c r="J1927" s="15" t="str">
        <f>VLOOKUP(I1927,department!$A$2:$B$13,2,0)</f>
        <v>Fitness</v>
      </c>
      <c r="K1927">
        <v>19461</v>
      </c>
      <c r="L1927" t="s">
        <v>70</v>
      </c>
      <c r="M1927" s="4">
        <v>44208</v>
      </c>
      <c r="N1927" s="12">
        <f t="shared" si="91"/>
        <v>1</v>
      </c>
      <c r="O1927" s="13">
        <f t="shared" si="92"/>
        <v>2021</v>
      </c>
      <c r="P1927" t="s">
        <v>13</v>
      </c>
      <c r="Q1927" t="s">
        <v>70</v>
      </c>
      <c r="R1927" t="s">
        <v>57</v>
      </c>
      <c r="S1927" t="str" cm="1">
        <f t="array" ref="S1927">_xlfn.IFS(R1927="COMPLETE", "COMPLETED", R1927="CANCELED", "CANCELED", TRUE, "PENDING")</f>
        <v>PENDING</v>
      </c>
      <c r="T1927" t="s">
        <v>16</v>
      </c>
      <c r="U1927">
        <f>VLOOKUP(A1927,ordered_items!$B:$E,4,0)</f>
        <v>327.75</v>
      </c>
    </row>
    <row r="1928" spans="1:21" x14ac:dyDescent="0.3">
      <c r="A1928">
        <v>75909</v>
      </c>
      <c r="B1928" t="s">
        <v>24</v>
      </c>
      <c r="C1928">
        <v>5</v>
      </c>
      <c r="D1928">
        <v>4</v>
      </c>
      <c r="E1928" t="str">
        <f t="shared" si="90"/>
        <v>DELAYED</v>
      </c>
      <c r="F1928">
        <f>VLOOKUP($A1928,ordered_items!$B$2:$E$4784,2,0)</f>
        <v>1360</v>
      </c>
      <c r="G1928">
        <f>VLOOKUP($A1928,ordered_items!$B$2:$E$4784,3,0)</f>
        <v>1</v>
      </c>
      <c r="H1928">
        <f>VLOOKUP($A1928,ordered_items!$B$2:$E$4784,4,0)</f>
        <v>327.75</v>
      </c>
      <c r="I1928" s="15">
        <f>VLOOKUP(F1928,product_info!$A$2:$D$73,4,0)</f>
        <v>2</v>
      </c>
      <c r="J1928" s="15" t="str">
        <f>VLOOKUP(I1928,department!$A$2:$B$13,2,0)</f>
        <v>Fitness</v>
      </c>
      <c r="K1928">
        <v>19462</v>
      </c>
      <c r="L1928" t="s">
        <v>70</v>
      </c>
      <c r="M1928" s="4">
        <v>44208</v>
      </c>
      <c r="N1928" s="12">
        <f t="shared" si="91"/>
        <v>1</v>
      </c>
      <c r="O1928" s="13">
        <f t="shared" si="92"/>
        <v>2021</v>
      </c>
      <c r="P1928" t="s">
        <v>13</v>
      </c>
      <c r="Q1928" t="s">
        <v>70</v>
      </c>
      <c r="R1928" t="s">
        <v>31</v>
      </c>
      <c r="S1928" t="str" cm="1">
        <f t="array" ref="S1928">_xlfn.IFS(R1928="COMPLETE", "COMPLETED", R1928="CANCELED", "CANCELED", TRUE, "PENDING")</f>
        <v>COMPLETED</v>
      </c>
      <c r="T1928" t="s">
        <v>16</v>
      </c>
      <c r="U1928">
        <f>VLOOKUP(A1928,ordered_items!$B:$E,4,0)</f>
        <v>327.75</v>
      </c>
    </row>
    <row r="1929" spans="1:21" x14ac:dyDescent="0.3">
      <c r="A1929">
        <v>75919</v>
      </c>
      <c r="B1929" t="s">
        <v>3</v>
      </c>
      <c r="C1929">
        <v>5</v>
      </c>
      <c r="D1929">
        <v>4</v>
      </c>
      <c r="E1929" t="str">
        <f t="shared" si="90"/>
        <v>DELAYED</v>
      </c>
      <c r="F1929">
        <f>VLOOKUP($A1929,ordered_items!$B$2:$E$4784,2,0)</f>
        <v>1360</v>
      </c>
      <c r="G1929">
        <f>VLOOKUP($A1929,ordered_items!$B$2:$E$4784,3,0)</f>
        <v>1</v>
      </c>
      <c r="H1929">
        <f>VLOOKUP($A1929,ordered_items!$B$2:$E$4784,4,0)</f>
        <v>327.75</v>
      </c>
      <c r="I1929" s="15">
        <f>VLOOKUP(F1929,product_info!$A$2:$D$73,4,0)</f>
        <v>2</v>
      </c>
      <c r="J1929" s="15" t="str">
        <f>VLOOKUP(I1929,department!$A$2:$B$13,2,0)</f>
        <v>Fitness</v>
      </c>
      <c r="K1929">
        <v>19472</v>
      </c>
      <c r="L1929" t="s">
        <v>46</v>
      </c>
      <c r="M1929" s="4">
        <v>44208</v>
      </c>
      <c r="N1929" s="12">
        <f t="shared" si="91"/>
        <v>1</v>
      </c>
      <c r="O1929" s="13">
        <f t="shared" si="92"/>
        <v>2021</v>
      </c>
      <c r="P1929" t="s">
        <v>13</v>
      </c>
      <c r="Q1929" t="s">
        <v>47</v>
      </c>
      <c r="R1929" t="s">
        <v>14</v>
      </c>
      <c r="S1929" t="str" cm="1">
        <f t="array" ref="S1929">_xlfn.IFS(R1929="COMPLETE", "COMPLETED", R1929="CANCELED", "CANCELED", TRUE, "PENDING")</f>
        <v>PENDING</v>
      </c>
      <c r="T1929" t="s">
        <v>16</v>
      </c>
      <c r="U1929">
        <f>VLOOKUP(A1929,ordered_items!$B:$E,4,0)</f>
        <v>327.75</v>
      </c>
    </row>
    <row r="1930" spans="1:21" x14ac:dyDescent="0.3">
      <c r="A1930">
        <v>75920</v>
      </c>
      <c r="B1930" t="s">
        <v>3</v>
      </c>
      <c r="C1930">
        <v>0</v>
      </c>
      <c r="D1930">
        <v>0</v>
      </c>
      <c r="E1930" t="str">
        <f t="shared" si="90"/>
        <v xml:space="preserve"> ONTIME</v>
      </c>
      <c r="F1930">
        <f>VLOOKUP($A1930,ordered_items!$B$2:$E$4784,2,0)</f>
        <v>1360</v>
      </c>
      <c r="G1930">
        <f>VLOOKUP($A1930,ordered_items!$B$2:$E$4784,3,0)</f>
        <v>1</v>
      </c>
      <c r="H1930">
        <f>VLOOKUP($A1930,ordered_items!$B$2:$E$4784,4,0)</f>
        <v>327.75</v>
      </c>
      <c r="I1930" s="15">
        <f>VLOOKUP(F1930,product_info!$A$2:$D$73,4,0)</f>
        <v>2</v>
      </c>
      <c r="J1930" s="15" t="str">
        <f>VLOOKUP(I1930,department!$A$2:$B$13,2,0)</f>
        <v>Fitness</v>
      </c>
      <c r="K1930">
        <v>19473</v>
      </c>
      <c r="L1930" t="s">
        <v>46</v>
      </c>
      <c r="M1930" s="4">
        <v>44208</v>
      </c>
      <c r="N1930" s="12">
        <f t="shared" si="91"/>
        <v>1</v>
      </c>
      <c r="O1930" s="13">
        <f t="shared" si="92"/>
        <v>2021</v>
      </c>
      <c r="P1930" t="s">
        <v>13</v>
      </c>
      <c r="Q1930" t="s">
        <v>47</v>
      </c>
      <c r="R1930" t="s">
        <v>38</v>
      </c>
      <c r="S1930" t="str" cm="1">
        <f t="array" ref="S1930">_xlfn.IFS(R1930="COMPLETE", "COMPLETED", R1930="CANCELED", "CANCELED", TRUE, "PENDING")</f>
        <v>PENDING</v>
      </c>
      <c r="T1930" t="s">
        <v>58</v>
      </c>
      <c r="U1930">
        <f>VLOOKUP(A1930,ordered_items!$B:$E,4,0)</f>
        <v>327.75</v>
      </c>
    </row>
    <row r="1931" spans="1:21" x14ac:dyDescent="0.3">
      <c r="A1931">
        <v>75921</v>
      </c>
      <c r="B1931" t="s">
        <v>51</v>
      </c>
      <c r="C1931">
        <v>0</v>
      </c>
      <c r="D1931">
        <v>0</v>
      </c>
      <c r="E1931" t="str">
        <f t="shared" si="90"/>
        <v xml:space="preserve"> ONTIME</v>
      </c>
      <c r="F1931">
        <f>VLOOKUP($A1931,ordered_items!$B$2:$E$4784,2,0)</f>
        <v>1360</v>
      </c>
      <c r="G1931">
        <f>VLOOKUP($A1931,ordered_items!$B$2:$E$4784,3,0)</f>
        <v>1</v>
      </c>
      <c r="H1931">
        <f>VLOOKUP($A1931,ordered_items!$B$2:$E$4784,4,0)</f>
        <v>327.75</v>
      </c>
      <c r="I1931" s="15">
        <f>VLOOKUP(F1931,product_info!$A$2:$D$73,4,0)</f>
        <v>2</v>
      </c>
      <c r="J1931" s="15" t="str">
        <f>VLOOKUP(I1931,department!$A$2:$B$13,2,0)</f>
        <v>Fitness</v>
      </c>
      <c r="K1931">
        <v>19474</v>
      </c>
      <c r="L1931" t="s">
        <v>46</v>
      </c>
      <c r="M1931" s="4">
        <v>44208</v>
      </c>
      <c r="N1931" s="12">
        <f t="shared" si="91"/>
        <v>1</v>
      </c>
      <c r="O1931" s="13">
        <f t="shared" si="92"/>
        <v>2021</v>
      </c>
      <c r="P1931" t="s">
        <v>13</v>
      </c>
      <c r="Q1931" t="s">
        <v>47</v>
      </c>
      <c r="R1931" t="s">
        <v>57</v>
      </c>
      <c r="S1931" t="str" cm="1">
        <f t="array" ref="S1931">_xlfn.IFS(R1931="COMPLETE", "COMPLETED", R1931="CANCELED", "CANCELED", TRUE, "PENDING")</f>
        <v>PENDING</v>
      </c>
      <c r="T1931" t="s">
        <v>58</v>
      </c>
      <c r="U1931">
        <f>VLOOKUP(A1931,ordered_items!$B:$E,4,0)</f>
        <v>327.75</v>
      </c>
    </row>
    <row r="1932" spans="1:21" x14ac:dyDescent="0.3">
      <c r="A1932">
        <v>75922</v>
      </c>
      <c r="B1932" t="s">
        <v>24</v>
      </c>
      <c r="C1932">
        <v>2</v>
      </c>
      <c r="D1932">
        <v>1</v>
      </c>
      <c r="E1932" t="str">
        <f t="shared" si="90"/>
        <v>DELAYED</v>
      </c>
      <c r="F1932">
        <f>VLOOKUP($A1932,ordered_items!$B$2:$E$4784,2,0)</f>
        <v>1360</v>
      </c>
      <c r="G1932">
        <f>VLOOKUP($A1932,ordered_items!$B$2:$E$4784,3,0)</f>
        <v>1</v>
      </c>
      <c r="H1932">
        <f>VLOOKUP($A1932,ordered_items!$B$2:$E$4784,4,0)</f>
        <v>327.75</v>
      </c>
      <c r="I1932" s="15">
        <f>VLOOKUP(F1932,product_info!$A$2:$D$73,4,0)</f>
        <v>2</v>
      </c>
      <c r="J1932" s="15" t="str">
        <f>VLOOKUP(I1932,department!$A$2:$B$13,2,0)</f>
        <v>Fitness</v>
      </c>
      <c r="K1932">
        <v>19475</v>
      </c>
      <c r="L1932" t="s">
        <v>46</v>
      </c>
      <c r="M1932" s="4">
        <v>44208</v>
      </c>
      <c r="N1932" s="12">
        <f t="shared" si="91"/>
        <v>1</v>
      </c>
      <c r="O1932" s="13">
        <f t="shared" si="92"/>
        <v>2021</v>
      </c>
      <c r="P1932" t="s">
        <v>13</v>
      </c>
      <c r="Q1932" t="s">
        <v>47</v>
      </c>
      <c r="R1932" t="s">
        <v>31</v>
      </c>
      <c r="S1932" t="str" cm="1">
        <f t="array" ref="S1932">_xlfn.IFS(R1932="COMPLETE", "COMPLETED", R1932="CANCELED", "CANCELED", TRUE, "PENDING")</f>
        <v>COMPLETED</v>
      </c>
      <c r="T1932" t="s">
        <v>32</v>
      </c>
      <c r="U1932">
        <f>VLOOKUP(A1932,ordered_items!$B:$E,4,0)</f>
        <v>327.75</v>
      </c>
    </row>
    <row r="1933" spans="1:21" x14ac:dyDescent="0.3">
      <c r="A1933">
        <v>75923</v>
      </c>
      <c r="B1933" t="s">
        <v>17</v>
      </c>
      <c r="C1933">
        <v>2</v>
      </c>
      <c r="D1933">
        <v>1</v>
      </c>
      <c r="E1933" t="str">
        <f t="shared" si="90"/>
        <v>DELAYED</v>
      </c>
      <c r="F1933">
        <f>VLOOKUP($A1933,ordered_items!$B$2:$E$4784,2,0)</f>
        <v>1360</v>
      </c>
      <c r="G1933">
        <f>VLOOKUP($A1933,ordered_items!$B$2:$E$4784,3,0)</f>
        <v>1</v>
      </c>
      <c r="H1933">
        <f>VLOOKUP($A1933,ordered_items!$B$2:$E$4784,4,0)</f>
        <v>327.75</v>
      </c>
      <c r="I1933" s="15">
        <f>VLOOKUP(F1933,product_info!$A$2:$D$73,4,0)</f>
        <v>2</v>
      </c>
      <c r="J1933" s="15" t="str">
        <f>VLOOKUP(I1933,department!$A$2:$B$13,2,0)</f>
        <v>Fitness</v>
      </c>
      <c r="K1933">
        <v>19476</v>
      </c>
      <c r="L1933" t="s">
        <v>46</v>
      </c>
      <c r="M1933" s="4">
        <v>44208</v>
      </c>
      <c r="N1933" s="12">
        <f t="shared" si="91"/>
        <v>1</v>
      </c>
      <c r="O1933" s="13">
        <f t="shared" si="92"/>
        <v>2021</v>
      </c>
      <c r="P1933" t="s">
        <v>13</v>
      </c>
      <c r="Q1933" t="s">
        <v>47</v>
      </c>
      <c r="R1933" t="s">
        <v>23</v>
      </c>
      <c r="S1933" t="str" cm="1">
        <f t="array" ref="S1933">_xlfn.IFS(R1933="COMPLETE", "COMPLETED", R1933="CANCELED", "CANCELED", TRUE, "PENDING")</f>
        <v>PENDING</v>
      </c>
      <c r="T1933" t="s">
        <v>32</v>
      </c>
      <c r="U1933">
        <f>VLOOKUP(A1933,ordered_items!$B:$E,4,0)</f>
        <v>327.75</v>
      </c>
    </row>
    <row r="1934" spans="1:21" x14ac:dyDescent="0.3">
      <c r="A1934">
        <v>75925</v>
      </c>
      <c r="B1934" t="s">
        <v>24</v>
      </c>
      <c r="C1934">
        <v>2</v>
      </c>
      <c r="D1934">
        <v>1</v>
      </c>
      <c r="E1934" t="str">
        <f t="shared" si="90"/>
        <v>DELAYED</v>
      </c>
      <c r="F1934">
        <f>VLOOKUP($A1934,ordered_items!$B$2:$E$4784,2,0)</f>
        <v>1360</v>
      </c>
      <c r="G1934">
        <f>VLOOKUP($A1934,ordered_items!$B$2:$E$4784,3,0)</f>
        <v>1</v>
      </c>
      <c r="H1934">
        <f>VLOOKUP($A1934,ordered_items!$B$2:$E$4784,4,0)</f>
        <v>327.75</v>
      </c>
      <c r="I1934" s="15">
        <f>VLOOKUP(F1934,product_info!$A$2:$D$73,4,0)</f>
        <v>2</v>
      </c>
      <c r="J1934" s="15" t="str">
        <f>VLOOKUP(I1934,department!$A$2:$B$13,2,0)</f>
        <v>Fitness</v>
      </c>
      <c r="K1934">
        <v>19478</v>
      </c>
      <c r="L1934" t="s">
        <v>29</v>
      </c>
      <c r="M1934" s="4">
        <v>44208</v>
      </c>
      <c r="N1934" s="12">
        <f t="shared" si="91"/>
        <v>1</v>
      </c>
      <c r="O1934" s="13">
        <f t="shared" si="92"/>
        <v>2021</v>
      </c>
      <c r="P1934" t="s">
        <v>13</v>
      </c>
      <c r="Q1934" t="s">
        <v>30</v>
      </c>
      <c r="R1934" t="s">
        <v>31</v>
      </c>
      <c r="S1934" t="str" cm="1">
        <f t="array" ref="S1934">_xlfn.IFS(R1934="COMPLETE", "COMPLETED", R1934="CANCELED", "CANCELED", TRUE, "PENDING")</f>
        <v>COMPLETED</v>
      </c>
      <c r="T1934" t="s">
        <v>32</v>
      </c>
      <c r="U1934">
        <f>VLOOKUP(A1934,ordered_items!$B:$E,4,0)</f>
        <v>327.75</v>
      </c>
    </row>
    <row r="1935" spans="1:21" x14ac:dyDescent="0.3">
      <c r="A1935">
        <v>75926</v>
      </c>
      <c r="B1935" t="s">
        <v>3</v>
      </c>
      <c r="C1935">
        <v>2</v>
      </c>
      <c r="D1935">
        <v>1</v>
      </c>
      <c r="E1935" t="str">
        <f t="shared" si="90"/>
        <v>DELAYED</v>
      </c>
      <c r="F1935">
        <f>VLOOKUP($A1935,ordered_items!$B$2:$E$4784,2,0)</f>
        <v>1360</v>
      </c>
      <c r="G1935">
        <f>VLOOKUP($A1935,ordered_items!$B$2:$E$4784,3,0)</f>
        <v>1</v>
      </c>
      <c r="H1935">
        <f>VLOOKUP($A1935,ordered_items!$B$2:$E$4784,4,0)</f>
        <v>327.75</v>
      </c>
      <c r="I1935" s="15">
        <f>VLOOKUP(F1935,product_info!$A$2:$D$73,4,0)</f>
        <v>2</v>
      </c>
      <c r="J1935" s="15" t="str">
        <f>VLOOKUP(I1935,department!$A$2:$B$13,2,0)</f>
        <v>Fitness</v>
      </c>
      <c r="K1935">
        <v>19479</v>
      </c>
      <c r="L1935" t="s">
        <v>29</v>
      </c>
      <c r="M1935" s="4">
        <v>44208</v>
      </c>
      <c r="N1935" s="12">
        <f t="shared" si="91"/>
        <v>1</v>
      </c>
      <c r="O1935" s="13">
        <f t="shared" si="92"/>
        <v>2021</v>
      </c>
      <c r="P1935" t="s">
        <v>13</v>
      </c>
      <c r="Q1935" t="s">
        <v>30</v>
      </c>
      <c r="R1935" t="s">
        <v>38</v>
      </c>
      <c r="S1935" t="str" cm="1">
        <f t="array" ref="S1935">_xlfn.IFS(R1935="COMPLETE", "COMPLETED", R1935="CANCELED", "CANCELED", TRUE, "PENDING")</f>
        <v>PENDING</v>
      </c>
      <c r="T1935" t="s">
        <v>32</v>
      </c>
      <c r="U1935">
        <f>VLOOKUP(A1935,ordered_items!$B:$E,4,0)</f>
        <v>327.75</v>
      </c>
    </row>
    <row r="1936" spans="1:21" x14ac:dyDescent="0.3">
      <c r="A1936">
        <v>75927</v>
      </c>
      <c r="B1936" t="s">
        <v>24</v>
      </c>
      <c r="C1936">
        <v>2</v>
      </c>
      <c r="D1936">
        <v>1</v>
      </c>
      <c r="E1936" t="str">
        <f t="shared" si="90"/>
        <v>DELAYED</v>
      </c>
      <c r="F1936">
        <f>VLOOKUP($A1936,ordered_items!$B$2:$E$4784,2,0)</f>
        <v>1360</v>
      </c>
      <c r="G1936">
        <f>VLOOKUP($A1936,ordered_items!$B$2:$E$4784,3,0)</f>
        <v>1</v>
      </c>
      <c r="H1936">
        <f>VLOOKUP($A1936,ordered_items!$B$2:$E$4784,4,0)</f>
        <v>327.75</v>
      </c>
      <c r="I1936" s="15">
        <f>VLOOKUP(F1936,product_info!$A$2:$D$73,4,0)</f>
        <v>2</v>
      </c>
      <c r="J1936" s="15" t="str">
        <f>VLOOKUP(I1936,department!$A$2:$B$13,2,0)</f>
        <v>Fitness</v>
      </c>
      <c r="K1936">
        <v>19480</v>
      </c>
      <c r="L1936" t="s">
        <v>29</v>
      </c>
      <c r="M1936" s="4">
        <v>44208</v>
      </c>
      <c r="N1936" s="12">
        <f t="shared" si="91"/>
        <v>1</v>
      </c>
      <c r="O1936" s="13">
        <f t="shared" si="92"/>
        <v>2021</v>
      </c>
      <c r="P1936" t="s">
        <v>13</v>
      </c>
      <c r="Q1936" t="s">
        <v>30</v>
      </c>
      <c r="R1936" t="s">
        <v>31</v>
      </c>
      <c r="S1936" t="str" cm="1">
        <f t="array" ref="S1936">_xlfn.IFS(R1936="COMPLETE", "COMPLETED", R1936="CANCELED", "CANCELED", TRUE, "PENDING")</f>
        <v>COMPLETED</v>
      </c>
      <c r="T1936" t="s">
        <v>32</v>
      </c>
      <c r="U1936">
        <f>VLOOKUP(A1936,ordered_items!$B:$E,4,0)</f>
        <v>327.75</v>
      </c>
    </row>
    <row r="1937" spans="1:21" x14ac:dyDescent="0.3">
      <c r="A1937">
        <v>75938</v>
      </c>
      <c r="B1937" t="s">
        <v>17</v>
      </c>
      <c r="C1937">
        <v>4</v>
      </c>
      <c r="D1937">
        <v>4</v>
      </c>
      <c r="E1937" t="str">
        <f t="shared" si="90"/>
        <v xml:space="preserve"> ONTIME</v>
      </c>
      <c r="F1937">
        <f>VLOOKUP($A1937,ordered_items!$B$2:$E$4784,2,0)</f>
        <v>1360</v>
      </c>
      <c r="G1937">
        <f>VLOOKUP($A1937,ordered_items!$B$2:$E$4784,3,0)</f>
        <v>1</v>
      </c>
      <c r="H1937">
        <f>VLOOKUP($A1937,ordered_items!$B$2:$E$4784,4,0)</f>
        <v>327.75</v>
      </c>
      <c r="I1937" s="15">
        <f>VLOOKUP(F1937,product_info!$A$2:$D$73,4,0)</f>
        <v>2</v>
      </c>
      <c r="J1937" s="15" t="str">
        <f>VLOOKUP(I1937,department!$A$2:$B$13,2,0)</f>
        <v>Fitness</v>
      </c>
      <c r="K1937">
        <v>19491</v>
      </c>
      <c r="L1937" t="s">
        <v>12</v>
      </c>
      <c r="M1937" s="4">
        <v>44208</v>
      </c>
      <c r="N1937" s="12">
        <f t="shared" si="91"/>
        <v>1</v>
      </c>
      <c r="O1937" s="13">
        <f t="shared" si="92"/>
        <v>2021</v>
      </c>
      <c r="P1937" t="s">
        <v>13</v>
      </c>
      <c r="Q1937" t="s">
        <v>5781</v>
      </c>
      <c r="R1937" t="s">
        <v>23</v>
      </c>
      <c r="S1937" t="str" cm="1">
        <f t="array" ref="S1937">_xlfn.IFS(R1937="COMPLETE", "COMPLETED", R1937="CANCELED", "CANCELED", TRUE, "PENDING")</f>
        <v>PENDING</v>
      </c>
      <c r="T1937" t="s">
        <v>16</v>
      </c>
      <c r="U1937">
        <f>VLOOKUP(A1937,ordered_items!$B:$E,4,0)</f>
        <v>327.75</v>
      </c>
    </row>
    <row r="1938" spans="1:21" x14ac:dyDescent="0.3">
      <c r="A1938">
        <v>75939</v>
      </c>
      <c r="B1938" t="s">
        <v>3</v>
      </c>
      <c r="C1938">
        <v>5</v>
      </c>
      <c r="D1938">
        <v>4</v>
      </c>
      <c r="E1938" t="str">
        <f t="shared" si="90"/>
        <v>DELAYED</v>
      </c>
      <c r="F1938">
        <f>VLOOKUP($A1938,ordered_items!$B$2:$E$4784,2,0)</f>
        <v>1360</v>
      </c>
      <c r="G1938">
        <f>VLOOKUP($A1938,ordered_items!$B$2:$E$4784,3,0)</f>
        <v>1</v>
      </c>
      <c r="H1938">
        <f>VLOOKUP($A1938,ordered_items!$B$2:$E$4784,4,0)</f>
        <v>327.75</v>
      </c>
      <c r="I1938" s="15">
        <f>VLOOKUP(F1938,product_info!$A$2:$D$73,4,0)</f>
        <v>2</v>
      </c>
      <c r="J1938" s="15" t="str">
        <f>VLOOKUP(I1938,department!$A$2:$B$13,2,0)</f>
        <v>Fitness</v>
      </c>
      <c r="K1938">
        <v>19492</v>
      </c>
      <c r="L1938" t="s">
        <v>12</v>
      </c>
      <c r="M1938" s="4">
        <v>44208</v>
      </c>
      <c r="N1938" s="12">
        <f t="shared" si="91"/>
        <v>1</v>
      </c>
      <c r="O1938" s="13">
        <f t="shared" si="92"/>
        <v>2021</v>
      </c>
      <c r="P1938" t="s">
        <v>13</v>
      </c>
      <c r="Q1938" t="s">
        <v>5781</v>
      </c>
      <c r="R1938" t="s">
        <v>14</v>
      </c>
      <c r="S1938" t="str" cm="1">
        <f t="array" ref="S1938">_xlfn.IFS(R1938="COMPLETE", "COMPLETED", R1938="CANCELED", "CANCELED", TRUE, "PENDING")</f>
        <v>PENDING</v>
      </c>
      <c r="T1938" t="s">
        <v>16</v>
      </c>
      <c r="U1938">
        <f>VLOOKUP(A1938,ordered_items!$B:$E,4,0)</f>
        <v>327.75</v>
      </c>
    </row>
    <row r="1939" spans="1:21" x14ac:dyDescent="0.3">
      <c r="A1939">
        <v>75940</v>
      </c>
      <c r="B1939" t="s">
        <v>24</v>
      </c>
      <c r="C1939">
        <v>6</v>
      </c>
      <c r="D1939">
        <v>4</v>
      </c>
      <c r="E1939" t="str">
        <f t="shared" si="90"/>
        <v>DELAYED</v>
      </c>
      <c r="F1939">
        <f>VLOOKUP($A1939,ordered_items!$B$2:$E$4784,2,0)</f>
        <v>1361</v>
      </c>
      <c r="G1939">
        <f>VLOOKUP($A1939,ordered_items!$B$2:$E$4784,3,0)</f>
        <v>1</v>
      </c>
      <c r="H1939">
        <f>VLOOKUP($A1939,ordered_items!$B$2:$E$4784,4,0)</f>
        <v>11.54</v>
      </c>
      <c r="I1939" s="15">
        <f>VLOOKUP(F1939,product_info!$A$2:$D$73,4,0)</f>
        <v>7</v>
      </c>
      <c r="J1939" s="15" t="str">
        <f>VLOOKUP(I1939,department!$A$2:$B$13,2,0)</f>
        <v>Fan Shop</v>
      </c>
      <c r="K1939">
        <v>19493</v>
      </c>
      <c r="L1939" t="s">
        <v>434</v>
      </c>
      <c r="M1939" s="4">
        <v>44208</v>
      </c>
      <c r="N1939" s="12">
        <f t="shared" si="91"/>
        <v>1</v>
      </c>
      <c r="O1939" s="13">
        <f t="shared" si="92"/>
        <v>2021</v>
      </c>
      <c r="P1939" t="s">
        <v>13</v>
      </c>
      <c r="Q1939" t="s">
        <v>245</v>
      </c>
      <c r="R1939" t="s">
        <v>31</v>
      </c>
      <c r="S1939" t="str" cm="1">
        <f t="array" ref="S1939">_xlfn.IFS(R1939="COMPLETE", "COMPLETED", R1939="CANCELED", "CANCELED", TRUE, "PENDING")</f>
        <v>COMPLETED</v>
      </c>
      <c r="T1939" t="s">
        <v>16</v>
      </c>
      <c r="U1939">
        <f>VLOOKUP(A1939,ordered_items!$B:$E,4,0)</f>
        <v>11.54</v>
      </c>
    </row>
    <row r="1940" spans="1:21" x14ac:dyDescent="0.3">
      <c r="A1940">
        <v>75941</v>
      </c>
      <c r="B1940" t="s">
        <v>3</v>
      </c>
      <c r="C1940">
        <v>2</v>
      </c>
      <c r="D1940">
        <v>4</v>
      </c>
      <c r="E1940" t="str">
        <f t="shared" si="90"/>
        <v xml:space="preserve"> ONTIME</v>
      </c>
      <c r="F1940">
        <f>VLOOKUP($A1940,ordered_items!$B$2:$E$4784,2,0)</f>
        <v>1361</v>
      </c>
      <c r="G1940">
        <f>VLOOKUP($A1940,ordered_items!$B$2:$E$4784,3,0)</f>
        <v>1</v>
      </c>
      <c r="H1940">
        <f>VLOOKUP($A1940,ordered_items!$B$2:$E$4784,4,0)</f>
        <v>11.54</v>
      </c>
      <c r="I1940" s="15">
        <f>VLOOKUP(F1940,product_info!$A$2:$D$73,4,0)</f>
        <v>7</v>
      </c>
      <c r="J1940" s="15" t="str">
        <f>VLOOKUP(I1940,department!$A$2:$B$13,2,0)</f>
        <v>Fan Shop</v>
      </c>
      <c r="K1940">
        <v>19494</v>
      </c>
      <c r="L1940" t="s">
        <v>434</v>
      </c>
      <c r="M1940" s="4">
        <v>44208</v>
      </c>
      <c r="N1940" s="12">
        <f t="shared" si="91"/>
        <v>1</v>
      </c>
      <c r="O1940" s="13">
        <f t="shared" si="92"/>
        <v>2021</v>
      </c>
      <c r="P1940" t="s">
        <v>13</v>
      </c>
      <c r="Q1940" t="s">
        <v>245</v>
      </c>
      <c r="R1940" t="s">
        <v>14</v>
      </c>
      <c r="S1940" t="str" cm="1">
        <f t="array" ref="S1940">_xlfn.IFS(R1940="COMPLETE", "COMPLETED", R1940="CANCELED", "CANCELED", TRUE, "PENDING")</f>
        <v>PENDING</v>
      </c>
      <c r="T1940" t="s">
        <v>16</v>
      </c>
      <c r="U1940">
        <f>VLOOKUP(A1940,ordered_items!$B:$E,4,0)</f>
        <v>11.54</v>
      </c>
    </row>
    <row r="1941" spans="1:21" x14ac:dyDescent="0.3">
      <c r="A1941">
        <v>75942</v>
      </c>
      <c r="B1941" t="s">
        <v>3</v>
      </c>
      <c r="C1941">
        <v>3</v>
      </c>
      <c r="D1941">
        <v>4</v>
      </c>
      <c r="E1941" t="str">
        <f t="shared" si="90"/>
        <v xml:space="preserve"> ONTIME</v>
      </c>
      <c r="F1941">
        <f>VLOOKUP($A1941,ordered_items!$B$2:$E$4784,2,0)</f>
        <v>1361</v>
      </c>
      <c r="G1941">
        <f>VLOOKUP($A1941,ordered_items!$B$2:$E$4784,3,0)</f>
        <v>1</v>
      </c>
      <c r="H1941">
        <f>VLOOKUP($A1941,ordered_items!$B$2:$E$4784,4,0)</f>
        <v>11.54</v>
      </c>
      <c r="I1941" s="15">
        <f>VLOOKUP(F1941,product_info!$A$2:$D$73,4,0)</f>
        <v>7</v>
      </c>
      <c r="J1941" s="15" t="str">
        <f>VLOOKUP(I1941,department!$A$2:$B$13,2,0)</f>
        <v>Fan Shop</v>
      </c>
      <c r="K1941">
        <v>19495</v>
      </c>
      <c r="L1941" t="s">
        <v>434</v>
      </c>
      <c r="M1941" s="4">
        <v>44208</v>
      </c>
      <c r="N1941" s="12">
        <f t="shared" si="91"/>
        <v>1</v>
      </c>
      <c r="O1941" s="13">
        <f t="shared" si="92"/>
        <v>2021</v>
      </c>
      <c r="P1941" t="s">
        <v>13</v>
      </c>
      <c r="Q1941" t="s">
        <v>245</v>
      </c>
      <c r="R1941" t="s">
        <v>14</v>
      </c>
      <c r="S1941" t="str" cm="1">
        <f t="array" ref="S1941">_xlfn.IFS(R1941="COMPLETE", "COMPLETED", R1941="CANCELED", "CANCELED", TRUE, "PENDING")</f>
        <v>PENDING</v>
      </c>
      <c r="T1941" t="s">
        <v>16</v>
      </c>
      <c r="U1941">
        <f>VLOOKUP(A1941,ordered_items!$B:$E,4,0)</f>
        <v>11.54</v>
      </c>
    </row>
    <row r="1942" spans="1:21" x14ac:dyDescent="0.3">
      <c r="A1942">
        <v>75943</v>
      </c>
      <c r="B1942" t="s">
        <v>24</v>
      </c>
      <c r="C1942">
        <v>4</v>
      </c>
      <c r="D1942">
        <v>4</v>
      </c>
      <c r="E1942" t="str">
        <f t="shared" si="90"/>
        <v xml:space="preserve"> ONTIME</v>
      </c>
      <c r="F1942">
        <f>VLOOKUP($A1942,ordered_items!$B$2:$E$4784,2,0)</f>
        <v>1361</v>
      </c>
      <c r="G1942">
        <f>VLOOKUP($A1942,ordered_items!$B$2:$E$4784,3,0)</f>
        <v>1</v>
      </c>
      <c r="H1942">
        <f>VLOOKUP($A1942,ordered_items!$B$2:$E$4784,4,0)</f>
        <v>11.54</v>
      </c>
      <c r="I1942" s="15">
        <f>VLOOKUP(F1942,product_info!$A$2:$D$73,4,0)</f>
        <v>7</v>
      </c>
      <c r="J1942" s="15" t="str">
        <f>VLOOKUP(I1942,department!$A$2:$B$13,2,0)</f>
        <v>Fan Shop</v>
      </c>
      <c r="K1942">
        <v>19496</v>
      </c>
      <c r="L1942" t="s">
        <v>465</v>
      </c>
      <c r="M1942" s="4">
        <v>44208</v>
      </c>
      <c r="N1942" s="12">
        <f t="shared" si="91"/>
        <v>1</v>
      </c>
      <c r="O1942" s="13">
        <f t="shared" si="92"/>
        <v>2021</v>
      </c>
      <c r="P1942" t="s">
        <v>13</v>
      </c>
      <c r="Q1942" t="s">
        <v>99</v>
      </c>
      <c r="R1942" t="s">
        <v>31</v>
      </c>
      <c r="S1942" t="str" cm="1">
        <f t="array" ref="S1942">_xlfn.IFS(R1942="COMPLETE", "COMPLETED", R1942="CANCELED", "CANCELED", TRUE, "PENDING")</f>
        <v>COMPLETED</v>
      </c>
      <c r="T1942" t="s">
        <v>16</v>
      </c>
      <c r="U1942">
        <f>VLOOKUP(A1942,ordered_items!$B:$E,4,0)</f>
        <v>11.54</v>
      </c>
    </row>
    <row r="1943" spans="1:21" x14ac:dyDescent="0.3">
      <c r="A1943">
        <v>75944</v>
      </c>
      <c r="B1943" t="s">
        <v>51</v>
      </c>
      <c r="C1943">
        <v>5</v>
      </c>
      <c r="D1943">
        <v>4</v>
      </c>
      <c r="E1943" t="str">
        <f t="shared" si="90"/>
        <v>DELAYED</v>
      </c>
      <c r="F1943">
        <f>VLOOKUP($A1943,ordered_items!$B$2:$E$4784,2,0)</f>
        <v>1361</v>
      </c>
      <c r="G1943">
        <f>VLOOKUP($A1943,ordered_items!$B$2:$E$4784,3,0)</f>
        <v>1</v>
      </c>
      <c r="H1943">
        <f>VLOOKUP($A1943,ordered_items!$B$2:$E$4784,4,0)</f>
        <v>11.54</v>
      </c>
      <c r="I1943" s="15">
        <f>VLOOKUP(F1943,product_info!$A$2:$D$73,4,0)</f>
        <v>7</v>
      </c>
      <c r="J1943" s="15" t="str">
        <f>VLOOKUP(I1943,department!$A$2:$B$13,2,0)</f>
        <v>Fan Shop</v>
      </c>
      <c r="K1943">
        <v>19497</v>
      </c>
      <c r="L1943" t="s">
        <v>465</v>
      </c>
      <c r="M1943" s="4">
        <v>44208</v>
      </c>
      <c r="N1943" s="12">
        <f t="shared" si="91"/>
        <v>1</v>
      </c>
      <c r="O1943" s="13">
        <f t="shared" si="92"/>
        <v>2021</v>
      </c>
      <c r="P1943" t="s">
        <v>13</v>
      </c>
      <c r="Q1943" t="s">
        <v>99</v>
      </c>
      <c r="R1943" t="s">
        <v>57</v>
      </c>
      <c r="S1943" t="str" cm="1">
        <f t="array" ref="S1943">_xlfn.IFS(R1943="COMPLETE", "COMPLETED", R1943="CANCELED", "CANCELED", TRUE, "PENDING")</f>
        <v>PENDING</v>
      </c>
      <c r="T1943" t="s">
        <v>16</v>
      </c>
      <c r="U1943">
        <f>VLOOKUP(A1943,ordered_items!$B:$E,4,0)</f>
        <v>11.54</v>
      </c>
    </row>
    <row r="1944" spans="1:21" x14ac:dyDescent="0.3">
      <c r="A1944">
        <v>75974</v>
      </c>
      <c r="B1944" t="s">
        <v>51</v>
      </c>
      <c r="C1944">
        <v>5</v>
      </c>
      <c r="D1944">
        <v>4</v>
      </c>
      <c r="E1944" t="str">
        <f t="shared" si="90"/>
        <v>DELAYED</v>
      </c>
      <c r="F1944">
        <f>VLOOKUP($A1944,ordered_items!$B$2:$E$4784,2,0)</f>
        <v>1361</v>
      </c>
      <c r="G1944">
        <f>VLOOKUP($A1944,ordered_items!$B$2:$E$4784,3,0)</f>
        <v>1</v>
      </c>
      <c r="H1944">
        <f>VLOOKUP($A1944,ordered_items!$B$2:$E$4784,4,0)</f>
        <v>11.54</v>
      </c>
      <c r="I1944" s="15">
        <f>VLOOKUP(F1944,product_info!$A$2:$D$73,4,0)</f>
        <v>7</v>
      </c>
      <c r="J1944" s="15" t="str">
        <f>VLOOKUP(I1944,department!$A$2:$B$13,2,0)</f>
        <v>Fan Shop</v>
      </c>
      <c r="K1944">
        <v>19527</v>
      </c>
      <c r="L1944" t="s">
        <v>881</v>
      </c>
      <c r="M1944" s="4">
        <v>44209</v>
      </c>
      <c r="N1944" s="12">
        <f t="shared" si="91"/>
        <v>1</v>
      </c>
      <c r="O1944" s="13">
        <f t="shared" si="92"/>
        <v>2021</v>
      </c>
      <c r="P1944" t="s">
        <v>13</v>
      </c>
      <c r="Q1944" t="s">
        <v>99</v>
      </c>
      <c r="R1944" t="s">
        <v>57</v>
      </c>
      <c r="S1944" t="str" cm="1">
        <f t="array" ref="S1944">_xlfn.IFS(R1944="COMPLETE", "COMPLETED", R1944="CANCELED", "CANCELED", TRUE, "PENDING")</f>
        <v>PENDING</v>
      </c>
      <c r="T1944" t="s">
        <v>16</v>
      </c>
      <c r="U1944">
        <f>VLOOKUP(A1944,ordered_items!$B:$E,4,0)</f>
        <v>11.54</v>
      </c>
    </row>
    <row r="1945" spans="1:21" x14ac:dyDescent="0.3">
      <c r="A1945">
        <v>75975</v>
      </c>
      <c r="B1945" t="s">
        <v>3</v>
      </c>
      <c r="C1945">
        <v>6</v>
      </c>
      <c r="D1945">
        <v>4</v>
      </c>
      <c r="E1945" t="str">
        <f t="shared" si="90"/>
        <v>DELAYED</v>
      </c>
      <c r="F1945">
        <f>VLOOKUP($A1945,ordered_items!$B$2:$E$4784,2,0)</f>
        <v>1361</v>
      </c>
      <c r="G1945">
        <f>VLOOKUP($A1945,ordered_items!$B$2:$E$4784,3,0)</f>
        <v>1</v>
      </c>
      <c r="H1945">
        <f>VLOOKUP($A1945,ordered_items!$B$2:$E$4784,4,0)</f>
        <v>11.54</v>
      </c>
      <c r="I1945" s="15">
        <f>VLOOKUP(F1945,product_info!$A$2:$D$73,4,0)</f>
        <v>7</v>
      </c>
      <c r="J1945" s="15" t="str">
        <f>VLOOKUP(I1945,department!$A$2:$B$13,2,0)</f>
        <v>Fan Shop</v>
      </c>
      <c r="K1945">
        <v>19528</v>
      </c>
      <c r="L1945" t="s">
        <v>881</v>
      </c>
      <c r="M1945" s="4">
        <v>44209</v>
      </c>
      <c r="N1945" s="12">
        <f t="shared" si="91"/>
        <v>1</v>
      </c>
      <c r="O1945" s="13">
        <f t="shared" si="92"/>
        <v>2021</v>
      </c>
      <c r="P1945" t="s">
        <v>13</v>
      </c>
      <c r="Q1945" t="s">
        <v>99</v>
      </c>
      <c r="R1945" t="s">
        <v>235</v>
      </c>
      <c r="S1945" t="str" cm="1">
        <f t="array" ref="S1945">_xlfn.IFS(R1945="COMPLETE", "COMPLETED", R1945="CANCELED", "CANCELED", TRUE, "PENDING")</f>
        <v>CANCELED</v>
      </c>
      <c r="T1945" t="s">
        <v>16</v>
      </c>
      <c r="U1945">
        <f>VLOOKUP(A1945,ordered_items!$B:$E,4,0)</f>
        <v>11.54</v>
      </c>
    </row>
    <row r="1946" spans="1:21" x14ac:dyDescent="0.3">
      <c r="A1946">
        <v>75976</v>
      </c>
      <c r="B1946" t="s">
        <v>24</v>
      </c>
      <c r="C1946">
        <v>2</v>
      </c>
      <c r="D1946">
        <v>4</v>
      </c>
      <c r="E1946" t="str">
        <f t="shared" si="90"/>
        <v xml:space="preserve"> ONTIME</v>
      </c>
      <c r="F1946">
        <f>VLOOKUP($A1946,ordered_items!$B$2:$E$4784,2,0)</f>
        <v>1361</v>
      </c>
      <c r="G1946">
        <f>VLOOKUP($A1946,ordered_items!$B$2:$E$4784,3,0)</f>
        <v>1</v>
      </c>
      <c r="H1946">
        <f>VLOOKUP($A1946,ordered_items!$B$2:$E$4784,4,0)</f>
        <v>11.54</v>
      </c>
      <c r="I1946" s="15">
        <f>VLOOKUP(F1946,product_info!$A$2:$D$73,4,0)</f>
        <v>7</v>
      </c>
      <c r="J1946" s="15" t="str">
        <f>VLOOKUP(I1946,department!$A$2:$B$13,2,0)</f>
        <v>Fan Shop</v>
      </c>
      <c r="K1946">
        <v>19529</v>
      </c>
      <c r="L1946" t="s">
        <v>881</v>
      </c>
      <c r="M1946" s="4">
        <v>44209</v>
      </c>
      <c r="N1946" s="12">
        <f t="shared" si="91"/>
        <v>1</v>
      </c>
      <c r="O1946" s="13">
        <f t="shared" si="92"/>
        <v>2021</v>
      </c>
      <c r="P1946" t="s">
        <v>13</v>
      </c>
      <c r="Q1946" t="s">
        <v>99</v>
      </c>
      <c r="R1946" t="s">
        <v>31</v>
      </c>
      <c r="S1946" t="str" cm="1">
        <f t="array" ref="S1946">_xlfn.IFS(R1946="COMPLETE", "COMPLETED", R1946="CANCELED", "CANCELED", TRUE, "PENDING")</f>
        <v>COMPLETED</v>
      </c>
      <c r="T1946" t="s">
        <v>16</v>
      </c>
      <c r="U1946">
        <f>VLOOKUP(A1946,ordered_items!$B:$E,4,0)</f>
        <v>11.54</v>
      </c>
    </row>
    <row r="1947" spans="1:21" x14ac:dyDescent="0.3">
      <c r="A1947">
        <v>75977</v>
      </c>
      <c r="B1947" t="s">
        <v>3</v>
      </c>
      <c r="C1947">
        <v>3</v>
      </c>
      <c r="D1947">
        <v>4</v>
      </c>
      <c r="E1947" t="str">
        <f t="shared" si="90"/>
        <v xml:space="preserve"> ONTIME</v>
      </c>
      <c r="F1947">
        <f>VLOOKUP($A1947,ordered_items!$B$2:$E$4784,2,0)</f>
        <v>1361</v>
      </c>
      <c r="G1947">
        <f>VLOOKUP($A1947,ordered_items!$B$2:$E$4784,3,0)</f>
        <v>1</v>
      </c>
      <c r="H1947">
        <f>VLOOKUP($A1947,ordered_items!$B$2:$E$4784,4,0)</f>
        <v>11.54</v>
      </c>
      <c r="I1947" s="15">
        <f>VLOOKUP(F1947,product_info!$A$2:$D$73,4,0)</f>
        <v>7</v>
      </c>
      <c r="J1947" s="15" t="str">
        <f>VLOOKUP(I1947,department!$A$2:$B$13,2,0)</f>
        <v>Fan Shop</v>
      </c>
      <c r="K1947">
        <v>19530</v>
      </c>
      <c r="L1947" t="s">
        <v>881</v>
      </c>
      <c r="M1947" s="4">
        <v>44209</v>
      </c>
      <c r="N1947" s="12">
        <f t="shared" si="91"/>
        <v>1</v>
      </c>
      <c r="O1947" s="13">
        <f t="shared" si="92"/>
        <v>2021</v>
      </c>
      <c r="P1947" t="s">
        <v>13</v>
      </c>
      <c r="Q1947" t="s">
        <v>99</v>
      </c>
      <c r="R1947" t="s">
        <v>38</v>
      </c>
      <c r="S1947" t="str" cm="1">
        <f t="array" ref="S1947">_xlfn.IFS(R1947="COMPLETE", "COMPLETED", R1947="CANCELED", "CANCELED", TRUE, "PENDING")</f>
        <v>PENDING</v>
      </c>
      <c r="T1947" t="s">
        <v>16</v>
      </c>
      <c r="U1947">
        <f>VLOOKUP(A1947,ordered_items!$B:$E,4,0)</f>
        <v>11.54</v>
      </c>
    </row>
    <row r="1948" spans="1:21" x14ac:dyDescent="0.3">
      <c r="A1948">
        <v>76016</v>
      </c>
      <c r="B1948" t="s">
        <v>24</v>
      </c>
      <c r="C1948">
        <v>2</v>
      </c>
      <c r="D1948">
        <v>4</v>
      </c>
      <c r="E1948" t="str">
        <f t="shared" si="90"/>
        <v xml:space="preserve"> ONTIME</v>
      </c>
      <c r="F1948">
        <f>VLOOKUP($A1948,ordered_items!$B$2:$E$4784,2,0)</f>
        <v>1361</v>
      </c>
      <c r="G1948">
        <f>VLOOKUP($A1948,ordered_items!$B$2:$E$4784,3,0)</f>
        <v>1</v>
      </c>
      <c r="H1948">
        <f>VLOOKUP($A1948,ordered_items!$B$2:$E$4784,4,0)</f>
        <v>11.54</v>
      </c>
      <c r="I1948" s="15">
        <f>VLOOKUP(F1948,product_info!$A$2:$D$73,4,0)</f>
        <v>7</v>
      </c>
      <c r="J1948" s="15" t="str">
        <f>VLOOKUP(I1948,department!$A$2:$B$13,2,0)</f>
        <v>Fan Shop</v>
      </c>
      <c r="K1948">
        <v>19569</v>
      </c>
      <c r="L1948" t="s">
        <v>1530</v>
      </c>
      <c r="M1948" s="4">
        <v>44209</v>
      </c>
      <c r="N1948" s="12">
        <f t="shared" si="91"/>
        <v>1</v>
      </c>
      <c r="O1948" s="13">
        <f t="shared" si="92"/>
        <v>2021</v>
      </c>
      <c r="P1948" t="s">
        <v>13</v>
      </c>
      <c r="Q1948" t="s">
        <v>99</v>
      </c>
      <c r="R1948" t="s">
        <v>31</v>
      </c>
      <c r="S1948" t="str" cm="1">
        <f t="array" ref="S1948">_xlfn.IFS(R1948="COMPLETE", "COMPLETED", R1948="CANCELED", "CANCELED", TRUE, "PENDING")</f>
        <v>COMPLETED</v>
      </c>
      <c r="T1948" t="s">
        <v>16</v>
      </c>
      <c r="U1948">
        <f>VLOOKUP(A1948,ordered_items!$B:$E,4,0)</f>
        <v>11.54</v>
      </c>
    </row>
    <row r="1949" spans="1:21" x14ac:dyDescent="0.3">
      <c r="A1949">
        <v>76017</v>
      </c>
      <c r="B1949" t="s">
        <v>24</v>
      </c>
      <c r="C1949">
        <v>3</v>
      </c>
      <c r="D1949">
        <v>4</v>
      </c>
      <c r="E1949" t="str">
        <f t="shared" si="90"/>
        <v xml:space="preserve"> ONTIME</v>
      </c>
      <c r="F1949">
        <f>VLOOKUP($A1949,ordered_items!$B$2:$E$4784,2,0)</f>
        <v>1361</v>
      </c>
      <c r="G1949">
        <f>VLOOKUP($A1949,ordered_items!$B$2:$E$4784,3,0)</f>
        <v>1</v>
      </c>
      <c r="H1949">
        <f>VLOOKUP($A1949,ordered_items!$B$2:$E$4784,4,0)</f>
        <v>11.54</v>
      </c>
      <c r="I1949" s="15">
        <f>VLOOKUP(F1949,product_info!$A$2:$D$73,4,0)</f>
        <v>7</v>
      </c>
      <c r="J1949" s="15" t="str">
        <f>VLOOKUP(I1949,department!$A$2:$B$13,2,0)</f>
        <v>Fan Shop</v>
      </c>
      <c r="K1949">
        <v>19570</v>
      </c>
      <c r="L1949" t="s">
        <v>1530</v>
      </c>
      <c r="M1949" s="4">
        <v>44209</v>
      </c>
      <c r="N1949" s="12">
        <f t="shared" si="91"/>
        <v>1</v>
      </c>
      <c r="O1949" s="13">
        <f t="shared" si="92"/>
        <v>2021</v>
      </c>
      <c r="P1949" t="s">
        <v>13</v>
      </c>
      <c r="Q1949" t="s">
        <v>99</v>
      </c>
      <c r="R1949" t="s">
        <v>31</v>
      </c>
      <c r="S1949" t="str" cm="1">
        <f t="array" ref="S1949">_xlfn.IFS(R1949="COMPLETE", "COMPLETED", R1949="CANCELED", "CANCELED", TRUE, "PENDING")</f>
        <v>COMPLETED</v>
      </c>
      <c r="T1949" t="s">
        <v>16</v>
      </c>
      <c r="U1949">
        <f>VLOOKUP(A1949,ordered_items!$B:$E,4,0)</f>
        <v>11.54</v>
      </c>
    </row>
    <row r="1950" spans="1:21" x14ac:dyDescent="0.3">
      <c r="A1950">
        <v>76018</v>
      </c>
      <c r="B1950" t="s">
        <v>51</v>
      </c>
      <c r="C1950">
        <v>4</v>
      </c>
      <c r="D1950">
        <v>4</v>
      </c>
      <c r="E1950" t="str">
        <f t="shared" si="90"/>
        <v xml:space="preserve"> ONTIME</v>
      </c>
      <c r="F1950">
        <f>VLOOKUP($A1950,ordered_items!$B$2:$E$4784,2,0)</f>
        <v>1361</v>
      </c>
      <c r="G1950">
        <f>VLOOKUP($A1950,ordered_items!$B$2:$E$4784,3,0)</f>
        <v>1</v>
      </c>
      <c r="H1950">
        <f>VLOOKUP($A1950,ordered_items!$B$2:$E$4784,4,0)</f>
        <v>11.54</v>
      </c>
      <c r="I1950" s="15">
        <f>VLOOKUP(F1950,product_info!$A$2:$D$73,4,0)</f>
        <v>7</v>
      </c>
      <c r="J1950" s="15" t="str">
        <f>VLOOKUP(I1950,department!$A$2:$B$13,2,0)</f>
        <v>Fan Shop</v>
      </c>
      <c r="K1950">
        <v>19571</v>
      </c>
      <c r="L1950" t="s">
        <v>1530</v>
      </c>
      <c r="M1950" s="4">
        <v>44209</v>
      </c>
      <c r="N1950" s="12">
        <f t="shared" si="91"/>
        <v>1</v>
      </c>
      <c r="O1950" s="13">
        <f t="shared" si="92"/>
        <v>2021</v>
      </c>
      <c r="P1950" t="s">
        <v>13</v>
      </c>
      <c r="Q1950" t="s">
        <v>99</v>
      </c>
      <c r="R1950" t="s">
        <v>1275</v>
      </c>
      <c r="S1950" t="str" cm="1">
        <f t="array" ref="S1950">_xlfn.IFS(R1950="COMPLETE", "COMPLETED", R1950="CANCELED", "CANCELED", TRUE, "PENDING")</f>
        <v>PENDING</v>
      </c>
      <c r="T1950" t="s">
        <v>16</v>
      </c>
      <c r="U1950">
        <f>VLOOKUP(A1950,ordered_items!$B:$E,4,0)</f>
        <v>11.54</v>
      </c>
    </row>
    <row r="1951" spans="1:21" x14ac:dyDescent="0.3">
      <c r="A1951">
        <v>76044</v>
      </c>
      <c r="B1951" t="s">
        <v>24</v>
      </c>
      <c r="C1951">
        <v>5</v>
      </c>
      <c r="D1951">
        <v>4</v>
      </c>
      <c r="E1951" t="str">
        <f t="shared" si="90"/>
        <v>DELAYED</v>
      </c>
      <c r="F1951">
        <f>VLOOKUP($A1951,ordered_items!$B$2:$E$4784,2,0)</f>
        <v>1361</v>
      </c>
      <c r="G1951">
        <f>VLOOKUP($A1951,ordered_items!$B$2:$E$4784,3,0)</f>
        <v>1</v>
      </c>
      <c r="H1951">
        <f>VLOOKUP($A1951,ordered_items!$B$2:$E$4784,4,0)</f>
        <v>11.54</v>
      </c>
      <c r="I1951" s="15">
        <f>VLOOKUP(F1951,product_info!$A$2:$D$73,4,0)</f>
        <v>7</v>
      </c>
      <c r="J1951" s="15" t="str">
        <f>VLOOKUP(I1951,department!$A$2:$B$13,2,0)</f>
        <v>Fan Shop</v>
      </c>
      <c r="K1951">
        <v>19597</v>
      </c>
      <c r="L1951" t="s">
        <v>304</v>
      </c>
      <c r="M1951" s="4">
        <v>44210</v>
      </c>
      <c r="N1951" s="12">
        <f t="shared" si="91"/>
        <v>1</v>
      </c>
      <c r="O1951" s="13">
        <f t="shared" si="92"/>
        <v>2021</v>
      </c>
      <c r="P1951" t="s">
        <v>13</v>
      </c>
      <c r="Q1951" t="s">
        <v>30</v>
      </c>
      <c r="R1951" t="s">
        <v>378</v>
      </c>
      <c r="S1951" t="str" cm="1">
        <f t="array" ref="S1951">_xlfn.IFS(R1951="COMPLETE", "COMPLETED", R1951="CANCELED", "CANCELED", TRUE, "PENDING")</f>
        <v>PENDING</v>
      </c>
      <c r="T1951" t="s">
        <v>16</v>
      </c>
      <c r="U1951">
        <f>VLOOKUP(A1951,ordered_items!$B:$E,4,0)</f>
        <v>11.54</v>
      </c>
    </row>
    <row r="1952" spans="1:21" x14ac:dyDescent="0.3">
      <c r="A1952">
        <v>76045</v>
      </c>
      <c r="B1952" t="s">
        <v>24</v>
      </c>
      <c r="C1952">
        <v>6</v>
      </c>
      <c r="D1952">
        <v>4</v>
      </c>
      <c r="E1952" t="str">
        <f t="shared" si="90"/>
        <v>DELAYED</v>
      </c>
      <c r="F1952">
        <f>VLOOKUP($A1952,ordered_items!$B$2:$E$4784,2,0)</f>
        <v>1361</v>
      </c>
      <c r="G1952">
        <f>VLOOKUP($A1952,ordered_items!$B$2:$E$4784,3,0)</f>
        <v>1</v>
      </c>
      <c r="H1952">
        <f>VLOOKUP($A1952,ordered_items!$B$2:$E$4784,4,0)</f>
        <v>11.54</v>
      </c>
      <c r="I1952" s="15">
        <f>VLOOKUP(F1952,product_info!$A$2:$D$73,4,0)</f>
        <v>7</v>
      </c>
      <c r="J1952" s="15" t="str">
        <f>VLOOKUP(I1952,department!$A$2:$B$13,2,0)</f>
        <v>Fan Shop</v>
      </c>
      <c r="K1952">
        <v>19598</v>
      </c>
      <c r="L1952" t="s">
        <v>304</v>
      </c>
      <c r="M1952" s="4">
        <v>44210</v>
      </c>
      <c r="N1952" s="12">
        <f t="shared" si="91"/>
        <v>1</v>
      </c>
      <c r="O1952" s="13">
        <f t="shared" si="92"/>
        <v>2021</v>
      </c>
      <c r="P1952" t="s">
        <v>13</v>
      </c>
      <c r="Q1952" t="s">
        <v>30</v>
      </c>
      <c r="R1952" t="s">
        <v>31</v>
      </c>
      <c r="S1952" t="str" cm="1">
        <f t="array" ref="S1952">_xlfn.IFS(R1952="COMPLETE", "COMPLETED", R1952="CANCELED", "CANCELED", TRUE, "PENDING")</f>
        <v>COMPLETED</v>
      </c>
      <c r="T1952" t="s">
        <v>16</v>
      </c>
      <c r="U1952">
        <f>VLOOKUP(A1952,ordered_items!$B:$E,4,0)</f>
        <v>11.54</v>
      </c>
    </row>
    <row r="1953" spans="1:21" x14ac:dyDescent="0.3">
      <c r="A1953">
        <v>76046</v>
      </c>
      <c r="B1953" t="s">
        <v>24</v>
      </c>
      <c r="C1953">
        <v>2</v>
      </c>
      <c r="D1953">
        <v>4</v>
      </c>
      <c r="E1953" t="str">
        <f t="shared" si="90"/>
        <v xml:space="preserve"> ONTIME</v>
      </c>
      <c r="F1953">
        <f>VLOOKUP($A1953,ordered_items!$B$2:$E$4784,2,0)</f>
        <v>1361</v>
      </c>
      <c r="G1953">
        <f>VLOOKUP($A1953,ordered_items!$B$2:$E$4784,3,0)</f>
        <v>1</v>
      </c>
      <c r="H1953">
        <f>VLOOKUP($A1953,ordered_items!$B$2:$E$4784,4,0)</f>
        <v>11.54</v>
      </c>
      <c r="I1953" s="15">
        <f>VLOOKUP(F1953,product_info!$A$2:$D$73,4,0)</f>
        <v>7</v>
      </c>
      <c r="J1953" s="15" t="str">
        <f>VLOOKUP(I1953,department!$A$2:$B$13,2,0)</f>
        <v>Fan Shop</v>
      </c>
      <c r="K1953">
        <v>19599</v>
      </c>
      <c r="L1953" t="s">
        <v>304</v>
      </c>
      <c r="M1953" s="4">
        <v>44210</v>
      </c>
      <c r="N1953" s="12">
        <f t="shared" si="91"/>
        <v>1</v>
      </c>
      <c r="O1953" s="13">
        <f t="shared" si="92"/>
        <v>2021</v>
      </c>
      <c r="P1953" t="s">
        <v>13</v>
      </c>
      <c r="Q1953" t="s">
        <v>30</v>
      </c>
      <c r="R1953" t="s">
        <v>31</v>
      </c>
      <c r="S1953" t="str" cm="1">
        <f t="array" ref="S1953">_xlfn.IFS(R1953="COMPLETE", "COMPLETED", R1953="CANCELED", "CANCELED", TRUE, "PENDING")</f>
        <v>COMPLETED</v>
      </c>
      <c r="T1953" t="s">
        <v>16</v>
      </c>
      <c r="U1953">
        <f>VLOOKUP(A1953,ordered_items!$B:$E,4,0)</f>
        <v>11.54</v>
      </c>
    </row>
    <row r="1954" spans="1:21" x14ac:dyDescent="0.3">
      <c r="A1954">
        <v>76047</v>
      </c>
      <c r="B1954" t="s">
        <v>24</v>
      </c>
      <c r="C1954">
        <v>3</v>
      </c>
      <c r="D1954">
        <v>4</v>
      </c>
      <c r="E1954" t="str">
        <f t="shared" si="90"/>
        <v xml:space="preserve"> ONTIME</v>
      </c>
      <c r="F1954">
        <f>VLOOKUP($A1954,ordered_items!$B$2:$E$4784,2,0)</f>
        <v>1361</v>
      </c>
      <c r="G1954">
        <f>VLOOKUP($A1954,ordered_items!$B$2:$E$4784,3,0)</f>
        <v>1</v>
      </c>
      <c r="H1954">
        <f>VLOOKUP($A1954,ordered_items!$B$2:$E$4784,4,0)</f>
        <v>11.54</v>
      </c>
      <c r="I1954" s="15">
        <f>VLOOKUP(F1954,product_info!$A$2:$D$73,4,0)</f>
        <v>7</v>
      </c>
      <c r="J1954" s="15" t="str">
        <f>VLOOKUP(I1954,department!$A$2:$B$13,2,0)</f>
        <v>Fan Shop</v>
      </c>
      <c r="K1954">
        <v>19600</v>
      </c>
      <c r="L1954" t="s">
        <v>304</v>
      </c>
      <c r="M1954" s="4">
        <v>44210</v>
      </c>
      <c r="N1954" s="12">
        <f t="shared" si="91"/>
        <v>1</v>
      </c>
      <c r="O1954" s="13">
        <f t="shared" si="92"/>
        <v>2021</v>
      </c>
      <c r="P1954" t="s">
        <v>13</v>
      </c>
      <c r="Q1954" t="s">
        <v>30</v>
      </c>
      <c r="R1954" t="s">
        <v>31</v>
      </c>
      <c r="S1954" t="str" cm="1">
        <f t="array" ref="S1954">_xlfn.IFS(R1954="COMPLETE", "COMPLETED", R1954="CANCELED", "CANCELED", TRUE, "PENDING")</f>
        <v>COMPLETED</v>
      </c>
      <c r="T1954" t="s">
        <v>16</v>
      </c>
      <c r="U1954">
        <f>VLOOKUP(A1954,ordered_items!$B:$E,4,0)</f>
        <v>11.54</v>
      </c>
    </row>
    <row r="1955" spans="1:21" x14ac:dyDescent="0.3">
      <c r="A1955">
        <v>76078</v>
      </c>
      <c r="B1955" t="s">
        <v>17</v>
      </c>
      <c r="C1955">
        <v>4</v>
      </c>
      <c r="D1955">
        <v>2</v>
      </c>
      <c r="E1955" t="str">
        <f t="shared" si="90"/>
        <v>DELAYED</v>
      </c>
      <c r="F1955">
        <f>VLOOKUP($A1955,ordered_items!$B$2:$E$4784,2,0)</f>
        <v>1361</v>
      </c>
      <c r="G1955">
        <f>VLOOKUP($A1955,ordered_items!$B$2:$E$4784,3,0)</f>
        <v>1</v>
      </c>
      <c r="H1955">
        <f>VLOOKUP($A1955,ordered_items!$B$2:$E$4784,4,0)</f>
        <v>11.54</v>
      </c>
      <c r="I1955" s="15">
        <f>VLOOKUP(F1955,product_info!$A$2:$D$73,4,0)</f>
        <v>7</v>
      </c>
      <c r="J1955" s="15" t="str">
        <f>VLOOKUP(I1955,department!$A$2:$B$13,2,0)</f>
        <v>Fan Shop</v>
      </c>
      <c r="K1955">
        <v>19631</v>
      </c>
      <c r="L1955" t="s">
        <v>439</v>
      </c>
      <c r="M1955" s="4">
        <v>44210</v>
      </c>
      <c r="N1955" s="12">
        <f t="shared" si="91"/>
        <v>1</v>
      </c>
      <c r="O1955" s="13">
        <f t="shared" si="92"/>
        <v>2021</v>
      </c>
      <c r="P1955" t="s">
        <v>13</v>
      </c>
      <c r="Q1955" t="s">
        <v>377</v>
      </c>
      <c r="R1955" t="s">
        <v>23</v>
      </c>
      <c r="S1955" t="str" cm="1">
        <f t="array" ref="S1955">_xlfn.IFS(R1955="COMPLETE", "COMPLETED", R1955="CANCELED", "CANCELED", TRUE, "PENDING")</f>
        <v>PENDING</v>
      </c>
      <c r="T1955" t="s">
        <v>90</v>
      </c>
      <c r="U1955">
        <f>VLOOKUP(A1955,ordered_items!$B:$E,4,0)</f>
        <v>11.54</v>
      </c>
    </row>
    <row r="1956" spans="1:21" x14ac:dyDescent="0.3">
      <c r="A1956">
        <v>76079</v>
      </c>
      <c r="B1956" t="s">
        <v>24</v>
      </c>
      <c r="C1956">
        <v>5</v>
      </c>
      <c r="D1956">
        <v>2</v>
      </c>
      <c r="E1956" t="str">
        <f t="shared" si="90"/>
        <v>DELAYED</v>
      </c>
      <c r="F1956">
        <f>VLOOKUP($A1956,ordered_items!$B$2:$E$4784,2,0)</f>
        <v>1361</v>
      </c>
      <c r="G1956">
        <f>VLOOKUP($A1956,ordered_items!$B$2:$E$4784,3,0)</f>
        <v>1</v>
      </c>
      <c r="H1956">
        <f>VLOOKUP($A1956,ordered_items!$B$2:$E$4784,4,0)</f>
        <v>11.54</v>
      </c>
      <c r="I1956" s="15">
        <f>VLOOKUP(F1956,product_info!$A$2:$D$73,4,0)</f>
        <v>7</v>
      </c>
      <c r="J1956" s="15" t="str">
        <f>VLOOKUP(I1956,department!$A$2:$B$13,2,0)</f>
        <v>Fan Shop</v>
      </c>
      <c r="K1956">
        <v>19632</v>
      </c>
      <c r="L1956" t="s">
        <v>439</v>
      </c>
      <c r="M1956" s="4">
        <v>44210</v>
      </c>
      <c r="N1956" s="12">
        <f t="shared" si="91"/>
        <v>1</v>
      </c>
      <c r="O1956" s="13">
        <f t="shared" si="92"/>
        <v>2021</v>
      </c>
      <c r="P1956" t="s">
        <v>13</v>
      </c>
      <c r="Q1956" t="s">
        <v>377</v>
      </c>
      <c r="R1956" t="s">
        <v>31</v>
      </c>
      <c r="S1956" t="str" cm="1">
        <f t="array" ref="S1956">_xlfn.IFS(R1956="COMPLETE", "COMPLETED", R1956="CANCELED", "CANCELED", TRUE, "PENDING")</f>
        <v>COMPLETED</v>
      </c>
      <c r="T1956" t="s">
        <v>90</v>
      </c>
      <c r="U1956">
        <f>VLOOKUP(A1956,ordered_items!$B:$E,4,0)</f>
        <v>11.54</v>
      </c>
    </row>
    <row r="1957" spans="1:21" x14ac:dyDescent="0.3">
      <c r="A1957">
        <v>76101</v>
      </c>
      <c r="B1957" t="s">
        <v>17</v>
      </c>
      <c r="C1957">
        <v>2</v>
      </c>
      <c r="D1957">
        <v>4</v>
      </c>
      <c r="E1957" t="str">
        <f t="shared" si="90"/>
        <v xml:space="preserve"> ONTIME</v>
      </c>
      <c r="F1957">
        <f>VLOOKUP($A1957,ordered_items!$B$2:$E$4784,2,0)</f>
        <v>1361</v>
      </c>
      <c r="G1957">
        <f>VLOOKUP($A1957,ordered_items!$B$2:$E$4784,3,0)</f>
        <v>1</v>
      </c>
      <c r="H1957">
        <f>VLOOKUP($A1957,ordered_items!$B$2:$E$4784,4,0)</f>
        <v>11.54</v>
      </c>
      <c r="I1957" s="15">
        <f>VLOOKUP(F1957,product_info!$A$2:$D$73,4,0)</f>
        <v>7</v>
      </c>
      <c r="J1957" s="15" t="str">
        <f>VLOOKUP(I1957,department!$A$2:$B$13,2,0)</f>
        <v>Fan Shop</v>
      </c>
      <c r="K1957">
        <v>19654</v>
      </c>
      <c r="L1957" t="s">
        <v>258</v>
      </c>
      <c r="M1957" s="4">
        <v>44210</v>
      </c>
      <c r="N1957" s="12">
        <f t="shared" si="91"/>
        <v>1</v>
      </c>
      <c r="O1957" s="13">
        <f t="shared" si="92"/>
        <v>2021</v>
      </c>
      <c r="P1957" t="s">
        <v>13</v>
      </c>
      <c r="Q1957" t="s">
        <v>30</v>
      </c>
      <c r="R1957" t="s">
        <v>23</v>
      </c>
      <c r="S1957" t="str" cm="1">
        <f t="array" ref="S1957">_xlfn.IFS(R1957="COMPLETE", "COMPLETED", R1957="CANCELED", "CANCELED", TRUE, "PENDING")</f>
        <v>PENDING</v>
      </c>
      <c r="T1957" t="s">
        <v>16</v>
      </c>
      <c r="U1957">
        <f>VLOOKUP(A1957,ordered_items!$B:$E,4,0)</f>
        <v>11.54</v>
      </c>
    </row>
    <row r="1958" spans="1:21" x14ac:dyDescent="0.3">
      <c r="A1958">
        <v>76105</v>
      </c>
      <c r="B1958" t="s">
        <v>51</v>
      </c>
      <c r="C1958">
        <v>6</v>
      </c>
      <c r="D1958">
        <v>2</v>
      </c>
      <c r="E1958" t="str">
        <f t="shared" si="90"/>
        <v>DELAYED</v>
      </c>
      <c r="F1958">
        <f>VLOOKUP($A1958,ordered_items!$B$2:$E$4784,2,0)</f>
        <v>1361</v>
      </c>
      <c r="G1958">
        <f>VLOOKUP($A1958,ordered_items!$B$2:$E$4784,3,0)</f>
        <v>1</v>
      </c>
      <c r="H1958">
        <f>VLOOKUP($A1958,ordered_items!$B$2:$E$4784,4,0)</f>
        <v>11.54</v>
      </c>
      <c r="I1958" s="15">
        <f>VLOOKUP(F1958,product_info!$A$2:$D$73,4,0)</f>
        <v>7</v>
      </c>
      <c r="J1958" s="15" t="str">
        <f>VLOOKUP(I1958,department!$A$2:$B$13,2,0)</f>
        <v>Fan Shop</v>
      </c>
      <c r="K1958">
        <v>19658</v>
      </c>
      <c r="L1958" t="s">
        <v>70</v>
      </c>
      <c r="M1958" s="4">
        <v>44210</v>
      </c>
      <c r="N1958" s="12">
        <f t="shared" si="91"/>
        <v>1</v>
      </c>
      <c r="O1958" s="13">
        <f t="shared" si="92"/>
        <v>2021</v>
      </c>
      <c r="P1958" t="s">
        <v>13</v>
      </c>
      <c r="Q1958" t="s">
        <v>70</v>
      </c>
      <c r="R1958" t="s">
        <v>57</v>
      </c>
      <c r="S1958" t="str" cm="1">
        <f t="array" ref="S1958">_xlfn.IFS(R1958="COMPLETE", "COMPLETED", R1958="CANCELED", "CANCELED", TRUE, "PENDING")</f>
        <v>PENDING</v>
      </c>
      <c r="T1958" t="s">
        <v>90</v>
      </c>
      <c r="U1958">
        <f>VLOOKUP(A1958,ordered_items!$B:$E,4,0)</f>
        <v>11.54</v>
      </c>
    </row>
    <row r="1959" spans="1:21" x14ac:dyDescent="0.3">
      <c r="A1959">
        <v>76117</v>
      </c>
      <c r="B1959" t="s">
        <v>24</v>
      </c>
      <c r="C1959">
        <v>3</v>
      </c>
      <c r="D1959">
        <v>4</v>
      </c>
      <c r="E1959" t="str">
        <f t="shared" si="90"/>
        <v xml:space="preserve"> ONTIME</v>
      </c>
      <c r="F1959">
        <f>VLOOKUP($A1959,ordered_items!$B$2:$E$4784,2,0)</f>
        <v>1361</v>
      </c>
      <c r="G1959">
        <f>VLOOKUP($A1959,ordered_items!$B$2:$E$4784,3,0)</f>
        <v>1</v>
      </c>
      <c r="H1959">
        <f>VLOOKUP($A1959,ordered_items!$B$2:$E$4784,4,0)</f>
        <v>11.54</v>
      </c>
      <c r="I1959" s="15">
        <f>VLOOKUP(F1959,product_info!$A$2:$D$73,4,0)</f>
        <v>7</v>
      </c>
      <c r="J1959" s="15" t="str">
        <f>VLOOKUP(I1959,department!$A$2:$B$13,2,0)</f>
        <v>Fan Shop</v>
      </c>
      <c r="K1959">
        <v>19670</v>
      </c>
      <c r="L1959" t="s">
        <v>146</v>
      </c>
      <c r="M1959" s="4">
        <v>44211</v>
      </c>
      <c r="N1959" s="12">
        <f t="shared" si="91"/>
        <v>1</v>
      </c>
      <c r="O1959" s="13">
        <f t="shared" si="92"/>
        <v>2021</v>
      </c>
      <c r="P1959" t="s">
        <v>13</v>
      </c>
      <c r="Q1959" t="s">
        <v>30</v>
      </c>
      <c r="R1959" t="s">
        <v>31</v>
      </c>
      <c r="S1959" t="str" cm="1">
        <f t="array" ref="S1959">_xlfn.IFS(R1959="COMPLETE", "COMPLETED", R1959="CANCELED", "CANCELED", TRUE, "PENDING")</f>
        <v>COMPLETED</v>
      </c>
      <c r="T1959" t="s">
        <v>16</v>
      </c>
      <c r="U1959">
        <f>VLOOKUP(A1959,ordered_items!$B:$E,4,0)</f>
        <v>11.54</v>
      </c>
    </row>
    <row r="1960" spans="1:21" x14ac:dyDescent="0.3">
      <c r="A1960">
        <v>76141</v>
      </c>
      <c r="B1960" t="s">
        <v>3</v>
      </c>
      <c r="C1960">
        <v>2</v>
      </c>
      <c r="D1960">
        <v>4</v>
      </c>
      <c r="E1960" t="str">
        <f t="shared" si="90"/>
        <v xml:space="preserve"> ONTIME</v>
      </c>
      <c r="F1960">
        <f>VLOOKUP($A1960,ordered_items!$B$2:$E$4784,2,0)</f>
        <v>1361</v>
      </c>
      <c r="G1960">
        <f>VLOOKUP($A1960,ordered_items!$B$2:$E$4784,3,0)</f>
        <v>1</v>
      </c>
      <c r="H1960">
        <f>VLOOKUP($A1960,ordered_items!$B$2:$E$4784,4,0)</f>
        <v>11.54</v>
      </c>
      <c r="I1960" s="15">
        <f>VLOOKUP(F1960,product_info!$A$2:$D$73,4,0)</f>
        <v>7</v>
      </c>
      <c r="J1960" s="15" t="str">
        <f>VLOOKUP(I1960,department!$A$2:$B$13,2,0)</f>
        <v>Fan Shop</v>
      </c>
      <c r="K1960">
        <v>19694</v>
      </c>
      <c r="L1960" t="s">
        <v>1306</v>
      </c>
      <c r="M1960" s="4">
        <v>44211</v>
      </c>
      <c r="N1960" s="12">
        <f t="shared" si="91"/>
        <v>1</v>
      </c>
      <c r="O1960" s="13">
        <f t="shared" si="92"/>
        <v>2021</v>
      </c>
      <c r="P1960" t="s">
        <v>13</v>
      </c>
      <c r="Q1960" t="s">
        <v>203</v>
      </c>
      <c r="R1960" t="s">
        <v>38</v>
      </c>
      <c r="S1960" t="str" cm="1">
        <f t="array" ref="S1960">_xlfn.IFS(R1960="COMPLETE", "COMPLETED", R1960="CANCELED", "CANCELED", TRUE, "PENDING")</f>
        <v>PENDING</v>
      </c>
      <c r="T1960" t="s">
        <v>16</v>
      </c>
      <c r="U1960">
        <f>VLOOKUP(A1960,ordered_items!$B:$E,4,0)</f>
        <v>11.54</v>
      </c>
    </row>
    <row r="1961" spans="1:21" x14ac:dyDescent="0.3">
      <c r="A1961">
        <v>76142</v>
      </c>
      <c r="B1961" t="s">
        <v>51</v>
      </c>
      <c r="C1961">
        <v>3</v>
      </c>
      <c r="D1961">
        <v>4</v>
      </c>
      <c r="E1961" t="str">
        <f t="shared" si="90"/>
        <v xml:space="preserve"> ONTIME</v>
      </c>
      <c r="F1961">
        <f>VLOOKUP($A1961,ordered_items!$B$2:$E$4784,2,0)</f>
        <v>1361</v>
      </c>
      <c r="G1961">
        <f>VLOOKUP($A1961,ordered_items!$B$2:$E$4784,3,0)</f>
        <v>1</v>
      </c>
      <c r="H1961">
        <f>VLOOKUP($A1961,ordered_items!$B$2:$E$4784,4,0)</f>
        <v>11.54</v>
      </c>
      <c r="I1961" s="15">
        <f>VLOOKUP(F1961,product_info!$A$2:$D$73,4,0)</f>
        <v>7</v>
      </c>
      <c r="J1961" s="15" t="str">
        <f>VLOOKUP(I1961,department!$A$2:$B$13,2,0)</f>
        <v>Fan Shop</v>
      </c>
      <c r="K1961">
        <v>19695</v>
      </c>
      <c r="L1961" t="s">
        <v>285</v>
      </c>
      <c r="M1961" s="4">
        <v>44211</v>
      </c>
      <c r="N1961" s="12">
        <f t="shared" si="91"/>
        <v>1</v>
      </c>
      <c r="O1961" s="13">
        <f t="shared" si="92"/>
        <v>2021</v>
      </c>
      <c r="P1961" t="s">
        <v>13</v>
      </c>
      <c r="Q1961" t="s">
        <v>286</v>
      </c>
      <c r="R1961" t="s">
        <v>57</v>
      </c>
      <c r="S1961" t="str" cm="1">
        <f t="array" ref="S1961">_xlfn.IFS(R1961="COMPLETE", "COMPLETED", R1961="CANCELED", "CANCELED", TRUE, "PENDING")</f>
        <v>PENDING</v>
      </c>
      <c r="T1961" t="s">
        <v>16</v>
      </c>
      <c r="U1961">
        <f>VLOOKUP(A1961,ordered_items!$B:$E,4,0)</f>
        <v>11.54</v>
      </c>
    </row>
    <row r="1962" spans="1:21" x14ac:dyDescent="0.3">
      <c r="A1962">
        <v>76143</v>
      </c>
      <c r="B1962" t="s">
        <v>24</v>
      </c>
      <c r="C1962">
        <v>4</v>
      </c>
      <c r="D1962">
        <v>4</v>
      </c>
      <c r="E1962" t="str">
        <f t="shared" si="90"/>
        <v xml:space="preserve"> ONTIME</v>
      </c>
      <c r="F1962">
        <f>VLOOKUP($A1962,ordered_items!$B$2:$E$4784,2,0)</f>
        <v>1361</v>
      </c>
      <c r="G1962">
        <f>VLOOKUP($A1962,ordered_items!$B$2:$E$4784,3,0)</f>
        <v>1</v>
      </c>
      <c r="H1962">
        <f>VLOOKUP($A1962,ordered_items!$B$2:$E$4784,4,0)</f>
        <v>11.54</v>
      </c>
      <c r="I1962" s="15">
        <f>VLOOKUP(F1962,product_info!$A$2:$D$73,4,0)</f>
        <v>7</v>
      </c>
      <c r="J1962" s="15" t="str">
        <f>VLOOKUP(I1962,department!$A$2:$B$13,2,0)</f>
        <v>Fan Shop</v>
      </c>
      <c r="K1962">
        <v>19696</v>
      </c>
      <c r="L1962" t="s">
        <v>285</v>
      </c>
      <c r="M1962" s="4">
        <v>44211</v>
      </c>
      <c r="N1962" s="12">
        <f t="shared" si="91"/>
        <v>1</v>
      </c>
      <c r="O1962" s="13">
        <f t="shared" si="92"/>
        <v>2021</v>
      </c>
      <c r="P1962" t="s">
        <v>13</v>
      </c>
      <c r="Q1962" t="s">
        <v>286</v>
      </c>
      <c r="R1962" t="s">
        <v>378</v>
      </c>
      <c r="S1962" t="str" cm="1">
        <f t="array" ref="S1962">_xlfn.IFS(R1962="COMPLETE", "COMPLETED", R1962="CANCELED", "CANCELED", TRUE, "PENDING")</f>
        <v>PENDING</v>
      </c>
      <c r="T1962" t="s">
        <v>16</v>
      </c>
      <c r="U1962">
        <f>VLOOKUP(A1962,ordered_items!$B:$E,4,0)</f>
        <v>11.54</v>
      </c>
    </row>
    <row r="1963" spans="1:21" x14ac:dyDescent="0.3">
      <c r="A1963">
        <v>76162</v>
      </c>
      <c r="B1963" t="s">
        <v>3</v>
      </c>
      <c r="C1963">
        <v>3</v>
      </c>
      <c r="D1963">
        <v>4</v>
      </c>
      <c r="E1963" t="str">
        <f t="shared" si="90"/>
        <v xml:space="preserve"> ONTIME</v>
      </c>
      <c r="F1963">
        <f>VLOOKUP($A1963,ordered_items!$B$2:$E$4784,2,0)</f>
        <v>1361</v>
      </c>
      <c r="G1963">
        <f>VLOOKUP($A1963,ordered_items!$B$2:$E$4784,3,0)</f>
        <v>1</v>
      </c>
      <c r="H1963">
        <f>VLOOKUP($A1963,ordered_items!$B$2:$E$4784,4,0)</f>
        <v>11.54</v>
      </c>
      <c r="I1963" s="15">
        <f>VLOOKUP(F1963,product_info!$A$2:$D$73,4,0)</f>
        <v>7</v>
      </c>
      <c r="J1963" s="15" t="str">
        <f>VLOOKUP(I1963,department!$A$2:$B$13,2,0)</f>
        <v>Fan Shop</v>
      </c>
      <c r="K1963">
        <v>19715</v>
      </c>
      <c r="L1963" t="s">
        <v>439</v>
      </c>
      <c r="M1963" s="4">
        <v>44211</v>
      </c>
      <c r="N1963" s="12">
        <f t="shared" si="91"/>
        <v>1</v>
      </c>
      <c r="O1963" s="13">
        <f t="shared" si="92"/>
        <v>2021</v>
      </c>
      <c r="P1963" t="s">
        <v>13</v>
      </c>
      <c r="Q1963" t="s">
        <v>377</v>
      </c>
      <c r="R1963" t="s">
        <v>38</v>
      </c>
      <c r="S1963" t="str" cm="1">
        <f t="array" ref="S1963">_xlfn.IFS(R1963="COMPLETE", "COMPLETED", R1963="CANCELED", "CANCELED", TRUE, "PENDING")</f>
        <v>PENDING</v>
      </c>
      <c r="T1963" t="s">
        <v>16</v>
      </c>
      <c r="U1963">
        <f>VLOOKUP(A1963,ordered_items!$B:$E,4,0)</f>
        <v>11.54</v>
      </c>
    </row>
    <row r="1964" spans="1:21" x14ac:dyDescent="0.3">
      <c r="A1964">
        <v>76163</v>
      </c>
      <c r="B1964" t="s">
        <v>17</v>
      </c>
      <c r="C1964">
        <v>4</v>
      </c>
      <c r="D1964">
        <v>4</v>
      </c>
      <c r="E1964" t="str">
        <f t="shared" si="90"/>
        <v xml:space="preserve"> ONTIME</v>
      </c>
      <c r="F1964">
        <f>VLOOKUP($A1964,ordered_items!$B$2:$E$4784,2,0)</f>
        <v>1361</v>
      </c>
      <c r="G1964">
        <f>VLOOKUP($A1964,ordered_items!$B$2:$E$4784,3,0)</f>
        <v>1</v>
      </c>
      <c r="H1964">
        <f>VLOOKUP($A1964,ordered_items!$B$2:$E$4784,4,0)</f>
        <v>11.54</v>
      </c>
      <c r="I1964" s="15">
        <f>VLOOKUP(F1964,product_info!$A$2:$D$73,4,0)</f>
        <v>7</v>
      </c>
      <c r="J1964" s="15" t="str">
        <f>VLOOKUP(I1964,department!$A$2:$B$13,2,0)</f>
        <v>Fan Shop</v>
      </c>
      <c r="K1964">
        <v>19716</v>
      </c>
      <c r="L1964" t="s">
        <v>258</v>
      </c>
      <c r="M1964" s="4">
        <v>44211</v>
      </c>
      <c r="N1964" s="12">
        <f t="shared" si="91"/>
        <v>1</v>
      </c>
      <c r="O1964" s="13">
        <f t="shared" si="92"/>
        <v>2021</v>
      </c>
      <c r="P1964" t="s">
        <v>13</v>
      </c>
      <c r="Q1964" t="s">
        <v>30</v>
      </c>
      <c r="R1964" t="s">
        <v>23</v>
      </c>
      <c r="S1964" t="str" cm="1">
        <f t="array" ref="S1964">_xlfn.IFS(R1964="COMPLETE", "COMPLETED", R1964="CANCELED", "CANCELED", TRUE, "PENDING")</f>
        <v>PENDING</v>
      </c>
      <c r="T1964" t="s">
        <v>16</v>
      </c>
      <c r="U1964">
        <f>VLOOKUP(A1964,ordered_items!$B:$E,4,0)</f>
        <v>11.54</v>
      </c>
    </row>
    <row r="1965" spans="1:21" x14ac:dyDescent="0.3">
      <c r="A1965">
        <v>76164</v>
      </c>
      <c r="B1965" t="s">
        <v>17</v>
      </c>
      <c r="C1965">
        <v>5</v>
      </c>
      <c r="D1965">
        <v>4</v>
      </c>
      <c r="E1965" t="str">
        <f t="shared" si="90"/>
        <v>DELAYED</v>
      </c>
      <c r="F1965">
        <f>VLOOKUP($A1965,ordered_items!$B$2:$E$4784,2,0)</f>
        <v>1361</v>
      </c>
      <c r="G1965">
        <f>VLOOKUP($A1965,ordered_items!$B$2:$E$4784,3,0)</f>
        <v>1</v>
      </c>
      <c r="H1965">
        <f>VLOOKUP($A1965,ordered_items!$B$2:$E$4784,4,0)</f>
        <v>11.54</v>
      </c>
      <c r="I1965" s="15">
        <f>VLOOKUP(F1965,product_info!$A$2:$D$73,4,0)</f>
        <v>7</v>
      </c>
      <c r="J1965" s="15" t="str">
        <f>VLOOKUP(I1965,department!$A$2:$B$13,2,0)</f>
        <v>Fan Shop</v>
      </c>
      <c r="K1965">
        <v>19717</v>
      </c>
      <c r="L1965" t="s">
        <v>258</v>
      </c>
      <c r="M1965" s="4">
        <v>44211</v>
      </c>
      <c r="N1965" s="12">
        <f t="shared" si="91"/>
        <v>1</v>
      </c>
      <c r="O1965" s="13">
        <f t="shared" si="92"/>
        <v>2021</v>
      </c>
      <c r="P1965" t="s">
        <v>13</v>
      </c>
      <c r="Q1965" t="s">
        <v>30</v>
      </c>
      <c r="R1965" t="s">
        <v>23</v>
      </c>
      <c r="S1965" t="str" cm="1">
        <f t="array" ref="S1965">_xlfn.IFS(R1965="COMPLETE", "COMPLETED", R1965="CANCELED", "CANCELED", TRUE, "PENDING")</f>
        <v>PENDING</v>
      </c>
      <c r="T1965" t="s">
        <v>16</v>
      </c>
      <c r="U1965">
        <f>VLOOKUP(A1965,ordered_items!$B:$E,4,0)</f>
        <v>11.54</v>
      </c>
    </row>
    <row r="1966" spans="1:21" x14ac:dyDescent="0.3">
      <c r="A1966">
        <v>76166</v>
      </c>
      <c r="B1966" t="s">
        <v>3</v>
      </c>
      <c r="C1966">
        <v>2</v>
      </c>
      <c r="D1966">
        <v>4</v>
      </c>
      <c r="E1966" t="str">
        <f t="shared" si="90"/>
        <v xml:space="preserve"> ONTIME</v>
      </c>
      <c r="F1966">
        <f>VLOOKUP($A1966,ordered_items!$B$2:$E$4784,2,0)</f>
        <v>1361</v>
      </c>
      <c r="G1966">
        <f>VLOOKUP($A1966,ordered_items!$B$2:$E$4784,3,0)</f>
        <v>1</v>
      </c>
      <c r="H1966">
        <f>VLOOKUP($A1966,ordered_items!$B$2:$E$4784,4,0)</f>
        <v>11.54</v>
      </c>
      <c r="I1966" s="15">
        <f>VLOOKUP(F1966,product_info!$A$2:$D$73,4,0)</f>
        <v>7</v>
      </c>
      <c r="J1966" s="15" t="str">
        <f>VLOOKUP(I1966,department!$A$2:$B$13,2,0)</f>
        <v>Fan Shop</v>
      </c>
      <c r="K1966">
        <v>19719</v>
      </c>
      <c r="L1966" t="s">
        <v>867</v>
      </c>
      <c r="M1966" s="4">
        <v>44211</v>
      </c>
      <c r="N1966" s="12">
        <f t="shared" si="91"/>
        <v>1</v>
      </c>
      <c r="O1966" s="13">
        <f t="shared" si="92"/>
        <v>2021</v>
      </c>
      <c r="P1966" t="s">
        <v>13</v>
      </c>
      <c r="Q1966" t="s">
        <v>5781</v>
      </c>
      <c r="R1966" t="s">
        <v>14</v>
      </c>
      <c r="S1966" t="str" cm="1">
        <f t="array" ref="S1966">_xlfn.IFS(R1966="COMPLETE", "COMPLETED", R1966="CANCELED", "CANCELED", TRUE, "PENDING")</f>
        <v>PENDING</v>
      </c>
      <c r="T1966" t="s">
        <v>16</v>
      </c>
      <c r="U1966">
        <f>VLOOKUP(A1966,ordered_items!$B:$E,4,0)</f>
        <v>11.54</v>
      </c>
    </row>
    <row r="1967" spans="1:21" x14ac:dyDescent="0.3">
      <c r="A1967">
        <v>76167</v>
      </c>
      <c r="B1967" t="s">
        <v>3</v>
      </c>
      <c r="C1967">
        <v>3</v>
      </c>
      <c r="D1967">
        <v>4</v>
      </c>
      <c r="E1967" t="str">
        <f t="shared" si="90"/>
        <v xml:space="preserve"> ONTIME</v>
      </c>
      <c r="F1967">
        <f>VLOOKUP($A1967,ordered_items!$B$2:$E$4784,2,0)</f>
        <v>1361</v>
      </c>
      <c r="G1967">
        <f>VLOOKUP($A1967,ordered_items!$B$2:$E$4784,3,0)</f>
        <v>1</v>
      </c>
      <c r="H1967">
        <f>VLOOKUP($A1967,ordered_items!$B$2:$E$4784,4,0)</f>
        <v>11.54</v>
      </c>
      <c r="I1967" s="15">
        <f>VLOOKUP(F1967,product_info!$A$2:$D$73,4,0)</f>
        <v>7</v>
      </c>
      <c r="J1967" s="15" t="str">
        <f>VLOOKUP(I1967,department!$A$2:$B$13,2,0)</f>
        <v>Fan Shop</v>
      </c>
      <c r="K1967">
        <v>19720</v>
      </c>
      <c r="L1967" t="s">
        <v>867</v>
      </c>
      <c r="M1967" s="4">
        <v>44211</v>
      </c>
      <c r="N1967" s="12">
        <f t="shared" si="91"/>
        <v>1</v>
      </c>
      <c r="O1967" s="13">
        <f t="shared" si="92"/>
        <v>2021</v>
      </c>
      <c r="P1967" t="s">
        <v>13</v>
      </c>
      <c r="Q1967" t="s">
        <v>5781</v>
      </c>
      <c r="R1967" t="s">
        <v>38</v>
      </c>
      <c r="S1967" t="str" cm="1">
        <f t="array" ref="S1967">_xlfn.IFS(R1967="COMPLETE", "COMPLETED", R1967="CANCELED", "CANCELED", TRUE, "PENDING")</f>
        <v>PENDING</v>
      </c>
      <c r="T1967" t="s">
        <v>16</v>
      </c>
      <c r="U1967">
        <f>VLOOKUP(A1967,ordered_items!$B:$E,4,0)</f>
        <v>11.54</v>
      </c>
    </row>
    <row r="1968" spans="1:21" x14ac:dyDescent="0.3">
      <c r="A1968">
        <v>76204</v>
      </c>
      <c r="B1968" t="s">
        <v>17</v>
      </c>
      <c r="C1968">
        <v>5</v>
      </c>
      <c r="D1968">
        <v>4</v>
      </c>
      <c r="E1968" t="str">
        <f t="shared" si="90"/>
        <v>DELAYED</v>
      </c>
      <c r="F1968">
        <f>VLOOKUP($A1968,ordered_items!$B$2:$E$4784,2,0)</f>
        <v>1361</v>
      </c>
      <c r="G1968">
        <f>VLOOKUP($A1968,ordered_items!$B$2:$E$4784,3,0)</f>
        <v>1</v>
      </c>
      <c r="H1968">
        <f>VLOOKUP($A1968,ordered_items!$B$2:$E$4784,4,0)</f>
        <v>11.54</v>
      </c>
      <c r="I1968" s="15">
        <f>VLOOKUP(F1968,product_info!$A$2:$D$73,4,0)</f>
        <v>7</v>
      </c>
      <c r="J1968" s="15" t="str">
        <f>VLOOKUP(I1968,department!$A$2:$B$13,2,0)</f>
        <v>Fan Shop</v>
      </c>
      <c r="K1968">
        <v>19757</v>
      </c>
      <c r="L1968" t="s">
        <v>275</v>
      </c>
      <c r="M1968" s="4">
        <v>44212</v>
      </c>
      <c r="N1968" s="12">
        <f t="shared" si="91"/>
        <v>1</v>
      </c>
      <c r="O1968" s="13">
        <f t="shared" si="92"/>
        <v>2021</v>
      </c>
      <c r="P1968" t="s">
        <v>13</v>
      </c>
      <c r="Q1968" t="s">
        <v>80</v>
      </c>
      <c r="R1968" t="s">
        <v>23</v>
      </c>
      <c r="S1968" t="str" cm="1">
        <f t="array" ref="S1968">_xlfn.IFS(R1968="COMPLETE", "COMPLETED", R1968="CANCELED", "CANCELED", TRUE, "PENDING")</f>
        <v>PENDING</v>
      </c>
      <c r="T1968" t="s">
        <v>16</v>
      </c>
      <c r="U1968">
        <f>VLOOKUP(A1968,ordered_items!$B:$E,4,0)</f>
        <v>11.54</v>
      </c>
    </row>
    <row r="1969" spans="1:21" x14ac:dyDescent="0.3">
      <c r="A1969">
        <v>76225</v>
      </c>
      <c r="B1969" t="s">
        <v>3</v>
      </c>
      <c r="C1969">
        <v>6</v>
      </c>
      <c r="D1969">
        <v>4</v>
      </c>
      <c r="E1969" t="str">
        <f t="shared" si="90"/>
        <v>DELAYED</v>
      </c>
      <c r="F1969">
        <f>VLOOKUP($A1969,ordered_items!$B$2:$E$4784,2,0)</f>
        <v>1362</v>
      </c>
      <c r="G1969">
        <f>VLOOKUP($A1969,ordered_items!$B$2:$E$4784,3,0)</f>
        <v>1</v>
      </c>
      <c r="H1969">
        <f>VLOOKUP($A1969,ordered_items!$B$2:$E$4784,4,0)</f>
        <v>39.75</v>
      </c>
      <c r="I1969" s="15">
        <f>VLOOKUP(F1969,product_info!$A$2:$D$73,4,0)</f>
        <v>9</v>
      </c>
      <c r="J1969" s="15" t="str">
        <f>VLOOKUP(I1969,department!$A$2:$B$13,2,0)</f>
        <v>Discs Shop</v>
      </c>
      <c r="K1969">
        <v>19778</v>
      </c>
      <c r="L1969" t="s">
        <v>110</v>
      </c>
      <c r="M1969" s="4">
        <v>44212</v>
      </c>
      <c r="N1969" s="12">
        <f t="shared" si="91"/>
        <v>1</v>
      </c>
      <c r="O1969" s="13">
        <f t="shared" si="92"/>
        <v>2021</v>
      </c>
      <c r="P1969" t="s">
        <v>13</v>
      </c>
      <c r="Q1969" t="s">
        <v>99</v>
      </c>
      <c r="R1969" t="s">
        <v>178</v>
      </c>
      <c r="S1969" t="str" cm="1">
        <f t="array" ref="S1969">_xlfn.IFS(R1969="COMPLETE", "COMPLETED", R1969="CANCELED", "CANCELED", TRUE, "PENDING")</f>
        <v>PENDING</v>
      </c>
      <c r="T1969" t="s">
        <v>16</v>
      </c>
      <c r="U1969">
        <f>VLOOKUP(A1969,ordered_items!$B:$E,4,0)</f>
        <v>39.75</v>
      </c>
    </row>
    <row r="1970" spans="1:21" x14ac:dyDescent="0.3">
      <c r="A1970">
        <v>76226</v>
      </c>
      <c r="B1970" t="s">
        <v>24</v>
      </c>
      <c r="C1970">
        <v>2</v>
      </c>
      <c r="D1970">
        <v>4</v>
      </c>
      <c r="E1970" t="str">
        <f t="shared" si="90"/>
        <v xml:space="preserve"> ONTIME</v>
      </c>
      <c r="F1970">
        <f>VLOOKUP($A1970,ordered_items!$B$2:$E$4784,2,0)</f>
        <v>1362</v>
      </c>
      <c r="G1970">
        <f>VLOOKUP($A1970,ordered_items!$B$2:$E$4784,3,0)</f>
        <v>1</v>
      </c>
      <c r="H1970">
        <f>VLOOKUP($A1970,ordered_items!$B$2:$E$4784,4,0)</f>
        <v>39.75</v>
      </c>
      <c r="I1970" s="15">
        <f>VLOOKUP(F1970,product_info!$A$2:$D$73,4,0)</f>
        <v>9</v>
      </c>
      <c r="J1970" s="15" t="str">
        <f>VLOOKUP(I1970,department!$A$2:$B$13,2,0)</f>
        <v>Discs Shop</v>
      </c>
      <c r="K1970">
        <v>19779</v>
      </c>
      <c r="L1970" t="s">
        <v>110</v>
      </c>
      <c r="M1970" s="4">
        <v>44212</v>
      </c>
      <c r="N1970" s="12">
        <f t="shared" si="91"/>
        <v>1</v>
      </c>
      <c r="O1970" s="13">
        <f t="shared" si="92"/>
        <v>2021</v>
      </c>
      <c r="P1970" t="s">
        <v>13</v>
      </c>
      <c r="Q1970" t="s">
        <v>99</v>
      </c>
      <c r="R1970" t="s">
        <v>31</v>
      </c>
      <c r="S1970" t="str" cm="1">
        <f t="array" ref="S1970">_xlfn.IFS(R1970="COMPLETE", "COMPLETED", R1970="CANCELED", "CANCELED", TRUE, "PENDING")</f>
        <v>COMPLETED</v>
      </c>
      <c r="T1970" t="s">
        <v>16</v>
      </c>
      <c r="U1970">
        <f>VLOOKUP(A1970,ordered_items!$B:$E,4,0)</f>
        <v>39.75</v>
      </c>
    </row>
    <row r="1971" spans="1:21" x14ac:dyDescent="0.3">
      <c r="A1971">
        <v>76227</v>
      </c>
      <c r="B1971" t="s">
        <v>24</v>
      </c>
      <c r="C1971">
        <v>3</v>
      </c>
      <c r="D1971">
        <v>4</v>
      </c>
      <c r="E1971" t="str">
        <f t="shared" si="90"/>
        <v xml:space="preserve"> ONTIME</v>
      </c>
      <c r="F1971">
        <f>VLOOKUP($A1971,ordered_items!$B$2:$E$4784,2,0)</f>
        <v>1362</v>
      </c>
      <c r="G1971">
        <f>VLOOKUP($A1971,ordered_items!$B$2:$E$4784,3,0)</f>
        <v>1</v>
      </c>
      <c r="H1971">
        <f>VLOOKUP($A1971,ordered_items!$B$2:$E$4784,4,0)</f>
        <v>39.75</v>
      </c>
      <c r="I1971" s="15">
        <f>VLOOKUP(F1971,product_info!$A$2:$D$73,4,0)</f>
        <v>9</v>
      </c>
      <c r="J1971" s="15" t="str">
        <f>VLOOKUP(I1971,department!$A$2:$B$13,2,0)</f>
        <v>Discs Shop</v>
      </c>
      <c r="K1971">
        <v>19780</v>
      </c>
      <c r="L1971" t="s">
        <v>110</v>
      </c>
      <c r="M1971" s="4">
        <v>44212</v>
      </c>
      <c r="N1971" s="12">
        <f t="shared" si="91"/>
        <v>1</v>
      </c>
      <c r="O1971" s="13">
        <f t="shared" si="92"/>
        <v>2021</v>
      </c>
      <c r="P1971" t="s">
        <v>13</v>
      </c>
      <c r="Q1971" t="s">
        <v>99</v>
      </c>
      <c r="R1971" t="s">
        <v>31</v>
      </c>
      <c r="S1971" t="str" cm="1">
        <f t="array" ref="S1971">_xlfn.IFS(R1971="COMPLETE", "COMPLETED", R1971="CANCELED", "CANCELED", TRUE, "PENDING")</f>
        <v>COMPLETED</v>
      </c>
      <c r="T1971" t="s">
        <v>16</v>
      </c>
      <c r="U1971">
        <f>VLOOKUP(A1971,ordered_items!$B:$E,4,0)</f>
        <v>39.75</v>
      </c>
    </row>
    <row r="1972" spans="1:21" x14ac:dyDescent="0.3">
      <c r="A1972">
        <v>76228</v>
      </c>
      <c r="B1972" t="s">
        <v>24</v>
      </c>
      <c r="C1972">
        <v>4</v>
      </c>
      <c r="D1972">
        <v>4</v>
      </c>
      <c r="E1972" t="str">
        <f t="shared" si="90"/>
        <v xml:space="preserve"> ONTIME</v>
      </c>
      <c r="F1972">
        <f>VLOOKUP($A1972,ordered_items!$B$2:$E$4784,2,0)</f>
        <v>1362</v>
      </c>
      <c r="G1972">
        <f>VLOOKUP($A1972,ordered_items!$B$2:$E$4784,3,0)</f>
        <v>1</v>
      </c>
      <c r="H1972">
        <f>VLOOKUP($A1972,ordered_items!$B$2:$E$4784,4,0)</f>
        <v>39.75</v>
      </c>
      <c r="I1972" s="15">
        <f>VLOOKUP(F1972,product_info!$A$2:$D$73,4,0)</f>
        <v>9</v>
      </c>
      <c r="J1972" s="15" t="str">
        <f>VLOOKUP(I1972,department!$A$2:$B$13,2,0)</f>
        <v>Discs Shop</v>
      </c>
      <c r="K1972">
        <v>19781</v>
      </c>
      <c r="L1972" t="s">
        <v>110</v>
      </c>
      <c r="M1972" s="4">
        <v>44212</v>
      </c>
      <c r="N1972" s="12">
        <f t="shared" si="91"/>
        <v>1</v>
      </c>
      <c r="O1972" s="13">
        <f t="shared" si="92"/>
        <v>2021</v>
      </c>
      <c r="P1972" t="s">
        <v>13</v>
      </c>
      <c r="Q1972" t="s">
        <v>99</v>
      </c>
      <c r="R1972" t="s">
        <v>31</v>
      </c>
      <c r="S1972" t="str" cm="1">
        <f t="array" ref="S1972">_xlfn.IFS(R1972="COMPLETE", "COMPLETED", R1972="CANCELED", "CANCELED", TRUE, "PENDING")</f>
        <v>COMPLETED</v>
      </c>
      <c r="T1972" t="s">
        <v>16</v>
      </c>
      <c r="U1972">
        <f>VLOOKUP(A1972,ordered_items!$B:$E,4,0)</f>
        <v>39.75</v>
      </c>
    </row>
    <row r="1973" spans="1:21" x14ac:dyDescent="0.3">
      <c r="A1973">
        <v>76230</v>
      </c>
      <c r="B1973" t="s">
        <v>17</v>
      </c>
      <c r="C1973">
        <v>6</v>
      </c>
      <c r="D1973">
        <v>4</v>
      </c>
      <c r="E1973" t="str">
        <f t="shared" si="90"/>
        <v>DELAYED</v>
      </c>
      <c r="F1973">
        <f>VLOOKUP($A1973,ordered_items!$B$2:$E$4784,2,0)</f>
        <v>1362</v>
      </c>
      <c r="G1973">
        <f>VLOOKUP($A1973,ordered_items!$B$2:$E$4784,3,0)</f>
        <v>1</v>
      </c>
      <c r="H1973">
        <f>VLOOKUP($A1973,ordered_items!$B$2:$E$4784,4,0)</f>
        <v>39.75</v>
      </c>
      <c r="I1973" s="15">
        <f>VLOOKUP(F1973,product_info!$A$2:$D$73,4,0)</f>
        <v>9</v>
      </c>
      <c r="J1973" s="15" t="str">
        <f>VLOOKUP(I1973,department!$A$2:$B$13,2,0)</f>
        <v>Discs Shop</v>
      </c>
      <c r="K1973">
        <v>19783</v>
      </c>
      <c r="L1973" t="s">
        <v>561</v>
      </c>
      <c r="M1973" s="4">
        <v>44212</v>
      </c>
      <c r="N1973" s="12">
        <f t="shared" si="91"/>
        <v>1</v>
      </c>
      <c r="O1973" s="13">
        <f t="shared" si="92"/>
        <v>2021</v>
      </c>
      <c r="P1973" t="s">
        <v>13</v>
      </c>
      <c r="Q1973" t="s">
        <v>420</v>
      </c>
      <c r="R1973" t="s">
        <v>23</v>
      </c>
      <c r="S1973" t="str" cm="1">
        <f t="array" ref="S1973">_xlfn.IFS(R1973="COMPLETE", "COMPLETED", R1973="CANCELED", "CANCELED", TRUE, "PENDING")</f>
        <v>PENDING</v>
      </c>
      <c r="T1973" t="s">
        <v>16</v>
      </c>
      <c r="U1973">
        <f>VLOOKUP(A1973,ordered_items!$B:$E,4,0)</f>
        <v>39.75</v>
      </c>
    </row>
    <row r="1974" spans="1:21" x14ac:dyDescent="0.3">
      <c r="A1974">
        <v>76247</v>
      </c>
      <c r="B1974" t="s">
        <v>24</v>
      </c>
      <c r="C1974">
        <v>3</v>
      </c>
      <c r="D1974">
        <v>2</v>
      </c>
      <c r="E1974" t="str">
        <f t="shared" si="90"/>
        <v>DELAYED</v>
      </c>
      <c r="F1974">
        <f>VLOOKUP($A1974,ordered_items!$B$2:$E$4784,2,0)</f>
        <v>1362</v>
      </c>
      <c r="G1974">
        <f>VLOOKUP($A1974,ordered_items!$B$2:$E$4784,3,0)</f>
        <v>1</v>
      </c>
      <c r="H1974">
        <f>VLOOKUP($A1974,ordered_items!$B$2:$E$4784,4,0)</f>
        <v>39.75</v>
      </c>
      <c r="I1974" s="15">
        <f>VLOOKUP(F1974,product_info!$A$2:$D$73,4,0)</f>
        <v>9</v>
      </c>
      <c r="J1974" s="15" t="str">
        <f>VLOOKUP(I1974,department!$A$2:$B$13,2,0)</f>
        <v>Discs Shop</v>
      </c>
      <c r="K1974">
        <v>19800</v>
      </c>
      <c r="L1974" t="s">
        <v>1073</v>
      </c>
      <c r="M1974" s="4">
        <v>44213</v>
      </c>
      <c r="N1974" s="12">
        <f t="shared" si="91"/>
        <v>1</v>
      </c>
      <c r="O1974" s="13">
        <f t="shared" si="92"/>
        <v>2021</v>
      </c>
      <c r="P1974" t="s">
        <v>13</v>
      </c>
      <c r="Q1974" t="s">
        <v>47</v>
      </c>
      <c r="R1974" t="s">
        <v>31</v>
      </c>
      <c r="S1974" t="str" cm="1">
        <f t="array" ref="S1974">_xlfn.IFS(R1974="COMPLETE", "COMPLETED", R1974="CANCELED", "CANCELED", TRUE, "PENDING")</f>
        <v>COMPLETED</v>
      </c>
      <c r="T1974" t="s">
        <v>90</v>
      </c>
      <c r="U1974">
        <f>VLOOKUP(A1974,ordered_items!$B:$E,4,0)</f>
        <v>39.75</v>
      </c>
    </row>
    <row r="1975" spans="1:21" x14ac:dyDescent="0.3">
      <c r="A1975">
        <v>76248</v>
      </c>
      <c r="B1975" t="s">
        <v>24</v>
      </c>
      <c r="C1975">
        <v>4</v>
      </c>
      <c r="D1975">
        <v>2</v>
      </c>
      <c r="E1975" t="str">
        <f t="shared" si="90"/>
        <v>DELAYED</v>
      </c>
      <c r="F1975">
        <f>VLOOKUP($A1975,ordered_items!$B$2:$E$4784,2,0)</f>
        <v>1362</v>
      </c>
      <c r="G1975">
        <f>VLOOKUP($A1975,ordered_items!$B$2:$E$4784,3,0)</f>
        <v>1</v>
      </c>
      <c r="H1975">
        <f>VLOOKUP($A1975,ordered_items!$B$2:$E$4784,4,0)</f>
        <v>39.75</v>
      </c>
      <c r="I1975" s="15">
        <f>VLOOKUP(F1975,product_info!$A$2:$D$73,4,0)</f>
        <v>9</v>
      </c>
      <c r="J1975" s="15" t="str">
        <f>VLOOKUP(I1975,department!$A$2:$B$13,2,0)</f>
        <v>Discs Shop</v>
      </c>
      <c r="K1975">
        <v>19801</v>
      </c>
      <c r="L1975" t="s">
        <v>1073</v>
      </c>
      <c r="M1975" s="4">
        <v>44213</v>
      </c>
      <c r="N1975" s="12">
        <f t="shared" si="91"/>
        <v>1</v>
      </c>
      <c r="O1975" s="13">
        <f t="shared" si="92"/>
        <v>2021</v>
      </c>
      <c r="P1975" t="s">
        <v>13</v>
      </c>
      <c r="Q1975" t="s">
        <v>47</v>
      </c>
      <c r="R1975" t="s">
        <v>31</v>
      </c>
      <c r="S1975" t="str" cm="1">
        <f t="array" ref="S1975">_xlfn.IFS(R1975="COMPLETE", "COMPLETED", R1975="CANCELED", "CANCELED", TRUE, "PENDING")</f>
        <v>COMPLETED</v>
      </c>
      <c r="T1975" t="s">
        <v>90</v>
      </c>
      <c r="U1975">
        <f>VLOOKUP(A1975,ordered_items!$B:$E,4,0)</f>
        <v>39.75</v>
      </c>
    </row>
    <row r="1976" spans="1:21" x14ac:dyDescent="0.3">
      <c r="A1976">
        <v>76249</v>
      </c>
      <c r="B1976" t="s">
        <v>24</v>
      </c>
      <c r="C1976">
        <v>5</v>
      </c>
      <c r="D1976">
        <v>2</v>
      </c>
      <c r="E1976" t="str">
        <f t="shared" si="90"/>
        <v>DELAYED</v>
      </c>
      <c r="F1976">
        <f>VLOOKUP($A1976,ordered_items!$B$2:$E$4784,2,0)</f>
        <v>1362</v>
      </c>
      <c r="G1976">
        <f>VLOOKUP($A1976,ordered_items!$B$2:$E$4784,3,0)</f>
        <v>1</v>
      </c>
      <c r="H1976">
        <f>VLOOKUP($A1976,ordered_items!$B$2:$E$4784,4,0)</f>
        <v>39.75</v>
      </c>
      <c r="I1976" s="15">
        <f>VLOOKUP(F1976,product_info!$A$2:$D$73,4,0)</f>
        <v>9</v>
      </c>
      <c r="J1976" s="15" t="str">
        <f>VLOOKUP(I1976,department!$A$2:$B$13,2,0)</f>
        <v>Discs Shop</v>
      </c>
      <c r="K1976">
        <v>19802</v>
      </c>
      <c r="L1976" t="s">
        <v>1073</v>
      </c>
      <c r="M1976" s="4">
        <v>44213</v>
      </c>
      <c r="N1976" s="12">
        <f t="shared" si="91"/>
        <v>1</v>
      </c>
      <c r="O1976" s="13">
        <f t="shared" si="92"/>
        <v>2021</v>
      </c>
      <c r="P1976" t="s">
        <v>13</v>
      </c>
      <c r="Q1976" t="s">
        <v>47</v>
      </c>
      <c r="R1976" t="s">
        <v>378</v>
      </c>
      <c r="S1976" t="str" cm="1">
        <f t="array" ref="S1976">_xlfn.IFS(R1976="COMPLETE", "COMPLETED", R1976="CANCELED", "CANCELED", TRUE, "PENDING")</f>
        <v>PENDING</v>
      </c>
      <c r="T1976" t="s">
        <v>90</v>
      </c>
      <c r="U1976">
        <f>VLOOKUP(A1976,ordered_items!$B:$E,4,0)</f>
        <v>39.75</v>
      </c>
    </row>
    <row r="1977" spans="1:21" x14ac:dyDescent="0.3">
      <c r="A1977">
        <v>76253</v>
      </c>
      <c r="B1977" t="s">
        <v>51</v>
      </c>
      <c r="C1977">
        <v>4</v>
      </c>
      <c r="D1977">
        <v>4</v>
      </c>
      <c r="E1977" t="str">
        <f t="shared" si="90"/>
        <v xml:space="preserve"> ONTIME</v>
      </c>
      <c r="F1977">
        <f>VLOOKUP($A1977,ordered_items!$B$2:$E$4784,2,0)</f>
        <v>1362</v>
      </c>
      <c r="G1977">
        <f>VLOOKUP($A1977,ordered_items!$B$2:$E$4784,3,0)</f>
        <v>1</v>
      </c>
      <c r="H1977">
        <f>VLOOKUP($A1977,ordered_items!$B$2:$E$4784,4,0)</f>
        <v>39.75</v>
      </c>
      <c r="I1977" s="15">
        <f>VLOOKUP(F1977,product_info!$A$2:$D$73,4,0)</f>
        <v>9</v>
      </c>
      <c r="J1977" s="15" t="str">
        <f>VLOOKUP(I1977,department!$A$2:$B$13,2,0)</f>
        <v>Discs Shop</v>
      </c>
      <c r="K1977">
        <v>19806</v>
      </c>
      <c r="L1977" t="s">
        <v>405</v>
      </c>
      <c r="M1977" s="4">
        <v>44213</v>
      </c>
      <c r="N1977" s="12">
        <f t="shared" si="91"/>
        <v>1</v>
      </c>
      <c r="O1977" s="13">
        <f t="shared" si="92"/>
        <v>2021</v>
      </c>
      <c r="P1977" t="s">
        <v>13</v>
      </c>
      <c r="Q1977" t="s">
        <v>5781</v>
      </c>
      <c r="R1977" t="s">
        <v>57</v>
      </c>
      <c r="S1977" t="str" cm="1">
        <f t="array" ref="S1977">_xlfn.IFS(R1977="COMPLETE", "COMPLETED", R1977="CANCELED", "CANCELED", TRUE, "PENDING")</f>
        <v>PENDING</v>
      </c>
      <c r="T1977" t="s">
        <v>16</v>
      </c>
      <c r="U1977">
        <f>VLOOKUP(A1977,ordered_items!$B:$E,4,0)</f>
        <v>39.75</v>
      </c>
    </row>
    <row r="1978" spans="1:21" x14ac:dyDescent="0.3">
      <c r="A1978">
        <v>76254</v>
      </c>
      <c r="B1978" t="s">
        <v>24</v>
      </c>
      <c r="C1978">
        <v>5</v>
      </c>
      <c r="D1978">
        <v>4</v>
      </c>
      <c r="E1978" t="str">
        <f t="shared" si="90"/>
        <v>DELAYED</v>
      </c>
      <c r="F1978">
        <f>VLOOKUP($A1978,ordered_items!$B$2:$E$4784,2,0)</f>
        <v>1362</v>
      </c>
      <c r="G1978">
        <f>VLOOKUP($A1978,ordered_items!$B$2:$E$4784,3,0)</f>
        <v>1</v>
      </c>
      <c r="H1978">
        <f>VLOOKUP($A1978,ordered_items!$B$2:$E$4784,4,0)</f>
        <v>39.75</v>
      </c>
      <c r="I1978" s="15">
        <f>VLOOKUP(F1978,product_info!$A$2:$D$73,4,0)</f>
        <v>9</v>
      </c>
      <c r="J1978" s="15" t="str">
        <f>VLOOKUP(I1978,department!$A$2:$B$13,2,0)</f>
        <v>Discs Shop</v>
      </c>
      <c r="K1978">
        <v>19807</v>
      </c>
      <c r="L1978" t="s">
        <v>439</v>
      </c>
      <c r="M1978" s="4">
        <v>44213</v>
      </c>
      <c r="N1978" s="12">
        <f t="shared" si="91"/>
        <v>1</v>
      </c>
      <c r="O1978" s="13">
        <f t="shared" si="92"/>
        <v>2021</v>
      </c>
      <c r="P1978" t="s">
        <v>13</v>
      </c>
      <c r="Q1978" t="s">
        <v>377</v>
      </c>
      <c r="R1978" t="s">
        <v>31</v>
      </c>
      <c r="S1978" t="str" cm="1">
        <f t="array" ref="S1978">_xlfn.IFS(R1978="COMPLETE", "COMPLETED", R1978="CANCELED", "CANCELED", TRUE, "PENDING")</f>
        <v>COMPLETED</v>
      </c>
      <c r="T1978" t="s">
        <v>16</v>
      </c>
      <c r="U1978">
        <f>VLOOKUP(A1978,ordered_items!$B:$E,4,0)</f>
        <v>39.75</v>
      </c>
    </row>
    <row r="1979" spans="1:21" x14ac:dyDescent="0.3">
      <c r="A1979">
        <v>76260</v>
      </c>
      <c r="B1979" t="s">
        <v>24</v>
      </c>
      <c r="C1979">
        <v>6</v>
      </c>
      <c r="D1979">
        <v>4</v>
      </c>
      <c r="E1979" t="str">
        <f t="shared" si="90"/>
        <v>DELAYED</v>
      </c>
      <c r="F1979">
        <f>VLOOKUP($A1979,ordered_items!$B$2:$E$4784,2,0)</f>
        <v>1362</v>
      </c>
      <c r="G1979">
        <f>VLOOKUP($A1979,ordered_items!$B$2:$E$4784,3,0)</f>
        <v>1</v>
      </c>
      <c r="H1979">
        <f>VLOOKUP($A1979,ordered_items!$B$2:$E$4784,4,0)</f>
        <v>39.75</v>
      </c>
      <c r="I1979" s="15">
        <f>VLOOKUP(F1979,product_info!$A$2:$D$73,4,0)</f>
        <v>9</v>
      </c>
      <c r="J1979" s="15" t="str">
        <f>VLOOKUP(I1979,department!$A$2:$B$13,2,0)</f>
        <v>Discs Shop</v>
      </c>
      <c r="K1979">
        <v>19813</v>
      </c>
      <c r="L1979" t="s">
        <v>233</v>
      </c>
      <c r="M1979" s="4">
        <v>44213</v>
      </c>
      <c r="N1979" s="12">
        <f t="shared" si="91"/>
        <v>1</v>
      </c>
      <c r="O1979" s="13">
        <f t="shared" si="92"/>
        <v>2021</v>
      </c>
      <c r="P1979" t="s">
        <v>13</v>
      </c>
      <c r="Q1979" t="s">
        <v>234</v>
      </c>
      <c r="R1979" t="s">
        <v>31</v>
      </c>
      <c r="S1979" t="str" cm="1">
        <f t="array" ref="S1979">_xlfn.IFS(R1979="COMPLETE", "COMPLETED", R1979="CANCELED", "CANCELED", TRUE, "PENDING")</f>
        <v>COMPLETED</v>
      </c>
      <c r="T1979" t="s">
        <v>16</v>
      </c>
      <c r="U1979">
        <f>VLOOKUP(A1979,ordered_items!$B:$E,4,0)</f>
        <v>39.75</v>
      </c>
    </row>
    <row r="1980" spans="1:21" x14ac:dyDescent="0.3">
      <c r="A1980">
        <v>76270</v>
      </c>
      <c r="B1980" t="s">
        <v>24</v>
      </c>
      <c r="C1980">
        <v>6</v>
      </c>
      <c r="D1980">
        <v>4</v>
      </c>
      <c r="E1980" t="str">
        <f t="shared" si="90"/>
        <v>DELAYED</v>
      </c>
      <c r="F1980">
        <f>VLOOKUP($A1980,ordered_items!$B$2:$E$4784,2,0)</f>
        <v>1362</v>
      </c>
      <c r="G1980">
        <f>VLOOKUP($A1980,ordered_items!$B$2:$E$4784,3,0)</f>
        <v>1</v>
      </c>
      <c r="H1980">
        <f>VLOOKUP($A1980,ordered_items!$B$2:$E$4784,4,0)</f>
        <v>39.75</v>
      </c>
      <c r="I1980" s="15">
        <f>VLOOKUP(F1980,product_info!$A$2:$D$73,4,0)</f>
        <v>9</v>
      </c>
      <c r="J1980" s="15" t="str">
        <f>VLOOKUP(I1980,department!$A$2:$B$13,2,0)</f>
        <v>Discs Shop</v>
      </c>
      <c r="K1980">
        <v>19823</v>
      </c>
      <c r="L1980" t="s">
        <v>258</v>
      </c>
      <c r="M1980" s="4">
        <v>44213</v>
      </c>
      <c r="N1980" s="12">
        <f t="shared" si="91"/>
        <v>1</v>
      </c>
      <c r="O1980" s="13">
        <f t="shared" si="92"/>
        <v>2021</v>
      </c>
      <c r="P1980" t="s">
        <v>13</v>
      </c>
      <c r="Q1980" t="s">
        <v>30</v>
      </c>
      <c r="R1980" t="s">
        <v>31</v>
      </c>
      <c r="S1980" t="str" cm="1">
        <f t="array" ref="S1980">_xlfn.IFS(R1980="COMPLETE", "COMPLETED", R1980="CANCELED", "CANCELED", TRUE, "PENDING")</f>
        <v>COMPLETED</v>
      </c>
      <c r="T1980" t="s">
        <v>16</v>
      </c>
      <c r="U1980">
        <f>VLOOKUP(A1980,ordered_items!$B:$E,4,0)</f>
        <v>39.75</v>
      </c>
    </row>
    <row r="1981" spans="1:21" x14ac:dyDescent="0.3">
      <c r="A1981">
        <v>76272</v>
      </c>
      <c r="B1981" t="s">
        <v>51</v>
      </c>
      <c r="C1981">
        <v>3</v>
      </c>
      <c r="D1981">
        <v>4</v>
      </c>
      <c r="E1981" t="str">
        <f t="shared" si="90"/>
        <v xml:space="preserve"> ONTIME</v>
      </c>
      <c r="F1981">
        <f>VLOOKUP($A1981,ordered_items!$B$2:$E$4784,2,0)</f>
        <v>1362</v>
      </c>
      <c r="G1981">
        <f>VLOOKUP($A1981,ordered_items!$B$2:$E$4784,3,0)</f>
        <v>1</v>
      </c>
      <c r="H1981">
        <f>VLOOKUP($A1981,ordered_items!$B$2:$E$4784,4,0)</f>
        <v>39.75</v>
      </c>
      <c r="I1981" s="15">
        <f>VLOOKUP(F1981,product_info!$A$2:$D$73,4,0)</f>
        <v>9</v>
      </c>
      <c r="J1981" s="15" t="str">
        <f>VLOOKUP(I1981,department!$A$2:$B$13,2,0)</f>
        <v>Discs Shop</v>
      </c>
      <c r="K1981">
        <v>19825</v>
      </c>
      <c r="L1981" t="s">
        <v>226</v>
      </c>
      <c r="M1981" s="4">
        <v>44213</v>
      </c>
      <c r="N1981" s="12">
        <f t="shared" si="91"/>
        <v>1</v>
      </c>
      <c r="O1981" s="13">
        <f t="shared" si="92"/>
        <v>2021</v>
      </c>
      <c r="P1981" t="s">
        <v>13</v>
      </c>
      <c r="Q1981" t="s">
        <v>227</v>
      </c>
      <c r="R1981" t="s">
        <v>57</v>
      </c>
      <c r="S1981" t="str" cm="1">
        <f t="array" ref="S1981">_xlfn.IFS(R1981="COMPLETE", "COMPLETED", R1981="CANCELED", "CANCELED", TRUE, "PENDING")</f>
        <v>PENDING</v>
      </c>
      <c r="T1981" t="s">
        <v>16</v>
      </c>
      <c r="U1981">
        <f>VLOOKUP(A1981,ordered_items!$B:$E,4,0)</f>
        <v>39.75</v>
      </c>
    </row>
    <row r="1982" spans="1:21" x14ac:dyDescent="0.3">
      <c r="A1982">
        <v>76273</v>
      </c>
      <c r="B1982" t="s">
        <v>17</v>
      </c>
      <c r="C1982">
        <v>4</v>
      </c>
      <c r="D1982">
        <v>4</v>
      </c>
      <c r="E1982" t="str">
        <f t="shared" si="90"/>
        <v xml:space="preserve"> ONTIME</v>
      </c>
      <c r="F1982">
        <f>VLOOKUP($A1982,ordered_items!$B$2:$E$4784,2,0)</f>
        <v>1362</v>
      </c>
      <c r="G1982">
        <f>VLOOKUP($A1982,ordered_items!$B$2:$E$4784,3,0)</f>
        <v>1</v>
      </c>
      <c r="H1982">
        <f>VLOOKUP($A1982,ordered_items!$B$2:$E$4784,4,0)</f>
        <v>39.75</v>
      </c>
      <c r="I1982" s="15">
        <f>VLOOKUP(F1982,product_info!$A$2:$D$73,4,0)</f>
        <v>9</v>
      </c>
      <c r="J1982" s="15" t="str">
        <f>VLOOKUP(I1982,department!$A$2:$B$13,2,0)</f>
        <v>Discs Shop</v>
      </c>
      <c r="K1982">
        <v>19826</v>
      </c>
      <c r="L1982" t="s">
        <v>226</v>
      </c>
      <c r="M1982" s="4">
        <v>44213</v>
      </c>
      <c r="N1982" s="12">
        <f t="shared" si="91"/>
        <v>1</v>
      </c>
      <c r="O1982" s="13">
        <f t="shared" si="92"/>
        <v>2021</v>
      </c>
      <c r="P1982" t="s">
        <v>13</v>
      </c>
      <c r="Q1982" t="s">
        <v>227</v>
      </c>
      <c r="R1982" t="s">
        <v>23</v>
      </c>
      <c r="S1982" t="str" cm="1">
        <f t="array" ref="S1982">_xlfn.IFS(R1982="COMPLETE", "COMPLETED", R1982="CANCELED", "CANCELED", TRUE, "PENDING")</f>
        <v>PENDING</v>
      </c>
      <c r="T1982" t="s">
        <v>16</v>
      </c>
      <c r="U1982">
        <f>VLOOKUP(A1982,ordered_items!$B:$E,4,0)</f>
        <v>39.75</v>
      </c>
    </row>
    <row r="1983" spans="1:21" x14ac:dyDescent="0.3">
      <c r="A1983">
        <v>76274</v>
      </c>
      <c r="B1983" t="s">
        <v>51</v>
      </c>
      <c r="C1983">
        <v>5</v>
      </c>
      <c r="D1983">
        <v>4</v>
      </c>
      <c r="E1983" t="str">
        <f t="shared" si="90"/>
        <v>DELAYED</v>
      </c>
      <c r="F1983">
        <f>VLOOKUP($A1983,ordered_items!$B$2:$E$4784,2,0)</f>
        <v>1362</v>
      </c>
      <c r="G1983">
        <f>VLOOKUP($A1983,ordered_items!$B$2:$E$4784,3,0)</f>
        <v>1</v>
      </c>
      <c r="H1983">
        <f>VLOOKUP($A1983,ordered_items!$B$2:$E$4784,4,0)</f>
        <v>39.75</v>
      </c>
      <c r="I1983" s="15">
        <f>VLOOKUP(F1983,product_info!$A$2:$D$73,4,0)</f>
        <v>9</v>
      </c>
      <c r="J1983" s="15" t="str">
        <f>VLOOKUP(I1983,department!$A$2:$B$13,2,0)</f>
        <v>Discs Shop</v>
      </c>
      <c r="K1983">
        <v>19827</v>
      </c>
      <c r="L1983" t="s">
        <v>226</v>
      </c>
      <c r="M1983" s="4">
        <v>44213</v>
      </c>
      <c r="N1983" s="12">
        <f t="shared" si="91"/>
        <v>1</v>
      </c>
      <c r="O1983" s="13">
        <f t="shared" si="92"/>
        <v>2021</v>
      </c>
      <c r="P1983" t="s">
        <v>13</v>
      </c>
      <c r="Q1983" t="s">
        <v>227</v>
      </c>
      <c r="R1983" t="s">
        <v>57</v>
      </c>
      <c r="S1983" t="str" cm="1">
        <f t="array" ref="S1983">_xlfn.IFS(R1983="COMPLETE", "COMPLETED", R1983="CANCELED", "CANCELED", TRUE, "PENDING")</f>
        <v>PENDING</v>
      </c>
      <c r="T1983" t="s">
        <v>16</v>
      </c>
      <c r="U1983">
        <f>VLOOKUP(A1983,ordered_items!$B:$E,4,0)</f>
        <v>39.75</v>
      </c>
    </row>
    <row r="1984" spans="1:21" x14ac:dyDescent="0.3">
      <c r="A1984">
        <v>76275</v>
      </c>
      <c r="B1984" t="s">
        <v>24</v>
      </c>
      <c r="C1984">
        <v>6</v>
      </c>
      <c r="D1984">
        <v>4</v>
      </c>
      <c r="E1984" t="str">
        <f t="shared" si="90"/>
        <v>DELAYED</v>
      </c>
      <c r="F1984">
        <f>VLOOKUP($A1984,ordered_items!$B$2:$E$4784,2,0)</f>
        <v>1362</v>
      </c>
      <c r="G1984">
        <f>VLOOKUP($A1984,ordered_items!$B$2:$E$4784,3,0)</f>
        <v>1</v>
      </c>
      <c r="H1984">
        <f>VLOOKUP($A1984,ordered_items!$B$2:$E$4784,4,0)</f>
        <v>39.75</v>
      </c>
      <c r="I1984" s="15">
        <f>VLOOKUP(F1984,product_info!$A$2:$D$73,4,0)</f>
        <v>9</v>
      </c>
      <c r="J1984" s="15" t="str">
        <f>VLOOKUP(I1984,department!$A$2:$B$13,2,0)</f>
        <v>Discs Shop</v>
      </c>
      <c r="K1984">
        <v>19828</v>
      </c>
      <c r="L1984" t="s">
        <v>226</v>
      </c>
      <c r="M1984" s="4">
        <v>44213</v>
      </c>
      <c r="N1984" s="12">
        <f t="shared" si="91"/>
        <v>1</v>
      </c>
      <c r="O1984" s="13">
        <f t="shared" si="92"/>
        <v>2021</v>
      </c>
      <c r="P1984" t="s">
        <v>13</v>
      </c>
      <c r="Q1984" t="s">
        <v>227</v>
      </c>
      <c r="R1984" t="s">
        <v>31</v>
      </c>
      <c r="S1984" t="str" cm="1">
        <f t="array" ref="S1984">_xlfn.IFS(R1984="COMPLETE", "COMPLETED", R1984="CANCELED", "CANCELED", TRUE, "PENDING")</f>
        <v>COMPLETED</v>
      </c>
      <c r="T1984" t="s">
        <v>16</v>
      </c>
      <c r="U1984">
        <f>VLOOKUP(A1984,ordered_items!$B:$E,4,0)</f>
        <v>39.75</v>
      </c>
    </row>
    <row r="1985" spans="1:21" x14ac:dyDescent="0.3">
      <c r="A1985">
        <v>76286</v>
      </c>
      <c r="B1985" t="s">
        <v>3</v>
      </c>
      <c r="C1985">
        <v>2</v>
      </c>
      <c r="D1985">
        <v>4</v>
      </c>
      <c r="E1985" t="str">
        <f t="shared" si="90"/>
        <v xml:space="preserve"> ONTIME</v>
      </c>
      <c r="F1985">
        <f>VLOOKUP($A1985,ordered_items!$B$2:$E$4784,2,0)</f>
        <v>1362</v>
      </c>
      <c r="G1985">
        <f>VLOOKUP($A1985,ordered_items!$B$2:$E$4784,3,0)</f>
        <v>1</v>
      </c>
      <c r="H1985">
        <f>VLOOKUP($A1985,ordered_items!$B$2:$E$4784,4,0)</f>
        <v>39.75</v>
      </c>
      <c r="I1985" s="15">
        <f>VLOOKUP(F1985,product_info!$A$2:$D$73,4,0)</f>
        <v>9</v>
      </c>
      <c r="J1985" s="15" t="str">
        <f>VLOOKUP(I1985,department!$A$2:$B$13,2,0)</f>
        <v>Discs Shop</v>
      </c>
      <c r="K1985">
        <v>19839</v>
      </c>
      <c r="L1985" t="s">
        <v>110</v>
      </c>
      <c r="M1985" s="4">
        <v>44213</v>
      </c>
      <c r="N1985" s="12">
        <f t="shared" si="91"/>
        <v>1</v>
      </c>
      <c r="O1985" s="13">
        <f t="shared" si="92"/>
        <v>2021</v>
      </c>
      <c r="P1985" t="s">
        <v>13</v>
      </c>
      <c r="Q1985" t="s">
        <v>99</v>
      </c>
      <c r="R1985" t="s">
        <v>38</v>
      </c>
      <c r="S1985" t="str" cm="1">
        <f t="array" ref="S1985">_xlfn.IFS(R1985="COMPLETE", "COMPLETED", R1985="CANCELED", "CANCELED", TRUE, "PENDING")</f>
        <v>PENDING</v>
      </c>
      <c r="T1985" t="s">
        <v>16</v>
      </c>
      <c r="U1985">
        <f>VLOOKUP(A1985,ordered_items!$B:$E,4,0)</f>
        <v>39.75</v>
      </c>
    </row>
    <row r="1986" spans="1:21" x14ac:dyDescent="0.3">
      <c r="A1986">
        <v>76287</v>
      </c>
      <c r="B1986" t="s">
        <v>24</v>
      </c>
      <c r="C1986">
        <v>3</v>
      </c>
      <c r="D1986">
        <v>4</v>
      </c>
      <c r="E1986" t="str">
        <f t="shared" si="90"/>
        <v xml:space="preserve"> ONTIME</v>
      </c>
      <c r="F1986">
        <f>VLOOKUP($A1986,ordered_items!$B$2:$E$4784,2,0)</f>
        <v>1362</v>
      </c>
      <c r="G1986">
        <f>VLOOKUP($A1986,ordered_items!$B$2:$E$4784,3,0)</f>
        <v>1</v>
      </c>
      <c r="H1986">
        <f>VLOOKUP($A1986,ordered_items!$B$2:$E$4784,4,0)</f>
        <v>39.75</v>
      </c>
      <c r="I1986" s="15">
        <f>VLOOKUP(F1986,product_info!$A$2:$D$73,4,0)</f>
        <v>9</v>
      </c>
      <c r="J1986" s="15" t="str">
        <f>VLOOKUP(I1986,department!$A$2:$B$13,2,0)</f>
        <v>Discs Shop</v>
      </c>
      <c r="K1986">
        <v>19840</v>
      </c>
      <c r="L1986" t="s">
        <v>110</v>
      </c>
      <c r="M1986" s="4">
        <v>44213</v>
      </c>
      <c r="N1986" s="12">
        <f t="shared" si="91"/>
        <v>1</v>
      </c>
      <c r="O1986" s="13">
        <f t="shared" si="92"/>
        <v>2021</v>
      </c>
      <c r="P1986" t="s">
        <v>13</v>
      </c>
      <c r="Q1986" t="s">
        <v>99</v>
      </c>
      <c r="R1986" t="s">
        <v>31</v>
      </c>
      <c r="S1986" t="str" cm="1">
        <f t="array" ref="S1986">_xlfn.IFS(R1986="COMPLETE", "COMPLETED", R1986="CANCELED", "CANCELED", TRUE, "PENDING")</f>
        <v>COMPLETED</v>
      </c>
      <c r="T1986" t="s">
        <v>16</v>
      </c>
      <c r="U1986">
        <f>VLOOKUP(A1986,ordered_items!$B:$E,4,0)</f>
        <v>39.75</v>
      </c>
    </row>
    <row r="1987" spans="1:21" x14ac:dyDescent="0.3">
      <c r="A1987">
        <v>76288</v>
      </c>
      <c r="B1987" t="s">
        <v>17</v>
      </c>
      <c r="C1987">
        <v>4</v>
      </c>
      <c r="D1987">
        <v>4</v>
      </c>
      <c r="E1987" t="str">
        <f t="shared" ref="E1987:E2050" si="93">IF(C1987-D1987&gt;0,"DELAYED"," ONTIME")</f>
        <v xml:space="preserve"> ONTIME</v>
      </c>
      <c r="F1987">
        <f>VLOOKUP($A1987,ordered_items!$B$2:$E$4784,2,0)</f>
        <v>1362</v>
      </c>
      <c r="G1987">
        <f>VLOOKUP($A1987,ordered_items!$B$2:$E$4784,3,0)</f>
        <v>1</v>
      </c>
      <c r="H1987">
        <f>VLOOKUP($A1987,ordered_items!$B$2:$E$4784,4,0)</f>
        <v>39.75</v>
      </c>
      <c r="I1987" s="15">
        <f>VLOOKUP(F1987,product_info!$A$2:$D$73,4,0)</f>
        <v>9</v>
      </c>
      <c r="J1987" s="15" t="str">
        <f>VLOOKUP(I1987,department!$A$2:$B$13,2,0)</f>
        <v>Discs Shop</v>
      </c>
      <c r="K1987">
        <v>19841</v>
      </c>
      <c r="L1987" t="s">
        <v>110</v>
      </c>
      <c r="M1987" s="4">
        <v>44213</v>
      </c>
      <c r="N1987" s="12">
        <f t="shared" ref="N1987:N2050" si="94">MONTH(M1987)</f>
        <v>1</v>
      </c>
      <c r="O1987" s="13">
        <f t="shared" ref="O1987:O2050" si="95">YEAR(M1987)</f>
        <v>2021</v>
      </c>
      <c r="P1987" t="s">
        <v>13</v>
      </c>
      <c r="Q1987" t="s">
        <v>99</v>
      </c>
      <c r="R1987" t="s">
        <v>23</v>
      </c>
      <c r="S1987" t="str" cm="1">
        <f t="array" ref="S1987">_xlfn.IFS(R1987="COMPLETE", "COMPLETED", R1987="CANCELED", "CANCELED", TRUE, "PENDING")</f>
        <v>PENDING</v>
      </c>
      <c r="T1987" t="s">
        <v>16</v>
      </c>
      <c r="U1987">
        <f>VLOOKUP(A1987,ordered_items!$B:$E,4,0)</f>
        <v>39.75</v>
      </c>
    </row>
    <row r="1988" spans="1:21" x14ac:dyDescent="0.3">
      <c r="A1988">
        <v>76308</v>
      </c>
      <c r="B1988" t="s">
        <v>3</v>
      </c>
      <c r="C1988">
        <v>4</v>
      </c>
      <c r="D1988">
        <v>2</v>
      </c>
      <c r="E1988" t="str">
        <f t="shared" si="93"/>
        <v>DELAYED</v>
      </c>
      <c r="F1988">
        <f>VLOOKUP($A1988,ordered_items!$B$2:$E$4784,2,0)</f>
        <v>1362</v>
      </c>
      <c r="G1988">
        <f>VLOOKUP($A1988,ordered_items!$B$2:$E$4784,3,0)</f>
        <v>1</v>
      </c>
      <c r="H1988">
        <f>VLOOKUP($A1988,ordered_items!$B$2:$E$4784,4,0)</f>
        <v>39.75</v>
      </c>
      <c r="I1988" s="15">
        <f>VLOOKUP(F1988,product_info!$A$2:$D$73,4,0)</f>
        <v>9</v>
      </c>
      <c r="J1988" s="15" t="str">
        <f>VLOOKUP(I1988,department!$A$2:$B$13,2,0)</f>
        <v>Discs Shop</v>
      </c>
      <c r="K1988">
        <v>19861</v>
      </c>
      <c r="L1988" t="s">
        <v>854</v>
      </c>
      <c r="M1988" s="4">
        <v>44213</v>
      </c>
      <c r="N1988" s="12">
        <f t="shared" si="94"/>
        <v>1</v>
      </c>
      <c r="O1988" s="13">
        <f t="shared" si="95"/>
        <v>2021</v>
      </c>
      <c r="P1988" t="s">
        <v>13</v>
      </c>
      <c r="Q1988" t="s">
        <v>377</v>
      </c>
      <c r="R1988" t="s">
        <v>38</v>
      </c>
      <c r="S1988" t="str" cm="1">
        <f t="array" ref="S1988">_xlfn.IFS(R1988="COMPLETE", "COMPLETED", R1988="CANCELED", "CANCELED", TRUE, "PENDING")</f>
        <v>PENDING</v>
      </c>
      <c r="T1988" t="s">
        <v>90</v>
      </c>
      <c r="U1988">
        <f>VLOOKUP(A1988,ordered_items!$B:$E,4,0)</f>
        <v>39.75</v>
      </c>
    </row>
    <row r="1989" spans="1:21" x14ac:dyDescent="0.3">
      <c r="A1989">
        <v>76331</v>
      </c>
      <c r="B1989" t="s">
        <v>24</v>
      </c>
      <c r="C1989">
        <v>2</v>
      </c>
      <c r="D1989">
        <v>4</v>
      </c>
      <c r="E1989" t="str">
        <f t="shared" si="93"/>
        <v xml:space="preserve"> ONTIME</v>
      </c>
      <c r="F1989">
        <f>VLOOKUP($A1989,ordered_items!$B$2:$E$4784,2,0)</f>
        <v>1362</v>
      </c>
      <c r="G1989">
        <f>VLOOKUP($A1989,ordered_items!$B$2:$E$4784,3,0)</f>
        <v>1</v>
      </c>
      <c r="H1989">
        <f>VLOOKUP($A1989,ordered_items!$B$2:$E$4784,4,0)</f>
        <v>39.75</v>
      </c>
      <c r="I1989" s="15">
        <f>VLOOKUP(F1989,product_info!$A$2:$D$73,4,0)</f>
        <v>9</v>
      </c>
      <c r="J1989" s="15" t="str">
        <f>VLOOKUP(I1989,department!$A$2:$B$13,2,0)</f>
        <v>Discs Shop</v>
      </c>
      <c r="K1989">
        <v>19884</v>
      </c>
      <c r="L1989" t="s">
        <v>405</v>
      </c>
      <c r="M1989" s="4">
        <v>44214</v>
      </c>
      <c r="N1989" s="12">
        <f t="shared" si="94"/>
        <v>1</v>
      </c>
      <c r="O1989" s="13">
        <f t="shared" si="95"/>
        <v>2021</v>
      </c>
      <c r="P1989" t="s">
        <v>13</v>
      </c>
      <c r="Q1989" t="s">
        <v>130</v>
      </c>
      <c r="R1989" t="s">
        <v>378</v>
      </c>
      <c r="S1989" t="str" cm="1">
        <f t="array" ref="S1989">_xlfn.IFS(R1989="COMPLETE", "COMPLETED", R1989="CANCELED", "CANCELED", TRUE, "PENDING")</f>
        <v>PENDING</v>
      </c>
      <c r="T1989" t="s">
        <v>16</v>
      </c>
      <c r="U1989">
        <f>VLOOKUP(A1989,ordered_items!$B:$E,4,0)</f>
        <v>39.75</v>
      </c>
    </row>
    <row r="1990" spans="1:21" x14ac:dyDescent="0.3">
      <c r="A1990">
        <v>76332</v>
      </c>
      <c r="B1990" t="s">
        <v>3</v>
      </c>
      <c r="C1990">
        <v>3</v>
      </c>
      <c r="D1990">
        <v>4</v>
      </c>
      <c r="E1990" t="str">
        <f t="shared" si="93"/>
        <v xml:space="preserve"> ONTIME</v>
      </c>
      <c r="F1990">
        <f>VLOOKUP($A1990,ordered_items!$B$2:$E$4784,2,0)</f>
        <v>1362</v>
      </c>
      <c r="G1990">
        <f>VLOOKUP($A1990,ordered_items!$B$2:$E$4784,3,0)</f>
        <v>1</v>
      </c>
      <c r="H1990">
        <f>VLOOKUP($A1990,ordered_items!$B$2:$E$4784,4,0)</f>
        <v>39.75</v>
      </c>
      <c r="I1990" s="15">
        <f>VLOOKUP(F1990,product_info!$A$2:$D$73,4,0)</f>
        <v>9</v>
      </c>
      <c r="J1990" s="15" t="str">
        <f>VLOOKUP(I1990,department!$A$2:$B$13,2,0)</f>
        <v>Discs Shop</v>
      </c>
      <c r="K1990">
        <v>19885</v>
      </c>
      <c r="L1990" t="s">
        <v>136</v>
      </c>
      <c r="M1990" s="4">
        <v>44214</v>
      </c>
      <c r="N1990" s="12">
        <f t="shared" si="94"/>
        <v>1</v>
      </c>
      <c r="O1990" s="13">
        <f t="shared" si="95"/>
        <v>2021</v>
      </c>
      <c r="P1990" t="s">
        <v>13</v>
      </c>
      <c r="Q1990" t="s">
        <v>47</v>
      </c>
      <c r="R1990" t="s">
        <v>38</v>
      </c>
      <c r="S1990" t="str" cm="1">
        <f t="array" ref="S1990">_xlfn.IFS(R1990="COMPLETE", "COMPLETED", R1990="CANCELED", "CANCELED", TRUE, "PENDING")</f>
        <v>PENDING</v>
      </c>
      <c r="T1990" t="s">
        <v>16</v>
      </c>
      <c r="U1990">
        <f>VLOOKUP(A1990,ordered_items!$B:$E,4,0)</f>
        <v>39.75</v>
      </c>
    </row>
    <row r="1991" spans="1:21" x14ac:dyDescent="0.3">
      <c r="A1991">
        <v>76337</v>
      </c>
      <c r="B1991" t="s">
        <v>24</v>
      </c>
      <c r="C1991">
        <v>0</v>
      </c>
      <c r="D1991">
        <v>0</v>
      </c>
      <c r="E1991" t="str">
        <f t="shared" si="93"/>
        <v xml:space="preserve"> ONTIME</v>
      </c>
      <c r="F1991">
        <f>VLOOKUP($A1991,ordered_items!$B$2:$E$4784,2,0)</f>
        <v>1362</v>
      </c>
      <c r="G1991">
        <f>VLOOKUP($A1991,ordered_items!$B$2:$E$4784,3,0)</f>
        <v>1</v>
      </c>
      <c r="H1991">
        <f>VLOOKUP($A1991,ordered_items!$B$2:$E$4784,4,0)</f>
        <v>39.75</v>
      </c>
      <c r="I1991" s="15">
        <f>VLOOKUP(F1991,product_info!$A$2:$D$73,4,0)</f>
        <v>9</v>
      </c>
      <c r="J1991" s="15" t="str">
        <f>VLOOKUP(I1991,department!$A$2:$B$13,2,0)</f>
        <v>Discs Shop</v>
      </c>
      <c r="K1991">
        <v>19890</v>
      </c>
      <c r="L1991" t="s">
        <v>439</v>
      </c>
      <c r="M1991" s="4">
        <v>44214</v>
      </c>
      <c r="N1991" s="12">
        <f t="shared" si="94"/>
        <v>1</v>
      </c>
      <c r="O1991" s="13">
        <f t="shared" si="95"/>
        <v>2021</v>
      </c>
      <c r="P1991" t="s">
        <v>13</v>
      </c>
      <c r="Q1991" t="s">
        <v>377</v>
      </c>
      <c r="R1991" t="s">
        <v>31</v>
      </c>
      <c r="S1991" t="str" cm="1">
        <f t="array" ref="S1991">_xlfn.IFS(R1991="COMPLETE", "COMPLETED", R1991="CANCELED", "CANCELED", TRUE, "PENDING")</f>
        <v>COMPLETED</v>
      </c>
      <c r="T1991" t="s">
        <v>58</v>
      </c>
      <c r="U1991">
        <f>VLOOKUP(A1991,ordered_items!$B:$E,4,0)</f>
        <v>39.75</v>
      </c>
    </row>
    <row r="1992" spans="1:21" x14ac:dyDescent="0.3">
      <c r="A1992">
        <v>76338</v>
      </c>
      <c r="B1992" t="s">
        <v>3</v>
      </c>
      <c r="C1992">
        <v>2</v>
      </c>
      <c r="D1992">
        <v>1</v>
      </c>
      <c r="E1992" t="str">
        <f t="shared" si="93"/>
        <v>DELAYED</v>
      </c>
      <c r="F1992">
        <f>VLOOKUP($A1992,ordered_items!$B$2:$E$4784,2,0)</f>
        <v>1362</v>
      </c>
      <c r="G1992">
        <f>VLOOKUP($A1992,ordered_items!$B$2:$E$4784,3,0)</f>
        <v>1</v>
      </c>
      <c r="H1992">
        <f>VLOOKUP($A1992,ordered_items!$B$2:$E$4784,4,0)</f>
        <v>39.75</v>
      </c>
      <c r="I1992" s="15">
        <f>VLOOKUP(F1992,product_info!$A$2:$D$73,4,0)</f>
        <v>9</v>
      </c>
      <c r="J1992" s="15" t="str">
        <f>VLOOKUP(I1992,department!$A$2:$B$13,2,0)</f>
        <v>Discs Shop</v>
      </c>
      <c r="K1992">
        <v>19891</v>
      </c>
      <c r="L1992" t="s">
        <v>110</v>
      </c>
      <c r="M1992" s="4">
        <v>44214</v>
      </c>
      <c r="N1992" s="12">
        <f t="shared" si="94"/>
        <v>1</v>
      </c>
      <c r="O1992" s="13">
        <f t="shared" si="95"/>
        <v>2021</v>
      </c>
      <c r="P1992" t="s">
        <v>13</v>
      </c>
      <c r="Q1992" t="s">
        <v>99</v>
      </c>
      <c r="R1992" t="s">
        <v>14</v>
      </c>
      <c r="S1992" t="str" cm="1">
        <f t="array" ref="S1992">_xlfn.IFS(R1992="COMPLETE", "COMPLETED", R1992="CANCELED", "CANCELED", TRUE, "PENDING")</f>
        <v>PENDING</v>
      </c>
      <c r="T1992" t="s">
        <v>32</v>
      </c>
      <c r="U1992">
        <f>VLOOKUP(A1992,ordered_items!$B:$E,4,0)</f>
        <v>39.75</v>
      </c>
    </row>
    <row r="1993" spans="1:21" x14ac:dyDescent="0.3">
      <c r="A1993">
        <v>76340</v>
      </c>
      <c r="B1993" t="s">
        <v>51</v>
      </c>
      <c r="C1993">
        <v>6</v>
      </c>
      <c r="D1993">
        <v>4</v>
      </c>
      <c r="E1993" t="str">
        <f t="shared" si="93"/>
        <v>DELAYED</v>
      </c>
      <c r="F1993">
        <f>VLOOKUP($A1993,ordered_items!$B$2:$E$4784,2,0)</f>
        <v>1362</v>
      </c>
      <c r="G1993">
        <f>VLOOKUP($A1993,ordered_items!$B$2:$E$4784,3,0)</f>
        <v>1</v>
      </c>
      <c r="H1993">
        <f>VLOOKUP($A1993,ordered_items!$B$2:$E$4784,4,0)</f>
        <v>39.75</v>
      </c>
      <c r="I1993" s="15">
        <f>VLOOKUP(F1993,product_info!$A$2:$D$73,4,0)</f>
        <v>9</v>
      </c>
      <c r="J1993" s="15" t="str">
        <f>VLOOKUP(I1993,department!$A$2:$B$13,2,0)</f>
        <v>Discs Shop</v>
      </c>
      <c r="K1993">
        <v>19893</v>
      </c>
      <c r="L1993" t="s">
        <v>258</v>
      </c>
      <c r="M1993" s="4">
        <v>44214</v>
      </c>
      <c r="N1993" s="12">
        <f t="shared" si="94"/>
        <v>1</v>
      </c>
      <c r="O1993" s="13">
        <f t="shared" si="95"/>
        <v>2021</v>
      </c>
      <c r="P1993" t="s">
        <v>13</v>
      </c>
      <c r="Q1993" t="s">
        <v>30</v>
      </c>
      <c r="R1993" t="s">
        <v>57</v>
      </c>
      <c r="S1993" t="str" cm="1">
        <f t="array" ref="S1993">_xlfn.IFS(R1993="COMPLETE", "COMPLETED", R1993="CANCELED", "CANCELED", TRUE, "PENDING")</f>
        <v>PENDING</v>
      </c>
      <c r="T1993" t="s">
        <v>16</v>
      </c>
      <c r="U1993">
        <f>VLOOKUP(A1993,ordered_items!$B:$E,4,0)</f>
        <v>39.75</v>
      </c>
    </row>
    <row r="1994" spans="1:21" x14ac:dyDescent="0.3">
      <c r="A1994">
        <v>76341</v>
      </c>
      <c r="B1994" t="s">
        <v>3</v>
      </c>
      <c r="C1994">
        <v>2</v>
      </c>
      <c r="D1994">
        <v>4</v>
      </c>
      <c r="E1994" t="str">
        <f t="shared" si="93"/>
        <v xml:space="preserve"> ONTIME</v>
      </c>
      <c r="F1994">
        <f>VLOOKUP($A1994,ordered_items!$B$2:$E$4784,2,0)</f>
        <v>1362</v>
      </c>
      <c r="G1994">
        <f>VLOOKUP($A1994,ordered_items!$B$2:$E$4784,3,0)</f>
        <v>1</v>
      </c>
      <c r="H1994">
        <f>VLOOKUP($A1994,ordered_items!$B$2:$E$4784,4,0)</f>
        <v>39.75</v>
      </c>
      <c r="I1994" s="15">
        <f>VLOOKUP(F1994,product_info!$A$2:$D$73,4,0)</f>
        <v>9</v>
      </c>
      <c r="J1994" s="15" t="str">
        <f>VLOOKUP(I1994,department!$A$2:$B$13,2,0)</f>
        <v>Discs Shop</v>
      </c>
      <c r="K1994">
        <v>19894</v>
      </c>
      <c r="L1994" t="s">
        <v>537</v>
      </c>
      <c r="M1994" s="4">
        <v>44214</v>
      </c>
      <c r="N1994" s="12">
        <f t="shared" si="94"/>
        <v>1</v>
      </c>
      <c r="O1994" s="13">
        <f t="shared" si="95"/>
        <v>2021</v>
      </c>
      <c r="P1994" t="s">
        <v>13</v>
      </c>
      <c r="Q1994" t="s">
        <v>538</v>
      </c>
      <c r="R1994" t="s">
        <v>14</v>
      </c>
      <c r="S1994" t="str" cm="1">
        <f t="array" ref="S1994">_xlfn.IFS(R1994="COMPLETE", "COMPLETED", R1994="CANCELED", "CANCELED", TRUE, "PENDING")</f>
        <v>PENDING</v>
      </c>
      <c r="T1994" t="s">
        <v>16</v>
      </c>
      <c r="U1994">
        <f>VLOOKUP(A1994,ordered_items!$B:$E,4,0)</f>
        <v>39.75</v>
      </c>
    </row>
    <row r="1995" spans="1:21" x14ac:dyDescent="0.3">
      <c r="A1995">
        <v>76357</v>
      </c>
      <c r="B1995" t="s">
        <v>24</v>
      </c>
      <c r="C1995">
        <v>3</v>
      </c>
      <c r="D1995">
        <v>4</v>
      </c>
      <c r="E1995" t="str">
        <f t="shared" si="93"/>
        <v xml:space="preserve"> ONTIME</v>
      </c>
      <c r="F1995">
        <f>VLOOKUP($A1995,ordered_items!$B$2:$E$4784,2,0)</f>
        <v>1362</v>
      </c>
      <c r="G1995">
        <f>VLOOKUP($A1995,ordered_items!$B$2:$E$4784,3,0)</f>
        <v>1</v>
      </c>
      <c r="H1995">
        <f>VLOOKUP($A1995,ordered_items!$B$2:$E$4784,4,0)</f>
        <v>39.75</v>
      </c>
      <c r="I1995" s="15">
        <f>VLOOKUP(F1995,product_info!$A$2:$D$73,4,0)</f>
        <v>9</v>
      </c>
      <c r="J1995" s="15" t="str">
        <f>VLOOKUP(I1995,department!$A$2:$B$13,2,0)</f>
        <v>Discs Shop</v>
      </c>
      <c r="K1995">
        <v>19910</v>
      </c>
      <c r="L1995" t="s">
        <v>1040</v>
      </c>
      <c r="M1995" s="4">
        <v>44214</v>
      </c>
      <c r="N1995" s="12">
        <f t="shared" si="94"/>
        <v>1</v>
      </c>
      <c r="O1995" s="13">
        <f t="shared" si="95"/>
        <v>2021</v>
      </c>
      <c r="P1995" t="s">
        <v>13</v>
      </c>
      <c r="Q1995" t="s">
        <v>377</v>
      </c>
      <c r="R1995" t="s">
        <v>31</v>
      </c>
      <c r="S1995" t="str" cm="1">
        <f t="array" ref="S1995">_xlfn.IFS(R1995="COMPLETE", "COMPLETED", R1995="CANCELED", "CANCELED", TRUE, "PENDING")</f>
        <v>COMPLETED</v>
      </c>
      <c r="T1995" t="s">
        <v>16</v>
      </c>
      <c r="U1995">
        <f>VLOOKUP(A1995,ordered_items!$B:$E,4,0)</f>
        <v>39.75</v>
      </c>
    </row>
    <row r="1996" spans="1:21" x14ac:dyDescent="0.3">
      <c r="A1996">
        <v>76386</v>
      </c>
      <c r="B1996" t="s">
        <v>24</v>
      </c>
      <c r="C1996">
        <v>2</v>
      </c>
      <c r="D1996">
        <v>2</v>
      </c>
      <c r="E1996" t="str">
        <f t="shared" si="93"/>
        <v xml:space="preserve"> ONTIME</v>
      </c>
      <c r="F1996">
        <f>VLOOKUP($A1996,ordered_items!$B$2:$E$4784,2,0)</f>
        <v>1362</v>
      </c>
      <c r="G1996">
        <f>VLOOKUP($A1996,ordered_items!$B$2:$E$4784,3,0)</f>
        <v>1</v>
      </c>
      <c r="H1996">
        <f>VLOOKUP($A1996,ordered_items!$B$2:$E$4784,4,0)</f>
        <v>39.75</v>
      </c>
      <c r="I1996" s="15">
        <f>VLOOKUP(F1996,product_info!$A$2:$D$73,4,0)</f>
        <v>9</v>
      </c>
      <c r="J1996" s="15" t="str">
        <f>VLOOKUP(I1996,department!$A$2:$B$13,2,0)</f>
        <v>Discs Shop</v>
      </c>
      <c r="K1996">
        <v>19939</v>
      </c>
      <c r="L1996" t="s">
        <v>409</v>
      </c>
      <c r="M1996" s="4">
        <v>44215</v>
      </c>
      <c r="N1996" s="12">
        <f t="shared" si="94"/>
        <v>1</v>
      </c>
      <c r="O1996" s="13">
        <f t="shared" si="95"/>
        <v>2021</v>
      </c>
      <c r="P1996" t="s">
        <v>13</v>
      </c>
      <c r="Q1996" t="s">
        <v>410</v>
      </c>
      <c r="R1996" t="s">
        <v>31</v>
      </c>
      <c r="S1996" t="str" cm="1">
        <f t="array" ref="S1996">_xlfn.IFS(R1996="COMPLETE", "COMPLETED", R1996="CANCELED", "CANCELED", TRUE, "PENDING")</f>
        <v>COMPLETED</v>
      </c>
      <c r="T1996" t="s">
        <v>90</v>
      </c>
      <c r="U1996">
        <f>VLOOKUP(A1996,ordered_items!$B:$E,4,0)</f>
        <v>39.75</v>
      </c>
    </row>
    <row r="1997" spans="1:21" x14ac:dyDescent="0.3">
      <c r="A1997">
        <v>76387</v>
      </c>
      <c r="B1997" t="s">
        <v>51</v>
      </c>
      <c r="C1997">
        <v>3</v>
      </c>
      <c r="D1997">
        <v>2</v>
      </c>
      <c r="E1997" t="str">
        <f t="shared" si="93"/>
        <v>DELAYED</v>
      </c>
      <c r="F1997">
        <f>VLOOKUP($A1997,ordered_items!$B$2:$E$4784,2,0)</f>
        <v>1362</v>
      </c>
      <c r="G1997">
        <f>VLOOKUP($A1997,ordered_items!$B$2:$E$4784,3,0)</f>
        <v>1</v>
      </c>
      <c r="H1997">
        <f>VLOOKUP($A1997,ordered_items!$B$2:$E$4784,4,0)</f>
        <v>39.75</v>
      </c>
      <c r="I1997" s="15">
        <f>VLOOKUP(F1997,product_info!$A$2:$D$73,4,0)</f>
        <v>9</v>
      </c>
      <c r="J1997" s="15" t="str">
        <f>VLOOKUP(I1997,department!$A$2:$B$13,2,0)</f>
        <v>Discs Shop</v>
      </c>
      <c r="K1997">
        <v>19940</v>
      </c>
      <c r="L1997" t="s">
        <v>409</v>
      </c>
      <c r="M1997" s="4">
        <v>44215</v>
      </c>
      <c r="N1997" s="12">
        <f t="shared" si="94"/>
        <v>1</v>
      </c>
      <c r="O1997" s="13">
        <f t="shared" si="95"/>
        <v>2021</v>
      </c>
      <c r="P1997" t="s">
        <v>13</v>
      </c>
      <c r="Q1997" t="s">
        <v>410</v>
      </c>
      <c r="R1997" t="s">
        <v>1275</v>
      </c>
      <c r="S1997" t="str" cm="1">
        <f t="array" ref="S1997">_xlfn.IFS(R1997="COMPLETE", "COMPLETED", R1997="CANCELED", "CANCELED", TRUE, "PENDING")</f>
        <v>PENDING</v>
      </c>
      <c r="T1997" t="s">
        <v>90</v>
      </c>
      <c r="U1997">
        <f>VLOOKUP(A1997,ordered_items!$B:$E,4,0)</f>
        <v>39.75</v>
      </c>
    </row>
    <row r="1998" spans="1:21" x14ac:dyDescent="0.3">
      <c r="A1998">
        <v>76388</v>
      </c>
      <c r="B1998" t="s">
        <v>24</v>
      </c>
      <c r="C1998">
        <v>4</v>
      </c>
      <c r="D1998">
        <v>4</v>
      </c>
      <c r="E1998" t="str">
        <f t="shared" si="93"/>
        <v xml:space="preserve"> ONTIME</v>
      </c>
      <c r="F1998">
        <f>VLOOKUP($A1998,ordered_items!$B$2:$E$4784,2,0)</f>
        <v>1362</v>
      </c>
      <c r="G1998">
        <f>VLOOKUP($A1998,ordered_items!$B$2:$E$4784,3,0)</f>
        <v>1</v>
      </c>
      <c r="H1998">
        <f>VLOOKUP($A1998,ordered_items!$B$2:$E$4784,4,0)</f>
        <v>39.75</v>
      </c>
      <c r="I1998" s="15">
        <f>VLOOKUP(F1998,product_info!$A$2:$D$73,4,0)</f>
        <v>9</v>
      </c>
      <c r="J1998" s="15" t="str">
        <f>VLOOKUP(I1998,department!$A$2:$B$13,2,0)</f>
        <v>Discs Shop</v>
      </c>
      <c r="K1998">
        <v>19941</v>
      </c>
      <c r="L1998" t="s">
        <v>409</v>
      </c>
      <c r="M1998" s="4">
        <v>44215</v>
      </c>
      <c r="N1998" s="12">
        <f t="shared" si="94"/>
        <v>1</v>
      </c>
      <c r="O1998" s="13">
        <f t="shared" si="95"/>
        <v>2021</v>
      </c>
      <c r="P1998" t="s">
        <v>13</v>
      </c>
      <c r="Q1998" t="s">
        <v>410</v>
      </c>
      <c r="R1998" t="s">
        <v>31</v>
      </c>
      <c r="S1998" t="str" cm="1">
        <f t="array" ref="S1998">_xlfn.IFS(R1998="COMPLETE", "COMPLETED", R1998="CANCELED", "CANCELED", TRUE, "PENDING")</f>
        <v>COMPLETED</v>
      </c>
      <c r="T1998" t="s">
        <v>16</v>
      </c>
      <c r="U1998">
        <f>VLOOKUP(A1998,ordered_items!$B:$E,4,0)</f>
        <v>39.75</v>
      </c>
    </row>
    <row r="1999" spans="1:21" x14ac:dyDescent="0.3">
      <c r="A1999">
        <v>76389</v>
      </c>
      <c r="B1999" t="s">
        <v>51</v>
      </c>
      <c r="C1999">
        <v>5</v>
      </c>
      <c r="D1999">
        <v>2</v>
      </c>
      <c r="E1999" t="str">
        <f t="shared" si="93"/>
        <v>DELAYED</v>
      </c>
      <c r="F1999">
        <f>VLOOKUP($A1999,ordered_items!$B$2:$E$4784,2,0)</f>
        <v>1362</v>
      </c>
      <c r="G1999">
        <f>VLOOKUP($A1999,ordered_items!$B$2:$E$4784,3,0)</f>
        <v>1</v>
      </c>
      <c r="H1999">
        <f>VLOOKUP($A1999,ordered_items!$B$2:$E$4784,4,0)</f>
        <v>39.75</v>
      </c>
      <c r="I1999" s="15">
        <f>VLOOKUP(F1999,product_info!$A$2:$D$73,4,0)</f>
        <v>9</v>
      </c>
      <c r="J1999" s="15" t="str">
        <f>VLOOKUP(I1999,department!$A$2:$B$13,2,0)</f>
        <v>Discs Shop</v>
      </c>
      <c r="K1999">
        <v>19942</v>
      </c>
      <c r="L1999" t="s">
        <v>409</v>
      </c>
      <c r="M1999" s="4">
        <v>44215</v>
      </c>
      <c r="N1999" s="12">
        <f t="shared" si="94"/>
        <v>1</v>
      </c>
      <c r="O1999" s="13">
        <f t="shared" si="95"/>
        <v>2021</v>
      </c>
      <c r="P1999" t="s">
        <v>13</v>
      </c>
      <c r="Q1999" t="s">
        <v>410</v>
      </c>
      <c r="R1999" t="s">
        <v>57</v>
      </c>
      <c r="S1999" t="str" cm="1">
        <f t="array" ref="S1999">_xlfn.IFS(R1999="COMPLETE", "COMPLETED", R1999="CANCELED", "CANCELED", TRUE, "PENDING")</f>
        <v>PENDING</v>
      </c>
      <c r="T1999" t="s">
        <v>90</v>
      </c>
      <c r="U1999">
        <f>VLOOKUP(A1999,ordered_items!$B:$E,4,0)</f>
        <v>39.75</v>
      </c>
    </row>
    <row r="2000" spans="1:21" x14ac:dyDescent="0.3">
      <c r="A2000">
        <v>76392</v>
      </c>
      <c r="B2000" t="s">
        <v>3</v>
      </c>
      <c r="C2000">
        <v>3</v>
      </c>
      <c r="D2000">
        <v>2</v>
      </c>
      <c r="E2000" t="str">
        <f t="shared" si="93"/>
        <v>DELAYED</v>
      </c>
      <c r="F2000">
        <f>VLOOKUP($A2000,ordered_items!$B$2:$E$4784,2,0)</f>
        <v>1362</v>
      </c>
      <c r="G2000">
        <f>VLOOKUP($A2000,ordered_items!$B$2:$E$4784,3,0)</f>
        <v>1</v>
      </c>
      <c r="H2000">
        <f>VLOOKUP($A2000,ordered_items!$B$2:$E$4784,4,0)</f>
        <v>39.75</v>
      </c>
      <c r="I2000" s="15">
        <f>VLOOKUP(F2000,product_info!$A$2:$D$73,4,0)</f>
        <v>9</v>
      </c>
      <c r="J2000" s="15" t="str">
        <f>VLOOKUP(I2000,department!$A$2:$B$13,2,0)</f>
        <v>Discs Shop</v>
      </c>
      <c r="K2000">
        <v>19945</v>
      </c>
      <c r="L2000" t="s">
        <v>439</v>
      </c>
      <c r="M2000" s="4">
        <v>44215</v>
      </c>
      <c r="N2000" s="12">
        <f t="shared" si="94"/>
        <v>1</v>
      </c>
      <c r="O2000" s="13">
        <f t="shared" si="95"/>
        <v>2021</v>
      </c>
      <c r="P2000" t="s">
        <v>13</v>
      </c>
      <c r="Q2000" t="s">
        <v>377</v>
      </c>
      <c r="R2000" t="s">
        <v>38</v>
      </c>
      <c r="S2000" t="str" cm="1">
        <f t="array" ref="S2000">_xlfn.IFS(R2000="COMPLETE", "COMPLETED", R2000="CANCELED", "CANCELED", TRUE, "PENDING")</f>
        <v>PENDING</v>
      </c>
      <c r="T2000" t="s">
        <v>90</v>
      </c>
      <c r="U2000">
        <f>VLOOKUP(A2000,ordered_items!$B:$E,4,0)</f>
        <v>39.75</v>
      </c>
    </row>
    <row r="2001" spans="1:21" x14ac:dyDescent="0.3">
      <c r="A2001">
        <v>76393</v>
      </c>
      <c r="B2001" t="s">
        <v>51</v>
      </c>
      <c r="C2001">
        <v>4</v>
      </c>
      <c r="D2001">
        <v>4</v>
      </c>
      <c r="E2001" t="str">
        <f t="shared" si="93"/>
        <v xml:space="preserve"> ONTIME</v>
      </c>
      <c r="F2001">
        <f>VLOOKUP($A2001,ordered_items!$B$2:$E$4784,2,0)</f>
        <v>1362</v>
      </c>
      <c r="G2001">
        <f>VLOOKUP($A2001,ordered_items!$B$2:$E$4784,3,0)</f>
        <v>1</v>
      </c>
      <c r="H2001">
        <f>VLOOKUP($A2001,ordered_items!$B$2:$E$4784,4,0)</f>
        <v>39.75</v>
      </c>
      <c r="I2001" s="15">
        <f>VLOOKUP(F2001,product_info!$A$2:$D$73,4,0)</f>
        <v>9</v>
      </c>
      <c r="J2001" s="15" t="str">
        <f>VLOOKUP(I2001,department!$A$2:$B$13,2,0)</f>
        <v>Discs Shop</v>
      </c>
      <c r="K2001">
        <v>19946</v>
      </c>
      <c r="L2001" t="s">
        <v>439</v>
      </c>
      <c r="M2001" s="4">
        <v>44215</v>
      </c>
      <c r="N2001" s="12">
        <f t="shared" si="94"/>
        <v>1</v>
      </c>
      <c r="O2001" s="13">
        <f t="shared" si="95"/>
        <v>2021</v>
      </c>
      <c r="P2001" t="s">
        <v>13</v>
      </c>
      <c r="Q2001" t="s">
        <v>377</v>
      </c>
      <c r="R2001" t="s">
        <v>57</v>
      </c>
      <c r="S2001" t="str" cm="1">
        <f t="array" ref="S2001">_xlfn.IFS(R2001="COMPLETE", "COMPLETED", R2001="CANCELED", "CANCELED", TRUE, "PENDING")</f>
        <v>PENDING</v>
      </c>
      <c r="T2001" t="s">
        <v>16</v>
      </c>
      <c r="U2001">
        <f>VLOOKUP(A2001,ordered_items!$B:$E,4,0)</f>
        <v>39.75</v>
      </c>
    </row>
    <row r="2002" spans="1:21" x14ac:dyDescent="0.3">
      <c r="A2002">
        <v>76396</v>
      </c>
      <c r="B2002" t="s">
        <v>3</v>
      </c>
      <c r="C2002">
        <v>2</v>
      </c>
      <c r="D2002">
        <v>2</v>
      </c>
      <c r="E2002" t="str">
        <f t="shared" si="93"/>
        <v xml:space="preserve"> ONTIME</v>
      </c>
      <c r="F2002">
        <f>VLOOKUP($A2002,ordered_items!$B$2:$E$4784,2,0)</f>
        <v>1362</v>
      </c>
      <c r="G2002">
        <f>VLOOKUP($A2002,ordered_items!$B$2:$E$4784,3,0)</f>
        <v>1</v>
      </c>
      <c r="H2002">
        <f>VLOOKUP($A2002,ordered_items!$B$2:$E$4784,4,0)</f>
        <v>39.75</v>
      </c>
      <c r="I2002" s="15">
        <f>VLOOKUP(F2002,product_info!$A$2:$D$73,4,0)</f>
        <v>9</v>
      </c>
      <c r="J2002" s="15" t="str">
        <f>VLOOKUP(I2002,department!$A$2:$B$13,2,0)</f>
        <v>Discs Shop</v>
      </c>
      <c r="K2002">
        <v>19949</v>
      </c>
      <c r="L2002" t="s">
        <v>202</v>
      </c>
      <c r="M2002" s="4">
        <v>44215</v>
      </c>
      <c r="N2002" s="12">
        <f t="shared" si="94"/>
        <v>1</v>
      </c>
      <c r="O2002" s="13">
        <f t="shared" si="95"/>
        <v>2021</v>
      </c>
      <c r="P2002" t="s">
        <v>13</v>
      </c>
      <c r="Q2002" t="s">
        <v>203</v>
      </c>
      <c r="R2002" t="s">
        <v>38</v>
      </c>
      <c r="S2002" t="str" cm="1">
        <f t="array" ref="S2002">_xlfn.IFS(R2002="COMPLETE", "COMPLETED", R2002="CANCELED", "CANCELED", TRUE, "PENDING")</f>
        <v>PENDING</v>
      </c>
      <c r="T2002" t="s">
        <v>90</v>
      </c>
      <c r="U2002">
        <f>VLOOKUP(A2002,ordered_items!$B:$E,4,0)</f>
        <v>39.75</v>
      </c>
    </row>
    <row r="2003" spans="1:21" x14ac:dyDescent="0.3">
      <c r="A2003">
        <v>76398</v>
      </c>
      <c r="B2003" t="s">
        <v>51</v>
      </c>
      <c r="C2003">
        <v>4</v>
      </c>
      <c r="D2003">
        <v>4</v>
      </c>
      <c r="E2003" t="str">
        <f t="shared" si="93"/>
        <v xml:space="preserve"> ONTIME</v>
      </c>
      <c r="F2003">
        <f>VLOOKUP($A2003,ordered_items!$B$2:$E$4784,2,0)</f>
        <v>1362</v>
      </c>
      <c r="G2003">
        <f>VLOOKUP($A2003,ordered_items!$B$2:$E$4784,3,0)</f>
        <v>1</v>
      </c>
      <c r="H2003">
        <f>VLOOKUP($A2003,ordered_items!$B$2:$E$4784,4,0)</f>
        <v>39.75</v>
      </c>
      <c r="I2003" s="15">
        <f>VLOOKUP(F2003,product_info!$A$2:$D$73,4,0)</f>
        <v>9</v>
      </c>
      <c r="J2003" s="15" t="str">
        <f>VLOOKUP(I2003,department!$A$2:$B$13,2,0)</f>
        <v>Discs Shop</v>
      </c>
      <c r="K2003">
        <v>19951</v>
      </c>
      <c r="L2003" t="s">
        <v>460</v>
      </c>
      <c r="M2003" s="4">
        <v>44215</v>
      </c>
      <c r="N2003" s="12">
        <f t="shared" si="94"/>
        <v>1</v>
      </c>
      <c r="O2003" s="13">
        <f t="shared" si="95"/>
        <v>2021</v>
      </c>
      <c r="P2003" t="s">
        <v>13</v>
      </c>
      <c r="Q2003" t="s">
        <v>431</v>
      </c>
      <c r="R2003" t="s">
        <v>1275</v>
      </c>
      <c r="S2003" t="str" cm="1">
        <f t="array" ref="S2003">_xlfn.IFS(R2003="COMPLETE", "COMPLETED", R2003="CANCELED", "CANCELED", TRUE, "PENDING")</f>
        <v>PENDING</v>
      </c>
      <c r="T2003" t="s">
        <v>16</v>
      </c>
      <c r="U2003">
        <f>VLOOKUP(A2003,ordered_items!$B:$E,4,0)</f>
        <v>39.75</v>
      </c>
    </row>
    <row r="2004" spans="1:21" x14ac:dyDescent="0.3">
      <c r="A2004">
        <v>76399</v>
      </c>
      <c r="B2004" t="s">
        <v>24</v>
      </c>
      <c r="C2004">
        <v>5</v>
      </c>
      <c r="D2004">
        <v>4</v>
      </c>
      <c r="E2004" t="str">
        <f t="shared" si="93"/>
        <v>DELAYED</v>
      </c>
      <c r="F2004">
        <f>VLOOKUP($A2004,ordered_items!$B$2:$E$4784,2,0)</f>
        <v>1362</v>
      </c>
      <c r="G2004">
        <f>VLOOKUP($A2004,ordered_items!$B$2:$E$4784,3,0)</f>
        <v>1</v>
      </c>
      <c r="H2004">
        <f>VLOOKUP($A2004,ordered_items!$B$2:$E$4784,4,0)</f>
        <v>39.75</v>
      </c>
      <c r="I2004" s="15">
        <f>VLOOKUP(F2004,product_info!$A$2:$D$73,4,0)</f>
        <v>9</v>
      </c>
      <c r="J2004" s="15" t="str">
        <f>VLOOKUP(I2004,department!$A$2:$B$13,2,0)</f>
        <v>Discs Shop</v>
      </c>
      <c r="K2004">
        <v>19952</v>
      </c>
      <c r="L2004" t="s">
        <v>460</v>
      </c>
      <c r="M2004" s="4">
        <v>44215</v>
      </c>
      <c r="N2004" s="12">
        <f t="shared" si="94"/>
        <v>1</v>
      </c>
      <c r="O2004" s="13">
        <f t="shared" si="95"/>
        <v>2021</v>
      </c>
      <c r="P2004" t="s">
        <v>13</v>
      </c>
      <c r="Q2004" t="s">
        <v>431</v>
      </c>
      <c r="R2004" t="s">
        <v>31</v>
      </c>
      <c r="S2004" t="str" cm="1">
        <f t="array" ref="S2004">_xlfn.IFS(R2004="COMPLETE", "COMPLETED", R2004="CANCELED", "CANCELED", TRUE, "PENDING")</f>
        <v>COMPLETED</v>
      </c>
      <c r="T2004" t="s">
        <v>16</v>
      </c>
      <c r="U2004">
        <f>VLOOKUP(A2004,ordered_items!$B:$E,4,0)</f>
        <v>39.75</v>
      </c>
    </row>
    <row r="2005" spans="1:21" x14ac:dyDescent="0.3">
      <c r="A2005">
        <v>76400</v>
      </c>
      <c r="B2005" t="s">
        <v>51</v>
      </c>
      <c r="C2005">
        <v>6</v>
      </c>
      <c r="D2005">
        <v>4</v>
      </c>
      <c r="E2005" t="str">
        <f t="shared" si="93"/>
        <v>DELAYED</v>
      </c>
      <c r="F2005">
        <f>VLOOKUP($A2005,ordered_items!$B$2:$E$4784,2,0)</f>
        <v>1362</v>
      </c>
      <c r="G2005">
        <f>VLOOKUP($A2005,ordered_items!$B$2:$E$4784,3,0)</f>
        <v>1</v>
      </c>
      <c r="H2005">
        <f>VLOOKUP($A2005,ordered_items!$B$2:$E$4784,4,0)</f>
        <v>39.75</v>
      </c>
      <c r="I2005" s="15">
        <f>VLOOKUP(F2005,product_info!$A$2:$D$73,4,0)</f>
        <v>9</v>
      </c>
      <c r="J2005" s="15" t="str">
        <f>VLOOKUP(I2005,department!$A$2:$B$13,2,0)</f>
        <v>Discs Shop</v>
      </c>
      <c r="K2005">
        <v>19953</v>
      </c>
      <c r="L2005" t="s">
        <v>460</v>
      </c>
      <c r="M2005" s="4">
        <v>44215</v>
      </c>
      <c r="N2005" s="12">
        <f t="shared" si="94"/>
        <v>1</v>
      </c>
      <c r="O2005" s="13">
        <f t="shared" si="95"/>
        <v>2021</v>
      </c>
      <c r="P2005" t="s">
        <v>13</v>
      </c>
      <c r="Q2005" t="s">
        <v>431</v>
      </c>
      <c r="R2005" t="s">
        <v>57</v>
      </c>
      <c r="S2005" t="str" cm="1">
        <f t="array" ref="S2005">_xlfn.IFS(R2005="COMPLETE", "COMPLETED", R2005="CANCELED", "CANCELED", TRUE, "PENDING")</f>
        <v>PENDING</v>
      </c>
      <c r="T2005" t="s">
        <v>16</v>
      </c>
      <c r="U2005">
        <f>VLOOKUP(A2005,ordered_items!$B:$E,4,0)</f>
        <v>39.75</v>
      </c>
    </row>
    <row r="2006" spans="1:21" x14ac:dyDescent="0.3">
      <c r="A2006">
        <v>76401</v>
      </c>
      <c r="B2006" t="s">
        <v>24</v>
      </c>
      <c r="C2006">
        <v>2</v>
      </c>
      <c r="D2006">
        <v>4</v>
      </c>
      <c r="E2006" t="str">
        <f t="shared" si="93"/>
        <v xml:space="preserve"> ONTIME</v>
      </c>
      <c r="F2006">
        <f>VLOOKUP($A2006,ordered_items!$B$2:$E$4784,2,0)</f>
        <v>1362</v>
      </c>
      <c r="G2006">
        <f>VLOOKUP($A2006,ordered_items!$B$2:$E$4784,3,0)</f>
        <v>1</v>
      </c>
      <c r="H2006">
        <f>VLOOKUP($A2006,ordered_items!$B$2:$E$4784,4,0)</f>
        <v>39.75</v>
      </c>
      <c r="I2006" s="15">
        <f>VLOOKUP(F2006,product_info!$A$2:$D$73,4,0)</f>
        <v>9</v>
      </c>
      <c r="J2006" s="15" t="str">
        <f>VLOOKUP(I2006,department!$A$2:$B$13,2,0)</f>
        <v>Discs Shop</v>
      </c>
      <c r="K2006">
        <v>19954</v>
      </c>
      <c r="L2006" t="s">
        <v>844</v>
      </c>
      <c r="M2006" s="4">
        <v>44215</v>
      </c>
      <c r="N2006" s="12">
        <f t="shared" si="94"/>
        <v>1</v>
      </c>
      <c r="O2006" s="13">
        <f t="shared" si="95"/>
        <v>2021</v>
      </c>
      <c r="P2006" t="s">
        <v>13</v>
      </c>
      <c r="Q2006" t="s">
        <v>377</v>
      </c>
      <c r="R2006" t="s">
        <v>378</v>
      </c>
      <c r="S2006" t="str" cm="1">
        <f t="array" ref="S2006">_xlfn.IFS(R2006="COMPLETE", "COMPLETED", R2006="CANCELED", "CANCELED", TRUE, "PENDING")</f>
        <v>PENDING</v>
      </c>
      <c r="T2006" t="s">
        <v>16</v>
      </c>
      <c r="U2006">
        <f>VLOOKUP(A2006,ordered_items!$B:$E,4,0)</f>
        <v>39.75</v>
      </c>
    </row>
    <row r="2007" spans="1:21" x14ac:dyDescent="0.3">
      <c r="A2007">
        <v>76402</v>
      </c>
      <c r="B2007" t="s">
        <v>17</v>
      </c>
      <c r="C2007">
        <v>2</v>
      </c>
      <c r="D2007">
        <v>1</v>
      </c>
      <c r="E2007" t="str">
        <f t="shared" si="93"/>
        <v>DELAYED</v>
      </c>
      <c r="F2007">
        <f>VLOOKUP($A2007,ordered_items!$B$2:$E$4784,2,0)</f>
        <v>1362</v>
      </c>
      <c r="G2007">
        <f>VLOOKUP($A2007,ordered_items!$B$2:$E$4784,3,0)</f>
        <v>1</v>
      </c>
      <c r="H2007">
        <f>VLOOKUP($A2007,ordered_items!$B$2:$E$4784,4,0)</f>
        <v>39.75</v>
      </c>
      <c r="I2007" s="15">
        <f>VLOOKUP(F2007,product_info!$A$2:$D$73,4,0)</f>
        <v>9</v>
      </c>
      <c r="J2007" s="15" t="str">
        <f>VLOOKUP(I2007,department!$A$2:$B$13,2,0)</f>
        <v>Discs Shop</v>
      </c>
      <c r="K2007">
        <v>19955</v>
      </c>
      <c r="L2007" t="s">
        <v>844</v>
      </c>
      <c r="M2007" s="4">
        <v>44215</v>
      </c>
      <c r="N2007" s="12">
        <f t="shared" si="94"/>
        <v>1</v>
      </c>
      <c r="O2007" s="13">
        <f t="shared" si="95"/>
        <v>2021</v>
      </c>
      <c r="P2007" t="s">
        <v>13</v>
      </c>
      <c r="Q2007" t="s">
        <v>377</v>
      </c>
      <c r="R2007" t="s">
        <v>23</v>
      </c>
      <c r="S2007" t="str" cm="1">
        <f t="array" ref="S2007">_xlfn.IFS(R2007="COMPLETE", "COMPLETED", R2007="CANCELED", "CANCELED", TRUE, "PENDING")</f>
        <v>PENDING</v>
      </c>
      <c r="T2007" t="s">
        <v>32</v>
      </c>
      <c r="U2007">
        <f>VLOOKUP(A2007,ordered_items!$B:$E,4,0)</f>
        <v>39.75</v>
      </c>
    </row>
    <row r="2008" spans="1:21" x14ac:dyDescent="0.3">
      <c r="A2008">
        <v>76403</v>
      </c>
      <c r="B2008" t="s">
        <v>3</v>
      </c>
      <c r="C2008">
        <v>2</v>
      </c>
      <c r="D2008">
        <v>1</v>
      </c>
      <c r="E2008" t="str">
        <f t="shared" si="93"/>
        <v>DELAYED</v>
      </c>
      <c r="F2008">
        <f>VLOOKUP($A2008,ordered_items!$B$2:$E$4784,2,0)</f>
        <v>1362</v>
      </c>
      <c r="G2008">
        <f>VLOOKUP($A2008,ordered_items!$B$2:$E$4784,3,0)</f>
        <v>1</v>
      </c>
      <c r="H2008">
        <f>VLOOKUP($A2008,ordered_items!$B$2:$E$4784,4,0)</f>
        <v>39.75</v>
      </c>
      <c r="I2008" s="15">
        <f>VLOOKUP(F2008,product_info!$A$2:$D$73,4,0)</f>
        <v>9</v>
      </c>
      <c r="J2008" s="15" t="str">
        <f>VLOOKUP(I2008,department!$A$2:$B$13,2,0)</f>
        <v>Discs Shop</v>
      </c>
      <c r="K2008">
        <v>19956</v>
      </c>
      <c r="L2008" t="s">
        <v>844</v>
      </c>
      <c r="M2008" s="4">
        <v>44215</v>
      </c>
      <c r="N2008" s="12">
        <f t="shared" si="94"/>
        <v>1</v>
      </c>
      <c r="O2008" s="13">
        <f t="shared" si="95"/>
        <v>2021</v>
      </c>
      <c r="P2008" t="s">
        <v>13</v>
      </c>
      <c r="Q2008" t="s">
        <v>377</v>
      </c>
      <c r="R2008" t="s">
        <v>38</v>
      </c>
      <c r="S2008" t="str" cm="1">
        <f t="array" ref="S2008">_xlfn.IFS(R2008="COMPLETE", "COMPLETED", R2008="CANCELED", "CANCELED", TRUE, "PENDING")</f>
        <v>PENDING</v>
      </c>
      <c r="T2008" t="s">
        <v>32</v>
      </c>
      <c r="U2008">
        <f>VLOOKUP(A2008,ordered_items!$B:$E,4,0)</f>
        <v>39.75</v>
      </c>
    </row>
    <row r="2009" spans="1:21" x14ac:dyDescent="0.3">
      <c r="A2009">
        <v>76404</v>
      </c>
      <c r="B2009" t="s">
        <v>24</v>
      </c>
      <c r="C2009">
        <v>2</v>
      </c>
      <c r="D2009">
        <v>1</v>
      </c>
      <c r="E2009" t="str">
        <f t="shared" si="93"/>
        <v>DELAYED</v>
      </c>
      <c r="F2009">
        <f>VLOOKUP($A2009,ordered_items!$B$2:$E$4784,2,0)</f>
        <v>1362</v>
      </c>
      <c r="G2009">
        <f>VLOOKUP($A2009,ordered_items!$B$2:$E$4784,3,0)</f>
        <v>1</v>
      </c>
      <c r="H2009">
        <f>VLOOKUP($A2009,ordered_items!$B$2:$E$4784,4,0)</f>
        <v>39.75</v>
      </c>
      <c r="I2009" s="15">
        <f>VLOOKUP(F2009,product_info!$A$2:$D$73,4,0)</f>
        <v>9</v>
      </c>
      <c r="J2009" s="15" t="str">
        <f>VLOOKUP(I2009,department!$A$2:$B$13,2,0)</f>
        <v>Discs Shop</v>
      </c>
      <c r="K2009">
        <v>19957</v>
      </c>
      <c r="L2009" t="s">
        <v>844</v>
      </c>
      <c r="M2009" s="4">
        <v>44215</v>
      </c>
      <c r="N2009" s="12">
        <f t="shared" si="94"/>
        <v>1</v>
      </c>
      <c r="O2009" s="13">
        <f t="shared" si="95"/>
        <v>2021</v>
      </c>
      <c r="P2009" t="s">
        <v>13</v>
      </c>
      <c r="Q2009" t="s">
        <v>377</v>
      </c>
      <c r="R2009" t="s">
        <v>378</v>
      </c>
      <c r="S2009" t="str" cm="1">
        <f t="array" ref="S2009">_xlfn.IFS(R2009="COMPLETE", "COMPLETED", R2009="CANCELED", "CANCELED", TRUE, "PENDING")</f>
        <v>PENDING</v>
      </c>
      <c r="T2009" t="s">
        <v>32</v>
      </c>
      <c r="U2009">
        <f>VLOOKUP(A2009,ordered_items!$B:$E,4,0)</f>
        <v>39.75</v>
      </c>
    </row>
    <row r="2010" spans="1:21" x14ac:dyDescent="0.3">
      <c r="A2010">
        <v>76405</v>
      </c>
      <c r="B2010" t="s">
        <v>51</v>
      </c>
      <c r="C2010">
        <v>6</v>
      </c>
      <c r="D2010">
        <v>2</v>
      </c>
      <c r="E2010" t="str">
        <f t="shared" si="93"/>
        <v>DELAYED</v>
      </c>
      <c r="F2010">
        <f>VLOOKUP($A2010,ordered_items!$B$2:$E$4784,2,0)</f>
        <v>1362</v>
      </c>
      <c r="G2010">
        <f>VLOOKUP($A2010,ordered_items!$B$2:$E$4784,3,0)</f>
        <v>1</v>
      </c>
      <c r="H2010">
        <f>VLOOKUP($A2010,ordered_items!$B$2:$E$4784,4,0)</f>
        <v>39.75</v>
      </c>
      <c r="I2010" s="15">
        <f>VLOOKUP(F2010,product_info!$A$2:$D$73,4,0)</f>
        <v>9</v>
      </c>
      <c r="J2010" s="15" t="str">
        <f>VLOOKUP(I2010,department!$A$2:$B$13,2,0)</f>
        <v>Discs Shop</v>
      </c>
      <c r="K2010">
        <v>19958</v>
      </c>
      <c r="L2010" t="s">
        <v>844</v>
      </c>
      <c r="M2010" s="4">
        <v>44215</v>
      </c>
      <c r="N2010" s="12">
        <f t="shared" si="94"/>
        <v>1</v>
      </c>
      <c r="O2010" s="13">
        <f t="shared" si="95"/>
        <v>2021</v>
      </c>
      <c r="P2010" t="s">
        <v>13</v>
      </c>
      <c r="Q2010" t="s">
        <v>377</v>
      </c>
      <c r="R2010" t="s">
        <v>57</v>
      </c>
      <c r="S2010" t="str" cm="1">
        <f t="array" ref="S2010">_xlfn.IFS(R2010="COMPLETE", "COMPLETED", R2010="CANCELED", "CANCELED", TRUE, "PENDING")</f>
        <v>PENDING</v>
      </c>
      <c r="T2010" t="s">
        <v>90</v>
      </c>
      <c r="U2010">
        <f>VLOOKUP(A2010,ordered_items!$B:$E,4,0)</f>
        <v>39.75</v>
      </c>
    </row>
    <row r="2011" spans="1:21" x14ac:dyDescent="0.3">
      <c r="A2011">
        <v>76406</v>
      </c>
      <c r="B2011" t="s">
        <v>24</v>
      </c>
      <c r="C2011">
        <v>2</v>
      </c>
      <c r="D2011">
        <v>4</v>
      </c>
      <c r="E2011" t="str">
        <f t="shared" si="93"/>
        <v xml:space="preserve"> ONTIME</v>
      </c>
      <c r="F2011">
        <f>VLOOKUP($A2011,ordered_items!$B$2:$E$4784,2,0)</f>
        <v>1362</v>
      </c>
      <c r="G2011">
        <f>VLOOKUP($A2011,ordered_items!$B$2:$E$4784,3,0)</f>
        <v>1</v>
      </c>
      <c r="H2011">
        <f>VLOOKUP($A2011,ordered_items!$B$2:$E$4784,4,0)</f>
        <v>39.75</v>
      </c>
      <c r="I2011" s="15">
        <f>VLOOKUP(F2011,product_info!$A$2:$D$73,4,0)</f>
        <v>9</v>
      </c>
      <c r="J2011" s="15" t="str">
        <f>VLOOKUP(I2011,department!$A$2:$B$13,2,0)</f>
        <v>Discs Shop</v>
      </c>
      <c r="K2011">
        <v>19959</v>
      </c>
      <c r="L2011" t="s">
        <v>844</v>
      </c>
      <c r="M2011" s="4">
        <v>44215</v>
      </c>
      <c r="N2011" s="12">
        <f t="shared" si="94"/>
        <v>1</v>
      </c>
      <c r="O2011" s="13">
        <f t="shared" si="95"/>
        <v>2021</v>
      </c>
      <c r="P2011" t="s">
        <v>13</v>
      </c>
      <c r="Q2011" t="s">
        <v>377</v>
      </c>
      <c r="R2011" t="s">
        <v>378</v>
      </c>
      <c r="S2011" t="str" cm="1">
        <f t="array" ref="S2011">_xlfn.IFS(R2011="COMPLETE", "COMPLETED", R2011="CANCELED", "CANCELED", TRUE, "PENDING")</f>
        <v>PENDING</v>
      </c>
      <c r="T2011" t="s">
        <v>16</v>
      </c>
      <c r="U2011">
        <f>VLOOKUP(A2011,ordered_items!$B:$E,4,0)</f>
        <v>39.75</v>
      </c>
    </row>
    <row r="2012" spans="1:21" x14ac:dyDescent="0.3">
      <c r="A2012">
        <v>76407</v>
      </c>
      <c r="B2012" t="s">
        <v>3</v>
      </c>
      <c r="C2012">
        <v>3</v>
      </c>
      <c r="D2012">
        <v>2</v>
      </c>
      <c r="E2012" t="str">
        <f t="shared" si="93"/>
        <v>DELAYED</v>
      </c>
      <c r="F2012">
        <f>VLOOKUP($A2012,ordered_items!$B$2:$E$4784,2,0)</f>
        <v>1362</v>
      </c>
      <c r="G2012">
        <f>VLOOKUP($A2012,ordered_items!$B$2:$E$4784,3,0)</f>
        <v>1</v>
      </c>
      <c r="H2012">
        <f>VLOOKUP($A2012,ordered_items!$B$2:$E$4784,4,0)</f>
        <v>39.75</v>
      </c>
      <c r="I2012" s="15">
        <f>VLOOKUP(F2012,product_info!$A$2:$D$73,4,0)</f>
        <v>9</v>
      </c>
      <c r="J2012" s="15" t="str">
        <f>VLOOKUP(I2012,department!$A$2:$B$13,2,0)</f>
        <v>Discs Shop</v>
      </c>
      <c r="K2012">
        <v>19960</v>
      </c>
      <c r="L2012" t="s">
        <v>844</v>
      </c>
      <c r="M2012" s="4">
        <v>44215</v>
      </c>
      <c r="N2012" s="12">
        <f t="shared" si="94"/>
        <v>1</v>
      </c>
      <c r="O2012" s="13">
        <f t="shared" si="95"/>
        <v>2021</v>
      </c>
      <c r="P2012" t="s">
        <v>13</v>
      </c>
      <c r="Q2012" t="s">
        <v>377</v>
      </c>
      <c r="R2012" t="s">
        <v>14</v>
      </c>
      <c r="S2012" t="str" cm="1">
        <f t="array" ref="S2012">_xlfn.IFS(R2012="COMPLETE", "COMPLETED", R2012="CANCELED", "CANCELED", TRUE, "PENDING")</f>
        <v>PENDING</v>
      </c>
      <c r="T2012" t="s">
        <v>90</v>
      </c>
      <c r="U2012">
        <f>VLOOKUP(A2012,ordered_items!$B:$E,4,0)</f>
        <v>39.75</v>
      </c>
    </row>
    <row r="2013" spans="1:21" x14ac:dyDescent="0.3">
      <c r="A2013">
        <v>76421</v>
      </c>
      <c r="B2013" t="s">
        <v>24</v>
      </c>
      <c r="C2013">
        <v>2</v>
      </c>
      <c r="D2013">
        <v>4</v>
      </c>
      <c r="E2013" t="str">
        <f t="shared" si="93"/>
        <v xml:space="preserve"> ONTIME</v>
      </c>
      <c r="F2013">
        <f>VLOOKUP($A2013,ordered_items!$B$2:$E$4784,2,0)</f>
        <v>1362</v>
      </c>
      <c r="G2013">
        <f>VLOOKUP($A2013,ordered_items!$B$2:$E$4784,3,0)</f>
        <v>1</v>
      </c>
      <c r="H2013">
        <f>VLOOKUP($A2013,ordered_items!$B$2:$E$4784,4,0)</f>
        <v>39.75</v>
      </c>
      <c r="I2013" s="15">
        <f>VLOOKUP(F2013,product_info!$A$2:$D$73,4,0)</f>
        <v>9</v>
      </c>
      <c r="J2013" s="15" t="str">
        <f>VLOOKUP(I2013,department!$A$2:$B$13,2,0)</f>
        <v>Discs Shop</v>
      </c>
      <c r="K2013">
        <v>19974</v>
      </c>
      <c r="L2013" t="s">
        <v>186</v>
      </c>
      <c r="M2013" s="4">
        <v>44215</v>
      </c>
      <c r="N2013" s="12">
        <f t="shared" si="94"/>
        <v>1</v>
      </c>
      <c r="O2013" s="13">
        <f t="shared" si="95"/>
        <v>2021</v>
      </c>
      <c r="P2013" t="s">
        <v>13</v>
      </c>
      <c r="Q2013" t="s">
        <v>5778</v>
      </c>
      <c r="R2013" t="s">
        <v>31</v>
      </c>
      <c r="S2013" t="str" cm="1">
        <f t="array" ref="S2013">_xlfn.IFS(R2013="COMPLETE", "COMPLETED", R2013="CANCELED", "CANCELED", TRUE, "PENDING")</f>
        <v>COMPLETED</v>
      </c>
      <c r="T2013" t="s">
        <v>16</v>
      </c>
      <c r="U2013">
        <f>VLOOKUP(A2013,ordered_items!$B:$E,4,0)</f>
        <v>39.75</v>
      </c>
    </row>
    <row r="2014" spans="1:21" x14ac:dyDescent="0.3">
      <c r="A2014">
        <v>76422</v>
      </c>
      <c r="B2014" t="s">
        <v>3</v>
      </c>
      <c r="C2014">
        <v>3</v>
      </c>
      <c r="D2014">
        <v>4</v>
      </c>
      <c r="E2014" t="str">
        <f t="shared" si="93"/>
        <v xml:space="preserve"> ONTIME</v>
      </c>
      <c r="F2014">
        <f>VLOOKUP($A2014,ordered_items!$B$2:$E$4784,2,0)</f>
        <v>1362</v>
      </c>
      <c r="G2014">
        <f>VLOOKUP($A2014,ordered_items!$B$2:$E$4784,3,0)</f>
        <v>1</v>
      </c>
      <c r="H2014">
        <f>VLOOKUP($A2014,ordered_items!$B$2:$E$4784,4,0)</f>
        <v>39.75</v>
      </c>
      <c r="I2014" s="15">
        <f>VLOOKUP(F2014,product_info!$A$2:$D$73,4,0)</f>
        <v>9</v>
      </c>
      <c r="J2014" s="15" t="str">
        <f>VLOOKUP(I2014,department!$A$2:$B$13,2,0)</f>
        <v>Discs Shop</v>
      </c>
      <c r="K2014">
        <v>19975</v>
      </c>
      <c r="L2014" t="s">
        <v>186</v>
      </c>
      <c r="M2014" s="4">
        <v>44215</v>
      </c>
      <c r="N2014" s="12">
        <f t="shared" si="94"/>
        <v>1</v>
      </c>
      <c r="O2014" s="13">
        <f t="shared" si="95"/>
        <v>2021</v>
      </c>
      <c r="P2014" t="s">
        <v>13</v>
      </c>
      <c r="Q2014" t="s">
        <v>5778</v>
      </c>
      <c r="R2014" t="s">
        <v>38</v>
      </c>
      <c r="S2014" t="str" cm="1">
        <f t="array" ref="S2014">_xlfn.IFS(R2014="COMPLETE", "COMPLETED", R2014="CANCELED", "CANCELED", TRUE, "PENDING")</f>
        <v>PENDING</v>
      </c>
      <c r="T2014" t="s">
        <v>16</v>
      </c>
      <c r="U2014">
        <f>VLOOKUP(A2014,ordered_items!$B:$E,4,0)</f>
        <v>39.75</v>
      </c>
    </row>
    <row r="2015" spans="1:21" x14ac:dyDescent="0.3">
      <c r="A2015">
        <v>76423</v>
      </c>
      <c r="B2015" t="s">
        <v>3</v>
      </c>
      <c r="C2015">
        <v>4</v>
      </c>
      <c r="D2015">
        <v>4</v>
      </c>
      <c r="E2015" t="str">
        <f t="shared" si="93"/>
        <v xml:space="preserve"> ONTIME</v>
      </c>
      <c r="F2015">
        <f>VLOOKUP($A2015,ordered_items!$B$2:$E$4784,2,0)</f>
        <v>1362</v>
      </c>
      <c r="G2015">
        <f>VLOOKUP($A2015,ordered_items!$B$2:$E$4784,3,0)</f>
        <v>1</v>
      </c>
      <c r="H2015">
        <f>VLOOKUP($A2015,ordered_items!$B$2:$E$4784,4,0)</f>
        <v>39.75</v>
      </c>
      <c r="I2015" s="15">
        <f>VLOOKUP(F2015,product_info!$A$2:$D$73,4,0)</f>
        <v>9</v>
      </c>
      <c r="J2015" s="15" t="str">
        <f>VLOOKUP(I2015,department!$A$2:$B$13,2,0)</f>
        <v>Discs Shop</v>
      </c>
      <c r="K2015">
        <v>19976</v>
      </c>
      <c r="L2015" t="s">
        <v>186</v>
      </c>
      <c r="M2015" s="4">
        <v>44215</v>
      </c>
      <c r="N2015" s="12">
        <f t="shared" si="94"/>
        <v>1</v>
      </c>
      <c r="O2015" s="13">
        <f t="shared" si="95"/>
        <v>2021</v>
      </c>
      <c r="P2015" t="s">
        <v>13</v>
      </c>
      <c r="Q2015" t="s">
        <v>5778</v>
      </c>
      <c r="R2015" t="s">
        <v>38</v>
      </c>
      <c r="S2015" t="str" cm="1">
        <f t="array" ref="S2015">_xlfn.IFS(R2015="COMPLETE", "COMPLETED", R2015="CANCELED", "CANCELED", TRUE, "PENDING")</f>
        <v>PENDING</v>
      </c>
      <c r="T2015" t="s">
        <v>16</v>
      </c>
      <c r="U2015">
        <f>VLOOKUP(A2015,ordered_items!$B:$E,4,0)</f>
        <v>39.75</v>
      </c>
    </row>
    <row r="2016" spans="1:21" x14ac:dyDescent="0.3">
      <c r="A2016">
        <v>76428</v>
      </c>
      <c r="B2016" t="s">
        <v>24</v>
      </c>
      <c r="C2016">
        <v>4</v>
      </c>
      <c r="D2016">
        <v>4</v>
      </c>
      <c r="E2016" t="str">
        <f t="shared" si="93"/>
        <v xml:space="preserve"> ONTIME</v>
      </c>
      <c r="F2016">
        <f>VLOOKUP($A2016,ordered_items!$B$2:$E$4784,2,0)</f>
        <v>1362</v>
      </c>
      <c r="G2016">
        <f>VLOOKUP($A2016,ordered_items!$B$2:$E$4784,3,0)</f>
        <v>1</v>
      </c>
      <c r="H2016">
        <f>VLOOKUP($A2016,ordered_items!$B$2:$E$4784,4,0)</f>
        <v>39.75</v>
      </c>
      <c r="I2016" s="15">
        <f>VLOOKUP(F2016,product_info!$A$2:$D$73,4,0)</f>
        <v>9</v>
      </c>
      <c r="J2016" s="15" t="str">
        <f>VLOOKUP(I2016,department!$A$2:$B$13,2,0)</f>
        <v>Discs Shop</v>
      </c>
      <c r="K2016">
        <v>19981</v>
      </c>
      <c r="L2016" t="s">
        <v>409</v>
      </c>
      <c r="M2016" s="4">
        <v>44215</v>
      </c>
      <c r="N2016" s="12">
        <f t="shared" si="94"/>
        <v>1</v>
      </c>
      <c r="O2016" s="13">
        <f t="shared" si="95"/>
        <v>2021</v>
      </c>
      <c r="P2016" t="s">
        <v>13</v>
      </c>
      <c r="Q2016" t="s">
        <v>410</v>
      </c>
      <c r="R2016" t="s">
        <v>31</v>
      </c>
      <c r="S2016" t="str" cm="1">
        <f t="array" ref="S2016">_xlfn.IFS(R2016="COMPLETE", "COMPLETED", R2016="CANCELED", "CANCELED", TRUE, "PENDING")</f>
        <v>COMPLETED</v>
      </c>
      <c r="T2016" t="s">
        <v>16</v>
      </c>
      <c r="U2016">
        <f>VLOOKUP(A2016,ordered_items!$B:$E,4,0)</f>
        <v>39.75</v>
      </c>
    </row>
    <row r="2017" spans="1:21" x14ac:dyDescent="0.3">
      <c r="A2017">
        <v>76430</v>
      </c>
      <c r="B2017" t="s">
        <v>24</v>
      </c>
      <c r="C2017">
        <v>6</v>
      </c>
      <c r="D2017">
        <v>4</v>
      </c>
      <c r="E2017" t="str">
        <f t="shared" si="93"/>
        <v>DELAYED</v>
      </c>
      <c r="F2017">
        <f>VLOOKUP($A2017,ordered_items!$B$2:$E$4784,2,0)</f>
        <v>1362</v>
      </c>
      <c r="G2017">
        <f>VLOOKUP($A2017,ordered_items!$B$2:$E$4784,3,0)</f>
        <v>1</v>
      </c>
      <c r="H2017">
        <f>VLOOKUP($A2017,ordered_items!$B$2:$E$4784,4,0)</f>
        <v>39.75</v>
      </c>
      <c r="I2017" s="15">
        <f>VLOOKUP(F2017,product_info!$A$2:$D$73,4,0)</f>
        <v>9</v>
      </c>
      <c r="J2017" s="15" t="str">
        <f>VLOOKUP(I2017,department!$A$2:$B$13,2,0)</f>
        <v>Discs Shop</v>
      </c>
      <c r="K2017">
        <v>19983</v>
      </c>
      <c r="L2017" t="s">
        <v>561</v>
      </c>
      <c r="M2017" s="4">
        <v>44215</v>
      </c>
      <c r="N2017" s="12">
        <f t="shared" si="94"/>
        <v>1</v>
      </c>
      <c r="O2017" s="13">
        <f t="shared" si="95"/>
        <v>2021</v>
      </c>
      <c r="P2017" t="s">
        <v>13</v>
      </c>
      <c r="Q2017" t="s">
        <v>420</v>
      </c>
      <c r="R2017" t="s">
        <v>31</v>
      </c>
      <c r="S2017" t="str" cm="1">
        <f t="array" ref="S2017">_xlfn.IFS(R2017="COMPLETE", "COMPLETED", R2017="CANCELED", "CANCELED", TRUE, "PENDING")</f>
        <v>COMPLETED</v>
      </c>
      <c r="T2017" t="s">
        <v>16</v>
      </c>
      <c r="U2017">
        <f>VLOOKUP(A2017,ordered_items!$B:$E,4,0)</f>
        <v>39.75</v>
      </c>
    </row>
    <row r="2018" spans="1:21" x14ac:dyDescent="0.3">
      <c r="A2018">
        <v>76431</v>
      </c>
      <c r="B2018" t="s">
        <v>24</v>
      </c>
      <c r="C2018">
        <v>2</v>
      </c>
      <c r="D2018">
        <v>4</v>
      </c>
      <c r="E2018" t="str">
        <f t="shared" si="93"/>
        <v xml:space="preserve"> ONTIME</v>
      </c>
      <c r="F2018">
        <f>VLOOKUP($A2018,ordered_items!$B$2:$E$4784,2,0)</f>
        <v>1362</v>
      </c>
      <c r="G2018">
        <f>VLOOKUP($A2018,ordered_items!$B$2:$E$4784,3,0)</f>
        <v>1</v>
      </c>
      <c r="H2018">
        <f>VLOOKUP($A2018,ordered_items!$B$2:$E$4784,4,0)</f>
        <v>39.75</v>
      </c>
      <c r="I2018" s="15">
        <f>VLOOKUP(F2018,product_info!$A$2:$D$73,4,0)</f>
        <v>9</v>
      </c>
      <c r="J2018" s="15" t="str">
        <f>VLOOKUP(I2018,department!$A$2:$B$13,2,0)</f>
        <v>Discs Shop</v>
      </c>
      <c r="K2018">
        <v>19984</v>
      </c>
      <c r="L2018" t="s">
        <v>561</v>
      </c>
      <c r="M2018" s="4">
        <v>44215</v>
      </c>
      <c r="N2018" s="12">
        <f t="shared" si="94"/>
        <v>1</v>
      </c>
      <c r="O2018" s="13">
        <f t="shared" si="95"/>
        <v>2021</v>
      </c>
      <c r="P2018" t="s">
        <v>13</v>
      </c>
      <c r="Q2018" t="s">
        <v>420</v>
      </c>
      <c r="R2018" t="s">
        <v>31</v>
      </c>
      <c r="S2018" t="str" cm="1">
        <f t="array" ref="S2018">_xlfn.IFS(R2018="COMPLETE", "COMPLETED", R2018="CANCELED", "CANCELED", TRUE, "PENDING")</f>
        <v>COMPLETED</v>
      </c>
      <c r="T2018" t="s">
        <v>16</v>
      </c>
      <c r="U2018">
        <f>VLOOKUP(A2018,ordered_items!$B:$E,4,0)</f>
        <v>39.75</v>
      </c>
    </row>
    <row r="2019" spans="1:21" x14ac:dyDescent="0.3">
      <c r="A2019">
        <v>76472</v>
      </c>
      <c r="B2019" t="s">
        <v>24</v>
      </c>
      <c r="C2019">
        <v>3</v>
      </c>
      <c r="D2019">
        <v>4</v>
      </c>
      <c r="E2019" t="str">
        <f t="shared" si="93"/>
        <v xml:space="preserve"> ONTIME</v>
      </c>
      <c r="F2019">
        <f>VLOOKUP($A2019,ordered_items!$B$2:$E$4784,2,0)</f>
        <v>1362</v>
      </c>
      <c r="G2019">
        <f>VLOOKUP($A2019,ordered_items!$B$2:$E$4784,3,0)</f>
        <v>1</v>
      </c>
      <c r="H2019">
        <f>VLOOKUP($A2019,ordered_items!$B$2:$E$4784,4,0)</f>
        <v>39.75</v>
      </c>
      <c r="I2019" s="15">
        <f>VLOOKUP(F2019,product_info!$A$2:$D$73,4,0)</f>
        <v>9</v>
      </c>
      <c r="J2019" s="15" t="str">
        <f>VLOOKUP(I2019,department!$A$2:$B$13,2,0)</f>
        <v>Discs Shop</v>
      </c>
      <c r="K2019">
        <v>20025</v>
      </c>
      <c r="L2019" t="s">
        <v>660</v>
      </c>
      <c r="M2019" s="4">
        <v>44216</v>
      </c>
      <c r="N2019" s="12">
        <f t="shared" si="94"/>
        <v>1</v>
      </c>
      <c r="O2019" s="13">
        <f t="shared" si="95"/>
        <v>2021</v>
      </c>
      <c r="P2019" t="s">
        <v>13</v>
      </c>
      <c r="Q2019" t="s">
        <v>99</v>
      </c>
      <c r="R2019" t="s">
        <v>31</v>
      </c>
      <c r="S2019" t="str" cm="1">
        <f t="array" ref="S2019">_xlfn.IFS(R2019="COMPLETE", "COMPLETED", R2019="CANCELED", "CANCELED", TRUE, "PENDING")</f>
        <v>COMPLETED</v>
      </c>
      <c r="T2019" t="s">
        <v>16</v>
      </c>
      <c r="U2019">
        <f>VLOOKUP(A2019,ordered_items!$B:$E,4,0)</f>
        <v>39.75</v>
      </c>
    </row>
    <row r="2020" spans="1:21" x14ac:dyDescent="0.3">
      <c r="A2020">
        <v>76473</v>
      </c>
      <c r="B2020" t="s">
        <v>24</v>
      </c>
      <c r="C2020">
        <v>4</v>
      </c>
      <c r="D2020">
        <v>4</v>
      </c>
      <c r="E2020" t="str">
        <f t="shared" si="93"/>
        <v xml:space="preserve"> ONTIME</v>
      </c>
      <c r="F2020">
        <f>VLOOKUP($A2020,ordered_items!$B$2:$E$4784,2,0)</f>
        <v>1362</v>
      </c>
      <c r="G2020">
        <f>VLOOKUP($A2020,ordered_items!$B$2:$E$4784,3,0)</f>
        <v>1</v>
      </c>
      <c r="H2020">
        <f>VLOOKUP($A2020,ordered_items!$B$2:$E$4784,4,0)</f>
        <v>39.75</v>
      </c>
      <c r="I2020" s="15">
        <f>VLOOKUP(F2020,product_info!$A$2:$D$73,4,0)</f>
        <v>9</v>
      </c>
      <c r="J2020" s="15" t="str">
        <f>VLOOKUP(I2020,department!$A$2:$B$13,2,0)</f>
        <v>Discs Shop</v>
      </c>
      <c r="K2020">
        <v>20026</v>
      </c>
      <c r="L2020" t="s">
        <v>660</v>
      </c>
      <c r="M2020" s="4">
        <v>44216</v>
      </c>
      <c r="N2020" s="12">
        <f t="shared" si="94"/>
        <v>1</v>
      </c>
      <c r="O2020" s="13">
        <f t="shared" si="95"/>
        <v>2021</v>
      </c>
      <c r="P2020" t="s">
        <v>13</v>
      </c>
      <c r="Q2020" t="s">
        <v>99</v>
      </c>
      <c r="R2020" t="s">
        <v>31</v>
      </c>
      <c r="S2020" t="str" cm="1">
        <f t="array" ref="S2020">_xlfn.IFS(R2020="COMPLETE", "COMPLETED", R2020="CANCELED", "CANCELED", TRUE, "PENDING")</f>
        <v>COMPLETED</v>
      </c>
      <c r="T2020" t="s">
        <v>16</v>
      </c>
      <c r="U2020">
        <f>VLOOKUP(A2020,ordered_items!$B:$E,4,0)</f>
        <v>39.75</v>
      </c>
    </row>
    <row r="2021" spans="1:21" x14ac:dyDescent="0.3">
      <c r="A2021">
        <v>76474</v>
      </c>
      <c r="B2021" t="s">
        <v>51</v>
      </c>
      <c r="C2021">
        <v>0</v>
      </c>
      <c r="D2021">
        <v>0</v>
      </c>
      <c r="E2021" t="str">
        <f t="shared" si="93"/>
        <v xml:space="preserve"> ONTIME</v>
      </c>
      <c r="F2021">
        <f>VLOOKUP($A2021,ordered_items!$B$2:$E$4784,2,0)</f>
        <v>1362</v>
      </c>
      <c r="G2021">
        <f>VLOOKUP($A2021,ordered_items!$B$2:$E$4784,3,0)</f>
        <v>1</v>
      </c>
      <c r="H2021">
        <f>VLOOKUP($A2021,ordered_items!$B$2:$E$4784,4,0)</f>
        <v>39.75</v>
      </c>
      <c r="I2021" s="15">
        <f>VLOOKUP(F2021,product_info!$A$2:$D$73,4,0)</f>
        <v>9</v>
      </c>
      <c r="J2021" s="15" t="str">
        <f>VLOOKUP(I2021,department!$A$2:$B$13,2,0)</f>
        <v>Discs Shop</v>
      </c>
      <c r="K2021">
        <v>20027</v>
      </c>
      <c r="L2021" t="s">
        <v>660</v>
      </c>
      <c r="M2021" s="4">
        <v>44216</v>
      </c>
      <c r="N2021" s="12">
        <f t="shared" si="94"/>
        <v>1</v>
      </c>
      <c r="O2021" s="13">
        <f t="shared" si="95"/>
        <v>2021</v>
      </c>
      <c r="P2021" t="s">
        <v>13</v>
      </c>
      <c r="Q2021" t="s">
        <v>99</v>
      </c>
      <c r="R2021" t="s">
        <v>57</v>
      </c>
      <c r="S2021" t="str" cm="1">
        <f t="array" ref="S2021">_xlfn.IFS(R2021="COMPLETE", "COMPLETED", R2021="CANCELED", "CANCELED", TRUE, "PENDING")</f>
        <v>PENDING</v>
      </c>
      <c r="T2021" t="s">
        <v>58</v>
      </c>
      <c r="U2021">
        <f>VLOOKUP(A2021,ordered_items!$B:$E,4,0)</f>
        <v>39.75</v>
      </c>
    </row>
    <row r="2022" spans="1:21" x14ac:dyDescent="0.3">
      <c r="A2022">
        <v>76492</v>
      </c>
      <c r="B2022" t="s">
        <v>3</v>
      </c>
      <c r="C2022">
        <v>2</v>
      </c>
      <c r="D2022">
        <v>1</v>
      </c>
      <c r="E2022" t="str">
        <f t="shared" si="93"/>
        <v>DELAYED</v>
      </c>
      <c r="F2022">
        <f>VLOOKUP($A2022,ordered_items!$B$2:$E$4784,2,0)</f>
        <v>1362</v>
      </c>
      <c r="G2022">
        <f>VLOOKUP($A2022,ordered_items!$B$2:$E$4784,3,0)</f>
        <v>1</v>
      </c>
      <c r="H2022">
        <f>VLOOKUP($A2022,ordered_items!$B$2:$E$4784,4,0)</f>
        <v>39.75</v>
      </c>
      <c r="I2022" s="15">
        <f>VLOOKUP(F2022,product_info!$A$2:$D$73,4,0)</f>
        <v>9</v>
      </c>
      <c r="J2022" s="15" t="str">
        <f>VLOOKUP(I2022,department!$A$2:$B$13,2,0)</f>
        <v>Discs Shop</v>
      </c>
      <c r="K2022">
        <v>20045</v>
      </c>
      <c r="L2022" t="s">
        <v>214</v>
      </c>
      <c r="M2022" s="4">
        <v>44216</v>
      </c>
      <c r="N2022" s="12">
        <f t="shared" si="94"/>
        <v>1</v>
      </c>
      <c r="O2022" s="13">
        <f t="shared" si="95"/>
        <v>2021</v>
      </c>
      <c r="P2022" t="s">
        <v>13</v>
      </c>
      <c r="Q2022" t="s">
        <v>5781</v>
      </c>
      <c r="R2022" t="s">
        <v>14</v>
      </c>
      <c r="S2022" t="str" cm="1">
        <f t="array" ref="S2022">_xlfn.IFS(R2022="COMPLETE", "COMPLETED", R2022="CANCELED", "CANCELED", TRUE, "PENDING")</f>
        <v>PENDING</v>
      </c>
      <c r="T2022" t="s">
        <v>32</v>
      </c>
      <c r="U2022">
        <f>VLOOKUP(A2022,ordered_items!$B:$E,4,0)</f>
        <v>39.75</v>
      </c>
    </row>
    <row r="2023" spans="1:21" x14ac:dyDescent="0.3">
      <c r="A2023">
        <v>76493</v>
      </c>
      <c r="B2023" t="s">
        <v>24</v>
      </c>
      <c r="C2023">
        <v>2</v>
      </c>
      <c r="D2023">
        <v>1</v>
      </c>
      <c r="E2023" t="str">
        <f t="shared" si="93"/>
        <v>DELAYED</v>
      </c>
      <c r="F2023">
        <f>VLOOKUP($A2023,ordered_items!$B$2:$E$4784,2,0)</f>
        <v>1362</v>
      </c>
      <c r="G2023">
        <f>VLOOKUP($A2023,ordered_items!$B$2:$E$4784,3,0)</f>
        <v>1</v>
      </c>
      <c r="H2023">
        <f>VLOOKUP($A2023,ordered_items!$B$2:$E$4784,4,0)</f>
        <v>39.75</v>
      </c>
      <c r="I2023" s="15">
        <f>VLOOKUP(F2023,product_info!$A$2:$D$73,4,0)</f>
        <v>9</v>
      </c>
      <c r="J2023" s="15" t="str">
        <f>VLOOKUP(I2023,department!$A$2:$B$13,2,0)</f>
        <v>Discs Shop</v>
      </c>
      <c r="K2023">
        <v>20046</v>
      </c>
      <c r="L2023" t="s">
        <v>214</v>
      </c>
      <c r="M2023" s="4">
        <v>44216</v>
      </c>
      <c r="N2023" s="12">
        <f t="shared" si="94"/>
        <v>1</v>
      </c>
      <c r="O2023" s="13">
        <f t="shared" si="95"/>
        <v>2021</v>
      </c>
      <c r="P2023" t="s">
        <v>13</v>
      </c>
      <c r="Q2023" t="s">
        <v>5781</v>
      </c>
      <c r="R2023" t="s">
        <v>31</v>
      </c>
      <c r="S2023" t="str" cm="1">
        <f t="array" ref="S2023">_xlfn.IFS(R2023="COMPLETE", "COMPLETED", R2023="CANCELED", "CANCELED", TRUE, "PENDING")</f>
        <v>COMPLETED</v>
      </c>
      <c r="T2023" t="s">
        <v>32</v>
      </c>
      <c r="U2023">
        <f>VLOOKUP(A2023,ordered_items!$B:$E,4,0)</f>
        <v>39.75</v>
      </c>
    </row>
    <row r="2024" spans="1:21" x14ac:dyDescent="0.3">
      <c r="A2024">
        <v>76494</v>
      </c>
      <c r="B2024" t="s">
        <v>3</v>
      </c>
      <c r="C2024">
        <v>2</v>
      </c>
      <c r="D2024">
        <v>1</v>
      </c>
      <c r="E2024" t="str">
        <f t="shared" si="93"/>
        <v>DELAYED</v>
      </c>
      <c r="F2024">
        <f>VLOOKUP($A2024,ordered_items!$B$2:$E$4784,2,0)</f>
        <v>1362</v>
      </c>
      <c r="G2024">
        <f>VLOOKUP($A2024,ordered_items!$B$2:$E$4784,3,0)</f>
        <v>1</v>
      </c>
      <c r="H2024">
        <f>VLOOKUP($A2024,ordered_items!$B$2:$E$4784,4,0)</f>
        <v>39.75</v>
      </c>
      <c r="I2024" s="15">
        <f>VLOOKUP(F2024,product_info!$A$2:$D$73,4,0)</f>
        <v>9</v>
      </c>
      <c r="J2024" s="15" t="str">
        <f>VLOOKUP(I2024,department!$A$2:$B$13,2,0)</f>
        <v>Discs Shop</v>
      </c>
      <c r="K2024">
        <v>20047</v>
      </c>
      <c r="L2024" t="s">
        <v>214</v>
      </c>
      <c r="M2024" s="4">
        <v>44216</v>
      </c>
      <c r="N2024" s="12">
        <f t="shared" si="94"/>
        <v>1</v>
      </c>
      <c r="O2024" s="13">
        <f t="shared" si="95"/>
        <v>2021</v>
      </c>
      <c r="P2024" t="s">
        <v>13</v>
      </c>
      <c r="Q2024" t="s">
        <v>5781</v>
      </c>
      <c r="R2024" t="s">
        <v>14</v>
      </c>
      <c r="S2024" t="str" cm="1">
        <f t="array" ref="S2024">_xlfn.IFS(R2024="COMPLETE", "COMPLETED", R2024="CANCELED", "CANCELED", TRUE, "PENDING")</f>
        <v>PENDING</v>
      </c>
      <c r="T2024" t="s">
        <v>32</v>
      </c>
      <c r="U2024">
        <f>VLOOKUP(A2024,ordered_items!$B:$E,4,0)</f>
        <v>39.75</v>
      </c>
    </row>
    <row r="2025" spans="1:21" x14ac:dyDescent="0.3">
      <c r="A2025">
        <v>76495</v>
      </c>
      <c r="B2025" t="s">
        <v>3</v>
      </c>
      <c r="C2025">
        <v>6</v>
      </c>
      <c r="D2025">
        <v>2</v>
      </c>
      <c r="E2025" t="str">
        <f t="shared" si="93"/>
        <v>DELAYED</v>
      </c>
      <c r="F2025">
        <f>VLOOKUP($A2025,ordered_items!$B$2:$E$4784,2,0)</f>
        <v>1362</v>
      </c>
      <c r="G2025">
        <f>VLOOKUP($A2025,ordered_items!$B$2:$E$4784,3,0)</f>
        <v>1</v>
      </c>
      <c r="H2025">
        <f>VLOOKUP($A2025,ordered_items!$B$2:$E$4784,4,0)</f>
        <v>39.75</v>
      </c>
      <c r="I2025" s="15">
        <f>VLOOKUP(F2025,product_info!$A$2:$D$73,4,0)</f>
        <v>9</v>
      </c>
      <c r="J2025" s="15" t="str">
        <f>VLOOKUP(I2025,department!$A$2:$B$13,2,0)</f>
        <v>Discs Shop</v>
      </c>
      <c r="K2025">
        <v>20048</v>
      </c>
      <c r="L2025" t="s">
        <v>214</v>
      </c>
      <c r="M2025" s="4">
        <v>44216</v>
      </c>
      <c r="N2025" s="12">
        <f t="shared" si="94"/>
        <v>1</v>
      </c>
      <c r="O2025" s="13">
        <f t="shared" si="95"/>
        <v>2021</v>
      </c>
      <c r="P2025" t="s">
        <v>13</v>
      </c>
      <c r="Q2025" t="s">
        <v>5781</v>
      </c>
      <c r="R2025" t="s">
        <v>38</v>
      </c>
      <c r="S2025" t="str" cm="1">
        <f t="array" ref="S2025">_xlfn.IFS(R2025="COMPLETE", "COMPLETED", R2025="CANCELED", "CANCELED", TRUE, "PENDING")</f>
        <v>PENDING</v>
      </c>
      <c r="T2025" t="s">
        <v>90</v>
      </c>
      <c r="U2025">
        <f>VLOOKUP(A2025,ordered_items!$B:$E,4,0)</f>
        <v>39.75</v>
      </c>
    </row>
    <row r="2026" spans="1:21" x14ac:dyDescent="0.3">
      <c r="A2026">
        <v>76496</v>
      </c>
      <c r="B2026" t="s">
        <v>51</v>
      </c>
      <c r="C2026">
        <v>2</v>
      </c>
      <c r="D2026">
        <v>2</v>
      </c>
      <c r="E2026" t="str">
        <f t="shared" si="93"/>
        <v xml:space="preserve"> ONTIME</v>
      </c>
      <c r="F2026">
        <f>VLOOKUP($A2026,ordered_items!$B$2:$E$4784,2,0)</f>
        <v>1362</v>
      </c>
      <c r="G2026">
        <f>VLOOKUP($A2026,ordered_items!$B$2:$E$4784,3,0)</f>
        <v>1</v>
      </c>
      <c r="H2026">
        <f>VLOOKUP($A2026,ordered_items!$B$2:$E$4784,4,0)</f>
        <v>39.75</v>
      </c>
      <c r="I2026" s="15">
        <f>VLOOKUP(F2026,product_info!$A$2:$D$73,4,0)</f>
        <v>9</v>
      </c>
      <c r="J2026" s="15" t="str">
        <f>VLOOKUP(I2026,department!$A$2:$B$13,2,0)</f>
        <v>Discs Shop</v>
      </c>
      <c r="K2026">
        <v>20049</v>
      </c>
      <c r="L2026" t="s">
        <v>214</v>
      </c>
      <c r="M2026" s="4">
        <v>44216</v>
      </c>
      <c r="N2026" s="12">
        <f t="shared" si="94"/>
        <v>1</v>
      </c>
      <c r="O2026" s="13">
        <f t="shared" si="95"/>
        <v>2021</v>
      </c>
      <c r="P2026" t="s">
        <v>13</v>
      </c>
      <c r="Q2026" t="s">
        <v>5781</v>
      </c>
      <c r="R2026" t="s">
        <v>57</v>
      </c>
      <c r="S2026" t="str" cm="1">
        <f t="array" ref="S2026">_xlfn.IFS(R2026="COMPLETE", "COMPLETED", R2026="CANCELED", "CANCELED", TRUE, "PENDING")</f>
        <v>PENDING</v>
      </c>
      <c r="T2026" t="s">
        <v>90</v>
      </c>
      <c r="U2026">
        <f>VLOOKUP(A2026,ordered_items!$B:$E,4,0)</f>
        <v>39.75</v>
      </c>
    </row>
    <row r="2027" spans="1:21" x14ac:dyDescent="0.3">
      <c r="A2027">
        <v>76497</v>
      </c>
      <c r="B2027" t="s">
        <v>24</v>
      </c>
      <c r="C2027">
        <v>2</v>
      </c>
      <c r="D2027">
        <v>1</v>
      </c>
      <c r="E2027" t="str">
        <f t="shared" si="93"/>
        <v>DELAYED</v>
      </c>
      <c r="F2027">
        <f>VLOOKUP($A2027,ordered_items!$B$2:$E$4784,2,0)</f>
        <v>1362</v>
      </c>
      <c r="G2027">
        <f>VLOOKUP($A2027,ordered_items!$B$2:$E$4784,3,0)</f>
        <v>1</v>
      </c>
      <c r="H2027">
        <f>VLOOKUP($A2027,ordered_items!$B$2:$E$4784,4,0)</f>
        <v>39.75</v>
      </c>
      <c r="I2027" s="15">
        <f>VLOOKUP(F2027,product_info!$A$2:$D$73,4,0)</f>
        <v>9</v>
      </c>
      <c r="J2027" s="15" t="str">
        <f>VLOOKUP(I2027,department!$A$2:$B$13,2,0)</f>
        <v>Discs Shop</v>
      </c>
      <c r="K2027">
        <v>20050</v>
      </c>
      <c r="L2027" t="s">
        <v>214</v>
      </c>
      <c r="M2027" s="4">
        <v>44216</v>
      </c>
      <c r="N2027" s="12">
        <f t="shared" si="94"/>
        <v>1</v>
      </c>
      <c r="O2027" s="13">
        <f t="shared" si="95"/>
        <v>2021</v>
      </c>
      <c r="P2027" t="s">
        <v>13</v>
      </c>
      <c r="Q2027" t="s">
        <v>5781</v>
      </c>
      <c r="R2027" t="s">
        <v>31</v>
      </c>
      <c r="S2027" t="str" cm="1">
        <f t="array" ref="S2027">_xlfn.IFS(R2027="COMPLETE", "COMPLETED", R2027="CANCELED", "CANCELED", TRUE, "PENDING")</f>
        <v>COMPLETED</v>
      </c>
      <c r="T2027" t="s">
        <v>32</v>
      </c>
      <c r="U2027">
        <f>VLOOKUP(A2027,ordered_items!$B:$E,4,0)</f>
        <v>39.75</v>
      </c>
    </row>
    <row r="2028" spans="1:21" x14ac:dyDescent="0.3">
      <c r="A2028">
        <v>76500</v>
      </c>
      <c r="B2028" t="s">
        <v>51</v>
      </c>
      <c r="C2028">
        <v>6</v>
      </c>
      <c r="D2028">
        <v>2</v>
      </c>
      <c r="E2028" t="str">
        <f t="shared" si="93"/>
        <v>DELAYED</v>
      </c>
      <c r="F2028">
        <f>VLOOKUP($A2028,ordered_items!$B$2:$E$4784,2,0)</f>
        <v>1362</v>
      </c>
      <c r="G2028">
        <f>VLOOKUP($A2028,ordered_items!$B$2:$E$4784,3,0)</f>
        <v>1</v>
      </c>
      <c r="H2028">
        <f>VLOOKUP($A2028,ordered_items!$B$2:$E$4784,4,0)</f>
        <v>39.75</v>
      </c>
      <c r="I2028" s="15">
        <f>VLOOKUP(F2028,product_info!$A$2:$D$73,4,0)</f>
        <v>9</v>
      </c>
      <c r="J2028" s="15" t="str">
        <f>VLOOKUP(I2028,department!$A$2:$B$13,2,0)</f>
        <v>Discs Shop</v>
      </c>
      <c r="K2028">
        <v>20053</v>
      </c>
      <c r="L2028" t="s">
        <v>226</v>
      </c>
      <c r="M2028" s="4">
        <v>44216</v>
      </c>
      <c r="N2028" s="12">
        <f t="shared" si="94"/>
        <v>1</v>
      </c>
      <c r="O2028" s="13">
        <f t="shared" si="95"/>
        <v>2021</v>
      </c>
      <c r="P2028" t="s">
        <v>13</v>
      </c>
      <c r="Q2028" t="s">
        <v>30</v>
      </c>
      <c r="R2028" t="s">
        <v>57</v>
      </c>
      <c r="S2028" t="str" cm="1">
        <f t="array" ref="S2028">_xlfn.IFS(R2028="COMPLETE", "COMPLETED", R2028="CANCELED", "CANCELED", TRUE, "PENDING")</f>
        <v>PENDING</v>
      </c>
      <c r="T2028" t="s">
        <v>90</v>
      </c>
      <c r="U2028">
        <f>VLOOKUP(A2028,ordered_items!$B:$E,4,0)</f>
        <v>39.75</v>
      </c>
    </row>
    <row r="2029" spans="1:21" x14ac:dyDescent="0.3">
      <c r="A2029">
        <v>76518</v>
      </c>
      <c r="B2029" t="s">
        <v>24</v>
      </c>
      <c r="C2029">
        <v>4</v>
      </c>
      <c r="D2029">
        <v>2</v>
      </c>
      <c r="E2029" t="str">
        <f t="shared" si="93"/>
        <v>DELAYED</v>
      </c>
      <c r="F2029">
        <f>VLOOKUP($A2029,ordered_items!$B$2:$E$4784,2,0)</f>
        <v>1362</v>
      </c>
      <c r="G2029">
        <f>VLOOKUP($A2029,ordered_items!$B$2:$E$4784,3,0)</f>
        <v>1</v>
      </c>
      <c r="H2029">
        <f>VLOOKUP($A2029,ordered_items!$B$2:$E$4784,4,0)</f>
        <v>39.75</v>
      </c>
      <c r="I2029" s="15">
        <f>VLOOKUP(F2029,product_info!$A$2:$D$73,4,0)</f>
        <v>9</v>
      </c>
      <c r="J2029" s="15" t="str">
        <f>VLOOKUP(I2029,department!$A$2:$B$13,2,0)</f>
        <v>Discs Shop</v>
      </c>
      <c r="K2029">
        <v>20071</v>
      </c>
      <c r="L2029" t="s">
        <v>136</v>
      </c>
      <c r="M2029" s="4">
        <v>44216</v>
      </c>
      <c r="N2029" s="12">
        <f t="shared" si="94"/>
        <v>1</v>
      </c>
      <c r="O2029" s="13">
        <f t="shared" si="95"/>
        <v>2021</v>
      </c>
      <c r="P2029" t="s">
        <v>13</v>
      </c>
      <c r="Q2029" t="s">
        <v>47</v>
      </c>
      <c r="R2029" t="s">
        <v>31</v>
      </c>
      <c r="S2029" t="str" cm="1">
        <f t="array" ref="S2029">_xlfn.IFS(R2029="COMPLETE", "COMPLETED", R2029="CANCELED", "CANCELED", TRUE, "PENDING")</f>
        <v>COMPLETED</v>
      </c>
      <c r="T2029" t="s">
        <v>90</v>
      </c>
      <c r="U2029">
        <f>VLOOKUP(A2029,ordered_items!$B:$E,4,0)</f>
        <v>39.75</v>
      </c>
    </row>
    <row r="2030" spans="1:21" x14ac:dyDescent="0.3">
      <c r="A2030">
        <v>76533</v>
      </c>
      <c r="B2030" t="s">
        <v>17</v>
      </c>
      <c r="C2030">
        <v>4</v>
      </c>
      <c r="D2030">
        <v>4</v>
      </c>
      <c r="E2030" t="str">
        <f t="shared" si="93"/>
        <v xml:space="preserve"> ONTIME</v>
      </c>
      <c r="F2030">
        <f>VLOOKUP($A2030,ordered_items!$B$2:$E$4784,2,0)</f>
        <v>1362</v>
      </c>
      <c r="G2030">
        <f>VLOOKUP($A2030,ordered_items!$B$2:$E$4784,3,0)</f>
        <v>1</v>
      </c>
      <c r="H2030">
        <f>VLOOKUP($A2030,ordered_items!$B$2:$E$4784,4,0)</f>
        <v>39.75</v>
      </c>
      <c r="I2030" s="15">
        <f>VLOOKUP(F2030,product_info!$A$2:$D$73,4,0)</f>
        <v>9</v>
      </c>
      <c r="J2030" s="15" t="str">
        <f>VLOOKUP(I2030,department!$A$2:$B$13,2,0)</f>
        <v>Discs Shop</v>
      </c>
      <c r="K2030">
        <v>20086</v>
      </c>
      <c r="L2030" t="s">
        <v>885</v>
      </c>
      <c r="M2030" s="4">
        <v>44217</v>
      </c>
      <c r="N2030" s="12">
        <f t="shared" si="94"/>
        <v>1</v>
      </c>
      <c r="O2030" s="13">
        <f t="shared" si="95"/>
        <v>2021</v>
      </c>
      <c r="P2030" t="s">
        <v>13</v>
      </c>
      <c r="Q2030" t="s">
        <v>99</v>
      </c>
      <c r="R2030" t="s">
        <v>23</v>
      </c>
      <c r="S2030" t="str" cm="1">
        <f t="array" ref="S2030">_xlfn.IFS(R2030="COMPLETE", "COMPLETED", R2030="CANCELED", "CANCELED", TRUE, "PENDING")</f>
        <v>PENDING</v>
      </c>
      <c r="T2030" t="s">
        <v>16</v>
      </c>
      <c r="U2030">
        <f>VLOOKUP(A2030,ordered_items!$B:$E,4,0)</f>
        <v>39.75</v>
      </c>
    </row>
    <row r="2031" spans="1:21" x14ac:dyDescent="0.3">
      <c r="A2031">
        <v>76534</v>
      </c>
      <c r="B2031" t="s">
        <v>51</v>
      </c>
      <c r="C2031">
        <v>5</v>
      </c>
      <c r="D2031">
        <v>4</v>
      </c>
      <c r="E2031" t="str">
        <f t="shared" si="93"/>
        <v>DELAYED</v>
      </c>
      <c r="F2031">
        <f>VLOOKUP($A2031,ordered_items!$B$2:$E$4784,2,0)</f>
        <v>1362</v>
      </c>
      <c r="G2031">
        <f>VLOOKUP($A2031,ordered_items!$B$2:$E$4784,3,0)</f>
        <v>1</v>
      </c>
      <c r="H2031">
        <f>VLOOKUP($A2031,ordered_items!$B$2:$E$4784,4,0)</f>
        <v>39.75</v>
      </c>
      <c r="I2031" s="15">
        <f>VLOOKUP(F2031,product_info!$A$2:$D$73,4,0)</f>
        <v>9</v>
      </c>
      <c r="J2031" s="15" t="str">
        <f>VLOOKUP(I2031,department!$A$2:$B$13,2,0)</f>
        <v>Discs Shop</v>
      </c>
      <c r="K2031">
        <v>20087</v>
      </c>
      <c r="L2031" t="s">
        <v>885</v>
      </c>
      <c r="M2031" s="4">
        <v>44217</v>
      </c>
      <c r="N2031" s="12">
        <f t="shared" si="94"/>
        <v>1</v>
      </c>
      <c r="O2031" s="13">
        <f t="shared" si="95"/>
        <v>2021</v>
      </c>
      <c r="P2031" t="s">
        <v>13</v>
      </c>
      <c r="Q2031" t="s">
        <v>99</v>
      </c>
      <c r="R2031" t="s">
        <v>57</v>
      </c>
      <c r="S2031" t="str" cm="1">
        <f t="array" ref="S2031">_xlfn.IFS(R2031="COMPLETE", "COMPLETED", R2031="CANCELED", "CANCELED", TRUE, "PENDING")</f>
        <v>PENDING</v>
      </c>
      <c r="T2031" t="s">
        <v>16</v>
      </c>
      <c r="U2031">
        <f>VLOOKUP(A2031,ordered_items!$B:$E,4,0)</f>
        <v>39.75</v>
      </c>
    </row>
    <row r="2032" spans="1:21" x14ac:dyDescent="0.3">
      <c r="A2032">
        <v>76535</v>
      </c>
      <c r="B2032" t="s">
        <v>51</v>
      </c>
      <c r="C2032">
        <v>6</v>
      </c>
      <c r="D2032">
        <v>4</v>
      </c>
      <c r="E2032" t="str">
        <f t="shared" si="93"/>
        <v>DELAYED</v>
      </c>
      <c r="F2032">
        <f>VLOOKUP($A2032,ordered_items!$B$2:$E$4784,2,0)</f>
        <v>1362</v>
      </c>
      <c r="G2032">
        <f>VLOOKUP($A2032,ordered_items!$B$2:$E$4784,3,0)</f>
        <v>1</v>
      </c>
      <c r="H2032">
        <f>VLOOKUP($A2032,ordered_items!$B$2:$E$4784,4,0)</f>
        <v>39.75</v>
      </c>
      <c r="I2032" s="15">
        <f>VLOOKUP(F2032,product_info!$A$2:$D$73,4,0)</f>
        <v>9</v>
      </c>
      <c r="J2032" s="15" t="str">
        <f>VLOOKUP(I2032,department!$A$2:$B$13,2,0)</f>
        <v>Discs Shop</v>
      </c>
      <c r="K2032">
        <v>20088</v>
      </c>
      <c r="L2032" t="s">
        <v>415</v>
      </c>
      <c r="M2032" s="4">
        <v>44217</v>
      </c>
      <c r="N2032" s="12">
        <f t="shared" si="94"/>
        <v>1</v>
      </c>
      <c r="O2032" s="13">
        <f t="shared" si="95"/>
        <v>2021</v>
      </c>
      <c r="P2032" t="s">
        <v>13</v>
      </c>
      <c r="Q2032" t="s">
        <v>47</v>
      </c>
      <c r="R2032" t="s">
        <v>57</v>
      </c>
      <c r="S2032" t="str" cm="1">
        <f t="array" ref="S2032">_xlfn.IFS(R2032="COMPLETE", "COMPLETED", R2032="CANCELED", "CANCELED", TRUE, "PENDING")</f>
        <v>PENDING</v>
      </c>
      <c r="T2032" t="s">
        <v>16</v>
      </c>
      <c r="U2032">
        <f>VLOOKUP(A2032,ordered_items!$B:$E,4,0)</f>
        <v>39.75</v>
      </c>
    </row>
    <row r="2033" spans="1:21" x14ac:dyDescent="0.3">
      <c r="A2033">
        <v>76536</v>
      </c>
      <c r="B2033" t="s">
        <v>24</v>
      </c>
      <c r="C2033">
        <v>2</v>
      </c>
      <c r="D2033">
        <v>1</v>
      </c>
      <c r="E2033" t="str">
        <f t="shared" si="93"/>
        <v>DELAYED</v>
      </c>
      <c r="F2033">
        <f>VLOOKUP($A2033,ordered_items!$B$2:$E$4784,2,0)</f>
        <v>1362</v>
      </c>
      <c r="G2033">
        <f>VLOOKUP($A2033,ordered_items!$B$2:$E$4784,3,0)</f>
        <v>1</v>
      </c>
      <c r="H2033">
        <f>VLOOKUP($A2033,ordered_items!$B$2:$E$4784,4,0)</f>
        <v>39.75</v>
      </c>
      <c r="I2033" s="15">
        <f>VLOOKUP(F2033,product_info!$A$2:$D$73,4,0)</f>
        <v>9</v>
      </c>
      <c r="J2033" s="15" t="str">
        <f>VLOOKUP(I2033,department!$A$2:$B$13,2,0)</f>
        <v>Discs Shop</v>
      </c>
      <c r="K2033">
        <v>20089</v>
      </c>
      <c r="L2033" t="s">
        <v>572</v>
      </c>
      <c r="M2033" s="4">
        <v>44217</v>
      </c>
      <c r="N2033" s="12">
        <f t="shared" si="94"/>
        <v>1</v>
      </c>
      <c r="O2033" s="13">
        <f t="shared" si="95"/>
        <v>2021</v>
      </c>
      <c r="P2033" t="s">
        <v>13</v>
      </c>
      <c r="Q2033" t="s">
        <v>47</v>
      </c>
      <c r="R2033" t="s">
        <v>31</v>
      </c>
      <c r="S2033" t="str" cm="1">
        <f t="array" ref="S2033">_xlfn.IFS(R2033="COMPLETE", "COMPLETED", R2033="CANCELED", "CANCELED", TRUE, "PENDING")</f>
        <v>COMPLETED</v>
      </c>
      <c r="T2033" t="s">
        <v>32</v>
      </c>
      <c r="U2033">
        <f>VLOOKUP(A2033,ordered_items!$B:$E,4,0)</f>
        <v>39.75</v>
      </c>
    </row>
    <row r="2034" spans="1:21" x14ac:dyDescent="0.3">
      <c r="A2034">
        <v>76537</v>
      </c>
      <c r="B2034" t="s">
        <v>24</v>
      </c>
      <c r="C2034">
        <v>0</v>
      </c>
      <c r="D2034">
        <v>0</v>
      </c>
      <c r="E2034" t="str">
        <f t="shared" si="93"/>
        <v xml:space="preserve"> ONTIME</v>
      </c>
      <c r="F2034">
        <f>VLOOKUP($A2034,ordered_items!$B$2:$E$4784,2,0)</f>
        <v>1362</v>
      </c>
      <c r="G2034">
        <f>VLOOKUP($A2034,ordered_items!$B$2:$E$4784,3,0)</f>
        <v>1</v>
      </c>
      <c r="H2034">
        <f>VLOOKUP($A2034,ordered_items!$B$2:$E$4784,4,0)</f>
        <v>39.75</v>
      </c>
      <c r="I2034" s="15">
        <f>VLOOKUP(F2034,product_info!$A$2:$D$73,4,0)</f>
        <v>9</v>
      </c>
      <c r="J2034" s="15" t="str">
        <f>VLOOKUP(I2034,department!$A$2:$B$13,2,0)</f>
        <v>Discs Shop</v>
      </c>
      <c r="K2034">
        <v>20090</v>
      </c>
      <c r="L2034" t="s">
        <v>572</v>
      </c>
      <c r="M2034" s="4">
        <v>44217</v>
      </c>
      <c r="N2034" s="12">
        <f t="shared" si="94"/>
        <v>1</v>
      </c>
      <c r="O2034" s="13">
        <f t="shared" si="95"/>
        <v>2021</v>
      </c>
      <c r="P2034" t="s">
        <v>13</v>
      </c>
      <c r="Q2034" t="s">
        <v>47</v>
      </c>
      <c r="R2034" t="s">
        <v>31</v>
      </c>
      <c r="S2034" t="str" cm="1">
        <f t="array" ref="S2034">_xlfn.IFS(R2034="COMPLETE", "COMPLETED", R2034="CANCELED", "CANCELED", TRUE, "PENDING")</f>
        <v>COMPLETED</v>
      </c>
      <c r="T2034" t="s">
        <v>58</v>
      </c>
      <c r="U2034">
        <f>VLOOKUP(A2034,ordered_items!$B:$E,4,0)</f>
        <v>39.75</v>
      </c>
    </row>
    <row r="2035" spans="1:21" x14ac:dyDescent="0.3">
      <c r="A2035">
        <v>76538</v>
      </c>
      <c r="B2035" t="s">
        <v>24</v>
      </c>
      <c r="C2035">
        <v>0</v>
      </c>
      <c r="D2035">
        <v>0</v>
      </c>
      <c r="E2035" t="str">
        <f t="shared" si="93"/>
        <v xml:space="preserve"> ONTIME</v>
      </c>
      <c r="F2035">
        <f>VLOOKUP($A2035,ordered_items!$B$2:$E$4784,2,0)</f>
        <v>1362</v>
      </c>
      <c r="G2035">
        <f>VLOOKUP($A2035,ordered_items!$B$2:$E$4784,3,0)</f>
        <v>1</v>
      </c>
      <c r="H2035">
        <f>VLOOKUP($A2035,ordered_items!$B$2:$E$4784,4,0)</f>
        <v>39.75</v>
      </c>
      <c r="I2035" s="15">
        <f>VLOOKUP(F2035,product_info!$A$2:$D$73,4,0)</f>
        <v>9</v>
      </c>
      <c r="J2035" s="15" t="str">
        <f>VLOOKUP(I2035,department!$A$2:$B$13,2,0)</f>
        <v>Discs Shop</v>
      </c>
      <c r="K2035">
        <v>20091</v>
      </c>
      <c r="L2035" t="s">
        <v>572</v>
      </c>
      <c r="M2035" s="4">
        <v>44217</v>
      </c>
      <c r="N2035" s="12">
        <f t="shared" si="94"/>
        <v>1</v>
      </c>
      <c r="O2035" s="13">
        <f t="shared" si="95"/>
        <v>2021</v>
      </c>
      <c r="P2035" t="s">
        <v>13</v>
      </c>
      <c r="Q2035" t="s">
        <v>47</v>
      </c>
      <c r="R2035" t="s">
        <v>31</v>
      </c>
      <c r="S2035" t="str" cm="1">
        <f t="array" ref="S2035">_xlfn.IFS(R2035="COMPLETE", "COMPLETED", R2035="CANCELED", "CANCELED", TRUE, "PENDING")</f>
        <v>COMPLETED</v>
      </c>
      <c r="T2035" t="s">
        <v>58</v>
      </c>
      <c r="U2035">
        <f>VLOOKUP(A2035,ordered_items!$B:$E,4,0)</f>
        <v>39.75</v>
      </c>
    </row>
    <row r="2036" spans="1:21" x14ac:dyDescent="0.3">
      <c r="A2036">
        <v>76539</v>
      </c>
      <c r="B2036" t="s">
        <v>24</v>
      </c>
      <c r="C2036">
        <v>0</v>
      </c>
      <c r="D2036">
        <v>0</v>
      </c>
      <c r="E2036" t="str">
        <f t="shared" si="93"/>
        <v xml:space="preserve"> ONTIME</v>
      </c>
      <c r="F2036">
        <f>VLOOKUP($A2036,ordered_items!$B$2:$E$4784,2,0)</f>
        <v>1362</v>
      </c>
      <c r="G2036">
        <f>VLOOKUP($A2036,ordered_items!$B$2:$E$4784,3,0)</f>
        <v>1</v>
      </c>
      <c r="H2036">
        <f>VLOOKUP($A2036,ordered_items!$B$2:$E$4784,4,0)</f>
        <v>39.75</v>
      </c>
      <c r="I2036" s="15">
        <f>VLOOKUP(F2036,product_info!$A$2:$D$73,4,0)</f>
        <v>9</v>
      </c>
      <c r="J2036" s="15" t="str">
        <f>VLOOKUP(I2036,department!$A$2:$B$13,2,0)</f>
        <v>Discs Shop</v>
      </c>
      <c r="K2036">
        <v>20092</v>
      </c>
      <c r="L2036" t="s">
        <v>572</v>
      </c>
      <c r="M2036" s="4">
        <v>44217</v>
      </c>
      <c r="N2036" s="12">
        <f t="shared" si="94"/>
        <v>1</v>
      </c>
      <c r="O2036" s="13">
        <f t="shared" si="95"/>
        <v>2021</v>
      </c>
      <c r="P2036" t="s">
        <v>13</v>
      </c>
      <c r="Q2036" t="s">
        <v>47</v>
      </c>
      <c r="R2036" t="s">
        <v>31</v>
      </c>
      <c r="S2036" t="str" cm="1">
        <f t="array" ref="S2036">_xlfn.IFS(R2036="COMPLETE", "COMPLETED", R2036="CANCELED", "CANCELED", TRUE, "PENDING")</f>
        <v>COMPLETED</v>
      </c>
      <c r="T2036" t="s">
        <v>58</v>
      </c>
      <c r="U2036">
        <f>VLOOKUP(A2036,ordered_items!$B:$E,4,0)</f>
        <v>39.75</v>
      </c>
    </row>
    <row r="2037" spans="1:21" x14ac:dyDescent="0.3">
      <c r="A2037">
        <v>76540</v>
      </c>
      <c r="B2037" t="s">
        <v>51</v>
      </c>
      <c r="C2037">
        <v>0</v>
      </c>
      <c r="D2037">
        <v>0</v>
      </c>
      <c r="E2037" t="str">
        <f t="shared" si="93"/>
        <v xml:space="preserve"> ONTIME</v>
      </c>
      <c r="F2037">
        <f>VLOOKUP($A2037,ordered_items!$B$2:$E$4784,2,0)</f>
        <v>1362</v>
      </c>
      <c r="G2037">
        <f>VLOOKUP($A2037,ordered_items!$B$2:$E$4784,3,0)</f>
        <v>1</v>
      </c>
      <c r="H2037">
        <f>VLOOKUP($A2037,ordered_items!$B$2:$E$4784,4,0)</f>
        <v>39.75</v>
      </c>
      <c r="I2037" s="15">
        <f>VLOOKUP(F2037,product_info!$A$2:$D$73,4,0)</f>
        <v>9</v>
      </c>
      <c r="J2037" s="15" t="str">
        <f>VLOOKUP(I2037,department!$A$2:$B$13,2,0)</f>
        <v>Discs Shop</v>
      </c>
      <c r="K2037">
        <v>20093</v>
      </c>
      <c r="L2037" t="s">
        <v>572</v>
      </c>
      <c r="M2037" s="4">
        <v>44217</v>
      </c>
      <c r="N2037" s="12">
        <f t="shared" si="94"/>
        <v>1</v>
      </c>
      <c r="O2037" s="13">
        <f t="shared" si="95"/>
        <v>2021</v>
      </c>
      <c r="P2037" t="s">
        <v>13</v>
      </c>
      <c r="Q2037" t="s">
        <v>47</v>
      </c>
      <c r="R2037" t="s">
        <v>57</v>
      </c>
      <c r="S2037" t="str" cm="1">
        <f t="array" ref="S2037">_xlfn.IFS(R2037="COMPLETE", "COMPLETED", R2037="CANCELED", "CANCELED", TRUE, "PENDING")</f>
        <v>PENDING</v>
      </c>
      <c r="T2037" t="s">
        <v>58</v>
      </c>
      <c r="U2037">
        <f>VLOOKUP(A2037,ordered_items!$B:$E,4,0)</f>
        <v>39.75</v>
      </c>
    </row>
    <row r="2038" spans="1:21" x14ac:dyDescent="0.3">
      <c r="A2038">
        <v>76566</v>
      </c>
      <c r="B2038" t="s">
        <v>24</v>
      </c>
      <c r="C2038">
        <v>2</v>
      </c>
      <c r="D2038">
        <v>2</v>
      </c>
      <c r="E2038" t="str">
        <f t="shared" si="93"/>
        <v xml:space="preserve"> ONTIME</v>
      </c>
      <c r="F2038">
        <f>VLOOKUP($A2038,ordered_items!$B$2:$E$4784,2,0)</f>
        <v>1362</v>
      </c>
      <c r="G2038">
        <f>VLOOKUP($A2038,ordered_items!$B$2:$E$4784,3,0)</f>
        <v>1</v>
      </c>
      <c r="H2038">
        <f>VLOOKUP($A2038,ordered_items!$B$2:$E$4784,4,0)</f>
        <v>39.75</v>
      </c>
      <c r="I2038" s="15">
        <f>VLOOKUP(F2038,product_info!$A$2:$D$73,4,0)</f>
        <v>9</v>
      </c>
      <c r="J2038" s="15" t="str">
        <f>VLOOKUP(I2038,department!$A$2:$B$13,2,0)</f>
        <v>Discs Shop</v>
      </c>
      <c r="K2038">
        <v>20119</v>
      </c>
      <c r="L2038" t="s">
        <v>930</v>
      </c>
      <c r="M2038" s="4">
        <v>44217</v>
      </c>
      <c r="N2038" s="12">
        <f t="shared" si="94"/>
        <v>1</v>
      </c>
      <c r="O2038" s="13">
        <f t="shared" si="95"/>
        <v>2021</v>
      </c>
      <c r="P2038" t="s">
        <v>13</v>
      </c>
      <c r="Q2038" t="s">
        <v>30</v>
      </c>
      <c r="R2038" t="s">
        <v>31</v>
      </c>
      <c r="S2038" t="str" cm="1">
        <f t="array" ref="S2038">_xlfn.IFS(R2038="COMPLETE", "COMPLETED", R2038="CANCELED", "CANCELED", TRUE, "PENDING")</f>
        <v>COMPLETED</v>
      </c>
      <c r="T2038" t="s">
        <v>90</v>
      </c>
      <c r="U2038">
        <f>VLOOKUP(A2038,ordered_items!$B:$E,4,0)</f>
        <v>39.75</v>
      </c>
    </row>
    <row r="2039" spans="1:21" x14ac:dyDescent="0.3">
      <c r="A2039">
        <v>76567</v>
      </c>
      <c r="B2039" t="s">
        <v>3</v>
      </c>
      <c r="C2039">
        <v>3</v>
      </c>
      <c r="D2039">
        <v>4</v>
      </c>
      <c r="E2039" t="str">
        <f t="shared" si="93"/>
        <v xml:space="preserve"> ONTIME</v>
      </c>
      <c r="F2039">
        <f>VLOOKUP($A2039,ordered_items!$B$2:$E$4784,2,0)</f>
        <v>1362</v>
      </c>
      <c r="G2039">
        <f>VLOOKUP($A2039,ordered_items!$B$2:$E$4784,3,0)</f>
        <v>1</v>
      </c>
      <c r="H2039">
        <f>VLOOKUP($A2039,ordered_items!$B$2:$E$4784,4,0)</f>
        <v>39.75</v>
      </c>
      <c r="I2039" s="15">
        <f>VLOOKUP(F2039,product_info!$A$2:$D$73,4,0)</f>
        <v>9</v>
      </c>
      <c r="J2039" s="15" t="str">
        <f>VLOOKUP(I2039,department!$A$2:$B$13,2,0)</f>
        <v>Discs Shop</v>
      </c>
      <c r="K2039">
        <v>20120</v>
      </c>
      <c r="L2039" t="s">
        <v>930</v>
      </c>
      <c r="M2039" s="4">
        <v>44217</v>
      </c>
      <c r="N2039" s="12">
        <f t="shared" si="94"/>
        <v>1</v>
      </c>
      <c r="O2039" s="13">
        <f t="shared" si="95"/>
        <v>2021</v>
      </c>
      <c r="P2039" t="s">
        <v>13</v>
      </c>
      <c r="Q2039" t="s">
        <v>30</v>
      </c>
      <c r="R2039" t="s">
        <v>14</v>
      </c>
      <c r="S2039" t="str" cm="1">
        <f t="array" ref="S2039">_xlfn.IFS(R2039="COMPLETE", "COMPLETED", R2039="CANCELED", "CANCELED", TRUE, "PENDING")</f>
        <v>PENDING</v>
      </c>
      <c r="T2039" t="s">
        <v>16</v>
      </c>
      <c r="U2039">
        <f>VLOOKUP(A2039,ordered_items!$B:$E,4,0)</f>
        <v>39.75</v>
      </c>
    </row>
    <row r="2040" spans="1:21" x14ac:dyDescent="0.3">
      <c r="A2040">
        <v>76589</v>
      </c>
      <c r="B2040" t="s">
        <v>51</v>
      </c>
      <c r="C2040">
        <v>5</v>
      </c>
      <c r="D2040">
        <v>2</v>
      </c>
      <c r="E2040" t="str">
        <f t="shared" si="93"/>
        <v>DELAYED</v>
      </c>
      <c r="F2040">
        <f>VLOOKUP($A2040,ordered_items!$B$2:$E$4784,2,0)</f>
        <v>1362</v>
      </c>
      <c r="G2040">
        <f>VLOOKUP($A2040,ordered_items!$B$2:$E$4784,3,0)</f>
        <v>1</v>
      </c>
      <c r="H2040">
        <f>VLOOKUP($A2040,ordered_items!$B$2:$E$4784,4,0)</f>
        <v>39.75</v>
      </c>
      <c r="I2040" s="15">
        <f>VLOOKUP(F2040,product_info!$A$2:$D$73,4,0)</f>
        <v>9</v>
      </c>
      <c r="J2040" s="15" t="str">
        <f>VLOOKUP(I2040,department!$A$2:$B$13,2,0)</f>
        <v>Discs Shop</v>
      </c>
      <c r="K2040">
        <v>20142</v>
      </c>
      <c r="L2040" t="s">
        <v>994</v>
      </c>
      <c r="M2040" s="4">
        <v>44218</v>
      </c>
      <c r="N2040" s="12">
        <f t="shared" si="94"/>
        <v>1</v>
      </c>
      <c r="O2040" s="13">
        <f t="shared" si="95"/>
        <v>2021</v>
      </c>
      <c r="P2040" t="s">
        <v>13</v>
      </c>
      <c r="Q2040" t="s">
        <v>245</v>
      </c>
      <c r="R2040" t="s">
        <v>57</v>
      </c>
      <c r="S2040" t="str" cm="1">
        <f t="array" ref="S2040">_xlfn.IFS(R2040="COMPLETE", "COMPLETED", R2040="CANCELED", "CANCELED", TRUE, "PENDING")</f>
        <v>PENDING</v>
      </c>
      <c r="T2040" t="s">
        <v>90</v>
      </c>
      <c r="U2040">
        <f>VLOOKUP(A2040,ordered_items!$B:$E,4,0)</f>
        <v>39.75</v>
      </c>
    </row>
    <row r="2041" spans="1:21" x14ac:dyDescent="0.3">
      <c r="A2041">
        <v>76590</v>
      </c>
      <c r="B2041" t="s">
        <v>24</v>
      </c>
      <c r="C2041">
        <v>6</v>
      </c>
      <c r="D2041">
        <v>4</v>
      </c>
      <c r="E2041" t="str">
        <f t="shared" si="93"/>
        <v>DELAYED</v>
      </c>
      <c r="F2041">
        <f>VLOOKUP($A2041,ordered_items!$B$2:$E$4784,2,0)</f>
        <v>1362</v>
      </c>
      <c r="G2041">
        <f>VLOOKUP($A2041,ordered_items!$B$2:$E$4784,3,0)</f>
        <v>1</v>
      </c>
      <c r="H2041">
        <f>VLOOKUP($A2041,ordered_items!$B$2:$E$4784,4,0)</f>
        <v>39.75</v>
      </c>
      <c r="I2041" s="15">
        <f>VLOOKUP(F2041,product_info!$A$2:$D$73,4,0)</f>
        <v>9</v>
      </c>
      <c r="J2041" s="15" t="str">
        <f>VLOOKUP(I2041,department!$A$2:$B$13,2,0)</f>
        <v>Discs Shop</v>
      </c>
      <c r="K2041">
        <v>20143</v>
      </c>
      <c r="L2041" t="s">
        <v>994</v>
      </c>
      <c r="M2041" s="4">
        <v>44218</v>
      </c>
      <c r="N2041" s="12">
        <f t="shared" si="94"/>
        <v>1</v>
      </c>
      <c r="O2041" s="13">
        <f t="shared" si="95"/>
        <v>2021</v>
      </c>
      <c r="P2041" t="s">
        <v>13</v>
      </c>
      <c r="Q2041" t="s">
        <v>245</v>
      </c>
      <c r="R2041" t="s">
        <v>31</v>
      </c>
      <c r="S2041" t="str" cm="1">
        <f t="array" ref="S2041">_xlfn.IFS(R2041="COMPLETE", "COMPLETED", R2041="CANCELED", "CANCELED", TRUE, "PENDING")</f>
        <v>COMPLETED</v>
      </c>
      <c r="T2041" t="s">
        <v>16</v>
      </c>
      <c r="U2041">
        <f>VLOOKUP(A2041,ordered_items!$B:$E,4,0)</f>
        <v>39.75</v>
      </c>
    </row>
    <row r="2042" spans="1:21" x14ac:dyDescent="0.3">
      <c r="A2042">
        <v>76591</v>
      </c>
      <c r="B2042" t="s">
        <v>17</v>
      </c>
      <c r="C2042">
        <v>2</v>
      </c>
      <c r="D2042">
        <v>4</v>
      </c>
      <c r="E2042" t="str">
        <f t="shared" si="93"/>
        <v xml:space="preserve"> ONTIME</v>
      </c>
      <c r="F2042">
        <f>VLOOKUP($A2042,ordered_items!$B$2:$E$4784,2,0)</f>
        <v>1362</v>
      </c>
      <c r="G2042">
        <f>VLOOKUP($A2042,ordered_items!$B$2:$E$4784,3,0)</f>
        <v>1</v>
      </c>
      <c r="H2042">
        <f>VLOOKUP($A2042,ordered_items!$B$2:$E$4784,4,0)</f>
        <v>39.75</v>
      </c>
      <c r="I2042" s="15">
        <f>VLOOKUP(F2042,product_info!$A$2:$D$73,4,0)</f>
        <v>9</v>
      </c>
      <c r="J2042" s="15" t="str">
        <f>VLOOKUP(I2042,department!$A$2:$B$13,2,0)</f>
        <v>Discs Shop</v>
      </c>
      <c r="K2042">
        <v>20144</v>
      </c>
      <c r="L2042" t="s">
        <v>994</v>
      </c>
      <c r="M2042" s="4">
        <v>44218</v>
      </c>
      <c r="N2042" s="12">
        <f t="shared" si="94"/>
        <v>1</v>
      </c>
      <c r="O2042" s="13">
        <f t="shared" si="95"/>
        <v>2021</v>
      </c>
      <c r="P2042" t="s">
        <v>13</v>
      </c>
      <c r="Q2042" t="s">
        <v>245</v>
      </c>
      <c r="R2042" t="s">
        <v>23</v>
      </c>
      <c r="S2042" t="str" cm="1">
        <f t="array" ref="S2042">_xlfn.IFS(R2042="COMPLETE", "COMPLETED", R2042="CANCELED", "CANCELED", TRUE, "PENDING")</f>
        <v>PENDING</v>
      </c>
      <c r="T2042" t="s">
        <v>16</v>
      </c>
      <c r="U2042">
        <f>VLOOKUP(A2042,ordered_items!$B:$E,4,0)</f>
        <v>39.75</v>
      </c>
    </row>
    <row r="2043" spans="1:21" x14ac:dyDescent="0.3">
      <c r="A2043">
        <v>76634</v>
      </c>
      <c r="B2043" t="s">
        <v>24</v>
      </c>
      <c r="C2043">
        <v>5</v>
      </c>
      <c r="D2043">
        <v>4</v>
      </c>
      <c r="E2043" t="str">
        <f t="shared" si="93"/>
        <v>DELAYED</v>
      </c>
      <c r="F2043">
        <f>VLOOKUP($A2043,ordered_items!$B$2:$E$4784,2,0)</f>
        <v>1362</v>
      </c>
      <c r="G2043">
        <f>VLOOKUP($A2043,ordered_items!$B$2:$E$4784,3,0)</f>
        <v>1</v>
      </c>
      <c r="H2043">
        <f>VLOOKUP($A2043,ordered_items!$B$2:$E$4784,4,0)</f>
        <v>39.75</v>
      </c>
      <c r="I2043" s="15">
        <f>VLOOKUP(F2043,product_info!$A$2:$D$73,4,0)</f>
        <v>9</v>
      </c>
      <c r="J2043" s="15" t="str">
        <f>VLOOKUP(I2043,department!$A$2:$B$13,2,0)</f>
        <v>Discs Shop</v>
      </c>
      <c r="K2043">
        <v>20187</v>
      </c>
      <c r="L2043" t="s">
        <v>1430</v>
      </c>
      <c r="M2043" s="4">
        <v>44218</v>
      </c>
      <c r="N2043" s="12">
        <f t="shared" si="94"/>
        <v>1</v>
      </c>
      <c r="O2043" s="13">
        <f t="shared" si="95"/>
        <v>2021</v>
      </c>
      <c r="P2043" t="s">
        <v>13</v>
      </c>
      <c r="Q2043" t="s">
        <v>5777</v>
      </c>
      <c r="R2043" t="s">
        <v>31</v>
      </c>
      <c r="S2043" t="str" cm="1">
        <f t="array" ref="S2043">_xlfn.IFS(R2043="COMPLETE", "COMPLETED", R2043="CANCELED", "CANCELED", TRUE, "PENDING")</f>
        <v>COMPLETED</v>
      </c>
      <c r="T2043" t="s">
        <v>16</v>
      </c>
      <c r="U2043">
        <f>VLOOKUP(A2043,ordered_items!$B:$E,4,0)</f>
        <v>39.75</v>
      </c>
    </row>
    <row r="2044" spans="1:21" x14ac:dyDescent="0.3">
      <c r="A2044">
        <v>76640</v>
      </c>
      <c r="B2044" t="s">
        <v>24</v>
      </c>
      <c r="C2044">
        <v>6</v>
      </c>
      <c r="D2044">
        <v>4</v>
      </c>
      <c r="E2044" t="str">
        <f t="shared" si="93"/>
        <v>DELAYED</v>
      </c>
      <c r="F2044">
        <f>VLOOKUP($A2044,ordered_items!$B$2:$E$4784,2,0)</f>
        <v>1362</v>
      </c>
      <c r="G2044">
        <f>VLOOKUP($A2044,ordered_items!$B$2:$E$4784,3,0)</f>
        <v>1</v>
      </c>
      <c r="H2044">
        <f>VLOOKUP($A2044,ordered_items!$B$2:$E$4784,4,0)</f>
        <v>39.75</v>
      </c>
      <c r="I2044" s="15">
        <f>VLOOKUP(F2044,product_info!$A$2:$D$73,4,0)</f>
        <v>9</v>
      </c>
      <c r="J2044" s="15" t="str">
        <f>VLOOKUP(I2044,department!$A$2:$B$13,2,0)</f>
        <v>Discs Shop</v>
      </c>
      <c r="K2044">
        <v>20193</v>
      </c>
      <c r="L2044" t="s">
        <v>980</v>
      </c>
      <c r="M2044" s="4">
        <v>44218</v>
      </c>
      <c r="N2044" s="12">
        <f t="shared" si="94"/>
        <v>1</v>
      </c>
      <c r="O2044" s="13">
        <f t="shared" si="95"/>
        <v>2021</v>
      </c>
      <c r="P2044" t="s">
        <v>13</v>
      </c>
      <c r="Q2044" t="s">
        <v>30</v>
      </c>
      <c r="R2044" t="s">
        <v>31</v>
      </c>
      <c r="S2044" t="str" cm="1">
        <f t="array" ref="S2044">_xlfn.IFS(R2044="COMPLETE", "COMPLETED", R2044="CANCELED", "CANCELED", TRUE, "PENDING")</f>
        <v>COMPLETED</v>
      </c>
      <c r="T2044" t="s">
        <v>16</v>
      </c>
      <c r="U2044">
        <f>VLOOKUP(A2044,ordered_items!$B:$E,4,0)</f>
        <v>39.75</v>
      </c>
    </row>
    <row r="2045" spans="1:21" x14ac:dyDescent="0.3">
      <c r="A2045">
        <v>76641</v>
      </c>
      <c r="B2045" t="s">
        <v>51</v>
      </c>
      <c r="C2045">
        <v>2</v>
      </c>
      <c r="D2045">
        <v>4</v>
      </c>
      <c r="E2045" t="str">
        <f t="shared" si="93"/>
        <v xml:space="preserve"> ONTIME</v>
      </c>
      <c r="F2045">
        <f>VLOOKUP($A2045,ordered_items!$B$2:$E$4784,2,0)</f>
        <v>1362</v>
      </c>
      <c r="G2045">
        <f>VLOOKUP($A2045,ordered_items!$B$2:$E$4784,3,0)</f>
        <v>1</v>
      </c>
      <c r="H2045">
        <f>VLOOKUP($A2045,ordered_items!$B$2:$E$4784,4,0)</f>
        <v>39.75</v>
      </c>
      <c r="I2045" s="15">
        <f>VLOOKUP(F2045,product_info!$A$2:$D$73,4,0)</f>
        <v>9</v>
      </c>
      <c r="J2045" s="15" t="str">
        <f>VLOOKUP(I2045,department!$A$2:$B$13,2,0)</f>
        <v>Discs Shop</v>
      </c>
      <c r="K2045">
        <v>20194</v>
      </c>
      <c r="L2045" t="s">
        <v>980</v>
      </c>
      <c r="M2045" s="4">
        <v>44218</v>
      </c>
      <c r="N2045" s="12">
        <f t="shared" si="94"/>
        <v>1</v>
      </c>
      <c r="O2045" s="13">
        <f t="shared" si="95"/>
        <v>2021</v>
      </c>
      <c r="P2045" t="s">
        <v>13</v>
      </c>
      <c r="Q2045" t="s">
        <v>30</v>
      </c>
      <c r="R2045" t="s">
        <v>57</v>
      </c>
      <c r="S2045" t="str" cm="1">
        <f t="array" ref="S2045">_xlfn.IFS(R2045="COMPLETE", "COMPLETED", R2045="CANCELED", "CANCELED", TRUE, "PENDING")</f>
        <v>PENDING</v>
      </c>
      <c r="T2045" t="s">
        <v>16</v>
      </c>
      <c r="U2045">
        <f>VLOOKUP(A2045,ordered_items!$B:$E,4,0)</f>
        <v>39.75</v>
      </c>
    </row>
    <row r="2046" spans="1:21" x14ac:dyDescent="0.3">
      <c r="A2046">
        <v>76642</v>
      </c>
      <c r="B2046" t="s">
        <v>51</v>
      </c>
      <c r="C2046">
        <v>3</v>
      </c>
      <c r="D2046">
        <v>4</v>
      </c>
      <c r="E2046" t="str">
        <f t="shared" si="93"/>
        <v xml:space="preserve"> ONTIME</v>
      </c>
      <c r="F2046">
        <f>VLOOKUP($A2046,ordered_items!$B$2:$E$4784,2,0)</f>
        <v>1362</v>
      </c>
      <c r="G2046">
        <f>VLOOKUP($A2046,ordered_items!$B$2:$E$4784,3,0)</f>
        <v>1</v>
      </c>
      <c r="H2046">
        <f>VLOOKUP($A2046,ordered_items!$B$2:$E$4784,4,0)</f>
        <v>39.75</v>
      </c>
      <c r="I2046" s="15">
        <f>VLOOKUP(F2046,product_info!$A$2:$D$73,4,0)</f>
        <v>9</v>
      </c>
      <c r="J2046" s="15" t="str">
        <f>VLOOKUP(I2046,department!$A$2:$B$13,2,0)</f>
        <v>Discs Shop</v>
      </c>
      <c r="K2046">
        <v>20195</v>
      </c>
      <c r="L2046" t="s">
        <v>980</v>
      </c>
      <c r="M2046" s="4">
        <v>44218</v>
      </c>
      <c r="N2046" s="12">
        <f t="shared" si="94"/>
        <v>1</v>
      </c>
      <c r="O2046" s="13">
        <f t="shared" si="95"/>
        <v>2021</v>
      </c>
      <c r="P2046" t="s">
        <v>13</v>
      </c>
      <c r="Q2046" t="s">
        <v>30</v>
      </c>
      <c r="R2046" t="s">
        <v>57</v>
      </c>
      <c r="S2046" t="str" cm="1">
        <f t="array" ref="S2046">_xlfn.IFS(R2046="COMPLETE", "COMPLETED", R2046="CANCELED", "CANCELED", TRUE, "PENDING")</f>
        <v>PENDING</v>
      </c>
      <c r="T2046" t="s">
        <v>16</v>
      </c>
      <c r="U2046">
        <f>VLOOKUP(A2046,ordered_items!$B:$E,4,0)</f>
        <v>39.75</v>
      </c>
    </row>
    <row r="2047" spans="1:21" x14ac:dyDescent="0.3">
      <c r="A2047">
        <v>76643</v>
      </c>
      <c r="B2047" t="s">
        <v>24</v>
      </c>
      <c r="C2047">
        <v>4</v>
      </c>
      <c r="D2047">
        <v>4</v>
      </c>
      <c r="E2047" t="str">
        <f t="shared" si="93"/>
        <v xml:space="preserve"> ONTIME</v>
      </c>
      <c r="F2047">
        <f>VLOOKUP($A2047,ordered_items!$B$2:$E$4784,2,0)</f>
        <v>1362</v>
      </c>
      <c r="G2047">
        <f>VLOOKUP($A2047,ordered_items!$B$2:$E$4784,3,0)</f>
        <v>1</v>
      </c>
      <c r="H2047">
        <f>VLOOKUP($A2047,ordered_items!$B$2:$E$4784,4,0)</f>
        <v>39.75</v>
      </c>
      <c r="I2047" s="15">
        <f>VLOOKUP(F2047,product_info!$A$2:$D$73,4,0)</f>
        <v>9</v>
      </c>
      <c r="J2047" s="15" t="str">
        <f>VLOOKUP(I2047,department!$A$2:$B$13,2,0)</f>
        <v>Discs Shop</v>
      </c>
      <c r="K2047">
        <v>20196</v>
      </c>
      <c r="L2047" t="s">
        <v>980</v>
      </c>
      <c r="M2047" s="4">
        <v>44218</v>
      </c>
      <c r="N2047" s="12">
        <f t="shared" si="94"/>
        <v>1</v>
      </c>
      <c r="O2047" s="13">
        <f t="shared" si="95"/>
        <v>2021</v>
      </c>
      <c r="P2047" t="s">
        <v>13</v>
      </c>
      <c r="Q2047" t="s">
        <v>30</v>
      </c>
      <c r="R2047" t="s">
        <v>31</v>
      </c>
      <c r="S2047" t="str" cm="1">
        <f t="array" ref="S2047">_xlfn.IFS(R2047="COMPLETE", "COMPLETED", R2047="CANCELED", "CANCELED", TRUE, "PENDING")</f>
        <v>COMPLETED</v>
      </c>
      <c r="T2047" t="s">
        <v>16</v>
      </c>
      <c r="U2047">
        <f>VLOOKUP(A2047,ordered_items!$B:$E,4,0)</f>
        <v>39.75</v>
      </c>
    </row>
    <row r="2048" spans="1:21" x14ac:dyDescent="0.3">
      <c r="A2048">
        <v>76650</v>
      </c>
      <c r="B2048" t="s">
        <v>24</v>
      </c>
      <c r="C2048">
        <v>6</v>
      </c>
      <c r="D2048">
        <v>4</v>
      </c>
      <c r="E2048" t="str">
        <f t="shared" si="93"/>
        <v>DELAYED</v>
      </c>
      <c r="F2048">
        <f>VLOOKUP($A2048,ordered_items!$B$2:$E$4784,2,0)</f>
        <v>1362</v>
      </c>
      <c r="G2048">
        <f>VLOOKUP($A2048,ordered_items!$B$2:$E$4784,3,0)</f>
        <v>1</v>
      </c>
      <c r="H2048">
        <f>VLOOKUP($A2048,ordered_items!$B$2:$E$4784,4,0)</f>
        <v>39.75</v>
      </c>
      <c r="I2048" s="15">
        <f>VLOOKUP(F2048,product_info!$A$2:$D$73,4,0)</f>
        <v>9</v>
      </c>
      <c r="J2048" s="15" t="str">
        <f>VLOOKUP(I2048,department!$A$2:$B$13,2,0)</f>
        <v>Discs Shop</v>
      </c>
      <c r="K2048">
        <v>20203</v>
      </c>
      <c r="L2048" t="s">
        <v>867</v>
      </c>
      <c r="M2048" s="4">
        <v>44218</v>
      </c>
      <c r="N2048" s="12">
        <f t="shared" si="94"/>
        <v>1</v>
      </c>
      <c r="O2048" s="13">
        <f t="shared" si="95"/>
        <v>2021</v>
      </c>
      <c r="P2048" t="s">
        <v>13</v>
      </c>
      <c r="Q2048" t="s">
        <v>5781</v>
      </c>
      <c r="R2048" t="s">
        <v>31</v>
      </c>
      <c r="S2048" t="str" cm="1">
        <f t="array" ref="S2048">_xlfn.IFS(R2048="COMPLETE", "COMPLETED", R2048="CANCELED", "CANCELED", TRUE, "PENDING")</f>
        <v>COMPLETED</v>
      </c>
      <c r="T2048" t="s">
        <v>16</v>
      </c>
      <c r="U2048">
        <f>VLOOKUP(A2048,ordered_items!$B:$E,4,0)</f>
        <v>39.75</v>
      </c>
    </row>
    <row r="2049" spans="1:21" x14ac:dyDescent="0.3">
      <c r="A2049">
        <v>76666</v>
      </c>
      <c r="B2049" t="s">
        <v>24</v>
      </c>
      <c r="C2049">
        <v>2</v>
      </c>
      <c r="D2049">
        <v>2</v>
      </c>
      <c r="E2049" t="str">
        <f t="shared" si="93"/>
        <v xml:space="preserve"> ONTIME</v>
      </c>
      <c r="F2049">
        <f>VLOOKUP($A2049,ordered_items!$B$2:$E$4784,2,0)</f>
        <v>1362</v>
      </c>
      <c r="G2049">
        <f>VLOOKUP($A2049,ordered_items!$B$2:$E$4784,3,0)</f>
        <v>1</v>
      </c>
      <c r="H2049">
        <f>VLOOKUP($A2049,ordered_items!$B$2:$E$4784,4,0)</f>
        <v>39.75</v>
      </c>
      <c r="I2049" s="15">
        <f>VLOOKUP(F2049,product_info!$A$2:$D$73,4,0)</f>
        <v>9</v>
      </c>
      <c r="J2049" s="15" t="str">
        <f>VLOOKUP(I2049,department!$A$2:$B$13,2,0)</f>
        <v>Discs Shop</v>
      </c>
      <c r="K2049">
        <v>20219</v>
      </c>
      <c r="L2049" t="s">
        <v>439</v>
      </c>
      <c r="M2049" s="4">
        <v>44219</v>
      </c>
      <c r="N2049" s="12">
        <f t="shared" si="94"/>
        <v>1</v>
      </c>
      <c r="O2049" s="13">
        <f t="shared" si="95"/>
        <v>2021</v>
      </c>
      <c r="P2049" t="s">
        <v>13</v>
      </c>
      <c r="Q2049" t="s">
        <v>377</v>
      </c>
      <c r="R2049" t="s">
        <v>31</v>
      </c>
      <c r="S2049" t="str" cm="1">
        <f t="array" ref="S2049">_xlfn.IFS(R2049="COMPLETE", "COMPLETED", R2049="CANCELED", "CANCELED", TRUE, "PENDING")</f>
        <v>COMPLETED</v>
      </c>
      <c r="T2049" t="s">
        <v>90</v>
      </c>
      <c r="U2049">
        <f>VLOOKUP(A2049,ordered_items!$B:$E,4,0)</f>
        <v>39.75</v>
      </c>
    </row>
    <row r="2050" spans="1:21" x14ac:dyDescent="0.3">
      <c r="A2050">
        <v>76688</v>
      </c>
      <c r="B2050" t="s">
        <v>24</v>
      </c>
      <c r="C2050">
        <v>4</v>
      </c>
      <c r="D2050">
        <v>2</v>
      </c>
      <c r="E2050" t="str">
        <f t="shared" si="93"/>
        <v>DELAYED</v>
      </c>
      <c r="F2050">
        <f>VLOOKUP($A2050,ordered_items!$B$2:$E$4784,2,0)</f>
        <v>1362</v>
      </c>
      <c r="G2050">
        <f>VLOOKUP($A2050,ordered_items!$B$2:$E$4784,3,0)</f>
        <v>1</v>
      </c>
      <c r="H2050">
        <f>VLOOKUP($A2050,ordered_items!$B$2:$E$4784,4,0)</f>
        <v>39.75</v>
      </c>
      <c r="I2050" s="15">
        <f>VLOOKUP(F2050,product_info!$A$2:$D$73,4,0)</f>
        <v>9</v>
      </c>
      <c r="J2050" s="15" t="str">
        <f>VLOOKUP(I2050,department!$A$2:$B$13,2,0)</f>
        <v>Discs Shop</v>
      </c>
      <c r="K2050">
        <v>20241</v>
      </c>
      <c r="L2050" t="s">
        <v>186</v>
      </c>
      <c r="M2050" s="4">
        <v>44219</v>
      </c>
      <c r="N2050" s="12">
        <f t="shared" si="94"/>
        <v>1</v>
      </c>
      <c r="O2050" s="13">
        <f t="shared" si="95"/>
        <v>2021</v>
      </c>
      <c r="P2050" t="s">
        <v>13</v>
      </c>
      <c r="Q2050" t="s">
        <v>5778</v>
      </c>
      <c r="R2050" t="s">
        <v>378</v>
      </c>
      <c r="S2050" t="str" cm="1">
        <f t="array" ref="S2050">_xlfn.IFS(R2050="COMPLETE", "COMPLETED", R2050="CANCELED", "CANCELED", TRUE, "PENDING")</f>
        <v>PENDING</v>
      </c>
      <c r="T2050" t="s">
        <v>90</v>
      </c>
      <c r="U2050">
        <f>VLOOKUP(A2050,ordered_items!$B:$E,4,0)</f>
        <v>39.75</v>
      </c>
    </row>
    <row r="2051" spans="1:21" x14ac:dyDescent="0.3">
      <c r="A2051">
        <v>76695</v>
      </c>
      <c r="B2051" t="s">
        <v>51</v>
      </c>
      <c r="C2051">
        <v>6</v>
      </c>
      <c r="D2051">
        <v>4</v>
      </c>
      <c r="E2051" t="str">
        <f t="shared" ref="E2051:E2114" si="96">IF(C2051-D2051&gt;0,"DELAYED"," ONTIME")</f>
        <v>DELAYED</v>
      </c>
      <c r="F2051">
        <f>VLOOKUP($A2051,ordered_items!$B$2:$E$4784,2,0)</f>
        <v>1362</v>
      </c>
      <c r="G2051">
        <f>VLOOKUP($A2051,ordered_items!$B$2:$E$4784,3,0)</f>
        <v>1</v>
      </c>
      <c r="H2051">
        <f>VLOOKUP($A2051,ordered_items!$B$2:$E$4784,4,0)</f>
        <v>39.75</v>
      </c>
      <c r="I2051" s="15">
        <f>VLOOKUP(F2051,product_info!$A$2:$D$73,4,0)</f>
        <v>9</v>
      </c>
      <c r="J2051" s="15" t="str">
        <f>VLOOKUP(I2051,department!$A$2:$B$13,2,0)</f>
        <v>Discs Shop</v>
      </c>
      <c r="K2051">
        <v>20248</v>
      </c>
      <c r="L2051" t="s">
        <v>295</v>
      </c>
      <c r="M2051" s="4">
        <v>44219</v>
      </c>
      <c r="N2051" s="12">
        <f t="shared" ref="N2051:N2114" si="97">MONTH(M2051)</f>
        <v>1</v>
      </c>
      <c r="O2051" s="13">
        <f t="shared" ref="O2051:O2114" si="98">YEAR(M2051)</f>
        <v>2021</v>
      </c>
      <c r="P2051" t="s">
        <v>13</v>
      </c>
      <c r="Q2051" t="s">
        <v>80</v>
      </c>
      <c r="R2051" t="s">
        <v>57</v>
      </c>
      <c r="S2051" t="str" cm="1">
        <f t="array" ref="S2051">_xlfn.IFS(R2051="COMPLETE", "COMPLETED", R2051="CANCELED", "CANCELED", TRUE, "PENDING")</f>
        <v>PENDING</v>
      </c>
      <c r="T2051" t="s">
        <v>16</v>
      </c>
      <c r="U2051">
        <f>VLOOKUP(A2051,ordered_items!$B:$E,4,0)</f>
        <v>39.75</v>
      </c>
    </row>
    <row r="2052" spans="1:21" x14ac:dyDescent="0.3">
      <c r="A2052">
        <v>76696</v>
      </c>
      <c r="B2052" t="s">
        <v>51</v>
      </c>
      <c r="C2052">
        <v>2</v>
      </c>
      <c r="D2052">
        <v>4</v>
      </c>
      <c r="E2052" t="str">
        <f t="shared" si="96"/>
        <v xml:space="preserve"> ONTIME</v>
      </c>
      <c r="F2052">
        <f>VLOOKUP($A2052,ordered_items!$B$2:$E$4784,2,0)</f>
        <v>1362</v>
      </c>
      <c r="G2052">
        <f>VLOOKUP($A2052,ordered_items!$B$2:$E$4784,3,0)</f>
        <v>1</v>
      </c>
      <c r="H2052">
        <f>VLOOKUP($A2052,ordered_items!$B$2:$E$4784,4,0)</f>
        <v>39.75</v>
      </c>
      <c r="I2052" s="15">
        <f>VLOOKUP(F2052,product_info!$A$2:$D$73,4,0)</f>
        <v>9</v>
      </c>
      <c r="J2052" s="15" t="str">
        <f>VLOOKUP(I2052,department!$A$2:$B$13,2,0)</f>
        <v>Discs Shop</v>
      </c>
      <c r="K2052">
        <v>20249</v>
      </c>
      <c r="L2052" t="s">
        <v>295</v>
      </c>
      <c r="M2052" s="4">
        <v>44219</v>
      </c>
      <c r="N2052" s="12">
        <f t="shared" si="97"/>
        <v>1</v>
      </c>
      <c r="O2052" s="13">
        <f t="shared" si="98"/>
        <v>2021</v>
      </c>
      <c r="P2052" t="s">
        <v>13</v>
      </c>
      <c r="Q2052" t="s">
        <v>80</v>
      </c>
      <c r="R2052" t="s">
        <v>57</v>
      </c>
      <c r="S2052" t="str" cm="1">
        <f t="array" ref="S2052">_xlfn.IFS(R2052="COMPLETE", "COMPLETED", R2052="CANCELED", "CANCELED", TRUE, "PENDING")</f>
        <v>PENDING</v>
      </c>
      <c r="T2052" t="s">
        <v>16</v>
      </c>
      <c r="U2052">
        <f>VLOOKUP(A2052,ordered_items!$B:$E,4,0)</f>
        <v>39.75</v>
      </c>
    </row>
    <row r="2053" spans="1:21" x14ac:dyDescent="0.3">
      <c r="A2053">
        <v>76706</v>
      </c>
      <c r="B2053" t="s">
        <v>51</v>
      </c>
      <c r="C2053">
        <v>2</v>
      </c>
      <c r="D2053">
        <v>2</v>
      </c>
      <c r="E2053" t="str">
        <f t="shared" si="96"/>
        <v xml:space="preserve"> ONTIME</v>
      </c>
      <c r="F2053">
        <f>VLOOKUP($A2053,ordered_items!$B$2:$E$4784,2,0)</f>
        <v>1362</v>
      </c>
      <c r="G2053">
        <f>VLOOKUP($A2053,ordered_items!$B$2:$E$4784,3,0)</f>
        <v>1</v>
      </c>
      <c r="H2053">
        <f>VLOOKUP($A2053,ordered_items!$B$2:$E$4784,4,0)</f>
        <v>39.75</v>
      </c>
      <c r="I2053" s="15">
        <f>VLOOKUP(F2053,product_info!$A$2:$D$73,4,0)</f>
        <v>9</v>
      </c>
      <c r="J2053" s="15" t="str">
        <f>VLOOKUP(I2053,department!$A$2:$B$13,2,0)</f>
        <v>Discs Shop</v>
      </c>
      <c r="K2053">
        <v>20259</v>
      </c>
      <c r="L2053" t="s">
        <v>743</v>
      </c>
      <c r="M2053" s="4">
        <v>44219</v>
      </c>
      <c r="N2053" s="12">
        <f t="shared" si="97"/>
        <v>1</v>
      </c>
      <c r="O2053" s="13">
        <f t="shared" si="98"/>
        <v>2021</v>
      </c>
      <c r="P2053" t="s">
        <v>13</v>
      </c>
      <c r="Q2053" t="s">
        <v>5780</v>
      </c>
      <c r="R2053" t="s">
        <v>57</v>
      </c>
      <c r="S2053" t="str" cm="1">
        <f t="array" ref="S2053">_xlfn.IFS(R2053="COMPLETE", "COMPLETED", R2053="CANCELED", "CANCELED", TRUE, "PENDING")</f>
        <v>PENDING</v>
      </c>
      <c r="T2053" t="s">
        <v>90</v>
      </c>
      <c r="U2053">
        <f>VLOOKUP(A2053,ordered_items!$B:$E,4,0)</f>
        <v>39.75</v>
      </c>
    </row>
    <row r="2054" spans="1:21" x14ac:dyDescent="0.3">
      <c r="A2054">
        <v>76707</v>
      </c>
      <c r="B2054" t="s">
        <v>17</v>
      </c>
      <c r="C2054">
        <v>3</v>
      </c>
      <c r="D2054">
        <v>4</v>
      </c>
      <c r="E2054" t="str">
        <f t="shared" si="96"/>
        <v xml:space="preserve"> ONTIME</v>
      </c>
      <c r="F2054">
        <f>VLOOKUP($A2054,ordered_items!$B$2:$E$4784,2,0)</f>
        <v>1362</v>
      </c>
      <c r="G2054">
        <f>VLOOKUP($A2054,ordered_items!$B$2:$E$4784,3,0)</f>
        <v>1</v>
      </c>
      <c r="H2054">
        <f>VLOOKUP($A2054,ordered_items!$B$2:$E$4784,4,0)</f>
        <v>39.75</v>
      </c>
      <c r="I2054" s="15">
        <f>VLOOKUP(F2054,product_info!$A$2:$D$73,4,0)</f>
        <v>9</v>
      </c>
      <c r="J2054" s="15" t="str">
        <f>VLOOKUP(I2054,department!$A$2:$B$13,2,0)</f>
        <v>Discs Shop</v>
      </c>
      <c r="K2054">
        <v>20260</v>
      </c>
      <c r="L2054" t="s">
        <v>743</v>
      </c>
      <c r="M2054" s="4">
        <v>44219</v>
      </c>
      <c r="N2054" s="12">
        <f t="shared" si="97"/>
        <v>1</v>
      </c>
      <c r="O2054" s="13">
        <f t="shared" si="98"/>
        <v>2021</v>
      </c>
      <c r="P2054" t="s">
        <v>13</v>
      </c>
      <c r="Q2054" t="s">
        <v>5780</v>
      </c>
      <c r="R2054" t="s">
        <v>23</v>
      </c>
      <c r="S2054" t="str" cm="1">
        <f t="array" ref="S2054">_xlfn.IFS(R2054="COMPLETE", "COMPLETED", R2054="CANCELED", "CANCELED", TRUE, "PENDING")</f>
        <v>PENDING</v>
      </c>
      <c r="T2054" t="s">
        <v>16</v>
      </c>
      <c r="U2054">
        <f>VLOOKUP(A2054,ordered_items!$B:$E,4,0)</f>
        <v>39.75</v>
      </c>
    </row>
    <row r="2055" spans="1:21" x14ac:dyDescent="0.3">
      <c r="A2055">
        <v>76724</v>
      </c>
      <c r="B2055" t="s">
        <v>51</v>
      </c>
      <c r="C2055">
        <v>5</v>
      </c>
      <c r="D2055">
        <v>2</v>
      </c>
      <c r="E2055" t="str">
        <f t="shared" si="96"/>
        <v>DELAYED</v>
      </c>
      <c r="F2055">
        <f>VLOOKUP($A2055,ordered_items!$B$2:$E$4784,2,0)</f>
        <v>1362</v>
      </c>
      <c r="G2055">
        <f>VLOOKUP($A2055,ordered_items!$B$2:$E$4784,3,0)</f>
        <v>1</v>
      </c>
      <c r="H2055">
        <f>VLOOKUP($A2055,ordered_items!$B$2:$E$4784,4,0)</f>
        <v>39.75</v>
      </c>
      <c r="I2055" s="15">
        <f>VLOOKUP(F2055,product_info!$A$2:$D$73,4,0)</f>
        <v>9</v>
      </c>
      <c r="J2055" s="15" t="str">
        <f>VLOOKUP(I2055,department!$A$2:$B$13,2,0)</f>
        <v>Discs Shop</v>
      </c>
      <c r="K2055">
        <v>20277</v>
      </c>
      <c r="L2055" t="s">
        <v>525</v>
      </c>
      <c r="M2055" s="4">
        <v>44219</v>
      </c>
      <c r="N2055" s="12">
        <f t="shared" si="97"/>
        <v>1</v>
      </c>
      <c r="O2055" s="13">
        <f t="shared" si="98"/>
        <v>2021</v>
      </c>
      <c r="P2055" t="s">
        <v>13</v>
      </c>
      <c r="Q2055" t="s">
        <v>5778</v>
      </c>
      <c r="R2055" t="s">
        <v>57</v>
      </c>
      <c r="S2055" t="str" cm="1">
        <f t="array" ref="S2055">_xlfn.IFS(R2055="COMPLETE", "COMPLETED", R2055="CANCELED", "CANCELED", TRUE, "PENDING")</f>
        <v>PENDING</v>
      </c>
      <c r="T2055" t="s">
        <v>90</v>
      </c>
      <c r="U2055">
        <f>VLOOKUP(A2055,ordered_items!$B:$E,4,0)</f>
        <v>39.75</v>
      </c>
    </row>
    <row r="2056" spans="1:21" x14ac:dyDescent="0.3">
      <c r="A2056">
        <v>76733</v>
      </c>
      <c r="B2056" t="s">
        <v>24</v>
      </c>
      <c r="C2056">
        <v>4</v>
      </c>
      <c r="D2056">
        <v>4</v>
      </c>
      <c r="E2056" t="str">
        <f t="shared" si="96"/>
        <v xml:space="preserve"> ONTIME</v>
      </c>
      <c r="F2056">
        <f>VLOOKUP($A2056,ordered_items!$B$2:$E$4784,2,0)</f>
        <v>1362</v>
      </c>
      <c r="G2056">
        <f>VLOOKUP($A2056,ordered_items!$B$2:$E$4784,3,0)</f>
        <v>1</v>
      </c>
      <c r="H2056">
        <f>VLOOKUP($A2056,ordered_items!$B$2:$E$4784,4,0)</f>
        <v>39.75</v>
      </c>
      <c r="I2056" s="15">
        <f>VLOOKUP(F2056,product_info!$A$2:$D$73,4,0)</f>
        <v>9</v>
      </c>
      <c r="J2056" s="15" t="str">
        <f>VLOOKUP(I2056,department!$A$2:$B$13,2,0)</f>
        <v>Discs Shop</v>
      </c>
      <c r="K2056">
        <v>20286</v>
      </c>
      <c r="L2056" t="s">
        <v>768</v>
      </c>
      <c r="M2056" s="4">
        <v>44220</v>
      </c>
      <c r="N2056" s="12">
        <f t="shared" si="97"/>
        <v>1</v>
      </c>
      <c r="O2056" s="13">
        <f t="shared" si="98"/>
        <v>2021</v>
      </c>
      <c r="P2056" t="s">
        <v>13</v>
      </c>
      <c r="Q2056" t="s">
        <v>431</v>
      </c>
      <c r="R2056" t="s">
        <v>31</v>
      </c>
      <c r="S2056" t="str" cm="1">
        <f t="array" ref="S2056">_xlfn.IFS(R2056="COMPLETE", "COMPLETED", R2056="CANCELED", "CANCELED", TRUE, "PENDING")</f>
        <v>COMPLETED</v>
      </c>
      <c r="T2056" t="s">
        <v>16</v>
      </c>
      <c r="U2056">
        <f>VLOOKUP(A2056,ordered_items!$B:$E,4,0)</f>
        <v>39.75</v>
      </c>
    </row>
    <row r="2057" spans="1:21" x14ac:dyDescent="0.3">
      <c r="A2057">
        <v>76734</v>
      </c>
      <c r="B2057" t="s">
        <v>24</v>
      </c>
      <c r="C2057">
        <v>5</v>
      </c>
      <c r="D2057">
        <v>4</v>
      </c>
      <c r="E2057" t="str">
        <f t="shared" si="96"/>
        <v>DELAYED</v>
      </c>
      <c r="F2057">
        <f>VLOOKUP($A2057,ordered_items!$B$2:$E$4784,2,0)</f>
        <v>1362</v>
      </c>
      <c r="G2057">
        <f>VLOOKUP($A2057,ordered_items!$B$2:$E$4784,3,0)</f>
        <v>1</v>
      </c>
      <c r="H2057">
        <f>VLOOKUP($A2057,ordered_items!$B$2:$E$4784,4,0)</f>
        <v>39.75</v>
      </c>
      <c r="I2057" s="15">
        <f>VLOOKUP(F2057,product_info!$A$2:$D$73,4,0)</f>
        <v>9</v>
      </c>
      <c r="J2057" s="15" t="str">
        <f>VLOOKUP(I2057,department!$A$2:$B$13,2,0)</f>
        <v>Discs Shop</v>
      </c>
      <c r="K2057">
        <v>20287</v>
      </c>
      <c r="L2057" t="s">
        <v>768</v>
      </c>
      <c r="M2057" s="4">
        <v>44220</v>
      </c>
      <c r="N2057" s="12">
        <f t="shared" si="97"/>
        <v>1</v>
      </c>
      <c r="O2057" s="13">
        <f t="shared" si="98"/>
        <v>2021</v>
      </c>
      <c r="P2057" t="s">
        <v>13</v>
      </c>
      <c r="Q2057" t="s">
        <v>431</v>
      </c>
      <c r="R2057" t="s">
        <v>31</v>
      </c>
      <c r="S2057" t="str" cm="1">
        <f t="array" ref="S2057">_xlfn.IFS(R2057="COMPLETE", "COMPLETED", R2057="CANCELED", "CANCELED", TRUE, "PENDING")</f>
        <v>COMPLETED</v>
      </c>
      <c r="T2057" t="s">
        <v>16</v>
      </c>
      <c r="U2057">
        <f>VLOOKUP(A2057,ordered_items!$B:$E,4,0)</f>
        <v>39.75</v>
      </c>
    </row>
    <row r="2058" spans="1:21" x14ac:dyDescent="0.3">
      <c r="A2058">
        <v>76735</v>
      </c>
      <c r="B2058" t="s">
        <v>17</v>
      </c>
      <c r="C2058">
        <v>6</v>
      </c>
      <c r="D2058">
        <v>4</v>
      </c>
      <c r="E2058" t="str">
        <f t="shared" si="96"/>
        <v>DELAYED</v>
      </c>
      <c r="F2058">
        <f>VLOOKUP($A2058,ordered_items!$B$2:$E$4784,2,0)</f>
        <v>1362</v>
      </c>
      <c r="G2058">
        <f>VLOOKUP($A2058,ordered_items!$B$2:$E$4784,3,0)</f>
        <v>1</v>
      </c>
      <c r="H2058">
        <f>VLOOKUP($A2058,ordered_items!$B$2:$E$4784,4,0)</f>
        <v>39.75</v>
      </c>
      <c r="I2058" s="15">
        <f>VLOOKUP(F2058,product_info!$A$2:$D$73,4,0)</f>
        <v>9</v>
      </c>
      <c r="J2058" s="15" t="str">
        <f>VLOOKUP(I2058,department!$A$2:$B$13,2,0)</f>
        <v>Discs Shop</v>
      </c>
      <c r="K2058">
        <v>20288</v>
      </c>
      <c r="L2058" t="s">
        <v>768</v>
      </c>
      <c r="M2058" s="4">
        <v>44220</v>
      </c>
      <c r="N2058" s="12">
        <f t="shared" si="97"/>
        <v>1</v>
      </c>
      <c r="O2058" s="13">
        <f t="shared" si="98"/>
        <v>2021</v>
      </c>
      <c r="P2058" t="s">
        <v>13</v>
      </c>
      <c r="Q2058" t="s">
        <v>431</v>
      </c>
      <c r="R2058" t="s">
        <v>23</v>
      </c>
      <c r="S2058" t="str" cm="1">
        <f t="array" ref="S2058">_xlfn.IFS(R2058="COMPLETE", "COMPLETED", R2058="CANCELED", "CANCELED", TRUE, "PENDING")</f>
        <v>PENDING</v>
      </c>
      <c r="T2058" t="s">
        <v>16</v>
      </c>
      <c r="U2058">
        <f>VLOOKUP(A2058,ordered_items!$B:$E,4,0)</f>
        <v>39.75</v>
      </c>
    </row>
    <row r="2059" spans="1:21" x14ac:dyDescent="0.3">
      <c r="A2059">
        <v>76736</v>
      </c>
      <c r="B2059" t="s">
        <v>51</v>
      </c>
      <c r="C2059">
        <v>2</v>
      </c>
      <c r="D2059">
        <v>4</v>
      </c>
      <c r="E2059" t="str">
        <f t="shared" si="96"/>
        <v xml:space="preserve"> ONTIME</v>
      </c>
      <c r="F2059">
        <f>VLOOKUP($A2059,ordered_items!$B$2:$E$4784,2,0)</f>
        <v>1362</v>
      </c>
      <c r="G2059">
        <f>VLOOKUP($A2059,ordered_items!$B$2:$E$4784,3,0)</f>
        <v>1</v>
      </c>
      <c r="H2059">
        <f>VLOOKUP($A2059,ordered_items!$B$2:$E$4784,4,0)</f>
        <v>39.75</v>
      </c>
      <c r="I2059" s="15">
        <f>VLOOKUP(F2059,product_info!$A$2:$D$73,4,0)</f>
        <v>9</v>
      </c>
      <c r="J2059" s="15" t="str">
        <f>VLOOKUP(I2059,department!$A$2:$B$13,2,0)</f>
        <v>Discs Shop</v>
      </c>
      <c r="K2059">
        <v>20289</v>
      </c>
      <c r="L2059" t="s">
        <v>768</v>
      </c>
      <c r="M2059" s="4">
        <v>44220</v>
      </c>
      <c r="N2059" s="12">
        <f t="shared" si="97"/>
        <v>1</v>
      </c>
      <c r="O2059" s="13">
        <f t="shared" si="98"/>
        <v>2021</v>
      </c>
      <c r="P2059" t="s">
        <v>13</v>
      </c>
      <c r="Q2059" t="s">
        <v>431</v>
      </c>
      <c r="R2059" t="s">
        <v>57</v>
      </c>
      <c r="S2059" t="str" cm="1">
        <f t="array" ref="S2059">_xlfn.IFS(R2059="COMPLETE", "COMPLETED", R2059="CANCELED", "CANCELED", TRUE, "PENDING")</f>
        <v>PENDING</v>
      </c>
      <c r="T2059" t="s">
        <v>16</v>
      </c>
      <c r="U2059">
        <f>VLOOKUP(A2059,ordered_items!$B:$E,4,0)</f>
        <v>39.75</v>
      </c>
    </row>
    <row r="2060" spans="1:21" x14ac:dyDescent="0.3">
      <c r="A2060">
        <v>76740</v>
      </c>
      <c r="B2060" t="s">
        <v>3</v>
      </c>
      <c r="C2060">
        <v>6</v>
      </c>
      <c r="D2060">
        <v>4</v>
      </c>
      <c r="E2060" t="str">
        <f t="shared" si="96"/>
        <v>DELAYED</v>
      </c>
      <c r="F2060">
        <f>VLOOKUP($A2060,ordered_items!$B$2:$E$4784,2,0)</f>
        <v>1362</v>
      </c>
      <c r="G2060">
        <f>VLOOKUP($A2060,ordered_items!$B$2:$E$4784,3,0)</f>
        <v>1</v>
      </c>
      <c r="H2060">
        <f>VLOOKUP($A2060,ordered_items!$B$2:$E$4784,4,0)</f>
        <v>39.75</v>
      </c>
      <c r="I2060" s="15">
        <f>VLOOKUP(F2060,product_info!$A$2:$D$73,4,0)</f>
        <v>9</v>
      </c>
      <c r="J2060" s="15" t="str">
        <f>VLOOKUP(I2060,department!$A$2:$B$13,2,0)</f>
        <v>Discs Shop</v>
      </c>
      <c r="K2060">
        <v>20293</v>
      </c>
      <c r="L2060" t="s">
        <v>713</v>
      </c>
      <c r="M2060" s="4">
        <v>44220</v>
      </c>
      <c r="N2060" s="12">
        <f t="shared" si="97"/>
        <v>1</v>
      </c>
      <c r="O2060" s="13">
        <f t="shared" si="98"/>
        <v>2021</v>
      </c>
      <c r="P2060" t="s">
        <v>13</v>
      </c>
      <c r="Q2060" t="s">
        <v>99</v>
      </c>
      <c r="R2060" t="s">
        <v>14</v>
      </c>
      <c r="S2060" t="str" cm="1">
        <f t="array" ref="S2060">_xlfn.IFS(R2060="COMPLETE", "COMPLETED", R2060="CANCELED", "CANCELED", TRUE, "PENDING")</f>
        <v>PENDING</v>
      </c>
      <c r="T2060" t="s">
        <v>16</v>
      </c>
      <c r="U2060">
        <f>VLOOKUP(A2060,ordered_items!$B:$E,4,0)</f>
        <v>39.75</v>
      </c>
    </row>
    <row r="2061" spans="1:21" x14ac:dyDescent="0.3">
      <c r="A2061">
        <v>76758</v>
      </c>
      <c r="B2061" t="s">
        <v>3</v>
      </c>
      <c r="C2061">
        <v>4</v>
      </c>
      <c r="D2061">
        <v>4</v>
      </c>
      <c r="E2061" t="str">
        <f t="shared" si="96"/>
        <v xml:space="preserve"> ONTIME</v>
      </c>
      <c r="F2061">
        <f>VLOOKUP($A2061,ordered_items!$B$2:$E$4784,2,0)</f>
        <v>1362</v>
      </c>
      <c r="G2061">
        <f>VLOOKUP($A2061,ordered_items!$B$2:$E$4784,3,0)</f>
        <v>1</v>
      </c>
      <c r="H2061">
        <f>VLOOKUP($A2061,ordered_items!$B$2:$E$4784,4,0)</f>
        <v>39.75</v>
      </c>
      <c r="I2061" s="15">
        <f>VLOOKUP(F2061,product_info!$A$2:$D$73,4,0)</f>
        <v>9</v>
      </c>
      <c r="J2061" s="15" t="str">
        <f>VLOOKUP(I2061,department!$A$2:$B$13,2,0)</f>
        <v>Discs Shop</v>
      </c>
      <c r="K2061">
        <v>20311</v>
      </c>
      <c r="L2061" t="s">
        <v>317</v>
      </c>
      <c r="M2061" s="4">
        <v>44220</v>
      </c>
      <c r="N2061" s="12">
        <f t="shared" si="97"/>
        <v>1</v>
      </c>
      <c r="O2061" s="13">
        <f t="shared" si="98"/>
        <v>2021</v>
      </c>
      <c r="P2061" t="s">
        <v>13</v>
      </c>
      <c r="Q2061" t="s">
        <v>227</v>
      </c>
      <c r="R2061" t="s">
        <v>14</v>
      </c>
      <c r="S2061" t="str" cm="1">
        <f t="array" ref="S2061">_xlfn.IFS(R2061="COMPLETE", "COMPLETED", R2061="CANCELED", "CANCELED", TRUE, "PENDING")</f>
        <v>PENDING</v>
      </c>
      <c r="T2061" t="s">
        <v>16</v>
      </c>
      <c r="U2061">
        <f>VLOOKUP(A2061,ordered_items!$B:$E,4,0)</f>
        <v>39.75</v>
      </c>
    </row>
    <row r="2062" spans="1:21" x14ac:dyDescent="0.3">
      <c r="A2062">
        <v>76759</v>
      </c>
      <c r="B2062" t="s">
        <v>51</v>
      </c>
      <c r="C2062">
        <v>5</v>
      </c>
      <c r="D2062">
        <v>2</v>
      </c>
      <c r="E2062" t="str">
        <f t="shared" si="96"/>
        <v>DELAYED</v>
      </c>
      <c r="F2062">
        <f>VLOOKUP($A2062,ordered_items!$B$2:$E$4784,2,0)</f>
        <v>1362</v>
      </c>
      <c r="G2062">
        <f>VLOOKUP($A2062,ordered_items!$B$2:$E$4784,3,0)</f>
        <v>1</v>
      </c>
      <c r="H2062">
        <f>VLOOKUP($A2062,ordered_items!$B$2:$E$4784,4,0)</f>
        <v>39.75</v>
      </c>
      <c r="I2062" s="15">
        <f>VLOOKUP(F2062,product_info!$A$2:$D$73,4,0)</f>
        <v>9</v>
      </c>
      <c r="J2062" s="15" t="str">
        <f>VLOOKUP(I2062,department!$A$2:$B$13,2,0)</f>
        <v>Discs Shop</v>
      </c>
      <c r="K2062">
        <v>20312</v>
      </c>
      <c r="L2062" t="s">
        <v>317</v>
      </c>
      <c r="M2062" s="4">
        <v>44220</v>
      </c>
      <c r="N2062" s="12">
        <f t="shared" si="97"/>
        <v>1</v>
      </c>
      <c r="O2062" s="13">
        <f t="shared" si="98"/>
        <v>2021</v>
      </c>
      <c r="P2062" t="s">
        <v>13</v>
      </c>
      <c r="Q2062" t="s">
        <v>227</v>
      </c>
      <c r="R2062" t="s">
        <v>57</v>
      </c>
      <c r="S2062" t="str" cm="1">
        <f t="array" ref="S2062">_xlfn.IFS(R2062="COMPLETE", "COMPLETED", R2062="CANCELED", "CANCELED", TRUE, "PENDING")</f>
        <v>PENDING</v>
      </c>
      <c r="T2062" t="s">
        <v>90</v>
      </c>
      <c r="U2062">
        <f>VLOOKUP(A2062,ordered_items!$B:$E,4,0)</f>
        <v>39.75</v>
      </c>
    </row>
    <row r="2063" spans="1:21" x14ac:dyDescent="0.3">
      <c r="A2063">
        <v>76760</v>
      </c>
      <c r="B2063" t="s">
        <v>17</v>
      </c>
      <c r="C2063">
        <v>6</v>
      </c>
      <c r="D2063">
        <v>2</v>
      </c>
      <c r="E2063" t="str">
        <f t="shared" si="96"/>
        <v>DELAYED</v>
      </c>
      <c r="F2063">
        <f>VLOOKUP($A2063,ordered_items!$B$2:$E$4784,2,0)</f>
        <v>1362</v>
      </c>
      <c r="G2063">
        <f>VLOOKUP($A2063,ordered_items!$B$2:$E$4784,3,0)</f>
        <v>1</v>
      </c>
      <c r="H2063">
        <f>VLOOKUP($A2063,ordered_items!$B$2:$E$4784,4,0)</f>
        <v>39.75</v>
      </c>
      <c r="I2063" s="15">
        <f>VLOOKUP(F2063,product_info!$A$2:$D$73,4,0)</f>
        <v>9</v>
      </c>
      <c r="J2063" s="15" t="str">
        <f>VLOOKUP(I2063,department!$A$2:$B$13,2,0)</f>
        <v>Discs Shop</v>
      </c>
      <c r="K2063">
        <v>20313</v>
      </c>
      <c r="L2063" t="s">
        <v>317</v>
      </c>
      <c r="M2063" s="4">
        <v>44220</v>
      </c>
      <c r="N2063" s="12">
        <f t="shared" si="97"/>
        <v>1</v>
      </c>
      <c r="O2063" s="13">
        <f t="shared" si="98"/>
        <v>2021</v>
      </c>
      <c r="P2063" t="s">
        <v>13</v>
      </c>
      <c r="Q2063" t="s">
        <v>227</v>
      </c>
      <c r="R2063" t="s">
        <v>23</v>
      </c>
      <c r="S2063" t="str" cm="1">
        <f t="array" ref="S2063">_xlfn.IFS(R2063="COMPLETE", "COMPLETED", R2063="CANCELED", "CANCELED", TRUE, "PENDING")</f>
        <v>PENDING</v>
      </c>
      <c r="T2063" t="s">
        <v>90</v>
      </c>
      <c r="U2063">
        <f>VLOOKUP(A2063,ordered_items!$B:$E,4,0)</f>
        <v>39.75</v>
      </c>
    </row>
    <row r="2064" spans="1:21" x14ac:dyDescent="0.3">
      <c r="A2064">
        <v>76761</v>
      </c>
      <c r="B2064" t="s">
        <v>3</v>
      </c>
      <c r="C2064">
        <v>2</v>
      </c>
      <c r="D2064">
        <v>4</v>
      </c>
      <c r="E2064" t="str">
        <f t="shared" si="96"/>
        <v xml:space="preserve"> ONTIME</v>
      </c>
      <c r="F2064">
        <f>VLOOKUP($A2064,ordered_items!$B$2:$E$4784,2,0)</f>
        <v>1362</v>
      </c>
      <c r="G2064">
        <f>VLOOKUP($A2064,ordered_items!$B$2:$E$4784,3,0)</f>
        <v>1</v>
      </c>
      <c r="H2064">
        <f>VLOOKUP($A2064,ordered_items!$B$2:$E$4784,4,0)</f>
        <v>39.75</v>
      </c>
      <c r="I2064" s="15">
        <f>VLOOKUP(F2064,product_info!$A$2:$D$73,4,0)</f>
        <v>9</v>
      </c>
      <c r="J2064" s="15" t="str">
        <f>VLOOKUP(I2064,department!$A$2:$B$13,2,0)</f>
        <v>Discs Shop</v>
      </c>
      <c r="K2064">
        <v>20314</v>
      </c>
      <c r="L2064" t="s">
        <v>317</v>
      </c>
      <c r="M2064" s="4">
        <v>44220</v>
      </c>
      <c r="N2064" s="12">
        <f t="shared" si="97"/>
        <v>1</v>
      </c>
      <c r="O2064" s="13">
        <f t="shared" si="98"/>
        <v>2021</v>
      </c>
      <c r="P2064" t="s">
        <v>13</v>
      </c>
      <c r="Q2064" t="s">
        <v>227</v>
      </c>
      <c r="R2064" t="s">
        <v>14</v>
      </c>
      <c r="S2064" t="str" cm="1">
        <f t="array" ref="S2064">_xlfn.IFS(R2064="COMPLETE", "COMPLETED", R2064="CANCELED", "CANCELED", TRUE, "PENDING")</f>
        <v>PENDING</v>
      </c>
      <c r="T2064" t="s">
        <v>16</v>
      </c>
      <c r="U2064">
        <f>VLOOKUP(A2064,ordered_items!$B:$E,4,0)</f>
        <v>39.75</v>
      </c>
    </row>
    <row r="2065" spans="1:21" x14ac:dyDescent="0.3">
      <c r="A2065">
        <v>76763</v>
      </c>
      <c r="B2065" t="s">
        <v>51</v>
      </c>
      <c r="C2065">
        <v>4</v>
      </c>
      <c r="D2065">
        <v>4</v>
      </c>
      <c r="E2065" t="str">
        <f t="shared" si="96"/>
        <v xml:space="preserve"> ONTIME</v>
      </c>
      <c r="F2065">
        <f>VLOOKUP($A2065,ordered_items!$B$2:$E$4784,2,0)</f>
        <v>1362</v>
      </c>
      <c r="G2065">
        <f>VLOOKUP($A2065,ordered_items!$B$2:$E$4784,3,0)</f>
        <v>1</v>
      </c>
      <c r="H2065">
        <f>VLOOKUP($A2065,ordered_items!$B$2:$E$4784,4,0)</f>
        <v>39.75</v>
      </c>
      <c r="I2065" s="15">
        <f>VLOOKUP(F2065,product_info!$A$2:$D$73,4,0)</f>
        <v>9</v>
      </c>
      <c r="J2065" s="15" t="str">
        <f>VLOOKUP(I2065,department!$A$2:$B$13,2,0)</f>
        <v>Discs Shop</v>
      </c>
      <c r="K2065">
        <v>20316</v>
      </c>
      <c r="L2065" t="s">
        <v>285</v>
      </c>
      <c r="M2065" s="4">
        <v>44220</v>
      </c>
      <c r="N2065" s="12">
        <f t="shared" si="97"/>
        <v>1</v>
      </c>
      <c r="O2065" s="13">
        <f t="shared" si="98"/>
        <v>2021</v>
      </c>
      <c r="P2065" t="s">
        <v>13</v>
      </c>
      <c r="Q2065" t="s">
        <v>286</v>
      </c>
      <c r="R2065" t="s">
        <v>57</v>
      </c>
      <c r="S2065" t="str" cm="1">
        <f t="array" ref="S2065">_xlfn.IFS(R2065="COMPLETE", "COMPLETED", R2065="CANCELED", "CANCELED", TRUE, "PENDING")</f>
        <v>PENDING</v>
      </c>
      <c r="T2065" t="s">
        <v>16</v>
      </c>
      <c r="U2065">
        <f>VLOOKUP(A2065,ordered_items!$B:$E,4,0)</f>
        <v>39.75</v>
      </c>
    </row>
    <row r="2066" spans="1:21" x14ac:dyDescent="0.3">
      <c r="A2066">
        <v>76764</v>
      </c>
      <c r="B2066" t="s">
        <v>24</v>
      </c>
      <c r="C2066">
        <v>5</v>
      </c>
      <c r="D2066">
        <v>4</v>
      </c>
      <c r="E2066" t="str">
        <f t="shared" si="96"/>
        <v>DELAYED</v>
      </c>
      <c r="F2066">
        <f>VLOOKUP($A2066,ordered_items!$B$2:$E$4784,2,0)</f>
        <v>1362</v>
      </c>
      <c r="G2066">
        <f>VLOOKUP($A2066,ordered_items!$B$2:$E$4784,3,0)</f>
        <v>1</v>
      </c>
      <c r="H2066">
        <f>VLOOKUP($A2066,ordered_items!$B$2:$E$4784,4,0)</f>
        <v>39.75</v>
      </c>
      <c r="I2066" s="15">
        <f>VLOOKUP(F2066,product_info!$A$2:$D$73,4,0)</f>
        <v>9</v>
      </c>
      <c r="J2066" s="15" t="str">
        <f>VLOOKUP(I2066,department!$A$2:$B$13,2,0)</f>
        <v>Discs Shop</v>
      </c>
      <c r="K2066">
        <v>20317</v>
      </c>
      <c r="L2066" t="s">
        <v>439</v>
      </c>
      <c r="M2066" s="4">
        <v>44220</v>
      </c>
      <c r="N2066" s="12">
        <f t="shared" si="97"/>
        <v>1</v>
      </c>
      <c r="O2066" s="13">
        <f t="shared" si="98"/>
        <v>2021</v>
      </c>
      <c r="P2066" t="s">
        <v>13</v>
      </c>
      <c r="Q2066" t="s">
        <v>377</v>
      </c>
      <c r="R2066" t="s">
        <v>31</v>
      </c>
      <c r="S2066" t="str" cm="1">
        <f t="array" ref="S2066">_xlfn.IFS(R2066="COMPLETE", "COMPLETED", R2066="CANCELED", "CANCELED", TRUE, "PENDING")</f>
        <v>COMPLETED</v>
      </c>
      <c r="T2066" t="s">
        <v>16</v>
      </c>
      <c r="U2066">
        <f>VLOOKUP(A2066,ordered_items!$B:$E,4,0)</f>
        <v>39.75</v>
      </c>
    </row>
    <row r="2067" spans="1:21" x14ac:dyDescent="0.3">
      <c r="A2067">
        <v>76767</v>
      </c>
      <c r="B2067" t="s">
        <v>51</v>
      </c>
      <c r="C2067">
        <v>3</v>
      </c>
      <c r="D2067">
        <v>2</v>
      </c>
      <c r="E2067" t="str">
        <f t="shared" si="96"/>
        <v>DELAYED</v>
      </c>
      <c r="F2067">
        <f>VLOOKUP($A2067,ordered_items!$B$2:$E$4784,2,0)</f>
        <v>1362</v>
      </c>
      <c r="G2067">
        <f>VLOOKUP($A2067,ordered_items!$B$2:$E$4784,3,0)</f>
        <v>1</v>
      </c>
      <c r="H2067">
        <f>VLOOKUP($A2067,ordered_items!$B$2:$E$4784,4,0)</f>
        <v>39.75</v>
      </c>
      <c r="I2067" s="15">
        <f>VLOOKUP(F2067,product_info!$A$2:$D$73,4,0)</f>
        <v>9</v>
      </c>
      <c r="J2067" s="15" t="str">
        <f>VLOOKUP(I2067,department!$A$2:$B$13,2,0)</f>
        <v>Discs Shop</v>
      </c>
      <c r="K2067">
        <v>20320</v>
      </c>
      <c r="L2067" t="s">
        <v>637</v>
      </c>
      <c r="M2067" s="4">
        <v>44220</v>
      </c>
      <c r="N2067" s="12">
        <f t="shared" si="97"/>
        <v>1</v>
      </c>
      <c r="O2067" s="13">
        <f t="shared" si="98"/>
        <v>2021</v>
      </c>
      <c r="P2067" t="s">
        <v>13</v>
      </c>
      <c r="Q2067" t="s">
        <v>234</v>
      </c>
      <c r="R2067" t="s">
        <v>57</v>
      </c>
      <c r="S2067" t="str" cm="1">
        <f t="array" ref="S2067">_xlfn.IFS(R2067="COMPLETE", "COMPLETED", R2067="CANCELED", "CANCELED", TRUE, "PENDING")</f>
        <v>PENDING</v>
      </c>
      <c r="T2067" t="s">
        <v>90</v>
      </c>
      <c r="U2067">
        <f>VLOOKUP(A2067,ordered_items!$B:$E,4,0)</f>
        <v>39.75</v>
      </c>
    </row>
    <row r="2068" spans="1:21" x14ac:dyDescent="0.3">
      <c r="A2068">
        <v>76773</v>
      </c>
      <c r="B2068" t="s">
        <v>3</v>
      </c>
      <c r="C2068">
        <v>4</v>
      </c>
      <c r="D2068">
        <v>4</v>
      </c>
      <c r="E2068" t="str">
        <f t="shared" si="96"/>
        <v xml:space="preserve"> ONTIME</v>
      </c>
      <c r="F2068">
        <f>VLOOKUP($A2068,ordered_items!$B$2:$E$4784,2,0)</f>
        <v>1362</v>
      </c>
      <c r="G2068">
        <f>VLOOKUP($A2068,ordered_items!$B$2:$E$4784,3,0)</f>
        <v>1</v>
      </c>
      <c r="H2068">
        <f>VLOOKUP($A2068,ordered_items!$B$2:$E$4784,4,0)</f>
        <v>39.75</v>
      </c>
      <c r="I2068" s="15">
        <f>VLOOKUP(F2068,product_info!$A$2:$D$73,4,0)</f>
        <v>9</v>
      </c>
      <c r="J2068" s="15" t="str">
        <f>VLOOKUP(I2068,department!$A$2:$B$13,2,0)</f>
        <v>Discs Shop</v>
      </c>
      <c r="K2068">
        <v>20326</v>
      </c>
      <c r="L2068" t="s">
        <v>119</v>
      </c>
      <c r="M2068" s="4">
        <v>44220</v>
      </c>
      <c r="N2068" s="12">
        <f t="shared" si="97"/>
        <v>1</v>
      </c>
      <c r="O2068" s="13">
        <f t="shared" si="98"/>
        <v>2021</v>
      </c>
      <c r="P2068" t="s">
        <v>13</v>
      </c>
      <c r="Q2068" t="s">
        <v>5781</v>
      </c>
      <c r="R2068" t="s">
        <v>14</v>
      </c>
      <c r="S2068" t="str" cm="1">
        <f t="array" ref="S2068">_xlfn.IFS(R2068="COMPLETE", "COMPLETED", R2068="CANCELED", "CANCELED", TRUE, "PENDING")</f>
        <v>PENDING</v>
      </c>
      <c r="T2068" t="s">
        <v>16</v>
      </c>
      <c r="U2068">
        <f>VLOOKUP(A2068,ordered_items!$B:$E,4,0)</f>
        <v>39.75</v>
      </c>
    </row>
    <row r="2069" spans="1:21" x14ac:dyDescent="0.3">
      <c r="A2069">
        <v>76774</v>
      </c>
      <c r="B2069" t="s">
        <v>24</v>
      </c>
      <c r="C2069">
        <v>5</v>
      </c>
      <c r="D2069">
        <v>4</v>
      </c>
      <c r="E2069" t="str">
        <f t="shared" si="96"/>
        <v>DELAYED</v>
      </c>
      <c r="F2069">
        <f>VLOOKUP($A2069,ordered_items!$B$2:$E$4784,2,0)</f>
        <v>1362</v>
      </c>
      <c r="G2069">
        <f>VLOOKUP($A2069,ordered_items!$B$2:$E$4784,3,0)</f>
        <v>1</v>
      </c>
      <c r="H2069">
        <f>VLOOKUP($A2069,ordered_items!$B$2:$E$4784,4,0)</f>
        <v>39.75</v>
      </c>
      <c r="I2069" s="15">
        <f>VLOOKUP(F2069,product_info!$A$2:$D$73,4,0)</f>
        <v>9</v>
      </c>
      <c r="J2069" s="15" t="str">
        <f>VLOOKUP(I2069,department!$A$2:$B$13,2,0)</f>
        <v>Discs Shop</v>
      </c>
      <c r="K2069">
        <v>20327</v>
      </c>
      <c r="L2069" t="s">
        <v>119</v>
      </c>
      <c r="M2069" s="4">
        <v>44220</v>
      </c>
      <c r="N2069" s="12">
        <f t="shared" si="97"/>
        <v>1</v>
      </c>
      <c r="O2069" s="13">
        <f t="shared" si="98"/>
        <v>2021</v>
      </c>
      <c r="P2069" t="s">
        <v>13</v>
      </c>
      <c r="Q2069" t="s">
        <v>5781</v>
      </c>
      <c r="R2069" t="s">
        <v>31</v>
      </c>
      <c r="S2069" t="str" cm="1">
        <f t="array" ref="S2069">_xlfn.IFS(R2069="COMPLETE", "COMPLETED", R2069="CANCELED", "CANCELED", TRUE, "PENDING")</f>
        <v>COMPLETED</v>
      </c>
      <c r="T2069" t="s">
        <v>16</v>
      </c>
      <c r="U2069">
        <f>VLOOKUP(A2069,ordered_items!$B:$E,4,0)</f>
        <v>39.75</v>
      </c>
    </row>
    <row r="2070" spans="1:21" x14ac:dyDescent="0.3">
      <c r="A2070">
        <v>76775</v>
      </c>
      <c r="B2070" t="s">
        <v>51</v>
      </c>
      <c r="C2070">
        <v>6</v>
      </c>
      <c r="D2070">
        <v>4</v>
      </c>
      <c r="E2070" t="str">
        <f t="shared" si="96"/>
        <v>DELAYED</v>
      </c>
      <c r="F2070">
        <f>VLOOKUP($A2070,ordered_items!$B$2:$E$4784,2,0)</f>
        <v>1362</v>
      </c>
      <c r="G2070">
        <f>VLOOKUP($A2070,ordered_items!$B$2:$E$4784,3,0)</f>
        <v>1</v>
      </c>
      <c r="H2070">
        <f>VLOOKUP($A2070,ordered_items!$B$2:$E$4784,4,0)</f>
        <v>39.75</v>
      </c>
      <c r="I2070" s="15">
        <f>VLOOKUP(F2070,product_info!$A$2:$D$73,4,0)</f>
        <v>9</v>
      </c>
      <c r="J2070" s="15" t="str">
        <f>VLOOKUP(I2070,department!$A$2:$B$13,2,0)</f>
        <v>Discs Shop</v>
      </c>
      <c r="K2070">
        <v>20328</v>
      </c>
      <c r="L2070" t="s">
        <v>119</v>
      </c>
      <c r="M2070" s="4">
        <v>44220</v>
      </c>
      <c r="N2070" s="12">
        <f t="shared" si="97"/>
        <v>1</v>
      </c>
      <c r="O2070" s="13">
        <f t="shared" si="98"/>
        <v>2021</v>
      </c>
      <c r="P2070" t="s">
        <v>13</v>
      </c>
      <c r="Q2070" t="s">
        <v>5781</v>
      </c>
      <c r="R2070" t="s">
        <v>57</v>
      </c>
      <c r="S2070" t="str" cm="1">
        <f t="array" ref="S2070">_xlfn.IFS(R2070="COMPLETE", "COMPLETED", R2070="CANCELED", "CANCELED", TRUE, "PENDING")</f>
        <v>PENDING</v>
      </c>
      <c r="T2070" t="s">
        <v>16</v>
      </c>
      <c r="U2070">
        <f>VLOOKUP(A2070,ordered_items!$B:$E,4,0)</f>
        <v>39.75</v>
      </c>
    </row>
    <row r="2071" spans="1:21" x14ac:dyDescent="0.3">
      <c r="A2071">
        <v>76776</v>
      </c>
      <c r="B2071" t="s">
        <v>51</v>
      </c>
      <c r="C2071">
        <v>1</v>
      </c>
      <c r="D2071">
        <v>0</v>
      </c>
      <c r="E2071" t="str">
        <f t="shared" si="96"/>
        <v>DELAYED</v>
      </c>
      <c r="F2071">
        <f>VLOOKUP($A2071,ordered_items!$B$2:$E$4784,2,0)</f>
        <v>1362</v>
      </c>
      <c r="G2071">
        <f>VLOOKUP($A2071,ordered_items!$B$2:$E$4784,3,0)</f>
        <v>1</v>
      </c>
      <c r="H2071">
        <f>VLOOKUP($A2071,ordered_items!$B$2:$E$4784,4,0)</f>
        <v>39.75</v>
      </c>
      <c r="I2071" s="15">
        <f>VLOOKUP(F2071,product_info!$A$2:$D$73,4,0)</f>
        <v>9</v>
      </c>
      <c r="J2071" s="15" t="str">
        <f>VLOOKUP(I2071,department!$A$2:$B$13,2,0)</f>
        <v>Discs Shop</v>
      </c>
      <c r="K2071">
        <v>20329</v>
      </c>
      <c r="L2071" t="s">
        <v>110</v>
      </c>
      <c r="M2071" s="4">
        <v>44220</v>
      </c>
      <c r="N2071" s="12">
        <f t="shared" si="97"/>
        <v>1</v>
      </c>
      <c r="O2071" s="13">
        <f t="shared" si="98"/>
        <v>2021</v>
      </c>
      <c r="P2071" t="s">
        <v>13</v>
      </c>
      <c r="Q2071" t="s">
        <v>99</v>
      </c>
      <c r="R2071" t="s">
        <v>57</v>
      </c>
      <c r="S2071" t="str" cm="1">
        <f t="array" ref="S2071">_xlfn.IFS(R2071="COMPLETE", "COMPLETED", R2071="CANCELED", "CANCELED", TRUE, "PENDING")</f>
        <v>PENDING</v>
      </c>
      <c r="T2071" t="s">
        <v>58</v>
      </c>
      <c r="U2071">
        <f>VLOOKUP(A2071,ordered_items!$B:$E,4,0)</f>
        <v>39.75</v>
      </c>
    </row>
    <row r="2072" spans="1:21" x14ac:dyDescent="0.3">
      <c r="A2072">
        <v>76777</v>
      </c>
      <c r="B2072" t="s">
        <v>17</v>
      </c>
      <c r="C2072">
        <v>1</v>
      </c>
      <c r="D2072">
        <v>0</v>
      </c>
      <c r="E2072" t="str">
        <f t="shared" si="96"/>
        <v>DELAYED</v>
      </c>
      <c r="F2072">
        <f>VLOOKUP($A2072,ordered_items!$B$2:$E$4784,2,0)</f>
        <v>1362</v>
      </c>
      <c r="G2072">
        <f>VLOOKUP($A2072,ordered_items!$B$2:$E$4784,3,0)</f>
        <v>1</v>
      </c>
      <c r="H2072">
        <f>VLOOKUP($A2072,ordered_items!$B$2:$E$4784,4,0)</f>
        <v>39.75</v>
      </c>
      <c r="I2072" s="15">
        <f>VLOOKUP(F2072,product_info!$A$2:$D$73,4,0)</f>
        <v>9</v>
      </c>
      <c r="J2072" s="15" t="str">
        <f>VLOOKUP(I2072,department!$A$2:$B$13,2,0)</f>
        <v>Discs Shop</v>
      </c>
      <c r="K2072">
        <v>20330</v>
      </c>
      <c r="L2072" t="s">
        <v>110</v>
      </c>
      <c r="M2072" s="4">
        <v>44220</v>
      </c>
      <c r="N2072" s="12">
        <f t="shared" si="97"/>
        <v>1</v>
      </c>
      <c r="O2072" s="13">
        <f t="shared" si="98"/>
        <v>2021</v>
      </c>
      <c r="P2072" t="s">
        <v>13</v>
      </c>
      <c r="Q2072" t="s">
        <v>99</v>
      </c>
      <c r="R2072" t="s">
        <v>23</v>
      </c>
      <c r="S2072" t="str" cm="1">
        <f t="array" ref="S2072">_xlfn.IFS(R2072="COMPLETE", "COMPLETED", R2072="CANCELED", "CANCELED", TRUE, "PENDING")</f>
        <v>PENDING</v>
      </c>
      <c r="T2072" t="s">
        <v>58</v>
      </c>
      <c r="U2072">
        <f>VLOOKUP(A2072,ordered_items!$B:$E,4,0)</f>
        <v>39.75</v>
      </c>
    </row>
    <row r="2073" spans="1:21" x14ac:dyDescent="0.3">
      <c r="A2073">
        <v>76778</v>
      </c>
      <c r="B2073" t="s">
        <v>51</v>
      </c>
      <c r="C2073">
        <v>1</v>
      </c>
      <c r="D2073">
        <v>0</v>
      </c>
      <c r="E2073" t="str">
        <f t="shared" si="96"/>
        <v>DELAYED</v>
      </c>
      <c r="F2073">
        <f>VLOOKUP($A2073,ordered_items!$B$2:$E$4784,2,0)</f>
        <v>1362</v>
      </c>
      <c r="G2073">
        <f>VLOOKUP($A2073,ordered_items!$B$2:$E$4784,3,0)</f>
        <v>1</v>
      </c>
      <c r="H2073">
        <f>VLOOKUP($A2073,ordered_items!$B$2:$E$4784,4,0)</f>
        <v>39.75</v>
      </c>
      <c r="I2073" s="15">
        <f>VLOOKUP(F2073,product_info!$A$2:$D$73,4,0)</f>
        <v>9</v>
      </c>
      <c r="J2073" s="15" t="str">
        <f>VLOOKUP(I2073,department!$A$2:$B$13,2,0)</f>
        <v>Discs Shop</v>
      </c>
      <c r="K2073">
        <v>20331</v>
      </c>
      <c r="L2073" t="s">
        <v>110</v>
      </c>
      <c r="M2073" s="4">
        <v>44220</v>
      </c>
      <c r="N2073" s="12">
        <f t="shared" si="97"/>
        <v>1</v>
      </c>
      <c r="O2073" s="13">
        <f t="shared" si="98"/>
        <v>2021</v>
      </c>
      <c r="P2073" t="s">
        <v>13</v>
      </c>
      <c r="Q2073" t="s">
        <v>99</v>
      </c>
      <c r="R2073" t="s">
        <v>57</v>
      </c>
      <c r="S2073" t="str" cm="1">
        <f t="array" ref="S2073">_xlfn.IFS(R2073="COMPLETE", "COMPLETED", R2073="CANCELED", "CANCELED", TRUE, "PENDING")</f>
        <v>PENDING</v>
      </c>
      <c r="T2073" t="s">
        <v>58</v>
      </c>
      <c r="U2073">
        <f>VLOOKUP(A2073,ordered_items!$B:$E,4,0)</f>
        <v>39.75</v>
      </c>
    </row>
    <row r="2074" spans="1:21" x14ac:dyDescent="0.3">
      <c r="A2074">
        <v>76779</v>
      </c>
      <c r="B2074" t="s">
        <v>24</v>
      </c>
      <c r="C2074">
        <v>1</v>
      </c>
      <c r="D2074">
        <v>0</v>
      </c>
      <c r="E2074" t="str">
        <f t="shared" si="96"/>
        <v>DELAYED</v>
      </c>
      <c r="F2074">
        <f>VLOOKUP($A2074,ordered_items!$B$2:$E$4784,2,0)</f>
        <v>1362</v>
      </c>
      <c r="G2074">
        <f>VLOOKUP($A2074,ordered_items!$B$2:$E$4784,3,0)</f>
        <v>1</v>
      </c>
      <c r="H2074">
        <f>VLOOKUP($A2074,ordered_items!$B$2:$E$4784,4,0)</f>
        <v>39.75</v>
      </c>
      <c r="I2074" s="15">
        <f>VLOOKUP(F2074,product_info!$A$2:$D$73,4,0)</f>
        <v>9</v>
      </c>
      <c r="J2074" s="15" t="str">
        <f>VLOOKUP(I2074,department!$A$2:$B$13,2,0)</f>
        <v>Discs Shop</v>
      </c>
      <c r="K2074">
        <v>20332</v>
      </c>
      <c r="L2074" t="s">
        <v>110</v>
      </c>
      <c r="M2074" s="4">
        <v>44220</v>
      </c>
      <c r="N2074" s="12">
        <f t="shared" si="97"/>
        <v>1</v>
      </c>
      <c r="O2074" s="13">
        <f t="shared" si="98"/>
        <v>2021</v>
      </c>
      <c r="P2074" t="s">
        <v>13</v>
      </c>
      <c r="Q2074" t="s">
        <v>99</v>
      </c>
      <c r="R2074" t="s">
        <v>31</v>
      </c>
      <c r="S2074" t="str" cm="1">
        <f t="array" ref="S2074">_xlfn.IFS(R2074="COMPLETE", "COMPLETED", R2074="CANCELED", "CANCELED", TRUE, "PENDING")</f>
        <v>COMPLETED</v>
      </c>
      <c r="T2074" t="s">
        <v>58</v>
      </c>
      <c r="U2074">
        <f>VLOOKUP(A2074,ordered_items!$B:$E,4,0)</f>
        <v>39.75</v>
      </c>
    </row>
    <row r="2075" spans="1:21" x14ac:dyDescent="0.3">
      <c r="A2075">
        <v>76780</v>
      </c>
      <c r="B2075" t="s">
        <v>24</v>
      </c>
      <c r="C2075">
        <v>1</v>
      </c>
      <c r="D2075">
        <v>0</v>
      </c>
      <c r="E2075" t="str">
        <f t="shared" si="96"/>
        <v>DELAYED</v>
      </c>
      <c r="F2075">
        <f>VLOOKUP($A2075,ordered_items!$B$2:$E$4784,2,0)</f>
        <v>1362</v>
      </c>
      <c r="G2075">
        <f>VLOOKUP($A2075,ordered_items!$B$2:$E$4784,3,0)</f>
        <v>1</v>
      </c>
      <c r="H2075">
        <f>VLOOKUP($A2075,ordered_items!$B$2:$E$4784,4,0)</f>
        <v>39.75</v>
      </c>
      <c r="I2075" s="15">
        <f>VLOOKUP(F2075,product_info!$A$2:$D$73,4,0)</f>
        <v>9</v>
      </c>
      <c r="J2075" s="15" t="str">
        <f>VLOOKUP(I2075,department!$A$2:$B$13,2,0)</f>
        <v>Discs Shop</v>
      </c>
      <c r="K2075">
        <v>20333</v>
      </c>
      <c r="L2075" t="s">
        <v>110</v>
      </c>
      <c r="M2075" s="4">
        <v>44220</v>
      </c>
      <c r="N2075" s="12">
        <f t="shared" si="97"/>
        <v>1</v>
      </c>
      <c r="O2075" s="13">
        <f t="shared" si="98"/>
        <v>2021</v>
      </c>
      <c r="P2075" t="s">
        <v>13</v>
      </c>
      <c r="Q2075" t="s">
        <v>99</v>
      </c>
      <c r="R2075" t="s">
        <v>31</v>
      </c>
      <c r="S2075" t="str" cm="1">
        <f t="array" ref="S2075">_xlfn.IFS(R2075="COMPLETE", "COMPLETED", R2075="CANCELED", "CANCELED", TRUE, "PENDING")</f>
        <v>COMPLETED</v>
      </c>
      <c r="T2075" t="s">
        <v>58</v>
      </c>
      <c r="U2075">
        <f>VLOOKUP(A2075,ordered_items!$B:$E,4,0)</f>
        <v>39.75</v>
      </c>
    </row>
    <row r="2076" spans="1:21" x14ac:dyDescent="0.3">
      <c r="A2076">
        <v>76793</v>
      </c>
      <c r="B2076" t="s">
        <v>24</v>
      </c>
      <c r="C2076">
        <v>1</v>
      </c>
      <c r="D2076">
        <v>0</v>
      </c>
      <c r="E2076" t="str">
        <f t="shared" si="96"/>
        <v>DELAYED</v>
      </c>
      <c r="F2076">
        <f>VLOOKUP($A2076,ordered_items!$B$2:$E$4784,2,0)</f>
        <v>1362</v>
      </c>
      <c r="G2076">
        <f>VLOOKUP($A2076,ordered_items!$B$2:$E$4784,3,0)</f>
        <v>1</v>
      </c>
      <c r="H2076">
        <f>VLOOKUP($A2076,ordered_items!$B$2:$E$4784,4,0)</f>
        <v>39.75</v>
      </c>
      <c r="I2076" s="15">
        <f>VLOOKUP(F2076,product_info!$A$2:$D$73,4,0)</f>
        <v>9</v>
      </c>
      <c r="J2076" s="15" t="str">
        <f>VLOOKUP(I2076,department!$A$2:$B$13,2,0)</f>
        <v>Discs Shop</v>
      </c>
      <c r="K2076">
        <v>20346</v>
      </c>
      <c r="L2076" t="s">
        <v>1040</v>
      </c>
      <c r="M2076" s="4">
        <v>44220</v>
      </c>
      <c r="N2076" s="12">
        <f t="shared" si="97"/>
        <v>1</v>
      </c>
      <c r="O2076" s="13">
        <f t="shared" si="98"/>
        <v>2021</v>
      </c>
      <c r="P2076" t="s">
        <v>13</v>
      </c>
      <c r="Q2076" t="s">
        <v>377</v>
      </c>
      <c r="R2076" t="s">
        <v>31</v>
      </c>
      <c r="S2076" t="str" cm="1">
        <f t="array" ref="S2076">_xlfn.IFS(R2076="COMPLETE", "COMPLETED", R2076="CANCELED", "CANCELED", TRUE, "PENDING")</f>
        <v>COMPLETED</v>
      </c>
      <c r="T2076" t="s">
        <v>58</v>
      </c>
      <c r="U2076">
        <f>VLOOKUP(A2076,ordered_items!$B:$E,4,0)</f>
        <v>39.75</v>
      </c>
    </row>
    <row r="2077" spans="1:21" x14ac:dyDescent="0.3">
      <c r="A2077">
        <v>76794</v>
      </c>
      <c r="B2077" t="s">
        <v>17</v>
      </c>
      <c r="C2077">
        <v>2</v>
      </c>
      <c r="D2077">
        <v>1</v>
      </c>
      <c r="E2077" t="str">
        <f t="shared" si="96"/>
        <v>DELAYED</v>
      </c>
      <c r="F2077">
        <f>VLOOKUP($A2077,ordered_items!$B$2:$E$4784,2,0)</f>
        <v>1362</v>
      </c>
      <c r="G2077">
        <f>VLOOKUP($A2077,ordered_items!$B$2:$E$4784,3,0)</f>
        <v>1</v>
      </c>
      <c r="H2077">
        <f>VLOOKUP($A2077,ordered_items!$B$2:$E$4784,4,0)</f>
        <v>39.75</v>
      </c>
      <c r="I2077" s="15">
        <f>VLOOKUP(F2077,product_info!$A$2:$D$73,4,0)</f>
        <v>9</v>
      </c>
      <c r="J2077" s="15" t="str">
        <f>VLOOKUP(I2077,department!$A$2:$B$13,2,0)</f>
        <v>Discs Shop</v>
      </c>
      <c r="K2077">
        <v>20347</v>
      </c>
      <c r="L2077" t="s">
        <v>1040</v>
      </c>
      <c r="M2077" s="4">
        <v>44221</v>
      </c>
      <c r="N2077" s="12">
        <f t="shared" si="97"/>
        <v>1</v>
      </c>
      <c r="O2077" s="13">
        <f t="shared" si="98"/>
        <v>2021</v>
      </c>
      <c r="P2077" t="s">
        <v>13</v>
      </c>
      <c r="Q2077" t="s">
        <v>377</v>
      </c>
      <c r="R2077" t="s">
        <v>23</v>
      </c>
      <c r="S2077" t="str" cm="1">
        <f t="array" ref="S2077">_xlfn.IFS(R2077="COMPLETE", "COMPLETED", R2077="CANCELED", "CANCELED", TRUE, "PENDING")</f>
        <v>PENDING</v>
      </c>
      <c r="T2077" t="s">
        <v>32</v>
      </c>
      <c r="U2077">
        <f>VLOOKUP(A2077,ordered_items!$B:$E,4,0)</f>
        <v>39.75</v>
      </c>
    </row>
    <row r="2078" spans="1:21" x14ac:dyDescent="0.3">
      <c r="A2078">
        <v>76795</v>
      </c>
      <c r="B2078" t="s">
        <v>17</v>
      </c>
      <c r="C2078">
        <v>6</v>
      </c>
      <c r="D2078">
        <v>2</v>
      </c>
      <c r="E2078" t="str">
        <f t="shared" si="96"/>
        <v>DELAYED</v>
      </c>
      <c r="F2078">
        <f>VLOOKUP($A2078,ordered_items!$B$2:$E$4784,2,0)</f>
        <v>1362</v>
      </c>
      <c r="G2078">
        <f>VLOOKUP($A2078,ordered_items!$B$2:$E$4784,3,0)</f>
        <v>1</v>
      </c>
      <c r="H2078">
        <f>VLOOKUP($A2078,ordered_items!$B$2:$E$4784,4,0)</f>
        <v>39.75</v>
      </c>
      <c r="I2078" s="15">
        <f>VLOOKUP(F2078,product_info!$A$2:$D$73,4,0)</f>
        <v>9</v>
      </c>
      <c r="J2078" s="15" t="str">
        <f>VLOOKUP(I2078,department!$A$2:$B$13,2,0)</f>
        <v>Discs Shop</v>
      </c>
      <c r="K2078">
        <v>20348</v>
      </c>
      <c r="L2078" t="s">
        <v>426</v>
      </c>
      <c r="M2078" s="4">
        <v>44221</v>
      </c>
      <c r="N2078" s="12">
        <f t="shared" si="97"/>
        <v>1</v>
      </c>
      <c r="O2078" s="13">
        <f t="shared" si="98"/>
        <v>2021</v>
      </c>
      <c r="P2078" t="s">
        <v>13</v>
      </c>
      <c r="Q2078" t="s">
        <v>245</v>
      </c>
      <c r="R2078" t="s">
        <v>23</v>
      </c>
      <c r="S2078" t="str" cm="1">
        <f t="array" ref="S2078">_xlfn.IFS(R2078="COMPLETE", "COMPLETED", R2078="CANCELED", "CANCELED", TRUE, "PENDING")</f>
        <v>PENDING</v>
      </c>
      <c r="T2078" t="s">
        <v>90</v>
      </c>
      <c r="U2078">
        <f>VLOOKUP(A2078,ordered_items!$B:$E,4,0)</f>
        <v>39.75</v>
      </c>
    </row>
    <row r="2079" spans="1:21" x14ac:dyDescent="0.3">
      <c r="A2079">
        <v>76796</v>
      </c>
      <c r="B2079" t="s">
        <v>24</v>
      </c>
      <c r="C2079">
        <v>2</v>
      </c>
      <c r="D2079">
        <v>2</v>
      </c>
      <c r="E2079" t="str">
        <f t="shared" si="96"/>
        <v xml:space="preserve"> ONTIME</v>
      </c>
      <c r="F2079">
        <f>VLOOKUP($A2079,ordered_items!$B$2:$E$4784,2,0)</f>
        <v>1362</v>
      </c>
      <c r="G2079">
        <f>VLOOKUP($A2079,ordered_items!$B$2:$E$4784,3,0)</f>
        <v>1</v>
      </c>
      <c r="H2079">
        <f>VLOOKUP($A2079,ordered_items!$B$2:$E$4784,4,0)</f>
        <v>39.75</v>
      </c>
      <c r="I2079" s="15">
        <f>VLOOKUP(F2079,product_info!$A$2:$D$73,4,0)</f>
        <v>9</v>
      </c>
      <c r="J2079" s="15" t="str">
        <f>VLOOKUP(I2079,department!$A$2:$B$13,2,0)</f>
        <v>Discs Shop</v>
      </c>
      <c r="K2079">
        <v>20349</v>
      </c>
      <c r="L2079" t="s">
        <v>591</v>
      </c>
      <c r="M2079" s="4">
        <v>44221</v>
      </c>
      <c r="N2079" s="12">
        <f t="shared" si="97"/>
        <v>1</v>
      </c>
      <c r="O2079" s="13">
        <f t="shared" si="98"/>
        <v>2021</v>
      </c>
      <c r="P2079" t="s">
        <v>13</v>
      </c>
      <c r="Q2079" t="s">
        <v>130</v>
      </c>
      <c r="R2079" t="s">
        <v>378</v>
      </c>
      <c r="S2079" t="str" cm="1">
        <f t="array" ref="S2079">_xlfn.IFS(R2079="COMPLETE", "COMPLETED", R2079="CANCELED", "CANCELED", TRUE, "PENDING")</f>
        <v>PENDING</v>
      </c>
      <c r="T2079" t="s">
        <v>90</v>
      </c>
      <c r="U2079">
        <f>VLOOKUP(A2079,ordered_items!$B:$E,4,0)</f>
        <v>39.75</v>
      </c>
    </row>
    <row r="2080" spans="1:21" x14ac:dyDescent="0.3">
      <c r="A2080">
        <v>76797</v>
      </c>
      <c r="B2080" t="s">
        <v>51</v>
      </c>
      <c r="C2080">
        <v>3</v>
      </c>
      <c r="D2080">
        <v>4</v>
      </c>
      <c r="E2080" t="str">
        <f t="shared" si="96"/>
        <v xml:space="preserve"> ONTIME</v>
      </c>
      <c r="F2080">
        <f>VLOOKUP($A2080,ordered_items!$B$2:$E$4784,2,0)</f>
        <v>1362</v>
      </c>
      <c r="G2080">
        <f>VLOOKUP($A2080,ordered_items!$B$2:$E$4784,3,0)</f>
        <v>1</v>
      </c>
      <c r="H2080">
        <f>VLOOKUP($A2080,ordered_items!$B$2:$E$4784,4,0)</f>
        <v>39.75</v>
      </c>
      <c r="I2080" s="15">
        <f>VLOOKUP(F2080,product_info!$A$2:$D$73,4,0)</f>
        <v>9</v>
      </c>
      <c r="J2080" s="15" t="str">
        <f>VLOOKUP(I2080,department!$A$2:$B$13,2,0)</f>
        <v>Discs Shop</v>
      </c>
      <c r="K2080">
        <v>20350</v>
      </c>
      <c r="L2080" t="s">
        <v>591</v>
      </c>
      <c r="M2080" s="4">
        <v>44221</v>
      </c>
      <c r="N2080" s="12">
        <f t="shared" si="97"/>
        <v>1</v>
      </c>
      <c r="O2080" s="13">
        <f t="shared" si="98"/>
        <v>2021</v>
      </c>
      <c r="P2080" t="s">
        <v>13</v>
      </c>
      <c r="Q2080" t="s">
        <v>130</v>
      </c>
      <c r="R2080" t="s">
        <v>57</v>
      </c>
      <c r="S2080" t="str" cm="1">
        <f t="array" ref="S2080">_xlfn.IFS(R2080="COMPLETE", "COMPLETED", R2080="CANCELED", "CANCELED", TRUE, "PENDING")</f>
        <v>PENDING</v>
      </c>
      <c r="T2080" t="s">
        <v>16</v>
      </c>
      <c r="U2080">
        <f>VLOOKUP(A2080,ordered_items!$B:$E,4,0)</f>
        <v>39.75</v>
      </c>
    </row>
    <row r="2081" spans="1:21" x14ac:dyDescent="0.3">
      <c r="A2081">
        <v>76798</v>
      </c>
      <c r="B2081" t="s">
        <v>17</v>
      </c>
      <c r="C2081">
        <v>4</v>
      </c>
      <c r="D2081">
        <v>4</v>
      </c>
      <c r="E2081" t="str">
        <f t="shared" si="96"/>
        <v xml:space="preserve"> ONTIME</v>
      </c>
      <c r="F2081">
        <f>VLOOKUP($A2081,ordered_items!$B$2:$E$4784,2,0)</f>
        <v>1362</v>
      </c>
      <c r="G2081">
        <f>VLOOKUP($A2081,ordered_items!$B$2:$E$4784,3,0)</f>
        <v>1</v>
      </c>
      <c r="H2081">
        <f>VLOOKUP($A2081,ordered_items!$B$2:$E$4784,4,0)</f>
        <v>39.75</v>
      </c>
      <c r="I2081" s="15">
        <f>VLOOKUP(F2081,product_info!$A$2:$D$73,4,0)</f>
        <v>9</v>
      </c>
      <c r="J2081" s="15" t="str">
        <f>VLOOKUP(I2081,department!$A$2:$B$13,2,0)</f>
        <v>Discs Shop</v>
      </c>
      <c r="K2081">
        <v>20351</v>
      </c>
      <c r="L2081" t="s">
        <v>591</v>
      </c>
      <c r="M2081" s="4">
        <v>44221</v>
      </c>
      <c r="N2081" s="12">
        <f t="shared" si="97"/>
        <v>1</v>
      </c>
      <c r="O2081" s="13">
        <f t="shared" si="98"/>
        <v>2021</v>
      </c>
      <c r="P2081" t="s">
        <v>13</v>
      </c>
      <c r="Q2081" t="s">
        <v>130</v>
      </c>
      <c r="R2081" t="s">
        <v>23</v>
      </c>
      <c r="S2081" t="str" cm="1">
        <f t="array" ref="S2081">_xlfn.IFS(R2081="COMPLETE", "COMPLETED", R2081="CANCELED", "CANCELED", TRUE, "PENDING")</f>
        <v>PENDING</v>
      </c>
      <c r="T2081" t="s">
        <v>16</v>
      </c>
      <c r="U2081">
        <f>VLOOKUP(A2081,ordered_items!$B:$E,4,0)</f>
        <v>39.75</v>
      </c>
    </row>
    <row r="2082" spans="1:21" x14ac:dyDescent="0.3">
      <c r="A2082">
        <v>76799</v>
      </c>
      <c r="B2082" t="s">
        <v>17</v>
      </c>
      <c r="C2082">
        <v>5</v>
      </c>
      <c r="D2082">
        <v>4</v>
      </c>
      <c r="E2082" t="str">
        <f t="shared" si="96"/>
        <v>DELAYED</v>
      </c>
      <c r="F2082">
        <f>VLOOKUP($A2082,ordered_items!$B$2:$E$4784,2,0)</f>
        <v>1362</v>
      </c>
      <c r="G2082">
        <f>VLOOKUP($A2082,ordered_items!$B$2:$E$4784,3,0)</f>
        <v>1</v>
      </c>
      <c r="H2082">
        <f>VLOOKUP($A2082,ordered_items!$B$2:$E$4784,4,0)</f>
        <v>39.75</v>
      </c>
      <c r="I2082" s="15">
        <f>VLOOKUP(F2082,product_info!$A$2:$D$73,4,0)</f>
        <v>9</v>
      </c>
      <c r="J2082" s="15" t="str">
        <f>VLOOKUP(I2082,department!$A$2:$B$13,2,0)</f>
        <v>Discs Shop</v>
      </c>
      <c r="K2082">
        <v>20352</v>
      </c>
      <c r="L2082" t="s">
        <v>591</v>
      </c>
      <c r="M2082" s="4">
        <v>44221</v>
      </c>
      <c r="N2082" s="12">
        <f t="shared" si="97"/>
        <v>1</v>
      </c>
      <c r="O2082" s="13">
        <f t="shared" si="98"/>
        <v>2021</v>
      </c>
      <c r="P2082" t="s">
        <v>13</v>
      </c>
      <c r="Q2082" t="s">
        <v>130</v>
      </c>
      <c r="R2082" t="s">
        <v>23</v>
      </c>
      <c r="S2082" t="str" cm="1">
        <f t="array" ref="S2082">_xlfn.IFS(R2082="COMPLETE", "COMPLETED", R2082="CANCELED", "CANCELED", TRUE, "PENDING")</f>
        <v>PENDING</v>
      </c>
      <c r="T2082" t="s">
        <v>16</v>
      </c>
      <c r="U2082">
        <f>VLOOKUP(A2082,ordered_items!$B:$E,4,0)</f>
        <v>39.75</v>
      </c>
    </row>
    <row r="2083" spans="1:21" x14ac:dyDescent="0.3">
      <c r="A2083">
        <v>76800</v>
      </c>
      <c r="B2083" t="s">
        <v>3</v>
      </c>
      <c r="C2083">
        <v>2</v>
      </c>
      <c r="D2083">
        <v>1</v>
      </c>
      <c r="E2083" t="str">
        <f t="shared" si="96"/>
        <v>DELAYED</v>
      </c>
      <c r="F2083">
        <f>VLOOKUP($A2083,ordered_items!$B$2:$E$4784,2,0)</f>
        <v>1362</v>
      </c>
      <c r="G2083">
        <f>VLOOKUP($A2083,ordered_items!$B$2:$E$4784,3,0)</f>
        <v>1</v>
      </c>
      <c r="H2083">
        <f>VLOOKUP($A2083,ordered_items!$B$2:$E$4784,4,0)</f>
        <v>39.75</v>
      </c>
      <c r="I2083" s="15">
        <f>VLOOKUP(F2083,product_info!$A$2:$D$73,4,0)</f>
        <v>9</v>
      </c>
      <c r="J2083" s="15" t="str">
        <f>VLOOKUP(I2083,department!$A$2:$B$13,2,0)</f>
        <v>Discs Shop</v>
      </c>
      <c r="K2083">
        <v>20353</v>
      </c>
      <c r="L2083" t="s">
        <v>146</v>
      </c>
      <c r="M2083" s="4">
        <v>44221</v>
      </c>
      <c r="N2083" s="12">
        <f t="shared" si="97"/>
        <v>1</v>
      </c>
      <c r="O2083" s="13">
        <f t="shared" si="98"/>
        <v>2021</v>
      </c>
      <c r="P2083" t="s">
        <v>13</v>
      </c>
      <c r="Q2083" t="s">
        <v>30</v>
      </c>
      <c r="R2083" t="s">
        <v>14</v>
      </c>
      <c r="S2083" t="str" cm="1">
        <f t="array" ref="S2083">_xlfn.IFS(R2083="COMPLETE", "COMPLETED", R2083="CANCELED", "CANCELED", TRUE, "PENDING")</f>
        <v>PENDING</v>
      </c>
      <c r="T2083" t="s">
        <v>32</v>
      </c>
      <c r="U2083">
        <f>VLOOKUP(A2083,ordered_items!$B:$E,4,0)</f>
        <v>39.75</v>
      </c>
    </row>
    <row r="2084" spans="1:21" x14ac:dyDescent="0.3">
      <c r="A2084">
        <v>76801</v>
      </c>
      <c r="B2084" t="s">
        <v>51</v>
      </c>
      <c r="C2084">
        <v>2</v>
      </c>
      <c r="D2084">
        <v>1</v>
      </c>
      <c r="E2084" t="str">
        <f t="shared" si="96"/>
        <v>DELAYED</v>
      </c>
      <c r="F2084">
        <f>VLOOKUP($A2084,ordered_items!$B$2:$E$4784,2,0)</f>
        <v>1362</v>
      </c>
      <c r="G2084">
        <f>VLOOKUP($A2084,ordered_items!$B$2:$E$4784,3,0)</f>
        <v>1</v>
      </c>
      <c r="H2084">
        <f>VLOOKUP($A2084,ordered_items!$B$2:$E$4784,4,0)</f>
        <v>39.75</v>
      </c>
      <c r="I2084" s="15">
        <f>VLOOKUP(F2084,product_info!$A$2:$D$73,4,0)</f>
        <v>9</v>
      </c>
      <c r="J2084" s="15" t="str">
        <f>VLOOKUP(I2084,department!$A$2:$B$13,2,0)</f>
        <v>Discs Shop</v>
      </c>
      <c r="K2084">
        <v>20354</v>
      </c>
      <c r="L2084" t="s">
        <v>146</v>
      </c>
      <c r="M2084" s="4">
        <v>44221</v>
      </c>
      <c r="N2084" s="12">
        <f t="shared" si="97"/>
        <v>1</v>
      </c>
      <c r="O2084" s="13">
        <f t="shared" si="98"/>
        <v>2021</v>
      </c>
      <c r="P2084" t="s">
        <v>13</v>
      </c>
      <c r="Q2084" t="s">
        <v>30</v>
      </c>
      <c r="R2084" t="s">
        <v>57</v>
      </c>
      <c r="S2084" t="str" cm="1">
        <f t="array" ref="S2084">_xlfn.IFS(R2084="COMPLETE", "COMPLETED", R2084="CANCELED", "CANCELED", TRUE, "PENDING")</f>
        <v>PENDING</v>
      </c>
      <c r="T2084" t="s">
        <v>32</v>
      </c>
      <c r="U2084">
        <f>VLOOKUP(A2084,ordered_items!$B:$E,4,0)</f>
        <v>39.75</v>
      </c>
    </row>
    <row r="2085" spans="1:21" x14ac:dyDescent="0.3">
      <c r="A2085">
        <v>76817</v>
      </c>
      <c r="B2085" t="s">
        <v>17</v>
      </c>
      <c r="C2085">
        <v>3</v>
      </c>
      <c r="D2085">
        <v>4</v>
      </c>
      <c r="E2085" t="str">
        <f t="shared" si="96"/>
        <v xml:space="preserve"> ONTIME</v>
      </c>
      <c r="F2085">
        <f>VLOOKUP($A2085,ordered_items!$B$2:$E$4784,2,0)</f>
        <v>1362</v>
      </c>
      <c r="G2085">
        <f>VLOOKUP($A2085,ordered_items!$B$2:$E$4784,3,0)</f>
        <v>1</v>
      </c>
      <c r="H2085">
        <f>VLOOKUP($A2085,ordered_items!$B$2:$E$4784,4,0)</f>
        <v>39.75</v>
      </c>
      <c r="I2085" s="15">
        <f>VLOOKUP(F2085,product_info!$A$2:$D$73,4,0)</f>
        <v>9</v>
      </c>
      <c r="J2085" s="15" t="str">
        <f>VLOOKUP(I2085,department!$A$2:$B$13,2,0)</f>
        <v>Discs Shop</v>
      </c>
      <c r="K2085">
        <v>20370</v>
      </c>
      <c r="L2085" t="s">
        <v>894</v>
      </c>
      <c r="M2085" s="4">
        <v>44221</v>
      </c>
      <c r="N2085" s="12">
        <f t="shared" si="97"/>
        <v>1</v>
      </c>
      <c r="O2085" s="13">
        <f t="shared" si="98"/>
        <v>2021</v>
      </c>
      <c r="P2085" t="s">
        <v>13</v>
      </c>
      <c r="Q2085" t="s">
        <v>894</v>
      </c>
      <c r="R2085" t="s">
        <v>23</v>
      </c>
      <c r="S2085" t="str" cm="1">
        <f t="array" ref="S2085">_xlfn.IFS(R2085="COMPLETE", "COMPLETED", R2085="CANCELED", "CANCELED", TRUE, "PENDING")</f>
        <v>PENDING</v>
      </c>
      <c r="T2085" t="s">
        <v>16</v>
      </c>
      <c r="U2085">
        <f>VLOOKUP(A2085,ordered_items!$B:$E,4,0)</f>
        <v>39.75</v>
      </c>
    </row>
    <row r="2086" spans="1:21" x14ac:dyDescent="0.3">
      <c r="A2086">
        <v>76818</v>
      </c>
      <c r="B2086" t="s">
        <v>24</v>
      </c>
      <c r="C2086">
        <v>4</v>
      </c>
      <c r="D2086">
        <v>4</v>
      </c>
      <c r="E2086" t="str">
        <f t="shared" si="96"/>
        <v xml:space="preserve"> ONTIME</v>
      </c>
      <c r="F2086">
        <f>VLOOKUP($A2086,ordered_items!$B$2:$E$4784,2,0)</f>
        <v>1362</v>
      </c>
      <c r="G2086">
        <f>VLOOKUP($A2086,ordered_items!$B$2:$E$4784,3,0)</f>
        <v>1</v>
      </c>
      <c r="H2086">
        <f>VLOOKUP($A2086,ordered_items!$B$2:$E$4784,4,0)</f>
        <v>39.75</v>
      </c>
      <c r="I2086" s="15">
        <f>VLOOKUP(F2086,product_info!$A$2:$D$73,4,0)</f>
        <v>9</v>
      </c>
      <c r="J2086" s="15" t="str">
        <f>VLOOKUP(I2086,department!$A$2:$B$13,2,0)</f>
        <v>Discs Shop</v>
      </c>
      <c r="K2086">
        <v>20371</v>
      </c>
      <c r="L2086" t="s">
        <v>871</v>
      </c>
      <c r="M2086" s="4">
        <v>44221</v>
      </c>
      <c r="N2086" s="12">
        <f t="shared" si="97"/>
        <v>1</v>
      </c>
      <c r="O2086" s="13">
        <f t="shared" si="98"/>
        <v>2021</v>
      </c>
      <c r="P2086" t="s">
        <v>13</v>
      </c>
      <c r="Q2086" t="s">
        <v>30</v>
      </c>
      <c r="R2086" t="s">
        <v>31</v>
      </c>
      <c r="S2086" t="str" cm="1">
        <f t="array" ref="S2086">_xlfn.IFS(R2086="COMPLETE", "COMPLETED", R2086="CANCELED", "CANCELED", TRUE, "PENDING")</f>
        <v>COMPLETED</v>
      </c>
      <c r="T2086" t="s">
        <v>16</v>
      </c>
      <c r="U2086">
        <f>VLOOKUP(A2086,ordered_items!$B:$E,4,0)</f>
        <v>39.75</v>
      </c>
    </row>
    <row r="2087" spans="1:21" x14ac:dyDescent="0.3">
      <c r="A2087">
        <v>76830</v>
      </c>
      <c r="B2087" t="s">
        <v>17</v>
      </c>
      <c r="C2087">
        <v>6</v>
      </c>
      <c r="D2087">
        <v>4</v>
      </c>
      <c r="E2087" t="str">
        <f t="shared" si="96"/>
        <v>DELAYED</v>
      </c>
      <c r="F2087">
        <f>VLOOKUP($A2087,ordered_items!$B$2:$E$4784,2,0)</f>
        <v>1363</v>
      </c>
      <c r="G2087">
        <f>VLOOKUP($A2087,ordered_items!$B$2:$E$4784,3,0)</f>
        <v>1</v>
      </c>
      <c r="H2087">
        <f>VLOOKUP($A2087,ordered_items!$B$2:$E$4784,4,0)</f>
        <v>215.82</v>
      </c>
      <c r="I2087" s="15">
        <f>VLOOKUP(F2087,product_info!$A$2:$D$73,4,0)</f>
        <v>4</v>
      </c>
      <c r="J2087" s="15" t="str">
        <f>VLOOKUP(I2087,department!$A$2:$B$13,2,0)</f>
        <v>Apparel</v>
      </c>
      <c r="K2087">
        <v>20383</v>
      </c>
      <c r="L2087" t="s">
        <v>409</v>
      </c>
      <c r="M2087" s="4">
        <v>44221</v>
      </c>
      <c r="N2087" s="12">
        <f t="shared" si="97"/>
        <v>1</v>
      </c>
      <c r="O2087" s="13">
        <f t="shared" si="98"/>
        <v>2021</v>
      </c>
      <c r="P2087" t="s">
        <v>13</v>
      </c>
      <c r="Q2087" t="s">
        <v>410</v>
      </c>
      <c r="R2087" t="s">
        <v>23</v>
      </c>
      <c r="S2087" t="str" cm="1">
        <f t="array" ref="S2087">_xlfn.IFS(R2087="COMPLETE", "COMPLETED", R2087="CANCELED", "CANCELED", TRUE, "PENDING")</f>
        <v>PENDING</v>
      </c>
      <c r="T2087" t="s">
        <v>16</v>
      </c>
      <c r="U2087">
        <f>VLOOKUP(A2087,ordered_items!$B:$E,4,0)</f>
        <v>215.82</v>
      </c>
    </row>
    <row r="2088" spans="1:21" x14ac:dyDescent="0.3">
      <c r="A2088">
        <v>76831</v>
      </c>
      <c r="B2088" t="s">
        <v>24</v>
      </c>
      <c r="C2088">
        <v>2</v>
      </c>
      <c r="D2088">
        <v>4</v>
      </c>
      <c r="E2088" t="str">
        <f t="shared" si="96"/>
        <v xml:space="preserve"> ONTIME</v>
      </c>
      <c r="F2088">
        <f>VLOOKUP($A2088,ordered_items!$B$2:$E$4784,2,0)</f>
        <v>1363</v>
      </c>
      <c r="G2088">
        <f>VLOOKUP($A2088,ordered_items!$B$2:$E$4784,3,0)</f>
        <v>1</v>
      </c>
      <c r="H2088">
        <f>VLOOKUP($A2088,ordered_items!$B$2:$E$4784,4,0)</f>
        <v>215.82</v>
      </c>
      <c r="I2088" s="15">
        <f>VLOOKUP(F2088,product_info!$A$2:$D$73,4,0)</f>
        <v>4</v>
      </c>
      <c r="J2088" s="15" t="str">
        <f>VLOOKUP(I2088,department!$A$2:$B$13,2,0)</f>
        <v>Apparel</v>
      </c>
      <c r="K2088">
        <v>20384</v>
      </c>
      <c r="L2088" t="s">
        <v>409</v>
      </c>
      <c r="M2088" s="4">
        <v>44221</v>
      </c>
      <c r="N2088" s="12">
        <f t="shared" si="97"/>
        <v>1</v>
      </c>
      <c r="O2088" s="13">
        <f t="shared" si="98"/>
        <v>2021</v>
      </c>
      <c r="P2088" t="s">
        <v>13</v>
      </c>
      <c r="Q2088" t="s">
        <v>410</v>
      </c>
      <c r="R2088" t="s">
        <v>31</v>
      </c>
      <c r="S2088" t="str" cm="1">
        <f t="array" ref="S2088">_xlfn.IFS(R2088="COMPLETE", "COMPLETED", R2088="CANCELED", "CANCELED", TRUE, "PENDING")</f>
        <v>COMPLETED</v>
      </c>
      <c r="T2088" t="s">
        <v>16</v>
      </c>
      <c r="U2088">
        <f>VLOOKUP(A2088,ordered_items!$B:$E,4,0)</f>
        <v>215.82</v>
      </c>
    </row>
    <row r="2089" spans="1:21" x14ac:dyDescent="0.3">
      <c r="A2089">
        <v>76832</v>
      </c>
      <c r="B2089" t="s">
        <v>24</v>
      </c>
      <c r="C2089">
        <v>3</v>
      </c>
      <c r="D2089">
        <v>2</v>
      </c>
      <c r="E2089" t="str">
        <f t="shared" si="96"/>
        <v>DELAYED</v>
      </c>
      <c r="F2089">
        <f>VLOOKUP($A2089,ordered_items!$B$2:$E$4784,2,0)</f>
        <v>1363</v>
      </c>
      <c r="G2089">
        <f>VLOOKUP($A2089,ordered_items!$B$2:$E$4784,3,0)</f>
        <v>1</v>
      </c>
      <c r="H2089">
        <f>VLOOKUP($A2089,ordered_items!$B$2:$E$4784,4,0)</f>
        <v>215.82</v>
      </c>
      <c r="I2089" s="15">
        <f>VLOOKUP(F2089,product_info!$A$2:$D$73,4,0)</f>
        <v>4</v>
      </c>
      <c r="J2089" s="15" t="str">
        <f>VLOOKUP(I2089,department!$A$2:$B$13,2,0)</f>
        <v>Apparel</v>
      </c>
      <c r="K2089">
        <v>20385</v>
      </c>
      <c r="L2089" t="s">
        <v>409</v>
      </c>
      <c r="M2089" s="4">
        <v>44221</v>
      </c>
      <c r="N2089" s="12">
        <f t="shared" si="97"/>
        <v>1</v>
      </c>
      <c r="O2089" s="13">
        <f t="shared" si="98"/>
        <v>2021</v>
      </c>
      <c r="P2089" t="s">
        <v>13</v>
      </c>
      <c r="Q2089" t="s">
        <v>410</v>
      </c>
      <c r="R2089" t="s">
        <v>31</v>
      </c>
      <c r="S2089" t="str" cm="1">
        <f t="array" ref="S2089">_xlfn.IFS(R2089="COMPLETE", "COMPLETED", R2089="CANCELED", "CANCELED", TRUE, "PENDING")</f>
        <v>COMPLETED</v>
      </c>
      <c r="T2089" t="s">
        <v>90</v>
      </c>
      <c r="U2089">
        <f>VLOOKUP(A2089,ordered_items!$B:$E,4,0)</f>
        <v>215.82</v>
      </c>
    </row>
    <row r="2090" spans="1:21" x14ac:dyDescent="0.3">
      <c r="A2090">
        <v>76833</v>
      </c>
      <c r="B2090" t="s">
        <v>3</v>
      </c>
      <c r="C2090">
        <v>4</v>
      </c>
      <c r="D2090">
        <v>2</v>
      </c>
      <c r="E2090" t="str">
        <f t="shared" si="96"/>
        <v>DELAYED</v>
      </c>
      <c r="F2090">
        <f>VLOOKUP($A2090,ordered_items!$B$2:$E$4784,2,0)</f>
        <v>1363</v>
      </c>
      <c r="G2090">
        <f>VLOOKUP($A2090,ordered_items!$B$2:$E$4784,3,0)</f>
        <v>1</v>
      </c>
      <c r="H2090">
        <f>VLOOKUP($A2090,ordered_items!$B$2:$E$4784,4,0)</f>
        <v>215.82</v>
      </c>
      <c r="I2090" s="15">
        <f>VLOOKUP(F2090,product_info!$A$2:$D$73,4,0)</f>
        <v>4</v>
      </c>
      <c r="J2090" s="15" t="str">
        <f>VLOOKUP(I2090,department!$A$2:$B$13,2,0)</f>
        <v>Apparel</v>
      </c>
      <c r="K2090">
        <v>20386</v>
      </c>
      <c r="L2090" t="s">
        <v>409</v>
      </c>
      <c r="M2090" s="4">
        <v>44221</v>
      </c>
      <c r="N2090" s="12">
        <f t="shared" si="97"/>
        <v>1</v>
      </c>
      <c r="O2090" s="13">
        <f t="shared" si="98"/>
        <v>2021</v>
      </c>
      <c r="P2090" t="s">
        <v>13</v>
      </c>
      <c r="Q2090" t="s">
        <v>410</v>
      </c>
      <c r="R2090" t="s">
        <v>38</v>
      </c>
      <c r="S2090" t="str" cm="1">
        <f t="array" ref="S2090">_xlfn.IFS(R2090="COMPLETE", "COMPLETED", R2090="CANCELED", "CANCELED", TRUE, "PENDING")</f>
        <v>PENDING</v>
      </c>
      <c r="T2090" t="s">
        <v>90</v>
      </c>
      <c r="U2090">
        <f>VLOOKUP(A2090,ordered_items!$B:$E,4,0)</f>
        <v>215.82</v>
      </c>
    </row>
    <row r="2091" spans="1:21" x14ac:dyDescent="0.3">
      <c r="A2091">
        <v>76835</v>
      </c>
      <c r="B2091" t="s">
        <v>51</v>
      </c>
      <c r="C2091">
        <v>6</v>
      </c>
      <c r="D2091">
        <v>4</v>
      </c>
      <c r="E2091" t="str">
        <f t="shared" si="96"/>
        <v>DELAYED</v>
      </c>
      <c r="F2091">
        <f>VLOOKUP($A2091,ordered_items!$B$2:$E$4784,2,0)</f>
        <v>1363</v>
      </c>
      <c r="G2091">
        <f>VLOOKUP($A2091,ordered_items!$B$2:$E$4784,3,0)</f>
        <v>1</v>
      </c>
      <c r="H2091">
        <f>VLOOKUP($A2091,ordered_items!$B$2:$E$4784,4,0)</f>
        <v>215.82</v>
      </c>
      <c r="I2091" s="15">
        <f>VLOOKUP(F2091,product_info!$A$2:$D$73,4,0)</f>
        <v>4</v>
      </c>
      <c r="J2091" s="15" t="str">
        <f>VLOOKUP(I2091,department!$A$2:$B$13,2,0)</f>
        <v>Apparel</v>
      </c>
      <c r="K2091">
        <v>20388</v>
      </c>
      <c r="L2091" t="s">
        <v>84</v>
      </c>
      <c r="M2091" s="4">
        <v>44221</v>
      </c>
      <c r="N2091" s="12">
        <f t="shared" si="97"/>
        <v>1</v>
      </c>
      <c r="O2091" s="13">
        <f t="shared" si="98"/>
        <v>2021</v>
      </c>
      <c r="P2091" t="s">
        <v>13</v>
      </c>
      <c r="Q2091" t="s">
        <v>80</v>
      </c>
      <c r="R2091" t="s">
        <v>1275</v>
      </c>
      <c r="S2091" t="str" cm="1">
        <f t="array" ref="S2091">_xlfn.IFS(R2091="COMPLETE", "COMPLETED", R2091="CANCELED", "CANCELED", TRUE, "PENDING")</f>
        <v>PENDING</v>
      </c>
      <c r="T2091" t="s">
        <v>16</v>
      </c>
      <c r="U2091">
        <f>VLOOKUP(A2091,ordered_items!$B:$E,4,0)</f>
        <v>215.82</v>
      </c>
    </row>
    <row r="2092" spans="1:21" x14ac:dyDescent="0.3">
      <c r="A2092">
        <v>76842</v>
      </c>
      <c r="B2092" t="s">
        <v>17</v>
      </c>
      <c r="C2092">
        <v>3</v>
      </c>
      <c r="D2092">
        <v>2</v>
      </c>
      <c r="E2092" t="str">
        <f t="shared" si="96"/>
        <v>DELAYED</v>
      </c>
      <c r="F2092">
        <f>VLOOKUP($A2092,ordered_items!$B$2:$E$4784,2,0)</f>
        <v>1363</v>
      </c>
      <c r="G2092">
        <f>VLOOKUP($A2092,ordered_items!$B$2:$E$4784,3,0)</f>
        <v>1</v>
      </c>
      <c r="H2092">
        <f>VLOOKUP($A2092,ordered_items!$B$2:$E$4784,4,0)</f>
        <v>215.82</v>
      </c>
      <c r="I2092" s="15">
        <f>VLOOKUP(F2092,product_info!$A$2:$D$73,4,0)</f>
        <v>4</v>
      </c>
      <c r="J2092" s="15" t="str">
        <f>VLOOKUP(I2092,department!$A$2:$B$13,2,0)</f>
        <v>Apparel</v>
      </c>
      <c r="K2092">
        <v>20395</v>
      </c>
      <c r="L2092" t="s">
        <v>266</v>
      </c>
      <c r="M2092" s="4">
        <v>44221</v>
      </c>
      <c r="N2092" s="12">
        <f t="shared" si="97"/>
        <v>1</v>
      </c>
      <c r="O2092" s="13">
        <f t="shared" si="98"/>
        <v>2021</v>
      </c>
      <c r="P2092" t="s">
        <v>13</v>
      </c>
      <c r="Q2092" t="s">
        <v>5778</v>
      </c>
      <c r="R2092" t="s">
        <v>23</v>
      </c>
      <c r="S2092" t="str" cm="1">
        <f t="array" ref="S2092">_xlfn.IFS(R2092="COMPLETE", "COMPLETED", R2092="CANCELED", "CANCELED", TRUE, "PENDING")</f>
        <v>PENDING</v>
      </c>
      <c r="T2092" t="s">
        <v>90</v>
      </c>
      <c r="U2092">
        <f>VLOOKUP(A2092,ordered_items!$B:$E,4,0)</f>
        <v>215.82</v>
      </c>
    </row>
    <row r="2093" spans="1:21" x14ac:dyDescent="0.3">
      <c r="A2093">
        <v>76843</v>
      </c>
      <c r="B2093" t="s">
        <v>24</v>
      </c>
      <c r="C2093">
        <v>4</v>
      </c>
      <c r="D2093">
        <v>2</v>
      </c>
      <c r="E2093" t="str">
        <f t="shared" si="96"/>
        <v>DELAYED</v>
      </c>
      <c r="F2093">
        <f>VLOOKUP($A2093,ordered_items!$B$2:$E$4784,2,0)</f>
        <v>1363</v>
      </c>
      <c r="G2093">
        <f>VLOOKUP($A2093,ordered_items!$B$2:$E$4784,3,0)</f>
        <v>1</v>
      </c>
      <c r="H2093">
        <f>VLOOKUP($A2093,ordered_items!$B$2:$E$4784,4,0)</f>
        <v>215.82</v>
      </c>
      <c r="I2093" s="15">
        <f>VLOOKUP(F2093,product_info!$A$2:$D$73,4,0)</f>
        <v>4</v>
      </c>
      <c r="J2093" s="15" t="str">
        <f>VLOOKUP(I2093,department!$A$2:$B$13,2,0)</f>
        <v>Apparel</v>
      </c>
      <c r="K2093">
        <v>20396</v>
      </c>
      <c r="L2093" t="s">
        <v>266</v>
      </c>
      <c r="M2093" s="4">
        <v>44221</v>
      </c>
      <c r="N2093" s="12">
        <f t="shared" si="97"/>
        <v>1</v>
      </c>
      <c r="O2093" s="13">
        <f t="shared" si="98"/>
        <v>2021</v>
      </c>
      <c r="P2093" t="s">
        <v>13</v>
      </c>
      <c r="Q2093" t="s">
        <v>5778</v>
      </c>
      <c r="R2093" t="s">
        <v>31</v>
      </c>
      <c r="S2093" t="str" cm="1">
        <f t="array" ref="S2093">_xlfn.IFS(R2093="COMPLETE", "COMPLETED", R2093="CANCELED", "CANCELED", TRUE, "PENDING")</f>
        <v>COMPLETED</v>
      </c>
      <c r="T2093" t="s">
        <v>90</v>
      </c>
      <c r="U2093">
        <f>VLOOKUP(A2093,ordered_items!$B:$E,4,0)</f>
        <v>215.82</v>
      </c>
    </row>
    <row r="2094" spans="1:21" x14ac:dyDescent="0.3">
      <c r="A2094">
        <v>76844</v>
      </c>
      <c r="B2094" t="s">
        <v>3</v>
      </c>
      <c r="C2094">
        <v>2</v>
      </c>
      <c r="D2094">
        <v>1</v>
      </c>
      <c r="E2094" t="str">
        <f t="shared" si="96"/>
        <v>DELAYED</v>
      </c>
      <c r="F2094">
        <f>VLOOKUP($A2094,ordered_items!$B$2:$E$4784,2,0)</f>
        <v>1363</v>
      </c>
      <c r="G2094">
        <f>VLOOKUP($A2094,ordered_items!$B$2:$E$4784,3,0)</f>
        <v>1</v>
      </c>
      <c r="H2094">
        <f>VLOOKUP($A2094,ordered_items!$B$2:$E$4784,4,0)</f>
        <v>215.82</v>
      </c>
      <c r="I2094" s="15">
        <f>VLOOKUP(F2094,product_info!$A$2:$D$73,4,0)</f>
        <v>4</v>
      </c>
      <c r="J2094" s="15" t="str">
        <f>VLOOKUP(I2094,department!$A$2:$B$13,2,0)</f>
        <v>Apparel</v>
      </c>
      <c r="K2094">
        <v>20397</v>
      </c>
      <c r="L2094" t="s">
        <v>266</v>
      </c>
      <c r="M2094" s="4">
        <v>44221</v>
      </c>
      <c r="N2094" s="12">
        <f t="shared" si="97"/>
        <v>1</v>
      </c>
      <c r="O2094" s="13">
        <f t="shared" si="98"/>
        <v>2021</v>
      </c>
      <c r="P2094" t="s">
        <v>13</v>
      </c>
      <c r="Q2094" t="s">
        <v>5778</v>
      </c>
      <c r="R2094" t="s">
        <v>14</v>
      </c>
      <c r="S2094" t="str" cm="1">
        <f t="array" ref="S2094">_xlfn.IFS(R2094="COMPLETE", "COMPLETED", R2094="CANCELED", "CANCELED", TRUE, "PENDING")</f>
        <v>PENDING</v>
      </c>
      <c r="T2094" t="s">
        <v>32</v>
      </c>
      <c r="U2094">
        <f>VLOOKUP(A2094,ordered_items!$B:$E,4,0)</f>
        <v>215.82</v>
      </c>
    </row>
    <row r="2095" spans="1:21" x14ac:dyDescent="0.3">
      <c r="A2095">
        <v>76860</v>
      </c>
      <c r="B2095" t="s">
        <v>24</v>
      </c>
      <c r="C2095">
        <v>6</v>
      </c>
      <c r="D2095">
        <v>4</v>
      </c>
      <c r="E2095" t="str">
        <f t="shared" si="96"/>
        <v>DELAYED</v>
      </c>
      <c r="F2095">
        <f>VLOOKUP($A2095,ordered_items!$B$2:$E$4784,2,0)</f>
        <v>1363</v>
      </c>
      <c r="G2095">
        <f>VLOOKUP($A2095,ordered_items!$B$2:$E$4784,3,0)</f>
        <v>1</v>
      </c>
      <c r="H2095">
        <f>VLOOKUP($A2095,ordered_items!$B$2:$E$4784,4,0)</f>
        <v>215.82</v>
      </c>
      <c r="I2095" s="15">
        <f>VLOOKUP(F2095,product_info!$A$2:$D$73,4,0)</f>
        <v>4</v>
      </c>
      <c r="J2095" s="15" t="str">
        <f>VLOOKUP(I2095,department!$A$2:$B$13,2,0)</f>
        <v>Apparel</v>
      </c>
      <c r="K2095">
        <v>20413</v>
      </c>
      <c r="L2095" t="s">
        <v>959</v>
      </c>
      <c r="M2095" s="4">
        <v>44221</v>
      </c>
      <c r="N2095" s="12">
        <f t="shared" si="97"/>
        <v>1</v>
      </c>
      <c r="O2095" s="13">
        <f t="shared" si="98"/>
        <v>2021</v>
      </c>
      <c r="P2095" t="s">
        <v>13</v>
      </c>
      <c r="Q2095" t="s">
        <v>5779</v>
      </c>
      <c r="R2095" t="s">
        <v>31</v>
      </c>
      <c r="S2095" t="str" cm="1">
        <f t="array" ref="S2095">_xlfn.IFS(R2095="COMPLETE", "COMPLETED", R2095="CANCELED", "CANCELED", TRUE, "PENDING")</f>
        <v>COMPLETED</v>
      </c>
      <c r="T2095" t="s">
        <v>16</v>
      </c>
      <c r="U2095">
        <f>VLOOKUP(A2095,ordered_items!$B:$E,4,0)</f>
        <v>215.82</v>
      </c>
    </row>
    <row r="2096" spans="1:21" x14ac:dyDescent="0.3">
      <c r="A2096">
        <v>76877</v>
      </c>
      <c r="B2096" t="s">
        <v>24</v>
      </c>
      <c r="C2096">
        <v>3</v>
      </c>
      <c r="D2096">
        <v>4</v>
      </c>
      <c r="E2096" t="str">
        <f t="shared" si="96"/>
        <v xml:space="preserve"> ONTIME</v>
      </c>
      <c r="F2096">
        <f>VLOOKUP($A2096,ordered_items!$B$2:$E$4784,2,0)</f>
        <v>1363</v>
      </c>
      <c r="G2096">
        <f>VLOOKUP($A2096,ordered_items!$B$2:$E$4784,3,0)</f>
        <v>1</v>
      </c>
      <c r="H2096">
        <f>VLOOKUP($A2096,ordered_items!$B$2:$E$4784,4,0)</f>
        <v>215.82</v>
      </c>
      <c r="I2096" s="15">
        <f>VLOOKUP(F2096,product_info!$A$2:$D$73,4,0)</f>
        <v>4</v>
      </c>
      <c r="J2096" s="15" t="str">
        <f>VLOOKUP(I2096,department!$A$2:$B$13,2,0)</f>
        <v>Apparel</v>
      </c>
      <c r="K2096">
        <v>20430</v>
      </c>
      <c r="L2096" t="s">
        <v>426</v>
      </c>
      <c r="M2096" s="4">
        <v>44222</v>
      </c>
      <c r="N2096" s="12">
        <f t="shared" si="97"/>
        <v>1</v>
      </c>
      <c r="O2096" s="13">
        <f t="shared" si="98"/>
        <v>2021</v>
      </c>
      <c r="P2096" t="s">
        <v>13</v>
      </c>
      <c r="Q2096" t="s">
        <v>245</v>
      </c>
      <c r="R2096" t="s">
        <v>378</v>
      </c>
      <c r="S2096" t="str" cm="1">
        <f t="array" ref="S2096">_xlfn.IFS(R2096="COMPLETE", "COMPLETED", R2096="CANCELED", "CANCELED", TRUE, "PENDING")</f>
        <v>PENDING</v>
      </c>
      <c r="T2096" t="s">
        <v>16</v>
      </c>
      <c r="U2096">
        <f>VLOOKUP(A2096,ordered_items!$B:$E,4,0)</f>
        <v>215.82</v>
      </c>
    </row>
    <row r="2097" spans="1:21" x14ac:dyDescent="0.3">
      <c r="A2097">
        <v>76878</v>
      </c>
      <c r="B2097" t="s">
        <v>17</v>
      </c>
      <c r="C2097">
        <v>4</v>
      </c>
      <c r="D2097">
        <v>4</v>
      </c>
      <c r="E2097" t="str">
        <f t="shared" si="96"/>
        <v xml:space="preserve"> ONTIME</v>
      </c>
      <c r="F2097">
        <f>VLOOKUP($A2097,ordered_items!$B$2:$E$4784,2,0)</f>
        <v>1363</v>
      </c>
      <c r="G2097">
        <f>VLOOKUP($A2097,ordered_items!$B$2:$E$4784,3,0)</f>
        <v>1</v>
      </c>
      <c r="H2097">
        <f>VLOOKUP($A2097,ordered_items!$B$2:$E$4784,4,0)</f>
        <v>215.82</v>
      </c>
      <c r="I2097" s="15">
        <f>VLOOKUP(F2097,product_info!$A$2:$D$73,4,0)</f>
        <v>4</v>
      </c>
      <c r="J2097" s="15" t="str">
        <f>VLOOKUP(I2097,department!$A$2:$B$13,2,0)</f>
        <v>Apparel</v>
      </c>
      <c r="K2097">
        <v>20431</v>
      </c>
      <c r="L2097" t="s">
        <v>426</v>
      </c>
      <c r="M2097" s="4">
        <v>44222</v>
      </c>
      <c r="N2097" s="12">
        <f t="shared" si="97"/>
        <v>1</v>
      </c>
      <c r="O2097" s="13">
        <f t="shared" si="98"/>
        <v>2021</v>
      </c>
      <c r="P2097" t="s">
        <v>13</v>
      </c>
      <c r="Q2097" t="s">
        <v>245</v>
      </c>
      <c r="R2097" t="s">
        <v>23</v>
      </c>
      <c r="S2097" t="str" cm="1">
        <f t="array" ref="S2097">_xlfn.IFS(R2097="COMPLETE", "COMPLETED", R2097="CANCELED", "CANCELED", TRUE, "PENDING")</f>
        <v>PENDING</v>
      </c>
      <c r="T2097" t="s">
        <v>16</v>
      </c>
      <c r="U2097">
        <f>VLOOKUP(A2097,ordered_items!$B:$E,4,0)</f>
        <v>215.82</v>
      </c>
    </row>
    <row r="2098" spans="1:21" x14ac:dyDescent="0.3">
      <c r="A2098">
        <v>76879</v>
      </c>
      <c r="B2098" t="s">
        <v>51</v>
      </c>
      <c r="C2098">
        <v>5</v>
      </c>
      <c r="D2098">
        <v>4</v>
      </c>
      <c r="E2098" t="str">
        <f t="shared" si="96"/>
        <v>DELAYED</v>
      </c>
      <c r="F2098">
        <f>VLOOKUP($A2098,ordered_items!$B$2:$E$4784,2,0)</f>
        <v>1363</v>
      </c>
      <c r="G2098">
        <f>VLOOKUP($A2098,ordered_items!$B$2:$E$4784,3,0)</f>
        <v>1</v>
      </c>
      <c r="H2098">
        <f>VLOOKUP($A2098,ordered_items!$B$2:$E$4784,4,0)</f>
        <v>215.82</v>
      </c>
      <c r="I2098" s="15">
        <f>VLOOKUP(F2098,product_info!$A$2:$D$73,4,0)</f>
        <v>4</v>
      </c>
      <c r="J2098" s="15" t="str">
        <f>VLOOKUP(I2098,department!$A$2:$B$13,2,0)</f>
        <v>Apparel</v>
      </c>
      <c r="K2098">
        <v>20432</v>
      </c>
      <c r="L2098" t="s">
        <v>426</v>
      </c>
      <c r="M2098" s="4">
        <v>44222</v>
      </c>
      <c r="N2098" s="12">
        <f t="shared" si="97"/>
        <v>1</v>
      </c>
      <c r="O2098" s="13">
        <f t="shared" si="98"/>
        <v>2021</v>
      </c>
      <c r="P2098" t="s">
        <v>13</v>
      </c>
      <c r="Q2098" t="s">
        <v>245</v>
      </c>
      <c r="R2098" t="s">
        <v>57</v>
      </c>
      <c r="S2098" t="str" cm="1">
        <f t="array" ref="S2098">_xlfn.IFS(R2098="COMPLETE", "COMPLETED", R2098="CANCELED", "CANCELED", TRUE, "PENDING")</f>
        <v>PENDING</v>
      </c>
      <c r="T2098" t="s">
        <v>16</v>
      </c>
      <c r="U2098">
        <f>VLOOKUP(A2098,ordered_items!$B:$E,4,0)</f>
        <v>215.82</v>
      </c>
    </row>
    <row r="2099" spans="1:21" x14ac:dyDescent="0.3">
      <c r="A2099">
        <v>76880</v>
      </c>
      <c r="B2099" t="s">
        <v>24</v>
      </c>
      <c r="C2099">
        <v>6</v>
      </c>
      <c r="D2099">
        <v>4</v>
      </c>
      <c r="E2099" t="str">
        <f t="shared" si="96"/>
        <v>DELAYED</v>
      </c>
      <c r="F2099">
        <f>VLOOKUP($A2099,ordered_items!$B$2:$E$4784,2,0)</f>
        <v>1363</v>
      </c>
      <c r="G2099">
        <f>VLOOKUP($A2099,ordered_items!$B$2:$E$4784,3,0)</f>
        <v>1</v>
      </c>
      <c r="H2099">
        <f>VLOOKUP($A2099,ordered_items!$B$2:$E$4784,4,0)</f>
        <v>215.82</v>
      </c>
      <c r="I2099" s="15">
        <f>VLOOKUP(F2099,product_info!$A$2:$D$73,4,0)</f>
        <v>4</v>
      </c>
      <c r="J2099" s="15" t="str">
        <f>VLOOKUP(I2099,department!$A$2:$B$13,2,0)</f>
        <v>Apparel</v>
      </c>
      <c r="K2099">
        <v>20433</v>
      </c>
      <c r="L2099" t="s">
        <v>426</v>
      </c>
      <c r="M2099" s="4">
        <v>44222</v>
      </c>
      <c r="N2099" s="12">
        <f t="shared" si="97"/>
        <v>1</v>
      </c>
      <c r="O2099" s="13">
        <f t="shared" si="98"/>
        <v>2021</v>
      </c>
      <c r="P2099" t="s">
        <v>13</v>
      </c>
      <c r="Q2099" t="s">
        <v>245</v>
      </c>
      <c r="R2099" t="s">
        <v>31</v>
      </c>
      <c r="S2099" t="str" cm="1">
        <f t="array" ref="S2099">_xlfn.IFS(R2099="COMPLETE", "COMPLETED", R2099="CANCELED", "CANCELED", TRUE, "PENDING")</f>
        <v>COMPLETED</v>
      </c>
      <c r="T2099" t="s">
        <v>16</v>
      </c>
      <c r="U2099">
        <f>VLOOKUP(A2099,ordered_items!$B:$E,4,0)</f>
        <v>215.82</v>
      </c>
    </row>
    <row r="2100" spans="1:21" x14ac:dyDescent="0.3">
      <c r="A2100">
        <v>76881</v>
      </c>
      <c r="B2100" t="s">
        <v>3</v>
      </c>
      <c r="C2100">
        <v>2</v>
      </c>
      <c r="D2100">
        <v>4</v>
      </c>
      <c r="E2100" t="str">
        <f t="shared" si="96"/>
        <v xml:space="preserve"> ONTIME</v>
      </c>
      <c r="F2100">
        <f>VLOOKUP($A2100,ordered_items!$B$2:$E$4784,2,0)</f>
        <v>1363</v>
      </c>
      <c r="G2100">
        <f>VLOOKUP($A2100,ordered_items!$B$2:$E$4784,3,0)</f>
        <v>1</v>
      </c>
      <c r="H2100">
        <f>VLOOKUP($A2100,ordered_items!$B$2:$E$4784,4,0)</f>
        <v>215.82</v>
      </c>
      <c r="I2100" s="15">
        <f>VLOOKUP(F2100,product_info!$A$2:$D$73,4,0)</f>
        <v>4</v>
      </c>
      <c r="J2100" s="15" t="str">
        <f>VLOOKUP(I2100,department!$A$2:$B$13,2,0)</f>
        <v>Apparel</v>
      </c>
      <c r="K2100">
        <v>20434</v>
      </c>
      <c r="L2100" t="s">
        <v>426</v>
      </c>
      <c r="M2100" s="4">
        <v>44222</v>
      </c>
      <c r="N2100" s="12">
        <f t="shared" si="97"/>
        <v>1</v>
      </c>
      <c r="O2100" s="13">
        <f t="shared" si="98"/>
        <v>2021</v>
      </c>
      <c r="P2100" t="s">
        <v>13</v>
      </c>
      <c r="Q2100" t="s">
        <v>245</v>
      </c>
      <c r="R2100" t="s">
        <v>38</v>
      </c>
      <c r="S2100" t="str" cm="1">
        <f t="array" ref="S2100">_xlfn.IFS(R2100="COMPLETE", "COMPLETED", R2100="CANCELED", "CANCELED", TRUE, "PENDING")</f>
        <v>PENDING</v>
      </c>
      <c r="T2100" t="s">
        <v>16</v>
      </c>
      <c r="U2100">
        <f>VLOOKUP(A2100,ordered_items!$B:$E,4,0)</f>
        <v>215.82</v>
      </c>
    </row>
    <row r="2101" spans="1:21" x14ac:dyDescent="0.3">
      <c r="A2101">
        <v>76886</v>
      </c>
      <c r="B2101" t="s">
        <v>51</v>
      </c>
      <c r="C2101">
        <v>2</v>
      </c>
      <c r="D2101">
        <v>4</v>
      </c>
      <c r="E2101" t="str">
        <f t="shared" si="96"/>
        <v xml:space="preserve"> ONTIME</v>
      </c>
      <c r="F2101">
        <f>VLOOKUP($A2101,ordered_items!$B$2:$E$4784,2,0)</f>
        <v>1363</v>
      </c>
      <c r="G2101">
        <f>VLOOKUP($A2101,ordered_items!$B$2:$E$4784,3,0)</f>
        <v>1</v>
      </c>
      <c r="H2101">
        <f>VLOOKUP($A2101,ordered_items!$B$2:$E$4784,4,0)</f>
        <v>215.82</v>
      </c>
      <c r="I2101" s="15">
        <f>VLOOKUP(F2101,product_info!$A$2:$D$73,4,0)</f>
        <v>4</v>
      </c>
      <c r="J2101" s="15" t="str">
        <f>VLOOKUP(I2101,department!$A$2:$B$13,2,0)</f>
        <v>Apparel</v>
      </c>
      <c r="K2101">
        <v>20439</v>
      </c>
      <c r="L2101" t="s">
        <v>465</v>
      </c>
      <c r="M2101" s="4">
        <v>44222</v>
      </c>
      <c r="N2101" s="12">
        <f t="shared" si="97"/>
        <v>1</v>
      </c>
      <c r="O2101" s="13">
        <f t="shared" si="98"/>
        <v>2021</v>
      </c>
      <c r="P2101" t="s">
        <v>13</v>
      </c>
      <c r="Q2101" t="s">
        <v>99</v>
      </c>
      <c r="R2101" t="s">
        <v>57</v>
      </c>
      <c r="S2101" t="str" cm="1">
        <f t="array" ref="S2101">_xlfn.IFS(R2101="COMPLETE", "COMPLETED", R2101="CANCELED", "CANCELED", TRUE, "PENDING")</f>
        <v>PENDING</v>
      </c>
      <c r="T2101" t="s">
        <v>16</v>
      </c>
      <c r="U2101">
        <f>VLOOKUP(A2101,ordered_items!$B:$E,4,0)</f>
        <v>215.82</v>
      </c>
    </row>
    <row r="2102" spans="1:21" x14ac:dyDescent="0.3">
      <c r="A2102">
        <v>76887</v>
      </c>
      <c r="B2102" t="s">
        <v>17</v>
      </c>
      <c r="C2102">
        <v>3</v>
      </c>
      <c r="D2102">
        <v>4</v>
      </c>
      <c r="E2102" t="str">
        <f t="shared" si="96"/>
        <v xml:space="preserve"> ONTIME</v>
      </c>
      <c r="F2102">
        <f>VLOOKUP($A2102,ordered_items!$B$2:$E$4784,2,0)</f>
        <v>1363</v>
      </c>
      <c r="G2102">
        <f>VLOOKUP($A2102,ordered_items!$B$2:$E$4784,3,0)</f>
        <v>1</v>
      </c>
      <c r="H2102">
        <f>VLOOKUP($A2102,ordered_items!$B$2:$E$4784,4,0)</f>
        <v>215.82</v>
      </c>
      <c r="I2102" s="15">
        <f>VLOOKUP(F2102,product_info!$A$2:$D$73,4,0)</f>
        <v>4</v>
      </c>
      <c r="J2102" s="15" t="str">
        <f>VLOOKUP(I2102,department!$A$2:$B$13,2,0)</f>
        <v>Apparel</v>
      </c>
      <c r="K2102">
        <v>20440</v>
      </c>
      <c r="L2102" t="s">
        <v>465</v>
      </c>
      <c r="M2102" s="4">
        <v>44222</v>
      </c>
      <c r="N2102" s="12">
        <f t="shared" si="97"/>
        <v>1</v>
      </c>
      <c r="O2102" s="13">
        <f t="shared" si="98"/>
        <v>2021</v>
      </c>
      <c r="P2102" t="s">
        <v>13</v>
      </c>
      <c r="Q2102" t="s">
        <v>99</v>
      </c>
      <c r="R2102" t="s">
        <v>23</v>
      </c>
      <c r="S2102" t="str" cm="1">
        <f t="array" ref="S2102">_xlfn.IFS(R2102="COMPLETE", "COMPLETED", R2102="CANCELED", "CANCELED", TRUE, "PENDING")</f>
        <v>PENDING</v>
      </c>
      <c r="T2102" t="s">
        <v>16</v>
      </c>
      <c r="U2102">
        <f>VLOOKUP(A2102,ordered_items!$B:$E,4,0)</f>
        <v>215.82</v>
      </c>
    </row>
    <row r="2103" spans="1:21" x14ac:dyDescent="0.3">
      <c r="A2103">
        <v>76906</v>
      </c>
      <c r="B2103" t="s">
        <v>51</v>
      </c>
      <c r="C2103">
        <v>2</v>
      </c>
      <c r="D2103">
        <v>4</v>
      </c>
      <c r="E2103" t="str">
        <f t="shared" si="96"/>
        <v xml:space="preserve"> ONTIME</v>
      </c>
      <c r="F2103">
        <f>VLOOKUP($A2103,ordered_items!$B$2:$E$4784,2,0)</f>
        <v>1363</v>
      </c>
      <c r="G2103">
        <f>VLOOKUP($A2103,ordered_items!$B$2:$E$4784,3,0)</f>
        <v>1</v>
      </c>
      <c r="H2103">
        <f>VLOOKUP($A2103,ordered_items!$B$2:$E$4784,4,0)</f>
        <v>215.82</v>
      </c>
      <c r="I2103" s="15">
        <f>VLOOKUP(F2103,product_info!$A$2:$D$73,4,0)</f>
        <v>4</v>
      </c>
      <c r="J2103" s="15" t="str">
        <f>VLOOKUP(I2103,department!$A$2:$B$13,2,0)</f>
        <v>Apparel</v>
      </c>
      <c r="K2103">
        <v>20459</v>
      </c>
      <c r="L2103" t="s">
        <v>561</v>
      </c>
      <c r="M2103" s="4">
        <v>44222</v>
      </c>
      <c r="N2103" s="12">
        <f t="shared" si="97"/>
        <v>1</v>
      </c>
      <c r="O2103" s="13">
        <f t="shared" si="98"/>
        <v>2021</v>
      </c>
      <c r="P2103" t="s">
        <v>13</v>
      </c>
      <c r="Q2103" t="s">
        <v>5779</v>
      </c>
      <c r="R2103" t="s">
        <v>57</v>
      </c>
      <c r="S2103" t="str" cm="1">
        <f t="array" ref="S2103">_xlfn.IFS(R2103="COMPLETE", "COMPLETED", R2103="CANCELED", "CANCELED", TRUE, "PENDING")</f>
        <v>PENDING</v>
      </c>
      <c r="T2103" t="s">
        <v>16</v>
      </c>
      <c r="U2103">
        <f>VLOOKUP(A2103,ordered_items!$B:$E,4,0)</f>
        <v>215.82</v>
      </c>
    </row>
    <row r="2104" spans="1:21" x14ac:dyDescent="0.3">
      <c r="A2104">
        <v>76907</v>
      </c>
      <c r="B2104" t="s">
        <v>3</v>
      </c>
      <c r="C2104">
        <v>1</v>
      </c>
      <c r="D2104">
        <v>0</v>
      </c>
      <c r="E2104" t="str">
        <f t="shared" si="96"/>
        <v>DELAYED</v>
      </c>
      <c r="F2104">
        <f>VLOOKUP($A2104,ordered_items!$B$2:$E$4784,2,0)</f>
        <v>1363</v>
      </c>
      <c r="G2104">
        <f>VLOOKUP($A2104,ordered_items!$B$2:$E$4784,3,0)</f>
        <v>1</v>
      </c>
      <c r="H2104">
        <f>VLOOKUP($A2104,ordered_items!$B$2:$E$4784,4,0)</f>
        <v>215.82</v>
      </c>
      <c r="I2104" s="15">
        <f>VLOOKUP(F2104,product_info!$A$2:$D$73,4,0)</f>
        <v>4</v>
      </c>
      <c r="J2104" s="15" t="str">
        <f>VLOOKUP(I2104,department!$A$2:$B$13,2,0)</f>
        <v>Apparel</v>
      </c>
      <c r="K2104">
        <v>20460</v>
      </c>
      <c r="L2104" t="s">
        <v>561</v>
      </c>
      <c r="M2104" s="4">
        <v>44222</v>
      </c>
      <c r="N2104" s="12">
        <f t="shared" si="97"/>
        <v>1</v>
      </c>
      <c r="O2104" s="13">
        <f t="shared" si="98"/>
        <v>2021</v>
      </c>
      <c r="P2104" t="s">
        <v>13</v>
      </c>
      <c r="Q2104" t="s">
        <v>5779</v>
      </c>
      <c r="R2104" t="s">
        <v>38</v>
      </c>
      <c r="S2104" t="str" cm="1">
        <f t="array" ref="S2104">_xlfn.IFS(R2104="COMPLETE", "COMPLETED", R2104="CANCELED", "CANCELED", TRUE, "PENDING")</f>
        <v>PENDING</v>
      </c>
      <c r="T2104" t="s">
        <v>58</v>
      </c>
      <c r="U2104">
        <f>VLOOKUP(A2104,ordered_items!$B:$E,4,0)</f>
        <v>215.82</v>
      </c>
    </row>
    <row r="2105" spans="1:21" x14ac:dyDescent="0.3">
      <c r="A2105">
        <v>76909</v>
      </c>
      <c r="B2105" t="s">
        <v>24</v>
      </c>
      <c r="C2105">
        <v>2</v>
      </c>
      <c r="D2105">
        <v>1</v>
      </c>
      <c r="E2105" t="str">
        <f t="shared" si="96"/>
        <v>DELAYED</v>
      </c>
      <c r="F2105">
        <f>VLOOKUP($A2105,ordered_items!$B$2:$E$4784,2,0)</f>
        <v>1363</v>
      </c>
      <c r="G2105">
        <f>VLOOKUP($A2105,ordered_items!$B$2:$E$4784,3,0)</f>
        <v>1</v>
      </c>
      <c r="H2105">
        <f>VLOOKUP($A2105,ordered_items!$B$2:$E$4784,4,0)</f>
        <v>215.82</v>
      </c>
      <c r="I2105" s="15">
        <f>VLOOKUP(F2105,product_info!$A$2:$D$73,4,0)</f>
        <v>4</v>
      </c>
      <c r="J2105" s="15" t="str">
        <f>VLOOKUP(I2105,department!$A$2:$B$13,2,0)</f>
        <v>Apparel</v>
      </c>
      <c r="K2105">
        <v>20462</v>
      </c>
      <c r="L2105" t="s">
        <v>290</v>
      </c>
      <c r="M2105" s="4">
        <v>44222</v>
      </c>
      <c r="N2105" s="12">
        <f t="shared" si="97"/>
        <v>1</v>
      </c>
      <c r="O2105" s="13">
        <f t="shared" si="98"/>
        <v>2021</v>
      </c>
      <c r="P2105" t="s">
        <v>13</v>
      </c>
      <c r="Q2105" t="s">
        <v>130</v>
      </c>
      <c r="R2105" t="s">
        <v>378</v>
      </c>
      <c r="S2105" t="str" cm="1">
        <f t="array" ref="S2105">_xlfn.IFS(R2105="COMPLETE", "COMPLETED", R2105="CANCELED", "CANCELED", TRUE, "PENDING")</f>
        <v>PENDING</v>
      </c>
      <c r="T2105" t="s">
        <v>32</v>
      </c>
      <c r="U2105">
        <f>VLOOKUP(A2105,ordered_items!$B:$E,4,0)</f>
        <v>215.82</v>
      </c>
    </row>
    <row r="2106" spans="1:21" x14ac:dyDescent="0.3">
      <c r="A2106">
        <v>76910</v>
      </c>
      <c r="B2106" t="s">
        <v>3</v>
      </c>
      <c r="C2106">
        <v>6</v>
      </c>
      <c r="D2106">
        <v>4</v>
      </c>
      <c r="E2106" t="str">
        <f t="shared" si="96"/>
        <v>DELAYED</v>
      </c>
      <c r="F2106">
        <f>VLOOKUP($A2106,ordered_items!$B$2:$E$4784,2,0)</f>
        <v>1363</v>
      </c>
      <c r="G2106">
        <f>VLOOKUP($A2106,ordered_items!$B$2:$E$4784,3,0)</f>
        <v>1</v>
      </c>
      <c r="H2106">
        <f>VLOOKUP($A2106,ordered_items!$B$2:$E$4784,4,0)</f>
        <v>215.82</v>
      </c>
      <c r="I2106" s="15">
        <f>VLOOKUP(F2106,product_info!$A$2:$D$73,4,0)</f>
        <v>4</v>
      </c>
      <c r="J2106" s="15" t="str">
        <f>VLOOKUP(I2106,department!$A$2:$B$13,2,0)</f>
        <v>Apparel</v>
      </c>
      <c r="K2106">
        <v>20463</v>
      </c>
      <c r="L2106" t="s">
        <v>290</v>
      </c>
      <c r="M2106" s="4">
        <v>44222</v>
      </c>
      <c r="N2106" s="12">
        <f t="shared" si="97"/>
        <v>1</v>
      </c>
      <c r="O2106" s="13">
        <f t="shared" si="98"/>
        <v>2021</v>
      </c>
      <c r="P2106" t="s">
        <v>13</v>
      </c>
      <c r="Q2106" t="s">
        <v>130</v>
      </c>
      <c r="R2106" t="s">
        <v>38</v>
      </c>
      <c r="S2106" t="str" cm="1">
        <f t="array" ref="S2106">_xlfn.IFS(R2106="COMPLETE", "COMPLETED", R2106="CANCELED", "CANCELED", TRUE, "PENDING")</f>
        <v>PENDING</v>
      </c>
      <c r="T2106" t="s">
        <v>16</v>
      </c>
      <c r="U2106">
        <f>VLOOKUP(A2106,ordered_items!$B:$E,4,0)</f>
        <v>215.82</v>
      </c>
    </row>
    <row r="2107" spans="1:21" x14ac:dyDescent="0.3">
      <c r="A2107">
        <v>76949</v>
      </c>
      <c r="B2107" t="s">
        <v>24</v>
      </c>
      <c r="C2107">
        <v>5</v>
      </c>
      <c r="D2107">
        <v>4</v>
      </c>
      <c r="E2107" t="str">
        <f t="shared" si="96"/>
        <v>DELAYED</v>
      </c>
      <c r="F2107">
        <f>VLOOKUP($A2107,ordered_items!$B$2:$E$4784,2,0)</f>
        <v>1363</v>
      </c>
      <c r="G2107">
        <f>VLOOKUP($A2107,ordered_items!$B$2:$E$4784,3,0)</f>
        <v>1</v>
      </c>
      <c r="H2107">
        <f>VLOOKUP($A2107,ordered_items!$B$2:$E$4784,4,0)</f>
        <v>215.82</v>
      </c>
      <c r="I2107" s="15">
        <f>VLOOKUP(F2107,product_info!$A$2:$D$73,4,0)</f>
        <v>4</v>
      </c>
      <c r="J2107" s="15" t="str">
        <f>VLOOKUP(I2107,department!$A$2:$B$13,2,0)</f>
        <v>Apparel</v>
      </c>
      <c r="K2107">
        <v>20502</v>
      </c>
      <c r="L2107" t="s">
        <v>104</v>
      </c>
      <c r="M2107" s="4">
        <v>44223</v>
      </c>
      <c r="N2107" s="12">
        <f t="shared" si="97"/>
        <v>1</v>
      </c>
      <c r="O2107" s="13">
        <f t="shared" si="98"/>
        <v>2021</v>
      </c>
      <c r="P2107" t="s">
        <v>13</v>
      </c>
      <c r="Q2107" t="s">
        <v>420</v>
      </c>
      <c r="R2107" t="s">
        <v>31</v>
      </c>
      <c r="S2107" t="str" cm="1">
        <f t="array" ref="S2107">_xlfn.IFS(R2107="COMPLETE", "COMPLETED", R2107="CANCELED", "CANCELED", TRUE, "PENDING")</f>
        <v>COMPLETED</v>
      </c>
      <c r="T2107" t="s">
        <v>16</v>
      </c>
      <c r="U2107">
        <f>VLOOKUP(A2107,ordered_items!$B:$E,4,0)</f>
        <v>215.82</v>
      </c>
    </row>
    <row r="2108" spans="1:21" x14ac:dyDescent="0.3">
      <c r="A2108">
        <v>76952</v>
      </c>
      <c r="B2108" t="s">
        <v>24</v>
      </c>
      <c r="C2108">
        <v>3</v>
      </c>
      <c r="D2108">
        <v>4</v>
      </c>
      <c r="E2108" t="str">
        <f t="shared" si="96"/>
        <v xml:space="preserve"> ONTIME</v>
      </c>
      <c r="F2108">
        <f>VLOOKUP($A2108,ordered_items!$B$2:$E$4784,2,0)</f>
        <v>1363</v>
      </c>
      <c r="G2108">
        <f>VLOOKUP($A2108,ordered_items!$B$2:$E$4784,3,0)</f>
        <v>1</v>
      </c>
      <c r="H2108">
        <f>VLOOKUP($A2108,ordered_items!$B$2:$E$4784,4,0)</f>
        <v>215.82</v>
      </c>
      <c r="I2108" s="15">
        <f>VLOOKUP(F2108,product_info!$A$2:$D$73,4,0)</f>
        <v>4</v>
      </c>
      <c r="J2108" s="15" t="str">
        <f>VLOOKUP(I2108,department!$A$2:$B$13,2,0)</f>
        <v>Apparel</v>
      </c>
      <c r="K2108">
        <v>20505</v>
      </c>
      <c r="L2108" t="s">
        <v>439</v>
      </c>
      <c r="M2108" s="4">
        <v>44223</v>
      </c>
      <c r="N2108" s="12">
        <f t="shared" si="97"/>
        <v>1</v>
      </c>
      <c r="O2108" s="13">
        <f t="shared" si="98"/>
        <v>2021</v>
      </c>
      <c r="P2108" t="s">
        <v>13</v>
      </c>
      <c r="Q2108" t="s">
        <v>377</v>
      </c>
      <c r="R2108" t="s">
        <v>31</v>
      </c>
      <c r="S2108" t="str" cm="1">
        <f t="array" ref="S2108">_xlfn.IFS(R2108="COMPLETE", "COMPLETED", R2108="CANCELED", "CANCELED", TRUE, "PENDING")</f>
        <v>COMPLETED</v>
      </c>
      <c r="T2108" t="s">
        <v>16</v>
      </c>
      <c r="U2108">
        <f>VLOOKUP(A2108,ordered_items!$B:$E,4,0)</f>
        <v>215.82</v>
      </c>
    </row>
    <row r="2109" spans="1:21" x14ac:dyDescent="0.3">
      <c r="A2109">
        <v>76953</v>
      </c>
      <c r="B2109" t="s">
        <v>3</v>
      </c>
      <c r="C2109">
        <v>4</v>
      </c>
      <c r="D2109">
        <v>4</v>
      </c>
      <c r="E2109" t="str">
        <f t="shared" si="96"/>
        <v xml:space="preserve"> ONTIME</v>
      </c>
      <c r="F2109">
        <f>VLOOKUP($A2109,ordered_items!$B$2:$E$4784,2,0)</f>
        <v>1363</v>
      </c>
      <c r="G2109">
        <f>VLOOKUP($A2109,ordered_items!$B$2:$E$4784,3,0)</f>
        <v>1</v>
      </c>
      <c r="H2109">
        <f>VLOOKUP($A2109,ordered_items!$B$2:$E$4784,4,0)</f>
        <v>215.82</v>
      </c>
      <c r="I2109" s="15">
        <f>VLOOKUP(F2109,product_info!$A$2:$D$73,4,0)</f>
        <v>4</v>
      </c>
      <c r="J2109" s="15" t="str">
        <f>VLOOKUP(I2109,department!$A$2:$B$13,2,0)</f>
        <v>Apparel</v>
      </c>
      <c r="K2109">
        <v>20506</v>
      </c>
      <c r="L2109" t="s">
        <v>439</v>
      </c>
      <c r="M2109" s="4">
        <v>44223</v>
      </c>
      <c r="N2109" s="12">
        <f t="shared" si="97"/>
        <v>1</v>
      </c>
      <c r="O2109" s="13">
        <f t="shared" si="98"/>
        <v>2021</v>
      </c>
      <c r="P2109" t="s">
        <v>13</v>
      </c>
      <c r="Q2109" t="s">
        <v>377</v>
      </c>
      <c r="R2109" t="s">
        <v>14</v>
      </c>
      <c r="S2109" t="str" cm="1">
        <f t="array" ref="S2109">_xlfn.IFS(R2109="COMPLETE", "COMPLETED", R2109="CANCELED", "CANCELED", TRUE, "PENDING")</f>
        <v>PENDING</v>
      </c>
      <c r="T2109" t="s">
        <v>16</v>
      </c>
      <c r="U2109">
        <f>VLOOKUP(A2109,ordered_items!$B:$E,4,0)</f>
        <v>215.82</v>
      </c>
    </row>
    <row r="2110" spans="1:21" x14ac:dyDescent="0.3">
      <c r="A2110">
        <v>76954</v>
      </c>
      <c r="B2110" t="s">
        <v>51</v>
      </c>
      <c r="C2110">
        <v>0</v>
      </c>
      <c r="D2110">
        <v>0</v>
      </c>
      <c r="E2110" t="str">
        <f t="shared" si="96"/>
        <v xml:space="preserve"> ONTIME</v>
      </c>
      <c r="F2110">
        <f>VLOOKUP($A2110,ordered_items!$B$2:$E$4784,2,0)</f>
        <v>1363</v>
      </c>
      <c r="G2110">
        <f>VLOOKUP($A2110,ordered_items!$B$2:$E$4784,3,0)</f>
        <v>1</v>
      </c>
      <c r="H2110">
        <f>VLOOKUP($A2110,ordered_items!$B$2:$E$4784,4,0)</f>
        <v>215.82</v>
      </c>
      <c r="I2110" s="15">
        <f>VLOOKUP(F2110,product_info!$A$2:$D$73,4,0)</f>
        <v>4</v>
      </c>
      <c r="J2110" s="15" t="str">
        <f>VLOOKUP(I2110,department!$A$2:$B$13,2,0)</f>
        <v>Apparel</v>
      </c>
      <c r="K2110">
        <v>20507</v>
      </c>
      <c r="L2110" t="s">
        <v>439</v>
      </c>
      <c r="M2110" s="4">
        <v>44223</v>
      </c>
      <c r="N2110" s="12">
        <f t="shared" si="97"/>
        <v>1</v>
      </c>
      <c r="O2110" s="13">
        <f t="shared" si="98"/>
        <v>2021</v>
      </c>
      <c r="P2110" t="s">
        <v>13</v>
      </c>
      <c r="Q2110" t="s">
        <v>377</v>
      </c>
      <c r="R2110" t="s">
        <v>1275</v>
      </c>
      <c r="S2110" t="str" cm="1">
        <f t="array" ref="S2110">_xlfn.IFS(R2110="COMPLETE", "COMPLETED", R2110="CANCELED", "CANCELED", TRUE, "PENDING")</f>
        <v>PENDING</v>
      </c>
      <c r="T2110" t="s">
        <v>58</v>
      </c>
      <c r="U2110">
        <f>VLOOKUP(A2110,ordered_items!$B:$E,4,0)</f>
        <v>215.82</v>
      </c>
    </row>
    <row r="2111" spans="1:21" x14ac:dyDescent="0.3">
      <c r="A2111">
        <v>77000</v>
      </c>
      <c r="B2111" t="s">
        <v>3</v>
      </c>
      <c r="C2111">
        <v>6</v>
      </c>
      <c r="D2111">
        <v>2</v>
      </c>
      <c r="E2111" t="str">
        <f t="shared" si="96"/>
        <v>DELAYED</v>
      </c>
      <c r="F2111">
        <f>VLOOKUP($A2111,ordered_items!$B$2:$E$4784,2,0)</f>
        <v>1363</v>
      </c>
      <c r="G2111">
        <f>VLOOKUP($A2111,ordered_items!$B$2:$E$4784,3,0)</f>
        <v>1</v>
      </c>
      <c r="H2111">
        <f>VLOOKUP($A2111,ordered_items!$B$2:$E$4784,4,0)</f>
        <v>215.82</v>
      </c>
      <c r="I2111" s="15">
        <f>VLOOKUP(F2111,product_info!$A$2:$D$73,4,0)</f>
        <v>4</v>
      </c>
      <c r="J2111" s="15" t="str">
        <f>VLOOKUP(I2111,department!$A$2:$B$13,2,0)</f>
        <v>Apparel</v>
      </c>
      <c r="K2111">
        <v>20553</v>
      </c>
      <c r="L2111" t="s">
        <v>453</v>
      </c>
      <c r="M2111" s="4">
        <v>44224</v>
      </c>
      <c r="N2111" s="12">
        <f t="shared" si="97"/>
        <v>1</v>
      </c>
      <c r="O2111" s="13">
        <f t="shared" si="98"/>
        <v>2021</v>
      </c>
      <c r="P2111" t="s">
        <v>13</v>
      </c>
      <c r="Q2111" t="s">
        <v>30</v>
      </c>
      <c r="R2111" t="s">
        <v>14</v>
      </c>
      <c r="S2111" t="str" cm="1">
        <f t="array" ref="S2111">_xlfn.IFS(R2111="COMPLETE", "COMPLETED", R2111="CANCELED", "CANCELED", TRUE, "PENDING")</f>
        <v>PENDING</v>
      </c>
      <c r="T2111" t="s">
        <v>90</v>
      </c>
      <c r="U2111">
        <f>VLOOKUP(A2111,ordered_items!$B:$E,4,0)</f>
        <v>215.82</v>
      </c>
    </row>
    <row r="2112" spans="1:21" x14ac:dyDescent="0.3">
      <c r="A2112">
        <v>77001</v>
      </c>
      <c r="B2112" t="s">
        <v>51</v>
      </c>
      <c r="C2112">
        <v>2</v>
      </c>
      <c r="D2112">
        <v>4</v>
      </c>
      <c r="E2112" t="str">
        <f t="shared" si="96"/>
        <v xml:space="preserve"> ONTIME</v>
      </c>
      <c r="F2112">
        <f>VLOOKUP($A2112,ordered_items!$B$2:$E$4784,2,0)</f>
        <v>1363</v>
      </c>
      <c r="G2112">
        <f>VLOOKUP($A2112,ordered_items!$B$2:$E$4784,3,0)</f>
        <v>1</v>
      </c>
      <c r="H2112">
        <f>VLOOKUP($A2112,ordered_items!$B$2:$E$4784,4,0)</f>
        <v>215.82</v>
      </c>
      <c r="I2112" s="15">
        <f>VLOOKUP(F2112,product_info!$A$2:$D$73,4,0)</f>
        <v>4</v>
      </c>
      <c r="J2112" s="15" t="str">
        <f>VLOOKUP(I2112,department!$A$2:$B$13,2,0)</f>
        <v>Apparel</v>
      </c>
      <c r="K2112">
        <v>20554</v>
      </c>
      <c r="L2112" t="s">
        <v>453</v>
      </c>
      <c r="M2112" s="4">
        <v>44224</v>
      </c>
      <c r="N2112" s="12">
        <f t="shared" si="97"/>
        <v>1</v>
      </c>
      <c r="O2112" s="13">
        <f t="shared" si="98"/>
        <v>2021</v>
      </c>
      <c r="P2112" t="s">
        <v>13</v>
      </c>
      <c r="Q2112" t="s">
        <v>30</v>
      </c>
      <c r="R2112" t="s">
        <v>57</v>
      </c>
      <c r="S2112" t="str" cm="1">
        <f t="array" ref="S2112">_xlfn.IFS(R2112="COMPLETE", "COMPLETED", R2112="CANCELED", "CANCELED", TRUE, "PENDING")</f>
        <v>PENDING</v>
      </c>
      <c r="T2112" t="s">
        <v>16</v>
      </c>
      <c r="U2112">
        <f>VLOOKUP(A2112,ordered_items!$B:$E,4,0)</f>
        <v>215.82</v>
      </c>
    </row>
    <row r="2113" spans="1:21" x14ac:dyDescent="0.3">
      <c r="A2113">
        <v>77002</v>
      </c>
      <c r="B2113" t="s">
        <v>3</v>
      </c>
      <c r="C2113">
        <v>3</v>
      </c>
      <c r="D2113">
        <v>4</v>
      </c>
      <c r="E2113" t="str">
        <f t="shared" si="96"/>
        <v xml:space="preserve"> ONTIME</v>
      </c>
      <c r="F2113">
        <f>VLOOKUP($A2113,ordered_items!$B$2:$E$4784,2,0)</f>
        <v>1363</v>
      </c>
      <c r="G2113">
        <f>VLOOKUP($A2113,ordered_items!$B$2:$E$4784,3,0)</f>
        <v>1</v>
      </c>
      <c r="H2113">
        <f>VLOOKUP($A2113,ordered_items!$B$2:$E$4784,4,0)</f>
        <v>215.82</v>
      </c>
      <c r="I2113" s="15">
        <f>VLOOKUP(F2113,product_info!$A$2:$D$73,4,0)</f>
        <v>4</v>
      </c>
      <c r="J2113" s="15" t="str">
        <f>VLOOKUP(I2113,department!$A$2:$B$13,2,0)</f>
        <v>Apparel</v>
      </c>
      <c r="K2113">
        <v>20555</v>
      </c>
      <c r="L2113" t="s">
        <v>453</v>
      </c>
      <c r="M2113" s="4">
        <v>44224</v>
      </c>
      <c r="N2113" s="12">
        <f t="shared" si="97"/>
        <v>1</v>
      </c>
      <c r="O2113" s="13">
        <f t="shared" si="98"/>
        <v>2021</v>
      </c>
      <c r="P2113" t="s">
        <v>13</v>
      </c>
      <c r="Q2113" t="s">
        <v>30</v>
      </c>
      <c r="R2113" t="s">
        <v>38</v>
      </c>
      <c r="S2113" t="str" cm="1">
        <f t="array" ref="S2113">_xlfn.IFS(R2113="COMPLETE", "COMPLETED", R2113="CANCELED", "CANCELED", TRUE, "PENDING")</f>
        <v>PENDING</v>
      </c>
      <c r="T2113" t="s">
        <v>16</v>
      </c>
      <c r="U2113">
        <f>VLOOKUP(A2113,ordered_items!$B:$E,4,0)</f>
        <v>215.82</v>
      </c>
    </row>
    <row r="2114" spans="1:21" x14ac:dyDescent="0.3">
      <c r="A2114">
        <v>77013</v>
      </c>
      <c r="B2114" t="s">
        <v>24</v>
      </c>
      <c r="C2114">
        <v>4</v>
      </c>
      <c r="D2114">
        <v>2</v>
      </c>
      <c r="E2114" t="str">
        <f t="shared" si="96"/>
        <v>DELAYED</v>
      </c>
      <c r="F2114">
        <f>VLOOKUP($A2114,ordered_items!$B$2:$E$4784,2,0)</f>
        <v>1363</v>
      </c>
      <c r="G2114">
        <f>VLOOKUP($A2114,ordered_items!$B$2:$E$4784,3,0)</f>
        <v>1</v>
      </c>
      <c r="H2114">
        <f>VLOOKUP($A2114,ordered_items!$B$2:$E$4784,4,0)</f>
        <v>215.82</v>
      </c>
      <c r="I2114" s="15">
        <f>VLOOKUP(F2114,product_info!$A$2:$D$73,4,0)</f>
        <v>4</v>
      </c>
      <c r="J2114" s="15" t="str">
        <f>VLOOKUP(I2114,department!$A$2:$B$13,2,0)</f>
        <v>Apparel</v>
      </c>
      <c r="K2114">
        <v>20566</v>
      </c>
      <c r="L2114" t="s">
        <v>537</v>
      </c>
      <c r="M2114" s="4">
        <v>44224</v>
      </c>
      <c r="N2114" s="12">
        <f t="shared" si="97"/>
        <v>1</v>
      </c>
      <c r="O2114" s="13">
        <f t="shared" si="98"/>
        <v>2021</v>
      </c>
      <c r="P2114" t="s">
        <v>13</v>
      </c>
      <c r="Q2114" t="s">
        <v>538</v>
      </c>
      <c r="R2114" t="s">
        <v>31</v>
      </c>
      <c r="S2114" t="str" cm="1">
        <f t="array" ref="S2114">_xlfn.IFS(R2114="COMPLETE", "COMPLETED", R2114="CANCELED", "CANCELED", TRUE, "PENDING")</f>
        <v>COMPLETED</v>
      </c>
      <c r="T2114" t="s">
        <v>90</v>
      </c>
      <c r="U2114">
        <f>VLOOKUP(A2114,ordered_items!$B:$E,4,0)</f>
        <v>215.82</v>
      </c>
    </row>
    <row r="2115" spans="1:21" x14ac:dyDescent="0.3">
      <c r="A2115">
        <v>77014</v>
      </c>
      <c r="B2115" t="s">
        <v>24</v>
      </c>
      <c r="C2115">
        <v>5</v>
      </c>
      <c r="D2115">
        <v>2</v>
      </c>
      <c r="E2115" t="str">
        <f t="shared" ref="E2115:E2153" si="99">IF(C2115-D2115&gt;0,"DELAYED"," ONTIME")</f>
        <v>DELAYED</v>
      </c>
      <c r="F2115">
        <f>VLOOKUP($A2115,ordered_items!$B$2:$E$4784,2,0)</f>
        <v>1363</v>
      </c>
      <c r="G2115">
        <f>VLOOKUP($A2115,ordered_items!$B$2:$E$4784,3,0)</f>
        <v>1</v>
      </c>
      <c r="H2115">
        <f>VLOOKUP($A2115,ordered_items!$B$2:$E$4784,4,0)</f>
        <v>215.82</v>
      </c>
      <c r="I2115" s="15">
        <f>VLOOKUP(F2115,product_info!$A$2:$D$73,4,0)</f>
        <v>4</v>
      </c>
      <c r="J2115" s="15" t="str">
        <f>VLOOKUP(I2115,department!$A$2:$B$13,2,0)</f>
        <v>Apparel</v>
      </c>
      <c r="K2115">
        <v>20567</v>
      </c>
      <c r="L2115" t="s">
        <v>537</v>
      </c>
      <c r="M2115" s="4">
        <v>44224</v>
      </c>
      <c r="N2115" s="12">
        <f t="shared" ref="N2115:N2153" si="100">MONTH(M2115)</f>
        <v>1</v>
      </c>
      <c r="O2115" s="13">
        <f t="shared" ref="O2115:O2153" si="101">YEAR(M2115)</f>
        <v>2021</v>
      </c>
      <c r="P2115" t="s">
        <v>13</v>
      </c>
      <c r="Q2115" t="s">
        <v>538</v>
      </c>
      <c r="R2115" t="s">
        <v>31</v>
      </c>
      <c r="S2115" t="str" cm="1">
        <f t="array" ref="S2115">_xlfn.IFS(R2115="COMPLETE", "COMPLETED", R2115="CANCELED", "CANCELED", TRUE, "PENDING")</f>
        <v>COMPLETED</v>
      </c>
      <c r="T2115" t="s">
        <v>90</v>
      </c>
      <c r="U2115">
        <f>VLOOKUP(A2115,ordered_items!$B:$E,4,0)</f>
        <v>215.82</v>
      </c>
    </row>
    <row r="2116" spans="1:21" x14ac:dyDescent="0.3">
      <c r="A2116">
        <v>77019</v>
      </c>
      <c r="B2116" t="s">
        <v>24</v>
      </c>
      <c r="C2116">
        <v>5</v>
      </c>
      <c r="D2116">
        <v>4</v>
      </c>
      <c r="E2116" t="str">
        <f t="shared" si="99"/>
        <v>DELAYED</v>
      </c>
      <c r="F2116">
        <f>VLOOKUP($A2116,ordered_items!$B$2:$E$4784,2,0)</f>
        <v>1363</v>
      </c>
      <c r="G2116">
        <f>VLOOKUP($A2116,ordered_items!$B$2:$E$4784,3,0)</f>
        <v>1</v>
      </c>
      <c r="H2116">
        <f>VLOOKUP($A2116,ordered_items!$B$2:$E$4784,4,0)</f>
        <v>215.82</v>
      </c>
      <c r="I2116" s="15">
        <f>VLOOKUP(F2116,product_info!$A$2:$D$73,4,0)</f>
        <v>4</v>
      </c>
      <c r="J2116" s="15" t="str">
        <f>VLOOKUP(I2116,department!$A$2:$B$13,2,0)</f>
        <v>Apparel</v>
      </c>
      <c r="K2116">
        <v>20572</v>
      </c>
      <c r="L2116" t="s">
        <v>29</v>
      </c>
      <c r="M2116" s="4">
        <v>44224</v>
      </c>
      <c r="N2116" s="12">
        <f t="shared" si="100"/>
        <v>1</v>
      </c>
      <c r="O2116" s="13">
        <f t="shared" si="101"/>
        <v>2021</v>
      </c>
      <c r="P2116" t="s">
        <v>13</v>
      </c>
      <c r="Q2116" t="s">
        <v>30</v>
      </c>
      <c r="R2116" t="s">
        <v>378</v>
      </c>
      <c r="S2116" t="str" cm="1">
        <f t="array" ref="S2116">_xlfn.IFS(R2116="COMPLETE", "COMPLETED", R2116="CANCELED", "CANCELED", TRUE, "PENDING")</f>
        <v>PENDING</v>
      </c>
      <c r="T2116" t="s">
        <v>16</v>
      </c>
      <c r="U2116">
        <f>VLOOKUP(A2116,ordered_items!$B:$E,4,0)</f>
        <v>215.82</v>
      </c>
    </row>
    <row r="2117" spans="1:21" x14ac:dyDescent="0.3">
      <c r="A2117">
        <v>77035</v>
      </c>
      <c r="B2117" t="s">
        <v>24</v>
      </c>
      <c r="C2117">
        <v>6</v>
      </c>
      <c r="D2117">
        <v>2</v>
      </c>
      <c r="E2117" t="str">
        <f t="shared" si="99"/>
        <v>DELAYED</v>
      </c>
      <c r="F2117">
        <f>VLOOKUP($A2117,ordered_items!$B$2:$E$4784,2,0)</f>
        <v>1363</v>
      </c>
      <c r="G2117">
        <f>VLOOKUP($A2117,ordered_items!$B$2:$E$4784,3,0)</f>
        <v>1</v>
      </c>
      <c r="H2117">
        <f>VLOOKUP($A2117,ordered_items!$B$2:$E$4784,4,0)</f>
        <v>215.82</v>
      </c>
      <c r="I2117" s="15">
        <f>VLOOKUP(F2117,product_info!$A$2:$D$73,4,0)</f>
        <v>4</v>
      </c>
      <c r="J2117" s="15" t="str">
        <f>VLOOKUP(I2117,department!$A$2:$B$13,2,0)</f>
        <v>Apparel</v>
      </c>
      <c r="K2117">
        <v>20588</v>
      </c>
      <c r="L2117" t="s">
        <v>1040</v>
      </c>
      <c r="M2117" s="4">
        <v>44224</v>
      </c>
      <c r="N2117" s="12">
        <f t="shared" si="100"/>
        <v>1</v>
      </c>
      <c r="O2117" s="13">
        <f t="shared" si="101"/>
        <v>2021</v>
      </c>
      <c r="P2117" t="s">
        <v>13</v>
      </c>
      <c r="Q2117" t="s">
        <v>377</v>
      </c>
      <c r="R2117" t="s">
        <v>31</v>
      </c>
      <c r="S2117" t="str" cm="1">
        <f t="array" ref="S2117">_xlfn.IFS(R2117="COMPLETE", "COMPLETED", R2117="CANCELED", "CANCELED", TRUE, "PENDING")</f>
        <v>COMPLETED</v>
      </c>
      <c r="T2117" t="s">
        <v>90</v>
      </c>
      <c r="U2117">
        <f>VLOOKUP(A2117,ordered_items!$B:$E,4,0)</f>
        <v>215.82</v>
      </c>
    </row>
    <row r="2118" spans="1:21" x14ac:dyDescent="0.3">
      <c r="A2118">
        <v>77036</v>
      </c>
      <c r="B2118" t="s">
        <v>3</v>
      </c>
      <c r="C2118">
        <v>2</v>
      </c>
      <c r="D2118">
        <v>2</v>
      </c>
      <c r="E2118" t="str">
        <f t="shared" si="99"/>
        <v xml:space="preserve"> ONTIME</v>
      </c>
      <c r="F2118">
        <f>VLOOKUP($A2118,ordered_items!$B$2:$E$4784,2,0)</f>
        <v>1363</v>
      </c>
      <c r="G2118">
        <f>VLOOKUP($A2118,ordered_items!$B$2:$E$4784,3,0)</f>
        <v>1</v>
      </c>
      <c r="H2118">
        <f>VLOOKUP($A2118,ordered_items!$B$2:$E$4784,4,0)</f>
        <v>215.82</v>
      </c>
      <c r="I2118" s="15">
        <f>VLOOKUP(F2118,product_info!$A$2:$D$73,4,0)</f>
        <v>4</v>
      </c>
      <c r="J2118" s="15" t="str">
        <f>VLOOKUP(I2118,department!$A$2:$B$13,2,0)</f>
        <v>Apparel</v>
      </c>
      <c r="K2118">
        <v>20589</v>
      </c>
      <c r="L2118" t="s">
        <v>1040</v>
      </c>
      <c r="M2118" s="4">
        <v>44224</v>
      </c>
      <c r="N2118" s="12">
        <f t="shared" si="100"/>
        <v>1</v>
      </c>
      <c r="O2118" s="13">
        <f t="shared" si="101"/>
        <v>2021</v>
      </c>
      <c r="P2118" t="s">
        <v>13</v>
      </c>
      <c r="Q2118" t="s">
        <v>377</v>
      </c>
      <c r="R2118" t="s">
        <v>235</v>
      </c>
      <c r="S2118" t="str" cm="1">
        <f t="array" ref="S2118">_xlfn.IFS(R2118="COMPLETE", "COMPLETED", R2118="CANCELED", "CANCELED", TRUE, "PENDING")</f>
        <v>CANCELED</v>
      </c>
      <c r="T2118" t="s">
        <v>90</v>
      </c>
      <c r="U2118">
        <f>VLOOKUP(A2118,ordered_items!$B:$E,4,0)</f>
        <v>215.82</v>
      </c>
    </row>
    <row r="2119" spans="1:21" x14ac:dyDescent="0.3">
      <c r="A2119">
        <v>77053</v>
      </c>
      <c r="B2119" t="s">
        <v>24</v>
      </c>
      <c r="C2119">
        <v>4</v>
      </c>
      <c r="D2119">
        <v>4</v>
      </c>
      <c r="E2119" t="str">
        <f t="shared" si="99"/>
        <v xml:space="preserve"> ONTIME</v>
      </c>
      <c r="F2119">
        <f>VLOOKUP($A2119,ordered_items!$B$2:$E$4784,2,0)</f>
        <v>1363</v>
      </c>
      <c r="G2119">
        <f>VLOOKUP($A2119,ordered_items!$B$2:$E$4784,3,0)</f>
        <v>1</v>
      </c>
      <c r="H2119">
        <f>VLOOKUP($A2119,ordered_items!$B$2:$E$4784,4,0)</f>
        <v>215.82</v>
      </c>
      <c r="I2119" s="15">
        <f>VLOOKUP(F2119,product_info!$A$2:$D$73,4,0)</f>
        <v>4</v>
      </c>
      <c r="J2119" s="15" t="str">
        <f>VLOOKUP(I2119,department!$A$2:$B$13,2,0)</f>
        <v>Apparel</v>
      </c>
      <c r="K2119">
        <v>20606</v>
      </c>
      <c r="L2119" t="s">
        <v>124</v>
      </c>
      <c r="M2119" s="4">
        <v>44224</v>
      </c>
      <c r="N2119" s="12">
        <f t="shared" si="100"/>
        <v>1</v>
      </c>
      <c r="O2119" s="13">
        <f t="shared" si="101"/>
        <v>2021</v>
      </c>
      <c r="P2119" t="s">
        <v>13</v>
      </c>
      <c r="Q2119" t="s">
        <v>5778</v>
      </c>
      <c r="R2119" t="s">
        <v>31</v>
      </c>
      <c r="S2119" t="str" cm="1">
        <f t="array" ref="S2119">_xlfn.IFS(R2119="COMPLETE", "COMPLETED", R2119="CANCELED", "CANCELED", TRUE, "PENDING")</f>
        <v>COMPLETED</v>
      </c>
      <c r="T2119" t="s">
        <v>16</v>
      </c>
      <c r="U2119">
        <f>VLOOKUP(A2119,ordered_items!$B:$E,4,0)</f>
        <v>215.82</v>
      </c>
    </row>
    <row r="2120" spans="1:21" x14ac:dyDescent="0.3">
      <c r="A2120">
        <v>77055</v>
      </c>
      <c r="B2120" t="s">
        <v>24</v>
      </c>
      <c r="C2120">
        <v>6</v>
      </c>
      <c r="D2120">
        <v>4</v>
      </c>
      <c r="E2120" t="str">
        <f t="shared" si="99"/>
        <v>DELAYED</v>
      </c>
      <c r="F2120">
        <f>VLOOKUP($A2120,ordered_items!$B$2:$E$4784,2,0)</f>
        <v>1363</v>
      </c>
      <c r="G2120">
        <f>VLOOKUP($A2120,ordered_items!$B$2:$E$4784,3,0)</f>
        <v>1</v>
      </c>
      <c r="H2120">
        <f>VLOOKUP($A2120,ordered_items!$B$2:$E$4784,4,0)</f>
        <v>215.82</v>
      </c>
      <c r="I2120" s="15">
        <f>VLOOKUP(F2120,product_info!$A$2:$D$73,4,0)</f>
        <v>4</v>
      </c>
      <c r="J2120" s="15" t="str">
        <f>VLOOKUP(I2120,department!$A$2:$B$13,2,0)</f>
        <v>Apparel</v>
      </c>
      <c r="K2120">
        <v>20608</v>
      </c>
      <c r="L2120" t="s">
        <v>253</v>
      </c>
      <c r="M2120" s="4">
        <v>44224</v>
      </c>
      <c r="N2120" s="12">
        <f t="shared" si="100"/>
        <v>1</v>
      </c>
      <c r="O2120" s="13">
        <f t="shared" si="101"/>
        <v>2021</v>
      </c>
      <c r="P2120" t="s">
        <v>13</v>
      </c>
      <c r="Q2120" t="s">
        <v>30</v>
      </c>
      <c r="R2120" t="s">
        <v>31</v>
      </c>
      <c r="S2120" t="str" cm="1">
        <f t="array" ref="S2120">_xlfn.IFS(R2120="COMPLETE", "COMPLETED", R2120="CANCELED", "CANCELED", TRUE, "PENDING")</f>
        <v>COMPLETED</v>
      </c>
      <c r="T2120" t="s">
        <v>16</v>
      </c>
      <c r="U2120">
        <f>VLOOKUP(A2120,ordered_items!$B:$E,4,0)</f>
        <v>215.82</v>
      </c>
    </row>
    <row r="2121" spans="1:21" x14ac:dyDescent="0.3">
      <c r="A2121">
        <v>77073</v>
      </c>
      <c r="B2121" t="s">
        <v>51</v>
      </c>
      <c r="C2121">
        <v>4</v>
      </c>
      <c r="D2121">
        <v>4</v>
      </c>
      <c r="E2121" t="str">
        <f t="shared" si="99"/>
        <v xml:space="preserve"> ONTIME</v>
      </c>
      <c r="F2121">
        <f>VLOOKUP($A2121,ordered_items!$B$2:$E$4784,2,0)</f>
        <v>1363</v>
      </c>
      <c r="G2121">
        <f>VLOOKUP($A2121,ordered_items!$B$2:$E$4784,3,0)</f>
        <v>1</v>
      </c>
      <c r="H2121">
        <f>VLOOKUP($A2121,ordered_items!$B$2:$E$4784,4,0)</f>
        <v>215.82</v>
      </c>
      <c r="I2121" s="15">
        <f>VLOOKUP(F2121,product_info!$A$2:$D$73,4,0)</f>
        <v>4</v>
      </c>
      <c r="J2121" s="15" t="str">
        <f>VLOOKUP(I2121,department!$A$2:$B$13,2,0)</f>
        <v>Apparel</v>
      </c>
      <c r="K2121">
        <v>20626</v>
      </c>
      <c r="L2121" t="s">
        <v>439</v>
      </c>
      <c r="M2121" s="4">
        <v>44225</v>
      </c>
      <c r="N2121" s="12">
        <f t="shared" si="100"/>
        <v>1</v>
      </c>
      <c r="O2121" s="13">
        <f t="shared" si="101"/>
        <v>2021</v>
      </c>
      <c r="P2121" t="s">
        <v>13</v>
      </c>
      <c r="Q2121" t="s">
        <v>377</v>
      </c>
      <c r="R2121" t="s">
        <v>57</v>
      </c>
      <c r="S2121" t="str" cm="1">
        <f t="array" ref="S2121">_xlfn.IFS(R2121="COMPLETE", "COMPLETED", R2121="CANCELED", "CANCELED", TRUE, "PENDING")</f>
        <v>PENDING</v>
      </c>
      <c r="T2121" t="s">
        <v>16</v>
      </c>
      <c r="U2121">
        <f>VLOOKUP(A2121,ordered_items!$B:$E,4,0)</f>
        <v>215.82</v>
      </c>
    </row>
    <row r="2122" spans="1:21" x14ac:dyDescent="0.3">
      <c r="A2122">
        <v>77074</v>
      </c>
      <c r="B2122" t="s">
        <v>51</v>
      </c>
      <c r="C2122">
        <v>5</v>
      </c>
      <c r="D2122">
        <v>4</v>
      </c>
      <c r="E2122" t="str">
        <f t="shared" si="99"/>
        <v>DELAYED</v>
      </c>
      <c r="F2122">
        <f>VLOOKUP($A2122,ordered_items!$B$2:$E$4784,2,0)</f>
        <v>1363</v>
      </c>
      <c r="G2122">
        <f>VLOOKUP($A2122,ordered_items!$B$2:$E$4784,3,0)</f>
        <v>1</v>
      </c>
      <c r="H2122">
        <f>VLOOKUP($A2122,ordered_items!$B$2:$E$4784,4,0)</f>
        <v>215.82</v>
      </c>
      <c r="I2122" s="15">
        <f>VLOOKUP(F2122,product_info!$A$2:$D$73,4,0)</f>
        <v>4</v>
      </c>
      <c r="J2122" s="15" t="str">
        <f>VLOOKUP(I2122,department!$A$2:$B$13,2,0)</f>
        <v>Apparel</v>
      </c>
      <c r="K2122">
        <v>20627</v>
      </c>
      <c r="L2122" t="s">
        <v>439</v>
      </c>
      <c r="M2122" s="4">
        <v>44225</v>
      </c>
      <c r="N2122" s="12">
        <f t="shared" si="100"/>
        <v>1</v>
      </c>
      <c r="O2122" s="13">
        <f t="shared" si="101"/>
        <v>2021</v>
      </c>
      <c r="P2122" t="s">
        <v>13</v>
      </c>
      <c r="Q2122" t="s">
        <v>377</v>
      </c>
      <c r="R2122" t="s">
        <v>57</v>
      </c>
      <c r="S2122" t="str" cm="1">
        <f t="array" ref="S2122">_xlfn.IFS(R2122="COMPLETE", "COMPLETED", R2122="CANCELED", "CANCELED", TRUE, "PENDING")</f>
        <v>PENDING</v>
      </c>
      <c r="T2122" t="s">
        <v>16</v>
      </c>
      <c r="U2122">
        <f>VLOOKUP(A2122,ordered_items!$B:$E,4,0)</f>
        <v>215.82</v>
      </c>
    </row>
    <row r="2123" spans="1:21" x14ac:dyDescent="0.3">
      <c r="A2123">
        <v>77078</v>
      </c>
      <c r="B2123" t="s">
        <v>17</v>
      </c>
      <c r="C2123">
        <v>4</v>
      </c>
      <c r="D2123">
        <v>4</v>
      </c>
      <c r="E2123" t="str">
        <f t="shared" si="99"/>
        <v xml:space="preserve"> ONTIME</v>
      </c>
      <c r="F2123">
        <f>VLOOKUP($A2123,ordered_items!$B$2:$E$4784,2,0)</f>
        <v>1363</v>
      </c>
      <c r="G2123">
        <f>VLOOKUP($A2123,ordered_items!$B$2:$E$4784,3,0)</f>
        <v>1</v>
      </c>
      <c r="H2123">
        <f>VLOOKUP($A2123,ordered_items!$B$2:$E$4784,4,0)</f>
        <v>215.82</v>
      </c>
      <c r="I2123" s="15">
        <f>VLOOKUP(F2123,product_info!$A$2:$D$73,4,0)</f>
        <v>4</v>
      </c>
      <c r="J2123" s="15" t="str">
        <f>VLOOKUP(I2123,department!$A$2:$B$13,2,0)</f>
        <v>Apparel</v>
      </c>
      <c r="K2123">
        <v>20631</v>
      </c>
      <c r="L2123" t="s">
        <v>84</v>
      </c>
      <c r="M2123" s="4">
        <v>44225</v>
      </c>
      <c r="N2123" s="12">
        <f t="shared" si="100"/>
        <v>1</v>
      </c>
      <c r="O2123" s="13">
        <f t="shared" si="101"/>
        <v>2021</v>
      </c>
      <c r="P2123" t="s">
        <v>13</v>
      </c>
      <c r="Q2123" t="s">
        <v>80</v>
      </c>
      <c r="R2123" t="s">
        <v>23</v>
      </c>
      <c r="S2123" t="str" cm="1">
        <f t="array" ref="S2123">_xlfn.IFS(R2123="COMPLETE", "COMPLETED", R2123="CANCELED", "CANCELED", TRUE, "PENDING")</f>
        <v>PENDING</v>
      </c>
      <c r="T2123" t="s">
        <v>16</v>
      </c>
      <c r="U2123">
        <f>VLOOKUP(A2123,ordered_items!$B:$E,4,0)</f>
        <v>215.82</v>
      </c>
    </row>
    <row r="2124" spans="1:21" x14ac:dyDescent="0.3">
      <c r="A2124">
        <v>77079</v>
      </c>
      <c r="B2124" t="s">
        <v>24</v>
      </c>
      <c r="C2124">
        <v>2</v>
      </c>
      <c r="D2124">
        <v>1</v>
      </c>
      <c r="E2124" t="str">
        <f t="shared" si="99"/>
        <v>DELAYED</v>
      </c>
      <c r="F2124">
        <f>VLOOKUP($A2124,ordered_items!$B$2:$E$4784,2,0)</f>
        <v>1363</v>
      </c>
      <c r="G2124">
        <f>VLOOKUP($A2124,ordered_items!$B$2:$E$4784,3,0)</f>
        <v>1</v>
      </c>
      <c r="H2124">
        <f>VLOOKUP($A2124,ordered_items!$B$2:$E$4784,4,0)</f>
        <v>215.82</v>
      </c>
      <c r="I2124" s="15">
        <f>VLOOKUP(F2124,product_info!$A$2:$D$73,4,0)</f>
        <v>4</v>
      </c>
      <c r="J2124" s="15" t="str">
        <f>VLOOKUP(I2124,department!$A$2:$B$13,2,0)</f>
        <v>Apparel</v>
      </c>
      <c r="K2124">
        <v>20632</v>
      </c>
      <c r="L2124" t="s">
        <v>576</v>
      </c>
      <c r="M2124" s="4">
        <v>44225</v>
      </c>
      <c r="N2124" s="12">
        <f t="shared" si="100"/>
        <v>1</v>
      </c>
      <c r="O2124" s="13">
        <f t="shared" si="101"/>
        <v>2021</v>
      </c>
      <c r="P2124" t="s">
        <v>13</v>
      </c>
      <c r="Q2124" t="s">
        <v>5780</v>
      </c>
      <c r="R2124" t="s">
        <v>31</v>
      </c>
      <c r="S2124" t="str" cm="1">
        <f t="array" ref="S2124">_xlfn.IFS(R2124="COMPLETE", "COMPLETED", R2124="CANCELED", "CANCELED", TRUE, "PENDING")</f>
        <v>COMPLETED</v>
      </c>
      <c r="T2124" t="s">
        <v>32</v>
      </c>
      <c r="U2124">
        <f>VLOOKUP(A2124,ordered_items!$B:$E,4,0)</f>
        <v>215.82</v>
      </c>
    </row>
    <row r="2125" spans="1:21" x14ac:dyDescent="0.3">
      <c r="A2125">
        <v>77080</v>
      </c>
      <c r="B2125" t="s">
        <v>24</v>
      </c>
      <c r="C2125">
        <v>2</v>
      </c>
      <c r="D2125">
        <v>1</v>
      </c>
      <c r="E2125" t="str">
        <f t="shared" si="99"/>
        <v>DELAYED</v>
      </c>
      <c r="F2125">
        <f>VLOOKUP($A2125,ordered_items!$B$2:$E$4784,2,0)</f>
        <v>1363</v>
      </c>
      <c r="G2125">
        <f>VLOOKUP($A2125,ordered_items!$B$2:$E$4784,3,0)</f>
        <v>1</v>
      </c>
      <c r="H2125">
        <f>VLOOKUP($A2125,ordered_items!$B$2:$E$4784,4,0)</f>
        <v>215.82</v>
      </c>
      <c r="I2125" s="15">
        <f>VLOOKUP(F2125,product_info!$A$2:$D$73,4,0)</f>
        <v>4</v>
      </c>
      <c r="J2125" s="15" t="str">
        <f>VLOOKUP(I2125,department!$A$2:$B$13,2,0)</f>
        <v>Apparel</v>
      </c>
      <c r="K2125">
        <v>20633</v>
      </c>
      <c r="L2125" t="s">
        <v>576</v>
      </c>
      <c r="M2125" s="4">
        <v>44225</v>
      </c>
      <c r="N2125" s="12">
        <f t="shared" si="100"/>
        <v>1</v>
      </c>
      <c r="O2125" s="13">
        <f t="shared" si="101"/>
        <v>2021</v>
      </c>
      <c r="P2125" t="s">
        <v>13</v>
      </c>
      <c r="Q2125" t="s">
        <v>5780</v>
      </c>
      <c r="R2125" t="s">
        <v>31</v>
      </c>
      <c r="S2125" t="str" cm="1">
        <f t="array" ref="S2125">_xlfn.IFS(R2125="COMPLETE", "COMPLETED", R2125="CANCELED", "CANCELED", TRUE, "PENDING")</f>
        <v>COMPLETED</v>
      </c>
      <c r="T2125" t="s">
        <v>32</v>
      </c>
      <c r="U2125">
        <f>VLOOKUP(A2125,ordered_items!$B:$E,4,0)</f>
        <v>215.82</v>
      </c>
    </row>
    <row r="2126" spans="1:21" x14ac:dyDescent="0.3">
      <c r="A2126">
        <v>77083</v>
      </c>
      <c r="B2126" t="s">
        <v>24</v>
      </c>
      <c r="C2126">
        <v>4</v>
      </c>
      <c r="D2126">
        <v>4</v>
      </c>
      <c r="E2126" t="str">
        <f t="shared" si="99"/>
        <v xml:space="preserve"> ONTIME</v>
      </c>
      <c r="F2126">
        <f>VLOOKUP($A2126,ordered_items!$B$2:$E$4784,2,0)</f>
        <v>1363</v>
      </c>
      <c r="G2126">
        <f>VLOOKUP($A2126,ordered_items!$B$2:$E$4784,3,0)</f>
        <v>1</v>
      </c>
      <c r="H2126">
        <f>VLOOKUP($A2126,ordered_items!$B$2:$E$4784,4,0)</f>
        <v>215.82</v>
      </c>
      <c r="I2126" s="15">
        <f>VLOOKUP(F2126,product_info!$A$2:$D$73,4,0)</f>
        <v>4</v>
      </c>
      <c r="J2126" s="15" t="str">
        <f>VLOOKUP(I2126,department!$A$2:$B$13,2,0)</f>
        <v>Apparel</v>
      </c>
      <c r="K2126">
        <v>20636</v>
      </c>
      <c r="L2126" t="s">
        <v>586</v>
      </c>
      <c r="M2126" s="4">
        <v>44225</v>
      </c>
      <c r="N2126" s="12">
        <f t="shared" si="100"/>
        <v>1</v>
      </c>
      <c r="O2126" s="13">
        <f t="shared" si="101"/>
        <v>2021</v>
      </c>
      <c r="P2126" t="s">
        <v>13</v>
      </c>
      <c r="Q2126" t="s">
        <v>245</v>
      </c>
      <c r="R2126" t="s">
        <v>31</v>
      </c>
      <c r="S2126" t="str" cm="1">
        <f t="array" ref="S2126">_xlfn.IFS(R2126="COMPLETE", "COMPLETED", R2126="CANCELED", "CANCELED", TRUE, "PENDING")</f>
        <v>COMPLETED</v>
      </c>
      <c r="T2126" t="s">
        <v>16</v>
      </c>
      <c r="U2126">
        <f>VLOOKUP(A2126,ordered_items!$B:$E,4,0)</f>
        <v>215.82</v>
      </c>
    </row>
    <row r="2127" spans="1:21" x14ac:dyDescent="0.3">
      <c r="A2127">
        <v>77085</v>
      </c>
      <c r="B2127" t="s">
        <v>24</v>
      </c>
      <c r="C2127">
        <v>6</v>
      </c>
      <c r="D2127">
        <v>4</v>
      </c>
      <c r="E2127" t="str">
        <f t="shared" si="99"/>
        <v>DELAYED</v>
      </c>
      <c r="F2127">
        <f>VLOOKUP($A2127,ordered_items!$B$2:$E$4784,2,0)</f>
        <v>1363</v>
      </c>
      <c r="G2127">
        <f>VLOOKUP($A2127,ordered_items!$B$2:$E$4784,3,0)</f>
        <v>1</v>
      </c>
      <c r="H2127">
        <f>VLOOKUP($A2127,ordered_items!$B$2:$E$4784,4,0)</f>
        <v>215.82</v>
      </c>
      <c r="I2127" s="15">
        <f>VLOOKUP(F2127,product_info!$A$2:$D$73,4,0)</f>
        <v>4</v>
      </c>
      <c r="J2127" s="15" t="str">
        <f>VLOOKUP(I2127,department!$A$2:$B$13,2,0)</f>
        <v>Apparel</v>
      </c>
      <c r="K2127">
        <v>20638</v>
      </c>
      <c r="L2127" t="s">
        <v>460</v>
      </c>
      <c r="M2127" s="4">
        <v>44225</v>
      </c>
      <c r="N2127" s="12">
        <f t="shared" si="100"/>
        <v>1</v>
      </c>
      <c r="O2127" s="13">
        <f t="shared" si="101"/>
        <v>2021</v>
      </c>
      <c r="P2127" t="s">
        <v>13</v>
      </c>
      <c r="Q2127" t="s">
        <v>431</v>
      </c>
      <c r="R2127" t="s">
        <v>31</v>
      </c>
      <c r="S2127" t="str" cm="1">
        <f t="array" ref="S2127">_xlfn.IFS(R2127="COMPLETE", "COMPLETED", R2127="CANCELED", "CANCELED", TRUE, "PENDING")</f>
        <v>COMPLETED</v>
      </c>
      <c r="T2127" t="s">
        <v>16</v>
      </c>
      <c r="U2127">
        <f>VLOOKUP(A2127,ordered_items!$B:$E,4,0)</f>
        <v>215.82</v>
      </c>
    </row>
    <row r="2128" spans="1:21" x14ac:dyDescent="0.3">
      <c r="A2128">
        <v>77086</v>
      </c>
      <c r="B2128" t="s">
        <v>17</v>
      </c>
      <c r="C2128">
        <v>2</v>
      </c>
      <c r="D2128">
        <v>4</v>
      </c>
      <c r="E2128" t="str">
        <f t="shared" si="99"/>
        <v xml:space="preserve"> ONTIME</v>
      </c>
      <c r="F2128">
        <f>VLOOKUP($A2128,ordered_items!$B$2:$E$4784,2,0)</f>
        <v>1363</v>
      </c>
      <c r="G2128">
        <f>VLOOKUP($A2128,ordered_items!$B$2:$E$4784,3,0)</f>
        <v>1</v>
      </c>
      <c r="H2128">
        <f>VLOOKUP($A2128,ordered_items!$B$2:$E$4784,4,0)</f>
        <v>215.82</v>
      </c>
      <c r="I2128" s="15">
        <f>VLOOKUP(F2128,product_info!$A$2:$D$73,4,0)</f>
        <v>4</v>
      </c>
      <c r="J2128" s="15" t="str">
        <f>VLOOKUP(I2128,department!$A$2:$B$13,2,0)</f>
        <v>Apparel</v>
      </c>
      <c r="K2128">
        <v>20639</v>
      </c>
      <c r="L2128" t="s">
        <v>460</v>
      </c>
      <c r="M2128" s="4">
        <v>44225</v>
      </c>
      <c r="N2128" s="12">
        <f t="shared" si="100"/>
        <v>1</v>
      </c>
      <c r="O2128" s="13">
        <f t="shared" si="101"/>
        <v>2021</v>
      </c>
      <c r="P2128" t="s">
        <v>13</v>
      </c>
      <c r="Q2128" t="s">
        <v>431</v>
      </c>
      <c r="R2128" t="s">
        <v>23</v>
      </c>
      <c r="S2128" t="str" cm="1">
        <f t="array" ref="S2128">_xlfn.IFS(R2128="COMPLETE", "COMPLETED", R2128="CANCELED", "CANCELED", TRUE, "PENDING")</f>
        <v>PENDING</v>
      </c>
      <c r="T2128" t="s">
        <v>16</v>
      </c>
      <c r="U2128">
        <f>VLOOKUP(A2128,ordered_items!$B:$E,4,0)</f>
        <v>215.82</v>
      </c>
    </row>
    <row r="2129" spans="1:21" x14ac:dyDescent="0.3">
      <c r="A2129">
        <v>77087</v>
      </c>
      <c r="B2129" t="s">
        <v>3</v>
      </c>
      <c r="C2129">
        <v>3</v>
      </c>
      <c r="D2129">
        <v>4</v>
      </c>
      <c r="E2129" t="str">
        <f t="shared" si="99"/>
        <v xml:space="preserve"> ONTIME</v>
      </c>
      <c r="F2129">
        <f>VLOOKUP($A2129,ordered_items!$B$2:$E$4784,2,0)</f>
        <v>1363</v>
      </c>
      <c r="G2129">
        <f>VLOOKUP($A2129,ordered_items!$B$2:$E$4784,3,0)</f>
        <v>1</v>
      </c>
      <c r="H2129">
        <f>VLOOKUP($A2129,ordered_items!$B$2:$E$4784,4,0)</f>
        <v>215.82</v>
      </c>
      <c r="I2129" s="15">
        <f>VLOOKUP(F2129,product_info!$A$2:$D$73,4,0)</f>
        <v>4</v>
      </c>
      <c r="J2129" s="15" t="str">
        <f>VLOOKUP(I2129,department!$A$2:$B$13,2,0)</f>
        <v>Apparel</v>
      </c>
      <c r="K2129">
        <v>20640</v>
      </c>
      <c r="L2129" t="s">
        <v>460</v>
      </c>
      <c r="M2129" s="4">
        <v>44225</v>
      </c>
      <c r="N2129" s="12">
        <f t="shared" si="100"/>
        <v>1</v>
      </c>
      <c r="O2129" s="13">
        <f t="shared" si="101"/>
        <v>2021</v>
      </c>
      <c r="P2129" t="s">
        <v>13</v>
      </c>
      <c r="Q2129" t="s">
        <v>431</v>
      </c>
      <c r="R2129" t="s">
        <v>14</v>
      </c>
      <c r="S2129" t="str" cm="1">
        <f t="array" ref="S2129">_xlfn.IFS(R2129="COMPLETE", "COMPLETED", R2129="CANCELED", "CANCELED", TRUE, "PENDING")</f>
        <v>PENDING</v>
      </c>
      <c r="T2129" t="s">
        <v>16</v>
      </c>
      <c r="U2129">
        <f>VLOOKUP(A2129,ordered_items!$B:$E,4,0)</f>
        <v>215.82</v>
      </c>
    </row>
    <row r="2130" spans="1:21" x14ac:dyDescent="0.3">
      <c r="A2130">
        <v>77088</v>
      </c>
      <c r="B2130" t="s">
        <v>3</v>
      </c>
      <c r="C2130">
        <v>4</v>
      </c>
      <c r="D2130">
        <v>4</v>
      </c>
      <c r="E2130" t="str">
        <f t="shared" si="99"/>
        <v xml:space="preserve"> ONTIME</v>
      </c>
      <c r="F2130">
        <f>VLOOKUP($A2130,ordered_items!$B$2:$E$4784,2,0)</f>
        <v>1363</v>
      </c>
      <c r="G2130">
        <f>VLOOKUP($A2130,ordered_items!$B$2:$E$4784,3,0)</f>
        <v>1</v>
      </c>
      <c r="H2130">
        <f>VLOOKUP($A2130,ordered_items!$B$2:$E$4784,4,0)</f>
        <v>215.82</v>
      </c>
      <c r="I2130" s="15">
        <f>VLOOKUP(F2130,product_info!$A$2:$D$73,4,0)</f>
        <v>4</v>
      </c>
      <c r="J2130" s="15" t="str">
        <f>VLOOKUP(I2130,department!$A$2:$B$13,2,0)</f>
        <v>Apparel</v>
      </c>
      <c r="K2130">
        <v>20641</v>
      </c>
      <c r="L2130" t="s">
        <v>460</v>
      </c>
      <c r="M2130" s="4">
        <v>44225</v>
      </c>
      <c r="N2130" s="12">
        <f t="shared" si="100"/>
        <v>1</v>
      </c>
      <c r="O2130" s="13">
        <f t="shared" si="101"/>
        <v>2021</v>
      </c>
      <c r="P2130" t="s">
        <v>13</v>
      </c>
      <c r="Q2130" t="s">
        <v>431</v>
      </c>
      <c r="R2130" t="s">
        <v>14</v>
      </c>
      <c r="S2130" t="str" cm="1">
        <f t="array" ref="S2130">_xlfn.IFS(R2130="COMPLETE", "COMPLETED", R2130="CANCELED", "CANCELED", TRUE, "PENDING")</f>
        <v>PENDING</v>
      </c>
      <c r="T2130" t="s">
        <v>16</v>
      </c>
      <c r="U2130">
        <f>VLOOKUP(A2130,ordered_items!$B:$E,4,0)</f>
        <v>215.82</v>
      </c>
    </row>
    <row r="2131" spans="1:21" x14ac:dyDescent="0.3">
      <c r="A2131">
        <v>77089</v>
      </c>
      <c r="B2131" t="s">
        <v>3</v>
      </c>
      <c r="C2131">
        <v>5</v>
      </c>
      <c r="D2131">
        <v>4</v>
      </c>
      <c r="E2131" t="str">
        <f t="shared" si="99"/>
        <v>DELAYED</v>
      </c>
      <c r="F2131">
        <f>VLOOKUP($A2131,ordered_items!$B$2:$E$4784,2,0)</f>
        <v>1363</v>
      </c>
      <c r="G2131">
        <f>VLOOKUP($A2131,ordered_items!$B$2:$E$4784,3,0)</f>
        <v>1</v>
      </c>
      <c r="H2131">
        <f>VLOOKUP($A2131,ordered_items!$B$2:$E$4784,4,0)</f>
        <v>215.82</v>
      </c>
      <c r="I2131" s="15">
        <f>VLOOKUP(F2131,product_info!$A$2:$D$73,4,0)</f>
        <v>4</v>
      </c>
      <c r="J2131" s="15" t="str">
        <f>VLOOKUP(I2131,department!$A$2:$B$13,2,0)</f>
        <v>Apparel</v>
      </c>
      <c r="K2131">
        <v>20642</v>
      </c>
      <c r="L2131" t="s">
        <v>460</v>
      </c>
      <c r="M2131" s="4">
        <v>44225</v>
      </c>
      <c r="N2131" s="12">
        <f t="shared" si="100"/>
        <v>1</v>
      </c>
      <c r="O2131" s="13">
        <f t="shared" si="101"/>
        <v>2021</v>
      </c>
      <c r="P2131" t="s">
        <v>13</v>
      </c>
      <c r="Q2131" t="s">
        <v>431</v>
      </c>
      <c r="R2131" t="s">
        <v>178</v>
      </c>
      <c r="S2131" t="str" cm="1">
        <f t="array" ref="S2131">_xlfn.IFS(R2131="COMPLETE", "COMPLETED", R2131="CANCELED", "CANCELED", TRUE, "PENDING")</f>
        <v>PENDING</v>
      </c>
      <c r="T2131" t="s">
        <v>16</v>
      </c>
      <c r="U2131">
        <f>VLOOKUP(A2131,ordered_items!$B:$E,4,0)</f>
        <v>215.82</v>
      </c>
    </row>
    <row r="2132" spans="1:21" x14ac:dyDescent="0.3">
      <c r="A2132">
        <v>77094</v>
      </c>
      <c r="B2132" t="s">
        <v>17</v>
      </c>
      <c r="C2132">
        <v>5</v>
      </c>
      <c r="D2132">
        <v>4</v>
      </c>
      <c r="E2132" t="str">
        <f t="shared" si="99"/>
        <v>DELAYED</v>
      </c>
      <c r="F2132">
        <f>VLOOKUP($A2132,ordered_items!$B$2:$E$4784,2,0)</f>
        <v>1363</v>
      </c>
      <c r="G2132">
        <f>VLOOKUP($A2132,ordered_items!$B$2:$E$4784,3,0)</f>
        <v>1</v>
      </c>
      <c r="H2132">
        <f>VLOOKUP($A2132,ordered_items!$B$2:$E$4784,4,0)</f>
        <v>215.82</v>
      </c>
      <c r="I2132" s="15">
        <f>VLOOKUP(F2132,product_info!$A$2:$D$73,4,0)</f>
        <v>4</v>
      </c>
      <c r="J2132" s="15" t="str">
        <f>VLOOKUP(I2132,department!$A$2:$B$13,2,0)</f>
        <v>Apparel</v>
      </c>
      <c r="K2132">
        <v>20647</v>
      </c>
      <c r="L2132" t="s">
        <v>1120</v>
      </c>
      <c r="M2132" s="4">
        <v>44225</v>
      </c>
      <c r="N2132" s="12">
        <f t="shared" si="100"/>
        <v>1</v>
      </c>
      <c r="O2132" s="13">
        <f t="shared" si="101"/>
        <v>2021</v>
      </c>
      <c r="P2132" t="s">
        <v>13</v>
      </c>
      <c r="Q2132" t="s">
        <v>30</v>
      </c>
      <c r="R2132" t="s">
        <v>23</v>
      </c>
      <c r="S2132" t="str" cm="1">
        <f t="array" ref="S2132">_xlfn.IFS(R2132="COMPLETE", "COMPLETED", R2132="CANCELED", "CANCELED", TRUE, "PENDING")</f>
        <v>PENDING</v>
      </c>
      <c r="T2132" t="s">
        <v>16</v>
      </c>
      <c r="U2132">
        <f>VLOOKUP(A2132,ordered_items!$B:$E,4,0)</f>
        <v>215.82</v>
      </c>
    </row>
    <row r="2133" spans="1:21" x14ac:dyDescent="0.3">
      <c r="A2133">
        <v>77095</v>
      </c>
      <c r="B2133" t="s">
        <v>3</v>
      </c>
      <c r="C2133">
        <v>6</v>
      </c>
      <c r="D2133">
        <v>2</v>
      </c>
      <c r="E2133" t="str">
        <f t="shared" si="99"/>
        <v>DELAYED</v>
      </c>
      <c r="F2133">
        <f>VLOOKUP($A2133,ordered_items!$B$2:$E$4784,2,0)</f>
        <v>1363</v>
      </c>
      <c r="G2133">
        <f>VLOOKUP($A2133,ordered_items!$B$2:$E$4784,3,0)</f>
        <v>1</v>
      </c>
      <c r="H2133">
        <f>VLOOKUP($A2133,ordered_items!$B$2:$E$4784,4,0)</f>
        <v>215.82</v>
      </c>
      <c r="I2133" s="15">
        <f>VLOOKUP(F2133,product_info!$A$2:$D$73,4,0)</f>
        <v>4</v>
      </c>
      <c r="J2133" s="15" t="str">
        <f>VLOOKUP(I2133,department!$A$2:$B$13,2,0)</f>
        <v>Apparel</v>
      </c>
      <c r="K2133">
        <v>20648</v>
      </c>
      <c r="L2133" t="s">
        <v>383</v>
      </c>
      <c r="M2133" s="4">
        <v>44225</v>
      </c>
      <c r="N2133" s="12">
        <f t="shared" si="100"/>
        <v>1</v>
      </c>
      <c r="O2133" s="13">
        <f t="shared" si="101"/>
        <v>2021</v>
      </c>
      <c r="P2133" t="s">
        <v>13</v>
      </c>
      <c r="Q2133" t="s">
        <v>5781</v>
      </c>
      <c r="R2133" t="s">
        <v>38</v>
      </c>
      <c r="S2133" t="str" cm="1">
        <f t="array" ref="S2133">_xlfn.IFS(R2133="COMPLETE", "COMPLETED", R2133="CANCELED", "CANCELED", TRUE, "PENDING")</f>
        <v>PENDING</v>
      </c>
      <c r="T2133" t="s">
        <v>90</v>
      </c>
      <c r="U2133">
        <f>VLOOKUP(A2133,ordered_items!$B:$E,4,0)</f>
        <v>215.82</v>
      </c>
    </row>
    <row r="2134" spans="1:21" x14ac:dyDescent="0.3">
      <c r="A2134">
        <v>77096</v>
      </c>
      <c r="B2134" t="s">
        <v>24</v>
      </c>
      <c r="C2134">
        <v>2</v>
      </c>
      <c r="D2134">
        <v>2</v>
      </c>
      <c r="E2134" t="str">
        <f t="shared" si="99"/>
        <v xml:space="preserve"> ONTIME</v>
      </c>
      <c r="F2134">
        <f>VLOOKUP($A2134,ordered_items!$B$2:$E$4784,2,0)</f>
        <v>1363</v>
      </c>
      <c r="G2134">
        <f>VLOOKUP($A2134,ordered_items!$B$2:$E$4784,3,0)</f>
        <v>1</v>
      </c>
      <c r="H2134">
        <f>VLOOKUP($A2134,ordered_items!$B$2:$E$4784,4,0)</f>
        <v>215.82</v>
      </c>
      <c r="I2134" s="15">
        <f>VLOOKUP(F2134,product_info!$A$2:$D$73,4,0)</f>
        <v>4</v>
      </c>
      <c r="J2134" s="15" t="str">
        <f>VLOOKUP(I2134,department!$A$2:$B$13,2,0)</f>
        <v>Apparel</v>
      </c>
      <c r="K2134">
        <v>20649</v>
      </c>
      <c r="L2134" t="s">
        <v>383</v>
      </c>
      <c r="M2134" s="4">
        <v>44225</v>
      </c>
      <c r="N2134" s="12">
        <f t="shared" si="100"/>
        <v>1</v>
      </c>
      <c r="O2134" s="13">
        <f t="shared" si="101"/>
        <v>2021</v>
      </c>
      <c r="P2134" t="s">
        <v>13</v>
      </c>
      <c r="Q2134" t="s">
        <v>5781</v>
      </c>
      <c r="R2134" t="s">
        <v>31</v>
      </c>
      <c r="S2134" t="str" cm="1">
        <f t="array" ref="S2134">_xlfn.IFS(R2134="COMPLETE", "COMPLETED", R2134="CANCELED", "CANCELED", TRUE, "PENDING")</f>
        <v>COMPLETED</v>
      </c>
      <c r="T2134" t="s">
        <v>90</v>
      </c>
      <c r="U2134">
        <f>VLOOKUP(A2134,ordered_items!$B:$E,4,0)</f>
        <v>215.82</v>
      </c>
    </row>
    <row r="2135" spans="1:21" x14ac:dyDescent="0.3">
      <c r="A2135">
        <v>77106</v>
      </c>
      <c r="B2135" t="s">
        <v>3</v>
      </c>
      <c r="C2135">
        <v>2</v>
      </c>
      <c r="D2135">
        <v>4</v>
      </c>
      <c r="E2135" t="str">
        <f t="shared" si="99"/>
        <v xml:space="preserve"> ONTIME</v>
      </c>
      <c r="F2135">
        <f>VLOOKUP($A2135,ordered_items!$B$2:$E$4784,2,0)</f>
        <v>1363</v>
      </c>
      <c r="G2135">
        <f>VLOOKUP($A2135,ordered_items!$B$2:$E$4784,3,0)</f>
        <v>1</v>
      </c>
      <c r="H2135">
        <f>VLOOKUP($A2135,ordered_items!$B$2:$E$4784,4,0)</f>
        <v>215.82</v>
      </c>
      <c r="I2135" s="15">
        <f>VLOOKUP(F2135,product_info!$A$2:$D$73,4,0)</f>
        <v>4</v>
      </c>
      <c r="J2135" s="15" t="str">
        <f>VLOOKUP(I2135,department!$A$2:$B$13,2,0)</f>
        <v>Apparel</v>
      </c>
      <c r="K2135">
        <v>20659</v>
      </c>
      <c r="L2135" t="s">
        <v>266</v>
      </c>
      <c r="M2135" s="4">
        <v>44225</v>
      </c>
      <c r="N2135" s="12">
        <f t="shared" si="100"/>
        <v>1</v>
      </c>
      <c r="O2135" s="13">
        <f t="shared" si="101"/>
        <v>2021</v>
      </c>
      <c r="P2135" t="s">
        <v>13</v>
      </c>
      <c r="Q2135" t="s">
        <v>5778</v>
      </c>
      <c r="R2135" t="s">
        <v>38</v>
      </c>
      <c r="S2135" t="str" cm="1">
        <f t="array" ref="S2135">_xlfn.IFS(R2135="COMPLETE", "COMPLETED", R2135="CANCELED", "CANCELED", TRUE, "PENDING")</f>
        <v>PENDING</v>
      </c>
      <c r="T2135" t="s">
        <v>16</v>
      </c>
      <c r="U2135">
        <f>VLOOKUP(A2135,ordered_items!$B:$E,4,0)</f>
        <v>215.82</v>
      </c>
    </row>
    <row r="2136" spans="1:21" x14ac:dyDescent="0.3">
      <c r="A2136">
        <v>77107</v>
      </c>
      <c r="B2136" t="s">
        <v>24</v>
      </c>
      <c r="C2136">
        <v>3</v>
      </c>
      <c r="D2136">
        <v>4</v>
      </c>
      <c r="E2136" t="str">
        <f t="shared" si="99"/>
        <v xml:space="preserve"> ONTIME</v>
      </c>
      <c r="F2136">
        <f>VLOOKUP($A2136,ordered_items!$B$2:$E$4784,2,0)</f>
        <v>1363</v>
      </c>
      <c r="G2136">
        <f>VLOOKUP($A2136,ordered_items!$B$2:$E$4784,3,0)</f>
        <v>1</v>
      </c>
      <c r="H2136">
        <f>VLOOKUP($A2136,ordered_items!$B$2:$E$4784,4,0)</f>
        <v>215.82</v>
      </c>
      <c r="I2136" s="15">
        <f>VLOOKUP(F2136,product_info!$A$2:$D$73,4,0)</f>
        <v>4</v>
      </c>
      <c r="J2136" s="15" t="str">
        <f>VLOOKUP(I2136,department!$A$2:$B$13,2,0)</f>
        <v>Apparel</v>
      </c>
      <c r="K2136">
        <v>20660</v>
      </c>
      <c r="L2136" t="s">
        <v>713</v>
      </c>
      <c r="M2136" s="4">
        <v>44225</v>
      </c>
      <c r="N2136" s="12">
        <f t="shared" si="100"/>
        <v>1</v>
      </c>
      <c r="O2136" s="13">
        <f t="shared" si="101"/>
        <v>2021</v>
      </c>
      <c r="P2136" t="s">
        <v>13</v>
      </c>
      <c r="Q2136" t="s">
        <v>99</v>
      </c>
      <c r="R2136" t="s">
        <v>31</v>
      </c>
      <c r="S2136" t="str" cm="1">
        <f t="array" ref="S2136">_xlfn.IFS(R2136="COMPLETE", "COMPLETED", R2136="CANCELED", "CANCELED", TRUE, "PENDING")</f>
        <v>COMPLETED</v>
      </c>
      <c r="T2136" t="s">
        <v>16</v>
      </c>
      <c r="U2136">
        <f>VLOOKUP(A2136,ordered_items!$B:$E,4,0)</f>
        <v>215.82</v>
      </c>
    </row>
    <row r="2137" spans="1:21" x14ac:dyDescent="0.3">
      <c r="A2137">
        <v>77109</v>
      </c>
      <c r="B2137" t="s">
        <v>24</v>
      </c>
      <c r="C2137">
        <v>5</v>
      </c>
      <c r="D2137">
        <v>4</v>
      </c>
      <c r="E2137" t="str">
        <f t="shared" si="99"/>
        <v>DELAYED</v>
      </c>
      <c r="F2137">
        <f>VLOOKUP($A2137,ordered_items!$B$2:$E$4784,2,0)</f>
        <v>1363</v>
      </c>
      <c r="G2137">
        <f>VLOOKUP($A2137,ordered_items!$B$2:$E$4784,3,0)</f>
        <v>1</v>
      </c>
      <c r="H2137">
        <f>VLOOKUP($A2137,ordered_items!$B$2:$E$4784,4,0)</f>
        <v>215.82</v>
      </c>
      <c r="I2137" s="15">
        <f>VLOOKUP(F2137,product_info!$A$2:$D$73,4,0)</f>
        <v>4</v>
      </c>
      <c r="J2137" s="15" t="str">
        <f>VLOOKUP(I2137,department!$A$2:$B$13,2,0)</f>
        <v>Apparel</v>
      </c>
      <c r="K2137">
        <v>20662</v>
      </c>
      <c r="L2137" t="s">
        <v>1599</v>
      </c>
      <c r="M2137" s="4">
        <v>44225</v>
      </c>
      <c r="N2137" s="12">
        <f t="shared" si="100"/>
        <v>1</v>
      </c>
      <c r="O2137" s="13">
        <f t="shared" si="101"/>
        <v>2021</v>
      </c>
      <c r="P2137" t="s">
        <v>13</v>
      </c>
      <c r="Q2137" t="s">
        <v>47</v>
      </c>
      <c r="R2137" t="s">
        <v>31</v>
      </c>
      <c r="S2137" t="str" cm="1">
        <f t="array" ref="S2137">_xlfn.IFS(R2137="COMPLETE", "COMPLETED", R2137="CANCELED", "CANCELED", TRUE, "PENDING")</f>
        <v>COMPLETED</v>
      </c>
      <c r="T2137" t="s">
        <v>16</v>
      </c>
      <c r="U2137">
        <f>VLOOKUP(A2137,ordered_items!$B:$E,4,0)</f>
        <v>215.82</v>
      </c>
    </row>
    <row r="2138" spans="1:21" x14ac:dyDescent="0.3">
      <c r="A2138">
        <v>77114</v>
      </c>
      <c r="B2138" t="s">
        <v>3</v>
      </c>
      <c r="C2138">
        <v>5</v>
      </c>
      <c r="D2138">
        <v>2</v>
      </c>
      <c r="E2138" t="str">
        <f t="shared" si="99"/>
        <v>DELAYED</v>
      </c>
      <c r="F2138">
        <f>VLOOKUP($A2138,ordered_items!$B$2:$E$4784,2,0)</f>
        <v>1363</v>
      </c>
      <c r="G2138">
        <f>VLOOKUP($A2138,ordered_items!$B$2:$E$4784,3,0)</f>
        <v>1</v>
      </c>
      <c r="H2138">
        <f>VLOOKUP($A2138,ordered_items!$B$2:$E$4784,4,0)</f>
        <v>215.82</v>
      </c>
      <c r="I2138" s="15">
        <f>VLOOKUP(F2138,product_info!$A$2:$D$73,4,0)</f>
        <v>4</v>
      </c>
      <c r="J2138" s="15" t="str">
        <f>VLOOKUP(I2138,department!$A$2:$B$13,2,0)</f>
        <v>Apparel</v>
      </c>
      <c r="K2138">
        <v>20667</v>
      </c>
      <c r="L2138" t="s">
        <v>146</v>
      </c>
      <c r="M2138" s="4">
        <v>44225</v>
      </c>
      <c r="N2138" s="12">
        <f t="shared" si="100"/>
        <v>1</v>
      </c>
      <c r="O2138" s="13">
        <f t="shared" si="101"/>
        <v>2021</v>
      </c>
      <c r="P2138" t="s">
        <v>13</v>
      </c>
      <c r="Q2138" t="s">
        <v>30</v>
      </c>
      <c r="R2138" t="s">
        <v>38</v>
      </c>
      <c r="S2138" t="str" cm="1">
        <f t="array" ref="S2138">_xlfn.IFS(R2138="COMPLETE", "COMPLETED", R2138="CANCELED", "CANCELED", TRUE, "PENDING")</f>
        <v>PENDING</v>
      </c>
      <c r="T2138" t="s">
        <v>90</v>
      </c>
      <c r="U2138">
        <f>VLOOKUP(A2138,ordered_items!$B:$E,4,0)</f>
        <v>215.82</v>
      </c>
    </row>
    <row r="2139" spans="1:21" x14ac:dyDescent="0.3">
      <c r="A2139">
        <v>77115</v>
      </c>
      <c r="B2139" t="s">
        <v>24</v>
      </c>
      <c r="C2139">
        <v>6</v>
      </c>
      <c r="D2139">
        <v>4</v>
      </c>
      <c r="E2139" t="str">
        <f t="shared" si="99"/>
        <v>DELAYED</v>
      </c>
      <c r="F2139">
        <f>VLOOKUP($A2139,ordered_items!$B$2:$E$4784,2,0)</f>
        <v>1363</v>
      </c>
      <c r="G2139">
        <f>VLOOKUP($A2139,ordered_items!$B$2:$E$4784,3,0)</f>
        <v>1</v>
      </c>
      <c r="H2139">
        <f>VLOOKUP($A2139,ordered_items!$B$2:$E$4784,4,0)</f>
        <v>215.82</v>
      </c>
      <c r="I2139" s="15">
        <f>VLOOKUP(F2139,product_info!$A$2:$D$73,4,0)</f>
        <v>4</v>
      </c>
      <c r="J2139" s="15" t="str">
        <f>VLOOKUP(I2139,department!$A$2:$B$13,2,0)</f>
        <v>Apparel</v>
      </c>
      <c r="K2139">
        <v>20668</v>
      </c>
      <c r="L2139" t="s">
        <v>146</v>
      </c>
      <c r="M2139" s="4">
        <v>44225</v>
      </c>
      <c r="N2139" s="12">
        <f t="shared" si="100"/>
        <v>1</v>
      </c>
      <c r="O2139" s="13">
        <f t="shared" si="101"/>
        <v>2021</v>
      </c>
      <c r="P2139" t="s">
        <v>13</v>
      </c>
      <c r="Q2139" t="s">
        <v>30</v>
      </c>
      <c r="R2139" t="s">
        <v>31</v>
      </c>
      <c r="S2139" t="str" cm="1">
        <f t="array" ref="S2139">_xlfn.IFS(R2139="COMPLETE", "COMPLETED", R2139="CANCELED", "CANCELED", TRUE, "PENDING")</f>
        <v>COMPLETED</v>
      </c>
      <c r="T2139" t="s">
        <v>16</v>
      </c>
      <c r="U2139">
        <f>VLOOKUP(A2139,ordered_items!$B:$E,4,0)</f>
        <v>215.82</v>
      </c>
    </row>
    <row r="2140" spans="1:21" x14ac:dyDescent="0.3">
      <c r="A2140">
        <v>77137</v>
      </c>
      <c r="B2140" t="s">
        <v>51</v>
      </c>
      <c r="C2140">
        <v>2</v>
      </c>
      <c r="D2140">
        <v>1</v>
      </c>
      <c r="E2140" t="str">
        <f t="shared" si="99"/>
        <v>DELAYED</v>
      </c>
      <c r="F2140">
        <f>VLOOKUP($A2140,ordered_items!$B$2:$E$4784,2,0)</f>
        <v>1363</v>
      </c>
      <c r="G2140">
        <f>VLOOKUP($A2140,ordered_items!$B$2:$E$4784,3,0)</f>
        <v>1</v>
      </c>
      <c r="H2140">
        <f>VLOOKUP($A2140,ordered_items!$B$2:$E$4784,4,0)</f>
        <v>215.82</v>
      </c>
      <c r="I2140" s="15">
        <f>VLOOKUP(F2140,product_info!$A$2:$D$73,4,0)</f>
        <v>4</v>
      </c>
      <c r="J2140" s="15" t="str">
        <f>VLOOKUP(I2140,department!$A$2:$B$13,2,0)</f>
        <v>Apparel</v>
      </c>
      <c r="K2140">
        <v>20690</v>
      </c>
      <c r="L2140" t="s">
        <v>226</v>
      </c>
      <c r="M2140" s="4">
        <v>44226</v>
      </c>
      <c r="N2140" s="12">
        <f t="shared" si="100"/>
        <v>1</v>
      </c>
      <c r="O2140" s="13">
        <f t="shared" si="101"/>
        <v>2021</v>
      </c>
      <c r="P2140" t="s">
        <v>13</v>
      </c>
      <c r="Q2140" t="s">
        <v>227</v>
      </c>
      <c r="R2140" t="s">
        <v>57</v>
      </c>
      <c r="S2140" t="str" cm="1">
        <f t="array" ref="S2140">_xlfn.IFS(R2140="COMPLETE", "COMPLETED", R2140="CANCELED", "CANCELED", TRUE, "PENDING")</f>
        <v>PENDING</v>
      </c>
      <c r="T2140" t="s">
        <v>32</v>
      </c>
      <c r="U2140">
        <f>VLOOKUP(A2140,ordered_items!$B:$E,4,0)</f>
        <v>215.82</v>
      </c>
    </row>
    <row r="2141" spans="1:21" x14ac:dyDescent="0.3">
      <c r="A2141">
        <v>77138</v>
      </c>
      <c r="B2141" t="s">
        <v>24</v>
      </c>
      <c r="C2141">
        <v>4</v>
      </c>
      <c r="D2141">
        <v>4</v>
      </c>
      <c r="E2141" t="str">
        <f t="shared" si="99"/>
        <v xml:space="preserve"> ONTIME</v>
      </c>
      <c r="F2141">
        <f>VLOOKUP($A2141,ordered_items!$B$2:$E$4784,2,0)</f>
        <v>1363</v>
      </c>
      <c r="G2141">
        <f>VLOOKUP($A2141,ordered_items!$B$2:$E$4784,3,0)</f>
        <v>1</v>
      </c>
      <c r="H2141">
        <f>VLOOKUP($A2141,ordered_items!$B$2:$E$4784,4,0)</f>
        <v>215.82</v>
      </c>
      <c r="I2141" s="15">
        <f>VLOOKUP(F2141,product_info!$A$2:$D$73,4,0)</f>
        <v>4</v>
      </c>
      <c r="J2141" s="15" t="str">
        <f>VLOOKUP(I2141,department!$A$2:$B$13,2,0)</f>
        <v>Apparel</v>
      </c>
      <c r="K2141">
        <v>20691</v>
      </c>
      <c r="L2141" t="s">
        <v>226</v>
      </c>
      <c r="M2141" s="4">
        <v>44226</v>
      </c>
      <c r="N2141" s="12">
        <f t="shared" si="100"/>
        <v>1</v>
      </c>
      <c r="O2141" s="13">
        <f t="shared" si="101"/>
        <v>2021</v>
      </c>
      <c r="P2141" t="s">
        <v>13</v>
      </c>
      <c r="Q2141" t="s">
        <v>227</v>
      </c>
      <c r="R2141" t="s">
        <v>31</v>
      </c>
      <c r="S2141" t="str" cm="1">
        <f t="array" ref="S2141">_xlfn.IFS(R2141="COMPLETE", "COMPLETED", R2141="CANCELED", "CANCELED", TRUE, "PENDING")</f>
        <v>COMPLETED</v>
      </c>
      <c r="T2141" t="s">
        <v>16</v>
      </c>
      <c r="U2141">
        <f>VLOOKUP(A2141,ordered_items!$B:$E,4,0)</f>
        <v>215.82</v>
      </c>
    </row>
    <row r="2142" spans="1:21" x14ac:dyDescent="0.3">
      <c r="A2142">
        <v>77139</v>
      </c>
      <c r="B2142" t="s">
        <v>17</v>
      </c>
      <c r="C2142">
        <v>5</v>
      </c>
      <c r="D2142">
        <v>4</v>
      </c>
      <c r="E2142" t="str">
        <f t="shared" si="99"/>
        <v>DELAYED</v>
      </c>
      <c r="F2142">
        <f>VLOOKUP($A2142,ordered_items!$B$2:$E$4784,2,0)</f>
        <v>1363</v>
      </c>
      <c r="G2142">
        <f>VLOOKUP($A2142,ordered_items!$B$2:$E$4784,3,0)</f>
        <v>1</v>
      </c>
      <c r="H2142">
        <f>VLOOKUP($A2142,ordered_items!$B$2:$E$4784,4,0)</f>
        <v>215.82</v>
      </c>
      <c r="I2142" s="15">
        <f>VLOOKUP(F2142,product_info!$A$2:$D$73,4,0)</f>
        <v>4</v>
      </c>
      <c r="J2142" s="15" t="str">
        <f>VLOOKUP(I2142,department!$A$2:$B$13,2,0)</f>
        <v>Apparel</v>
      </c>
      <c r="K2142">
        <v>20692</v>
      </c>
      <c r="L2142" t="s">
        <v>226</v>
      </c>
      <c r="M2142" s="4">
        <v>44226</v>
      </c>
      <c r="N2142" s="12">
        <f t="shared" si="100"/>
        <v>1</v>
      </c>
      <c r="O2142" s="13">
        <f t="shared" si="101"/>
        <v>2021</v>
      </c>
      <c r="P2142" t="s">
        <v>13</v>
      </c>
      <c r="Q2142" t="s">
        <v>227</v>
      </c>
      <c r="R2142" t="s">
        <v>23</v>
      </c>
      <c r="S2142" t="str" cm="1">
        <f t="array" ref="S2142">_xlfn.IFS(R2142="COMPLETE", "COMPLETED", R2142="CANCELED", "CANCELED", TRUE, "PENDING")</f>
        <v>PENDING</v>
      </c>
      <c r="T2142" t="s">
        <v>16</v>
      </c>
      <c r="U2142">
        <f>VLOOKUP(A2142,ordered_items!$B:$E,4,0)</f>
        <v>215.82</v>
      </c>
    </row>
    <row r="2143" spans="1:21" x14ac:dyDescent="0.3">
      <c r="A2143">
        <v>77140</v>
      </c>
      <c r="B2143" t="s">
        <v>17</v>
      </c>
      <c r="C2143">
        <v>6</v>
      </c>
      <c r="D2143">
        <v>4</v>
      </c>
      <c r="E2143" t="str">
        <f t="shared" si="99"/>
        <v>DELAYED</v>
      </c>
      <c r="F2143">
        <f>VLOOKUP($A2143,ordered_items!$B$2:$E$4784,2,0)</f>
        <v>1363</v>
      </c>
      <c r="G2143">
        <f>VLOOKUP($A2143,ordered_items!$B$2:$E$4784,3,0)</f>
        <v>1</v>
      </c>
      <c r="H2143">
        <f>VLOOKUP($A2143,ordered_items!$B$2:$E$4784,4,0)</f>
        <v>215.82</v>
      </c>
      <c r="I2143" s="15">
        <f>VLOOKUP(F2143,product_info!$A$2:$D$73,4,0)</f>
        <v>4</v>
      </c>
      <c r="J2143" s="15" t="str">
        <f>VLOOKUP(I2143,department!$A$2:$B$13,2,0)</f>
        <v>Apparel</v>
      </c>
      <c r="K2143">
        <v>20693</v>
      </c>
      <c r="L2143" t="s">
        <v>226</v>
      </c>
      <c r="M2143" s="4">
        <v>44226</v>
      </c>
      <c r="N2143" s="12">
        <f t="shared" si="100"/>
        <v>1</v>
      </c>
      <c r="O2143" s="13">
        <f t="shared" si="101"/>
        <v>2021</v>
      </c>
      <c r="P2143" t="s">
        <v>13</v>
      </c>
      <c r="Q2143" t="s">
        <v>227</v>
      </c>
      <c r="R2143" t="s">
        <v>23</v>
      </c>
      <c r="S2143" t="str" cm="1">
        <f t="array" ref="S2143">_xlfn.IFS(R2143="COMPLETE", "COMPLETED", R2143="CANCELED", "CANCELED", TRUE, "PENDING")</f>
        <v>PENDING</v>
      </c>
      <c r="T2143" t="s">
        <v>16</v>
      </c>
      <c r="U2143">
        <f>VLOOKUP(A2143,ordered_items!$B:$E,4,0)</f>
        <v>215.82</v>
      </c>
    </row>
    <row r="2144" spans="1:21" x14ac:dyDescent="0.3">
      <c r="A2144">
        <v>77141</v>
      </c>
      <c r="B2144" t="s">
        <v>17</v>
      </c>
      <c r="C2144">
        <v>2</v>
      </c>
      <c r="D2144">
        <v>4</v>
      </c>
      <c r="E2144" t="str">
        <f t="shared" si="99"/>
        <v xml:space="preserve"> ONTIME</v>
      </c>
      <c r="F2144">
        <f>VLOOKUP($A2144,ordered_items!$B$2:$E$4784,2,0)</f>
        <v>1363</v>
      </c>
      <c r="G2144">
        <f>VLOOKUP($A2144,ordered_items!$B$2:$E$4784,3,0)</f>
        <v>1</v>
      </c>
      <c r="H2144">
        <f>VLOOKUP($A2144,ordered_items!$B$2:$E$4784,4,0)</f>
        <v>215.82</v>
      </c>
      <c r="I2144" s="15">
        <f>VLOOKUP(F2144,product_info!$A$2:$D$73,4,0)</f>
        <v>4</v>
      </c>
      <c r="J2144" s="15" t="str">
        <f>VLOOKUP(I2144,department!$A$2:$B$13,2,0)</f>
        <v>Apparel</v>
      </c>
      <c r="K2144">
        <v>20694</v>
      </c>
      <c r="L2144" t="s">
        <v>226</v>
      </c>
      <c r="M2144" s="4">
        <v>44226</v>
      </c>
      <c r="N2144" s="12">
        <f t="shared" si="100"/>
        <v>1</v>
      </c>
      <c r="O2144" s="13">
        <f t="shared" si="101"/>
        <v>2021</v>
      </c>
      <c r="P2144" t="s">
        <v>13</v>
      </c>
      <c r="Q2144" t="s">
        <v>227</v>
      </c>
      <c r="R2144" t="s">
        <v>23</v>
      </c>
      <c r="S2144" t="str" cm="1">
        <f t="array" ref="S2144">_xlfn.IFS(R2144="COMPLETE", "COMPLETED", R2144="CANCELED", "CANCELED", TRUE, "PENDING")</f>
        <v>PENDING</v>
      </c>
      <c r="T2144" t="s">
        <v>16</v>
      </c>
      <c r="U2144">
        <f>VLOOKUP(A2144,ordered_items!$B:$E,4,0)</f>
        <v>215.82</v>
      </c>
    </row>
    <row r="2145" spans="1:21" x14ac:dyDescent="0.3">
      <c r="A2145">
        <v>77152</v>
      </c>
      <c r="B2145" t="s">
        <v>51</v>
      </c>
      <c r="C2145">
        <v>3</v>
      </c>
      <c r="D2145">
        <v>2</v>
      </c>
      <c r="E2145" t="str">
        <f t="shared" si="99"/>
        <v>DELAYED</v>
      </c>
      <c r="F2145">
        <f>VLOOKUP($A2145,ordered_items!$B$2:$E$4784,2,0)</f>
        <v>1363</v>
      </c>
      <c r="G2145">
        <f>VLOOKUP($A2145,ordered_items!$B$2:$E$4784,3,0)</f>
        <v>1</v>
      </c>
      <c r="H2145">
        <f>VLOOKUP($A2145,ordered_items!$B$2:$E$4784,4,0)</f>
        <v>215.82</v>
      </c>
      <c r="I2145" s="15">
        <f>VLOOKUP(F2145,product_info!$A$2:$D$73,4,0)</f>
        <v>4</v>
      </c>
      <c r="J2145" s="15" t="str">
        <f>VLOOKUP(I2145,department!$A$2:$B$13,2,0)</f>
        <v>Apparel</v>
      </c>
      <c r="K2145">
        <v>20705</v>
      </c>
      <c r="L2145" t="s">
        <v>561</v>
      </c>
      <c r="M2145" s="4">
        <v>44226</v>
      </c>
      <c r="N2145" s="12">
        <f t="shared" si="100"/>
        <v>1</v>
      </c>
      <c r="O2145" s="13">
        <f t="shared" si="101"/>
        <v>2021</v>
      </c>
      <c r="P2145" t="s">
        <v>13</v>
      </c>
      <c r="Q2145" t="s">
        <v>5779</v>
      </c>
      <c r="R2145" t="s">
        <v>57</v>
      </c>
      <c r="S2145" t="str" cm="1">
        <f t="array" ref="S2145">_xlfn.IFS(R2145="COMPLETE", "COMPLETED", R2145="CANCELED", "CANCELED", TRUE, "PENDING")</f>
        <v>PENDING</v>
      </c>
      <c r="T2145" t="s">
        <v>90</v>
      </c>
      <c r="U2145">
        <f>VLOOKUP(A2145,ordered_items!$B:$E,4,0)</f>
        <v>215.82</v>
      </c>
    </row>
    <row r="2146" spans="1:21" x14ac:dyDescent="0.3">
      <c r="A2146">
        <v>77153</v>
      </c>
      <c r="B2146" t="s">
        <v>24</v>
      </c>
      <c r="C2146">
        <v>4</v>
      </c>
      <c r="D2146">
        <v>2</v>
      </c>
      <c r="E2146" t="str">
        <f t="shared" si="99"/>
        <v>DELAYED</v>
      </c>
      <c r="F2146">
        <f>VLOOKUP($A2146,ordered_items!$B$2:$E$4784,2,0)</f>
        <v>1363</v>
      </c>
      <c r="G2146">
        <f>VLOOKUP($A2146,ordered_items!$B$2:$E$4784,3,0)</f>
        <v>1</v>
      </c>
      <c r="H2146">
        <f>VLOOKUP($A2146,ordered_items!$B$2:$E$4784,4,0)</f>
        <v>215.82</v>
      </c>
      <c r="I2146" s="15">
        <f>VLOOKUP(F2146,product_info!$A$2:$D$73,4,0)</f>
        <v>4</v>
      </c>
      <c r="J2146" s="15" t="str">
        <f>VLOOKUP(I2146,department!$A$2:$B$13,2,0)</f>
        <v>Apparel</v>
      </c>
      <c r="K2146">
        <v>20706</v>
      </c>
      <c r="L2146" t="s">
        <v>561</v>
      </c>
      <c r="M2146" s="4">
        <v>44226</v>
      </c>
      <c r="N2146" s="12">
        <f t="shared" si="100"/>
        <v>1</v>
      </c>
      <c r="O2146" s="13">
        <f t="shared" si="101"/>
        <v>2021</v>
      </c>
      <c r="P2146" t="s">
        <v>13</v>
      </c>
      <c r="Q2146" t="s">
        <v>5779</v>
      </c>
      <c r="R2146" t="s">
        <v>31</v>
      </c>
      <c r="S2146" t="str" cm="1">
        <f t="array" ref="S2146">_xlfn.IFS(R2146="COMPLETE", "COMPLETED", R2146="CANCELED", "CANCELED", TRUE, "PENDING")</f>
        <v>COMPLETED</v>
      </c>
      <c r="T2146" t="s">
        <v>90</v>
      </c>
      <c r="U2146">
        <f>VLOOKUP(A2146,ordered_items!$B:$E,4,0)</f>
        <v>215.82</v>
      </c>
    </row>
    <row r="2147" spans="1:21" x14ac:dyDescent="0.3">
      <c r="A2147">
        <v>77155</v>
      </c>
      <c r="B2147" t="s">
        <v>51</v>
      </c>
      <c r="C2147">
        <v>6</v>
      </c>
      <c r="D2147">
        <v>4</v>
      </c>
      <c r="E2147" t="str">
        <f t="shared" si="99"/>
        <v>DELAYED</v>
      </c>
      <c r="F2147">
        <f>VLOOKUP($A2147,ordered_items!$B$2:$E$4784,2,0)</f>
        <v>1363</v>
      </c>
      <c r="G2147">
        <f>VLOOKUP($A2147,ordered_items!$B$2:$E$4784,3,0)</f>
        <v>1</v>
      </c>
      <c r="H2147">
        <f>VLOOKUP($A2147,ordered_items!$B$2:$E$4784,4,0)</f>
        <v>215.82</v>
      </c>
      <c r="I2147" s="15">
        <f>VLOOKUP(F2147,product_info!$A$2:$D$73,4,0)</f>
        <v>4</v>
      </c>
      <c r="J2147" s="15" t="str">
        <f>VLOOKUP(I2147,department!$A$2:$B$13,2,0)</f>
        <v>Apparel</v>
      </c>
      <c r="K2147">
        <v>20708</v>
      </c>
      <c r="L2147" t="s">
        <v>867</v>
      </c>
      <c r="M2147" s="4">
        <v>44226</v>
      </c>
      <c r="N2147" s="12">
        <f t="shared" si="100"/>
        <v>1</v>
      </c>
      <c r="O2147" s="13">
        <f t="shared" si="101"/>
        <v>2021</v>
      </c>
      <c r="P2147" t="s">
        <v>13</v>
      </c>
      <c r="Q2147" t="s">
        <v>5781</v>
      </c>
      <c r="R2147" t="s">
        <v>57</v>
      </c>
      <c r="S2147" t="str" cm="1">
        <f t="array" ref="S2147">_xlfn.IFS(R2147="COMPLETE", "COMPLETED", R2147="CANCELED", "CANCELED", TRUE, "PENDING")</f>
        <v>PENDING</v>
      </c>
      <c r="T2147" t="s">
        <v>16</v>
      </c>
      <c r="U2147">
        <f>VLOOKUP(A2147,ordered_items!$B:$E,4,0)</f>
        <v>215.82</v>
      </c>
    </row>
    <row r="2148" spans="1:21" x14ac:dyDescent="0.3">
      <c r="A2148">
        <v>77156</v>
      </c>
      <c r="B2148" t="s">
        <v>51</v>
      </c>
      <c r="C2148">
        <v>2</v>
      </c>
      <c r="D2148">
        <v>2</v>
      </c>
      <c r="E2148" t="str">
        <f t="shared" si="99"/>
        <v xml:space="preserve"> ONTIME</v>
      </c>
      <c r="F2148">
        <f>VLOOKUP($A2148,ordered_items!$B$2:$E$4784,2,0)</f>
        <v>1363</v>
      </c>
      <c r="G2148">
        <f>VLOOKUP($A2148,ordered_items!$B$2:$E$4784,3,0)</f>
        <v>1</v>
      </c>
      <c r="H2148">
        <f>VLOOKUP($A2148,ordered_items!$B$2:$E$4784,4,0)</f>
        <v>215.82</v>
      </c>
      <c r="I2148" s="15">
        <f>VLOOKUP(F2148,product_info!$A$2:$D$73,4,0)</f>
        <v>4</v>
      </c>
      <c r="J2148" s="15" t="str">
        <f>VLOOKUP(I2148,department!$A$2:$B$13,2,0)</f>
        <v>Apparel</v>
      </c>
      <c r="K2148">
        <v>20709</v>
      </c>
      <c r="L2148" t="s">
        <v>867</v>
      </c>
      <c r="M2148" s="4">
        <v>44226</v>
      </c>
      <c r="N2148" s="12">
        <f t="shared" si="100"/>
        <v>1</v>
      </c>
      <c r="O2148" s="13">
        <f t="shared" si="101"/>
        <v>2021</v>
      </c>
      <c r="P2148" t="s">
        <v>13</v>
      </c>
      <c r="Q2148" t="s">
        <v>5781</v>
      </c>
      <c r="R2148" t="s">
        <v>57</v>
      </c>
      <c r="S2148" t="str" cm="1">
        <f t="array" ref="S2148">_xlfn.IFS(R2148="COMPLETE", "COMPLETED", R2148="CANCELED", "CANCELED", TRUE, "PENDING")</f>
        <v>PENDING</v>
      </c>
      <c r="T2148" t="s">
        <v>90</v>
      </c>
      <c r="U2148">
        <f>VLOOKUP(A2148,ordered_items!$B:$E,4,0)</f>
        <v>215.82</v>
      </c>
    </row>
    <row r="2149" spans="1:21" x14ac:dyDescent="0.3">
      <c r="A2149">
        <v>77157</v>
      </c>
      <c r="B2149" t="s">
        <v>24</v>
      </c>
      <c r="C2149">
        <v>3</v>
      </c>
      <c r="D2149">
        <v>4</v>
      </c>
      <c r="E2149" t="str">
        <f t="shared" si="99"/>
        <v xml:space="preserve"> ONTIME</v>
      </c>
      <c r="F2149">
        <f>VLOOKUP($A2149,ordered_items!$B$2:$E$4784,2,0)</f>
        <v>1363</v>
      </c>
      <c r="G2149">
        <f>VLOOKUP($A2149,ordered_items!$B$2:$E$4784,3,0)</f>
        <v>1</v>
      </c>
      <c r="H2149">
        <f>VLOOKUP($A2149,ordered_items!$B$2:$E$4784,4,0)</f>
        <v>215.82</v>
      </c>
      <c r="I2149" s="15">
        <f>VLOOKUP(F2149,product_info!$A$2:$D$73,4,0)</f>
        <v>4</v>
      </c>
      <c r="J2149" s="15" t="str">
        <f>VLOOKUP(I2149,department!$A$2:$B$13,2,0)</f>
        <v>Apparel</v>
      </c>
      <c r="K2149">
        <v>20710</v>
      </c>
      <c r="L2149" t="s">
        <v>124</v>
      </c>
      <c r="M2149" s="4">
        <v>44226</v>
      </c>
      <c r="N2149" s="12">
        <f t="shared" si="100"/>
        <v>1</v>
      </c>
      <c r="O2149" s="13">
        <f t="shared" si="101"/>
        <v>2021</v>
      </c>
      <c r="P2149" t="s">
        <v>13</v>
      </c>
      <c r="Q2149" t="s">
        <v>5778</v>
      </c>
      <c r="R2149" t="s">
        <v>31</v>
      </c>
      <c r="S2149" t="str" cm="1">
        <f t="array" ref="S2149">_xlfn.IFS(R2149="COMPLETE", "COMPLETED", R2149="CANCELED", "CANCELED", TRUE, "PENDING")</f>
        <v>COMPLETED</v>
      </c>
      <c r="T2149" t="s">
        <v>16</v>
      </c>
      <c r="U2149">
        <f>VLOOKUP(A2149,ordered_items!$B:$E,4,0)</f>
        <v>215.82</v>
      </c>
    </row>
    <row r="2150" spans="1:21" x14ac:dyDescent="0.3">
      <c r="A2150">
        <v>77164</v>
      </c>
      <c r="B2150" t="s">
        <v>3</v>
      </c>
      <c r="C2150">
        <v>5</v>
      </c>
      <c r="D2150">
        <v>2</v>
      </c>
      <c r="E2150" t="str">
        <f t="shared" si="99"/>
        <v>DELAYED</v>
      </c>
      <c r="F2150">
        <f>VLOOKUP($A2150,ordered_items!$B$2:$E$4784,2,0)</f>
        <v>1363</v>
      </c>
      <c r="G2150">
        <f>VLOOKUP($A2150,ordered_items!$B$2:$E$4784,3,0)</f>
        <v>1</v>
      </c>
      <c r="H2150">
        <f>VLOOKUP($A2150,ordered_items!$B$2:$E$4784,4,0)</f>
        <v>215.82</v>
      </c>
      <c r="I2150" s="15">
        <f>VLOOKUP(F2150,product_info!$A$2:$D$73,4,0)</f>
        <v>4</v>
      </c>
      <c r="J2150" s="15" t="str">
        <f>VLOOKUP(I2150,department!$A$2:$B$13,2,0)</f>
        <v>Apparel</v>
      </c>
      <c r="K2150">
        <v>20717</v>
      </c>
      <c r="L2150" t="s">
        <v>258</v>
      </c>
      <c r="M2150" s="4">
        <v>44226</v>
      </c>
      <c r="N2150" s="12">
        <f t="shared" si="100"/>
        <v>1</v>
      </c>
      <c r="O2150" s="13">
        <f t="shared" si="101"/>
        <v>2021</v>
      </c>
      <c r="P2150" t="s">
        <v>13</v>
      </c>
      <c r="Q2150" t="s">
        <v>30</v>
      </c>
      <c r="R2150" t="s">
        <v>14</v>
      </c>
      <c r="S2150" t="str" cm="1">
        <f t="array" ref="S2150">_xlfn.IFS(R2150="COMPLETE", "COMPLETED", R2150="CANCELED", "CANCELED", TRUE, "PENDING")</f>
        <v>PENDING</v>
      </c>
      <c r="T2150" t="s">
        <v>90</v>
      </c>
      <c r="U2150">
        <f>VLOOKUP(A2150,ordered_items!$B:$E,4,0)</f>
        <v>215.82</v>
      </c>
    </row>
    <row r="2151" spans="1:21" x14ac:dyDescent="0.3">
      <c r="A2151">
        <v>77182</v>
      </c>
      <c r="B2151" t="s">
        <v>3</v>
      </c>
      <c r="C2151">
        <v>3</v>
      </c>
      <c r="D2151">
        <v>2</v>
      </c>
      <c r="E2151" t="str">
        <f t="shared" si="99"/>
        <v>DELAYED</v>
      </c>
      <c r="F2151">
        <f>VLOOKUP($A2151,ordered_items!$B$2:$E$4784,2,0)</f>
        <v>1363</v>
      </c>
      <c r="G2151">
        <f>VLOOKUP($A2151,ordered_items!$B$2:$E$4784,3,0)</f>
        <v>1</v>
      </c>
      <c r="H2151">
        <f>VLOOKUP($A2151,ordered_items!$B$2:$E$4784,4,0)</f>
        <v>215.82</v>
      </c>
      <c r="I2151" s="15">
        <f>VLOOKUP(F2151,product_info!$A$2:$D$73,4,0)</f>
        <v>4</v>
      </c>
      <c r="J2151" s="15" t="str">
        <f>VLOOKUP(I2151,department!$A$2:$B$13,2,0)</f>
        <v>Apparel</v>
      </c>
      <c r="K2151">
        <v>20735</v>
      </c>
      <c r="L2151" t="s">
        <v>206</v>
      </c>
      <c r="M2151" s="4">
        <v>44226</v>
      </c>
      <c r="N2151" s="12">
        <f t="shared" si="100"/>
        <v>1</v>
      </c>
      <c r="O2151" s="13">
        <f t="shared" si="101"/>
        <v>2021</v>
      </c>
      <c r="P2151" t="s">
        <v>13</v>
      </c>
      <c r="Q2151" t="s">
        <v>30</v>
      </c>
      <c r="R2151" t="s">
        <v>38</v>
      </c>
      <c r="S2151" t="str" cm="1">
        <f t="array" ref="S2151">_xlfn.IFS(R2151="COMPLETE", "COMPLETED", R2151="CANCELED", "CANCELED", TRUE, "PENDING")</f>
        <v>PENDING</v>
      </c>
      <c r="T2151" t="s">
        <v>90</v>
      </c>
      <c r="U2151">
        <f>VLOOKUP(A2151,ordered_items!$B:$E,4,0)</f>
        <v>215.82</v>
      </c>
    </row>
    <row r="2152" spans="1:21" x14ac:dyDescent="0.3">
      <c r="A2152">
        <v>77185</v>
      </c>
      <c r="B2152" t="s">
        <v>24</v>
      </c>
      <c r="C2152">
        <v>6</v>
      </c>
      <c r="D2152">
        <v>4</v>
      </c>
      <c r="E2152" t="str">
        <f t="shared" si="99"/>
        <v>DELAYED</v>
      </c>
      <c r="F2152">
        <f>VLOOKUP($A2152,ordered_items!$B$2:$E$4784,2,0)</f>
        <v>1363</v>
      </c>
      <c r="G2152">
        <f>VLOOKUP($A2152,ordered_items!$B$2:$E$4784,3,0)</f>
        <v>1</v>
      </c>
      <c r="H2152">
        <f>VLOOKUP($A2152,ordered_items!$B$2:$E$4784,4,0)</f>
        <v>215.82</v>
      </c>
      <c r="I2152" s="15">
        <f>VLOOKUP(F2152,product_info!$A$2:$D$73,4,0)</f>
        <v>4</v>
      </c>
      <c r="J2152" s="15" t="str">
        <f>VLOOKUP(I2152,department!$A$2:$B$13,2,0)</f>
        <v>Apparel</v>
      </c>
      <c r="K2152">
        <v>20738</v>
      </c>
      <c r="L2152" t="s">
        <v>409</v>
      </c>
      <c r="M2152" s="4">
        <v>44226</v>
      </c>
      <c r="N2152" s="12">
        <f t="shared" si="100"/>
        <v>1</v>
      </c>
      <c r="O2152" s="13">
        <f t="shared" si="101"/>
        <v>2021</v>
      </c>
      <c r="P2152" t="s">
        <v>13</v>
      </c>
      <c r="Q2152" t="s">
        <v>410</v>
      </c>
      <c r="R2152" t="s">
        <v>31</v>
      </c>
      <c r="S2152" t="str" cm="1">
        <f t="array" ref="S2152">_xlfn.IFS(R2152="COMPLETE", "COMPLETED", R2152="CANCELED", "CANCELED", TRUE, "PENDING")</f>
        <v>COMPLETED</v>
      </c>
      <c r="T2152" t="s">
        <v>16</v>
      </c>
      <c r="U2152">
        <f>VLOOKUP(A2152,ordered_items!$B:$E,4,0)</f>
        <v>215.82</v>
      </c>
    </row>
    <row r="2153" spans="1:21" x14ac:dyDescent="0.3">
      <c r="A2153">
        <v>77198</v>
      </c>
      <c r="B2153" t="s">
        <v>17</v>
      </c>
      <c r="C2153">
        <v>2</v>
      </c>
      <c r="D2153">
        <v>1</v>
      </c>
      <c r="E2153" t="str">
        <f t="shared" si="99"/>
        <v>DELAYED</v>
      </c>
      <c r="F2153">
        <f>VLOOKUP($A2153,ordered_items!$B$2:$E$4784,2,0)</f>
        <v>1363</v>
      </c>
      <c r="G2153">
        <f>VLOOKUP($A2153,ordered_items!$B$2:$E$4784,3,0)</f>
        <v>1</v>
      </c>
      <c r="H2153">
        <f>VLOOKUP($A2153,ordered_items!$B$2:$E$4784,4,0)</f>
        <v>215.82</v>
      </c>
      <c r="I2153" s="15">
        <f>VLOOKUP(F2153,product_info!$A$2:$D$73,4,0)</f>
        <v>4</v>
      </c>
      <c r="J2153" s="15" t="str">
        <f>VLOOKUP(I2153,department!$A$2:$B$13,2,0)</f>
        <v>Apparel</v>
      </c>
      <c r="K2153">
        <v>20751</v>
      </c>
      <c r="L2153" t="s">
        <v>70</v>
      </c>
      <c r="M2153" s="4">
        <v>44226</v>
      </c>
      <c r="N2153" s="12">
        <f t="shared" si="100"/>
        <v>1</v>
      </c>
      <c r="O2153" s="13">
        <f t="shared" si="101"/>
        <v>2021</v>
      </c>
      <c r="P2153" t="s">
        <v>13</v>
      </c>
      <c r="Q2153" t="s">
        <v>70</v>
      </c>
      <c r="R2153" t="s">
        <v>23</v>
      </c>
      <c r="S2153" t="str" cm="1">
        <f t="array" ref="S2153">_xlfn.IFS(R2153="COMPLETE", "COMPLETED", R2153="CANCELED", "CANCELED", TRUE, "PENDING")</f>
        <v>PENDING</v>
      </c>
      <c r="T2153" t="s">
        <v>32</v>
      </c>
      <c r="U2153">
        <f>VLOOKUP(A2153,ordered_items!$B:$E,4,0)</f>
        <v>215.82</v>
      </c>
    </row>
  </sheetData>
  <autoFilter ref="A1:T2153" xr:uid="{C6F95BC9-8BAA-4E16-8EC5-C4C4F921AB3B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32F3-BE61-46B1-A4D3-FF35DDD37096}">
  <sheetPr codeName="Sheet10"/>
  <dimension ref="A1:E4784"/>
  <sheetViews>
    <sheetView topLeftCell="A4761" workbookViewId="0">
      <selection activeCell="C1" sqref="C1:E1"/>
    </sheetView>
  </sheetViews>
  <sheetFormatPr defaultRowHeight="14.4" x14ac:dyDescent="0.3"/>
  <cols>
    <col min="1" max="1" width="13.44140625" bestFit="1" customWidth="1"/>
    <col min="2" max="3" width="13.44140625" customWidth="1"/>
    <col min="4" max="4" width="8.33203125" bestFit="1" customWidth="1"/>
    <col min="5" max="5" width="7" bestFit="1" customWidth="1"/>
  </cols>
  <sheetData>
    <row r="1" spans="1:5" x14ac:dyDescent="0.3">
      <c r="A1" s="3" t="s">
        <v>5712</v>
      </c>
      <c r="B1" s="3" t="s">
        <v>5700</v>
      </c>
      <c r="C1" s="3" t="s">
        <v>5719</v>
      </c>
      <c r="D1" s="3" t="s">
        <v>5720</v>
      </c>
      <c r="E1" s="3" t="s">
        <v>1</v>
      </c>
    </row>
    <row r="2" spans="1:5" x14ac:dyDescent="0.3">
      <c r="A2">
        <v>50787</v>
      </c>
      <c r="B2">
        <v>20337</v>
      </c>
      <c r="C2">
        <v>1004</v>
      </c>
      <c r="D2">
        <v>1</v>
      </c>
      <c r="E2">
        <v>399.98</v>
      </c>
    </row>
    <row r="3" spans="1:5" x14ac:dyDescent="0.3">
      <c r="A3">
        <v>50791</v>
      </c>
      <c r="B3">
        <v>20338</v>
      </c>
      <c r="C3">
        <v>365</v>
      </c>
      <c r="D3">
        <v>2</v>
      </c>
      <c r="E3">
        <v>119.98</v>
      </c>
    </row>
    <row r="4" spans="1:5" x14ac:dyDescent="0.3">
      <c r="A4">
        <v>50788</v>
      </c>
      <c r="B4">
        <v>20338</v>
      </c>
      <c r="C4">
        <v>502</v>
      </c>
      <c r="D4">
        <v>2</v>
      </c>
      <c r="E4">
        <v>100</v>
      </c>
    </row>
    <row r="5" spans="1:5" x14ac:dyDescent="0.3">
      <c r="A5">
        <v>50789</v>
      </c>
      <c r="B5">
        <v>20338</v>
      </c>
      <c r="C5">
        <v>191</v>
      </c>
      <c r="D5">
        <v>4</v>
      </c>
      <c r="E5">
        <v>399.96</v>
      </c>
    </row>
    <row r="6" spans="1:5" x14ac:dyDescent="0.3">
      <c r="A6">
        <v>50790</v>
      </c>
      <c r="B6">
        <v>20338</v>
      </c>
      <c r="C6">
        <v>365</v>
      </c>
      <c r="D6">
        <v>4</v>
      </c>
      <c r="E6">
        <v>239.96</v>
      </c>
    </row>
    <row r="7" spans="1:5" x14ac:dyDescent="0.3">
      <c r="A7">
        <v>50800</v>
      </c>
      <c r="B7">
        <v>20346</v>
      </c>
      <c r="C7">
        <v>1004</v>
      </c>
      <c r="D7">
        <v>1</v>
      </c>
      <c r="E7">
        <v>399.98</v>
      </c>
    </row>
    <row r="8" spans="1:5" x14ac:dyDescent="0.3">
      <c r="A8">
        <v>50801</v>
      </c>
      <c r="B8">
        <v>20346</v>
      </c>
      <c r="C8">
        <v>502</v>
      </c>
      <c r="D8">
        <v>3</v>
      </c>
      <c r="E8">
        <v>150</v>
      </c>
    </row>
    <row r="9" spans="1:5" x14ac:dyDescent="0.3">
      <c r="A9">
        <v>50836</v>
      </c>
      <c r="B9">
        <v>20361</v>
      </c>
      <c r="C9">
        <v>365</v>
      </c>
      <c r="D9">
        <v>1</v>
      </c>
      <c r="E9">
        <v>59.99</v>
      </c>
    </row>
    <row r="10" spans="1:5" x14ac:dyDescent="0.3">
      <c r="A10">
        <v>50838</v>
      </c>
      <c r="B10">
        <v>20363</v>
      </c>
      <c r="C10">
        <v>403</v>
      </c>
      <c r="D10">
        <v>1</v>
      </c>
      <c r="E10">
        <v>129.99</v>
      </c>
    </row>
    <row r="11" spans="1:5" x14ac:dyDescent="0.3">
      <c r="A11">
        <v>50839</v>
      </c>
      <c r="B11">
        <v>20363</v>
      </c>
      <c r="C11">
        <v>822</v>
      </c>
      <c r="D11">
        <v>2</v>
      </c>
      <c r="E11">
        <v>95.98</v>
      </c>
    </row>
    <row r="12" spans="1:5" x14ac:dyDescent="0.3">
      <c r="A12">
        <v>50837</v>
      </c>
      <c r="B12">
        <v>20363</v>
      </c>
      <c r="C12">
        <v>627</v>
      </c>
      <c r="D12">
        <v>4</v>
      </c>
      <c r="E12">
        <v>159.96</v>
      </c>
    </row>
    <row r="13" spans="1:5" x14ac:dyDescent="0.3">
      <c r="A13">
        <v>50840</v>
      </c>
      <c r="B13">
        <v>20364</v>
      </c>
      <c r="C13">
        <v>403</v>
      </c>
      <c r="D13">
        <v>1</v>
      </c>
      <c r="E13">
        <v>129.99</v>
      </c>
    </row>
    <row r="14" spans="1:5" x14ac:dyDescent="0.3">
      <c r="A14">
        <v>50841</v>
      </c>
      <c r="B14">
        <v>20364</v>
      </c>
      <c r="C14">
        <v>191</v>
      </c>
      <c r="D14">
        <v>2</v>
      </c>
      <c r="E14">
        <v>199.98</v>
      </c>
    </row>
    <row r="15" spans="1:5" x14ac:dyDescent="0.3">
      <c r="A15">
        <v>50842</v>
      </c>
      <c r="B15">
        <v>20365</v>
      </c>
      <c r="C15">
        <v>502</v>
      </c>
      <c r="D15">
        <v>2</v>
      </c>
      <c r="E15">
        <v>100</v>
      </c>
    </row>
    <row r="16" spans="1:5" x14ac:dyDescent="0.3">
      <c r="A16">
        <v>50843</v>
      </c>
      <c r="B16">
        <v>20365</v>
      </c>
      <c r="C16">
        <v>1004</v>
      </c>
      <c r="D16">
        <v>1</v>
      </c>
      <c r="E16">
        <v>399.98</v>
      </c>
    </row>
    <row r="17" spans="1:5" x14ac:dyDescent="0.3">
      <c r="A17">
        <v>50844</v>
      </c>
      <c r="B17">
        <v>20365</v>
      </c>
      <c r="C17">
        <v>957</v>
      </c>
      <c r="D17">
        <v>1</v>
      </c>
      <c r="E17">
        <v>299.98</v>
      </c>
    </row>
    <row r="18" spans="1:5" x14ac:dyDescent="0.3">
      <c r="A18">
        <v>50845</v>
      </c>
      <c r="B18">
        <v>20366</v>
      </c>
      <c r="C18">
        <v>365</v>
      </c>
      <c r="D18">
        <v>2</v>
      </c>
      <c r="E18">
        <v>119.98</v>
      </c>
    </row>
    <row r="19" spans="1:5" x14ac:dyDescent="0.3">
      <c r="A19">
        <v>50847</v>
      </c>
      <c r="B19">
        <v>20368</v>
      </c>
      <c r="C19">
        <v>191</v>
      </c>
      <c r="D19">
        <v>5</v>
      </c>
      <c r="E19">
        <v>499.95</v>
      </c>
    </row>
    <row r="20" spans="1:5" x14ac:dyDescent="0.3">
      <c r="A20">
        <v>50874</v>
      </c>
      <c r="B20">
        <v>20380</v>
      </c>
      <c r="C20">
        <v>957</v>
      </c>
      <c r="D20">
        <v>1</v>
      </c>
      <c r="E20">
        <v>299.98</v>
      </c>
    </row>
    <row r="21" spans="1:5" x14ac:dyDescent="0.3">
      <c r="A21">
        <v>50875</v>
      </c>
      <c r="B21">
        <v>20380</v>
      </c>
      <c r="C21">
        <v>191</v>
      </c>
      <c r="D21">
        <v>3</v>
      </c>
      <c r="E21">
        <v>299.97000000000003</v>
      </c>
    </row>
    <row r="22" spans="1:5" x14ac:dyDescent="0.3">
      <c r="A22">
        <v>50876</v>
      </c>
      <c r="B22">
        <v>20380</v>
      </c>
      <c r="C22">
        <v>804</v>
      </c>
      <c r="D22">
        <v>5</v>
      </c>
      <c r="E22">
        <v>99.95</v>
      </c>
    </row>
    <row r="23" spans="1:5" x14ac:dyDescent="0.3">
      <c r="A23">
        <v>50877</v>
      </c>
      <c r="B23">
        <v>20380</v>
      </c>
      <c r="C23">
        <v>1073</v>
      </c>
      <c r="D23">
        <v>1</v>
      </c>
      <c r="E23">
        <v>199.99</v>
      </c>
    </row>
    <row r="24" spans="1:5" x14ac:dyDescent="0.3">
      <c r="A24">
        <v>50878</v>
      </c>
      <c r="B24">
        <v>20381</v>
      </c>
      <c r="C24">
        <v>1073</v>
      </c>
      <c r="D24">
        <v>1</v>
      </c>
      <c r="E24">
        <v>199.99</v>
      </c>
    </row>
    <row r="25" spans="1:5" x14ac:dyDescent="0.3">
      <c r="A25">
        <v>50879</v>
      </c>
      <c r="B25">
        <v>20381</v>
      </c>
      <c r="C25">
        <v>191</v>
      </c>
      <c r="D25">
        <v>1</v>
      </c>
      <c r="E25">
        <v>99.99</v>
      </c>
    </row>
    <row r="26" spans="1:5" x14ac:dyDescent="0.3">
      <c r="A26">
        <v>50880</v>
      </c>
      <c r="B26">
        <v>20381</v>
      </c>
      <c r="C26">
        <v>1004</v>
      </c>
      <c r="D26">
        <v>1</v>
      </c>
      <c r="E26">
        <v>399.98</v>
      </c>
    </row>
    <row r="27" spans="1:5" x14ac:dyDescent="0.3">
      <c r="A27">
        <v>50949</v>
      </c>
      <c r="B27">
        <v>20407</v>
      </c>
      <c r="C27">
        <v>957</v>
      </c>
      <c r="D27">
        <v>1</v>
      </c>
      <c r="E27">
        <v>299.98</v>
      </c>
    </row>
    <row r="28" spans="1:5" x14ac:dyDescent="0.3">
      <c r="A28">
        <v>50950</v>
      </c>
      <c r="B28">
        <v>20408</v>
      </c>
      <c r="C28">
        <v>403</v>
      </c>
      <c r="D28">
        <v>1</v>
      </c>
      <c r="E28">
        <v>129.99</v>
      </c>
    </row>
    <row r="29" spans="1:5" x14ac:dyDescent="0.3">
      <c r="A29">
        <v>50986</v>
      </c>
      <c r="B29">
        <v>20424</v>
      </c>
      <c r="C29">
        <v>403</v>
      </c>
      <c r="D29">
        <v>1</v>
      </c>
      <c r="E29">
        <v>129.99</v>
      </c>
    </row>
    <row r="30" spans="1:5" x14ac:dyDescent="0.3">
      <c r="A30">
        <v>50987</v>
      </c>
      <c r="B30">
        <v>20424</v>
      </c>
      <c r="C30">
        <v>365</v>
      </c>
      <c r="D30">
        <v>3</v>
      </c>
      <c r="E30">
        <v>179.97</v>
      </c>
    </row>
    <row r="31" spans="1:5" x14ac:dyDescent="0.3">
      <c r="A31">
        <v>50991</v>
      </c>
      <c r="B31">
        <v>20426</v>
      </c>
      <c r="C31">
        <v>135</v>
      </c>
      <c r="D31">
        <v>3</v>
      </c>
      <c r="E31">
        <v>66</v>
      </c>
    </row>
    <row r="32" spans="1:5" x14ac:dyDescent="0.3">
      <c r="A32">
        <v>50989</v>
      </c>
      <c r="B32">
        <v>20426</v>
      </c>
      <c r="C32">
        <v>957</v>
      </c>
      <c r="D32">
        <v>1</v>
      </c>
      <c r="E32">
        <v>299.98</v>
      </c>
    </row>
    <row r="33" spans="1:5" x14ac:dyDescent="0.3">
      <c r="A33">
        <v>50992</v>
      </c>
      <c r="B33">
        <v>20426</v>
      </c>
      <c r="C33">
        <v>627</v>
      </c>
      <c r="D33">
        <v>3</v>
      </c>
      <c r="E33">
        <v>119.97</v>
      </c>
    </row>
    <row r="34" spans="1:5" x14ac:dyDescent="0.3">
      <c r="A34">
        <v>50990</v>
      </c>
      <c r="B34">
        <v>20426</v>
      </c>
      <c r="C34">
        <v>1014</v>
      </c>
      <c r="D34">
        <v>5</v>
      </c>
      <c r="E34">
        <v>249.9</v>
      </c>
    </row>
    <row r="35" spans="1:5" x14ac:dyDescent="0.3">
      <c r="A35">
        <v>50993</v>
      </c>
      <c r="B35">
        <v>20428</v>
      </c>
      <c r="C35">
        <v>1014</v>
      </c>
      <c r="D35">
        <v>2</v>
      </c>
      <c r="E35">
        <v>99.96</v>
      </c>
    </row>
    <row r="36" spans="1:5" x14ac:dyDescent="0.3">
      <c r="A36">
        <v>50995</v>
      </c>
      <c r="B36">
        <v>20429</v>
      </c>
      <c r="C36">
        <v>627</v>
      </c>
      <c r="D36">
        <v>1</v>
      </c>
      <c r="E36">
        <v>39.99</v>
      </c>
    </row>
    <row r="37" spans="1:5" x14ac:dyDescent="0.3">
      <c r="A37">
        <v>50997</v>
      </c>
      <c r="B37">
        <v>20429</v>
      </c>
      <c r="C37">
        <v>365</v>
      </c>
      <c r="D37">
        <v>4</v>
      </c>
      <c r="E37">
        <v>239.96</v>
      </c>
    </row>
    <row r="38" spans="1:5" x14ac:dyDescent="0.3">
      <c r="A38">
        <v>50994</v>
      </c>
      <c r="B38">
        <v>20429</v>
      </c>
      <c r="C38">
        <v>627</v>
      </c>
      <c r="D38">
        <v>4</v>
      </c>
      <c r="E38">
        <v>159.96</v>
      </c>
    </row>
    <row r="39" spans="1:5" x14ac:dyDescent="0.3">
      <c r="A39">
        <v>50998</v>
      </c>
      <c r="B39">
        <v>20429</v>
      </c>
      <c r="C39">
        <v>810</v>
      </c>
      <c r="D39">
        <v>5</v>
      </c>
      <c r="E39">
        <v>99.95</v>
      </c>
    </row>
    <row r="40" spans="1:5" x14ac:dyDescent="0.3">
      <c r="A40">
        <v>50996</v>
      </c>
      <c r="B40">
        <v>20429</v>
      </c>
      <c r="C40">
        <v>1014</v>
      </c>
      <c r="D40">
        <v>1</v>
      </c>
      <c r="E40">
        <v>49.98</v>
      </c>
    </row>
    <row r="41" spans="1:5" x14ac:dyDescent="0.3">
      <c r="A41">
        <v>51046</v>
      </c>
      <c r="B41">
        <v>20453</v>
      </c>
      <c r="C41">
        <v>502</v>
      </c>
      <c r="D41">
        <v>1</v>
      </c>
      <c r="E41">
        <v>50</v>
      </c>
    </row>
    <row r="42" spans="1:5" x14ac:dyDescent="0.3">
      <c r="A42">
        <v>51049</v>
      </c>
      <c r="B42">
        <v>20454</v>
      </c>
      <c r="C42">
        <v>1004</v>
      </c>
      <c r="D42">
        <v>1</v>
      </c>
      <c r="E42">
        <v>399.98</v>
      </c>
    </row>
    <row r="43" spans="1:5" x14ac:dyDescent="0.3">
      <c r="A43">
        <v>51047</v>
      </c>
      <c r="B43">
        <v>20454</v>
      </c>
      <c r="C43">
        <v>191</v>
      </c>
      <c r="D43">
        <v>2</v>
      </c>
      <c r="E43">
        <v>199.98</v>
      </c>
    </row>
    <row r="44" spans="1:5" x14ac:dyDescent="0.3">
      <c r="A44">
        <v>51048</v>
      </c>
      <c r="B44">
        <v>20454</v>
      </c>
      <c r="C44">
        <v>365</v>
      </c>
      <c r="D44">
        <v>3</v>
      </c>
      <c r="E44">
        <v>179.97</v>
      </c>
    </row>
    <row r="45" spans="1:5" x14ac:dyDescent="0.3">
      <c r="A45">
        <v>51050</v>
      </c>
      <c r="B45">
        <v>20454</v>
      </c>
      <c r="C45">
        <v>1073</v>
      </c>
      <c r="D45">
        <v>1</v>
      </c>
      <c r="E45">
        <v>199.99</v>
      </c>
    </row>
    <row r="46" spans="1:5" x14ac:dyDescent="0.3">
      <c r="A46">
        <v>51150</v>
      </c>
      <c r="B46">
        <v>20492</v>
      </c>
      <c r="C46">
        <v>957</v>
      </c>
      <c r="D46">
        <v>1</v>
      </c>
      <c r="E46">
        <v>299.98</v>
      </c>
    </row>
    <row r="47" spans="1:5" x14ac:dyDescent="0.3">
      <c r="A47">
        <v>51152</v>
      </c>
      <c r="B47">
        <v>20492</v>
      </c>
      <c r="C47">
        <v>191</v>
      </c>
      <c r="D47">
        <v>4</v>
      </c>
      <c r="E47">
        <v>399.96</v>
      </c>
    </row>
    <row r="48" spans="1:5" x14ac:dyDescent="0.3">
      <c r="A48">
        <v>51151</v>
      </c>
      <c r="B48">
        <v>20492</v>
      </c>
      <c r="C48">
        <v>1073</v>
      </c>
      <c r="D48">
        <v>1</v>
      </c>
      <c r="E48">
        <v>199.99</v>
      </c>
    </row>
    <row r="49" spans="1:5" x14ac:dyDescent="0.3">
      <c r="A49">
        <v>51174</v>
      </c>
      <c r="B49">
        <v>20500</v>
      </c>
      <c r="C49">
        <v>797</v>
      </c>
      <c r="D49">
        <v>4</v>
      </c>
      <c r="E49">
        <v>71.959999999999994</v>
      </c>
    </row>
    <row r="50" spans="1:5" x14ac:dyDescent="0.3">
      <c r="A50">
        <v>51175</v>
      </c>
      <c r="B50">
        <v>20500</v>
      </c>
      <c r="C50">
        <v>365</v>
      </c>
      <c r="D50">
        <v>5</v>
      </c>
      <c r="E50">
        <v>299.95</v>
      </c>
    </row>
    <row r="51" spans="1:5" x14ac:dyDescent="0.3">
      <c r="A51">
        <v>51176</v>
      </c>
      <c r="B51">
        <v>20500</v>
      </c>
      <c r="C51">
        <v>627</v>
      </c>
      <c r="D51">
        <v>5</v>
      </c>
      <c r="E51">
        <v>199.95</v>
      </c>
    </row>
    <row r="52" spans="1:5" x14ac:dyDescent="0.3">
      <c r="A52">
        <v>51223</v>
      </c>
      <c r="B52">
        <v>20513</v>
      </c>
      <c r="C52">
        <v>134</v>
      </c>
      <c r="D52">
        <v>4</v>
      </c>
      <c r="E52">
        <v>100</v>
      </c>
    </row>
    <row r="53" spans="1:5" x14ac:dyDescent="0.3">
      <c r="A53">
        <v>51220</v>
      </c>
      <c r="B53">
        <v>20513</v>
      </c>
      <c r="C53">
        <v>502</v>
      </c>
      <c r="D53">
        <v>1</v>
      </c>
      <c r="E53">
        <v>50</v>
      </c>
    </row>
    <row r="54" spans="1:5" x14ac:dyDescent="0.3">
      <c r="A54">
        <v>51222</v>
      </c>
      <c r="B54">
        <v>20513</v>
      </c>
      <c r="C54">
        <v>365</v>
      </c>
      <c r="D54">
        <v>4</v>
      </c>
      <c r="E54">
        <v>239.96</v>
      </c>
    </row>
    <row r="55" spans="1:5" x14ac:dyDescent="0.3">
      <c r="A55">
        <v>51221</v>
      </c>
      <c r="B55">
        <v>20513</v>
      </c>
      <c r="C55">
        <v>1073</v>
      </c>
      <c r="D55">
        <v>1</v>
      </c>
      <c r="E55">
        <v>199.99</v>
      </c>
    </row>
    <row r="56" spans="1:5" x14ac:dyDescent="0.3">
      <c r="A56">
        <v>51224</v>
      </c>
      <c r="B56">
        <v>20514</v>
      </c>
      <c r="C56">
        <v>403</v>
      </c>
      <c r="D56">
        <v>1</v>
      </c>
      <c r="E56">
        <v>129.99</v>
      </c>
    </row>
    <row r="57" spans="1:5" x14ac:dyDescent="0.3">
      <c r="A57">
        <v>51272</v>
      </c>
      <c r="B57">
        <v>20530</v>
      </c>
      <c r="C57">
        <v>235</v>
      </c>
      <c r="D57">
        <v>1</v>
      </c>
      <c r="E57">
        <v>34.99</v>
      </c>
    </row>
    <row r="58" spans="1:5" x14ac:dyDescent="0.3">
      <c r="A58">
        <v>51268</v>
      </c>
      <c r="B58">
        <v>20530</v>
      </c>
      <c r="C58">
        <v>403</v>
      </c>
      <c r="D58">
        <v>1</v>
      </c>
      <c r="E58">
        <v>129.99</v>
      </c>
    </row>
    <row r="59" spans="1:5" x14ac:dyDescent="0.3">
      <c r="A59">
        <v>51271</v>
      </c>
      <c r="B59">
        <v>20530</v>
      </c>
      <c r="C59">
        <v>957</v>
      </c>
      <c r="D59">
        <v>1</v>
      </c>
      <c r="E59">
        <v>299.98</v>
      </c>
    </row>
    <row r="60" spans="1:5" x14ac:dyDescent="0.3">
      <c r="A60">
        <v>51269</v>
      </c>
      <c r="B60">
        <v>20530</v>
      </c>
      <c r="C60">
        <v>1073</v>
      </c>
      <c r="D60">
        <v>1</v>
      </c>
      <c r="E60">
        <v>199.99</v>
      </c>
    </row>
    <row r="61" spans="1:5" x14ac:dyDescent="0.3">
      <c r="A61">
        <v>51270</v>
      </c>
      <c r="B61">
        <v>20530</v>
      </c>
      <c r="C61">
        <v>502</v>
      </c>
      <c r="D61">
        <v>4</v>
      </c>
      <c r="E61">
        <v>200</v>
      </c>
    </row>
    <row r="62" spans="1:5" x14ac:dyDescent="0.3">
      <c r="A62">
        <v>51325</v>
      </c>
      <c r="B62">
        <v>20548</v>
      </c>
      <c r="C62">
        <v>1073</v>
      </c>
      <c r="D62">
        <v>1</v>
      </c>
      <c r="E62">
        <v>199.99</v>
      </c>
    </row>
    <row r="63" spans="1:5" x14ac:dyDescent="0.3">
      <c r="A63">
        <v>51327</v>
      </c>
      <c r="B63">
        <v>20548</v>
      </c>
      <c r="C63">
        <v>403</v>
      </c>
      <c r="D63">
        <v>1</v>
      </c>
      <c r="E63">
        <v>129.99</v>
      </c>
    </row>
    <row r="64" spans="1:5" x14ac:dyDescent="0.3">
      <c r="A64">
        <v>51329</v>
      </c>
      <c r="B64">
        <v>20548</v>
      </c>
      <c r="C64">
        <v>191</v>
      </c>
      <c r="D64">
        <v>5</v>
      </c>
      <c r="E64">
        <v>499.95</v>
      </c>
    </row>
    <row r="65" spans="1:5" x14ac:dyDescent="0.3">
      <c r="A65">
        <v>51328</v>
      </c>
      <c r="B65">
        <v>20548</v>
      </c>
      <c r="C65">
        <v>1014</v>
      </c>
      <c r="D65">
        <v>4</v>
      </c>
      <c r="E65">
        <v>199.92</v>
      </c>
    </row>
    <row r="66" spans="1:5" x14ac:dyDescent="0.3">
      <c r="A66">
        <v>51326</v>
      </c>
      <c r="B66">
        <v>20548</v>
      </c>
      <c r="C66">
        <v>1014</v>
      </c>
      <c r="D66">
        <v>2</v>
      </c>
      <c r="E66">
        <v>99.96</v>
      </c>
    </row>
    <row r="67" spans="1:5" x14ac:dyDescent="0.3">
      <c r="A67">
        <v>51333</v>
      </c>
      <c r="B67">
        <v>20549</v>
      </c>
      <c r="C67">
        <v>1014</v>
      </c>
      <c r="D67">
        <v>4</v>
      </c>
      <c r="E67">
        <v>199.92</v>
      </c>
    </row>
    <row r="68" spans="1:5" x14ac:dyDescent="0.3">
      <c r="A68">
        <v>51332</v>
      </c>
      <c r="B68">
        <v>20549</v>
      </c>
      <c r="C68">
        <v>1014</v>
      </c>
      <c r="D68">
        <v>2</v>
      </c>
      <c r="E68">
        <v>99.96</v>
      </c>
    </row>
    <row r="69" spans="1:5" x14ac:dyDescent="0.3">
      <c r="A69">
        <v>51330</v>
      </c>
      <c r="B69">
        <v>20549</v>
      </c>
      <c r="C69">
        <v>822</v>
      </c>
      <c r="D69">
        <v>3</v>
      </c>
      <c r="E69">
        <v>143.97</v>
      </c>
    </row>
    <row r="70" spans="1:5" x14ac:dyDescent="0.3">
      <c r="A70">
        <v>51331</v>
      </c>
      <c r="B70">
        <v>20549</v>
      </c>
      <c r="C70">
        <v>282</v>
      </c>
      <c r="D70">
        <v>4</v>
      </c>
      <c r="E70">
        <v>127.96</v>
      </c>
    </row>
    <row r="71" spans="1:5" x14ac:dyDescent="0.3">
      <c r="A71">
        <v>51385</v>
      </c>
      <c r="B71">
        <v>20567</v>
      </c>
      <c r="C71">
        <v>1004</v>
      </c>
      <c r="D71">
        <v>1</v>
      </c>
      <c r="E71">
        <v>399.98</v>
      </c>
    </row>
    <row r="72" spans="1:5" x14ac:dyDescent="0.3">
      <c r="A72">
        <v>51386</v>
      </c>
      <c r="B72">
        <v>20567</v>
      </c>
      <c r="C72">
        <v>957</v>
      </c>
      <c r="D72">
        <v>1</v>
      </c>
      <c r="E72">
        <v>299.98</v>
      </c>
    </row>
    <row r="73" spans="1:5" x14ac:dyDescent="0.3">
      <c r="A73">
        <v>51387</v>
      </c>
      <c r="B73">
        <v>20567</v>
      </c>
      <c r="C73">
        <v>502</v>
      </c>
      <c r="D73">
        <v>3</v>
      </c>
      <c r="E73">
        <v>150</v>
      </c>
    </row>
    <row r="74" spans="1:5" x14ac:dyDescent="0.3">
      <c r="A74">
        <v>51388</v>
      </c>
      <c r="B74">
        <v>20568</v>
      </c>
      <c r="C74">
        <v>1004</v>
      </c>
      <c r="D74">
        <v>1</v>
      </c>
      <c r="E74">
        <v>399.98</v>
      </c>
    </row>
    <row r="75" spans="1:5" x14ac:dyDescent="0.3">
      <c r="A75">
        <v>51426</v>
      </c>
      <c r="B75">
        <v>20581</v>
      </c>
      <c r="C75">
        <v>249</v>
      </c>
      <c r="D75">
        <v>1</v>
      </c>
      <c r="E75">
        <v>54.97</v>
      </c>
    </row>
    <row r="76" spans="1:5" x14ac:dyDescent="0.3">
      <c r="A76">
        <v>51428</v>
      </c>
      <c r="B76">
        <v>20581</v>
      </c>
      <c r="C76">
        <v>403</v>
      </c>
      <c r="D76">
        <v>1</v>
      </c>
      <c r="E76">
        <v>129.99</v>
      </c>
    </row>
    <row r="77" spans="1:5" x14ac:dyDescent="0.3">
      <c r="A77">
        <v>51427</v>
      </c>
      <c r="B77">
        <v>20581</v>
      </c>
      <c r="C77">
        <v>1004</v>
      </c>
      <c r="D77">
        <v>1</v>
      </c>
      <c r="E77">
        <v>399.98</v>
      </c>
    </row>
    <row r="78" spans="1:5" x14ac:dyDescent="0.3">
      <c r="A78">
        <v>51425</v>
      </c>
      <c r="B78">
        <v>20581</v>
      </c>
      <c r="C78">
        <v>502</v>
      </c>
      <c r="D78">
        <v>5</v>
      </c>
      <c r="E78">
        <v>250</v>
      </c>
    </row>
    <row r="79" spans="1:5" x14ac:dyDescent="0.3">
      <c r="A79">
        <v>51429</v>
      </c>
      <c r="B79">
        <v>20583</v>
      </c>
      <c r="C79">
        <v>1004</v>
      </c>
      <c r="D79">
        <v>1</v>
      </c>
      <c r="E79">
        <v>399.98</v>
      </c>
    </row>
    <row r="80" spans="1:5" x14ac:dyDescent="0.3">
      <c r="A80">
        <v>51430</v>
      </c>
      <c r="B80">
        <v>20585</v>
      </c>
      <c r="C80">
        <v>403</v>
      </c>
      <c r="D80">
        <v>1</v>
      </c>
      <c r="E80">
        <v>129.99</v>
      </c>
    </row>
    <row r="81" spans="1:5" x14ac:dyDescent="0.3">
      <c r="A81">
        <v>51431</v>
      </c>
      <c r="B81">
        <v>20585</v>
      </c>
      <c r="C81">
        <v>957</v>
      </c>
      <c r="D81">
        <v>1</v>
      </c>
      <c r="E81">
        <v>299.98</v>
      </c>
    </row>
    <row r="82" spans="1:5" x14ac:dyDescent="0.3">
      <c r="A82">
        <v>51432</v>
      </c>
      <c r="B82">
        <v>20585</v>
      </c>
      <c r="C82">
        <v>502</v>
      </c>
      <c r="D82">
        <v>2</v>
      </c>
      <c r="E82">
        <v>100</v>
      </c>
    </row>
    <row r="83" spans="1:5" x14ac:dyDescent="0.3">
      <c r="A83">
        <v>51483</v>
      </c>
      <c r="B83">
        <v>20605</v>
      </c>
      <c r="C83">
        <v>502</v>
      </c>
      <c r="D83">
        <v>2</v>
      </c>
      <c r="E83">
        <v>100</v>
      </c>
    </row>
    <row r="84" spans="1:5" x14ac:dyDescent="0.3">
      <c r="A84">
        <v>51531</v>
      </c>
      <c r="B84">
        <v>20624</v>
      </c>
      <c r="C84">
        <v>1014</v>
      </c>
      <c r="D84">
        <v>3</v>
      </c>
      <c r="E84">
        <v>149.94</v>
      </c>
    </row>
    <row r="85" spans="1:5" x14ac:dyDescent="0.3">
      <c r="A85">
        <v>51533</v>
      </c>
      <c r="B85">
        <v>20624</v>
      </c>
      <c r="C85">
        <v>403</v>
      </c>
      <c r="D85">
        <v>1</v>
      </c>
      <c r="E85">
        <v>129.99</v>
      </c>
    </row>
    <row r="86" spans="1:5" x14ac:dyDescent="0.3">
      <c r="A86">
        <v>51532</v>
      </c>
      <c r="B86">
        <v>20624</v>
      </c>
      <c r="C86">
        <v>403</v>
      </c>
      <c r="D86">
        <v>1</v>
      </c>
      <c r="E86">
        <v>129.99</v>
      </c>
    </row>
    <row r="87" spans="1:5" x14ac:dyDescent="0.3">
      <c r="A87">
        <v>51529</v>
      </c>
      <c r="B87">
        <v>20624</v>
      </c>
      <c r="C87">
        <v>365</v>
      </c>
      <c r="D87">
        <v>2</v>
      </c>
      <c r="E87">
        <v>119.98</v>
      </c>
    </row>
    <row r="88" spans="1:5" x14ac:dyDescent="0.3">
      <c r="A88">
        <v>51530</v>
      </c>
      <c r="B88">
        <v>20624</v>
      </c>
      <c r="C88">
        <v>627</v>
      </c>
      <c r="D88">
        <v>5</v>
      </c>
      <c r="E88">
        <v>199.95</v>
      </c>
    </row>
    <row r="89" spans="1:5" x14ac:dyDescent="0.3">
      <c r="A89">
        <v>51534</v>
      </c>
      <c r="B89">
        <v>20625</v>
      </c>
      <c r="C89">
        <v>365</v>
      </c>
      <c r="D89">
        <v>4</v>
      </c>
      <c r="E89">
        <v>239.96</v>
      </c>
    </row>
    <row r="90" spans="1:5" x14ac:dyDescent="0.3">
      <c r="A90">
        <v>51544</v>
      </c>
      <c r="B90">
        <v>20631</v>
      </c>
      <c r="C90">
        <v>403</v>
      </c>
      <c r="D90">
        <v>1</v>
      </c>
      <c r="E90">
        <v>129.99</v>
      </c>
    </row>
    <row r="91" spans="1:5" x14ac:dyDescent="0.3">
      <c r="A91">
        <v>51543</v>
      </c>
      <c r="B91">
        <v>20631</v>
      </c>
      <c r="C91">
        <v>365</v>
      </c>
      <c r="D91">
        <v>1</v>
      </c>
      <c r="E91">
        <v>59.99</v>
      </c>
    </row>
    <row r="92" spans="1:5" x14ac:dyDescent="0.3">
      <c r="A92">
        <v>51547</v>
      </c>
      <c r="B92">
        <v>20631</v>
      </c>
      <c r="C92">
        <v>502</v>
      </c>
      <c r="D92">
        <v>2</v>
      </c>
      <c r="E92">
        <v>100</v>
      </c>
    </row>
    <row r="93" spans="1:5" x14ac:dyDescent="0.3">
      <c r="A93">
        <v>51545</v>
      </c>
      <c r="B93">
        <v>20631</v>
      </c>
      <c r="C93">
        <v>897</v>
      </c>
      <c r="D93">
        <v>4</v>
      </c>
      <c r="E93">
        <v>99.96</v>
      </c>
    </row>
    <row r="94" spans="1:5" x14ac:dyDescent="0.3">
      <c r="A94">
        <v>51546</v>
      </c>
      <c r="B94">
        <v>20631</v>
      </c>
      <c r="C94">
        <v>792</v>
      </c>
      <c r="D94">
        <v>3</v>
      </c>
      <c r="E94">
        <v>44.97</v>
      </c>
    </row>
    <row r="95" spans="1:5" x14ac:dyDescent="0.3">
      <c r="A95">
        <v>51669</v>
      </c>
      <c r="B95">
        <v>20678</v>
      </c>
      <c r="C95">
        <v>403</v>
      </c>
      <c r="D95">
        <v>1</v>
      </c>
      <c r="E95">
        <v>129.99</v>
      </c>
    </row>
    <row r="96" spans="1:5" x14ac:dyDescent="0.3">
      <c r="A96">
        <v>51670</v>
      </c>
      <c r="B96">
        <v>20678</v>
      </c>
      <c r="C96">
        <v>1004</v>
      </c>
      <c r="D96">
        <v>1</v>
      </c>
      <c r="E96">
        <v>399.98</v>
      </c>
    </row>
    <row r="97" spans="1:5" x14ac:dyDescent="0.3">
      <c r="A97">
        <v>51668</v>
      </c>
      <c r="B97">
        <v>20678</v>
      </c>
      <c r="C97">
        <v>627</v>
      </c>
      <c r="D97">
        <v>2</v>
      </c>
      <c r="E97">
        <v>79.98</v>
      </c>
    </row>
    <row r="98" spans="1:5" x14ac:dyDescent="0.3">
      <c r="A98">
        <v>51667</v>
      </c>
      <c r="B98">
        <v>20678</v>
      </c>
      <c r="C98">
        <v>1014</v>
      </c>
      <c r="D98">
        <v>4</v>
      </c>
      <c r="E98">
        <v>199.92</v>
      </c>
    </row>
    <row r="99" spans="1:5" x14ac:dyDescent="0.3">
      <c r="A99">
        <v>51696</v>
      </c>
      <c r="B99">
        <v>20691</v>
      </c>
      <c r="C99">
        <v>365</v>
      </c>
      <c r="D99">
        <v>1</v>
      </c>
      <c r="E99">
        <v>59.99</v>
      </c>
    </row>
    <row r="100" spans="1:5" x14ac:dyDescent="0.3">
      <c r="A100">
        <v>51698</v>
      </c>
      <c r="B100">
        <v>20691</v>
      </c>
      <c r="C100">
        <v>502</v>
      </c>
      <c r="D100">
        <v>2</v>
      </c>
      <c r="E100">
        <v>100</v>
      </c>
    </row>
    <row r="101" spans="1:5" x14ac:dyDescent="0.3">
      <c r="A101">
        <v>51697</v>
      </c>
      <c r="B101">
        <v>20691</v>
      </c>
      <c r="C101">
        <v>365</v>
      </c>
      <c r="D101">
        <v>4</v>
      </c>
      <c r="E101">
        <v>239.96</v>
      </c>
    </row>
    <row r="102" spans="1:5" x14ac:dyDescent="0.3">
      <c r="A102">
        <v>51731</v>
      </c>
      <c r="B102">
        <v>20703</v>
      </c>
      <c r="C102">
        <v>365</v>
      </c>
      <c r="D102">
        <v>1</v>
      </c>
      <c r="E102">
        <v>59.99</v>
      </c>
    </row>
    <row r="103" spans="1:5" x14ac:dyDescent="0.3">
      <c r="A103">
        <v>51730</v>
      </c>
      <c r="B103">
        <v>20703</v>
      </c>
      <c r="C103">
        <v>957</v>
      </c>
      <c r="D103">
        <v>1</v>
      </c>
      <c r="E103">
        <v>299.98</v>
      </c>
    </row>
    <row r="104" spans="1:5" x14ac:dyDescent="0.3">
      <c r="A104">
        <v>51728</v>
      </c>
      <c r="B104">
        <v>20703</v>
      </c>
      <c r="C104">
        <v>567</v>
      </c>
      <c r="D104">
        <v>3</v>
      </c>
      <c r="E104">
        <v>75</v>
      </c>
    </row>
    <row r="105" spans="1:5" x14ac:dyDescent="0.3">
      <c r="A105">
        <v>51729</v>
      </c>
      <c r="B105">
        <v>20703</v>
      </c>
      <c r="C105">
        <v>235</v>
      </c>
      <c r="D105">
        <v>4</v>
      </c>
      <c r="E105">
        <v>139.96</v>
      </c>
    </row>
    <row r="106" spans="1:5" x14ac:dyDescent="0.3">
      <c r="A106">
        <v>51734</v>
      </c>
      <c r="B106">
        <v>20704</v>
      </c>
      <c r="C106">
        <v>502</v>
      </c>
      <c r="D106">
        <v>5</v>
      </c>
      <c r="E106">
        <v>250</v>
      </c>
    </row>
    <row r="107" spans="1:5" x14ac:dyDescent="0.3">
      <c r="A107">
        <v>51733</v>
      </c>
      <c r="B107">
        <v>20704</v>
      </c>
      <c r="C107">
        <v>502</v>
      </c>
      <c r="D107">
        <v>5</v>
      </c>
      <c r="E107">
        <v>250</v>
      </c>
    </row>
    <row r="108" spans="1:5" x14ac:dyDescent="0.3">
      <c r="A108">
        <v>51735</v>
      </c>
      <c r="B108">
        <v>20704</v>
      </c>
      <c r="C108">
        <v>502</v>
      </c>
      <c r="D108">
        <v>1</v>
      </c>
      <c r="E108">
        <v>50</v>
      </c>
    </row>
    <row r="109" spans="1:5" x14ac:dyDescent="0.3">
      <c r="A109">
        <v>51732</v>
      </c>
      <c r="B109">
        <v>20704</v>
      </c>
      <c r="C109">
        <v>957</v>
      </c>
      <c r="D109">
        <v>1</v>
      </c>
      <c r="E109">
        <v>299.98</v>
      </c>
    </row>
    <row r="110" spans="1:5" x14ac:dyDescent="0.3">
      <c r="A110">
        <v>51776</v>
      </c>
      <c r="B110">
        <v>20721</v>
      </c>
      <c r="C110">
        <v>191</v>
      </c>
      <c r="D110">
        <v>5</v>
      </c>
      <c r="E110">
        <v>499.95</v>
      </c>
    </row>
    <row r="111" spans="1:5" x14ac:dyDescent="0.3">
      <c r="A111">
        <v>51777</v>
      </c>
      <c r="B111">
        <v>20721</v>
      </c>
      <c r="C111">
        <v>1014</v>
      </c>
      <c r="D111">
        <v>1</v>
      </c>
      <c r="E111">
        <v>49.98</v>
      </c>
    </row>
    <row r="112" spans="1:5" x14ac:dyDescent="0.3">
      <c r="A112">
        <v>51794</v>
      </c>
      <c r="B112">
        <v>20727</v>
      </c>
      <c r="C112">
        <v>403</v>
      </c>
      <c r="D112">
        <v>1</v>
      </c>
      <c r="E112">
        <v>129.99</v>
      </c>
    </row>
    <row r="113" spans="1:5" x14ac:dyDescent="0.3">
      <c r="A113">
        <v>51793</v>
      </c>
      <c r="B113">
        <v>20727</v>
      </c>
      <c r="C113">
        <v>957</v>
      </c>
      <c r="D113">
        <v>1</v>
      </c>
      <c r="E113">
        <v>299.98</v>
      </c>
    </row>
    <row r="114" spans="1:5" x14ac:dyDescent="0.3">
      <c r="A114">
        <v>51795</v>
      </c>
      <c r="B114">
        <v>20727</v>
      </c>
      <c r="C114">
        <v>1004</v>
      </c>
      <c r="D114">
        <v>1</v>
      </c>
      <c r="E114">
        <v>399.98</v>
      </c>
    </row>
    <row r="115" spans="1:5" x14ac:dyDescent="0.3">
      <c r="A115">
        <v>51796</v>
      </c>
      <c r="B115">
        <v>20727</v>
      </c>
      <c r="C115">
        <v>893</v>
      </c>
      <c r="D115">
        <v>2</v>
      </c>
      <c r="E115">
        <v>49.98</v>
      </c>
    </row>
    <row r="116" spans="1:5" x14ac:dyDescent="0.3">
      <c r="A116">
        <v>51792</v>
      </c>
      <c r="B116">
        <v>20727</v>
      </c>
      <c r="C116">
        <v>502</v>
      </c>
      <c r="D116">
        <v>3</v>
      </c>
      <c r="E116">
        <v>150</v>
      </c>
    </row>
    <row r="117" spans="1:5" x14ac:dyDescent="0.3">
      <c r="A117">
        <v>51804</v>
      </c>
      <c r="B117">
        <v>20730</v>
      </c>
      <c r="C117">
        <v>403</v>
      </c>
      <c r="D117">
        <v>1</v>
      </c>
      <c r="E117">
        <v>129.99</v>
      </c>
    </row>
    <row r="118" spans="1:5" x14ac:dyDescent="0.3">
      <c r="A118">
        <v>51802</v>
      </c>
      <c r="B118">
        <v>20730</v>
      </c>
      <c r="C118">
        <v>403</v>
      </c>
      <c r="D118">
        <v>1</v>
      </c>
      <c r="E118">
        <v>129.99</v>
      </c>
    </row>
    <row r="119" spans="1:5" x14ac:dyDescent="0.3">
      <c r="A119">
        <v>51803</v>
      </c>
      <c r="B119">
        <v>20730</v>
      </c>
      <c r="C119">
        <v>365</v>
      </c>
      <c r="D119">
        <v>4</v>
      </c>
      <c r="E119">
        <v>239.96</v>
      </c>
    </row>
    <row r="120" spans="1:5" x14ac:dyDescent="0.3">
      <c r="A120">
        <v>51840</v>
      </c>
      <c r="B120">
        <v>20745</v>
      </c>
      <c r="C120">
        <v>403</v>
      </c>
      <c r="D120">
        <v>1</v>
      </c>
      <c r="E120">
        <v>129.99</v>
      </c>
    </row>
    <row r="121" spans="1:5" x14ac:dyDescent="0.3">
      <c r="A121">
        <v>51839</v>
      </c>
      <c r="B121">
        <v>20745</v>
      </c>
      <c r="C121">
        <v>403</v>
      </c>
      <c r="D121">
        <v>1</v>
      </c>
      <c r="E121">
        <v>129.99</v>
      </c>
    </row>
    <row r="122" spans="1:5" x14ac:dyDescent="0.3">
      <c r="A122">
        <v>51838</v>
      </c>
      <c r="B122">
        <v>20745</v>
      </c>
      <c r="C122">
        <v>627</v>
      </c>
      <c r="D122">
        <v>3</v>
      </c>
      <c r="E122">
        <v>119.97</v>
      </c>
    </row>
    <row r="123" spans="1:5" x14ac:dyDescent="0.3">
      <c r="A123">
        <v>51841</v>
      </c>
      <c r="B123">
        <v>20745</v>
      </c>
      <c r="C123">
        <v>502</v>
      </c>
      <c r="D123">
        <v>4</v>
      </c>
      <c r="E123">
        <v>200</v>
      </c>
    </row>
    <row r="124" spans="1:5" x14ac:dyDescent="0.3">
      <c r="A124">
        <v>51855</v>
      </c>
      <c r="B124">
        <v>20752</v>
      </c>
      <c r="C124">
        <v>1014</v>
      </c>
      <c r="D124">
        <v>5</v>
      </c>
      <c r="E124">
        <v>249.9</v>
      </c>
    </row>
    <row r="125" spans="1:5" x14ac:dyDescent="0.3">
      <c r="A125">
        <v>51854</v>
      </c>
      <c r="B125">
        <v>20752</v>
      </c>
      <c r="C125">
        <v>1014</v>
      </c>
      <c r="D125">
        <v>1</v>
      </c>
      <c r="E125">
        <v>49.98</v>
      </c>
    </row>
    <row r="126" spans="1:5" x14ac:dyDescent="0.3">
      <c r="A126">
        <v>51858</v>
      </c>
      <c r="B126">
        <v>20753</v>
      </c>
      <c r="C126">
        <v>365</v>
      </c>
      <c r="D126">
        <v>1</v>
      </c>
      <c r="E126">
        <v>59.99</v>
      </c>
    </row>
    <row r="127" spans="1:5" x14ac:dyDescent="0.3">
      <c r="A127">
        <v>51857</v>
      </c>
      <c r="B127">
        <v>20753</v>
      </c>
      <c r="C127">
        <v>1014</v>
      </c>
      <c r="D127">
        <v>3</v>
      </c>
      <c r="E127">
        <v>149.94</v>
      </c>
    </row>
    <row r="128" spans="1:5" x14ac:dyDescent="0.3">
      <c r="A128">
        <v>51856</v>
      </c>
      <c r="B128">
        <v>20753</v>
      </c>
      <c r="C128">
        <v>1014</v>
      </c>
      <c r="D128">
        <v>5</v>
      </c>
      <c r="E128">
        <v>249.9</v>
      </c>
    </row>
    <row r="129" spans="1:5" x14ac:dyDescent="0.3">
      <c r="A129">
        <v>51877</v>
      </c>
      <c r="B129">
        <v>20758</v>
      </c>
      <c r="C129">
        <v>44</v>
      </c>
      <c r="D129">
        <v>4</v>
      </c>
      <c r="E129">
        <v>239.96</v>
      </c>
    </row>
    <row r="130" spans="1:5" x14ac:dyDescent="0.3">
      <c r="A130">
        <v>51880</v>
      </c>
      <c r="B130">
        <v>20758</v>
      </c>
      <c r="C130">
        <v>191</v>
      </c>
      <c r="D130">
        <v>4</v>
      </c>
      <c r="E130">
        <v>399.96</v>
      </c>
    </row>
    <row r="131" spans="1:5" x14ac:dyDescent="0.3">
      <c r="A131">
        <v>51878</v>
      </c>
      <c r="B131">
        <v>20758</v>
      </c>
      <c r="C131">
        <v>957</v>
      </c>
      <c r="D131">
        <v>1</v>
      </c>
      <c r="E131">
        <v>299.98</v>
      </c>
    </row>
    <row r="132" spans="1:5" x14ac:dyDescent="0.3">
      <c r="A132">
        <v>51876</v>
      </c>
      <c r="B132">
        <v>20758</v>
      </c>
      <c r="C132">
        <v>1073</v>
      </c>
      <c r="D132">
        <v>1</v>
      </c>
      <c r="E132">
        <v>199.99</v>
      </c>
    </row>
    <row r="133" spans="1:5" x14ac:dyDescent="0.3">
      <c r="A133">
        <v>51879</v>
      </c>
      <c r="B133">
        <v>20758</v>
      </c>
      <c r="C133">
        <v>1014</v>
      </c>
      <c r="D133">
        <v>3</v>
      </c>
      <c r="E133">
        <v>149.94</v>
      </c>
    </row>
    <row r="134" spans="1:5" x14ac:dyDescent="0.3">
      <c r="A134">
        <v>51926</v>
      </c>
      <c r="B134">
        <v>20780</v>
      </c>
      <c r="C134">
        <v>1004</v>
      </c>
      <c r="D134">
        <v>1</v>
      </c>
      <c r="E134">
        <v>399.98</v>
      </c>
    </row>
    <row r="135" spans="1:5" x14ac:dyDescent="0.3">
      <c r="A135">
        <v>51927</v>
      </c>
      <c r="B135">
        <v>20780</v>
      </c>
      <c r="C135">
        <v>627</v>
      </c>
      <c r="D135">
        <v>2</v>
      </c>
      <c r="E135">
        <v>79.98</v>
      </c>
    </row>
    <row r="136" spans="1:5" x14ac:dyDescent="0.3">
      <c r="A136">
        <v>51929</v>
      </c>
      <c r="B136">
        <v>20781</v>
      </c>
      <c r="C136">
        <v>778</v>
      </c>
      <c r="D136">
        <v>3</v>
      </c>
      <c r="E136">
        <v>74.97</v>
      </c>
    </row>
    <row r="137" spans="1:5" x14ac:dyDescent="0.3">
      <c r="A137">
        <v>51931</v>
      </c>
      <c r="B137">
        <v>20781</v>
      </c>
      <c r="C137">
        <v>403</v>
      </c>
      <c r="D137">
        <v>1</v>
      </c>
      <c r="E137">
        <v>129.99</v>
      </c>
    </row>
    <row r="138" spans="1:5" x14ac:dyDescent="0.3">
      <c r="A138">
        <v>51930</v>
      </c>
      <c r="B138">
        <v>20781</v>
      </c>
      <c r="C138">
        <v>1004</v>
      </c>
      <c r="D138">
        <v>1</v>
      </c>
      <c r="E138">
        <v>399.98</v>
      </c>
    </row>
    <row r="139" spans="1:5" x14ac:dyDescent="0.3">
      <c r="A139">
        <v>51928</v>
      </c>
      <c r="B139">
        <v>20781</v>
      </c>
      <c r="C139">
        <v>116</v>
      </c>
      <c r="D139">
        <v>5</v>
      </c>
      <c r="E139">
        <v>224.95</v>
      </c>
    </row>
    <row r="140" spans="1:5" x14ac:dyDescent="0.3">
      <c r="A140">
        <v>51932</v>
      </c>
      <c r="B140">
        <v>20781</v>
      </c>
      <c r="C140">
        <v>565</v>
      </c>
      <c r="D140">
        <v>5</v>
      </c>
      <c r="E140">
        <v>350</v>
      </c>
    </row>
    <row r="141" spans="1:5" x14ac:dyDescent="0.3">
      <c r="A141">
        <v>51984</v>
      </c>
      <c r="B141">
        <v>20799</v>
      </c>
      <c r="C141">
        <v>365</v>
      </c>
      <c r="D141">
        <v>1</v>
      </c>
      <c r="E141">
        <v>59.99</v>
      </c>
    </row>
    <row r="142" spans="1:5" x14ac:dyDescent="0.3">
      <c r="A142">
        <v>51986</v>
      </c>
      <c r="B142">
        <v>20799</v>
      </c>
      <c r="C142">
        <v>365</v>
      </c>
      <c r="D142">
        <v>4</v>
      </c>
      <c r="E142">
        <v>239.96</v>
      </c>
    </row>
    <row r="143" spans="1:5" x14ac:dyDescent="0.3">
      <c r="A143">
        <v>51985</v>
      </c>
      <c r="B143">
        <v>20799</v>
      </c>
      <c r="C143">
        <v>823</v>
      </c>
      <c r="D143">
        <v>5</v>
      </c>
      <c r="E143">
        <v>259.95</v>
      </c>
    </row>
    <row r="144" spans="1:5" x14ac:dyDescent="0.3">
      <c r="A144">
        <v>52045</v>
      </c>
      <c r="B144">
        <v>20827</v>
      </c>
      <c r="C144">
        <v>365</v>
      </c>
      <c r="D144">
        <v>1</v>
      </c>
      <c r="E144">
        <v>59.99</v>
      </c>
    </row>
    <row r="145" spans="1:5" x14ac:dyDescent="0.3">
      <c r="A145">
        <v>52048</v>
      </c>
      <c r="B145">
        <v>20827</v>
      </c>
      <c r="C145">
        <v>365</v>
      </c>
      <c r="D145">
        <v>2</v>
      </c>
      <c r="E145">
        <v>119.98</v>
      </c>
    </row>
    <row r="146" spans="1:5" x14ac:dyDescent="0.3">
      <c r="A146">
        <v>52046</v>
      </c>
      <c r="B146">
        <v>20827</v>
      </c>
      <c r="C146">
        <v>365</v>
      </c>
      <c r="D146">
        <v>3</v>
      </c>
      <c r="E146">
        <v>179.97</v>
      </c>
    </row>
    <row r="147" spans="1:5" x14ac:dyDescent="0.3">
      <c r="A147">
        <v>52047</v>
      </c>
      <c r="B147">
        <v>20827</v>
      </c>
      <c r="C147">
        <v>1014</v>
      </c>
      <c r="D147">
        <v>4</v>
      </c>
      <c r="E147">
        <v>199.92</v>
      </c>
    </row>
    <row r="148" spans="1:5" x14ac:dyDescent="0.3">
      <c r="A148">
        <v>52050</v>
      </c>
      <c r="B148">
        <v>20828</v>
      </c>
      <c r="C148">
        <v>37</v>
      </c>
      <c r="D148">
        <v>5</v>
      </c>
      <c r="E148">
        <v>174.95</v>
      </c>
    </row>
    <row r="149" spans="1:5" x14ac:dyDescent="0.3">
      <c r="A149">
        <v>52049</v>
      </c>
      <c r="B149">
        <v>20828</v>
      </c>
      <c r="C149">
        <v>191</v>
      </c>
      <c r="D149">
        <v>5</v>
      </c>
      <c r="E149">
        <v>499.95</v>
      </c>
    </row>
    <row r="150" spans="1:5" x14ac:dyDescent="0.3">
      <c r="A150">
        <v>52051</v>
      </c>
      <c r="B150">
        <v>20828</v>
      </c>
      <c r="C150">
        <v>627</v>
      </c>
      <c r="D150">
        <v>5</v>
      </c>
      <c r="E150">
        <v>199.95</v>
      </c>
    </row>
    <row r="151" spans="1:5" x14ac:dyDescent="0.3">
      <c r="A151">
        <v>52053</v>
      </c>
      <c r="B151">
        <v>20829</v>
      </c>
      <c r="C151">
        <v>1004</v>
      </c>
      <c r="D151">
        <v>1</v>
      </c>
      <c r="E151">
        <v>399.98</v>
      </c>
    </row>
    <row r="152" spans="1:5" x14ac:dyDescent="0.3">
      <c r="A152">
        <v>52054</v>
      </c>
      <c r="B152">
        <v>20829</v>
      </c>
      <c r="C152">
        <v>957</v>
      </c>
      <c r="D152">
        <v>1</v>
      </c>
      <c r="E152">
        <v>299.98</v>
      </c>
    </row>
    <row r="153" spans="1:5" x14ac:dyDescent="0.3">
      <c r="A153">
        <v>52056</v>
      </c>
      <c r="B153">
        <v>20829</v>
      </c>
      <c r="C153">
        <v>191</v>
      </c>
      <c r="D153">
        <v>2</v>
      </c>
      <c r="E153">
        <v>199.98</v>
      </c>
    </row>
    <row r="154" spans="1:5" x14ac:dyDescent="0.3">
      <c r="A154">
        <v>52052</v>
      </c>
      <c r="B154">
        <v>20829</v>
      </c>
      <c r="C154">
        <v>502</v>
      </c>
      <c r="D154">
        <v>2</v>
      </c>
      <c r="E154">
        <v>100</v>
      </c>
    </row>
    <row r="155" spans="1:5" x14ac:dyDescent="0.3">
      <c r="A155">
        <v>52055</v>
      </c>
      <c r="B155">
        <v>20829</v>
      </c>
      <c r="C155">
        <v>1073</v>
      </c>
      <c r="D155">
        <v>1</v>
      </c>
      <c r="E155">
        <v>199.99</v>
      </c>
    </row>
    <row r="156" spans="1:5" x14ac:dyDescent="0.3">
      <c r="A156">
        <v>52063</v>
      </c>
      <c r="B156">
        <v>20833</v>
      </c>
      <c r="C156">
        <v>957</v>
      </c>
      <c r="D156">
        <v>1</v>
      </c>
      <c r="E156">
        <v>299.98</v>
      </c>
    </row>
    <row r="157" spans="1:5" x14ac:dyDescent="0.3">
      <c r="A157">
        <v>52062</v>
      </c>
      <c r="B157">
        <v>20833</v>
      </c>
      <c r="C157">
        <v>365</v>
      </c>
      <c r="D157">
        <v>3</v>
      </c>
      <c r="E157">
        <v>179.97</v>
      </c>
    </row>
    <row r="158" spans="1:5" x14ac:dyDescent="0.3">
      <c r="A158">
        <v>52065</v>
      </c>
      <c r="B158">
        <v>20836</v>
      </c>
      <c r="C158">
        <v>365</v>
      </c>
      <c r="D158">
        <v>1</v>
      </c>
      <c r="E158">
        <v>59.99</v>
      </c>
    </row>
    <row r="159" spans="1:5" x14ac:dyDescent="0.3">
      <c r="A159">
        <v>52066</v>
      </c>
      <c r="B159">
        <v>20836</v>
      </c>
      <c r="C159">
        <v>627</v>
      </c>
      <c r="D159">
        <v>4</v>
      </c>
      <c r="E159">
        <v>159.96</v>
      </c>
    </row>
    <row r="160" spans="1:5" x14ac:dyDescent="0.3">
      <c r="A160">
        <v>52064</v>
      </c>
      <c r="B160">
        <v>20836</v>
      </c>
      <c r="C160">
        <v>627</v>
      </c>
      <c r="D160">
        <v>5</v>
      </c>
      <c r="E160">
        <v>199.95</v>
      </c>
    </row>
    <row r="161" spans="1:5" x14ac:dyDescent="0.3">
      <c r="A161">
        <v>52104</v>
      </c>
      <c r="B161">
        <v>20851</v>
      </c>
      <c r="C161">
        <v>403</v>
      </c>
      <c r="D161">
        <v>1</v>
      </c>
      <c r="E161">
        <v>129.99</v>
      </c>
    </row>
    <row r="162" spans="1:5" x14ac:dyDescent="0.3">
      <c r="A162">
        <v>52102</v>
      </c>
      <c r="B162">
        <v>20851</v>
      </c>
      <c r="C162">
        <v>1004</v>
      </c>
      <c r="D162">
        <v>1</v>
      </c>
      <c r="E162">
        <v>399.98</v>
      </c>
    </row>
    <row r="163" spans="1:5" x14ac:dyDescent="0.3">
      <c r="A163">
        <v>52105</v>
      </c>
      <c r="B163">
        <v>20851</v>
      </c>
      <c r="C163">
        <v>957</v>
      </c>
      <c r="D163">
        <v>1</v>
      </c>
      <c r="E163">
        <v>299.98</v>
      </c>
    </row>
    <row r="164" spans="1:5" x14ac:dyDescent="0.3">
      <c r="A164">
        <v>52103</v>
      </c>
      <c r="B164">
        <v>20851</v>
      </c>
      <c r="C164">
        <v>1014</v>
      </c>
      <c r="D164">
        <v>2</v>
      </c>
      <c r="E164">
        <v>99.96</v>
      </c>
    </row>
    <row r="165" spans="1:5" x14ac:dyDescent="0.3">
      <c r="A165">
        <v>52106</v>
      </c>
      <c r="B165">
        <v>20852</v>
      </c>
      <c r="C165">
        <v>1014</v>
      </c>
      <c r="D165">
        <v>4</v>
      </c>
      <c r="E165">
        <v>199.92</v>
      </c>
    </row>
    <row r="166" spans="1:5" x14ac:dyDescent="0.3">
      <c r="A166">
        <v>52107</v>
      </c>
      <c r="B166">
        <v>20852</v>
      </c>
      <c r="C166">
        <v>403</v>
      </c>
      <c r="D166">
        <v>1</v>
      </c>
      <c r="E166">
        <v>129.99</v>
      </c>
    </row>
    <row r="167" spans="1:5" x14ac:dyDescent="0.3">
      <c r="A167">
        <v>52110</v>
      </c>
      <c r="B167">
        <v>20853</v>
      </c>
      <c r="C167">
        <v>403</v>
      </c>
      <c r="D167">
        <v>1</v>
      </c>
      <c r="E167">
        <v>129.99</v>
      </c>
    </row>
    <row r="168" spans="1:5" x14ac:dyDescent="0.3">
      <c r="A168">
        <v>52109</v>
      </c>
      <c r="B168">
        <v>20853</v>
      </c>
      <c r="C168">
        <v>627</v>
      </c>
      <c r="D168">
        <v>1</v>
      </c>
      <c r="E168">
        <v>39.99</v>
      </c>
    </row>
    <row r="169" spans="1:5" x14ac:dyDescent="0.3">
      <c r="A169">
        <v>52111</v>
      </c>
      <c r="B169">
        <v>20853</v>
      </c>
      <c r="C169">
        <v>365</v>
      </c>
      <c r="D169">
        <v>3</v>
      </c>
      <c r="E169">
        <v>179.97</v>
      </c>
    </row>
    <row r="170" spans="1:5" x14ac:dyDescent="0.3">
      <c r="A170">
        <v>52108</v>
      </c>
      <c r="B170">
        <v>20853</v>
      </c>
      <c r="C170">
        <v>365</v>
      </c>
      <c r="D170">
        <v>4</v>
      </c>
      <c r="E170">
        <v>239.96</v>
      </c>
    </row>
    <row r="171" spans="1:5" x14ac:dyDescent="0.3">
      <c r="A171">
        <v>52112</v>
      </c>
      <c r="B171">
        <v>20853</v>
      </c>
      <c r="C171">
        <v>502</v>
      </c>
      <c r="D171">
        <v>4</v>
      </c>
      <c r="E171">
        <v>200</v>
      </c>
    </row>
    <row r="172" spans="1:5" x14ac:dyDescent="0.3">
      <c r="A172">
        <v>52113</v>
      </c>
      <c r="B172">
        <v>20854</v>
      </c>
      <c r="C172">
        <v>403</v>
      </c>
      <c r="D172">
        <v>1</v>
      </c>
      <c r="E172">
        <v>129.99</v>
      </c>
    </row>
    <row r="173" spans="1:5" x14ac:dyDescent="0.3">
      <c r="A173">
        <v>52114</v>
      </c>
      <c r="B173">
        <v>20855</v>
      </c>
      <c r="C173">
        <v>1014</v>
      </c>
      <c r="D173">
        <v>4</v>
      </c>
      <c r="E173">
        <v>199.92</v>
      </c>
    </row>
    <row r="174" spans="1:5" x14ac:dyDescent="0.3">
      <c r="A174">
        <v>52150</v>
      </c>
      <c r="B174">
        <v>20869</v>
      </c>
      <c r="C174">
        <v>728</v>
      </c>
      <c r="D174">
        <v>3</v>
      </c>
      <c r="E174">
        <v>195</v>
      </c>
    </row>
    <row r="175" spans="1:5" x14ac:dyDescent="0.3">
      <c r="A175">
        <v>52151</v>
      </c>
      <c r="B175">
        <v>20869</v>
      </c>
      <c r="C175">
        <v>957</v>
      </c>
      <c r="D175">
        <v>1</v>
      </c>
      <c r="E175">
        <v>299.98</v>
      </c>
    </row>
    <row r="176" spans="1:5" x14ac:dyDescent="0.3">
      <c r="A176">
        <v>52152</v>
      </c>
      <c r="B176">
        <v>20870</v>
      </c>
      <c r="C176">
        <v>1014</v>
      </c>
      <c r="D176">
        <v>4</v>
      </c>
      <c r="E176">
        <v>199.92</v>
      </c>
    </row>
    <row r="177" spans="1:5" x14ac:dyDescent="0.3">
      <c r="A177">
        <v>52173</v>
      </c>
      <c r="B177">
        <v>20877</v>
      </c>
      <c r="C177">
        <v>403</v>
      </c>
      <c r="D177">
        <v>1</v>
      </c>
      <c r="E177">
        <v>129.99</v>
      </c>
    </row>
    <row r="178" spans="1:5" x14ac:dyDescent="0.3">
      <c r="A178">
        <v>52170</v>
      </c>
      <c r="B178">
        <v>20877</v>
      </c>
      <c r="C178">
        <v>403</v>
      </c>
      <c r="D178">
        <v>1</v>
      </c>
      <c r="E178">
        <v>129.99</v>
      </c>
    </row>
    <row r="179" spans="1:5" x14ac:dyDescent="0.3">
      <c r="A179">
        <v>52172</v>
      </c>
      <c r="B179">
        <v>20877</v>
      </c>
      <c r="C179">
        <v>365</v>
      </c>
      <c r="D179">
        <v>2</v>
      </c>
      <c r="E179">
        <v>119.98</v>
      </c>
    </row>
    <row r="180" spans="1:5" x14ac:dyDescent="0.3">
      <c r="A180">
        <v>52171</v>
      </c>
      <c r="B180">
        <v>20877</v>
      </c>
      <c r="C180">
        <v>365</v>
      </c>
      <c r="D180">
        <v>2</v>
      </c>
      <c r="E180">
        <v>119.98</v>
      </c>
    </row>
    <row r="181" spans="1:5" x14ac:dyDescent="0.3">
      <c r="A181">
        <v>52190</v>
      </c>
      <c r="B181">
        <v>20887</v>
      </c>
      <c r="C181">
        <v>403</v>
      </c>
      <c r="D181">
        <v>1</v>
      </c>
      <c r="E181">
        <v>129.99</v>
      </c>
    </row>
    <row r="182" spans="1:5" x14ac:dyDescent="0.3">
      <c r="A182">
        <v>52191</v>
      </c>
      <c r="B182">
        <v>20887</v>
      </c>
      <c r="C182">
        <v>1004</v>
      </c>
      <c r="D182">
        <v>1</v>
      </c>
      <c r="E182">
        <v>399.98</v>
      </c>
    </row>
    <row r="183" spans="1:5" x14ac:dyDescent="0.3">
      <c r="A183">
        <v>52188</v>
      </c>
      <c r="B183">
        <v>20887</v>
      </c>
      <c r="C183">
        <v>957</v>
      </c>
      <c r="D183">
        <v>1</v>
      </c>
      <c r="E183">
        <v>299.98</v>
      </c>
    </row>
    <row r="184" spans="1:5" x14ac:dyDescent="0.3">
      <c r="A184">
        <v>52189</v>
      </c>
      <c r="B184">
        <v>20887</v>
      </c>
      <c r="C184">
        <v>502</v>
      </c>
      <c r="D184">
        <v>4</v>
      </c>
      <c r="E184">
        <v>200</v>
      </c>
    </row>
    <row r="185" spans="1:5" x14ac:dyDescent="0.3">
      <c r="A185">
        <v>52301</v>
      </c>
      <c r="B185">
        <v>20935</v>
      </c>
      <c r="C185">
        <v>502</v>
      </c>
      <c r="D185">
        <v>5</v>
      </c>
      <c r="E185">
        <v>250</v>
      </c>
    </row>
    <row r="186" spans="1:5" x14ac:dyDescent="0.3">
      <c r="A186">
        <v>52300</v>
      </c>
      <c r="B186">
        <v>20935</v>
      </c>
      <c r="C186">
        <v>1073</v>
      </c>
      <c r="D186">
        <v>1</v>
      </c>
      <c r="E186">
        <v>199.99</v>
      </c>
    </row>
    <row r="187" spans="1:5" x14ac:dyDescent="0.3">
      <c r="A187">
        <v>52305</v>
      </c>
      <c r="B187">
        <v>20937</v>
      </c>
      <c r="C187">
        <v>365</v>
      </c>
      <c r="D187">
        <v>5</v>
      </c>
      <c r="E187">
        <v>299.95</v>
      </c>
    </row>
    <row r="188" spans="1:5" x14ac:dyDescent="0.3">
      <c r="A188">
        <v>52304</v>
      </c>
      <c r="B188">
        <v>20937</v>
      </c>
      <c r="C188">
        <v>403</v>
      </c>
      <c r="D188">
        <v>1</v>
      </c>
      <c r="E188">
        <v>129.99</v>
      </c>
    </row>
    <row r="189" spans="1:5" x14ac:dyDescent="0.3">
      <c r="A189">
        <v>52303</v>
      </c>
      <c r="B189">
        <v>20937</v>
      </c>
      <c r="C189">
        <v>403</v>
      </c>
      <c r="D189">
        <v>1</v>
      </c>
      <c r="E189">
        <v>129.99</v>
      </c>
    </row>
    <row r="190" spans="1:5" x14ac:dyDescent="0.3">
      <c r="A190">
        <v>52306</v>
      </c>
      <c r="B190">
        <v>20937</v>
      </c>
      <c r="C190">
        <v>1073</v>
      </c>
      <c r="D190">
        <v>1</v>
      </c>
      <c r="E190">
        <v>199.99</v>
      </c>
    </row>
    <row r="191" spans="1:5" x14ac:dyDescent="0.3">
      <c r="A191">
        <v>52302</v>
      </c>
      <c r="B191">
        <v>20937</v>
      </c>
      <c r="C191">
        <v>1073</v>
      </c>
      <c r="D191">
        <v>1</v>
      </c>
      <c r="E191">
        <v>199.99</v>
      </c>
    </row>
    <row r="192" spans="1:5" x14ac:dyDescent="0.3">
      <c r="A192">
        <v>52311</v>
      </c>
      <c r="B192">
        <v>20938</v>
      </c>
      <c r="C192">
        <v>502</v>
      </c>
      <c r="D192">
        <v>1</v>
      </c>
      <c r="E192">
        <v>50</v>
      </c>
    </row>
    <row r="193" spans="1:5" x14ac:dyDescent="0.3">
      <c r="A193">
        <v>52307</v>
      </c>
      <c r="B193">
        <v>20938</v>
      </c>
      <c r="C193">
        <v>365</v>
      </c>
      <c r="D193">
        <v>3</v>
      </c>
      <c r="E193">
        <v>179.97</v>
      </c>
    </row>
    <row r="194" spans="1:5" x14ac:dyDescent="0.3">
      <c r="A194">
        <v>52309</v>
      </c>
      <c r="B194">
        <v>20938</v>
      </c>
      <c r="C194">
        <v>365</v>
      </c>
      <c r="D194">
        <v>4</v>
      </c>
      <c r="E194">
        <v>239.96</v>
      </c>
    </row>
    <row r="195" spans="1:5" x14ac:dyDescent="0.3">
      <c r="A195">
        <v>52308</v>
      </c>
      <c r="B195">
        <v>20938</v>
      </c>
      <c r="C195">
        <v>502</v>
      </c>
      <c r="D195">
        <v>4</v>
      </c>
      <c r="E195">
        <v>200</v>
      </c>
    </row>
    <row r="196" spans="1:5" x14ac:dyDescent="0.3">
      <c r="A196">
        <v>52310</v>
      </c>
      <c r="B196">
        <v>20938</v>
      </c>
      <c r="C196">
        <v>1014</v>
      </c>
      <c r="D196">
        <v>2</v>
      </c>
      <c r="E196">
        <v>99.96</v>
      </c>
    </row>
    <row r="197" spans="1:5" x14ac:dyDescent="0.3">
      <c r="A197">
        <v>52314</v>
      </c>
      <c r="B197">
        <v>20939</v>
      </c>
      <c r="C197">
        <v>365</v>
      </c>
      <c r="D197">
        <v>3</v>
      </c>
      <c r="E197">
        <v>179.97</v>
      </c>
    </row>
    <row r="198" spans="1:5" x14ac:dyDescent="0.3">
      <c r="A198">
        <v>52312</v>
      </c>
      <c r="B198">
        <v>20939</v>
      </c>
      <c r="C198">
        <v>502</v>
      </c>
      <c r="D198">
        <v>3</v>
      </c>
      <c r="E198">
        <v>150</v>
      </c>
    </row>
    <row r="199" spans="1:5" x14ac:dyDescent="0.3">
      <c r="A199">
        <v>52316</v>
      </c>
      <c r="B199">
        <v>20939</v>
      </c>
      <c r="C199">
        <v>191</v>
      </c>
      <c r="D199">
        <v>5</v>
      </c>
      <c r="E199">
        <v>499.95</v>
      </c>
    </row>
    <row r="200" spans="1:5" x14ac:dyDescent="0.3">
      <c r="A200">
        <v>52315</v>
      </c>
      <c r="B200">
        <v>20939</v>
      </c>
      <c r="C200">
        <v>957</v>
      </c>
      <c r="D200">
        <v>1</v>
      </c>
      <c r="E200">
        <v>299.98</v>
      </c>
    </row>
    <row r="201" spans="1:5" x14ac:dyDescent="0.3">
      <c r="A201">
        <v>52313</v>
      </c>
      <c r="B201">
        <v>20939</v>
      </c>
      <c r="C201">
        <v>1073</v>
      </c>
      <c r="D201">
        <v>1</v>
      </c>
      <c r="E201">
        <v>199.99</v>
      </c>
    </row>
    <row r="202" spans="1:5" x14ac:dyDescent="0.3">
      <c r="A202">
        <v>52318</v>
      </c>
      <c r="B202">
        <v>20940</v>
      </c>
      <c r="C202">
        <v>1073</v>
      </c>
      <c r="D202">
        <v>1</v>
      </c>
      <c r="E202">
        <v>199.99</v>
      </c>
    </row>
    <row r="203" spans="1:5" x14ac:dyDescent="0.3">
      <c r="A203">
        <v>52317</v>
      </c>
      <c r="B203">
        <v>20940</v>
      </c>
      <c r="C203">
        <v>502</v>
      </c>
      <c r="D203">
        <v>2</v>
      </c>
      <c r="E203">
        <v>100</v>
      </c>
    </row>
    <row r="204" spans="1:5" x14ac:dyDescent="0.3">
      <c r="A204">
        <v>52321</v>
      </c>
      <c r="B204">
        <v>20942</v>
      </c>
      <c r="C204">
        <v>403</v>
      </c>
      <c r="D204">
        <v>1</v>
      </c>
      <c r="E204">
        <v>129.99</v>
      </c>
    </row>
    <row r="205" spans="1:5" x14ac:dyDescent="0.3">
      <c r="A205">
        <v>52319</v>
      </c>
      <c r="B205">
        <v>20942</v>
      </c>
      <c r="C205">
        <v>957</v>
      </c>
      <c r="D205">
        <v>1</v>
      </c>
      <c r="E205">
        <v>299.98</v>
      </c>
    </row>
    <row r="206" spans="1:5" x14ac:dyDescent="0.3">
      <c r="A206">
        <v>52320</v>
      </c>
      <c r="B206">
        <v>20942</v>
      </c>
      <c r="C206">
        <v>1014</v>
      </c>
      <c r="D206">
        <v>4</v>
      </c>
      <c r="E206">
        <v>199.92</v>
      </c>
    </row>
    <row r="207" spans="1:5" x14ac:dyDescent="0.3">
      <c r="A207">
        <v>52323</v>
      </c>
      <c r="B207">
        <v>20943</v>
      </c>
      <c r="C207">
        <v>1073</v>
      </c>
      <c r="D207">
        <v>1</v>
      </c>
      <c r="E207">
        <v>199.99</v>
      </c>
    </row>
    <row r="208" spans="1:5" x14ac:dyDescent="0.3">
      <c r="A208">
        <v>52326</v>
      </c>
      <c r="B208">
        <v>20943</v>
      </c>
      <c r="C208">
        <v>1014</v>
      </c>
      <c r="D208">
        <v>3</v>
      </c>
      <c r="E208">
        <v>149.94</v>
      </c>
    </row>
    <row r="209" spans="1:5" x14ac:dyDescent="0.3">
      <c r="A209">
        <v>52325</v>
      </c>
      <c r="B209">
        <v>20943</v>
      </c>
      <c r="C209">
        <v>403</v>
      </c>
      <c r="D209">
        <v>1</v>
      </c>
      <c r="E209">
        <v>129.99</v>
      </c>
    </row>
    <row r="210" spans="1:5" x14ac:dyDescent="0.3">
      <c r="A210">
        <v>52324</v>
      </c>
      <c r="B210">
        <v>20943</v>
      </c>
      <c r="C210">
        <v>37</v>
      </c>
      <c r="D210">
        <v>4</v>
      </c>
      <c r="E210">
        <v>139.96</v>
      </c>
    </row>
    <row r="211" spans="1:5" x14ac:dyDescent="0.3">
      <c r="A211">
        <v>52322</v>
      </c>
      <c r="B211">
        <v>20943</v>
      </c>
      <c r="C211">
        <v>365</v>
      </c>
      <c r="D211">
        <v>5</v>
      </c>
      <c r="E211">
        <v>299.95</v>
      </c>
    </row>
    <row r="212" spans="1:5" x14ac:dyDescent="0.3">
      <c r="A212">
        <v>52362</v>
      </c>
      <c r="B212">
        <v>20953</v>
      </c>
      <c r="C212">
        <v>403</v>
      </c>
      <c r="D212">
        <v>1</v>
      </c>
      <c r="E212">
        <v>129.99</v>
      </c>
    </row>
    <row r="213" spans="1:5" x14ac:dyDescent="0.3">
      <c r="A213">
        <v>52363</v>
      </c>
      <c r="B213">
        <v>20953</v>
      </c>
      <c r="C213">
        <v>365</v>
      </c>
      <c r="D213">
        <v>3</v>
      </c>
      <c r="E213">
        <v>179.97</v>
      </c>
    </row>
    <row r="214" spans="1:5" x14ac:dyDescent="0.3">
      <c r="A214">
        <v>52367</v>
      </c>
      <c r="B214">
        <v>20954</v>
      </c>
      <c r="C214">
        <v>249</v>
      </c>
      <c r="D214">
        <v>1</v>
      </c>
      <c r="E214">
        <v>54.97</v>
      </c>
    </row>
    <row r="215" spans="1:5" x14ac:dyDescent="0.3">
      <c r="A215">
        <v>52364</v>
      </c>
      <c r="B215">
        <v>20954</v>
      </c>
      <c r="C215">
        <v>1004</v>
      </c>
      <c r="D215">
        <v>1</v>
      </c>
      <c r="E215">
        <v>399.98</v>
      </c>
    </row>
    <row r="216" spans="1:5" x14ac:dyDescent="0.3">
      <c r="A216">
        <v>52366</v>
      </c>
      <c r="B216">
        <v>20954</v>
      </c>
      <c r="C216">
        <v>627</v>
      </c>
      <c r="D216">
        <v>5</v>
      </c>
      <c r="E216">
        <v>199.95</v>
      </c>
    </row>
    <row r="217" spans="1:5" x14ac:dyDescent="0.3">
      <c r="A217">
        <v>52365</v>
      </c>
      <c r="B217">
        <v>20954</v>
      </c>
      <c r="C217">
        <v>792</v>
      </c>
      <c r="D217">
        <v>2</v>
      </c>
      <c r="E217">
        <v>29.98</v>
      </c>
    </row>
    <row r="218" spans="1:5" x14ac:dyDescent="0.3">
      <c r="A218">
        <v>52401</v>
      </c>
      <c r="B218">
        <v>20964</v>
      </c>
      <c r="C218">
        <v>957</v>
      </c>
      <c r="D218">
        <v>1</v>
      </c>
      <c r="E218">
        <v>299.98</v>
      </c>
    </row>
    <row r="219" spans="1:5" x14ac:dyDescent="0.3">
      <c r="A219">
        <v>52402</v>
      </c>
      <c r="B219">
        <v>20964</v>
      </c>
      <c r="C219">
        <v>502</v>
      </c>
      <c r="D219">
        <v>5</v>
      </c>
      <c r="E219">
        <v>250</v>
      </c>
    </row>
    <row r="220" spans="1:5" x14ac:dyDescent="0.3">
      <c r="A220">
        <v>52406</v>
      </c>
      <c r="B220">
        <v>20966</v>
      </c>
      <c r="C220">
        <v>1004</v>
      </c>
      <c r="D220">
        <v>1</v>
      </c>
      <c r="E220">
        <v>399.98</v>
      </c>
    </row>
    <row r="221" spans="1:5" x14ac:dyDescent="0.3">
      <c r="A221">
        <v>52407</v>
      </c>
      <c r="B221">
        <v>20967</v>
      </c>
      <c r="C221">
        <v>957</v>
      </c>
      <c r="D221">
        <v>1</v>
      </c>
      <c r="E221">
        <v>299.98</v>
      </c>
    </row>
    <row r="222" spans="1:5" x14ac:dyDescent="0.3">
      <c r="A222">
        <v>52408</v>
      </c>
      <c r="B222">
        <v>20967</v>
      </c>
      <c r="C222">
        <v>1073</v>
      </c>
      <c r="D222">
        <v>1</v>
      </c>
      <c r="E222">
        <v>199.99</v>
      </c>
    </row>
    <row r="223" spans="1:5" x14ac:dyDescent="0.3">
      <c r="A223">
        <v>52413</v>
      </c>
      <c r="B223">
        <v>20970</v>
      </c>
      <c r="C223">
        <v>403</v>
      </c>
      <c r="D223">
        <v>1</v>
      </c>
      <c r="E223">
        <v>129.99</v>
      </c>
    </row>
    <row r="224" spans="1:5" x14ac:dyDescent="0.3">
      <c r="A224">
        <v>52414</v>
      </c>
      <c r="B224">
        <v>20971</v>
      </c>
      <c r="C224">
        <v>191</v>
      </c>
      <c r="D224">
        <v>5</v>
      </c>
      <c r="E224">
        <v>499.95</v>
      </c>
    </row>
    <row r="225" spans="1:5" x14ac:dyDescent="0.3">
      <c r="A225">
        <v>52415</v>
      </c>
      <c r="B225">
        <v>20972</v>
      </c>
      <c r="C225">
        <v>502</v>
      </c>
      <c r="D225">
        <v>1</v>
      </c>
      <c r="E225">
        <v>50</v>
      </c>
    </row>
    <row r="226" spans="1:5" x14ac:dyDescent="0.3">
      <c r="A226">
        <v>52416</v>
      </c>
      <c r="B226">
        <v>20972</v>
      </c>
      <c r="C226">
        <v>957</v>
      </c>
      <c r="D226">
        <v>1</v>
      </c>
      <c r="E226">
        <v>299.98</v>
      </c>
    </row>
    <row r="227" spans="1:5" x14ac:dyDescent="0.3">
      <c r="A227">
        <v>52420</v>
      </c>
      <c r="B227">
        <v>20974</v>
      </c>
      <c r="C227">
        <v>135</v>
      </c>
      <c r="D227">
        <v>4</v>
      </c>
      <c r="E227">
        <v>88</v>
      </c>
    </row>
    <row r="228" spans="1:5" x14ac:dyDescent="0.3">
      <c r="A228">
        <v>52417</v>
      </c>
      <c r="B228">
        <v>20974</v>
      </c>
      <c r="C228">
        <v>1073</v>
      </c>
      <c r="D228">
        <v>1</v>
      </c>
      <c r="E228">
        <v>199.99</v>
      </c>
    </row>
    <row r="229" spans="1:5" x14ac:dyDescent="0.3">
      <c r="A229">
        <v>52419</v>
      </c>
      <c r="B229">
        <v>20974</v>
      </c>
      <c r="C229">
        <v>502</v>
      </c>
      <c r="D229">
        <v>1</v>
      </c>
      <c r="E229">
        <v>50</v>
      </c>
    </row>
    <row r="230" spans="1:5" x14ac:dyDescent="0.3">
      <c r="A230">
        <v>52418</v>
      </c>
      <c r="B230">
        <v>20974</v>
      </c>
      <c r="C230">
        <v>627</v>
      </c>
      <c r="D230">
        <v>4</v>
      </c>
      <c r="E230">
        <v>159.96</v>
      </c>
    </row>
    <row r="231" spans="1:5" x14ac:dyDescent="0.3">
      <c r="A231">
        <v>52421</v>
      </c>
      <c r="B231">
        <v>20975</v>
      </c>
      <c r="C231">
        <v>905</v>
      </c>
      <c r="D231">
        <v>4</v>
      </c>
      <c r="E231">
        <v>99.96</v>
      </c>
    </row>
    <row r="232" spans="1:5" x14ac:dyDescent="0.3">
      <c r="A232">
        <v>52437</v>
      </c>
      <c r="B232">
        <v>20982</v>
      </c>
      <c r="C232">
        <v>191</v>
      </c>
      <c r="D232">
        <v>1</v>
      </c>
      <c r="E232">
        <v>99.99</v>
      </c>
    </row>
    <row r="233" spans="1:5" x14ac:dyDescent="0.3">
      <c r="A233">
        <v>52440</v>
      </c>
      <c r="B233">
        <v>20982</v>
      </c>
      <c r="C233">
        <v>403</v>
      </c>
      <c r="D233">
        <v>1</v>
      </c>
      <c r="E233">
        <v>129.99</v>
      </c>
    </row>
    <row r="234" spans="1:5" x14ac:dyDescent="0.3">
      <c r="A234">
        <v>52438</v>
      </c>
      <c r="B234">
        <v>20982</v>
      </c>
      <c r="C234">
        <v>1004</v>
      </c>
      <c r="D234">
        <v>1</v>
      </c>
      <c r="E234">
        <v>399.98</v>
      </c>
    </row>
    <row r="235" spans="1:5" x14ac:dyDescent="0.3">
      <c r="A235">
        <v>52439</v>
      </c>
      <c r="B235">
        <v>20982</v>
      </c>
      <c r="C235">
        <v>365</v>
      </c>
      <c r="D235">
        <v>2</v>
      </c>
      <c r="E235">
        <v>119.98</v>
      </c>
    </row>
    <row r="236" spans="1:5" x14ac:dyDescent="0.3">
      <c r="A236">
        <v>52442</v>
      </c>
      <c r="B236">
        <v>20983</v>
      </c>
      <c r="C236">
        <v>1004</v>
      </c>
      <c r="D236">
        <v>1</v>
      </c>
      <c r="E236">
        <v>399.98</v>
      </c>
    </row>
    <row r="237" spans="1:5" x14ac:dyDescent="0.3">
      <c r="A237">
        <v>52441</v>
      </c>
      <c r="B237">
        <v>20983</v>
      </c>
      <c r="C237">
        <v>365</v>
      </c>
      <c r="D237">
        <v>5</v>
      </c>
      <c r="E237">
        <v>299.95</v>
      </c>
    </row>
    <row r="238" spans="1:5" x14ac:dyDescent="0.3">
      <c r="A238">
        <v>52446</v>
      </c>
      <c r="B238">
        <v>20984</v>
      </c>
      <c r="C238">
        <v>403</v>
      </c>
      <c r="D238">
        <v>1</v>
      </c>
      <c r="E238">
        <v>129.99</v>
      </c>
    </row>
    <row r="239" spans="1:5" x14ac:dyDescent="0.3">
      <c r="A239">
        <v>52444</v>
      </c>
      <c r="B239">
        <v>20984</v>
      </c>
      <c r="C239">
        <v>403</v>
      </c>
      <c r="D239">
        <v>1</v>
      </c>
      <c r="E239">
        <v>129.99</v>
      </c>
    </row>
    <row r="240" spans="1:5" x14ac:dyDescent="0.3">
      <c r="A240">
        <v>52447</v>
      </c>
      <c r="B240">
        <v>20984</v>
      </c>
      <c r="C240">
        <v>365</v>
      </c>
      <c r="D240">
        <v>2</v>
      </c>
      <c r="E240">
        <v>119.98</v>
      </c>
    </row>
    <row r="241" spans="1:5" x14ac:dyDescent="0.3">
      <c r="A241">
        <v>52443</v>
      </c>
      <c r="B241">
        <v>20984</v>
      </c>
      <c r="C241">
        <v>191</v>
      </c>
      <c r="D241">
        <v>4</v>
      </c>
      <c r="E241">
        <v>399.96</v>
      </c>
    </row>
    <row r="242" spans="1:5" x14ac:dyDescent="0.3">
      <c r="A242">
        <v>52445</v>
      </c>
      <c r="B242">
        <v>20984</v>
      </c>
      <c r="C242">
        <v>502</v>
      </c>
      <c r="D242">
        <v>4</v>
      </c>
      <c r="E242">
        <v>200</v>
      </c>
    </row>
    <row r="243" spans="1:5" x14ac:dyDescent="0.3">
      <c r="A243">
        <v>52498</v>
      </c>
      <c r="B243">
        <v>21010</v>
      </c>
      <c r="C243">
        <v>1004</v>
      </c>
      <c r="D243">
        <v>1</v>
      </c>
      <c r="E243">
        <v>399.98</v>
      </c>
    </row>
    <row r="244" spans="1:5" x14ac:dyDescent="0.3">
      <c r="A244">
        <v>52495</v>
      </c>
      <c r="B244">
        <v>21010</v>
      </c>
      <c r="C244">
        <v>1004</v>
      </c>
      <c r="D244">
        <v>1</v>
      </c>
      <c r="E244">
        <v>399.98</v>
      </c>
    </row>
    <row r="245" spans="1:5" x14ac:dyDescent="0.3">
      <c r="A245">
        <v>52497</v>
      </c>
      <c r="B245">
        <v>21010</v>
      </c>
      <c r="C245">
        <v>828</v>
      </c>
      <c r="D245">
        <v>2</v>
      </c>
      <c r="E245">
        <v>63.98</v>
      </c>
    </row>
    <row r="246" spans="1:5" x14ac:dyDescent="0.3">
      <c r="A246">
        <v>52496</v>
      </c>
      <c r="B246">
        <v>21010</v>
      </c>
      <c r="C246">
        <v>365</v>
      </c>
      <c r="D246">
        <v>5</v>
      </c>
      <c r="E246">
        <v>299.95</v>
      </c>
    </row>
    <row r="247" spans="1:5" x14ac:dyDescent="0.3">
      <c r="A247">
        <v>52501</v>
      </c>
      <c r="B247">
        <v>21011</v>
      </c>
      <c r="C247">
        <v>1073</v>
      </c>
      <c r="D247">
        <v>1</v>
      </c>
      <c r="E247">
        <v>199.99</v>
      </c>
    </row>
    <row r="248" spans="1:5" x14ac:dyDescent="0.3">
      <c r="A248">
        <v>52503</v>
      </c>
      <c r="B248">
        <v>21011</v>
      </c>
      <c r="C248">
        <v>403</v>
      </c>
      <c r="D248">
        <v>1</v>
      </c>
      <c r="E248">
        <v>129.99</v>
      </c>
    </row>
    <row r="249" spans="1:5" x14ac:dyDescent="0.3">
      <c r="A249">
        <v>52502</v>
      </c>
      <c r="B249">
        <v>21011</v>
      </c>
      <c r="C249">
        <v>627</v>
      </c>
      <c r="D249">
        <v>3</v>
      </c>
      <c r="E249">
        <v>119.97</v>
      </c>
    </row>
    <row r="250" spans="1:5" x14ac:dyDescent="0.3">
      <c r="A250">
        <v>52499</v>
      </c>
      <c r="B250">
        <v>21011</v>
      </c>
      <c r="C250">
        <v>823</v>
      </c>
      <c r="D250">
        <v>3</v>
      </c>
      <c r="E250">
        <v>155.97</v>
      </c>
    </row>
    <row r="251" spans="1:5" x14ac:dyDescent="0.3">
      <c r="A251">
        <v>52500</v>
      </c>
      <c r="B251">
        <v>21011</v>
      </c>
      <c r="C251">
        <v>365</v>
      </c>
      <c r="D251">
        <v>4</v>
      </c>
      <c r="E251">
        <v>239.96</v>
      </c>
    </row>
    <row r="252" spans="1:5" x14ac:dyDescent="0.3">
      <c r="A252">
        <v>52505</v>
      </c>
      <c r="B252">
        <v>21012</v>
      </c>
      <c r="C252">
        <v>1073</v>
      </c>
      <c r="D252">
        <v>1</v>
      </c>
      <c r="E252">
        <v>199.99</v>
      </c>
    </row>
    <row r="253" spans="1:5" x14ac:dyDescent="0.3">
      <c r="A253">
        <v>52504</v>
      </c>
      <c r="B253">
        <v>21012</v>
      </c>
      <c r="C253">
        <v>403</v>
      </c>
      <c r="D253">
        <v>1</v>
      </c>
      <c r="E253">
        <v>129.99</v>
      </c>
    </row>
    <row r="254" spans="1:5" x14ac:dyDescent="0.3">
      <c r="A254">
        <v>52506</v>
      </c>
      <c r="B254">
        <v>21013</v>
      </c>
      <c r="C254">
        <v>1073</v>
      </c>
      <c r="D254">
        <v>1</v>
      </c>
      <c r="E254">
        <v>199.99</v>
      </c>
    </row>
    <row r="255" spans="1:5" x14ac:dyDescent="0.3">
      <c r="A255">
        <v>52510</v>
      </c>
      <c r="B255">
        <v>21013</v>
      </c>
      <c r="C255">
        <v>403</v>
      </c>
      <c r="D255">
        <v>1</v>
      </c>
      <c r="E255">
        <v>129.99</v>
      </c>
    </row>
    <row r="256" spans="1:5" x14ac:dyDescent="0.3">
      <c r="A256">
        <v>52507</v>
      </c>
      <c r="B256">
        <v>21013</v>
      </c>
      <c r="C256">
        <v>403</v>
      </c>
      <c r="D256">
        <v>1</v>
      </c>
      <c r="E256">
        <v>129.99</v>
      </c>
    </row>
    <row r="257" spans="1:5" x14ac:dyDescent="0.3">
      <c r="A257">
        <v>52509</v>
      </c>
      <c r="B257">
        <v>21013</v>
      </c>
      <c r="C257">
        <v>365</v>
      </c>
      <c r="D257">
        <v>1</v>
      </c>
      <c r="E257">
        <v>59.99</v>
      </c>
    </row>
    <row r="258" spans="1:5" x14ac:dyDescent="0.3">
      <c r="A258">
        <v>52508</v>
      </c>
      <c r="B258">
        <v>21013</v>
      </c>
      <c r="C258">
        <v>1004</v>
      </c>
      <c r="D258">
        <v>1</v>
      </c>
      <c r="E258">
        <v>399.98</v>
      </c>
    </row>
    <row r="259" spans="1:5" x14ac:dyDescent="0.3">
      <c r="A259">
        <v>52520</v>
      </c>
      <c r="B259">
        <v>21016</v>
      </c>
      <c r="C259">
        <v>365</v>
      </c>
      <c r="D259">
        <v>2</v>
      </c>
      <c r="E259">
        <v>119.98</v>
      </c>
    </row>
    <row r="260" spans="1:5" x14ac:dyDescent="0.3">
      <c r="A260">
        <v>52519</v>
      </c>
      <c r="B260">
        <v>21016</v>
      </c>
      <c r="C260">
        <v>191</v>
      </c>
      <c r="D260">
        <v>5</v>
      </c>
      <c r="E260">
        <v>499.95</v>
      </c>
    </row>
    <row r="261" spans="1:5" x14ac:dyDescent="0.3">
      <c r="A261">
        <v>52521</v>
      </c>
      <c r="B261">
        <v>21017</v>
      </c>
      <c r="C261">
        <v>775</v>
      </c>
      <c r="D261">
        <v>2</v>
      </c>
      <c r="E261">
        <v>19.98</v>
      </c>
    </row>
    <row r="262" spans="1:5" x14ac:dyDescent="0.3">
      <c r="A262">
        <v>52522</v>
      </c>
      <c r="B262">
        <v>21017</v>
      </c>
      <c r="C262">
        <v>1004</v>
      </c>
      <c r="D262">
        <v>1</v>
      </c>
      <c r="E262">
        <v>399.98</v>
      </c>
    </row>
    <row r="263" spans="1:5" x14ac:dyDescent="0.3">
      <c r="A263">
        <v>52523</v>
      </c>
      <c r="B263">
        <v>21017</v>
      </c>
      <c r="C263">
        <v>365</v>
      </c>
      <c r="D263">
        <v>2</v>
      </c>
      <c r="E263">
        <v>119.98</v>
      </c>
    </row>
    <row r="264" spans="1:5" x14ac:dyDescent="0.3">
      <c r="A264">
        <v>52524</v>
      </c>
      <c r="B264">
        <v>21018</v>
      </c>
      <c r="C264">
        <v>403</v>
      </c>
      <c r="D264">
        <v>1</v>
      </c>
      <c r="E264">
        <v>129.99</v>
      </c>
    </row>
    <row r="265" spans="1:5" x14ac:dyDescent="0.3">
      <c r="A265">
        <v>52526</v>
      </c>
      <c r="B265">
        <v>21018</v>
      </c>
      <c r="C265">
        <v>1004</v>
      </c>
      <c r="D265">
        <v>1</v>
      </c>
      <c r="E265">
        <v>399.98</v>
      </c>
    </row>
    <row r="266" spans="1:5" x14ac:dyDescent="0.3">
      <c r="A266">
        <v>52525</v>
      </c>
      <c r="B266">
        <v>21018</v>
      </c>
      <c r="C266">
        <v>564</v>
      </c>
      <c r="D266">
        <v>2</v>
      </c>
      <c r="E266">
        <v>60</v>
      </c>
    </row>
    <row r="267" spans="1:5" x14ac:dyDescent="0.3">
      <c r="A267">
        <v>52527</v>
      </c>
      <c r="B267">
        <v>21018</v>
      </c>
      <c r="C267">
        <v>502</v>
      </c>
      <c r="D267">
        <v>2</v>
      </c>
      <c r="E267">
        <v>100</v>
      </c>
    </row>
    <row r="268" spans="1:5" x14ac:dyDescent="0.3">
      <c r="A268">
        <v>52528</v>
      </c>
      <c r="B268">
        <v>21019</v>
      </c>
      <c r="C268">
        <v>627</v>
      </c>
      <c r="D268">
        <v>1</v>
      </c>
      <c r="E268">
        <v>39.99</v>
      </c>
    </row>
    <row r="269" spans="1:5" x14ac:dyDescent="0.3">
      <c r="A269">
        <v>52724</v>
      </c>
      <c r="B269">
        <v>21087</v>
      </c>
      <c r="C269">
        <v>403</v>
      </c>
      <c r="D269">
        <v>1</v>
      </c>
      <c r="E269">
        <v>129.99</v>
      </c>
    </row>
    <row r="270" spans="1:5" x14ac:dyDescent="0.3">
      <c r="A270">
        <v>52725</v>
      </c>
      <c r="B270">
        <v>21087</v>
      </c>
      <c r="C270">
        <v>957</v>
      </c>
      <c r="D270">
        <v>1</v>
      </c>
      <c r="E270">
        <v>299.98</v>
      </c>
    </row>
    <row r="271" spans="1:5" x14ac:dyDescent="0.3">
      <c r="A271">
        <v>52767</v>
      </c>
      <c r="B271">
        <v>21106</v>
      </c>
      <c r="C271">
        <v>403</v>
      </c>
      <c r="D271">
        <v>1</v>
      </c>
      <c r="E271">
        <v>129.99</v>
      </c>
    </row>
    <row r="272" spans="1:5" x14ac:dyDescent="0.3">
      <c r="A272">
        <v>52768</v>
      </c>
      <c r="B272">
        <v>21106</v>
      </c>
      <c r="C272">
        <v>627</v>
      </c>
      <c r="D272">
        <v>1</v>
      </c>
      <c r="E272">
        <v>39.99</v>
      </c>
    </row>
    <row r="273" spans="1:5" x14ac:dyDescent="0.3">
      <c r="A273">
        <v>52769</v>
      </c>
      <c r="B273">
        <v>21108</v>
      </c>
      <c r="C273">
        <v>627</v>
      </c>
      <c r="D273">
        <v>1</v>
      </c>
      <c r="E273">
        <v>39.99</v>
      </c>
    </row>
    <row r="274" spans="1:5" x14ac:dyDescent="0.3">
      <c r="A274">
        <v>52772</v>
      </c>
      <c r="B274">
        <v>21108</v>
      </c>
      <c r="C274">
        <v>1004</v>
      </c>
      <c r="D274">
        <v>1</v>
      </c>
      <c r="E274">
        <v>399.98</v>
      </c>
    </row>
    <row r="275" spans="1:5" x14ac:dyDescent="0.3">
      <c r="A275">
        <v>52770</v>
      </c>
      <c r="B275">
        <v>21108</v>
      </c>
      <c r="C275">
        <v>957</v>
      </c>
      <c r="D275">
        <v>1</v>
      </c>
      <c r="E275">
        <v>299.98</v>
      </c>
    </row>
    <row r="276" spans="1:5" x14ac:dyDescent="0.3">
      <c r="A276">
        <v>52773</v>
      </c>
      <c r="B276">
        <v>21108</v>
      </c>
      <c r="C276">
        <v>502</v>
      </c>
      <c r="D276">
        <v>2</v>
      </c>
      <c r="E276">
        <v>100</v>
      </c>
    </row>
    <row r="277" spans="1:5" x14ac:dyDescent="0.3">
      <c r="A277">
        <v>52771</v>
      </c>
      <c r="B277">
        <v>21108</v>
      </c>
      <c r="C277">
        <v>1073</v>
      </c>
      <c r="D277">
        <v>1</v>
      </c>
      <c r="E277">
        <v>199.99</v>
      </c>
    </row>
    <row r="278" spans="1:5" x14ac:dyDescent="0.3">
      <c r="A278">
        <v>52776</v>
      </c>
      <c r="B278">
        <v>21110</v>
      </c>
      <c r="C278">
        <v>1004</v>
      </c>
      <c r="D278">
        <v>1</v>
      </c>
      <c r="E278">
        <v>399.98</v>
      </c>
    </row>
    <row r="279" spans="1:5" x14ac:dyDescent="0.3">
      <c r="A279">
        <v>52775</v>
      </c>
      <c r="B279">
        <v>21110</v>
      </c>
      <c r="C279">
        <v>957</v>
      </c>
      <c r="D279">
        <v>1</v>
      </c>
      <c r="E279">
        <v>299.98</v>
      </c>
    </row>
    <row r="280" spans="1:5" x14ac:dyDescent="0.3">
      <c r="A280">
        <v>52774</v>
      </c>
      <c r="B280">
        <v>21110</v>
      </c>
      <c r="C280">
        <v>365</v>
      </c>
      <c r="D280">
        <v>5</v>
      </c>
      <c r="E280">
        <v>299.95</v>
      </c>
    </row>
    <row r="281" spans="1:5" x14ac:dyDescent="0.3">
      <c r="A281">
        <v>52779</v>
      </c>
      <c r="B281">
        <v>21111</v>
      </c>
      <c r="C281">
        <v>1073</v>
      </c>
      <c r="D281">
        <v>1</v>
      </c>
      <c r="E281">
        <v>199.99</v>
      </c>
    </row>
    <row r="282" spans="1:5" x14ac:dyDescent="0.3">
      <c r="A282">
        <v>52777</v>
      </c>
      <c r="B282">
        <v>21111</v>
      </c>
      <c r="C282">
        <v>403</v>
      </c>
      <c r="D282">
        <v>1</v>
      </c>
      <c r="E282">
        <v>129.99</v>
      </c>
    </row>
    <row r="283" spans="1:5" x14ac:dyDescent="0.3">
      <c r="A283">
        <v>52781</v>
      </c>
      <c r="B283">
        <v>21111</v>
      </c>
      <c r="C283">
        <v>957</v>
      </c>
      <c r="D283">
        <v>1</v>
      </c>
      <c r="E283">
        <v>299.98</v>
      </c>
    </row>
    <row r="284" spans="1:5" x14ac:dyDescent="0.3">
      <c r="A284">
        <v>52780</v>
      </c>
      <c r="B284">
        <v>21111</v>
      </c>
      <c r="C284">
        <v>502</v>
      </c>
      <c r="D284">
        <v>4</v>
      </c>
      <c r="E284">
        <v>200</v>
      </c>
    </row>
    <row r="285" spans="1:5" x14ac:dyDescent="0.3">
      <c r="A285">
        <v>52778</v>
      </c>
      <c r="B285">
        <v>21111</v>
      </c>
      <c r="C285">
        <v>502</v>
      </c>
      <c r="D285">
        <v>5</v>
      </c>
      <c r="E285">
        <v>250</v>
      </c>
    </row>
    <row r="286" spans="1:5" x14ac:dyDescent="0.3">
      <c r="A286">
        <v>52786</v>
      </c>
      <c r="B286">
        <v>21112</v>
      </c>
      <c r="C286">
        <v>1073</v>
      </c>
      <c r="D286">
        <v>1</v>
      </c>
      <c r="E286">
        <v>199.99</v>
      </c>
    </row>
    <row r="287" spans="1:5" x14ac:dyDescent="0.3">
      <c r="A287">
        <v>52785</v>
      </c>
      <c r="B287">
        <v>21112</v>
      </c>
      <c r="C287">
        <v>403</v>
      </c>
      <c r="D287">
        <v>1</v>
      </c>
      <c r="E287">
        <v>129.99</v>
      </c>
    </row>
    <row r="288" spans="1:5" x14ac:dyDescent="0.3">
      <c r="A288">
        <v>52782</v>
      </c>
      <c r="B288">
        <v>21112</v>
      </c>
      <c r="C288">
        <v>1004</v>
      </c>
      <c r="D288">
        <v>1</v>
      </c>
      <c r="E288">
        <v>399.98</v>
      </c>
    </row>
    <row r="289" spans="1:5" x14ac:dyDescent="0.3">
      <c r="A289">
        <v>52783</v>
      </c>
      <c r="B289">
        <v>21112</v>
      </c>
      <c r="C289">
        <v>502</v>
      </c>
      <c r="D289">
        <v>4</v>
      </c>
      <c r="E289">
        <v>200</v>
      </c>
    </row>
    <row r="290" spans="1:5" x14ac:dyDescent="0.3">
      <c r="A290">
        <v>52784</v>
      </c>
      <c r="B290">
        <v>21112</v>
      </c>
      <c r="C290">
        <v>365</v>
      </c>
      <c r="D290">
        <v>5</v>
      </c>
      <c r="E290">
        <v>299.95</v>
      </c>
    </row>
    <row r="291" spans="1:5" x14ac:dyDescent="0.3">
      <c r="A291">
        <v>52822</v>
      </c>
      <c r="B291">
        <v>21130</v>
      </c>
      <c r="C291">
        <v>365</v>
      </c>
      <c r="D291">
        <v>1</v>
      </c>
      <c r="E291">
        <v>59.99</v>
      </c>
    </row>
    <row r="292" spans="1:5" x14ac:dyDescent="0.3">
      <c r="A292">
        <v>52826</v>
      </c>
      <c r="B292">
        <v>21130</v>
      </c>
      <c r="C292">
        <v>365</v>
      </c>
      <c r="D292">
        <v>2</v>
      </c>
      <c r="E292">
        <v>119.98</v>
      </c>
    </row>
    <row r="293" spans="1:5" x14ac:dyDescent="0.3">
      <c r="A293">
        <v>52825</v>
      </c>
      <c r="B293">
        <v>21130</v>
      </c>
      <c r="C293">
        <v>365</v>
      </c>
      <c r="D293">
        <v>4</v>
      </c>
      <c r="E293">
        <v>239.96</v>
      </c>
    </row>
    <row r="294" spans="1:5" x14ac:dyDescent="0.3">
      <c r="A294">
        <v>52824</v>
      </c>
      <c r="B294">
        <v>21130</v>
      </c>
      <c r="C294">
        <v>1014</v>
      </c>
      <c r="D294">
        <v>4</v>
      </c>
      <c r="E294">
        <v>199.92</v>
      </c>
    </row>
    <row r="295" spans="1:5" x14ac:dyDescent="0.3">
      <c r="A295">
        <v>52823</v>
      </c>
      <c r="B295">
        <v>21130</v>
      </c>
      <c r="C295">
        <v>1014</v>
      </c>
      <c r="D295">
        <v>1</v>
      </c>
      <c r="E295">
        <v>49.98</v>
      </c>
    </row>
    <row r="296" spans="1:5" x14ac:dyDescent="0.3">
      <c r="A296">
        <v>52827</v>
      </c>
      <c r="B296">
        <v>21131</v>
      </c>
      <c r="C296">
        <v>403</v>
      </c>
      <c r="D296">
        <v>1</v>
      </c>
      <c r="E296">
        <v>129.99</v>
      </c>
    </row>
    <row r="297" spans="1:5" x14ac:dyDescent="0.3">
      <c r="A297">
        <v>52828</v>
      </c>
      <c r="B297">
        <v>21131</v>
      </c>
      <c r="C297">
        <v>1004</v>
      </c>
      <c r="D297">
        <v>1</v>
      </c>
      <c r="E297">
        <v>399.98</v>
      </c>
    </row>
    <row r="298" spans="1:5" x14ac:dyDescent="0.3">
      <c r="A298">
        <v>52830</v>
      </c>
      <c r="B298">
        <v>21132</v>
      </c>
      <c r="C298">
        <v>825</v>
      </c>
      <c r="D298">
        <v>2</v>
      </c>
      <c r="E298">
        <v>63.98</v>
      </c>
    </row>
    <row r="299" spans="1:5" x14ac:dyDescent="0.3">
      <c r="A299">
        <v>52829</v>
      </c>
      <c r="B299">
        <v>21132</v>
      </c>
      <c r="C299">
        <v>893</v>
      </c>
      <c r="D299">
        <v>4</v>
      </c>
      <c r="E299">
        <v>99.96</v>
      </c>
    </row>
    <row r="300" spans="1:5" x14ac:dyDescent="0.3">
      <c r="A300">
        <v>52841</v>
      </c>
      <c r="B300">
        <v>21138</v>
      </c>
      <c r="C300">
        <v>778</v>
      </c>
      <c r="D300">
        <v>4</v>
      </c>
      <c r="E300">
        <v>99.96</v>
      </c>
    </row>
    <row r="301" spans="1:5" x14ac:dyDescent="0.3">
      <c r="A301">
        <v>52840</v>
      </c>
      <c r="B301">
        <v>21138</v>
      </c>
      <c r="C301">
        <v>502</v>
      </c>
      <c r="D301">
        <v>3</v>
      </c>
      <c r="E301">
        <v>150</v>
      </c>
    </row>
    <row r="302" spans="1:5" x14ac:dyDescent="0.3">
      <c r="A302">
        <v>52842</v>
      </c>
      <c r="B302">
        <v>21139</v>
      </c>
      <c r="C302">
        <v>403</v>
      </c>
      <c r="D302">
        <v>1</v>
      </c>
      <c r="E302">
        <v>129.99</v>
      </c>
    </row>
    <row r="303" spans="1:5" x14ac:dyDescent="0.3">
      <c r="A303">
        <v>52843</v>
      </c>
      <c r="B303">
        <v>21139</v>
      </c>
      <c r="C303">
        <v>778</v>
      </c>
      <c r="D303">
        <v>4</v>
      </c>
      <c r="E303">
        <v>99.96</v>
      </c>
    </row>
    <row r="304" spans="1:5" x14ac:dyDescent="0.3">
      <c r="A304">
        <v>52846</v>
      </c>
      <c r="B304">
        <v>21140</v>
      </c>
      <c r="C304">
        <v>1073</v>
      </c>
      <c r="D304">
        <v>1</v>
      </c>
      <c r="E304">
        <v>199.99</v>
      </c>
    </row>
    <row r="305" spans="1:5" x14ac:dyDescent="0.3">
      <c r="A305">
        <v>52844</v>
      </c>
      <c r="B305">
        <v>21140</v>
      </c>
      <c r="C305">
        <v>1073</v>
      </c>
      <c r="D305">
        <v>1</v>
      </c>
      <c r="E305">
        <v>199.99</v>
      </c>
    </row>
    <row r="306" spans="1:5" x14ac:dyDescent="0.3">
      <c r="A306">
        <v>52848</v>
      </c>
      <c r="B306">
        <v>21140</v>
      </c>
      <c r="C306">
        <v>1014</v>
      </c>
      <c r="D306">
        <v>3</v>
      </c>
      <c r="E306">
        <v>149.94</v>
      </c>
    </row>
    <row r="307" spans="1:5" x14ac:dyDescent="0.3">
      <c r="A307">
        <v>52845</v>
      </c>
      <c r="B307">
        <v>21140</v>
      </c>
      <c r="C307">
        <v>1014</v>
      </c>
      <c r="D307">
        <v>1</v>
      </c>
      <c r="E307">
        <v>49.98</v>
      </c>
    </row>
    <row r="308" spans="1:5" x14ac:dyDescent="0.3">
      <c r="A308">
        <v>52847</v>
      </c>
      <c r="B308">
        <v>21140</v>
      </c>
      <c r="C308">
        <v>1004</v>
      </c>
      <c r="D308">
        <v>1</v>
      </c>
      <c r="E308">
        <v>399.98</v>
      </c>
    </row>
    <row r="309" spans="1:5" x14ac:dyDescent="0.3">
      <c r="A309">
        <v>52850</v>
      </c>
      <c r="B309">
        <v>21141</v>
      </c>
      <c r="C309">
        <v>1073</v>
      </c>
      <c r="D309">
        <v>1</v>
      </c>
      <c r="E309">
        <v>199.99</v>
      </c>
    </row>
    <row r="310" spans="1:5" x14ac:dyDescent="0.3">
      <c r="A310">
        <v>52851</v>
      </c>
      <c r="B310">
        <v>21141</v>
      </c>
      <c r="C310">
        <v>957</v>
      </c>
      <c r="D310">
        <v>1</v>
      </c>
      <c r="E310">
        <v>299.98</v>
      </c>
    </row>
    <row r="311" spans="1:5" x14ac:dyDescent="0.3">
      <c r="A311">
        <v>52849</v>
      </c>
      <c r="B311">
        <v>21141</v>
      </c>
      <c r="C311">
        <v>1014</v>
      </c>
      <c r="D311">
        <v>3</v>
      </c>
      <c r="E311">
        <v>149.94</v>
      </c>
    </row>
    <row r="312" spans="1:5" x14ac:dyDescent="0.3">
      <c r="A312">
        <v>52912</v>
      </c>
      <c r="B312">
        <v>21161</v>
      </c>
      <c r="C312">
        <v>1004</v>
      </c>
      <c r="D312">
        <v>1</v>
      </c>
      <c r="E312">
        <v>399.98</v>
      </c>
    </row>
    <row r="313" spans="1:5" x14ac:dyDescent="0.3">
      <c r="A313">
        <v>52910</v>
      </c>
      <c r="B313">
        <v>21161</v>
      </c>
      <c r="C313">
        <v>365</v>
      </c>
      <c r="D313">
        <v>3</v>
      </c>
      <c r="E313">
        <v>179.97</v>
      </c>
    </row>
    <row r="314" spans="1:5" x14ac:dyDescent="0.3">
      <c r="A314">
        <v>52913</v>
      </c>
      <c r="B314">
        <v>21161</v>
      </c>
      <c r="C314">
        <v>365</v>
      </c>
      <c r="D314">
        <v>5</v>
      </c>
      <c r="E314">
        <v>299.95</v>
      </c>
    </row>
    <row r="315" spans="1:5" x14ac:dyDescent="0.3">
      <c r="A315">
        <v>52909</v>
      </c>
      <c r="B315">
        <v>21161</v>
      </c>
      <c r="C315">
        <v>1073</v>
      </c>
      <c r="D315">
        <v>1</v>
      </c>
      <c r="E315">
        <v>199.99</v>
      </c>
    </row>
    <row r="316" spans="1:5" x14ac:dyDescent="0.3">
      <c r="A316">
        <v>52911</v>
      </c>
      <c r="B316">
        <v>21161</v>
      </c>
      <c r="C316">
        <v>1014</v>
      </c>
      <c r="D316">
        <v>1</v>
      </c>
      <c r="E316">
        <v>49.98</v>
      </c>
    </row>
    <row r="317" spans="1:5" x14ac:dyDescent="0.3">
      <c r="A317">
        <v>52945</v>
      </c>
      <c r="B317">
        <v>21170</v>
      </c>
      <c r="C317">
        <v>897</v>
      </c>
      <c r="D317">
        <v>3</v>
      </c>
      <c r="E317">
        <v>74.97</v>
      </c>
    </row>
    <row r="318" spans="1:5" x14ac:dyDescent="0.3">
      <c r="A318">
        <v>53007</v>
      </c>
      <c r="B318">
        <v>21192</v>
      </c>
      <c r="C318">
        <v>365</v>
      </c>
      <c r="D318">
        <v>5</v>
      </c>
      <c r="E318">
        <v>299.95</v>
      </c>
    </row>
    <row r="319" spans="1:5" x14ac:dyDescent="0.3">
      <c r="A319">
        <v>53004</v>
      </c>
      <c r="B319">
        <v>21192</v>
      </c>
      <c r="C319">
        <v>1014</v>
      </c>
      <c r="D319">
        <v>4</v>
      </c>
      <c r="E319">
        <v>199.92</v>
      </c>
    </row>
    <row r="320" spans="1:5" x14ac:dyDescent="0.3">
      <c r="A320">
        <v>53006</v>
      </c>
      <c r="B320">
        <v>21192</v>
      </c>
      <c r="C320">
        <v>502</v>
      </c>
      <c r="D320">
        <v>1</v>
      </c>
      <c r="E320">
        <v>50</v>
      </c>
    </row>
    <row r="321" spans="1:5" x14ac:dyDescent="0.3">
      <c r="A321">
        <v>53005</v>
      </c>
      <c r="B321">
        <v>21192</v>
      </c>
      <c r="C321">
        <v>502</v>
      </c>
      <c r="D321">
        <v>4</v>
      </c>
      <c r="E321">
        <v>200</v>
      </c>
    </row>
    <row r="322" spans="1:5" x14ac:dyDescent="0.3">
      <c r="A322">
        <v>53060</v>
      </c>
      <c r="B322">
        <v>21210</v>
      </c>
      <c r="C322">
        <v>1014</v>
      </c>
      <c r="D322">
        <v>4</v>
      </c>
      <c r="E322">
        <v>199.92</v>
      </c>
    </row>
    <row r="323" spans="1:5" x14ac:dyDescent="0.3">
      <c r="A323">
        <v>53062</v>
      </c>
      <c r="B323">
        <v>21210</v>
      </c>
      <c r="C323">
        <v>365</v>
      </c>
      <c r="D323">
        <v>1</v>
      </c>
      <c r="E323">
        <v>59.99</v>
      </c>
    </row>
    <row r="324" spans="1:5" x14ac:dyDescent="0.3">
      <c r="A324">
        <v>53063</v>
      </c>
      <c r="B324">
        <v>21210</v>
      </c>
      <c r="C324">
        <v>1004</v>
      </c>
      <c r="D324">
        <v>1</v>
      </c>
      <c r="E324">
        <v>399.98</v>
      </c>
    </row>
    <row r="325" spans="1:5" x14ac:dyDescent="0.3">
      <c r="A325">
        <v>53061</v>
      </c>
      <c r="B325">
        <v>21210</v>
      </c>
      <c r="C325">
        <v>957</v>
      </c>
      <c r="D325">
        <v>1</v>
      </c>
      <c r="E325">
        <v>299.98</v>
      </c>
    </row>
    <row r="326" spans="1:5" x14ac:dyDescent="0.3">
      <c r="A326">
        <v>53074</v>
      </c>
      <c r="B326">
        <v>21214</v>
      </c>
      <c r="C326">
        <v>365</v>
      </c>
      <c r="D326">
        <v>4</v>
      </c>
      <c r="E326">
        <v>239.96</v>
      </c>
    </row>
    <row r="327" spans="1:5" x14ac:dyDescent="0.3">
      <c r="A327">
        <v>53073</v>
      </c>
      <c r="B327">
        <v>21214</v>
      </c>
      <c r="C327">
        <v>365</v>
      </c>
      <c r="D327">
        <v>4</v>
      </c>
      <c r="E327">
        <v>239.96</v>
      </c>
    </row>
    <row r="328" spans="1:5" x14ac:dyDescent="0.3">
      <c r="A328">
        <v>53072</v>
      </c>
      <c r="B328">
        <v>21214</v>
      </c>
      <c r="C328">
        <v>365</v>
      </c>
      <c r="D328">
        <v>4</v>
      </c>
      <c r="E328">
        <v>239.96</v>
      </c>
    </row>
    <row r="329" spans="1:5" x14ac:dyDescent="0.3">
      <c r="A329">
        <v>53107</v>
      </c>
      <c r="B329">
        <v>21230</v>
      </c>
      <c r="C329">
        <v>1004</v>
      </c>
      <c r="D329">
        <v>1</v>
      </c>
      <c r="E329">
        <v>399.98</v>
      </c>
    </row>
    <row r="330" spans="1:5" x14ac:dyDescent="0.3">
      <c r="A330">
        <v>53106</v>
      </c>
      <c r="B330">
        <v>21230</v>
      </c>
      <c r="C330">
        <v>957</v>
      </c>
      <c r="D330">
        <v>1</v>
      </c>
      <c r="E330">
        <v>299.98</v>
      </c>
    </row>
    <row r="331" spans="1:5" x14ac:dyDescent="0.3">
      <c r="A331">
        <v>53127</v>
      </c>
      <c r="B331">
        <v>21239</v>
      </c>
      <c r="C331">
        <v>957</v>
      </c>
      <c r="D331">
        <v>1</v>
      </c>
      <c r="E331">
        <v>299.98</v>
      </c>
    </row>
    <row r="332" spans="1:5" x14ac:dyDescent="0.3">
      <c r="A332">
        <v>53125</v>
      </c>
      <c r="B332">
        <v>21239</v>
      </c>
      <c r="C332">
        <v>957</v>
      </c>
      <c r="D332">
        <v>1</v>
      </c>
      <c r="E332">
        <v>299.98</v>
      </c>
    </row>
    <row r="333" spans="1:5" x14ac:dyDescent="0.3">
      <c r="A333">
        <v>53126</v>
      </c>
      <c r="B333">
        <v>21239</v>
      </c>
      <c r="C333">
        <v>365</v>
      </c>
      <c r="D333">
        <v>3</v>
      </c>
      <c r="E333">
        <v>179.97</v>
      </c>
    </row>
    <row r="334" spans="1:5" x14ac:dyDescent="0.3">
      <c r="A334">
        <v>53124</v>
      </c>
      <c r="B334">
        <v>21239</v>
      </c>
      <c r="C334">
        <v>1073</v>
      </c>
      <c r="D334">
        <v>1</v>
      </c>
      <c r="E334">
        <v>199.99</v>
      </c>
    </row>
    <row r="335" spans="1:5" x14ac:dyDescent="0.3">
      <c r="A335">
        <v>53128</v>
      </c>
      <c r="B335">
        <v>21240</v>
      </c>
      <c r="C335">
        <v>1073</v>
      </c>
      <c r="D335">
        <v>1</v>
      </c>
      <c r="E335">
        <v>199.99</v>
      </c>
    </row>
    <row r="336" spans="1:5" x14ac:dyDescent="0.3">
      <c r="A336">
        <v>53165</v>
      </c>
      <c r="B336">
        <v>21257</v>
      </c>
      <c r="C336">
        <v>1073</v>
      </c>
      <c r="D336">
        <v>1</v>
      </c>
      <c r="E336">
        <v>199.99</v>
      </c>
    </row>
    <row r="337" spans="1:5" x14ac:dyDescent="0.3">
      <c r="A337">
        <v>53168</v>
      </c>
      <c r="B337">
        <v>21257</v>
      </c>
      <c r="C337">
        <v>191</v>
      </c>
      <c r="D337">
        <v>1</v>
      </c>
      <c r="E337">
        <v>99.99</v>
      </c>
    </row>
    <row r="338" spans="1:5" x14ac:dyDescent="0.3">
      <c r="A338">
        <v>53166</v>
      </c>
      <c r="B338">
        <v>21257</v>
      </c>
      <c r="C338">
        <v>957</v>
      </c>
      <c r="D338">
        <v>1</v>
      </c>
      <c r="E338">
        <v>299.98</v>
      </c>
    </row>
    <row r="339" spans="1:5" x14ac:dyDescent="0.3">
      <c r="A339">
        <v>53167</v>
      </c>
      <c r="B339">
        <v>21257</v>
      </c>
      <c r="C339">
        <v>1004</v>
      </c>
      <c r="D339">
        <v>1</v>
      </c>
      <c r="E339">
        <v>399.98</v>
      </c>
    </row>
    <row r="340" spans="1:5" x14ac:dyDescent="0.3">
      <c r="A340">
        <v>53164</v>
      </c>
      <c r="B340">
        <v>21257</v>
      </c>
      <c r="C340">
        <v>191</v>
      </c>
      <c r="D340">
        <v>5</v>
      </c>
      <c r="E340">
        <v>499.95</v>
      </c>
    </row>
    <row r="341" spans="1:5" x14ac:dyDescent="0.3">
      <c r="A341">
        <v>53213</v>
      </c>
      <c r="B341">
        <v>21276</v>
      </c>
      <c r="C341">
        <v>403</v>
      </c>
      <c r="D341">
        <v>1</v>
      </c>
      <c r="E341">
        <v>129.99</v>
      </c>
    </row>
    <row r="342" spans="1:5" x14ac:dyDescent="0.3">
      <c r="A342">
        <v>53212</v>
      </c>
      <c r="B342">
        <v>21276</v>
      </c>
      <c r="C342">
        <v>403</v>
      </c>
      <c r="D342">
        <v>1</v>
      </c>
      <c r="E342">
        <v>129.99</v>
      </c>
    </row>
    <row r="343" spans="1:5" x14ac:dyDescent="0.3">
      <c r="A343">
        <v>53214</v>
      </c>
      <c r="B343">
        <v>21276</v>
      </c>
      <c r="C343">
        <v>365</v>
      </c>
      <c r="D343">
        <v>2</v>
      </c>
      <c r="E343">
        <v>119.98</v>
      </c>
    </row>
    <row r="344" spans="1:5" x14ac:dyDescent="0.3">
      <c r="A344">
        <v>53215</v>
      </c>
      <c r="B344">
        <v>21276</v>
      </c>
      <c r="C344">
        <v>775</v>
      </c>
      <c r="D344">
        <v>4</v>
      </c>
      <c r="E344">
        <v>39.96</v>
      </c>
    </row>
    <row r="345" spans="1:5" x14ac:dyDescent="0.3">
      <c r="A345">
        <v>53211</v>
      </c>
      <c r="B345">
        <v>21276</v>
      </c>
      <c r="C345">
        <v>1014</v>
      </c>
      <c r="D345">
        <v>2</v>
      </c>
      <c r="E345">
        <v>99.96</v>
      </c>
    </row>
    <row r="346" spans="1:5" x14ac:dyDescent="0.3">
      <c r="A346">
        <v>53219</v>
      </c>
      <c r="B346">
        <v>21278</v>
      </c>
      <c r="C346">
        <v>282</v>
      </c>
      <c r="D346">
        <v>1</v>
      </c>
      <c r="E346">
        <v>31.99</v>
      </c>
    </row>
    <row r="347" spans="1:5" x14ac:dyDescent="0.3">
      <c r="A347">
        <v>53220</v>
      </c>
      <c r="B347">
        <v>21278</v>
      </c>
      <c r="C347">
        <v>365</v>
      </c>
      <c r="D347">
        <v>5</v>
      </c>
      <c r="E347">
        <v>299.95</v>
      </c>
    </row>
    <row r="348" spans="1:5" x14ac:dyDescent="0.3">
      <c r="A348">
        <v>53224</v>
      </c>
      <c r="B348">
        <v>21280</v>
      </c>
      <c r="C348">
        <v>44</v>
      </c>
      <c r="D348">
        <v>1</v>
      </c>
      <c r="E348">
        <v>59.99</v>
      </c>
    </row>
    <row r="349" spans="1:5" x14ac:dyDescent="0.3">
      <c r="A349">
        <v>53221</v>
      </c>
      <c r="B349">
        <v>21280</v>
      </c>
      <c r="C349">
        <v>957</v>
      </c>
      <c r="D349">
        <v>1</v>
      </c>
      <c r="E349">
        <v>299.98</v>
      </c>
    </row>
    <row r="350" spans="1:5" x14ac:dyDescent="0.3">
      <c r="A350">
        <v>53222</v>
      </c>
      <c r="B350">
        <v>21280</v>
      </c>
      <c r="C350">
        <v>191</v>
      </c>
      <c r="D350">
        <v>5</v>
      </c>
      <c r="E350">
        <v>499.95</v>
      </c>
    </row>
    <row r="351" spans="1:5" x14ac:dyDescent="0.3">
      <c r="A351">
        <v>53223</v>
      </c>
      <c r="B351">
        <v>21280</v>
      </c>
      <c r="C351">
        <v>502</v>
      </c>
      <c r="D351">
        <v>5</v>
      </c>
      <c r="E351">
        <v>250</v>
      </c>
    </row>
    <row r="352" spans="1:5" x14ac:dyDescent="0.3">
      <c r="A352">
        <v>53225</v>
      </c>
      <c r="B352">
        <v>21281</v>
      </c>
      <c r="C352">
        <v>897</v>
      </c>
      <c r="D352">
        <v>5</v>
      </c>
      <c r="E352">
        <v>124.95</v>
      </c>
    </row>
    <row r="353" spans="1:5" x14ac:dyDescent="0.3">
      <c r="A353">
        <v>53226</v>
      </c>
      <c r="B353">
        <v>21282</v>
      </c>
      <c r="C353">
        <v>403</v>
      </c>
      <c r="D353">
        <v>1</v>
      </c>
      <c r="E353">
        <v>129.99</v>
      </c>
    </row>
    <row r="354" spans="1:5" x14ac:dyDescent="0.3">
      <c r="A354">
        <v>53227</v>
      </c>
      <c r="B354">
        <v>21282</v>
      </c>
      <c r="C354">
        <v>627</v>
      </c>
      <c r="D354">
        <v>1</v>
      </c>
      <c r="E354">
        <v>39.99</v>
      </c>
    </row>
    <row r="355" spans="1:5" x14ac:dyDescent="0.3">
      <c r="A355">
        <v>53306</v>
      </c>
      <c r="B355">
        <v>21317</v>
      </c>
      <c r="C355">
        <v>403</v>
      </c>
      <c r="D355">
        <v>1</v>
      </c>
      <c r="E355">
        <v>129.99</v>
      </c>
    </row>
    <row r="356" spans="1:5" x14ac:dyDescent="0.3">
      <c r="A356">
        <v>53307</v>
      </c>
      <c r="B356">
        <v>21317</v>
      </c>
      <c r="C356">
        <v>365</v>
      </c>
      <c r="D356">
        <v>2</v>
      </c>
      <c r="E356">
        <v>119.98</v>
      </c>
    </row>
    <row r="357" spans="1:5" x14ac:dyDescent="0.3">
      <c r="A357">
        <v>53310</v>
      </c>
      <c r="B357">
        <v>21318</v>
      </c>
      <c r="C357">
        <v>403</v>
      </c>
      <c r="D357">
        <v>1</v>
      </c>
      <c r="E357">
        <v>129.99</v>
      </c>
    </row>
    <row r="358" spans="1:5" x14ac:dyDescent="0.3">
      <c r="A358">
        <v>53308</v>
      </c>
      <c r="B358">
        <v>21318</v>
      </c>
      <c r="C358">
        <v>957</v>
      </c>
      <c r="D358">
        <v>1</v>
      </c>
      <c r="E358">
        <v>299.98</v>
      </c>
    </row>
    <row r="359" spans="1:5" x14ac:dyDescent="0.3">
      <c r="A359">
        <v>53309</v>
      </c>
      <c r="B359">
        <v>21318</v>
      </c>
      <c r="C359">
        <v>1004</v>
      </c>
      <c r="D359">
        <v>1</v>
      </c>
      <c r="E359">
        <v>399.98</v>
      </c>
    </row>
    <row r="360" spans="1:5" x14ac:dyDescent="0.3">
      <c r="A360">
        <v>53311</v>
      </c>
      <c r="B360">
        <v>21319</v>
      </c>
      <c r="C360">
        <v>771</v>
      </c>
      <c r="D360">
        <v>2</v>
      </c>
      <c r="E360">
        <v>79.98</v>
      </c>
    </row>
    <row r="361" spans="1:5" x14ac:dyDescent="0.3">
      <c r="A361">
        <v>53314</v>
      </c>
      <c r="B361">
        <v>21319</v>
      </c>
      <c r="C361">
        <v>282</v>
      </c>
      <c r="D361">
        <v>2</v>
      </c>
      <c r="E361">
        <v>63.98</v>
      </c>
    </row>
    <row r="362" spans="1:5" x14ac:dyDescent="0.3">
      <c r="A362">
        <v>53312</v>
      </c>
      <c r="B362">
        <v>21319</v>
      </c>
      <c r="C362">
        <v>502</v>
      </c>
      <c r="D362">
        <v>3</v>
      </c>
      <c r="E362">
        <v>150</v>
      </c>
    </row>
    <row r="363" spans="1:5" x14ac:dyDescent="0.3">
      <c r="A363">
        <v>53313</v>
      </c>
      <c r="B363">
        <v>21319</v>
      </c>
      <c r="C363">
        <v>365</v>
      </c>
      <c r="D363">
        <v>4</v>
      </c>
      <c r="E363">
        <v>239.96</v>
      </c>
    </row>
    <row r="364" spans="1:5" x14ac:dyDescent="0.3">
      <c r="A364">
        <v>53315</v>
      </c>
      <c r="B364">
        <v>21320</v>
      </c>
      <c r="C364">
        <v>403</v>
      </c>
      <c r="D364">
        <v>1</v>
      </c>
      <c r="E364">
        <v>129.99</v>
      </c>
    </row>
    <row r="365" spans="1:5" x14ac:dyDescent="0.3">
      <c r="A365">
        <v>53317</v>
      </c>
      <c r="B365">
        <v>21321</v>
      </c>
      <c r="C365">
        <v>957</v>
      </c>
      <c r="D365">
        <v>1</v>
      </c>
      <c r="E365">
        <v>299.98</v>
      </c>
    </row>
    <row r="366" spans="1:5" x14ac:dyDescent="0.3">
      <c r="A366">
        <v>53316</v>
      </c>
      <c r="B366">
        <v>21321</v>
      </c>
      <c r="C366">
        <v>365</v>
      </c>
      <c r="D366">
        <v>4</v>
      </c>
      <c r="E366">
        <v>239.96</v>
      </c>
    </row>
    <row r="367" spans="1:5" x14ac:dyDescent="0.3">
      <c r="A367">
        <v>53318</v>
      </c>
      <c r="B367">
        <v>21322</v>
      </c>
      <c r="C367">
        <v>502</v>
      </c>
      <c r="D367">
        <v>4</v>
      </c>
      <c r="E367">
        <v>200</v>
      </c>
    </row>
    <row r="368" spans="1:5" x14ac:dyDescent="0.3">
      <c r="A368">
        <v>53417</v>
      </c>
      <c r="B368">
        <v>21361</v>
      </c>
      <c r="C368">
        <v>403</v>
      </c>
      <c r="D368">
        <v>1</v>
      </c>
      <c r="E368">
        <v>129.99</v>
      </c>
    </row>
    <row r="369" spans="1:5" x14ac:dyDescent="0.3">
      <c r="A369">
        <v>53414</v>
      </c>
      <c r="B369">
        <v>21361</v>
      </c>
      <c r="C369">
        <v>957</v>
      </c>
      <c r="D369">
        <v>1</v>
      </c>
      <c r="E369">
        <v>299.98</v>
      </c>
    </row>
    <row r="370" spans="1:5" x14ac:dyDescent="0.3">
      <c r="A370">
        <v>53415</v>
      </c>
      <c r="B370">
        <v>21361</v>
      </c>
      <c r="C370">
        <v>828</v>
      </c>
      <c r="D370">
        <v>4</v>
      </c>
      <c r="E370">
        <v>127.96</v>
      </c>
    </row>
    <row r="371" spans="1:5" x14ac:dyDescent="0.3">
      <c r="A371">
        <v>53418</v>
      </c>
      <c r="B371">
        <v>21361</v>
      </c>
      <c r="C371">
        <v>365</v>
      </c>
      <c r="D371">
        <v>5</v>
      </c>
      <c r="E371">
        <v>299.95</v>
      </c>
    </row>
    <row r="372" spans="1:5" x14ac:dyDescent="0.3">
      <c r="A372">
        <v>53416</v>
      </c>
      <c r="B372">
        <v>21361</v>
      </c>
      <c r="C372">
        <v>728</v>
      </c>
      <c r="D372">
        <v>5</v>
      </c>
      <c r="E372">
        <v>325</v>
      </c>
    </row>
    <row r="373" spans="1:5" x14ac:dyDescent="0.3">
      <c r="A373">
        <v>53420</v>
      </c>
      <c r="B373">
        <v>21362</v>
      </c>
      <c r="C373">
        <v>771</v>
      </c>
      <c r="D373">
        <v>5</v>
      </c>
      <c r="E373">
        <v>199.95</v>
      </c>
    </row>
    <row r="374" spans="1:5" x14ac:dyDescent="0.3">
      <c r="A374">
        <v>53419</v>
      </c>
      <c r="B374">
        <v>21362</v>
      </c>
      <c r="C374">
        <v>365</v>
      </c>
      <c r="D374">
        <v>2</v>
      </c>
      <c r="E374">
        <v>119.98</v>
      </c>
    </row>
    <row r="375" spans="1:5" x14ac:dyDescent="0.3">
      <c r="A375">
        <v>53421</v>
      </c>
      <c r="B375">
        <v>21363</v>
      </c>
      <c r="C375">
        <v>403</v>
      </c>
      <c r="D375">
        <v>1</v>
      </c>
      <c r="E375">
        <v>129.99</v>
      </c>
    </row>
    <row r="376" spans="1:5" x14ac:dyDescent="0.3">
      <c r="A376">
        <v>53449</v>
      </c>
      <c r="B376">
        <v>21374</v>
      </c>
      <c r="C376">
        <v>1073</v>
      </c>
      <c r="D376">
        <v>1</v>
      </c>
      <c r="E376">
        <v>199.99</v>
      </c>
    </row>
    <row r="377" spans="1:5" x14ac:dyDescent="0.3">
      <c r="A377">
        <v>53451</v>
      </c>
      <c r="B377">
        <v>21374</v>
      </c>
      <c r="C377">
        <v>1014</v>
      </c>
      <c r="D377">
        <v>5</v>
      </c>
      <c r="E377">
        <v>249.9</v>
      </c>
    </row>
    <row r="378" spans="1:5" x14ac:dyDescent="0.3">
      <c r="A378">
        <v>53450</v>
      </c>
      <c r="B378">
        <v>21374</v>
      </c>
      <c r="C378">
        <v>1014</v>
      </c>
      <c r="D378">
        <v>4</v>
      </c>
      <c r="E378">
        <v>199.92</v>
      </c>
    </row>
    <row r="379" spans="1:5" x14ac:dyDescent="0.3">
      <c r="A379">
        <v>53452</v>
      </c>
      <c r="B379">
        <v>21374</v>
      </c>
      <c r="C379">
        <v>191</v>
      </c>
      <c r="D379">
        <v>2</v>
      </c>
      <c r="E379">
        <v>199.98</v>
      </c>
    </row>
    <row r="380" spans="1:5" x14ac:dyDescent="0.3">
      <c r="A380">
        <v>53453</v>
      </c>
      <c r="B380">
        <v>21374</v>
      </c>
      <c r="C380">
        <v>905</v>
      </c>
      <c r="D380">
        <v>4</v>
      </c>
      <c r="E380">
        <v>99.96</v>
      </c>
    </row>
    <row r="381" spans="1:5" x14ac:dyDescent="0.3">
      <c r="A381">
        <v>53454</v>
      </c>
      <c r="B381">
        <v>21375</v>
      </c>
      <c r="C381">
        <v>1014</v>
      </c>
      <c r="D381">
        <v>4</v>
      </c>
      <c r="E381">
        <v>199.92</v>
      </c>
    </row>
    <row r="382" spans="1:5" x14ac:dyDescent="0.3">
      <c r="A382">
        <v>53455</v>
      </c>
      <c r="B382">
        <v>21375</v>
      </c>
      <c r="C382">
        <v>93</v>
      </c>
      <c r="D382">
        <v>1</v>
      </c>
      <c r="E382">
        <v>24.99</v>
      </c>
    </row>
    <row r="383" spans="1:5" x14ac:dyDescent="0.3">
      <c r="A383">
        <v>53456</v>
      </c>
      <c r="B383">
        <v>21376</v>
      </c>
      <c r="C383">
        <v>403</v>
      </c>
      <c r="D383">
        <v>1</v>
      </c>
      <c r="E383">
        <v>129.99</v>
      </c>
    </row>
    <row r="384" spans="1:5" x14ac:dyDescent="0.3">
      <c r="A384">
        <v>53457</v>
      </c>
      <c r="B384">
        <v>21377</v>
      </c>
      <c r="C384">
        <v>403</v>
      </c>
      <c r="D384">
        <v>1</v>
      </c>
      <c r="E384">
        <v>129.99</v>
      </c>
    </row>
    <row r="385" spans="1:5" x14ac:dyDescent="0.3">
      <c r="A385">
        <v>53458</v>
      </c>
      <c r="B385">
        <v>21377</v>
      </c>
      <c r="C385">
        <v>1004</v>
      </c>
      <c r="D385">
        <v>1</v>
      </c>
      <c r="E385">
        <v>399.98</v>
      </c>
    </row>
    <row r="386" spans="1:5" x14ac:dyDescent="0.3">
      <c r="A386">
        <v>53460</v>
      </c>
      <c r="B386">
        <v>21377</v>
      </c>
      <c r="C386">
        <v>365</v>
      </c>
      <c r="D386">
        <v>4</v>
      </c>
      <c r="E386">
        <v>239.96</v>
      </c>
    </row>
    <row r="387" spans="1:5" x14ac:dyDescent="0.3">
      <c r="A387">
        <v>53459</v>
      </c>
      <c r="B387">
        <v>21377</v>
      </c>
      <c r="C387">
        <v>1014</v>
      </c>
      <c r="D387">
        <v>4</v>
      </c>
      <c r="E387">
        <v>199.92</v>
      </c>
    </row>
    <row r="388" spans="1:5" x14ac:dyDescent="0.3">
      <c r="A388">
        <v>53461</v>
      </c>
      <c r="B388">
        <v>21378</v>
      </c>
      <c r="C388">
        <v>957</v>
      </c>
      <c r="D388">
        <v>1</v>
      </c>
      <c r="E388">
        <v>299.98</v>
      </c>
    </row>
    <row r="389" spans="1:5" x14ac:dyDescent="0.3">
      <c r="A389">
        <v>53464</v>
      </c>
      <c r="B389">
        <v>21380</v>
      </c>
      <c r="C389">
        <v>627</v>
      </c>
      <c r="D389">
        <v>1</v>
      </c>
      <c r="E389">
        <v>39.99</v>
      </c>
    </row>
    <row r="390" spans="1:5" x14ac:dyDescent="0.3">
      <c r="A390">
        <v>53463</v>
      </c>
      <c r="B390">
        <v>21380</v>
      </c>
      <c r="C390">
        <v>134</v>
      </c>
      <c r="D390">
        <v>3</v>
      </c>
      <c r="E390">
        <v>75</v>
      </c>
    </row>
    <row r="391" spans="1:5" x14ac:dyDescent="0.3">
      <c r="A391">
        <v>53462</v>
      </c>
      <c r="B391">
        <v>21380</v>
      </c>
      <c r="C391">
        <v>403</v>
      </c>
      <c r="D391">
        <v>1</v>
      </c>
      <c r="E391">
        <v>129.99</v>
      </c>
    </row>
    <row r="392" spans="1:5" x14ac:dyDescent="0.3">
      <c r="A392">
        <v>53468</v>
      </c>
      <c r="B392">
        <v>21384</v>
      </c>
      <c r="C392">
        <v>825</v>
      </c>
      <c r="D392">
        <v>5</v>
      </c>
      <c r="E392">
        <v>159.94999999999999</v>
      </c>
    </row>
    <row r="393" spans="1:5" x14ac:dyDescent="0.3">
      <c r="A393">
        <v>53470</v>
      </c>
      <c r="B393">
        <v>21384</v>
      </c>
      <c r="C393">
        <v>1004</v>
      </c>
      <c r="D393">
        <v>1</v>
      </c>
      <c r="E393">
        <v>399.98</v>
      </c>
    </row>
    <row r="394" spans="1:5" x14ac:dyDescent="0.3">
      <c r="A394">
        <v>53469</v>
      </c>
      <c r="B394">
        <v>21384</v>
      </c>
      <c r="C394">
        <v>502</v>
      </c>
      <c r="D394">
        <v>2</v>
      </c>
      <c r="E394">
        <v>100</v>
      </c>
    </row>
    <row r="395" spans="1:5" x14ac:dyDescent="0.3">
      <c r="A395">
        <v>53471</v>
      </c>
      <c r="B395">
        <v>21385</v>
      </c>
      <c r="C395">
        <v>1004</v>
      </c>
      <c r="D395">
        <v>1</v>
      </c>
      <c r="E395">
        <v>399.98</v>
      </c>
    </row>
    <row r="396" spans="1:5" x14ac:dyDescent="0.3">
      <c r="A396">
        <v>53472</v>
      </c>
      <c r="B396">
        <v>21385</v>
      </c>
      <c r="C396">
        <v>957</v>
      </c>
      <c r="D396">
        <v>1</v>
      </c>
      <c r="E396">
        <v>299.98</v>
      </c>
    </row>
    <row r="397" spans="1:5" x14ac:dyDescent="0.3">
      <c r="A397">
        <v>53474</v>
      </c>
      <c r="B397">
        <v>21386</v>
      </c>
      <c r="C397">
        <v>403</v>
      </c>
      <c r="D397">
        <v>1</v>
      </c>
      <c r="E397">
        <v>129.99</v>
      </c>
    </row>
    <row r="398" spans="1:5" x14ac:dyDescent="0.3">
      <c r="A398">
        <v>53475</v>
      </c>
      <c r="B398">
        <v>21386</v>
      </c>
      <c r="C398">
        <v>403</v>
      </c>
      <c r="D398">
        <v>1</v>
      </c>
      <c r="E398">
        <v>129.99</v>
      </c>
    </row>
    <row r="399" spans="1:5" x14ac:dyDescent="0.3">
      <c r="A399">
        <v>53476</v>
      </c>
      <c r="B399">
        <v>21386</v>
      </c>
      <c r="C399">
        <v>502</v>
      </c>
      <c r="D399">
        <v>3</v>
      </c>
      <c r="E399">
        <v>150</v>
      </c>
    </row>
    <row r="400" spans="1:5" x14ac:dyDescent="0.3">
      <c r="A400">
        <v>53473</v>
      </c>
      <c r="B400">
        <v>21386</v>
      </c>
      <c r="C400">
        <v>365</v>
      </c>
      <c r="D400">
        <v>5</v>
      </c>
      <c r="E400">
        <v>299.95</v>
      </c>
    </row>
    <row r="401" spans="1:5" x14ac:dyDescent="0.3">
      <c r="A401">
        <v>53530</v>
      </c>
      <c r="B401">
        <v>21407</v>
      </c>
      <c r="C401">
        <v>403</v>
      </c>
      <c r="D401">
        <v>1</v>
      </c>
      <c r="E401">
        <v>129.99</v>
      </c>
    </row>
    <row r="402" spans="1:5" x14ac:dyDescent="0.3">
      <c r="A402">
        <v>53529</v>
      </c>
      <c r="B402">
        <v>21407</v>
      </c>
      <c r="C402">
        <v>1073</v>
      </c>
      <c r="D402">
        <v>1</v>
      </c>
      <c r="E402">
        <v>199.99</v>
      </c>
    </row>
    <row r="403" spans="1:5" x14ac:dyDescent="0.3">
      <c r="A403">
        <v>53528</v>
      </c>
      <c r="B403">
        <v>21407</v>
      </c>
      <c r="C403">
        <v>1014</v>
      </c>
      <c r="D403">
        <v>1</v>
      </c>
      <c r="E403">
        <v>49.98</v>
      </c>
    </row>
    <row r="404" spans="1:5" x14ac:dyDescent="0.3">
      <c r="A404">
        <v>53531</v>
      </c>
      <c r="B404">
        <v>21408</v>
      </c>
      <c r="C404">
        <v>778</v>
      </c>
      <c r="D404">
        <v>1</v>
      </c>
      <c r="E404">
        <v>24.99</v>
      </c>
    </row>
    <row r="405" spans="1:5" x14ac:dyDescent="0.3">
      <c r="A405">
        <v>53533</v>
      </c>
      <c r="B405">
        <v>21408</v>
      </c>
      <c r="C405">
        <v>627</v>
      </c>
      <c r="D405">
        <v>1</v>
      </c>
      <c r="E405">
        <v>39.99</v>
      </c>
    </row>
    <row r="406" spans="1:5" x14ac:dyDescent="0.3">
      <c r="A406">
        <v>53532</v>
      </c>
      <c r="B406">
        <v>21408</v>
      </c>
      <c r="C406">
        <v>365</v>
      </c>
      <c r="D406">
        <v>2</v>
      </c>
      <c r="E406">
        <v>119.98</v>
      </c>
    </row>
    <row r="407" spans="1:5" x14ac:dyDescent="0.3">
      <c r="A407">
        <v>53546</v>
      </c>
      <c r="B407">
        <v>21412</v>
      </c>
      <c r="C407">
        <v>1004</v>
      </c>
      <c r="D407">
        <v>1</v>
      </c>
      <c r="E407">
        <v>399.98</v>
      </c>
    </row>
    <row r="408" spans="1:5" x14ac:dyDescent="0.3">
      <c r="A408">
        <v>53544</v>
      </c>
      <c r="B408">
        <v>21412</v>
      </c>
      <c r="C408">
        <v>957</v>
      </c>
      <c r="D408">
        <v>1</v>
      </c>
      <c r="E408">
        <v>299.98</v>
      </c>
    </row>
    <row r="409" spans="1:5" x14ac:dyDescent="0.3">
      <c r="A409">
        <v>53543</v>
      </c>
      <c r="B409">
        <v>21412</v>
      </c>
      <c r="C409">
        <v>957</v>
      </c>
      <c r="D409">
        <v>1</v>
      </c>
      <c r="E409">
        <v>299.98</v>
      </c>
    </row>
    <row r="410" spans="1:5" x14ac:dyDescent="0.3">
      <c r="A410">
        <v>53547</v>
      </c>
      <c r="B410">
        <v>21412</v>
      </c>
      <c r="C410">
        <v>502</v>
      </c>
      <c r="D410">
        <v>2</v>
      </c>
      <c r="E410">
        <v>100</v>
      </c>
    </row>
    <row r="411" spans="1:5" x14ac:dyDescent="0.3">
      <c r="A411">
        <v>53545</v>
      </c>
      <c r="B411">
        <v>21412</v>
      </c>
      <c r="C411">
        <v>1014</v>
      </c>
      <c r="D411">
        <v>2</v>
      </c>
      <c r="E411">
        <v>99.96</v>
      </c>
    </row>
    <row r="412" spans="1:5" x14ac:dyDescent="0.3">
      <c r="A412">
        <v>53551</v>
      </c>
      <c r="B412">
        <v>21413</v>
      </c>
      <c r="C412">
        <v>1073</v>
      </c>
      <c r="D412">
        <v>1</v>
      </c>
      <c r="E412">
        <v>199.99</v>
      </c>
    </row>
    <row r="413" spans="1:5" x14ac:dyDescent="0.3">
      <c r="A413">
        <v>53549</v>
      </c>
      <c r="B413">
        <v>21413</v>
      </c>
      <c r="C413">
        <v>1014</v>
      </c>
      <c r="D413">
        <v>3</v>
      </c>
      <c r="E413">
        <v>149.94</v>
      </c>
    </row>
    <row r="414" spans="1:5" x14ac:dyDescent="0.3">
      <c r="A414">
        <v>53548</v>
      </c>
      <c r="B414">
        <v>21413</v>
      </c>
      <c r="C414">
        <v>403</v>
      </c>
      <c r="D414">
        <v>1</v>
      </c>
      <c r="E414">
        <v>129.99</v>
      </c>
    </row>
    <row r="415" spans="1:5" x14ac:dyDescent="0.3">
      <c r="A415">
        <v>53550</v>
      </c>
      <c r="B415">
        <v>21413</v>
      </c>
      <c r="C415">
        <v>957</v>
      </c>
      <c r="D415">
        <v>1</v>
      </c>
      <c r="E415">
        <v>299.98</v>
      </c>
    </row>
    <row r="416" spans="1:5" x14ac:dyDescent="0.3">
      <c r="A416">
        <v>53552</v>
      </c>
      <c r="B416">
        <v>21413</v>
      </c>
      <c r="C416">
        <v>502</v>
      </c>
      <c r="D416">
        <v>4</v>
      </c>
      <c r="E416">
        <v>200</v>
      </c>
    </row>
    <row r="417" spans="1:5" x14ac:dyDescent="0.3">
      <c r="A417">
        <v>53556</v>
      </c>
      <c r="B417">
        <v>21414</v>
      </c>
      <c r="C417">
        <v>403</v>
      </c>
      <c r="D417">
        <v>1</v>
      </c>
      <c r="E417">
        <v>129.99</v>
      </c>
    </row>
    <row r="418" spans="1:5" x14ac:dyDescent="0.3">
      <c r="A418">
        <v>53554</v>
      </c>
      <c r="B418">
        <v>21414</v>
      </c>
      <c r="C418">
        <v>502</v>
      </c>
      <c r="D418">
        <v>1</v>
      </c>
      <c r="E418">
        <v>50</v>
      </c>
    </row>
    <row r="419" spans="1:5" x14ac:dyDescent="0.3">
      <c r="A419">
        <v>53553</v>
      </c>
      <c r="B419">
        <v>21414</v>
      </c>
      <c r="C419">
        <v>365</v>
      </c>
      <c r="D419">
        <v>4</v>
      </c>
      <c r="E419">
        <v>239.96</v>
      </c>
    </row>
    <row r="420" spans="1:5" x14ac:dyDescent="0.3">
      <c r="A420">
        <v>53555</v>
      </c>
      <c r="B420">
        <v>21414</v>
      </c>
      <c r="C420">
        <v>1014</v>
      </c>
      <c r="D420">
        <v>2</v>
      </c>
      <c r="E420">
        <v>99.96</v>
      </c>
    </row>
    <row r="421" spans="1:5" x14ac:dyDescent="0.3">
      <c r="A421">
        <v>53560</v>
      </c>
      <c r="B421">
        <v>21415</v>
      </c>
      <c r="C421">
        <v>191</v>
      </c>
      <c r="D421">
        <v>1</v>
      </c>
      <c r="E421">
        <v>99.99</v>
      </c>
    </row>
    <row r="422" spans="1:5" x14ac:dyDescent="0.3">
      <c r="A422">
        <v>53557</v>
      </c>
      <c r="B422">
        <v>21415</v>
      </c>
      <c r="C422">
        <v>403</v>
      </c>
      <c r="D422">
        <v>1</v>
      </c>
      <c r="E422">
        <v>129.99</v>
      </c>
    </row>
    <row r="423" spans="1:5" x14ac:dyDescent="0.3">
      <c r="A423">
        <v>53558</v>
      </c>
      <c r="B423">
        <v>21415</v>
      </c>
      <c r="C423">
        <v>1004</v>
      </c>
      <c r="D423">
        <v>1</v>
      </c>
      <c r="E423">
        <v>399.98</v>
      </c>
    </row>
    <row r="424" spans="1:5" x14ac:dyDescent="0.3">
      <c r="A424">
        <v>53559</v>
      </c>
      <c r="B424">
        <v>21415</v>
      </c>
      <c r="C424">
        <v>1073</v>
      </c>
      <c r="D424">
        <v>1</v>
      </c>
      <c r="E424">
        <v>199.99</v>
      </c>
    </row>
    <row r="425" spans="1:5" x14ac:dyDescent="0.3">
      <c r="A425">
        <v>53564</v>
      </c>
      <c r="B425">
        <v>21416</v>
      </c>
      <c r="C425">
        <v>1073</v>
      </c>
      <c r="D425">
        <v>1</v>
      </c>
      <c r="E425">
        <v>199.99</v>
      </c>
    </row>
    <row r="426" spans="1:5" x14ac:dyDescent="0.3">
      <c r="A426">
        <v>53561</v>
      </c>
      <c r="B426">
        <v>21416</v>
      </c>
      <c r="C426">
        <v>191</v>
      </c>
      <c r="D426">
        <v>1</v>
      </c>
      <c r="E426">
        <v>99.99</v>
      </c>
    </row>
    <row r="427" spans="1:5" x14ac:dyDescent="0.3">
      <c r="A427">
        <v>53562</v>
      </c>
      <c r="B427">
        <v>21416</v>
      </c>
      <c r="C427">
        <v>1004</v>
      </c>
      <c r="D427">
        <v>1</v>
      </c>
      <c r="E427">
        <v>399.98</v>
      </c>
    </row>
    <row r="428" spans="1:5" x14ac:dyDescent="0.3">
      <c r="A428">
        <v>53563</v>
      </c>
      <c r="B428">
        <v>21416</v>
      </c>
      <c r="C428">
        <v>627</v>
      </c>
      <c r="D428">
        <v>4</v>
      </c>
      <c r="E428">
        <v>159.96</v>
      </c>
    </row>
    <row r="429" spans="1:5" x14ac:dyDescent="0.3">
      <c r="A429">
        <v>53568</v>
      </c>
      <c r="B429">
        <v>21417</v>
      </c>
      <c r="C429">
        <v>1073</v>
      </c>
      <c r="D429">
        <v>1</v>
      </c>
      <c r="E429">
        <v>199.99</v>
      </c>
    </row>
    <row r="430" spans="1:5" x14ac:dyDescent="0.3">
      <c r="A430">
        <v>53566</v>
      </c>
      <c r="B430">
        <v>21417</v>
      </c>
      <c r="C430">
        <v>1014</v>
      </c>
      <c r="D430">
        <v>4</v>
      </c>
      <c r="E430">
        <v>199.92</v>
      </c>
    </row>
    <row r="431" spans="1:5" x14ac:dyDescent="0.3">
      <c r="A431">
        <v>53567</v>
      </c>
      <c r="B431">
        <v>21417</v>
      </c>
      <c r="C431">
        <v>403</v>
      </c>
      <c r="D431">
        <v>1</v>
      </c>
      <c r="E431">
        <v>129.99</v>
      </c>
    </row>
    <row r="432" spans="1:5" x14ac:dyDescent="0.3">
      <c r="A432">
        <v>53569</v>
      </c>
      <c r="B432">
        <v>21417</v>
      </c>
      <c r="C432">
        <v>191</v>
      </c>
      <c r="D432">
        <v>3</v>
      </c>
      <c r="E432">
        <v>299.97000000000003</v>
      </c>
    </row>
    <row r="433" spans="1:5" x14ac:dyDescent="0.3">
      <c r="A433">
        <v>53565</v>
      </c>
      <c r="B433">
        <v>21417</v>
      </c>
      <c r="C433">
        <v>627</v>
      </c>
      <c r="D433">
        <v>4</v>
      </c>
      <c r="E433">
        <v>159.96</v>
      </c>
    </row>
    <row r="434" spans="1:5" x14ac:dyDescent="0.3">
      <c r="A434">
        <v>53573</v>
      </c>
      <c r="B434">
        <v>21419</v>
      </c>
      <c r="C434">
        <v>365</v>
      </c>
      <c r="D434">
        <v>1</v>
      </c>
      <c r="E434">
        <v>59.99</v>
      </c>
    </row>
    <row r="435" spans="1:5" x14ac:dyDescent="0.3">
      <c r="A435">
        <v>53574</v>
      </c>
      <c r="B435">
        <v>21419</v>
      </c>
      <c r="C435">
        <v>403</v>
      </c>
      <c r="D435">
        <v>1</v>
      </c>
      <c r="E435">
        <v>129.99</v>
      </c>
    </row>
    <row r="436" spans="1:5" x14ac:dyDescent="0.3">
      <c r="A436">
        <v>53572</v>
      </c>
      <c r="B436">
        <v>21419</v>
      </c>
      <c r="C436">
        <v>957</v>
      </c>
      <c r="D436">
        <v>1</v>
      </c>
      <c r="E436">
        <v>299.98</v>
      </c>
    </row>
    <row r="437" spans="1:5" x14ac:dyDescent="0.3">
      <c r="A437">
        <v>53570</v>
      </c>
      <c r="B437">
        <v>21419</v>
      </c>
      <c r="C437">
        <v>502</v>
      </c>
      <c r="D437">
        <v>5</v>
      </c>
      <c r="E437">
        <v>250</v>
      </c>
    </row>
    <row r="438" spans="1:5" x14ac:dyDescent="0.3">
      <c r="A438">
        <v>53571</v>
      </c>
      <c r="B438">
        <v>21419</v>
      </c>
      <c r="C438">
        <v>1014</v>
      </c>
      <c r="D438">
        <v>1</v>
      </c>
      <c r="E438">
        <v>49.98</v>
      </c>
    </row>
    <row r="439" spans="1:5" x14ac:dyDescent="0.3">
      <c r="A439">
        <v>53578</v>
      </c>
      <c r="B439">
        <v>21420</v>
      </c>
      <c r="C439">
        <v>191</v>
      </c>
      <c r="D439">
        <v>1</v>
      </c>
      <c r="E439">
        <v>99.99</v>
      </c>
    </row>
    <row r="440" spans="1:5" x14ac:dyDescent="0.3">
      <c r="A440">
        <v>53577</v>
      </c>
      <c r="B440">
        <v>21420</v>
      </c>
      <c r="C440">
        <v>957</v>
      </c>
      <c r="D440">
        <v>1</v>
      </c>
      <c r="E440">
        <v>299.98</v>
      </c>
    </row>
    <row r="441" spans="1:5" x14ac:dyDescent="0.3">
      <c r="A441">
        <v>53576</v>
      </c>
      <c r="B441">
        <v>21420</v>
      </c>
      <c r="C441">
        <v>1004</v>
      </c>
      <c r="D441">
        <v>1</v>
      </c>
      <c r="E441">
        <v>399.98</v>
      </c>
    </row>
    <row r="442" spans="1:5" x14ac:dyDescent="0.3">
      <c r="A442">
        <v>53575</v>
      </c>
      <c r="B442">
        <v>21420</v>
      </c>
      <c r="C442">
        <v>1004</v>
      </c>
      <c r="D442">
        <v>1</v>
      </c>
      <c r="E442">
        <v>399.98</v>
      </c>
    </row>
    <row r="443" spans="1:5" x14ac:dyDescent="0.3">
      <c r="A443">
        <v>53580</v>
      </c>
      <c r="B443">
        <v>21421</v>
      </c>
      <c r="C443">
        <v>403</v>
      </c>
      <c r="D443">
        <v>1</v>
      </c>
      <c r="E443">
        <v>129.99</v>
      </c>
    </row>
    <row r="444" spans="1:5" x14ac:dyDescent="0.3">
      <c r="A444">
        <v>53579</v>
      </c>
      <c r="B444">
        <v>21421</v>
      </c>
      <c r="C444">
        <v>191</v>
      </c>
      <c r="D444">
        <v>4</v>
      </c>
      <c r="E444">
        <v>399.96</v>
      </c>
    </row>
    <row r="445" spans="1:5" x14ac:dyDescent="0.3">
      <c r="A445">
        <v>53582</v>
      </c>
      <c r="B445">
        <v>21421</v>
      </c>
      <c r="C445">
        <v>1014</v>
      </c>
      <c r="D445">
        <v>5</v>
      </c>
      <c r="E445">
        <v>249.9</v>
      </c>
    </row>
    <row r="446" spans="1:5" x14ac:dyDescent="0.3">
      <c r="A446">
        <v>53581</v>
      </c>
      <c r="B446">
        <v>21421</v>
      </c>
      <c r="C446">
        <v>1014</v>
      </c>
      <c r="D446">
        <v>4</v>
      </c>
      <c r="E446">
        <v>199.92</v>
      </c>
    </row>
    <row r="447" spans="1:5" x14ac:dyDescent="0.3">
      <c r="A447">
        <v>53585</v>
      </c>
      <c r="B447">
        <v>21422</v>
      </c>
      <c r="C447">
        <v>957</v>
      </c>
      <c r="D447">
        <v>1</v>
      </c>
      <c r="E447">
        <v>299.98</v>
      </c>
    </row>
    <row r="448" spans="1:5" x14ac:dyDescent="0.3">
      <c r="A448">
        <v>53584</v>
      </c>
      <c r="B448">
        <v>21422</v>
      </c>
      <c r="C448">
        <v>1004</v>
      </c>
      <c r="D448">
        <v>1</v>
      </c>
      <c r="E448">
        <v>399.98</v>
      </c>
    </row>
    <row r="449" spans="1:5" x14ac:dyDescent="0.3">
      <c r="A449">
        <v>53583</v>
      </c>
      <c r="B449">
        <v>21422</v>
      </c>
      <c r="C449">
        <v>1004</v>
      </c>
      <c r="D449">
        <v>1</v>
      </c>
      <c r="E449">
        <v>399.98</v>
      </c>
    </row>
    <row r="450" spans="1:5" x14ac:dyDescent="0.3">
      <c r="A450">
        <v>53586</v>
      </c>
      <c r="B450">
        <v>21422</v>
      </c>
      <c r="C450">
        <v>821</v>
      </c>
      <c r="D450">
        <v>2</v>
      </c>
      <c r="E450">
        <v>103.98</v>
      </c>
    </row>
    <row r="451" spans="1:5" x14ac:dyDescent="0.3">
      <c r="A451">
        <v>53696</v>
      </c>
      <c r="B451">
        <v>21468</v>
      </c>
      <c r="C451">
        <v>403</v>
      </c>
      <c r="D451">
        <v>1</v>
      </c>
      <c r="E451">
        <v>129.99</v>
      </c>
    </row>
    <row r="452" spans="1:5" x14ac:dyDescent="0.3">
      <c r="A452">
        <v>53697</v>
      </c>
      <c r="B452">
        <v>21469</v>
      </c>
      <c r="C452">
        <v>403</v>
      </c>
      <c r="D452">
        <v>1</v>
      </c>
      <c r="E452">
        <v>129.99</v>
      </c>
    </row>
    <row r="453" spans="1:5" x14ac:dyDescent="0.3">
      <c r="A453">
        <v>53699</v>
      </c>
      <c r="B453">
        <v>21469</v>
      </c>
      <c r="C453">
        <v>627</v>
      </c>
      <c r="D453">
        <v>3</v>
      </c>
      <c r="E453">
        <v>119.97</v>
      </c>
    </row>
    <row r="454" spans="1:5" x14ac:dyDescent="0.3">
      <c r="A454">
        <v>53698</v>
      </c>
      <c r="B454">
        <v>21469</v>
      </c>
      <c r="C454">
        <v>627</v>
      </c>
      <c r="D454">
        <v>4</v>
      </c>
      <c r="E454">
        <v>159.96</v>
      </c>
    </row>
    <row r="455" spans="1:5" x14ac:dyDescent="0.3">
      <c r="A455">
        <v>53700</v>
      </c>
      <c r="B455">
        <v>21469</v>
      </c>
      <c r="C455">
        <v>822</v>
      </c>
      <c r="D455">
        <v>5</v>
      </c>
      <c r="E455">
        <v>239.95</v>
      </c>
    </row>
    <row r="456" spans="1:5" x14ac:dyDescent="0.3">
      <c r="A456">
        <v>53701</v>
      </c>
      <c r="B456">
        <v>21469</v>
      </c>
      <c r="C456">
        <v>1073</v>
      </c>
      <c r="D456">
        <v>1</v>
      </c>
      <c r="E456">
        <v>199.99</v>
      </c>
    </row>
    <row r="457" spans="1:5" x14ac:dyDescent="0.3">
      <c r="A457">
        <v>53751</v>
      </c>
      <c r="B457">
        <v>21500</v>
      </c>
      <c r="C457">
        <v>1014</v>
      </c>
      <c r="D457">
        <v>5</v>
      </c>
      <c r="E457">
        <v>249.9</v>
      </c>
    </row>
    <row r="458" spans="1:5" x14ac:dyDescent="0.3">
      <c r="A458">
        <v>53753</v>
      </c>
      <c r="B458">
        <v>21504</v>
      </c>
      <c r="C458">
        <v>403</v>
      </c>
      <c r="D458">
        <v>1</v>
      </c>
      <c r="E458">
        <v>129.99</v>
      </c>
    </row>
    <row r="459" spans="1:5" x14ac:dyDescent="0.3">
      <c r="A459">
        <v>53754</v>
      </c>
      <c r="B459">
        <v>21504</v>
      </c>
      <c r="C459">
        <v>191</v>
      </c>
      <c r="D459">
        <v>2</v>
      </c>
      <c r="E459">
        <v>199.98</v>
      </c>
    </row>
    <row r="460" spans="1:5" x14ac:dyDescent="0.3">
      <c r="A460">
        <v>53755</v>
      </c>
      <c r="B460">
        <v>21504</v>
      </c>
      <c r="C460">
        <v>502</v>
      </c>
      <c r="D460">
        <v>5</v>
      </c>
      <c r="E460">
        <v>250</v>
      </c>
    </row>
    <row r="461" spans="1:5" x14ac:dyDescent="0.3">
      <c r="A461">
        <v>53759</v>
      </c>
      <c r="B461">
        <v>21505</v>
      </c>
      <c r="C461">
        <v>957</v>
      </c>
      <c r="D461">
        <v>1</v>
      </c>
      <c r="E461">
        <v>299.98</v>
      </c>
    </row>
    <row r="462" spans="1:5" x14ac:dyDescent="0.3">
      <c r="A462">
        <v>53757</v>
      </c>
      <c r="B462">
        <v>21505</v>
      </c>
      <c r="C462">
        <v>1004</v>
      </c>
      <c r="D462">
        <v>1</v>
      </c>
      <c r="E462">
        <v>399.98</v>
      </c>
    </row>
    <row r="463" spans="1:5" x14ac:dyDescent="0.3">
      <c r="A463">
        <v>53758</v>
      </c>
      <c r="B463">
        <v>21505</v>
      </c>
      <c r="C463">
        <v>1014</v>
      </c>
      <c r="D463">
        <v>4</v>
      </c>
      <c r="E463">
        <v>199.92</v>
      </c>
    </row>
    <row r="464" spans="1:5" x14ac:dyDescent="0.3">
      <c r="A464">
        <v>53756</v>
      </c>
      <c r="B464">
        <v>21505</v>
      </c>
      <c r="C464">
        <v>1014</v>
      </c>
      <c r="D464">
        <v>5</v>
      </c>
      <c r="E464">
        <v>249.9</v>
      </c>
    </row>
    <row r="465" spans="1:5" x14ac:dyDescent="0.3">
      <c r="A465">
        <v>53760</v>
      </c>
      <c r="B465">
        <v>21506</v>
      </c>
      <c r="C465">
        <v>365</v>
      </c>
      <c r="D465">
        <v>4</v>
      </c>
      <c r="E465">
        <v>239.96</v>
      </c>
    </row>
    <row r="466" spans="1:5" x14ac:dyDescent="0.3">
      <c r="A466">
        <v>53761</v>
      </c>
      <c r="B466">
        <v>21506</v>
      </c>
      <c r="C466">
        <v>1014</v>
      </c>
      <c r="D466">
        <v>1</v>
      </c>
      <c r="E466">
        <v>49.98</v>
      </c>
    </row>
    <row r="467" spans="1:5" x14ac:dyDescent="0.3">
      <c r="A467">
        <v>53767</v>
      </c>
      <c r="B467">
        <v>21509</v>
      </c>
      <c r="C467">
        <v>403</v>
      </c>
      <c r="D467">
        <v>1</v>
      </c>
      <c r="E467">
        <v>129.99</v>
      </c>
    </row>
    <row r="468" spans="1:5" x14ac:dyDescent="0.3">
      <c r="A468">
        <v>53766</v>
      </c>
      <c r="B468">
        <v>21509</v>
      </c>
      <c r="C468">
        <v>365</v>
      </c>
      <c r="D468">
        <v>4</v>
      </c>
      <c r="E468">
        <v>239.96</v>
      </c>
    </row>
    <row r="469" spans="1:5" x14ac:dyDescent="0.3">
      <c r="A469">
        <v>53769</v>
      </c>
      <c r="B469">
        <v>21509</v>
      </c>
      <c r="C469">
        <v>1014</v>
      </c>
      <c r="D469">
        <v>3</v>
      </c>
      <c r="E469">
        <v>149.94</v>
      </c>
    </row>
    <row r="470" spans="1:5" x14ac:dyDescent="0.3">
      <c r="A470">
        <v>53768</v>
      </c>
      <c r="B470">
        <v>21509</v>
      </c>
      <c r="C470">
        <v>1014</v>
      </c>
      <c r="D470">
        <v>2</v>
      </c>
      <c r="E470">
        <v>99.96</v>
      </c>
    </row>
    <row r="471" spans="1:5" x14ac:dyDescent="0.3">
      <c r="A471">
        <v>53770</v>
      </c>
      <c r="B471">
        <v>21510</v>
      </c>
      <c r="C471">
        <v>403</v>
      </c>
      <c r="D471">
        <v>1</v>
      </c>
      <c r="E471">
        <v>129.99</v>
      </c>
    </row>
    <row r="472" spans="1:5" x14ac:dyDescent="0.3">
      <c r="A472">
        <v>53771</v>
      </c>
      <c r="B472">
        <v>21511</v>
      </c>
      <c r="C472">
        <v>1014</v>
      </c>
      <c r="D472">
        <v>4</v>
      </c>
      <c r="E472">
        <v>199.92</v>
      </c>
    </row>
    <row r="473" spans="1:5" x14ac:dyDescent="0.3">
      <c r="A473">
        <v>53778</v>
      </c>
      <c r="B473">
        <v>21513</v>
      </c>
      <c r="C473">
        <v>957</v>
      </c>
      <c r="D473">
        <v>1</v>
      </c>
      <c r="E473">
        <v>299.98</v>
      </c>
    </row>
    <row r="474" spans="1:5" x14ac:dyDescent="0.3">
      <c r="A474">
        <v>53780</v>
      </c>
      <c r="B474">
        <v>21513</v>
      </c>
      <c r="C474">
        <v>1004</v>
      </c>
      <c r="D474">
        <v>1</v>
      </c>
      <c r="E474">
        <v>399.98</v>
      </c>
    </row>
    <row r="475" spans="1:5" x14ac:dyDescent="0.3">
      <c r="A475">
        <v>53779</v>
      </c>
      <c r="B475">
        <v>21513</v>
      </c>
      <c r="C475">
        <v>1004</v>
      </c>
      <c r="D475">
        <v>1</v>
      </c>
      <c r="E475">
        <v>399.98</v>
      </c>
    </row>
    <row r="476" spans="1:5" x14ac:dyDescent="0.3">
      <c r="A476">
        <v>53777</v>
      </c>
      <c r="B476">
        <v>21513</v>
      </c>
      <c r="C476">
        <v>365</v>
      </c>
      <c r="D476">
        <v>4</v>
      </c>
      <c r="E476">
        <v>239.96</v>
      </c>
    </row>
    <row r="477" spans="1:5" x14ac:dyDescent="0.3">
      <c r="A477">
        <v>53784</v>
      </c>
      <c r="B477">
        <v>21514</v>
      </c>
      <c r="C477">
        <v>1014</v>
      </c>
      <c r="D477">
        <v>2</v>
      </c>
      <c r="E477">
        <v>99.96</v>
      </c>
    </row>
    <row r="478" spans="1:5" x14ac:dyDescent="0.3">
      <c r="A478">
        <v>53783</v>
      </c>
      <c r="B478">
        <v>21514</v>
      </c>
      <c r="C478">
        <v>276</v>
      </c>
      <c r="D478">
        <v>1</v>
      </c>
      <c r="E478">
        <v>31.99</v>
      </c>
    </row>
    <row r="479" spans="1:5" x14ac:dyDescent="0.3">
      <c r="A479">
        <v>53781</v>
      </c>
      <c r="B479">
        <v>21514</v>
      </c>
      <c r="C479">
        <v>403</v>
      </c>
      <c r="D479">
        <v>1</v>
      </c>
      <c r="E479">
        <v>129.99</v>
      </c>
    </row>
    <row r="480" spans="1:5" x14ac:dyDescent="0.3">
      <c r="A480">
        <v>53782</v>
      </c>
      <c r="B480">
        <v>21514</v>
      </c>
      <c r="C480">
        <v>365</v>
      </c>
      <c r="D480">
        <v>1</v>
      </c>
      <c r="E480">
        <v>59.99</v>
      </c>
    </row>
    <row r="481" spans="1:5" x14ac:dyDescent="0.3">
      <c r="A481">
        <v>53785</v>
      </c>
      <c r="B481">
        <v>21514</v>
      </c>
      <c r="C481">
        <v>627</v>
      </c>
      <c r="D481">
        <v>3</v>
      </c>
      <c r="E481">
        <v>119.97</v>
      </c>
    </row>
    <row r="482" spans="1:5" x14ac:dyDescent="0.3">
      <c r="A482">
        <v>53892</v>
      </c>
      <c r="B482">
        <v>21557</v>
      </c>
      <c r="C482">
        <v>778</v>
      </c>
      <c r="D482">
        <v>1</v>
      </c>
      <c r="E482">
        <v>24.99</v>
      </c>
    </row>
    <row r="483" spans="1:5" x14ac:dyDescent="0.3">
      <c r="A483">
        <v>53890</v>
      </c>
      <c r="B483">
        <v>21557</v>
      </c>
      <c r="C483">
        <v>276</v>
      </c>
      <c r="D483">
        <v>1</v>
      </c>
      <c r="E483">
        <v>31.99</v>
      </c>
    </row>
    <row r="484" spans="1:5" x14ac:dyDescent="0.3">
      <c r="A484">
        <v>53889</v>
      </c>
      <c r="B484">
        <v>21557</v>
      </c>
      <c r="C484">
        <v>365</v>
      </c>
      <c r="D484">
        <v>2</v>
      </c>
      <c r="E484">
        <v>119.98</v>
      </c>
    </row>
    <row r="485" spans="1:5" x14ac:dyDescent="0.3">
      <c r="A485">
        <v>53891</v>
      </c>
      <c r="B485">
        <v>21557</v>
      </c>
      <c r="C485">
        <v>502</v>
      </c>
      <c r="D485">
        <v>2</v>
      </c>
      <c r="E485">
        <v>100</v>
      </c>
    </row>
    <row r="486" spans="1:5" x14ac:dyDescent="0.3">
      <c r="A486">
        <v>53893</v>
      </c>
      <c r="B486">
        <v>21557</v>
      </c>
      <c r="C486">
        <v>365</v>
      </c>
      <c r="D486">
        <v>4</v>
      </c>
      <c r="E486">
        <v>239.96</v>
      </c>
    </row>
    <row r="487" spans="1:5" x14ac:dyDescent="0.3">
      <c r="A487">
        <v>53894</v>
      </c>
      <c r="B487">
        <v>21558</v>
      </c>
      <c r="C487">
        <v>1004</v>
      </c>
      <c r="D487">
        <v>1</v>
      </c>
      <c r="E487">
        <v>399.98</v>
      </c>
    </row>
    <row r="488" spans="1:5" x14ac:dyDescent="0.3">
      <c r="A488">
        <v>53895</v>
      </c>
      <c r="B488">
        <v>21558</v>
      </c>
      <c r="C488">
        <v>365</v>
      </c>
      <c r="D488">
        <v>5</v>
      </c>
      <c r="E488">
        <v>299.95</v>
      </c>
    </row>
    <row r="489" spans="1:5" x14ac:dyDescent="0.3">
      <c r="A489">
        <v>53896</v>
      </c>
      <c r="B489">
        <v>21558</v>
      </c>
      <c r="C489">
        <v>1014</v>
      </c>
      <c r="D489">
        <v>2</v>
      </c>
      <c r="E489">
        <v>99.96</v>
      </c>
    </row>
    <row r="490" spans="1:5" x14ac:dyDescent="0.3">
      <c r="A490">
        <v>53954</v>
      </c>
      <c r="B490">
        <v>21579</v>
      </c>
      <c r="C490">
        <v>957</v>
      </c>
      <c r="D490">
        <v>1</v>
      </c>
      <c r="E490">
        <v>299.98</v>
      </c>
    </row>
    <row r="491" spans="1:5" x14ac:dyDescent="0.3">
      <c r="A491">
        <v>53952</v>
      </c>
      <c r="B491">
        <v>21579</v>
      </c>
      <c r="C491">
        <v>191</v>
      </c>
      <c r="D491">
        <v>2</v>
      </c>
      <c r="E491">
        <v>199.98</v>
      </c>
    </row>
    <row r="492" spans="1:5" x14ac:dyDescent="0.3">
      <c r="A492">
        <v>53955</v>
      </c>
      <c r="B492">
        <v>21579</v>
      </c>
      <c r="C492">
        <v>502</v>
      </c>
      <c r="D492">
        <v>2</v>
      </c>
      <c r="E492">
        <v>100</v>
      </c>
    </row>
    <row r="493" spans="1:5" x14ac:dyDescent="0.3">
      <c r="A493">
        <v>53953</v>
      </c>
      <c r="B493">
        <v>21579</v>
      </c>
      <c r="C493">
        <v>1073</v>
      </c>
      <c r="D493">
        <v>1</v>
      </c>
      <c r="E493">
        <v>199.99</v>
      </c>
    </row>
    <row r="494" spans="1:5" x14ac:dyDescent="0.3">
      <c r="A494">
        <v>54004</v>
      </c>
      <c r="B494">
        <v>21601</v>
      </c>
      <c r="C494">
        <v>821</v>
      </c>
      <c r="D494">
        <v>3</v>
      </c>
      <c r="E494">
        <v>155.97</v>
      </c>
    </row>
    <row r="495" spans="1:5" x14ac:dyDescent="0.3">
      <c r="A495">
        <v>54005</v>
      </c>
      <c r="B495">
        <v>21601</v>
      </c>
      <c r="C495">
        <v>365</v>
      </c>
      <c r="D495">
        <v>5</v>
      </c>
      <c r="E495">
        <v>299.95</v>
      </c>
    </row>
    <row r="496" spans="1:5" x14ac:dyDescent="0.3">
      <c r="A496">
        <v>54006</v>
      </c>
      <c r="B496">
        <v>21601</v>
      </c>
      <c r="C496">
        <v>627</v>
      </c>
      <c r="D496">
        <v>5</v>
      </c>
      <c r="E496">
        <v>199.95</v>
      </c>
    </row>
    <row r="497" spans="1:5" x14ac:dyDescent="0.3">
      <c r="A497">
        <v>54078</v>
      </c>
      <c r="B497">
        <v>21625</v>
      </c>
      <c r="C497">
        <v>403</v>
      </c>
      <c r="D497">
        <v>1</v>
      </c>
      <c r="E497">
        <v>129.99</v>
      </c>
    </row>
    <row r="498" spans="1:5" x14ac:dyDescent="0.3">
      <c r="A498">
        <v>54079</v>
      </c>
      <c r="B498">
        <v>21625</v>
      </c>
      <c r="C498">
        <v>1004</v>
      </c>
      <c r="D498">
        <v>1</v>
      </c>
      <c r="E498">
        <v>399.98</v>
      </c>
    </row>
    <row r="499" spans="1:5" x14ac:dyDescent="0.3">
      <c r="A499">
        <v>54077</v>
      </c>
      <c r="B499">
        <v>21625</v>
      </c>
      <c r="C499">
        <v>1073</v>
      </c>
      <c r="D499">
        <v>1</v>
      </c>
      <c r="E499">
        <v>199.99</v>
      </c>
    </row>
    <row r="500" spans="1:5" x14ac:dyDescent="0.3">
      <c r="A500">
        <v>54076</v>
      </c>
      <c r="B500">
        <v>21625</v>
      </c>
      <c r="C500">
        <v>1014</v>
      </c>
      <c r="D500">
        <v>4</v>
      </c>
      <c r="E500">
        <v>199.92</v>
      </c>
    </row>
    <row r="501" spans="1:5" x14ac:dyDescent="0.3">
      <c r="A501">
        <v>54260</v>
      </c>
      <c r="B501">
        <v>21691</v>
      </c>
      <c r="C501">
        <v>365</v>
      </c>
      <c r="D501">
        <v>2</v>
      </c>
      <c r="E501">
        <v>119.98</v>
      </c>
    </row>
    <row r="502" spans="1:5" x14ac:dyDescent="0.3">
      <c r="A502">
        <v>54262</v>
      </c>
      <c r="B502">
        <v>21691</v>
      </c>
      <c r="C502">
        <v>818</v>
      </c>
      <c r="D502">
        <v>2</v>
      </c>
      <c r="E502">
        <v>95.98</v>
      </c>
    </row>
    <row r="503" spans="1:5" x14ac:dyDescent="0.3">
      <c r="A503">
        <v>54261</v>
      </c>
      <c r="B503">
        <v>21691</v>
      </c>
      <c r="C503">
        <v>403</v>
      </c>
      <c r="D503">
        <v>1</v>
      </c>
      <c r="E503">
        <v>129.99</v>
      </c>
    </row>
    <row r="504" spans="1:5" x14ac:dyDescent="0.3">
      <c r="A504">
        <v>54263</v>
      </c>
      <c r="B504">
        <v>21691</v>
      </c>
      <c r="C504">
        <v>1004</v>
      </c>
      <c r="D504">
        <v>1</v>
      </c>
      <c r="E504">
        <v>399.98</v>
      </c>
    </row>
    <row r="505" spans="1:5" x14ac:dyDescent="0.3">
      <c r="A505">
        <v>54265</v>
      </c>
      <c r="B505">
        <v>21692</v>
      </c>
      <c r="C505">
        <v>1004</v>
      </c>
      <c r="D505">
        <v>1</v>
      </c>
      <c r="E505">
        <v>399.98</v>
      </c>
    </row>
    <row r="506" spans="1:5" x14ac:dyDescent="0.3">
      <c r="A506">
        <v>54266</v>
      </c>
      <c r="B506">
        <v>21692</v>
      </c>
      <c r="C506">
        <v>502</v>
      </c>
      <c r="D506">
        <v>2</v>
      </c>
      <c r="E506">
        <v>100</v>
      </c>
    </row>
    <row r="507" spans="1:5" x14ac:dyDescent="0.3">
      <c r="A507">
        <v>54264</v>
      </c>
      <c r="B507">
        <v>21692</v>
      </c>
      <c r="C507">
        <v>797</v>
      </c>
      <c r="D507">
        <v>2</v>
      </c>
      <c r="E507">
        <v>35.979999999999997</v>
      </c>
    </row>
    <row r="508" spans="1:5" x14ac:dyDescent="0.3">
      <c r="A508">
        <v>54270</v>
      </c>
      <c r="B508">
        <v>21693</v>
      </c>
      <c r="C508">
        <v>502</v>
      </c>
      <c r="D508">
        <v>5</v>
      </c>
      <c r="E508">
        <v>250</v>
      </c>
    </row>
    <row r="509" spans="1:5" x14ac:dyDescent="0.3">
      <c r="A509">
        <v>54269</v>
      </c>
      <c r="B509">
        <v>21693</v>
      </c>
      <c r="C509">
        <v>502</v>
      </c>
      <c r="D509">
        <v>5</v>
      </c>
      <c r="E509">
        <v>250</v>
      </c>
    </row>
    <row r="510" spans="1:5" x14ac:dyDescent="0.3">
      <c r="A510">
        <v>54267</v>
      </c>
      <c r="B510">
        <v>21693</v>
      </c>
      <c r="C510">
        <v>1004</v>
      </c>
      <c r="D510">
        <v>1</v>
      </c>
      <c r="E510">
        <v>399.98</v>
      </c>
    </row>
    <row r="511" spans="1:5" x14ac:dyDescent="0.3">
      <c r="A511">
        <v>54268</v>
      </c>
      <c r="B511">
        <v>21693</v>
      </c>
      <c r="C511">
        <v>235</v>
      </c>
      <c r="D511">
        <v>3</v>
      </c>
      <c r="E511">
        <v>104.97</v>
      </c>
    </row>
    <row r="512" spans="1:5" x14ac:dyDescent="0.3">
      <c r="A512">
        <v>54310</v>
      </c>
      <c r="B512">
        <v>21708</v>
      </c>
      <c r="C512">
        <v>1014</v>
      </c>
      <c r="D512">
        <v>5</v>
      </c>
      <c r="E512">
        <v>249.9</v>
      </c>
    </row>
    <row r="513" spans="1:5" x14ac:dyDescent="0.3">
      <c r="A513">
        <v>54309</v>
      </c>
      <c r="B513">
        <v>21708</v>
      </c>
      <c r="C513">
        <v>627</v>
      </c>
      <c r="D513">
        <v>1</v>
      </c>
      <c r="E513">
        <v>39.99</v>
      </c>
    </row>
    <row r="514" spans="1:5" x14ac:dyDescent="0.3">
      <c r="A514">
        <v>54307</v>
      </c>
      <c r="B514">
        <v>21708</v>
      </c>
      <c r="C514">
        <v>1004</v>
      </c>
      <c r="D514">
        <v>1</v>
      </c>
      <c r="E514">
        <v>399.98</v>
      </c>
    </row>
    <row r="515" spans="1:5" x14ac:dyDescent="0.3">
      <c r="A515">
        <v>54308</v>
      </c>
      <c r="B515">
        <v>21708</v>
      </c>
      <c r="C515">
        <v>957</v>
      </c>
      <c r="D515">
        <v>1</v>
      </c>
      <c r="E515">
        <v>299.98</v>
      </c>
    </row>
    <row r="516" spans="1:5" x14ac:dyDescent="0.3">
      <c r="A516">
        <v>54353</v>
      </c>
      <c r="B516">
        <v>21723</v>
      </c>
      <c r="C516">
        <v>502</v>
      </c>
      <c r="D516">
        <v>4</v>
      </c>
      <c r="E516">
        <v>200</v>
      </c>
    </row>
    <row r="517" spans="1:5" x14ac:dyDescent="0.3">
      <c r="A517">
        <v>54360</v>
      </c>
      <c r="B517">
        <v>21726</v>
      </c>
      <c r="C517">
        <v>957</v>
      </c>
      <c r="D517">
        <v>1</v>
      </c>
      <c r="E517">
        <v>299.98</v>
      </c>
    </row>
    <row r="518" spans="1:5" x14ac:dyDescent="0.3">
      <c r="A518">
        <v>54361</v>
      </c>
      <c r="B518">
        <v>21726</v>
      </c>
      <c r="C518">
        <v>1004</v>
      </c>
      <c r="D518">
        <v>1</v>
      </c>
      <c r="E518">
        <v>399.98</v>
      </c>
    </row>
    <row r="519" spans="1:5" x14ac:dyDescent="0.3">
      <c r="A519">
        <v>54359</v>
      </c>
      <c r="B519">
        <v>21726</v>
      </c>
      <c r="C519">
        <v>1004</v>
      </c>
      <c r="D519">
        <v>1</v>
      </c>
      <c r="E519">
        <v>399.98</v>
      </c>
    </row>
    <row r="520" spans="1:5" x14ac:dyDescent="0.3">
      <c r="A520">
        <v>54358</v>
      </c>
      <c r="B520">
        <v>21726</v>
      </c>
      <c r="C520">
        <v>1004</v>
      </c>
      <c r="D520">
        <v>1</v>
      </c>
      <c r="E520">
        <v>399.98</v>
      </c>
    </row>
    <row r="521" spans="1:5" x14ac:dyDescent="0.3">
      <c r="A521">
        <v>54390</v>
      </c>
      <c r="B521">
        <v>21738</v>
      </c>
      <c r="C521">
        <v>1073</v>
      </c>
      <c r="D521">
        <v>1</v>
      </c>
      <c r="E521">
        <v>199.99</v>
      </c>
    </row>
    <row r="522" spans="1:5" x14ac:dyDescent="0.3">
      <c r="A522">
        <v>54389</v>
      </c>
      <c r="B522">
        <v>21738</v>
      </c>
      <c r="C522">
        <v>365</v>
      </c>
      <c r="D522">
        <v>3</v>
      </c>
      <c r="E522">
        <v>179.97</v>
      </c>
    </row>
    <row r="523" spans="1:5" x14ac:dyDescent="0.3">
      <c r="A523">
        <v>54391</v>
      </c>
      <c r="B523">
        <v>21738</v>
      </c>
      <c r="C523">
        <v>37</v>
      </c>
      <c r="D523">
        <v>4</v>
      </c>
      <c r="E523">
        <v>139.96</v>
      </c>
    </row>
    <row r="524" spans="1:5" x14ac:dyDescent="0.3">
      <c r="A524">
        <v>54392</v>
      </c>
      <c r="B524">
        <v>21739</v>
      </c>
      <c r="C524">
        <v>1073</v>
      </c>
      <c r="D524">
        <v>1</v>
      </c>
      <c r="E524">
        <v>199.99</v>
      </c>
    </row>
    <row r="525" spans="1:5" x14ac:dyDescent="0.3">
      <c r="A525">
        <v>54393</v>
      </c>
      <c r="B525">
        <v>21739</v>
      </c>
      <c r="C525">
        <v>502</v>
      </c>
      <c r="D525">
        <v>4</v>
      </c>
      <c r="E525">
        <v>200</v>
      </c>
    </row>
    <row r="526" spans="1:5" x14ac:dyDescent="0.3">
      <c r="A526">
        <v>54412</v>
      </c>
      <c r="B526">
        <v>21746</v>
      </c>
      <c r="C526">
        <v>365</v>
      </c>
      <c r="D526">
        <v>2</v>
      </c>
      <c r="E526">
        <v>119.98</v>
      </c>
    </row>
    <row r="527" spans="1:5" x14ac:dyDescent="0.3">
      <c r="A527">
        <v>54497</v>
      </c>
      <c r="B527">
        <v>21787</v>
      </c>
      <c r="C527">
        <v>1073</v>
      </c>
      <c r="D527">
        <v>1</v>
      </c>
      <c r="E527">
        <v>199.99</v>
      </c>
    </row>
    <row r="528" spans="1:5" x14ac:dyDescent="0.3">
      <c r="A528">
        <v>54501</v>
      </c>
      <c r="B528">
        <v>21790</v>
      </c>
      <c r="C528">
        <v>1073</v>
      </c>
      <c r="D528">
        <v>1</v>
      </c>
      <c r="E528">
        <v>199.99</v>
      </c>
    </row>
    <row r="529" spans="1:5" x14ac:dyDescent="0.3">
      <c r="A529">
        <v>54500</v>
      </c>
      <c r="B529">
        <v>21790</v>
      </c>
      <c r="C529">
        <v>502</v>
      </c>
      <c r="D529">
        <v>1</v>
      </c>
      <c r="E529">
        <v>50</v>
      </c>
    </row>
    <row r="530" spans="1:5" x14ac:dyDescent="0.3">
      <c r="A530">
        <v>54502</v>
      </c>
      <c r="B530">
        <v>21790</v>
      </c>
      <c r="C530">
        <v>957</v>
      </c>
      <c r="D530">
        <v>1</v>
      </c>
      <c r="E530">
        <v>299.98</v>
      </c>
    </row>
    <row r="531" spans="1:5" x14ac:dyDescent="0.3">
      <c r="A531">
        <v>54499</v>
      </c>
      <c r="B531">
        <v>21790</v>
      </c>
      <c r="C531">
        <v>957</v>
      </c>
      <c r="D531">
        <v>1</v>
      </c>
      <c r="E531">
        <v>299.98</v>
      </c>
    </row>
    <row r="532" spans="1:5" x14ac:dyDescent="0.3">
      <c r="A532">
        <v>54548</v>
      </c>
      <c r="B532">
        <v>21810</v>
      </c>
      <c r="C532">
        <v>365</v>
      </c>
      <c r="D532">
        <v>1</v>
      </c>
      <c r="E532">
        <v>59.99</v>
      </c>
    </row>
    <row r="533" spans="1:5" x14ac:dyDescent="0.3">
      <c r="A533">
        <v>54545</v>
      </c>
      <c r="B533">
        <v>21810</v>
      </c>
      <c r="C533">
        <v>1004</v>
      </c>
      <c r="D533">
        <v>1</v>
      </c>
      <c r="E533">
        <v>399.98</v>
      </c>
    </row>
    <row r="534" spans="1:5" x14ac:dyDescent="0.3">
      <c r="A534">
        <v>54547</v>
      </c>
      <c r="B534">
        <v>21810</v>
      </c>
      <c r="C534">
        <v>172</v>
      </c>
      <c r="D534">
        <v>2</v>
      </c>
      <c r="E534">
        <v>60</v>
      </c>
    </row>
    <row r="535" spans="1:5" x14ac:dyDescent="0.3">
      <c r="A535">
        <v>54546</v>
      </c>
      <c r="B535">
        <v>21810</v>
      </c>
      <c r="C535">
        <v>502</v>
      </c>
      <c r="D535">
        <v>3</v>
      </c>
      <c r="E535">
        <v>150</v>
      </c>
    </row>
    <row r="536" spans="1:5" x14ac:dyDescent="0.3">
      <c r="A536">
        <v>54544</v>
      </c>
      <c r="B536">
        <v>21810</v>
      </c>
      <c r="C536">
        <v>885</v>
      </c>
      <c r="D536">
        <v>3</v>
      </c>
      <c r="E536">
        <v>74.97</v>
      </c>
    </row>
    <row r="537" spans="1:5" x14ac:dyDescent="0.3">
      <c r="A537">
        <v>54550</v>
      </c>
      <c r="B537">
        <v>21812</v>
      </c>
      <c r="C537">
        <v>403</v>
      </c>
      <c r="D537">
        <v>1</v>
      </c>
      <c r="E537">
        <v>129.99</v>
      </c>
    </row>
    <row r="538" spans="1:5" x14ac:dyDescent="0.3">
      <c r="A538">
        <v>54653</v>
      </c>
      <c r="B538">
        <v>21853</v>
      </c>
      <c r="C538">
        <v>191</v>
      </c>
      <c r="D538">
        <v>1</v>
      </c>
      <c r="E538">
        <v>99.99</v>
      </c>
    </row>
    <row r="539" spans="1:5" x14ac:dyDescent="0.3">
      <c r="A539">
        <v>54652</v>
      </c>
      <c r="B539">
        <v>21853</v>
      </c>
      <c r="C539">
        <v>365</v>
      </c>
      <c r="D539">
        <v>1</v>
      </c>
      <c r="E539">
        <v>59.99</v>
      </c>
    </row>
    <row r="540" spans="1:5" x14ac:dyDescent="0.3">
      <c r="A540">
        <v>54651</v>
      </c>
      <c r="B540">
        <v>21853</v>
      </c>
      <c r="C540">
        <v>1014</v>
      </c>
      <c r="D540">
        <v>3</v>
      </c>
      <c r="E540">
        <v>149.94</v>
      </c>
    </row>
    <row r="541" spans="1:5" x14ac:dyDescent="0.3">
      <c r="A541">
        <v>54650</v>
      </c>
      <c r="B541">
        <v>21853</v>
      </c>
      <c r="C541">
        <v>1014</v>
      </c>
      <c r="D541">
        <v>5</v>
      </c>
      <c r="E541">
        <v>249.9</v>
      </c>
    </row>
    <row r="542" spans="1:5" x14ac:dyDescent="0.3">
      <c r="A542">
        <v>54729</v>
      </c>
      <c r="B542">
        <v>21883</v>
      </c>
      <c r="C542">
        <v>1014</v>
      </c>
      <c r="D542">
        <v>1</v>
      </c>
      <c r="E542">
        <v>49.98</v>
      </c>
    </row>
    <row r="543" spans="1:5" x14ac:dyDescent="0.3">
      <c r="A543">
        <v>54735</v>
      </c>
      <c r="B543">
        <v>21887</v>
      </c>
      <c r="C543">
        <v>403</v>
      </c>
      <c r="D543">
        <v>1</v>
      </c>
      <c r="E543">
        <v>129.99</v>
      </c>
    </row>
    <row r="544" spans="1:5" x14ac:dyDescent="0.3">
      <c r="A544">
        <v>54736</v>
      </c>
      <c r="B544">
        <v>21887</v>
      </c>
      <c r="C544">
        <v>627</v>
      </c>
      <c r="D544">
        <v>4</v>
      </c>
      <c r="E544">
        <v>159.96</v>
      </c>
    </row>
    <row r="545" spans="1:5" x14ac:dyDescent="0.3">
      <c r="A545">
        <v>54737</v>
      </c>
      <c r="B545">
        <v>21887</v>
      </c>
      <c r="C545">
        <v>1014</v>
      </c>
      <c r="D545">
        <v>1</v>
      </c>
      <c r="E545">
        <v>49.98</v>
      </c>
    </row>
    <row r="546" spans="1:5" x14ac:dyDescent="0.3">
      <c r="A546">
        <v>54740</v>
      </c>
      <c r="B546">
        <v>21888</v>
      </c>
      <c r="C546">
        <v>1004</v>
      </c>
      <c r="D546">
        <v>1</v>
      </c>
      <c r="E546">
        <v>399.98</v>
      </c>
    </row>
    <row r="547" spans="1:5" x14ac:dyDescent="0.3">
      <c r="A547">
        <v>54738</v>
      </c>
      <c r="B547">
        <v>21888</v>
      </c>
      <c r="C547">
        <v>905</v>
      </c>
      <c r="D547">
        <v>3</v>
      </c>
      <c r="E547">
        <v>74.97</v>
      </c>
    </row>
    <row r="548" spans="1:5" x14ac:dyDescent="0.3">
      <c r="A548">
        <v>54739</v>
      </c>
      <c r="B548">
        <v>21888</v>
      </c>
      <c r="C548">
        <v>365</v>
      </c>
      <c r="D548">
        <v>5</v>
      </c>
      <c r="E548">
        <v>299.95</v>
      </c>
    </row>
    <row r="549" spans="1:5" x14ac:dyDescent="0.3">
      <c r="A549">
        <v>54741</v>
      </c>
      <c r="B549">
        <v>21888</v>
      </c>
      <c r="C549">
        <v>1014</v>
      </c>
      <c r="D549">
        <v>3</v>
      </c>
      <c r="E549">
        <v>149.94</v>
      </c>
    </row>
    <row r="550" spans="1:5" x14ac:dyDescent="0.3">
      <c r="A550">
        <v>54790</v>
      </c>
      <c r="B550">
        <v>21906</v>
      </c>
      <c r="C550">
        <v>365</v>
      </c>
      <c r="D550">
        <v>1</v>
      </c>
      <c r="E550">
        <v>59.99</v>
      </c>
    </row>
    <row r="551" spans="1:5" x14ac:dyDescent="0.3">
      <c r="A551">
        <v>54788</v>
      </c>
      <c r="B551">
        <v>21906</v>
      </c>
      <c r="C551">
        <v>403</v>
      </c>
      <c r="D551">
        <v>1</v>
      </c>
      <c r="E551">
        <v>129.99</v>
      </c>
    </row>
    <row r="552" spans="1:5" x14ac:dyDescent="0.3">
      <c r="A552">
        <v>54791</v>
      </c>
      <c r="B552">
        <v>21906</v>
      </c>
      <c r="C552">
        <v>957</v>
      </c>
      <c r="D552">
        <v>1</v>
      </c>
      <c r="E552">
        <v>299.98</v>
      </c>
    </row>
    <row r="553" spans="1:5" x14ac:dyDescent="0.3">
      <c r="A553">
        <v>54787</v>
      </c>
      <c r="B553">
        <v>21906</v>
      </c>
      <c r="C553">
        <v>957</v>
      </c>
      <c r="D553">
        <v>1</v>
      </c>
      <c r="E553">
        <v>299.98</v>
      </c>
    </row>
    <row r="554" spans="1:5" x14ac:dyDescent="0.3">
      <c r="A554">
        <v>54789</v>
      </c>
      <c r="B554">
        <v>21906</v>
      </c>
      <c r="C554">
        <v>1014</v>
      </c>
      <c r="D554">
        <v>5</v>
      </c>
      <c r="E554">
        <v>249.9</v>
      </c>
    </row>
    <row r="555" spans="1:5" x14ac:dyDescent="0.3">
      <c r="A555">
        <v>54831</v>
      </c>
      <c r="B555">
        <v>21921</v>
      </c>
      <c r="C555">
        <v>1073</v>
      </c>
      <c r="D555">
        <v>1</v>
      </c>
      <c r="E555">
        <v>199.99</v>
      </c>
    </row>
    <row r="556" spans="1:5" x14ac:dyDescent="0.3">
      <c r="A556">
        <v>54834</v>
      </c>
      <c r="B556">
        <v>21922</v>
      </c>
      <c r="C556">
        <v>1073</v>
      </c>
      <c r="D556">
        <v>1</v>
      </c>
      <c r="E556">
        <v>199.99</v>
      </c>
    </row>
    <row r="557" spans="1:5" x14ac:dyDescent="0.3">
      <c r="A557">
        <v>54835</v>
      </c>
      <c r="B557">
        <v>21922</v>
      </c>
      <c r="C557">
        <v>957</v>
      </c>
      <c r="D557">
        <v>1</v>
      </c>
      <c r="E557">
        <v>299.98</v>
      </c>
    </row>
    <row r="558" spans="1:5" x14ac:dyDescent="0.3">
      <c r="A558">
        <v>54832</v>
      </c>
      <c r="B558">
        <v>21922</v>
      </c>
      <c r="C558">
        <v>627</v>
      </c>
      <c r="D558">
        <v>5</v>
      </c>
      <c r="E558">
        <v>199.95</v>
      </c>
    </row>
    <row r="559" spans="1:5" x14ac:dyDescent="0.3">
      <c r="A559">
        <v>54833</v>
      </c>
      <c r="B559">
        <v>21922</v>
      </c>
      <c r="C559">
        <v>1014</v>
      </c>
      <c r="D559">
        <v>3</v>
      </c>
      <c r="E559">
        <v>149.94</v>
      </c>
    </row>
    <row r="560" spans="1:5" x14ac:dyDescent="0.3">
      <c r="A560">
        <v>54841</v>
      </c>
      <c r="B560">
        <v>21924</v>
      </c>
      <c r="C560">
        <v>627</v>
      </c>
      <c r="D560">
        <v>1</v>
      </c>
      <c r="E560">
        <v>39.99</v>
      </c>
    </row>
    <row r="561" spans="1:5" x14ac:dyDescent="0.3">
      <c r="A561">
        <v>54839</v>
      </c>
      <c r="B561">
        <v>21924</v>
      </c>
      <c r="C561">
        <v>1004</v>
      </c>
      <c r="D561">
        <v>1</v>
      </c>
      <c r="E561">
        <v>399.98</v>
      </c>
    </row>
    <row r="562" spans="1:5" x14ac:dyDescent="0.3">
      <c r="A562">
        <v>54840</v>
      </c>
      <c r="B562">
        <v>21924</v>
      </c>
      <c r="C562">
        <v>1014</v>
      </c>
      <c r="D562">
        <v>5</v>
      </c>
      <c r="E562">
        <v>249.9</v>
      </c>
    </row>
    <row r="563" spans="1:5" x14ac:dyDescent="0.3">
      <c r="A563">
        <v>54842</v>
      </c>
      <c r="B563">
        <v>21925</v>
      </c>
      <c r="C563">
        <v>1073</v>
      </c>
      <c r="D563">
        <v>1</v>
      </c>
      <c r="E563">
        <v>199.99</v>
      </c>
    </row>
    <row r="564" spans="1:5" x14ac:dyDescent="0.3">
      <c r="A564">
        <v>54843</v>
      </c>
      <c r="B564">
        <v>21925</v>
      </c>
      <c r="C564">
        <v>365</v>
      </c>
      <c r="D564">
        <v>2</v>
      </c>
      <c r="E564">
        <v>119.98</v>
      </c>
    </row>
    <row r="565" spans="1:5" x14ac:dyDescent="0.3">
      <c r="A565">
        <v>54846</v>
      </c>
      <c r="B565">
        <v>21926</v>
      </c>
      <c r="C565">
        <v>957</v>
      </c>
      <c r="D565">
        <v>1</v>
      </c>
      <c r="E565">
        <v>299.98</v>
      </c>
    </row>
    <row r="566" spans="1:5" x14ac:dyDescent="0.3">
      <c r="A566">
        <v>54848</v>
      </c>
      <c r="B566">
        <v>21926</v>
      </c>
      <c r="C566">
        <v>191</v>
      </c>
      <c r="D566">
        <v>5</v>
      </c>
      <c r="E566">
        <v>499.95</v>
      </c>
    </row>
    <row r="567" spans="1:5" x14ac:dyDescent="0.3">
      <c r="A567">
        <v>54845</v>
      </c>
      <c r="B567">
        <v>21926</v>
      </c>
      <c r="C567">
        <v>365</v>
      </c>
      <c r="D567">
        <v>5</v>
      </c>
      <c r="E567">
        <v>299.95</v>
      </c>
    </row>
    <row r="568" spans="1:5" x14ac:dyDescent="0.3">
      <c r="A568">
        <v>54847</v>
      </c>
      <c r="B568">
        <v>21926</v>
      </c>
      <c r="C568">
        <v>403</v>
      </c>
      <c r="D568">
        <v>1</v>
      </c>
      <c r="E568">
        <v>129.99</v>
      </c>
    </row>
    <row r="569" spans="1:5" x14ac:dyDescent="0.3">
      <c r="A569">
        <v>54844</v>
      </c>
      <c r="B569">
        <v>21926</v>
      </c>
      <c r="C569">
        <v>1014</v>
      </c>
      <c r="D569">
        <v>2</v>
      </c>
      <c r="E569">
        <v>99.96</v>
      </c>
    </row>
    <row r="570" spans="1:5" x14ac:dyDescent="0.3">
      <c r="A570">
        <v>54850</v>
      </c>
      <c r="B570">
        <v>21927</v>
      </c>
      <c r="C570">
        <v>365</v>
      </c>
      <c r="D570">
        <v>1</v>
      </c>
      <c r="E570">
        <v>59.99</v>
      </c>
    </row>
    <row r="571" spans="1:5" x14ac:dyDescent="0.3">
      <c r="A571">
        <v>54849</v>
      </c>
      <c r="B571">
        <v>21927</v>
      </c>
      <c r="C571">
        <v>365</v>
      </c>
      <c r="D571">
        <v>1</v>
      </c>
      <c r="E571">
        <v>59.99</v>
      </c>
    </row>
    <row r="572" spans="1:5" x14ac:dyDescent="0.3">
      <c r="A572">
        <v>54851</v>
      </c>
      <c r="B572">
        <v>21927</v>
      </c>
      <c r="C572">
        <v>365</v>
      </c>
      <c r="D572">
        <v>2</v>
      </c>
      <c r="E572">
        <v>119.98</v>
      </c>
    </row>
    <row r="573" spans="1:5" x14ac:dyDescent="0.3">
      <c r="A573">
        <v>54852</v>
      </c>
      <c r="B573">
        <v>21929</v>
      </c>
      <c r="C573">
        <v>1073</v>
      </c>
      <c r="D573">
        <v>1</v>
      </c>
      <c r="E573">
        <v>199.99</v>
      </c>
    </row>
    <row r="574" spans="1:5" x14ac:dyDescent="0.3">
      <c r="A574">
        <v>54853</v>
      </c>
      <c r="B574">
        <v>21929</v>
      </c>
      <c r="C574">
        <v>957</v>
      </c>
      <c r="D574">
        <v>1</v>
      </c>
      <c r="E574">
        <v>299.98</v>
      </c>
    </row>
    <row r="575" spans="1:5" x14ac:dyDescent="0.3">
      <c r="A575">
        <v>54854</v>
      </c>
      <c r="B575">
        <v>21929</v>
      </c>
      <c r="C575">
        <v>365</v>
      </c>
      <c r="D575">
        <v>3</v>
      </c>
      <c r="E575">
        <v>179.97</v>
      </c>
    </row>
    <row r="576" spans="1:5" x14ac:dyDescent="0.3">
      <c r="A576">
        <v>54858</v>
      </c>
      <c r="B576">
        <v>21930</v>
      </c>
      <c r="C576">
        <v>403</v>
      </c>
      <c r="D576">
        <v>1</v>
      </c>
      <c r="E576">
        <v>129.99</v>
      </c>
    </row>
    <row r="577" spans="1:5" x14ac:dyDescent="0.3">
      <c r="A577">
        <v>54855</v>
      </c>
      <c r="B577">
        <v>21930</v>
      </c>
      <c r="C577">
        <v>365</v>
      </c>
      <c r="D577">
        <v>1</v>
      </c>
      <c r="E577">
        <v>59.99</v>
      </c>
    </row>
    <row r="578" spans="1:5" x14ac:dyDescent="0.3">
      <c r="A578">
        <v>54856</v>
      </c>
      <c r="B578">
        <v>21930</v>
      </c>
      <c r="C578">
        <v>365</v>
      </c>
      <c r="D578">
        <v>4</v>
      </c>
      <c r="E578">
        <v>239.96</v>
      </c>
    </row>
    <row r="579" spans="1:5" x14ac:dyDescent="0.3">
      <c r="A579">
        <v>54859</v>
      </c>
      <c r="B579">
        <v>21930</v>
      </c>
      <c r="C579">
        <v>906</v>
      </c>
      <c r="D579">
        <v>5</v>
      </c>
      <c r="E579">
        <v>124.95</v>
      </c>
    </row>
    <row r="580" spans="1:5" x14ac:dyDescent="0.3">
      <c r="A580">
        <v>54857</v>
      </c>
      <c r="B580">
        <v>21930</v>
      </c>
      <c r="C580">
        <v>1014</v>
      </c>
      <c r="D580">
        <v>3</v>
      </c>
      <c r="E580">
        <v>149.94</v>
      </c>
    </row>
    <row r="581" spans="1:5" x14ac:dyDescent="0.3">
      <c r="A581">
        <v>54860</v>
      </c>
      <c r="B581">
        <v>21931</v>
      </c>
      <c r="C581">
        <v>502</v>
      </c>
      <c r="D581">
        <v>5</v>
      </c>
      <c r="E581">
        <v>250</v>
      </c>
    </row>
    <row r="582" spans="1:5" x14ac:dyDescent="0.3">
      <c r="A582">
        <v>54986</v>
      </c>
      <c r="B582">
        <v>21980</v>
      </c>
      <c r="C582">
        <v>957</v>
      </c>
      <c r="D582">
        <v>1</v>
      </c>
      <c r="E582">
        <v>299.98</v>
      </c>
    </row>
    <row r="583" spans="1:5" x14ac:dyDescent="0.3">
      <c r="A583">
        <v>54987</v>
      </c>
      <c r="B583">
        <v>21980</v>
      </c>
      <c r="C583">
        <v>627</v>
      </c>
      <c r="D583">
        <v>4</v>
      </c>
      <c r="E583">
        <v>159.96</v>
      </c>
    </row>
    <row r="584" spans="1:5" x14ac:dyDescent="0.3">
      <c r="A584">
        <v>54984</v>
      </c>
      <c r="B584">
        <v>21980</v>
      </c>
      <c r="C584">
        <v>365</v>
      </c>
      <c r="D584">
        <v>5</v>
      </c>
      <c r="E584">
        <v>299.95</v>
      </c>
    </row>
    <row r="585" spans="1:5" x14ac:dyDescent="0.3">
      <c r="A585">
        <v>54985</v>
      </c>
      <c r="B585">
        <v>21980</v>
      </c>
      <c r="C585">
        <v>917</v>
      </c>
      <c r="D585">
        <v>5</v>
      </c>
      <c r="E585">
        <v>109.95</v>
      </c>
    </row>
    <row r="586" spans="1:5" x14ac:dyDescent="0.3">
      <c r="A586">
        <v>54989</v>
      </c>
      <c r="B586">
        <v>21981</v>
      </c>
      <c r="C586">
        <v>810</v>
      </c>
      <c r="D586">
        <v>3</v>
      </c>
      <c r="E586">
        <v>59.97</v>
      </c>
    </row>
    <row r="587" spans="1:5" x14ac:dyDescent="0.3">
      <c r="A587">
        <v>54988</v>
      </c>
      <c r="B587">
        <v>21981</v>
      </c>
      <c r="C587">
        <v>1073</v>
      </c>
      <c r="D587">
        <v>1</v>
      </c>
      <c r="E587">
        <v>199.99</v>
      </c>
    </row>
    <row r="588" spans="1:5" x14ac:dyDescent="0.3">
      <c r="A588">
        <v>54990</v>
      </c>
      <c r="B588">
        <v>21982</v>
      </c>
      <c r="C588">
        <v>775</v>
      </c>
      <c r="D588">
        <v>3</v>
      </c>
      <c r="E588">
        <v>29.97</v>
      </c>
    </row>
    <row r="589" spans="1:5" x14ac:dyDescent="0.3">
      <c r="A589">
        <v>54992</v>
      </c>
      <c r="B589">
        <v>21982</v>
      </c>
      <c r="C589">
        <v>365</v>
      </c>
      <c r="D589">
        <v>4</v>
      </c>
      <c r="E589">
        <v>239.96</v>
      </c>
    </row>
    <row r="590" spans="1:5" x14ac:dyDescent="0.3">
      <c r="A590">
        <v>54993</v>
      </c>
      <c r="B590">
        <v>21982</v>
      </c>
      <c r="C590">
        <v>365</v>
      </c>
      <c r="D590">
        <v>5</v>
      </c>
      <c r="E590">
        <v>299.95</v>
      </c>
    </row>
    <row r="591" spans="1:5" x14ac:dyDescent="0.3">
      <c r="A591">
        <v>54991</v>
      </c>
      <c r="B591">
        <v>21982</v>
      </c>
      <c r="C591">
        <v>1014</v>
      </c>
      <c r="D591">
        <v>1</v>
      </c>
      <c r="E591">
        <v>49.98</v>
      </c>
    </row>
    <row r="592" spans="1:5" x14ac:dyDescent="0.3">
      <c r="A592">
        <v>55022</v>
      </c>
      <c r="B592">
        <v>21995</v>
      </c>
      <c r="C592">
        <v>403</v>
      </c>
      <c r="D592">
        <v>1</v>
      </c>
      <c r="E592">
        <v>129.99</v>
      </c>
    </row>
    <row r="593" spans="1:5" x14ac:dyDescent="0.3">
      <c r="A593">
        <v>55021</v>
      </c>
      <c r="B593">
        <v>21995</v>
      </c>
      <c r="C593">
        <v>365</v>
      </c>
      <c r="D593">
        <v>4</v>
      </c>
      <c r="E593">
        <v>239.96</v>
      </c>
    </row>
    <row r="594" spans="1:5" x14ac:dyDescent="0.3">
      <c r="A594">
        <v>55024</v>
      </c>
      <c r="B594">
        <v>21996</v>
      </c>
      <c r="C594">
        <v>365</v>
      </c>
      <c r="D594">
        <v>2</v>
      </c>
      <c r="E594">
        <v>119.98</v>
      </c>
    </row>
    <row r="595" spans="1:5" x14ac:dyDescent="0.3">
      <c r="A595">
        <v>55023</v>
      </c>
      <c r="B595">
        <v>21996</v>
      </c>
      <c r="C595">
        <v>502</v>
      </c>
      <c r="D595">
        <v>4</v>
      </c>
      <c r="E595">
        <v>200</v>
      </c>
    </row>
    <row r="596" spans="1:5" x14ac:dyDescent="0.3">
      <c r="A596">
        <v>55025</v>
      </c>
      <c r="B596">
        <v>21996</v>
      </c>
      <c r="C596">
        <v>567</v>
      </c>
      <c r="D596">
        <v>5</v>
      </c>
      <c r="E596">
        <v>125</v>
      </c>
    </row>
    <row r="597" spans="1:5" x14ac:dyDescent="0.3">
      <c r="A597">
        <v>55038</v>
      </c>
      <c r="B597">
        <v>22006</v>
      </c>
      <c r="C597">
        <v>403</v>
      </c>
      <c r="D597">
        <v>1</v>
      </c>
      <c r="E597">
        <v>129.99</v>
      </c>
    </row>
    <row r="598" spans="1:5" x14ac:dyDescent="0.3">
      <c r="A598">
        <v>55042</v>
      </c>
      <c r="B598">
        <v>22006</v>
      </c>
      <c r="C598">
        <v>627</v>
      </c>
      <c r="D598">
        <v>2</v>
      </c>
      <c r="E598">
        <v>79.98</v>
      </c>
    </row>
    <row r="599" spans="1:5" x14ac:dyDescent="0.3">
      <c r="A599">
        <v>55040</v>
      </c>
      <c r="B599">
        <v>22006</v>
      </c>
      <c r="C599">
        <v>502</v>
      </c>
      <c r="D599">
        <v>3</v>
      </c>
      <c r="E599">
        <v>150</v>
      </c>
    </row>
    <row r="600" spans="1:5" x14ac:dyDescent="0.3">
      <c r="A600">
        <v>55041</v>
      </c>
      <c r="B600">
        <v>22006</v>
      </c>
      <c r="C600">
        <v>1014</v>
      </c>
      <c r="D600">
        <v>1</v>
      </c>
      <c r="E600">
        <v>49.98</v>
      </c>
    </row>
    <row r="601" spans="1:5" x14ac:dyDescent="0.3">
      <c r="A601">
        <v>55039</v>
      </c>
      <c r="B601">
        <v>22006</v>
      </c>
      <c r="C601">
        <v>1014</v>
      </c>
      <c r="D601">
        <v>3</v>
      </c>
      <c r="E601">
        <v>149.94</v>
      </c>
    </row>
    <row r="602" spans="1:5" x14ac:dyDescent="0.3">
      <c r="A602">
        <v>55045</v>
      </c>
      <c r="B602">
        <v>22008</v>
      </c>
      <c r="C602">
        <v>1004</v>
      </c>
      <c r="D602">
        <v>1</v>
      </c>
      <c r="E602">
        <v>399.98</v>
      </c>
    </row>
    <row r="603" spans="1:5" x14ac:dyDescent="0.3">
      <c r="A603">
        <v>55046</v>
      </c>
      <c r="B603">
        <v>22008</v>
      </c>
      <c r="C603">
        <v>957</v>
      </c>
      <c r="D603">
        <v>1</v>
      </c>
      <c r="E603">
        <v>299.98</v>
      </c>
    </row>
    <row r="604" spans="1:5" x14ac:dyDescent="0.3">
      <c r="A604">
        <v>55047</v>
      </c>
      <c r="B604">
        <v>22008</v>
      </c>
      <c r="C604">
        <v>627</v>
      </c>
      <c r="D604">
        <v>2</v>
      </c>
      <c r="E604">
        <v>79.98</v>
      </c>
    </row>
    <row r="605" spans="1:5" x14ac:dyDescent="0.3">
      <c r="A605">
        <v>55044</v>
      </c>
      <c r="B605">
        <v>22008</v>
      </c>
      <c r="C605">
        <v>1073</v>
      </c>
      <c r="D605">
        <v>1</v>
      </c>
      <c r="E605">
        <v>199.99</v>
      </c>
    </row>
    <row r="606" spans="1:5" x14ac:dyDescent="0.3">
      <c r="A606">
        <v>55043</v>
      </c>
      <c r="B606">
        <v>22008</v>
      </c>
      <c r="C606">
        <v>1014</v>
      </c>
      <c r="D606">
        <v>5</v>
      </c>
      <c r="E606">
        <v>249.9</v>
      </c>
    </row>
    <row r="607" spans="1:5" x14ac:dyDescent="0.3">
      <c r="A607">
        <v>55063</v>
      </c>
      <c r="B607">
        <v>22019</v>
      </c>
      <c r="C607">
        <v>403</v>
      </c>
      <c r="D607">
        <v>1</v>
      </c>
      <c r="E607">
        <v>129.99</v>
      </c>
    </row>
    <row r="608" spans="1:5" x14ac:dyDescent="0.3">
      <c r="A608">
        <v>55062</v>
      </c>
      <c r="B608">
        <v>22019</v>
      </c>
      <c r="C608">
        <v>957</v>
      </c>
      <c r="D608">
        <v>1</v>
      </c>
      <c r="E608">
        <v>299.98</v>
      </c>
    </row>
    <row r="609" spans="1:5" x14ac:dyDescent="0.3">
      <c r="A609">
        <v>55061</v>
      </c>
      <c r="B609">
        <v>22019</v>
      </c>
      <c r="C609">
        <v>957</v>
      </c>
      <c r="D609">
        <v>1</v>
      </c>
      <c r="E609">
        <v>299.98</v>
      </c>
    </row>
    <row r="610" spans="1:5" x14ac:dyDescent="0.3">
      <c r="A610">
        <v>55060</v>
      </c>
      <c r="B610">
        <v>22019</v>
      </c>
      <c r="C610">
        <v>365</v>
      </c>
      <c r="D610">
        <v>4</v>
      </c>
      <c r="E610">
        <v>239.96</v>
      </c>
    </row>
    <row r="611" spans="1:5" x14ac:dyDescent="0.3">
      <c r="A611">
        <v>55065</v>
      </c>
      <c r="B611">
        <v>22020</v>
      </c>
      <c r="C611">
        <v>627</v>
      </c>
      <c r="D611">
        <v>4</v>
      </c>
      <c r="E611">
        <v>159.96</v>
      </c>
    </row>
    <row r="612" spans="1:5" x14ac:dyDescent="0.3">
      <c r="A612">
        <v>55066</v>
      </c>
      <c r="B612">
        <v>22020</v>
      </c>
      <c r="C612">
        <v>1014</v>
      </c>
      <c r="D612">
        <v>4</v>
      </c>
      <c r="E612">
        <v>199.92</v>
      </c>
    </row>
    <row r="613" spans="1:5" x14ac:dyDescent="0.3">
      <c r="A613">
        <v>55064</v>
      </c>
      <c r="B613">
        <v>22020</v>
      </c>
      <c r="C613">
        <v>1014</v>
      </c>
      <c r="D613">
        <v>1</v>
      </c>
      <c r="E613">
        <v>49.98</v>
      </c>
    </row>
    <row r="614" spans="1:5" x14ac:dyDescent="0.3">
      <c r="A614">
        <v>55070</v>
      </c>
      <c r="B614">
        <v>22023</v>
      </c>
      <c r="C614">
        <v>957</v>
      </c>
      <c r="D614">
        <v>1</v>
      </c>
      <c r="E614">
        <v>299.98</v>
      </c>
    </row>
    <row r="615" spans="1:5" x14ac:dyDescent="0.3">
      <c r="A615">
        <v>55072</v>
      </c>
      <c r="B615">
        <v>22023</v>
      </c>
      <c r="C615">
        <v>365</v>
      </c>
      <c r="D615">
        <v>2</v>
      </c>
      <c r="E615">
        <v>119.98</v>
      </c>
    </row>
    <row r="616" spans="1:5" x14ac:dyDescent="0.3">
      <c r="A616">
        <v>55071</v>
      </c>
      <c r="B616">
        <v>22023</v>
      </c>
      <c r="C616">
        <v>917</v>
      </c>
      <c r="D616">
        <v>5</v>
      </c>
      <c r="E616">
        <v>109.95</v>
      </c>
    </row>
    <row r="617" spans="1:5" x14ac:dyDescent="0.3">
      <c r="A617">
        <v>55116</v>
      </c>
      <c r="B617">
        <v>22035</v>
      </c>
      <c r="C617">
        <v>1073</v>
      </c>
      <c r="D617">
        <v>1</v>
      </c>
      <c r="E617">
        <v>199.99</v>
      </c>
    </row>
    <row r="618" spans="1:5" x14ac:dyDescent="0.3">
      <c r="A618">
        <v>55115</v>
      </c>
      <c r="B618">
        <v>22035</v>
      </c>
      <c r="C618">
        <v>905</v>
      </c>
      <c r="D618">
        <v>1</v>
      </c>
      <c r="E618">
        <v>24.99</v>
      </c>
    </row>
    <row r="619" spans="1:5" x14ac:dyDescent="0.3">
      <c r="A619">
        <v>55117</v>
      </c>
      <c r="B619">
        <v>22035</v>
      </c>
      <c r="C619">
        <v>957</v>
      </c>
      <c r="D619">
        <v>1</v>
      </c>
      <c r="E619">
        <v>299.98</v>
      </c>
    </row>
    <row r="620" spans="1:5" x14ac:dyDescent="0.3">
      <c r="A620">
        <v>55119</v>
      </c>
      <c r="B620">
        <v>22036</v>
      </c>
      <c r="C620">
        <v>403</v>
      </c>
      <c r="D620">
        <v>1</v>
      </c>
      <c r="E620">
        <v>129.99</v>
      </c>
    </row>
    <row r="621" spans="1:5" x14ac:dyDescent="0.3">
      <c r="A621">
        <v>55118</v>
      </c>
      <c r="B621">
        <v>22036</v>
      </c>
      <c r="C621">
        <v>37</v>
      </c>
      <c r="D621">
        <v>3</v>
      </c>
      <c r="E621">
        <v>104.97</v>
      </c>
    </row>
    <row r="622" spans="1:5" x14ac:dyDescent="0.3">
      <c r="A622">
        <v>55121</v>
      </c>
      <c r="B622">
        <v>22037</v>
      </c>
      <c r="C622">
        <v>1004</v>
      </c>
      <c r="D622">
        <v>1</v>
      </c>
      <c r="E622">
        <v>399.98</v>
      </c>
    </row>
    <row r="623" spans="1:5" x14ac:dyDescent="0.3">
      <c r="A623">
        <v>55120</v>
      </c>
      <c r="B623">
        <v>22037</v>
      </c>
      <c r="C623">
        <v>365</v>
      </c>
      <c r="D623">
        <v>2</v>
      </c>
      <c r="E623">
        <v>119.98</v>
      </c>
    </row>
    <row r="624" spans="1:5" x14ac:dyDescent="0.3">
      <c r="A624">
        <v>55122</v>
      </c>
      <c r="B624">
        <v>22037</v>
      </c>
      <c r="C624">
        <v>572</v>
      </c>
      <c r="D624">
        <v>4</v>
      </c>
      <c r="E624">
        <v>159.96</v>
      </c>
    </row>
    <row r="625" spans="1:5" x14ac:dyDescent="0.3">
      <c r="A625">
        <v>55123</v>
      </c>
      <c r="B625">
        <v>22038</v>
      </c>
      <c r="C625">
        <v>403</v>
      </c>
      <c r="D625">
        <v>1</v>
      </c>
      <c r="E625">
        <v>129.99</v>
      </c>
    </row>
    <row r="626" spans="1:5" x14ac:dyDescent="0.3">
      <c r="A626">
        <v>55128</v>
      </c>
      <c r="B626">
        <v>22039</v>
      </c>
      <c r="C626">
        <v>502</v>
      </c>
      <c r="D626">
        <v>1</v>
      </c>
      <c r="E626">
        <v>50</v>
      </c>
    </row>
    <row r="627" spans="1:5" x14ac:dyDescent="0.3">
      <c r="A627">
        <v>55124</v>
      </c>
      <c r="B627">
        <v>22039</v>
      </c>
      <c r="C627">
        <v>627</v>
      </c>
      <c r="D627">
        <v>1</v>
      </c>
      <c r="E627">
        <v>39.99</v>
      </c>
    </row>
    <row r="628" spans="1:5" x14ac:dyDescent="0.3">
      <c r="A628">
        <v>55125</v>
      </c>
      <c r="B628">
        <v>22039</v>
      </c>
      <c r="C628">
        <v>804</v>
      </c>
      <c r="D628">
        <v>1</v>
      </c>
      <c r="E628">
        <v>19.989999999999998</v>
      </c>
    </row>
    <row r="629" spans="1:5" x14ac:dyDescent="0.3">
      <c r="A629">
        <v>55126</v>
      </c>
      <c r="B629">
        <v>22039</v>
      </c>
      <c r="C629">
        <v>957</v>
      </c>
      <c r="D629">
        <v>1</v>
      </c>
      <c r="E629">
        <v>299.98</v>
      </c>
    </row>
    <row r="630" spans="1:5" x14ac:dyDescent="0.3">
      <c r="A630">
        <v>55127</v>
      </c>
      <c r="B630">
        <v>22039</v>
      </c>
      <c r="C630">
        <v>365</v>
      </c>
      <c r="D630">
        <v>3</v>
      </c>
      <c r="E630">
        <v>179.97</v>
      </c>
    </row>
    <row r="631" spans="1:5" x14ac:dyDescent="0.3">
      <c r="A631">
        <v>55130</v>
      </c>
      <c r="B631">
        <v>22040</v>
      </c>
      <c r="C631">
        <v>627</v>
      </c>
      <c r="D631">
        <v>2</v>
      </c>
      <c r="E631">
        <v>79.98</v>
      </c>
    </row>
    <row r="632" spans="1:5" x14ac:dyDescent="0.3">
      <c r="A632">
        <v>55129</v>
      </c>
      <c r="B632">
        <v>22040</v>
      </c>
      <c r="C632">
        <v>1014</v>
      </c>
      <c r="D632">
        <v>2</v>
      </c>
      <c r="E632">
        <v>99.96</v>
      </c>
    </row>
    <row r="633" spans="1:5" x14ac:dyDescent="0.3">
      <c r="A633">
        <v>55131</v>
      </c>
      <c r="B633">
        <v>22041</v>
      </c>
      <c r="C633">
        <v>502</v>
      </c>
      <c r="D633">
        <v>5</v>
      </c>
      <c r="E633">
        <v>250</v>
      </c>
    </row>
    <row r="634" spans="1:5" x14ac:dyDescent="0.3">
      <c r="A634">
        <v>55148</v>
      </c>
      <c r="B634">
        <v>22045</v>
      </c>
      <c r="C634">
        <v>502</v>
      </c>
      <c r="D634">
        <v>1</v>
      </c>
      <c r="E634">
        <v>50</v>
      </c>
    </row>
    <row r="635" spans="1:5" x14ac:dyDescent="0.3">
      <c r="A635">
        <v>55147</v>
      </c>
      <c r="B635">
        <v>22045</v>
      </c>
      <c r="C635">
        <v>502</v>
      </c>
      <c r="D635">
        <v>5</v>
      </c>
      <c r="E635">
        <v>250</v>
      </c>
    </row>
    <row r="636" spans="1:5" x14ac:dyDescent="0.3">
      <c r="A636">
        <v>55175</v>
      </c>
      <c r="B636">
        <v>22055</v>
      </c>
      <c r="C636">
        <v>403</v>
      </c>
      <c r="D636">
        <v>1</v>
      </c>
      <c r="E636">
        <v>129.99</v>
      </c>
    </row>
    <row r="637" spans="1:5" x14ac:dyDescent="0.3">
      <c r="A637">
        <v>55176</v>
      </c>
      <c r="B637">
        <v>22055</v>
      </c>
      <c r="C637">
        <v>564</v>
      </c>
      <c r="D637">
        <v>4</v>
      </c>
      <c r="E637">
        <v>120</v>
      </c>
    </row>
    <row r="638" spans="1:5" x14ac:dyDescent="0.3">
      <c r="A638">
        <v>55177</v>
      </c>
      <c r="B638">
        <v>22055</v>
      </c>
      <c r="C638">
        <v>1073</v>
      </c>
      <c r="D638">
        <v>1</v>
      </c>
      <c r="E638">
        <v>199.99</v>
      </c>
    </row>
    <row r="639" spans="1:5" x14ac:dyDescent="0.3">
      <c r="A639">
        <v>55188</v>
      </c>
      <c r="B639">
        <v>22060</v>
      </c>
      <c r="C639">
        <v>1014</v>
      </c>
      <c r="D639">
        <v>2</v>
      </c>
      <c r="E639">
        <v>99.96</v>
      </c>
    </row>
    <row r="640" spans="1:5" x14ac:dyDescent="0.3">
      <c r="A640">
        <v>55191</v>
      </c>
      <c r="B640">
        <v>22061</v>
      </c>
      <c r="C640">
        <v>403</v>
      </c>
      <c r="D640">
        <v>1</v>
      </c>
      <c r="E640">
        <v>129.99</v>
      </c>
    </row>
    <row r="641" spans="1:5" x14ac:dyDescent="0.3">
      <c r="A641">
        <v>55190</v>
      </c>
      <c r="B641">
        <v>22061</v>
      </c>
      <c r="C641">
        <v>1004</v>
      </c>
      <c r="D641">
        <v>1</v>
      </c>
      <c r="E641">
        <v>399.98</v>
      </c>
    </row>
    <row r="642" spans="1:5" x14ac:dyDescent="0.3">
      <c r="A642">
        <v>55189</v>
      </c>
      <c r="B642">
        <v>22061</v>
      </c>
      <c r="C642">
        <v>276</v>
      </c>
      <c r="D642">
        <v>2</v>
      </c>
      <c r="E642">
        <v>63.98</v>
      </c>
    </row>
    <row r="643" spans="1:5" x14ac:dyDescent="0.3">
      <c r="A643">
        <v>55192</v>
      </c>
      <c r="B643">
        <v>22061</v>
      </c>
      <c r="C643">
        <v>728</v>
      </c>
      <c r="D643">
        <v>4</v>
      </c>
      <c r="E643">
        <v>260</v>
      </c>
    </row>
    <row r="644" spans="1:5" x14ac:dyDescent="0.3">
      <c r="A644">
        <v>55193</v>
      </c>
      <c r="B644">
        <v>22061</v>
      </c>
      <c r="C644">
        <v>1073</v>
      </c>
      <c r="D644">
        <v>1</v>
      </c>
      <c r="E644">
        <v>199.99</v>
      </c>
    </row>
    <row r="645" spans="1:5" x14ac:dyDescent="0.3">
      <c r="A645">
        <v>55200</v>
      </c>
      <c r="B645">
        <v>22065</v>
      </c>
      <c r="C645">
        <v>1014</v>
      </c>
      <c r="D645">
        <v>4</v>
      </c>
      <c r="E645">
        <v>199.92</v>
      </c>
    </row>
    <row r="646" spans="1:5" x14ac:dyDescent="0.3">
      <c r="A646">
        <v>55202</v>
      </c>
      <c r="B646">
        <v>22067</v>
      </c>
      <c r="C646">
        <v>403</v>
      </c>
      <c r="D646">
        <v>1</v>
      </c>
      <c r="E646">
        <v>129.99</v>
      </c>
    </row>
    <row r="647" spans="1:5" x14ac:dyDescent="0.3">
      <c r="A647">
        <v>55205</v>
      </c>
      <c r="B647">
        <v>22067</v>
      </c>
      <c r="C647">
        <v>365</v>
      </c>
      <c r="D647">
        <v>1</v>
      </c>
      <c r="E647">
        <v>59.99</v>
      </c>
    </row>
    <row r="648" spans="1:5" x14ac:dyDescent="0.3">
      <c r="A648">
        <v>55203</v>
      </c>
      <c r="B648">
        <v>22067</v>
      </c>
      <c r="C648">
        <v>627</v>
      </c>
      <c r="D648">
        <v>2</v>
      </c>
      <c r="E648">
        <v>79.98</v>
      </c>
    </row>
    <row r="649" spans="1:5" x14ac:dyDescent="0.3">
      <c r="A649">
        <v>55204</v>
      </c>
      <c r="B649">
        <v>22067</v>
      </c>
      <c r="C649">
        <v>502</v>
      </c>
      <c r="D649">
        <v>2</v>
      </c>
      <c r="E649">
        <v>100</v>
      </c>
    </row>
    <row r="650" spans="1:5" x14ac:dyDescent="0.3">
      <c r="A650">
        <v>55201</v>
      </c>
      <c r="B650">
        <v>22067</v>
      </c>
      <c r="C650">
        <v>365</v>
      </c>
      <c r="D650">
        <v>5</v>
      </c>
      <c r="E650">
        <v>299.95</v>
      </c>
    </row>
    <row r="651" spans="1:5" x14ac:dyDescent="0.3">
      <c r="A651">
        <v>55206</v>
      </c>
      <c r="B651">
        <v>22068</v>
      </c>
      <c r="C651">
        <v>365</v>
      </c>
      <c r="D651">
        <v>5</v>
      </c>
      <c r="E651">
        <v>299.95</v>
      </c>
    </row>
    <row r="652" spans="1:5" x14ac:dyDescent="0.3">
      <c r="A652">
        <v>55207</v>
      </c>
      <c r="B652">
        <v>22068</v>
      </c>
      <c r="C652">
        <v>502</v>
      </c>
      <c r="D652">
        <v>5</v>
      </c>
      <c r="E652">
        <v>250</v>
      </c>
    </row>
    <row r="653" spans="1:5" x14ac:dyDescent="0.3">
      <c r="A653">
        <v>55240</v>
      </c>
      <c r="B653">
        <v>22082</v>
      </c>
      <c r="C653">
        <v>502</v>
      </c>
      <c r="D653">
        <v>1</v>
      </c>
      <c r="E653">
        <v>50</v>
      </c>
    </row>
    <row r="654" spans="1:5" x14ac:dyDescent="0.3">
      <c r="A654">
        <v>55273</v>
      </c>
      <c r="B654">
        <v>22093</v>
      </c>
      <c r="C654">
        <v>627</v>
      </c>
      <c r="D654">
        <v>1</v>
      </c>
      <c r="E654">
        <v>39.99</v>
      </c>
    </row>
    <row r="655" spans="1:5" x14ac:dyDescent="0.3">
      <c r="A655">
        <v>55274</v>
      </c>
      <c r="B655">
        <v>22093</v>
      </c>
      <c r="C655">
        <v>1004</v>
      </c>
      <c r="D655">
        <v>1</v>
      </c>
      <c r="E655">
        <v>399.98</v>
      </c>
    </row>
    <row r="656" spans="1:5" x14ac:dyDescent="0.3">
      <c r="A656">
        <v>55275</v>
      </c>
      <c r="B656">
        <v>22093</v>
      </c>
      <c r="C656">
        <v>810</v>
      </c>
      <c r="D656">
        <v>4</v>
      </c>
      <c r="E656">
        <v>79.959999999999994</v>
      </c>
    </row>
    <row r="657" spans="1:5" x14ac:dyDescent="0.3">
      <c r="A657">
        <v>55276</v>
      </c>
      <c r="B657">
        <v>22093</v>
      </c>
      <c r="C657">
        <v>365</v>
      </c>
      <c r="D657">
        <v>5</v>
      </c>
      <c r="E657">
        <v>299.95</v>
      </c>
    </row>
    <row r="658" spans="1:5" x14ac:dyDescent="0.3">
      <c r="A658">
        <v>55281</v>
      </c>
      <c r="B658">
        <v>22094</v>
      </c>
      <c r="C658">
        <v>703</v>
      </c>
      <c r="D658">
        <v>2</v>
      </c>
      <c r="E658">
        <v>39.979999999999997</v>
      </c>
    </row>
    <row r="659" spans="1:5" x14ac:dyDescent="0.3">
      <c r="A659">
        <v>55277</v>
      </c>
      <c r="B659">
        <v>22094</v>
      </c>
      <c r="C659">
        <v>403</v>
      </c>
      <c r="D659">
        <v>1</v>
      </c>
      <c r="E659">
        <v>129.99</v>
      </c>
    </row>
    <row r="660" spans="1:5" x14ac:dyDescent="0.3">
      <c r="A660">
        <v>55279</v>
      </c>
      <c r="B660">
        <v>22094</v>
      </c>
      <c r="C660">
        <v>957</v>
      </c>
      <c r="D660">
        <v>1</v>
      </c>
      <c r="E660">
        <v>299.98</v>
      </c>
    </row>
    <row r="661" spans="1:5" x14ac:dyDescent="0.3">
      <c r="A661">
        <v>55280</v>
      </c>
      <c r="B661">
        <v>22094</v>
      </c>
      <c r="C661">
        <v>1004</v>
      </c>
      <c r="D661">
        <v>1</v>
      </c>
      <c r="E661">
        <v>399.98</v>
      </c>
    </row>
    <row r="662" spans="1:5" x14ac:dyDescent="0.3">
      <c r="A662">
        <v>55278</v>
      </c>
      <c r="B662">
        <v>22094</v>
      </c>
      <c r="C662">
        <v>1073</v>
      </c>
      <c r="D662">
        <v>1</v>
      </c>
      <c r="E662">
        <v>199.99</v>
      </c>
    </row>
    <row r="663" spans="1:5" x14ac:dyDescent="0.3">
      <c r="A663">
        <v>55367</v>
      </c>
      <c r="B663">
        <v>22122</v>
      </c>
      <c r="C663">
        <v>403</v>
      </c>
      <c r="D663">
        <v>1</v>
      </c>
      <c r="E663">
        <v>129.99</v>
      </c>
    </row>
    <row r="664" spans="1:5" x14ac:dyDescent="0.3">
      <c r="A664">
        <v>55366</v>
      </c>
      <c r="B664">
        <v>22122</v>
      </c>
      <c r="C664">
        <v>365</v>
      </c>
      <c r="D664">
        <v>1</v>
      </c>
      <c r="E664">
        <v>59.99</v>
      </c>
    </row>
    <row r="665" spans="1:5" x14ac:dyDescent="0.3">
      <c r="A665">
        <v>55365</v>
      </c>
      <c r="B665">
        <v>22122</v>
      </c>
      <c r="C665">
        <v>191</v>
      </c>
      <c r="D665">
        <v>3</v>
      </c>
      <c r="E665">
        <v>299.97000000000003</v>
      </c>
    </row>
    <row r="666" spans="1:5" x14ac:dyDescent="0.3">
      <c r="A666">
        <v>55424</v>
      </c>
      <c r="B666">
        <v>22142</v>
      </c>
      <c r="C666">
        <v>502</v>
      </c>
      <c r="D666">
        <v>5</v>
      </c>
      <c r="E666">
        <v>250</v>
      </c>
    </row>
    <row r="667" spans="1:5" x14ac:dyDescent="0.3">
      <c r="A667">
        <v>55423</v>
      </c>
      <c r="B667">
        <v>22142</v>
      </c>
      <c r="C667">
        <v>957</v>
      </c>
      <c r="D667">
        <v>1</v>
      </c>
      <c r="E667">
        <v>299.98</v>
      </c>
    </row>
    <row r="668" spans="1:5" x14ac:dyDescent="0.3">
      <c r="A668">
        <v>55425</v>
      </c>
      <c r="B668">
        <v>22142</v>
      </c>
      <c r="C668">
        <v>502</v>
      </c>
      <c r="D668">
        <v>3</v>
      </c>
      <c r="E668">
        <v>150</v>
      </c>
    </row>
    <row r="669" spans="1:5" x14ac:dyDescent="0.3">
      <c r="A669">
        <v>55503</v>
      </c>
      <c r="B669">
        <v>22173</v>
      </c>
      <c r="C669">
        <v>703</v>
      </c>
      <c r="D669">
        <v>3</v>
      </c>
      <c r="E669">
        <v>59.97</v>
      </c>
    </row>
    <row r="670" spans="1:5" x14ac:dyDescent="0.3">
      <c r="A670">
        <v>55501</v>
      </c>
      <c r="B670">
        <v>22173</v>
      </c>
      <c r="C670">
        <v>365</v>
      </c>
      <c r="D670">
        <v>1</v>
      </c>
      <c r="E670">
        <v>59.99</v>
      </c>
    </row>
    <row r="671" spans="1:5" x14ac:dyDescent="0.3">
      <c r="A671">
        <v>55502</v>
      </c>
      <c r="B671">
        <v>22173</v>
      </c>
      <c r="C671">
        <v>1004</v>
      </c>
      <c r="D671">
        <v>1</v>
      </c>
      <c r="E671">
        <v>399.98</v>
      </c>
    </row>
    <row r="672" spans="1:5" x14ac:dyDescent="0.3">
      <c r="A672">
        <v>55536</v>
      </c>
      <c r="B672">
        <v>22187</v>
      </c>
      <c r="C672">
        <v>957</v>
      </c>
      <c r="D672">
        <v>1</v>
      </c>
      <c r="E672">
        <v>299.98</v>
      </c>
    </row>
    <row r="673" spans="1:5" x14ac:dyDescent="0.3">
      <c r="A673">
        <v>55538</v>
      </c>
      <c r="B673">
        <v>22187</v>
      </c>
      <c r="C673">
        <v>191</v>
      </c>
      <c r="D673">
        <v>2</v>
      </c>
      <c r="E673">
        <v>199.98</v>
      </c>
    </row>
    <row r="674" spans="1:5" x14ac:dyDescent="0.3">
      <c r="A674">
        <v>55537</v>
      </c>
      <c r="B674">
        <v>22187</v>
      </c>
      <c r="C674">
        <v>627</v>
      </c>
      <c r="D674">
        <v>2</v>
      </c>
      <c r="E674">
        <v>79.98</v>
      </c>
    </row>
    <row r="675" spans="1:5" x14ac:dyDescent="0.3">
      <c r="A675">
        <v>55539</v>
      </c>
      <c r="B675">
        <v>22187</v>
      </c>
      <c r="C675">
        <v>627</v>
      </c>
      <c r="D675">
        <v>3</v>
      </c>
      <c r="E675">
        <v>119.97</v>
      </c>
    </row>
    <row r="676" spans="1:5" x14ac:dyDescent="0.3">
      <c r="A676">
        <v>55540</v>
      </c>
      <c r="B676">
        <v>22188</v>
      </c>
      <c r="C676">
        <v>134</v>
      </c>
      <c r="D676">
        <v>2</v>
      </c>
      <c r="E676">
        <v>50</v>
      </c>
    </row>
    <row r="677" spans="1:5" x14ac:dyDescent="0.3">
      <c r="A677">
        <v>55580</v>
      </c>
      <c r="B677">
        <v>22204</v>
      </c>
      <c r="C677">
        <v>627</v>
      </c>
      <c r="D677">
        <v>1</v>
      </c>
      <c r="E677">
        <v>39.99</v>
      </c>
    </row>
    <row r="678" spans="1:5" x14ac:dyDescent="0.3">
      <c r="A678">
        <v>55582</v>
      </c>
      <c r="B678">
        <v>22204</v>
      </c>
      <c r="C678">
        <v>728</v>
      </c>
      <c r="D678">
        <v>5</v>
      </c>
      <c r="E678">
        <v>325</v>
      </c>
    </row>
    <row r="679" spans="1:5" x14ac:dyDescent="0.3">
      <c r="A679">
        <v>55581</v>
      </c>
      <c r="B679">
        <v>22204</v>
      </c>
      <c r="C679">
        <v>1014</v>
      </c>
      <c r="D679">
        <v>5</v>
      </c>
      <c r="E679">
        <v>249.9</v>
      </c>
    </row>
    <row r="680" spans="1:5" x14ac:dyDescent="0.3">
      <c r="A680">
        <v>55583</v>
      </c>
      <c r="B680">
        <v>22205</v>
      </c>
      <c r="C680">
        <v>273</v>
      </c>
      <c r="D680">
        <v>4</v>
      </c>
      <c r="E680">
        <v>111.96</v>
      </c>
    </row>
    <row r="681" spans="1:5" x14ac:dyDescent="0.3">
      <c r="A681">
        <v>55585</v>
      </c>
      <c r="B681">
        <v>22206</v>
      </c>
      <c r="C681">
        <v>917</v>
      </c>
      <c r="D681">
        <v>1</v>
      </c>
      <c r="E681">
        <v>21.99</v>
      </c>
    </row>
    <row r="682" spans="1:5" x14ac:dyDescent="0.3">
      <c r="A682">
        <v>55584</v>
      </c>
      <c r="B682">
        <v>22206</v>
      </c>
      <c r="C682">
        <v>191</v>
      </c>
      <c r="D682">
        <v>3</v>
      </c>
      <c r="E682">
        <v>299.97000000000003</v>
      </c>
    </row>
    <row r="683" spans="1:5" x14ac:dyDescent="0.3">
      <c r="A683">
        <v>55618</v>
      </c>
      <c r="B683">
        <v>22219</v>
      </c>
      <c r="C683">
        <v>365</v>
      </c>
      <c r="D683">
        <v>3</v>
      </c>
      <c r="E683">
        <v>179.97</v>
      </c>
    </row>
    <row r="684" spans="1:5" x14ac:dyDescent="0.3">
      <c r="A684">
        <v>55621</v>
      </c>
      <c r="B684">
        <v>22220</v>
      </c>
      <c r="C684">
        <v>1073</v>
      </c>
      <c r="D684">
        <v>1</v>
      </c>
      <c r="E684">
        <v>199.99</v>
      </c>
    </row>
    <row r="685" spans="1:5" x14ac:dyDescent="0.3">
      <c r="A685">
        <v>55619</v>
      </c>
      <c r="B685">
        <v>22220</v>
      </c>
      <c r="C685">
        <v>1073</v>
      </c>
      <c r="D685">
        <v>1</v>
      </c>
      <c r="E685">
        <v>199.99</v>
      </c>
    </row>
    <row r="686" spans="1:5" x14ac:dyDescent="0.3">
      <c r="A686">
        <v>55620</v>
      </c>
      <c r="B686">
        <v>22220</v>
      </c>
      <c r="C686">
        <v>1014</v>
      </c>
      <c r="D686">
        <v>4</v>
      </c>
      <c r="E686">
        <v>199.92</v>
      </c>
    </row>
    <row r="687" spans="1:5" x14ac:dyDescent="0.3">
      <c r="A687">
        <v>55678</v>
      </c>
      <c r="B687">
        <v>22236</v>
      </c>
      <c r="C687">
        <v>403</v>
      </c>
      <c r="D687">
        <v>1</v>
      </c>
      <c r="E687">
        <v>129.99</v>
      </c>
    </row>
    <row r="688" spans="1:5" x14ac:dyDescent="0.3">
      <c r="A688">
        <v>55699</v>
      </c>
      <c r="B688">
        <v>22243</v>
      </c>
      <c r="C688">
        <v>957</v>
      </c>
      <c r="D688">
        <v>1</v>
      </c>
      <c r="E688">
        <v>299.98</v>
      </c>
    </row>
    <row r="689" spans="1:5" x14ac:dyDescent="0.3">
      <c r="A689">
        <v>55698</v>
      </c>
      <c r="B689">
        <v>22243</v>
      </c>
      <c r="C689">
        <v>957</v>
      </c>
      <c r="D689">
        <v>1</v>
      </c>
      <c r="E689">
        <v>299.98</v>
      </c>
    </row>
    <row r="690" spans="1:5" x14ac:dyDescent="0.3">
      <c r="A690">
        <v>55700</v>
      </c>
      <c r="B690">
        <v>22244</v>
      </c>
      <c r="C690">
        <v>502</v>
      </c>
      <c r="D690">
        <v>2</v>
      </c>
      <c r="E690">
        <v>100</v>
      </c>
    </row>
    <row r="691" spans="1:5" x14ac:dyDescent="0.3">
      <c r="A691">
        <v>55803</v>
      </c>
      <c r="B691">
        <v>22288</v>
      </c>
      <c r="C691">
        <v>924</v>
      </c>
      <c r="D691">
        <v>3</v>
      </c>
      <c r="E691">
        <v>47.97</v>
      </c>
    </row>
    <row r="692" spans="1:5" x14ac:dyDescent="0.3">
      <c r="A692">
        <v>55804</v>
      </c>
      <c r="B692">
        <v>22289</v>
      </c>
      <c r="C692">
        <v>282</v>
      </c>
      <c r="D692">
        <v>4</v>
      </c>
      <c r="E692">
        <v>127.96</v>
      </c>
    </row>
    <row r="693" spans="1:5" x14ac:dyDescent="0.3">
      <c r="A693">
        <v>55805</v>
      </c>
      <c r="B693">
        <v>22290</v>
      </c>
      <c r="C693">
        <v>403</v>
      </c>
      <c r="D693">
        <v>1</v>
      </c>
      <c r="E693">
        <v>129.99</v>
      </c>
    </row>
    <row r="694" spans="1:5" x14ac:dyDescent="0.3">
      <c r="A694">
        <v>55806</v>
      </c>
      <c r="B694">
        <v>22290</v>
      </c>
      <c r="C694">
        <v>1014</v>
      </c>
      <c r="D694">
        <v>3</v>
      </c>
      <c r="E694">
        <v>149.94</v>
      </c>
    </row>
    <row r="695" spans="1:5" x14ac:dyDescent="0.3">
      <c r="A695">
        <v>55817</v>
      </c>
      <c r="B695">
        <v>22293</v>
      </c>
      <c r="C695">
        <v>810</v>
      </c>
      <c r="D695">
        <v>1</v>
      </c>
      <c r="E695">
        <v>19.989999999999998</v>
      </c>
    </row>
    <row r="696" spans="1:5" x14ac:dyDescent="0.3">
      <c r="A696">
        <v>55816</v>
      </c>
      <c r="B696">
        <v>22293</v>
      </c>
      <c r="C696">
        <v>957</v>
      </c>
      <c r="D696">
        <v>1</v>
      </c>
      <c r="E696">
        <v>299.98</v>
      </c>
    </row>
    <row r="697" spans="1:5" x14ac:dyDescent="0.3">
      <c r="A697">
        <v>55815</v>
      </c>
      <c r="B697">
        <v>22293</v>
      </c>
      <c r="C697">
        <v>957</v>
      </c>
      <c r="D697">
        <v>1</v>
      </c>
      <c r="E697">
        <v>299.98</v>
      </c>
    </row>
    <row r="698" spans="1:5" x14ac:dyDescent="0.3">
      <c r="A698">
        <v>55814</v>
      </c>
      <c r="B698">
        <v>22293</v>
      </c>
      <c r="C698">
        <v>1004</v>
      </c>
      <c r="D698">
        <v>1</v>
      </c>
      <c r="E698">
        <v>399.98</v>
      </c>
    </row>
    <row r="699" spans="1:5" x14ac:dyDescent="0.3">
      <c r="A699">
        <v>55813</v>
      </c>
      <c r="B699">
        <v>22293</v>
      </c>
      <c r="C699">
        <v>502</v>
      </c>
      <c r="D699">
        <v>5</v>
      </c>
      <c r="E699">
        <v>250</v>
      </c>
    </row>
    <row r="700" spans="1:5" x14ac:dyDescent="0.3">
      <c r="A700">
        <v>55871</v>
      </c>
      <c r="B700">
        <v>22318</v>
      </c>
      <c r="C700">
        <v>403</v>
      </c>
      <c r="D700">
        <v>1</v>
      </c>
      <c r="E700">
        <v>129.99</v>
      </c>
    </row>
    <row r="701" spans="1:5" x14ac:dyDescent="0.3">
      <c r="A701">
        <v>55870</v>
      </c>
      <c r="B701">
        <v>22318</v>
      </c>
      <c r="C701">
        <v>249</v>
      </c>
      <c r="D701">
        <v>4</v>
      </c>
      <c r="E701">
        <v>219.88</v>
      </c>
    </row>
    <row r="702" spans="1:5" x14ac:dyDescent="0.3">
      <c r="A702">
        <v>55873</v>
      </c>
      <c r="B702">
        <v>22318</v>
      </c>
      <c r="C702">
        <v>365</v>
      </c>
      <c r="D702">
        <v>4</v>
      </c>
      <c r="E702">
        <v>239.96</v>
      </c>
    </row>
    <row r="703" spans="1:5" x14ac:dyDescent="0.3">
      <c r="A703">
        <v>55872</v>
      </c>
      <c r="B703">
        <v>22318</v>
      </c>
      <c r="C703">
        <v>365</v>
      </c>
      <c r="D703">
        <v>4</v>
      </c>
      <c r="E703">
        <v>239.96</v>
      </c>
    </row>
    <row r="704" spans="1:5" x14ac:dyDescent="0.3">
      <c r="A704">
        <v>55910</v>
      </c>
      <c r="B704">
        <v>22337</v>
      </c>
      <c r="C704">
        <v>403</v>
      </c>
      <c r="D704">
        <v>1</v>
      </c>
      <c r="E704">
        <v>129.99</v>
      </c>
    </row>
    <row r="705" spans="1:5" x14ac:dyDescent="0.3">
      <c r="A705">
        <v>55909</v>
      </c>
      <c r="B705">
        <v>22337</v>
      </c>
      <c r="C705">
        <v>365</v>
      </c>
      <c r="D705">
        <v>5</v>
      </c>
      <c r="E705">
        <v>299.95</v>
      </c>
    </row>
    <row r="706" spans="1:5" x14ac:dyDescent="0.3">
      <c r="A706">
        <v>55914</v>
      </c>
      <c r="B706">
        <v>22339</v>
      </c>
      <c r="C706">
        <v>1073</v>
      </c>
      <c r="D706">
        <v>1</v>
      </c>
      <c r="E706">
        <v>199.99</v>
      </c>
    </row>
    <row r="707" spans="1:5" x14ac:dyDescent="0.3">
      <c r="A707">
        <v>55913</v>
      </c>
      <c r="B707">
        <v>22339</v>
      </c>
      <c r="C707">
        <v>957</v>
      </c>
      <c r="D707">
        <v>1</v>
      </c>
      <c r="E707">
        <v>299.98</v>
      </c>
    </row>
    <row r="708" spans="1:5" x14ac:dyDescent="0.3">
      <c r="A708">
        <v>55918</v>
      </c>
      <c r="B708">
        <v>22340</v>
      </c>
      <c r="C708">
        <v>1073</v>
      </c>
      <c r="D708">
        <v>1</v>
      </c>
      <c r="E708">
        <v>199.99</v>
      </c>
    </row>
    <row r="709" spans="1:5" x14ac:dyDescent="0.3">
      <c r="A709">
        <v>55916</v>
      </c>
      <c r="B709">
        <v>22340</v>
      </c>
      <c r="C709">
        <v>1014</v>
      </c>
      <c r="D709">
        <v>3</v>
      </c>
      <c r="E709">
        <v>149.94</v>
      </c>
    </row>
    <row r="710" spans="1:5" x14ac:dyDescent="0.3">
      <c r="A710">
        <v>55917</v>
      </c>
      <c r="B710">
        <v>22340</v>
      </c>
      <c r="C710">
        <v>403</v>
      </c>
      <c r="D710">
        <v>1</v>
      </c>
      <c r="E710">
        <v>129.99</v>
      </c>
    </row>
    <row r="711" spans="1:5" x14ac:dyDescent="0.3">
      <c r="A711">
        <v>55915</v>
      </c>
      <c r="B711">
        <v>22340</v>
      </c>
      <c r="C711">
        <v>1004</v>
      </c>
      <c r="D711">
        <v>1</v>
      </c>
      <c r="E711">
        <v>399.98</v>
      </c>
    </row>
    <row r="712" spans="1:5" x14ac:dyDescent="0.3">
      <c r="A712">
        <v>55919</v>
      </c>
      <c r="B712">
        <v>22341</v>
      </c>
      <c r="C712">
        <v>502</v>
      </c>
      <c r="D712">
        <v>4</v>
      </c>
      <c r="E712">
        <v>200</v>
      </c>
    </row>
    <row r="713" spans="1:5" x14ac:dyDescent="0.3">
      <c r="A713">
        <v>55920</v>
      </c>
      <c r="B713">
        <v>22342</v>
      </c>
      <c r="C713">
        <v>1073</v>
      </c>
      <c r="D713">
        <v>1</v>
      </c>
      <c r="E713">
        <v>199.99</v>
      </c>
    </row>
    <row r="714" spans="1:5" x14ac:dyDescent="0.3">
      <c r="A714">
        <v>55921</v>
      </c>
      <c r="B714">
        <v>22342</v>
      </c>
      <c r="C714">
        <v>191</v>
      </c>
      <c r="D714">
        <v>3</v>
      </c>
      <c r="E714">
        <v>299.97000000000003</v>
      </c>
    </row>
    <row r="715" spans="1:5" x14ac:dyDescent="0.3">
      <c r="A715">
        <v>55924</v>
      </c>
      <c r="B715">
        <v>22343</v>
      </c>
      <c r="C715">
        <v>403</v>
      </c>
      <c r="D715">
        <v>1</v>
      </c>
      <c r="E715">
        <v>129.99</v>
      </c>
    </row>
    <row r="716" spans="1:5" x14ac:dyDescent="0.3">
      <c r="A716">
        <v>55925</v>
      </c>
      <c r="B716">
        <v>22343</v>
      </c>
      <c r="C716">
        <v>1004</v>
      </c>
      <c r="D716">
        <v>1</v>
      </c>
      <c r="E716">
        <v>399.98</v>
      </c>
    </row>
    <row r="717" spans="1:5" x14ac:dyDescent="0.3">
      <c r="A717">
        <v>55926</v>
      </c>
      <c r="B717">
        <v>22343</v>
      </c>
      <c r="C717">
        <v>191</v>
      </c>
      <c r="D717">
        <v>3</v>
      </c>
      <c r="E717">
        <v>299.97000000000003</v>
      </c>
    </row>
    <row r="718" spans="1:5" x14ac:dyDescent="0.3">
      <c r="A718">
        <v>55923</v>
      </c>
      <c r="B718">
        <v>22343</v>
      </c>
      <c r="C718">
        <v>627</v>
      </c>
      <c r="D718">
        <v>5</v>
      </c>
      <c r="E718">
        <v>199.95</v>
      </c>
    </row>
    <row r="719" spans="1:5" x14ac:dyDescent="0.3">
      <c r="A719">
        <v>55922</v>
      </c>
      <c r="B719">
        <v>22343</v>
      </c>
      <c r="C719">
        <v>821</v>
      </c>
      <c r="D719">
        <v>5</v>
      </c>
      <c r="E719">
        <v>259.95</v>
      </c>
    </row>
    <row r="720" spans="1:5" x14ac:dyDescent="0.3">
      <c r="A720">
        <v>56041</v>
      </c>
      <c r="B720">
        <v>22386</v>
      </c>
      <c r="C720">
        <v>1014</v>
      </c>
      <c r="D720">
        <v>5</v>
      </c>
      <c r="E720">
        <v>249.9</v>
      </c>
    </row>
    <row r="721" spans="1:5" x14ac:dyDescent="0.3">
      <c r="A721">
        <v>56038</v>
      </c>
      <c r="B721">
        <v>22386</v>
      </c>
      <c r="C721">
        <v>191</v>
      </c>
      <c r="D721">
        <v>2</v>
      </c>
      <c r="E721">
        <v>199.98</v>
      </c>
    </row>
    <row r="722" spans="1:5" x14ac:dyDescent="0.3">
      <c r="A722">
        <v>56039</v>
      </c>
      <c r="B722">
        <v>22386</v>
      </c>
      <c r="C722">
        <v>365</v>
      </c>
      <c r="D722">
        <v>2</v>
      </c>
      <c r="E722">
        <v>119.98</v>
      </c>
    </row>
    <row r="723" spans="1:5" x14ac:dyDescent="0.3">
      <c r="A723">
        <v>56040</v>
      </c>
      <c r="B723">
        <v>22386</v>
      </c>
      <c r="C723">
        <v>191</v>
      </c>
      <c r="D723">
        <v>3</v>
      </c>
      <c r="E723">
        <v>299.97000000000003</v>
      </c>
    </row>
    <row r="724" spans="1:5" x14ac:dyDescent="0.3">
      <c r="A724">
        <v>56186</v>
      </c>
      <c r="B724">
        <v>22452</v>
      </c>
      <c r="C724">
        <v>1073</v>
      </c>
      <c r="D724">
        <v>1</v>
      </c>
      <c r="E724">
        <v>199.99</v>
      </c>
    </row>
    <row r="725" spans="1:5" x14ac:dyDescent="0.3">
      <c r="A725">
        <v>56185</v>
      </c>
      <c r="B725">
        <v>22452</v>
      </c>
      <c r="C725">
        <v>403</v>
      </c>
      <c r="D725">
        <v>1</v>
      </c>
      <c r="E725">
        <v>129.99</v>
      </c>
    </row>
    <row r="726" spans="1:5" x14ac:dyDescent="0.3">
      <c r="A726">
        <v>56184</v>
      </c>
      <c r="B726">
        <v>22452</v>
      </c>
      <c r="C726">
        <v>403</v>
      </c>
      <c r="D726">
        <v>1</v>
      </c>
      <c r="E726">
        <v>129.99</v>
      </c>
    </row>
    <row r="727" spans="1:5" x14ac:dyDescent="0.3">
      <c r="A727">
        <v>56191</v>
      </c>
      <c r="B727">
        <v>22454</v>
      </c>
      <c r="C727">
        <v>276</v>
      </c>
      <c r="D727">
        <v>1</v>
      </c>
      <c r="E727">
        <v>31.99</v>
      </c>
    </row>
    <row r="728" spans="1:5" x14ac:dyDescent="0.3">
      <c r="A728">
        <v>56187</v>
      </c>
      <c r="B728">
        <v>22454</v>
      </c>
      <c r="C728">
        <v>276</v>
      </c>
      <c r="D728">
        <v>1</v>
      </c>
      <c r="E728">
        <v>31.99</v>
      </c>
    </row>
    <row r="729" spans="1:5" x14ac:dyDescent="0.3">
      <c r="A729">
        <v>56190</v>
      </c>
      <c r="B729">
        <v>22454</v>
      </c>
      <c r="C729">
        <v>403</v>
      </c>
      <c r="D729">
        <v>1</v>
      </c>
      <c r="E729">
        <v>129.99</v>
      </c>
    </row>
    <row r="730" spans="1:5" x14ac:dyDescent="0.3">
      <c r="A730">
        <v>56188</v>
      </c>
      <c r="B730">
        <v>22454</v>
      </c>
      <c r="C730">
        <v>1073</v>
      </c>
      <c r="D730">
        <v>1</v>
      </c>
      <c r="E730">
        <v>199.99</v>
      </c>
    </row>
    <row r="731" spans="1:5" x14ac:dyDescent="0.3">
      <c r="A731">
        <v>56189</v>
      </c>
      <c r="B731">
        <v>22454</v>
      </c>
      <c r="C731">
        <v>1014</v>
      </c>
      <c r="D731">
        <v>1</v>
      </c>
      <c r="E731">
        <v>49.98</v>
      </c>
    </row>
    <row r="732" spans="1:5" x14ac:dyDescent="0.3">
      <c r="A732">
        <v>56192</v>
      </c>
      <c r="B732">
        <v>22455</v>
      </c>
      <c r="C732">
        <v>365</v>
      </c>
      <c r="D732">
        <v>5</v>
      </c>
      <c r="E732">
        <v>299.95</v>
      </c>
    </row>
    <row r="733" spans="1:5" x14ac:dyDescent="0.3">
      <c r="A733">
        <v>56195</v>
      </c>
      <c r="B733">
        <v>22455</v>
      </c>
      <c r="C733">
        <v>1073</v>
      </c>
      <c r="D733">
        <v>1</v>
      </c>
      <c r="E733">
        <v>199.99</v>
      </c>
    </row>
    <row r="734" spans="1:5" x14ac:dyDescent="0.3">
      <c r="A734">
        <v>56194</v>
      </c>
      <c r="B734">
        <v>22455</v>
      </c>
      <c r="C734">
        <v>1014</v>
      </c>
      <c r="D734">
        <v>4</v>
      </c>
      <c r="E734">
        <v>199.92</v>
      </c>
    </row>
    <row r="735" spans="1:5" x14ac:dyDescent="0.3">
      <c r="A735">
        <v>56193</v>
      </c>
      <c r="B735">
        <v>22455</v>
      </c>
      <c r="C735">
        <v>1014</v>
      </c>
      <c r="D735">
        <v>1</v>
      </c>
      <c r="E735">
        <v>49.98</v>
      </c>
    </row>
    <row r="736" spans="1:5" x14ac:dyDescent="0.3">
      <c r="A736">
        <v>56236</v>
      </c>
      <c r="B736">
        <v>22473</v>
      </c>
      <c r="C736">
        <v>502</v>
      </c>
      <c r="D736">
        <v>5</v>
      </c>
      <c r="E736">
        <v>250</v>
      </c>
    </row>
    <row r="737" spans="1:5" x14ac:dyDescent="0.3">
      <c r="A737">
        <v>56237</v>
      </c>
      <c r="B737">
        <v>22474</v>
      </c>
      <c r="C737">
        <v>957</v>
      </c>
      <c r="D737">
        <v>1</v>
      </c>
      <c r="E737">
        <v>299.98</v>
      </c>
    </row>
    <row r="738" spans="1:5" x14ac:dyDescent="0.3">
      <c r="A738">
        <v>56238</v>
      </c>
      <c r="B738">
        <v>22474</v>
      </c>
      <c r="C738">
        <v>365</v>
      </c>
      <c r="D738">
        <v>2</v>
      </c>
      <c r="E738">
        <v>119.98</v>
      </c>
    </row>
    <row r="739" spans="1:5" x14ac:dyDescent="0.3">
      <c r="A739">
        <v>56243</v>
      </c>
      <c r="B739">
        <v>22475</v>
      </c>
      <c r="C739">
        <v>1004</v>
      </c>
      <c r="D739">
        <v>1</v>
      </c>
      <c r="E739">
        <v>399.98</v>
      </c>
    </row>
    <row r="740" spans="1:5" x14ac:dyDescent="0.3">
      <c r="A740">
        <v>56242</v>
      </c>
      <c r="B740">
        <v>22475</v>
      </c>
      <c r="C740">
        <v>502</v>
      </c>
      <c r="D740">
        <v>3</v>
      </c>
      <c r="E740">
        <v>150</v>
      </c>
    </row>
    <row r="741" spans="1:5" x14ac:dyDescent="0.3">
      <c r="A741">
        <v>56241</v>
      </c>
      <c r="B741">
        <v>22475</v>
      </c>
      <c r="C741">
        <v>821</v>
      </c>
      <c r="D741">
        <v>3</v>
      </c>
      <c r="E741">
        <v>155.97</v>
      </c>
    </row>
    <row r="742" spans="1:5" x14ac:dyDescent="0.3">
      <c r="A742">
        <v>56240</v>
      </c>
      <c r="B742">
        <v>22475</v>
      </c>
      <c r="C742">
        <v>1073</v>
      </c>
      <c r="D742">
        <v>1</v>
      </c>
      <c r="E742">
        <v>199.99</v>
      </c>
    </row>
    <row r="743" spans="1:5" x14ac:dyDescent="0.3">
      <c r="A743">
        <v>56239</v>
      </c>
      <c r="B743">
        <v>22475</v>
      </c>
      <c r="C743">
        <v>1073</v>
      </c>
      <c r="D743">
        <v>1</v>
      </c>
      <c r="E743">
        <v>199.99</v>
      </c>
    </row>
    <row r="744" spans="1:5" x14ac:dyDescent="0.3">
      <c r="A744">
        <v>56270</v>
      </c>
      <c r="B744">
        <v>22486</v>
      </c>
      <c r="C744">
        <v>365</v>
      </c>
      <c r="D744">
        <v>5</v>
      </c>
      <c r="E744">
        <v>299.95</v>
      </c>
    </row>
    <row r="745" spans="1:5" x14ac:dyDescent="0.3">
      <c r="A745">
        <v>56268</v>
      </c>
      <c r="B745">
        <v>22486</v>
      </c>
      <c r="C745">
        <v>502</v>
      </c>
      <c r="D745">
        <v>5</v>
      </c>
      <c r="E745">
        <v>250</v>
      </c>
    </row>
    <row r="746" spans="1:5" x14ac:dyDescent="0.3">
      <c r="A746">
        <v>56269</v>
      </c>
      <c r="B746">
        <v>22486</v>
      </c>
      <c r="C746">
        <v>1073</v>
      </c>
      <c r="D746">
        <v>1</v>
      </c>
      <c r="E746">
        <v>199.99</v>
      </c>
    </row>
    <row r="747" spans="1:5" x14ac:dyDescent="0.3">
      <c r="A747">
        <v>56267</v>
      </c>
      <c r="B747">
        <v>22486</v>
      </c>
      <c r="C747">
        <v>1014</v>
      </c>
      <c r="D747">
        <v>3</v>
      </c>
      <c r="E747">
        <v>149.94</v>
      </c>
    </row>
    <row r="748" spans="1:5" x14ac:dyDescent="0.3">
      <c r="A748">
        <v>56277</v>
      </c>
      <c r="B748">
        <v>22490</v>
      </c>
      <c r="C748">
        <v>403</v>
      </c>
      <c r="D748">
        <v>1</v>
      </c>
      <c r="E748">
        <v>129.99</v>
      </c>
    </row>
    <row r="749" spans="1:5" x14ac:dyDescent="0.3">
      <c r="A749">
        <v>56276</v>
      </c>
      <c r="B749">
        <v>22490</v>
      </c>
      <c r="C749">
        <v>403</v>
      </c>
      <c r="D749">
        <v>1</v>
      </c>
      <c r="E749">
        <v>129.99</v>
      </c>
    </row>
    <row r="750" spans="1:5" x14ac:dyDescent="0.3">
      <c r="A750">
        <v>56278</v>
      </c>
      <c r="B750">
        <v>22490</v>
      </c>
      <c r="C750">
        <v>365</v>
      </c>
      <c r="D750">
        <v>2</v>
      </c>
      <c r="E750">
        <v>119.98</v>
      </c>
    </row>
    <row r="751" spans="1:5" x14ac:dyDescent="0.3">
      <c r="A751">
        <v>56279</v>
      </c>
      <c r="B751">
        <v>22490</v>
      </c>
      <c r="C751">
        <v>365</v>
      </c>
      <c r="D751">
        <v>4</v>
      </c>
      <c r="E751">
        <v>239.96</v>
      </c>
    </row>
    <row r="752" spans="1:5" x14ac:dyDescent="0.3">
      <c r="A752">
        <v>56295</v>
      </c>
      <c r="B752">
        <v>22497</v>
      </c>
      <c r="C752">
        <v>627</v>
      </c>
      <c r="D752">
        <v>3</v>
      </c>
      <c r="E752">
        <v>119.97</v>
      </c>
    </row>
    <row r="753" spans="1:5" x14ac:dyDescent="0.3">
      <c r="A753">
        <v>56293</v>
      </c>
      <c r="B753">
        <v>22497</v>
      </c>
      <c r="C753">
        <v>905</v>
      </c>
      <c r="D753">
        <v>3</v>
      </c>
      <c r="E753">
        <v>74.97</v>
      </c>
    </row>
    <row r="754" spans="1:5" x14ac:dyDescent="0.3">
      <c r="A754">
        <v>56294</v>
      </c>
      <c r="B754">
        <v>22497</v>
      </c>
      <c r="C754">
        <v>1014</v>
      </c>
      <c r="D754">
        <v>1</v>
      </c>
      <c r="E754">
        <v>49.98</v>
      </c>
    </row>
    <row r="755" spans="1:5" x14ac:dyDescent="0.3">
      <c r="A755">
        <v>56297</v>
      </c>
      <c r="B755">
        <v>22498</v>
      </c>
      <c r="C755">
        <v>365</v>
      </c>
      <c r="D755">
        <v>1</v>
      </c>
      <c r="E755">
        <v>59.99</v>
      </c>
    </row>
    <row r="756" spans="1:5" x14ac:dyDescent="0.3">
      <c r="A756">
        <v>56300</v>
      </c>
      <c r="B756">
        <v>22498</v>
      </c>
      <c r="C756">
        <v>957</v>
      </c>
      <c r="D756">
        <v>1</v>
      </c>
      <c r="E756">
        <v>299.98</v>
      </c>
    </row>
    <row r="757" spans="1:5" x14ac:dyDescent="0.3">
      <c r="A757">
        <v>56299</v>
      </c>
      <c r="B757">
        <v>22498</v>
      </c>
      <c r="C757">
        <v>957</v>
      </c>
      <c r="D757">
        <v>1</v>
      </c>
      <c r="E757">
        <v>299.98</v>
      </c>
    </row>
    <row r="758" spans="1:5" x14ac:dyDescent="0.3">
      <c r="A758">
        <v>56298</v>
      </c>
      <c r="B758">
        <v>22498</v>
      </c>
      <c r="C758">
        <v>502</v>
      </c>
      <c r="D758">
        <v>2</v>
      </c>
      <c r="E758">
        <v>100</v>
      </c>
    </row>
    <row r="759" spans="1:5" x14ac:dyDescent="0.3">
      <c r="A759">
        <v>56296</v>
      </c>
      <c r="B759">
        <v>22498</v>
      </c>
      <c r="C759">
        <v>1014</v>
      </c>
      <c r="D759">
        <v>3</v>
      </c>
      <c r="E759">
        <v>149.94</v>
      </c>
    </row>
    <row r="760" spans="1:5" x14ac:dyDescent="0.3">
      <c r="A760">
        <v>56305</v>
      </c>
      <c r="B760">
        <v>22499</v>
      </c>
      <c r="C760">
        <v>365</v>
      </c>
      <c r="D760">
        <v>1</v>
      </c>
      <c r="E760">
        <v>59.99</v>
      </c>
    </row>
    <row r="761" spans="1:5" x14ac:dyDescent="0.3">
      <c r="A761">
        <v>56301</v>
      </c>
      <c r="B761">
        <v>22499</v>
      </c>
      <c r="C761">
        <v>502</v>
      </c>
      <c r="D761">
        <v>1</v>
      </c>
      <c r="E761">
        <v>50</v>
      </c>
    </row>
    <row r="762" spans="1:5" x14ac:dyDescent="0.3">
      <c r="A762">
        <v>56303</v>
      </c>
      <c r="B762">
        <v>22499</v>
      </c>
      <c r="C762">
        <v>502</v>
      </c>
      <c r="D762">
        <v>2</v>
      </c>
      <c r="E762">
        <v>100</v>
      </c>
    </row>
    <row r="763" spans="1:5" x14ac:dyDescent="0.3">
      <c r="A763">
        <v>56304</v>
      </c>
      <c r="B763">
        <v>22499</v>
      </c>
      <c r="C763">
        <v>191</v>
      </c>
      <c r="D763">
        <v>3</v>
      </c>
      <c r="E763">
        <v>299.97000000000003</v>
      </c>
    </row>
    <row r="764" spans="1:5" x14ac:dyDescent="0.3">
      <c r="A764">
        <v>56302</v>
      </c>
      <c r="B764">
        <v>22499</v>
      </c>
      <c r="C764">
        <v>1073</v>
      </c>
      <c r="D764">
        <v>1</v>
      </c>
      <c r="E764">
        <v>199.99</v>
      </c>
    </row>
    <row r="765" spans="1:5" x14ac:dyDescent="0.3">
      <c r="A765">
        <v>56365</v>
      </c>
      <c r="B765">
        <v>22518</v>
      </c>
      <c r="C765">
        <v>403</v>
      </c>
      <c r="D765">
        <v>1</v>
      </c>
      <c r="E765">
        <v>129.99</v>
      </c>
    </row>
    <row r="766" spans="1:5" x14ac:dyDescent="0.3">
      <c r="A766">
        <v>56395</v>
      </c>
      <c r="B766">
        <v>22533</v>
      </c>
      <c r="C766">
        <v>627</v>
      </c>
      <c r="D766">
        <v>3</v>
      </c>
      <c r="E766">
        <v>119.97</v>
      </c>
    </row>
    <row r="767" spans="1:5" x14ac:dyDescent="0.3">
      <c r="A767">
        <v>56394</v>
      </c>
      <c r="B767">
        <v>22533</v>
      </c>
      <c r="C767">
        <v>502</v>
      </c>
      <c r="D767">
        <v>4</v>
      </c>
      <c r="E767">
        <v>200</v>
      </c>
    </row>
    <row r="768" spans="1:5" x14ac:dyDescent="0.3">
      <c r="A768">
        <v>56392</v>
      </c>
      <c r="B768">
        <v>22533</v>
      </c>
      <c r="C768">
        <v>502</v>
      </c>
      <c r="D768">
        <v>5</v>
      </c>
      <c r="E768">
        <v>250</v>
      </c>
    </row>
    <row r="769" spans="1:5" x14ac:dyDescent="0.3">
      <c r="A769">
        <v>56393</v>
      </c>
      <c r="B769">
        <v>22533</v>
      </c>
      <c r="C769">
        <v>1004</v>
      </c>
      <c r="D769">
        <v>1</v>
      </c>
      <c r="E769">
        <v>399.98</v>
      </c>
    </row>
    <row r="770" spans="1:5" x14ac:dyDescent="0.3">
      <c r="A770">
        <v>56430</v>
      </c>
      <c r="B770">
        <v>22549</v>
      </c>
      <c r="C770">
        <v>282</v>
      </c>
      <c r="D770">
        <v>5</v>
      </c>
      <c r="E770">
        <v>159.94999999999999</v>
      </c>
    </row>
    <row r="771" spans="1:5" x14ac:dyDescent="0.3">
      <c r="A771">
        <v>56431</v>
      </c>
      <c r="B771">
        <v>22549</v>
      </c>
      <c r="C771">
        <v>191</v>
      </c>
      <c r="D771">
        <v>1</v>
      </c>
      <c r="E771">
        <v>99.99</v>
      </c>
    </row>
    <row r="772" spans="1:5" x14ac:dyDescent="0.3">
      <c r="A772">
        <v>56432</v>
      </c>
      <c r="B772">
        <v>22549</v>
      </c>
      <c r="C772">
        <v>1014</v>
      </c>
      <c r="D772">
        <v>5</v>
      </c>
      <c r="E772">
        <v>249.9</v>
      </c>
    </row>
    <row r="773" spans="1:5" x14ac:dyDescent="0.3">
      <c r="A773">
        <v>56433</v>
      </c>
      <c r="B773">
        <v>22550</v>
      </c>
      <c r="C773">
        <v>365</v>
      </c>
      <c r="D773">
        <v>1</v>
      </c>
      <c r="E773">
        <v>59.99</v>
      </c>
    </row>
    <row r="774" spans="1:5" x14ac:dyDescent="0.3">
      <c r="A774">
        <v>56437</v>
      </c>
      <c r="B774">
        <v>22550</v>
      </c>
      <c r="C774">
        <v>403</v>
      </c>
      <c r="D774">
        <v>1</v>
      </c>
      <c r="E774">
        <v>129.99</v>
      </c>
    </row>
    <row r="775" spans="1:5" x14ac:dyDescent="0.3">
      <c r="A775">
        <v>56435</v>
      </c>
      <c r="B775">
        <v>22550</v>
      </c>
      <c r="C775">
        <v>1004</v>
      </c>
      <c r="D775">
        <v>1</v>
      </c>
      <c r="E775">
        <v>399.98</v>
      </c>
    </row>
    <row r="776" spans="1:5" x14ac:dyDescent="0.3">
      <c r="A776">
        <v>56436</v>
      </c>
      <c r="B776">
        <v>22550</v>
      </c>
      <c r="C776">
        <v>191</v>
      </c>
      <c r="D776">
        <v>3</v>
      </c>
      <c r="E776">
        <v>299.97000000000003</v>
      </c>
    </row>
    <row r="777" spans="1:5" x14ac:dyDescent="0.3">
      <c r="A777">
        <v>56434</v>
      </c>
      <c r="B777">
        <v>22550</v>
      </c>
      <c r="C777">
        <v>276</v>
      </c>
      <c r="D777">
        <v>4</v>
      </c>
      <c r="E777">
        <v>127.96</v>
      </c>
    </row>
    <row r="778" spans="1:5" x14ac:dyDescent="0.3">
      <c r="A778">
        <v>56438</v>
      </c>
      <c r="B778">
        <v>22554</v>
      </c>
      <c r="C778">
        <v>1014</v>
      </c>
      <c r="D778">
        <v>4</v>
      </c>
      <c r="E778">
        <v>199.92</v>
      </c>
    </row>
    <row r="779" spans="1:5" x14ac:dyDescent="0.3">
      <c r="A779">
        <v>56439</v>
      </c>
      <c r="B779">
        <v>22554</v>
      </c>
      <c r="C779">
        <v>627</v>
      </c>
      <c r="D779">
        <v>5</v>
      </c>
      <c r="E779">
        <v>199.95</v>
      </c>
    </row>
    <row r="780" spans="1:5" x14ac:dyDescent="0.3">
      <c r="A780">
        <v>56481</v>
      </c>
      <c r="B780">
        <v>22573</v>
      </c>
      <c r="C780">
        <v>191</v>
      </c>
      <c r="D780">
        <v>5</v>
      </c>
      <c r="E780">
        <v>499.95</v>
      </c>
    </row>
    <row r="781" spans="1:5" x14ac:dyDescent="0.3">
      <c r="A781">
        <v>56483</v>
      </c>
      <c r="B781">
        <v>22573</v>
      </c>
      <c r="C781">
        <v>502</v>
      </c>
      <c r="D781">
        <v>1</v>
      </c>
      <c r="E781">
        <v>50</v>
      </c>
    </row>
    <row r="782" spans="1:5" x14ac:dyDescent="0.3">
      <c r="A782">
        <v>56480</v>
      </c>
      <c r="B782">
        <v>22573</v>
      </c>
      <c r="C782">
        <v>957</v>
      </c>
      <c r="D782">
        <v>1</v>
      </c>
      <c r="E782">
        <v>299.98</v>
      </c>
    </row>
    <row r="783" spans="1:5" x14ac:dyDescent="0.3">
      <c r="A783">
        <v>56479</v>
      </c>
      <c r="B783">
        <v>22573</v>
      </c>
      <c r="C783">
        <v>957</v>
      </c>
      <c r="D783">
        <v>1</v>
      </c>
      <c r="E783">
        <v>299.98</v>
      </c>
    </row>
    <row r="784" spans="1:5" x14ac:dyDescent="0.3">
      <c r="A784">
        <v>56482</v>
      </c>
      <c r="B784">
        <v>22573</v>
      </c>
      <c r="C784">
        <v>1073</v>
      </c>
      <c r="D784">
        <v>1</v>
      </c>
      <c r="E784">
        <v>199.99</v>
      </c>
    </row>
    <row r="785" spans="1:5" x14ac:dyDescent="0.3">
      <c r="A785">
        <v>56484</v>
      </c>
      <c r="B785">
        <v>22575</v>
      </c>
      <c r="C785">
        <v>886</v>
      </c>
      <c r="D785">
        <v>3</v>
      </c>
      <c r="E785">
        <v>74.97</v>
      </c>
    </row>
    <row r="786" spans="1:5" x14ac:dyDescent="0.3">
      <c r="A786">
        <v>56485</v>
      </c>
      <c r="B786">
        <v>22576</v>
      </c>
      <c r="C786">
        <v>957</v>
      </c>
      <c r="D786">
        <v>1</v>
      </c>
      <c r="E786">
        <v>299.98</v>
      </c>
    </row>
    <row r="787" spans="1:5" x14ac:dyDescent="0.3">
      <c r="A787">
        <v>56486</v>
      </c>
      <c r="B787">
        <v>22576</v>
      </c>
      <c r="C787">
        <v>365</v>
      </c>
      <c r="D787">
        <v>5</v>
      </c>
      <c r="E787">
        <v>299.95</v>
      </c>
    </row>
    <row r="788" spans="1:5" x14ac:dyDescent="0.3">
      <c r="A788">
        <v>56543</v>
      </c>
      <c r="B788">
        <v>22601</v>
      </c>
      <c r="C788">
        <v>365</v>
      </c>
      <c r="D788">
        <v>4</v>
      </c>
      <c r="E788">
        <v>239.96</v>
      </c>
    </row>
    <row r="789" spans="1:5" x14ac:dyDescent="0.3">
      <c r="A789">
        <v>56544</v>
      </c>
      <c r="B789">
        <v>22601</v>
      </c>
      <c r="C789">
        <v>1073</v>
      </c>
      <c r="D789">
        <v>1</v>
      </c>
      <c r="E789">
        <v>199.99</v>
      </c>
    </row>
    <row r="790" spans="1:5" x14ac:dyDescent="0.3">
      <c r="A790">
        <v>56545</v>
      </c>
      <c r="B790">
        <v>22601</v>
      </c>
      <c r="C790">
        <v>403</v>
      </c>
      <c r="D790">
        <v>1</v>
      </c>
      <c r="E790">
        <v>129.99</v>
      </c>
    </row>
    <row r="791" spans="1:5" x14ac:dyDescent="0.3">
      <c r="A791">
        <v>56549</v>
      </c>
      <c r="B791">
        <v>22602</v>
      </c>
      <c r="C791">
        <v>403</v>
      </c>
      <c r="D791">
        <v>1</v>
      </c>
      <c r="E791">
        <v>129.99</v>
      </c>
    </row>
    <row r="792" spans="1:5" x14ac:dyDescent="0.3">
      <c r="A792">
        <v>56550</v>
      </c>
      <c r="B792">
        <v>22602</v>
      </c>
      <c r="C792">
        <v>977</v>
      </c>
      <c r="D792">
        <v>1</v>
      </c>
      <c r="E792">
        <v>29.99</v>
      </c>
    </row>
    <row r="793" spans="1:5" x14ac:dyDescent="0.3">
      <c r="A793">
        <v>56546</v>
      </c>
      <c r="B793">
        <v>22602</v>
      </c>
      <c r="C793">
        <v>1073</v>
      </c>
      <c r="D793">
        <v>1</v>
      </c>
      <c r="E793">
        <v>199.99</v>
      </c>
    </row>
    <row r="794" spans="1:5" x14ac:dyDescent="0.3">
      <c r="A794">
        <v>56548</v>
      </c>
      <c r="B794">
        <v>22602</v>
      </c>
      <c r="C794">
        <v>818</v>
      </c>
      <c r="D794">
        <v>3</v>
      </c>
      <c r="E794">
        <v>143.97</v>
      </c>
    </row>
    <row r="795" spans="1:5" x14ac:dyDescent="0.3">
      <c r="A795">
        <v>56547</v>
      </c>
      <c r="B795">
        <v>22602</v>
      </c>
      <c r="C795">
        <v>502</v>
      </c>
      <c r="D795">
        <v>4</v>
      </c>
      <c r="E795">
        <v>200</v>
      </c>
    </row>
    <row r="796" spans="1:5" x14ac:dyDescent="0.3">
      <c r="A796">
        <v>56655</v>
      </c>
      <c r="B796">
        <v>22642</v>
      </c>
      <c r="C796">
        <v>957</v>
      </c>
      <c r="D796">
        <v>1</v>
      </c>
      <c r="E796">
        <v>299.98</v>
      </c>
    </row>
    <row r="797" spans="1:5" x14ac:dyDescent="0.3">
      <c r="A797">
        <v>56653</v>
      </c>
      <c r="B797">
        <v>22642</v>
      </c>
      <c r="C797">
        <v>957</v>
      </c>
      <c r="D797">
        <v>1</v>
      </c>
      <c r="E797">
        <v>299.98</v>
      </c>
    </row>
    <row r="798" spans="1:5" x14ac:dyDescent="0.3">
      <c r="A798">
        <v>56654</v>
      </c>
      <c r="B798">
        <v>22642</v>
      </c>
      <c r="C798">
        <v>365</v>
      </c>
      <c r="D798">
        <v>5</v>
      </c>
      <c r="E798">
        <v>299.95</v>
      </c>
    </row>
    <row r="799" spans="1:5" x14ac:dyDescent="0.3">
      <c r="A799">
        <v>56652</v>
      </c>
      <c r="B799">
        <v>22642</v>
      </c>
      <c r="C799">
        <v>502</v>
      </c>
      <c r="D799">
        <v>5</v>
      </c>
      <c r="E799">
        <v>250</v>
      </c>
    </row>
    <row r="800" spans="1:5" x14ac:dyDescent="0.3">
      <c r="A800">
        <v>56656</v>
      </c>
      <c r="B800">
        <v>22642</v>
      </c>
      <c r="C800">
        <v>778</v>
      </c>
      <c r="D800">
        <v>5</v>
      </c>
      <c r="E800">
        <v>124.95</v>
      </c>
    </row>
    <row r="801" spans="1:5" x14ac:dyDescent="0.3">
      <c r="A801">
        <v>56726</v>
      </c>
      <c r="B801">
        <v>22668</v>
      </c>
      <c r="C801">
        <v>1004</v>
      </c>
      <c r="D801">
        <v>1</v>
      </c>
      <c r="E801">
        <v>399.98</v>
      </c>
    </row>
    <row r="802" spans="1:5" x14ac:dyDescent="0.3">
      <c r="A802">
        <v>56723</v>
      </c>
      <c r="B802">
        <v>22668</v>
      </c>
      <c r="C802">
        <v>1004</v>
      </c>
      <c r="D802">
        <v>1</v>
      </c>
      <c r="E802">
        <v>399.98</v>
      </c>
    </row>
    <row r="803" spans="1:5" x14ac:dyDescent="0.3">
      <c r="A803">
        <v>56724</v>
      </c>
      <c r="B803">
        <v>22668</v>
      </c>
      <c r="C803">
        <v>627</v>
      </c>
      <c r="D803">
        <v>5</v>
      </c>
      <c r="E803">
        <v>199.95</v>
      </c>
    </row>
    <row r="804" spans="1:5" x14ac:dyDescent="0.3">
      <c r="A804">
        <v>56725</v>
      </c>
      <c r="B804">
        <v>22668</v>
      </c>
      <c r="C804">
        <v>1014</v>
      </c>
      <c r="D804">
        <v>4</v>
      </c>
      <c r="E804">
        <v>199.92</v>
      </c>
    </row>
    <row r="805" spans="1:5" x14ac:dyDescent="0.3">
      <c r="A805">
        <v>56732</v>
      </c>
      <c r="B805">
        <v>22670</v>
      </c>
      <c r="C805">
        <v>191</v>
      </c>
      <c r="D805">
        <v>1</v>
      </c>
      <c r="E805">
        <v>99.99</v>
      </c>
    </row>
    <row r="806" spans="1:5" x14ac:dyDescent="0.3">
      <c r="A806">
        <v>56731</v>
      </c>
      <c r="B806">
        <v>22670</v>
      </c>
      <c r="C806">
        <v>403</v>
      </c>
      <c r="D806">
        <v>1</v>
      </c>
      <c r="E806">
        <v>129.99</v>
      </c>
    </row>
    <row r="807" spans="1:5" x14ac:dyDescent="0.3">
      <c r="A807">
        <v>56733</v>
      </c>
      <c r="B807">
        <v>22671</v>
      </c>
      <c r="C807">
        <v>1004</v>
      </c>
      <c r="D807">
        <v>1</v>
      </c>
      <c r="E807">
        <v>399.98</v>
      </c>
    </row>
    <row r="808" spans="1:5" x14ac:dyDescent="0.3">
      <c r="A808">
        <v>56735</v>
      </c>
      <c r="B808">
        <v>22671</v>
      </c>
      <c r="C808">
        <v>191</v>
      </c>
      <c r="D808">
        <v>4</v>
      </c>
      <c r="E808">
        <v>399.96</v>
      </c>
    </row>
    <row r="809" spans="1:5" x14ac:dyDescent="0.3">
      <c r="A809">
        <v>56734</v>
      </c>
      <c r="B809">
        <v>22671</v>
      </c>
      <c r="C809">
        <v>926</v>
      </c>
      <c r="D809">
        <v>4</v>
      </c>
      <c r="E809">
        <v>63.96</v>
      </c>
    </row>
    <row r="810" spans="1:5" x14ac:dyDescent="0.3">
      <c r="A810">
        <v>56738</v>
      </c>
      <c r="B810">
        <v>22672</v>
      </c>
      <c r="C810">
        <v>191</v>
      </c>
      <c r="D810">
        <v>1</v>
      </c>
      <c r="E810">
        <v>99.99</v>
      </c>
    </row>
    <row r="811" spans="1:5" x14ac:dyDescent="0.3">
      <c r="A811">
        <v>56737</v>
      </c>
      <c r="B811">
        <v>22672</v>
      </c>
      <c r="C811">
        <v>627</v>
      </c>
      <c r="D811">
        <v>2</v>
      </c>
      <c r="E811">
        <v>79.98</v>
      </c>
    </row>
    <row r="812" spans="1:5" x14ac:dyDescent="0.3">
      <c r="A812">
        <v>56739</v>
      </c>
      <c r="B812">
        <v>22672</v>
      </c>
      <c r="C812">
        <v>1014</v>
      </c>
      <c r="D812">
        <v>3</v>
      </c>
      <c r="E812">
        <v>149.94</v>
      </c>
    </row>
    <row r="813" spans="1:5" x14ac:dyDescent="0.3">
      <c r="A813">
        <v>56736</v>
      </c>
      <c r="B813">
        <v>22672</v>
      </c>
      <c r="C813">
        <v>1014</v>
      </c>
      <c r="D813">
        <v>4</v>
      </c>
      <c r="E813">
        <v>199.92</v>
      </c>
    </row>
    <row r="814" spans="1:5" x14ac:dyDescent="0.3">
      <c r="A814">
        <v>56740</v>
      </c>
      <c r="B814">
        <v>22673</v>
      </c>
      <c r="C814">
        <v>1014</v>
      </c>
      <c r="D814">
        <v>4</v>
      </c>
      <c r="E814">
        <v>199.92</v>
      </c>
    </row>
    <row r="815" spans="1:5" x14ac:dyDescent="0.3">
      <c r="A815">
        <v>56771</v>
      </c>
      <c r="B815">
        <v>22685</v>
      </c>
      <c r="C815">
        <v>1073</v>
      </c>
      <c r="D815">
        <v>1</v>
      </c>
      <c r="E815">
        <v>199.99</v>
      </c>
    </row>
    <row r="816" spans="1:5" x14ac:dyDescent="0.3">
      <c r="A816">
        <v>56773</v>
      </c>
      <c r="B816">
        <v>22686</v>
      </c>
      <c r="C816">
        <v>191</v>
      </c>
      <c r="D816">
        <v>4</v>
      </c>
      <c r="E816">
        <v>399.96</v>
      </c>
    </row>
    <row r="817" spans="1:5" x14ac:dyDescent="0.3">
      <c r="A817">
        <v>56772</v>
      </c>
      <c r="B817">
        <v>22686</v>
      </c>
      <c r="C817">
        <v>191</v>
      </c>
      <c r="D817">
        <v>4</v>
      </c>
      <c r="E817">
        <v>399.96</v>
      </c>
    </row>
    <row r="818" spans="1:5" x14ac:dyDescent="0.3">
      <c r="A818">
        <v>56774</v>
      </c>
      <c r="B818">
        <v>22686</v>
      </c>
      <c r="C818">
        <v>627</v>
      </c>
      <c r="D818">
        <v>5</v>
      </c>
      <c r="E818">
        <v>199.95</v>
      </c>
    </row>
    <row r="819" spans="1:5" x14ac:dyDescent="0.3">
      <c r="A819">
        <v>56775</v>
      </c>
      <c r="B819">
        <v>22687</v>
      </c>
      <c r="C819">
        <v>502</v>
      </c>
      <c r="D819">
        <v>4</v>
      </c>
      <c r="E819">
        <v>200</v>
      </c>
    </row>
    <row r="820" spans="1:5" x14ac:dyDescent="0.3">
      <c r="A820">
        <v>56777</v>
      </c>
      <c r="B820">
        <v>22687</v>
      </c>
      <c r="C820">
        <v>1073</v>
      </c>
      <c r="D820">
        <v>1</v>
      </c>
      <c r="E820">
        <v>199.99</v>
      </c>
    </row>
    <row r="821" spans="1:5" x14ac:dyDescent="0.3">
      <c r="A821">
        <v>56776</v>
      </c>
      <c r="B821">
        <v>22687</v>
      </c>
      <c r="C821">
        <v>1014</v>
      </c>
      <c r="D821">
        <v>2</v>
      </c>
      <c r="E821">
        <v>99.96</v>
      </c>
    </row>
    <row r="822" spans="1:5" x14ac:dyDescent="0.3">
      <c r="A822">
        <v>56845</v>
      </c>
      <c r="B822">
        <v>22710</v>
      </c>
      <c r="C822">
        <v>191</v>
      </c>
      <c r="D822">
        <v>1</v>
      </c>
      <c r="E822">
        <v>99.99</v>
      </c>
    </row>
    <row r="823" spans="1:5" x14ac:dyDescent="0.3">
      <c r="A823">
        <v>56844</v>
      </c>
      <c r="B823">
        <v>22710</v>
      </c>
      <c r="C823">
        <v>191</v>
      </c>
      <c r="D823">
        <v>1</v>
      </c>
      <c r="E823">
        <v>99.99</v>
      </c>
    </row>
    <row r="824" spans="1:5" x14ac:dyDescent="0.3">
      <c r="A824">
        <v>56843</v>
      </c>
      <c r="B824">
        <v>22710</v>
      </c>
      <c r="C824">
        <v>403</v>
      </c>
      <c r="D824">
        <v>1</v>
      </c>
      <c r="E824">
        <v>129.99</v>
      </c>
    </row>
    <row r="825" spans="1:5" x14ac:dyDescent="0.3">
      <c r="A825">
        <v>56842</v>
      </c>
      <c r="B825">
        <v>22710</v>
      </c>
      <c r="C825">
        <v>403</v>
      </c>
      <c r="D825">
        <v>1</v>
      </c>
      <c r="E825">
        <v>129.99</v>
      </c>
    </row>
    <row r="826" spans="1:5" x14ac:dyDescent="0.3">
      <c r="A826">
        <v>56846</v>
      </c>
      <c r="B826">
        <v>22710</v>
      </c>
      <c r="C826">
        <v>502</v>
      </c>
      <c r="D826">
        <v>3</v>
      </c>
      <c r="E826">
        <v>150</v>
      </c>
    </row>
    <row r="827" spans="1:5" x14ac:dyDescent="0.3">
      <c r="A827">
        <v>56847</v>
      </c>
      <c r="B827">
        <v>22712</v>
      </c>
      <c r="C827">
        <v>1073</v>
      </c>
      <c r="D827">
        <v>1</v>
      </c>
      <c r="E827">
        <v>199.99</v>
      </c>
    </row>
    <row r="828" spans="1:5" x14ac:dyDescent="0.3">
      <c r="A828">
        <v>56849</v>
      </c>
      <c r="B828">
        <v>22712</v>
      </c>
      <c r="C828">
        <v>1004</v>
      </c>
      <c r="D828">
        <v>1</v>
      </c>
      <c r="E828">
        <v>399.98</v>
      </c>
    </row>
    <row r="829" spans="1:5" x14ac:dyDescent="0.3">
      <c r="A829">
        <v>56848</v>
      </c>
      <c r="B829">
        <v>22712</v>
      </c>
      <c r="C829">
        <v>191</v>
      </c>
      <c r="D829">
        <v>4</v>
      </c>
      <c r="E829">
        <v>399.96</v>
      </c>
    </row>
    <row r="830" spans="1:5" x14ac:dyDescent="0.3">
      <c r="A830">
        <v>56860</v>
      </c>
      <c r="B830">
        <v>22718</v>
      </c>
      <c r="C830">
        <v>1004</v>
      </c>
      <c r="D830">
        <v>1</v>
      </c>
      <c r="E830">
        <v>399.98</v>
      </c>
    </row>
    <row r="831" spans="1:5" x14ac:dyDescent="0.3">
      <c r="A831">
        <v>56859</v>
      </c>
      <c r="B831">
        <v>22718</v>
      </c>
      <c r="C831">
        <v>1004</v>
      </c>
      <c r="D831">
        <v>1</v>
      </c>
      <c r="E831">
        <v>399.98</v>
      </c>
    </row>
    <row r="832" spans="1:5" x14ac:dyDescent="0.3">
      <c r="A832">
        <v>56862</v>
      </c>
      <c r="B832">
        <v>22719</v>
      </c>
      <c r="C832">
        <v>627</v>
      </c>
      <c r="D832">
        <v>3</v>
      </c>
      <c r="E832">
        <v>119.97</v>
      </c>
    </row>
    <row r="833" spans="1:5" x14ac:dyDescent="0.3">
      <c r="A833">
        <v>56863</v>
      </c>
      <c r="B833">
        <v>22719</v>
      </c>
      <c r="C833">
        <v>1004</v>
      </c>
      <c r="D833">
        <v>1</v>
      </c>
      <c r="E833">
        <v>399.98</v>
      </c>
    </row>
    <row r="834" spans="1:5" x14ac:dyDescent="0.3">
      <c r="A834">
        <v>56861</v>
      </c>
      <c r="B834">
        <v>22719</v>
      </c>
      <c r="C834">
        <v>1004</v>
      </c>
      <c r="D834">
        <v>1</v>
      </c>
      <c r="E834">
        <v>399.98</v>
      </c>
    </row>
    <row r="835" spans="1:5" x14ac:dyDescent="0.3">
      <c r="A835">
        <v>56956</v>
      </c>
      <c r="B835">
        <v>22761</v>
      </c>
      <c r="C835">
        <v>365</v>
      </c>
      <c r="D835">
        <v>4</v>
      </c>
      <c r="E835">
        <v>239.96</v>
      </c>
    </row>
    <row r="836" spans="1:5" x14ac:dyDescent="0.3">
      <c r="A836">
        <v>57010</v>
      </c>
      <c r="B836">
        <v>22781</v>
      </c>
      <c r="C836">
        <v>403</v>
      </c>
      <c r="D836">
        <v>1</v>
      </c>
      <c r="E836">
        <v>129.99</v>
      </c>
    </row>
    <row r="837" spans="1:5" x14ac:dyDescent="0.3">
      <c r="A837">
        <v>57011</v>
      </c>
      <c r="B837">
        <v>22781</v>
      </c>
      <c r="C837">
        <v>191</v>
      </c>
      <c r="D837">
        <v>5</v>
      </c>
      <c r="E837">
        <v>499.95</v>
      </c>
    </row>
    <row r="838" spans="1:5" x14ac:dyDescent="0.3">
      <c r="A838">
        <v>57009</v>
      </c>
      <c r="B838">
        <v>22781</v>
      </c>
      <c r="C838">
        <v>1014</v>
      </c>
      <c r="D838">
        <v>4</v>
      </c>
      <c r="E838">
        <v>199.92</v>
      </c>
    </row>
    <row r="839" spans="1:5" x14ac:dyDescent="0.3">
      <c r="A839">
        <v>57013</v>
      </c>
      <c r="B839">
        <v>22782</v>
      </c>
      <c r="C839">
        <v>502</v>
      </c>
      <c r="D839">
        <v>5</v>
      </c>
      <c r="E839">
        <v>250</v>
      </c>
    </row>
    <row r="840" spans="1:5" x14ac:dyDescent="0.3">
      <c r="A840">
        <v>57012</v>
      </c>
      <c r="B840">
        <v>22782</v>
      </c>
      <c r="C840">
        <v>403</v>
      </c>
      <c r="D840">
        <v>1</v>
      </c>
      <c r="E840">
        <v>129.99</v>
      </c>
    </row>
    <row r="841" spans="1:5" x14ac:dyDescent="0.3">
      <c r="A841">
        <v>57036</v>
      </c>
      <c r="B841">
        <v>22789</v>
      </c>
      <c r="C841">
        <v>957</v>
      </c>
      <c r="D841">
        <v>1</v>
      </c>
      <c r="E841">
        <v>299.98</v>
      </c>
    </row>
    <row r="842" spans="1:5" x14ac:dyDescent="0.3">
      <c r="A842">
        <v>57038</v>
      </c>
      <c r="B842">
        <v>22789</v>
      </c>
      <c r="C842">
        <v>1004</v>
      </c>
      <c r="D842">
        <v>1</v>
      </c>
      <c r="E842">
        <v>399.98</v>
      </c>
    </row>
    <row r="843" spans="1:5" x14ac:dyDescent="0.3">
      <c r="A843">
        <v>57039</v>
      </c>
      <c r="B843">
        <v>22789</v>
      </c>
      <c r="C843">
        <v>365</v>
      </c>
      <c r="D843">
        <v>3</v>
      </c>
      <c r="E843">
        <v>179.97</v>
      </c>
    </row>
    <row r="844" spans="1:5" x14ac:dyDescent="0.3">
      <c r="A844">
        <v>57037</v>
      </c>
      <c r="B844">
        <v>22789</v>
      </c>
      <c r="C844">
        <v>502</v>
      </c>
      <c r="D844">
        <v>3</v>
      </c>
      <c r="E844">
        <v>150</v>
      </c>
    </row>
    <row r="845" spans="1:5" x14ac:dyDescent="0.3">
      <c r="A845">
        <v>57040</v>
      </c>
      <c r="B845">
        <v>22790</v>
      </c>
      <c r="C845">
        <v>627</v>
      </c>
      <c r="D845">
        <v>2</v>
      </c>
      <c r="E845">
        <v>79.98</v>
      </c>
    </row>
    <row r="846" spans="1:5" x14ac:dyDescent="0.3">
      <c r="A846">
        <v>57041</v>
      </c>
      <c r="B846">
        <v>22790</v>
      </c>
      <c r="C846">
        <v>191</v>
      </c>
      <c r="D846">
        <v>3</v>
      </c>
      <c r="E846">
        <v>299.97000000000003</v>
      </c>
    </row>
    <row r="847" spans="1:5" x14ac:dyDescent="0.3">
      <c r="A847">
        <v>57042</v>
      </c>
      <c r="B847">
        <v>22790</v>
      </c>
      <c r="C847">
        <v>886</v>
      </c>
      <c r="D847">
        <v>5</v>
      </c>
      <c r="E847">
        <v>124.95</v>
      </c>
    </row>
    <row r="848" spans="1:5" x14ac:dyDescent="0.3">
      <c r="A848">
        <v>57046</v>
      </c>
      <c r="B848">
        <v>22791</v>
      </c>
      <c r="C848">
        <v>957</v>
      </c>
      <c r="D848">
        <v>1</v>
      </c>
      <c r="E848">
        <v>299.98</v>
      </c>
    </row>
    <row r="849" spans="1:5" x14ac:dyDescent="0.3">
      <c r="A849">
        <v>57047</v>
      </c>
      <c r="B849">
        <v>22791</v>
      </c>
      <c r="C849">
        <v>1004</v>
      </c>
      <c r="D849">
        <v>1</v>
      </c>
      <c r="E849">
        <v>399.98</v>
      </c>
    </row>
    <row r="850" spans="1:5" x14ac:dyDescent="0.3">
      <c r="A850">
        <v>57045</v>
      </c>
      <c r="B850">
        <v>22791</v>
      </c>
      <c r="C850">
        <v>1073</v>
      </c>
      <c r="D850">
        <v>1</v>
      </c>
      <c r="E850">
        <v>199.99</v>
      </c>
    </row>
    <row r="851" spans="1:5" x14ac:dyDescent="0.3">
      <c r="A851">
        <v>57044</v>
      </c>
      <c r="B851">
        <v>22791</v>
      </c>
      <c r="C851">
        <v>365</v>
      </c>
      <c r="D851">
        <v>4</v>
      </c>
      <c r="E851">
        <v>239.96</v>
      </c>
    </row>
    <row r="852" spans="1:5" x14ac:dyDescent="0.3">
      <c r="A852">
        <v>57043</v>
      </c>
      <c r="B852">
        <v>22791</v>
      </c>
      <c r="C852">
        <v>365</v>
      </c>
      <c r="D852">
        <v>4</v>
      </c>
      <c r="E852">
        <v>239.96</v>
      </c>
    </row>
    <row r="853" spans="1:5" x14ac:dyDescent="0.3">
      <c r="A853">
        <v>57057</v>
      </c>
      <c r="B853">
        <v>22797</v>
      </c>
      <c r="C853">
        <v>627</v>
      </c>
      <c r="D853">
        <v>2</v>
      </c>
      <c r="E853">
        <v>79.98</v>
      </c>
    </row>
    <row r="854" spans="1:5" x14ac:dyDescent="0.3">
      <c r="A854">
        <v>57058</v>
      </c>
      <c r="B854">
        <v>22797</v>
      </c>
      <c r="C854">
        <v>1073</v>
      </c>
      <c r="D854">
        <v>1</v>
      </c>
      <c r="E854">
        <v>199.99</v>
      </c>
    </row>
    <row r="855" spans="1:5" x14ac:dyDescent="0.3">
      <c r="A855">
        <v>57059</v>
      </c>
      <c r="B855">
        <v>22798</v>
      </c>
      <c r="C855">
        <v>1073</v>
      </c>
      <c r="D855">
        <v>1</v>
      </c>
      <c r="E855">
        <v>199.99</v>
      </c>
    </row>
    <row r="856" spans="1:5" x14ac:dyDescent="0.3">
      <c r="A856">
        <v>57060</v>
      </c>
      <c r="B856">
        <v>22798</v>
      </c>
      <c r="C856">
        <v>365</v>
      </c>
      <c r="D856">
        <v>1</v>
      </c>
      <c r="E856">
        <v>59.99</v>
      </c>
    </row>
    <row r="857" spans="1:5" x14ac:dyDescent="0.3">
      <c r="A857">
        <v>57137</v>
      </c>
      <c r="B857">
        <v>22828</v>
      </c>
      <c r="C857">
        <v>793</v>
      </c>
      <c r="D857">
        <v>2</v>
      </c>
      <c r="E857">
        <v>29.98</v>
      </c>
    </row>
    <row r="858" spans="1:5" x14ac:dyDescent="0.3">
      <c r="A858">
        <v>57136</v>
      </c>
      <c r="B858">
        <v>22828</v>
      </c>
      <c r="C858">
        <v>502</v>
      </c>
      <c r="D858">
        <v>2</v>
      </c>
      <c r="E858">
        <v>100</v>
      </c>
    </row>
    <row r="859" spans="1:5" x14ac:dyDescent="0.3">
      <c r="A859">
        <v>57140</v>
      </c>
      <c r="B859">
        <v>22828</v>
      </c>
      <c r="C859">
        <v>810</v>
      </c>
      <c r="D859">
        <v>2</v>
      </c>
      <c r="E859">
        <v>39.979999999999997</v>
      </c>
    </row>
    <row r="860" spans="1:5" x14ac:dyDescent="0.3">
      <c r="A860">
        <v>57139</v>
      </c>
      <c r="B860">
        <v>22828</v>
      </c>
      <c r="C860">
        <v>365</v>
      </c>
      <c r="D860">
        <v>3</v>
      </c>
      <c r="E860">
        <v>179.97</v>
      </c>
    </row>
    <row r="861" spans="1:5" x14ac:dyDescent="0.3">
      <c r="A861">
        <v>57138</v>
      </c>
      <c r="B861">
        <v>22828</v>
      </c>
      <c r="C861">
        <v>1014</v>
      </c>
      <c r="D861">
        <v>5</v>
      </c>
      <c r="E861">
        <v>249.9</v>
      </c>
    </row>
    <row r="862" spans="1:5" x14ac:dyDescent="0.3">
      <c r="A862">
        <v>57144</v>
      </c>
      <c r="B862">
        <v>22831</v>
      </c>
      <c r="C862">
        <v>957</v>
      </c>
      <c r="D862">
        <v>1</v>
      </c>
      <c r="E862">
        <v>299.98</v>
      </c>
    </row>
    <row r="863" spans="1:5" x14ac:dyDescent="0.3">
      <c r="A863">
        <v>57333</v>
      </c>
      <c r="B863">
        <v>22903</v>
      </c>
      <c r="C863">
        <v>1073</v>
      </c>
      <c r="D863">
        <v>1</v>
      </c>
      <c r="E863">
        <v>199.99</v>
      </c>
    </row>
    <row r="864" spans="1:5" x14ac:dyDescent="0.3">
      <c r="A864">
        <v>57331</v>
      </c>
      <c r="B864">
        <v>22903</v>
      </c>
      <c r="C864">
        <v>1014</v>
      </c>
      <c r="D864">
        <v>2</v>
      </c>
      <c r="E864">
        <v>99.96</v>
      </c>
    </row>
    <row r="865" spans="1:5" x14ac:dyDescent="0.3">
      <c r="A865">
        <v>57334</v>
      </c>
      <c r="B865">
        <v>22903</v>
      </c>
      <c r="C865">
        <v>627</v>
      </c>
      <c r="D865">
        <v>1</v>
      </c>
      <c r="E865">
        <v>39.99</v>
      </c>
    </row>
    <row r="866" spans="1:5" x14ac:dyDescent="0.3">
      <c r="A866">
        <v>57332</v>
      </c>
      <c r="B866">
        <v>22903</v>
      </c>
      <c r="C866">
        <v>924</v>
      </c>
      <c r="D866">
        <v>4</v>
      </c>
      <c r="E866">
        <v>63.96</v>
      </c>
    </row>
    <row r="867" spans="1:5" x14ac:dyDescent="0.3">
      <c r="A867">
        <v>57335</v>
      </c>
      <c r="B867">
        <v>22904</v>
      </c>
      <c r="C867">
        <v>728</v>
      </c>
      <c r="D867">
        <v>2</v>
      </c>
      <c r="E867">
        <v>130</v>
      </c>
    </row>
    <row r="868" spans="1:5" x14ac:dyDescent="0.3">
      <c r="A868">
        <v>57337</v>
      </c>
      <c r="B868">
        <v>22904</v>
      </c>
      <c r="C868">
        <v>403</v>
      </c>
      <c r="D868">
        <v>1</v>
      </c>
      <c r="E868">
        <v>129.99</v>
      </c>
    </row>
    <row r="869" spans="1:5" x14ac:dyDescent="0.3">
      <c r="A869">
        <v>57336</v>
      </c>
      <c r="B869">
        <v>22904</v>
      </c>
      <c r="C869">
        <v>502</v>
      </c>
      <c r="D869">
        <v>4</v>
      </c>
      <c r="E869">
        <v>200</v>
      </c>
    </row>
    <row r="870" spans="1:5" x14ac:dyDescent="0.3">
      <c r="A870">
        <v>57339</v>
      </c>
      <c r="B870">
        <v>22904</v>
      </c>
      <c r="C870">
        <v>1073</v>
      </c>
      <c r="D870">
        <v>1</v>
      </c>
      <c r="E870">
        <v>199.99</v>
      </c>
    </row>
    <row r="871" spans="1:5" x14ac:dyDescent="0.3">
      <c r="A871">
        <v>57338</v>
      </c>
      <c r="B871">
        <v>22904</v>
      </c>
      <c r="C871">
        <v>1014</v>
      </c>
      <c r="D871">
        <v>1</v>
      </c>
      <c r="E871">
        <v>49.98</v>
      </c>
    </row>
    <row r="872" spans="1:5" x14ac:dyDescent="0.3">
      <c r="A872">
        <v>57340</v>
      </c>
      <c r="B872">
        <v>22905</v>
      </c>
      <c r="C872">
        <v>502</v>
      </c>
      <c r="D872">
        <v>3</v>
      </c>
      <c r="E872">
        <v>150</v>
      </c>
    </row>
    <row r="873" spans="1:5" x14ac:dyDescent="0.3">
      <c r="A873">
        <v>57341</v>
      </c>
      <c r="B873">
        <v>22905</v>
      </c>
      <c r="C873">
        <v>1073</v>
      </c>
      <c r="D873">
        <v>1</v>
      </c>
      <c r="E873">
        <v>199.99</v>
      </c>
    </row>
    <row r="874" spans="1:5" x14ac:dyDescent="0.3">
      <c r="A874">
        <v>57342</v>
      </c>
      <c r="B874">
        <v>22905</v>
      </c>
      <c r="C874">
        <v>1014</v>
      </c>
      <c r="D874">
        <v>4</v>
      </c>
      <c r="E874">
        <v>199.92</v>
      </c>
    </row>
    <row r="875" spans="1:5" x14ac:dyDescent="0.3">
      <c r="A875">
        <v>57343</v>
      </c>
      <c r="B875">
        <v>22906</v>
      </c>
      <c r="C875">
        <v>627</v>
      </c>
      <c r="D875">
        <v>5</v>
      </c>
      <c r="E875">
        <v>199.95</v>
      </c>
    </row>
    <row r="876" spans="1:5" x14ac:dyDescent="0.3">
      <c r="A876">
        <v>57345</v>
      </c>
      <c r="B876">
        <v>22907</v>
      </c>
      <c r="C876">
        <v>1073</v>
      </c>
      <c r="D876">
        <v>1</v>
      </c>
      <c r="E876">
        <v>199.99</v>
      </c>
    </row>
    <row r="877" spans="1:5" x14ac:dyDescent="0.3">
      <c r="A877">
        <v>57344</v>
      </c>
      <c r="B877">
        <v>22907</v>
      </c>
      <c r="C877">
        <v>1073</v>
      </c>
      <c r="D877">
        <v>1</v>
      </c>
      <c r="E877">
        <v>199.99</v>
      </c>
    </row>
    <row r="878" spans="1:5" x14ac:dyDescent="0.3">
      <c r="A878">
        <v>57378</v>
      </c>
      <c r="B878">
        <v>22921</v>
      </c>
      <c r="C878">
        <v>403</v>
      </c>
      <c r="D878">
        <v>1</v>
      </c>
      <c r="E878">
        <v>129.99</v>
      </c>
    </row>
    <row r="879" spans="1:5" x14ac:dyDescent="0.3">
      <c r="A879">
        <v>57376</v>
      </c>
      <c r="B879">
        <v>22921</v>
      </c>
      <c r="C879">
        <v>191</v>
      </c>
      <c r="D879">
        <v>3</v>
      </c>
      <c r="E879">
        <v>299.97000000000003</v>
      </c>
    </row>
    <row r="880" spans="1:5" x14ac:dyDescent="0.3">
      <c r="A880">
        <v>57377</v>
      </c>
      <c r="B880">
        <v>22921</v>
      </c>
      <c r="C880">
        <v>1014</v>
      </c>
      <c r="D880">
        <v>1</v>
      </c>
      <c r="E880">
        <v>49.98</v>
      </c>
    </row>
    <row r="881" spans="1:5" x14ac:dyDescent="0.3">
      <c r="A881">
        <v>57381</v>
      </c>
      <c r="B881">
        <v>22922</v>
      </c>
      <c r="C881">
        <v>1073</v>
      </c>
      <c r="D881">
        <v>1</v>
      </c>
      <c r="E881">
        <v>199.99</v>
      </c>
    </row>
    <row r="882" spans="1:5" x14ac:dyDescent="0.3">
      <c r="A882">
        <v>57380</v>
      </c>
      <c r="B882">
        <v>22922</v>
      </c>
      <c r="C882">
        <v>502</v>
      </c>
      <c r="D882">
        <v>1</v>
      </c>
      <c r="E882">
        <v>50</v>
      </c>
    </row>
    <row r="883" spans="1:5" x14ac:dyDescent="0.3">
      <c r="A883">
        <v>57379</v>
      </c>
      <c r="B883">
        <v>22922</v>
      </c>
      <c r="C883">
        <v>502</v>
      </c>
      <c r="D883">
        <v>5</v>
      </c>
      <c r="E883">
        <v>250</v>
      </c>
    </row>
    <row r="884" spans="1:5" x14ac:dyDescent="0.3">
      <c r="A884">
        <v>57415</v>
      </c>
      <c r="B884">
        <v>22934</v>
      </c>
      <c r="C884">
        <v>957</v>
      </c>
      <c r="D884">
        <v>1</v>
      </c>
      <c r="E884">
        <v>299.98</v>
      </c>
    </row>
    <row r="885" spans="1:5" x14ac:dyDescent="0.3">
      <c r="A885">
        <v>57419</v>
      </c>
      <c r="B885">
        <v>22935</v>
      </c>
      <c r="C885">
        <v>957</v>
      </c>
      <c r="D885">
        <v>1</v>
      </c>
      <c r="E885">
        <v>299.98</v>
      </c>
    </row>
    <row r="886" spans="1:5" x14ac:dyDescent="0.3">
      <c r="A886">
        <v>57417</v>
      </c>
      <c r="B886">
        <v>22935</v>
      </c>
      <c r="C886">
        <v>957</v>
      </c>
      <c r="D886">
        <v>1</v>
      </c>
      <c r="E886">
        <v>299.98</v>
      </c>
    </row>
    <row r="887" spans="1:5" x14ac:dyDescent="0.3">
      <c r="A887">
        <v>57416</v>
      </c>
      <c r="B887">
        <v>22935</v>
      </c>
      <c r="C887">
        <v>957</v>
      </c>
      <c r="D887">
        <v>1</v>
      </c>
      <c r="E887">
        <v>299.98</v>
      </c>
    </row>
    <row r="888" spans="1:5" x14ac:dyDescent="0.3">
      <c r="A888">
        <v>57418</v>
      </c>
      <c r="B888">
        <v>22935</v>
      </c>
      <c r="C888">
        <v>502</v>
      </c>
      <c r="D888">
        <v>2</v>
      </c>
      <c r="E888">
        <v>100</v>
      </c>
    </row>
    <row r="889" spans="1:5" x14ac:dyDescent="0.3">
      <c r="A889">
        <v>57436</v>
      </c>
      <c r="B889">
        <v>22944</v>
      </c>
      <c r="C889">
        <v>403</v>
      </c>
      <c r="D889">
        <v>1</v>
      </c>
      <c r="E889">
        <v>129.99</v>
      </c>
    </row>
    <row r="890" spans="1:5" x14ac:dyDescent="0.3">
      <c r="A890">
        <v>57438</v>
      </c>
      <c r="B890">
        <v>22944</v>
      </c>
      <c r="C890">
        <v>1004</v>
      </c>
      <c r="D890">
        <v>1</v>
      </c>
      <c r="E890">
        <v>399.98</v>
      </c>
    </row>
    <row r="891" spans="1:5" x14ac:dyDescent="0.3">
      <c r="A891">
        <v>57437</v>
      </c>
      <c r="B891">
        <v>22944</v>
      </c>
      <c r="C891">
        <v>1004</v>
      </c>
      <c r="D891">
        <v>1</v>
      </c>
      <c r="E891">
        <v>399.98</v>
      </c>
    </row>
    <row r="892" spans="1:5" x14ac:dyDescent="0.3">
      <c r="A892">
        <v>57439</v>
      </c>
      <c r="B892">
        <v>22945</v>
      </c>
      <c r="C892">
        <v>191</v>
      </c>
      <c r="D892">
        <v>5</v>
      </c>
      <c r="E892">
        <v>499.95</v>
      </c>
    </row>
    <row r="893" spans="1:5" x14ac:dyDescent="0.3">
      <c r="A893">
        <v>57471</v>
      </c>
      <c r="B893">
        <v>22964</v>
      </c>
      <c r="C893">
        <v>1004</v>
      </c>
      <c r="D893">
        <v>1</v>
      </c>
      <c r="E893">
        <v>399.98</v>
      </c>
    </row>
    <row r="894" spans="1:5" x14ac:dyDescent="0.3">
      <c r="A894">
        <v>57472</v>
      </c>
      <c r="B894">
        <v>22964</v>
      </c>
      <c r="C894">
        <v>365</v>
      </c>
      <c r="D894">
        <v>4</v>
      </c>
      <c r="E894">
        <v>239.96</v>
      </c>
    </row>
    <row r="895" spans="1:5" x14ac:dyDescent="0.3">
      <c r="A895">
        <v>57489</v>
      </c>
      <c r="B895">
        <v>22970</v>
      </c>
      <c r="C895">
        <v>403</v>
      </c>
      <c r="D895">
        <v>1</v>
      </c>
      <c r="E895">
        <v>129.99</v>
      </c>
    </row>
    <row r="896" spans="1:5" x14ac:dyDescent="0.3">
      <c r="A896">
        <v>57487</v>
      </c>
      <c r="B896">
        <v>22970</v>
      </c>
      <c r="C896">
        <v>1004</v>
      </c>
      <c r="D896">
        <v>1</v>
      </c>
      <c r="E896">
        <v>399.98</v>
      </c>
    </row>
    <row r="897" spans="1:5" x14ac:dyDescent="0.3">
      <c r="A897">
        <v>57491</v>
      </c>
      <c r="B897">
        <v>22970</v>
      </c>
      <c r="C897">
        <v>191</v>
      </c>
      <c r="D897">
        <v>4</v>
      </c>
      <c r="E897">
        <v>399.96</v>
      </c>
    </row>
    <row r="898" spans="1:5" x14ac:dyDescent="0.3">
      <c r="A898">
        <v>57490</v>
      </c>
      <c r="B898">
        <v>22970</v>
      </c>
      <c r="C898">
        <v>1014</v>
      </c>
      <c r="D898">
        <v>5</v>
      </c>
      <c r="E898">
        <v>249.9</v>
      </c>
    </row>
    <row r="899" spans="1:5" x14ac:dyDescent="0.3">
      <c r="A899">
        <v>57488</v>
      </c>
      <c r="B899">
        <v>22970</v>
      </c>
      <c r="C899">
        <v>1014</v>
      </c>
      <c r="D899">
        <v>5</v>
      </c>
      <c r="E899">
        <v>249.9</v>
      </c>
    </row>
    <row r="900" spans="1:5" x14ac:dyDescent="0.3">
      <c r="A900">
        <v>57506</v>
      </c>
      <c r="B900">
        <v>22978</v>
      </c>
      <c r="C900">
        <v>403</v>
      </c>
      <c r="D900">
        <v>1</v>
      </c>
      <c r="E900">
        <v>129.99</v>
      </c>
    </row>
    <row r="901" spans="1:5" x14ac:dyDescent="0.3">
      <c r="A901">
        <v>57505</v>
      </c>
      <c r="B901">
        <v>22978</v>
      </c>
      <c r="C901">
        <v>1004</v>
      </c>
      <c r="D901">
        <v>1</v>
      </c>
      <c r="E901">
        <v>399.98</v>
      </c>
    </row>
    <row r="902" spans="1:5" x14ac:dyDescent="0.3">
      <c r="A902">
        <v>57504</v>
      </c>
      <c r="B902">
        <v>22978</v>
      </c>
      <c r="C902">
        <v>191</v>
      </c>
      <c r="D902">
        <v>2</v>
      </c>
      <c r="E902">
        <v>199.98</v>
      </c>
    </row>
    <row r="903" spans="1:5" x14ac:dyDescent="0.3">
      <c r="A903">
        <v>57503</v>
      </c>
      <c r="B903">
        <v>22978</v>
      </c>
      <c r="C903">
        <v>191</v>
      </c>
      <c r="D903">
        <v>5</v>
      </c>
      <c r="E903">
        <v>499.95</v>
      </c>
    </row>
    <row r="904" spans="1:5" x14ac:dyDescent="0.3">
      <c r="A904">
        <v>57502</v>
      </c>
      <c r="B904">
        <v>22978</v>
      </c>
      <c r="C904">
        <v>1014</v>
      </c>
      <c r="D904">
        <v>3</v>
      </c>
      <c r="E904">
        <v>149.94</v>
      </c>
    </row>
    <row r="905" spans="1:5" x14ac:dyDescent="0.3">
      <c r="A905">
        <v>57565</v>
      </c>
      <c r="B905">
        <v>22998</v>
      </c>
      <c r="C905">
        <v>403</v>
      </c>
      <c r="D905">
        <v>1</v>
      </c>
      <c r="E905">
        <v>129.99</v>
      </c>
    </row>
    <row r="906" spans="1:5" x14ac:dyDescent="0.3">
      <c r="A906">
        <v>57563</v>
      </c>
      <c r="B906">
        <v>22998</v>
      </c>
      <c r="C906">
        <v>1004</v>
      </c>
      <c r="D906">
        <v>1</v>
      </c>
      <c r="E906">
        <v>399.98</v>
      </c>
    </row>
    <row r="907" spans="1:5" x14ac:dyDescent="0.3">
      <c r="A907">
        <v>57564</v>
      </c>
      <c r="B907">
        <v>22998</v>
      </c>
      <c r="C907">
        <v>1014</v>
      </c>
      <c r="D907">
        <v>4</v>
      </c>
      <c r="E907">
        <v>199.92</v>
      </c>
    </row>
    <row r="908" spans="1:5" x14ac:dyDescent="0.3">
      <c r="A908">
        <v>57562</v>
      </c>
      <c r="B908">
        <v>22998</v>
      </c>
      <c r="C908">
        <v>1014</v>
      </c>
      <c r="D908">
        <v>2</v>
      </c>
      <c r="E908">
        <v>99.96</v>
      </c>
    </row>
    <row r="909" spans="1:5" x14ac:dyDescent="0.3">
      <c r="A909">
        <v>57568</v>
      </c>
      <c r="B909">
        <v>22999</v>
      </c>
      <c r="C909">
        <v>403</v>
      </c>
      <c r="D909">
        <v>1</v>
      </c>
      <c r="E909">
        <v>129.99</v>
      </c>
    </row>
    <row r="910" spans="1:5" x14ac:dyDescent="0.3">
      <c r="A910">
        <v>57567</v>
      </c>
      <c r="B910">
        <v>22999</v>
      </c>
      <c r="C910">
        <v>885</v>
      </c>
      <c r="D910">
        <v>3</v>
      </c>
      <c r="E910">
        <v>74.97</v>
      </c>
    </row>
    <row r="911" spans="1:5" x14ac:dyDescent="0.3">
      <c r="A911">
        <v>57566</v>
      </c>
      <c r="B911">
        <v>22999</v>
      </c>
      <c r="C911">
        <v>365</v>
      </c>
      <c r="D911">
        <v>4</v>
      </c>
      <c r="E911">
        <v>239.96</v>
      </c>
    </row>
    <row r="912" spans="1:5" x14ac:dyDescent="0.3">
      <c r="A912">
        <v>57569</v>
      </c>
      <c r="B912">
        <v>23000</v>
      </c>
      <c r="C912">
        <v>1073</v>
      </c>
      <c r="D912">
        <v>1</v>
      </c>
      <c r="E912">
        <v>199.99</v>
      </c>
    </row>
    <row r="913" spans="1:5" x14ac:dyDescent="0.3">
      <c r="A913">
        <v>57570</v>
      </c>
      <c r="B913">
        <v>23000</v>
      </c>
      <c r="C913">
        <v>1004</v>
      </c>
      <c r="D913">
        <v>1</v>
      </c>
      <c r="E913">
        <v>399.98</v>
      </c>
    </row>
    <row r="914" spans="1:5" x14ac:dyDescent="0.3">
      <c r="A914">
        <v>57571</v>
      </c>
      <c r="B914">
        <v>23000</v>
      </c>
      <c r="C914">
        <v>627</v>
      </c>
      <c r="D914">
        <v>2</v>
      </c>
      <c r="E914">
        <v>79.98</v>
      </c>
    </row>
    <row r="915" spans="1:5" x14ac:dyDescent="0.3">
      <c r="A915">
        <v>57573</v>
      </c>
      <c r="B915">
        <v>23000</v>
      </c>
      <c r="C915">
        <v>365</v>
      </c>
      <c r="D915">
        <v>3</v>
      </c>
      <c r="E915">
        <v>179.97</v>
      </c>
    </row>
    <row r="916" spans="1:5" x14ac:dyDescent="0.3">
      <c r="A916">
        <v>57572</v>
      </c>
      <c r="B916">
        <v>23000</v>
      </c>
      <c r="C916">
        <v>502</v>
      </c>
      <c r="D916">
        <v>3</v>
      </c>
      <c r="E916">
        <v>150</v>
      </c>
    </row>
    <row r="917" spans="1:5" x14ac:dyDescent="0.3">
      <c r="A917">
        <v>57689</v>
      </c>
      <c r="B917">
        <v>23039</v>
      </c>
      <c r="C917">
        <v>1014</v>
      </c>
      <c r="D917">
        <v>1</v>
      </c>
      <c r="E917">
        <v>49.98</v>
      </c>
    </row>
    <row r="918" spans="1:5" x14ac:dyDescent="0.3">
      <c r="A918">
        <v>57691</v>
      </c>
      <c r="B918">
        <v>23040</v>
      </c>
      <c r="C918">
        <v>1004</v>
      </c>
      <c r="D918">
        <v>1</v>
      </c>
      <c r="E918">
        <v>399.98</v>
      </c>
    </row>
    <row r="919" spans="1:5" x14ac:dyDescent="0.3">
      <c r="A919">
        <v>57690</v>
      </c>
      <c r="B919">
        <v>23040</v>
      </c>
      <c r="C919">
        <v>1004</v>
      </c>
      <c r="D919">
        <v>1</v>
      </c>
      <c r="E919">
        <v>399.98</v>
      </c>
    </row>
    <row r="920" spans="1:5" x14ac:dyDescent="0.3">
      <c r="A920">
        <v>57693</v>
      </c>
      <c r="B920">
        <v>23040</v>
      </c>
      <c r="C920">
        <v>627</v>
      </c>
      <c r="D920">
        <v>2</v>
      </c>
      <c r="E920">
        <v>79.98</v>
      </c>
    </row>
    <row r="921" spans="1:5" x14ac:dyDescent="0.3">
      <c r="A921">
        <v>57692</v>
      </c>
      <c r="B921">
        <v>23040</v>
      </c>
      <c r="C921">
        <v>818</v>
      </c>
      <c r="D921">
        <v>5</v>
      </c>
      <c r="E921">
        <v>239.95</v>
      </c>
    </row>
    <row r="922" spans="1:5" x14ac:dyDescent="0.3">
      <c r="A922">
        <v>57694</v>
      </c>
      <c r="B922">
        <v>23040</v>
      </c>
      <c r="C922">
        <v>1014</v>
      </c>
      <c r="D922">
        <v>1</v>
      </c>
      <c r="E922">
        <v>49.98</v>
      </c>
    </row>
    <row r="923" spans="1:5" x14ac:dyDescent="0.3">
      <c r="A923">
        <v>57695</v>
      </c>
      <c r="B923">
        <v>23041</v>
      </c>
      <c r="C923">
        <v>1073</v>
      </c>
      <c r="D923">
        <v>1</v>
      </c>
      <c r="E923">
        <v>199.99</v>
      </c>
    </row>
    <row r="924" spans="1:5" x14ac:dyDescent="0.3">
      <c r="A924">
        <v>57700</v>
      </c>
      <c r="B924">
        <v>23042</v>
      </c>
      <c r="C924">
        <v>403</v>
      </c>
      <c r="D924">
        <v>1</v>
      </c>
      <c r="E924">
        <v>129.99</v>
      </c>
    </row>
    <row r="925" spans="1:5" x14ac:dyDescent="0.3">
      <c r="A925">
        <v>57699</v>
      </c>
      <c r="B925">
        <v>23042</v>
      </c>
      <c r="C925">
        <v>1004</v>
      </c>
      <c r="D925">
        <v>1</v>
      </c>
      <c r="E925">
        <v>399.98</v>
      </c>
    </row>
    <row r="926" spans="1:5" x14ac:dyDescent="0.3">
      <c r="A926">
        <v>57697</v>
      </c>
      <c r="B926">
        <v>23042</v>
      </c>
      <c r="C926">
        <v>1073</v>
      </c>
      <c r="D926">
        <v>1</v>
      </c>
      <c r="E926">
        <v>199.99</v>
      </c>
    </row>
    <row r="927" spans="1:5" x14ac:dyDescent="0.3">
      <c r="A927">
        <v>57698</v>
      </c>
      <c r="B927">
        <v>23042</v>
      </c>
      <c r="C927">
        <v>1014</v>
      </c>
      <c r="D927">
        <v>3</v>
      </c>
      <c r="E927">
        <v>149.94</v>
      </c>
    </row>
    <row r="928" spans="1:5" x14ac:dyDescent="0.3">
      <c r="A928">
        <v>57696</v>
      </c>
      <c r="B928">
        <v>23042</v>
      </c>
      <c r="C928">
        <v>1014</v>
      </c>
      <c r="D928">
        <v>2</v>
      </c>
      <c r="E928">
        <v>99.96</v>
      </c>
    </row>
    <row r="929" spans="1:5" x14ac:dyDescent="0.3">
      <c r="A929">
        <v>57704</v>
      </c>
      <c r="B929">
        <v>23044</v>
      </c>
      <c r="C929">
        <v>957</v>
      </c>
      <c r="D929">
        <v>1</v>
      </c>
      <c r="E929">
        <v>299.98</v>
      </c>
    </row>
    <row r="930" spans="1:5" x14ac:dyDescent="0.3">
      <c r="A930">
        <v>57701</v>
      </c>
      <c r="B930">
        <v>23044</v>
      </c>
      <c r="C930">
        <v>1004</v>
      </c>
      <c r="D930">
        <v>1</v>
      </c>
      <c r="E930">
        <v>399.98</v>
      </c>
    </row>
    <row r="931" spans="1:5" x14ac:dyDescent="0.3">
      <c r="A931">
        <v>57703</v>
      </c>
      <c r="B931">
        <v>23044</v>
      </c>
      <c r="C931">
        <v>627</v>
      </c>
      <c r="D931">
        <v>4</v>
      </c>
      <c r="E931">
        <v>159.96</v>
      </c>
    </row>
    <row r="932" spans="1:5" x14ac:dyDescent="0.3">
      <c r="A932">
        <v>57702</v>
      </c>
      <c r="B932">
        <v>23044</v>
      </c>
      <c r="C932">
        <v>502</v>
      </c>
      <c r="D932">
        <v>5</v>
      </c>
      <c r="E932">
        <v>250</v>
      </c>
    </row>
    <row r="933" spans="1:5" x14ac:dyDescent="0.3">
      <c r="A933">
        <v>57705</v>
      </c>
      <c r="B933">
        <v>23044</v>
      </c>
      <c r="C933">
        <v>502</v>
      </c>
      <c r="D933">
        <v>5</v>
      </c>
      <c r="E933">
        <v>250</v>
      </c>
    </row>
    <row r="934" spans="1:5" x14ac:dyDescent="0.3">
      <c r="A934">
        <v>57710</v>
      </c>
      <c r="B934">
        <v>23045</v>
      </c>
      <c r="C934">
        <v>1073</v>
      </c>
      <c r="D934">
        <v>1</v>
      </c>
      <c r="E934">
        <v>199.99</v>
      </c>
    </row>
    <row r="935" spans="1:5" x14ac:dyDescent="0.3">
      <c r="A935">
        <v>57707</v>
      </c>
      <c r="B935">
        <v>23045</v>
      </c>
      <c r="C935">
        <v>403</v>
      </c>
      <c r="D935">
        <v>1</v>
      </c>
      <c r="E935">
        <v>129.99</v>
      </c>
    </row>
    <row r="936" spans="1:5" x14ac:dyDescent="0.3">
      <c r="A936">
        <v>57709</v>
      </c>
      <c r="B936">
        <v>23045</v>
      </c>
      <c r="C936">
        <v>1004</v>
      </c>
      <c r="D936">
        <v>1</v>
      </c>
      <c r="E936">
        <v>399.98</v>
      </c>
    </row>
    <row r="937" spans="1:5" x14ac:dyDescent="0.3">
      <c r="A937">
        <v>57706</v>
      </c>
      <c r="B937">
        <v>23045</v>
      </c>
      <c r="C937">
        <v>1004</v>
      </c>
      <c r="D937">
        <v>1</v>
      </c>
      <c r="E937">
        <v>399.98</v>
      </c>
    </row>
    <row r="938" spans="1:5" x14ac:dyDescent="0.3">
      <c r="A938">
        <v>57708</v>
      </c>
      <c r="B938">
        <v>23045</v>
      </c>
      <c r="C938">
        <v>191</v>
      </c>
      <c r="D938">
        <v>4</v>
      </c>
      <c r="E938">
        <v>399.96</v>
      </c>
    </row>
    <row r="939" spans="1:5" x14ac:dyDescent="0.3">
      <c r="A939">
        <v>57712</v>
      </c>
      <c r="B939">
        <v>23046</v>
      </c>
      <c r="C939">
        <v>282</v>
      </c>
      <c r="D939">
        <v>2</v>
      </c>
      <c r="E939">
        <v>63.98</v>
      </c>
    </row>
    <row r="940" spans="1:5" x14ac:dyDescent="0.3">
      <c r="A940">
        <v>57711</v>
      </c>
      <c r="B940">
        <v>23046</v>
      </c>
      <c r="C940">
        <v>627</v>
      </c>
      <c r="D940">
        <v>4</v>
      </c>
      <c r="E940">
        <v>159.96</v>
      </c>
    </row>
    <row r="941" spans="1:5" x14ac:dyDescent="0.3">
      <c r="A941">
        <v>57713</v>
      </c>
      <c r="B941">
        <v>23047</v>
      </c>
      <c r="C941">
        <v>823</v>
      </c>
      <c r="D941">
        <v>5</v>
      </c>
      <c r="E941">
        <v>259.95</v>
      </c>
    </row>
    <row r="942" spans="1:5" x14ac:dyDescent="0.3">
      <c r="A942">
        <v>57764</v>
      </c>
      <c r="B942">
        <v>23071</v>
      </c>
      <c r="C942">
        <v>1004</v>
      </c>
      <c r="D942">
        <v>1</v>
      </c>
      <c r="E942">
        <v>399.98</v>
      </c>
    </row>
    <row r="943" spans="1:5" x14ac:dyDescent="0.3">
      <c r="A943">
        <v>57763</v>
      </c>
      <c r="B943">
        <v>23071</v>
      </c>
      <c r="C943">
        <v>502</v>
      </c>
      <c r="D943">
        <v>4</v>
      </c>
      <c r="E943">
        <v>200</v>
      </c>
    </row>
    <row r="944" spans="1:5" x14ac:dyDescent="0.3">
      <c r="A944">
        <v>57766</v>
      </c>
      <c r="B944">
        <v>23072</v>
      </c>
      <c r="C944">
        <v>403</v>
      </c>
      <c r="D944">
        <v>1</v>
      </c>
      <c r="E944">
        <v>129.99</v>
      </c>
    </row>
    <row r="945" spans="1:5" x14ac:dyDescent="0.3">
      <c r="A945">
        <v>57765</v>
      </c>
      <c r="B945">
        <v>23072</v>
      </c>
      <c r="C945">
        <v>365</v>
      </c>
      <c r="D945">
        <v>5</v>
      </c>
      <c r="E945">
        <v>299.95</v>
      </c>
    </row>
    <row r="946" spans="1:5" x14ac:dyDescent="0.3">
      <c r="A946">
        <v>57767</v>
      </c>
      <c r="B946">
        <v>23073</v>
      </c>
      <c r="C946">
        <v>1014</v>
      </c>
      <c r="D946">
        <v>2</v>
      </c>
      <c r="E946">
        <v>99.96</v>
      </c>
    </row>
    <row r="947" spans="1:5" x14ac:dyDescent="0.3">
      <c r="A947">
        <v>57768</v>
      </c>
      <c r="B947">
        <v>23073</v>
      </c>
      <c r="C947">
        <v>403</v>
      </c>
      <c r="D947">
        <v>1</v>
      </c>
      <c r="E947">
        <v>129.99</v>
      </c>
    </row>
    <row r="948" spans="1:5" x14ac:dyDescent="0.3">
      <c r="A948">
        <v>57770</v>
      </c>
      <c r="B948">
        <v>23073</v>
      </c>
      <c r="C948">
        <v>365</v>
      </c>
      <c r="D948">
        <v>2</v>
      </c>
      <c r="E948">
        <v>119.98</v>
      </c>
    </row>
    <row r="949" spans="1:5" x14ac:dyDescent="0.3">
      <c r="A949">
        <v>57769</v>
      </c>
      <c r="B949">
        <v>23073</v>
      </c>
      <c r="C949">
        <v>502</v>
      </c>
      <c r="D949">
        <v>3</v>
      </c>
      <c r="E949">
        <v>150</v>
      </c>
    </row>
    <row r="950" spans="1:5" x14ac:dyDescent="0.3">
      <c r="A950">
        <v>57771</v>
      </c>
      <c r="B950">
        <v>23074</v>
      </c>
      <c r="C950">
        <v>365</v>
      </c>
      <c r="D950">
        <v>2</v>
      </c>
      <c r="E950">
        <v>119.98</v>
      </c>
    </row>
    <row r="951" spans="1:5" x14ac:dyDescent="0.3">
      <c r="A951">
        <v>57772</v>
      </c>
      <c r="B951">
        <v>23074</v>
      </c>
      <c r="C951">
        <v>365</v>
      </c>
      <c r="D951">
        <v>5</v>
      </c>
      <c r="E951">
        <v>299.95</v>
      </c>
    </row>
    <row r="952" spans="1:5" x14ac:dyDescent="0.3">
      <c r="A952">
        <v>57784</v>
      </c>
      <c r="B952">
        <v>23078</v>
      </c>
      <c r="C952">
        <v>627</v>
      </c>
      <c r="D952">
        <v>2</v>
      </c>
      <c r="E952">
        <v>79.98</v>
      </c>
    </row>
    <row r="953" spans="1:5" x14ac:dyDescent="0.3">
      <c r="A953">
        <v>57783</v>
      </c>
      <c r="B953">
        <v>23078</v>
      </c>
      <c r="C953">
        <v>191</v>
      </c>
      <c r="D953">
        <v>3</v>
      </c>
      <c r="E953">
        <v>299.97000000000003</v>
      </c>
    </row>
    <row r="954" spans="1:5" x14ac:dyDescent="0.3">
      <c r="A954">
        <v>57785</v>
      </c>
      <c r="B954">
        <v>23078</v>
      </c>
      <c r="C954">
        <v>365</v>
      </c>
      <c r="D954">
        <v>4</v>
      </c>
      <c r="E954">
        <v>239.96</v>
      </c>
    </row>
    <row r="955" spans="1:5" x14ac:dyDescent="0.3">
      <c r="A955">
        <v>57786</v>
      </c>
      <c r="B955">
        <v>23079</v>
      </c>
      <c r="C955">
        <v>365</v>
      </c>
      <c r="D955">
        <v>1</v>
      </c>
      <c r="E955">
        <v>59.99</v>
      </c>
    </row>
    <row r="956" spans="1:5" x14ac:dyDescent="0.3">
      <c r="A956">
        <v>57787</v>
      </c>
      <c r="B956">
        <v>23080</v>
      </c>
      <c r="C956">
        <v>627</v>
      </c>
      <c r="D956">
        <v>2</v>
      </c>
      <c r="E956">
        <v>79.98</v>
      </c>
    </row>
    <row r="957" spans="1:5" x14ac:dyDescent="0.3">
      <c r="A957">
        <v>57788</v>
      </c>
      <c r="B957">
        <v>23080</v>
      </c>
      <c r="C957">
        <v>1014</v>
      </c>
      <c r="D957">
        <v>2</v>
      </c>
      <c r="E957">
        <v>99.96</v>
      </c>
    </row>
    <row r="958" spans="1:5" x14ac:dyDescent="0.3">
      <c r="A958">
        <v>57789</v>
      </c>
      <c r="B958">
        <v>23081</v>
      </c>
      <c r="C958">
        <v>627</v>
      </c>
      <c r="D958">
        <v>1</v>
      </c>
      <c r="E958">
        <v>39.99</v>
      </c>
    </row>
    <row r="959" spans="1:5" x14ac:dyDescent="0.3">
      <c r="A959">
        <v>57790</v>
      </c>
      <c r="B959">
        <v>23081</v>
      </c>
      <c r="C959">
        <v>1014</v>
      </c>
      <c r="D959">
        <v>4</v>
      </c>
      <c r="E959">
        <v>199.92</v>
      </c>
    </row>
    <row r="960" spans="1:5" x14ac:dyDescent="0.3">
      <c r="A960">
        <v>57901</v>
      </c>
      <c r="B960">
        <v>23126</v>
      </c>
      <c r="C960">
        <v>957</v>
      </c>
      <c r="D960">
        <v>1</v>
      </c>
      <c r="E960">
        <v>299.98</v>
      </c>
    </row>
    <row r="961" spans="1:5" x14ac:dyDescent="0.3">
      <c r="A961">
        <v>57904</v>
      </c>
      <c r="B961">
        <v>23127</v>
      </c>
      <c r="C961">
        <v>403</v>
      </c>
      <c r="D961">
        <v>1</v>
      </c>
      <c r="E961">
        <v>129.99</v>
      </c>
    </row>
    <row r="962" spans="1:5" x14ac:dyDescent="0.3">
      <c r="A962">
        <v>57903</v>
      </c>
      <c r="B962">
        <v>23127</v>
      </c>
      <c r="C962">
        <v>957</v>
      </c>
      <c r="D962">
        <v>1</v>
      </c>
      <c r="E962">
        <v>299.98</v>
      </c>
    </row>
    <row r="963" spans="1:5" x14ac:dyDescent="0.3">
      <c r="A963">
        <v>57902</v>
      </c>
      <c r="B963">
        <v>23127</v>
      </c>
      <c r="C963">
        <v>1004</v>
      </c>
      <c r="D963">
        <v>1</v>
      </c>
      <c r="E963">
        <v>399.98</v>
      </c>
    </row>
    <row r="964" spans="1:5" x14ac:dyDescent="0.3">
      <c r="A964">
        <v>57905</v>
      </c>
      <c r="B964">
        <v>23127</v>
      </c>
      <c r="C964">
        <v>502</v>
      </c>
      <c r="D964">
        <v>2</v>
      </c>
      <c r="E964">
        <v>100</v>
      </c>
    </row>
    <row r="965" spans="1:5" x14ac:dyDescent="0.3">
      <c r="A965">
        <v>57906</v>
      </c>
      <c r="B965">
        <v>23127</v>
      </c>
      <c r="C965">
        <v>627</v>
      </c>
      <c r="D965">
        <v>3</v>
      </c>
      <c r="E965">
        <v>119.97</v>
      </c>
    </row>
    <row r="966" spans="1:5" x14ac:dyDescent="0.3">
      <c r="A966">
        <v>57907</v>
      </c>
      <c r="B966">
        <v>23128</v>
      </c>
      <c r="C966">
        <v>1014</v>
      </c>
      <c r="D966">
        <v>3</v>
      </c>
      <c r="E966">
        <v>149.94</v>
      </c>
    </row>
    <row r="967" spans="1:5" x14ac:dyDescent="0.3">
      <c r="A967">
        <v>57912</v>
      </c>
      <c r="B967">
        <v>23129</v>
      </c>
      <c r="C967">
        <v>134</v>
      </c>
      <c r="D967">
        <v>2</v>
      </c>
      <c r="E967">
        <v>50</v>
      </c>
    </row>
    <row r="968" spans="1:5" x14ac:dyDescent="0.3">
      <c r="A968">
        <v>57908</v>
      </c>
      <c r="B968">
        <v>23129</v>
      </c>
      <c r="C968">
        <v>627</v>
      </c>
      <c r="D968">
        <v>1</v>
      </c>
      <c r="E968">
        <v>39.99</v>
      </c>
    </row>
    <row r="969" spans="1:5" x14ac:dyDescent="0.3">
      <c r="A969">
        <v>57909</v>
      </c>
      <c r="B969">
        <v>23129</v>
      </c>
      <c r="C969">
        <v>957</v>
      </c>
      <c r="D969">
        <v>1</v>
      </c>
      <c r="E969">
        <v>299.98</v>
      </c>
    </row>
    <row r="970" spans="1:5" x14ac:dyDescent="0.3">
      <c r="A970">
        <v>57911</v>
      </c>
      <c r="B970">
        <v>23129</v>
      </c>
      <c r="C970">
        <v>365</v>
      </c>
      <c r="D970">
        <v>3</v>
      </c>
      <c r="E970">
        <v>179.97</v>
      </c>
    </row>
    <row r="971" spans="1:5" x14ac:dyDescent="0.3">
      <c r="A971">
        <v>57910</v>
      </c>
      <c r="B971">
        <v>23129</v>
      </c>
      <c r="C971">
        <v>1073</v>
      </c>
      <c r="D971">
        <v>1</v>
      </c>
      <c r="E971">
        <v>199.99</v>
      </c>
    </row>
    <row r="972" spans="1:5" x14ac:dyDescent="0.3">
      <c r="A972">
        <v>57913</v>
      </c>
      <c r="B972">
        <v>23130</v>
      </c>
      <c r="C972">
        <v>1073</v>
      </c>
      <c r="D972">
        <v>1</v>
      </c>
      <c r="E972">
        <v>199.99</v>
      </c>
    </row>
    <row r="973" spans="1:5" x14ac:dyDescent="0.3">
      <c r="A973">
        <v>57914</v>
      </c>
      <c r="B973">
        <v>23131</v>
      </c>
      <c r="C973">
        <v>502</v>
      </c>
      <c r="D973">
        <v>4</v>
      </c>
      <c r="E973">
        <v>200</v>
      </c>
    </row>
    <row r="974" spans="1:5" x14ac:dyDescent="0.3">
      <c r="A974">
        <v>57995</v>
      </c>
      <c r="B974">
        <v>23164</v>
      </c>
      <c r="C974">
        <v>403</v>
      </c>
      <c r="D974">
        <v>1</v>
      </c>
      <c r="E974">
        <v>129.99</v>
      </c>
    </row>
    <row r="975" spans="1:5" x14ac:dyDescent="0.3">
      <c r="A975">
        <v>57996</v>
      </c>
      <c r="B975">
        <v>23164</v>
      </c>
      <c r="C975">
        <v>502</v>
      </c>
      <c r="D975">
        <v>1</v>
      </c>
      <c r="E975">
        <v>50</v>
      </c>
    </row>
    <row r="976" spans="1:5" x14ac:dyDescent="0.3">
      <c r="A976">
        <v>57992</v>
      </c>
      <c r="B976">
        <v>23164</v>
      </c>
      <c r="C976">
        <v>365</v>
      </c>
      <c r="D976">
        <v>3</v>
      </c>
      <c r="E976">
        <v>179.97</v>
      </c>
    </row>
    <row r="977" spans="1:5" x14ac:dyDescent="0.3">
      <c r="A977">
        <v>57994</v>
      </c>
      <c r="B977">
        <v>23164</v>
      </c>
      <c r="C977">
        <v>728</v>
      </c>
      <c r="D977">
        <v>1</v>
      </c>
      <c r="E977">
        <v>65</v>
      </c>
    </row>
    <row r="978" spans="1:5" x14ac:dyDescent="0.3">
      <c r="A978">
        <v>57993</v>
      </c>
      <c r="B978">
        <v>23164</v>
      </c>
      <c r="C978">
        <v>1073</v>
      </c>
      <c r="D978">
        <v>1</v>
      </c>
      <c r="E978">
        <v>199.99</v>
      </c>
    </row>
    <row r="979" spans="1:5" x14ac:dyDescent="0.3">
      <c r="A979">
        <v>57997</v>
      </c>
      <c r="B979">
        <v>23165</v>
      </c>
      <c r="C979">
        <v>1073</v>
      </c>
      <c r="D979">
        <v>1</v>
      </c>
      <c r="E979">
        <v>199.99</v>
      </c>
    </row>
    <row r="980" spans="1:5" x14ac:dyDescent="0.3">
      <c r="A980">
        <v>57998</v>
      </c>
      <c r="B980">
        <v>23165</v>
      </c>
      <c r="C980">
        <v>1004</v>
      </c>
      <c r="D980">
        <v>1</v>
      </c>
      <c r="E980">
        <v>399.98</v>
      </c>
    </row>
    <row r="981" spans="1:5" x14ac:dyDescent="0.3">
      <c r="A981">
        <v>57999</v>
      </c>
      <c r="B981">
        <v>23166</v>
      </c>
      <c r="C981">
        <v>365</v>
      </c>
      <c r="D981">
        <v>1</v>
      </c>
      <c r="E981">
        <v>59.99</v>
      </c>
    </row>
    <row r="982" spans="1:5" x14ac:dyDescent="0.3">
      <c r="A982">
        <v>58000</v>
      </c>
      <c r="B982">
        <v>23166</v>
      </c>
      <c r="C982">
        <v>957</v>
      </c>
      <c r="D982">
        <v>1</v>
      </c>
      <c r="E982">
        <v>299.98</v>
      </c>
    </row>
    <row r="983" spans="1:5" x14ac:dyDescent="0.3">
      <c r="A983">
        <v>58099</v>
      </c>
      <c r="B983">
        <v>23206</v>
      </c>
      <c r="C983">
        <v>403</v>
      </c>
      <c r="D983">
        <v>1</v>
      </c>
      <c r="E983">
        <v>129.99</v>
      </c>
    </row>
    <row r="984" spans="1:5" x14ac:dyDescent="0.3">
      <c r="A984">
        <v>58098</v>
      </c>
      <c r="B984">
        <v>23206</v>
      </c>
      <c r="C984">
        <v>403</v>
      </c>
      <c r="D984">
        <v>1</v>
      </c>
      <c r="E984">
        <v>129.99</v>
      </c>
    </row>
    <row r="985" spans="1:5" x14ac:dyDescent="0.3">
      <c r="A985">
        <v>58100</v>
      </c>
      <c r="B985">
        <v>23206</v>
      </c>
      <c r="C985">
        <v>822</v>
      </c>
      <c r="D985">
        <v>1</v>
      </c>
      <c r="E985">
        <v>47.99</v>
      </c>
    </row>
    <row r="986" spans="1:5" x14ac:dyDescent="0.3">
      <c r="A986">
        <v>58096</v>
      </c>
      <c r="B986">
        <v>23206</v>
      </c>
      <c r="C986">
        <v>835</v>
      </c>
      <c r="D986">
        <v>3</v>
      </c>
      <c r="E986">
        <v>95.97</v>
      </c>
    </row>
    <row r="987" spans="1:5" x14ac:dyDescent="0.3">
      <c r="A987">
        <v>58097</v>
      </c>
      <c r="B987">
        <v>23206</v>
      </c>
      <c r="C987">
        <v>502</v>
      </c>
      <c r="D987">
        <v>5</v>
      </c>
      <c r="E987">
        <v>250</v>
      </c>
    </row>
    <row r="988" spans="1:5" x14ac:dyDescent="0.3">
      <c r="A988">
        <v>58115</v>
      </c>
      <c r="B988">
        <v>23212</v>
      </c>
      <c r="C988">
        <v>1004</v>
      </c>
      <c r="D988">
        <v>1</v>
      </c>
      <c r="E988">
        <v>399.98</v>
      </c>
    </row>
    <row r="989" spans="1:5" x14ac:dyDescent="0.3">
      <c r="A989">
        <v>58112</v>
      </c>
      <c r="B989">
        <v>23212</v>
      </c>
      <c r="C989">
        <v>1004</v>
      </c>
      <c r="D989">
        <v>1</v>
      </c>
      <c r="E989">
        <v>399.98</v>
      </c>
    </row>
    <row r="990" spans="1:5" x14ac:dyDescent="0.3">
      <c r="A990">
        <v>58113</v>
      </c>
      <c r="B990">
        <v>23212</v>
      </c>
      <c r="C990">
        <v>191</v>
      </c>
      <c r="D990">
        <v>2</v>
      </c>
      <c r="E990">
        <v>199.98</v>
      </c>
    </row>
    <row r="991" spans="1:5" x14ac:dyDescent="0.3">
      <c r="A991">
        <v>58114</v>
      </c>
      <c r="B991">
        <v>23212</v>
      </c>
      <c r="C991">
        <v>627</v>
      </c>
      <c r="D991">
        <v>3</v>
      </c>
      <c r="E991">
        <v>119.97</v>
      </c>
    </row>
    <row r="992" spans="1:5" x14ac:dyDescent="0.3">
      <c r="A992">
        <v>58116</v>
      </c>
      <c r="B992">
        <v>23212</v>
      </c>
      <c r="C992">
        <v>728</v>
      </c>
      <c r="D992">
        <v>5</v>
      </c>
      <c r="E992">
        <v>325</v>
      </c>
    </row>
    <row r="993" spans="1:5" x14ac:dyDescent="0.3">
      <c r="A993">
        <v>58158</v>
      </c>
      <c r="B993">
        <v>23225</v>
      </c>
      <c r="C993">
        <v>1073</v>
      </c>
      <c r="D993">
        <v>1</v>
      </c>
      <c r="E993">
        <v>199.99</v>
      </c>
    </row>
    <row r="994" spans="1:5" x14ac:dyDescent="0.3">
      <c r="A994">
        <v>58157</v>
      </c>
      <c r="B994">
        <v>23225</v>
      </c>
      <c r="C994">
        <v>365</v>
      </c>
      <c r="D994">
        <v>1</v>
      </c>
      <c r="E994">
        <v>59.99</v>
      </c>
    </row>
    <row r="995" spans="1:5" x14ac:dyDescent="0.3">
      <c r="A995">
        <v>58156</v>
      </c>
      <c r="B995">
        <v>23225</v>
      </c>
      <c r="C995">
        <v>502</v>
      </c>
      <c r="D995">
        <v>1</v>
      </c>
      <c r="E995">
        <v>50</v>
      </c>
    </row>
    <row r="996" spans="1:5" x14ac:dyDescent="0.3">
      <c r="A996">
        <v>58155</v>
      </c>
      <c r="B996">
        <v>23225</v>
      </c>
      <c r="C996">
        <v>926</v>
      </c>
      <c r="D996">
        <v>1</v>
      </c>
      <c r="E996">
        <v>15.99</v>
      </c>
    </row>
    <row r="997" spans="1:5" x14ac:dyDescent="0.3">
      <c r="A997">
        <v>58159</v>
      </c>
      <c r="B997">
        <v>23225</v>
      </c>
      <c r="C997">
        <v>365</v>
      </c>
      <c r="D997">
        <v>2</v>
      </c>
      <c r="E997">
        <v>119.98</v>
      </c>
    </row>
    <row r="998" spans="1:5" x14ac:dyDescent="0.3">
      <c r="A998">
        <v>58160</v>
      </c>
      <c r="B998">
        <v>23226</v>
      </c>
      <c r="C998">
        <v>627</v>
      </c>
      <c r="D998">
        <v>4</v>
      </c>
      <c r="E998">
        <v>159.96</v>
      </c>
    </row>
    <row r="999" spans="1:5" x14ac:dyDescent="0.3">
      <c r="A999">
        <v>58162</v>
      </c>
      <c r="B999">
        <v>23226</v>
      </c>
      <c r="C999">
        <v>1073</v>
      </c>
      <c r="D999">
        <v>1</v>
      </c>
      <c r="E999">
        <v>199.99</v>
      </c>
    </row>
    <row r="1000" spans="1:5" x14ac:dyDescent="0.3">
      <c r="A1000">
        <v>58161</v>
      </c>
      <c r="B1000">
        <v>23226</v>
      </c>
      <c r="C1000">
        <v>1073</v>
      </c>
      <c r="D1000">
        <v>1</v>
      </c>
      <c r="E1000">
        <v>199.99</v>
      </c>
    </row>
    <row r="1001" spans="1:5" x14ac:dyDescent="0.3">
      <c r="A1001">
        <v>58163</v>
      </c>
      <c r="B1001">
        <v>23226</v>
      </c>
      <c r="C1001">
        <v>1014</v>
      </c>
      <c r="D1001">
        <v>1</v>
      </c>
      <c r="E1001">
        <v>49.98</v>
      </c>
    </row>
    <row r="1002" spans="1:5" x14ac:dyDescent="0.3">
      <c r="A1002">
        <v>58204</v>
      </c>
      <c r="B1002">
        <v>23244</v>
      </c>
      <c r="C1002">
        <v>403</v>
      </c>
      <c r="D1002">
        <v>1</v>
      </c>
      <c r="E1002">
        <v>129.99</v>
      </c>
    </row>
    <row r="1003" spans="1:5" x14ac:dyDescent="0.3">
      <c r="A1003">
        <v>58202</v>
      </c>
      <c r="B1003">
        <v>23244</v>
      </c>
      <c r="C1003">
        <v>1004</v>
      </c>
      <c r="D1003">
        <v>1</v>
      </c>
      <c r="E1003">
        <v>399.98</v>
      </c>
    </row>
    <row r="1004" spans="1:5" x14ac:dyDescent="0.3">
      <c r="A1004">
        <v>58203</v>
      </c>
      <c r="B1004">
        <v>23244</v>
      </c>
      <c r="C1004">
        <v>365</v>
      </c>
      <c r="D1004">
        <v>3</v>
      </c>
      <c r="E1004">
        <v>179.97</v>
      </c>
    </row>
    <row r="1005" spans="1:5" x14ac:dyDescent="0.3">
      <c r="A1005">
        <v>58205</v>
      </c>
      <c r="B1005">
        <v>23244</v>
      </c>
      <c r="C1005">
        <v>1014</v>
      </c>
      <c r="D1005">
        <v>2</v>
      </c>
      <c r="E1005">
        <v>99.96</v>
      </c>
    </row>
    <row r="1006" spans="1:5" x14ac:dyDescent="0.3">
      <c r="A1006">
        <v>58206</v>
      </c>
      <c r="B1006">
        <v>23245</v>
      </c>
      <c r="C1006">
        <v>728</v>
      </c>
      <c r="D1006">
        <v>4</v>
      </c>
      <c r="E1006">
        <v>260</v>
      </c>
    </row>
    <row r="1007" spans="1:5" x14ac:dyDescent="0.3">
      <c r="A1007">
        <v>58207</v>
      </c>
      <c r="B1007">
        <v>23245</v>
      </c>
      <c r="C1007">
        <v>403</v>
      </c>
      <c r="D1007">
        <v>1</v>
      </c>
      <c r="E1007">
        <v>129.99</v>
      </c>
    </row>
    <row r="1008" spans="1:5" x14ac:dyDescent="0.3">
      <c r="A1008">
        <v>58317</v>
      </c>
      <c r="B1008">
        <v>23290</v>
      </c>
      <c r="C1008">
        <v>403</v>
      </c>
      <c r="D1008">
        <v>1</v>
      </c>
      <c r="E1008">
        <v>129.99</v>
      </c>
    </row>
    <row r="1009" spans="1:5" x14ac:dyDescent="0.3">
      <c r="A1009">
        <v>58316</v>
      </c>
      <c r="B1009">
        <v>23290</v>
      </c>
      <c r="C1009">
        <v>365</v>
      </c>
      <c r="D1009">
        <v>3</v>
      </c>
      <c r="E1009">
        <v>179.97</v>
      </c>
    </row>
    <row r="1010" spans="1:5" x14ac:dyDescent="0.3">
      <c r="A1010">
        <v>58339</v>
      </c>
      <c r="B1010">
        <v>23300</v>
      </c>
      <c r="C1010">
        <v>365</v>
      </c>
      <c r="D1010">
        <v>1</v>
      </c>
      <c r="E1010">
        <v>59.99</v>
      </c>
    </row>
    <row r="1011" spans="1:5" x14ac:dyDescent="0.3">
      <c r="A1011">
        <v>58337</v>
      </c>
      <c r="B1011">
        <v>23300</v>
      </c>
      <c r="C1011">
        <v>627</v>
      </c>
      <c r="D1011">
        <v>2</v>
      </c>
      <c r="E1011">
        <v>79.98</v>
      </c>
    </row>
    <row r="1012" spans="1:5" x14ac:dyDescent="0.3">
      <c r="A1012">
        <v>58335</v>
      </c>
      <c r="B1012">
        <v>23300</v>
      </c>
      <c r="C1012">
        <v>627</v>
      </c>
      <c r="D1012">
        <v>3</v>
      </c>
      <c r="E1012">
        <v>119.97</v>
      </c>
    </row>
    <row r="1013" spans="1:5" x14ac:dyDescent="0.3">
      <c r="A1013">
        <v>58338</v>
      </c>
      <c r="B1013">
        <v>23300</v>
      </c>
      <c r="C1013">
        <v>728</v>
      </c>
      <c r="D1013">
        <v>4</v>
      </c>
      <c r="E1013">
        <v>260</v>
      </c>
    </row>
    <row r="1014" spans="1:5" x14ac:dyDescent="0.3">
      <c r="A1014">
        <v>58336</v>
      </c>
      <c r="B1014">
        <v>23300</v>
      </c>
      <c r="C1014">
        <v>1014</v>
      </c>
      <c r="D1014">
        <v>2</v>
      </c>
      <c r="E1014">
        <v>99.96</v>
      </c>
    </row>
    <row r="1015" spans="1:5" x14ac:dyDescent="0.3">
      <c r="A1015">
        <v>58390</v>
      </c>
      <c r="B1015">
        <v>23325</v>
      </c>
      <c r="C1015">
        <v>365</v>
      </c>
      <c r="D1015">
        <v>1</v>
      </c>
      <c r="E1015">
        <v>59.99</v>
      </c>
    </row>
    <row r="1016" spans="1:5" x14ac:dyDescent="0.3">
      <c r="A1016">
        <v>58392</v>
      </c>
      <c r="B1016">
        <v>23325</v>
      </c>
      <c r="C1016">
        <v>502</v>
      </c>
      <c r="D1016">
        <v>1</v>
      </c>
      <c r="E1016">
        <v>50</v>
      </c>
    </row>
    <row r="1017" spans="1:5" x14ac:dyDescent="0.3">
      <c r="A1017">
        <v>58389</v>
      </c>
      <c r="B1017">
        <v>23325</v>
      </c>
      <c r="C1017">
        <v>191</v>
      </c>
      <c r="D1017">
        <v>3</v>
      </c>
      <c r="E1017">
        <v>299.97000000000003</v>
      </c>
    </row>
    <row r="1018" spans="1:5" x14ac:dyDescent="0.3">
      <c r="A1018">
        <v>58393</v>
      </c>
      <c r="B1018">
        <v>23325</v>
      </c>
      <c r="C1018">
        <v>365</v>
      </c>
      <c r="D1018">
        <v>3</v>
      </c>
      <c r="E1018">
        <v>179.97</v>
      </c>
    </row>
    <row r="1019" spans="1:5" x14ac:dyDescent="0.3">
      <c r="A1019">
        <v>58391</v>
      </c>
      <c r="B1019">
        <v>23325</v>
      </c>
      <c r="C1019">
        <v>1014</v>
      </c>
      <c r="D1019">
        <v>3</v>
      </c>
      <c r="E1019">
        <v>149.94</v>
      </c>
    </row>
    <row r="1020" spans="1:5" x14ac:dyDescent="0.3">
      <c r="A1020">
        <v>58395</v>
      </c>
      <c r="B1020">
        <v>23326</v>
      </c>
      <c r="C1020">
        <v>957</v>
      </c>
      <c r="D1020">
        <v>1</v>
      </c>
      <c r="E1020">
        <v>299.98</v>
      </c>
    </row>
    <row r="1021" spans="1:5" x14ac:dyDescent="0.3">
      <c r="A1021">
        <v>58396</v>
      </c>
      <c r="B1021">
        <v>23326</v>
      </c>
      <c r="C1021">
        <v>191</v>
      </c>
      <c r="D1021">
        <v>3</v>
      </c>
      <c r="E1021">
        <v>299.97000000000003</v>
      </c>
    </row>
    <row r="1022" spans="1:5" x14ac:dyDescent="0.3">
      <c r="A1022">
        <v>58398</v>
      </c>
      <c r="B1022">
        <v>23326</v>
      </c>
      <c r="C1022">
        <v>1073</v>
      </c>
      <c r="D1022">
        <v>1</v>
      </c>
      <c r="E1022">
        <v>199.99</v>
      </c>
    </row>
    <row r="1023" spans="1:5" x14ac:dyDescent="0.3">
      <c r="A1023">
        <v>58397</v>
      </c>
      <c r="B1023">
        <v>23326</v>
      </c>
      <c r="C1023">
        <v>1073</v>
      </c>
      <c r="D1023">
        <v>1</v>
      </c>
      <c r="E1023">
        <v>199.99</v>
      </c>
    </row>
    <row r="1024" spans="1:5" x14ac:dyDescent="0.3">
      <c r="A1024">
        <v>58394</v>
      </c>
      <c r="B1024">
        <v>23326</v>
      </c>
      <c r="C1024">
        <v>1073</v>
      </c>
      <c r="D1024">
        <v>1</v>
      </c>
      <c r="E1024">
        <v>199.99</v>
      </c>
    </row>
    <row r="1025" spans="1:5" x14ac:dyDescent="0.3">
      <c r="A1025">
        <v>58399</v>
      </c>
      <c r="B1025">
        <v>23327</v>
      </c>
      <c r="C1025">
        <v>1014</v>
      </c>
      <c r="D1025">
        <v>4</v>
      </c>
      <c r="E1025">
        <v>199.92</v>
      </c>
    </row>
    <row r="1026" spans="1:5" x14ac:dyDescent="0.3">
      <c r="A1026">
        <v>58403</v>
      </c>
      <c r="B1026">
        <v>23331</v>
      </c>
      <c r="C1026">
        <v>917</v>
      </c>
      <c r="D1026">
        <v>1</v>
      </c>
      <c r="E1026">
        <v>21.99</v>
      </c>
    </row>
    <row r="1027" spans="1:5" x14ac:dyDescent="0.3">
      <c r="A1027">
        <v>58402</v>
      </c>
      <c r="B1027">
        <v>23331</v>
      </c>
      <c r="C1027">
        <v>1073</v>
      </c>
      <c r="D1027">
        <v>1</v>
      </c>
      <c r="E1027">
        <v>199.99</v>
      </c>
    </row>
    <row r="1028" spans="1:5" x14ac:dyDescent="0.3">
      <c r="A1028">
        <v>58456</v>
      </c>
      <c r="B1028">
        <v>23357</v>
      </c>
      <c r="C1028">
        <v>403</v>
      </c>
      <c r="D1028">
        <v>1</v>
      </c>
      <c r="E1028">
        <v>129.99</v>
      </c>
    </row>
    <row r="1029" spans="1:5" x14ac:dyDescent="0.3">
      <c r="A1029">
        <v>58455</v>
      </c>
      <c r="B1029">
        <v>23357</v>
      </c>
      <c r="C1029">
        <v>957</v>
      </c>
      <c r="D1029">
        <v>1</v>
      </c>
      <c r="E1029">
        <v>299.98</v>
      </c>
    </row>
    <row r="1030" spans="1:5" x14ac:dyDescent="0.3">
      <c r="A1030">
        <v>58454</v>
      </c>
      <c r="B1030">
        <v>23357</v>
      </c>
      <c r="C1030">
        <v>502</v>
      </c>
      <c r="D1030">
        <v>5</v>
      </c>
      <c r="E1030">
        <v>250</v>
      </c>
    </row>
    <row r="1031" spans="1:5" x14ac:dyDescent="0.3">
      <c r="A1031">
        <v>58458</v>
      </c>
      <c r="B1031">
        <v>23358</v>
      </c>
      <c r="C1031">
        <v>403</v>
      </c>
      <c r="D1031">
        <v>1</v>
      </c>
      <c r="E1031">
        <v>129.99</v>
      </c>
    </row>
    <row r="1032" spans="1:5" x14ac:dyDescent="0.3">
      <c r="A1032">
        <v>58457</v>
      </c>
      <c r="B1032">
        <v>23358</v>
      </c>
      <c r="C1032">
        <v>191</v>
      </c>
      <c r="D1032">
        <v>4</v>
      </c>
      <c r="E1032">
        <v>399.96</v>
      </c>
    </row>
    <row r="1033" spans="1:5" x14ac:dyDescent="0.3">
      <c r="A1033">
        <v>58462</v>
      </c>
      <c r="B1033">
        <v>23359</v>
      </c>
      <c r="C1033">
        <v>403</v>
      </c>
      <c r="D1033">
        <v>1</v>
      </c>
      <c r="E1033">
        <v>129.99</v>
      </c>
    </row>
    <row r="1034" spans="1:5" x14ac:dyDescent="0.3">
      <c r="A1034">
        <v>58463</v>
      </c>
      <c r="B1034">
        <v>23359</v>
      </c>
      <c r="C1034">
        <v>957</v>
      </c>
      <c r="D1034">
        <v>1</v>
      </c>
      <c r="E1034">
        <v>299.98</v>
      </c>
    </row>
    <row r="1035" spans="1:5" x14ac:dyDescent="0.3">
      <c r="A1035">
        <v>58459</v>
      </c>
      <c r="B1035">
        <v>23359</v>
      </c>
      <c r="C1035">
        <v>502</v>
      </c>
      <c r="D1035">
        <v>2</v>
      </c>
      <c r="E1035">
        <v>100</v>
      </c>
    </row>
    <row r="1036" spans="1:5" x14ac:dyDescent="0.3">
      <c r="A1036">
        <v>58461</v>
      </c>
      <c r="B1036">
        <v>23359</v>
      </c>
      <c r="C1036">
        <v>365</v>
      </c>
      <c r="D1036">
        <v>5</v>
      </c>
      <c r="E1036">
        <v>299.95</v>
      </c>
    </row>
    <row r="1037" spans="1:5" x14ac:dyDescent="0.3">
      <c r="A1037">
        <v>58460</v>
      </c>
      <c r="B1037">
        <v>23359</v>
      </c>
      <c r="C1037">
        <v>564</v>
      </c>
      <c r="D1037">
        <v>5</v>
      </c>
      <c r="E1037">
        <v>150</v>
      </c>
    </row>
    <row r="1038" spans="1:5" x14ac:dyDescent="0.3">
      <c r="A1038">
        <v>58507</v>
      </c>
      <c r="B1038">
        <v>23381</v>
      </c>
      <c r="C1038">
        <v>792</v>
      </c>
      <c r="D1038">
        <v>2</v>
      </c>
      <c r="E1038">
        <v>29.98</v>
      </c>
    </row>
    <row r="1039" spans="1:5" x14ac:dyDescent="0.3">
      <c r="A1039">
        <v>58509</v>
      </c>
      <c r="B1039">
        <v>23381</v>
      </c>
      <c r="C1039">
        <v>627</v>
      </c>
      <c r="D1039">
        <v>2</v>
      </c>
      <c r="E1039">
        <v>79.98</v>
      </c>
    </row>
    <row r="1040" spans="1:5" x14ac:dyDescent="0.3">
      <c r="A1040">
        <v>58508</v>
      </c>
      <c r="B1040">
        <v>23381</v>
      </c>
      <c r="C1040">
        <v>502</v>
      </c>
      <c r="D1040">
        <v>5</v>
      </c>
      <c r="E1040">
        <v>250</v>
      </c>
    </row>
    <row r="1041" spans="1:5" x14ac:dyDescent="0.3">
      <c r="A1041">
        <v>58524</v>
      </c>
      <c r="B1041">
        <v>23389</v>
      </c>
      <c r="C1041">
        <v>1014</v>
      </c>
      <c r="D1041">
        <v>1</v>
      </c>
      <c r="E1041">
        <v>49.98</v>
      </c>
    </row>
    <row r="1042" spans="1:5" x14ac:dyDescent="0.3">
      <c r="A1042">
        <v>58522</v>
      </c>
      <c r="B1042">
        <v>23389</v>
      </c>
      <c r="C1042">
        <v>191</v>
      </c>
      <c r="D1042">
        <v>3</v>
      </c>
      <c r="E1042">
        <v>299.97000000000003</v>
      </c>
    </row>
    <row r="1043" spans="1:5" x14ac:dyDescent="0.3">
      <c r="A1043">
        <v>58523</v>
      </c>
      <c r="B1043">
        <v>23389</v>
      </c>
      <c r="C1043">
        <v>365</v>
      </c>
      <c r="D1043">
        <v>4</v>
      </c>
      <c r="E1043">
        <v>239.96</v>
      </c>
    </row>
    <row r="1044" spans="1:5" x14ac:dyDescent="0.3">
      <c r="A1044">
        <v>58529</v>
      </c>
      <c r="B1044">
        <v>23391</v>
      </c>
      <c r="C1044">
        <v>191</v>
      </c>
      <c r="D1044">
        <v>1</v>
      </c>
      <c r="E1044">
        <v>99.99</v>
      </c>
    </row>
    <row r="1045" spans="1:5" x14ac:dyDescent="0.3">
      <c r="A1045">
        <v>58526</v>
      </c>
      <c r="B1045">
        <v>23391</v>
      </c>
      <c r="C1045">
        <v>403</v>
      </c>
      <c r="D1045">
        <v>1</v>
      </c>
      <c r="E1045">
        <v>129.99</v>
      </c>
    </row>
    <row r="1046" spans="1:5" x14ac:dyDescent="0.3">
      <c r="A1046">
        <v>58527</v>
      </c>
      <c r="B1046">
        <v>23391</v>
      </c>
      <c r="C1046">
        <v>1004</v>
      </c>
      <c r="D1046">
        <v>1</v>
      </c>
      <c r="E1046">
        <v>399.98</v>
      </c>
    </row>
    <row r="1047" spans="1:5" x14ac:dyDescent="0.3">
      <c r="A1047">
        <v>58525</v>
      </c>
      <c r="B1047">
        <v>23391</v>
      </c>
      <c r="C1047">
        <v>502</v>
      </c>
      <c r="D1047">
        <v>3</v>
      </c>
      <c r="E1047">
        <v>150</v>
      </c>
    </row>
    <row r="1048" spans="1:5" x14ac:dyDescent="0.3">
      <c r="A1048">
        <v>58528</v>
      </c>
      <c r="B1048">
        <v>23391</v>
      </c>
      <c r="C1048">
        <v>1014</v>
      </c>
      <c r="D1048">
        <v>1</v>
      </c>
      <c r="E1048">
        <v>49.98</v>
      </c>
    </row>
    <row r="1049" spans="1:5" x14ac:dyDescent="0.3">
      <c r="A1049">
        <v>58530</v>
      </c>
      <c r="B1049">
        <v>23393</v>
      </c>
      <c r="C1049">
        <v>403</v>
      </c>
      <c r="D1049">
        <v>1</v>
      </c>
      <c r="E1049">
        <v>129.99</v>
      </c>
    </row>
    <row r="1050" spans="1:5" x14ac:dyDescent="0.3">
      <c r="A1050">
        <v>58531</v>
      </c>
      <c r="B1050">
        <v>23396</v>
      </c>
      <c r="C1050">
        <v>235</v>
      </c>
      <c r="D1050">
        <v>1</v>
      </c>
      <c r="E1050">
        <v>34.99</v>
      </c>
    </row>
    <row r="1051" spans="1:5" x14ac:dyDescent="0.3">
      <c r="A1051">
        <v>58534</v>
      </c>
      <c r="B1051">
        <v>23396</v>
      </c>
      <c r="C1051">
        <v>365</v>
      </c>
      <c r="D1051">
        <v>3</v>
      </c>
      <c r="E1051">
        <v>179.97</v>
      </c>
    </row>
    <row r="1052" spans="1:5" x14ac:dyDescent="0.3">
      <c r="A1052">
        <v>58533</v>
      </c>
      <c r="B1052">
        <v>23396</v>
      </c>
      <c r="C1052">
        <v>365</v>
      </c>
      <c r="D1052">
        <v>4</v>
      </c>
      <c r="E1052">
        <v>239.96</v>
      </c>
    </row>
    <row r="1053" spans="1:5" x14ac:dyDescent="0.3">
      <c r="A1053">
        <v>58532</v>
      </c>
      <c r="B1053">
        <v>23396</v>
      </c>
      <c r="C1053">
        <v>1073</v>
      </c>
      <c r="D1053">
        <v>1</v>
      </c>
      <c r="E1053">
        <v>199.99</v>
      </c>
    </row>
    <row r="1054" spans="1:5" x14ac:dyDescent="0.3">
      <c r="A1054">
        <v>58535</v>
      </c>
      <c r="B1054">
        <v>23397</v>
      </c>
      <c r="C1054">
        <v>957</v>
      </c>
      <c r="D1054">
        <v>1</v>
      </c>
      <c r="E1054">
        <v>299.98</v>
      </c>
    </row>
    <row r="1055" spans="1:5" x14ac:dyDescent="0.3">
      <c r="A1055">
        <v>58536</v>
      </c>
      <c r="B1055">
        <v>23397</v>
      </c>
      <c r="C1055">
        <v>1014</v>
      </c>
      <c r="D1055">
        <v>2</v>
      </c>
      <c r="E1055">
        <v>99.96</v>
      </c>
    </row>
    <row r="1056" spans="1:5" x14ac:dyDescent="0.3">
      <c r="A1056">
        <v>58545</v>
      </c>
      <c r="B1056">
        <v>23404</v>
      </c>
      <c r="C1056">
        <v>403</v>
      </c>
      <c r="D1056">
        <v>1</v>
      </c>
      <c r="E1056">
        <v>129.99</v>
      </c>
    </row>
    <row r="1057" spans="1:5" x14ac:dyDescent="0.3">
      <c r="A1057">
        <v>58546</v>
      </c>
      <c r="B1057">
        <v>23404</v>
      </c>
      <c r="C1057">
        <v>502</v>
      </c>
      <c r="D1057">
        <v>5</v>
      </c>
      <c r="E1057">
        <v>250</v>
      </c>
    </row>
    <row r="1058" spans="1:5" x14ac:dyDescent="0.3">
      <c r="A1058">
        <v>58548</v>
      </c>
      <c r="B1058">
        <v>23405</v>
      </c>
      <c r="C1058">
        <v>403</v>
      </c>
      <c r="D1058">
        <v>1</v>
      </c>
      <c r="E1058">
        <v>129.99</v>
      </c>
    </row>
    <row r="1059" spans="1:5" x14ac:dyDescent="0.3">
      <c r="A1059">
        <v>58551</v>
      </c>
      <c r="B1059">
        <v>23405</v>
      </c>
      <c r="C1059">
        <v>957</v>
      </c>
      <c r="D1059">
        <v>1</v>
      </c>
      <c r="E1059">
        <v>299.98</v>
      </c>
    </row>
    <row r="1060" spans="1:5" x14ac:dyDescent="0.3">
      <c r="A1060">
        <v>58547</v>
      </c>
      <c r="B1060">
        <v>23405</v>
      </c>
      <c r="C1060">
        <v>1004</v>
      </c>
      <c r="D1060">
        <v>1</v>
      </c>
      <c r="E1060">
        <v>399.98</v>
      </c>
    </row>
    <row r="1061" spans="1:5" x14ac:dyDescent="0.3">
      <c r="A1061">
        <v>58549</v>
      </c>
      <c r="B1061">
        <v>23405</v>
      </c>
      <c r="C1061">
        <v>627</v>
      </c>
      <c r="D1061">
        <v>5</v>
      </c>
      <c r="E1061">
        <v>199.95</v>
      </c>
    </row>
    <row r="1062" spans="1:5" x14ac:dyDescent="0.3">
      <c r="A1062">
        <v>58550</v>
      </c>
      <c r="B1062">
        <v>23405</v>
      </c>
      <c r="C1062">
        <v>1073</v>
      </c>
      <c r="D1062">
        <v>1</v>
      </c>
      <c r="E1062">
        <v>199.99</v>
      </c>
    </row>
    <row r="1063" spans="1:5" x14ac:dyDescent="0.3">
      <c r="A1063">
        <v>58552</v>
      </c>
      <c r="B1063">
        <v>23406</v>
      </c>
      <c r="C1063">
        <v>403</v>
      </c>
      <c r="D1063">
        <v>1</v>
      </c>
      <c r="E1063">
        <v>129.99</v>
      </c>
    </row>
    <row r="1064" spans="1:5" x14ac:dyDescent="0.3">
      <c r="A1064">
        <v>58553</v>
      </c>
      <c r="B1064">
        <v>23406</v>
      </c>
      <c r="C1064">
        <v>1014</v>
      </c>
      <c r="D1064">
        <v>2</v>
      </c>
      <c r="E1064">
        <v>99.96</v>
      </c>
    </row>
    <row r="1065" spans="1:5" x14ac:dyDescent="0.3">
      <c r="A1065">
        <v>58554</v>
      </c>
      <c r="B1065">
        <v>23407</v>
      </c>
      <c r="C1065">
        <v>191</v>
      </c>
      <c r="D1065">
        <v>1</v>
      </c>
      <c r="E1065">
        <v>99.99</v>
      </c>
    </row>
    <row r="1066" spans="1:5" x14ac:dyDescent="0.3">
      <c r="A1066">
        <v>58555</v>
      </c>
      <c r="B1066">
        <v>23407</v>
      </c>
      <c r="C1066">
        <v>957</v>
      </c>
      <c r="D1066">
        <v>1</v>
      </c>
      <c r="E1066">
        <v>299.98</v>
      </c>
    </row>
    <row r="1067" spans="1:5" x14ac:dyDescent="0.3">
      <c r="A1067">
        <v>58578</v>
      </c>
      <c r="B1067">
        <v>23418</v>
      </c>
      <c r="C1067">
        <v>403</v>
      </c>
      <c r="D1067">
        <v>1</v>
      </c>
      <c r="E1067">
        <v>129.99</v>
      </c>
    </row>
    <row r="1068" spans="1:5" x14ac:dyDescent="0.3">
      <c r="A1068">
        <v>58580</v>
      </c>
      <c r="B1068">
        <v>23418</v>
      </c>
      <c r="C1068">
        <v>627</v>
      </c>
      <c r="D1068">
        <v>3</v>
      </c>
      <c r="E1068">
        <v>119.97</v>
      </c>
    </row>
    <row r="1069" spans="1:5" x14ac:dyDescent="0.3">
      <c r="A1069">
        <v>58579</v>
      </c>
      <c r="B1069">
        <v>23418</v>
      </c>
      <c r="C1069">
        <v>627</v>
      </c>
      <c r="D1069">
        <v>3</v>
      </c>
      <c r="E1069">
        <v>119.97</v>
      </c>
    </row>
    <row r="1070" spans="1:5" x14ac:dyDescent="0.3">
      <c r="A1070">
        <v>58583</v>
      </c>
      <c r="B1070">
        <v>23419</v>
      </c>
      <c r="C1070">
        <v>365</v>
      </c>
      <c r="D1070">
        <v>1</v>
      </c>
      <c r="E1070">
        <v>59.99</v>
      </c>
    </row>
    <row r="1071" spans="1:5" x14ac:dyDescent="0.3">
      <c r="A1071">
        <v>58582</v>
      </c>
      <c r="B1071">
        <v>23419</v>
      </c>
      <c r="C1071">
        <v>1004</v>
      </c>
      <c r="D1071">
        <v>1</v>
      </c>
      <c r="E1071">
        <v>399.98</v>
      </c>
    </row>
    <row r="1072" spans="1:5" x14ac:dyDescent="0.3">
      <c r="A1072">
        <v>58581</v>
      </c>
      <c r="B1072">
        <v>23419</v>
      </c>
      <c r="C1072">
        <v>627</v>
      </c>
      <c r="D1072">
        <v>4</v>
      </c>
      <c r="E1072">
        <v>159.96</v>
      </c>
    </row>
    <row r="1073" spans="1:5" x14ac:dyDescent="0.3">
      <c r="A1073">
        <v>58639</v>
      </c>
      <c r="B1073">
        <v>23439</v>
      </c>
      <c r="C1073">
        <v>1014</v>
      </c>
      <c r="D1073">
        <v>2</v>
      </c>
      <c r="E1073">
        <v>99.96</v>
      </c>
    </row>
    <row r="1074" spans="1:5" x14ac:dyDescent="0.3">
      <c r="A1074">
        <v>58638</v>
      </c>
      <c r="B1074">
        <v>23439</v>
      </c>
      <c r="C1074">
        <v>403</v>
      </c>
      <c r="D1074">
        <v>1</v>
      </c>
      <c r="E1074">
        <v>129.99</v>
      </c>
    </row>
    <row r="1075" spans="1:5" x14ac:dyDescent="0.3">
      <c r="A1075">
        <v>58637</v>
      </c>
      <c r="B1075">
        <v>23439</v>
      </c>
      <c r="C1075">
        <v>403</v>
      </c>
      <c r="D1075">
        <v>1</v>
      </c>
      <c r="E1075">
        <v>129.99</v>
      </c>
    </row>
    <row r="1076" spans="1:5" x14ac:dyDescent="0.3">
      <c r="A1076">
        <v>58636</v>
      </c>
      <c r="B1076">
        <v>23439</v>
      </c>
      <c r="C1076">
        <v>1004</v>
      </c>
      <c r="D1076">
        <v>1</v>
      </c>
      <c r="E1076">
        <v>399.98</v>
      </c>
    </row>
    <row r="1077" spans="1:5" x14ac:dyDescent="0.3">
      <c r="A1077">
        <v>58642</v>
      </c>
      <c r="B1077">
        <v>23440</v>
      </c>
      <c r="C1077">
        <v>403</v>
      </c>
      <c r="D1077">
        <v>1</v>
      </c>
      <c r="E1077">
        <v>129.99</v>
      </c>
    </row>
    <row r="1078" spans="1:5" x14ac:dyDescent="0.3">
      <c r="A1078">
        <v>58640</v>
      </c>
      <c r="B1078">
        <v>23440</v>
      </c>
      <c r="C1078">
        <v>1004</v>
      </c>
      <c r="D1078">
        <v>1</v>
      </c>
      <c r="E1078">
        <v>399.98</v>
      </c>
    </row>
    <row r="1079" spans="1:5" x14ac:dyDescent="0.3">
      <c r="A1079">
        <v>58641</v>
      </c>
      <c r="B1079">
        <v>23440</v>
      </c>
      <c r="C1079">
        <v>957</v>
      </c>
      <c r="D1079">
        <v>1</v>
      </c>
      <c r="E1079">
        <v>299.98</v>
      </c>
    </row>
    <row r="1080" spans="1:5" x14ac:dyDescent="0.3">
      <c r="A1080">
        <v>58654</v>
      </c>
      <c r="B1080">
        <v>23443</v>
      </c>
      <c r="C1080">
        <v>957</v>
      </c>
      <c r="D1080">
        <v>1</v>
      </c>
      <c r="E1080">
        <v>299.98</v>
      </c>
    </row>
    <row r="1081" spans="1:5" x14ac:dyDescent="0.3">
      <c r="A1081">
        <v>58657</v>
      </c>
      <c r="B1081">
        <v>23443</v>
      </c>
      <c r="C1081">
        <v>276</v>
      </c>
      <c r="D1081">
        <v>2</v>
      </c>
      <c r="E1081">
        <v>63.98</v>
      </c>
    </row>
    <row r="1082" spans="1:5" x14ac:dyDescent="0.3">
      <c r="A1082">
        <v>58656</v>
      </c>
      <c r="B1082">
        <v>23443</v>
      </c>
      <c r="C1082">
        <v>502</v>
      </c>
      <c r="D1082">
        <v>2</v>
      </c>
      <c r="E1082">
        <v>100</v>
      </c>
    </row>
    <row r="1083" spans="1:5" x14ac:dyDescent="0.3">
      <c r="A1083">
        <v>58653</v>
      </c>
      <c r="B1083">
        <v>23443</v>
      </c>
      <c r="C1083">
        <v>502</v>
      </c>
      <c r="D1083">
        <v>4</v>
      </c>
      <c r="E1083">
        <v>200</v>
      </c>
    </row>
    <row r="1084" spans="1:5" x14ac:dyDescent="0.3">
      <c r="A1084">
        <v>58655</v>
      </c>
      <c r="B1084">
        <v>23443</v>
      </c>
      <c r="C1084">
        <v>1073</v>
      </c>
      <c r="D1084">
        <v>1</v>
      </c>
      <c r="E1084">
        <v>199.99</v>
      </c>
    </row>
    <row r="1085" spans="1:5" x14ac:dyDescent="0.3">
      <c r="A1085">
        <v>58692</v>
      </c>
      <c r="B1085">
        <v>23457</v>
      </c>
      <c r="C1085">
        <v>403</v>
      </c>
      <c r="D1085">
        <v>1</v>
      </c>
      <c r="E1085">
        <v>129.99</v>
      </c>
    </row>
    <row r="1086" spans="1:5" x14ac:dyDescent="0.3">
      <c r="A1086">
        <v>58691</v>
      </c>
      <c r="B1086">
        <v>23457</v>
      </c>
      <c r="C1086">
        <v>403</v>
      </c>
      <c r="D1086">
        <v>1</v>
      </c>
      <c r="E1086">
        <v>129.99</v>
      </c>
    </row>
    <row r="1087" spans="1:5" x14ac:dyDescent="0.3">
      <c r="A1087">
        <v>58693</v>
      </c>
      <c r="B1087">
        <v>23457</v>
      </c>
      <c r="C1087">
        <v>365</v>
      </c>
      <c r="D1087">
        <v>2</v>
      </c>
      <c r="E1087">
        <v>119.98</v>
      </c>
    </row>
    <row r="1088" spans="1:5" x14ac:dyDescent="0.3">
      <c r="A1088">
        <v>58690</v>
      </c>
      <c r="B1088">
        <v>23457</v>
      </c>
      <c r="C1088">
        <v>365</v>
      </c>
      <c r="D1088">
        <v>3</v>
      </c>
      <c r="E1088">
        <v>179.97</v>
      </c>
    </row>
    <row r="1089" spans="1:5" x14ac:dyDescent="0.3">
      <c r="A1089">
        <v>58716</v>
      </c>
      <c r="B1089">
        <v>23466</v>
      </c>
      <c r="C1089">
        <v>37</v>
      </c>
      <c r="D1089">
        <v>3</v>
      </c>
      <c r="E1089">
        <v>104.97</v>
      </c>
    </row>
    <row r="1090" spans="1:5" x14ac:dyDescent="0.3">
      <c r="A1090">
        <v>58717</v>
      </c>
      <c r="B1090">
        <v>23466</v>
      </c>
      <c r="C1090">
        <v>365</v>
      </c>
      <c r="D1090">
        <v>3</v>
      </c>
      <c r="E1090">
        <v>179.97</v>
      </c>
    </row>
    <row r="1091" spans="1:5" x14ac:dyDescent="0.3">
      <c r="A1091">
        <v>58715</v>
      </c>
      <c r="B1091">
        <v>23466</v>
      </c>
      <c r="C1091">
        <v>1014</v>
      </c>
      <c r="D1091">
        <v>2</v>
      </c>
      <c r="E1091">
        <v>99.96</v>
      </c>
    </row>
    <row r="1092" spans="1:5" x14ac:dyDescent="0.3">
      <c r="A1092">
        <v>58729</v>
      </c>
      <c r="B1092">
        <v>23470</v>
      </c>
      <c r="C1092">
        <v>957</v>
      </c>
      <c r="D1092">
        <v>1</v>
      </c>
      <c r="E1092">
        <v>299.98</v>
      </c>
    </row>
    <row r="1093" spans="1:5" x14ac:dyDescent="0.3">
      <c r="A1093">
        <v>58728</v>
      </c>
      <c r="B1093">
        <v>23470</v>
      </c>
      <c r="C1093">
        <v>957</v>
      </c>
      <c r="D1093">
        <v>1</v>
      </c>
      <c r="E1093">
        <v>299.98</v>
      </c>
    </row>
    <row r="1094" spans="1:5" x14ac:dyDescent="0.3">
      <c r="A1094">
        <v>58727</v>
      </c>
      <c r="B1094">
        <v>23470</v>
      </c>
      <c r="C1094">
        <v>1004</v>
      </c>
      <c r="D1094">
        <v>1</v>
      </c>
      <c r="E1094">
        <v>399.98</v>
      </c>
    </row>
    <row r="1095" spans="1:5" x14ac:dyDescent="0.3">
      <c r="A1095">
        <v>58726</v>
      </c>
      <c r="B1095">
        <v>23470</v>
      </c>
      <c r="C1095">
        <v>1004</v>
      </c>
      <c r="D1095">
        <v>1</v>
      </c>
      <c r="E1095">
        <v>399.98</v>
      </c>
    </row>
    <row r="1096" spans="1:5" x14ac:dyDescent="0.3">
      <c r="A1096">
        <v>58725</v>
      </c>
      <c r="B1096">
        <v>23470</v>
      </c>
      <c r="C1096">
        <v>977</v>
      </c>
      <c r="D1096">
        <v>4</v>
      </c>
      <c r="E1096">
        <v>119.96</v>
      </c>
    </row>
    <row r="1097" spans="1:5" x14ac:dyDescent="0.3">
      <c r="A1097">
        <v>58829</v>
      </c>
      <c r="B1097">
        <v>23515</v>
      </c>
      <c r="C1097">
        <v>191</v>
      </c>
      <c r="D1097">
        <v>1</v>
      </c>
      <c r="E1097">
        <v>99.99</v>
      </c>
    </row>
    <row r="1098" spans="1:5" x14ac:dyDescent="0.3">
      <c r="A1098">
        <v>58828</v>
      </c>
      <c r="B1098">
        <v>23515</v>
      </c>
      <c r="C1098">
        <v>365</v>
      </c>
      <c r="D1098">
        <v>1</v>
      </c>
      <c r="E1098">
        <v>59.99</v>
      </c>
    </row>
    <row r="1099" spans="1:5" x14ac:dyDescent="0.3">
      <c r="A1099">
        <v>58830</v>
      </c>
      <c r="B1099">
        <v>23518</v>
      </c>
      <c r="C1099">
        <v>502</v>
      </c>
      <c r="D1099">
        <v>2</v>
      </c>
      <c r="E1099">
        <v>100</v>
      </c>
    </row>
    <row r="1100" spans="1:5" x14ac:dyDescent="0.3">
      <c r="A1100">
        <v>58850</v>
      </c>
      <c r="B1100">
        <v>23530</v>
      </c>
      <c r="C1100">
        <v>403</v>
      </c>
      <c r="D1100">
        <v>1</v>
      </c>
      <c r="E1100">
        <v>129.99</v>
      </c>
    </row>
    <row r="1101" spans="1:5" x14ac:dyDescent="0.3">
      <c r="A1101">
        <v>58849</v>
      </c>
      <c r="B1101">
        <v>23530</v>
      </c>
      <c r="C1101">
        <v>235</v>
      </c>
      <c r="D1101">
        <v>3</v>
      </c>
      <c r="E1101">
        <v>104.97</v>
      </c>
    </row>
    <row r="1102" spans="1:5" x14ac:dyDescent="0.3">
      <c r="A1102">
        <v>58852</v>
      </c>
      <c r="B1102">
        <v>23531</v>
      </c>
      <c r="C1102">
        <v>1004</v>
      </c>
      <c r="D1102">
        <v>1</v>
      </c>
      <c r="E1102">
        <v>399.98</v>
      </c>
    </row>
    <row r="1103" spans="1:5" x14ac:dyDescent="0.3">
      <c r="A1103">
        <v>58854</v>
      </c>
      <c r="B1103">
        <v>23531</v>
      </c>
      <c r="C1103">
        <v>44</v>
      </c>
      <c r="D1103">
        <v>5</v>
      </c>
      <c r="E1103">
        <v>299.95</v>
      </c>
    </row>
    <row r="1104" spans="1:5" x14ac:dyDescent="0.3">
      <c r="A1104">
        <v>58853</v>
      </c>
      <c r="B1104">
        <v>23531</v>
      </c>
      <c r="C1104">
        <v>1073</v>
      </c>
      <c r="D1104">
        <v>1</v>
      </c>
      <c r="E1104">
        <v>199.99</v>
      </c>
    </row>
    <row r="1105" spans="1:5" x14ac:dyDescent="0.3">
      <c r="A1105">
        <v>58851</v>
      </c>
      <c r="B1105">
        <v>23531</v>
      </c>
      <c r="C1105">
        <v>1073</v>
      </c>
      <c r="D1105">
        <v>1</v>
      </c>
      <c r="E1105">
        <v>199.99</v>
      </c>
    </row>
    <row r="1106" spans="1:5" x14ac:dyDescent="0.3">
      <c r="A1106">
        <v>58858</v>
      </c>
      <c r="B1106">
        <v>23532</v>
      </c>
      <c r="C1106">
        <v>1073</v>
      </c>
      <c r="D1106">
        <v>1</v>
      </c>
      <c r="E1106">
        <v>199.99</v>
      </c>
    </row>
    <row r="1107" spans="1:5" x14ac:dyDescent="0.3">
      <c r="A1107">
        <v>58856</v>
      </c>
      <c r="B1107">
        <v>23532</v>
      </c>
      <c r="C1107">
        <v>403</v>
      </c>
      <c r="D1107">
        <v>1</v>
      </c>
      <c r="E1107">
        <v>129.99</v>
      </c>
    </row>
    <row r="1108" spans="1:5" x14ac:dyDescent="0.3">
      <c r="A1108">
        <v>58859</v>
      </c>
      <c r="B1108">
        <v>23532</v>
      </c>
      <c r="C1108">
        <v>502</v>
      </c>
      <c r="D1108">
        <v>1</v>
      </c>
      <c r="E1108">
        <v>50</v>
      </c>
    </row>
    <row r="1109" spans="1:5" x14ac:dyDescent="0.3">
      <c r="A1109">
        <v>58855</v>
      </c>
      <c r="B1109">
        <v>23532</v>
      </c>
      <c r="C1109">
        <v>1004</v>
      </c>
      <c r="D1109">
        <v>1</v>
      </c>
      <c r="E1109">
        <v>399.98</v>
      </c>
    </row>
    <row r="1110" spans="1:5" x14ac:dyDescent="0.3">
      <c r="A1110">
        <v>58857</v>
      </c>
      <c r="B1110">
        <v>23532</v>
      </c>
      <c r="C1110">
        <v>365</v>
      </c>
      <c r="D1110">
        <v>2</v>
      </c>
      <c r="E1110">
        <v>119.98</v>
      </c>
    </row>
    <row r="1111" spans="1:5" x14ac:dyDescent="0.3">
      <c r="A1111">
        <v>58862</v>
      </c>
      <c r="B1111">
        <v>23533</v>
      </c>
      <c r="C1111">
        <v>823</v>
      </c>
      <c r="D1111">
        <v>2</v>
      </c>
      <c r="E1111">
        <v>103.98</v>
      </c>
    </row>
    <row r="1112" spans="1:5" x14ac:dyDescent="0.3">
      <c r="A1112">
        <v>58861</v>
      </c>
      <c r="B1112">
        <v>23533</v>
      </c>
      <c r="C1112">
        <v>135</v>
      </c>
      <c r="D1112">
        <v>5</v>
      </c>
      <c r="E1112">
        <v>110</v>
      </c>
    </row>
    <row r="1113" spans="1:5" x14ac:dyDescent="0.3">
      <c r="A1113">
        <v>58860</v>
      </c>
      <c r="B1113">
        <v>23533</v>
      </c>
      <c r="C1113">
        <v>116</v>
      </c>
      <c r="D1113">
        <v>1</v>
      </c>
      <c r="E1113">
        <v>44.99</v>
      </c>
    </row>
    <row r="1114" spans="1:5" x14ac:dyDescent="0.3">
      <c r="A1114">
        <v>58924</v>
      </c>
      <c r="B1114">
        <v>23557</v>
      </c>
      <c r="C1114">
        <v>403</v>
      </c>
      <c r="D1114">
        <v>1</v>
      </c>
      <c r="E1114">
        <v>129.99</v>
      </c>
    </row>
    <row r="1115" spans="1:5" x14ac:dyDescent="0.3">
      <c r="A1115">
        <v>58927</v>
      </c>
      <c r="B1115">
        <v>23557</v>
      </c>
      <c r="C1115">
        <v>502</v>
      </c>
      <c r="D1115">
        <v>2</v>
      </c>
      <c r="E1115">
        <v>100</v>
      </c>
    </row>
    <row r="1116" spans="1:5" x14ac:dyDescent="0.3">
      <c r="A1116">
        <v>58926</v>
      </c>
      <c r="B1116">
        <v>23557</v>
      </c>
      <c r="C1116">
        <v>1014</v>
      </c>
      <c r="D1116">
        <v>5</v>
      </c>
      <c r="E1116">
        <v>249.9</v>
      </c>
    </row>
    <row r="1117" spans="1:5" x14ac:dyDescent="0.3">
      <c r="A1117">
        <v>58925</v>
      </c>
      <c r="B1117">
        <v>23557</v>
      </c>
      <c r="C1117">
        <v>1014</v>
      </c>
      <c r="D1117">
        <v>4</v>
      </c>
      <c r="E1117">
        <v>199.92</v>
      </c>
    </row>
    <row r="1118" spans="1:5" x14ac:dyDescent="0.3">
      <c r="A1118">
        <v>58980</v>
      </c>
      <c r="B1118">
        <v>23576</v>
      </c>
      <c r="C1118">
        <v>191</v>
      </c>
      <c r="D1118">
        <v>1</v>
      </c>
      <c r="E1118">
        <v>99.99</v>
      </c>
    </row>
    <row r="1119" spans="1:5" x14ac:dyDescent="0.3">
      <c r="A1119">
        <v>58979</v>
      </c>
      <c r="B1119">
        <v>23576</v>
      </c>
      <c r="C1119">
        <v>403</v>
      </c>
      <c r="D1119">
        <v>1</v>
      </c>
      <c r="E1119">
        <v>129.99</v>
      </c>
    </row>
    <row r="1120" spans="1:5" x14ac:dyDescent="0.3">
      <c r="A1120">
        <v>58982</v>
      </c>
      <c r="B1120">
        <v>23576</v>
      </c>
      <c r="C1120">
        <v>1004</v>
      </c>
      <c r="D1120">
        <v>1</v>
      </c>
      <c r="E1120">
        <v>399.98</v>
      </c>
    </row>
    <row r="1121" spans="1:5" x14ac:dyDescent="0.3">
      <c r="A1121">
        <v>58981</v>
      </c>
      <c r="B1121">
        <v>23576</v>
      </c>
      <c r="C1121">
        <v>116</v>
      </c>
      <c r="D1121">
        <v>2</v>
      </c>
      <c r="E1121">
        <v>89.98</v>
      </c>
    </row>
    <row r="1122" spans="1:5" x14ac:dyDescent="0.3">
      <c r="A1122">
        <v>58988</v>
      </c>
      <c r="B1122">
        <v>23579</v>
      </c>
      <c r="C1122">
        <v>135</v>
      </c>
      <c r="D1122">
        <v>5</v>
      </c>
      <c r="E1122">
        <v>110</v>
      </c>
    </row>
    <row r="1123" spans="1:5" x14ac:dyDescent="0.3">
      <c r="A1123">
        <v>59018</v>
      </c>
      <c r="B1123">
        <v>23590</v>
      </c>
      <c r="C1123">
        <v>957</v>
      </c>
      <c r="D1123">
        <v>1</v>
      </c>
      <c r="E1123">
        <v>299.98</v>
      </c>
    </row>
    <row r="1124" spans="1:5" x14ac:dyDescent="0.3">
      <c r="A1124">
        <v>59019</v>
      </c>
      <c r="B1124">
        <v>23590</v>
      </c>
      <c r="C1124">
        <v>565</v>
      </c>
      <c r="D1124">
        <v>2</v>
      </c>
      <c r="E1124">
        <v>140</v>
      </c>
    </row>
    <row r="1125" spans="1:5" x14ac:dyDescent="0.3">
      <c r="A1125">
        <v>59017</v>
      </c>
      <c r="B1125">
        <v>23590</v>
      </c>
      <c r="C1125">
        <v>627</v>
      </c>
      <c r="D1125">
        <v>5</v>
      </c>
      <c r="E1125">
        <v>199.95</v>
      </c>
    </row>
    <row r="1126" spans="1:5" x14ac:dyDescent="0.3">
      <c r="A1126">
        <v>59020</v>
      </c>
      <c r="B1126">
        <v>23592</v>
      </c>
      <c r="C1126">
        <v>627</v>
      </c>
      <c r="D1126">
        <v>5</v>
      </c>
      <c r="E1126">
        <v>199.95</v>
      </c>
    </row>
    <row r="1127" spans="1:5" x14ac:dyDescent="0.3">
      <c r="A1127">
        <v>59021</v>
      </c>
      <c r="B1127">
        <v>23592</v>
      </c>
      <c r="C1127">
        <v>403</v>
      </c>
      <c r="D1127">
        <v>1</v>
      </c>
      <c r="E1127">
        <v>129.99</v>
      </c>
    </row>
    <row r="1128" spans="1:5" x14ac:dyDescent="0.3">
      <c r="A1128">
        <v>59022</v>
      </c>
      <c r="B1128">
        <v>23592</v>
      </c>
      <c r="C1128">
        <v>365</v>
      </c>
      <c r="D1128">
        <v>2</v>
      </c>
      <c r="E1128">
        <v>119.98</v>
      </c>
    </row>
    <row r="1129" spans="1:5" x14ac:dyDescent="0.3">
      <c r="A1129">
        <v>59139</v>
      </c>
      <c r="B1129">
        <v>23638</v>
      </c>
      <c r="C1129">
        <v>403</v>
      </c>
      <c r="D1129">
        <v>1</v>
      </c>
      <c r="E1129">
        <v>129.99</v>
      </c>
    </row>
    <row r="1130" spans="1:5" x14ac:dyDescent="0.3">
      <c r="A1130">
        <v>59141</v>
      </c>
      <c r="B1130">
        <v>23638</v>
      </c>
      <c r="C1130">
        <v>957</v>
      </c>
      <c r="D1130">
        <v>1</v>
      </c>
      <c r="E1130">
        <v>299.98</v>
      </c>
    </row>
    <row r="1131" spans="1:5" x14ac:dyDescent="0.3">
      <c r="A1131">
        <v>59140</v>
      </c>
      <c r="B1131">
        <v>23638</v>
      </c>
      <c r="C1131">
        <v>365</v>
      </c>
      <c r="D1131">
        <v>4</v>
      </c>
      <c r="E1131">
        <v>239.96</v>
      </c>
    </row>
    <row r="1132" spans="1:5" x14ac:dyDescent="0.3">
      <c r="A1132">
        <v>59138</v>
      </c>
      <c r="B1132">
        <v>23638</v>
      </c>
      <c r="C1132">
        <v>502</v>
      </c>
      <c r="D1132">
        <v>5</v>
      </c>
      <c r="E1132">
        <v>250</v>
      </c>
    </row>
    <row r="1133" spans="1:5" x14ac:dyDescent="0.3">
      <c r="A1133">
        <v>59152</v>
      </c>
      <c r="B1133">
        <v>23643</v>
      </c>
      <c r="C1133">
        <v>1004</v>
      </c>
      <c r="D1133">
        <v>1</v>
      </c>
      <c r="E1133">
        <v>399.98</v>
      </c>
    </row>
    <row r="1134" spans="1:5" x14ac:dyDescent="0.3">
      <c r="A1134">
        <v>59154</v>
      </c>
      <c r="B1134">
        <v>23643</v>
      </c>
      <c r="C1134">
        <v>957</v>
      </c>
      <c r="D1134">
        <v>1</v>
      </c>
      <c r="E1134">
        <v>299.98</v>
      </c>
    </row>
    <row r="1135" spans="1:5" x14ac:dyDescent="0.3">
      <c r="A1135">
        <v>59153</v>
      </c>
      <c r="B1135">
        <v>23643</v>
      </c>
      <c r="C1135">
        <v>365</v>
      </c>
      <c r="D1135">
        <v>5</v>
      </c>
      <c r="E1135">
        <v>299.95</v>
      </c>
    </row>
    <row r="1136" spans="1:5" x14ac:dyDescent="0.3">
      <c r="A1136">
        <v>59155</v>
      </c>
      <c r="B1136">
        <v>23643</v>
      </c>
      <c r="C1136">
        <v>924</v>
      </c>
      <c r="D1136">
        <v>5</v>
      </c>
      <c r="E1136">
        <v>79.95</v>
      </c>
    </row>
    <row r="1137" spans="1:5" x14ac:dyDescent="0.3">
      <c r="A1137">
        <v>59151</v>
      </c>
      <c r="B1137">
        <v>23643</v>
      </c>
      <c r="C1137">
        <v>1014</v>
      </c>
      <c r="D1137">
        <v>2</v>
      </c>
      <c r="E1137">
        <v>99.96</v>
      </c>
    </row>
    <row r="1138" spans="1:5" x14ac:dyDescent="0.3">
      <c r="A1138">
        <v>59156</v>
      </c>
      <c r="B1138">
        <v>23645</v>
      </c>
      <c r="C1138">
        <v>403</v>
      </c>
      <c r="D1138">
        <v>1</v>
      </c>
      <c r="E1138">
        <v>129.99</v>
      </c>
    </row>
    <row r="1139" spans="1:5" x14ac:dyDescent="0.3">
      <c r="A1139">
        <v>59157</v>
      </c>
      <c r="B1139">
        <v>23645</v>
      </c>
      <c r="C1139">
        <v>957</v>
      </c>
      <c r="D1139">
        <v>1</v>
      </c>
      <c r="E1139">
        <v>299.98</v>
      </c>
    </row>
    <row r="1140" spans="1:5" x14ac:dyDescent="0.3">
      <c r="A1140">
        <v>59158</v>
      </c>
      <c r="B1140">
        <v>23645</v>
      </c>
      <c r="C1140">
        <v>627</v>
      </c>
      <c r="D1140">
        <v>2</v>
      </c>
      <c r="E1140">
        <v>79.98</v>
      </c>
    </row>
    <row r="1141" spans="1:5" x14ac:dyDescent="0.3">
      <c r="A1141">
        <v>59159</v>
      </c>
      <c r="B1141">
        <v>23645</v>
      </c>
      <c r="C1141">
        <v>502</v>
      </c>
      <c r="D1141">
        <v>3</v>
      </c>
      <c r="E1141">
        <v>150</v>
      </c>
    </row>
    <row r="1142" spans="1:5" x14ac:dyDescent="0.3">
      <c r="A1142">
        <v>59160</v>
      </c>
      <c r="B1142">
        <v>23646</v>
      </c>
      <c r="C1142">
        <v>1073</v>
      </c>
      <c r="D1142">
        <v>1</v>
      </c>
      <c r="E1142">
        <v>199.99</v>
      </c>
    </row>
    <row r="1143" spans="1:5" x14ac:dyDescent="0.3">
      <c r="A1143">
        <v>59163</v>
      </c>
      <c r="B1143">
        <v>23646</v>
      </c>
      <c r="C1143">
        <v>365</v>
      </c>
      <c r="D1143">
        <v>2</v>
      </c>
      <c r="E1143">
        <v>119.98</v>
      </c>
    </row>
    <row r="1144" spans="1:5" x14ac:dyDescent="0.3">
      <c r="A1144">
        <v>59161</v>
      </c>
      <c r="B1144">
        <v>23646</v>
      </c>
      <c r="C1144">
        <v>642</v>
      </c>
      <c r="D1144">
        <v>2</v>
      </c>
      <c r="E1144">
        <v>60</v>
      </c>
    </row>
    <row r="1145" spans="1:5" x14ac:dyDescent="0.3">
      <c r="A1145">
        <v>59162</v>
      </c>
      <c r="B1145">
        <v>23646</v>
      </c>
      <c r="C1145">
        <v>627</v>
      </c>
      <c r="D1145">
        <v>5</v>
      </c>
      <c r="E1145">
        <v>199.95</v>
      </c>
    </row>
    <row r="1146" spans="1:5" x14ac:dyDescent="0.3">
      <c r="A1146">
        <v>59169</v>
      </c>
      <c r="B1146">
        <v>23649</v>
      </c>
      <c r="C1146">
        <v>1014</v>
      </c>
      <c r="D1146">
        <v>2</v>
      </c>
      <c r="E1146">
        <v>99.96</v>
      </c>
    </row>
    <row r="1147" spans="1:5" x14ac:dyDescent="0.3">
      <c r="A1147">
        <v>59171</v>
      </c>
      <c r="B1147">
        <v>23649</v>
      </c>
      <c r="C1147">
        <v>403</v>
      </c>
      <c r="D1147">
        <v>1</v>
      </c>
      <c r="E1147">
        <v>129.99</v>
      </c>
    </row>
    <row r="1148" spans="1:5" x14ac:dyDescent="0.3">
      <c r="A1148">
        <v>59170</v>
      </c>
      <c r="B1148">
        <v>23649</v>
      </c>
      <c r="C1148">
        <v>191</v>
      </c>
      <c r="D1148">
        <v>2</v>
      </c>
      <c r="E1148">
        <v>199.98</v>
      </c>
    </row>
    <row r="1149" spans="1:5" x14ac:dyDescent="0.3">
      <c r="A1149">
        <v>59168</v>
      </c>
      <c r="B1149">
        <v>23649</v>
      </c>
      <c r="C1149">
        <v>365</v>
      </c>
      <c r="D1149">
        <v>3</v>
      </c>
      <c r="E1149">
        <v>179.97</v>
      </c>
    </row>
    <row r="1150" spans="1:5" x14ac:dyDescent="0.3">
      <c r="A1150">
        <v>59172</v>
      </c>
      <c r="B1150">
        <v>23650</v>
      </c>
      <c r="C1150">
        <v>403</v>
      </c>
      <c r="D1150">
        <v>1</v>
      </c>
      <c r="E1150">
        <v>129.99</v>
      </c>
    </row>
    <row r="1151" spans="1:5" x14ac:dyDescent="0.3">
      <c r="A1151">
        <v>59176</v>
      </c>
      <c r="B1151">
        <v>23651</v>
      </c>
      <c r="C1151">
        <v>403</v>
      </c>
      <c r="D1151">
        <v>1</v>
      </c>
      <c r="E1151">
        <v>129.99</v>
      </c>
    </row>
    <row r="1152" spans="1:5" x14ac:dyDescent="0.3">
      <c r="A1152">
        <v>59173</v>
      </c>
      <c r="B1152">
        <v>23651</v>
      </c>
      <c r="C1152">
        <v>1004</v>
      </c>
      <c r="D1152">
        <v>1</v>
      </c>
      <c r="E1152">
        <v>399.98</v>
      </c>
    </row>
    <row r="1153" spans="1:5" x14ac:dyDescent="0.3">
      <c r="A1153">
        <v>59177</v>
      </c>
      <c r="B1153">
        <v>23651</v>
      </c>
      <c r="C1153">
        <v>1073</v>
      </c>
      <c r="D1153">
        <v>1</v>
      </c>
      <c r="E1153">
        <v>199.99</v>
      </c>
    </row>
    <row r="1154" spans="1:5" x14ac:dyDescent="0.3">
      <c r="A1154">
        <v>59175</v>
      </c>
      <c r="B1154">
        <v>23651</v>
      </c>
      <c r="C1154">
        <v>1073</v>
      </c>
      <c r="D1154">
        <v>1</v>
      </c>
      <c r="E1154">
        <v>199.99</v>
      </c>
    </row>
    <row r="1155" spans="1:5" x14ac:dyDescent="0.3">
      <c r="A1155">
        <v>59174</v>
      </c>
      <c r="B1155">
        <v>23651</v>
      </c>
      <c r="C1155">
        <v>191</v>
      </c>
      <c r="D1155">
        <v>4</v>
      </c>
      <c r="E1155">
        <v>399.96</v>
      </c>
    </row>
    <row r="1156" spans="1:5" x14ac:dyDescent="0.3">
      <c r="A1156">
        <v>59203</v>
      </c>
      <c r="B1156">
        <v>23659</v>
      </c>
      <c r="C1156">
        <v>403</v>
      </c>
      <c r="D1156">
        <v>1</v>
      </c>
      <c r="E1156">
        <v>129.99</v>
      </c>
    </row>
    <row r="1157" spans="1:5" x14ac:dyDescent="0.3">
      <c r="A1157">
        <v>59200</v>
      </c>
      <c r="B1157">
        <v>23659</v>
      </c>
      <c r="C1157">
        <v>249</v>
      </c>
      <c r="D1157">
        <v>3</v>
      </c>
      <c r="E1157">
        <v>164.91</v>
      </c>
    </row>
    <row r="1158" spans="1:5" x14ac:dyDescent="0.3">
      <c r="A1158">
        <v>59201</v>
      </c>
      <c r="B1158">
        <v>23659</v>
      </c>
      <c r="C1158">
        <v>365</v>
      </c>
      <c r="D1158">
        <v>3</v>
      </c>
      <c r="E1158">
        <v>179.97</v>
      </c>
    </row>
    <row r="1159" spans="1:5" x14ac:dyDescent="0.3">
      <c r="A1159">
        <v>59202</v>
      </c>
      <c r="B1159">
        <v>23659</v>
      </c>
      <c r="C1159">
        <v>191</v>
      </c>
      <c r="D1159">
        <v>5</v>
      </c>
      <c r="E1159">
        <v>499.95</v>
      </c>
    </row>
    <row r="1160" spans="1:5" x14ac:dyDescent="0.3">
      <c r="A1160">
        <v>59206</v>
      </c>
      <c r="B1160">
        <v>23660</v>
      </c>
      <c r="C1160">
        <v>191</v>
      </c>
      <c r="D1160">
        <v>4</v>
      </c>
      <c r="E1160">
        <v>399.96</v>
      </c>
    </row>
    <row r="1161" spans="1:5" x14ac:dyDescent="0.3">
      <c r="A1161">
        <v>59205</v>
      </c>
      <c r="B1161">
        <v>23660</v>
      </c>
      <c r="C1161">
        <v>1073</v>
      </c>
      <c r="D1161">
        <v>1</v>
      </c>
      <c r="E1161">
        <v>199.99</v>
      </c>
    </row>
    <row r="1162" spans="1:5" x14ac:dyDescent="0.3">
      <c r="A1162">
        <v>59204</v>
      </c>
      <c r="B1162">
        <v>23660</v>
      </c>
      <c r="C1162">
        <v>1073</v>
      </c>
      <c r="D1162">
        <v>1</v>
      </c>
      <c r="E1162">
        <v>199.99</v>
      </c>
    </row>
    <row r="1163" spans="1:5" x14ac:dyDescent="0.3">
      <c r="A1163">
        <v>59213</v>
      </c>
      <c r="B1163">
        <v>23666</v>
      </c>
      <c r="C1163">
        <v>728</v>
      </c>
      <c r="D1163">
        <v>2</v>
      </c>
      <c r="E1163">
        <v>130</v>
      </c>
    </row>
    <row r="1164" spans="1:5" x14ac:dyDescent="0.3">
      <c r="A1164">
        <v>59214</v>
      </c>
      <c r="B1164">
        <v>23667</v>
      </c>
      <c r="C1164">
        <v>1073</v>
      </c>
      <c r="D1164">
        <v>1</v>
      </c>
      <c r="E1164">
        <v>199.99</v>
      </c>
    </row>
    <row r="1165" spans="1:5" x14ac:dyDescent="0.3">
      <c r="A1165">
        <v>59216</v>
      </c>
      <c r="B1165">
        <v>23668</v>
      </c>
      <c r="C1165">
        <v>365</v>
      </c>
      <c r="D1165">
        <v>1</v>
      </c>
      <c r="E1165">
        <v>59.99</v>
      </c>
    </row>
    <row r="1166" spans="1:5" x14ac:dyDescent="0.3">
      <c r="A1166">
        <v>59215</v>
      </c>
      <c r="B1166">
        <v>23668</v>
      </c>
      <c r="C1166">
        <v>1004</v>
      </c>
      <c r="D1166">
        <v>1</v>
      </c>
      <c r="E1166">
        <v>399.98</v>
      </c>
    </row>
    <row r="1167" spans="1:5" x14ac:dyDescent="0.3">
      <c r="A1167">
        <v>59217</v>
      </c>
      <c r="B1167">
        <v>23668</v>
      </c>
      <c r="C1167">
        <v>1014</v>
      </c>
      <c r="D1167">
        <v>2</v>
      </c>
      <c r="E1167">
        <v>99.96</v>
      </c>
    </row>
    <row r="1168" spans="1:5" x14ac:dyDescent="0.3">
      <c r="A1168">
        <v>59218</v>
      </c>
      <c r="B1168">
        <v>23669</v>
      </c>
      <c r="C1168">
        <v>818</v>
      </c>
      <c r="D1168">
        <v>1</v>
      </c>
      <c r="E1168">
        <v>47.99</v>
      </c>
    </row>
    <row r="1169" spans="1:5" x14ac:dyDescent="0.3">
      <c r="A1169">
        <v>59220</v>
      </c>
      <c r="B1169">
        <v>23670</v>
      </c>
      <c r="C1169">
        <v>403</v>
      </c>
      <c r="D1169">
        <v>1</v>
      </c>
      <c r="E1169">
        <v>129.99</v>
      </c>
    </row>
    <row r="1170" spans="1:5" x14ac:dyDescent="0.3">
      <c r="A1170">
        <v>59221</v>
      </c>
      <c r="B1170">
        <v>23670</v>
      </c>
      <c r="C1170">
        <v>1004</v>
      </c>
      <c r="D1170">
        <v>1</v>
      </c>
      <c r="E1170">
        <v>399.98</v>
      </c>
    </row>
    <row r="1171" spans="1:5" x14ac:dyDescent="0.3">
      <c r="A1171">
        <v>59219</v>
      </c>
      <c r="B1171">
        <v>23670</v>
      </c>
      <c r="C1171">
        <v>191</v>
      </c>
      <c r="D1171">
        <v>4</v>
      </c>
      <c r="E1171">
        <v>399.96</v>
      </c>
    </row>
    <row r="1172" spans="1:5" x14ac:dyDescent="0.3">
      <c r="A1172">
        <v>59225</v>
      </c>
      <c r="B1172">
        <v>23672</v>
      </c>
      <c r="C1172">
        <v>1004</v>
      </c>
      <c r="D1172">
        <v>1</v>
      </c>
      <c r="E1172">
        <v>399.98</v>
      </c>
    </row>
    <row r="1173" spans="1:5" x14ac:dyDescent="0.3">
      <c r="A1173">
        <v>59227</v>
      </c>
      <c r="B1173">
        <v>23672</v>
      </c>
      <c r="C1173">
        <v>1004</v>
      </c>
      <c r="D1173">
        <v>1</v>
      </c>
      <c r="E1173">
        <v>399.98</v>
      </c>
    </row>
    <row r="1174" spans="1:5" x14ac:dyDescent="0.3">
      <c r="A1174">
        <v>59226</v>
      </c>
      <c r="B1174">
        <v>23672</v>
      </c>
      <c r="C1174">
        <v>1004</v>
      </c>
      <c r="D1174">
        <v>1</v>
      </c>
      <c r="E1174">
        <v>399.98</v>
      </c>
    </row>
    <row r="1175" spans="1:5" x14ac:dyDescent="0.3">
      <c r="A1175">
        <v>59228</v>
      </c>
      <c r="B1175">
        <v>23672</v>
      </c>
      <c r="C1175">
        <v>365</v>
      </c>
      <c r="D1175">
        <v>4</v>
      </c>
      <c r="E1175">
        <v>239.96</v>
      </c>
    </row>
    <row r="1176" spans="1:5" x14ac:dyDescent="0.3">
      <c r="A1176">
        <v>59230</v>
      </c>
      <c r="B1176">
        <v>23673</v>
      </c>
      <c r="C1176">
        <v>403</v>
      </c>
      <c r="D1176">
        <v>1</v>
      </c>
      <c r="E1176">
        <v>129.99</v>
      </c>
    </row>
    <row r="1177" spans="1:5" x14ac:dyDescent="0.3">
      <c r="A1177">
        <v>59229</v>
      </c>
      <c r="B1177">
        <v>23673</v>
      </c>
      <c r="C1177">
        <v>957</v>
      </c>
      <c r="D1177">
        <v>1</v>
      </c>
      <c r="E1177">
        <v>299.98</v>
      </c>
    </row>
    <row r="1178" spans="1:5" x14ac:dyDescent="0.3">
      <c r="A1178">
        <v>59234</v>
      </c>
      <c r="B1178">
        <v>23679</v>
      </c>
      <c r="C1178">
        <v>403</v>
      </c>
      <c r="D1178">
        <v>1</v>
      </c>
      <c r="E1178">
        <v>129.99</v>
      </c>
    </row>
    <row r="1179" spans="1:5" x14ac:dyDescent="0.3">
      <c r="A1179">
        <v>59233</v>
      </c>
      <c r="B1179">
        <v>23679</v>
      </c>
      <c r="C1179">
        <v>365</v>
      </c>
      <c r="D1179">
        <v>4</v>
      </c>
      <c r="E1179">
        <v>239.96</v>
      </c>
    </row>
    <row r="1180" spans="1:5" x14ac:dyDescent="0.3">
      <c r="A1180">
        <v>59235</v>
      </c>
      <c r="B1180">
        <v>23679</v>
      </c>
      <c r="C1180">
        <v>1014</v>
      </c>
      <c r="D1180">
        <v>5</v>
      </c>
      <c r="E1180">
        <v>249.9</v>
      </c>
    </row>
    <row r="1181" spans="1:5" x14ac:dyDescent="0.3">
      <c r="A1181">
        <v>59237</v>
      </c>
      <c r="B1181">
        <v>23680</v>
      </c>
      <c r="C1181">
        <v>365</v>
      </c>
      <c r="D1181">
        <v>1</v>
      </c>
      <c r="E1181">
        <v>59.99</v>
      </c>
    </row>
    <row r="1182" spans="1:5" x14ac:dyDescent="0.3">
      <c r="A1182">
        <v>59236</v>
      </c>
      <c r="B1182">
        <v>23680</v>
      </c>
      <c r="C1182">
        <v>1073</v>
      </c>
      <c r="D1182">
        <v>1</v>
      </c>
      <c r="E1182">
        <v>199.99</v>
      </c>
    </row>
    <row r="1183" spans="1:5" x14ac:dyDescent="0.3">
      <c r="A1183">
        <v>59238</v>
      </c>
      <c r="B1183">
        <v>23681</v>
      </c>
      <c r="C1183">
        <v>403</v>
      </c>
      <c r="D1183">
        <v>1</v>
      </c>
      <c r="E1183">
        <v>129.99</v>
      </c>
    </row>
    <row r="1184" spans="1:5" x14ac:dyDescent="0.3">
      <c r="A1184">
        <v>59239</v>
      </c>
      <c r="B1184">
        <v>23681</v>
      </c>
      <c r="C1184">
        <v>924</v>
      </c>
      <c r="D1184">
        <v>2</v>
      </c>
      <c r="E1184">
        <v>31.98</v>
      </c>
    </row>
    <row r="1185" spans="1:5" x14ac:dyDescent="0.3">
      <c r="A1185">
        <v>59241</v>
      </c>
      <c r="B1185">
        <v>23681</v>
      </c>
      <c r="C1185">
        <v>627</v>
      </c>
      <c r="D1185">
        <v>3</v>
      </c>
      <c r="E1185">
        <v>119.97</v>
      </c>
    </row>
    <row r="1186" spans="1:5" x14ac:dyDescent="0.3">
      <c r="A1186">
        <v>59240</v>
      </c>
      <c r="B1186">
        <v>23681</v>
      </c>
      <c r="C1186">
        <v>1014</v>
      </c>
      <c r="D1186">
        <v>5</v>
      </c>
      <c r="E1186">
        <v>249.9</v>
      </c>
    </row>
    <row r="1187" spans="1:5" x14ac:dyDescent="0.3">
      <c r="A1187">
        <v>59243</v>
      </c>
      <c r="B1187">
        <v>23682</v>
      </c>
      <c r="C1187">
        <v>191</v>
      </c>
      <c r="D1187">
        <v>1</v>
      </c>
      <c r="E1187">
        <v>99.99</v>
      </c>
    </row>
    <row r="1188" spans="1:5" x14ac:dyDescent="0.3">
      <c r="A1188">
        <v>59245</v>
      </c>
      <c r="B1188">
        <v>23682</v>
      </c>
      <c r="C1188">
        <v>403</v>
      </c>
      <c r="D1188">
        <v>1</v>
      </c>
      <c r="E1188">
        <v>129.99</v>
      </c>
    </row>
    <row r="1189" spans="1:5" x14ac:dyDescent="0.3">
      <c r="A1189">
        <v>59242</v>
      </c>
      <c r="B1189">
        <v>23682</v>
      </c>
      <c r="C1189">
        <v>1004</v>
      </c>
      <c r="D1189">
        <v>1</v>
      </c>
      <c r="E1189">
        <v>399.98</v>
      </c>
    </row>
    <row r="1190" spans="1:5" x14ac:dyDescent="0.3">
      <c r="A1190">
        <v>59244</v>
      </c>
      <c r="B1190">
        <v>23682</v>
      </c>
      <c r="C1190">
        <v>191</v>
      </c>
      <c r="D1190">
        <v>3</v>
      </c>
      <c r="E1190">
        <v>299.97000000000003</v>
      </c>
    </row>
    <row r="1191" spans="1:5" x14ac:dyDescent="0.3">
      <c r="A1191">
        <v>59250</v>
      </c>
      <c r="B1191">
        <v>23683</v>
      </c>
      <c r="C1191">
        <v>1073</v>
      </c>
      <c r="D1191">
        <v>1</v>
      </c>
      <c r="E1191">
        <v>199.99</v>
      </c>
    </row>
    <row r="1192" spans="1:5" x14ac:dyDescent="0.3">
      <c r="A1192">
        <v>59248</v>
      </c>
      <c r="B1192">
        <v>23683</v>
      </c>
      <c r="C1192">
        <v>1073</v>
      </c>
      <c r="D1192">
        <v>1</v>
      </c>
      <c r="E1192">
        <v>199.99</v>
      </c>
    </row>
    <row r="1193" spans="1:5" x14ac:dyDescent="0.3">
      <c r="A1193">
        <v>59249</v>
      </c>
      <c r="B1193">
        <v>23683</v>
      </c>
      <c r="C1193">
        <v>502</v>
      </c>
      <c r="D1193">
        <v>2</v>
      </c>
      <c r="E1193">
        <v>100</v>
      </c>
    </row>
    <row r="1194" spans="1:5" x14ac:dyDescent="0.3">
      <c r="A1194">
        <v>59246</v>
      </c>
      <c r="B1194">
        <v>23683</v>
      </c>
      <c r="C1194">
        <v>502</v>
      </c>
      <c r="D1194">
        <v>2</v>
      </c>
      <c r="E1194">
        <v>100</v>
      </c>
    </row>
    <row r="1195" spans="1:5" x14ac:dyDescent="0.3">
      <c r="A1195">
        <v>59247</v>
      </c>
      <c r="B1195">
        <v>23683</v>
      </c>
      <c r="C1195">
        <v>627</v>
      </c>
      <c r="D1195">
        <v>3</v>
      </c>
      <c r="E1195">
        <v>119.97</v>
      </c>
    </row>
    <row r="1196" spans="1:5" x14ac:dyDescent="0.3">
      <c r="A1196">
        <v>59255</v>
      </c>
      <c r="B1196">
        <v>23684</v>
      </c>
      <c r="C1196">
        <v>134</v>
      </c>
      <c r="D1196">
        <v>5</v>
      </c>
      <c r="E1196">
        <v>125</v>
      </c>
    </row>
    <row r="1197" spans="1:5" x14ac:dyDescent="0.3">
      <c r="A1197">
        <v>59254</v>
      </c>
      <c r="B1197">
        <v>23684</v>
      </c>
      <c r="C1197">
        <v>957</v>
      </c>
      <c r="D1197">
        <v>1</v>
      </c>
      <c r="E1197">
        <v>299.98</v>
      </c>
    </row>
    <row r="1198" spans="1:5" x14ac:dyDescent="0.3">
      <c r="A1198">
        <v>59252</v>
      </c>
      <c r="B1198">
        <v>23684</v>
      </c>
      <c r="C1198">
        <v>627</v>
      </c>
      <c r="D1198">
        <v>4</v>
      </c>
      <c r="E1198">
        <v>159.96</v>
      </c>
    </row>
    <row r="1199" spans="1:5" x14ac:dyDescent="0.3">
      <c r="A1199">
        <v>59253</v>
      </c>
      <c r="B1199">
        <v>23684</v>
      </c>
      <c r="C1199">
        <v>627</v>
      </c>
      <c r="D1199">
        <v>5</v>
      </c>
      <c r="E1199">
        <v>199.95</v>
      </c>
    </row>
    <row r="1200" spans="1:5" x14ac:dyDescent="0.3">
      <c r="A1200">
        <v>59251</v>
      </c>
      <c r="B1200">
        <v>23684</v>
      </c>
      <c r="C1200">
        <v>627</v>
      </c>
      <c r="D1200">
        <v>5</v>
      </c>
      <c r="E1200">
        <v>199.95</v>
      </c>
    </row>
    <row r="1201" spans="1:5" x14ac:dyDescent="0.3">
      <c r="A1201">
        <v>59318</v>
      </c>
      <c r="B1201">
        <v>23712</v>
      </c>
      <c r="C1201">
        <v>957</v>
      </c>
      <c r="D1201">
        <v>1</v>
      </c>
      <c r="E1201">
        <v>299.98</v>
      </c>
    </row>
    <row r="1202" spans="1:5" x14ac:dyDescent="0.3">
      <c r="A1202">
        <v>59316</v>
      </c>
      <c r="B1202">
        <v>23712</v>
      </c>
      <c r="C1202">
        <v>502</v>
      </c>
      <c r="D1202">
        <v>2</v>
      </c>
      <c r="E1202">
        <v>100</v>
      </c>
    </row>
    <row r="1203" spans="1:5" x14ac:dyDescent="0.3">
      <c r="A1203">
        <v>59317</v>
      </c>
      <c r="B1203">
        <v>23712</v>
      </c>
      <c r="C1203">
        <v>1014</v>
      </c>
      <c r="D1203">
        <v>5</v>
      </c>
      <c r="E1203">
        <v>249.9</v>
      </c>
    </row>
    <row r="1204" spans="1:5" x14ac:dyDescent="0.3">
      <c r="A1204">
        <v>59321</v>
      </c>
      <c r="B1204">
        <v>23713</v>
      </c>
      <c r="C1204">
        <v>403</v>
      </c>
      <c r="D1204">
        <v>1</v>
      </c>
      <c r="E1204">
        <v>129.99</v>
      </c>
    </row>
    <row r="1205" spans="1:5" x14ac:dyDescent="0.3">
      <c r="A1205">
        <v>59319</v>
      </c>
      <c r="B1205">
        <v>23713</v>
      </c>
      <c r="C1205">
        <v>191</v>
      </c>
      <c r="D1205">
        <v>2</v>
      </c>
      <c r="E1205">
        <v>199.98</v>
      </c>
    </row>
    <row r="1206" spans="1:5" x14ac:dyDescent="0.3">
      <c r="A1206">
        <v>59322</v>
      </c>
      <c r="B1206">
        <v>23713</v>
      </c>
      <c r="C1206">
        <v>502</v>
      </c>
      <c r="D1206">
        <v>5</v>
      </c>
      <c r="E1206">
        <v>250</v>
      </c>
    </row>
    <row r="1207" spans="1:5" x14ac:dyDescent="0.3">
      <c r="A1207">
        <v>59323</v>
      </c>
      <c r="B1207">
        <v>23713</v>
      </c>
      <c r="C1207">
        <v>1073</v>
      </c>
      <c r="D1207">
        <v>1</v>
      </c>
      <c r="E1207">
        <v>199.99</v>
      </c>
    </row>
    <row r="1208" spans="1:5" x14ac:dyDescent="0.3">
      <c r="A1208">
        <v>59320</v>
      </c>
      <c r="B1208">
        <v>23713</v>
      </c>
      <c r="C1208">
        <v>1073</v>
      </c>
      <c r="D1208">
        <v>1</v>
      </c>
      <c r="E1208">
        <v>199.99</v>
      </c>
    </row>
    <row r="1209" spans="1:5" x14ac:dyDescent="0.3">
      <c r="A1209">
        <v>59326</v>
      </c>
      <c r="B1209">
        <v>23714</v>
      </c>
      <c r="C1209">
        <v>1014</v>
      </c>
      <c r="D1209">
        <v>5</v>
      </c>
      <c r="E1209">
        <v>249.9</v>
      </c>
    </row>
    <row r="1210" spans="1:5" x14ac:dyDescent="0.3">
      <c r="A1210">
        <v>59324</v>
      </c>
      <c r="B1210">
        <v>23714</v>
      </c>
      <c r="C1210">
        <v>403</v>
      </c>
      <c r="D1210">
        <v>1</v>
      </c>
      <c r="E1210">
        <v>129.99</v>
      </c>
    </row>
    <row r="1211" spans="1:5" x14ac:dyDescent="0.3">
      <c r="A1211">
        <v>59325</v>
      </c>
      <c r="B1211">
        <v>23714</v>
      </c>
      <c r="C1211">
        <v>1004</v>
      </c>
      <c r="D1211">
        <v>1</v>
      </c>
      <c r="E1211">
        <v>399.98</v>
      </c>
    </row>
    <row r="1212" spans="1:5" x14ac:dyDescent="0.3">
      <c r="A1212">
        <v>59328</v>
      </c>
      <c r="B1212">
        <v>23714</v>
      </c>
      <c r="C1212">
        <v>627</v>
      </c>
      <c r="D1212">
        <v>2</v>
      </c>
      <c r="E1212">
        <v>79.98</v>
      </c>
    </row>
    <row r="1213" spans="1:5" x14ac:dyDescent="0.3">
      <c r="A1213">
        <v>59327</v>
      </c>
      <c r="B1213">
        <v>23714</v>
      </c>
      <c r="C1213">
        <v>365</v>
      </c>
      <c r="D1213">
        <v>4</v>
      </c>
      <c r="E1213">
        <v>239.96</v>
      </c>
    </row>
    <row r="1214" spans="1:5" x14ac:dyDescent="0.3">
      <c r="A1214">
        <v>59330</v>
      </c>
      <c r="B1214">
        <v>23715</v>
      </c>
      <c r="C1214">
        <v>191</v>
      </c>
      <c r="D1214">
        <v>1</v>
      </c>
      <c r="E1214">
        <v>99.99</v>
      </c>
    </row>
    <row r="1215" spans="1:5" x14ac:dyDescent="0.3">
      <c r="A1215">
        <v>59331</v>
      </c>
      <c r="B1215">
        <v>23715</v>
      </c>
      <c r="C1215">
        <v>1004</v>
      </c>
      <c r="D1215">
        <v>1</v>
      </c>
      <c r="E1215">
        <v>399.98</v>
      </c>
    </row>
    <row r="1216" spans="1:5" x14ac:dyDescent="0.3">
      <c r="A1216">
        <v>59329</v>
      </c>
      <c r="B1216">
        <v>23715</v>
      </c>
      <c r="C1216">
        <v>1004</v>
      </c>
      <c r="D1216">
        <v>1</v>
      </c>
      <c r="E1216">
        <v>399.98</v>
      </c>
    </row>
    <row r="1217" spans="1:5" x14ac:dyDescent="0.3">
      <c r="A1217">
        <v>59336</v>
      </c>
      <c r="B1217">
        <v>23716</v>
      </c>
      <c r="C1217">
        <v>957</v>
      </c>
      <c r="D1217">
        <v>1</v>
      </c>
      <c r="E1217">
        <v>299.98</v>
      </c>
    </row>
    <row r="1218" spans="1:5" x14ac:dyDescent="0.3">
      <c r="A1218">
        <v>59333</v>
      </c>
      <c r="B1218">
        <v>23716</v>
      </c>
      <c r="C1218">
        <v>957</v>
      </c>
      <c r="D1218">
        <v>1</v>
      </c>
      <c r="E1218">
        <v>299.98</v>
      </c>
    </row>
    <row r="1219" spans="1:5" x14ac:dyDescent="0.3">
      <c r="A1219">
        <v>59332</v>
      </c>
      <c r="B1219">
        <v>23716</v>
      </c>
      <c r="C1219">
        <v>365</v>
      </c>
      <c r="D1219">
        <v>5</v>
      </c>
      <c r="E1219">
        <v>299.95</v>
      </c>
    </row>
    <row r="1220" spans="1:5" x14ac:dyDescent="0.3">
      <c r="A1220">
        <v>59335</v>
      </c>
      <c r="B1220">
        <v>23716</v>
      </c>
      <c r="C1220">
        <v>1014</v>
      </c>
      <c r="D1220">
        <v>2</v>
      </c>
      <c r="E1220">
        <v>99.96</v>
      </c>
    </row>
    <row r="1221" spans="1:5" x14ac:dyDescent="0.3">
      <c r="A1221">
        <v>59334</v>
      </c>
      <c r="B1221">
        <v>23716</v>
      </c>
      <c r="C1221">
        <v>1014</v>
      </c>
      <c r="D1221">
        <v>1</v>
      </c>
      <c r="E1221">
        <v>49.98</v>
      </c>
    </row>
    <row r="1222" spans="1:5" x14ac:dyDescent="0.3">
      <c r="A1222">
        <v>59337</v>
      </c>
      <c r="B1222">
        <v>23717</v>
      </c>
      <c r="C1222">
        <v>502</v>
      </c>
      <c r="D1222">
        <v>1</v>
      </c>
      <c r="E1222">
        <v>50</v>
      </c>
    </row>
    <row r="1223" spans="1:5" x14ac:dyDescent="0.3">
      <c r="A1223">
        <v>59338</v>
      </c>
      <c r="B1223">
        <v>23717</v>
      </c>
      <c r="C1223">
        <v>365</v>
      </c>
      <c r="D1223">
        <v>4</v>
      </c>
      <c r="E1223">
        <v>239.96</v>
      </c>
    </row>
    <row r="1224" spans="1:5" x14ac:dyDescent="0.3">
      <c r="A1224">
        <v>59350</v>
      </c>
      <c r="B1224">
        <v>23724</v>
      </c>
      <c r="C1224">
        <v>502</v>
      </c>
      <c r="D1224">
        <v>3</v>
      </c>
      <c r="E1224">
        <v>150</v>
      </c>
    </row>
    <row r="1225" spans="1:5" x14ac:dyDescent="0.3">
      <c r="A1225">
        <v>59351</v>
      </c>
      <c r="B1225">
        <v>23724</v>
      </c>
      <c r="C1225">
        <v>1014</v>
      </c>
      <c r="D1225">
        <v>3</v>
      </c>
      <c r="E1225">
        <v>149.94</v>
      </c>
    </row>
    <row r="1226" spans="1:5" x14ac:dyDescent="0.3">
      <c r="A1226">
        <v>59475</v>
      </c>
      <c r="B1226">
        <v>23769</v>
      </c>
      <c r="C1226">
        <v>1004</v>
      </c>
      <c r="D1226">
        <v>1</v>
      </c>
      <c r="E1226">
        <v>399.98</v>
      </c>
    </row>
    <row r="1227" spans="1:5" x14ac:dyDescent="0.3">
      <c r="A1227">
        <v>59476</v>
      </c>
      <c r="B1227">
        <v>23769</v>
      </c>
      <c r="C1227">
        <v>502</v>
      </c>
      <c r="D1227">
        <v>3</v>
      </c>
      <c r="E1227">
        <v>150</v>
      </c>
    </row>
    <row r="1228" spans="1:5" x14ac:dyDescent="0.3">
      <c r="A1228">
        <v>59638</v>
      </c>
      <c r="B1228">
        <v>23831</v>
      </c>
      <c r="C1228">
        <v>957</v>
      </c>
      <c r="D1228">
        <v>1</v>
      </c>
      <c r="E1228">
        <v>299.98</v>
      </c>
    </row>
    <row r="1229" spans="1:5" x14ac:dyDescent="0.3">
      <c r="A1229">
        <v>59637</v>
      </c>
      <c r="B1229">
        <v>23831</v>
      </c>
      <c r="C1229">
        <v>957</v>
      </c>
      <c r="D1229">
        <v>1</v>
      </c>
      <c r="E1229">
        <v>299.98</v>
      </c>
    </row>
    <row r="1230" spans="1:5" x14ac:dyDescent="0.3">
      <c r="A1230">
        <v>59639</v>
      </c>
      <c r="B1230">
        <v>23832</v>
      </c>
      <c r="C1230">
        <v>403</v>
      </c>
      <c r="D1230">
        <v>1</v>
      </c>
      <c r="E1230">
        <v>129.99</v>
      </c>
    </row>
    <row r="1231" spans="1:5" x14ac:dyDescent="0.3">
      <c r="A1231">
        <v>59640</v>
      </c>
      <c r="B1231">
        <v>23832</v>
      </c>
      <c r="C1231">
        <v>365</v>
      </c>
      <c r="D1231">
        <v>1</v>
      </c>
      <c r="E1231">
        <v>59.99</v>
      </c>
    </row>
    <row r="1232" spans="1:5" x14ac:dyDescent="0.3">
      <c r="A1232">
        <v>59649</v>
      </c>
      <c r="B1232">
        <v>23834</v>
      </c>
      <c r="C1232">
        <v>403</v>
      </c>
      <c r="D1232">
        <v>1</v>
      </c>
      <c r="E1232">
        <v>129.99</v>
      </c>
    </row>
    <row r="1233" spans="1:5" x14ac:dyDescent="0.3">
      <c r="A1233">
        <v>59647</v>
      </c>
      <c r="B1233">
        <v>23834</v>
      </c>
      <c r="C1233">
        <v>957</v>
      </c>
      <c r="D1233">
        <v>1</v>
      </c>
      <c r="E1233">
        <v>299.98</v>
      </c>
    </row>
    <row r="1234" spans="1:5" x14ac:dyDescent="0.3">
      <c r="A1234">
        <v>59646</v>
      </c>
      <c r="B1234">
        <v>23834</v>
      </c>
      <c r="C1234">
        <v>957</v>
      </c>
      <c r="D1234">
        <v>1</v>
      </c>
      <c r="E1234">
        <v>299.98</v>
      </c>
    </row>
    <row r="1235" spans="1:5" x14ac:dyDescent="0.3">
      <c r="A1235">
        <v>59645</v>
      </c>
      <c r="B1235">
        <v>23834</v>
      </c>
      <c r="C1235">
        <v>627</v>
      </c>
      <c r="D1235">
        <v>2</v>
      </c>
      <c r="E1235">
        <v>79.98</v>
      </c>
    </row>
    <row r="1236" spans="1:5" x14ac:dyDescent="0.3">
      <c r="A1236">
        <v>59648</v>
      </c>
      <c r="B1236">
        <v>23834</v>
      </c>
      <c r="C1236">
        <v>1014</v>
      </c>
      <c r="D1236">
        <v>1</v>
      </c>
      <c r="E1236">
        <v>49.98</v>
      </c>
    </row>
    <row r="1237" spans="1:5" x14ac:dyDescent="0.3">
      <c r="A1237">
        <v>59650</v>
      </c>
      <c r="B1237">
        <v>23835</v>
      </c>
      <c r="C1237">
        <v>365</v>
      </c>
      <c r="D1237">
        <v>1</v>
      </c>
      <c r="E1237">
        <v>59.99</v>
      </c>
    </row>
    <row r="1238" spans="1:5" x14ac:dyDescent="0.3">
      <c r="A1238">
        <v>59651</v>
      </c>
      <c r="B1238">
        <v>23835</v>
      </c>
      <c r="C1238">
        <v>365</v>
      </c>
      <c r="D1238">
        <v>4</v>
      </c>
      <c r="E1238">
        <v>239.96</v>
      </c>
    </row>
    <row r="1239" spans="1:5" x14ac:dyDescent="0.3">
      <c r="A1239">
        <v>59652</v>
      </c>
      <c r="B1239">
        <v>23836</v>
      </c>
      <c r="C1239">
        <v>957</v>
      </c>
      <c r="D1239">
        <v>1</v>
      </c>
      <c r="E1239">
        <v>299.98</v>
      </c>
    </row>
    <row r="1240" spans="1:5" x14ac:dyDescent="0.3">
      <c r="A1240">
        <v>59653</v>
      </c>
      <c r="B1240">
        <v>23837</v>
      </c>
      <c r="C1240">
        <v>1014</v>
      </c>
      <c r="D1240">
        <v>3</v>
      </c>
      <c r="E1240">
        <v>149.94</v>
      </c>
    </row>
    <row r="1241" spans="1:5" x14ac:dyDescent="0.3">
      <c r="A1241">
        <v>59654</v>
      </c>
      <c r="B1241">
        <v>23838</v>
      </c>
      <c r="C1241">
        <v>1004</v>
      </c>
      <c r="D1241">
        <v>1</v>
      </c>
      <c r="E1241">
        <v>399.98</v>
      </c>
    </row>
    <row r="1242" spans="1:5" x14ac:dyDescent="0.3">
      <c r="A1242">
        <v>59655</v>
      </c>
      <c r="B1242">
        <v>23838</v>
      </c>
      <c r="C1242">
        <v>1014</v>
      </c>
      <c r="D1242">
        <v>3</v>
      </c>
      <c r="E1242">
        <v>149.94</v>
      </c>
    </row>
    <row r="1243" spans="1:5" x14ac:dyDescent="0.3">
      <c r="A1243">
        <v>59658</v>
      </c>
      <c r="B1243">
        <v>23839</v>
      </c>
      <c r="C1243">
        <v>822</v>
      </c>
      <c r="D1243">
        <v>5</v>
      </c>
      <c r="E1243">
        <v>239.95</v>
      </c>
    </row>
    <row r="1244" spans="1:5" x14ac:dyDescent="0.3">
      <c r="A1244">
        <v>59657</v>
      </c>
      <c r="B1244">
        <v>23839</v>
      </c>
      <c r="C1244">
        <v>1073</v>
      </c>
      <c r="D1244">
        <v>1</v>
      </c>
      <c r="E1244">
        <v>199.99</v>
      </c>
    </row>
    <row r="1245" spans="1:5" x14ac:dyDescent="0.3">
      <c r="A1245">
        <v>59659</v>
      </c>
      <c r="B1245">
        <v>23839</v>
      </c>
      <c r="C1245">
        <v>1014</v>
      </c>
      <c r="D1245">
        <v>3</v>
      </c>
      <c r="E1245">
        <v>149.94</v>
      </c>
    </row>
    <row r="1246" spans="1:5" x14ac:dyDescent="0.3">
      <c r="A1246">
        <v>59656</v>
      </c>
      <c r="B1246">
        <v>23839</v>
      </c>
      <c r="C1246">
        <v>191</v>
      </c>
      <c r="D1246">
        <v>3</v>
      </c>
      <c r="E1246">
        <v>299.97000000000003</v>
      </c>
    </row>
    <row r="1247" spans="1:5" x14ac:dyDescent="0.3">
      <c r="A1247">
        <v>59661</v>
      </c>
      <c r="B1247">
        <v>23840</v>
      </c>
      <c r="C1247">
        <v>1073</v>
      </c>
      <c r="D1247">
        <v>1</v>
      </c>
      <c r="E1247">
        <v>199.99</v>
      </c>
    </row>
    <row r="1248" spans="1:5" x14ac:dyDescent="0.3">
      <c r="A1248">
        <v>59662</v>
      </c>
      <c r="B1248">
        <v>23840</v>
      </c>
      <c r="C1248">
        <v>1014</v>
      </c>
      <c r="D1248">
        <v>4</v>
      </c>
      <c r="E1248">
        <v>199.92</v>
      </c>
    </row>
    <row r="1249" spans="1:5" x14ac:dyDescent="0.3">
      <c r="A1249">
        <v>59660</v>
      </c>
      <c r="B1249">
        <v>23840</v>
      </c>
      <c r="C1249">
        <v>1004</v>
      </c>
      <c r="D1249">
        <v>1</v>
      </c>
      <c r="E1249">
        <v>399.98</v>
      </c>
    </row>
    <row r="1250" spans="1:5" x14ac:dyDescent="0.3">
      <c r="A1250">
        <v>59664</v>
      </c>
      <c r="B1250">
        <v>23841</v>
      </c>
      <c r="C1250">
        <v>502</v>
      </c>
      <c r="D1250">
        <v>1</v>
      </c>
      <c r="E1250">
        <v>50</v>
      </c>
    </row>
    <row r="1251" spans="1:5" x14ac:dyDescent="0.3">
      <c r="A1251">
        <v>59663</v>
      </c>
      <c r="B1251">
        <v>23841</v>
      </c>
      <c r="C1251">
        <v>1014</v>
      </c>
      <c r="D1251">
        <v>4</v>
      </c>
      <c r="E1251">
        <v>199.92</v>
      </c>
    </row>
    <row r="1252" spans="1:5" x14ac:dyDescent="0.3">
      <c r="A1252">
        <v>59665</v>
      </c>
      <c r="B1252">
        <v>23842</v>
      </c>
      <c r="C1252">
        <v>403</v>
      </c>
      <c r="D1252">
        <v>1</v>
      </c>
      <c r="E1252">
        <v>129.99</v>
      </c>
    </row>
    <row r="1253" spans="1:5" x14ac:dyDescent="0.3">
      <c r="A1253">
        <v>59668</v>
      </c>
      <c r="B1253">
        <v>23842</v>
      </c>
      <c r="C1253">
        <v>977</v>
      </c>
      <c r="D1253">
        <v>3</v>
      </c>
      <c r="E1253">
        <v>89.97</v>
      </c>
    </row>
    <row r="1254" spans="1:5" x14ac:dyDescent="0.3">
      <c r="A1254">
        <v>59666</v>
      </c>
      <c r="B1254">
        <v>23842</v>
      </c>
      <c r="C1254">
        <v>502</v>
      </c>
      <c r="D1254">
        <v>5</v>
      </c>
      <c r="E1254">
        <v>250</v>
      </c>
    </row>
    <row r="1255" spans="1:5" x14ac:dyDescent="0.3">
      <c r="A1255">
        <v>59667</v>
      </c>
      <c r="B1255">
        <v>23842</v>
      </c>
      <c r="C1255">
        <v>804</v>
      </c>
      <c r="D1255">
        <v>5</v>
      </c>
      <c r="E1255">
        <v>99.95</v>
      </c>
    </row>
    <row r="1256" spans="1:5" x14ac:dyDescent="0.3">
      <c r="A1256">
        <v>59670</v>
      </c>
      <c r="B1256">
        <v>23843</v>
      </c>
      <c r="C1256">
        <v>403</v>
      </c>
      <c r="D1256">
        <v>1</v>
      </c>
      <c r="E1256">
        <v>129.99</v>
      </c>
    </row>
    <row r="1257" spans="1:5" x14ac:dyDescent="0.3">
      <c r="A1257">
        <v>59669</v>
      </c>
      <c r="B1257">
        <v>23843</v>
      </c>
      <c r="C1257">
        <v>365</v>
      </c>
      <c r="D1257">
        <v>1</v>
      </c>
      <c r="E1257">
        <v>59.99</v>
      </c>
    </row>
    <row r="1258" spans="1:5" x14ac:dyDescent="0.3">
      <c r="A1258">
        <v>59673</v>
      </c>
      <c r="B1258">
        <v>23843</v>
      </c>
      <c r="C1258">
        <v>627</v>
      </c>
      <c r="D1258">
        <v>1</v>
      </c>
      <c r="E1258">
        <v>39.99</v>
      </c>
    </row>
    <row r="1259" spans="1:5" x14ac:dyDescent="0.3">
      <c r="A1259">
        <v>59671</v>
      </c>
      <c r="B1259">
        <v>23843</v>
      </c>
      <c r="C1259">
        <v>365</v>
      </c>
      <c r="D1259">
        <v>3</v>
      </c>
      <c r="E1259">
        <v>179.97</v>
      </c>
    </row>
    <row r="1260" spans="1:5" x14ac:dyDescent="0.3">
      <c r="A1260">
        <v>59672</v>
      </c>
      <c r="B1260">
        <v>23843</v>
      </c>
      <c r="C1260">
        <v>502</v>
      </c>
      <c r="D1260">
        <v>3</v>
      </c>
      <c r="E1260">
        <v>150</v>
      </c>
    </row>
    <row r="1261" spans="1:5" x14ac:dyDescent="0.3">
      <c r="A1261">
        <v>59678</v>
      </c>
      <c r="B1261">
        <v>23844</v>
      </c>
      <c r="C1261">
        <v>403</v>
      </c>
      <c r="D1261">
        <v>1</v>
      </c>
      <c r="E1261">
        <v>129.99</v>
      </c>
    </row>
    <row r="1262" spans="1:5" x14ac:dyDescent="0.3">
      <c r="A1262">
        <v>59677</v>
      </c>
      <c r="B1262">
        <v>23844</v>
      </c>
      <c r="C1262">
        <v>957</v>
      </c>
      <c r="D1262">
        <v>1</v>
      </c>
      <c r="E1262">
        <v>299.98</v>
      </c>
    </row>
    <row r="1263" spans="1:5" x14ac:dyDescent="0.3">
      <c r="A1263">
        <v>59676</v>
      </c>
      <c r="B1263">
        <v>23844</v>
      </c>
      <c r="C1263">
        <v>957</v>
      </c>
      <c r="D1263">
        <v>1</v>
      </c>
      <c r="E1263">
        <v>299.98</v>
      </c>
    </row>
    <row r="1264" spans="1:5" x14ac:dyDescent="0.3">
      <c r="A1264">
        <v>59674</v>
      </c>
      <c r="B1264">
        <v>23844</v>
      </c>
      <c r="C1264">
        <v>977</v>
      </c>
      <c r="D1264">
        <v>5</v>
      </c>
      <c r="E1264">
        <v>149.94999999999999</v>
      </c>
    </row>
    <row r="1265" spans="1:5" x14ac:dyDescent="0.3">
      <c r="A1265">
        <v>59675</v>
      </c>
      <c r="B1265">
        <v>23844</v>
      </c>
      <c r="C1265">
        <v>1014</v>
      </c>
      <c r="D1265">
        <v>3</v>
      </c>
      <c r="E1265">
        <v>149.94</v>
      </c>
    </row>
    <row r="1266" spans="1:5" x14ac:dyDescent="0.3">
      <c r="A1266">
        <v>59752</v>
      </c>
      <c r="B1266">
        <v>23870</v>
      </c>
      <c r="C1266">
        <v>403</v>
      </c>
      <c r="D1266">
        <v>1</v>
      </c>
      <c r="E1266">
        <v>129.99</v>
      </c>
    </row>
    <row r="1267" spans="1:5" x14ac:dyDescent="0.3">
      <c r="A1267">
        <v>59751</v>
      </c>
      <c r="B1267">
        <v>23870</v>
      </c>
      <c r="C1267">
        <v>1004</v>
      </c>
      <c r="D1267">
        <v>1</v>
      </c>
      <c r="E1267">
        <v>399.98</v>
      </c>
    </row>
    <row r="1268" spans="1:5" x14ac:dyDescent="0.3">
      <c r="A1268">
        <v>59750</v>
      </c>
      <c r="B1268">
        <v>23870</v>
      </c>
      <c r="C1268">
        <v>365</v>
      </c>
      <c r="D1268">
        <v>5</v>
      </c>
      <c r="E1268">
        <v>299.95</v>
      </c>
    </row>
    <row r="1269" spans="1:5" x14ac:dyDescent="0.3">
      <c r="A1269">
        <v>59754</v>
      </c>
      <c r="B1269">
        <v>23871</v>
      </c>
      <c r="C1269">
        <v>1014</v>
      </c>
      <c r="D1269">
        <v>4</v>
      </c>
      <c r="E1269">
        <v>199.92</v>
      </c>
    </row>
    <row r="1270" spans="1:5" x14ac:dyDescent="0.3">
      <c r="A1270">
        <v>59755</v>
      </c>
      <c r="B1270">
        <v>23871</v>
      </c>
      <c r="C1270">
        <v>957</v>
      </c>
      <c r="D1270">
        <v>1</v>
      </c>
      <c r="E1270">
        <v>299.98</v>
      </c>
    </row>
    <row r="1271" spans="1:5" x14ac:dyDescent="0.3">
      <c r="A1271">
        <v>59753</v>
      </c>
      <c r="B1271">
        <v>23871</v>
      </c>
      <c r="C1271">
        <v>502</v>
      </c>
      <c r="D1271">
        <v>5</v>
      </c>
      <c r="E1271">
        <v>250</v>
      </c>
    </row>
    <row r="1272" spans="1:5" x14ac:dyDescent="0.3">
      <c r="A1272">
        <v>59756</v>
      </c>
      <c r="B1272">
        <v>23872</v>
      </c>
      <c r="C1272">
        <v>365</v>
      </c>
      <c r="D1272">
        <v>1</v>
      </c>
      <c r="E1272">
        <v>59.99</v>
      </c>
    </row>
    <row r="1273" spans="1:5" x14ac:dyDescent="0.3">
      <c r="A1273">
        <v>59757</v>
      </c>
      <c r="B1273">
        <v>23872</v>
      </c>
      <c r="C1273">
        <v>502</v>
      </c>
      <c r="D1273">
        <v>2</v>
      </c>
      <c r="E1273">
        <v>100</v>
      </c>
    </row>
    <row r="1274" spans="1:5" x14ac:dyDescent="0.3">
      <c r="A1274">
        <v>59759</v>
      </c>
      <c r="B1274">
        <v>23872</v>
      </c>
      <c r="C1274">
        <v>1073</v>
      </c>
      <c r="D1274">
        <v>1</v>
      </c>
      <c r="E1274">
        <v>199.99</v>
      </c>
    </row>
    <row r="1275" spans="1:5" x14ac:dyDescent="0.3">
      <c r="A1275">
        <v>59758</v>
      </c>
      <c r="B1275">
        <v>23872</v>
      </c>
      <c r="C1275">
        <v>1073</v>
      </c>
      <c r="D1275">
        <v>1</v>
      </c>
      <c r="E1275">
        <v>199.99</v>
      </c>
    </row>
    <row r="1276" spans="1:5" x14ac:dyDescent="0.3">
      <c r="A1276">
        <v>59760</v>
      </c>
      <c r="B1276">
        <v>23872</v>
      </c>
      <c r="C1276">
        <v>1014</v>
      </c>
      <c r="D1276">
        <v>5</v>
      </c>
      <c r="E1276">
        <v>249.9</v>
      </c>
    </row>
    <row r="1277" spans="1:5" x14ac:dyDescent="0.3">
      <c r="A1277">
        <v>59762</v>
      </c>
      <c r="B1277">
        <v>23873</v>
      </c>
      <c r="C1277">
        <v>365</v>
      </c>
      <c r="D1277">
        <v>1</v>
      </c>
      <c r="E1277">
        <v>59.99</v>
      </c>
    </row>
    <row r="1278" spans="1:5" x14ac:dyDescent="0.3">
      <c r="A1278">
        <v>59761</v>
      </c>
      <c r="B1278">
        <v>23873</v>
      </c>
      <c r="C1278">
        <v>365</v>
      </c>
      <c r="D1278">
        <v>4</v>
      </c>
      <c r="E1278">
        <v>239.96</v>
      </c>
    </row>
    <row r="1279" spans="1:5" x14ac:dyDescent="0.3">
      <c r="A1279">
        <v>59763</v>
      </c>
      <c r="B1279">
        <v>23874</v>
      </c>
      <c r="C1279">
        <v>191</v>
      </c>
      <c r="D1279">
        <v>3</v>
      </c>
      <c r="E1279">
        <v>299.97000000000003</v>
      </c>
    </row>
    <row r="1280" spans="1:5" x14ac:dyDescent="0.3">
      <c r="A1280">
        <v>59764</v>
      </c>
      <c r="B1280">
        <v>23875</v>
      </c>
      <c r="C1280">
        <v>365</v>
      </c>
      <c r="D1280">
        <v>3</v>
      </c>
      <c r="E1280">
        <v>179.97</v>
      </c>
    </row>
    <row r="1281" spans="1:5" x14ac:dyDescent="0.3">
      <c r="A1281">
        <v>59775</v>
      </c>
      <c r="B1281">
        <v>23880</v>
      </c>
      <c r="C1281">
        <v>728</v>
      </c>
      <c r="D1281">
        <v>1</v>
      </c>
      <c r="E1281">
        <v>65</v>
      </c>
    </row>
    <row r="1282" spans="1:5" x14ac:dyDescent="0.3">
      <c r="A1282">
        <v>59772</v>
      </c>
      <c r="B1282">
        <v>23880</v>
      </c>
      <c r="C1282">
        <v>403</v>
      </c>
      <c r="D1282">
        <v>1</v>
      </c>
      <c r="E1282">
        <v>129.99</v>
      </c>
    </row>
    <row r="1283" spans="1:5" x14ac:dyDescent="0.3">
      <c r="A1283">
        <v>59774</v>
      </c>
      <c r="B1283">
        <v>23880</v>
      </c>
      <c r="C1283">
        <v>1004</v>
      </c>
      <c r="D1283">
        <v>1</v>
      </c>
      <c r="E1283">
        <v>399.98</v>
      </c>
    </row>
    <row r="1284" spans="1:5" x14ac:dyDescent="0.3">
      <c r="A1284">
        <v>59773</v>
      </c>
      <c r="B1284">
        <v>23880</v>
      </c>
      <c r="C1284">
        <v>191</v>
      </c>
      <c r="D1284">
        <v>4</v>
      </c>
      <c r="E1284">
        <v>399.96</v>
      </c>
    </row>
    <row r="1285" spans="1:5" x14ac:dyDescent="0.3">
      <c r="A1285">
        <v>59771</v>
      </c>
      <c r="B1285">
        <v>23880</v>
      </c>
      <c r="C1285">
        <v>502</v>
      </c>
      <c r="D1285">
        <v>5</v>
      </c>
      <c r="E1285">
        <v>250</v>
      </c>
    </row>
    <row r="1286" spans="1:5" x14ac:dyDescent="0.3">
      <c r="A1286">
        <v>59776</v>
      </c>
      <c r="B1286">
        <v>23881</v>
      </c>
      <c r="C1286">
        <v>502</v>
      </c>
      <c r="D1286">
        <v>1</v>
      </c>
      <c r="E1286">
        <v>50</v>
      </c>
    </row>
    <row r="1287" spans="1:5" x14ac:dyDescent="0.3">
      <c r="A1287">
        <v>59777</v>
      </c>
      <c r="B1287">
        <v>23881</v>
      </c>
      <c r="C1287">
        <v>1014</v>
      </c>
      <c r="D1287">
        <v>1</v>
      </c>
      <c r="E1287">
        <v>49.98</v>
      </c>
    </row>
    <row r="1288" spans="1:5" x14ac:dyDescent="0.3">
      <c r="A1288">
        <v>59778</v>
      </c>
      <c r="B1288">
        <v>23882</v>
      </c>
      <c r="C1288">
        <v>1004</v>
      </c>
      <c r="D1288">
        <v>1</v>
      </c>
      <c r="E1288">
        <v>399.98</v>
      </c>
    </row>
    <row r="1289" spans="1:5" x14ac:dyDescent="0.3">
      <c r="A1289">
        <v>59779</v>
      </c>
      <c r="B1289">
        <v>23882</v>
      </c>
      <c r="C1289">
        <v>627</v>
      </c>
      <c r="D1289">
        <v>2</v>
      </c>
      <c r="E1289">
        <v>79.98</v>
      </c>
    </row>
    <row r="1290" spans="1:5" x14ac:dyDescent="0.3">
      <c r="A1290">
        <v>59835</v>
      </c>
      <c r="B1290">
        <v>23905</v>
      </c>
      <c r="C1290">
        <v>957</v>
      </c>
      <c r="D1290">
        <v>1</v>
      </c>
      <c r="E1290">
        <v>299.98</v>
      </c>
    </row>
    <row r="1291" spans="1:5" x14ac:dyDescent="0.3">
      <c r="A1291">
        <v>59836</v>
      </c>
      <c r="B1291">
        <v>23905</v>
      </c>
      <c r="C1291">
        <v>93</v>
      </c>
      <c r="D1291">
        <v>5</v>
      </c>
      <c r="E1291">
        <v>124.95</v>
      </c>
    </row>
    <row r="1292" spans="1:5" x14ac:dyDescent="0.3">
      <c r="A1292">
        <v>59837</v>
      </c>
      <c r="B1292">
        <v>23905</v>
      </c>
      <c r="C1292">
        <v>502</v>
      </c>
      <c r="D1292">
        <v>5</v>
      </c>
      <c r="E1292">
        <v>250</v>
      </c>
    </row>
    <row r="1293" spans="1:5" x14ac:dyDescent="0.3">
      <c r="A1293">
        <v>59950</v>
      </c>
      <c r="B1293">
        <v>23947</v>
      </c>
      <c r="C1293">
        <v>502</v>
      </c>
      <c r="D1293">
        <v>2</v>
      </c>
      <c r="E1293">
        <v>100</v>
      </c>
    </row>
    <row r="1294" spans="1:5" x14ac:dyDescent="0.3">
      <c r="A1294">
        <v>59952</v>
      </c>
      <c r="B1294">
        <v>23948</v>
      </c>
      <c r="C1294">
        <v>642</v>
      </c>
      <c r="D1294">
        <v>5</v>
      </c>
      <c r="E1294">
        <v>150</v>
      </c>
    </row>
    <row r="1295" spans="1:5" x14ac:dyDescent="0.3">
      <c r="A1295">
        <v>59951</v>
      </c>
      <c r="B1295">
        <v>23948</v>
      </c>
      <c r="C1295">
        <v>1014</v>
      </c>
      <c r="D1295">
        <v>5</v>
      </c>
      <c r="E1295">
        <v>249.9</v>
      </c>
    </row>
    <row r="1296" spans="1:5" x14ac:dyDescent="0.3">
      <c r="A1296">
        <v>59959</v>
      </c>
      <c r="B1296">
        <v>23952</v>
      </c>
      <c r="C1296">
        <v>365</v>
      </c>
      <c r="D1296">
        <v>1</v>
      </c>
      <c r="E1296">
        <v>59.99</v>
      </c>
    </row>
    <row r="1297" spans="1:5" x14ac:dyDescent="0.3">
      <c r="A1297">
        <v>59963</v>
      </c>
      <c r="B1297">
        <v>23952</v>
      </c>
      <c r="C1297">
        <v>1004</v>
      </c>
      <c r="D1297">
        <v>1</v>
      </c>
      <c r="E1297">
        <v>399.98</v>
      </c>
    </row>
    <row r="1298" spans="1:5" x14ac:dyDescent="0.3">
      <c r="A1298">
        <v>59962</v>
      </c>
      <c r="B1298">
        <v>23952</v>
      </c>
      <c r="C1298">
        <v>1004</v>
      </c>
      <c r="D1298">
        <v>1</v>
      </c>
      <c r="E1298">
        <v>399.98</v>
      </c>
    </row>
    <row r="1299" spans="1:5" x14ac:dyDescent="0.3">
      <c r="A1299">
        <v>59961</v>
      </c>
      <c r="B1299">
        <v>23952</v>
      </c>
      <c r="C1299">
        <v>1004</v>
      </c>
      <c r="D1299">
        <v>1</v>
      </c>
      <c r="E1299">
        <v>399.98</v>
      </c>
    </row>
    <row r="1300" spans="1:5" x14ac:dyDescent="0.3">
      <c r="A1300">
        <v>59960</v>
      </c>
      <c r="B1300">
        <v>23952</v>
      </c>
      <c r="C1300">
        <v>502</v>
      </c>
      <c r="D1300">
        <v>2</v>
      </c>
      <c r="E1300">
        <v>100</v>
      </c>
    </row>
    <row r="1301" spans="1:5" x14ac:dyDescent="0.3">
      <c r="A1301">
        <v>60006</v>
      </c>
      <c r="B1301">
        <v>23971</v>
      </c>
      <c r="C1301">
        <v>502</v>
      </c>
      <c r="D1301">
        <v>5</v>
      </c>
      <c r="E1301">
        <v>250</v>
      </c>
    </row>
    <row r="1302" spans="1:5" x14ac:dyDescent="0.3">
      <c r="A1302">
        <v>60008</v>
      </c>
      <c r="B1302">
        <v>23971</v>
      </c>
      <c r="C1302">
        <v>403</v>
      </c>
      <c r="D1302">
        <v>1</v>
      </c>
      <c r="E1302">
        <v>129.99</v>
      </c>
    </row>
    <row r="1303" spans="1:5" x14ac:dyDescent="0.3">
      <c r="A1303">
        <v>60007</v>
      </c>
      <c r="B1303">
        <v>23971</v>
      </c>
      <c r="C1303">
        <v>403</v>
      </c>
      <c r="D1303">
        <v>1</v>
      </c>
      <c r="E1303">
        <v>129.99</v>
      </c>
    </row>
    <row r="1304" spans="1:5" x14ac:dyDescent="0.3">
      <c r="A1304">
        <v>60013</v>
      </c>
      <c r="B1304">
        <v>23972</v>
      </c>
      <c r="C1304">
        <v>1073</v>
      </c>
      <c r="D1304">
        <v>1</v>
      </c>
      <c r="E1304">
        <v>199.99</v>
      </c>
    </row>
    <row r="1305" spans="1:5" x14ac:dyDescent="0.3">
      <c r="A1305">
        <v>60010</v>
      </c>
      <c r="B1305">
        <v>23972</v>
      </c>
      <c r="C1305">
        <v>1073</v>
      </c>
      <c r="D1305">
        <v>1</v>
      </c>
      <c r="E1305">
        <v>199.99</v>
      </c>
    </row>
    <row r="1306" spans="1:5" x14ac:dyDescent="0.3">
      <c r="A1306">
        <v>60009</v>
      </c>
      <c r="B1306">
        <v>23972</v>
      </c>
      <c r="C1306">
        <v>1014</v>
      </c>
      <c r="D1306">
        <v>3</v>
      </c>
      <c r="E1306">
        <v>149.94</v>
      </c>
    </row>
    <row r="1307" spans="1:5" x14ac:dyDescent="0.3">
      <c r="A1307">
        <v>60011</v>
      </c>
      <c r="B1307">
        <v>23972</v>
      </c>
      <c r="C1307">
        <v>502</v>
      </c>
      <c r="D1307">
        <v>1</v>
      </c>
      <c r="E1307">
        <v>50</v>
      </c>
    </row>
    <row r="1308" spans="1:5" x14ac:dyDescent="0.3">
      <c r="A1308">
        <v>60012</v>
      </c>
      <c r="B1308">
        <v>23972</v>
      </c>
      <c r="C1308">
        <v>37</v>
      </c>
      <c r="D1308">
        <v>5</v>
      </c>
      <c r="E1308">
        <v>174.95</v>
      </c>
    </row>
    <row r="1309" spans="1:5" x14ac:dyDescent="0.3">
      <c r="A1309">
        <v>60015</v>
      </c>
      <c r="B1309">
        <v>23973</v>
      </c>
      <c r="C1309">
        <v>957</v>
      </c>
      <c r="D1309">
        <v>1</v>
      </c>
      <c r="E1309">
        <v>299.98</v>
      </c>
    </row>
    <row r="1310" spans="1:5" x14ac:dyDescent="0.3">
      <c r="A1310">
        <v>60016</v>
      </c>
      <c r="B1310">
        <v>23973</v>
      </c>
      <c r="C1310">
        <v>191</v>
      </c>
      <c r="D1310">
        <v>2</v>
      </c>
      <c r="E1310">
        <v>199.98</v>
      </c>
    </row>
    <row r="1311" spans="1:5" x14ac:dyDescent="0.3">
      <c r="A1311">
        <v>60017</v>
      </c>
      <c r="B1311">
        <v>23973</v>
      </c>
      <c r="C1311">
        <v>822</v>
      </c>
      <c r="D1311">
        <v>3</v>
      </c>
      <c r="E1311">
        <v>143.97</v>
      </c>
    </row>
    <row r="1312" spans="1:5" x14ac:dyDescent="0.3">
      <c r="A1312">
        <v>60018</v>
      </c>
      <c r="B1312">
        <v>23973</v>
      </c>
      <c r="C1312">
        <v>1014</v>
      </c>
      <c r="D1312">
        <v>4</v>
      </c>
      <c r="E1312">
        <v>199.92</v>
      </c>
    </row>
    <row r="1313" spans="1:5" x14ac:dyDescent="0.3">
      <c r="A1313">
        <v>60014</v>
      </c>
      <c r="B1313">
        <v>23973</v>
      </c>
      <c r="C1313">
        <v>1014</v>
      </c>
      <c r="D1313">
        <v>1</v>
      </c>
      <c r="E1313">
        <v>49.98</v>
      </c>
    </row>
    <row r="1314" spans="1:5" x14ac:dyDescent="0.3">
      <c r="A1314">
        <v>60020</v>
      </c>
      <c r="B1314">
        <v>23974</v>
      </c>
      <c r="C1314">
        <v>191</v>
      </c>
      <c r="D1314">
        <v>3</v>
      </c>
      <c r="E1314">
        <v>299.97000000000003</v>
      </c>
    </row>
    <row r="1315" spans="1:5" x14ac:dyDescent="0.3">
      <c r="A1315">
        <v>60019</v>
      </c>
      <c r="B1315">
        <v>23974</v>
      </c>
      <c r="C1315">
        <v>886</v>
      </c>
      <c r="D1315">
        <v>4</v>
      </c>
      <c r="E1315">
        <v>99.96</v>
      </c>
    </row>
    <row r="1316" spans="1:5" x14ac:dyDescent="0.3">
      <c r="A1316">
        <v>60029</v>
      </c>
      <c r="B1316">
        <v>23978</v>
      </c>
      <c r="C1316">
        <v>771</v>
      </c>
      <c r="D1316">
        <v>1</v>
      </c>
      <c r="E1316">
        <v>39.99</v>
      </c>
    </row>
    <row r="1317" spans="1:5" x14ac:dyDescent="0.3">
      <c r="A1317">
        <v>60031</v>
      </c>
      <c r="B1317">
        <v>23978</v>
      </c>
      <c r="C1317">
        <v>403</v>
      </c>
      <c r="D1317">
        <v>1</v>
      </c>
      <c r="E1317">
        <v>129.99</v>
      </c>
    </row>
    <row r="1318" spans="1:5" x14ac:dyDescent="0.3">
      <c r="A1318">
        <v>60028</v>
      </c>
      <c r="B1318">
        <v>23978</v>
      </c>
      <c r="C1318">
        <v>957</v>
      </c>
      <c r="D1318">
        <v>1</v>
      </c>
      <c r="E1318">
        <v>299.98</v>
      </c>
    </row>
    <row r="1319" spans="1:5" x14ac:dyDescent="0.3">
      <c r="A1319">
        <v>60030</v>
      </c>
      <c r="B1319">
        <v>23978</v>
      </c>
      <c r="C1319">
        <v>1004</v>
      </c>
      <c r="D1319">
        <v>1</v>
      </c>
      <c r="E1319">
        <v>399.98</v>
      </c>
    </row>
    <row r="1320" spans="1:5" x14ac:dyDescent="0.3">
      <c r="A1320">
        <v>60027</v>
      </c>
      <c r="B1320">
        <v>23978</v>
      </c>
      <c r="C1320">
        <v>235</v>
      </c>
      <c r="D1320">
        <v>3</v>
      </c>
      <c r="E1320">
        <v>104.97</v>
      </c>
    </row>
    <row r="1321" spans="1:5" x14ac:dyDescent="0.3">
      <c r="A1321">
        <v>60036</v>
      </c>
      <c r="B1321">
        <v>23981</v>
      </c>
      <c r="C1321">
        <v>1014</v>
      </c>
      <c r="D1321">
        <v>5</v>
      </c>
      <c r="E1321">
        <v>249.9</v>
      </c>
    </row>
    <row r="1322" spans="1:5" x14ac:dyDescent="0.3">
      <c r="A1322">
        <v>60034</v>
      </c>
      <c r="B1322">
        <v>23981</v>
      </c>
      <c r="C1322">
        <v>365</v>
      </c>
      <c r="D1322">
        <v>1</v>
      </c>
      <c r="E1322">
        <v>59.99</v>
      </c>
    </row>
    <row r="1323" spans="1:5" x14ac:dyDescent="0.3">
      <c r="A1323">
        <v>60035</v>
      </c>
      <c r="B1323">
        <v>23981</v>
      </c>
      <c r="C1323">
        <v>403</v>
      </c>
      <c r="D1323">
        <v>1</v>
      </c>
      <c r="E1323">
        <v>129.99</v>
      </c>
    </row>
    <row r="1324" spans="1:5" x14ac:dyDescent="0.3">
      <c r="A1324">
        <v>60032</v>
      </c>
      <c r="B1324">
        <v>23981</v>
      </c>
      <c r="C1324">
        <v>403</v>
      </c>
      <c r="D1324">
        <v>1</v>
      </c>
      <c r="E1324">
        <v>129.99</v>
      </c>
    </row>
    <row r="1325" spans="1:5" x14ac:dyDescent="0.3">
      <c r="A1325">
        <v>60033</v>
      </c>
      <c r="B1325">
        <v>23981</v>
      </c>
      <c r="C1325">
        <v>627</v>
      </c>
      <c r="D1325">
        <v>2</v>
      </c>
      <c r="E1325">
        <v>79.98</v>
      </c>
    </row>
    <row r="1326" spans="1:5" x14ac:dyDescent="0.3">
      <c r="A1326">
        <v>60079</v>
      </c>
      <c r="B1326">
        <v>24008</v>
      </c>
      <c r="C1326">
        <v>403</v>
      </c>
      <c r="D1326">
        <v>1</v>
      </c>
      <c r="E1326">
        <v>129.99</v>
      </c>
    </row>
    <row r="1327" spans="1:5" x14ac:dyDescent="0.3">
      <c r="A1327">
        <v>60077</v>
      </c>
      <c r="B1327">
        <v>24008</v>
      </c>
      <c r="C1327">
        <v>1004</v>
      </c>
      <c r="D1327">
        <v>1</v>
      </c>
      <c r="E1327">
        <v>399.98</v>
      </c>
    </row>
    <row r="1328" spans="1:5" x14ac:dyDescent="0.3">
      <c r="A1328">
        <v>60076</v>
      </c>
      <c r="B1328">
        <v>24008</v>
      </c>
      <c r="C1328">
        <v>191</v>
      </c>
      <c r="D1328">
        <v>2</v>
      </c>
      <c r="E1328">
        <v>199.98</v>
      </c>
    </row>
    <row r="1329" spans="1:5" x14ac:dyDescent="0.3">
      <c r="A1329">
        <v>60078</v>
      </c>
      <c r="B1329">
        <v>24008</v>
      </c>
      <c r="C1329">
        <v>502</v>
      </c>
      <c r="D1329">
        <v>3</v>
      </c>
      <c r="E1329">
        <v>150</v>
      </c>
    </row>
    <row r="1330" spans="1:5" x14ac:dyDescent="0.3">
      <c r="A1330">
        <v>60096</v>
      </c>
      <c r="B1330">
        <v>24016</v>
      </c>
      <c r="C1330">
        <v>627</v>
      </c>
      <c r="D1330">
        <v>4</v>
      </c>
      <c r="E1330">
        <v>159.96</v>
      </c>
    </row>
    <row r="1331" spans="1:5" x14ac:dyDescent="0.3">
      <c r="A1331">
        <v>60097</v>
      </c>
      <c r="B1331">
        <v>24016</v>
      </c>
      <c r="C1331">
        <v>1073</v>
      </c>
      <c r="D1331">
        <v>1</v>
      </c>
      <c r="E1331">
        <v>199.99</v>
      </c>
    </row>
    <row r="1332" spans="1:5" x14ac:dyDescent="0.3">
      <c r="A1332">
        <v>60127</v>
      </c>
      <c r="B1332">
        <v>24030</v>
      </c>
      <c r="C1332">
        <v>365</v>
      </c>
      <c r="D1332">
        <v>2</v>
      </c>
      <c r="E1332">
        <v>119.98</v>
      </c>
    </row>
    <row r="1333" spans="1:5" x14ac:dyDescent="0.3">
      <c r="A1333">
        <v>60126</v>
      </c>
      <c r="B1333">
        <v>24030</v>
      </c>
      <c r="C1333">
        <v>627</v>
      </c>
      <c r="D1333">
        <v>4</v>
      </c>
      <c r="E1333">
        <v>159.96</v>
      </c>
    </row>
    <row r="1334" spans="1:5" x14ac:dyDescent="0.3">
      <c r="A1334">
        <v>60162</v>
      </c>
      <c r="B1334">
        <v>24044</v>
      </c>
      <c r="C1334">
        <v>191</v>
      </c>
      <c r="D1334">
        <v>5</v>
      </c>
      <c r="E1334">
        <v>499.95</v>
      </c>
    </row>
    <row r="1335" spans="1:5" x14ac:dyDescent="0.3">
      <c r="A1335">
        <v>60160</v>
      </c>
      <c r="B1335">
        <v>24044</v>
      </c>
      <c r="C1335">
        <v>957</v>
      </c>
      <c r="D1335">
        <v>1</v>
      </c>
      <c r="E1335">
        <v>299.98</v>
      </c>
    </row>
    <row r="1336" spans="1:5" x14ac:dyDescent="0.3">
      <c r="A1336">
        <v>60161</v>
      </c>
      <c r="B1336">
        <v>24044</v>
      </c>
      <c r="C1336">
        <v>1073</v>
      </c>
      <c r="D1336">
        <v>1</v>
      </c>
      <c r="E1336">
        <v>199.99</v>
      </c>
    </row>
    <row r="1337" spans="1:5" x14ac:dyDescent="0.3">
      <c r="A1337">
        <v>60159</v>
      </c>
      <c r="B1337">
        <v>24044</v>
      </c>
      <c r="C1337">
        <v>502</v>
      </c>
      <c r="D1337">
        <v>4</v>
      </c>
      <c r="E1337">
        <v>200</v>
      </c>
    </row>
    <row r="1338" spans="1:5" x14ac:dyDescent="0.3">
      <c r="A1338">
        <v>60168</v>
      </c>
      <c r="B1338">
        <v>24047</v>
      </c>
      <c r="C1338">
        <v>365</v>
      </c>
      <c r="D1338">
        <v>5</v>
      </c>
      <c r="E1338">
        <v>299.95</v>
      </c>
    </row>
    <row r="1339" spans="1:5" x14ac:dyDescent="0.3">
      <c r="A1339">
        <v>60169</v>
      </c>
      <c r="B1339">
        <v>24047</v>
      </c>
      <c r="C1339">
        <v>1014</v>
      </c>
      <c r="D1339">
        <v>1</v>
      </c>
      <c r="E1339">
        <v>49.98</v>
      </c>
    </row>
    <row r="1340" spans="1:5" x14ac:dyDescent="0.3">
      <c r="A1340">
        <v>60167</v>
      </c>
      <c r="B1340">
        <v>24047</v>
      </c>
      <c r="C1340">
        <v>1014</v>
      </c>
      <c r="D1340">
        <v>4</v>
      </c>
      <c r="E1340">
        <v>199.92</v>
      </c>
    </row>
    <row r="1341" spans="1:5" x14ac:dyDescent="0.3">
      <c r="A1341">
        <v>60193</v>
      </c>
      <c r="B1341">
        <v>24057</v>
      </c>
      <c r="C1341">
        <v>191</v>
      </c>
      <c r="D1341">
        <v>1</v>
      </c>
      <c r="E1341">
        <v>99.99</v>
      </c>
    </row>
    <row r="1342" spans="1:5" x14ac:dyDescent="0.3">
      <c r="A1342">
        <v>60194</v>
      </c>
      <c r="B1342">
        <v>24058</v>
      </c>
      <c r="C1342">
        <v>1073</v>
      </c>
      <c r="D1342">
        <v>1</v>
      </c>
      <c r="E1342">
        <v>199.99</v>
      </c>
    </row>
    <row r="1343" spans="1:5" x14ac:dyDescent="0.3">
      <c r="A1343">
        <v>60195</v>
      </c>
      <c r="B1343">
        <v>24059</v>
      </c>
      <c r="C1343">
        <v>403</v>
      </c>
      <c r="D1343">
        <v>1</v>
      </c>
      <c r="E1343">
        <v>129.99</v>
      </c>
    </row>
    <row r="1344" spans="1:5" x14ac:dyDescent="0.3">
      <c r="A1344">
        <v>60197</v>
      </c>
      <c r="B1344">
        <v>24059</v>
      </c>
      <c r="C1344">
        <v>1004</v>
      </c>
      <c r="D1344">
        <v>1</v>
      </c>
      <c r="E1344">
        <v>399.98</v>
      </c>
    </row>
    <row r="1345" spans="1:5" x14ac:dyDescent="0.3">
      <c r="A1345">
        <v>60196</v>
      </c>
      <c r="B1345">
        <v>24059</v>
      </c>
      <c r="C1345">
        <v>828</v>
      </c>
      <c r="D1345">
        <v>5</v>
      </c>
      <c r="E1345">
        <v>159.94999999999999</v>
      </c>
    </row>
    <row r="1346" spans="1:5" x14ac:dyDescent="0.3">
      <c r="A1346">
        <v>60199</v>
      </c>
      <c r="B1346">
        <v>24060</v>
      </c>
      <c r="C1346">
        <v>134</v>
      </c>
      <c r="D1346">
        <v>2</v>
      </c>
      <c r="E1346">
        <v>50</v>
      </c>
    </row>
    <row r="1347" spans="1:5" x14ac:dyDescent="0.3">
      <c r="A1347">
        <v>60202</v>
      </c>
      <c r="B1347">
        <v>24060</v>
      </c>
      <c r="C1347">
        <v>957</v>
      </c>
      <c r="D1347">
        <v>1</v>
      </c>
      <c r="E1347">
        <v>299.98</v>
      </c>
    </row>
    <row r="1348" spans="1:5" x14ac:dyDescent="0.3">
      <c r="A1348">
        <v>60200</v>
      </c>
      <c r="B1348">
        <v>24060</v>
      </c>
      <c r="C1348">
        <v>825</v>
      </c>
      <c r="D1348">
        <v>2</v>
      </c>
      <c r="E1348">
        <v>63.98</v>
      </c>
    </row>
    <row r="1349" spans="1:5" x14ac:dyDescent="0.3">
      <c r="A1349">
        <v>60201</v>
      </c>
      <c r="B1349">
        <v>24060</v>
      </c>
      <c r="C1349">
        <v>642</v>
      </c>
      <c r="D1349">
        <v>3</v>
      </c>
      <c r="E1349">
        <v>90</v>
      </c>
    </row>
    <row r="1350" spans="1:5" x14ac:dyDescent="0.3">
      <c r="A1350">
        <v>60198</v>
      </c>
      <c r="B1350">
        <v>24060</v>
      </c>
      <c r="C1350">
        <v>1073</v>
      </c>
      <c r="D1350">
        <v>1</v>
      </c>
      <c r="E1350">
        <v>199.99</v>
      </c>
    </row>
    <row r="1351" spans="1:5" x14ac:dyDescent="0.3">
      <c r="A1351">
        <v>60203</v>
      </c>
      <c r="B1351">
        <v>24061</v>
      </c>
      <c r="C1351">
        <v>365</v>
      </c>
      <c r="D1351">
        <v>1</v>
      </c>
      <c r="E1351">
        <v>59.99</v>
      </c>
    </row>
    <row r="1352" spans="1:5" x14ac:dyDescent="0.3">
      <c r="A1352">
        <v>60204</v>
      </c>
      <c r="B1352">
        <v>24061</v>
      </c>
      <c r="C1352">
        <v>403</v>
      </c>
      <c r="D1352">
        <v>1</v>
      </c>
      <c r="E1352">
        <v>129.99</v>
      </c>
    </row>
    <row r="1353" spans="1:5" x14ac:dyDescent="0.3">
      <c r="A1353">
        <v>60205</v>
      </c>
      <c r="B1353">
        <v>24061</v>
      </c>
      <c r="C1353">
        <v>627</v>
      </c>
      <c r="D1353">
        <v>5</v>
      </c>
      <c r="E1353">
        <v>199.95</v>
      </c>
    </row>
    <row r="1354" spans="1:5" x14ac:dyDescent="0.3">
      <c r="A1354">
        <v>60206</v>
      </c>
      <c r="B1354">
        <v>24062</v>
      </c>
      <c r="C1354">
        <v>502</v>
      </c>
      <c r="D1354">
        <v>5</v>
      </c>
      <c r="E1354">
        <v>250</v>
      </c>
    </row>
    <row r="1355" spans="1:5" x14ac:dyDescent="0.3">
      <c r="A1355">
        <v>60207</v>
      </c>
      <c r="B1355">
        <v>24062</v>
      </c>
      <c r="C1355">
        <v>1004</v>
      </c>
      <c r="D1355">
        <v>1</v>
      </c>
      <c r="E1355">
        <v>399.98</v>
      </c>
    </row>
    <row r="1356" spans="1:5" x14ac:dyDescent="0.3">
      <c r="A1356">
        <v>60208</v>
      </c>
      <c r="B1356">
        <v>24062</v>
      </c>
      <c r="C1356">
        <v>1073</v>
      </c>
      <c r="D1356">
        <v>1</v>
      </c>
      <c r="E1356">
        <v>199.99</v>
      </c>
    </row>
    <row r="1357" spans="1:5" x14ac:dyDescent="0.3">
      <c r="A1357">
        <v>60209</v>
      </c>
      <c r="B1357">
        <v>24062</v>
      </c>
      <c r="C1357">
        <v>1014</v>
      </c>
      <c r="D1357">
        <v>3</v>
      </c>
      <c r="E1357">
        <v>149.94</v>
      </c>
    </row>
    <row r="1358" spans="1:5" x14ac:dyDescent="0.3">
      <c r="A1358">
        <v>60210</v>
      </c>
      <c r="B1358">
        <v>24063</v>
      </c>
      <c r="C1358">
        <v>403</v>
      </c>
      <c r="D1358">
        <v>1</v>
      </c>
      <c r="E1358">
        <v>129.99</v>
      </c>
    </row>
    <row r="1359" spans="1:5" x14ac:dyDescent="0.3">
      <c r="A1359">
        <v>60211</v>
      </c>
      <c r="B1359">
        <v>24063</v>
      </c>
      <c r="C1359">
        <v>1014</v>
      </c>
      <c r="D1359">
        <v>1</v>
      </c>
      <c r="E1359">
        <v>49.98</v>
      </c>
    </row>
    <row r="1360" spans="1:5" x14ac:dyDescent="0.3">
      <c r="A1360">
        <v>60252</v>
      </c>
      <c r="B1360">
        <v>24079</v>
      </c>
      <c r="C1360">
        <v>134</v>
      </c>
      <c r="D1360">
        <v>3</v>
      </c>
      <c r="E1360">
        <v>75</v>
      </c>
    </row>
    <row r="1361" spans="1:5" x14ac:dyDescent="0.3">
      <c r="A1361">
        <v>60253</v>
      </c>
      <c r="B1361">
        <v>24079</v>
      </c>
      <c r="C1361">
        <v>502</v>
      </c>
      <c r="D1361">
        <v>1</v>
      </c>
      <c r="E1361">
        <v>50</v>
      </c>
    </row>
    <row r="1362" spans="1:5" x14ac:dyDescent="0.3">
      <c r="A1362">
        <v>60275</v>
      </c>
      <c r="B1362">
        <v>24091</v>
      </c>
      <c r="C1362">
        <v>1014</v>
      </c>
      <c r="D1362">
        <v>4</v>
      </c>
      <c r="E1362">
        <v>199.92</v>
      </c>
    </row>
    <row r="1363" spans="1:5" x14ac:dyDescent="0.3">
      <c r="A1363">
        <v>60276</v>
      </c>
      <c r="B1363">
        <v>24091</v>
      </c>
      <c r="C1363">
        <v>403</v>
      </c>
      <c r="D1363">
        <v>1</v>
      </c>
      <c r="E1363">
        <v>129.99</v>
      </c>
    </row>
    <row r="1364" spans="1:5" x14ac:dyDescent="0.3">
      <c r="A1364">
        <v>60274</v>
      </c>
      <c r="B1364">
        <v>24091</v>
      </c>
      <c r="C1364">
        <v>1004</v>
      </c>
      <c r="D1364">
        <v>1</v>
      </c>
      <c r="E1364">
        <v>399.98</v>
      </c>
    </row>
    <row r="1365" spans="1:5" x14ac:dyDescent="0.3">
      <c r="A1365">
        <v>60277</v>
      </c>
      <c r="B1365">
        <v>24092</v>
      </c>
      <c r="C1365">
        <v>1004</v>
      </c>
      <c r="D1365">
        <v>1</v>
      </c>
      <c r="E1365">
        <v>399.98</v>
      </c>
    </row>
    <row r="1366" spans="1:5" x14ac:dyDescent="0.3">
      <c r="A1366">
        <v>60291</v>
      </c>
      <c r="B1366">
        <v>24098</v>
      </c>
      <c r="C1366">
        <v>365</v>
      </c>
      <c r="D1366">
        <v>5</v>
      </c>
      <c r="E1366">
        <v>299.95</v>
      </c>
    </row>
    <row r="1367" spans="1:5" x14ac:dyDescent="0.3">
      <c r="A1367">
        <v>60290</v>
      </c>
      <c r="B1367">
        <v>24098</v>
      </c>
      <c r="C1367">
        <v>1004</v>
      </c>
      <c r="D1367">
        <v>1</v>
      </c>
      <c r="E1367">
        <v>399.98</v>
      </c>
    </row>
    <row r="1368" spans="1:5" x14ac:dyDescent="0.3">
      <c r="A1368">
        <v>60289</v>
      </c>
      <c r="B1368">
        <v>24098</v>
      </c>
      <c r="C1368">
        <v>1004</v>
      </c>
      <c r="D1368">
        <v>1</v>
      </c>
      <c r="E1368">
        <v>399.98</v>
      </c>
    </row>
    <row r="1369" spans="1:5" x14ac:dyDescent="0.3">
      <c r="A1369">
        <v>60292</v>
      </c>
      <c r="B1369">
        <v>24098</v>
      </c>
      <c r="C1369">
        <v>365</v>
      </c>
      <c r="D1369">
        <v>3</v>
      </c>
      <c r="E1369">
        <v>179.97</v>
      </c>
    </row>
    <row r="1370" spans="1:5" x14ac:dyDescent="0.3">
      <c r="A1370">
        <v>60293</v>
      </c>
      <c r="B1370">
        <v>24100</v>
      </c>
      <c r="C1370">
        <v>1014</v>
      </c>
      <c r="D1370">
        <v>4</v>
      </c>
      <c r="E1370">
        <v>199.92</v>
      </c>
    </row>
    <row r="1371" spans="1:5" x14ac:dyDescent="0.3">
      <c r="A1371">
        <v>60295</v>
      </c>
      <c r="B1371">
        <v>24100</v>
      </c>
      <c r="C1371">
        <v>1004</v>
      </c>
      <c r="D1371">
        <v>1</v>
      </c>
      <c r="E1371">
        <v>399.98</v>
      </c>
    </row>
    <row r="1372" spans="1:5" x14ac:dyDescent="0.3">
      <c r="A1372">
        <v>60294</v>
      </c>
      <c r="B1372">
        <v>24100</v>
      </c>
      <c r="C1372">
        <v>797</v>
      </c>
      <c r="D1372">
        <v>2</v>
      </c>
      <c r="E1372">
        <v>35.979999999999997</v>
      </c>
    </row>
    <row r="1373" spans="1:5" x14ac:dyDescent="0.3">
      <c r="A1373">
        <v>60296</v>
      </c>
      <c r="B1373">
        <v>24101</v>
      </c>
      <c r="C1373">
        <v>403</v>
      </c>
      <c r="D1373">
        <v>1</v>
      </c>
      <c r="E1373">
        <v>129.99</v>
      </c>
    </row>
    <row r="1374" spans="1:5" x14ac:dyDescent="0.3">
      <c r="A1374">
        <v>60297</v>
      </c>
      <c r="B1374">
        <v>24101</v>
      </c>
      <c r="C1374">
        <v>37</v>
      </c>
      <c r="D1374">
        <v>3</v>
      </c>
      <c r="E1374">
        <v>104.97</v>
      </c>
    </row>
    <row r="1375" spans="1:5" x14ac:dyDescent="0.3">
      <c r="A1375">
        <v>60299</v>
      </c>
      <c r="B1375">
        <v>24102</v>
      </c>
      <c r="C1375">
        <v>778</v>
      </c>
      <c r="D1375">
        <v>5</v>
      </c>
      <c r="E1375">
        <v>124.95</v>
      </c>
    </row>
    <row r="1376" spans="1:5" x14ac:dyDescent="0.3">
      <c r="A1376">
        <v>60298</v>
      </c>
      <c r="B1376">
        <v>24102</v>
      </c>
      <c r="C1376">
        <v>1073</v>
      </c>
      <c r="D1376">
        <v>1</v>
      </c>
      <c r="E1376">
        <v>199.99</v>
      </c>
    </row>
    <row r="1377" spans="1:5" x14ac:dyDescent="0.3">
      <c r="A1377">
        <v>60304</v>
      </c>
      <c r="B1377">
        <v>24103</v>
      </c>
      <c r="C1377">
        <v>1073</v>
      </c>
      <c r="D1377">
        <v>1</v>
      </c>
      <c r="E1377">
        <v>199.99</v>
      </c>
    </row>
    <row r="1378" spans="1:5" x14ac:dyDescent="0.3">
      <c r="A1378">
        <v>60302</v>
      </c>
      <c r="B1378">
        <v>24103</v>
      </c>
      <c r="C1378">
        <v>1014</v>
      </c>
      <c r="D1378">
        <v>1</v>
      </c>
      <c r="E1378">
        <v>49.98</v>
      </c>
    </row>
    <row r="1379" spans="1:5" x14ac:dyDescent="0.3">
      <c r="A1379">
        <v>60303</v>
      </c>
      <c r="B1379">
        <v>24103</v>
      </c>
      <c r="C1379">
        <v>403</v>
      </c>
      <c r="D1379">
        <v>1</v>
      </c>
      <c r="E1379">
        <v>129.99</v>
      </c>
    </row>
    <row r="1380" spans="1:5" x14ac:dyDescent="0.3">
      <c r="A1380">
        <v>60301</v>
      </c>
      <c r="B1380">
        <v>24103</v>
      </c>
      <c r="C1380">
        <v>403</v>
      </c>
      <c r="D1380">
        <v>1</v>
      </c>
      <c r="E1380">
        <v>129.99</v>
      </c>
    </row>
    <row r="1381" spans="1:5" x14ac:dyDescent="0.3">
      <c r="A1381">
        <v>60300</v>
      </c>
      <c r="B1381">
        <v>24103</v>
      </c>
      <c r="C1381">
        <v>1004</v>
      </c>
      <c r="D1381">
        <v>1</v>
      </c>
      <c r="E1381">
        <v>399.98</v>
      </c>
    </row>
    <row r="1382" spans="1:5" x14ac:dyDescent="0.3">
      <c r="A1382">
        <v>60305</v>
      </c>
      <c r="B1382">
        <v>24104</v>
      </c>
      <c r="C1382">
        <v>792</v>
      </c>
      <c r="D1382">
        <v>3</v>
      </c>
      <c r="E1382">
        <v>44.97</v>
      </c>
    </row>
    <row r="1383" spans="1:5" x14ac:dyDescent="0.3">
      <c r="A1383">
        <v>60307</v>
      </c>
      <c r="B1383">
        <v>24104</v>
      </c>
      <c r="C1383">
        <v>627</v>
      </c>
      <c r="D1383">
        <v>1</v>
      </c>
      <c r="E1383">
        <v>39.99</v>
      </c>
    </row>
    <row r="1384" spans="1:5" x14ac:dyDescent="0.3">
      <c r="A1384">
        <v>60306</v>
      </c>
      <c r="B1384">
        <v>24104</v>
      </c>
      <c r="C1384">
        <v>1004</v>
      </c>
      <c r="D1384">
        <v>1</v>
      </c>
      <c r="E1384">
        <v>399.98</v>
      </c>
    </row>
    <row r="1385" spans="1:5" x14ac:dyDescent="0.3">
      <c r="A1385">
        <v>60308</v>
      </c>
      <c r="B1385">
        <v>24105</v>
      </c>
      <c r="C1385">
        <v>1004</v>
      </c>
      <c r="D1385">
        <v>1</v>
      </c>
      <c r="E1385">
        <v>399.98</v>
      </c>
    </row>
    <row r="1386" spans="1:5" x14ac:dyDescent="0.3">
      <c r="A1386">
        <v>60309</v>
      </c>
      <c r="B1386">
        <v>24105</v>
      </c>
      <c r="C1386">
        <v>1014</v>
      </c>
      <c r="D1386">
        <v>4</v>
      </c>
      <c r="E1386">
        <v>199.92</v>
      </c>
    </row>
    <row r="1387" spans="1:5" x14ac:dyDescent="0.3">
      <c r="A1387">
        <v>60342</v>
      </c>
      <c r="B1387">
        <v>24120</v>
      </c>
      <c r="C1387">
        <v>403</v>
      </c>
      <c r="D1387">
        <v>1</v>
      </c>
      <c r="E1387">
        <v>129.99</v>
      </c>
    </row>
    <row r="1388" spans="1:5" x14ac:dyDescent="0.3">
      <c r="A1388">
        <v>60343</v>
      </c>
      <c r="B1388">
        <v>24120</v>
      </c>
      <c r="C1388">
        <v>1004</v>
      </c>
      <c r="D1388">
        <v>1</v>
      </c>
      <c r="E1388">
        <v>399.98</v>
      </c>
    </row>
    <row r="1389" spans="1:5" x14ac:dyDescent="0.3">
      <c r="A1389">
        <v>60341</v>
      </c>
      <c r="B1389">
        <v>24120</v>
      </c>
      <c r="C1389">
        <v>191</v>
      </c>
      <c r="D1389">
        <v>2</v>
      </c>
      <c r="E1389">
        <v>199.98</v>
      </c>
    </row>
    <row r="1390" spans="1:5" x14ac:dyDescent="0.3">
      <c r="A1390">
        <v>60340</v>
      </c>
      <c r="B1390">
        <v>24120</v>
      </c>
      <c r="C1390">
        <v>1014</v>
      </c>
      <c r="D1390">
        <v>3</v>
      </c>
      <c r="E1390">
        <v>149.94</v>
      </c>
    </row>
    <row r="1391" spans="1:5" x14ac:dyDescent="0.3">
      <c r="A1391">
        <v>60347</v>
      </c>
      <c r="B1391">
        <v>24121</v>
      </c>
      <c r="C1391">
        <v>1004</v>
      </c>
      <c r="D1391">
        <v>1</v>
      </c>
      <c r="E1391">
        <v>399.98</v>
      </c>
    </row>
    <row r="1392" spans="1:5" x14ac:dyDescent="0.3">
      <c r="A1392">
        <v>60346</v>
      </c>
      <c r="B1392">
        <v>24121</v>
      </c>
      <c r="C1392">
        <v>1004</v>
      </c>
      <c r="D1392">
        <v>1</v>
      </c>
      <c r="E1392">
        <v>399.98</v>
      </c>
    </row>
    <row r="1393" spans="1:5" x14ac:dyDescent="0.3">
      <c r="A1393">
        <v>60345</v>
      </c>
      <c r="B1393">
        <v>24121</v>
      </c>
      <c r="C1393">
        <v>191</v>
      </c>
      <c r="D1393">
        <v>3</v>
      </c>
      <c r="E1393">
        <v>299.97000000000003</v>
      </c>
    </row>
    <row r="1394" spans="1:5" x14ac:dyDescent="0.3">
      <c r="A1394">
        <v>60344</v>
      </c>
      <c r="B1394">
        <v>24121</v>
      </c>
      <c r="C1394">
        <v>365</v>
      </c>
      <c r="D1394">
        <v>5</v>
      </c>
      <c r="E1394">
        <v>299.95</v>
      </c>
    </row>
    <row r="1395" spans="1:5" x14ac:dyDescent="0.3">
      <c r="A1395">
        <v>60348</v>
      </c>
      <c r="B1395">
        <v>24121</v>
      </c>
      <c r="C1395">
        <v>1073</v>
      </c>
      <c r="D1395">
        <v>1</v>
      </c>
      <c r="E1395">
        <v>199.99</v>
      </c>
    </row>
    <row r="1396" spans="1:5" x14ac:dyDescent="0.3">
      <c r="A1396">
        <v>60350</v>
      </c>
      <c r="B1396">
        <v>24122</v>
      </c>
      <c r="C1396">
        <v>502</v>
      </c>
      <c r="D1396">
        <v>1</v>
      </c>
      <c r="E1396">
        <v>50</v>
      </c>
    </row>
    <row r="1397" spans="1:5" x14ac:dyDescent="0.3">
      <c r="A1397">
        <v>60352</v>
      </c>
      <c r="B1397">
        <v>24122</v>
      </c>
      <c r="C1397">
        <v>191</v>
      </c>
      <c r="D1397">
        <v>5</v>
      </c>
      <c r="E1397">
        <v>499.95</v>
      </c>
    </row>
    <row r="1398" spans="1:5" x14ac:dyDescent="0.3">
      <c r="A1398">
        <v>60351</v>
      </c>
      <c r="B1398">
        <v>24122</v>
      </c>
      <c r="C1398">
        <v>365</v>
      </c>
      <c r="D1398">
        <v>5</v>
      </c>
      <c r="E1398">
        <v>299.95</v>
      </c>
    </row>
    <row r="1399" spans="1:5" x14ac:dyDescent="0.3">
      <c r="A1399">
        <v>60349</v>
      </c>
      <c r="B1399">
        <v>24122</v>
      </c>
      <c r="C1399">
        <v>627</v>
      </c>
      <c r="D1399">
        <v>5</v>
      </c>
      <c r="E1399">
        <v>199.95</v>
      </c>
    </row>
    <row r="1400" spans="1:5" x14ac:dyDescent="0.3">
      <c r="A1400">
        <v>60410</v>
      </c>
      <c r="B1400">
        <v>24144</v>
      </c>
      <c r="C1400">
        <v>191</v>
      </c>
      <c r="D1400">
        <v>1</v>
      </c>
      <c r="E1400">
        <v>99.99</v>
      </c>
    </row>
    <row r="1401" spans="1:5" x14ac:dyDescent="0.3">
      <c r="A1401">
        <v>60411</v>
      </c>
      <c r="B1401">
        <v>24145</v>
      </c>
      <c r="C1401">
        <v>1014</v>
      </c>
      <c r="D1401">
        <v>5</v>
      </c>
      <c r="E1401">
        <v>249.9</v>
      </c>
    </row>
    <row r="1402" spans="1:5" x14ac:dyDescent="0.3">
      <c r="A1402">
        <v>60413</v>
      </c>
      <c r="B1402">
        <v>24145</v>
      </c>
      <c r="C1402">
        <v>502</v>
      </c>
      <c r="D1402">
        <v>2</v>
      </c>
      <c r="E1402">
        <v>100</v>
      </c>
    </row>
    <row r="1403" spans="1:5" x14ac:dyDescent="0.3">
      <c r="A1403">
        <v>60412</v>
      </c>
      <c r="B1403">
        <v>24145</v>
      </c>
      <c r="C1403">
        <v>502</v>
      </c>
      <c r="D1403">
        <v>3</v>
      </c>
      <c r="E1403">
        <v>150</v>
      </c>
    </row>
    <row r="1404" spans="1:5" x14ac:dyDescent="0.3">
      <c r="A1404">
        <v>60431</v>
      </c>
      <c r="B1404">
        <v>24159</v>
      </c>
      <c r="C1404">
        <v>957</v>
      </c>
      <c r="D1404">
        <v>1</v>
      </c>
      <c r="E1404">
        <v>299.98</v>
      </c>
    </row>
    <row r="1405" spans="1:5" x14ac:dyDescent="0.3">
      <c r="A1405">
        <v>60430</v>
      </c>
      <c r="B1405">
        <v>24159</v>
      </c>
      <c r="C1405">
        <v>365</v>
      </c>
      <c r="D1405">
        <v>4</v>
      </c>
      <c r="E1405">
        <v>239.96</v>
      </c>
    </row>
    <row r="1406" spans="1:5" x14ac:dyDescent="0.3">
      <c r="A1406">
        <v>60440</v>
      </c>
      <c r="B1406">
        <v>24164</v>
      </c>
      <c r="C1406">
        <v>957</v>
      </c>
      <c r="D1406">
        <v>1</v>
      </c>
      <c r="E1406">
        <v>299.98</v>
      </c>
    </row>
    <row r="1407" spans="1:5" x14ac:dyDescent="0.3">
      <c r="A1407">
        <v>60438</v>
      </c>
      <c r="B1407">
        <v>24164</v>
      </c>
      <c r="C1407">
        <v>191</v>
      </c>
      <c r="D1407">
        <v>3</v>
      </c>
      <c r="E1407">
        <v>299.97000000000003</v>
      </c>
    </row>
    <row r="1408" spans="1:5" x14ac:dyDescent="0.3">
      <c r="A1408">
        <v>60437</v>
      </c>
      <c r="B1408">
        <v>24164</v>
      </c>
      <c r="C1408">
        <v>502</v>
      </c>
      <c r="D1408">
        <v>4</v>
      </c>
      <c r="E1408">
        <v>200</v>
      </c>
    </row>
    <row r="1409" spans="1:5" x14ac:dyDescent="0.3">
      <c r="A1409">
        <v>60439</v>
      </c>
      <c r="B1409">
        <v>24164</v>
      </c>
      <c r="C1409">
        <v>1014</v>
      </c>
      <c r="D1409">
        <v>4</v>
      </c>
      <c r="E1409">
        <v>199.92</v>
      </c>
    </row>
    <row r="1410" spans="1:5" x14ac:dyDescent="0.3">
      <c r="A1410">
        <v>60441</v>
      </c>
      <c r="B1410">
        <v>24165</v>
      </c>
      <c r="C1410">
        <v>1004</v>
      </c>
      <c r="D1410">
        <v>1</v>
      </c>
      <c r="E1410">
        <v>399.98</v>
      </c>
    </row>
    <row r="1411" spans="1:5" x14ac:dyDescent="0.3">
      <c r="A1411">
        <v>60443</v>
      </c>
      <c r="B1411">
        <v>24165</v>
      </c>
      <c r="C1411">
        <v>365</v>
      </c>
      <c r="D1411">
        <v>2</v>
      </c>
      <c r="E1411">
        <v>119.98</v>
      </c>
    </row>
    <row r="1412" spans="1:5" x14ac:dyDescent="0.3">
      <c r="A1412">
        <v>60444</v>
      </c>
      <c r="B1412">
        <v>24165</v>
      </c>
      <c r="C1412">
        <v>906</v>
      </c>
      <c r="D1412">
        <v>2</v>
      </c>
      <c r="E1412">
        <v>49.98</v>
      </c>
    </row>
    <row r="1413" spans="1:5" x14ac:dyDescent="0.3">
      <c r="A1413">
        <v>60442</v>
      </c>
      <c r="B1413">
        <v>24165</v>
      </c>
      <c r="C1413">
        <v>235</v>
      </c>
      <c r="D1413">
        <v>3</v>
      </c>
      <c r="E1413">
        <v>104.97</v>
      </c>
    </row>
    <row r="1414" spans="1:5" x14ac:dyDescent="0.3">
      <c r="A1414">
        <v>60446</v>
      </c>
      <c r="B1414">
        <v>24166</v>
      </c>
      <c r="C1414">
        <v>1004</v>
      </c>
      <c r="D1414">
        <v>1</v>
      </c>
      <c r="E1414">
        <v>399.98</v>
      </c>
    </row>
    <row r="1415" spans="1:5" x14ac:dyDescent="0.3">
      <c r="A1415">
        <v>60445</v>
      </c>
      <c r="B1415">
        <v>24166</v>
      </c>
      <c r="C1415">
        <v>957</v>
      </c>
      <c r="D1415">
        <v>1</v>
      </c>
      <c r="E1415">
        <v>299.98</v>
      </c>
    </row>
    <row r="1416" spans="1:5" x14ac:dyDescent="0.3">
      <c r="A1416">
        <v>60448</v>
      </c>
      <c r="B1416">
        <v>24166</v>
      </c>
      <c r="C1416">
        <v>365</v>
      </c>
      <c r="D1416">
        <v>3</v>
      </c>
      <c r="E1416">
        <v>179.97</v>
      </c>
    </row>
    <row r="1417" spans="1:5" x14ac:dyDescent="0.3">
      <c r="A1417">
        <v>60447</v>
      </c>
      <c r="B1417">
        <v>24166</v>
      </c>
      <c r="C1417">
        <v>1014</v>
      </c>
      <c r="D1417">
        <v>2</v>
      </c>
      <c r="E1417">
        <v>99.96</v>
      </c>
    </row>
    <row r="1418" spans="1:5" x14ac:dyDescent="0.3">
      <c r="A1418">
        <v>60470</v>
      </c>
      <c r="B1418">
        <v>24172</v>
      </c>
      <c r="C1418">
        <v>1073</v>
      </c>
      <c r="D1418">
        <v>1</v>
      </c>
      <c r="E1418">
        <v>199.99</v>
      </c>
    </row>
    <row r="1419" spans="1:5" x14ac:dyDescent="0.3">
      <c r="A1419">
        <v>60469</v>
      </c>
      <c r="B1419">
        <v>24172</v>
      </c>
      <c r="C1419">
        <v>403</v>
      </c>
      <c r="D1419">
        <v>1</v>
      </c>
      <c r="E1419">
        <v>129.99</v>
      </c>
    </row>
    <row r="1420" spans="1:5" x14ac:dyDescent="0.3">
      <c r="A1420">
        <v>60467</v>
      </c>
      <c r="B1420">
        <v>24172</v>
      </c>
      <c r="C1420">
        <v>403</v>
      </c>
      <c r="D1420">
        <v>1</v>
      </c>
      <c r="E1420">
        <v>129.99</v>
      </c>
    </row>
    <row r="1421" spans="1:5" x14ac:dyDescent="0.3">
      <c r="A1421">
        <v>60468</v>
      </c>
      <c r="B1421">
        <v>24172</v>
      </c>
      <c r="C1421">
        <v>1004</v>
      </c>
      <c r="D1421">
        <v>1</v>
      </c>
      <c r="E1421">
        <v>399.98</v>
      </c>
    </row>
    <row r="1422" spans="1:5" x14ac:dyDescent="0.3">
      <c r="A1422">
        <v>60466</v>
      </c>
      <c r="B1422">
        <v>24172</v>
      </c>
      <c r="C1422">
        <v>502</v>
      </c>
      <c r="D1422">
        <v>3</v>
      </c>
      <c r="E1422">
        <v>150</v>
      </c>
    </row>
    <row r="1423" spans="1:5" x14ac:dyDescent="0.3">
      <c r="A1423">
        <v>60478</v>
      </c>
      <c r="B1423">
        <v>24174</v>
      </c>
      <c r="C1423">
        <v>403</v>
      </c>
      <c r="D1423">
        <v>1</v>
      </c>
      <c r="E1423">
        <v>129.99</v>
      </c>
    </row>
    <row r="1424" spans="1:5" x14ac:dyDescent="0.3">
      <c r="A1424">
        <v>60476</v>
      </c>
      <c r="B1424">
        <v>24174</v>
      </c>
      <c r="C1424">
        <v>403</v>
      </c>
      <c r="D1424">
        <v>1</v>
      </c>
      <c r="E1424">
        <v>129.99</v>
      </c>
    </row>
    <row r="1425" spans="1:5" x14ac:dyDescent="0.3">
      <c r="A1425">
        <v>60477</v>
      </c>
      <c r="B1425">
        <v>24174</v>
      </c>
      <c r="C1425">
        <v>365</v>
      </c>
      <c r="D1425">
        <v>3</v>
      </c>
      <c r="E1425">
        <v>179.97</v>
      </c>
    </row>
    <row r="1426" spans="1:5" x14ac:dyDescent="0.3">
      <c r="A1426">
        <v>60479</v>
      </c>
      <c r="B1426">
        <v>24174</v>
      </c>
      <c r="C1426">
        <v>502</v>
      </c>
      <c r="D1426">
        <v>4</v>
      </c>
      <c r="E1426">
        <v>200</v>
      </c>
    </row>
    <row r="1427" spans="1:5" x14ac:dyDescent="0.3">
      <c r="A1427">
        <v>60483</v>
      </c>
      <c r="B1427">
        <v>24176</v>
      </c>
      <c r="C1427">
        <v>810</v>
      </c>
      <c r="D1427">
        <v>5</v>
      </c>
      <c r="E1427">
        <v>99.95</v>
      </c>
    </row>
    <row r="1428" spans="1:5" x14ac:dyDescent="0.3">
      <c r="A1428">
        <v>60484</v>
      </c>
      <c r="B1428">
        <v>24176</v>
      </c>
      <c r="C1428">
        <v>957</v>
      </c>
      <c r="D1428">
        <v>1</v>
      </c>
      <c r="E1428">
        <v>299.98</v>
      </c>
    </row>
    <row r="1429" spans="1:5" x14ac:dyDescent="0.3">
      <c r="A1429">
        <v>60486</v>
      </c>
      <c r="B1429">
        <v>24177</v>
      </c>
      <c r="C1429">
        <v>792</v>
      </c>
      <c r="D1429">
        <v>1</v>
      </c>
      <c r="E1429">
        <v>14.99</v>
      </c>
    </row>
    <row r="1430" spans="1:5" x14ac:dyDescent="0.3">
      <c r="A1430">
        <v>60485</v>
      </c>
      <c r="B1430">
        <v>24177</v>
      </c>
      <c r="C1430">
        <v>775</v>
      </c>
      <c r="D1430">
        <v>5</v>
      </c>
      <c r="E1430">
        <v>49.95</v>
      </c>
    </row>
    <row r="1431" spans="1:5" x14ac:dyDescent="0.3">
      <c r="A1431">
        <v>60487</v>
      </c>
      <c r="B1431">
        <v>24177</v>
      </c>
      <c r="C1431">
        <v>191</v>
      </c>
      <c r="D1431">
        <v>1</v>
      </c>
      <c r="E1431">
        <v>99.99</v>
      </c>
    </row>
    <row r="1432" spans="1:5" x14ac:dyDescent="0.3">
      <c r="A1432">
        <v>60489</v>
      </c>
      <c r="B1432">
        <v>24178</v>
      </c>
      <c r="C1432">
        <v>1014</v>
      </c>
      <c r="D1432">
        <v>2</v>
      </c>
      <c r="E1432">
        <v>99.96</v>
      </c>
    </row>
    <row r="1433" spans="1:5" x14ac:dyDescent="0.3">
      <c r="A1433">
        <v>60488</v>
      </c>
      <c r="B1433">
        <v>24178</v>
      </c>
      <c r="C1433">
        <v>1014</v>
      </c>
      <c r="D1433">
        <v>4</v>
      </c>
      <c r="E1433">
        <v>199.92</v>
      </c>
    </row>
    <row r="1434" spans="1:5" x14ac:dyDescent="0.3">
      <c r="A1434">
        <v>60512</v>
      </c>
      <c r="B1434">
        <v>24189</v>
      </c>
      <c r="C1434">
        <v>1014</v>
      </c>
      <c r="D1434">
        <v>1</v>
      </c>
      <c r="E1434">
        <v>49.98</v>
      </c>
    </row>
    <row r="1435" spans="1:5" x14ac:dyDescent="0.3">
      <c r="A1435">
        <v>60515</v>
      </c>
      <c r="B1435">
        <v>24190</v>
      </c>
      <c r="C1435">
        <v>403</v>
      </c>
      <c r="D1435">
        <v>1</v>
      </c>
      <c r="E1435">
        <v>129.99</v>
      </c>
    </row>
    <row r="1436" spans="1:5" x14ac:dyDescent="0.3">
      <c r="A1436">
        <v>60514</v>
      </c>
      <c r="B1436">
        <v>24190</v>
      </c>
      <c r="C1436">
        <v>365</v>
      </c>
      <c r="D1436">
        <v>1</v>
      </c>
      <c r="E1436">
        <v>59.99</v>
      </c>
    </row>
    <row r="1437" spans="1:5" x14ac:dyDescent="0.3">
      <c r="A1437">
        <v>60513</v>
      </c>
      <c r="B1437">
        <v>24190</v>
      </c>
      <c r="C1437">
        <v>627</v>
      </c>
      <c r="D1437">
        <v>2</v>
      </c>
      <c r="E1437">
        <v>79.98</v>
      </c>
    </row>
    <row r="1438" spans="1:5" x14ac:dyDescent="0.3">
      <c r="A1438">
        <v>60528</v>
      </c>
      <c r="B1438">
        <v>24195</v>
      </c>
      <c r="C1438">
        <v>1004</v>
      </c>
      <c r="D1438">
        <v>1</v>
      </c>
      <c r="E1438">
        <v>399.98</v>
      </c>
    </row>
    <row r="1439" spans="1:5" x14ac:dyDescent="0.3">
      <c r="A1439">
        <v>60529</v>
      </c>
      <c r="B1439">
        <v>24195</v>
      </c>
      <c r="C1439">
        <v>886</v>
      </c>
      <c r="D1439">
        <v>4</v>
      </c>
      <c r="E1439">
        <v>99.96</v>
      </c>
    </row>
    <row r="1440" spans="1:5" x14ac:dyDescent="0.3">
      <c r="A1440">
        <v>60530</v>
      </c>
      <c r="B1440">
        <v>24195</v>
      </c>
      <c r="C1440">
        <v>1073</v>
      </c>
      <c r="D1440">
        <v>1</v>
      </c>
      <c r="E1440">
        <v>199.99</v>
      </c>
    </row>
    <row r="1441" spans="1:5" x14ac:dyDescent="0.3">
      <c r="A1441">
        <v>60545</v>
      </c>
      <c r="B1441">
        <v>24200</v>
      </c>
      <c r="C1441">
        <v>1004</v>
      </c>
      <c r="D1441">
        <v>1</v>
      </c>
      <c r="E1441">
        <v>399.98</v>
      </c>
    </row>
    <row r="1442" spans="1:5" x14ac:dyDescent="0.3">
      <c r="A1442">
        <v>60546</v>
      </c>
      <c r="B1442">
        <v>24200</v>
      </c>
      <c r="C1442">
        <v>502</v>
      </c>
      <c r="D1442">
        <v>2</v>
      </c>
      <c r="E1442">
        <v>100</v>
      </c>
    </row>
    <row r="1443" spans="1:5" x14ac:dyDescent="0.3">
      <c r="A1443">
        <v>60547</v>
      </c>
      <c r="B1443">
        <v>24200</v>
      </c>
      <c r="C1443">
        <v>627</v>
      </c>
      <c r="D1443">
        <v>3</v>
      </c>
      <c r="E1443">
        <v>119.97</v>
      </c>
    </row>
    <row r="1444" spans="1:5" x14ac:dyDescent="0.3">
      <c r="A1444">
        <v>60550</v>
      </c>
      <c r="B1444">
        <v>24202</v>
      </c>
      <c r="C1444">
        <v>365</v>
      </c>
      <c r="D1444">
        <v>2</v>
      </c>
      <c r="E1444">
        <v>119.98</v>
      </c>
    </row>
    <row r="1445" spans="1:5" x14ac:dyDescent="0.3">
      <c r="A1445">
        <v>60549</v>
      </c>
      <c r="B1445">
        <v>24202</v>
      </c>
      <c r="C1445">
        <v>502</v>
      </c>
      <c r="D1445">
        <v>3</v>
      </c>
      <c r="E1445">
        <v>150</v>
      </c>
    </row>
    <row r="1446" spans="1:5" x14ac:dyDescent="0.3">
      <c r="A1446">
        <v>60551</v>
      </c>
      <c r="B1446">
        <v>24203</v>
      </c>
      <c r="C1446">
        <v>886</v>
      </c>
      <c r="D1446">
        <v>4</v>
      </c>
      <c r="E1446">
        <v>99.96</v>
      </c>
    </row>
    <row r="1447" spans="1:5" x14ac:dyDescent="0.3">
      <c r="A1447">
        <v>60552</v>
      </c>
      <c r="B1447">
        <v>24203</v>
      </c>
      <c r="C1447">
        <v>403</v>
      </c>
      <c r="D1447">
        <v>1</v>
      </c>
      <c r="E1447">
        <v>129.99</v>
      </c>
    </row>
    <row r="1448" spans="1:5" x14ac:dyDescent="0.3">
      <c r="A1448">
        <v>60553</v>
      </c>
      <c r="B1448">
        <v>24203</v>
      </c>
      <c r="C1448">
        <v>1073</v>
      </c>
      <c r="D1448">
        <v>1</v>
      </c>
      <c r="E1448">
        <v>199.99</v>
      </c>
    </row>
    <row r="1449" spans="1:5" x14ac:dyDescent="0.3">
      <c r="A1449">
        <v>60554</v>
      </c>
      <c r="B1449">
        <v>24204</v>
      </c>
      <c r="C1449">
        <v>502</v>
      </c>
      <c r="D1449">
        <v>1</v>
      </c>
      <c r="E1449">
        <v>50</v>
      </c>
    </row>
    <row r="1450" spans="1:5" x14ac:dyDescent="0.3">
      <c r="A1450">
        <v>60638</v>
      </c>
      <c r="B1450">
        <v>24235</v>
      </c>
      <c r="C1450">
        <v>502</v>
      </c>
      <c r="D1450">
        <v>1</v>
      </c>
      <c r="E1450">
        <v>50</v>
      </c>
    </row>
    <row r="1451" spans="1:5" x14ac:dyDescent="0.3">
      <c r="A1451">
        <v>60639</v>
      </c>
      <c r="B1451">
        <v>24236</v>
      </c>
      <c r="C1451">
        <v>1014</v>
      </c>
      <c r="D1451">
        <v>5</v>
      </c>
      <c r="E1451">
        <v>249.9</v>
      </c>
    </row>
    <row r="1452" spans="1:5" x14ac:dyDescent="0.3">
      <c r="A1452">
        <v>60640</v>
      </c>
      <c r="B1452">
        <v>24238</v>
      </c>
      <c r="C1452">
        <v>1073</v>
      </c>
      <c r="D1452">
        <v>1</v>
      </c>
      <c r="E1452">
        <v>199.99</v>
      </c>
    </row>
    <row r="1453" spans="1:5" x14ac:dyDescent="0.3">
      <c r="A1453">
        <v>60643</v>
      </c>
      <c r="B1453">
        <v>24238</v>
      </c>
      <c r="C1453">
        <v>403</v>
      </c>
      <c r="D1453">
        <v>1</v>
      </c>
      <c r="E1453">
        <v>129.99</v>
      </c>
    </row>
    <row r="1454" spans="1:5" x14ac:dyDescent="0.3">
      <c r="A1454">
        <v>60642</v>
      </c>
      <c r="B1454">
        <v>24238</v>
      </c>
      <c r="C1454">
        <v>1004</v>
      </c>
      <c r="D1454">
        <v>1</v>
      </c>
      <c r="E1454">
        <v>399.98</v>
      </c>
    </row>
    <row r="1455" spans="1:5" x14ac:dyDescent="0.3">
      <c r="A1455">
        <v>60641</v>
      </c>
      <c r="B1455">
        <v>24238</v>
      </c>
      <c r="C1455">
        <v>365</v>
      </c>
      <c r="D1455">
        <v>3</v>
      </c>
      <c r="E1455">
        <v>179.97</v>
      </c>
    </row>
    <row r="1456" spans="1:5" x14ac:dyDescent="0.3">
      <c r="A1456">
        <v>60662</v>
      </c>
      <c r="B1456">
        <v>24249</v>
      </c>
      <c r="C1456">
        <v>502</v>
      </c>
      <c r="D1456">
        <v>1</v>
      </c>
      <c r="E1456">
        <v>50</v>
      </c>
    </row>
    <row r="1457" spans="1:5" x14ac:dyDescent="0.3">
      <c r="A1457">
        <v>60661</v>
      </c>
      <c r="B1457">
        <v>24249</v>
      </c>
      <c r="C1457">
        <v>502</v>
      </c>
      <c r="D1457">
        <v>4</v>
      </c>
      <c r="E1457">
        <v>200</v>
      </c>
    </row>
    <row r="1458" spans="1:5" x14ac:dyDescent="0.3">
      <c r="A1458">
        <v>60660</v>
      </c>
      <c r="B1458">
        <v>24249</v>
      </c>
      <c r="C1458">
        <v>502</v>
      </c>
      <c r="D1458">
        <v>4</v>
      </c>
      <c r="E1458">
        <v>200</v>
      </c>
    </row>
    <row r="1459" spans="1:5" x14ac:dyDescent="0.3">
      <c r="A1459">
        <v>60663</v>
      </c>
      <c r="B1459">
        <v>24249</v>
      </c>
      <c r="C1459">
        <v>627</v>
      </c>
      <c r="D1459">
        <v>5</v>
      </c>
      <c r="E1459">
        <v>199.95</v>
      </c>
    </row>
    <row r="1460" spans="1:5" x14ac:dyDescent="0.3">
      <c r="A1460">
        <v>60664</v>
      </c>
      <c r="B1460">
        <v>24250</v>
      </c>
      <c r="C1460">
        <v>502</v>
      </c>
      <c r="D1460">
        <v>1</v>
      </c>
      <c r="E1460">
        <v>50</v>
      </c>
    </row>
    <row r="1461" spans="1:5" x14ac:dyDescent="0.3">
      <c r="A1461">
        <v>60665</v>
      </c>
      <c r="B1461">
        <v>24250</v>
      </c>
      <c r="C1461">
        <v>804</v>
      </c>
      <c r="D1461">
        <v>5</v>
      </c>
      <c r="E1461">
        <v>99.95</v>
      </c>
    </row>
    <row r="1462" spans="1:5" x14ac:dyDescent="0.3">
      <c r="A1462">
        <v>60669</v>
      </c>
      <c r="B1462">
        <v>24253</v>
      </c>
      <c r="C1462">
        <v>627</v>
      </c>
      <c r="D1462">
        <v>1</v>
      </c>
      <c r="E1462">
        <v>39.99</v>
      </c>
    </row>
    <row r="1463" spans="1:5" x14ac:dyDescent="0.3">
      <c r="A1463">
        <v>60670</v>
      </c>
      <c r="B1463">
        <v>24253</v>
      </c>
      <c r="C1463">
        <v>957</v>
      </c>
      <c r="D1463">
        <v>1</v>
      </c>
      <c r="E1463">
        <v>299.98</v>
      </c>
    </row>
    <row r="1464" spans="1:5" x14ac:dyDescent="0.3">
      <c r="A1464">
        <v>60668</v>
      </c>
      <c r="B1464">
        <v>24253</v>
      </c>
      <c r="C1464">
        <v>365</v>
      </c>
      <c r="D1464">
        <v>2</v>
      </c>
      <c r="E1464">
        <v>119.98</v>
      </c>
    </row>
    <row r="1465" spans="1:5" x14ac:dyDescent="0.3">
      <c r="A1465">
        <v>60671</v>
      </c>
      <c r="B1465">
        <v>24253</v>
      </c>
      <c r="C1465">
        <v>1073</v>
      </c>
      <c r="D1465">
        <v>1</v>
      </c>
      <c r="E1465">
        <v>199.99</v>
      </c>
    </row>
    <row r="1466" spans="1:5" x14ac:dyDescent="0.3">
      <c r="A1466">
        <v>60694</v>
      </c>
      <c r="B1466">
        <v>24266</v>
      </c>
      <c r="C1466">
        <v>365</v>
      </c>
      <c r="D1466">
        <v>5</v>
      </c>
      <c r="E1466">
        <v>299.95</v>
      </c>
    </row>
    <row r="1467" spans="1:5" x14ac:dyDescent="0.3">
      <c r="A1467">
        <v>60693</v>
      </c>
      <c r="B1467">
        <v>24266</v>
      </c>
      <c r="C1467">
        <v>37</v>
      </c>
      <c r="D1467">
        <v>1</v>
      </c>
      <c r="E1467">
        <v>34.99</v>
      </c>
    </row>
    <row r="1468" spans="1:5" x14ac:dyDescent="0.3">
      <c r="A1468">
        <v>60695</v>
      </c>
      <c r="B1468">
        <v>24267</v>
      </c>
      <c r="C1468">
        <v>403</v>
      </c>
      <c r="D1468">
        <v>1</v>
      </c>
      <c r="E1468">
        <v>129.99</v>
      </c>
    </row>
    <row r="1469" spans="1:5" x14ac:dyDescent="0.3">
      <c r="A1469">
        <v>60696</v>
      </c>
      <c r="B1469">
        <v>24267</v>
      </c>
      <c r="C1469">
        <v>627</v>
      </c>
      <c r="D1469">
        <v>1</v>
      </c>
      <c r="E1469">
        <v>39.99</v>
      </c>
    </row>
    <row r="1470" spans="1:5" x14ac:dyDescent="0.3">
      <c r="A1470">
        <v>60712</v>
      </c>
      <c r="B1470">
        <v>24276</v>
      </c>
      <c r="C1470">
        <v>627</v>
      </c>
      <c r="D1470">
        <v>3</v>
      </c>
      <c r="E1470">
        <v>119.97</v>
      </c>
    </row>
    <row r="1471" spans="1:5" x14ac:dyDescent="0.3">
      <c r="A1471">
        <v>60713</v>
      </c>
      <c r="B1471">
        <v>24276</v>
      </c>
      <c r="C1471">
        <v>365</v>
      </c>
      <c r="D1471">
        <v>4</v>
      </c>
      <c r="E1471">
        <v>239.96</v>
      </c>
    </row>
    <row r="1472" spans="1:5" x14ac:dyDescent="0.3">
      <c r="A1472">
        <v>60739</v>
      </c>
      <c r="B1472">
        <v>24284</v>
      </c>
      <c r="C1472">
        <v>1014</v>
      </c>
      <c r="D1472">
        <v>4</v>
      </c>
      <c r="E1472">
        <v>199.92</v>
      </c>
    </row>
    <row r="1473" spans="1:5" x14ac:dyDescent="0.3">
      <c r="A1473">
        <v>60738</v>
      </c>
      <c r="B1473">
        <v>24284</v>
      </c>
      <c r="C1473">
        <v>365</v>
      </c>
      <c r="D1473">
        <v>2</v>
      </c>
      <c r="E1473">
        <v>119.98</v>
      </c>
    </row>
    <row r="1474" spans="1:5" x14ac:dyDescent="0.3">
      <c r="A1474">
        <v>60760</v>
      </c>
      <c r="B1474">
        <v>24291</v>
      </c>
      <c r="C1474">
        <v>924</v>
      </c>
      <c r="D1474">
        <v>2</v>
      </c>
      <c r="E1474">
        <v>31.98</v>
      </c>
    </row>
    <row r="1475" spans="1:5" x14ac:dyDescent="0.3">
      <c r="A1475">
        <v>60759</v>
      </c>
      <c r="B1475">
        <v>24291</v>
      </c>
      <c r="C1475">
        <v>191</v>
      </c>
      <c r="D1475">
        <v>3</v>
      </c>
      <c r="E1475">
        <v>299.97000000000003</v>
      </c>
    </row>
    <row r="1476" spans="1:5" x14ac:dyDescent="0.3">
      <c r="A1476">
        <v>60761</v>
      </c>
      <c r="B1476">
        <v>24291</v>
      </c>
      <c r="C1476">
        <v>191</v>
      </c>
      <c r="D1476">
        <v>4</v>
      </c>
      <c r="E1476">
        <v>399.96</v>
      </c>
    </row>
    <row r="1477" spans="1:5" x14ac:dyDescent="0.3">
      <c r="A1477">
        <v>60762</v>
      </c>
      <c r="B1477">
        <v>24291</v>
      </c>
      <c r="C1477">
        <v>627</v>
      </c>
      <c r="D1477">
        <v>5</v>
      </c>
      <c r="E1477">
        <v>199.95</v>
      </c>
    </row>
    <row r="1478" spans="1:5" x14ac:dyDescent="0.3">
      <c r="A1478">
        <v>60763</v>
      </c>
      <c r="B1478">
        <v>24292</v>
      </c>
      <c r="C1478">
        <v>403</v>
      </c>
      <c r="D1478">
        <v>1</v>
      </c>
      <c r="E1478">
        <v>129.99</v>
      </c>
    </row>
    <row r="1479" spans="1:5" x14ac:dyDescent="0.3">
      <c r="A1479">
        <v>60827</v>
      </c>
      <c r="B1479">
        <v>24315</v>
      </c>
      <c r="C1479">
        <v>1004</v>
      </c>
      <c r="D1479">
        <v>1</v>
      </c>
      <c r="E1479">
        <v>399.98</v>
      </c>
    </row>
    <row r="1480" spans="1:5" x14ac:dyDescent="0.3">
      <c r="A1480">
        <v>60828</v>
      </c>
      <c r="B1480">
        <v>24315</v>
      </c>
      <c r="C1480">
        <v>365</v>
      </c>
      <c r="D1480">
        <v>2</v>
      </c>
      <c r="E1480">
        <v>119.98</v>
      </c>
    </row>
    <row r="1481" spans="1:5" x14ac:dyDescent="0.3">
      <c r="A1481">
        <v>60829</v>
      </c>
      <c r="B1481">
        <v>24315</v>
      </c>
      <c r="C1481">
        <v>810</v>
      </c>
      <c r="D1481">
        <v>2</v>
      </c>
      <c r="E1481">
        <v>39.979999999999997</v>
      </c>
    </row>
    <row r="1482" spans="1:5" x14ac:dyDescent="0.3">
      <c r="A1482">
        <v>60897</v>
      </c>
      <c r="B1482">
        <v>24343</v>
      </c>
      <c r="C1482">
        <v>403</v>
      </c>
      <c r="D1482">
        <v>1</v>
      </c>
      <c r="E1482">
        <v>129.99</v>
      </c>
    </row>
    <row r="1483" spans="1:5" x14ac:dyDescent="0.3">
      <c r="A1483">
        <v>60896</v>
      </c>
      <c r="B1483">
        <v>24343</v>
      </c>
      <c r="C1483">
        <v>823</v>
      </c>
      <c r="D1483">
        <v>1</v>
      </c>
      <c r="E1483">
        <v>51.99</v>
      </c>
    </row>
    <row r="1484" spans="1:5" x14ac:dyDescent="0.3">
      <c r="A1484">
        <v>60943</v>
      </c>
      <c r="B1484">
        <v>24364</v>
      </c>
      <c r="C1484">
        <v>403</v>
      </c>
      <c r="D1484">
        <v>1</v>
      </c>
      <c r="E1484">
        <v>129.99</v>
      </c>
    </row>
    <row r="1485" spans="1:5" x14ac:dyDescent="0.3">
      <c r="A1485">
        <v>60944</v>
      </c>
      <c r="B1485">
        <v>24364</v>
      </c>
      <c r="C1485">
        <v>191</v>
      </c>
      <c r="D1485">
        <v>5</v>
      </c>
      <c r="E1485">
        <v>499.95</v>
      </c>
    </row>
    <row r="1486" spans="1:5" x14ac:dyDescent="0.3">
      <c r="A1486">
        <v>60948</v>
      </c>
      <c r="B1486">
        <v>24366</v>
      </c>
      <c r="C1486">
        <v>1014</v>
      </c>
      <c r="D1486">
        <v>4</v>
      </c>
      <c r="E1486">
        <v>199.92</v>
      </c>
    </row>
    <row r="1487" spans="1:5" x14ac:dyDescent="0.3">
      <c r="A1487">
        <v>60950</v>
      </c>
      <c r="B1487">
        <v>24368</v>
      </c>
      <c r="C1487">
        <v>1073</v>
      </c>
      <c r="D1487">
        <v>1</v>
      </c>
      <c r="E1487">
        <v>199.99</v>
      </c>
    </row>
    <row r="1488" spans="1:5" x14ac:dyDescent="0.3">
      <c r="A1488">
        <v>60949</v>
      </c>
      <c r="B1488">
        <v>24368</v>
      </c>
      <c r="C1488">
        <v>365</v>
      </c>
      <c r="D1488">
        <v>2</v>
      </c>
      <c r="E1488">
        <v>119.98</v>
      </c>
    </row>
    <row r="1489" spans="1:5" x14ac:dyDescent="0.3">
      <c r="A1489">
        <v>60951</v>
      </c>
      <c r="B1489">
        <v>24368</v>
      </c>
      <c r="C1489">
        <v>502</v>
      </c>
      <c r="D1489">
        <v>5</v>
      </c>
      <c r="E1489">
        <v>250</v>
      </c>
    </row>
    <row r="1490" spans="1:5" x14ac:dyDescent="0.3">
      <c r="A1490">
        <v>60952</v>
      </c>
      <c r="B1490">
        <v>24369</v>
      </c>
      <c r="C1490">
        <v>1004</v>
      </c>
      <c r="D1490">
        <v>1</v>
      </c>
      <c r="E1490">
        <v>399.98</v>
      </c>
    </row>
    <row r="1491" spans="1:5" x14ac:dyDescent="0.3">
      <c r="A1491">
        <v>60953</v>
      </c>
      <c r="B1491">
        <v>24369</v>
      </c>
      <c r="C1491">
        <v>191</v>
      </c>
      <c r="D1491">
        <v>3</v>
      </c>
      <c r="E1491">
        <v>299.97000000000003</v>
      </c>
    </row>
    <row r="1492" spans="1:5" x14ac:dyDescent="0.3">
      <c r="A1492">
        <v>60956</v>
      </c>
      <c r="B1492">
        <v>24370</v>
      </c>
      <c r="C1492">
        <v>44</v>
      </c>
      <c r="D1492">
        <v>4</v>
      </c>
      <c r="E1492">
        <v>239.96</v>
      </c>
    </row>
    <row r="1493" spans="1:5" x14ac:dyDescent="0.3">
      <c r="A1493">
        <v>60955</v>
      </c>
      <c r="B1493">
        <v>24370</v>
      </c>
      <c r="C1493">
        <v>1073</v>
      </c>
      <c r="D1493">
        <v>1</v>
      </c>
      <c r="E1493">
        <v>199.99</v>
      </c>
    </row>
    <row r="1494" spans="1:5" x14ac:dyDescent="0.3">
      <c r="A1494">
        <v>60954</v>
      </c>
      <c r="B1494">
        <v>24370</v>
      </c>
      <c r="C1494">
        <v>1073</v>
      </c>
      <c r="D1494">
        <v>1</v>
      </c>
      <c r="E1494">
        <v>199.99</v>
      </c>
    </row>
    <row r="1495" spans="1:5" x14ac:dyDescent="0.3">
      <c r="A1495">
        <v>60958</v>
      </c>
      <c r="B1495">
        <v>24371</v>
      </c>
      <c r="C1495">
        <v>1073</v>
      </c>
      <c r="D1495">
        <v>1</v>
      </c>
      <c r="E1495">
        <v>199.99</v>
      </c>
    </row>
    <row r="1496" spans="1:5" x14ac:dyDescent="0.3">
      <c r="A1496">
        <v>60957</v>
      </c>
      <c r="B1496">
        <v>24371</v>
      </c>
      <c r="C1496">
        <v>403</v>
      </c>
      <c r="D1496">
        <v>1</v>
      </c>
      <c r="E1496">
        <v>129.99</v>
      </c>
    </row>
    <row r="1497" spans="1:5" x14ac:dyDescent="0.3">
      <c r="A1497">
        <v>60960</v>
      </c>
      <c r="B1497">
        <v>24372</v>
      </c>
      <c r="C1497">
        <v>1004</v>
      </c>
      <c r="D1497">
        <v>1</v>
      </c>
      <c r="E1497">
        <v>399.98</v>
      </c>
    </row>
    <row r="1498" spans="1:5" x14ac:dyDescent="0.3">
      <c r="A1498">
        <v>60959</v>
      </c>
      <c r="B1498">
        <v>24372</v>
      </c>
      <c r="C1498">
        <v>502</v>
      </c>
      <c r="D1498">
        <v>5</v>
      </c>
      <c r="E1498">
        <v>250</v>
      </c>
    </row>
    <row r="1499" spans="1:5" x14ac:dyDescent="0.3">
      <c r="A1499">
        <v>60963</v>
      </c>
      <c r="B1499">
        <v>24373</v>
      </c>
      <c r="C1499">
        <v>365</v>
      </c>
      <c r="D1499">
        <v>3</v>
      </c>
      <c r="E1499">
        <v>179.97</v>
      </c>
    </row>
    <row r="1500" spans="1:5" x14ac:dyDescent="0.3">
      <c r="A1500">
        <v>60962</v>
      </c>
      <c r="B1500">
        <v>24373</v>
      </c>
      <c r="C1500">
        <v>365</v>
      </c>
      <c r="D1500">
        <v>3</v>
      </c>
      <c r="E1500">
        <v>179.97</v>
      </c>
    </row>
    <row r="1501" spans="1:5" x14ac:dyDescent="0.3">
      <c r="A1501">
        <v>60961</v>
      </c>
      <c r="B1501">
        <v>24373</v>
      </c>
      <c r="C1501">
        <v>565</v>
      </c>
      <c r="D1501">
        <v>5</v>
      </c>
      <c r="E1501">
        <v>350</v>
      </c>
    </row>
    <row r="1502" spans="1:5" x14ac:dyDescent="0.3">
      <c r="A1502">
        <v>60964</v>
      </c>
      <c r="B1502">
        <v>24374</v>
      </c>
      <c r="C1502">
        <v>191</v>
      </c>
      <c r="D1502">
        <v>1</v>
      </c>
      <c r="E1502">
        <v>99.99</v>
      </c>
    </row>
    <row r="1503" spans="1:5" x14ac:dyDescent="0.3">
      <c r="A1503">
        <v>60965</v>
      </c>
      <c r="B1503">
        <v>24374</v>
      </c>
      <c r="C1503">
        <v>403</v>
      </c>
      <c r="D1503">
        <v>1</v>
      </c>
      <c r="E1503">
        <v>129.99</v>
      </c>
    </row>
    <row r="1504" spans="1:5" x14ac:dyDescent="0.3">
      <c r="A1504">
        <v>60967</v>
      </c>
      <c r="B1504">
        <v>24374</v>
      </c>
      <c r="C1504">
        <v>191</v>
      </c>
      <c r="D1504">
        <v>4</v>
      </c>
      <c r="E1504">
        <v>399.96</v>
      </c>
    </row>
    <row r="1505" spans="1:5" x14ac:dyDescent="0.3">
      <c r="A1505">
        <v>60966</v>
      </c>
      <c r="B1505">
        <v>24374</v>
      </c>
      <c r="C1505">
        <v>502</v>
      </c>
      <c r="D1505">
        <v>4</v>
      </c>
      <c r="E1505">
        <v>200</v>
      </c>
    </row>
    <row r="1506" spans="1:5" x14ac:dyDescent="0.3">
      <c r="A1506">
        <v>60971</v>
      </c>
      <c r="B1506">
        <v>24375</v>
      </c>
      <c r="C1506">
        <v>1073</v>
      </c>
      <c r="D1506">
        <v>1</v>
      </c>
      <c r="E1506">
        <v>199.99</v>
      </c>
    </row>
    <row r="1507" spans="1:5" x14ac:dyDescent="0.3">
      <c r="A1507">
        <v>60968</v>
      </c>
      <c r="B1507">
        <v>24375</v>
      </c>
      <c r="C1507">
        <v>1014</v>
      </c>
      <c r="D1507">
        <v>3</v>
      </c>
      <c r="E1507">
        <v>149.94</v>
      </c>
    </row>
    <row r="1508" spans="1:5" x14ac:dyDescent="0.3">
      <c r="A1508">
        <v>60972</v>
      </c>
      <c r="B1508">
        <v>24375</v>
      </c>
      <c r="C1508">
        <v>365</v>
      </c>
      <c r="D1508">
        <v>1</v>
      </c>
      <c r="E1508">
        <v>59.99</v>
      </c>
    </row>
    <row r="1509" spans="1:5" x14ac:dyDescent="0.3">
      <c r="A1509">
        <v>60969</v>
      </c>
      <c r="B1509">
        <v>24375</v>
      </c>
      <c r="C1509">
        <v>191</v>
      </c>
      <c r="D1509">
        <v>2</v>
      </c>
      <c r="E1509">
        <v>199.98</v>
      </c>
    </row>
    <row r="1510" spans="1:5" x14ac:dyDescent="0.3">
      <c r="A1510">
        <v>60970</v>
      </c>
      <c r="B1510">
        <v>24375</v>
      </c>
      <c r="C1510">
        <v>365</v>
      </c>
      <c r="D1510">
        <v>5</v>
      </c>
      <c r="E1510">
        <v>299.95</v>
      </c>
    </row>
    <row r="1511" spans="1:5" x14ac:dyDescent="0.3">
      <c r="A1511">
        <v>61043</v>
      </c>
      <c r="B1511">
        <v>24403</v>
      </c>
      <c r="C1511">
        <v>365</v>
      </c>
      <c r="D1511">
        <v>2</v>
      </c>
      <c r="E1511">
        <v>119.98</v>
      </c>
    </row>
    <row r="1512" spans="1:5" x14ac:dyDescent="0.3">
      <c r="A1512">
        <v>61044</v>
      </c>
      <c r="B1512">
        <v>24403</v>
      </c>
      <c r="C1512">
        <v>365</v>
      </c>
      <c r="D1512">
        <v>4</v>
      </c>
      <c r="E1512">
        <v>239.96</v>
      </c>
    </row>
    <row r="1513" spans="1:5" x14ac:dyDescent="0.3">
      <c r="A1513">
        <v>61042</v>
      </c>
      <c r="B1513">
        <v>24403</v>
      </c>
      <c r="C1513">
        <v>365</v>
      </c>
      <c r="D1513">
        <v>5</v>
      </c>
      <c r="E1513">
        <v>299.95</v>
      </c>
    </row>
    <row r="1514" spans="1:5" x14ac:dyDescent="0.3">
      <c r="A1514">
        <v>61041</v>
      </c>
      <c r="B1514">
        <v>24403</v>
      </c>
      <c r="C1514">
        <v>1014</v>
      </c>
      <c r="D1514">
        <v>2</v>
      </c>
      <c r="E1514">
        <v>99.96</v>
      </c>
    </row>
    <row r="1515" spans="1:5" x14ac:dyDescent="0.3">
      <c r="A1515">
        <v>61047</v>
      </c>
      <c r="B1515">
        <v>24404</v>
      </c>
      <c r="C1515">
        <v>403</v>
      </c>
      <c r="D1515">
        <v>1</v>
      </c>
      <c r="E1515">
        <v>129.99</v>
      </c>
    </row>
    <row r="1516" spans="1:5" x14ac:dyDescent="0.3">
      <c r="A1516">
        <v>61046</v>
      </c>
      <c r="B1516">
        <v>24404</v>
      </c>
      <c r="C1516">
        <v>502</v>
      </c>
      <c r="D1516">
        <v>1</v>
      </c>
      <c r="E1516">
        <v>50</v>
      </c>
    </row>
    <row r="1517" spans="1:5" x14ac:dyDescent="0.3">
      <c r="A1517">
        <v>61045</v>
      </c>
      <c r="B1517">
        <v>24404</v>
      </c>
      <c r="C1517">
        <v>365</v>
      </c>
      <c r="D1517">
        <v>3</v>
      </c>
      <c r="E1517">
        <v>179.97</v>
      </c>
    </row>
    <row r="1518" spans="1:5" x14ac:dyDescent="0.3">
      <c r="A1518">
        <v>61068</v>
      </c>
      <c r="B1518">
        <v>24414</v>
      </c>
      <c r="C1518">
        <v>403</v>
      </c>
      <c r="D1518">
        <v>1</v>
      </c>
      <c r="E1518">
        <v>129.99</v>
      </c>
    </row>
    <row r="1519" spans="1:5" x14ac:dyDescent="0.3">
      <c r="A1519">
        <v>61070</v>
      </c>
      <c r="B1519">
        <v>24414</v>
      </c>
      <c r="C1519">
        <v>365</v>
      </c>
      <c r="D1519">
        <v>1</v>
      </c>
      <c r="E1519">
        <v>59.99</v>
      </c>
    </row>
    <row r="1520" spans="1:5" x14ac:dyDescent="0.3">
      <c r="A1520">
        <v>61069</v>
      </c>
      <c r="B1520">
        <v>24414</v>
      </c>
      <c r="C1520">
        <v>627</v>
      </c>
      <c r="D1520">
        <v>3</v>
      </c>
      <c r="E1520">
        <v>119.97</v>
      </c>
    </row>
    <row r="1521" spans="1:5" x14ac:dyDescent="0.3">
      <c r="A1521">
        <v>61071</v>
      </c>
      <c r="B1521">
        <v>24414</v>
      </c>
      <c r="C1521">
        <v>627</v>
      </c>
      <c r="D1521">
        <v>4</v>
      </c>
      <c r="E1521">
        <v>159.96</v>
      </c>
    </row>
    <row r="1522" spans="1:5" x14ac:dyDescent="0.3">
      <c r="A1522">
        <v>61072</v>
      </c>
      <c r="B1522">
        <v>24414</v>
      </c>
      <c r="C1522">
        <v>502</v>
      </c>
      <c r="D1522">
        <v>5</v>
      </c>
      <c r="E1522">
        <v>250</v>
      </c>
    </row>
    <row r="1523" spans="1:5" x14ac:dyDescent="0.3">
      <c r="A1523">
        <v>61206</v>
      </c>
      <c r="B1523">
        <v>24457</v>
      </c>
      <c r="C1523">
        <v>365</v>
      </c>
      <c r="D1523">
        <v>1</v>
      </c>
      <c r="E1523">
        <v>59.99</v>
      </c>
    </row>
    <row r="1524" spans="1:5" x14ac:dyDescent="0.3">
      <c r="A1524">
        <v>61205</v>
      </c>
      <c r="B1524">
        <v>24457</v>
      </c>
      <c r="C1524">
        <v>365</v>
      </c>
      <c r="D1524">
        <v>5</v>
      </c>
      <c r="E1524">
        <v>299.95</v>
      </c>
    </row>
    <row r="1525" spans="1:5" x14ac:dyDescent="0.3">
      <c r="A1525">
        <v>61202</v>
      </c>
      <c r="B1525">
        <v>24457</v>
      </c>
      <c r="C1525">
        <v>1073</v>
      </c>
      <c r="D1525">
        <v>1</v>
      </c>
      <c r="E1525">
        <v>199.99</v>
      </c>
    </row>
    <row r="1526" spans="1:5" x14ac:dyDescent="0.3">
      <c r="A1526">
        <v>61204</v>
      </c>
      <c r="B1526">
        <v>24457</v>
      </c>
      <c r="C1526">
        <v>1014</v>
      </c>
      <c r="D1526">
        <v>3</v>
      </c>
      <c r="E1526">
        <v>149.94</v>
      </c>
    </row>
    <row r="1527" spans="1:5" x14ac:dyDescent="0.3">
      <c r="A1527">
        <v>61203</v>
      </c>
      <c r="B1527">
        <v>24457</v>
      </c>
      <c r="C1527">
        <v>1014</v>
      </c>
      <c r="D1527">
        <v>2</v>
      </c>
      <c r="E1527">
        <v>99.96</v>
      </c>
    </row>
    <row r="1528" spans="1:5" x14ac:dyDescent="0.3">
      <c r="A1528">
        <v>61259</v>
      </c>
      <c r="B1528">
        <v>24477</v>
      </c>
      <c r="C1528">
        <v>403</v>
      </c>
      <c r="D1528">
        <v>1</v>
      </c>
      <c r="E1528">
        <v>129.99</v>
      </c>
    </row>
    <row r="1529" spans="1:5" x14ac:dyDescent="0.3">
      <c r="A1529">
        <v>61258</v>
      </c>
      <c r="B1529">
        <v>24477</v>
      </c>
      <c r="C1529">
        <v>1073</v>
      </c>
      <c r="D1529">
        <v>1</v>
      </c>
      <c r="E1529">
        <v>199.99</v>
      </c>
    </row>
    <row r="1530" spans="1:5" x14ac:dyDescent="0.3">
      <c r="A1530">
        <v>61304</v>
      </c>
      <c r="B1530">
        <v>24494</v>
      </c>
      <c r="C1530">
        <v>365</v>
      </c>
      <c r="D1530">
        <v>3</v>
      </c>
      <c r="E1530">
        <v>179.97</v>
      </c>
    </row>
    <row r="1531" spans="1:5" x14ac:dyDescent="0.3">
      <c r="A1531">
        <v>61300</v>
      </c>
      <c r="B1531">
        <v>24494</v>
      </c>
      <c r="C1531">
        <v>627</v>
      </c>
      <c r="D1531">
        <v>1</v>
      </c>
      <c r="E1531">
        <v>39.99</v>
      </c>
    </row>
    <row r="1532" spans="1:5" x14ac:dyDescent="0.3">
      <c r="A1532">
        <v>61302</v>
      </c>
      <c r="B1532">
        <v>24494</v>
      </c>
      <c r="C1532">
        <v>957</v>
      </c>
      <c r="D1532">
        <v>1</v>
      </c>
      <c r="E1532">
        <v>299.98</v>
      </c>
    </row>
    <row r="1533" spans="1:5" x14ac:dyDescent="0.3">
      <c r="A1533">
        <v>61303</v>
      </c>
      <c r="B1533">
        <v>24494</v>
      </c>
      <c r="C1533">
        <v>1014</v>
      </c>
      <c r="D1533">
        <v>4</v>
      </c>
      <c r="E1533">
        <v>199.92</v>
      </c>
    </row>
    <row r="1534" spans="1:5" x14ac:dyDescent="0.3">
      <c r="A1534">
        <v>61301</v>
      </c>
      <c r="B1534">
        <v>24494</v>
      </c>
      <c r="C1534">
        <v>1014</v>
      </c>
      <c r="D1534">
        <v>1</v>
      </c>
      <c r="E1534">
        <v>49.98</v>
      </c>
    </row>
    <row r="1535" spans="1:5" x14ac:dyDescent="0.3">
      <c r="A1535">
        <v>61307</v>
      </c>
      <c r="B1535">
        <v>24495</v>
      </c>
      <c r="C1535">
        <v>403</v>
      </c>
      <c r="D1535">
        <v>1</v>
      </c>
      <c r="E1535">
        <v>129.99</v>
      </c>
    </row>
    <row r="1536" spans="1:5" x14ac:dyDescent="0.3">
      <c r="A1536">
        <v>61305</v>
      </c>
      <c r="B1536">
        <v>24495</v>
      </c>
      <c r="C1536">
        <v>403</v>
      </c>
      <c r="D1536">
        <v>1</v>
      </c>
      <c r="E1536">
        <v>129.99</v>
      </c>
    </row>
    <row r="1537" spans="1:5" x14ac:dyDescent="0.3">
      <c r="A1537">
        <v>61309</v>
      </c>
      <c r="B1537">
        <v>24495</v>
      </c>
      <c r="C1537">
        <v>502</v>
      </c>
      <c r="D1537">
        <v>1</v>
      </c>
      <c r="E1537">
        <v>50</v>
      </c>
    </row>
    <row r="1538" spans="1:5" x14ac:dyDescent="0.3">
      <c r="A1538">
        <v>61306</v>
      </c>
      <c r="B1538">
        <v>24495</v>
      </c>
      <c r="C1538">
        <v>365</v>
      </c>
      <c r="D1538">
        <v>4</v>
      </c>
      <c r="E1538">
        <v>239.96</v>
      </c>
    </row>
    <row r="1539" spans="1:5" x14ac:dyDescent="0.3">
      <c r="A1539">
        <v>61308</v>
      </c>
      <c r="B1539">
        <v>24495</v>
      </c>
      <c r="C1539">
        <v>365</v>
      </c>
      <c r="D1539">
        <v>5</v>
      </c>
      <c r="E1539">
        <v>299.95</v>
      </c>
    </row>
    <row r="1540" spans="1:5" x14ac:dyDescent="0.3">
      <c r="A1540">
        <v>61338</v>
      </c>
      <c r="B1540">
        <v>24508</v>
      </c>
      <c r="C1540">
        <v>897</v>
      </c>
      <c r="D1540">
        <v>1</v>
      </c>
      <c r="E1540">
        <v>24.99</v>
      </c>
    </row>
    <row r="1541" spans="1:5" x14ac:dyDescent="0.3">
      <c r="A1541">
        <v>61339</v>
      </c>
      <c r="B1541">
        <v>24508</v>
      </c>
      <c r="C1541">
        <v>1004</v>
      </c>
      <c r="D1541">
        <v>1</v>
      </c>
      <c r="E1541">
        <v>399.98</v>
      </c>
    </row>
    <row r="1542" spans="1:5" x14ac:dyDescent="0.3">
      <c r="A1542">
        <v>61337</v>
      </c>
      <c r="B1542">
        <v>24508</v>
      </c>
      <c r="C1542">
        <v>957</v>
      </c>
      <c r="D1542">
        <v>1</v>
      </c>
      <c r="E1542">
        <v>299.98</v>
      </c>
    </row>
    <row r="1543" spans="1:5" x14ac:dyDescent="0.3">
      <c r="A1543">
        <v>61345</v>
      </c>
      <c r="B1543">
        <v>24510</v>
      </c>
      <c r="C1543">
        <v>502</v>
      </c>
      <c r="D1543">
        <v>3</v>
      </c>
      <c r="E1543">
        <v>150</v>
      </c>
    </row>
    <row r="1544" spans="1:5" x14ac:dyDescent="0.3">
      <c r="A1544">
        <v>61347</v>
      </c>
      <c r="B1544">
        <v>24510</v>
      </c>
      <c r="C1544">
        <v>365</v>
      </c>
      <c r="D1544">
        <v>5</v>
      </c>
      <c r="E1544">
        <v>299.95</v>
      </c>
    </row>
    <row r="1545" spans="1:5" x14ac:dyDescent="0.3">
      <c r="A1545">
        <v>61348</v>
      </c>
      <c r="B1545">
        <v>24510</v>
      </c>
      <c r="C1545">
        <v>502</v>
      </c>
      <c r="D1545">
        <v>5</v>
      </c>
      <c r="E1545">
        <v>250</v>
      </c>
    </row>
    <row r="1546" spans="1:5" x14ac:dyDescent="0.3">
      <c r="A1546">
        <v>61346</v>
      </c>
      <c r="B1546">
        <v>24510</v>
      </c>
      <c r="C1546">
        <v>627</v>
      </c>
      <c r="D1546">
        <v>5</v>
      </c>
      <c r="E1546">
        <v>199.95</v>
      </c>
    </row>
    <row r="1547" spans="1:5" x14ac:dyDescent="0.3">
      <c r="A1547">
        <v>61351</v>
      </c>
      <c r="B1547">
        <v>24511</v>
      </c>
      <c r="C1547">
        <v>1004</v>
      </c>
      <c r="D1547">
        <v>1</v>
      </c>
      <c r="E1547">
        <v>399.98</v>
      </c>
    </row>
    <row r="1548" spans="1:5" x14ac:dyDescent="0.3">
      <c r="A1548">
        <v>61352</v>
      </c>
      <c r="B1548">
        <v>24511</v>
      </c>
      <c r="C1548">
        <v>365</v>
      </c>
      <c r="D1548">
        <v>3</v>
      </c>
      <c r="E1548">
        <v>179.97</v>
      </c>
    </row>
    <row r="1549" spans="1:5" x14ac:dyDescent="0.3">
      <c r="A1549">
        <v>61350</v>
      </c>
      <c r="B1549">
        <v>24511</v>
      </c>
      <c r="C1549">
        <v>365</v>
      </c>
      <c r="D1549">
        <v>4</v>
      </c>
      <c r="E1549">
        <v>239.96</v>
      </c>
    </row>
    <row r="1550" spans="1:5" x14ac:dyDescent="0.3">
      <c r="A1550">
        <v>61349</v>
      </c>
      <c r="B1550">
        <v>24511</v>
      </c>
      <c r="C1550">
        <v>502</v>
      </c>
      <c r="D1550">
        <v>4</v>
      </c>
      <c r="E1550">
        <v>200</v>
      </c>
    </row>
    <row r="1551" spans="1:5" x14ac:dyDescent="0.3">
      <c r="A1551">
        <v>61401</v>
      </c>
      <c r="B1551">
        <v>24531</v>
      </c>
      <c r="C1551">
        <v>957</v>
      </c>
      <c r="D1551">
        <v>1</v>
      </c>
      <c r="E1551">
        <v>299.98</v>
      </c>
    </row>
    <row r="1552" spans="1:5" x14ac:dyDescent="0.3">
      <c r="A1552">
        <v>61405</v>
      </c>
      <c r="B1552">
        <v>24531</v>
      </c>
      <c r="C1552">
        <v>365</v>
      </c>
      <c r="D1552">
        <v>3</v>
      </c>
      <c r="E1552">
        <v>179.97</v>
      </c>
    </row>
    <row r="1553" spans="1:5" x14ac:dyDescent="0.3">
      <c r="A1553">
        <v>61404</v>
      </c>
      <c r="B1553">
        <v>24531</v>
      </c>
      <c r="C1553">
        <v>365</v>
      </c>
      <c r="D1553">
        <v>4</v>
      </c>
      <c r="E1553">
        <v>239.96</v>
      </c>
    </row>
    <row r="1554" spans="1:5" x14ac:dyDescent="0.3">
      <c r="A1554">
        <v>61403</v>
      </c>
      <c r="B1554">
        <v>24531</v>
      </c>
      <c r="C1554">
        <v>502</v>
      </c>
      <c r="D1554">
        <v>4</v>
      </c>
      <c r="E1554">
        <v>200</v>
      </c>
    </row>
    <row r="1555" spans="1:5" x14ac:dyDescent="0.3">
      <c r="A1555">
        <v>61402</v>
      </c>
      <c r="B1555">
        <v>24531</v>
      </c>
      <c r="C1555">
        <v>1014</v>
      </c>
      <c r="D1555">
        <v>3</v>
      </c>
      <c r="E1555">
        <v>149.94</v>
      </c>
    </row>
    <row r="1556" spans="1:5" x14ac:dyDescent="0.3">
      <c r="A1556">
        <v>61410</v>
      </c>
      <c r="B1556">
        <v>24532</v>
      </c>
      <c r="C1556">
        <v>957</v>
      </c>
      <c r="D1556">
        <v>1</v>
      </c>
      <c r="E1556">
        <v>299.98</v>
      </c>
    </row>
    <row r="1557" spans="1:5" x14ac:dyDescent="0.3">
      <c r="A1557">
        <v>61409</v>
      </c>
      <c r="B1557">
        <v>24532</v>
      </c>
      <c r="C1557">
        <v>957</v>
      </c>
      <c r="D1557">
        <v>1</v>
      </c>
      <c r="E1557">
        <v>299.98</v>
      </c>
    </row>
    <row r="1558" spans="1:5" x14ac:dyDescent="0.3">
      <c r="A1558">
        <v>61407</v>
      </c>
      <c r="B1558">
        <v>24532</v>
      </c>
      <c r="C1558">
        <v>957</v>
      </c>
      <c r="D1558">
        <v>1</v>
      </c>
      <c r="E1558">
        <v>299.98</v>
      </c>
    </row>
    <row r="1559" spans="1:5" x14ac:dyDescent="0.3">
      <c r="A1559">
        <v>61408</v>
      </c>
      <c r="B1559">
        <v>24532</v>
      </c>
      <c r="C1559">
        <v>273</v>
      </c>
      <c r="D1559">
        <v>5</v>
      </c>
      <c r="E1559">
        <v>139.94999999999999</v>
      </c>
    </row>
    <row r="1560" spans="1:5" x14ac:dyDescent="0.3">
      <c r="A1560">
        <v>61406</v>
      </c>
      <c r="B1560">
        <v>24532</v>
      </c>
      <c r="C1560">
        <v>1014</v>
      </c>
      <c r="D1560">
        <v>4</v>
      </c>
      <c r="E1560">
        <v>199.92</v>
      </c>
    </row>
    <row r="1561" spans="1:5" x14ac:dyDescent="0.3">
      <c r="A1561">
        <v>61441</v>
      </c>
      <c r="B1561">
        <v>24542</v>
      </c>
      <c r="C1561">
        <v>403</v>
      </c>
      <c r="D1561">
        <v>1</v>
      </c>
      <c r="E1561">
        <v>129.99</v>
      </c>
    </row>
    <row r="1562" spans="1:5" x14ac:dyDescent="0.3">
      <c r="A1562">
        <v>61438</v>
      </c>
      <c r="B1562">
        <v>24542</v>
      </c>
      <c r="C1562">
        <v>1004</v>
      </c>
      <c r="D1562">
        <v>1</v>
      </c>
      <c r="E1562">
        <v>399.98</v>
      </c>
    </row>
    <row r="1563" spans="1:5" x14ac:dyDescent="0.3">
      <c r="A1563">
        <v>61442</v>
      </c>
      <c r="B1563">
        <v>24542</v>
      </c>
      <c r="C1563">
        <v>924</v>
      </c>
      <c r="D1563">
        <v>3</v>
      </c>
      <c r="E1563">
        <v>47.97</v>
      </c>
    </row>
    <row r="1564" spans="1:5" x14ac:dyDescent="0.3">
      <c r="A1564">
        <v>61440</v>
      </c>
      <c r="B1564">
        <v>24542</v>
      </c>
      <c r="C1564">
        <v>365</v>
      </c>
      <c r="D1564">
        <v>4</v>
      </c>
      <c r="E1564">
        <v>239.96</v>
      </c>
    </row>
    <row r="1565" spans="1:5" x14ac:dyDescent="0.3">
      <c r="A1565">
        <v>61439</v>
      </c>
      <c r="B1565">
        <v>24542</v>
      </c>
      <c r="C1565">
        <v>1073</v>
      </c>
      <c r="D1565">
        <v>1</v>
      </c>
      <c r="E1565">
        <v>199.99</v>
      </c>
    </row>
    <row r="1566" spans="1:5" x14ac:dyDescent="0.3">
      <c r="A1566">
        <v>61445</v>
      </c>
      <c r="B1566">
        <v>24543</v>
      </c>
      <c r="C1566">
        <v>1004</v>
      </c>
      <c r="D1566">
        <v>1</v>
      </c>
      <c r="E1566">
        <v>399.98</v>
      </c>
    </row>
    <row r="1567" spans="1:5" x14ac:dyDescent="0.3">
      <c r="A1567">
        <v>61446</v>
      </c>
      <c r="B1567">
        <v>24543</v>
      </c>
      <c r="C1567">
        <v>365</v>
      </c>
      <c r="D1567">
        <v>3</v>
      </c>
      <c r="E1567">
        <v>179.97</v>
      </c>
    </row>
    <row r="1568" spans="1:5" x14ac:dyDescent="0.3">
      <c r="A1568">
        <v>61443</v>
      </c>
      <c r="B1568">
        <v>24543</v>
      </c>
      <c r="C1568">
        <v>365</v>
      </c>
      <c r="D1568">
        <v>4</v>
      </c>
      <c r="E1568">
        <v>239.96</v>
      </c>
    </row>
    <row r="1569" spans="1:5" x14ac:dyDescent="0.3">
      <c r="A1569">
        <v>61444</v>
      </c>
      <c r="B1569">
        <v>24543</v>
      </c>
      <c r="C1569">
        <v>1014</v>
      </c>
      <c r="D1569">
        <v>1</v>
      </c>
      <c r="E1569">
        <v>49.98</v>
      </c>
    </row>
    <row r="1570" spans="1:5" x14ac:dyDescent="0.3">
      <c r="A1570">
        <v>61447</v>
      </c>
      <c r="B1570">
        <v>24545</v>
      </c>
      <c r="C1570">
        <v>403</v>
      </c>
      <c r="D1570">
        <v>1</v>
      </c>
      <c r="E1570">
        <v>129.99</v>
      </c>
    </row>
    <row r="1571" spans="1:5" x14ac:dyDescent="0.3">
      <c r="A1571">
        <v>61448</v>
      </c>
      <c r="B1571">
        <v>24545</v>
      </c>
      <c r="C1571">
        <v>957</v>
      </c>
      <c r="D1571">
        <v>1</v>
      </c>
      <c r="E1571">
        <v>299.98</v>
      </c>
    </row>
    <row r="1572" spans="1:5" x14ac:dyDescent="0.3">
      <c r="A1572">
        <v>61481</v>
      </c>
      <c r="B1572">
        <v>24556</v>
      </c>
      <c r="C1572">
        <v>572</v>
      </c>
      <c r="D1572">
        <v>4</v>
      </c>
      <c r="E1572">
        <v>159.96</v>
      </c>
    </row>
    <row r="1573" spans="1:5" x14ac:dyDescent="0.3">
      <c r="A1573">
        <v>61480</v>
      </c>
      <c r="B1573">
        <v>24556</v>
      </c>
      <c r="C1573">
        <v>792</v>
      </c>
      <c r="D1573">
        <v>4</v>
      </c>
      <c r="E1573">
        <v>59.96</v>
      </c>
    </row>
    <row r="1574" spans="1:5" x14ac:dyDescent="0.3">
      <c r="A1574">
        <v>61482</v>
      </c>
      <c r="B1574">
        <v>24556</v>
      </c>
      <c r="C1574">
        <v>627</v>
      </c>
      <c r="D1574">
        <v>2</v>
      </c>
      <c r="E1574">
        <v>79.98</v>
      </c>
    </row>
    <row r="1575" spans="1:5" x14ac:dyDescent="0.3">
      <c r="A1575">
        <v>61483</v>
      </c>
      <c r="B1575">
        <v>24558</v>
      </c>
      <c r="C1575">
        <v>403</v>
      </c>
      <c r="D1575">
        <v>1</v>
      </c>
      <c r="E1575">
        <v>129.99</v>
      </c>
    </row>
    <row r="1576" spans="1:5" x14ac:dyDescent="0.3">
      <c r="A1576">
        <v>61484</v>
      </c>
      <c r="B1576">
        <v>24558</v>
      </c>
      <c r="C1576">
        <v>1014</v>
      </c>
      <c r="D1576">
        <v>1</v>
      </c>
      <c r="E1576">
        <v>49.98</v>
      </c>
    </row>
    <row r="1577" spans="1:5" x14ac:dyDescent="0.3">
      <c r="A1577">
        <v>61485</v>
      </c>
      <c r="B1577">
        <v>24559</v>
      </c>
      <c r="C1577">
        <v>957</v>
      </c>
      <c r="D1577">
        <v>1</v>
      </c>
      <c r="E1577">
        <v>299.98</v>
      </c>
    </row>
    <row r="1578" spans="1:5" x14ac:dyDescent="0.3">
      <c r="A1578">
        <v>61486</v>
      </c>
      <c r="B1578">
        <v>24559</v>
      </c>
      <c r="C1578">
        <v>1004</v>
      </c>
      <c r="D1578">
        <v>1</v>
      </c>
      <c r="E1578">
        <v>399.98</v>
      </c>
    </row>
    <row r="1579" spans="1:5" x14ac:dyDescent="0.3">
      <c r="A1579">
        <v>61489</v>
      </c>
      <c r="B1579">
        <v>24560</v>
      </c>
      <c r="C1579">
        <v>403</v>
      </c>
      <c r="D1579">
        <v>1</v>
      </c>
      <c r="E1579">
        <v>129.99</v>
      </c>
    </row>
    <row r="1580" spans="1:5" x14ac:dyDescent="0.3">
      <c r="A1580">
        <v>61488</v>
      </c>
      <c r="B1580">
        <v>24560</v>
      </c>
      <c r="C1580">
        <v>403</v>
      </c>
      <c r="D1580">
        <v>1</v>
      </c>
      <c r="E1580">
        <v>129.99</v>
      </c>
    </row>
    <row r="1581" spans="1:5" x14ac:dyDescent="0.3">
      <c r="A1581">
        <v>61487</v>
      </c>
      <c r="B1581">
        <v>24560</v>
      </c>
      <c r="C1581">
        <v>1004</v>
      </c>
      <c r="D1581">
        <v>1</v>
      </c>
      <c r="E1581">
        <v>399.98</v>
      </c>
    </row>
    <row r="1582" spans="1:5" x14ac:dyDescent="0.3">
      <c r="A1582">
        <v>61490</v>
      </c>
      <c r="B1582">
        <v>24560</v>
      </c>
      <c r="C1582">
        <v>502</v>
      </c>
      <c r="D1582">
        <v>2</v>
      </c>
      <c r="E1582">
        <v>100</v>
      </c>
    </row>
    <row r="1583" spans="1:5" x14ac:dyDescent="0.3">
      <c r="A1583">
        <v>61541</v>
      </c>
      <c r="B1583">
        <v>24580</v>
      </c>
      <c r="C1583">
        <v>403</v>
      </c>
      <c r="D1583">
        <v>1</v>
      </c>
      <c r="E1583">
        <v>129.99</v>
      </c>
    </row>
    <row r="1584" spans="1:5" x14ac:dyDescent="0.3">
      <c r="A1584">
        <v>61540</v>
      </c>
      <c r="B1584">
        <v>24580</v>
      </c>
      <c r="C1584">
        <v>365</v>
      </c>
      <c r="D1584">
        <v>3</v>
      </c>
      <c r="E1584">
        <v>179.97</v>
      </c>
    </row>
    <row r="1585" spans="1:5" x14ac:dyDescent="0.3">
      <c r="A1585">
        <v>61544</v>
      </c>
      <c r="B1585">
        <v>24580</v>
      </c>
      <c r="C1585">
        <v>502</v>
      </c>
      <c r="D1585">
        <v>3</v>
      </c>
      <c r="E1585">
        <v>150</v>
      </c>
    </row>
    <row r="1586" spans="1:5" x14ac:dyDescent="0.3">
      <c r="A1586">
        <v>61543</v>
      </c>
      <c r="B1586">
        <v>24580</v>
      </c>
      <c r="C1586">
        <v>1014</v>
      </c>
      <c r="D1586">
        <v>4</v>
      </c>
      <c r="E1586">
        <v>199.92</v>
      </c>
    </row>
    <row r="1587" spans="1:5" x14ac:dyDescent="0.3">
      <c r="A1587">
        <v>61542</v>
      </c>
      <c r="B1587">
        <v>24580</v>
      </c>
      <c r="C1587">
        <v>1014</v>
      </c>
      <c r="D1587">
        <v>5</v>
      </c>
      <c r="E1587">
        <v>249.9</v>
      </c>
    </row>
    <row r="1588" spans="1:5" x14ac:dyDescent="0.3">
      <c r="A1588">
        <v>61547</v>
      </c>
      <c r="B1588">
        <v>24581</v>
      </c>
      <c r="C1588">
        <v>365</v>
      </c>
      <c r="D1588">
        <v>1</v>
      </c>
      <c r="E1588">
        <v>59.99</v>
      </c>
    </row>
    <row r="1589" spans="1:5" x14ac:dyDescent="0.3">
      <c r="A1589">
        <v>61546</v>
      </c>
      <c r="B1589">
        <v>24581</v>
      </c>
      <c r="C1589">
        <v>403</v>
      </c>
      <c r="D1589">
        <v>1</v>
      </c>
      <c r="E1589">
        <v>129.99</v>
      </c>
    </row>
    <row r="1590" spans="1:5" x14ac:dyDescent="0.3">
      <c r="A1590">
        <v>61545</v>
      </c>
      <c r="B1590">
        <v>24581</v>
      </c>
      <c r="C1590">
        <v>403</v>
      </c>
      <c r="D1590">
        <v>1</v>
      </c>
      <c r="E1590">
        <v>129.99</v>
      </c>
    </row>
    <row r="1591" spans="1:5" x14ac:dyDescent="0.3">
      <c r="A1591">
        <v>61548</v>
      </c>
      <c r="B1591">
        <v>24581</v>
      </c>
      <c r="C1591">
        <v>1014</v>
      </c>
      <c r="D1591">
        <v>4</v>
      </c>
      <c r="E1591">
        <v>199.92</v>
      </c>
    </row>
    <row r="1592" spans="1:5" x14ac:dyDescent="0.3">
      <c r="A1592">
        <v>61549</v>
      </c>
      <c r="B1592">
        <v>24582</v>
      </c>
      <c r="C1592">
        <v>1073</v>
      </c>
      <c r="D1592">
        <v>1</v>
      </c>
      <c r="E1592">
        <v>199.99</v>
      </c>
    </row>
    <row r="1593" spans="1:5" x14ac:dyDescent="0.3">
      <c r="A1593">
        <v>61550</v>
      </c>
      <c r="B1593">
        <v>24582</v>
      </c>
      <c r="C1593">
        <v>365</v>
      </c>
      <c r="D1593">
        <v>4</v>
      </c>
      <c r="E1593">
        <v>239.96</v>
      </c>
    </row>
    <row r="1594" spans="1:5" x14ac:dyDescent="0.3">
      <c r="A1594">
        <v>61552</v>
      </c>
      <c r="B1594">
        <v>24583</v>
      </c>
      <c r="C1594">
        <v>502</v>
      </c>
      <c r="D1594">
        <v>1</v>
      </c>
      <c r="E1594">
        <v>50</v>
      </c>
    </row>
    <row r="1595" spans="1:5" x14ac:dyDescent="0.3">
      <c r="A1595">
        <v>61553</v>
      </c>
      <c r="B1595">
        <v>24583</v>
      </c>
      <c r="C1595">
        <v>1004</v>
      </c>
      <c r="D1595">
        <v>1</v>
      </c>
      <c r="E1595">
        <v>399.98</v>
      </c>
    </row>
    <row r="1596" spans="1:5" x14ac:dyDescent="0.3">
      <c r="A1596">
        <v>61551</v>
      </c>
      <c r="B1596">
        <v>24583</v>
      </c>
      <c r="C1596">
        <v>191</v>
      </c>
      <c r="D1596">
        <v>5</v>
      </c>
      <c r="E1596">
        <v>499.95</v>
      </c>
    </row>
    <row r="1597" spans="1:5" x14ac:dyDescent="0.3">
      <c r="A1597">
        <v>61571</v>
      </c>
      <c r="B1597">
        <v>24589</v>
      </c>
      <c r="C1597">
        <v>1014</v>
      </c>
      <c r="D1597">
        <v>5</v>
      </c>
      <c r="E1597">
        <v>249.9</v>
      </c>
    </row>
    <row r="1598" spans="1:5" x14ac:dyDescent="0.3">
      <c r="A1598">
        <v>61573</v>
      </c>
      <c r="B1598">
        <v>24589</v>
      </c>
      <c r="C1598">
        <v>627</v>
      </c>
      <c r="D1598">
        <v>3</v>
      </c>
      <c r="E1598">
        <v>119.97</v>
      </c>
    </row>
    <row r="1599" spans="1:5" x14ac:dyDescent="0.3">
      <c r="A1599">
        <v>61572</v>
      </c>
      <c r="B1599">
        <v>24589</v>
      </c>
      <c r="C1599">
        <v>897</v>
      </c>
      <c r="D1599">
        <v>3</v>
      </c>
      <c r="E1599">
        <v>74.97</v>
      </c>
    </row>
    <row r="1600" spans="1:5" x14ac:dyDescent="0.3">
      <c r="A1600">
        <v>61606</v>
      </c>
      <c r="B1600">
        <v>24602</v>
      </c>
      <c r="C1600">
        <v>1004</v>
      </c>
      <c r="D1600">
        <v>1</v>
      </c>
      <c r="E1600">
        <v>399.98</v>
      </c>
    </row>
    <row r="1601" spans="1:5" x14ac:dyDescent="0.3">
      <c r="A1601">
        <v>61608</v>
      </c>
      <c r="B1601">
        <v>24602</v>
      </c>
      <c r="C1601">
        <v>627</v>
      </c>
      <c r="D1601">
        <v>2</v>
      </c>
      <c r="E1601">
        <v>79.98</v>
      </c>
    </row>
    <row r="1602" spans="1:5" x14ac:dyDescent="0.3">
      <c r="A1602">
        <v>61609</v>
      </c>
      <c r="B1602">
        <v>24602</v>
      </c>
      <c r="C1602">
        <v>885</v>
      </c>
      <c r="D1602">
        <v>2</v>
      </c>
      <c r="E1602">
        <v>49.98</v>
      </c>
    </row>
    <row r="1603" spans="1:5" x14ac:dyDescent="0.3">
      <c r="A1603">
        <v>61607</v>
      </c>
      <c r="B1603">
        <v>24602</v>
      </c>
      <c r="C1603">
        <v>906</v>
      </c>
      <c r="D1603">
        <v>5</v>
      </c>
      <c r="E1603">
        <v>124.95</v>
      </c>
    </row>
    <row r="1604" spans="1:5" x14ac:dyDescent="0.3">
      <c r="A1604">
        <v>61612</v>
      </c>
      <c r="B1604">
        <v>24604</v>
      </c>
      <c r="C1604">
        <v>502</v>
      </c>
      <c r="D1604">
        <v>4</v>
      </c>
      <c r="E1604">
        <v>200</v>
      </c>
    </row>
    <row r="1605" spans="1:5" x14ac:dyDescent="0.3">
      <c r="A1605">
        <v>61613</v>
      </c>
      <c r="B1605">
        <v>24604</v>
      </c>
      <c r="C1605">
        <v>1073</v>
      </c>
      <c r="D1605">
        <v>1</v>
      </c>
      <c r="E1605">
        <v>199.99</v>
      </c>
    </row>
    <row r="1606" spans="1:5" x14ac:dyDescent="0.3">
      <c r="A1606">
        <v>61615</v>
      </c>
      <c r="B1606">
        <v>24604</v>
      </c>
      <c r="C1606">
        <v>403</v>
      </c>
      <c r="D1606">
        <v>1</v>
      </c>
      <c r="E1606">
        <v>129.99</v>
      </c>
    </row>
    <row r="1607" spans="1:5" x14ac:dyDescent="0.3">
      <c r="A1607">
        <v>61616</v>
      </c>
      <c r="B1607">
        <v>24604</v>
      </c>
      <c r="C1607">
        <v>1004</v>
      </c>
      <c r="D1607">
        <v>1</v>
      </c>
      <c r="E1607">
        <v>399.98</v>
      </c>
    </row>
    <row r="1608" spans="1:5" x14ac:dyDescent="0.3">
      <c r="A1608">
        <v>61614</v>
      </c>
      <c r="B1608">
        <v>24604</v>
      </c>
      <c r="C1608">
        <v>191</v>
      </c>
      <c r="D1608">
        <v>3</v>
      </c>
      <c r="E1608">
        <v>299.97000000000003</v>
      </c>
    </row>
    <row r="1609" spans="1:5" x14ac:dyDescent="0.3">
      <c r="A1609">
        <v>61640</v>
      </c>
      <c r="B1609">
        <v>24618</v>
      </c>
      <c r="C1609">
        <v>957</v>
      </c>
      <c r="D1609">
        <v>1</v>
      </c>
      <c r="E1609">
        <v>299.98</v>
      </c>
    </row>
    <row r="1610" spans="1:5" x14ac:dyDescent="0.3">
      <c r="A1610">
        <v>61639</v>
      </c>
      <c r="B1610">
        <v>24618</v>
      </c>
      <c r="C1610">
        <v>365</v>
      </c>
      <c r="D1610">
        <v>2</v>
      </c>
      <c r="E1610">
        <v>119.98</v>
      </c>
    </row>
    <row r="1611" spans="1:5" x14ac:dyDescent="0.3">
      <c r="A1611">
        <v>61643</v>
      </c>
      <c r="B1611">
        <v>24619</v>
      </c>
      <c r="C1611">
        <v>365</v>
      </c>
      <c r="D1611">
        <v>1</v>
      </c>
      <c r="E1611">
        <v>59.99</v>
      </c>
    </row>
    <row r="1612" spans="1:5" x14ac:dyDescent="0.3">
      <c r="A1612">
        <v>61642</v>
      </c>
      <c r="B1612">
        <v>24619</v>
      </c>
      <c r="C1612">
        <v>957</v>
      </c>
      <c r="D1612">
        <v>1</v>
      </c>
      <c r="E1612">
        <v>299.98</v>
      </c>
    </row>
    <row r="1613" spans="1:5" x14ac:dyDescent="0.3">
      <c r="A1613">
        <v>61641</v>
      </c>
      <c r="B1613">
        <v>24619</v>
      </c>
      <c r="C1613">
        <v>403</v>
      </c>
      <c r="D1613">
        <v>1</v>
      </c>
      <c r="E1613">
        <v>129.99</v>
      </c>
    </row>
    <row r="1614" spans="1:5" x14ac:dyDescent="0.3">
      <c r="A1614">
        <v>61663</v>
      </c>
      <c r="B1614">
        <v>24629</v>
      </c>
      <c r="C1614">
        <v>502</v>
      </c>
      <c r="D1614">
        <v>1</v>
      </c>
      <c r="E1614">
        <v>50</v>
      </c>
    </row>
    <row r="1615" spans="1:5" x14ac:dyDescent="0.3">
      <c r="A1615">
        <v>61660</v>
      </c>
      <c r="B1615">
        <v>24629</v>
      </c>
      <c r="C1615">
        <v>502</v>
      </c>
      <c r="D1615">
        <v>1</v>
      </c>
      <c r="E1615">
        <v>50</v>
      </c>
    </row>
    <row r="1616" spans="1:5" x14ac:dyDescent="0.3">
      <c r="A1616">
        <v>61662</v>
      </c>
      <c r="B1616">
        <v>24629</v>
      </c>
      <c r="C1616">
        <v>1004</v>
      </c>
      <c r="D1616">
        <v>1</v>
      </c>
      <c r="E1616">
        <v>399.98</v>
      </c>
    </row>
    <row r="1617" spans="1:5" x14ac:dyDescent="0.3">
      <c r="A1617">
        <v>61659</v>
      </c>
      <c r="B1617">
        <v>24629</v>
      </c>
      <c r="C1617">
        <v>1004</v>
      </c>
      <c r="D1617">
        <v>1</v>
      </c>
      <c r="E1617">
        <v>399.98</v>
      </c>
    </row>
    <row r="1618" spans="1:5" x14ac:dyDescent="0.3">
      <c r="A1618">
        <v>61661</v>
      </c>
      <c r="B1618">
        <v>24629</v>
      </c>
      <c r="C1618">
        <v>627</v>
      </c>
      <c r="D1618">
        <v>5</v>
      </c>
      <c r="E1618">
        <v>199.95</v>
      </c>
    </row>
    <row r="1619" spans="1:5" x14ac:dyDescent="0.3">
      <c r="A1619">
        <v>61664</v>
      </c>
      <c r="B1619">
        <v>24630</v>
      </c>
      <c r="C1619">
        <v>502</v>
      </c>
      <c r="D1619">
        <v>4</v>
      </c>
      <c r="E1619">
        <v>200</v>
      </c>
    </row>
    <row r="1620" spans="1:5" x14ac:dyDescent="0.3">
      <c r="A1620">
        <v>61666</v>
      </c>
      <c r="B1620">
        <v>24630</v>
      </c>
      <c r="C1620">
        <v>365</v>
      </c>
      <c r="D1620">
        <v>5</v>
      </c>
      <c r="E1620">
        <v>299.95</v>
      </c>
    </row>
    <row r="1621" spans="1:5" x14ac:dyDescent="0.3">
      <c r="A1621">
        <v>61665</v>
      </c>
      <c r="B1621">
        <v>24630</v>
      </c>
      <c r="C1621">
        <v>191</v>
      </c>
      <c r="D1621">
        <v>3</v>
      </c>
      <c r="E1621">
        <v>299.97000000000003</v>
      </c>
    </row>
    <row r="1622" spans="1:5" x14ac:dyDescent="0.3">
      <c r="A1622">
        <v>61668</v>
      </c>
      <c r="B1622">
        <v>24631</v>
      </c>
      <c r="C1622">
        <v>1073</v>
      </c>
      <c r="D1622">
        <v>1</v>
      </c>
      <c r="E1622">
        <v>199.99</v>
      </c>
    </row>
    <row r="1623" spans="1:5" x14ac:dyDescent="0.3">
      <c r="A1623">
        <v>61667</v>
      </c>
      <c r="B1623">
        <v>24631</v>
      </c>
      <c r="C1623">
        <v>1014</v>
      </c>
      <c r="D1623">
        <v>2</v>
      </c>
      <c r="E1623">
        <v>99.96</v>
      </c>
    </row>
    <row r="1624" spans="1:5" x14ac:dyDescent="0.3">
      <c r="A1624">
        <v>61670</v>
      </c>
      <c r="B1624">
        <v>24631</v>
      </c>
      <c r="C1624">
        <v>1004</v>
      </c>
      <c r="D1624">
        <v>1</v>
      </c>
      <c r="E1624">
        <v>399.98</v>
      </c>
    </row>
    <row r="1625" spans="1:5" x14ac:dyDescent="0.3">
      <c r="A1625">
        <v>61669</v>
      </c>
      <c r="B1625">
        <v>24631</v>
      </c>
      <c r="C1625">
        <v>37</v>
      </c>
      <c r="D1625">
        <v>5</v>
      </c>
      <c r="E1625">
        <v>174.95</v>
      </c>
    </row>
    <row r="1626" spans="1:5" x14ac:dyDescent="0.3">
      <c r="A1626">
        <v>61672</v>
      </c>
      <c r="B1626">
        <v>24632</v>
      </c>
      <c r="C1626">
        <v>365</v>
      </c>
      <c r="D1626">
        <v>5</v>
      </c>
      <c r="E1626">
        <v>299.95</v>
      </c>
    </row>
    <row r="1627" spans="1:5" x14ac:dyDescent="0.3">
      <c r="A1627">
        <v>61671</v>
      </c>
      <c r="B1627">
        <v>24632</v>
      </c>
      <c r="C1627">
        <v>1014</v>
      </c>
      <c r="D1627">
        <v>3</v>
      </c>
      <c r="E1627">
        <v>149.94</v>
      </c>
    </row>
    <row r="1628" spans="1:5" x14ac:dyDescent="0.3">
      <c r="A1628">
        <v>61677</v>
      </c>
      <c r="B1628">
        <v>24635</v>
      </c>
      <c r="C1628">
        <v>191</v>
      </c>
      <c r="D1628">
        <v>5</v>
      </c>
      <c r="E1628">
        <v>499.95</v>
      </c>
    </row>
    <row r="1629" spans="1:5" x14ac:dyDescent="0.3">
      <c r="A1629">
        <v>61678</v>
      </c>
      <c r="B1629">
        <v>24635</v>
      </c>
      <c r="C1629">
        <v>403</v>
      </c>
      <c r="D1629">
        <v>1</v>
      </c>
      <c r="E1629">
        <v>129.99</v>
      </c>
    </row>
    <row r="1630" spans="1:5" x14ac:dyDescent="0.3">
      <c r="A1630">
        <v>61679</v>
      </c>
      <c r="B1630">
        <v>24635</v>
      </c>
      <c r="C1630">
        <v>957</v>
      </c>
      <c r="D1630">
        <v>1</v>
      </c>
      <c r="E1630">
        <v>299.98</v>
      </c>
    </row>
    <row r="1631" spans="1:5" x14ac:dyDescent="0.3">
      <c r="A1631">
        <v>61675</v>
      </c>
      <c r="B1631">
        <v>24635</v>
      </c>
      <c r="C1631">
        <v>627</v>
      </c>
      <c r="D1631">
        <v>3</v>
      </c>
      <c r="E1631">
        <v>119.97</v>
      </c>
    </row>
    <row r="1632" spans="1:5" x14ac:dyDescent="0.3">
      <c r="A1632">
        <v>61676</v>
      </c>
      <c r="B1632">
        <v>24635</v>
      </c>
      <c r="C1632">
        <v>191</v>
      </c>
      <c r="D1632">
        <v>4</v>
      </c>
      <c r="E1632">
        <v>399.96</v>
      </c>
    </row>
    <row r="1633" spans="1:5" x14ac:dyDescent="0.3">
      <c r="A1633">
        <v>61682</v>
      </c>
      <c r="B1633">
        <v>24636</v>
      </c>
      <c r="C1633">
        <v>403</v>
      </c>
      <c r="D1633">
        <v>1</v>
      </c>
      <c r="E1633">
        <v>129.99</v>
      </c>
    </row>
    <row r="1634" spans="1:5" x14ac:dyDescent="0.3">
      <c r="A1634">
        <v>61681</v>
      </c>
      <c r="B1634">
        <v>24636</v>
      </c>
      <c r="C1634">
        <v>1004</v>
      </c>
      <c r="D1634">
        <v>1</v>
      </c>
      <c r="E1634">
        <v>399.98</v>
      </c>
    </row>
    <row r="1635" spans="1:5" x14ac:dyDescent="0.3">
      <c r="A1635">
        <v>61680</v>
      </c>
      <c r="B1635">
        <v>24636</v>
      </c>
      <c r="C1635">
        <v>365</v>
      </c>
      <c r="D1635">
        <v>2</v>
      </c>
      <c r="E1635">
        <v>119.98</v>
      </c>
    </row>
    <row r="1636" spans="1:5" x14ac:dyDescent="0.3">
      <c r="A1636">
        <v>61683</v>
      </c>
      <c r="B1636">
        <v>24636</v>
      </c>
      <c r="C1636">
        <v>365</v>
      </c>
      <c r="D1636">
        <v>5</v>
      </c>
      <c r="E1636">
        <v>299.95</v>
      </c>
    </row>
    <row r="1637" spans="1:5" x14ac:dyDescent="0.3">
      <c r="A1637">
        <v>61686</v>
      </c>
      <c r="B1637">
        <v>24637</v>
      </c>
      <c r="C1637">
        <v>403</v>
      </c>
      <c r="D1637">
        <v>1</v>
      </c>
      <c r="E1637">
        <v>129.99</v>
      </c>
    </row>
    <row r="1638" spans="1:5" x14ac:dyDescent="0.3">
      <c r="A1638">
        <v>61684</v>
      </c>
      <c r="B1638">
        <v>24637</v>
      </c>
      <c r="C1638">
        <v>403</v>
      </c>
      <c r="D1638">
        <v>1</v>
      </c>
      <c r="E1638">
        <v>129.99</v>
      </c>
    </row>
    <row r="1639" spans="1:5" x14ac:dyDescent="0.3">
      <c r="A1639">
        <v>61685</v>
      </c>
      <c r="B1639">
        <v>24637</v>
      </c>
      <c r="C1639">
        <v>1014</v>
      </c>
      <c r="D1639">
        <v>2</v>
      </c>
      <c r="E1639">
        <v>99.96</v>
      </c>
    </row>
    <row r="1640" spans="1:5" x14ac:dyDescent="0.3">
      <c r="A1640">
        <v>61714</v>
      </c>
      <c r="B1640">
        <v>24648</v>
      </c>
      <c r="C1640">
        <v>502</v>
      </c>
      <c r="D1640">
        <v>3</v>
      </c>
      <c r="E1640">
        <v>150</v>
      </c>
    </row>
    <row r="1641" spans="1:5" x14ac:dyDescent="0.3">
      <c r="A1641">
        <v>61716</v>
      </c>
      <c r="B1641">
        <v>24648</v>
      </c>
      <c r="C1641">
        <v>403</v>
      </c>
      <c r="D1641">
        <v>1</v>
      </c>
      <c r="E1641">
        <v>129.99</v>
      </c>
    </row>
    <row r="1642" spans="1:5" x14ac:dyDescent="0.3">
      <c r="A1642">
        <v>61713</v>
      </c>
      <c r="B1642">
        <v>24648</v>
      </c>
      <c r="C1642">
        <v>957</v>
      </c>
      <c r="D1642">
        <v>1</v>
      </c>
      <c r="E1642">
        <v>299.98</v>
      </c>
    </row>
    <row r="1643" spans="1:5" x14ac:dyDescent="0.3">
      <c r="A1643">
        <v>61717</v>
      </c>
      <c r="B1643">
        <v>24648</v>
      </c>
      <c r="C1643">
        <v>1004</v>
      </c>
      <c r="D1643">
        <v>1</v>
      </c>
      <c r="E1643">
        <v>399.98</v>
      </c>
    </row>
    <row r="1644" spans="1:5" x14ac:dyDescent="0.3">
      <c r="A1644">
        <v>61715</v>
      </c>
      <c r="B1644">
        <v>24648</v>
      </c>
      <c r="C1644">
        <v>1014</v>
      </c>
      <c r="D1644">
        <v>4</v>
      </c>
      <c r="E1644">
        <v>199.92</v>
      </c>
    </row>
    <row r="1645" spans="1:5" x14ac:dyDescent="0.3">
      <c r="A1645">
        <v>61721</v>
      </c>
      <c r="B1645">
        <v>24650</v>
      </c>
      <c r="C1645">
        <v>365</v>
      </c>
      <c r="D1645">
        <v>5</v>
      </c>
      <c r="E1645">
        <v>299.95</v>
      </c>
    </row>
    <row r="1646" spans="1:5" x14ac:dyDescent="0.3">
      <c r="A1646">
        <v>61720</v>
      </c>
      <c r="B1646">
        <v>24650</v>
      </c>
      <c r="C1646">
        <v>365</v>
      </c>
      <c r="D1646">
        <v>5</v>
      </c>
      <c r="E1646">
        <v>299.95</v>
      </c>
    </row>
    <row r="1647" spans="1:5" x14ac:dyDescent="0.3">
      <c r="A1647">
        <v>61719</v>
      </c>
      <c r="B1647">
        <v>24650</v>
      </c>
      <c r="C1647">
        <v>365</v>
      </c>
      <c r="D1647">
        <v>5</v>
      </c>
      <c r="E1647">
        <v>299.95</v>
      </c>
    </row>
    <row r="1648" spans="1:5" x14ac:dyDescent="0.3">
      <c r="A1648">
        <v>61722</v>
      </c>
      <c r="B1648">
        <v>24650</v>
      </c>
      <c r="C1648">
        <v>502</v>
      </c>
      <c r="D1648">
        <v>1</v>
      </c>
      <c r="E1648">
        <v>50</v>
      </c>
    </row>
    <row r="1649" spans="1:5" x14ac:dyDescent="0.3">
      <c r="A1649">
        <v>61718</v>
      </c>
      <c r="B1649">
        <v>24650</v>
      </c>
      <c r="C1649">
        <v>1004</v>
      </c>
      <c r="D1649">
        <v>1</v>
      </c>
      <c r="E1649">
        <v>399.98</v>
      </c>
    </row>
    <row r="1650" spans="1:5" x14ac:dyDescent="0.3">
      <c r="A1650">
        <v>61724</v>
      </c>
      <c r="B1650">
        <v>24651</v>
      </c>
      <c r="C1650">
        <v>403</v>
      </c>
      <c r="D1650">
        <v>1</v>
      </c>
      <c r="E1650">
        <v>129.99</v>
      </c>
    </row>
    <row r="1651" spans="1:5" x14ac:dyDescent="0.3">
      <c r="A1651">
        <v>61725</v>
      </c>
      <c r="B1651">
        <v>24651</v>
      </c>
      <c r="C1651">
        <v>276</v>
      </c>
      <c r="D1651">
        <v>4</v>
      </c>
      <c r="E1651">
        <v>127.96</v>
      </c>
    </row>
    <row r="1652" spans="1:5" x14ac:dyDescent="0.3">
      <c r="A1652">
        <v>61726</v>
      </c>
      <c r="B1652">
        <v>24651</v>
      </c>
      <c r="C1652">
        <v>365</v>
      </c>
      <c r="D1652">
        <v>4</v>
      </c>
      <c r="E1652">
        <v>239.96</v>
      </c>
    </row>
    <row r="1653" spans="1:5" x14ac:dyDescent="0.3">
      <c r="A1653">
        <v>61723</v>
      </c>
      <c r="B1653">
        <v>24651</v>
      </c>
      <c r="C1653">
        <v>1014</v>
      </c>
      <c r="D1653">
        <v>1</v>
      </c>
      <c r="E1653">
        <v>49.98</v>
      </c>
    </row>
    <row r="1654" spans="1:5" x14ac:dyDescent="0.3">
      <c r="A1654">
        <v>61727</v>
      </c>
      <c r="B1654">
        <v>24652</v>
      </c>
      <c r="C1654">
        <v>365</v>
      </c>
      <c r="D1654">
        <v>4</v>
      </c>
      <c r="E1654">
        <v>239.96</v>
      </c>
    </row>
    <row r="1655" spans="1:5" x14ac:dyDescent="0.3">
      <c r="A1655">
        <v>61730</v>
      </c>
      <c r="B1655">
        <v>24653</v>
      </c>
      <c r="C1655">
        <v>1073</v>
      </c>
      <c r="D1655">
        <v>1</v>
      </c>
      <c r="E1655">
        <v>199.99</v>
      </c>
    </row>
    <row r="1656" spans="1:5" x14ac:dyDescent="0.3">
      <c r="A1656">
        <v>61728</v>
      </c>
      <c r="B1656">
        <v>24653</v>
      </c>
      <c r="C1656">
        <v>1073</v>
      </c>
      <c r="D1656">
        <v>1</v>
      </c>
      <c r="E1656">
        <v>199.99</v>
      </c>
    </row>
    <row r="1657" spans="1:5" x14ac:dyDescent="0.3">
      <c r="A1657">
        <v>61729</v>
      </c>
      <c r="B1657">
        <v>24653</v>
      </c>
      <c r="C1657">
        <v>403</v>
      </c>
      <c r="D1657">
        <v>1</v>
      </c>
      <c r="E1657">
        <v>129.99</v>
      </c>
    </row>
    <row r="1658" spans="1:5" x14ac:dyDescent="0.3">
      <c r="A1658">
        <v>61733</v>
      </c>
      <c r="B1658">
        <v>24654</v>
      </c>
      <c r="C1658">
        <v>1073</v>
      </c>
      <c r="D1658">
        <v>1</v>
      </c>
      <c r="E1658">
        <v>199.99</v>
      </c>
    </row>
    <row r="1659" spans="1:5" x14ac:dyDescent="0.3">
      <c r="A1659">
        <v>61735</v>
      </c>
      <c r="B1659">
        <v>24654</v>
      </c>
      <c r="C1659">
        <v>627</v>
      </c>
      <c r="D1659">
        <v>2</v>
      </c>
      <c r="E1659">
        <v>79.98</v>
      </c>
    </row>
    <row r="1660" spans="1:5" x14ac:dyDescent="0.3">
      <c r="A1660">
        <v>61732</v>
      </c>
      <c r="B1660">
        <v>24654</v>
      </c>
      <c r="C1660">
        <v>627</v>
      </c>
      <c r="D1660">
        <v>4</v>
      </c>
      <c r="E1660">
        <v>159.96</v>
      </c>
    </row>
    <row r="1661" spans="1:5" x14ac:dyDescent="0.3">
      <c r="A1661">
        <v>61731</v>
      </c>
      <c r="B1661">
        <v>24654</v>
      </c>
      <c r="C1661">
        <v>502</v>
      </c>
      <c r="D1661">
        <v>5</v>
      </c>
      <c r="E1661">
        <v>250</v>
      </c>
    </row>
    <row r="1662" spans="1:5" x14ac:dyDescent="0.3">
      <c r="A1662">
        <v>61734</v>
      </c>
      <c r="B1662">
        <v>24654</v>
      </c>
      <c r="C1662">
        <v>821</v>
      </c>
      <c r="D1662">
        <v>5</v>
      </c>
      <c r="E1662">
        <v>259.95</v>
      </c>
    </row>
    <row r="1663" spans="1:5" x14ac:dyDescent="0.3">
      <c r="A1663">
        <v>61820</v>
      </c>
      <c r="B1663">
        <v>24686</v>
      </c>
      <c r="C1663">
        <v>191</v>
      </c>
      <c r="D1663">
        <v>2</v>
      </c>
      <c r="E1663">
        <v>199.98</v>
      </c>
    </row>
    <row r="1664" spans="1:5" x14ac:dyDescent="0.3">
      <c r="A1664">
        <v>61821</v>
      </c>
      <c r="B1664">
        <v>24686</v>
      </c>
      <c r="C1664">
        <v>365</v>
      </c>
      <c r="D1664">
        <v>5</v>
      </c>
      <c r="E1664">
        <v>299.95</v>
      </c>
    </row>
    <row r="1665" spans="1:5" x14ac:dyDescent="0.3">
      <c r="A1665">
        <v>61822</v>
      </c>
      <c r="B1665">
        <v>24687</v>
      </c>
      <c r="C1665">
        <v>365</v>
      </c>
      <c r="D1665">
        <v>2</v>
      </c>
      <c r="E1665">
        <v>119.98</v>
      </c>
    </row>
    <row r="1666" spans="1:5" x14ac:dyDescent="0.3">
      <c r="A1666">
        <v>61824</v>
      </c>
      <c r="B1666">
        <v>24687</v>
      </c>
      <c r="C1666">
        <v>191</v>
      </c>
      <c r="D1666">
        <v>5</v>
      </c>
      <c r="E1666">
        <v>499.95</v>
      </c>
    </row>
    <row r="1667" spans="1:5" x14ac:dyDescent="0.3">
      <c r="A1667">
        <v>61823</v>
      </c>
      <c r="B1667">
        <v>24687</v>
      </c>
      <c r="C1667">
        <v>365</v>
      </c>
      <c r="D1667">
        <v>5</v>
      </c>
      <c r="E1667">
        <v>299.95</v>
      </c>
    </row>
    <row r="1668" spans="1:5" x14ac:dyDescent="0.3">
      <c r="A1668">
        <v>61936</v>
      </c>
      <c r="B1668">
        <v>24726</v>
      </c>
      <c r="C1668">
        <v>1014</v>
      </c>
      <c r="D1668">
        <v>3</v>
      </c>
      <c r="E1668">
        <v>149.94</v>
      </c>
    </row>
    <row r="1669" spans="1:5" x14ac:dyDescent="0.3">
      <c r="A1669">
        <v>61941</v>
      </c>
      <c r="B1669">
        <v>24727</v>
      </c>
      <c r="C1669">
        <v>1014</v>
      </c>
      <c r="D1669">
        <v>5</v>
      </c>
      <c r="E1669">
        <v>249.9</v>
      </c>
    </row>
    <row r="1670" spans="1:5" x14ac:dyDescent="0.3">
      <c r="A1670">
        <v>61937</v>
      </c>
      <c r="B1670">
        <v>24727</v>
      </c>
      <c r="C1670">
        <v>1004</v>
      </c>
      <c r="D1670">
        <v>1</v>
      </c>
      <c r="E1670">
        <v>399.98</v>
      </c>
    </row>
    <row r="1671" spans="1:5" x14ac:dyDescent="0.3">
      <c r="A1671">
        <v>61938</v>
      </c>
      <c r="B1671">
        <v>24727</v>
      </c>
      <c r="C1671">
        <v>365</v>
      </c>
      <c r="D1671">
        <v>2</v>
      </c>
      <c r="E1671">
        <v>119.98</v>
      </c>
    </row>
    <row r="1672" spans="1:5" x14ac:dyDescent="0.3">
      <c r="A1672">
        <v>61939</v>
      </c>
      <c r="B1672">
        <v>24727</v>
      </c>
      <c r="C1672">
        <v>502</v>
      </c>
      <c r="D1672">
        <v>3</v>
      </c>
      <c r="E1672">
        <v>150</v>
      </c>
    </row>
    <row r="1673" spans="1:5" x14ac:dyDescent="0.3">
      <c r="A1673">
        <v>61940</v>
      </c>
      <c r="B1673">
        <v>24727</v>
      </c>
      <c r="C1673">
        <v>365</v>
      </c>
      <c r="D1673">
        <v>4</v>
      </c>
      <c r="E1673">
        <v>239.96</v>
      </c>
    </row>
    <row r="1674" spans="1:5" x14ac:dyDescent="0.3">
      <c r="A1674">
        <v>61942</v>
      </c>
      <c r="B1674">
        <v>24728</v>
      </c>
      <c r="C1674">
        <v>957</v>
      </c>
      <c r="D1674">
        <v>1</v>
      </c>
      <c r="E1674">
        <v>299.98</v>
      </c>
    </row>
    <row r="1675" spans="1:5" x14ac:dyDescent="0.3">
      <c r="A1675">
        <v>62005</v>
      </c>
      <c r="B1675">
        <v>24754</v>
      </c>
      <c r="C1675">
        <v>502</v>
      </c>
      <c r="D1675">
        <v>3</v>
      </c>
      <c r="E1675">
        <v>150</v>
      </c>
    </row>
    <row r="1676" spans="1:5" x14ac:dyDescent="0.3">
      <c r="A1676">
        <v>62008</v>
      </c>
      <c r="B1676">
        <v>24755</v>
      </c>
      <c r="C1676">
        <v>135</v>
      </c>
      <c r="D1676">
        <v>3</v>
      </c>
      <c r="E1676">
        <v>66</v>
      </c>
    </row>
    <row r="1677" spans="1:5" x14ac:dyDescent="0.3">
      <c r="A1677">
        <v>62007</v>
      </c>
      <c r="B1677">
        <v>24755</v>
      </c>
      <c r="C1677">
        <v>403</v>
      </c>
      <c r="D1677">
        <v>1</v>
      </c>
      <c r="E1677">
        <v>129.99</v>
      </c>
    </row>
    <row r="1678" spans="1:5" x14ac:dyDescent="0.3">
      <c r="A1678">
        <v>62006</v>
      </c>
      <c r="B1678">
        <v>24755</v>
      </c>
      <c r="C1678">
        <v>627</v>
      </c>
      <c r="D1678">
        <v>1</v>
      </c>
      <c r="E1678">
        <v>39.99</v>
      </c>
    </row>
    <row r="1679" spans="1:5" x14ac:dyDescent="0.3">
      <c r="A1679">
        <v>62009</v>
      </c>
      <c r="B1679">
        <v>24755</v>
      </c>
      <c r="C1679">
        <v>1073</v>
      </c>
      <c r="D1679">
        <v>1</v>
      </c>
      <c r="E1679">
        <v>199.99</v>
      </c>
    </row>
    <row r="1680" spans="1:5" x14ac:dyDescent="0.3">
      <c r="A1680">
        <v>62010</v>
      </c>
      <c r="B1680">
        <v>24756</v>
      </c>
      <c r="C1680">
        <v>1014</v>
      </c>
      <c r="D1680">
        <v>1</v>
      </c>
      <c r="E1680">
        <v>49.98</v>
      </c>
    </row>
    <row r="1681" spans="1:5" x14ac:dyDescent="0.3">
      <c r="A1681">
        <v>62013</v>
      </c>
      <c r="B1681">
        <v>24757</v>
      </c>
      <c r="C1681">
        <v>502</v>
      </c>
      <c r="D1681">
        <v>2</v>
      </c>
      <c r="E1681">
        <v>100</v>
      </c>
    </row>
    <row r="1682" spans="1:5" x14ac:dyDescent="0.3">
      <c r="A1682">
        <v>62012</v>
      </c>
      <c r="B1682">
        <v>24757</v>
      </c>
      <c r="C1682">
        <v>502</v>
      </c>
      <c r="D1682">
        <v>3</v>
      </c>
      <c r="E1682">
        <v>150</v>
      </c>
    </row>
    <row r="1683" spans="1:5" x14ac:dyDescent="0.3">
      <c r="A1683">
        <v>62011</v>
      </c>
      <c r="B1683">
        <v>24757</v>
      </c>
      <c r="C1683">
        <v>365</v>
      </c>
      <c r="D1683">
        <v>5</v>
      </c>
      <c r="E1683">
        <v>299.95</v>
      </c>
    </row>
    <row r="1684" spans="1:5" x14ac:dyDescent="0.3">
      <c r="A1684">
        <v>62100</v>
      </c>
      <c r="B1684">
        <v>24789</v>
      </c>
      <c r="C1684">
        <v>1004</v>
      </c>
      <c r="D1684">
        <v>1</v>
      </c>
      <c r="E1684">
        <v>399.98</v>
      </c>
    </row>
    <row r="1685" spans="1:5" x14ac:dyDescent="0.3">
      <c r="A1685">
        <v>62099</v>
      </c>
      <c r="B1685">
        <v>24789</v>
      </c>
      <c r="C1685">
        <v>957</v>
      </c>
      <c r="D1685">
        <v>1</v>
      </c>
      <c r="E1685">
        <v>299.98</v>
      </c>
    </row>
    <row r="1686" spans="1:5" x14ac:dyDescent="0.3">
      <c r="A1686">
        <v>62098</v>
      </c>
      <c r="B1686">
        <v>24789</v>
      </c>
      <c r="C1686">
        <v>957</v>
      </c>
      <c r="D1686">
        <v>1</v>
      </c>
      <c r="E1686">
        <v>299.98</v>
      </c>
    </row>
    <row r="1687" spans="1:5" x14ac:dyDescent="0.3">
      <c r="A1687">
        <v>62097</v>
      </c>
      <c r="B1687">
        <v>24789</v>
      </c>
      <c r="C1687">
        <v>1014</v>
      </c>
      <c r="D1687">
        <v>1</v>
      </c>
      <c r="E1687">
        <v>49.98</v>
      </c>
    </row>
    <row r="1688" spans="1:5" x14ac:dyDescent="0.3">
      <c r="A1688">
        <v>62152</v>
      </c>
      <c r="B1688">
        <v>24811</v>
      </c>
      <c r="C1688">
        <v>403</v>
      </c>
      <c r="D1688">
        <v>1</v>
      </c>
      <c r="E1688">
        <v>129.99</v>
      </c>
    </row>
    <row r="1689" spans="1:5" x14ac:dyDescent="0.3">
      <c r="A1689">
        <v>62151</v>
      </c>
      <c r="B1689">
        <v>24811</v>
      </c>
      <c r="C1689">
        <v>403</v>
      </c>
      <c r="D1689">
        <v>1</v>
      </c>
      <c r="E1689">
        <v>129.99</v>
      </c>
    </row>
    <row r="1690" spans="1:5" x14ac:dyDescent="0.3">
      <c r="A1690">
        <v>62154</v>
      </c>
      <c r="B1690">
        <v>24811</v>
      </c>
      <c r="C1690">
        <v>502</v>
      </c>
      <c r="D1690">
        <v>4</v>
      </c>
      <c r="E1690">
        <v>200</v>
      </c>
    </row>
    <row r="1691" spans="1:5" x14ac:dyDescent="0.3">
      <c r="A1691">
        <v>62155</v>
      </c>
      <c r="B1691">
        <v>24811</v>
      </c>
      <c r="C1691">
        <v>627</v>
      </c>
      <c r="D1691">
        <v>5</v>
      </c>
      <c r="E1691">
        <v>199.95</v>
      </c>
    </row>
    <row r="1692" spans="1:5" x14ac:dyDescent="0.3">
      <c r="A1692">
        <v>62153</v>
      </c>
      <c r="B1692">
        <v>24811</v>
      </c>
      <c r="C1692">
        <v>885</v>
      </c>
      <c r="D1692">
        <v>5</v>
      </c>
      <c r="E1692">
        <v>124.95</v>
      </c>
    </row>
    <row r="1693" spans="1:5" x14ac:dyDescent="0.3">
      <c r="A1693">
        <v>62163</v>
      </c>
      <c r="B1693">
        <v>24815</v>
      </c>
      <c r="C1693">
        <v>191</v>
      </c>
      <c r="D1693">
        <v>4</v>
      </c>
      <c r="E1693">
        <v>399.96</v>
      </c>
    </row>
    <row r="1694" spans="1:5" x14ac:dyDescent="0.3">
      <c r="A1694">
        <v>62162</v>
      </c>
      <c r="B1694">
        <v>24815</v>
      </c>
      <c r="C1694">
        <v>1073</v>
      </c>
      <c r="D1694">
        <v>1</v>
      </c>
      <c r="E1694">
        <v>199.99</v>
      </c>
    </row>
    <row r="1695" spans="1:5" x14ac:dyDescent="0.3">
      <c r="A1695">
        <v>62161</v>
      </c>
      <c r="B1695">
        <v>24815</v>
      </c>
      <c r="C1695">
        <v>1014</v>
      </c>
      <c r="D1695">
        <v>1</v>
      </c>
      <c r="E1695">
        <v>49.98</v>
      </c>
    </row>
    <row r="1696" spans="1:5" x14ac:dyDescent="0.3">
      <c r="A1696">
        <v>62195</v>
      </c>
      <c r="B1696">
        <v>24827</v>
      </c>
      <c r="C1696">
        <v>365</v>
      </c>
      <c r="D1696">
        <v>1</v>
      </c>
      <c r="E1696">
        <v>59.99</v>
      </c>
    </row>
    <row r="1697" spans="1:5" x14ac:dyDescent="0.3">
      <c r="A1697">
        <v>62196</v>
      </c>
      <c r="B1697">
        <v>24827</v>
      </c>
      <c r="C1697">
        <v>365</v>
      </c>
      <c r="D1697">
        <v>4</v>
      </c>
      <c r="E1697">
        <v>239.96</v>
      </c>
    </row>
    <row r="1698" spans="1:5" x14ac:dyDescent="0.3">
      <c r="A1698">
        <v>62194</v>
      </c>
      <c r="B1698">
        <v>24827</v>
      </c>
      <c r="C1698">
        <v>502</v>
      </c>
      <c r="D1698">
        <v>4</v>
      </c>
      <c r="E1698">
        <v>200</v>
      </c>
    </row>
    <row r="1699" spans="1:5" x14ac:dyDescent="0.3">
      <c r="A1699">
        <v>62197</v>
      </c>
      <c r="B1699">
        <v>24827</v>
      </c>
      <c r="C1699">
        <v>1014</v>
      </c>
      <c r="D1699">
        <v>3</v>
      </c>
      <c r="E1699">
        <v>149.94</v>
      </c>
    </row>
    <row r="1700" spans="1:5" x14ac:dyDescent="0.3">
      <c r="A1700">
        <v>62254</v>
      </c>
      <c r="B1700">
        <v>24852</v>
      </c>
      <c r="C1700">
        <v>728</v>
      </c>
      <c r="D1700">
        <v>4</v>
      </c>
      <c r="E1700">
        <v>260</v>
      </c>
    </row>
    <row r="1701" spans="1:5" x14ac:dyDescent="0.3">
      <c r="A1701">
        <v>62255</v>
      </c>
      <c r="B1701">
        <v>24852</v>
      </c>
      <c r="C1701">
        <v>403</v>
      </c>
      <c r="D1701">
        <v>1</v>
      </c>
      <c r="E1701">
        <v>129.99</v>
      </c>
    </row>
    <row r="1702" spans="1:5" x14ac:dyDescent="0.3">
      <c r="A1702">
        <v>62256</v>
      </c>
      <c r="B1702">
        <v>24852</v>
      </c>
      <c r="C1702">
        <v>502</v>
      </c>
      <c r="D1702">
        <v>1</v>
      </c>
      <c r="E1702">
        <v>50</v>
      </c>
    </row>
    <row r="1703" spans="1:5" x14ac:dyDescent="0.3">
      <c r="A1703">
        <v>62257</v>
      </c>
      <c r="B1703">
        <v>24853</v>
      </c>
      <c r="C1703">
        <v>191</v>
      </c>
      <c r="D1703">
        <v>2</v>
      </c>
      <c r="E1703">
        <v>199.98</v>
      </c>
    </row>
    <row r="1704" spans="1:5" x14ac:dyDescent="0.3">
      <c r="A1704">
        <v>62261</v>
      </c>
      <c r="B1704">
        <v>24853</v>
      </c>
      <c r="C1704">
        <v>627</v>
      </c>
      <c r="D1704">
        <v>5</v>
      </c>
      <c r="E1704">
        <v>199.95</v>
      </c>
    </row>
    <row r="1705" spans="1:5" x14ac:dyDescent="0.3">
      <c r="A1705">
        <v>62260</v>
      </c>
      <c r="B1705">
        <v>24853</v>
      </c>
      <c r="C1705">
        <v>403</v>
      </c>
      <c r="D1705">
        <v>1</v>
      </c>
      <c r="E1705">
        <v>129.99</v>
      </c>
    </row>
    <row r="1706" spans="1:5" x14ac:dyDescent="0.3">
      <c r="A1706">
        <v>62259</v>
      </c>
      <c r="B1706">
        <v>24853</v>
      </c>
      <c r="C1706">
        <v>403</v>
      </c>
      <c r="D1706">
        <v>1</v>
      </c>
      <c r="E1706">
        <v>129.99</v>
      </c>
    </row>
    <row r="1707" spans="1:5" x14ac:dyDescent="0.3">
      <c r="A1707">
        <v>62258</v>
      </c>
      <c r="B1707">
        <v>24853</v>
      </c>
      <c r="C1707">
        <v>403</v>
      </c>
      <c r="D1707">
        <v>1</v>
      </c>
      <c r="E1707">
        <v>129.99</v>
      </c>
    </row>
    <row r="1708" spans="1:5" x14ac:dyDescent="0.3">
      <c r="A1708">
        <v>62306</v>
      </c>
      <c r="B1708">
        <v>24872</v>
      </c>
      <c r="C1708">
        <v>502</v>
      </c>
      <c r="D1708">
        <v>1</v>
      </c>
      <c r="E1708">
        <v>50</v>
      </c>
    </row>
    <row r="1709" spans="1:5" x14ac:dyDescent="0.3">
      <c r="A1709">
        <v>62307</v>
      </c>
      <c r="B1709">
        <v>24872</v>
      </c>
      <c r="C1709">
        <v>1004</v>
      </c>
      <c r="D1709">
        <v>1</v>
      </c>
      <c r="E1709">
        <v>399.98</v>
      </c>
    </row>
    <row r="1710" spans="1:5" x14ac:dyDescent="0.3">
      <c r="A1710">
        <v>62308</v>
      </c>
      <c r="B1710">
        <v>24873</v>
      </c>
      <c r="C1710">
        <v>957</v>
      </c>
      <c r="D1710">
        <v>1</v>
      </c>
      <c r="E1710">
        <v>299.98</v>
      </c>
    </row>
    <row r="1711" spans="1:5" x14ac:dyDescent="0.3">
      <c r="A1711">
        <v>62309</v>
      </c>
      <c r="B1711">
        <v>24873</v>
      </c>
      <c r="C1711">
        <v>191</v>
      </c>
      <c r="D1711">
        <v>2</v>
      </c>
      <c r="E1711">
        <v>199.98</v>
      </c>
    </row>
    <row r="1712" spans="1:5" x14ac:dyDescent="0.3">
      <c r="A1712">
        <v>62310</v>
      </c>
      <c r="B1712">
        <v>24873</v>
      </c>
      <c r="C1712">
        <v>627</v>
      </c>
      <c r="D1712">
        <v>3</v>
      </c>
      <c r="E1712">
        <v>119.97</v>
      </c>
    </row>
    <row r="1713" spans="1:5" x14ac:dyDescent="0.3">
      <c r="A1713">
        <v>62311</v>
      </c>
      <c r="B1713">
        <v>24874</v>
      </c>
      <c r="C1713">
        <v>1073</v>
      </c>
      <c r="D1713">
        <v>1</v>
      </c>
      <c r="E1713">
        <v>199.99</v>
      </c>
    </row>
    <row r="1714" spans="1:5" x14ac:dyDescent="0.3">
      <c r="A1714">
        <v>62316</v>
      </c>
      <c r="B1714">
        <v>24876</v>
      </c>
      <c r="C1714">
        <v>191</v>
      </c>
      <c r="D1714">
        <v>1</v>
      </c>
      <c r="E1714">
        <v>99.99</v>
      </c>
    </row>
    <row r="1715" spans="1:5" x14ac:dyDescent="0.3">
      <c r="A1715">
        <v>62313</v>
      </c>
      <c r="B1715">
        <v>24876</v>
      </c>
      <c r="C1715">
        <v>502</v>
      </c>
      <c r="D1715">
        <v>1</v>
      </c>
      <c r="E1715">
        <v>50</v>
      </c>
    </row>
    <row r="1716" spans="1:5" x14ac:dyDescent="0.3">
      <c r="A1716">
        <v>62317</v>
      </c>
      <c r="B1716">
        <v>24876</v>
      </c>
      <c r="C1716">
        <v>1004</v>
      </c>
      <c r="D1716">
        <v>1</v>
      </c>
      <c r="E1716">
        <v>399.98</v>
      </c>
    </row>
    <row r="1717" spans="1:5" x14ac:dyDescent="0.3">
      <c r="A1717">
        <v>62314</v>
      </c>
      <c r="B1717">
        <v>24876</v>
      </c>
      <c r="C1717">
        <v>1014</v>
      </c>
      <c r="D1717">
        <v>2</v>
      </c>
      <c r="E1717">
        <v>99.96</v>
      </c>
    </row>
    <row r="1718" spans="1:5" x14ac:dyDescent="0.3">
      <c r="A1718">
        <v>62315</v>
      </c>
      <c r="B1718">
        <v>24876</v>
      </c>
      <c r="C1718">
        <v>502</v>
      </c>
      <c r="D1718">
        <v>3</v>
      </c>
      <c r="E1718">
        <v>150</v>
      </c>
    </row>
    <row r="1719" spans="1:5" x14ac:dyDescent="0.3">
      <c r="A1719">
        <v>62318</v>
      </c>
      <c r="B1719">
        <v>24877</v>
      </c>
      <c r="C1719">
        <v>191</v>
      </c>
      <c r="D1719">
        <v>2</v>
      </c>
      <c r="E1719">
        <v>199.98</v>
      </c>
    </row>
    <row r="1720" spans="1:5" x14ac:dyDescent="0.3">
      <c r="A1720">
        <v>62319</v>
      </c>
      <c r="B1720">
        <v>24877</v>
      </c>
      <c r="C1720">
        <v>278</v>
      </c>
      <c r="D1720">
        <v>4</v>
      </c>
      <c r="E1720">
        <v>179.96</v>
      </c>
    </row>
    <row r="1721" spans="1:5" x14ac:dyDescent="0.3">
      <c r="A1721">
        <v>62427</v>
      </c>
      <c r="B1721">
        <v>24914</v>
      </c>
      <c r="C1721">
        <v>403</v>
      </c>
      <c r="D1721">
        <v>1</v>
      </c>
      <c r="E1721">
        <v>129.99</v>
      </c>
    </row>
    <row r="1722" spans="1:5" x14ac:dyDescent="0.3">
      <c r="A1722">
        <v>62428</v>
      </c>
      <c r="B1722">
        <v>24914</v>
      </c>
      <c r="C1722">
        <v>957</v>
      </c>
      <c r="D1722">
        <v>1</v>
      </c>
      <c r="E1722">
        <v>299.98</v>
      </c>
    </row>
    <row r="1723" spans="1:5" x14ac:dyDescent="0.3">
      <c r="A1723">
        <v>62426</v>
      </c>
      <c r="B1723">
        <v>24914</v>
      </c>
      <c r="C1723">
        <v>627</v>
      </c>
      <c r="D1723">
        <v>2</v>
      </c>
      <c r="E1723">
        <v>79.98</v>
      </c>
    </row>
    <row r="1724" spans="1:5" x14ac:dyDescent="0.3">
      <c r="A1724">
        <v>62480</v>
      </c>
      <c r="B1724">
        <v>24935</v>
      </c>
      <c r="C1724">
        <v>957</v>
      </c>
      <c r="D1724">
        <v>1</v>
      </c>
      <c r="E1724">
        <v>299.98</v>
      </c>
    </row>
    <row r="1725" spans="1:5" x14ac:dyDescent="0.3">
      <c r="A1725">
        <v>62477</v>
      </c>
      <c r="B1725">
        <v>24935</v>
      </c>
      <c r="C1725">
        <v>627</v>
      </c>
      <c r="D1725">
        <v>2</v>
      </c>
      <c r="E1725">
        <v>79.98</v>
      </c>
    </row>
    <row r="1726" spans="1:5" x14ac:dyDescent="0.3">
      <c r="A1726">
        <v>62479</v>
      </c>
      <c r="B1726">
        <v>24935</v>
      </c>
      <c r="C1726">
        <v>897</v>
      </c>
      <c r="D1726">
        <v>2</v>
      </c>
      <c r="E1726">
        <v>49.98</v>
      </c>
    </row>
    <row r="1727" spans="1:5" x14ac:dyDescent="0.3">
      <c r="A1727">
        <v>62478</v>
      </c>
      <c r="B1727">
        <v>24935</v>
      </c>
      <c r="C1727">
        <v>1014</v>
      </c>
      <c r="D1727">
        <v>2</v>
      </c>
      <c r="E1727">
        <v>99.96</v>
      </c>
    </row>
    <row r="1728" spans="1:5" x14ac:dyDescent="0.3">
      <c r="A1728">
        <v>62481</v>
      </c>
      <c r="B1728">
        <v>24937</v>
      </c>
      <c r="C1728">
        <v>886</v>
      </c>
      <c r="D1728">
        <v>2</v>
      </c>
      <c r="E1728">
        <v>49.98</v>
      </c>
    </row>
    <row r="1729" spans="1:5" x14ac:dyDescent="0.3">
      <c r="A1729">
        <v>62483</v>
      </c>
      <c r="B1729">
        <v>24937</v>
      </c>
      <c r="C1729">
        <v>627</v>
      </c>
      <c r="D1729">
        <v>3</v>
      </c>
      <c r="E1729">
        <v>119.97</v>
      </c>
    </row>
    <row r="1730" spans="1:5" x14ac:dyDescent="0.3">
      <c r="A1730">
        <v>62482</v>
      </c>
      <c r="B1730">
        <v>24937</v>
      </c>
      <c r="C1730">
        <v>1014</v>
      </c>
      <c r="D1730">
        <v>1</v>
      </c>
      <c r="E1730">
        <v>49.98</v>
      </c>
    </row>
    <row r="1731" spans="1:5" x14ac:dyDescent="0.3">
      <c r="A1731">
        <v>62486</v>
      </c>
      <c r="B1731">
        <v>24938</v>
      </c>
      <c r="C1731">
        <v>191</v>
      </c>
      <c r="D1731">
        <v>2</v>
      </c>
      <c r="E1731">
        <v>199.98</v>
      </c>
    </row>
    <row r="1732" spans="1:5" x14ac:dyDescent="0.3">
      <c r="A1732">
        <v>62485</v>
      </c>
      <c r="B1732">
        <v>24938</v>
      </c>
      <c r="C1732">
        <v>502</v>
      </c>
      <c r="D1732">
        <v>2</v>
      </c>
      <c r="E1732">
        <v>100</v>
      </c>
    </row>
    <row r="1733" spans="1:5" x14ac:dyDescent="0.3">
      <c r="A1733">
        <v>62484</v>
      </c>
      <c r="B1733">
        <v>24938</v>
      </c>
      <c r="C1733">
        <v>1014</v>
      </c>
      <c r="D1733">
        <v>2</v>
      </c>
      <c r="E1733">
        <v>99.96</v>
      </c>
    </row>
    <row r="1734" spans="1:5" x14ac:dyDescent="0.3">
      <c r="A1734">
        <v>62487</v>
      </c>
      <c r="B1734">
        <v>24938</v>
      </c>
      <c r="C1734">
        <v>116</v>
      </c>
      <c r="D1734">
        <v>5</v>
      </c>
      <c r="E1734">
        <v>224.95</v>
      </c>
    </row>
    <row r="1735" spans="1:5" x14ac:dyDescent="0.3">
      <c r="A1735">
        <v>62492</v>
      </c>
      <c r="B1735">
        <v>24940</v>
      </c>
      <c r="C1735">
        <v>282</v>
      </c>
      <c r="D1735">
        <v>1</v>
      </c>
      <c r="E1735">
        <v>31.99</v>
      </c>
    </row>
    <row r="1736" spans="1:5" x14ac:dyDescent="0.3">
      <c r="A1736">
        <v>62533</v>
      </c>
      <c r="B1736">
        <v>24958</v>
      </c>
      <c r="C1736">
        <v>403</v>
      </c>
      <c r="D1736">
        <v>1</v>
      </c>
      <c r="E1736">
        <v>129.99</v>
      </c>
    </row>
    <row r="1737" spans="1:5" x14ac:dyDescent="0.3">
      <c r="A1737">
        <v>62535</v>
      </c>
      <c r="B1737">
        <v>24958</v>
      </c>
      <c r="C1737">
        <v>957</v>
      </c>
      <c r="D1737">
        <v>1</v>
      </c>
      <c r="E1737">
        <v>299.98</v>
      </c>
    </row>
    <row r="1738" spans="1:5" x14ac:dyDescent="0.3">
      <c r="A1738">
        <v>62534</v>
      </c>
      <c r="B1738">
        <v>24958</v>
      </c>
      <c r="C1738">
        <v>365</v>
      </c>
      <c r="D1738">
        <v>5</v>
      </c>
      <c r="E1738">
        <v>299.95</v>
      </c>
    </row>
    <row r="1739" spans="1:5" x14ac:dyDescent="0.3">
      <c r="A1739">
        <v>62537</v>
      </c>
      <c r="B1739">
        <v>24959</v>
      </c>
      <c r="C1739">
        <v>957</v>
      </c>
      <c r="D1739">
        <v>1</v>
      </c>
      <c r="E1739">
        <v>299.98</v>
      </c>
    </row>
    <row r="1740" spans="1:5" x14ac:dyDescent="0.3">
      <c r="A1740">
        <v>62538</v>
      </c>
      <c r="B1740">
        <v>24959</v>
      </c>
      <c r="C1740">
        <v>365</v>
      </c>
      <c r="D1740">
        <v>4</v>
      </c>
      <c r="E1740">
        <v>239.96</v>
      </c>
    </row>
    <row r="1741" spans="1:5" x14ac:dyDescent="0.3">
      <c r="A1741">
        <v>62539</v>
      </c>
      <c r="B1741">
        <v>24959</v>
      </c>
      <c r="C1741">
        <v>1073</v>
      </c>
      <c r="D1741">
        <v>1</v>
      </c>
      <c r="E1741">
        <v>199.99</v>
      </c>
    </row>
    <row r="1742" spans="1:5" x14ac:dyDescent="0.3">
      <c r="A1742">
        <v>62536</v>
      </c>
      <c r="B1742">
        <v>24959</v>
      </c>
      <c r="C1742">
        <v>1014</v>
      </c>
      <c r="D1742">
        <v>4</v>
      </c>
      <c r="E1742">
        <v>199.92</v>
      </c>
    </row>
    <row r="1743" spans="1:5" x14ac:dyDescent="0.3">
      <c r="A1743">
        <v>62560</v>
      </c>
      <c r="B1743">
        <v>24970</v>
      </c>
      <c r="C1743">
        <v>728</v>
      </c>
      <c r="D1743">
        <v>5</v>
      </c>
      <c r="E1743">
        <v>325</v>
      </c>
    </row>
    <row r="1744" spans="1:5" x14ac:dyDescent="0.3">
      <c r="A1744">
        <v>62558</v>
      </c>
      <c r="B1744">
        <v>24970</v>
      </c>
      <c r="C1744">
        <v>1014</v>
      </c>
      <c r="D1744">
        <v>4</v>
      </c>
      <c r="E1744">
        <v>199.92</v>
      </c>
    </row>
    <row r="1745" spans="1:5" x14ac:dyDescent="0.3">
      <c r="A1745">
        <v>62557</v>
      </c>
      <c r="B1745">
        <v>24970</v>
      </c>
      <c r="C1745">
        <v>403</v>
      </c>
      <c r="D1745">
        <v>1</v>
      </c>
      <c r="E1745">
        <v>129.99</v>
      </c>
    </row>
    <row r="1746" spans="1:5" x14ac:dyDescent="0.3">
      <c r="A1746">
        <v>62559</v>
      </c>
      <c r="B1746">
        <v>24970</v>
      </c>
      <c r="C1746">
        <v>627</v>
      </c>
      <c r="D1746">
        <v>3</v>
      </c>
      <c r="E1746">
        <v>119.97</v>
      </c>
    </row>
    <row r="1747" spans="1:5" x14ac:dyDescent="0.3">
      <c r="A1747">
        <v>62589</v>
      </c>
      <c r="B1747">
        <v>24980</v>
      </c>
      <c r="C1747">
        <v>365</v>
      </c>
      <c r="D1747">
        <v>1</v>
      </c>
      <c r="E1747">
        <v>59.99</v>
      </c>
    </row>
    <row r="1748" spans="1:5" x14ac:dyDescent="0.3">
      <c r="A1748">
        <v>62590</v>
      </c>
      <c r="B1748">
        <v>24980</v>
      </c>
      <c r="C1748">
        <v>502</v>
      </c>
      <c r="D1748">
        <v>1</v>
      </c>
      <c r="E1748">
        <v>50</v>
      </c>
    </row>
    <row r="1749" spans="1:5" x14ac:dyDescent="0.3">
      <c r="A1749">
        <v>62592</v>
      </c>
      <c r="B1749">
        <v>24980</v>
      </c>
      <c r="C1749">
        <v>1004</v>
      </c>
      <c r="D1749">
        <v>1</v>
      </c>
      <c r="E1749">
        <v>399.98</v>
      </c>
    </row>
    <row r="1750" spans="1:5" x14ac:dyDescent="0.3">
      <c r="A1750">
        <v>62591</v>
      </c>
      <c r="B1750">
        <v>24980</v>
      </c>
      <c r="C1750">
        <v>276</v>
      </c>
      <c r="D1750">
        <v>5</v>
      </c>
      <c r="E1750">
        <v>159.94999999999999</v>
      </c>
    </row>
    <row r="1751" spans="1:5" x14ac:dyDescent="0.3">
      <c r="A1751">
        <v>62596</v>
      </c>
      <c r="B1751">
        <v>24982</v>
      </c>
      <c r="C1751">
        <v>191</v>
      </c>
      <c r="D1751">
        <v>1</v>
      </c>
      <c r="E1751">
        <v>99.99</v>
      </c>
    </row>
    <row r="1752" spans="1:5" x14ac:dyDescent="0.3">
      <c r="A1752">
        <v>62595</v>
      </c>
      <c r="B1752">
        <v>24982</v>
      </c>
      <c r="C1752">
        <v>403</v>
      </c>
      <c r="D1752">
        <v>1</v>
      </c>
      <c r="E1752">
        <v>129.99</v>
      </c>
    </row>
    <row r="1753" spans="1:5" x14ac:dyDescent="0.3">
      <c r="A1753">
        <v>62594</v>
      </c>
      <c r="B1753">
        <v>24982</v>
      </c>
      <c r="C1753">
        <v>1004</v>
      </c>
      <c r="D1753">
        <v>1</v>
      </c>
      <c r="E1753">
        <v>399.98</v>
      </c>
    </row>
    <row r="1754" spans="1:5" x14ac:dyDescent="0.3">
      <c r="A1754">
        <v>62597</v>
      </c>
      <c r="B1754">
        <v>24982</v>
      </c>
      <c r="C1754">
        <v>191</v>
      </c>
      <c r="D1754">
        <v>3</v>
      </c>
      <c r="E1754">
        <v>299.97000000000003</v>
      </c>
    </row>
    <row r="1755" spans="1:5" x14ac:dyDescent="0.3">
      <c r="A1755">
        <v>62598</v>
      </c>
      <c r="B1755">
        <v>24982</v>
      </c>
      <c r="C1755">
        <v>502</v>
      </c>
      <c r="D1755">
        <v>3</v>
      </c>
      <c r="E1755">
        <v>150</v>
      </c>
    </row>
    <row r="1756" spans="1:5" x14ac:dyDescent="0.3">
      <c r="A1756">
        <v>62599</v>
      </c>
      <c r="B1756">
        <v>24983</v>
      </c>
      <c r="C1756">
        <v>502</v>
      </c>
      <c r="D1756">
        <v>1</v>
      </c>
      <c r="E1756">
        <v>50</v>
      </c>
    </row>
    <row r="1757" spans="1:5" x14ac:dyDescent="0.3">
      <c r="A1757">
        <v>62600</v>
      </c>
      <c r="B1757">
        <v>24983</v>
      </c>
      <c r="C1757">
        <v>365</v>
      </c>
      <c r="D1757">
        <v>2</v>
      </c>
      <c r="E1757">
        <v>119.98</v>
      </c>
    </row>
    <row r="1758" spans="1:5" x14ac:dyDescent="0.3">
      <c r="A1758">
        <v>62601</v>
      </c>
      <c r="B1758">
        <v>24983</v>
      </c>
      <c r="C1758">
        <v>365</v>
      </c>
      <c r="D1758">
        <v>3</v>
      </c>
      <c r="E1758">
        <v>179.97</v>
      </c>
    </row>
    <row r="1759" spans="1:5" x14ac:dyDescent="0.3">
      <c r="A1759">
        <v>62602</v>
      </c>
      <c r="B1759">
        <v>24984</v>
      </c>
      <c r="C1759">
        <v>1004</v>
      </c>
      <c r="D1759">
        <v>1</v>
      </c>
      <c r="E1759">
        <v>399.98</v>
      </c>
    </row>
    <row r="1760" spans="1:5" x14ac:dyDescent="0.3">
      <c r="A1760">
        <v>62604</v>
      </c>
      <c r="B1760">
        <v>24984</v>
      </c>
      <c r="C1760">
        <v>502</v>
      </c>
      <c r="D1760">
        <v>2</v>
      </c>
      <c r="E1760">
        <v>100</v>
      </c>
    </row>
    <row r="1761" spans="1:5" x14ac:dyDescent="0.3">
      <c r="A1761">
        <v>62603</v>
      </c>
      <c r="B1761">
        <v>24984</v>
      </c>
      <c r="C1761">
        <v>627</v>
      </c>
      <c r="D1761">
        <v>3</v>
      </c>
      <c r="E1761">
        <v>119.97</v>
      </c>
    </row>
    <row r="1762" spans="1:5" x14ac:dyDescent="0.3">
      <c r="A1762">
        <v>62605</v>
      </c>
      <c r="B1762">
        <v>24985</v>
      </c>
      <c r="C1762">
        <v>957</v>
      </c>
      <c r="D1762">
        <v>1</v>
      </c>
      <c r="E1762">
        <v>299.98</v>
      </c>
    </row>
    <row r="1763" spans="1:5" x14ac:dyDescent="0.3">
      <c r="A1763">
        <v>62630</v>
      </c>
      <c r="B1763">
        <v>24996</v>
      </c>
      <c r="C1763">
        <v>502</v>
      </c>
      <c r="D1763">
        <v>2</v>
      </c>
      <c r="E1763">
        <v>100</v>
      </c>
    </row>
    <row r="1764" spans="1:5" x14ac:dyDescent="0.3">
      <c r="A1764">
        <v>62631</v>
      </c>
      <c r="B1764">
        <v>24996</v>
      </c>
      <c r="C1764">
        <v>627</v>
      </c>
      <c r="D1764">
        <v>4</v>
      </c>
      <c r="E1764">
        <v>159.96</v>
      </c>
    </row>
    <row r="1765" spans="1:5" x14ac:dyDescent="0.3">
      <c r="A1765">
        <v>62632</v>
      </c>
      <c r="B1765">
        <v>24997</v>
      </c>
      <c r="C1765">
        <v>926</v>
      </c>
      <c r="D1765">
        <v>1</v>
      </c>
      <c r="E1765">
        <v>15.99</v>
      </c>
    </row>
    <row r="1766" spans="1:5" x14ac:dyDescent="0.3">
      <c r="A1766">
        <v>62636</v>
      </c>
      <c r="B1766">
        <v>24997</v>
      </c>
      <c r="C1766">
        <v>957</v>
      </c>
      <c r="D1766">
        <v>1</v>
      </c>
      <c r="E1766">
        <v>299.98</v>
      </c>
    </row>
    <row r="1767" spans="1:5" x14ac:dyDescent="0.3">
      <c r="A1767">
        <v>62634</v>
      </c>
      <c r="B1767">
        <v>24997</v>
      </c>
      <c r="C1767">
        <v>957</v>
      </c>
      <c r="D1767">
        <v>1</v>
      </c>
      <c r="E1767">
        <v>299.98</v>
      </c>
    </row>
    <row r="1768" spans="1:5" x14ac:dyDescent="0.3">
      <c r="A1768">
        <v>62633</v>
      </c>
      <c r="B1768">
        <v>24997</v>
      </c>
      <c r="C1768">
        <v>567</v>
      </c>
      <c r="D1768">
        <v>2</v>
      </c>
      <c r="E1768">
        <v>50</v>
      </c>
    </row>
    <row r="1769" spans="1:5" x14ac:dyDescent="0.3">
      <c r="A1769">
        <v>62635</v>
      </c>
      <c r="B1769">
        <v>24997</v>
      </c>
      <c r="C1769">
        <v>502</v>
      </c>
      <c r="D1769">
        <v>4</v>
      </c>
      <c r="E1769">
        <v>200</v>
      </c>
    </row>
    <row r="1770" spans="1:5" x14ac:dyDescent="0.3">
      <c r="A1770">
        <v>62695</v>
      </c>
      <c r="B1770">
        <v>25018</v>
      </c>
      <c r="C1770">
        <v>502</v>
      </c>
      <c r="D1770">
        <v>2</v>
      </c>
      <c r="E1770">
        <v>100</v>
      </c>
    </row>
    <row r="1771" spans="1:5" x14ac:dyDescent="0.3">
      <c r="A1771">
        <v>62694</v>
      </c>
      <c r="B1771">
        <v>25018</v>
      </c>
      <c r="C1771">
        <v>502</v>
      </c>
      <c r="D1771">
        <v>5</v>
      </c>
      <c r="E1771">
        <v>250</v>
      </c>
    </row>
    <row r="1772" spans="1:5" x14ac:dyDescent="0.3">
      <c r="A1772">
        <v>62746</v>
      </c>
      <c r="B1772">
        <v>25041</v>
      </c>
      <c r="C1772">
        <v>365</v>
      </c>
      <c r="D1772">
        <v>1</v>
      </c>
      <c r="E1772">
        <v>59.99</v>
      </c>
    </row>
    <row r="1773" spans="1:5" x14ac:dyDescent="0.3">
      <c r="A1773">
        <v>62749</v>
      </c>
      <c r="B1773">
        <v>25041</v>
      </c>
      <c r="C1773">
        <v>502</v>
      </c>
      <c r="D1773">
        <v>1</v>
      </c>
      <c r="E1773">
        <v>50</v>
      </c>
    </row>
    <row r="1774" spans="1:5" x14ac:dyDescent="0.3">
      <c r="A1774">
        <v>62747</v>
      </c>
      <c r="B1774">
        <v>25041</v>
      </c>
      <c r="C1774">
        <v>821</v>
      </c>
      <c r="D1774">
        <v>1</v>
      </c>
      <c r="E1774">
        <v>51.99</v>
      </c>
    </row>
    <row r="1775" spans="1:5" x14ac:dyDescent="0.3">
      <c r="A1775">
        <v>62748</v>
      </c>
      <c r="B1775">
        <v>25041</v>
      </c>
      <c r="C1775">
        <v>116</v>
      </c>
      <c r="D1775">
        <v>2</v>
      </c>
      <c r="E1775">
        <v>89.98</v>
      </c>
    </row>
    <row r="1776" spans="1:5" x14ac:dyDescent="0.3">
      <c r="A1776">
        <v>62750</v>
      </c>
      <c r="B1776">
        <v>25042</v>
      </c>
      <c r="C1776">
        <v>1004</v>
      </c>
      <c r="D1776">
        <v>1</v>
      </c>
      <c r="E1776">
        <v>399.98</v>
      </c>
    </row>
    <row r="1777" spans="1:5" x14ac:dyDescent="0.3">
      <c r="A1777">
        <v>62752</v>
      </c>
      <c r="B1777">
        <v>25042</v>
      </c>
      <c r="C1777">
        <v>502</v>
      </c>
      <c r="D1777">
        <v>2</v>
      </c>
      <c r="E1777">
        <v>100</v>
      </c>
    </row>
    <row r="1778" spans="1:5" x14ac:dyDescent="0.3">
      <c r="A1778">
        <v>62751</v>
      </c>
      <c r="B1778">
        <v>25042</v>
      </c>
      <c r="C1778">
        <v>823</v>
      </c>
      <c r="D1778">
        <v>4</v>
      </c>
      <c r="E1778">
        <v>207.96</v>
      </c>
    </row>
    <row r="1779" spans="1:5" x14ac:dyDescent="0.3">
      <c r="A1779">
        <v>62760</v>
      </c>
      <c r="B1779">
        <v>25048</v>
      </c>
      <c r="C1779">
        <v>403</v>
      </c>
      <c r="D1779">
        <v>1</v>
      </c>
      <c r="E1779">
        <v>129.99</v>
      </c>
    </row>
    <row r="1780" spans="1:5" x14ac:dyDescent="0.3">
      <c r="A1780">
        <v>62759</v>
      </c>
      <c r="B1780">
        <v>25048</v>
      </c>
      <c r="C1780">
        <v>403</v>
      </c>
      <c r="D1780">
        <v>1</v>
      </c>
      <c r="E1780">
        <v>129.99</v>
      </c>
    </row>
    <row r="1781" spans="1:5" x14ac:dyDescent="0.3">
      <c r="A1781">
        <v>62758</v>
      </c>
      <c r="B1781">
        <v>25048</v>
      </c>
      <c r="C1781">
        <v>502</v>
      </c>
      <c r="D1781">
        <v>3</v>
      </c>
      <c r="E1781">
        <v>150</v>
      </c>
    </row>
    <row r="1782" spans="1:5" x14ac:dyDescent="0.3">
      <c r="A1782">
        <v>62761</v>
      </c>
      <c r="B1782">
        <v>25048</v>
      </c>
      <c r="C1782">
        <v>1014</v>
      </c>
      <c r="D1782">
        <v>2</v>
      </c>
      <c r="E1782">
        <v>99.96</v>
      </c>
    </row>
    <row r="1783" spans="1:5" x14ac:dyDescent="0.3">
      <c r="A1783">
        <v>62767</v>
      </c>
      <c r="B1783">
        <v>25050</v>
      </c>
      <c r="C1783">
        <v>403</v>
      </c>
      <c r="D1783">
        <v>1</v>
      </c>
      <c r="E1783">
        <v>129.99</v>
      </c>
    </row>
    <row r="1784" spans="1:5" x14ac:dyDescent="0.3">
      <c r="A1784">
        <v>62766</v>
      </c>
      <c r="B1784">
        <v>25050</v>
      </c>
      <c r="C1784">
        <v>403</v>
      </c>
      <c r="D1784">
        <v>1</v>
      </c>
      <c r="E1784">
        <v>129.99</v>
      </c>
    </row>
    <row r="1785" spans="1:5" x14ac:dyDescent="0.3">
      <c r="A1785">
        <v>62765</v>
      </c>
      <c r="B1785">
        <v>25050</v>
      </c>
      <c r="C1785">
        <v>191</v>
      </c>
      <c r="D1785">
        <v>3</v>
      </c>
      <c r="E1785">
        <v>299.97000000000003</v>
      </c>
    </row>
    <row r="1786" spans="1:5" x14ac:dyDescent="0.3">
      <c r="A1786">
        <v>62769</v>
      </c>
      <c r="B1786">
        <v>25051</v>
      </c>
      <c r="C1786">
        <v>1004</v>
      </c>
      <c r="D1786">
        <v>1</v>
      </c>
      <c r="E1786">
        <v>399.98</v>
      </c>
    </row>
    <row r="1787" spans="1:5" x14ac:dyDescent="0.3">
      <c r="A1787">
        <v>62768</v>
      </c>
      <c r="B1787">
        <v>25051</v>
      </c>
      <c r="C1787">
        <v>1004</v>
      </c>
      <c r="D1787">
        <v>1</v>
      </c>
      <c r="E1787">
        <v>399.98</v>
      </c>
    </row>
    <row r="1788" spans="1:5" x14ac:dyDescent="0.3">
      <c r="A1788">
        <v>62816</v>
      </c>
      <c r="B1788">
        <v>25067</v>
      </c>
      <c r="C1788">
        <v>365</v>
      </c>
      <c r="D1788">
        <v>1</v>
      </c>
      <c r="E1788">
        <v>59.99</v>
      </c>
    </row>
    <row r="1789" spans="1:5" x14ac:dyDescent="0.3">
      <c r="A1789">
        <v>62818</v>
      </c>
      <c r="B1789">
        <v>25067</v>
      </c>
      <c r="C1789">
        <v>1004</v>
      </c>
      <c r="D1789">
        <v>1</v>
      </c>
      <c r="E1789">
        <v>399.98</v>
      </c>
    </row>
    <row r="1790" spans="1:5" x14ac:dyDescent="0.3">
      <c r="A1790">
        <v>62814</v>
      </c>
      <c r="B1790">
        <v>25067</v>
      </c>
      <c r="C1790">
        <v>897</v>
      </c>
      <c r="D1790">
        <v>3</v>
      </c>
      <c r="E1790">
        <v>74.97</v>
      </c>
    </row>
    <row r="1791" spans="1:5" x14ac:dyDescent="0.3">
      <c r="A1791">
        <v>62815</v>
      </c>
      <c r="B1791">
        <v>25067</v>
      </c>
      <c r="C1791">
        <v>627</v>
      </c>
      <c r="D1791">
        <v>4</v>
      </c>
      <c r="E1791">
        <v>159.96</v>
      </c>
    </row>
    <row r="1792" spans="1:5" x14ac:dyDescent="0.3">
      <c r="A1792">
        <v>62817</v>
      </c>
      <c r="B1792">
        <v>25067</v>
      </c>
      <c r="C1792">
        <v>502</v>
      </c>
      <c r="D1792">
        <v>4</v>
      </c>
      <c r="E1792">
        <v>200</v>
      </c>
    </row>
    <row r="1793" spans="1:5" x14ac:dyDescent="0.3">
      <c r="A1793">
        <v>62883</v>
      </c>
      <c r="B1793">
        <v>25096</v>
      </c>
      <c r="C1793">
        <v>365</v>
      </c>
      <c r="D1793">
        <v>4</v>
      </c>
      <c r="E1793">
        <v>239.96</v>
      </c>
    </row>
    <row r="1794" spans="1:5" x14ac:dyDescent="0.3">
      <c r="A1794">
        <v>62881</v>
      </c>
      <c r="B1794">
        <v>25096</v>
      </c>
      <c r="C1794">
        <v>502</v>
      </c>
      <c r="D1794">
        <v>5</v>
      </c>
      <c r="E1794">
        <v>250</v>
      </c>
    </row>
    <row r="1795" spans="1:5" x14ac:dyDescent="0.3">
      <c r="A1795">
        <v>62882</v>
      </c>
      <c r="B1795">
        <v>25096</v>
      </c>
      <c r="C1795">
        <v>365</v>
      </c>
      <c r="D1795">
        <v>1</v>
      </c>
      <c r="E1795">
        <v>59.99</v>
      </c>
    </row>
    <row r="1796" spans="1:5" x14ac:dyDescent="0.3">
      <c r="A1796">
        <v>62884</v>
      </c>
      <c r="B1796">
        <v>25096</v>
      </c>
      <c r="C1796">
        <v>365</v>
      </c>
      <c r="D1796">
        <v>2</v>
      </c>
      <c r="E1796">
        <v>119.98</v>
      </c>
    </row>
    <row r="1797" spans="1:5" x14ac:dyDescent="0.3">
      <c r="A1797">
        <v>62885</v>
      </c>
      <c r="B1797">
        <v>25096</v>
      </c>
      <c r="C1797">
        <v>191</v>
      </c>
      <c r="D1797">
        <v>3</v>
      </c>
      <c r="E1797">
        <v>299.97000000000003</v>
      </c>
    </row>
    <row r="1798" spans="1:5" x14ac:dyDescent="0.3">
      <c r="A1798">
        <v>62886</v>
      </c>
      <c r="B1798">
        <v>25097</v>
      </c>
      <c r="C1798">
        <v>191</v>
      </c>
      <c r="D1798">
        <v>3</v>
      </c>
      <c r="E1798">
        <v>299.97000000000003</v>
      </c>
    </row>
    <row r="1799" spans="1:5" x14ac:dyDescent="0.3">
      <c r="A1799">
        <v>62888</v>
      </c>
      <c r="B1799">
        <v>25098</v>
      </c>
      <c r="C1799">
        <v>403</v>
      </c>
      <c r="D1799">
        <v>1</v>
      </c>
      <c r="E1799">
        <v>129.99</v>
      </c>
    </row>
    <row r="1800" spans="1:5" x14ac:dyDescent="0.3">
      <c r="A1800">
        <v>62887</v>
      </c>
      <c r="B1800">
        <v>25098</v>
      </c>
      <c r="C1800">
        <v>403</v>
      </c>
      <c r="D1800">
        <v>1</v>
      </c>
      <c r="E1800">
        <v>129.99</v>
      </c>
    </row>
    <row r="1801" spans="1:5" x14ac:dyDescent="0.3">
      <c r="A1801">
        <v>62889</v>
      </c>
      <c r="B1801">
        <v>25098</v>
      </c>
      <c r="C1801">
        <v>502</v>
      </c>
      <c r="D1801">
        <v>1</v>
      </c>
      <c r="E1801">
        <v>50</v>
      </c>
    </row>
    <row r="1802" spans="1:5" x14ac:dyDescent="0.3">
      <c r="A1802">
        <v>62890</v>
      </c>
      <c r="B1802">
        <v>25099</v>
      </c>
      <c r="C1802">
        <v>1014</v>
      </c>
      <c r="D1802">
        <v>3</v>
      </c>
      <c r="E1802">
        <v>149.94</v>
      </c>
    </row>
    <row r="1803" spans="1:5" x14ac:dyDescent="0.3">
      <c r="A1803">
        <v>62891</v>
      </c>
      <c r="B1803">
        <v>25099</v>
      </c>
      <c r="C1803">
        <v>365</v>
      </c>
      <c r="D1803">
        <v>2</v>
      </c>
      <c r="E1803">
        <v>119.98</v>
      </c>
    </row>
    <row r="1804" spans="1:5" x14ac:dyDescent="0.3">
      <c r="A1804">
        <v>62897</v>
      </c>
      <c r="B1804">
        <v>25102</v>
      </c>
      <c r="C1804">
        <v>1073</v>
      </c>
      <c r="D1804">
        <v>1</v>
      </c>
      <c r="E1804">
        <v>199.99</v>
      </c>
    </row>
    <row r="1805" spans="1:5" x14ac:dyDescent="0.3">
      <c r="A1805">
        <v>62894</v>
      </c>
      <c r="B1805">
        <v>25102</v>
      </c>
      <c r="C1805">
        <v>403</v>
      </c>
      <c r="D1805">
        <v>1</v>
      </c>
      <c r="E1805">
        <v>129.99</v>
      </c>
    </row>
    <row r="1806" spans="1:5" x14ac:dyDescent="0.3">
      <c r="A1806">
        <v>62898</v>
      </c>
      <c r="B1806">
        <v>25102</v>
      </c>
      <c r="C1806">
        <v>957</v>
      </c>
      <c r="D1806">
        <v>1</v>
      </c>
      <c r="E1806">
        <v>299.98</v>
      </c>
    </row>
    <row r="1807" spans="1:5" x14ac:dyDescent="0.3">
      <c r="A1807">
        <v>62896</v>
      </c>
      <c r="B1807">
        <v>25102</v>
      </c>
      <c r="C1807">
        <v>502</v>
      </c>
      <c r="D1807">
        <v>2</v>
      </c>
      <c r="E1807">
        <v>100</v>
      </c>
    </row>
    <row r="1808" spans="1:5" x14ac:dyDescent="0.3">
      <c r="A1808">
        <v>62895</v>
      </c>
      <c r="B1808">
        <v>25102</v>
      </c>
      <c r="C1808">
        <v>365</v>
      </c>
      <c r="D1808">
        <v>5</v>
      </c>
      <c r="E1808">
        <v>299.95</v>
      </c>
    </row>
    <row r="1809" spans="1:5" x14ac:dyDescent="0.3">
      <c r="A1809">
        <v>62901</v>
      </c>
      <c r="B1809">
        <v>25103</v>
      </c>
      <c r="C1809">
        <v>1004</v>
      </c>
      <c r="D1809">
        <v>1</v>
      </c>
      <c r="E1809">
        <v>399.98</v>
      </c>
    </row>
    <row r="1810" spans="1:5" x14ac:dyDescent="0.3">
      <c r="A1810">
        <v>62900</v>
      </c>
      <c r="B1810">
        <v>25103</v>
      </c>
      <c r="C1810">
        <v>365</v>
      </c>
      <c r="D1810">
        <v>2</v>
      </c>
      <c r="E1810">
        <v>119.98</v>
      </c>
    </row>
    <row r="1811" spans="1:5" x14ac:dyDescent="0.3">
      <c r="A1811">
        <v>62899</v>
      </c>
      <c r="B1811">
        <v>25103</v>
      </c>
      <c r="C1811">
        <v>502</v>
      </c>
      <c r="D1811">
        <v>2</v>
      </c>
      <c r="E1811">
        <v>100</v>
      </c>
    </row>
    <row r="1812" spans="1:5" x14ac:dyDescent="0.3">
      <c r="A1812">
        <v>62902</v>
      </c>
      <c r="B1812">
        <v>25103</v>
      </c>
      <c r="C1812">
        <v>1073</v>
      </c>
      <c r="D1812">
        <v>1</v>
      </c>
      <c r="E1812">
        <v>199.99</v>
      </c>
    </row>
    <row r="1813" spans="1:5" x14ac:dyDescent="0.3">
      <c r="A1813">
        <v>62903</v>
      </c>
      <c r="B1813">
        <v>25103</v>
      </c>
      <c r="C1813">
        <v>1014</v>
      </c>
      <c r="D1813">
        <v>3</v>
      </c>
      <c r="E1813">
        <v>149.94</v>
      </c>
    </row>
    <row r="1814" spans="1:5" x14ac:dyDescent="0.3">
      <c r="A1814">
        <v>62908</v>
      </c>
      <c r="B1814">
        <v>25106</v>
      </c>
      <c r="C1814">
        <v>835</v>
      </c>
      <c r="D1814">
        <v>4</v>
      </c>
      <c r="E1814">
        <v>127.96</v>
      </c>
    </row>
    <row r="1815" spans="1:5" x14ac:dyDescent="0.3">
      <c r="A1815">
        <v>62909</v>
      </c>
      <c r="B1815">
        <v>25106</v>
      </c>
      <c r="C1815">
        <v>403</v>
      </c>
      <c r="D1815">
        <v>1</v>
      </c>
      <c r="E1815">
        <v>129.99</v>
      </c>
    </row>
    <row r="1816" spans="1:5" x14ac:dyDescent="0.3">
      <c r="A1816">
        <v>62907</v>
      </c>
      <c r="B1816">
        <v>25106</v>
      </c>
      <c r="C1816">
        <v>502</v>
      </c>
      <c r="D1816">
        <v>2</v>
      </c>
      <c r="E1816">
        <v>100</v>
      </c>
    </row>
    <row r="1817" spans="1:5" x14ac:dyDescent="0.3">
      <c r="A1817">
        <v>62915</v>
      </c>
      <c r="B1817">
        <v>25108</v>
      </c>
      <c r="C1817">
        <v>1073</v>
      </c>
      <c r="D1817">
        <v>1</v>
      </c>
      <c r="E1817">
        <v>199.99</v>
      </c>
    </row>
    <row r="1818" spans="1:5" x14ac:dyDescent="0.3">
      <c r="A1818">
        <v>62917</v>
      </c>
      <c r="B1818">
        <v>25108</v>
      </c>
      <c r="C1818">
        <v>403</v>
      </c>
      <c r="D1818">
        <v>1</v>
      </c>
      <c r="E1818">
        <v>129.99</v>
      </c>
    </row>
    <row r="1819" spans="1:5" x14ac:dyDescent="0.3">
      <c r="A1819">
        <v>62916</v>
      </c>
      <c r="B1819">
        <v>25108</v>
      </c>
      <c r="C1819">
        <v>403</v>
      </c>
      <c r="D1819">
        <v>1</v>
      </c>
      <c r="E1819">
        <v>129.99</v>
      </c>
    </row>
    <row r="1820" spans="1:5" x14ac:dyDescent="0.3">
      <c r="A1820">
        <v>62918</v>
      </c>
      <c r="B1820">
        <v>25110</v>
      </c>
      <c r="C1820">
        <v>134</v>
      </c>
      <c r="D1820">
        <v>2</v>
      </c>
      <c r="E1820">
        <v>50</v>
      </c>
    </row>
    <row r="1821" spans="1:5" x14ac:dyDescent="0.3">
      <c r="A1821">
        <v>62919</v>
      </c>
      <c r="B1821">
        <v>25110</v>
      </c>
      <c r="C1821">
        <v>1014</v>
      </c>
      <c r="D1821">
        <v>5</v>
      </c>
      <c r="E1821">
        <v>249.9</v>
      </c>
    </row>
    <row r="1822" spans="1:5" x14ac:dyDescent="0.3">
      <c r="A1822">
        <v>62920</v>
      </c>
      <c r="B1822">
        <v>25110</v>
      </c>
      <c r="C1822">
        <v>1004</v>
      </c>
      <c r="D1822">
        <v>1</v>
      </c>
      <c r="E1822">
        <v>399.98</v>
      </c>
    </row>
    <row r="1823" spans="1:5" x14ac:dyDescent="0.3">
      <c r="A1823">
        <v>62923</v>
      </c>
      <c r="B1823">
        <v>25111</v>
      </c>
      <c r="C1823">
        <v>1014</v>
      </c>
      <c r="D1823">
        <v>2</v>
      </c>
      <c r="E1823">
        <v>99.96</v>
      </c>
    </row>
    <row r="1824" spans="1:5" x14ac:dyDescent="0.3">
      <c r="A1824">
        <v>62922</v>
      </c>
      <c r="B1824">
        <v>25111</v>
      </c>
      <c r="C1824">
        <v>1004</v>
      </c>
      <c r="D1824">
        <v>1</v>
      </c>
      <c r="E1824">
        <v>399.98</v>
      </c>
    </row>
    <row r="1825" spans="1:5" x14ac:dyDescent="0.3">
      <c r="A1825">
        <v>62924</v>
      </c>
      <c r="B1825">
        <v>25111</v>
      </c>
      <c r="C1825">
        <v>365</v>
      </c>
      <c r="D1825">
        <v>2</v>
      </c>
      <c r="E1825">
        <v>119.98</v>
      </c>
    </row>
    <row r="1826" spans="1:5" x14ac:dyDescent="0.3">
      <c r="A1826">
        <v>62921</v>
      </c>
      <c r="B1826">
        <v>25111</v>
      </c>
      <c r="C1826">
        <v>502</v>
      </c>
      <c r="D1826">
        <v>2</v>
      </c>
      <c r="E1826">
        <v>100</v>
      </c>
    </row>
    <row r="1827" spans="1:5" x14ac:dyDescent="0.3">
      <c r="A1827">
        <v>62925</v>
      </c>
      <c r="B1827">
        <v>25111</v>
      </c>
      <c r="C1827">
        <v>191</v>
      </c>
      <c r="D1827">
        <v>3</v>
      </c>
      <c r="E1827">
        <v>299.97000000000003</v>
      </c>
    </row>
    <row r="1828" spans="1:5" x14ac:dyDescent="0.3">
      <c r="A1828">
        <v>62929</v>
      </c>
      <c r="B1828">
        <v>25113</v>
      </c>
      <c r="C1828">
        <v>502</v>
      </c>
      <c r="D1828">
        <v>1</v>
      </c>
      <c r="E1828">
        <v>50</v>
      </c>
    </row>
    <row r="1829" spans="1:5" x14ac:dyDescent="0.3">
      <c r="A1829">
        <v>62926</v>
      </c>
      <c r="B1829">
        <v>25113</v>
      </c>
      <c r="C1829">
        <v>1004</v>
      </c>
      <c r="D1829">
        <v>1</v>
      </c>
      <c r="E1829">
        <v>399.98</v>
      </c>
    </row>
    <row r="1830" spans="1:5" x14ac:dyDescent="0.3">
      <c r="A1830">
        <v>62930</v>
      </c>
      <c r="B1830">
        <v>25113</v>
      </c>
      <c r="C1830">
        <v>191</v>
      </c>
      <c r="D1830">
        <v>3</v>
      </c>
      <c r="E1830">
        <v>299.97000000000003</v>
      </c>
    </row>
    <row r="1831" spans="1:5" x14ac:dyDescent="0.3">
      <c r="A1831">
        <v>62928</v>
      </c>
      <c r="B1831">
        <v>25113</v>
      </c>
      <c r="C1831">
        <v>1014</v>
      </c>
      <c r="D1831">
        <v>4</v>
      </c>
      <c r="E1831">
        <v>199.92</v>
      </c>
    </row>
    <row r="1832" spans="1:5" x14ac:dyDescent="0.3">
      <c r="A1832">
        <v>62927</v>
      </c>
      <c r="B1832">
        <v>25113</v>
      </c>
      <c r="C1832">
        <v>1014</v>
      </c>
      <c r="D1832">
        <v>5</v>
      </c>
      <c r="E1832">
        <v>249.9</v>
      </c>
    </row>
    <row r="1833" spans="1:5" x14ac:dyDescent="0.3">
      <c r="A1833">
        <v>62931</v>
      </c>
      <c r="B1833">
        <v>25114</v>
      </c>
      <c r="C1833">
        <v>1004</v>
      </c>
      <c r="D1833">
        <v>1</v>
      </c>
      <c r="E1833">
        <v>399.98</v>
      </c>
    </row>
    <row r="1834" spans="1:5" x14ac:dyDescent="0.3">
      <c r="A1834">
        <v>62934</v>
      </c>
      <c r="B1834">
        <v>25115</v>
      </c>
      <c r="C1834">
        <v>885</v>
      </c>
      <c r="D1834">
        <v>1</v>
      </c>
      <c r="E1834">
        <v>24.99</v>
      </c>
    </row>
    <row r="1835" spans="1:5" x14ac:dyDescent="0.3">
      <c r="A1835">
        <v>62932</v>
      </c>
      <c r="B1835">
        <v>25115</v>
      </c>
      <c r="C1835">
        <v>627</v>
      </c>
      <c r="D1835">
        <v>3</v>
      </c>
      <c r="E1835">
        <v>119.97</v>
      </c>
    </row>
    <row r="1836" spans="1:5" x14ac:dyDescent="0.3">
      <c r="A1836">
        <v>62935</v>
      </c>
      <c r="B1836">
        <v>25115</v>
      </c>
      <c r="C1836">
        <v>1073</v>
      </c>
      <c r="D1836">
        <v>1</v>
      </c>
      <c r="E1836">
        <v>199.99</v>
      </c>
    </row>
    <row r="1837" spans="1:5" x14ac:dyDescent="0.3">
      <c r="A1837">
        <v>62933</v>
      </c>
      <c r="B1837">
        <v>25115</v>
      </c>
      <c r="C1837">
        <v>1014</v>
      </c>
      <c r="D1837">
        <v>5</v>
      </c>
      <c r="E1837">
        <v>249.9</v>
      </c>
    </row>
    <row r="1838" spans="1:5" x14ac:dyDescent="0.3">
      <c r="A1838">
        <v>62936</v>
      </c>
      <c r="B1838">
        <v>25116</v>
      </c>
      <c r="C1838">
        <v>885</v>
      </c>
      <c r="D1838">
        <v>4</v>
      </c>
      <c r="E1838">
        <v>99.96</v>
      </c>
    </row>
    <row r="1839" spans="1:5" x14ac:dyDescent="0.3">
      <c r="A1839">
        <v>62939</v>
      </c>
      <c r="B1839">
        <v>25117</v>
      </c>
      <c r="C1839">
        <v>627</v>
      </c>
      <c r="D1839">
        <v>2</v>
      </c>
      <c r="E1839">
        <v>79.98</v>
      </c>
    </row>
    <row r="1840" spans="1:5" x14ac:dyDescent="0.3">
      <c r="A1840">
        <v>62938</v>
      </c>
      <c r="B1840">
        <v>25117</v>
      </c>
      <c r="C1840">
        <v>572</v>
      </c>
      <c r="D1840">
        <v>4</v>
      </c>
      <c r="E1840">
        <v>159.96</v>
      </c>
    </row>
    <row r="1841" spans="1:5" x14ac:dyDescent="0.3">
      <c r="A1841">
        <v>62937</v>
      </c>
      <c r="B1841">
        <v>25117</v>
      </c>
      <c r="C1841">
        <v>1014</v>
      </c>
      <c r="D1841">
        <v>5</v>
      </c>
      <c r="E1841">
        <v>249.9</v>
      </c>
    </row>
    <row r="1842" spans="1:5" x14ac:dyDescent="0.3">
      <c r="A1842">
        <v>62968</v>
      </c>
      <c r="B1842">
        <v>25131</v>
      </c>
      <c r="C1842">
        <v>403</v>
      </c>
      <c r="D1842">
        <v>1</v>
      </c>
      <c r="E1842">
        <v>129.99</v>
      </c>
    </row>
    <row r="1843" spans="1:5" x14ac:dyDescent="0.3">
      <c r="A1843">
        <v>62965</v>
      </c>
      <c r="B1843">
        <v>25131</v>
      </c>
      <c r="C1843">
        <v>957</v>
      </c>
      <c r="D1843">
        <v>1</v>
      </c>
      <c r="E1843">
        <v>299.98</v>
      </c>
    </row>
    <row r="1844" spans="1:5" x14ac:dyDescent="0.3">
      <c r="A1844">
        <v>62966</v>
      </c>
      <c r="B1844">
        <v>25131</v>
      </c>
      <c r="C1844">
        <v>502</v>
      </c>
      <c r="D1844">
        <v>3</v>
      </c>
      <c r="E1844">
        <v>150</v>
      </c>
    </row>
    <row r="1845" spans="1:5" x14ac:dyDescent="0.3">
      <c r="A1845">
        <v>62967</v>
      </c>
      <c r="B1845">
        <v>25131</v>
      </c>
      <c r="C1845">
        <v>627</v>
      </c>
      <c r="D1845">
        <v>4</v>
      </c>
      <c r="E1845">
        <v>159.96</v>
      </c>
    </row>
    <row r="1846" spans="1:5" x14ac:dyDescent="0.3">
      <c r="A1846">
        <v>62970</v>
      </c>
      <c r="B1846">
        <v>25132</v>
      </c>
      <c r="C1846">
        <v>957</v>
      </c>
      <c r="D1846">
        <v>1</v>
      </c>
      <c r="E1846">
        <v>299.98</v>
      </c>
    </row>
    <row r="1847" spans="1:5" x14ac:dyDescent="0.3">
      <c r="A1847">
        <v>62971</v>
      </c>
      <c r="B1847">
        <v>25132</v>
      </c>
      <c r="C1847">
        <v>191</v>
      </c>
      <c r="D1847">
        <v>2</v>
      </c>
      <c r="E1847">
        <v>199.98</v>
      </c>
    </row>
    <row r="1848" spans="1:5" x14ac:dyDescent="0.3">
      <c r="A1848">
        <v>62969</v>
      </c>
      <c r="B1848">
        <v>25132</v>
      </c>
      <c r="C1848">
        <v>502</v>
      </c>
      <c r="D1848">
        <v>3</v>
      </c>
      <c r="E1848">
        <v>150</v>
      </c>
    </row>
    <row r="1849" spans="1:5" x14ac:dyDescent="0.3">
      <c r="A1849">
        <v>62973</v>
      </c>
      <c r="B1849">
        <v>25133</v>
      </c>
      <c r="C1849">
        <v>771</v>
      </c>
      <c r="D1849">
        <v>2</v>
      </c>
      <c r="E1849">
        <v>79.98</v>
      </c>
    </row>
    <row r="1850" spans="1:5" x14ac:dyDescent="0.3">
      <c r="A1850">
        <v>62974</v>
      </c>
      <c r="B1850">
        <v>25133</v>
      </c>
      <c r="C1850">
        <v>818</v>
      </c>
      <c r="D1850">
        <v>1</v>
      </c>
      <c r="E1850">
        <v>47.99</v>
      </c>
    </row>
    <row r="1851" spans="1:5" x14ac:dyDescent="0.3">
      <c r="A1851">
        <v>62972</v>
      </c>
      <c r="B1851">
        <v>25133</v>
      </c>
      <c r="C1851">
        <v>957</v>
      </c>
      <c r="D1851">
        <v>1</v>
      </c>
      <c r="E1851">
        <v>299.98</v>
      </c>
    </row>
    <row r="1852" spans="1:5" x14ac:dyDescent="0.3">
      <c r="A1852">
        <v>62993</v>
      </c>
      <c r="B1852">
        <v>25140</v>
      </c>
      <c r="C1852">
        <v>365</v>
      </c>
      <c r="D1852">
        <v>1</v>
      </c>
      <c r="E1852">
        <v>59.99</v>
      </c>
    </row>
    <row r="1853" spans="1:5" x14ac:dyDescent="0.3">
      <c r="A1853">
        <v>62994</v>
      </c>
      <c r="B1853">
        <v>25140</v>
      </c>
      <c r="C1853">
        <v>403</v>
      </c>
      <c r="D1853">
        <v>1</v>
      </c>
      <c r="E1853">
        <v>129.99</v>
      </c>
    </row>
    <row r="1854" spans="1:5" x14ac:dyDescent="0.3">
      <c r="A1854">
        <v>62995</v>
      </c>
      <c r="B1854">
        <v>25140</v>
      </c>
      <c r="C1854">
        <v>957</v>
      </c>
      <c r="D1854">
        <v>1</v>
      </c>
      <c r="E1854">
        <v>299.98</v>
      </c>
    </row>
    <row r="1855" spans="1:5" x14ac:dyDescent="0.3">
      <c r="A1855">
        <v>62992</v>
      </c>
      <c r="B1855">
        <v>25140</v>
      </c>
      <c r="C1855">
        <v>627</v>
      </c>
      <c r="D1855">
        <v>3</v>
      </c>
      <c r="E1855">
        <v>119.97</v>
      </c>
    </row>
    <row r="1856" spans="1:5" x14ac:dyDescent="0.3">
      <c r="A1856">
        <v>62996</v>
      </c>
      <c r="B1856">
        <v>25141</v>
      </c>
      <c r="C1856">
        <v>627</v>
      </c>
      <c r="D1856">
        <v>1</v>
      </c>
      <c r="E1856">
        <v>39.99</v>
      </c>
    </row>
    <row r="1857" spans="1:5" x14ac:dyDescent="0.3">
      <c r="A1857">
        <v>62997</v>
      </c>
      <c r="B1857">
        <v>25141</v>
      </c>
      <c r="C1857">
        <v>1004</v>
      </c>
      <c r="D1857">
        <v>1</v>
      </c>
      <c r="E1857">
        <v>399.98</v>
      </c>
    </row>
    <row r="1858" spans="1:5" x14ac:dyDescent="0.3">
      <c r="A1858">
        <v>63129</v>
      </c>
      <c r="B1858">
        <v>25183</v>
      </c>
      <c r="C1858">
        <v>1073</v>
      </c>
      <c r="D1858">
        <v>1</v>
      </c>
      <c r="E1858">
        <v>199.99</v>
      </c>
    </row>
    <row r="1859" spans="1:5" x14ac:dyDescent="0.3">
      <c r="A1859">
        <v>63131</v>
      </c>
      <c r="B1859">
        <v>25183</v>
      </c>
      <c r="C1859">
        <v>1014</v>
      </c>
      <c r="D1859">
        <v>2</v>
      </c>
      <c r="E1859">
        <v>99.96</v>
      </c>
    </row>
    <row r="1860" spans="1:5" x14ac:dyDescent="0.3">
      <c r="A1860">
        <v>63130</v>
      </c>
      <c r="B1860">
        <v>25183</v>
      </c>
      <c r="C1860">
        <v>365</v>
      </c>
      <c r="D1860">
        <v>1</v>
      </c>
      <c r="E1860">
        <v>59.99</v>
      </c>
    </row>
    <row r="1861" spans="1:5" x14ac:dyDescent="0.3">
      <c r="A1861">
        <v>63135</v>
      </c>
      <c r="B1861">
        <v>25184</v>
      </c>
      <c r="C1861">
        <v>797</v>
      </c>
      <c r="D1861">
        <v>1</v>
      </c>
      <c r="E1861">
        <v>17.989999999999998</v>
      </c>
    </row>
    <row r="1862" spans="1:5" x14ac:dyDescent="0.3">
      <c r="A1862">
        <v>63132</v>
      </c>
      <c r="B1862">
        <v>25184</v>
      </c>
      <c r="C1862">
        <v>191</v>
      </c>
      <c r="D1862">
        <v>2</v>
      </c>
      <c r="E1862">
        <v>199.98</v>
      </c>
    </row>
    <row r="1863" spans="1:5" x14ac:dyDescent="0.3">
      <c r="A1863">
        <v>63134</v>
      </c>
      <c r="B1863">
        <v>25184</v>
      </c>
      <c r="C1863">
        <v>1014</v>
      </c>
      <c r="D1863">
        <v>4</v>
      </c>
      <c r="E1863">
        <v>199.92</v>
      </c>
    </row>
    <row r="1864" spans="1:5" x14ac:dyDescent="0.3">
      <c r="A1864">
        <v>63133</v>
      </c>
      <c r="B1864">
        <v>25184</v>
      </c>
      <c r="C1864">
        <v>1014</v>
      </c>
      <c r="D1864">
        <v>5</v>
      </c>
      <c r="E1864">
        <v>249.9</v>
      </c>
    </row>
    <row r="1865" spans="1:5" x14ac:dyDescent="0.3">
      <c r="A1865">
        <v>63168</v>
      </c>
      <c r="B1865">
        <v>25203</v>
      </c>
      <c r="C1865">
        <v>403</v>
      </c>
      <c r="D1865">
        <v>1</v>
      </c>
      <c r="E1865">
        <v>129.99</v>
      </c>
    </row>
    <row r="1866" spans="1:5" x14ac:dyDescent="0.3">
      <c r="A1866">
        <v>63169</v>
      </c>
      <c r="B1866">
        <v>25203</v>
      </c>
      <c r="C1866">
        <v>502</v>
      </c>
      <c r="D1866">
        <v>1</v>
      </c>
      <c r="E1866">
        <v>50</v>
      </c>
    </row>
    <row r="1867" spans="1:5" x14ac:dyDescent="0.3">
      <c r="A1867">
        <v>63166</v>
      </c>
      <c r="B1867">
        <v>25203</v>
      </c>
      <c r="C1867">
        <v>804</v>
      </c>
      <c r="D1867">
        <v>1</v>
      </c>
      <c r="E1867">
        <v>19.989999999999998</v>
      </c>
    </row>
    <row r="1868" spans="1:5" x14ac:dyDescent="0.3">
      <c r="A1868">
        <v>63165</v>
      </c>
      <c r="B1868">
        <v>25203</v>
      </c>
      <c r="C1868">
        <v>897</v>
      </c>
      <c r="D1868">
        <v>4</v>
      </c>
      <c r="E1868">
        <v>99.96</v>
      </c>
    </row>
    <row r="1869" spans="1:5" x14ac:dyDescent="0.3">
      <c r="A1869">
        <v>63167</v>
      </c>
      <c r="B1869">
        <v>25203</v>
      </c>
      <c r="C1869">
        <v>365</v>
      </c>
      <c r="D1869">
        <v>5</v>
      </c>
      <c r="E1869">
        <v>299.95</v>
      </c>
    </row>
    <row r="1870" spans="1:5" x14ac:dyDescent="0.3">
      <c r="A1870">
        <v>63170</v>
      </c>
      <c r="B1870">
        <v>25204</v>
      </c>
      <c r="C1870">
        <v>502</v>
      </c>
      <c r="D1870">
        <v>2</v>
      </c>
      <c r="E1870">
        <v>100</v>
      </c>
    </row>
    <row r="1871" spans="1:5" x14ac:dyDescent="0.3">
      <c r="A1871">
        <v>63171</v>
      </c>
      <c r="B1871">
        <v>25204</v>
      </c>
      <c r="C1871">
        <v>365</v>
      </c>
      <c r="D1871">
        <v>5</v>
      </c>
      <c r="E1871">
        <v>299.95</v>
      </c>
    </row>
    <row r="1872" spans="1:5" x14ac:dyDescent="0.3">
      <c r="A1872">
        <v>63173</v>
      </c>
      <c r="B1872">
        <v>25205</v>
      </c>
      <c r="C1872">
        <v>403</v>
      </c>
      <c r="D1872">
        <v>1</v>
      </c>
      <c r="E1872">
        <v>129.99</v>
      </c>
    </row>
    <row r="1873" spans="1:5" x14ac:dyDescent="0.3">
      <c r="A1873">
        <v>63175</v>
      </c>
      <c r="B1873">
        <v>25205</v>
      </c>
      <c r="C1873">
        <v>1073</v>
      </c>
      <c r="D1873">
        <v>1</v>
      </c>
      <c r="E1873">
        <v>199.99</v>
      </c>
    </row>
    <row r="1874" spans="1:5" x14ac:dyDescent="0.3">
      <c r="A1874">
        <v>63174</v>
      </c>
      <c r="B1874">
        <v>25205</v>
      </c>
      <c r="C1874">
        <v>1014</v>
      </c>
      <c r="D1874">
        <v>2</v>
      </c>
      <c r="E1874">
        <v>99.96</v>
      </c>
    </row>
    <row r="1875" spans="1:5" x14ac:dyDescent="0.3">
      <c r="A1875">
        <v>63172</v>
      </c>
      <c r="B1875">
        <v>25205</v>
      </c>
      <c r="C1875">
        <v>1014</v>
      </c>
      <c r="D1875">
        <v>4</v>
      </c>
      <c r="E1875">
        <v>199.92</v>
      </c>
    </row>
    <row r="1876" spans="1:5" x14ac:dyDescent="0.3">
      <c r="A1876">
        <v>63176</v>
      </c>
      <c r="B1876">
        <v>25206</v>
      </c>
      <c r="C1876">
        <v>403</v>
      </c>
      <c r="D1876">
        <v>1</v>
      </c>
      <c r="E1876">
        <v>129.99</v>
      </c>
    </row>
    <row r="1877" spans="1:5" x14ac:dyDescent="0.3">
      <c r="A1877">
        <v>63177</v>
      </c>
      <c r="B1877">
        <v>25206</v>
      </c>
      <c r="C1877">
        <v>502</v>
      </c>
      <c r="D1877">
        <v>2</v>
      </c>
      <c r="E1877">
        <v>100</v>
      </c>
    </row>
    <row r="1878" spans="1:5" x14ac:dyDescent="0.3">
      <c r="A1878">
        <v>63180</v>
      </c>
      <c r="B1878">
        <v>25207</v>
      </c>
      <c r="C1878">
        <v>957</v>
      </c>
      <c r="D1878">
        <v>1</v>
      </c>
      <c r="E1878">
        <v>299.98</v>
      </c>
    </row>
    <row r="1879" spans="1:5" x14ac:dyDescent="0.3">
      <c r="A1879">
        <v>63179</v>
      </c>
      <c r="B1879">
        <v>25207</v>
      </c>
      <c r="C1879">
        <v>365</v>
      </c>
      <c r="D1879">
        <v>3</v>
      </c>
      <c r="E1879">
        <v>179.97</v>
      </c>
    </row>
    <row r="1880" spans="1:5" x14ac:dyDescent="0.3">
      <c r="A1880">
        <v>63178</v>
      </c>
      <c r="B1880">
        <v>25207</v>
      </c>
      <c r="C1880">
        <v>191</v>
      </c>
      <c r="D1880">
        <v>4</v>
      </c>
      <c r="E1880">
        <v>399.96</v>
      </c>
    </row>
    <row r="1881" spans="1:5" x14ac:dyDescent="0.3">
      <c r="A1881">
        <v>63222</v>
      </c>
      <c r="B1881">
        <v>25228</v>
      </c>
      <c r="C1881">
        <v>365</v>
      </c>
      <c r="D1881">
        <v>3</v>
      </c>
      <c r="E1881">
        <v>179.97</v>
      </c>
    </row>
    <row r="1882" spans="1:5" x14ac:dyDescent="0.3">
      <c r="A1882">
        <v>63221</v>
      </c>
      <c r="B1882">
        <v>25228</v>
      </c>
      <c r="C1882">
        <v>627</v>
      </c>
      <c r="D1882">
        <v>3</v>
      </c>
      <c r="E1882">
        <v>119.97</v>
      </c>
    </row>
    <row r="1883" spans="1:5" x14ac:dyDescent="0.3">
      <c r="A1883">
        <v>63255</v>
      </c>
      <c r="B1883">
        <v>25243</v>
      </c>
      <c r="C1883">
        <v>365</v>
      </c>
      <c r="D1883">
        <v>1</v>
      </c>
      <c r="E1883">
        <v>59.99</v>
      </c>
    </row>
    <row r="1884" spans="1:5" x14ac:dyDescent="0.3">
      <c r="A1884">
        <v>63256</v>
      </c>
      <c r="B1884">
        <v>25243</v>
      </c>
      <c r="C1884">
        <v>403</v>
      </c>
      <c r="D1884">
        <v>1</v>
      </c>
      <c r="E1884">
        <v>129.99</v>
      </c>
    </row>
    <row r="1885" spans="1:5" x14ac:dyDescent="0.3">
      <c r="A1885">
        <v>63257</v>
      </c>
      <c r="B1885">
        <v>25244</v>
      </c>
      <c r="C1885">
        <v>403</v>
      </c>
      <c r="D1885">
        <v>1</v>
      </c>
      <c r="E1885">
        <v>129.99</v>
      </c>
    </row>
    <row r="1886" spans="1:5" x14ac:dyDescent="0.3">
      <c r="A1886">
        <v>63258</v>
      </c>
      <c r="B1886">
        <v>25244</v>
      </c>
      <c r="C1886">
        <v>365</v>
      </c>
      <c r="D1886">
        <v>3</v>
      </c>
      <c r="E1886">
        <v>179.97</v>
      </c>
    </row>
    <row r="1887" spans="1:5" x14ac:dyDescent="0.3">
      <c r="A1887">
        <v>63261</v>
      </c>
      <c r="B1887">
        <v>25246</v>
      </c>
      <c r="C1887">
        <v>1004</v>
      </c>
      <c r="D1887">
        <v>1</v>
      </c>
      <c r="E1887">
        <v>399.98</v>
      </c>
    </row>
    <row r="1888" spans="1:5" x14ac:dyDescent="0.3">
      <c r="A1888">
        <v>63259</v>
      </c>
      <c r="B1888">
        <v>25246</v>
      </c>
      <c r="C1888">
        <v>1004</v>
      </c>
      <c r="D1888">
        <v>1</v>
      </c>
      <c r="E1888">
        <v>399.98</v>
      </c>
    </row>
    <row r="1889" spans="1:5" x14ac:dyDescent="0.3">
      <c r="A1889">
        <v>63260</v>
      </c>
      <c r="B1889">
        <v>25246</v>
      </c>
      <c r="C1889">
        <v>823</v>
      </c>
      <c r="D1889">
        <v>3</v>
      </c>
      <c r="E1889">
        <v>155.97</v>
      </c>
    </row>
    <row r="1890" spans="1:5" x14ac:dyDescent="0.3">
      <c r="A1890">
        <v>63262</v>
      </c>
      <c r="B1890">
        <v>25247</v>
      </c>
      <c r="C1890">
        <v>403</v>
      </c>
      <c r="D1890">
        <v>1</v>
      </c>
      <c r="E1890">
        <v>129.99</v>
      </c>
    </row>
    <row r="1891" spans="1:5" x14ac:dyDescent="0.3">
      <c r="A1891">
        <v>63263</v>
      </c>
      <c r="B1891">
        <v>25247</v>
      </c>
      <c r="C1891">
        <v>1004</v>
      </c>
      <c r="D1891">
        <v>1</v>
      </c>
      <c r="E1891">
        <v>399.98</v>
      </c>
    </row>
    <row r="1892" spans="1:5" x14ac:dyDescent="0.3">
      <c r="A1892">
        <v>63264</v>
      </c>
      <c r="B1892">
        <v>25247</v>
      </c>
      <c r="C1892">
        <v>502</v>
      </c>
      <c r="D1892">
        <v>4</v>
      </c>
      <c r="E1892">
        <v>200</v>
      </c>
    </row>
    <row r="1893" spans="1:5" x14ac:dyDescent="0.3">
      <c r="A1893">
        <v>63266</v>
      </c>
      <c r="B1893">
        <v>25248</v>
      </c>
      <c r="C1893">
        <v>403</v>
      </c>
      <c r="D1893">
        <v>1</v>
      </c>
      <c r="E1893">
        <v>129.99</v>
      </c>
    </row>
    <row r="1894" spans="1:5" x14ac:dyDescent="0.3">
      <c r="A1894">
        <v>63267</v>
      </c>
      <c r="B1894">
        <v>25248</v>
      </c>
      <c r="C1894">
        <v>627</v>
      </c>
      <c r="D1894">
        <v>1</v>
      </c>
      <c r="E1894">
        <v>39.99</v>
      </c>
    </row>
    <row r="1895" spans="1:5" x14ac:dyDescent="0.3">
      <c r="A1895">
        <v>63265</v>
      </c>
      <c r="B1895">
        <v>25248</v>
      </c>
      <c r="C1895">
        <v>957</v>
      </c>
      <c r="D1895">
        <v>1</v>
      </c>
      <c r="E1895">
        <v>299.98</v>
      </c>
    </row>
    <row r="1896" spans="1:5" x14ac:dyDescent="0.3">
      <c r="A1896">
        <v>63268</v>
      </c>
      <c r="B1896">
        <v>25248</v>
      </c>
      <c r="C1896">
        <v>627</v>
      </c>
      <c r="D1896">
        <v>4</v>
      </c>
      <c r="E1896">
        <v>159.96</v>
      </c>
    </row>
    <row r="1897" spans="1:5" x14ac:dyDescent="0.3">
      <c r="A1897">
        <v>63269</v>
      </c>
      <c r="B1897">
        <v>25248</v>
      </c>
      <c r="C1897">
        <v>365</v>
      </c>
      <c r="D1897">
        <v>5</v>
      </c>
      <c r="E1897">
        <v>299.95</v>
      </c>
    </row>
    <row r="1898" spans="1:5" x14ac:dyDescent="0.3">
      <c r="A1898">
        <v>63271</v>
      </c>
      <c r="B1898">
        <v>25249</v>
      </c>
      <c r="C1898">
        <v>502</v>
      </c>
      <c r="D1898">
        <v>1</v>
      </c>
      <c r="E1898">
        <v>50</v>
      </c>
    </row>
    <row r="1899" spans="1:5" x14ac:dyDescent="0.3">
      <c r="A1899">
        <v>63272</v>
      </c>
      <c r="B1899">
        <v>25249</v>
      </c>
      <c r="C1899">
        <v>502</v>
      </c>
      <c r="D1899">
        <v>3</v>
      </c>
      <c r="E1899">
        <v>150</v>
      </c>
    </row>
    <row r="1900" spans="1:5" x14ac:dyDescent="0.3">
      <c r="A1900">
        <v>63270</v>
      </c>
      <c r="B1900">
        <v>25249</v>
      </c>
      <c r="C1900">
        <v>1073</v>
      </c>
      <c r="D1900">
        <v>1</v>
      </c>
      <c r="E1900">
        <v>199.99</v>
      </c>
    </row>
    <row r="1901" spans="1:5" x14ac:dyDescent="0.3">
      <c r="A1901">
        <v>63275</v>
      </c>
      <c r="B1901">
        <v>25250</v>
      </c>
      <c r="C1901">
        <v>1073</v>
      </c>
      <c r="D1901">
        <v>1</v>
      </c>
      <c r="E1901">
        <v>199.99</v>
      </c>
    </row>
    <row r="1902" spans="1:5" x14ac:dyDescent="0.3">
      <c r="A1902">
        <v>63274</v>
      </c>
      <c r="B1902">
        <v>25250</v>
      </c>
      <c r="C1902">
        <v>403</v>
      </c>
      <c r="D1902">
        <v>1</v>
      </c>
      <c r="E1902">
        <v>129.99</v>
      </c>
    </row>
    <row r="1903" spans="1:5" x14ac:dyDescent="0.3">
      <c r="A1903">
        <v>63273</v>
      </c>
      <c r="B1903">
        <v>25250</v>
      </c>
      <c r="C1903">
        <v>403</v>
      </c>
      <c r="D1903">
        <v>1</v>
      </c>
      <c r="E1903">
        <v>129.99</v>
      </c>
    </row>
    <row r="1904" spans="1:5" x14ac:dyDescent="0.3">
      <c r="A1904">
        <v>63334</v>
      </c>
      <c r="B1904">
        <v>25277</v>
      </c>
      <c r="C1904">
        <v>957</v>
      </c>
      <c r="D1904">
        <v>1</v>
      </c>
      <c r="E1904">
        <v>299.98</v>
      </c>
    </row>
    <row r="1905" spans="1:5" x14ac:dyDescent="0.3">
      <c r="A1905">
        <v>63333</v>
      </c>
      <c r="B1905">
        <v>25277</v>
      </c>
      <c r="C1905">
        <v>957</v>
      </c>
      <c r="D1905">
        <v>1</v>
      </c>
      <c r="E1905">
        <v>299.98</v>
      </c>
    </row>
    <row r="1906" spans="1:5" x14ac:dyDescent="0.3">
      <c r="A1906">
        <v>63332</v>
      </c>
      <c r="B1906">
        <v>25277</v>
      </c>
      <c r="C1906">
        <v>627</v>
      </c>
      <c r="D1906">
        <v>3</v>
      </c>
      <c r="E1906">
        <v>119.97</v>
      </c>
    </row>
    <row r="1907" spans="1:5" x14ac:dyDescent="0.3">
      <c r="A1907">
        <v>63331</v>
      </c>
      <c r="B1907">
        <v>25277</v>
      </c>
      <c r="C1907">
        <v>502</v>
      </c>
      <c r="D1907">
        <v>4</v>
      </c>
      <c r="E1907">
        <v>200</v>
      </c>
    </row>
    <row r="1908" spans="1:5" x14ac:dyDescent="0.3">
      <c r="A1908">
        <v>63386</v>
      </c>
      <c r="B1908">
        <v>25299</v>
      </c>
      <c r="C1908">
        <v>365</v>
      </c>
      <c r="D1908">
        <v>5</v>
      </c>
      <c r="E1908">
        <v>299.95</v>
      </c>
    </row>
    <row r="1909" spans="1:5" x14ac:dyDescent="0.3">
      <c r="A1909">
        <v>63388</v>
      </c>
      <c r="B1909">
        <v>25300</v>
      </c>
      <c r="C1909">
        <v>957</v>
      </c>
      <c r="D1909">
        <v>1</v>
      </c>
      <c r="E1909">
        <v>299.98</v>
      </c>
    </row>
    <row r="1910" spans="1:5" x14ac:dyDescent="0.3">
      <c r="A1910">
        <v>63389</v>
      </c>
      <c r="B1910">
        <v>25300</v>
      </c>
      <c r="C1910">
        <v>365</v>
      </c>
      <c r="D1910">
        <v>3</v>
      </c>
      <c r="E1910">
        <v>179.97</v>
      </c>
    </row>
    <row r="1911" spans="1:5" x14ac:dyDescent="0.3">
      <c r="A1911">
        <v>63387</v>
      </c>
      <c r="B1911">
        <v>25300</v>
      </c>
      <c r="C1911">
        <v>1014</v>
      </c>
      <c r="D1911">
        <v>2</v>
      </c>
      <c r="E1911">
        <v>99.96</v>
      </c>
    </row>
    <row r="1912" spans="1:5" x14ac:dyDescent="0.3">
      <c r="A1912">
        <v>63393</v>
      </c>
      <c r="B1912">
        <v>25301</v>
      </c>
      <c r="C1912">
        <v>1014</v>
      </c>
      <c r="D1912">
        <v>5</v>
      </c>
      <c r="E1912">
        <v>249.9</v>
      </c>
    </row>
    <row r="1913" spans="1:5" x14ac:dyDescent="0.3">
      <c r="A1913">
        <v>63391</v>
      </c>
      <c r="B1913">
        <v>25301</v>
      </c>
      <c r="C1913">
        <v>403</v>
      </c>
      <c r="D1913">
        <v>1</v>
      </c>
      <c r="E1913">
        <v>129.99</v>
      </c>
    </row>
    <row r="1914" spans="1:5" x14ac:dyDescent="0.3">
      <c r="A1914">
        <v>63390</v>
      </c>
      <c r="B1914">
        <v>25301</v>
      </c>
      <c r="C1914">
        <v>957</v>
      </c>
      <c r="D1914">
        <v>1</v>
      </c>
      <c r="E1914">
        <v>299.98</v>
      </c>
    </row>
    <row r="1915" spans="1:5" x14ac:dyDescent="0.3">
      <c r="A1915">
        <v>63394</v>
      </c>
      <c r="B1915">
        <v>25301</v>
      </c>
      <c r="C1915">
        <v>1004</v>
      </c>
      <c r="D1915">
        <v>1</v>
      </c>
      <c r="E1915">
        <v>399.98</v>
      </c>
    </row>
    <row r="1916" spans="1:5" x14ac:dyDescent="0.3">
      <c r="A1916">
        <v>63392</v>
      </c>
      <c r="B1916">
        <v>25301</v>
      </c>
      <c r="C1916">
        <v>172</v>
      </c>
      <c r="D1916">
        <v>4</v>
      </c>
      <c r="E1916">
        <v>120</v>
      </c>
    </row>
    <row r="1917" spans="1:5" x14ac:dyDescent="0.3">
      <c r="A1917">
        <v>63478</v>
      </c>
      <c r="B1917">
        <v>25344</v>
      </c>
      <c r="C1917">
        <v>627</v>
      </c>
      <c r="D1917">
        <v>4</v>
      </c>
      <c r="E1917">
        <v>159.96</v>
      </c>
    </row>
    <row r="1918" spans="1:5" x14ac:dyDescent="0.3">
      <c r="A1918">
        <v>63491</v>
      </c>
      <c r="B1918">
        <v>25350</v>
      </c>
      <c r="C1918">
        <v>627</v>
      </c>
      <c r="D1918">
        <v>5</v>
      </c>
      <c r="E1918">
        <v>199.95</v>
      </c>
    </row>
    <row r="1919" spans="1:5" x14ac:dyDescent="0.3">
      <c r="A1919">
        <v>63493</v>
      </c>
      <c r="B1919">
        <v>25351</v>
      </c>
      <c r="C1919">
        <v>365</v>
      </c>
      <c r="D1919">
        <v>1</v>
      </c>
      <c r="E1919">
        <v>59.99</v>
      </c>
    </row>
    <row r="1920" spans="1:5" x14ac:dyDescent="0.3">
      <c r="A1920">
        <v>63492</v>
      </c>
      <c r="B1920">
        <v>25351</v>
      </c>
      <c r="C1920">
        <v>403</v>
      </c>
      <c r="D1920">
        <v>1</v>
      </c>
      <c r="E1920">
        <v>129.99</v>
      </c>
    </row>
    <row r="1921" spans="1:5" x14ac:dyDescent="0.3">
      <c r="A1921">
        <v>63494</v>
      </c>
      <c r="B1921">
        <v>25351</v>
      </c>
      <c r="C1921">
        <v>1073</v>
      </c>
      <c r="D1921">
        <v>1</v>
      </c>
      <c r="E1921">
        <v>199.99</v>
      </c>
    </row>
    <row r="1922" spans="1:5" x14ac:dyDescent="0.3">
      <c r="A1922">
        <v>63495</v>
      </c>
      <c r="B1922">
        <v>25353</v>
      </c>
      <c r="C1922">
        <v>365</v>
      </c>
      <c r="D1922">
        <v>3</v>
      </c>
      <c r="E1922">
        <v>179.97</v>
      </c>
    </row>
    <row r="1923" spans="1:5" x14ac:dyDescent="0.3">
      <c r="A1923">
        <v>63511</v>
      </c>
      <c r="B1923">
        <v>25360</v>
      </c>
      <c r="C1923">
        <v>1004</v>
      </c>
      <c r="D1923">
        <v>1</v>
      </c>
      <c r="E1923">
        <v>399.98</v>
      </c>
    </row>
    <row r="1924" spans="1:5" x14ac:dyDescent="0.3">
      <c r="A1924">
        <v>63558</v>
      </c>
      <c r="B1924">
        <v>25376</v>
      </c>
      <c r="C1924">
        <v>957</v>
      </c>
      <c r="D1924">
        <v>1</v>
      </c>
      <c r="E1924">
        <v>299.98</v>
      </c>
    </row>
    <row r="1925" spans="1:5" x14ac:dyDescent="0.3">
      <c r="A1925">
        <v>63557</v>
      </c>
      <c r="B1925">
        <v>25376</v>
      </c>
      <c r="C1925">
        <v>365</v>
      </c>
      <c r="D1925">
        <v>4</v>
      </c>
      <c r="E1925">
        <v>239.96</v>
      </c>
    </row>
    <row r="1926" spans="1:5" x14ac:dyDescent="0.3">
      <c r="A1926">
        <v>63556</v>
      </c>
      <c r="B1926">
        <v>25376</v>
      </c>
      <c r="C1926">
        <v>1073</v>
      </c>
      <c r="D1926">
        <v>1</v>
      </c>
      <c r="E1926">
        <v>199.99</v>
      </c>
    </row>
    <row r="1927" spans="1:5" x14ac:dyDescent="0.3">
      <c r="A1927">
        <v>63555</v>
      </c>
      <c r="B1927">
        <v>25376</v>
      </c>
      <c r="C1927">
        <v>1014</v>
      </c>
      <c r="D1927">
        <v>4</v>
      </c>
      <c r="E1927">
        <v>199.92</v>
      </c>
    </row>
    <row r="1928" spans="1:5" x14ac:dyDescent="0.3">
      <c r="A1928">
        <v>63616</v>
      </c>
      <c r="B1928">
        <v>25398</v>
      </c>
      <c r="C1928">
        <v>365</v>
      </c>
      <c r="D1928">
        <v>1</v>
      </c>
      <c r="E1928">
        <v>59.99</v>
      </c>
    </row>
    <row r="1929" spans="1:5" x14ac:dyDescent="0.3">
      <c r="A1929">
        <v>63617</v>
      </c>
      <c r="B1929">
        <v>25398</v>
      </c>
      <c r="C1929">
        <v>1014</v>
      </c>
      <c r="D1929">
        <v>3</v>
      </c>
      <c r="E1929">
        <v>149.94</v>
      </c>
    </row>
    <row r="1930" spans="1:5" x14ac:dyDescent="0.3">
      <c r="A1930">
        <v>63638</v>
      </c>
      <c r="B1930">
        <v>25405</v>
      </c>
      <c r="C1930">
        <v>403</v>
      </c>
      <c r="D1930">
        <v>1</v>
      </c>
      <c r="E1930">
        <v>129.99</v>
      </c>
    </row>
    <row r="1931" spans="1:5" x14ac:dyDescent="0.3">
      <c r="A1931">
        <v>63637</v>
      </c>
      <c r="B1931">
        <v>25405</v>
      </c>
      <c r="C1931">
        <v>403</v>
      </c>
      <c r="D1931">
        <v>1</v>
      </c>
      <c r="E1931">
        <v>129.99</v>
      </c>
    </row>
    <row r="1932" spans="1:5" x14ac:dyDescent="0.3">
      <c r="A1932">
        <v>63639</v>
      </c>
      <c r="B1932">
        <v>25405</v>
      </c>
      <c r="C1932">
        <v>365</v>
      </c>
      <c r="D1932">
        <v>5</v>
      </c>
      <c r="E1932">
        <v>299.95</v>
      </c>
    </row>
    <row r="1933" spans="1:5" x14ac:dyDescent="0.3">
      <c r="A1933">
        <v>63664</v>
      </c>
      <c r="B1933">
        <v>25416</v>
      </c>
      <c r="C1933">
        <v>191</v>
      </c>
      <c r="D1933">
        <v>4</v>
      </c>
      <c r="E1933">
        <v>399.96</v>
      </c>
    </row>
    <row r="1934" spans="1:5" x14ac:dyDescent="0.3">
      <c r="A1934">
        <v>63665</v>
      </c>
      <c r="B1934">
        <v>25417</v>
      </c>
      <c r="C1934">
        <v>627</v>
      </c>
      <c r="D1934">
        <v>1</v>
      </c>
      <c r="E1934">
        <v>39.99</v>
      </c>
    </row>
    <row r="1935" spans="1:5" x14ac:dyDescent="0.3">
      <c r="A1935">
        <v>63666</v>
      </c>
      <c r="B1935">
        <v>25417</v>
      </c>
      <c r="C1935">
        <v>1014</v>
      </c>
      <c r="D1935">
        <v>2</v>
      </c>
      <c r="E1935">
        <v>99.96</v>
      </c>
    </row>
    <row r="1936" spans="1:5" x14ac:dyDescent="0.3">
      <c r="A1936">
        <v>63714</v>
      </c>
      <c r="B1936">
        <v>25434</v>
      </c>
      <c r="C1936">
        <v>403</v>
      </c>
      <c r="D1936">
        <v>1</v>
      </c>
      <c r="E1936">
        <v>129.99</v>
      </c>
    </row>
    <row r="1937" spans="1:5" x14ac:dyDescent="0.3">
      <c r="A1937">
        <v>63715</v>
      </c>
      <c r="B1937">
        <v>25434</v>
      </c>
      <c r="C1937">
        <v>627</v>
      </c>
      <c r="D1937">
        <v>1</v>
      </c>
      <c r="E1937">
        <v>39.99</v>
      </c>
    </row>
    <row r="1938" spans="1:5" x14ac:dyDescent="0.3">
      <c r="A1938">
        <v>63712</v>
      </c>
      <c r="B1938">
        <v>25434</v>
      </c>
      <c r="C1938">
        <v>1004</v>
      </c>
      <c r="D1938">
        <v>1</v>
      </c>
      <c r="E1938">
        <v>399.98</v>
      </c>
    </row>
    <row r="1939" spans="1:5" x14ac:dyDescent="0.3">
      <c r="A1939">
        <v>63713</v>
      </c>
      <c r="B1939">
        <v>25434</v>
      </c>
      <c r="C1939">
        <v>365</v>
      </c>
      <c r="D1939">
        <v>2</v>
      </c>
      <c r="E1939">
        <v>119.98</v>
      </c>
    </row>
    <row r="1940" spans="1:5" x14ac:dyDescent="0.3">
      <c r="A1940">
        <v>63734</v>
      </c>
      <c r="B1940">
        <v>25443</v>
      </c>
      <c r="C1940">
        <v>365</v>
      </c>
      <c r="D1940">
        <v>3</v>
      </c>
      <c r="E1940">
        <v>179.97</v>
      </c>
    </row>
    <row r="1941" spans="1:5" x14ac:dyDescent="0.3">
      <c r="A1941">
        <v>63735</v>
      </c>
      <c r="B1941">
        <v>25443</v>
      </c>
      <c r="C1941">
        <v>502</v>
      </c>
      <c r="D1941">
        <v>4</v>
      </c>
      <c r="E1941">
        <v>200</v>
      </c>
    </row>
    <row r="1942" spans="1:5" x14ac:dyDescent="0.3">
      <c r="A1942">
        <v>63736</v>
      </c>
      <c r="B1942">
        <v>25443</v>
      </c>
      <c r="C1942">
        <v>1014</v>
      </c>
      <c r="D1942">
        <v>3</v>
      </c>
      <c r="E1942">
        <v>149.94</v>
      </c>
    </row>
    <row r="1943" spans="1:5" x14ac:dyDescent="0.3">
      <c r="A1943">
        <v>63737</v>
      </c>
      <c r="B1943">
        <v>25444</v>
      </c>
      <c r="C1943">
        <v>403</v>
      </c>
      <c r="D1943">
        <v>1</v>
      </c>
      <c r="E1943">
        <v>129.99</v>
      </c>
    </row>
    <row r="1944" spans="1:5" x14ac:dyDescent="0.3">
      <c r="A1944">
        <v>63738</v>
      </c>
      <c r="B1944">
        <v>25444</v>
      </c>
      <c r="C1944">
        <v>365</v>
      </c>
      <c r="D1944">
        <v>2</v>
      </c>
      <c r="E1944">
        <v>119.98</v>
      </c>
    </row>
    <row r="1945" spans="1:5" x14ac:dyDescent="0.3">
      <c r="A1945">
        <v>63739</v>
      </c>
      <c r="B1945">
        <v>25445</v>
      </c>
      <c r="C1945">
        <v>703</v>
      </c>
      <c r="D1945">
        <v>1</v>
      </c>
      <c r="E1945">
        <v>19.989999999999998</v>
      </c>
    </row>
    <row r="1946" spans="1:5" x14ac:dyDescent="0.3">
      <c r="A1946">
        <v>63740</v>
      </c>
      <c r="B1946">
        <v>25445</v>
      </c>
      <c r="C1946">
        <v>957</v>
      </c>
      <c r="D1946">
        <v>1</v>
      </c>
      <c r="E1946">
        <v>299.98</v>
      </c>
    </row>
    <row r="1947" spans="1:5" x14ac:dyDescent="0.3">
      <c r="A1947">
        <v>63741</v>
      </c>
      <c r="B1947">
        <v>25446</v>
      </c>
      <c r="C1947">
        <v>1073</v>
      </c>
      <c r="D1947">
        <v>1</v>
      </c>
      <c r="E1947">
        <v>199.99</v>
      </c>
    </row>
    <row r="1948" spans="1:5" x14ac:dyDescent="0.3">
      <c r="A1948">
        <v>63743</v>
      </c>
      <c r="B1948">
        <v>25446</v>
      </c>
      <c r="C1948">
        <v>403</v>
      </c>
      <c r="D1948">
        <v>1</v>
      </c>
      <c r="E1948">
        <v>129.99</v>
      </c>
    </row>
    <row r="1949" spans="1:5" x14ac:dyDescent="0.3">
      <c r="A1949">
        <v>63742</v>
      </c>
      <c r="B1949">
        <v>25446</v>
      </c>
      <c r="C1949">
        <v>403</v>
      </c>
      <c r="D1949">
        <v>1</v>
      </c>
      <c r="E1949">
        <v>129.99</v>
      </c>
    </row>
    <row r="1950" spans="1:5" x14ac:dyDescent="0.3">
      <c r="A1950">
        <v>63744</v>
      </c>
      <c r="B1950">
        <v>25446</v>
      </c>
      <c r="C1950">
        <v>957</v>
      </c>
      <c r="D1950">
        <v>1</v>
      </c>
      <c r="E1950">
        <v>299.98</v>
      </c>
    </row>
    <row r="1951" spans="1:5" x14ac:dyDescent="0.3">
      <c r="A1951">
        <v>63754</v>
      </c>
      <c r="B1951">
        <v>25450</v>
      </c>
      <c r="C1951">
        <v>1073</v>
      </c>
      <c r="D1951">
        <v>1</v>
      </c>
      <c r="E1951">
        <v>199.99</v>
      </c>
    </row>
    <row r="1952" spans="1:5" x14ac:dyDescent="0.3">
      <c r="A1952">
        <v>63755</v>
      </c>
      <c r="B1952">
        <v>25450</v>
      </c>
      <c r="C1952">
        <v>957</v>
      </c>
      <c r="D1952">
        <v>1</v>
      </c>
      <c r="E1952">
        <v>299.98</v>
      </c>
    </row>
    <row r="1953" spans="1:5" x14ac:dyDescent="0.3">
      <c r="A1953">
        <v>63756</v>
      </c>
      <c r="B1953">
        <v>25450</v>
      </c>
      <c r="C1953">
        <v>365</v>
      </c>
      <c r="D1953">
        <v>2</v>
      </c>
      <c r="E1953">
        <v>119.98</v>
      </c>
    </row>
    <row r="1954" spans="1:5" x14ac:dyDescent="0.3">
      <c r="A1954">
        <v>63758</v>
      </c>
      <c r="B1954">
        <v>25450</v>
      </c>
      <c r="C1954">
        <v>502</v>
      </c>
      <c r="D1954">
        <v>3</v>
      </c>
      <c r="E1954">
        <v>150</v>
      </c>
    </row>
    <row r="1955" spans="1:5" x14ac:dyDescent="0.3">
      <c r="A1955">
        <v>63757</v>
      </c>
      <c r="B1955">
        <v>25450</v>
      </c>
      <c r="C1955">
        <v>365</v>
      </c>
      <c r="D1955">
        <v>5</v>
      </c>
      <c r="E1955">
        <v>299.95</v>
      </c>
    </row>
    <row r="1956" spans="1:5" x14ac:dyDescent="0.3">
      <c r="A1956">
        <v>63796</v>
      </c>
      <c r="B1956">
        <v>25468</v>
      </c>
      <c r="C1956">
        <v>365</v>
      </c>
      <c r="D1956">
        <v>1</v>
      </c>
      <c r="E1956">
        <v>59.99</v>
      </c>
    </row>
    <row r="1957" spans="1:5" x14ac:dyDescent="0.3">
      <c r="A1957">
        <v>63797</v>
      </c>
      <c r="B1957">
        <v>25469</v>
      </c>
      <c r="C1957">
        <v>403</v>
      </c>
      <c r="D1957">
        <v>1</v>
      </c>
      <c r="E1957">
        <v>129.99</v>
      </c>
    </row>
    <row r="1958" spans="1:5" x14ac:dyDescent="0.3">
      <c r="A1958">
        <v>63800</v>
      </c>
      <c r="B1958">
        <v>25469</v>
      </c>
      <c r="C1958">
        <v>365</v>
      </c>
      <c r="D1958">
        <v>1</v>
      </c>
      <c r="E1958">
        <v>59.99</v>
      </c>
    </row>
    <row r="1959" spans="1:5" x14ac:dyDescent="0.3">
      <c r="A1959">
        <v>63798</v>
      </c>
      <c r="B1959">
        <v>25469</v>
      </c>
      <c r="C1959">
        <v>1004</v>
      </c>
      <c r="D1959">
        <v>1</v>
      </c>
      <c r="E1959">
        <v>399.98</v>
      </c>
    </row>
    <row r="1960" spans="1:5" x14ac:dyDescent="0.3">
      <c r="A1960">
        <v>63799</v>
      </c>
      <c r="B1960">
        <v>25469</v>
      </c>
      <c r="C1960">
        <v>1073</v>
      </c>
      <c r="D1960">
        <v>1</v>
      </c>
      <c r="E1960">
        <v>199.99</v>
      </c>
    </row>
    <row r="1961" spans="1:5" x14ac:dyDescent="0.3">
      <c r="A1961">
        <v>63802</v>
      </c>
      <c r="B1961">
        <v>25470</v>
      </c>
      <c r="C1961">
        <v>365</v>
      </c>
      <c r="D1961">
        <v>1</v>
      </c>
      <c r="E1961">
        <v>59.99</v>
      </c>
    </row>
    <row r="1962" spans="1:5" x14ac:dyDescent="0.3">
      <c r="A1962">
        <v>63801</v>
      </c>
      <c r="B1962">
        <v>25470</v>
      </c>
      <c r="C1962">
        <v>1004</v>
      </c>
      <c r="D1962">
        <v>1</v>
      </c>
      <c r="E1962">
        <v>399.98</v>
      </c>
    </row>
    <row r="1963" spans="1:5" x14ac:dyDescent="0.3">
      <c r="A1963">
        <v>63804</v>
      </c>
      <c r="B1963">
        <v>25471</v>
      </c>
      <c r="C1963">
        <v>957</v>
      </c>
      <c r="D1963">
        <v>1</v>
      </c>
      <c r="E1963">
        <v>299.98</v>
      </c>
    </row>
    <row r="1964" spans="1:5" x14ac:dyDescent="0.3">
      <c r="A1964">
        <v>63803</v>
      </c>
      <c r="B1964">
        <v>25471</v>
      </c>
      <c r="C1964">
        <v>1014</v>
      </c>
      <c r="D1964">
        <v>2</v>
      </c>
      <c r="E1964">
        <v>99.96</v>
      </c>
    </row>
    <row r="1965" spans="1:5" x14ac:dyDescent="0.3">
      <c r="A1965">
        <v>63811</v>
      </c>
      <c r="B1965">
        <v>25473</v>
      </c>
      <c r="C1965">
        <v>1073</v>
      </c>
      <c r="D1965">
        <v>1</v>
      </c>
      <c r="E1965">
        <v>199.99</v>
      </c>
    </row>
    <row r="1966" spans="1:5" x14ac:dyDescent="0.3">
      <c r="A1966">
        <v>63810</v>
      </c>
      <c r="B1966">
        <v>25473</v>
      </c>
      <c r="C1966">
        <v>564</v>
      </c>
      <c r="D1966">
        <v>5</v>
      </c>
      <c r="E1966">
        <v>150</v>
      </c>
    </row>
    <row r="1967" spans="1:5" x14ac:dyDescent="0.3">
      <c r="A1967">
        <v>63815</v>
      </c>
      <c r="B1967">
        <v>25474</v>
      </c>
      <c r="C1967">
        <v>703</v>
      </c>
      <c r="D1967">
        <v>3</v>
      </c>
      <c r="E1967">
        <v>59.97</v>
      </c>
    </row>
    <row r="1968" spans="1:5" x14ac:dyDescent="0.3">
      <c r="A1968">
        <v>63812</v>
      </c>
      <c r="B1968">
        <v>25474</v>
      </c>
      <c r="C1968">
        <v>1004</v>
      </c>
      <c r="D1968">
        <v>1</v>
      </c>
      <c r="E1968">
        <v>399.98</v>
      </c>
    </row>
    <row r="1969" spans="1:5" x14ac:dyDescent="0.3">
      <c r="A1969">
        <v>63813</v>
      </c>
      <c r="B1969">
        <v>25474</v>
      </c>
      <c r="C1969">
        <v>365</v>
      </c>
      <c r="D1969">
        <v>3</v>
      </c>
      <c r="E1969">
        <v>179.97</v>
      </c>
    </row>
    <row r="1970" spans="1:5" x14ac:dyDescent="0.3">
      <c r="A1970">
        <v>63814</v>
      </c>
      <c r="B1970">
        <v>25474</v>
      </c>
      <c r="C1970">
        <v>502</v>
      </c>
      <c r="D1970">
        <v>5</v>
      </c>
      <c r="E1970">
        <v>250</v>
      </c>
    </row>
    <row r="1971" spans="1:5" x14ac:dyDescent="0.3">
      <c r="A1971">
        <v>63824</v>
      </c>
      <c r="B1971">
        <v>25477</v>
      </c>
      <c r="C1971">
        <v>403</v>
      </c>
      <c r="D1971">
        <v>1</v>
      </c>
      <c r="E1971">
        <v>129.99</v>
      </c>
    </row>
    <row r="1972" spans="1:5" x14ac:dyDescent="0.3">
      <c r="A1972">
        <v>63825</v>
      </c>
      <c r="B1972">
        <v>25477</v>
      </c>
      <c r="C1972">
        <v>957</v>
      </c>
      <c r="D1972">
        <v>1</v>
      </c>
      <c r="E1972">
        <v>299.98</v>
      </c>
    </row>
    <row r="1973" spans="1:5" x14ac:dyDescent="0.3">
      <c r="A1973">
        <v>63842</v>
      </c>
      <c r="B1973">
        <v>25483</v>
      </c>
      <c r="C1973">
        <v>1004</v>
      </c>
      <c r="D1973">
        <v>1</v>
      </c>
      <c r="E1973">
        <v>399.98</v>
      </c>
    </row>
    <row r="1974" spans="1:5" x14ac:dyDescent="0.3">
      <c r="A1974">
        <v>63843</v>
      </c>
      <c r="B1974">
        <v>25483</v>
      </c>
      <c r="C1974">
        <v>502</v>
      </c>
      <c r="D1974">
        <v>4</v>
      </c>
      <c r="E1974">
        <v>200</v>
      </c>
    </row>
    <row r="1975" spans="1:5" x14ac:dyDescent="0.3">
      <c r="A1975">
        <v>63844</v>
      </c>
      <c r="B1975">
        <v>25484</v>
      </c>
      <c r="C1975">
        <v>821</v>
      </c>
      <c r="D1975">
        <v>4</v>
      </c>
      <c r="E1975">
        <v>207.96</v>
      </c>
    </row>
    <row r="1976" spans="1:5" x14ac:dyDescent="0.3">
      <c r="A1976">
        <v>63846</v>
      </c>
      <c r="B1976">
        <v>25485</v>
      </c>
      <c r="C1976">
        <v>502</v>
      </c>
      <c r="D1976">
        <v>1</v>
      </c>
      <c r="E1976">
        <v>50</v>
      </c>
    </row>
    <row r="1977" spans="1:5" x14ac:dyDescent="0.3">
      <c r="A1977">
        <v>63845</v>
      </c>
      <c r="B1977">
        <v>25485</v>
      </c>
      <c r="C1977">
        <v>627</v>
      </c>
      <c r="D1977">
        <v>3</v>
      </c>
      <c r="E1977">
        <v>119.97</v>
      </c>
    </row>
    <row r="1978" spans="1:5" x14ac:dyDescent="0.3">
      <c r="A1978">
        <v>63847</v>
      </c>
      <c r="B1978">
        <v>25485</v>
      </c>
      <c r="C1978">
        <v>565</v>
      </c>
      <c r="D1978">
        <v>4</v>
      </c>
      <c r="E1978">
        <v>280</v>
      </c>
    </row>
    <row r="1979" spans="1:5" x14ac:dyDescent="0.3">
      <c r="A1979">
        <v>63850</v>
      </c>
      <c r="B1979">
        <v>25486</v>
      </c>
      <c r="C1979">
        <v>627</v>
      </c>
      <c r="D1979">
        <v>1</v>
      </c>
      <c r="E1979">
        <v>39.99</v>
      </c>
    </row>
    <row r="1980" spans="1:5" x14ac:dyDescent="0.3">
      <c r="A1980">
        <v>63851</v>
      </c>
      <c r="B1980">
        <v>25486</v>
      </c>
      <c r="C1980">
        <v>365</v>
      </c>
      <c r="D1980">
        <v>3</v>
      </c>
      <c r="E1980">
        <v>179.97</v>
      </c>
    </row>
    <row r="1981" spans="1:5" x14ac:dyDescent="0.3">
      <c r="A1981">
        <v>63849</v>
      </c>
      <c r="B1981">
        <v>25486</v>
      </c>
      <c r="C1981">
        <v>627</v>
      </c>
      <c r="D1981">
        <v>5</v>
      </c>
      <c r="E1981">
        <v>199.95</v>
      </c>
    </row>
    <row r="1982" spans="1:5" x14ac:dyDescent="0.3">
      <c r="A1982">
        <v>63848</v>
      </c>
      <c r="B1982">
        <v>25486</v>
      </c>
      <c r="C1982">
        <v>1073</v>
      </c>
      <c r="D1982">
        <v>1</v>
      </c>
      <c r="E1982">
        <v>199.99</v>
      </c>
    </row>
    <row r="1983" spans="1:5" x14ac:dyDescent="0.3">
      <c r="A1983">
        <v>63852</v>
      </c>
      <c r="B1983">
        <v>25487</v>
      </c>
      <c r="C1983">
        <v>1004</v>
      </c>
      <c r="D1983">
        <v>1</v>
      </c>
      <c r="E1983">
        <v>399.98</v>
      </c>
    </row>
    <row r="1984" spans="1:5" x14ac:dyDescent="0.3">
      <c r="A1984">
        <v>63853</v>
      </c>
      <c r="B1984">
        <v>25487</v>
      </c>
      <c r="C1984">
        <v>365</v>
      </c>
      <c r="D1984">
        <v>3</v>
      </c>
      <c r="E1984">
        <v>179.97</v>
      </c>
    </row>
    <row r="1985" spans="1:5" x14ac:dyDescent="0.3">
      <c r="A1985">
        <v>63857</v>
      </c>
      <c r="B1985">
        <v>25488</v>
      </c>
      <c r="C1985">
        <v>403</v>
      </c>
      <c r="D1985">
        <v>1</v>
      </c>
      <c r="E1985">
        <v>129.99</v>
      </c>
    </row>
    <row r="1986" spans="1:5" x14ac:dyDescent="0.3">
      <c r="A1986">
        <v>63855</v>
      </c>
      <c r="B1986">
        <v>25488</v>
      </c>
      <c r="C1986">
        <v>957</v>
      </c>
      <c r="D1986">
        <v>1</v>
      </c>
      <c r="E1986">
        <v>299.98</v>
      </c>
    </row>
    <row r="1987" spans="1:5" x14ac:dyDescent="0.3">
      <c r="A1987">
        <v>63856</v>
      </c>
      <c r="B1987">
        <v>25488</v>
      </c>
      <c r="C1987">
        <v>191</v>
      </c>
      <c r="D1987">
        <v>3</v>
      </c>
      <c r="E1987">
        <v>299.97000000000003</v>
      </c>
    </row>
    <row r="1988" spans="1:5" x14ac:dyDescent="0.3">
      <c r="A1988">
        <v>63854</v>
      </c>
      <c r="B1988">
        <v>25488</v>
      </c>
      <c r="C1988">
        <v>502</v>
      </c>
      <c r="D1988">
        <v>3</v>
      </c>
      <c r="E1988">
        <v>150</v>
      </c>
    </row>
    <row r="1989" spans="1:5" x14ac:dyDescent="0.3">
      <c r="A1989">
        <v>63858</v>
      </c>
      <c r="B1989">
        <v>25488</v>
      </c>
      <c r="C1989">
        <v>1014</v>
      </c>
      <c r="D1989">
        <v>1</v>
      </c>
      <c r="E1989">
        <v>49.98</v>
      </c>
    </row>
    <row r="1990" spans="1:5" x14ac:dyDescent="0.3">
      <c r="A1990">
        <v>63862</v>
      </c>
      <c r="B1990">
        <v>25489</v>
      </c>
      <c r="C1990">
        <v>957</v>
      </c>
      <c r="D1990">
        <v>1</v>
      </c>
      <c r="E1990">
        <v>299.98</v>
      </c>
    </row>
    <row r="1991" spans="1:5" x14ac:dyDescent="0.3">
      <c r="A1991">
        <v>63859</v>
      </c>
      <c r="B1991">
        <v>25489</v>
      </c>
      <c r="C1991">
        <v>191</v>
      </c>
      <c r="D1991">
        <v>3</v>
      </c>
      <c r="E1991">
        <v>299.97000000000003</v>
      </c>
    </row>
    <row r="1992" spans="1:5" x14ac:dyDescent="0.3">
      <c r="A1992">
        <v>63863</v>
      </c>
      <c r="B1992">
        <v>25489</v>
      </c>
      <c r="C1992">
        <v>502</v>
      </c>
      <c r="D1992">
        <v>3</v>
      </c>
      <c r="E1992">
        <v>150</v>
      </c>
    </row>
    <row r="1993" spans="1:5" x14ac:dyDescent="0.3">
      <c r="A1993">
        <v>63861</v>
      </c>
      <c r="B1993">
        <v>25489</v>
      </c>
      <c r="C1993">
        <v>926</v>
      </c>
      <c r="D1993">
        <v>5</v>
      </c>
      <c r="E1993">
        <v>79.95</v>
      </c>
    </row>
    <row r="1994" spans="1:5" x14ac:dyDescent="0.3">
      <c r="A1994">
        <v>63860</v>
      </c>
      <c r="B1994">
        <v>25489</v>
      </c>
      <c r="C1994">
        <v>1014</v>
      </c>
      <c r="D1994">
        <v>3</v>
      </c>
      <c r="E1994">
        <v>149.94</v>
      </c>
    </row>
    <row r="1995" spans="1:5" x14ac:dyDescent="0.3">
      <c r="A1995">
        <v>63865</v>
      </c>
      <c r="B1995">
        <v>25490</v>
      </c>
      <c r="C1995">
        <v>403</v>
      </c>
      <c r="D1995">
        <v>1</v>
      </c>
      <c r="E1995">
        <v>129.99</v>
      </c>
    </row>
    <row r="1996" spans="1:5" x14ac:dyDescent="0.3">
      <c r="A1996">
        <v>63864</v>
      </c>
      <c r="B1996">
        <v>25490</v>
      </c>
      <c r="C1996">
        <v>627</v>
      </c>
      <c r="D1996">
        <v>3</v>
      </c>
      <c r="E1996">
        <v>119.97</v>
      </c>
    </row>
    <row r="1997" spans="1:5" x14ac:dyDescent="0.3">
      <c r="A1997">
        <v>63897</v>
      </c>
      <c r="B1997">
        <v>25503</v>
      </c>
      <c r="C1997">
        <v>1004</v>
      </c>
      <c r="D1997">
        <v>1</v>
      </c>
      <c r="E1997">
        <v>399.98</v>
      </c>
    </row>
    <row r="1998" spans="1:5" x14ac:dyDescent="0.3">
      <c r="A1998">
        <v>63896</v>
      </c>
      <c r="B1998">
        <v>25503</v>
      </c>
      <c r="C1998">
        <v>627</v>
      </c>
      <c r="D1998">
        <v>5</v>
      </c>
      <c r="E1998">
        <v>199.95</v>
      </c>
    </row>
    <row r="1999" spans="1:5" x14ac:dyDescent="0.3">
      <c r="A1999">
        <v>63895</v>
      </c>
      <c r="B1999">
        <v>25503</v>
      </c>
      <c r="C1999">
        <v>1014</v>
      </c>
      <c r="D1999">
        <v>1</v>
      </c>
      <c r="E1999">
        <v>49.98</v>
      </c>
    </row>
    <row r="2000" spans="1:5" x14ac:dyDescent="0.3">
      <c r="A2000">
        <v>63902</v>
      </c>
      <c r="B2000">
        <v>25504</v>
      </c>
      <c r="C2000">
        <v>502</v>
      </c>
      <c r="D2000">
        <v>5</v>
      </c>
      <c r="E2000">
        <v>250</v>
      </c>
    </row>
    <row r="2001" spans="1:5" x14ac:dyDescent="0.3">
      <c r="A2001">
        <v>63899</v>
      </c>
      <c r="B2001">
        <v>25504</v>
      </c>
      <c r="C2001">
        <v>403</v>
      </c>
      <c r="D2001">
        <v>1</v>
      </c>
      <c r="E2001">
        <v>129.99</v>
      </c>
    </row>
    <row r="2002" spans="1:5" x14ac:dyDescent="0.3">
      <c r="A2002">
        <v>63901</v>
      </c>
      <c r="B2002">
        <v>25504</v>
      </c>
      <c r="C2002">
        <v>502</v>
      </c>
      <c r="D2002">
        <v>1</v>
      </c>
      <c r="E2002">
        <v>50</v>
      </c>
    </row>
    <row r="2003" spans="1:5" x14ac:dyDescent="0.3">
      <c r="A2003">
        <v>63898</v>
      </c>
      <c r="B2003">
        <v>25504</v>
      </c>
      <c r="C2003">
        <v>828</v>
      </c>
      <c r="D2003">
        <v>1</v>
      </c>
      <c r="E2003">
        <v>31.99</v>
      </c>
    </row>
    <row r="2004" spans="1:5" x14ac:dyDescent="0.3">
      <c r="A2004">
        <v>63900</v>
      </c>
      <c r="B2004">
        <v>25504</v>
      </c>
      <c r="C2004">
        <v>502</v>
      </c>
      <c r="D2004">
        <v>4</v>
      </c>
      <c r="E2004">
        <v>200</v>
      </c>
    </row>
    <row r="2005" spans="1:5" x14ac:dyDescent="0.3">
      <c r="A2005">
        <v>63903</v>
      </c>
      <c r="B2005">
        <v>25505</v>
      </c>
      <c r="C2005">
        <v>627</v>
      </c>
      <c r="D2005">
        <v>3</v>
      </c>
      <c r="E2005">
        <v>119.97</v>
      </c>
    </row>
    <row r="2006" spans="1:5" x14ac:dyDescent="0.3">
      <c r="A2006">
        <v>63907</v>
      </c>
      <c r="B2006">
        <v>25506</v>
      </c>
      <c r="C2006">
        <v>502</v>
      </c>
      <c r="D2006">
        <v>5</v>
      </c>
      <c r="E2006">
        <v>250</v>
      </c>
    </row>
    <row r="2007" spans="1:5" x14ac:dyDescent="0.3">
      <c r="A2007">
        <v>63904</v>
      </c>
      <c r="B2007">
        <v>25506</v>
      </c>
      <c r="C2007">
        <v>403</v>
      </c>
      <c r="D2007">
        <v>1</v>
      </c>
      <c r="E2007">
        <v>129.99</v>
      </c>
    </row>
    <row r="2008" spans="1:5" x14ac:dyDescent="0.3">
      <c r="A2008">
        <v>63905</v>
      </c>
      <c r="B2008">
        <v>25506</v>
      </c>
      <c r="C2008">
        <v>957</v>
      </c>
      <c r="D2008">
        <v>1</v>
      </c>
      <c r="E2008">
        <v>299.98</v>
      </c>
    </row>
    <row r="2009" spans="1:5" x14ac:dyDescent="0.3">
      <c r="A2009">
        <v>63908</v>
      </c>
      <c r="B2009">
        <v>25506</v>
      </c>
      <c r="C2009">
        <v>502</v>
      </c>
      <c r="D2009">
        <v>2</v>
      </c>
      <c r="E2009">
        <v>100</v>
      </c>
    </row>
    <row r="2010" spans="1:5" x14ac:dyDescent="0.3">
      <c r="A2010">
        <v>63906</v>
      </c>
      <c r="B2010">
        <v>25506</v>
      </c>
      <c r="C2010">
        <v>1014</v>
      </c>
      <c r="D2010">
        <v>5</v>
      </c>
      <c r="E2010">
        <v>249.9</v>
      </c>
    </row>
    <row r="2011" spans="1:5" x14ac:dyDescent="0.3">
      <c r="A2011">
        <v>63910</v>
      </c>
      <c r="B2011">
        <v>25507</v>
      </c>
      <c r="C2011">
        <v>502</v>
      </c>
      <c r="D2011">
        <v>1</v>
      </c>
      <c r="E2011">
        <v>50</v>
      </c>
    </row>
    <row r="2012" spans="1:5" x14ac:dyDescent="0.3">
      <c r="A2012">
        <v>63912</v>
      </c>
      <c r="B2012">
        <v>25507</v>
      </c>
      <c r="C2012">
        <v>365</v>
      </c>
      <c r="D2012">
        <v>2</v>
      </c>
      <c r="E2012">
        <v>119.98</v>
      </c>
    </row>
    <row r="2013" spans="1:5" x14ac:dyDescent="0.3">
      <c r="A2013">
        <v>63909</v>
      </c>
      <c r="B2013">
        <v>25507</v>
      </c>
      <c r="C2013">
        <v>191</v>
      </c>
      <c r="D2013">
        <v>4</v>
      </c>
      <c r="E2013">
        <v>399.96</v>
      </c>
    </row>
    <row r="2014" spans="1:5" x14ac:dyDescent="0.3">
      <c r="A2014">
        <v>63911</v>
      </c>
      <c r="B2014">
        <v>25507</v>
      </c>
      <c r="C2014">
        <v>885</v>
      </c>
      <c r="D2014">
        <v>5</v>
      </c>
      <c r="E2014">
        <v>124.95</v>
      </c>
    </row>
    <row r="2015" spans="1:5" x14ac:dyDescent="0.3">
      <c r="A2015">
        <v>63915</v>
      </c>
      <c r="B2015">
        <v>25508</v>
      </c>
      <c r="C2015">
        <v>1014</v>
      </c>
      <c r="D2015">
        <v>5</v>
      </c>
      <c r="E2015">
        <v>249.9</v>
      </c>
    </row>
    <row r="2016" spans="1:5" x14ac:dyDescent="0.3">
      <c r="A2016">
        <v>63917</v>
      </c>
      <c r="B2016">
        <v>25508</v>
      </c>
      <c r="C2016">
        <v>957</v>
      </c>
      <c r="D2016">
        <v>1</v>
      </c>
      <c r="E2016">
        <v>299.98</v>
      </c>
    </row>
    <row r="2017" spans="1:5" x14ac:dyDescent="0.3">
      <c r="A2017">
        <v>63913</v>
      </c>
      <c r="B2017">
        <v>25508</v>
      </c>
      <c r="C2017">
        <v>957</v>
      </c>
      <c r="D2017">
        <v>1</v>
      </c>
      <c r="E2017">
        <v>299.98</v>
      </c>
    </row>
    <row r="2018" spans="1:5" x14ac:dyDescent="0.3">
      <c r="A2018">
        <v>63916</v>
      </c>
      <c r="B2018">
        <v>25508</v>
      </c>
      <c r="C2018">
        <v>1004</v>
      </c>
      <c r="D2018">
        <v>1</v>
      </c>
      <c r="E2018">
        <v>399.98</v>
      </c>
    </row>
    <row r="2019" spans="1:5" x14ac:dyDescent="0.3">
      <c r="A2019">
        <v>63914</v>
      </c>
      <c r="B2019">
        <v>25508</v>
      </c>
      <c r="C2019">
        <v>810</v>
      </c>
      <c r="D2019">
        <v>4</v>
      </c>
      <c r="E2019">
        <v>79.959999999999994</v>
      </c>
    </row>
    <row r="2020" spans="1:5" x14ac:dyDescent="0.3">
      <c r="A2020">
        <v>63918</v>
      </c>
      <c r="B2020">
        <v>25510</v>
      </c>
      <c r="C2020">
        <v>1004</v>
      </c>
      <c r="D2020">
        <v>1</v>
      </c>
      <c r="E2020">
        <v>399.98</v>
      </c>
    </row>
    <row r="2021" spans="1:5" x14ac:dyDescent="0.3">
      <c r="A2021">
        <v>63919</v>
      </c>
      <c r="B2021">
        <v>25511</v>
      </c>
      <c r="C2021">
        <v>1014</v>
      </c>
      <c r="D2021">
        <v>4</v>
      </c>
      <c r="E2021">
        <v>199.92</v>
      </c>
    </row>
    <row r="2022" spans="1:5" x14ac:dyDescent="0.3">
      <c r="A2022">
        <v>63951</v>
      </c>
      <c r="B2022">
        <v>25528</v>
      </c>
      <c r="C2022">
        <v>957</v>
      </c>
      <c r="D2022">
        <v>1</v>
      </c>
      <c r="E2022">
        <v>299.98</v>
      </c>
    </row>
    <row r="2023" spans="1:5" x14ac:dyDescent="0.3">
      <c r="A2023">
        <v>63982</v>
      </c>
      <c r="B2023">
        <v>25540</v>
      </c>
      <c r="C2023">
        <v>1004</v>
      </c>
      <c r="D2023">
        <v>1</v>
      </c>
      <c r="E2023">
        <v>399.98</v>
      </c>
    </row>
    <row r="2024" spans="1:5" x14ac:dyDescent="0.3">
      <c r="A2024">
        <v>63983</v>
      </c>
      <c r="B2024">
        <v>25541</v>
      </c>
      <c r="C2024">
        <v>1014</v>
      </c>
      <c r="D2024">
        <v>3</v>
      </c>
      <c r="E2024">
        <v>149.94</v>
      </c>
    </row>
    <row r="2025" spans="1:5" x14ac:dyDescent="0.3">
      <c r="A2025">
        <v>63984</v>
      </c>
      <c r="B2025">
        <v>25542</v>
      </c>
      <c r="C2025">
        <v>403</v>
      </c>
      <c r="D2025">
        <v>1</v>
      </c>
      <c r="E2025">
        <v>129.99</v>
      </c>
    </row>
    <row r="2026" spans="1:5" x14ac:dyDescent="0.3">
      <c r="A2026">
        <v>63988</v>
      </c>
      <c r="B2026">
        <v>25542</v>
      </c>
      <c r="C2026">
        <v>191</v>
      </c>
      <c r="D2026">
        <v>5</v>
      </c>
      <c r="E2026">
        <v>499.95</v>
      </c>
    </row>
    <row r="2027" spans="1:5" x14ac:dyDescent="0.3">
      <c r="A2027">
        <v>63986</v>
      </c>
      <c r="B2027">
        <v>25542</v>
      </c>
      <c r="C2027">
        <v>365</v>
      </c>
      <c r="D2027">
        <v>5</v>
      </c>
      <c r="E2027">
        <v>299.95</v>
      </c>
    </row>
    <row r="2028" spans="1:5" x14ac:dyDescent="0.3">
      <c r="A2028">
        <v>63987</v>
      </c>
      <c r="B2028">
        <v>25542</v>
      </c>
      <c r="C2028">
        <v>1073</v>
      </c>
      <c r="D2028">
        <v>1</v>
      </c>
      <c r="E2028">
        <v>199.99</v>
      </c>
    </row>
    <row r="2029" spans="1:5" x14ac:dyDescent="0.3">
      <c r="A2029">
        <v>63985</v>
      </c>
      <c r="B2029">
        <v>25542</v>
      </c>
      <c r="C2029">
        <v>1014</v>
      </c>
      <c r="D2029">
        <v>5</v>
      </c>
      <c r="E2029">
        <v>249.9</v>
      </c>
    </row>
    <row r="2030" spans="1:5" x14ac:dyDescent="0.3">
      <c r="A2030">
        <v>63989</v>
      </c>
      <c r="B2030">
        <v>25543</v>
      </c>
      <c r="C2030">
        <v>1073</v>
      </c>
      <c r="D2030">
        <v>1</v>
      </c>
      <c r="E2030">
        <v>199.99</v>
      </c>
    </row>
    <row r="2031" spans="1:5" x14ac:dyDescent="0.3">
      <c r="A2031">
        <v>64004</v>
      </c>
      <c r="B2031">
        <v>25552</v>
      </c>
      <c r="C2031">
        <v>365</v>
      </c>
      <c r="D2031">
        <v>5</v>
      </c>
      <c r="E2031">
        <v>299.95</v>
      </c>
    </row>
    <row r="2032" spans="1:5" x14ac:dyDescent="0.3">
      <c r="A2032">
        <v>64005</v>
      </c>
      <c r="B2032">
        <v>25552</v>
      </c>
      <c r="C2032">
        <v>1073</v>
      </c>
      <c r="D2032">
        <v>1</v>
      </c>
      <c r="E2032">
        <v>199.99</v>
      </c>
    </row>
    <row r="2033" spans="1:5" x14ac:dyDescent="0.3">
      <c r="A2033">
        <v>64006</v>
      </c>
      <c r="B2033">
        <v>25553</v>
      </c>
      <c r="C2033">
        <v>403</v>
      </c>
      <c r="D2033">
        <v>1</v>
      </c>
      <c r="E2033">
        <v>129.99</v>
      </c>
    </row>
    <row r="2034" spans="1:5" x14ac:dyDescent="0.3">
      <c r="A2034">
        <v>64007</v>
      </c>
      <c r="B2034">
        <v>25553</v>
      </c>
      <c r="C2034">
        <v>1073</v>
      </c>
      <c r="D2034">
        <v>1</v>
      </c>
      <c r="E2034">
        <v>199.99</v>
      </c>
    </row>
    <row r="2035" spans="1:5" x14ac:dyDescent="0.3">
      <c r="A2035">
        <v>64044</v>
      </c>
      <c r="B2035">
        <v>25570</v>
      </c>
      <c r="C2035">
        <v>365</v>
      </c>
      <c r="D2035">
        <v>2</v>
      </c>
      <c r="E2035">
        <v>119.98</v>
      </c>
    </row>
    <row r="2036" spans="1:5" x14ac:dyDescent="0.3">
      <c r="A2036">
        <v>64043</v>
      </c>
      <c r="B2036">
        <v>25570</v>
      </c>
      <c r="C2036">
        <v>502</v>
      </c>
      <c r="D2036">
        <v>2</v>
      </c>
      <c r="E2036">
        <v>100</v>
      </c>
    </row>
    <row r="2037" spans="1:5" x14ac:dyDescent="0.3">
      <c r="A2037">
        <v>64045</v>
      </c>
      <c r="B2037">
        <v>25570</v>
      </c>
      <c r="C2037">
        <v>502</v>
      </c>
      <c r="D2037">
        <v>3</v>
      </c>
      <c r="E2037">
        <v>150</v>
      </c>
    </row>
    <row r="2038" spans="1:5" x14ac:dyDescent="0.3">
      <c r="A2038">
        <v>64103</v>
      </c>
      <c r="B2038">
        <v>25587</v>
      </c>
      <c r="C2038">
        <v>1004</v>
      </c>
      <c r="D2038">
        <v>1</v>
      </c>
      <c r="E2038">
        <v>399.98</v>
      </c>
    </row>
    <row r="2039" spans="1:5" x14ac:dyDescent="0.3">
      <c r="A2039">
        <v>64104</v>
      </c>
      <c r="B2039">
        <v>25587</v>
      </c>
      <c r="C2039">
        <v>957</v>
      </c>
      <c r="D2039">
        <v>1</v>
      </c>
      <c r="E2039">
        <v>299.98</v>
      </c>
    </row>
    <row r="2040" spans="1:5" x14ac:dyDescent="0.3">
      <c r="A2040">
        <v>64101</v>
      </c>
      <c r="B2040">
        <v>25587</v>
      </c>
      <c r="C2040">
        <v>1004</v>
      </c>
      <c r="D2040">
        <v>1</v>
      </c>
      <c r="E2040">
        <v>399.98</v>
      </c>
    </row>
    <row r="2041" spans="1:5" x14ac:dyDescent="0.3">
      <c r="A2041">
        <v>64105</v>
      </c>
      <c r="B2041">
        <v>25587</v>
      </c>
      <c r="C2041">
        <v>276</v>
      </c>
      <c r="D2041">
        <v>2</v>
      </c>
      <c r="E2041">
        <v>63.98</v>
      </c>
    </row>
    <row r="2042" spans="1:5" x14ac:dyDescent="0.3">
      <c r="A2042">
        <v>64102</v>
      </c>
      <c r="B2042">
        <v>25587</v>
      </c>
      <c r="C2042">
        <v>502</v>
      </c>
      <c r="D2042">
        <v>5</v>
      </c>
      <c r="E2042">
        <v>250</v>
      </c>
    </row>
    <row r="2043" spans="1:5" x14ac:dyDescent="0.3">
      <c r="A2043">
        <v>64106</v>
      </c>
      <c r="B2043">
        <v>25588</v>
      </c>
      <c r="C2043">
        <v>957</v>
      </c>
      <c r="D2043">
        <v>1</v>
      </c>
      <c r="E2043">
        <v>299.98</v>
      </c>
    </row>
    <row r="2044" spans="1:5" x14ac:dyDescent="0.3">
      <c r="A2044">
        <v>64107</v>
      </c>
      <c r="B2044">
        <v>25589</v>
      </c>
      <c r="C2044">
        <v>502</v>
      </c>
      <c r="D2044">
        <v>4</v>
      </c>
      <c r="E2044">
        <v>200</v>
      </c>
    </row>
    <row r="2045" spans="1:5" x14ac:dyDescent="0.3">
      <c r="A2045">
        <v>64108</v>
      </c>
      <c r="B2045">
        <v>25591</v>
      </c>
      <c r="C2045">
        <v>191</v>
      </c>
      <c r="D2045">
        <v>1</v>
      </c>
      <c r="E2045">
        <v>99.99</v>
      </c>
    </row>
    <row r="2046" spans="1:5" x14ac:dyDescent="0.3">
      <c r="A2046">
        <v>64120</v>
      </c>
      <c r="B2046">
        <v>25596</v>
      </c>
      <c r="C2046">
        <v>365</v>
      </c>
      <c r="D2046">
        <v>1</v>
      </c>
      <c r="E2046">
        <v>59.99</v>
      </c>
    </row>
    <row r="2047" spans="1:5" x14ac:dyDescent="0.3">
      <c r="A2047">
        <v>64119</v>
      </c>
      <c r="B2047">
        <v>25596</v>
      </c>
      <c r="C2047">
        <v>627</v>
      </c>
      <c r="D2047">
        <v>2</v>
      </c>
      <c r="E2047">
        <v>79.98</v>
      </c>
    </row>
    <row r="2048" spans="1:5" x14ac:dyDescent="0.3">
      <c r="A2048">
        <v>64122</v>
      </c>
      <c r="B2048">
        <v>25597</v>
      </c>
      <c r="C2048">
        <v>502</v>
      </c>
      <c r="D2048">
        <v>5</v>
      </c>
      <c r="E2048">
        <v>250</v>
      </c>
    </row>
    <row r="2049" spans="1:5" x14ac:dyDescent="0.3">
      <c r="A2049">
        <v>64121</v>
      </c>
      <c r="B2049">
        <v>25597</v>
      </c>
      <c r="C2049">
        <v>1073</v>
      </c>
      <c r="D2049">
        <v>1</v>
      </c>
      <c r="E2049">
        <v>199.99</v>
      </c>
    </row>
    <row r="2050" spans="1:5" x14ac:dyDescent="0.3">
      <c r="A2050">
        <v>64123</v>
      </c>
      <c r="B2050">
        <v>25597</v>
      </c>
      <c r="C2050">
        <v>191</v>
      </c>
      <c r="D2050">
        <v>2</v>
      </c>
      <c r="E2050">
        <v>199.98</v>
      </c>
    </row>
    <row r="2051" spans="1:5" x14ac:dyDescent="0.3">
      <c r="A2051">
        <v>64124</v>
      </c>
      <c r="B2051">
        <v>25597</v>
      </c>
      <c r="C2051">
        <v>627</v>
      </c>
      <c r="D2051">
        <v>4</v>
      </c>
      <c r="E2051">
        <v>159.96</v>
      </c>
    </row>
    <row r="2052" spans="1:5" x14ac:dyDescent="0.3">
      <c r="A2052">
        <v>64166</v>
      </c>
      <c r="B2052">
        <v>25616</v>
      </c>
      <c r="C2052">
        <v>1073</v>
      </c>
      <c r="D2052">
        <v>1</v>
      </c>
      <c r="E2052">
        <v>199.99</v>
      </c>
    </row>
    <row r="2053" spans="1:5" x14ac:dyDescent="0.3">
      <c r="A2053">
        <v>64165</v>
      </c>
      <c r="B2053">
        <v>25616</v>
      </c>
      <c r="C2053">
        <v>403</v>
      </c>
      <c r="D2053">
        <v>1</v>
      </c>
      <c r="E2053">
        <v>129.99</v>
      </c>
    </row>
    <row r="2054" spans="1:5" x14ac:dyDescent="0.3">
      <c r="A2054">
        <v>64163</v>
      </c>
      <c r="B2054">
        <v>25616</v>
      </c>
      <c r="C2054">
        <v>502</v>
      </c>
      <c r="D2054">
        <v>2</v>
      </c>
      <c r="E2054">
        <v>100</v>
      </c>
    </row>
    <row r="2055" spans="1:5" x14ac:dyDescent="0.3">
      <c r="A2055">
        <v>64164</v>
      </c>
      <c r="B2055">
        <v>25616</v>
      </c>
      <c r="C2055">
        <v>823</v>
      </c>
      <c r="D2055">
        <v>2</v>
      </c>
      <c r="E2055">
        <v>103.98</v>
      </c>
    </row>
    <row r="2056" spans="1:5" x14ac:dyDescent="0.3">
      <c r="A2056">
        <v>64169</v>
      </c>
      <c r="B2056">
        <v>25617</v>
      </c>
      <c r="C2056">
        <v>403</v>
      </c>
      <c r="D2056">
        <v>1</v>
      </c>
      <c r="E2056">
        <v>129.99</v>
      </c>
    </row>
    <row r="2057" spans="1:5" x14ac:dyDescent="0.3">
      <c r="A2057">
        <v>64167</v>
      </c>
      <c r="B2057">
        <v>25617</v>
      </c>
      <c r="C2057">
        <v>1004</v>
      </c>
      <c r="D2057">
        <v>1</v>
      </c>
      <c r="E2057">
        <v>399.98</v>
      </c>
    </row>
    <row r="2058" spans="1:5" x14ac:dyDescent="0.3">
      <c r="A2058">
        <v>64168</v>
      </c>
      <c r="B2058">
        <v>25617</v>
      </c>
      <c r="C2058">
        <v>957</v>
      </c>
      <c r="D2058">
        <v>1</v>
      </c>
      <c r="E2058">
        <v>299.98</v>
      </c>
    </row>
    <row r="2059" spans="1:5" x14ac:dyDescent="0.3">
      <c r="A2059">
        <v>64170</v>
      </c>
      <c r="B2059">
        <v>25617</v>
      </c>
      <c r="C2059">
        <v>906</v>
      </c>
      <c r="D2059">
        <v>4</v>
      </c>
      <c r="E2059">
        <v>99.96</v>
      </c>
    </row>
    <row r="2060" spans="1:5" x14ac:dyDescent="0.3">
      <c r="A2060">
        <v>64172</v>
      </c>
      <c r="B2060">
        <v>25619</v>
      </c>
      <c r="C2060">
        <v>191</v>
      </c>
      <c r="D2060">
        <v>5</v>
      </c>
      <c r="E2060">
        <v>499.95</v>
      </c>
    </row>
    <row r="2061" spans="1:5" x14ac:dyDescent="0.3">
      <c r="A2061">
        <v>64175</v>
      </c>
      <c r="B2061">
        <v>25620</v>
      </c>
      <c r="C2061">
        <v>365</v>
      </c>
      <c r="D2061">
        <v>1</v>
      </c>
      <c r="E2061">
        <v>59.99</v>
      </c>
    </row>
    <row r="2062" spans="1:5" x14ac:dyDescent="0.3">
      <c r="A2062">
        <v>64173</v>
      </c>
      <c r="B2062">
        <v>25620</v>
      </c>
      <c r="C2062">
        <v>365</v>
      </c>
      <c r="D2062">
        <v>1</v>
      </c>
      <c r="E2062">
        <v>59.99</v>
      </c>
    </row>
    <row r="2063" spans="1:5" x14ac:dyDescent="0.3">
      <c r="A2063">
        <v>64176</v>
      </c>
      <c r="B2063">
        <v>25620</v>
      </c>
      <c r="C2063">
        <v>403</v>
      </c>
      <c r="D2063">
        <v>1</v>
      </c>
      <c r="E2063">
        <v>129.99</v>
      </c>
    </row>
    <row r="2064" spans="1:5" x14ac:dyDescent="0.3">
      <c r="A2064">
        <v>64174</v>
      </c>
      <c r="B2064">
        <v>25620</v>
      </c>
      <c r="C2064">
        <v>403</v>
      </c>
      <c r="D2064">
        <v>1</v>
      </c>
      <c r="E2064">
        <v>129.99</v>
      </c>
    </row>
    <row r="2065" spans="1:5" x14ac:dyDescent="0.3">
      <c r="A2065">
        <v>64260</v>
      </c>
      <c r="B2065">
        <v>25659</v>
      </c>
      <c r="C2065">
        <v>627</v>
      </c>
      <c r="D2065">
        <v>1</v>
      </c>
      <c r="E2065">
        <v>39.99</v>
      </c>
    </row>
    <row r="2066" spans="1:5" x14ac:dyDescent="0.3">
      <c r="A2066">
        <v>64259</v>
      </c>
      <c r="B2066">
        <v>25659</v>
      </c>
      <c r="C2066">
        <v>957</v>
      </c>
      <c r="D2066">
        <v>1</v>
      </c>
      <c r="E2066">
        <v>299.98</v>
      </c>
    </row>
    <row r="2067" spans="1:5" x14ac:dyDescent="0.3">
      <c r="A2067">
        <v>64256</v>
      </c>
      <c r="B2067">
        <v>25659</v>
      </c>
      <c r="C2067">
        <v>191</v>
      </c>
      <c r="D2067">
        <v>5</v>
      </c>
      <c r="E2067">
        <v>499.95</v>
      </c>
    </row>
    <row r="2068" spans="1:5" x14ac:dyDescent="0.3">
      <c r="A2068">
        <v>64258</v>
      </c>
      <c r="B2068">
        <v>25659</v>
      </c>
      <c r="C2068">
        <v>627</v>
      </c>
      <c r="D2068">
        <v>5</v>
      </c>
      <c r="E2068">
        <v>199.95</v>
      </c>
    </row>
    <row r="2069" spans="1:5" x14ac:dyDescent="0.3">
      <c r="A2069">
        <v>64257</v>
      </c>
      <c r="B2069">
        <v>25659</v>
      </c>
      <c r="C2069">
        <v>775</v>
      </c>
      <c r="D2069">
        <v>4</v>
      </c>
      <c r="E2069">
        <v>39.96</v>
      </c>
    </row>
    <row r="2070" spans="1:5" x14ac:dyDescent="0.3">
      <c r="A2070">
        <v>64265</v>
      </c>
      <c r="B2070">
        <v>25662</v>
      </c>
      <c r="C2070">
        <v>1073</v>
      </c>
      <c r="D2070">
        <v>1</v>
      </c>
      <c r="E2070">
        <v>199.99</v>
      </c>
    </row>
    <row r="2071" spans="1:5" x14ac:dyDescent="0.3">
      <c r="A2071">
        <v>64267</v>
      </c>
      <c r="B2071">
        <v>25662</v>
      </c>
      <c r="C2071">
        <v>403</v>
      </c>
      <c r="D2071">
        <v>1</v>
      </c>
      <c r="E2071">
        <v>129.99</v>
      </c>
    </row>
    <row r="2072" spans="1:5" x14ac:dyDescent="0.3">
      <c r="A2072">
        <v>64269</v>
      </c>
      <c r="B2072">
        <v>25662</v>
      </c>
      <c r="C2072">
        <v>1014</v>
      </c>
      <c r="D2072">
        <v>3</v>
      </c>
      <c r="E2072">
        <v>149.94</v>
      </c>
    </row>
    <row r="2073" spans="1:5" x14ac:dyDescent="0.3">
      <c r="A2073">
        <v>64268</v>
      </c>
      <c r="B2073">
        <v>25662</v>
      </c>
      <c r="C2073">
        <v>1014</v>
      </c>
      <c r="D2073">
        <v>2</v>
      </c>
      <c r="E2073">
        <v>99.96</v>
      </c>
    </row>
    <row r="2074" spans="1:5" x14ac:dyDescent="0.3">
      <c r="A2074">
        <v>64266</v>
      </c>
      <c r="B2074">
        <v>25662</v>
      </c>
      <c r="C2074">
        <v>810</v>
      </c>
      <c r="D2074">
        <v>4</v>
      </c>
      <c r="E2074">
        <v>79.959999999999994</v>
      </c>
    </row>
    <row r="2075" spans="1:5" x14ac:dyDescent="0.3">
      <c r="A2075">
        <v>64271</v>
      </c>
      <c r="B2075">
        <v>25663</v>
      </c>
      <c r="C2075">
        <v>403</v>
      </c>
      <c r="D2075">
        <v>1</v>
      </c>
      <c r="E2075">
        <v>129.99</v>
      </c>
    </row>
    <row r="2076" spans="1:5" x14ac:dyDescent="0.3">
      <c r="A2076">
        <v>64270</v>
      </c>
      <c r="B2076">
        <v>25663</v>
      </c>
      <c r="C2076">
        <v>365</v>
      </c>
      <c r="D2076">
        <v>1</v>
      </c>
      <c r="E2076">
        <v>59.99</v>
      </c>
    </row>
    <row r="2077" spans="1:5" x14ac:dyDescent="0.3">
      <c r="A2077">
        <v>64272</v>
      </c>
      <c r="B2077">
        <v>25664</v>
      </c>
      <c r="C2077">
        <v>365</v>
      </c>
      <c r="D2077">
        <v>1</v>
      </c>
      <c r="E2077">
        <v>59.99</v>
      </c>
    </row>
    <row r="2078" spans="1:5" x14ac:dyDescent="0.3">
      <c r="A2078">
        <v>64274</v>
      </c>
      <c r="B2078">
        <v>25664</v>
      </c>
      <c r="C2078">
        <v>1004</v>
      </c>
      <c r="D2078">
        <v>1</v>
      </c>
      <c r="E2078">
        <v>399.98</v>
      </c>
    </row>
    <row r="2079" spans="1:5" x14ac:dyDescent="0.3">
      <c r="A2079">
        <v>64275</v>
      </c>
      <c r="B2079">
        <v>25664</v>
      </c>
      <c r="C2079">
        <v>828</v>
      </c>
      <c r="D2079">
        <v>3</v>
      </c>
      <c r="E2079">
        <v>95.97</v>
      </c>
    </row>
    <row r="2080" spans="1:5" x14ac:dyDescent="0.3">
      <c r="A2080">
        <v>64273</v>
      </c>
      <c r="B2080">
        <v>25664</v>
      </c>
      <c r="C2080">
        <v>365</v>
      </c>
      <c r="D2080">
        <v>5</v>
      </c>
      <c r="E2080">
        <v>299.95</v>
      </c>
    </row>
    <row r="2081" spans="1:5" x14ac:dyDescent="0.3">
      <c r="A2081">
        <v>64382</v>
      </c>
      <c r="B2081">
        <v>25710</v>
      </c>
      <c r="C2081">
        <v>403</v>
      </c>
      <c r="D2081">
        <v>1</v>
      </c>
      <c r="E2081">
        <v>129.99</v>
      </c>
    </row>
    <row r="2082" spans="1:5" x14ac:dyDescent="0.3">
      <c r="A2082">
        <v>64384</v>
      </c>
      <c r="B2082">
        <v>25710</v>
      </c>
      <c r="C2082">
        <v>957</v>
      </c>
      <c r="D2082">
        <v>1</v>
      </c>
      <c r="E2082">
        <v>299.98</v>
      </c>
    </row>
    <row r="2083" spans="1:5" x14ac:dyDescent="0.3">
      <c r="A2083">
        <v>64383</v>
      </c>
      <c r="B2083">
        <v>25710</v>
      </c>
      <c r="C2083">
        <v>502</v>
      </c>
      <c r="D2083">
        <v>3</v>
      </c>
      <c r="E2083">
        <v>150</v>
      </c>
    </row>
    <row r="2084" spans="1:5" x14ac:dyDescent="0.3">
      <c r="A2084">
        <v>64386</v>
      </c>
      <c r="B2084">
        <v>25712</v>
      </c>
      <c r="C2084">
        <v>821</v>
      </c>
      <c r="D2084">
        <v>5</v>
      </c>
      <c r="E2084">
        <v>259.95</v>
      </c>
    </row>
    <row r="2085" spans="1:5" x14ac:dyDescent="0.3">
      <c r="A2085">
        <v>64387</v>
      </c>
      <c r="B2085">
        <v>25712</v>
      </c>
      <c r="C2085">
        <v>1004</v>
      </c>
      <c r="D2085">
        <v>1</v>
      </c>
      <c r="E2085">
        <v>399.98</v>
      </c>
    </row>
    <row r="2086" spans="1:5" x14ac:dyDescent="0.3">
      <c r="A2086">
        <v>64385</v>
      </c>
      <c r="B2086">
        <v>25712</v>
      </c>
      <c r="C2086">
        <v>191</v>
      </c>
      <c r="D2086">
        <v>2</v>
      </c>
      <c r="E2086">
        <v>199.98</v>
      </c>
    </row>
    <row r="2087" spans="1:5" x14ac:dyDescent="0.3">
      <c r="A2087">
        <v>64419</v>
      </c>
      <c r="B2087">
        <v>25724</v>
      </c>
      <c r="C2087">
        <v>403</v>
      </c>
      <c r="D2087">
        <v>1</v>
      </c>
      <c r="E2087">
        <v>129.99</v>
      </c>
    </row>
    <row r="2088" spans="1:5" x14ac:dyDescent="0.3">
      <c r="A2088">
        <v>64418</v>
      </c>
      <c r="B2088">
        <v>25724</v>
      </c>
      <c r="C2088">
        <v>502</v>
      </c>
      <c r="D2088">
        <v>1</v>
      </c>
      <c r="E2088">
        <v>50</v>
      </c>
    </row>
    <row r="2089" spans="1:5" x14ac:dyDescent="0.3">
      <c r="A2089">
        <v>64422</v>
      </c>
      <c r="B2089">
        <v>25724</v>
      </c>
      <c r="C2089">
        <v>502</v>
      </c>
      <c r="D2089">
        <v>4</v>
      </c>
      <c r="E2089">
        <v>200</v>
      </c>
    </row>
    <row r="2090" spans="1:5" x14ac:dyDescent="0.3">
      <c r="A2090">
        <v>64420</v>
      </c>
      <c r="B2090">
        <v>25724</v>
      </c>
      <c r="C2090">
        <v>793</v>
      </c>
      <c r="D2090">
        <v>2</v>
      </c>
      <c r="E2090">
        <v>29.98</v>
      </c>
    </row>
    <row r="2091" spans="1:5" x14ac:dyDescent="0.3">
      <c r="A2091">
        <v>64421</v>
      </c>
      <c r="B2091">
        <v>25724</v>
      </c>
      <c r="C2091">
        <v>1073</v>
      </c>
      <c r="D2091">
        <v>1</v>
      </c>
      <c r="E2091">
        <v>199.99</v>
      </c>
    </row>
    <row r="2092" spans="1:5" x14ac:dyDescent="0.3">
      <c r="A2092">
        <v>64438</v>
      </c>
      <c r="B2092">
        <v>25729</v>
      </c>
      <c r="C2092">
        <v>403</v>
      </c>
      <c r="D2092">
        <v>1</v>
      </c>
      <c r="E2092">
        <v>129.99</v>
      </c>
    </row>
    <row r="2093" spans="1:5" x14ac:dyDescent="0.3">
      <c r="A2093">
        <v>64437</v>
      </c>
      <c r="B2093">
        <v>25729</v>
      </c>
      <c r="C2093">
        <v>627</v>
      </c>
      <c r="D2093">
        <v>1</v>
      </c>
      <c r="E2093">
        <v>39.99</v>
      </c>
    </row>
    <row r="2094" spans="1:5" x14ac:dyDescent="0.3">
      <c r="A2094">
        <v>64435</v>
      </c>
      <c r="B2094">
        <v>25729</v>
      </c>
      <c r="C2094">
        <v>957</v>
      </c>
      <c r="D2094">
        <v>1</v>
      </c>
      <c r="E2094">
        <v>299.98</v>
      </c>
    </row>
    <row r="2095" spans="1:5" x14ac:dyDescent="0.3">
      <c r="A2095">
        <v>64436</v>
      </c>
      <c r="B2095">
        <v>25729</v>
      </c>
      <c r="C2095">
        <v>365</v>
      </c>
      <c r="D2095">
        <v>2</v>
      </c>
      <c r="E2095">
        <v>119.98</v>
      </c>
    </row>
    <row r="2096" spans="1:5" x14ac:dyDescent="0.3">
      <c r="A2096">
        <v>64434</v>
      </c>
      <c r="B2096">
        <v>25729</v>
      </c>
      <c r="C2096">
        <v>1014</v>
      </c>
      <c r="D2096">
        <v>2</v>
      </c>
      <c r="E2096">
        <v>99.96</v>
      </c>
    </row>
    <row r="2097" spans="1:5" x14ac:dyDescent="0.3">
      <c r="A2097">
        <v>64474</v>
      </c>
      <c r="B2097">
        <v>25745</v>
      </c>
      <c r="C2097">
        <v>1073</v>
      </c>
      <c r="D2097">
        <v>1</v>
      </c>
      <c r="E2097">
        <v>199.99</v>
      </c>
    </row>
    <row r="2098" spans="1:5" x14ac:dyDescent="0.3">
      <c r="A2098">
        <v>64475</v>
      </c>
      <c r="B2098">
        <v>25745</v>
      </c>
      <c r="C2098">
        <v>502</v>
      </c>
      <c r="D2098">
        <v>1</v>
      </c>
      <c r="E2098">
        <v>50</v>
      </c>
    </row>
    <row r="2099" spans="1:5" x14ac:dyDescent="0.3">
      <c r="A2099">
        <v>64476</v>
      </c>
      <c r="B2099">
        <v>25745</v>
      </c>
      <c r="C2099">
        <v>191</v>
      </c>
      <c r="D2099">
        <v>3</v>
      </c>
      <c r="E2099">
        <v>299.97000000000003</v>
      </c>
    </row>
    <row r="2100" spans="1:5" x14ac:dyDescent="0.3">
      <c r="A2100">
        <v>64480</v>
      </c>
      <c r="B2100">
        <v>25746</v>
      </c>
      <c r="C2100">
        <v>365</v>
      </c>
      <c r="D2100">
        <v>1</v>
      </c>
      <c r="E2100">
        <v>59.99</v>
      </c>
    </row>
    <row r="2101" spans="1:5" x14ac:dyDescent="0.3">
      <c r="A2101">
        <v>64479</v>
      </c>
      <c r="B2101">
        <v>25746</v>
      </c>
      <c r="C2101">
        <v>905</v>
      </c>
      <c r="D2101">
        <v>1</v>
      </c>
      <c r="E2101">
        <v>24.99</v>
      </c>
    </row>
    <row r="2102" spans="1:5" x14ac:dyDescent="0.3">
      <c r="A2102">
        <v>64478</v>
      </c>
      <c r="B2102">
        <v>25746</v>
      </c>
      <c r="C2102">
        <v>957</v>
      </c>
      <c r="D2102">
        <v>1</v>
      </c>
      <c r="E2102">
        <v>299.98</v>
      </c>
    </row>
    <row r="2103" spans="1:5" x14ac:dyDescent="0.3">
      <c r="A2103">
        <v>64477</v>
      </c>
      <c r="B2103">
        <v>25746</v>
      </c>
      <c r="C2103">
        <v>957</v>
      </c>
      <c r="D2103">
        <v>1</v>
      </c>
      <c r="E2103">
        <v>299.98</v>
      </c>
    </row>
    <row r="2104" spans="1:5" x14ac:dyDescent="0.3">
      <c r="A2104">
        <v>64481</v>
      </c>
      <c r="B2104">
        <v>25746</v>
      </c>
      <c r="C2104">
        <v>502</v>
      </c>
      <c r="D2104">
        <v>3</v>
      </c>
      <c r="E2104">
        <v>150</v>
      </c>
    </row>
    <row r="2105" spans="1:5" x14ac:dyDescent="0.3">
      <c r="A2105">
        <v>64507</v>
      </c>
      <c r="B2105">
        <v>25763</v>
      </c>
      <c r="C2105">
        <v>957</v>
      </c>
      <c r="D2105">
        <v>1</v>
      </c>
      <c r="E2105">
        <v>299.98</v>
      </c>
    </row>
    <row r="2106" spans="1:5" x14ac:dyDescent="0.3">
      <c r="A2106">
        <v>64511</v>
      </c>
      <c r="B2106">
        <v>25763</v>
      </c>
      <c r="C2106">
        <v>37</v>
      </c>
      <c r="D2106">
        <v>4</v>
      </c>
      <c r="E2106">
        <v>139.96</v>
      </c>
    </row>
    <row r="2107" spans="1:5" x14ac:dyDescent="0.3">
      <c r="A2107">
        <v>64508</v>
      </c>
      <c r="B2107">
        <v>25763</v>
      </c>
      <c r="C2107">
        <v>627</v>
      </c>
      <c r="D2107">
        <v>5</v>
      </c>
      <c r="E2107">
        <v>199.95</v>
      </c>
    </row>
    <row r="2108" spans="1:5" x14ac:dyDescent="0.3">
      <c r="A2108">
        <v>64510</v>
      </c>
      <c r="B2108">
        <v>25763</v>
      </c>
      <c r="C2108">
        <v>1073</v>
      </c>
      <c r="D2108">
        <v>1</v>
      </c>
      <c r="E2108">
        <v>199.99</v>
      </c>
    </row>
    <row r="2109" spans="1:5" x14ac:dyDescent="0.3">
      <c r="A2109">
        <v>64509</v>
      </c>
      <c r="B2109">
        <v>25763</v>
      </c>
      <c r="C2109">
        <v>1014</v>
      </c>
      <c r="D2109">
        <v>3</v>
      </c>
      <c r="E2109">
        <v>149.94</v>
      </c>
    </row>
    <row r="2110" spans="1:5" x14ac:dyDescent="0.3">
      <c r="A2110">
        <v>64515</v>
      </c>
      <c r="B2110">
        <v>25765</v>
      </c>
      <c r="C2110">
        <v>365</v>
      </c>
      <c r="D2110">
        <v>5</v>
      </c>
      <c r="E2110">
        <v>299.95</v>
      </c>
    </row>
    <row r="2111" spans="1:5" x14ac:dyDescent="0.3">
      <c r="A2111">
        <v>64516</v>
      </c>
      <c r="B2111">
        <v>25765</v>
      </c>
      <c r="C2111">
        <v>627</v>
      </c>
      <c r="D2111">
        <v>5</v>
      </c>
      <c r="E2111">
        <v>199.95</v>
      </c>
    </row>
    <row r="2112" spans="1:5" x14ac:dyDescent="0.3">
      <c r="A2112">
        <v>64552</v>
      </c>
      <c r="B2112">
        <v>25784</v>
      </c>
      <c r="C2112">
        <v>627</v>
      </c>
      <c r="D2112">
        <v>4</v>
      </c>
      <c r="E2112">
        <v>159.96</v>
      </c>
    </row>
    <row r="2113" spans="1:5" x14ac:dyDescent="0.3">
      <c r="A2113">
        <v>64553</v>
      </c>
      <c r="B2113">
        <v>25784</v>
      </c>
      <c r="C2113">
        <v>1073</v>
      </c>
      <c r="D2113">
        <v>1</v>
      </c>
      <c r="E2113">
        <v>199.99</v>
      </c>
    </row>
    <row r="2114" spans="1:5" x14ac:dyDescent="0.3">
      <c r="A2114">
        <v>64559</v>
      </c>
      <c r="B2114">
        <v>25788</v>
      </c>
      <c r="C2114">
        <v>1004</v>
      </c>
      <c r="D2114">
        <v>1</v>
      </c>
      <c r="E2114">
        <v>399.98</v>
      </c>
    </row>
    <row r="2115" spans="1:5" x14ac:dyDescent="0.3">
      <c r="A2115">
        <v>64558</v>
      </c>
      <c r="B2115">
        <v>25788</v>
      </c>
      <c r="C2115">
        <v>1014</v>
      </c>
      <c r="D2115">
        <v>3</v>
      </c>
      <c r="E2115">
        <v>149.94</v>
      </c>
    </row>
    <row r="2116" spans="1:5" x14ac:dyDescent="0.3">
      <c r="A2116">
        <v>64560</v>
      </c>
      <c r="B2116">
        <v>25789</v>
      </c>
      <c r="C2116">
        <v>502</v>
      </c>
      <c r="D2116">
        <v>4</v>
      </c>
      <c r="E2116">
        <v>200</v>
      </c>
    </row>
    <row r="2117" spans="1:5" x14ac:dyDescent="0.3">
      <c r="A2117">
        <v>64562</v>
      </c>
      <c r="B2117">
        <v>25790</v>
      </c>
      <c r="C2117">
        <v>502</v>
      </c>
      <c r="D2117">
        <v>1</v>
      </c>
      <c r="E2117">
        <v>50</v>
      </c>
    </row>
    <row r="2118" spans="1:5" x14ac:dyDescent="0.3">
      <c r="A2118">
        <v>64561</v>
      </c>
      <c r="B2118">
        <v>25790</v>
      </c>
      <c r="C2118">
        <v>502</v>
      </c>
      <c r="D2118">
        <v>4</v>
      </c>
      <c r="E2118">
        <v>200</v>
      </c>
    </row>
    <row r="2119" spans="1:5" x14ac:dyDescent="0.3">
      <c r="A2119">
        <v>64570</v>
      </c>
      <c r="B2119">
        <v>25793</v>
      </c>
      <c r="C2119">
        <v>1004</v>
      </c>
      <c r="D2119">
        <v>1</v>
      </c>
      <c r="E2119">
        <v>399.98</v>
      </c>
    </row>
    <row r="2120" spans="1:5" x14ac:dyDescent="0.3">
      <c r="A2120">
        <v>64571</v>
      </c>
      <c r="B2120">
        <v>25793</v>
      </c>
      <c r="C2120">
        <v>1004</v>
      </c>
      <c r="D2120">
        <v>1</v>
      </c>
      <c r="E2120">
        <v>399.98</v>
      </c>
    </row>
    <row r="2121" spans="1:5" x14ac:dyDescent="0.3">
      <c r="A2121">
        <v>64572</v>
      </c>
      <c r="B2121">
        <v>25795</v>
      </c>
      <c r="C2121">
        <v>502</v>
      </c>
      <c r="D2121">
        <v>1</v>
      </c>
      <c r="E2121">
        <v>50</v>
      </c>
    </row>
    <row r="2122" spans="1:5" x14ac:dyDescent="0.3">
      <c r="A2122">
        <v>64573</v>
      </c>
      <c r="B2122">
        <v>25795</v>
      </c>
      <c r="C2122">
        <v>502</v>
      </c>
      <c r="D2122">
        <v>1</v>
      </c>
      <c r="E2122">
        <v>50</v>
      </c>
    </row>
    <row r="2123" spans="1:5" x14ac:dyDescent="0.3">
      <c r="A2123">
        <v>64574</v>
      </c>
      <c r="B2123">
        <v>25795</v>
      </c>
      <c r="C2123">
        <v>1004</v>
      </c>
      <c r="D2123">
        <v>1</v>
      </c>
      <c r="E2123">
        <v>399.98</v>
      </c>
    </row>
    <row r="2124" spans="1:5" x14ac:dyDescent="0.3">
      <c r="A2124">
        <v>64576</v>
      </c>
      <c r="B2124">
        <v>25795</v>
      </c>
      <c r="C2124">
        <v>502</v>
      </c>
      <c r="D2124">
        <v>4</v>
      </c>
      <c r="E2124">
        <v>200</v>
      </c>
    </row>
    <row r="2125" spans="1:5" x14ac:dyDescent="0.3">
      <c r="A2125">
        <v>64575</v>
      </c>
      <c r="B2125">
        <v>25795</v>
      </c>
      <c r="C2125">
        <v>886</v>
      </c>
      <c r="D2125">
        <v>4</v>
      </c>
      <c r="E2125">
        <v>99.96</v>
      </c>
    </row>
    <row r="2126" spans="1:5" x14ac:dyDescent="0.3">
      <c r="A2126">
        <v>64578</v>
      </c>
      <c r="B2126">
        <v>25796</v>
      </c>
      <c r="C2126">
        <v>502</v>
      </c>
      <c r="D2126">
        <v>5</v>
      </c>
      <c r="E2126">
        <v>250</v>
      </c>
    </row>
    <row r="2127" spans="1:5" x14ac:dyDescent="0.3">
      <c r="A2127">
        <v>64580</v>
      </c>
      <c r="B2127">
        <v>25796</v>
      </c>
      <c r="C2127">
        <v>905</v>
      </c>
      <c r="D2127">
        <v>1</v>
      </c>
      <c r="E2127">
        <v>24.99</v>
      </c>
    </row>
    <row r="2128" spans="1:5" x14ac:dyDescent="0.3">
      <c r="A2128">
        <v>64579</v>
      </c>
      <c r="B2128">
        <v>25796</v>
      </c>
      <c r="C2128">
        <v>957</v>
      </c>
      <c r="D2128">
        <v>1</v>
      </c>
      <c r="E2128">
        <v>299.98</v>
      </c>
    </row>
    <row r="2129" spans="1:5" x14ac:dyDescent="0.3">
      <c r="A2129">
        <v>64581</v>
      </c>
      <c r="B2129">
        <v>25796</v>
      </c>
      <c r="C2129">
        <v>1004</v>
      </c>
      <c r="D2129">
        <v>1</v>
      </c>
      <c r="E2129">
        <v>399.98</v>
      </c>
    </row>
    <row r="2130" spans="1:5" x14ac:dyDescent="0.3">
      <c r="A2130">
        <v>64577</v>
      </c>
      <c r="B2130">
        <v>25796</v>
      </c>
      <c r="C2130">
        <v>1004</v>
      </c>
      <c r="D2130">
        <v>1</v>
      </c>
      <c r="E2130">
        <v>399.98</v>
      </c>
    </row>
    <row r="2131" spans="1:5" x14ac:dyDescent="0.3">
      <c r="A2131">
        <v>64582</v>
      </c>
      <c r="B2131">
        <v>25797</v>
      </c>
      <c r="C2131">
        <v>1004</v>
      </c>
      <c r="D2131">
        <v>1</v>
      </c>
      <c r="E2131">
        <v>399.98</v>
      </c>
    </row>
    <row r="2132" spans="1:5" x14ac:dyDescent="0.3">
      <c r="A2132">
        <v>64583</v>
      </c>
      <c r="B2132">
        <v>25798</v>
      </c>
      <c r="C2132">
        <v>627</v>
      </c>
      <c r="D2132">
        <v>5</v>
      </c>
      <c r="E2132">
        <v>199.95</v>
      </c>
    </row>
    <row r="2133" spans="1:5" x14ac:dyDescent="0.3">
      <c r="A2133">
        <v>64595</v>
      </c>
      <c r="B2133">
        <v>25804</v>
      </c>
      <c r="C2133">
        <v>403</v>
      </c>
      <c r="D2133">
        <v>1</v>
      </c>
      <c r="E2133">
        <v>129.99</v>
      </c>
    </row>
    <row r="2134" spans="1:5" x14ac:dyDescent="0.3">
      <c r="A2134">
        <v>64594</v>
      </c>
      <c r="B2134">
        <v>25804</v>
      </c>
      <c r="C2134">
        <v>403</v>
      </c>
      <c r="D2134">
        <v>1</v>
      </c>
      <c r="E2134">
        <v>129.99</v>
      </c>
    </row>
    <row r="2135" spans="1:5" x14ac:dyDescent="0.3">
      <c r="A2135">
        <v>64596</v>
      </c>
      <c r="B2135">
        <v>25804</v>
      </c>
      <c r="C2135">
        <v>502</v>
      </c>
      <c r="D2135">
        <v>1</v>
      </c>
      <c r="E2135">
        <v>50</v>
      </c>
    </row>
    <row r="2136" spans="1:5" x14ac:dyDescent="0.3">
      <c r="A2136">
        <v>64593</v>
      </c>
      <c r="B2136">
        <v>25804</v>
      </c>
      <c r="C2136">
        <v>957</v>
      </c>
      <c r="D2136">
        <v>1</v>
      </c>
      <c r="E2136">
        <v>299.98</v>
      </c>
    </row>
    <row r="2137" spans="1:5" x14ac:dyDescent="0.3">
      <c r="A2137">
        <v>64597</v>
      </c>
      <c r="B2137">
        <v>25804</v>
      </c>
      <c r="C2137">
        <v>1004</v>
      </c>
      <c r="D2137">
        <v>1</v>
      </c>
      <c r="E2137">
        <v>399.98</v>
      </c>
    </row>
    <row r="2138" spans="1:5" x14ac:dyDescent="0.3">
      <c r="A2138">
        <v>64599</v>
      </c>
      <c r="B2138">
        <v>25805</v>
      </c>
      <c r="C2138">
        <v>1073</v>
      </c>
      <c r="D2138">
        <v>1</v>
      </c>
      <c r="E2138">
        <v>199.99</v>
      </c>
    </row>
    <row r="2139" spans="1:5" x14ac:dyDescent="0.3">
      <c r="A2139">
        <v>64598</v>
      </c>
      <c r="B2139">
        <v>25805</v>
      </c>
      <c r="C2139">
        <v>1014</v>
      </c>
      <c r="D2139">
        <v>4</v>
      </c>
      <c r="E2139">
        <v>199.92</v>
      </c>
    </row>
    <row r="2140" spans="1:5" x14ac:dyDescent="0.3">
      <c r="A2140">
        <v>64602</v>
      </c>
      <c r="B2140">
        <v>25805</v>
      </c>
      <c r="C2140">
        <v>403</v>
      </c>
      <c r="D2140">
        <v>1</v>
      </c>
      <c r="E2140">
        <v>129.99</v>
      </c>
    </row>
    <row r="2141" spans="1:5" x14ac:dyDescent="0.3">
      <c r="A2141">
        <v>64600</v>
      </c>
      <c r="B2141">
        <v>25805</v>
      </c>
      <c r="C2141">
        <v>365</v>
      </c>
      <c r="D2141">
        <v>3</v>
      </c>
      <c r="E2141">
        <v>179.97</v>
      </c>
    </row>
    <row r="2142" spans="1:5" x14ac:dyDescent="0.3">
      <c r="A2142">
        <v>64601</v>
      </c>
      <c r="B2142">
        <v>25805</v>
      </c>
      <c r="C2142">
        <v>365</v>
      </c>
      <c r="D2142">
        <v>5</v>
      </c>
      <c r="E2142">
        <v>299.95</v>
      </c>
    </row>
    <row r="2143" spans="1:5" x14ac:dyDescent="0.3">
      <c r="A2143">
        <v>64603</v>
      </c>
      <c r="B2143">
        <v>25806</v>
      </c>
      <c r="C2143">
        <v>1014</v>
      </c>
      <c r="D2143">
        <v>5</v>
      </c>
      <c r="E2143">
        <v>249.9</v>
      </c>
    </row>
    <row r="2144" spans="1:5" x14ac:dyDescent="0.3">
      <c r="A2144">
        <v>64625</v>
      </c>
      <c r="B2144">
        <v>25816</v>
      </c>
      <c r="C2144">
        <v>1073</v>
      </c>
      <c r="D2144">
        <v>1</v>
      </c>
      <c r="E2144">
        <v>199.99</v>
      </c>
    </row>
    <row r="2145" spans="1:5" x14ac:dyDescent="0.3">
      <c r="A2145">
        <v>64626</v>
      </c>
      <c r="B2145">
        <v>25817</v>
      </c>
      <c r="C2145">
        <v>977</v>
      </c>
      <c r="D2145">
        <v>2</v>
      </c>
      <c r="E2145">
        <v>59.98</v>
      </c>
    </row>
    <row r="2146" spans="1:5" x14ac:dyDescent="0.3">
      <c r="A2146">
        <v>64628</v>
      </c>
      <c r="B2146">
        <v>25819</v>
      </c>
      <c r="C2146">
        <v>403</v>
      </c>
      <c r="D2146">
        <v>1</v>
      </c>
      <c r="E2146">
        <v>129.99</v>
      </c>
    </row>
    <row r="2147" spans="1:5" x14ac:dyDescent="0.3">
      <c r="A2147">
        <v>64631</v>
      </c>
      <c r="B2147">
        <v>25819</v>
      </c>
      <c r="C2147">
        <v>502</v>
      </c>
      <c r="D2147">
        <v>1</v>
      </c>
      <c r="E2147">
        <v>50</v>
      </c>
    </row>
    <row r="2148" spans="1:5" x14ac:dyDescent="0.3">
      <c r="A2148">
        <v>64630</v>
      </c>
      <c r="B2148">
        <v>25819</v>
      </c>
      <c r="C2148">
        <v>502</v>
      </c>
      <c r="D2148">
        <v>2</v>
      </c>
      <c r="E2148">
        <v>100</v>
      </c>
    </row>
    <row r="2149" spans="1:5" x14ac:dyDescent="0.3">
      <c r="A2149">
        <v>64629</v>
      </c>
      <c r="B2149">
        <v>25819</v>
      </c>
      <c r="C2149">
        <v>502</v>
      </c>
      <c r="D2149">
        <v>2</v>
      </c>
      <c r="E2149">
        <v>100</v>
      </c>
    </row>
    <row r="2150" spans="1:5" x14ac:dyDescent="0.3">
      <c r="A2150">
        <v>64644</v>
      </c>
      <c r="B2150">
        <v>25825</v>
      </c>
      <c r="C2150">
        <v>403</v>
      </c>
      <c r="D2150">
        <v>1</v>
      </c>
      <c r="E2150">
        <v>129.99</v>
      </c>
    </row>
    <row r="2151" spans="1:5" x14ac:dyDescent="0.3">
      <c r="A2151">
        <v>64643</v>
      </c>
      <c r="B2151">
        <v>25825</v>
      </c>
      <c r="C2151">
        <v>403</v>
      </c>
      <c r="D2151">
        <v>1</v>
      </c>
      <c r="E2151">
        <v>129.99</v>
      </c>
    </row>
    <row r="2152" spans="1:5" x14ac:dyDescent="0.3">
      <c r="A2152">
        <v>64645</v>
      </c>
      <c r="B2152">
        <v>25825</v>
      </c>
      <c r="C2152">
        <v>825</v>
      </c>
      <c r="D2152">
        <v>4</v>
      </c>
      <c r="E2152">
        <v>127.96</v>
      </c>
    </row>
    <row r="2153" spans="1:5" x14ac:dyDescent="0.3">
      <c r="A2153">
        <v>64696</v>
      </c>
      <c r="B2153">
        <v>25847</v>
      </c>
      <c r="C2153">
        <v>365</v>
      </c>
      <c r="D2153">
        <v>2</v>
      </c>
      <c r="E2153">
        <v>119.98</v>
      </c>
    </row>
    <row r="2154" spans="1:5" x14ac:dyDescent="0.3">
      <c r="A2154">
        <v>64697</v>
      </c>
      <c r="B2154">
        <v>25847</v>
      </c>
      <c r="C2154">
        <v>365</v>
      </c>
      <c r="D2154">
        <v>3</v>
      </c>
      <c r="E2154">
        <v>179.97</v>
      </c>
    </row>
    <row r="2155" spans="1:5" x14ac:dyDescent="0.3">
      <c r="A2155">
        <v>64695</v>
      </c>
      <c r="B2155">
        <v>25847</v>
      </c>
      <c r="C2155">
        <v>502</v>
      </c>
      <c r="D2155">
        <v>5</v>
      </c>
      <c r="E2155">
        <v>250</v>
      </c>
    </row>
    <row r="2156" spans="1:5" x14ac:dyDescent="0.3">
      <c r="A2156">
        <v>64699</v>
      </c>
      <c r="B2156">
        <v>25847</v>
      </c>
      <c r="C2156">
        <v>403</v>
      </c>
      <c r="D2156">
        <v>1</v>
      </c>
      <c r="E2156">
        <v>129.99</v>
      </c>
    </row>
    <row r="2157" spans="1:5" x14ac:dyDescent="0.3">
      <c r="A2157">
        <v>64698</v>
      </c>
      <c r="B2157">
        <v>25847</v>
      </c>
      <c r="C2157">
        <v>403</v>
      </c>
      <c r="D2157">
        <v>1</v>
      </c>
      <c r="E2157">
        <v>129.99</v>
      </c>
    </row>
    <row r="2158" spans="1:5" x14ac:dyDescent="0.3">
      <c r="A2158">
        <v>64701</v>
      </c>
      <c r="B2158">
        <v>25848</v>
      </c>
      <c r="C2158">
        <v>1073</v>
      </c>
      <c r="D2158">
        <v>1</v>
      </c>
      <c r="E2158">
        <v>199.99</v>
      </c>
    </row>
    <row r="2159" spans="1:5" x14ac:dyDescent="0.3">
      <c r="A2159">
        <v>64702</v>
      </c>
      <c r="B2159">
        <v>25848</v>
      </c>
      <c r="C2159">
        <v>1014</v>
      </c>
      <c r="D2159">
        <v>2</v>
      </c>
      <c r="E2159">
        <v>99.96</v>
      </c>
    </row>
    <row r="2160" spans="1:5" x14ac:dyDescent="0.3">
      <c r="A2160">
        <v>64700</v>
      </c>
      <c r="B2160">
        <v>25848</v>
      </c>
      <c r="C2160">
        <v>403</v>
      </c>
      <c r="D2160">
        <v>1</v>
      </c>
      <c r="E2160">
        <v>129.99</v>
      </c>
    </row>
    <row r="2161" spans="1:5" x14ac:dyDescent="0.3">
      <c r="A2161">
        <v>64703</v>
      </c>
      <c r="B2161">
        <v>25849</v>
      </c>
      <c r="C2161">
        <v>191</v>
      </c>
      <c r="D2161">
        <v>1</v>
      </c>
      <c r="E2161">
        <v>99.99</v>
      </c>
    </row>
    <row r="2162" spans="1:5" x14ac:dyDescent="0.3">
      <c r="A2162">
        <v>64704</v>
      </c>
      <c r="B2162">
        <v>25850</v>
      </c>
      <c r="C2162">
        <v>728</v>
      </c>
      <c r="D2162">
        <v>5</v>
      </c>
      <c r="E2162">
        <v>325</v>
      </c>
    </row>
    <row r="2163" spans="1:5" x14ac:dyDescent="0.3">
      <c r="A2163">
        <v>64705</v>
      </c>
      <c r="B2163">
        <v>25850</v>
      </c>
      <c r="C2163">
        <v>191</v>
      </c>
      <c r="D2163">
        <v>1</v>
      </c>
      <c r="E2163">
        <v>99.99</v>
      </c>
    </row>
    <row r="2164" spans="1:5" x14ac:dyDescent="0.3">
      <c r="A2164">
        <v>64707</v>
      </c>
      <c r="B2164">
        <v>25851</v>
      </c>
      <c r="C2164">
        <v>403</v>
      </c>
      <c r="D2164">
        <v>1</v>
      </c>
      <c r="E2164">
        <v>129.99</v>
      </c>
    </row>
    <row r="2165" spans="1:5" x14ac:dyDescent="0.3">
      <c r="A2165">
        <v>64706</v>
      </c>
      <c r="B2165">
        <v>25851</v>
      </c>
      <c r="C2165">
        <v>1073</v>
      </c>
      <c r="D2165">
        <v>1</v>
      </c>
      <c r="E2165">
        <v>199.99</v>
      </c>
    </row>
    <row r="2166" spans="1:5" x14ac:dyDescent="0.3">
      <c r="A2166">
        <v>64728</v>
      </c>
      <c r="B2166">
        <v>25863</v>
      </c>
      <c r="C2166">
        <v>502</v>
      </c>
      <c r="D2166">
        <v>1</v>
      </c>
      <c r="E2166">
        <v>50</v>
      </c>
    </row>
    <row r="2167" spans="1:5" x14ac:dyDescent="0.3">
      <c r="A2167">
        <v>64727</v>
      </c>
      <c r="B2167">
        <v>25863</v>
      </c>
      <c r="C2167">
        <v>1004</v>
      </c>
      <c r="D2167">
        <v>1</v>
      </c>
      <c r="E2167">
        <v>399.98</v>
      </c>
    </row>
    <row r="2168" spans="1:5" x14ac:dyDescent="0.3">
      <c r="A2168">
        <v>64734</v>
      </c>
      <c r="B2168">
        <v>25865</v>
      </c>
      <c r="C2168">
        <v>403</v>
      </c>
      <c r="D2168">
        <v>1</v>
      </c>
      <c r="E2168">
        <v>129.99</v>
      </c>
    </row>
    <row r="2169" spans="1:5" x14ac:dyDescent="0.3">
      <c r="A2169">
        <v>64733</v>
      </c>
      <c r="B2169">
        <v>25865</v>
      </c>
      <c r="C2169">
        <v>403</v>
      </c>
      <c r="D2169">
        <v>1</v>
      </c>
      <c r="E2169">
        <v>129.99</v>
      </c>
    </row>
    <row r="2170" spans="1:5" x14ac:dyDescent="0.3">
      <c r="A2170">
        <v>64762</v>
      </c>
      <c r="B2170">
        <v>25874</v>
      </c>
      <c r="C2170">
        <v>134</v>
      </c>
      <c r="D2170">
        <v>3</v>
      </c>
      <c r="E2170">
        <v>75</v>
      </c>
    </row>
    <row r="2171" spans="1:5" x14ac:dyDescent="0.3">
      <c r="A2171">
        <v>64765</v>
      </c>
      <c r="B2171">
        <v>25874</v>
      </c>
      <c r="C2171">
        <v>403</v>
      </c>
      <c r="D2171">
        <v>1</v>
      </c>
      <c r="E2171">
        <v>129.99</v>
      </c>
    </row>
    <row r="2172" spans="1:5" x14ac:dyDescent="0.3">
      <c r="A2172">
        <v>64761</v>
      </c>
      <c r="B2172">
        <v>25874</v>
      </c>
      <c r="C2172">
        <v>191</v>
      </c>
      <c r="D2172">
        <v>2</v>
      </c>
      <c r="E2172">
        <v>199.98</v>
      </c>
    </row>
    <row r="2173" spans="1:5" x14ac:dyDescent="0.3">
      <c r="A2173">
        <v>64764</v>
      </c>
      <c r="B2173">
        <v>25874</v>
      </c>
      <c r="C2173">
        <v>249</v>
      </c>
      <c r="D2173">
        <v>2</v>
      </c>
      <c r="E2173">
        <v>109.94</v>
      </c>
    </row>
    <row r="2174" spans="1:5" x14ac:dyDescent="0.3">
      <c r="A2174">
        <v>64763</v>
      </c>
      <c r="B2174">
        <v>25874</v>
      </c>
      <c r="C2174">
        <v>502</v>
      </c>
      <c r="D2174">
        <v>2</v>
      </c>
      <c r="E2174">
        <v>100</v>
      </c>
    </row>
    <row r="2175" spans="1:5" x14ac:dyDescent="0.3">
      <c r="A2175">
        <v>64809</v>
      </c>
      <c r="B2175">
        <v>25892</v>
      </c>
      <c r="C2175">
        <v>403</v>
      </c>
      <c r="D2175">
        <v>1</v>
      </c>
      <c r="E2175">
        <v>129.99</v>
      </c>
    </row>
    <row r="2176" spans="1:5" x14ac:dyDescent="0.3">
      <c r="A2176">
        <v>64811</v>
      </c>
      <c r="B2176">
        <v>25892</v>
      </c>
      <c r="C2176">
        <v>957</v>
      </c>
      <c r="D2176">
        <v>1</v>
      </c>
      <c r="E2176">
        <v>299.98</v>
      </c>
    </row>
    <row r="2177" spans="1:5" x14ac:dyDescent="0.3">
      <c r="A2177">
        <v>64810</v>
      </c>
      <c r="B2177">
        <v>25892</v>
      </c>
      <c r="C2177">
        <v>957</v>
      </c>
      <c r="D2177">
        <v>1</v>
      </c>
      <c r="E2177">
        <v>299.98</v>
      </c>
    </row>
    <row r="2178" spans="1:5" x14ac:dyDescent="0.3">
      <c r="A2178">
        <v>64812</v>
      </c>
      <c r="B2178">
        <v>25892</v>
      </c>
      <c r="C2178">
        <v>191</v>
      </c>
      <c r="D2178">
        <v>3</v>
      </c>
      <c r="E2178">
        <v>299.97000000000003</v>
      </c>
    </row>
    <row r="2179" spans="1:5" x14ac:dyDescent="0.3">
      <c r="A2179">
        <v>64814</v>
      </c>
      <c r="B2179">
        <v>25895</v>
      </c>
      <c r="C2179">
        <v>1073</v>
      </c>
      <c r="D2179">
        <v>1</v>
      </c>
      <c r="E2179">
        <v>199.99</v>
      </c>
    </row>
    <row r="2180" spans="1:5" x14ac:dyDescent="0.3">
      <c r="A2180">
        <v>64813</v>
      </c>
      <c r="B2180">
        <v>25895</v>
      </c>
      <c r="C2180">
        <v>1004</v>
      </c>
      <c r="D2180">
        <v>1</v>
      </c>
      <c r="E2180">
        <v>399.98</v>
      </c>
    </row>
    <row r="2181" spans="1:5" x14ac:dyDescent="0.3">
      <c r="A2181">
        <v>64850</v>
      </c>
      <c r="B2181">
        <v>25908</v>
      </c>
      <c r="C2181">
        <v>502</v>
      </c>
      <c r="D2181">
        <v>1</v>
      </c>
      <c r="E2181">
        <v>50</v>
      </c>
    </row>
    <row r="2182" spans="1:5" x14ac:dyDescent="0.3">
      <c r="A2182">
        <v>64848</v>
      </c>
      <c r="B2182">
        <v>25908</v>
      </c>
      <c r="C2182">
        <v>1004</v>
      </c>
      <c r="D2182">
        <v>1</v>
      </c>
      <c r="E2182">
        <v>399.98</v>
      </c>
    </row>
    <row r="2183" spans="1:5" x14ac:dyDescent="0.3">
      <c r="A2183">
        <v>64849</v>
      </c>
      <c r="B2183">
        <v>25908</v>
      </c>
      <c r="C2183">
        <v>365</v>
      </c>
      <c r="D2183">
        <v>4</v>
      </c>
      <c r="E2183">
        <v>239.96</v>
      </c>
    </row>
    <row r="2184" spans="1:5" x14ac:dyDescent="0.3">
      <c r="A2184">
        <v>64847</v>
      </c>
      <c r="B2184">
        <v>25908</v>
      </c>
      <c r="C2184">
        <v>502</v>
      </c>
      <c r="D2184">
        <v>5</v>
      </c>
      <c r="E2184">
        <v>250</v>
      </c>
    </row>
    <row r="2185" spans="1:5" x14ac:dyDescent="0.3">
      <c r="A2185">
        <v>64872</v>
      </c>
      <c r="B2185">
        <v>25916</v>
      </c>
      <c r="C2185">
        <v>957</v>
      </c>
      <c r="D2185">
        <v>1</v>
      </c>
      <c r="E2185">
        <v>299.98</v>
      </c>
    </row>
    <row r="2186" spans="1:5" x14ac:dyDescent="0.3">
      <c r="A2186">
        <v>64873</v>
      </c>
      <c r="B2186">
        <v>25916</v>
      </c>
      <c r="C2186">
        <v>191</v>
      </c>
      <c r="D2186">
        <v>5</v>
      </c>
      <c r="E2186">
        <v>499.95</v>
      </c>
    </row>
    <row r="2187" spans="1:5" x14ac:dyDescent="0.3">
      <c r="A2187">
        <v>64871</v>
      </c>
      <c r="B2187">
        <v>25916</v>
      </c>
      <c r="C2187">
        <v>1014</v>
      </c>
      <c r="D2187">
        <v>1</v>
      </c>
      <c r="E2187">
        <v>49.98</v>
      </c>
    </row>
    <row r="2188" spans="1:5" x14ac:dyDescent="0.3">
      <c r="A2188">
        <v>64875</v>
      </c>
      <c r="B2188">
        <v>25917</v>
      </c>
      <c r="C2188">
        <v>957</v>
      </c>
      <c r="D2188">
        <v>1</v>
      </c>
      <c r="E2188">
        <v>299.98</v>
      </c>
    </row>
    <row r="2189" spans="1:5" x14ac:dyDescent="0.3">
      <c r="A2189">
        <v>64874</v>
      </c>
      <c r="B2189">
        <v>25917</v>
      </c>
      <c r="C2189">
        <v>957</v>
      </c>
      <c r="D2189">
        <v>1</v>
      </c>
      <c r="E2189">
        <v>299.98</v>
      </c>
    </row>
    <row r="2190" spans="1:5" x14ac:dyDescent="0.3">
      <c r="A2190">
        <v>64878</v>
      </c>
      <c r="B2190">
        <v>25917</v>
      </c>
      <c r="C2190">
        <v>365</v>
      </c>
      <c r="D2190">
        <v>2</v>
      </c>
      <c r="E2190">
        <v>119.98</v>
      </c>
    </row>
    <row r="2191" spans="1:5" x14ac:dyDescent="0.3">
      <c r="A2191">
        <v>64877</v>
      </c>
      <c r="B2191">
        <v>25917</v>
      </c>
      <c r="C2191">
        <v>502</v>
      </c>
      <c r="D2191">
        <v>4</v>
      </c>
      <c r="E2191">
        <v>200</v>
      </c>
    </row>
    <row r="2192" spans="1:5" x14ac:dyDescent="0.3">
      <c r="A2192">
        <v>64876</v>
      </c>
      <c r="B2192">
        <v>25917</v>
      </c>
      <c r="C2192">
        <v>1014</v>
      </c>
      <c r="D2192">
        <v>3</v>
      </c>
      <c r="E2192">
        <v>149.94</v>
      </c>
    </row>
    <row r="2193" spans="1:5" x14ac:dyDescent="0.3">
      <c r="A2193">
        <v>64880</v>
      </c>
      <c r="B2193">
        <v>25918</v>
      </c>
      <c r="C2193">
        <v>502</v>
      </c>
      <c r="D2193">
        <v>1</v>
      </c>
      <c r="E2193">
        <v>50</v>
      </c>
    </row>
    <row r="2194" spans="1:5" x14ac:dyDescent="0.3">
      <c r="A2194">
        <v>64879</v>
      </c>
      <c r="B2194">
        <v>25918</v>
      </c>
      <c r="C2194">
        <v>885</v>
      </c>
      <c r="D2194">
        <v>3</v>
      </c>
      <c r="E2194">
        <v>74.97</v>
      </c>
    </row>
    <row r="2195" spans="1:5" x14ac:dyDescent="0.3">
      <c r="A2195">
        <v>64881</v>
      </c>
      <c r="B2195">
        <v>25919</v>
      </c>
      <c r="C2195">
        <v>502</v>
      </c>
      <c r="D2195">
        <v>1</v>
      </c>
      <c r="E2195">
        <v>50</v>
      </c>
    </row>
    <row r="2196" spans="1:5" x14ac:dyDescent="0.3">
      <c r="A2196">
        <v>64882</v>
      </c>
      <c r="B2196">
        <v>25919</v>
      </c>
      <c r="C2196">
        <v>627</v>
      </c>
      <c r="D2196">
        <v>2</v>
      </c>
      <c r="E2196">
        <v>79.98</v>
      </c>
    </row>
    <row r="2197" spans="1:5" x14ac:dyDescent="0.3">
      <c r="A2197">
        <v>64894</v>
      </c>
      <c r="B2197">
        <v>25924</v>
      </c>
      <c r="C2197">
        <v>365</v>
      </c>
      <c r="D2197">
        <v>4</v>
      </c>
      <c r="E2197">
        <v>239.96</v>
      </c>
    </row>
    <row r="2198" spans="1:5" x14ac:dyDescent="0.3">
      <c r="A2198">
        <v>64893</v>
      </c>
      <c r="B2198">
        <v>25924</v>
      </c>
      <c r="C2198">
        <v>502</v>
      </c>
      <c r="D2198">
        <v>5</v>
      </c>
      <c r="E2198">
        <v>250</v>
      </c>
    </row>
    <row r="2199" spans="1:5" x14ac:dyDescent="0.3">
      <c r="A2199">
        <v>64901</v>
      </c>
      <c r="B2199">
        <v>25927</v>
      </c>
      <c r="C2199">
        <v>365</v>
      </c>
      <c r="D2199">
        <v>5</v>
      </c>
      <c r="E2199">
        <v>299.95</v>
      </c>
    </row>
    <row r="2200" spans="1:5" x14ac:dyDescent="0.3">
      <c r="A2200">
        <v>64899</v>
      </c>
      <c r="B2200">
        <v>25927</v>
      </c>
      <c r="C2200">
        <v>403</v>
      </c>
      <c r="D2200">
        <v>1</v>
      </c>
      <c r="E2200">
        <v>129.99</v>
      </c>
    </row>
    <row r="2201" spans="1:5" x14ac:dyDescent="0.3">
      <c r="A2201">
        <v>64900</v>
      </c>
      <c r="B2201">
        <v>25927</v>
      </c>
      <c r="C2201">
        <v>797</v>
      </c>
      <c r="D2201">
        <v>3</v>
      </c>
      <c r="E2201">
        <v>53.97</v>
      </c>
    </row>
    <row r="2202" spans="1:5" x14ac:dyDescent="0.3">
      <c r="A2202">
        <v>64902</v>
      </c>
      <c r="B2202">
        <v>25928</v>
      </c>
      <c r="C2202">
        <v>1073</v>
      </c>
      <c r="D2202">
        <v>1</v>
      </c>
      <c r="E2202">
        <v>199.99</v>
      </c>
    </row>
    <row r="2203" spans="1:5" x14ac:dyDescent="0.3">
      <c r="A2203">
        <v>64904</v>
      </c>
      <c r="B2203">
        <v>25928</v>
      </c>
      <c r="C2203">
        <v>627</v>
      </c>
      <c r="D2203">
        <v>1</v>
      </c>
      <c r="E2203">
        <v>39.99</v>
      </c>
    </row>
    <row r="2204" spans="1:5" x14ac:dyDescent="0.3">
      <c r="A2204">
        <v>64903</v>
      </c>
      <c r="B2204">
        <v>25928</v>
      </c>
      <c r="C2204">
        <v>957</v>
      </c>
      <c r="D2204">
        <v>1</v>
      </c>
      <c r="E2204">
        <v>299.98</v>
      </c>
    </row>
    <row r="2205" spans="1:5" x14ac:dyDescent="0.3">
      <c r="A2205">
        <v>64907</v>
      </c>
      <c r="B2205">
        <v>25930</v>
      </c>
      <c r="C2205">
        <v>403</v>
      </c>
      <c r="D2205">
        <v>1</v>
      </c>
      <c r="E2205">
        <v>129.99</v>
      </c>
    </row>
    <row r="2206" spans="1:5" x14ac:dyDescent="0.3">
      <c r="A2206">
        <v>64906</v>
      </c>
      <c r="B2206">
        <v>25930</v>
      </c>
      <c r="C2206">
        <v>502</v>
      </c>
      <c r="D2206">
        <v>2</v>
      </c>
      <c r="E2206">
        <v>100</v>
      </c>
    </row>
    <row r="2207" spans="1:5" x14ac:dyDescent="0.3">
      <c r="A2207">
        <v>64905</v>
      </c>
      <c r="B2207">
        <v>25930</v>
      </c>
      <c r="C2207">
        <v>502</v>
      </c>
      <c r="D2207">
        <v>4</v>
      </c>
      <c r="E2207">
        <v>200</v>
      </c>
    </row>
    <row r="2208" spans="1:5" x14ac:dyDescent="0.3">
      <c r="A2208">
        <v>65001</v>
      </c>
      <c r="B2208">
        <v>25968</v>
      </c>
      <c r="C2208">
        <v>403</v>
      </c>
      <c r="D2208">
        <v>1</v>
      </c>
      <c r="E2208">
        <v>129.99</v>
      </c>
    </row>
    <row r="2209" spans="1:5" x14ac:dyDescent="0.3">
      <c r="A2209">
        <v>65000</v>
      </c>
      <c r="B2209">
        <v>25968</v>
      </c>
      <c r="C2209">
        <v>502</v>
      </c>
      <c r="D2209">
        <v>1</v>
      </c>
      <c r="E2209">
        <v>50</v>
      </c>
    </row>
    <row r="2210" spans="1:5" x14ac:dyDescent="0.3">
      <c r="A2210">
        <v>65002</v>
      </c>
      <c r="B2210">
        <v>25968</v>
      </c>
      <c r="C2210">
        <v>502</v>
      </c>
      <c r="D2210">
        <v>4</v>
      </c>
      <c r="E2210">
        <v>200</v>
      </c>
    </row>
    <row r="2211" spans="1:5" x14ac:dyDescent="0.3">
      <c r="A2211">
        <v>65023</v>
      </c>
      <c r="B2211">
        <v>25977</v>
      </c>
      <c r="C2211">
        <v>1004</v>
      </c>
      <c r="D2211">
        <v>1</v>
      </c>
      <c r="E2211">
        <v>399.98</v>
      </c>
    </row>
    <row r="2212" spans="1:5" x14ac:dyDescent="0.3">
      <c r="A2212">
        <v>65021</v>
      </c>
      <c r="B2212">
        <v>25977</v>
      </c>
      <c r="C2212">
        <v>797</v>
      </c>
      <c r="D2212">
        <v>3</v>
      </c>
      <c r="E2212">
        <v>53.97</v>
      </c>
    </row>
    <row r="2213" spans="1:5" x14ac:dyDescent="0.3">
      <c r="A2213">
        <v>65024</v>
      </c>
      <c r="B2213">
        <v>25977</v>
      </c>
      <c r="C2213">
        <v>502</v>
      </c>
      <c r="D2213">
        <v>4</v>
      </c>
      <c r="E2213">
        <v>200</v>
      </c>
    </row>
    <row r="2214" spans="1:5" x14ac:dyDescent="0.3">
      <c r="A2214">
        <v>65022</v>
      </c>
      <c r="B2214">
        <v>25977</v>
      </c>
      <c r="C2214">
        <v>502</v>
      </c>
      <c r="D2214">
        <v>5</v>
      </c>
      <c r="E2214">
        <v>250</v>
      </c>
    </row>
    <row r="2215" spans="1:5" x14ac:dyDescent="0.3">
      <c r="A2215">
        <v>65027</v>
      </c>
      <c r="B2215">
        <v>25979</v>
      </c>
      <c r="C2215">
        <v>191</v>
      </c>
      <c r="D2215">
        <v>3</v>
      </c>
      <c r="E2215">
        <v>299.97000000000003</v>
      </c>
    </row>
    <row r="2216" spans="1:5" x14ac:dyDescent="0.3">
      <c r="A2216">
        <v>65026</v>
      </c>
      <c r="B2216">
        <v>25979</v>
      </c>
      <c r="C2216">
        <v>1014</v>
      </c>
      <c r="D2216">
        <v>3</v>
      </c>
      <c r="E2216">
        <v>149.94</v>
      </c>
    </row>
    <row r="2217" spans="1:5" x14ac:dyDescent="0.3">
      <c r="A2217">
        <v>65025</v>
      </c>
      <c r="B2217">
        <v>25979</v>
      </c>
      <c r="C2217">
        <v>1014</v>
      </c>
      <c r="D2217">
        <v>3</v>
      </c>
      <c r="E2217">
        <v>149.94</v>
      </c>
    </row>
    <row r="2218" spans="1:5" x14ac:dyDescent="0.3">
      <c r="A2218">
        <v>65032</v>
      </c>
      <c r="B2218">
        <v>25980</v>
      </c>
      <c r="C2218">
        <v>1073</v>
      </c>
      <c r="D2218">
        <v>1</v>
      </c>
      <c r="E2218">
        <v>199.99</v>
      </c>
    </row>
    <row r="2219" spans="1:5" x14ac:dyDescent="0.3">
      <c r="A2219">
        <v>65029</v>
      </c>
      <c r="B2219">
        <v>25980</v>
      </c>
      <c r="C2219">
        <v>1014</v>
      </c>
      <c r="D2219">
        <v>3</v>
      </c>
      <c r="E2219">
        <v>149.94</v>
      </c>
    </row>
    <row r="2220" spans="1:5" x14ac:dyDescent="0.3">
      <c r="A2220">
        <v>65028</v>
      </c>
      <c r="B2220">
        <v>25980</v>
      </c>
      <c r="C2220">
        <v>1014</v>
      </c>
      <c r="D2220">
        <v>2</v>
      </c>
      <c r="E2220">
        <v>99.96</v>
      </c>
    </row>
    <row r="2221" spans="1:5" x14ac:dyDescent="0.3">
      <c r="A2221">
        <v>65030</v>
      </c>
      <c r="B2221">
        <v>25980</v>
      </c>
      <c r="C2221">
        <v>403</v>
      </c>
      <c r="D2221">
        <v>1</v>
      </c>
      <c r="E2221">
        <v>129.99</v>
      </c>
    </row>
    <row r="2222" spans="1:5" x14ac:dyDescent="0.3">
      <c r="A2222">
        <v>65031</v>
      </c>
      <c r="B2222">
        <v>25980</v>
      </c>
      <c r="C2222">
        <v>627</v>
      </c>
      <c r="D2222">
        <v>4</v>
      </c>
      <c r="E2222">
        <v>159.96</v>
      </c>
    </row>
    <row r="2223" spans="1:5" x14ac:dyDescent="0.3">
      <c r="A2223">
        <v>65074</v>
      </c>
      <c r="B2223">
        <v>25999</v>
      </c>
      <c r="C2223">
        <v>1004</v>
      </c>
      <c r="D2223">
        <v>1</v>
      </c>
      <c r="E2223">
        <v>399.98</v>
      </c>
    </row>
    <row r="2224" spans="1:5" x14ac:dyDescent="0.3">
      <c r="A2224">
        <v>65073</v>
      </c>
      <c r="B2224">
        <v>25999</v>
      </c>
      <c r="C2224">
        <v>957</v>
      </c>
      <c r="D2224">
        <v>1</v>
      </c>
      <c r="E2224">
        <v>299.98</v>
      </c>
    </row>
    <row r="2225" spans="1:5" x14ac:dyDescent="0.3">
      <c r="A2225">
        <v>65071</v>
      </c>
      <c r="B2225">
        <v>25999</v>
      </c>
      <c r="C2225">
        <v>957</v>
      </c>
      <c r="D2225">
        <v>1</v>
      </c>
      <c r="E2225">
        <v>299.98</v>
      </c>
    </row>
    <row r="2226" spans="1:5" x14ac:dyDescent="0.3">
      <c r="A2226">
        <v>65072</v>
      </c>
      <c r="B2226">
        <v>25999</v>
      </c>
      <c r="C2226">
        <v>1073</v>
      </c>
      <c r="D2226">
        <v>1</v>
      </c>
      <c r="E2226">
        <v>199.99</v>
      </c>
    </row>
    <row r="2227" spans="1:5" x14ac:dyDescent="0.3">
      <c r="A2227">
        <v>65083</v>
      </c>
      <c r="B2227">
        <v>26003</v>
      </c>
      <c r="C2227">
        <v>1014</v>
      </c>
      <c r="D2227">
        <v>4</v>
      </c>
      <c r="E2227">
        <v>199.92</v>
      </c>
    </row>
    <row r="2228" spans="1:5" x14ac:dyDescent="0.3">
      <c r="A2228">
        <v>65082</v>
      </c>
      <c r="B2228">
        <v>26003</v>
      </c>
      <c r="C2228">
        <v>1014</v>
      </c>
      <c r="D2228">
        <v>4</v>
      </c>
      <c r="E2228">
        <v>199.92</v>
      </c>
    </row>
    <row r="2229" spans="1:5" x14ac:dyDescent="0.3">
      <c r="A2229">
        <v>65084</v>
      </c>
      <c r="B2229">
        <v>26003</v>
      </c>
      <c r="C2229">
        <v>1004</v>
      </c>
      <c r="D2229">
        <v>1</v>
      </c>
      <c r="E2229">
        <v>399.98</v>
      </c>
    </row>
    <row r="2230" spans="1:5" x14ac:dyDescent="0.3">
      <c r="A2230">
        <v>65081</v>
      </c>
      <c r="B2230">
        <v>26003</v>
      </c>
      <c r="C2230">
        <v>564</v>
      </c>
      <c r="D2230">
        <v>3</v>
      </c>
      <c r="E2230">
        <v>90</v>
      </c>
    </row>
    <row r="2231" spans="1:5" x14ac:dyDescent="0.3">
      <c r="A2231">
        <v>65080</v>
      </c>
      <c r="B2231">
        <v>26003</v>
      </c>
      <c r="C2231">
        <v>502</v>
      </c>
      <c r="D2231">
        <v>3</v>
      </c>
      <c r="E2231">
        <v>150</v>
      </c>
    </row>
    <row r="2232" spans="1:5" x14ac:dyDescent="0.3">
      <c r="A2232">
        <v>65087</v>
      </c>
      <c r="B2232">
        <v>26006</v>
      </c>
      <c r="C2232">
        <v>1004</v>
      </c>
      <c r="D2232">
        <v>1</v>
      </c>
      <c r="E2232">
        <v>399.98</v>
      </c>
    </row>
    <row r="2233" spans="1:5" x14ac:dyDescent="0.3">
      <c r="A2233">
        <v>65091</v>
      </c>
      <c r="B2233">
        <v>26007</v>
      </c>
      <c r="C2233">
        <v>403</v>
      </c>
      <c r="D2233">
        <v>1</v>
      </c>
      <c r="E2233">
        <v>129.99</v>
      </c>
    </row>
    <row r="2234" spans="1:5" x14ac:dyDescent="0.3">
      <c r="A2234">
        <v>65089</v>
      </c>
      <c r="B2234">
        <v>26007</v>
      </c>
      <c r="C2234">
        <v>403</v>
      </c>
      <c r="D2234">
        <v>1</v>
      </c>
      <c r="E2234">
        <v>129.99</v>
      </c>
    </row>
    <row r="2235" spans="1:5" x14ac:dyDescent="0.3">
      <c r="A2235">
        <v>65088</v>
      </c>
      <c r="B2235">
        <v>26007</v>
      </c>
      <c r="C2235">
        <v>1004</v>
      </c>
      <c r="D2235">
        <v>1</v>
      </c>
      <c r="E2235">
        <v>399.98</v>
      </c>
    </row>
    <row r="2236" spans="1:5" x14ac:dyDescent="0.3">
      <c r="A2236">
        <v>65092</v>
      </c>
      <c r="B2236">
        <v>26007</v>
      </c>
      <c r="C2236">
        <v>957</v>
      </c>
      <c r="D2236">
        <v>1</v>
      </c>
      <c r="E2236">
        <v>299.98</v>
      </c>
    </row>
    <row r="2237" spans="1:5" x14ac:dyDescent="0.3">
      <c r="A2237">
        <v>65090</v>
      </c>
      <c r="B2237">
        <v>26007</v>
      </c>
      <c r="C2237">
        <v>365</v>
      </c>
      <c r="D2237">
        <v>2</v>
      </c>
      <c r="E2237">
        <v>119.98</v>
      </c>
    </row>
    <row r="2238" spans="1:5" x14ac:dyDescent="0.3">
      <c r="A2238">
        <v>65101</v>
      </c>
      <c r="B2238">
        <v>26014</v>
      </c>
      <c r="C2238">
        <v>1004</v>
      </c>
      <c r="D2238">
        <v>1</v>
      </c>
      <c r="E2238">
        <v>399.98</v>
      </c>
    </row>
    <row r="2239" spans="1:5" x14ac:dyDescent="0.3">
      <c r="A2239">
        <v>65099</v>
      </c>
      <c r="B2239">
        <v>26014</v>
      </c>
      <c r="C2239">
        <v>191</v>
      </c>
      <c r="D2239">
        <v>2</v>
      </c>
      <c r="E2239">
        <v>199.98</v>
      </c>
    </row>
    <row r="2240" spans="1:5" x14ac:dyDescent="0.3">
      <c r="A2240">
        <v>65100</v>
      </c>
      <c r="B2240">
        <v>26014</v>
      </c>
      <c r="C2240">
        <v>1014</v>
      </c>
      <c r="D2240">
        <v>2</v>
      </c>
      <c r="E2240">
        <v>99.96</v>
      </c>
    </row>
    <row r="2241" spans="1:5" x14ac:dyDescent="0.3">
      <c r="A2241">
        <v>65103</v>
      </c>
      <c r="B2241">
        <v>26015</v>
      </c>
      <c r="C2241">
        <v>365</v>
      </c>
      <c r="D2241">
        <v>1</v>
      </c>
      <c r="E2241">
        <v>59.99</v>
      </c>
    </row>
    <row r="2242" spans="1:5" x14ac:dyDescent="0.3">
      <c r="A2242">
        <v>65105</v>
      </c>
      <c r="B2242">
        <v>26015</v>
      </c>
      <c r="C2242">
        <v>403</v>
      </c>
      <c r="D2242">
        <v>1</v>
      </c>
      <c r="E2242">
        <v>129.99</v>
      </c>
    </row>
    <row r="2243" spans="1:5" x14ac:dyDescent="0.3">
      <c r="A2243">
        <v>65102</v>
      </c>
      <c r="B2243">
        <v>26015</v>
      </c>
      <c r="C2243">
        <v>1004</v>
      </c>
      <c r="D2243">
        <v>1</v>
      </c>
      <c r="E2243">
        <v>399.98</v>
      </c>
    </row>
    <row r="2244" spans="1:5" x14ac:dyDescent="0.3">
      <c r="A2244">
        <v>65104</v>
      </c>
      <c r="B2244">
        <v>26015</v>
      </c>
      <c r="C2244">
        <v>502</v>
      </c>
      <c r="D2244">
        <v>4</v>
      </c>
      <c r="E2244">
        <v>200</v>
      </c>
    </row>
    <row r="2245" spans="1:5" x14ac:dyDescent="0.3">
      <c r="A2245">
        <v>65108</v>
      </c>
      <c r="B2245">
        <v>26016</v>
      </c>
      <c r="C2245">
        <v>403</v>
      </c>
      <c r="D2245">
        <v>1</v>
      </c>
      <c r="E2245">
        <v>129.99</v>
      </c>
    </row>
    <row r="2246" spans="1:5" x14ac:dyDescent="0.3">
      <c r="A2246">
        <v>65107</v>
      </c>
      <c r="B2246">
        <v>26016</v>
      </c>
      <c r="C2246">
        <v>627</v>
      </c>
      <c r="D2246">
        <v>1</v>
      </c>
      <c r="E2246">
        <v>39.99</v>
      </c>
    </row>
    <row r="2247" spans="1:5" x14ac:dyDescent="0.3">
      <c r="A2247">
        <v>65109</v>
      </c>
      <c r="B2247">
        <v>26016</v>
      </c>
      <c r="C2247">
        <v>957</v>
      </c>
      <c r="D2247">
        <v>1</v>
      </c>
      <c r="E2247">
        <v>299.98</v>
      </c>
    </row>
    <row r="2248" spans="1:5" x14ac:dyDescent="0.3">
      <c r="A2248">
        <v>65106</v>
      </c>
      <c r="B2248">
        <v>26016</v>
      </c>
      <c r="C2248">
        <v>365</v>
      </c>
      <c r="D2248">
        <v>2</v>
      </c>
      <c r="E2248">
        <v>119.98</v>
      </c>
    </row>
    <row r="2249" spans="1:5" x14ac:dyDescent="0.3">
      <c r="A2249">
        <v>65115</v>
      </c>
      <c r="B2249">
        <v>26018</v>
      </c>
      <c r="C2249">
        <v>403</v>
      </c>
      <c r="D2249">
        <v>1</v>
      </c>
      <c r="E2249">
        <v>129.99</v>
      </c>
    </row>
    <row r="2250" spans="1:5" x14ac:dyDescent="0.3">
      <c r="A2250">
        <v>65116</v>
      </c>
      <c r="B2250">
        <v>26018</v>
      </c>
      <c r="C2250">
        <v>191</v>
      </c>
      <c r="D2250">
        <v>3</v>
      </c>
      <c r="E2250">
        <v>299.97000000000003</v>
      </c>
    </row>
    <row r="2251" spans="1:5" x14ac:dyDescent="0.3">
      <c r="A2251">
        <v>65114</v>
      </c>
      <c r="B2251">
        <v>26018</v>
      </c>
      <c r="C2251">
        <v>365</v>
      </c>
      <c r="D2251">
        <v>4</v>
      </c>
      <c r="E2251">
        <v>239.96</v>
      </c>
    </row>
    <row r="2252" spans="1:5" x14ac:dyDescent="0.3">
      <c r="A2252">
        <v>65113</v>
      </c>
      <c r="B2252">
        <v>26018</v>
      </c>
      <c r="C2252">
        <v>1004</v>
      </c>
      <c r="D2252">
        <v>1</v>
      </c>
      <c r="E2252">
        <v>399.98</v>
      </c>
    </row>
    <row r="2253" spans="1:5" x14ac:dyDescent="0.3">
      <c r="A2253">
        <v>65120</v>
      </c>
      <c r="B2253">
        <v>26019</v>
      </c>
      <c r="C2253">
        <v>403</v>
      </c>
      <c r="D2253">
        <v>1</v>
      </c>
      <c r="E2253">
        <v>129.99</v>
      </c>
    </row>
    <row r="2254" spans="1:5" x14ac:dyDescent="0.3">
      <c r="A2254">
        <v>65121</v>
      </c>
      <c r="B2254">
        <v>26019</v>
      </c>
      <c r="C2254">
        <v>627</v>
      </c>
      <c r="D2254">
        <v>1</v>
      </c>
      <c r="E2254">
        <v>39.99</v>
      </c>
    </row>
    <row r="2255" spans="1:5" x14ac:dyDescent="0.3">
      <c r="A2255">
        <v>65118</v>
      </c>
      <c r="B2255">
        <v>26019</v>
      </c>
      <c r="C2255">
        <v>957</v>
      </c>
      <c r="D2255">
        <v>1</v>
      </c>
      <c r="E2255">
        <v>299.98</v>
      </c>
    </row>
    <row r="2256" spans="1:5" x14ac:dyDescent="0.3">
      <c r="A2256">
        <v>65119</v>
      </c>
      <c r="B2256">
        <v>26019</v>
      </c>
      <c r="C2256">
        <v>502</v>
      </c>
      <c r="D2256">
        <v>3</v>
      </c>
      <c r="E2256">
        <v>150</v>
      </c>
    </row>
    <row r="2257" spans="1:5" x14ac:dyDescent="0.3">
      <c r="A2257">
        <v>65117</v>
      </c>
      <c r="B2257">
        <v>26019</v>
      </c>
      <c r="C2257">
        <v>977</v>
      </c>
      <c r="D2257">
        <v>3</v>
      </c>
      <c r="E2257">
        <v>89.97</v>
      </c>
    </row>
    <row r="2258" spans="1:5" x14ac:dyDescent="0.3">
      <c r="A2258">
        <v>65123</v>
      </c>
      <c r="B2258">
        <v>26020</v>
      </c>
      <c r="C2258">
        <v>135</v>
      </c>
      <c r="D2258">
        <v>5</v>
      </c>
      <c r="E2258">
        <v>110</v>
      </c>
    </row>
    <row r="2259" spans="1:5" x14ac:dyDescent="0.3">
      <c r="A2259">
        <v>65122</v>
      </c>
      <c r="B2259">
        <v>26020</v>
      </c>
      <c r="C2259">
        <v>1073</v>
      </c>
      <c r="D2259">
        <v>1</v>
      </c>
      <c r="E2259">
        <v>199.99</v>
      </c>
    </row>
    <row r="2260" spans="1:5" x14ac:dyDescent="0.3">
      <c r="A2260">
        <v>65149</v>
      </c>
      <c r="B2260">
        <v>26032</v>
      </c>
      <c r="C2260">
        <v>403</v>
      </c>
      <c r="D2260">
        <v>1</v>
      </c>
      <c r="E2260">
        <v>129.99</v>
      </c>
    </row>
    <row r="2261" spans="1:5" x14ac:dyDescent="0.3">
      <c r="A2261">
        <v>65148</v>
      </c>
      <c r="B2261">
        <v>26032</v>
      </c>
      <c r="C2261">
        <v>797</v>
      </c>
      <c r="D2261">
        <v>3</v>
      </c>
      <c r="E2261">
        <v>53.97</v>
      </c>
    </row>
    <row r="2262" spans="1:5" x14ac:dyDescent="0.3">
      <c r="A2262">
        <v>65147</v>
      </c>
      <c r="B2262">
        <v>26032</v>
      </c>
      <c r="C2262">
        <v>1073</v>
      </c>
      <c r="D2262">
        <v>1</v>
      </c>
      <c r="E2262">
        <v>199.99</v>
      </c>
    </row>
    <row r="2263" spans="1:5" x14ac:dyDescent="0.3">
      <c r="A2263">
        <v>65226</v>
      </c>
      <c r="B2263">
        <v>26061</v>
      </c>
      <c r="C2263">
        <v>191</v>
      </c>
      <c r="D2263">
        <v>3</v>
      </c>
      <c r="E2263">
        <v>299.97000000000003</v>
      </c>
    </row>
    <row r="2264" spans="1:5" x14ac:dyDescent="0.3">
      <c r="A2264">
        <v>65229</v>
      </c>
      <c r="B2264">
        <v>26061</v>
      </c>
      <c r="C2264">
        <v>365</v>
      </c>
      <c r="D2264">
        <v>4</v>
      </c>
      <c r="E2264">
        <v>239.96</v>
      </c>
    </row>
    <row r="2265" spans="1:5" x14ac:dyDescent="0.3">
      <c r="A2265">
        <v>65228</v>
      </c>
      <c r="B2265">
        <v>26061</v>
      </c>
      <c r="C2265">
        <v>1073</v>
      </c>
      <c r="D2265">
        <v>1</v>
      </c>
      <c r="E2265">
        <v>199.99</v>
      </c>
    </row>
    <row r="2266" spans="1:5" x14ac:dyDescent="0.3">
      <c r="A2266">
        <v>65227</v>
      </c>
      <c r="B2266">
        <v>26061</v>
      </c>
      <c r="C2266">
        <v>1073</v>
      </c>
      <c r="D2266">
        <v>1</v>
      </c>
      <c r="E2266">
        <v>199.99</v>
      </c>
    </row>
    <row r="2267" spans="1:5" x14ac:dyDescent="0.3">
      <c r="A2267">
        <v>65230</v>
      </c>
      <c r="B2267">
        <v>26061</v>
      </c>
      <c r="C2267">
        <v>1014</v>
      </c>
      <c r="D2267">
        <v>1</v>
      </c>
      <c r="E2267">
        <v>49.98</v>
      </c>
    </row>
    <row r="2268" spans="1:5" x14ac:dyDescent="0.3">
      <c r="A2268">
        <v>65245</v>
      </c>
      <c r="B2268">
        <v>26066</v>
      </c>
      <c r="C2268">
        <v>957</v>
      </c>
      <c r="D2268">
        <v>1</v>
      </c>
      <c r="E2268">
        <v>299.98</v>
      </c>
    </row>
    <row r="2269" spans="1:5" x14ac:dyDescent="0.3">
      <c r="A2269">
        <v>65243</v>
      </c>
      <c r="B2269">
        <v>26066</v>
      </c>
      <c r="C2269">
        <v>365</v>
      </c>
      <c r="D2269">
        <v>3</v>
      </c>
      <c r="E2269">
        <v>179.97</v>
      </c>
    </row>
    <row r="2270" spans="1:5" x14ac:dyDescent="0.3">
      <c r="A2270">
        <v>65244</v>
      </c>
      <c r="B2270">
        <v>26066</v>
      </c>
      <c r="C2270">
        <v>627</v>
      </c>
      <c r="D2270">
        <v>3</v>
      </c>
      <c r="E2270">
        <v>119.97</v>
      </c>
    </row>
    <row r="2271" spans="1:5" x14ac:dyDescent="0.3">
      <c r="A2271">
        <v>65242</v>
      </c>
      <c r="B2271">
        <v>26066</v>
      </c>
      <c r="C2271">
        <v>278</v>
      </c>
      <c r="D2271">
        <v>5</v>
      </c>
      <c r="E2271">
        <v>224.95</v>
      </c>
    </row>
    <row r="2272" spans="1:5" x14ac:dyDescent="0.3">
      <c r="A2272">
        <v>65241</v>
      </c>
      <c r="B2272">
        <v>26066</v>
      </c>
      <c r="C2272">
        <v>365</v>
      </c>
      <c r="D2272">
        <v>5</v>
      </c>
      <c r="E2272">
        <v>299.95</v>
      </c>
    </row>
    <row r="2273" spans="1:5" x14ac:dyDescent="0.3">
      <c r="A2273">
        <v>65247</v>
      </c>
      <c r="B2273">
        <v>26067</v>
      </c>
      <c r="C2273">
        <v>403</v>
      </c>
      <c r="D2273">
        <v>1</v>
      </c>
      <c r="E2273">
        <v>129.99</v>
      </c>
    </row>
    <row r="2274" spans="1:5" x14ac:dyDescent="0.3">
      <c r="A2274">
        <v>65248</v>
      </c>
      <c r="B2274">
        <v>26067</v>
      </c>
      <c r="C2274">
        <v>191</v>
      </c>
      <c r="D2274">
        <v>4</v>
      </c>
      <c r="E2274">
        <v>399.96</v>
      </c>
    </row>
    <row r="2275" spans="1:5" x14ac:dyDescent="0.3">
      <c r="A2275">
        <v>65246</v>
      </c>
      <c r="B2275">
        <v>26067</v>
      </c>
      <c r="C2275">
        <v>1073</v>
      </c>
      <c r="D2275">
        <v>1</v>
      </c>
      <c r="E2275">
        <v>199.99</v>
      </c>
    </row>
    <row r="2276" spans="1:5" x14ac:dyDescent="0.3">
      <c r="A2276">
        <v>65249</v>
      </c>
      <c r="B2276">
        <v>26067</v>
      </c>
      <c r="C2276">
        <v>1014</v>
      </c>
      <c r="D2276">
        <v>1</v>
      </c>
      <c r="E2276">
        <v>49.98</v>
      </c>
    </row>
    <row r="2277" spans="1:5" x14ac:dyDescent="0.3">
      <c r="A2277">
        <v>65336</v>
      </c>
      <c r="B2277">
        <v>26100</v>
      </c>
      <c r="C2277">
        <v>771</v>
      </c>
      <c r="D2277">
        <v>2</v>
      </c>
      <c r="E2277">
        <v>79.98</v>
      </c>
    </row>
    <row r="2278" spans="1:5" x14ac:dyDescent="0.3">
      <c r="A2278">
        <v>65335</v>
      </c>
      <c r="B2278">
        <v>26100</v>
      </c>
      <c r="C2278">
        <v>191</v>
      </c>
      <c r="D2278">
        <v>2</v>
      </c>
      <c r="E2278">
        <v>199.98</v>
      </c>
    </row>
    <row r="2279" spans="1:5" x14ac:dyDescent="0.3">
      <c r="A2279">
        <v>65334</v>
      </c>
      <c r="B2279">
        <v>26100</v>
      </c>
      <c r="C2279">
        <v>365</v>
      </c>
      <c r="D2279">
        <v>3</v>
      </c>
      <c r="E2279">
        <v>179.97</v>
      </c>
    </row>
    <row r="2280" spans="1:5" x14ac:dyDescent="0.3">
      <c r="A2280">
        <v>65338</v>
      </c>
      <c r="B2280">
        <v>26101</v>
      </c>
      <c r="C2280">
        <v>1073</v>
      </c>
      <c r="D2280">
        <v>1</v>
      </c>
      <c r="E2280">
        <v>199.99</v>
      </c>
    </row>
    <row r="2281" spans="1:5" x14ac:dyDescent="0.3">
      <c r="A2281">
        <v>65341</v>
      </c>
      <c r="B2281">
        <v>26101</v>
      </c>
      <c r="C2281">
        <v>1014</v>
      </c>
      <c r="D2281">
        <v>5</v>
      </c>
      <c r="E2281">
        <v>249.9</v>
      </c>
    </row>
    <row r="2282" spans="1:5" x14ac:dyDescent="0.3">
      <c r="A2282">
        <v>65340</v>
      </c>
      <c r="B2282">
        <v>26101</v>
      </c>
      <c r="C2282">
        <v>502</v>
      </c>
      <c r="D2282">
        <v>1</v>
      </c>
      <c r="E2282">
        <v>50</v>
      </c>
    </row>
    <row r="2283" spans="1:5" x14ac:dyDescent="0.3">
      <c r="A2283">
        <v>65339</v>
      </c>
      <c r="B2283">
        <v>26101</v>
      </c>
      <c r="C2283">
        <v>1004</v>
      </c>
      <c r="D2283">
        <v>1</v>
      </c>
      <c r="E2283">
        <v>399.98</v>
      </c>
    </row>
    <row r="2284" spans="1:5" x14ac:dyDescent="0.3">
      <c r="A2284">
        <v>65337</v>
      </c>
      <c r="B2284">
        <v>26101</v>
      </c>
      <c r="C2284">
        <v>1004</v>
      </c>
      <c r="D2284">
        <v>1</v>
      </c>
      <c r="E2284">
        <v>399.98</v>
      </c>
    </row>
    <row r="2285" spans="1:5" x14ac:dyDescent="0.3">
      <c r="A2285">
        <v>65364</v>
      </c>
      <c r="B2285">
        <v>26108</v>
      </c>
      <c r="C2285">
        <v>502</v>
      </c>
      <c r="D2285">
        <v>1</v>
      </c>
      <c r="E2285">
        <v>50</v>
      </c>
    </row>
    <row r="2286" spans="1:5" x14ac:dyDescent="0.3">
      <c r="A2286">
        <v>65365</v>
      </c>
      <c r="B2286">
        <v>26108</v>
      </c>
      <c r="C2286">
        <v>957</v>
      </c>
      <c r="D2286">
        <v>1</v>
      </c>
      <c r="E2286">
        <v>299.98</v>
      </c>
    </row>
    <row r="2287" spans="1:5" x14ac:dyDescent="0.3">
      <c r="A2287">
        <v>65363</v>
      </c>
      <c r="B2287">
        <v>26108</v>
      </c>
      <c r="C2287">
        <v>627</v>
      </c>
      <c r="D2287">
        <v>3</v>
      </c>
      <c r="E2287">
        <v>119.97</v>
      </c>
    </row>
    <row r="2288" spans="1:5" x14ac:dyDescent="0.3">
      <c r="A2288">
        <v>65367</v>
      </c>
      <c r="B2288">
        <v>26110</v>
      </c>
      <c r="C2288">
        <v>502</v>
      </c>
      <c r="D2288">
        <v>2</v>
      </c>
      <c r="E2288">
        <v>100</v>
      </c>
    </row>
    <row r="2289" spans="1:5" x14ac:dyDescent="0.3">
      <c r="A2289">
        <v>65366</v>
      </c>
      <c r="B2289">
        <v>26110</v>
      </c>
      <c r="C2289">
        <v>1073</v>
      </c>
      <c r="D2289">
        <v>1</v>
      </c>
      <c r="E2289">
        <v>199.99</v>
      </c>
    </row>
    <row r="2290" spans="1:5" x14ac:dyDescent="0.3">
      <c r="A2290">
        <v>65390</v>
      </c>
      <c r="B2290">
        <v>26118</v>
      </c>
      <c r="C2290">
        <v>1004</v>
      </c>
      <c r="D2290">
        <v>1</v>
      </c>
      <c r="E2290">
        <v>399.98</v>
      </c>
    </row>
    <row r="2291" spans="1:5" x14ac:dyDescent="0.3">
      <c r="A2291">
        <v>65405</v>
      </c>
      <c r="B2291">
        <v>26128</v>
      </c>
      <c r="C2291">
        <v>804</v>
      </c>
      <c r="D2291">
        <v>3</v>
      </c>
      <c r="E2291">
        <v>59.97</v>
      </c>
    </row>
    <row r="2292" spans="1:5" x14ac:dyDescent="0.3">
      <c r="A2292">
        <v>65404</v>
      </c>
      <c r="B2292">
        <v>26128</v>
      </c>
      <c r="C2292">
        <v>365</v>
      </c>
      <c r="D2292">
        <v>4</v>
      </c>
      <c r="E2292">
        <v>239.96</v>
      </c>
    </row>
    <row r="2293" spans="1:5" x14ac:dyDescent="0.3">
      <c r="A2293">
        <v>65413</v>
      </c>
      <c r="B2293">
        <v>26131</v>
      </c>
      <c r="C2293">
        <v>502</v>
      </c>
      <c r="D2293">
        <v>3</v>
      </c>
      <c r="E2293">
        <v>150</v>
      </c>
    </row>
    <row r="2294" spans="1:5" x14ac:dyDescent="0.3">
      <c r="A2294">
        <v>65414</v>
      </c>
      <c r="B2294">
        <v>26131</v>
      </c>
      <c r="C2294">
        <v>1004</v>
      </c>
      <c r="D2294">
        <v>1</v>
      </c>
      <c r="E2294">
        <v>399.98</v>
      </c>
    </row>
    <row r="2295" spans="1:5" x14ac:dyDescent="0.3">
      <c r="A2295">
        <v>65421</v>
      </c>
      <c r="B2295">
        <v>26134</v>
      </c>
      <c r="C2295">
        <v>191</v>
      </c>
      <c r="D2295">
        <v>1</v>
      </c>
      <c r="E2295">
        <v>99.99</v>
      </c>
    </row>
    <row r="2296" spans="1:5" x14ac:dyDescent="0.3">
      <c r="A2296">
        <v>65422</v>
      </c>
      <c r="B2296">
        <v>26134</v>
      </c>
      <c r="C2296">
        <v>365</v>
      </c>
      <c r="D2296">
        <v>1</v>
      </c>
      <c r="E2296">
        <v>59.99</v>
      </c>
    </row>
    <row r="2297" spans="1:5" x14ac:dyDescent="0.3">
      <c r="A2297">
        <v>65423</v>
      </c>
      <c r="B2297">
        <v>26134</v>
      </c>
      <c r="C2297">
        <v>403</v>
      </c>
      <c r="D2297">
        <v>1</v>
      </c>
      <c r="E2297">
        <v>129.99</v>
      </c>
    </row>
    <row r="2298" spans="1:5" x14ac:dyDescent="0.3">
      <c r="A2298">
        <v>65420</v>
      </c>
      <c r="B2298">
        <v>26134</v>
      </c>
      <c r="C2298">
        <v>403</v>
      </c>
      <c r="D2298">
        <v>1</v>
      </c>
      <c r="E2298">
        <v>129.99</v>
      </c>
    </row>
    <row r="2299" spans="1:5" x14ac:dyDescent="0.3">
      <c r="A2299">
        <v>65425</v>
      </c>
      <c r="B2299">
        <v>26135</v>
      </c>
      <c r="C2299">
        <v>191</v>
      </c>
      <c r="D2299">
        <v>3</v>
      </c>
      <c r="E2299">
        <v>299.97000000000003</v>
      </c>
    </row>
    <row r="2300" spans="1:5" x14ac:dyDescent="0.3">
      <c r="A2300">
        <v>65424</v>
      </c>
      <c r="B2300">
        <v>26135</v>
      </c>
      <c r="C2300">
        <v>365</v>
      </c>
      <c r="D2300">
        <v>4</v>
      </c>
      <c r="E2300">
        <v>239.96</v>
      </c>
    </row>
    <row r="2301" spans="1:5" x14ac:dyDescent="0.3">
      <c r="A2301">
        <v>65426</v>
      </c>
      <c r="B2301">
        <v>26135</v>
      </c>
      <c r="C2301">
        <v>1014</v>
      </c>
      <c r="D2301">
        <v>1</v>
      </c>
      <c r="E2301">
        <v>49.98</v>
      </c>
    </row>
    <row r="2302" spans="1:5" x14ac:dyDescent="0.3">
      <c r="A2302">
        <v>65429</v>
      </c>
      <c r="B2302">
        <v>26136</v>
      </c>
      <c r="C2302">
        <v>365</v>
      </c>
      <c r="D2302">
        <v>2</v>
      </c>
      <c r="E2302">
        <v>119.98</v>
      </c>
    </row>
    <row r="2303" spans="1:5" x14ac:dyDescent="0.3">
      <c r="A2303">
        <v>65428</v>
      </c>
      <c r="B2303">
        <v>26136</v>
      </c>
      <c r="C2303">
        <v>502</v>
      </c>
      <c r="D2303">
        <v>2</v>
      </c>
      <c r="E2303">
        <v>100</v>
      </c>
    </row>
    <row r="2304" spans="1:5" x14ac:dyDescent="0.3">
      <c r="A2304">
        <v>65427</v>
      </c>
      <c r="B2304">
        <v>26136</v>
      </c>
      <c r="C2304">
        <v>365</v>
      </c>
      <c r="D2304">
        <v>5</v>
      </c>
      <c r="E2304">
        <v>299.95</v>
      </c>
    </row>
    <row r="2305" spans="1:5" x14ac:dyDescent="0.3">
      <c r="A2305">
        <v>65431</v>
      </c>
      <c r="B2305">
        <v>26137</v>
      </c>
      <c r="C2305">
        <v>365</v>
      </c>
      <c r="D2305">
        <v>5</v>
      </c>
      <c r="E2305">
        <v>299.95</v>
      </c>
    </row>
    <row r="2306" spans="1:5" x14ac:dyDescent="0.3">
      <c r="A2306">
        <v>65433</v>
      </c>
      <c r="B2306">
        <v>26137</v>
      </c>
      <c r="C2306">
        <v>403</v>
      </c>
      <c r="D2306">
        <v>1</v>
      </c>
      <c r="E2306">
        <v>129.99</v>
      </c>
    </row>
    <row r="2307" spans="1:5" x14ac:dyDescent="0.3">
      <c r="A2307">
        <v>65430</v>
      </c>
      <c r="B2307">
        <v>26137</v>
      </c>
      <c r="C2307">
        <v>502</v>
      </c>
      <c r="D2307">
        <v>3</v>
      </c>
      <c r="E2307">
        <v>150</v>
      </c>
    </row>
    <row r="2308" spans="1:5" x14ac:dyDescent="0.3">
      <c r="A2308">
        <v>65432</v>
      </c>
      <c r="B2308">
        <v>26137</v>
      </c>
      <c r="C2308">
        <v>1004</v>
      </c>
      <c r="D2308">
        <v>1</v>
      </c>
      <c r="E2308">
        <v>399.98</v>
      </c>
    </row>
    <row r="2309" spans="1:5" x14ac:dyDescent="0.3">
      <c r="A2309">
        <v>65434</v>
      </c>
      <c r="B2309">
        <v>26138</v>
      </c>
      <c r="C2309">
        <v>957</v>
      </c>
      <c r="D2309">
        <v>1</v>
      </c>
      <c r="E2309">
        <v>299.98</v>
      </c>
    </row>
    <row r="2310" spans="1:5" x14ac:dyDescent="0.3">
      <c r="A2310">
        <v>65435</v>
      </c>
      <c r="B2310">
        <v>26138</v>
      </c>
      <c r="C2310">
        <v>1004</v>
      </c>
      <c r="D2310">
        <v>1</v>
      </c>
      <c r="E2310">
        <v>399.98</v>
      </c>
    </row>
    <row r="2311" spans="1:5" x14ac:dyDescent="0.3">
      <c r="A2311">
        <v>65436</v>
      </c>
      <c r="B2311">
        <v>26139</v>
      </c>
      <c r="C2311">
        <v>365</v>
      </c>
      <c r="D2311">
        <v>2</v>
      </c>
      <c r="E2311">
        <v>119.98</v>
      </c>
    </row>
    <row r="2312" spans="1:5" x14ac:dyDescent="0.3">
      <c r="A2312">
        <v>65437</v>
      </c>
      <c r="B2312">
        <v>26140</v>
      </c>
      <c r="C2312">
        <v>1014</v>
      </c>
      <c r="D2312">
        <v>4</v>
      </c>
      <c r="E2312">
        <v>199.92</v>
      </c>
    </row>
    <row r="2313" spans="1:5" x14ac:dyDescent="0.3">
      <c r="A2313">
        <v>65439</v>
      </c>
      <c r="B2313">
        <v>26141</v>
      </c>
      <c r="C2313">
        <v>403</v>
      </c>
      <c r="D2313">
        <v>1</v>
      </c>
      <c r="E2313">
        <v>129.99</v>
      </c>
    </row>
    <row r="2314" spans="1:5" x14ac:dyDescent="0.3">
      <c r="A2314">
        <v>65438</v>
      </c>
      <c r="B2314">
        <v>26141</v>
      </c>
      <c r="C2314">
        <v>957</v>
      </c>
      <c r="D2314">
        <v>1</v>
      </c>
      <c r="E2314">
        <v>299.98</v>
      </c>
    </row>
    <row r="2315" spans="1:5" x14ac:dyDescent="0.3">
      <c r="A2315">
        <v>65481</v>
      </c>
      <c r="B2315">
        <v>26159</v>
      </c>
      <c r="C2315">
        <v>627</v>
      </c>
      <c r="D2315">
        <v>4</v>
      </c>
      <c r="E2315">
        <v>159.96</v>
      </c>
    </row>
    <row r="2316" spans="1:5" x14ac:dyDescent="0.3">
      <c r="A2316">
        <v>65482</v>
      </c>
      <c r="B2316">
        <v>26159</v>
      </c>
      <c r="C2316">
        <v>502</v>
      </c>
      <c r="D2316">
        <v>1</v>
      </c>
      <c r="E2316">
        <v>50</v>
      </c>
    </row>
    <row r="2317" spans="1:5" x14ac:dyDescent="0.3">
      <c r="A2317">
        <v>65480</v>
      </c>
      <c r="B2317">
        <v>26159</v>
      </c>
      <c r="C2317">
        <v>1004</v>
      </c>
      <c r="D2317">
        <v>1</v>
      </c>
      <c r="E2317">
        <v>399.98</v>
      </c>
    </row>
    <row r="2318" spans="1:5" x14ac:dyDescent="0.3">
      <c r="A2318">
        <v>65486</v>
      </c>
      <c r="B2318">
        <v>26160</v>
      </c>
      <c r="C2318">
        <v>1073</v>
      </c>
      <c r="D2318">
        <v>1</v>
      </c>
      <c r="E2318">
        <v>199.99</v>
      </c>
    </row>
    <row r="2319" spans="1:5" x14ac:dyDescent="0.3">
      <c r="A2319">
        <v>65487</v>
      </c>
      <c r="B2319">
        <v>26160</v>
      </c>
      <c r="C2319">
        <v>804</v>
      </c>
      <c r="D2319">
        <v>4</v>
      </c>
      <c r="E2319">
        <v>79.959999999999994</v>
      </c>
    </row>
    <row r="2320" spans="1:5" x14ac:dyDescent="0.3">
      <c r="A2320">
        <v>65485</v>
      </c>
      <c r="B2320">
        <v>26160</v>
      </c>
      <c r="C2320">
        <v>365</v>
      </c>
      <c r="D2320">
        <v>5</v>
      </c>
      <c r="E2320">
        <v>299.95</v>
      </c>
    </row>
    <row r="2321" spans="1:5" x14ac:dyDescent="0.3">
      <c r="A2321">
        <v>65484</v>
      </c>
      <c r="B2321">
        <v>26160</v>
      </c>
      <c r="C2321">
        <v>1004</v>
      </c>
      <c r="D2321">
        <v>1</v>
      </c>
      <c r="E2321">
        <v>399.98</v>
      </c>
    </row>
    <row r="2322" spans="1:5" x14ac:dyDescent="0.3">
      <c r="A2322">
        <v>65483</v>
      </c>
      <c r="B2322">
        <v>26160</v>
      </c>
      <c r="C2322">
        <v>1004</v>
      </c>
      <c r="D2322">
        <v>1</v>
      </c>
      <c r="E2322">
        <v>399.98</v>
      </c>
    </row>
    <row r="2323" spans="1:5" x14ac:dyDescent="0.3">
      <c r="A2323">
        <v>65490</v>
      </c>
      <c r="B2323">
        <v>26163</v>
      </c>
      <c r="C2323">
        <v>1073</v>
      </c>
      <c r="D2323">
        <v>1</v>
      </c>
      <c r="E2323">
        <v>199.99</v>
      </c>
    </row>
    <row r="2324" spans="1:5" x14ac:dyDescent="0.3">
      <c r="A2324">
        <v>65489</v>
      </c>
      <c r="B2324">
        <v>26163</v>
      </c>
      <c r="C2324">
        <v>1073</v>
      </c>
      <c r="D2324">
        <v>1</v>
      </c>
      <c r="E2324">
        <v>199.99</v>
      </c>
    </row>
    <row r="2325" spans="1:5" x14ac:dyDescent="0.3">
      <c r="A2325">
        <v>65521</v>
      </c>
      <c r="B2325">
        <v>26178</v>
      </c>
      <c r="C2325">
        <v>191</v>
      </c>
      <c r="D2325">
        <v>1</v>
      </c>
      <c r="E2325">
        <v>99.99</v>
      </c>
    </row>
    <row r="2326" spans="1:5" x14ac:dyDescent="0.3">
      <c r="A2326">
        <v>65522</v>
      </c>
      <c r="B2326">
        <v>26178</v>
      </c>
      <c r="C2326">
        <v>403</v>
      </c>
      <c r="D2326">
        <v>1</v>
      </c>
      <c r="E2326">
        <v>129.99</v>
      </c>
    </row>
    <row r="2327" spans="1:5" x14ac:dyDescent="0.3">
      <c r="A2327">
        <v>65523</v>
      </c>
      <c r="B2327">
        <v>26178</v>
      </c>
      <c r="C2327">
        <v>703</v>
      </c>
      <c r="D2327">
        <v>5</v>
      </c>
      <c r="E2327">
        <v>99.95</v>
      </c>
    </row>
    <row r="2328" spans="1:5" x14ac:dyDescent="0.3">
      <c r="A2328">
        <v>65520</v>
      </c>
      <c r="B2328">
        <v>26178</v>
      </c>
      <c r="C2328">
        <v>502</v>
      </c>
      <c r="D2328">
        <v>5</v>
      </c>
      <c r="E2328">
        <v>250</v>
      </c>
    </row>
    <row r="2329" spans="1:5" x14ac:dyDescent="0.3">
      <c r="A2329">
        <v>65525</v>
      </c>
      <c r="B2329">
        <v>26179</v>
      </c>
      <c r="C2329">
        <v>365</v>
      </c>
      <c r="D2329">
        <v>2</v>
      </c>
      <c r="E2329">
        <v>119.98</v>
      </c>
    </row>
    <row r="2330" spans="1:5" x14ac:dyDescent="0.3">
      <c r="A2330">
        <v>65524</v>
      </c>
      <c r="B2330">
        <v>26179</v>
      </c>
      <c r="C2330">
        <v>502</v>
      </c>
      <c r="D2330">
        <v>2</v>
      </c>
      <c r="E2330">
        <v>100</v>
      </c>
    </row>
    <row r="2331" spans="1:5" x14ac:dyDescent="0.3">
      <c r="A2331">
        <v>65526</v>
      </c>
      <c r="B2331">
        <v>26179</v>
      </c>
      <c r="C2331">
        <v>1014</v>
      </c>
      <c r="D2331">
        <v>3</v>
      </c>
      <c r="E2331">
        <v>149.94</v>
      </c>
    </row>
    <row r="2332" spans="1:5" x14ac:dyDescent="0.3">
      <c r="A2332">
        <v>65530</v>
      </c>
      <c r="B2332">
        <v>26180</v>
      </c>
      <c r="C2332">
        <v>403</v>
      </c>
      <c r="D2332">
        <v>1</v>
      </c>
      <c r="E2332">
        <v>129.99</v>
      </c>
    </row>
    <row r="2333" spans="1:5" x14ac:dyDescent="0.3">
      <c r="A2333">
        <v>65527</v>
      </c>
      <c r="B2333">
        <v>26180</v>
      </c>
      <c r="C2333">
        <v>403</v>
      </c>
      <c r="D2333">
        <v>1</v>
      </c>
      <c r="E2333">
        <v>129.99</v>
      </c>
    </row>
    <row r="2334" spans="1:5" x14ac:dyDescent="0.3">
      <c r="A2334">
        <v>65531</v>
      </c>
      <c r="B2334">
        <v>26180</v>
      </c>
      <c r="C2334">
        <v>191</v>
      </c>
      <c r="D2334">
        <v>3</v>
      </c>
      <c r="E2334">
        <v>299.97000000000003</v>
      </c>
    </row>
    <row r="2335" spans="1:5" x14ac:dyDescent="0.3">
      <c r="A2335">
        <v>65528</v>
      </c>
      <c r="B2335">
        <v>26180</v>
      </c>
      <c r="C2335">
        <v>502</v>
      </c>
      <c r="D2335">
        <v>3</v>
      </c>
      <c r="E2335">
        <v>150</v>
      </c>
    </row>
    <row r="2336" spans="1:5" x14ac:dyDescent="0.3">
      <c r="A2336">
        <v>65529</v>
      </c>
      <c r="B2336">
        <v>26180</v>
      </c>
      <c r="C2336">
        <v>1073</v>
      </c>
      <c r="D2336">
        <v>1</v>
      </c>
      <c r="E2336">
        <v>199.99</v>
      </c>
    </row>
    <row r="2337" spans="1:5" x14ac:dyDescent="0.3">
      <c r="A2337">
        <v>65555</v>
      </c>
      <c r="B2337">
        <v>26191</v>
      </c>
      <c r="C2337">
        <v>249</v>
      </c>
      <c r="D2337">
        <v>1</v>
      </c>
      <c r="E2337">
        <v>54.97</v>
      </c>
    </row>
    <row r="2338" spans="1:5" x14ac:dyDescent="0.3">
      <c r="A2338">
        <v>65553</v>
      </c>
      <c r="B2338">
        <v>26191</v>
      </c>
      <c r="C2338">
        <v>502</v>
      </c>
      <c r="D2338">
        <v>3</v>
      </c>
      <c r="E2338">
        <v>150</v>
      </c>
    </row>
    <row r="2339" spans="1:5" x14ac:dyDescent="0.3">
      <c r="A2339">
        <v>65554</v>
      </c>
      <c r="B2339">
        <v>26191</v>
      </c>
      <c r="C2339">
        <v>365</v>
      </c>
      <c r="D2339">
        <v>4</v>
      </c>
      <c r="E2339">
        <v>239.96</v>
      </c>
    </row>
    <row r="2340" spans="1:5" x14ac:dyDescent="0.3">
      <c r="A2340">
        <v>65635</v>
      </c>
      <c r="B2340">
        <v>26223</v>
      </c>
      <c r="C2340">
        <v>502</v>
      </c>
      <c r="D2340">
        <v>2</v>
      </c>
      <c r="E2340">
        <v>100</v>
      </c>
    </row>
    <row r="2341" spans="1:5" x14ac:dyDescent="0.3">
      <c r="A2341">
        <v>65634</v>
      </c>
      <c r="B2341">
        <v>26223</v>
      </c>
      <c r="C2341">
        <v>365</v>
      </c>
      <c r="D2341">
        <v>4</v>
      </c>
      <c r="E2341">
        <v>239.96</v>
      </c>
    </row>
    <row r="2342" spans="1:5" x14ac:dyDescent="0.3">
      <c r="A2342">
        <v>65638</v>
      </c>
      <c r="B2342">
        <v>26224</v>
      </c>
      <c r="C2342">
        <v>135</v>
      </c>
      <c r="D2342">
        <v>2</v>
      </c>
      <c r="E2342">
        <v>44</v>
      </c>
    </row>
    <row r="2343" spans="1:5" x14ac:dyDescent="0.3">
      <c r="A2343">
        <v>65640</v>
      </c>
      <c r="B2343">
        <v>26224</v>
      </c>
      <c r="C2343">
        <v>403</v>
      </c>
      <c r="D2343">
        <v>1</v>
      </c>
      <c r="E2343">
        <v>129.99</v>
      </c>
    </row>
    <row r="2344" spans="1:5" x14ac:dyDescent="0.3">
      <c r="A2344">
        <v>65637</v>
      </c>
      <c r="B2344">
        <v>26224</v>
      </c>
      <c r="C2344">
        <v>403</v>
      </c>
      <c r="D2344">
        <v>1</v>
      </c>
      <c r="E2344">
        <v>129.99</v>
      </c>
    </row>
    <row r="2345" spans="1:5" x14ac:dyDescent="0.3">
      <c r="A2345">
        <v>65636</v>
      </c>
      <c r="B2345">
        <v>26224</v>
      </c>
      <c r="C2345">
        <v>365</v>
      </c>
      <c r="D2345">
        <v>3</v>
      </c>
      <c r="E2345">
        <v>179.97</v>
      </c>
    </row>
    <row r="2346" spans="1:5" x14ac:dyDescent="0.3">
      <c r="A2346">
        <v>65639</v>
      </c>
      <c r="B2346">
        <v>26224</v>
      </c>
      <c r="C2346">
        <v>1004</v>
      </c>
      <c r="D2346">
        <v>1</v>
      </c>
      <c r="E2346">
        <v>399.98</v>
      </c>
    </row>
    <row r="2347" spans="1:5" x14ac:dyDescent="0.3">
      <c r="A2347">
        <v>65687</v>
      </c>
      <c r="B2347">
        <v>26241</v>
      </c>
      <c r="C2347">
        <v>502</v>
      </c>
      <c r="D2347">
        <v>5</v>
      </c>
      <c r="E2347">
        <v>250</v>
      </c>
    </row>
    <row r="2348" spans="1:5" x14ac:dyDescent="0.3">
      <c r="A2348">
        <v>65685</v>
      </c>
      <c r="B2348">
        <v>26241</v>
      </c>
      <c r="C2348">
        <v>957</v>
      </c>
      <c r="D2348">
        <v>1</v>
      </c>
      <c r="E2348">
        <v>299.98</v>
      </c>
    </row>
    <row r="2349" spans="1:5" x14ac:dyDescent="0.3">
      <c r="A2349">
        <v>65684</v>
      </c>
      <c r="B2349">
        <v>26241</v>
      </c>
      <c r="C2349">
        <v>957</v>
      </c>
      <c r="D2349">
        <v>1</v>
      </c>
      <c r="E2349">
        <v>299.98</v>
      </c>
    </row>
    <row r="2350" spans="1:5" x14ac:dyDescent="0.3">
      <c r="A2350">
        <v>65686</v>
      </c>
      <c r="B2350">
        <v>26241</v>
      </c>
      <c r="C2350">
        <v>502</v>
      </c>
      <c r="D2350">
        <v>4</v>
      </c>
      <c r="E2350">
        <v>200</v>
      </c>
    </row>
    <row r="2351" spans="1:5" x14ac:dyDescent="0.3">
      <c r="A2351">
        <v>65683</v>
      </c>
      <c r="B2351">
        <v>26241</v>
      </c>
      <c r="C2351">
        <v>1014</v>
      </c>
      <c r="D2351">
        <v>3</v>
      </c>
      <c r="E2351">
        <v>149.94</v>
      </c>
    </row>
    <row r="2352" spans="1:5" x14ac:dyDescent="0.3">
      <c r="A2352">
        <v>65689</v>
      </c>
      <c r="B2352">
        <v>26242</v>
      </c>
      <c r="C2352">
        <v>1073</v>
      </c>
      <c r="D2352">
        <v>1</v>
      </c>
      <c r="E2352">
        <v>199.99</v>
      </c>
    </row>
    <row r="2353" spans="1:5" x14ac:dyDescent="0.3">
      <c r="A2353">
        <v>65690</v>
      </c>
      <c r="B2353">
        <v>26242</v>
      </c>
      <c r="C2353">
        <v>403</v>
      </c>
      <c r="D2353">
        <v>1</v>
      </c>
      <c r="E2353">
        <v>129.99</v>
      </c>
    </row>
    <row r="2354" spans="1:5" x14ac:dyDescent="0.3">
      <c r="A2354">
        <v>65688</v>
      </c>
      <c r="B2354">
        <v>26242</v>
      </c>
      <c r="C2354">
        <v>403</v>
      </c>
      <c r="D2354">
        <v>1</v>
      </c>
      <c r="E2354">
        <v>129.99</v>
      </c>
    </row>
    <row r="2355" spans="1:5" x14ac:dyDescent="0.3">
      <c r="A2355">
        <v>65737</v>
      </c>
      <c r="B2355">
        <v>26259</v>
      </c>
      <c r="C2355">
        <v>957</v>
      </c>
      <c r="D2355">
        <v>1</v>
      </c>
      <c r="E2355">
        <v>299.98</v>
      </c>
    </row>
    <row r="2356" spans="1:5" x14ac:dyDescent="0.3">
      <c r="A2356">
        <v>65738</v>
      </c>
      <c r="B2356">
        <v>26260</v>
      </c>
      <c r="C2356">
        <v>502</v>
      </c>
      <c r="D2356">
        <v>1</v>
      </c>
      <c r="E2356">
        <v>50</v>
      </c>
    </row>
    <row r="2357" spans="1:5" x14ac:dyDescent="0.3">
      <c r="A2357">
        <v>65739</v>
      </c>
      <c r="B2357">
        <v>26260</v>
      </c>
      <c r="C2357">
        <v>365</v>
      </c>
      <c r="D2357">
        <v>4</v>
      </c>
      <c r="E2357">
        <v>239.96</v>
      </c>
    </row>
    <row r="2358" spans="1:5" x14ac:dyDescent="0.3">
      <c r="A2358">
        <v>65740</v>
      </c>
      <c r="B2358">
        <v>26261</v>
      </c>
      <c r="C2358">
        <v>191</v>
      </c>
      <c r="D2358">
        <v>5</v>
      </c>
      <c r="E2358">
        <v>499.95</v>
      </c>
    </row>
    <row r="2359" spans="1:5" x14ac:dyDescent="0.3">
      <c r="A2359">
        <v>65798</v>
      </c>
      <c r="B2359">
        <v>26281</v>
      </c>
      <c r="C2359">
        <v>502</v>
      </c>
      <c r="D2359">
        <v>4</v>
      </c>
      <c r="E2359">
        <v>200</v>
      </c>
    </row>
    <row r="2360" spans="1:5" x14ac:dyDescent="0.3">
      <c r="A2360">
        <v>65799</v>
      </c>
      <c r="B2360">
        <v>26281</v>
      </c>
      <c r="C2360">
        <v>1014</v>
      </c>
      <c r="D2360">
        <v>1</v>
      </c>
      <c r="E2360">
        <v>49.98</v>
      </c>
    </row>
    <row r="2361" spans="1:5" x14ac:dyDescent="0.3">
      <c r="A2361">
        <v>65800</v>
      </c>
      <c r="B2361">
        <v>26282</v>
      </c>
      <c r="C2361">
        <v>235</v>
      </c>
      <c r="D2361">
        <v>1</v>
      </c>
      <c r="E2361">
        <v>34.99</v>
      </c>
    </row>
    <row r="2362" spans="1:5" x14ac:dyDescent="0.3">
      <c r="A2362">
        <v>65801</v>
      </c>
      <c r="B2362">
        <v>26282</v>
      </c>
      <c r="C2362">
        <v>957</v>
      </c>
      <c r="D2362">
        <v>1</v>
      </c>
      <c r="E2362">
        <v>299.98</v>
      </c>
    </row>
    <row r="2363" spans="1:5" x14ac:dyDescent="0.3">
      <c r="A2363">
        <v>65802</v>
      </c>
      <c r="B2363">
        <v>26282</v>
      </c>
      <c r="C2363">
        <v>502</v>
      </c>
      <c r="D2363">
        <v>4</v>
      </c>
      <c r="E2363">
        <v>200</v>
      </c>
    </row>
    <row r="2364" spans="1:5" x14ac:dyDescent="0.3">
      <c r="A2364">
        <v>65803</v>
      </c>
      <c r="B2364">
        <v>26284</v>
      </c>
      <c r="C2364">
        <v>403</v>
      </c>
      <c r="D2364">
        <v>1</v>
      </c>
      <c r="E2364">
        <v>129.99</v>
      </c>
    </row>
    <row r="2365" spans="1:5" x14ac:dyDescent="0.3">
      <c r="A2365">
        <v>65804</v>
      </c>
      <c r="B2365">
        <v>26284</v>
      </c>
      <c r="C2365">
        <v>627</v>
      </c>
      <c r="D2365">
        <v>3</v>
      </c>
      <c r="E2365">
        <v>119.97</v>
      </c>
    </row>
    <row r="2366" spans="1:5" x14ac:dyDescent="0.3">
      <c r="A2366">
        <v>65818</v>
      </c>
      <c r="B2366">
        <v>26292</v>
      </c>
      <c r="C2366">
        <v>502</v>
      </c>
      <c r="D2366">
        <v>1</v>
      </c>
      <c r="E2366">
        <v>50</v>
      </c>
    </row>
    <row r="2367" spans="1:5" x14ac:dyDescent="0.3">
      <c r="A2367">
        <v>65821</v>
      </c>
      <c r="B2367">
        <v>26292</v>
      </c>
      <c r="C2367">
        <v>502</v>
      </c>
      <c r="D2367">
        <v>3</v>
      </c>
      <c r="E2367">
        <v>150</v>
      </c>
    </row>
    <row r="2368" spans="1:5" x14ac:dyDescent="0.3">
      <c r="A2368">
        <v>65820</v>
      </c>
      <c r="B2368">
        <v>26292</v>
      </c>
      <c r="C2368">
        <v>365</v>
      </c>
      <c r="D2368">
        <v>5</v>
      </c>
      <c r="E2368">
        <v>299.95</v>
      </c>
    </row>
    <row r="2369" spans="1:5" x14ac:dyDescent="0.3">
      <c r="A2369">
        <v>65819</v>
      </c>
      <c r="B2369">
        <v>26292</v>
      </c>
      <c r="C2369">
        <v>1004</v>
      </c>
      <c r="D2369">
        <v>1</v>
      </c>
      <c r="E2369">
        <v>399.98</v>
      </c>
    </row>
    <row r="2370" spans="1:5" x14ac:dyDescent="0.3">
      <c r="A2370">
        <v>65832</v>
      </c>
      <c r="B2370">
        <v>26297</v>
      </c>
      <c r="C2370">
        <v>191</v>
      </c>
      <c r="D2370">
        <v>4</v>
      </c>
      <c r="E2370">
        <v>399.96</v>
      </c>
    </row>
    <row r="2371" spans="1:5" x14ac:dyDescent="0.3">
      <c r="A2371">
        <v>65833</v>
      </c>
      <c r="B2371">
        <v>26297</v>
      </c>
      <c r="C2371">
        <v>1073</v>
      </c>
      <c r="D2371">
        <v>1</v>
      </c>
      <c r="E2371">
        <v>199.99</v>
      </c>
    </row>
    <row r="2372" spans="1:5" x14ac:dyDescent="0.3">
      <c r="A2372">
        <v>65831</v>
      </c>
      <c r="B2372">
        <v>26297</v>
      </c>
      <c r="C2372">
        <v>1073</v>
      </c>
      <c r="D2372">
        <v>1</v>
      </c>
      <c r="E2372">
        <v>199.99</v>
      </c>
    </row>
    <row r="2373" spans="1:5" x14ac:dyDescent="0.3">
      <c r="A2373">
        <v>65852</v>
      </c>
      <c r="B2373">
        <v>26306</v>
      </c>
      <c r="C2373">
        <v>627</v>
      </c>
      <c r="D2373">
        <v>2</v>
      </c>
      <c r="E2373">
        <v>79.98</v>
      </c>
    </row>
    <row r="2374" spans="1:5" x14ac:dyDescent="0.3">
      <c r="A2374">
        <v>65851</v>
      </c>
      <c r="B2374">
        <v>26306</v>
      </c>
      <c r="C2374">
        <v>502</v>
      </c>
      <c r="D2374">
        <v>2</v>
      </c>
      <c r="E2374">
        <v>100</v>
      </c>
    </row>
    <row r="2375" spans="1:5" x14ac:dyDescent="0.3">
      <c r="A2375">
        <v>65857</v>
      </c>
      <c r="B2375">
        <v>26308</v>
      </c>
      <c r="C2375">
        <v>627</v>
      </c>
      <c r="D2375">
        <v>1</v>
      </c>
      <c r="E2375">
        <v>39.99</v>
      </c>
    </row>
    <row r="2376" spans="1:5" x14ac:dyDescent="0.3">
      <c r="A2376">
        <v>65856</v>
      </c>
      <c r="B2376">
        <v>26308</v>
      </c>
      <c r="C2376">
        <v>365</v>
      </c>
      <c r="D2376">
        <v>4</v>
      </c>
      <c r="E2376">
        <v>239.96</v>
      </c>
    </row>
    <row r="2377" spans="1:5" x14ac:dyDescent="0.3">
      <c r="A2377">
        <v>65875</v>
      </c>
      <c r="B2377">
        <v>26317</v>
      </c>
      <c r="C2377">
        <v>567</v>
      </c>
      <c r="D2377">
        <v>4</v>
      </c>
      <c r="E2377">
        <v>100</v>
      </c>
    </row>
    <row r="2378" spans="1:5" x14ac:dyDescent="0.3">
      <c r="A2378">
        <v>65890</v>
      </c>
      <c r="B2378">
        <v>26324</v>
      </c>
      <c r="C2378">
        <v>365</v>
      </c>
      <c r="D2378">
        <v>5</v>
      </c>
      <c r="E2378">
        <v>299.95</v>
      </c>
    </row>
    <row r="2379" spans="1:5" x14ac:dyDescent="0.3">
      <c r="A2379">
        <v>65889</v>
      </c>
      <c r="B2379">
        <v>26324</v>
      </c>
      <c r="C2379">
        <v>1073</v>
      </c>
      <c r="D2379">
        <v>1</v>
      </c>
      <c r="E2379">
        <v>199.99</v>
      </c>
    </row>
    <row r="2380" spans="1:5" x14ac:dyDescent="0.3">
      <c r="A2380">
        <v>65887</v>
      </c>
      <c r="B2380">
        <v>26324</v>
      </c>
      <c r="C2380">
        <v>403</v>
      </c>
      <c r="D2380">
        <v>1</v>
      </c>
      <c r="E2380">
        <v>129.99</v>
      </c>
    </row>
    <row r="2381" spans="1:5" x14ac:dyDescent="0.3">
      <c r="A2381">
        <v>65888</v>
      </c>
      <c r="B2381">
        <v>26324</v>
      </c>
      <c r="C2381">
        <v>957</v>
      </c>
      <c r="D2381">
        <v>1</v>
      </c>
      <c r="E2381">
        <v>299.98</v>
      </c>
    </row>
    <row r="2382" spans="1:5" x14ac:dyDescent="0.3">
      <c r="A2382">
        <v>65886</v>
      </c>
      <c r="B2382">
        <v>26324</v>
      </c>
      <c r="C2382">
        <v>502</v>
      </c>
      <c r="D2382">
        <v>2</v>
      </c>
      <c r="E2382">
        <v>100</v>
      </c>
    </row>
    <row r="2383" spans="1:5" x14ac:dyDescent="0.3">
      <c r="A2383">
        <v>65891</v>
      </c>
      <c r="B2383">
        <v>26325</v>
      </c>
      <c r="C2383">
        <v>957</v>
      </c>
      <c r="D2383">
        <v>1</v>
      </c>
      <c r="E2383">
        <v>299.98</v>
      </c>
    </row>
    <row r="2384" spans="1:5" x14ac:dyDescent="0.3">
      <c r="A2384">
        <v>65934</v>
      </c>
      <c r="B2384">
        <v>26343</v>
      </c>
      <c r="C2384">
        <v>771</v>
      </c>
      <c r="D2384">
        <v>3</v>
      </c>
      <c r="E2384">
        <v>119.97</v>
      </c>
    </row>
    <row r="2385" spans="1:5" x14ac:dyDescent="0.3">
      <c r="A2385">
        <v>65935</v>
      </c>
      <c r="B2385">
        <v>26343</v>
      </c>
      <c r="C2385">
        <v>835</v>
      </c>
      <c r="D2385">
        <v>1</v>
      </c>
      <c r="E2385">
        <v>31.99</v>
      </c>
    </row>
    <row r="2386" spans="1:5" x14ac:dyDescent="0.3">
      <c r="A2386">
        <v>65932</v>
      </c>
      <c r="B2386">
        <v>26343</v>
      </c>
      <c r="C2386">
        <v>957</v>
      </c>
      <c r="D2386">
        <v>1</v>
      </c>
      <c r="E2386">
        <v>299.98</v>
      </c>
    </row>
    <row r="2387" spans="1:5" x14ac:dyDescent="0.3">
      <c r="A2387">
        <v>65936</v>
      </c>
      <c r="B2387">
        <v>26343</v>
      </c>
      <c r="C2387">
        <v>565</v>
      </c>
      <c r="D2387">
        <v>4</v>
      </c>
      <c r="E2387">
        <v>280</v>
      </c>
    </row>
    <row r="2388" spans="1:5" x14ac:dyDescent="0.3">
      <c r="A2388">
        <v>65933</v>
      </c>
      <c r="B2388">
        <v>26343</v>
      </c>
      <c r="C2388">
        <v>1073</v>
      </c>
      <c r="D2388">
        <v>1</v>
      </c>
      <c r="E2388">
        <v>199.99</v>
      </c>
    </row>
    <row r="2389" spans="1:5" x14ac:dyDescent="0.3">
      <c r="A2389">
        <v>65938</v>
      </c>
      <c r="B2389">
        <v>26344</v>
      </c>
      <c r="C2389">
        <v>1014</v>
      </c>
      <c r="D2389">
        <v>4</v>
      </c>
      <c r="E2389">
        <v>199.92</v>
      </c>
    </row>
    <row r="2390" spans="1:5" x14ac:dyDescent="0.3">
      <c r="A2390">
        <v>65937</v>
      </c>
      <c r="B2390">
        <v>26344</v>
      </c>
      <c r="C2390">
        <v>1014</v>
      </c>
      <c r="D2390">
        <v>1</v>
      </c>
      <c r="E2390">
        <v>49.98</v>
      </c>
    </row>
    <row r="2391" spans="1:5" x14ac:dyDescent="0.3">
      <c r="A2391">
        <v>65939</v>
      </c>
      <c r="B2391">
        <v>26345</v>
      </c>
      <c r="C2391">
        <v>365</v>
      </c>
      <c r="D2391">
        <v>2</v>
      </c>
      <c r="E2391">
        <v>119.98</v>
      </c>
    </row>
    <row r="2392" spans="1:5" x14ac:dyDescent="0.3">
      <c r="A2392">
        <v>65942</v>
      </c>
      <c r="B2392">
        <v>26346</v>
      </c>
      <c r="C2392">
        <v>403</v>
      </c>
      <c r="D2392">
        <v>1</v>
      </c>
      <c r="E2392">
        <v>129.99</v>
      </c>
    </row>
    <row r="2393" spans="1:5" x14ac:dyDescent="0.3">
      <c r="A2393">
        <v>65940</v>
      </c>
      <c r="B2393">
        <v>26346</v>
      </c>
      <c r="C2393">
        <v>403</v>
      </c>
      <c r="D2393">
        <v>1</v>
      </c>
      <c r="E2393">
        <v>129.99</v>
      </c>
    </row>
    <row r="2394" spans="1:5" x14ac:dyDescent="0.3">
      <c r="A2394">
        <v>65943</v>
      </c>
      <c r="B2394">
        <v>26346</v>
      </c>
      <c r="C2394">
        <v>365</v>
      </c>
      <c r="D2394">
        <v>4</v>
      </c>
      <c r="E2394">
        <v>239.96</v>
      </c>
    </row>
    <row r="2395" spans="1:5" x14ac:dyDescent="0.3">
      <c r="A2395">
        <v>65941</v>
      </c>
      <c r="B2395">
        <v>26346</v>
      </c>
      <c r="C2395">
        <v>1014</v>
      </c>
      <c r="D2395">
        <v>3</v>
      </c>
      <c r="E2395">
        <v>149.94</v>
      </c>
    </row>
    <row r="2396" spans="1:5" x14ac:dyDescent="0.3">
      <c r="A2396">
        <v>65945</v>
      </c>
      <c r="B2396">
        <v>26347</v>
      </c>
      <c r="C2396">
        <v>1014</v>
      </c>
      <c r="D2396">
        <v>2</v>
      </c>
      <c r="E2396">
        <v>99.96</v>
      </c>
    </row>
    <row r="2397" spans="1:5" x14ac:dyDescent="0.3">
      <c r="A2397">
        <v>65944</v>
      </c>
      <c r="B2397">
        <v>26347</v>
      </c>
      <c r="C2397">
        <v>403</v>
      </c>
      <c r="D2397">
        <v>1</v>
      </c>
      <c r="E2397">
        <v>129.99</v>
      </c>
    </row>
    <row r="2398" spans="1:5" x14ac:dyDescent="0.3">
      <c r="A2398">
        <v>65994</v>
      </c>
      <c r="B2398">
        <v>26366</v>
      </c>
      <c r="C2398">
        <v>627</v>
      </c>
      <c r="D2398">
        <v>3</v>
      </c>
      <c r="E2398">
        <v>119.97</v>
      </c>
    </row>
    <row r="2399" spans="1:5" x14ac:dyDescent="0.3">
      <c r="A2399">
        <v>65995</v>
      </c>
      <c r="B2399">
        <v>26366</v>
      </c>
      <c r="C2399">
        <v>502</v>
      </c>
      <c r="D2399">
        <v>3</v>
      </c>
      <c r="E2399">
        <v>150</v>
      </c>
    </row>
    <row r="2400" spans="1:5" x14ac:dyDescent="0.3">
      <c r="A2400">
        <v>65993</v>
      </c>
      <c r="B2400">
        <v>26366</v>
      </c>
      <c r="C2400">
        <v>502</v>
      </c>
      <c r="D2400">
        <v>3</v>
      </c>
      <c r="E2400">
        <v>150</v>
      </c>
    </row>
    <row r="2401" spans="1:5" x14ac:dyDescent="0.3">
      <c r="A2401">
        <v>65992</v>
      </c>
      <c r="B2401">
        <v>26366</v>
      </c>
      <c r="C2401">
        <v>191</v>
      </c>
      <c r="D2401">
        <v>5</v>
      </c>
      <c r="E2401">
        <v>499.95</v>
      </c>
    </row>
    <row r="2402" spans="1:5" x14ac:dyDescent="0.3">
      <c r="A2402">
        <v>66089</v>
      </c>
      <c r="B2402">
        <v>26402</v>
      </c>
      <c r="C2402">
        <v>365</v>
      </c>
      <c r="D2402">
        <v>5</v>
      </c>
      <c r="E2402">
        <v>299.95</v>
      </c>
    </row>
    <row r="2403" spans="1:5" x14ac:dyDescent="0.3">
      <c r="A2403">
        <v>66090</v>
      </c>
      <c r="B2403">
        <v>26402</v>
      </c>
      <c r="C2403">
        <v>403</v>
      </c>
      <c r="D2403">
        <v>1</v>
      </c>
      <c r="E2403">
        <v>129.99</v>
      </c>
    </row>
    <row r="2404" spans="1:5" x14ac:dyDescent="0.3">
      <c r="A2404">
        <v>66088</v>
      </c>
      <c r="B2404">
        <v>26402</v>
      </c>
      <c r="C2404">
        <v>365</v>
      </c>
      <c r="D2404">
        <v>1</v>
      </c>
      <c r="E2404">
        <v>59.99</v>
      </c>
    </row>
    <row r="2405" spans="1:5" x14ac:dyDescent="0.3">
      <c r="A2405">
        <v>66087</v>
      </c>
      <c r="B2405">
        <v>26402</v>
      </c>
      <c r="C2405">
        <v>627</v>
      </c>
      <c r="D2405">
        <v>2</v>
      </c>
      <c r="E2405">
        <v>79.98</v>
      </c>
    </row>
    <row r="2406" spans="1:5" x14ac:dyDescent="0.3">
      <c r="A2406">
        <v>66093</v>
      </c>
      <c r="B2406">
        <v>26403</v>
      </c>
      <c r="C2406">
        <v>403</v>
      </c>
      <c r="D2406">
        <v>1</v>
      </c>
      <c r="E2406">
        <v>129.99</v>
      </c>
    </row>
    <row r="2407" spans="1:5" x14ac:dyDescent="0.3">
      <c r="A2407">
        <v>66091</v>
      </c>
      <c r="B2407">
        <v>26403</v>
      </c>
      <c r="C2407">
        <v>191</v>
      </c>
      <c r="D2407">
        <v>2</v>
      </c>
      <c r="E2407">
        <v>199.98</v>
      </c>
    </row>
    <row r="2408" spans="1:5" x14ac:dyDescent="0.3">
      <c r="A2408">
        <v>66092</v>
      </c>
      <c r="B2408">
        <v>26403</v>
      </c>
      <c r="C2408">
        <v>365</v>
      </c>
      <c r="D2408">
        <v>3</v>
      </c>
      <c r="E2408">
        <v>179.97</v>
      </c>
    </row>
    <row r="2409" spans="1:5" x14ac:dyDescent="0.3">
      <c r="A2409">
        <v>66094</v>
      </c>
      <c r="B2409">
        <v>26403</v>
      </c>
      <c r="C2409">
        <v>365</v>
      </c>
      <c r="D2409">
        <v>4</v>
      </c>
      <c r="E2409">
        <v>239.96</v>
      </c>
    </row>
    <row r="2410" spans="1:5" x14ac:dyDescent="0.3">
      <c r="A2410">
        <v>66099</v>
      </c>
      <c r="B2410">
        <v>26404</v>
      </c>
      <c r="C2410">
        <v>191</v>
      </c>
      <c r="D2410">
        <v>3</v>
      </c>
      <c r="E2410">
        <v>299.97000000000003</v>
      </c>
    </row>
    <row r="2411" spans="1:5" x14ac:dyDescent="0.3">
      <c r="A2411">
        <v>66095</v>
      </c>
      <c r="B2411">
        <v>26404</v>
      </c>
      <c r="C2411">
        <v>502</v>
      </c>
      <c r="D2411">
        <v>3</v>
      </c>
      <c r="E2411">
        <v>150</v>
      </c>
    </row>
    <row r="2412" spans="1:5" x14ac:dyDescent="0.3">
      <c r="A2412">
        <v>66097</v>
      </c>
      <c r="B2412">
        <v>26404</v>
      </c>
      <c r="C2412">
        <v>642</v>
      </c>
      <c r="D2412">
        <v>4</v>
      </c>
      <c r="E2412">
        <v>120</v>
      </c>
    </row>
    <row r="2413" spans="1:5" x14ac:dyDescent="0.3">
      <c r="A2413">
        <v>66096</v>
      </c>
      <c r="B2413">
        <v>26404</v>
      </c>
      <c r="C2413">
        <v>502</v>
      </c>
      <c r="D2413">
        <v>4</v>
      </c>
      <c r="E2413">
        <v>200</v>
      </c>
    </row>
    <row r="2414" spans="1:5" x14ac:dyDescent="0.3">
      <c r="A2414">
        <v>66098</v>
      </c>
      <c r="B2414">
        <v>26404</v>
      </c>
      <c r="C2414">
        <v>365</v>
      </c>
      <c r="D2414">
        <v>5</v>
      </c>
      <c r="E2414">
        <v>299.95</v>
      </c>
    </row>
    <row r="2415" spans="1:5" x14ac:dyDescent="0.3">
      <c r="A2415">
        <v>66100</v>
      </c>
      <c r="B2415">
        <v>26405</v>
      </c>
      <c r="C2415">
        <v>957</v>
      </c>
      <c r="D2415">
        <v>1</v>
      </c>
      <c r="E2415">
        <v>299.98</v>
      </c>
    </row>
    <row r="2416" spans="1:5" x14ac:dyDescent="0.3">
      <c r="A2416">
        <v>66101</v>
      </c>
      <c r="B2416">
        <v>26405</v>
      </c>
      <c r="C2416">
        <v>627</v>
      </c>
      <c r="D2416">
        <v>4</v>
      </c>
      <c r="E2416">
        <v>159.96</v>
      </c>
    </row>
    <row r="2417" spans="1:5" x14ac:dyDescent="0.3">
      <c r="A2417">
        <v>66102</v>
      </c>
      <c r="B2417">
        <v>26405</v>
      </c>
      <c r="C2417">
        <v>1014</v>
      </c>
      <c r="D2417">
        <v>3</v>
      </c>
      <c r="E2417">
        <v>149.94</v>
      </c>
    </row>
    <row r="2418" spans="1:5" x14ac:dyDescent="0.3">
      <c r="A2418">
        <v>66144</v>
      </c>
      <c r="B2418">
        <v>26420</v>
      </c>
      <c r="C2418">
        <v>191</v>
      </c>
      <c r="D2418">
        <v>1</v>
      </c>
      <c r="E2418">
        <v>99.99</v>
      </c>
    </row>
    <row r="2419" spans="1:5" x14ac:dyDescent="0.3">
      <c r="A2419">
        <v>66143</v>
      </c>
      <c r="B2419">
        <v>26420</v>
      </c>
      <c r="C2419">
        <v>502</v>
      </c>
      <c r="D2419">
        <v>1</v>
      </c>
      <c r="E2419">
        <v>50</v>
      </c>
    </row>
    <row r="2420" spans="1:5" x14ac:dyDescent="0.3">
      <c r="A2420">
        <v>66145</v>
      </c>
      <c r="B2420">
        <v>26421</v>
      </c>
      <c r="C2420">
        <v>502</v>
      </c>
      <c r="D2420">
        <v>4</v>
      </c>
      <c r="E2420">
        <v>200</v>
      </c>
    </row>
    <row r="2421" spans="1:5" x14ac:dyDescent="0.3">
      <c r="A2421">
        <v>66182</v>
      </c>
      <c r="B2421">
        <v>26436</v>
      </c>
      <c r="C2421">
        <v>627</v>
      </c>
      <c r="D2421">
        <v>5</v>
      </c>
      <c r="E2421">
        <v>199.95</v>
      </c>
    </row>
    <row r="2422" spans="1:5" x14ac:dyDescent="0.3">
      <c r="A2422">
        <v>66183</v>
      </c>
      <c r="B2422">
        <v>26436</v>
      </c>
      <c r="C2422">
        <v>1014</v>
      </c>
      <c r="D2422">
        <v>4</v>
      </c>
      <c r="E2422">
        <v>199.92</v>
      </c>
    </row>
    <row r="2423" spans="1:5" x14ac:dyDescent="0.3">
      <c r="A2423">
        <v>66184</v>
      </c>
      <c r="B2423">
        <v>26437</v>
      </c>
      <c r="C2423">
        <v>403</v>
      </c>
      <c r="D2423">
        <v>1</v>
      </c>
      <c r="E2423">
        <v>129.99</v>
      </c>
    </row>
    <row r="2424" spans="1:5" x14ac:dyDescent="0.3">
      <c r="A2424">
        <v>66188</v>
      </c>
      <c r="B2424">
        <v>26437</v>
      </c>
      <c r="C2424">
        <v>627</v>
      </c>
      <c r="D2424">
        <v>1</v>
      </c>
      <c r="E2424">
        <v>39.99</v>
      </c>
    </row>
    <row r="2425" spans="1:5" x14ac:dyDescent="0.3">
      <c r="A2425">
        <v>66185</v>
      </c>
      <c r="B2425">
        <v>26437</v>
      </c>
      <c r="C2425">
        <v>627</v>
      </c>
      <c r="D2425">
        <v>1</v>
      </c>
      <c r="E2425">
        <v>39.99</v>
      </c>
    </row>
    <row r="2426" spans="1:5" x14ac:dyDescent="0.3">
      <c r="A2426">
        <v>66187</v>
      </c>
      <c r="B2426">
        <v>26437</v>
      </c>
      <c r="C2426">
        <v>627</v>
      </c>
      <c r="D2426">
        <v>2</v>
      </c>
      <c r="E2426">
        <v>79.98</v>
      </c>
    </row>
    <row r="2427" spans="1:5" x14ac:dyDescent="0.3">
      <c r="A2427">
        <v>66186</v>
      </c>
      <c r="B2427">
        <v>26437</v>
      </c>
      <c r="C2427">
        <v>1004</v>
      </c>
      <c r="D2427">
        <v>1</v>
      </c>
      <c r="E2427">
        <v>399.98</v>
      </c>
    </row>
    <row r="2428" spans="1:5" x14ac:dyDescent="0.3">
      <c r="A2428">
        <v>66282</v>
      </c>
      <c r="B2428">
        <v>26480</v>
      </c>
      <c r="C2428">
        <v>365</v>
      </c>
      <c r="D2428">
        <v>2</v>
      </c>
      <c r="E2428">
        <v>119.98</v>
      </c>
    </row>
    <row r="2429" spans="1:5" x14ac:dyDescent="0.3">
      <c r="A2429">
        <v>66283</v>
      </c>
      <c r="B2429">
        <v>26480</v>
      </c>
      <c r="C2429">
        <v>1004</v>
      </c>
      <c r="D2429">
        <v>1</v>
      </c>
      <c r="E2429">
        <v>399.98</v>
      </c>
    </row>
    <row r="2430" spans="1:5" x14ac:dyDescent="0.3">
      <c r="A2430">
        <v>66284</v>
      </c>
      <c r="B2430">
        <v>26481</v>
      </c>
      <c r="C2430">
        <v>365</v>
      </c>
      <c r="D2430">
        <v>3</v>
      </c>
      <c r="E2430">
        <v>179.97</v>
      </c>
    </row>
    <row r="2431" spans="1:5" x14ac:dyDescent="0.3">
      <c r="A2431">
        <v>66287</v>
      </c>
      <c r="B2431">
        <v>26481</v>
      </c>
      <c r="C2431">
        <v>403</v>
      </c>
      <c r="D2431">
        <v>1</v>
      </c>
      <c r="E2431">
        <v>129.99</v>
      </c>
    </row>
    <row r="2432" spans="1:5" x14ac:dyDescent="0.3">
      <c r="A2432">
        <v>66286</v>
      </c>
      <c r="B2432">
        <v>26481</v>
      </c>
      <c r="C2432">
        <v>957</v>
      </c>
      <c r="D2432">
        <v>1</v>
      </c>
      <c r="E2432">
        <v>299.98</v>
      </c>
    </row>
    <row r="2433" spans="1:5" x14ac:dyDescent="0.3">
      <c r="A2433">
        <v>66285</v>
      </c>
      <c r="B2433">
        <v>26481</v>
      </c>
      <c r="C2433">
        <v>1004</v>
      </c>
      <c r="D2433">
        <v>1</v>
      </c>
      <c r="E2433">
        <v>399.98</v>
      </c>
    </row>
    <row r="2434" spans="1:5" x14ac:dyDescent="0.3">
      <c r="A2434">
        <v>66290</v>
      </c>
      <c r="B2434">
        <v>26482</v>
      </c>
      <c r="C2434">
        <v>1073</v>
      </c>
      <c r="D2434">
        <v>1</v>
      </c>
      <c r="E2434">
        <v>199.99</v>
      </c>
    </row>
    <row r="2435" spans="1:5" x14ac:dyDescent="0.3">
      <c r="A2435">
        <v>66292</v>
      </c>
      <c r="B2435">
        <v>26482</v>
      </c>
      <c r="C2435">
        <v>957</v>
      </c>
      <c r="D2435">
        <v>1</v>
      </c>
      <c r="E2435">
        <v>299.98</v>
      </c>
    </row>
    <row r="2436" spans="1:5" x14ac:dyDescent="0.3">
      <c r="A2436">
        <v>66291</v>
      </c>
      <c r="B2436">
        <v>26482</v>
      </c>
      <c r="C2436">
        <v>502</v>
      </c>
      <c r="D2436">
        <v>2</v>
      </c>
      <c r="E2436">
        <v>100</v>
      </c>
    </row>
    <row r="2437" spans="1:5" x14ac:dyDescent="0.3">
      <c r="A2437">
        <v>66289</v>
      </c>
      <c r="B2437">
        <v>26482</v>
      </c>
      <c r="C2437">
        <v>502</v>
      </c>
      <c r="D2437">
        <v>2</v>
      </c>
      <c r="E2437">
        <v>100</v>
      </c>
    </row>
    <row r="2438" spans="1:5" x14ac:dyDescent="0.3">
      <c r="A2438">
        <v>66288</v>
      </c>
      <c r="B2438">
        <v>26482</v>
      </c>
      <c r="C2438">
        <v>502</v>
      </c>
      <c r="D2438">
        <v>4</v>
      </c>
      <c r="E2438">
        <v>200</v>
      </c>
    </row>
    <row r="2439" spans="1:5" x14ac:dyDescent="0.3">
      <c r="A2439">
        <v>66294</v>
      </c>
      <c r="B2439">
        <v>26483</v>
      </c>
      <c r="C2439">
        <v>403</v>
      </c>
      <c r="D2439">
        <v>1</v>
      </c>
      <c r="E2439">
        <v>129.99</v>
      </c>
    </row>
    <row r="2440" spans="1:5" x14ac:dyDescent="0.3">
      <c r="A2440">
        <v>66293</v>
      </c>
      <c r="B2440">
        <v>26483</v>
      </c>
      <c r="C2440">
        <v>502</v>
      </c>
      <c r="D2440">
        <v>1</v>
      </c>
      <c r="E2440">
        <v>50</v>
      </c>
    </row>
    <row r="2441" spans="1:5" x14ac:dyDescent="0.3">
      <c r="A2441">
        <v>66296</v>
      </c>
      <c r="B2441">
        <v>26483</v>
      </c>
      <c r="C2441">
        <v>957</v>
      </c>
      <c r="D2441">
        <v>1</v>
      </c>
      <c r="E2441">
        <v>299.98</v>
      </c>
    </row>
    <row r="2442" spans="1:5" x14ac:dyDescent="0.3">
      <c r="A2442">
        <v>66295</v>
      </c>
      <c r="B2442">
        <v>26483</v>
      </c>
      <c r="C2442">
        <v>502</v>
      </c>
      <c r="D2442">
        <v>5</v>
      </c>
      <c r="E2442">
        <v>250</v>
      </c>
    </row>
    <row r="2443" spans="1:5" x14ac:dyDescent="0.3">
      <c r="A2443">
        <v>66306</v>
      </c>
      <c r="B2443">
        <v>26487</v>
      </c>
      <c r="C2443">
        <v>502</v>
      </c>
      <c r="D2443">
        <v>2</v>
      </c>
      <c r="E2443">
        <v>100</v>
      </c>
    </row>
    <row r="2444" spans="1:5" x14ac:dyDescent="0.3">
      <c r="A2444">
        <v>66305</v>
      </c>
      <c r="B2444">
        <v>26487</v>
      </c>
      <c r="C2444">
        <v>191</v>
      </c>
      <c r="D2444">
        <v>3</v>
      </c>
      <c r="E2444">
        <v>299.97000000000003</v>
      </c>
    </row>
    <row r="2445" spans="1:5" x14ac:dyDescent="0.3">
      <c r="A2445">
        <v>66338</v>
      </c>
      <c r="B2445">
        <v>26497</v>
      </c>
      <c r="C2445">
        <v>191</v>
      </c>
      <c r="D2445">
        <v>1</v>
      </c>
      <c r="E2445">
        <v>99.99</v>
      </c>
    </row>
    <row r="2446" spans="1:5" x14ac:dyDescent="0.3">
      <c r="A2446">
        <v>66339</v>
      </c>
      <c r="B2446">
        <v>26497</v>
      </c>
      <c r="C2446">
        <v>191</v>
      </c>
      <c r="D2446">
        <v>2</v>
      </c>
      <c r="E2446">
        <v>199.98</v>
      </c>
    </row>
    <row r="2447" spans="1:5" x14ac:dyDescent="0.3">
      <c r="A2447">
        <v>66337</v>
      </c>
      <c r="B2447">
        <v>26497</v>
      </c>
      <c r="C2447">
        <v>502</v>
      </c>
      <c r="D2447">
        <v>3</v>
      </c>
      <c r="E2447">
        <v>150</v>
      </c>
    </row>
    <row r="2448" spans="1:5" x14ac:dyDescent="0.3">
      <c r="A2448">
        <v>66340</v>
      </c>
      <c r="B2448">
        <v>26498</v>
      </c>
      <c r="C2448">
        <v>191</v>
      </c>
      <c r="D2448">
        <v>1</v>
      </c>
      <c r="E2448">
        <v>99.99</v>
      </c>
    </row>
    <row r="2449" spans="1:5" x14ac:dyDescent="0.3">
      <c r="A2449">
        <v>66344</v>
      </c>
      <c r="B2449">
        <v>26498</v>
      </c>
      <c r="C2449">
        <v>403</v>
      </c>
      <c r="D2449">
        <v>1</v>
      </c>
      <c r="E2449">
        <v>129.99</v>
      </c>
    </row>
    <row r="2450" spans="1:5" x14ac:dyDescent="0.3">
      <c r="A2450">
        <v>66342</v>
      </c>
      <c r="B2450">
        <v>26498</v>
      </c>
      <c r="C2450">
        <v>957</v>
      </c>
      <c r="D2450">
        <v>1</v>
      </c>
      <c r="E2450">
        <v>299.98</v>
      </c>
    </row>
    <row r="2451" spans="1:5" x14ac:dyDescent="0.3">
      <c r="A2451">
        <v>66341</v>
      </c>
      <c r="B2451">
        <v>26498</v>
      </c>
      <c r="C2451">
        <v>804</v>
      </c>
      <c r="D2451">
        <v>2</v>
      </c>
      <c r="E2451">
        <v>39.979999999999997</v>
      </c>
    </row>
    <row r="2452" spans="1:5" x14ac:dyDescent="0.3">
      <c r="A2452">
        <v>66343</v>
      </c>
      <c r="B2452">
        <v>26498</v>
      </c>
      <c r="C2452">
        <v>273</v>
      </c>
      <c r="D2452">
        <v>5</v>
      </c>
      <c r="E2452">
        <v>139.94999999999999</v>
      </c>
    </row>
    <row r="2453" spans="1:5" x14ac:dyDescent="0.3">
      <c r="A2453">
        <v>66345</v>
      </c>
      <c r="B2453">
        <v>26499</v>
      </c>
      <c r="C2453">
        <v>365</v>
      </c>
      <c r="D2453">
        <v>3</v>
      </c>
      <c r="E2453">
        <v>179.97</v>
      </c>
    </row>
    <row r="2454" spans="1:5" x14ac:dyDescent="0.3">
      <c r="A2454">
        <v>66348</v>
      </c>
      <c r="B2454">
        <v>26499</v>
      </c>
      <c r="C2454">
        <v>502</v>
      </c>
      <c r="D2454">
        <v>3</v>
      </c>
      <c r="E2454">
        <v>150</v>
      </c>
    </row>
    <row r="2455" spans="1:5" x14ac:dyDescent="0.3">
      <c r="A2455">
        <v>66347</v>
      </c>
      <c r="B2455">
        <v>26499</v>
      </c>
      <c r="C2455">
        <v>778</v>
      </c>
      <c r="D2455">
        <v>2</v>
      </c>
      <c r="E2455">
        <v>49.98</v>
      </c>
    </row>
    <row r="2456" spans="1:5" x14ac:dyDescent="0.3">
      <c r="A2456">
        <v>66346</v>
      </c>
      <c r="B2456">
        <v>26499</v>
      </c>
      <c r="C2456">
        <v>403</v>
      </c>
      <c r="D2456">
        <v>1</v>
      </c>
      <c r="E2456">
        <v>129.99</v>
      </c>
    </row>
    <row r="2457" spans="1:5" x14ac:dyDescent="0.3">
      <c r="A2457">
        <v>66398</v>
      </c>
      <c r="B2457">
        <v>26523</v>
      </c>
      <c r="C2457">
        <v>771</v>
      </c>
      <c r="D2457">
        <v>2</v>
      </c>
      <c r="E2457">
        <v>79.98</v>
      </c>
    </row>
    <row r="2458" spans="1:5" x14ac:dyDescent="0.3">
      <c r="A2458">
        <v>66401</v>
      </c>
      <c r="B2458">
        <v>26523</v>
      </c>
      <c r="C2458">
        <v>365</v>
      </c>
      <c r="D2458">
        <v>1</v>
      </c>
      <c r="E2458">
        <v>59.99</v>
      </c>
    </row>
    <row r="2459" spans="1:5" x14ac:dyDescent="0.3">
      <c r="A2459">
        <v>66400</v>
      </c>
      <c r="B2459">
        <v>26523</v>
      </c>
      <c r="C2459">
        <v>403</v>
      </c>
      <c r="D2459">
        <v>1</v>
      </c>
      <c r="E2459">
        <v>129.99</v>
      </c>
    </row>
    <row r="2460" spans="1:5" x14ac:dyDescent="0.3">
      <c r="A2460">
        <v>66399</v>
      </c>
      <c r="B2460">
        <v>26523</v>
      </c>
      <c r="C2460">
        <v>403</v>
      </c>
      <c r="D2460">
        <v>1</v>
      </c>
      <c r="E2460">
        <v>129.99</v>
      </c>
    </row>
    <row r="2461" spans="1:5" x14ac:dyDescent="0.3">
      <c r="A2461">
        <v>66397</v>
      </c>
      <c r="B2461">
        <v>26523</v>
      </c>
      <c r="C2461">
        <v>502</v>
      </c>
      <c r="D2461">
        <v>5</v>
      </c>
      <c r="E2461">
        <v>250</v>
      </c>
    </row>
    <row r="2462" spans="1:5" x14ac:dyDescent="0.3">
      <c r="A2462">
        <v>66402</v>
      </c>
      <c r="B2462">
        <v>26524</v>
      </c>
      <c r="C2462">
        <v>403</v>
      </c>
      <c r="D2462">
        <v>1</v>
      </c>
      <c r="E2462">
        <v>129.99</v>
      </c>
    </row>
    <row r="2463" spans="1:5" x14ac:dyDescent="0.3">
      <c r="A2463">
        <v>66404</v>
      </c>
      <c r="B2463">
        <v>26525</v>
      </c>
      <c r="C2463">
        <v>135</v>
      </c>
      <c r="D2463">
        <v>4</v>
      </c>
      <c r="E2463">
        <v>88</v>
      </c>
    </row>
    <row r="2464" spans="1:5" x14ac:dyDescent="0.3">
      <c r="A2464">
        <v>66405</v>
      </c>
      <c r="B2464">
        <v>26525</v>
      </c>
      <c r="C2464">
        <v>403</v>
      </c>
      <c r="D2464">
        <v>1</v>
      </c>
      <c r="E2464">
        <v>129.99</v>
      </c>
    </row>
    <row r="2465" spans="1:5" x14ac:dyDescent="0.3">
      <c r="A2465">
        <v>66403</v>
      </c>
      <c r="B2465">
        <v>26525</v>
      </c>
      <c r="C2465">
        <v>810</v>
      </c>
      <c r="D2465">
        <v>1</v>
      </c>
      <c r="E2465">
        <v>19.989999999999998</v>
      </c>
    </row>
    <row r="2466" spans="1:5" x14ac:dyDescent="0.3">
      <c r="A2466">
        <v>66406</v>
      </c>
      <c r="B2466">
        <v>26526</v>
      </c>
      <c r="C2466">
        <v>792</v>
      </c>
      <c r="D2466">
        <v>1</v>
      </c>
      <c r="E2466">
        <v>14.99</v>
      </c>
    </row>
    <row r="2467" spans="1:5" x14ac:dyDescent="0.3">
      <c r="A2467">
        <v>66407</v>
      </c>
      <c r="B2467">
        <v>26526</v>
      </c>
      <c r="C2467">
        <v>775</v>
      </c>
      <c r="D2467">
        <v>1</v>
      </c>
      <c r="E2467">
        <v>9.99</v>
      </c>
    </row>
    <row r="2468" spans="1:5" x14ac:dyDescent="0.3">
      <c r="A2468">
        <v>66408</v>
      </c>
      <c r="B2468">
        <v>26526</v>
      </c>
      <c r="C2468">
        <v>1014</v>
      </c>
      <c r="D2468">
        <v>2</v>
      </c>
      <c r="E2468">
        <v>99.96</v>
      </c>
    </row>
    <row r="2469" spans="1:5" x14ac:dyDescent="0.3">
      <c r="A2469">
        <v>66410</v>
      </c>
      <c r="B2469">
        <v>26526</v>
      </c>
      <c r="C2469">
        <v>403</v>
      </c>
      <c r="D2469">
        <v>1</v>
      </c>
      <c r="E2469">
        <v>129.99</v>
      </c>
    </row>
    <row r="2470" spans="1:5" x14ac:dyDescent="0.3">
      <c r="A2470">
        <v>66409</v>
      </c>
      <c r="B2470">
        <v>26526</v>
      </c>
      <c r="C2470">
        <v>191</v>
      </c>
      <c r="D2470">
        <v>2</v>
      </c>
      <c r="E2470">
        <v>199.98</v>
      </c>
    </row>
    <row r="2471" spans="1:5" x14ac:dyDescent="0.3">
      <c r="A2471">
        <v>66462</v>
      </c>
      <c r="B2471">
        <v>26546</v>
      </c>
      <c r="C2471">
        <v>403</v>
      </c>
      <c r="D2471">
        <v>1</v>
      </c>
      <c r="E2471">
        <v>129.99</v>
      </c>
    </row>
    <row r="2472" spans="1:5" x14ac:dyDescent="0.3">
      <c r="A2472">
        <v>66463</v>
      </c>
      <c r="B2472">
        <v>26546</v>
      </c>
      <c r="C2472">
        <v>365</v>
      </c>
      <c r="D2472">
        <v>1</v>
      </c>
      <c r="E2472">
        <v>59.99</v>
      </c>
    </row>
    <row r="2473" spans="1:5" x14ac:dyDescent="0.3">
      <c r="A2473">
        <v>66460</v>
      </c>
      <c r="B2473">
        <v>26546</v>
      </c>
      <c r="C2473">
        <v>627</v>
      </c>
      <c r="D2473">
        <v>3</v>
      </c>
      <c r="E2473">
        <v>119.97</v>
      </c>
    </row>
    <row r="2474" spans="1:5" x14ac:dyDescent="0.3">
      <c r="A2474">
        <v>66459</v>
      </c>
      <c r="B2474">
        <v>26546</v>
      </c>
      <c r="C2474">
        <v>1073</v>
      </c>
      <c r="D2474">
        <v>1</v>
      </c>
      <c r="E2474">
        <v>199.99</v>
      </c>
    </row>
    <row r="2475" spans="1:5" x14ac:dyDescent="0.3">
      <c r="A2475">
        <v>66461</v>
      </c>
      <c r="B2475">
        <v>26546</v>
      </c>
      <c r="C2475">
        <v>1004</v>
      </c>
      <c r="D2475">
        <v>1</v>
      </c>
      <c r="E2475">
        <v>399.98</v>
      </c>
    </row>
    <row r="2476" spans="1:5" x14ac:dyDescent="0.3">
      <c r="A2476">
        <v>66485</v>
      </c>
      <c r="B2476">
        <v>26553</v>
      </c>
      <c r="C2476">
        <v>403</v>
      </c>
      <c r="D2476">
        <v>1</v>
      </c>
      <c r="E2476">
        <v>129.99</v>
      </c>
    </row>
    <row r="2477" spans="1:5" x14ac:dyDescent="0.3">
      <c r="A2477">
        <v>66483</v>
      </c>
      <c r="B2477">
        <v>26553</v>
      </c>
      <c r="C2477">
        <v>403</v>
      </c>
      <c r="D2477">
        <v>1</v>
      </c>
      <c r="E2477">
        <v>129.99</v>
      </c>
    </row>
    <row r="2478" spans="1:5" x14ac:dyDescent="0.3">
      <c r="A2478">
        <v>66484</v>
      </c>
      <c r="B2478">
        <v>26553</v>
      </c>
      <c r="C2478">
        <v>1004</v>
      </c>
      <c r="D2478">
        <v>1</v>
      </c>
      <c r="E2478">
        <v>399.98</v>
      </c>
    </row>
    <row r="2479" spans="1:5" x14ac:dyDescent="0.3">
      <c r="A2479">
        <v>66487</v>
      </c>
      <c r="B2479">
        <v>26555</v>
      </c>
      <c r="C2479">
        <v>191</v>
      </c>
      <c r="D2479">
        <v>1</v>
      </c>
      <c r="E2479">
        <v>99.99</v>
      </c>
    </row>
    <row r="2480" spans="1:5" x14ac:dyDescent="0.3">
      <c r="A2480">
        <v>66486</v>
      </c>
      <c r="B2480">
        <v>26555</v>
      </c>
      <c r="C2480">
        <v>627</v>
      </c>
      <c r="D2480">
        <v>1</v>
      </c>
      <c r="E2480">
        <v>39.99</v>
      </c>
    </row>
    <row r="2481" spans="1:5" x14ac:dyDescent="0.3">
      <c r="A2481">
        <v>66488</v>
      </c>
      <c r="B2481">
        <v>26555</v>
      </c>
      <c r="C2481">
        <v>365</v>
      </c>
      <c r="D2481">
        <v>5</v>
      </c>
      <c r="E2481">
        <v>299.95</v>
      </c>
    </row>
    <row r="2482" spans="1:5" x14ac:dyDescent="0.3">
      <c r="A2482">
        <v>66505</v>
      </c>
      <c r="B2482">
        <v>26561</v>
      </c>
      <c r="C2482">
        <v>1014</v>
      </c>
      <c r="D2482">
        <v>3</v>
      </c>
      <c r="E2482">
        <v>149.94</v>
      </c>
    </row>
    <row r="2483" spans="1:5" x14ac:dyDescent="0.3">
      <c r="A2483">
        <v>66504</v>
      </c>
      <c r="B2483">
        <v>26561</v>
      </c>
      <c r="C2483">
        <v>1004</v>
      </c>
      <c r="D2483">
        <v>1</v>
      </c>
      <c r="E2483">
        <v>399.98</v>
      </c>
    </row>
    <row r="2484" spans="1:5" x14ac:dyDescent="0.3">
      <c r="A2484">
        <v>66506</v>
      </c>
      <c r="B2484">
        <v>26562</v>
      </c>
      <c r="C2484">
        <v>191</v>
      </c>
      <c r="D2484">
        <v>3</v>
      </c>
      <c r="E2484">
        <v>299.97000000000003</v>
      </c>
    </row>
    <row r="2485" spans="1:5" x14ac:dyDescent="0.3">
      <c r="A2485">
        <v>66507</v>
      </c>
      <c r="B2485">
        <v>26563</v>
      </c>
      <c r="C2485">
        <v>403</v>
      </c>
      <c r="D2485">
        <v>1</v>
      </c>
      <c r="E2485">
        <v>129.99</v>
      </c>
    </row>
    <row r="2486" spans="1:5" x14ac:dyDescent="0.3">
      <c r="A2486">
        <v>66533</v>
      </c>
      <c r="B2486">
        <v>26572</v>
      </c>
      <c r="C2486">
        <v>627</v>
      </c>
      <c r="D2486">
        <v>1</v>
      </c>
      <c r="E2486">
        <v>39.99</v>
      </c>
    </row>
    <row r="2487" spans="1:5" x14ac:dyDescent="0.3">
      <c r="A2487">
        <v>66532</v>
      </c>
      <c r="B2487">
        <v>26572</v>
      </c>
      <c r="C2487">
        <v>627</v>
      </c>
      <c r="D2487">
        <v>4</v>
      </c>
      <c r="E2487">
        <v>159.96</v>
      </c>
    </row>
    <row r="2488" spans="1:5" x14ac:dyDescent="0.3">
      <c r="A2488">
        <v>66536</v>
      </c>
      <c r="B2488">
        <v>26572</v>
      </c>
      <c r="C2488">
        <v>502</v>
      </c>
      <c r="D2488">
        <v>4</v>
      </c>
      <c r="E2488">
        <v>200</v>
      </c>
    </row>
    <row r="2489" spans="1:5" x14ac:dyDescent="0.3">
      <c r="A2489">
        <v>66535</v>
      </c>
      <c r="B2489">
        <v>26572</v>
      </c>
      <c r="C2489">
        <v>502</v>
      </c>
      <c r="D2489">
        <v>4</v>
      </c>
      <c r="E2489">
        <v>200</v>
      </c>
    </row>
    <row r="2490" spans="1:5" x14ac:dyDescent="0.3">
      <c r="A2490">
        <v>66534</v>
      </c>
      <c r="B2490">
        <v>26572</v>
      </c>
      <c r="C2490">
        <v>1073</v>
      </c>
      <c r="D2490">
        <v>1</v>
      </c>
      <c r="E2490">
        <v>199.99</v>
      </c>
    </row>
    <row r="2491" spans="1:5" x14ac:dyDescent="0.3">
      <c r="A2491">
        <v>66537</v>
      </c>
      <c r="B2491">
        <v>26573</v>
      </c>
      <c r="C2491">
        <v>1014</v>
      </c>
      <c r="D2491">
        <v>5</v>
      </c>
      <c r="E2491">
        <v>249.9</v>
      </c>
    </row>
    <row r="2492" spans="1:5" x14ac:dyDescent="0.3">
      <c r="A2492">
        <v>66607</v>
      </c>
      <c r="B2492">
        <v>26599</v>
      </c>
      <c r="C2492">
        <v>135</v>
      </c>
      <c r="D2492">
        <v>5</v>
      </c>
      <c r="E2492">
        <v>110</v>
      </c>
    </row>
    <row r="2493" spans="1:5" x14ac:dyDescent="0.3">
      <c r="A2493">
        <v>66606</v>
      </c>
      <c r="B2493">
        <v>26599</v>
      </c>
      <c r="C2493">
        <v>1014</v>
      </c>
      <c r="D2493">
        <v>2</v>
      </c>
      <c r="E2493">
        <v>99.96</v>
      </c>
    </row>
    <row r="2494" spans="1:5" x14ac:dyDescent="0.3">
      <c r="A2494">
        <v>66608</v>
      </c>
      <c r="B2494">
        <v>26600</v>
      </c>
      <c r="C2494">
        <v>365</v>
      </c>
      <c r="D2494">
        <v>1</v>
      </c>
      <c r="E2494">
        <v>59.99</v>
      </c>
    </row>
    <row r="2495" spans="1:5" x14ac:dyDescent="0.3">
      <c r="A2495">
        <v>66610</v>
      </c>
      <c r="B2495">
        <v>26600</v>
      </c>
      <c r="C2495">
        <v>403</v>
      </c>
      <c r="D2495">
        <v>1</v>
      </c>
      <c r="E2495">
        <v>129.99</v>
      </c>
    </row>
    <row r="2496" spans="1:5" x14ac:dyDescent="0.3">
      <c r="A2496">
        <v>66611</v>
      </c>
      <c r="B2496">
        <v>26600</v>
      </c>
      <c r="C2496">
        <v>1004</v>
      </c>
      <c r="D2496">
        <v>1</v>
      </c>
      <c r="E2496">
        <v>399.98</v>
      </c>
    </row>
    <row r="2497" spans="1:5" x14ac:dyDescent="0.3">
      <c r="A2497">
        <v>66609</v>
      </c>
      <c r="B2497">
        <v>26600</v>
      </c>
      <c r="C2497">
        <v>1004</v>
      </c>
      <c r="D2497">
        <v>1</v>
      </c>
      <c r="E2497">
        <v>399.98</v>
      </c>
    </row>
    <row r="2498" spans="1:5" x14ac:dyDescent="0.3">
      <c r="A2498">
        <v>66635</v>
      </c>
      <c r="B2498">
        <v>26608</v>
      </c>
      <c r="C2498">
        <v>365</v>
      </c>
      <c r="D2498">
        <v>5</v>
      </c>
      <c r="E2498">
        <v>299.95</v>
      </c>
    </row>
    <row r="2499" spans="1:5" x14ac:dyDescent="0.3">
      <c r="A2499">
        <v>66633</v>
      </c>
      <c r="B2499">
        <v>26608</v>
      </c>
      <c r="C2499">
        <v>502</v>
      </c>
      <c r="D2499">
        <v>5</v>
      </c>
      <c r="E2499">
        <v>250</v>
      </c>
    </row>
    <row r="2500" spans="1:5" x14ac:dyDescent="0.3">
      <c r="A2500">
        <v>66632</v>
      </c>
      <c r="B2500">
        <v>26608</v>
      </c>
      <c r="C2500">
        <v>957</v>
      </c>
      <c r="D2500">
        <v>1</v>
      </c>
      <c r="E2500">
        <v>299.98</v>
      </c>
    </row>
    <row r="2501" spans="1:5" x14ac:dyDescent="0.3">
      <c r="A2501">
        <v>66634</v>
      </c>
      <c r="B2501">
        <v>26608</v>
      </c>
      <c r="C2501">
        <v>627</v>
      </c>
      <c r="D2501">
        <v>3</v>
      </c>
      <c r="E2501">
        <v>119.97</v>
      </c>
    </row>
    <row r="2502" spans="1:5" x14ac:dyDescent="0.3">
      <c r="A2502">
        <v>66651</v>
      </c>
      <c r="B2502">
        <v>26614</v>
      </c>
      <c r="C2502">
        <v>191</v>
      </c>
      <c r="D2502">
        <v>1</v>
      </c>
      <c r="E2502">
        <v>99.99</v>
      </c>
    </row>
    <row r="2503" spans="1:5" x14ac:dyDescent="0.3">
      <c r="A2503">
        <v>66648</v>
      </c>
      <c r="B2503">
        <v>26614</v>
      </c>
      <c r="C2503">
        <v>403</v>
      </c>
      <c r="D2503">
        <v>1</v>
      </c>
      <c r="E2503">
        <v>129.99</v>
      </c>
    </row>
    <row r="2504" spans="1:5" x14ac:dyDescent="0.3">
      <c r="A2504">
        <v>66652</v>
      </c>
      <c r="B2504">
        <v>26614</v>
      </c>
      <c r="C2504">
        <v>1073</v>
      </c>
      <c r="D2504">
        <v>1</v>
      </c>
      <c r="E2504">
        <v>199.99</v>
      </c>
    </row>
    <row r="2505" spans="1:5" x14ac:dyDescent="0.3">
      <c r="A2505">
        <v>66650</v>
      </c>
      <c r="B2505">
        <v>26614</v>
      </c>
      <c r="C2505">
        <v>1014</v>
      </c>
      <c r="D2505">
        <v>2</v>
      </c>
      <c r="E2505">
        <v>99.96</v>
      </c>
    </row>
    <row r="2506" spans="1:5" x14ac:dyDescent="0.3">
      <c r="A2506">
        <v>66649</v>
      </c>
      <c r="B2506">
        <v>26614</v>
      </c>
      <c r="C2506">
        <v>1014</v>
      </c>
      <c r="D2506">
        <v>4</v>
      </c>
      <c r="E2506">
        <v>199.92</v>
      </c>
    </row>
    <row r="2507" spans="1:5" x14ac:dyDescent="0.3">
      <c r="A2507">
        <v>66678</v>
      </c>
      <c r="B2507">
        <v>26623</v>
      </c>
      <c r="C2507">
        <v>502</v>
      </c>
      <c r="D2507">
        <v>2</v>
      </c>
      <c r="E2507">
        <v>100</v>
      </c>
    </row>
    <row r="2508" spans="1:5" x14ac:dyDescent="0.3">
      <c r="A2508">
        <v>66679</v>
      </c>
      <c r="B2508">
        <v>26623</v>
      </c>
      <c r="C2508">
        <v>627</v>
      </c>
      <c r="D2508">
        <v>5</v>
      </c>
      <c r="E2508">
        <v>199.95</v>
      </c>
    </row>
    <row r="2509" spans="1:5" x14ac:dyDescent="0.3">
      <c r="A2509">
        <v>66677</v>
      </c>
      <c r="B2509">
        <v>26623</v>
      </c>
      <c r="C2509">
        <v>1004</v>
      </c>
      <c r="D2509">
        <v>1</v>
      </c>
      <c r="E2509">
        <v>399.98</v>
      </c>
    </row>
    <row r="2510" spans="1:5" x14ac:dyDescent="0.3">
      <c r="A2510">
        <v>66717</v>
      </c>
      <c r="B2510">
        <v>26644</v>
      </c>
      <c r="C2510">
        <v>403</v>
      </c>
      <c r="D2510">
        <v>1</v>
      </c>
      <c r="E2510">
        <v>129.99</v>
      </c>
    </row>
    <row r="2511" spans="1:5" x14ac:dyDescent="0.3">
      <c r="A2511">
        <v>66718</v>
      </c>
      <c r="B2511">
        <v>26644</v>
      </c>
      <c r="C2511">
        <v>957</v>
      </c>
      <c r="D2511">
        <v>1</v>
      </c>
      <c r="E2511">
        <v>299.98</v>
      </c>
    </row>
    <row r="2512" spans="1:5" x14ac:dyDescent="0.3">
      <c r="A2512">
        <v>66790</v>
      </c>
      <c r="B2512">
        <v>26672</v>
      </c>
      <c r="C2512">
        <v>403</v>
      </c>
      <c r="D2512">
        <v>1</v>
      </c>
      <c r="E2512">
        <v>129.99</v>
      </c>
    </row>
    <row r="2513" spans="1:5" x14ac:dyDescent="0.3">
      <c r="A2513">
        <v>66798</v>
      </c>
      <c r="B2513">
        <v>26676</v>
      </c>
      <c r="C2513">
        <v>1073</v>
      </c>
      <c r="D2513">
        <v>1</v>
      </c>
      <c r="E2513">
        <v>199.99</v>
      </c>
    </row>
    <row r="2514" spans="1:5" x14ac:dyDescent="0.3">
      <c r="A2514">
        <v>66795</v>
      </c>
      <c r="B2514">
        <v>26676</v>
      </c>
      <c r="C2514">
        <v>1073</v>
      </c>
      <c r="D2514">
        <v>1</v>
      </c>
      <c r="E2514">
        <v>199.99</v>
      </c>
    </row>
    <row r="2515" spans="1:5" x14ac:dyDescent="0.3">
      <c r="A2515">
        <v>66797</v>
      </c>
      <c r="B2515">
        <v>26676</v>
      </c>
      <c r="C2515">
        <v>191</v>
      </c>
      <c r="D2515">
        <v>1</v>
      </c>
      <c r="E2515">
        <v>99.99</v>
      </c>
    </row>
    <row r="2516" spans="1:5" x14ac:dyDescent="0.3">
      <c r="A2516">
        <v>66794</v>
      </c>
      <c r="B2516">
        <v>26676</v>
      </c>
      <c r="C2516">
        <v>44</v>
      </c>
      <c r="D2516">
        <v>2</v>
      </c>
      <c r="E2516">
        <v>119.98</v>
      </c>
    </row>
    <row r="2517" spans="1:5" x14ac:dyDescent="0.3">
      <c r="A2517">
        <v>66796</v>
      </c>
      <c r="B2517">
        <v>26676</v>
      </c>
      <c r="C2517">
        <v>1004</v>
      </c>
      <c r="D2517">
        <v>1</v>
      </c>
      <c r="E2517">
        <v>399.98</v>
      </c>
    </row>
    <row r="2518" spans="1:5" x14ac:dyDescent="0.3">
      <c r="A2518">
        <v>66799</v>
      </c>
      <c r="B2518">
        <v>26677</v>
      </c>
      <c r="C2518">
        <v>1014</v>
      </c>
      <c r="D2518">
        <v>2</v>
      </c>
      <c r="E2518">
        <v>99.96</v>
      </c>
    </row>
    <row r="2519" spans="1:5" x14ac:dyDescent="0.3">
      <c r="A2519">
        <v>66860</v>
      </c>
      <c r="B2519">
        <v>26699</v>
      </c>
      <c r="C2519">
        <v>365</v>
      </c>
      <c r="D2519">
        <v>2</v>
      </c>
      <c r="E2519">
        <v>119.98</v>
      </c>
    </row>
    <row r="2520" spans="1:5" x14ac:dyDescent="0.3">
      <c r="A2520">
        <v>66893</v>
      </c>
      <c r="B2520">
        <v>26709</v>
      </c>
      <c r="C2520">
        <v>365</v>
      </c>
      <c r="D2520">
        <v>3</v>
      </c>
      <c r="E2520">
        <v>179.97</v>
      </c>
    </row>
    <row r="2521" spans="1:5" x14ac:dyDescent="0.3">
      <c r="A2521">
        <v>66903</v>
      </c>
      <c r="B2521">
        <v>26714</v>
      </c>
      <c r="C2521">
        <v>365</v>
      </c>
      <c r="D2521">
        <v>1</v>
      </c>
      <c r="E2521">
        <v>59.99</v>
      </c>
    </row>
    <row r="2522" spans="1:5" x14ac:dyDescent="0.3">
      <c r="A2522">
        <v>66904</v>
      </c>
      <c r="B2522">
        <v>26714</v>
      </c>
      <c r="C2522">
        <v>957</v>
      </c>
      <c r="D2522">
        <v>1</v>
      </c>
      <c r="E2522">
        <v>299.98</v>
      </c>
    </row>
    <row r="2523" spans="1:5" x14ac:dyDescent="0.3">
      <c r="A2523">
        <v>66905</v>
      </c>
      <c r="B2523">
        <v>26714</v>
      </c>
      <c r="C2523">
        <v>1073</v>
      </c>
      <c r="D2523">
        <v>1</v>
      </c>
      <c r="E2523">
        <v>199.99</v>
      </c>
    </row>
    <row r="2524" spans="1:5" x14ac:dyDescent="0.3">
      <c r="A2524">
        <v>66908</v>
      </c>
      <c r="B2524">
        <v>26715</v>
      </c>
      <c r="C2524">
        <v>403</v>
      </c>
      <c r="D2524">
        <v>1</v>
      </c>
      <c r="E2524">
        <v>129.99</v>
      </c>
    </row>
    <row r="2525" spans="1:5" x14ac:dyDescent="0.3">
      <c r="A2525">
        <v>66907</v>
      </c>
      <c r="B2525">
        <v>26715</v>
      </c>
      <c r="C2525">
        <v>403</v>
      </c>
      <c r="D2525">
        <v>1</v>
      </c>
      <c r="E2525">
        <v>129.99</v>
      </c>
    </row>
    <row r="2526" spans="1:5" x14ac:dyDescent="0.3">
      <c r="A2526">
        <v>66906</v>
      </c>
      <c r="B2526">
        <v>26715</v>
      </c>
      <c r="C2526">
        <v>502</v>
      </c>
      <c r="D2526">
        <v>5</v>
      </c>
      <c r="E2526">
        <v>250</v>
      </c>
    </row>
    <row r="2527" spans="1:5" x14ac:dyDescent="0.3">
      <c r="A2527">
        <v>66909</v>
      </c>
      <c r="B2527">
        <v>26715</v>
      </c>
      <c r="C2527">
        <v>1014</v>
      </c>
      <c r="D2527">
        <v>5</v>
      </c>
      <c r="E2527">
        <v>249.9</v>
      </c>
    </row>
    <row r="2528" spans="1:5" x14ac:dyDescent="0.3">
      <c r="A2528">
        <v>66912</v>
      </c>
      <c r="B2528">
        <v>26716</v>
      </c>
      <c r="C2528">
        <v>365</v>
      </c>
      <c r="D2528">
        <v>4</v>
      </c>
      <c r="E2528">
        <v>239.96</v>
      </c>
    </row>
    <row r="2529" spans="1:5" x14ac:dyDescent="0.3">
      <c r="A2529">
        <v>66910</v>
      </c>
      <c r="B2529">
        <v>26716</v>
      </c>
      <c r="C2529">
        <v>1014</v>
      </c>
      <c r="D2529">
        <v>4</v>
      </c>
      <c r="E2529">
        <v>199.92</v>
      </c>
    </row>
    <row r="2530" spans="1:5" x14ac:dyDescent="0.3">
      <c r="A2530">
        <v>66911</v>
      </c>
      <c r="B2530">
        <v>26716</v>
      </c>
      <c r="C2530">
        <v>1004</v>
      </c>
      <c r="D2530">
        <v>1</v>
      </c>
      <c r="E2530">
        <v>399.98</v>
      </c>
    </row>
    <row r="2531" spans="1:5" x14ac:dyDescent="0.3">
      <c r="A2531">
        <v>66913</v>
      </c>
      <c r="B2531">
        <v>26717</v>
      </c>
      <c r="C2531">
        <v>365</v>
      </c>
      <c r="D2531">
        <v>1</v>
      </c>
      <c r="E2531">
        <v>59.99</v>
      </c>
    </row>
    <row r="2532" spans="1:5" x14ac:dyDescent="0.3">
      <c r="A2532">
        <v>66916</v>
      </c>
      <c r="B2532">
        <v>26717</v>
      </c>
      <c r="C2532">
        <v>403</v>
      </c>
      <c r="D2532">
        <v>1</v>
      </c>
      <c r="E2532">
        <v>129.99</v>
      </c>
    </row>
    <row r="2533" spans="1:5" x14ac:dyDescent="0.3">
      <c r="A2533">
        <v>66915</v>
      </c>
      <c r="B2533">
        <v>26717</v>
      </c>
      <c r="C2533">
        <v>957</v>
      </c>
      <c r="D2533">
        <v>1</v>
      </c>
      <c r="E2533">
        <v>299.98</v>
      </c>
    </row>
    <row r="2534" spans="1:5" x14ac:dyDescent="0.3">
      <c r="A2534">
        <v>66917</v>
      </c>
      <c r="B2534">
        <v>26717</v>
      </c>
      <c r="C2534">
        <v>365</v>
      </c>
      <c r="D2534">
        <v>5</v>
      </c>
      <c r="E2534">
        <v>299.95</v>
      </c>
    </row>
    <row r="2535" spans="1:5" x14ac:dyDescent="0.3">
      <c r="A2535">
        <v>66914</v>
      </c>
      <c r="B2535">
        <v>26717</v>
      </c>
      <c r="C2535">
        <v>1014</v>
      </c>
      <c r="D2535">
        <v>3</v>
      </c>
      <c r="E2535">
        <v>149.94</v>
      </c>
    </row>
    <row r="2536" spans="1:5" x14ac:dyDescent="0.3">
      <c r="A2536">
        <v>66923</v>
      </c>
      <c r="B2536">
        <v>26721</v>
      </c>
      <c r="C2536">
        <v>403</v>
      </c>
      <c r="D2536">
        <v>1</v>
      </c>
      <c r="E2536">
        <v>129.99</v>
      </c>
    </row>
    <row r="2537" spans="1:5" x14ac:dyDescent="0.3">
      <c r="A2537">
        <v>66922</v>
      </c>
      <c r="B2537">
        <v>26721</v>
      </c>
      <c r="C2537">
        <v>1004</v>
      </c>
      <c r="D2537">
        <v>1</v>
      </c>
      <c r="E2537">
        <v>399.98</v>
      </c>
    </row>
    <row r="2538" spans="1:5" x14ac:dyDescent="0.3">
      <c r="A2538">
        <v>66927</v>
      </c>
      <c r="B2538">
        <v>26722</v>
      </c>
      <c r="C2538">
        <v>403</v>
      </c>
      <c r="D2538">
        <v>1</v>
      </c>
      <c r="E2538">
        <v>129.99</v>
      </c>
    </row>
    <row r="2539" spans="1:5" x14ac:dyDescent="0.3">
      <c r="A2539">
        <v>66926</v>
      </c>
      <c r="B2539">
        <v>26722</v>
      </c>
      <c r="C2539">
        <v>1014</v>
      </c>
      <c r="D2539">
        <v>5</v>
      </c>
      <c r="E2539">
        <v>249.9</v>
      </c>
    </row>
    <row r="2540" spans="1:5" x14ac:dyDescent="0.3">
      <c r="A2540">
        <v>66924</v>
      </c>
      <c r="B2540">
        <v>26722</v>
      </c>
      <c r="C2540">
        <v>1014</v>
      </c>
      <c r="D2540">
        <v>4</v>
      </c>
      <c r="E2540">
        <v>199.92</v>
      </c>
    </row>
    <row r="2541" spans="1:5" x14ac:dyDescent="0.3">
      <c r="A2541">
        <v>66925</v>
      </c>
      <c r="B2541">
        <v>26722</v>
      </c>
      <c r="C2541">
        <v>1004</v>
      </c>
      <c r="D2541">
        <v>1</v>
      </c>
      <c r="E2541">
        <v>399.98</v>
      </c>
    </row>
    <row r="2542" spans="1:5" x14ac:dyDescent="0.3">
      <c r="A2542">
        <v>66929</v>
      </c>
      <c r="B2542">
        <v>26723</v>
      </c>
      <c r="C2542">
        <v>365</v>
      </c>
      <c r="D2542">
        <v>1</v>
      </c>
      <c r="E2542">
        <v>59.99</v>
      </c>
    </row>
    <row r="2543" spans="1:5" x14ac:dyDescent="0.3">
      <c r="A2543">
        <v>66928</v>
      </c>
      <c r="B2543">
        <v>26723</v>
      </c>
      <c r="C2543">
        <v>1004</v>
      </c>
      <c r="D2543">
        <v>1</v>
      </c>
      <c r="E2543">
        <v>399.98</v>
      </c>
    </row>
    <row r="2544" spans="1:5" x14ac:dyDescent="0.3">
      <c r="A2544">
        <v>67162</v>
      </c>
      <c r="B2544">
        <v>26810</v>
      </c>
      <c r="C2544">
        <v>703</v>
      </c>
      <c r="D2544">
        <v>1</v>
      </c>
      <c r="E2544">
        <v>19.989999999999998</v>
      </c>
    </row>
    <row r="2545" spans="1:5" x14ac:dyDescent="0.3">
      <c r="A2545">
        <v>67163</v>
      </c>
      <c r="B2545">
        <v>26810</v>
      </c>
      <c r="C2545">
        <v>1073</v>
      </c>
      <c r="D2545">
        <v>1</v>
      </c>
      <c r="E2545">
        <v>199.99</v>
      </c>
    </row>
    <row r="2546" spans="1:5" x14ac:dyDescent="0.3">
      <c r="A2546">
        <v>67207</v>
      </c>
      <c r="B2546">
        <v>26824</v>
      </c>
      <c r="C2546">
        <v>957</v>
      </c>
      <c r="D2546">
        <v>1</v>
      </c>
      <c r="E2546">
        <v>299.98</v>
      </c>
    </row>
    <row r="2547" spans="1:5" x14ac:dyDescent="0.3">
      <c r="A2547">
        <v>67210</v>
      </c>
      <c r="B2547">
        <v>26824</v>
      </c>
      <c r="C2547">
        <v>191</v>
      </c>
      <c r="D2547">
        <v>2</v>
      </c>
      <c r="E2547">
        <v>199.98</v>
      </c>
    </row>
    <row r="2548" spans="1:5" x14ac:dyDescent="0.3">
      <c r="A2548">
        <v>67208</v>
      </c>
      <c r="B2548">
        <v>26824</v>
      </c>
      <c r="C2548">
        <v>627</v>
      </c>
      <c r="D2548">
        <v>5</v>
      </c>
      <c r="E2548">
        <v>199.95</v>
      </c>
    </row>
    <row r="2549" spans="1:5" x14ac:dyDescent="0.3">
      <c r="A2549">
        <v>67209</v>
      </c>
      <c r="B2549">
        <v>26824</v>
      </c>
      <c r="C2549">
        <v>1073</v>
      </c>
      <c r="D2549">
        <v>1</v>
      </c>
      <c r="E2549">
        <v>199.99</v>
      </c>
    </row>
    <row r="2550" spans="1:5" x14ac:dyDescent="0.3">
      <c r="A2550">
        <v>67263</v>
      </c>
      <c r="B2550">
        <v>26843</v>
      </c>
      <c r="C2550">
        <v>502</v>
      </c>
      <c r="D2550">
        <v>2</v>
      </c>
      <c r="E2550">
        <v>100</v>
      </c>
    </row>
    <row r="2551" spans="1:5" x14ac:dyDescent="0.3">
      <c r="A2551">
        <v>67262</v>
      </c>
      <c r="B2551">
        <v>26843</v>
      </c>
      <c r="C2551">
        <v>365</v>
      </c>
      <c r="D2551">
        <v>4</v>
      </c>
      <c r="E2551">
        <v>239.96</v>
      </c>
    </row>
    <row r="2552" spans="1:5" x14ac:dyDescent="0.3">
      <c r="A2552">
        <v>67261</v>
      </c>
      <c r="B2552">
        <v>26843</v>
      </c>
      <c r="C2552">
        <v>1004</v>
      </c>
      <c r="D2552">
        <v>1</v>
      </c>
      <c r="E2552">
        <v>399.98</v>
      </c>
    </row>
    <row r="2553" spans="1:5" x14ac:dyDescent="0.3">
      <c r="A2553">
        <v>67260</v>
      </c>
      <c r="B2553">
        <v>26843</v>
      </c>
      <c r="C2553">
        <v>1004</v>
      </c>
      <c r="D2553">
        <v>1</v>
      </c>
      <c r="E2553">
        <v>399.98</v>
      </c>
    </row>
    <row r="2554" spans="1:5" x14ac:dyDescent="0.3">
      <c r="A2554">
        <v>67264</v>
      </c>
      <c r="B2554">
        <v>26845</v>
      </c>
      <c r="C2554">
        <v>627</v>
      </c>
      <c r="D2554">
        <v>4</v>
      </c>
      <c r="E2554">
        <v>159.96</v>
      </c>
    </row>
    <row r="2555" spans="1:5" x14ac:dyDescent="0.3">
      <c r="A2555">
        <v>67265</v>
      </c>
      <c r="B2555">
        <v>26845</v>
      </c>
      <c r="C2555">
        <v>1014</v>
      </c>
      <c r="D2555">
        <v>5</v>
      </c>
      <c r="E2555">
        <v>249.9</v>
      </c>
    </row>
    <row r="2556" spans="1:5" x14ac:dyDescent="0.3">
      <c r="A2556">
        <v>67266</v>
      </c>
      <c r="B2556">
        <v>26845</v>
      </c>
      <c r="C2556">
        <v>502</v>
      </c>
      <c r="D2556">
        <v>3</v>
      </c>
      <c r="E2556">
        <v>150</v>
      </c>
    </row>
    <row r="2557" spans="1:5" x14ac:dyDescent="0.3">
      <c r="A2557">
        <v>67299</v>
      </c>
      <c r="B2557">
        <v>26857</v>
      </c>
      <c r="C2557">
        <v>957</v>
      </c>
      <c r="D2557">
        <v>1</v>
      </c>
      <c r="E2557">
        <v>299.98</v>
      </c>
    </row>
    <row r="2558" spans="1:5" x14ac:dyDescent="0.3">
      <c r="A2558">
        <v>67304</v>
      </c>
      <c r="B2558">
        <v>26861</v>
      </c>
      <c r="C2558">
        <v>403</v>
      </c>
      <c r="D2558">
        <v>1</v>
      </c>
      <c r="E2558">
        <v>129.99</v>
      </c>
    </row>
    <row r="2559" spans="1:5" x14ac:dyDescent="0.3">
      <c r="A2559">
        <v>67309</v>
      </c>
      <c r="B2559">
        <v>26862</v>
      </c>
      <c r="C2559">
        <v>1073</v>
      </c>
      <c r="D2559">
        <v>1</v>
      </c>
      <c r="E2559">
        <v>199.99</v>
      </c>
    </row>
    <row r="2560" spans="1:5" x14ac:dyDescent="0.3">
      <c r="A2560">
        <v>67308</v>
      </c>
      <c r="B2560">
        <v>26862</v>
      </c>
      <c r="C2560">
        <v>957</v>
      </c>
      <c r="D2560">
        <v>1</v>
      </c>
      <c r="E2560">
        <v>299.98</v>
      </c>
    </row>
    <row r="2561" spans="1:5" x14ac:dyDescent="0.3">
      <c r="A2561">
        <v>67305</v>
      </c>
      <c r="B2561">
        <v>26862</v>
      </c>
      <c r="C2561">
        <v>1014</v>
      </c>
      <c r="D2561">
        <v>3</v>
      </c>
      <c r="E2561">
        <v>149.94</v>
      </c>
    </row>
    <row r="2562" spans="1:5" x14ac:dyDescent="0.3">
      <c r="A2562">
        <v>67307</v>
      </c>
      <c r="B2562">
        <v>26862</v>
      </c>
      <c r="C2562">
        <v>1004</v>
      </c>
      <c r="D2562">
        <v>1</v>
      </c>
      <c r="E2562">
        <v>399.98</v>
      </c>
    </row>
    <row r="2563" spans="1:5" x14ac:dyDescent="0.3">
      <c r="A2563">
        <v>67306</v>
      </c>
      <c r="B2563">
        <v>26862</v>
      </c>
      <c r="C2563">
        <v>1004</v>
      </c>
      <c r="D2563">
        <v>1</v>
      </c>
      <c r="E2563">
        <v>399.98</v>
      </c>
    </row>
    <row r="2564" spans="1:5" x14ac:dyDescent="0.3">
      <c r="A2564">
        <v>67310</v>
      </c>
      <c r="B2564">
        <v>26863</v>
      </c>
      <c r="C2564">
        <v>502</v>
      </c>
      <c r="D2564">
        <v>4</v>
      </c>
      <c r="E2564">
        <v>200</v>
      </c>
    </row>
    <row r="2565" spans="1:5" x14ac:dyDescent="0.3">
      <c r="A2565">
        <v>67311</v>
      </c>
      <c r="B2565">
        <v>26863</v>
      </c>
      <c r="C2565">
        <v>835</v>
      </c>
      <c r="D2565">
        <v>5</v>
      </c>
      <c r="E2565">
        <v>159.94999999999999</v>
      </c>
    </row>
    <row r="2566" spans="1:5" x14ac:dyDescent="0.3">
      <c r="A2566">
        <v>67316</v>
      </c>
      <c r="B2566">
        <v>26864</v>
      </c>
      <c r="C2566">
        <v>135</v>
      </c>
      <c r="D2566">
        <v>3</v>
      </c>
      <c r="E2566">
        <v>66</v>
      </c>
    </row>
    <row r="2567" spans="1:5" x14ac:dyDescent="0.3">
      <c r="A2567">
        <v>67314</v>
      </c>
      <c r="B2567">
        <v>26864</v>
      </c>
      <c r="C2567">
        <v>502</v>
      </c>
      <c r="D2567">
        <v>1</v>
      </c>
      <c r="E2567">
        <v>50</v>
      </c>
    </row>
    <row r="2568" spans="1:5" x14ac:dyDescent="0.3">
      <c r="A2568">
        <v>67313</v>
      </c>
      <c r="B2568">
        <v>26864</v>
      </c>
      <c r="C2568">
        <v>502</v>
      </c>
      <c r="D2568">
        <v>3</v>
      </c>
      <c r="E2568">
        <v>150</v>
      </c>
    </row>
    <row r="2569" spans="1:5" x14ac:dyDescent="0.3">
      <c r="A2569">
        <v>67312</v>
      </c>
      <c r="B2569">
        <v>26864</v>
      </c>
      <c r="C2569">
        <v>885</v>
      </c>
      <c r="D2569">
        <v>4</v>
      </c>
      <c r="E2569">
        <v>99.96</v>
      </c>
    </row>
    <row r="2570" spans="1:5" x14ac:dyDescent="0.3">
      <c r="A2570">
        <v>67315</v>
      </c>
      <c r="B2570">
        <v>26864</v>
      </c>
      <c r="C2570">
        <v>1073</v>
      </c>
      <c r="D2570">
        <v>1</v>
      </c>
      <c r="E2570">
        <v>199.99</v>
      </c>
    </row>
    <row r="2571" spans="1:5" x14ac:dyDescent="0.3">
      <c r="A2571">
        <v>67366</v>
      </c>
      <c r="B2571">
        <v>26887</v>
      </c>
      <c r="C2571">
        <v>134</v>
      </c>
      <c r="D2571">
        <v>5</v>
      </c>
      <c r="E2571">
        <v>125</v>
      </c>
    </row>
    <row r="2572" spans="1:5" x14ac:dyDescent="0.3">
      <c r="A2572">
        <v>67363</v>
      </c>
      <c r="B2572">
        <v>26887</v>
      </c>
      <c r="C2572">
        <v>403</v>
      </c>
      <c r="D2572">
        <v>1</v>
      </c>
      <c r="E2572">
        <v>129.99</v>
      </c>
    </row>
    <row r="2573" spans="1:5" x14ac:dyDescent="0.3">
      <c r="A2573">
        <v>67365</v>
      </c>
      <c r="B2573">
        <v>26887</v>
      </c>
      <c r="C2573">
        <v>502</v>
      </c>
      <c r="D2573">
        <v>1</v>
      </c>
      <c r="E2573">
        <v>50</v>
      </c>
    </row>
    <row r="2574" spans="1:5" x14ac:dyDescent="0.3">
      <c r="A2574">
        <v>67364</v>
      </c>
      <c r="B2574">
        <v>26887</v>
      </c>
      <c r="C2574">
        <v>365</v>
      </c>
      <c r="D2574">
        <v>2</v>
      </c>
      <c r="E2574">
        <v>119.98</v>
      </c>
    </row>
    <row r="2575" spans="1:5" x14ac:dyDescent="0.3">
      <c r="A2575">
        <v>67367</v>
      </c>
      <c r="B2575">
        <v>26888</v>
      </c>
      <c r="C2575">
        <v>1073</v>
      </c>
      <c r="D2575">
        <v>1</v>
      </c>
      <c r="E2575">
        <v>199.99</v>
      </c>
    </row>
    <row r="2576" spans="1:5" x14ac:dyDescent="0.3">
      <c r="A2576">
        <v>67368</v>
      </c>
      <c r="B2576">
        <v>26888</v>
      </c>
      <c r="C2576">
        <v>1014</v>
      </c>
      <c r="D2576">
        <v>2</v>
      </c>
      <c r="E2576">
        <v>99.96</v>
      </c>
    </row>
    <row r="2577" spans="1:5" x14ac:dyDescent="0.3">
      <c r="A2577">
        <v>67371</v>
      </c>
      <c r="B2577">
        <v>26889</v>
      </c>
      <c r="C2577">
        <v>403</v>
      </c>
      <c r="D2577">
        <v>1</v>
      </c>
      <c r="E2577">
        <v>129.99</v>
      </c>
    </row>
    <row r="2578" spans="1:5" x14ac:dyDescent="0.3">
      <c r="A2578">
        <v>67369</v>
      </c>
      <c r="B2578">
        <v>26889</v>
      </c>
      <c r="C2578">
        <v>502</v>
      </c>
      <c r="D2578">
        <v>2</v>
      </c>
      <c r="E2578">
        <v>100</v>
      </c>
    </row>
    <row r="2579" spans="1:5" x14ac:dyDescent="0.3">
      <c r="A2579">
        <v>67370</v>
      </c>
      <c r="B2579">
        <v>26889</v>
      </c>
      <c r="C2579">
        <v>278</v>
      </c>
      <c r="D2579">
        <v>5</v>
      </c>
      <c r="E2579">
        <v>224.95</v>
      </c>
    </row>
    <row r="2580" spans="1:5" x14ac:dyDescent="0.3">
      <c r="A2580">
        <v>67411</v>
      </c>
      <c r="B2580">
        <v>26907</v>
      </c>
      <c r="C2580">
        <v>403</v>
      </c>
      <c r="D2580">
        <v>1</v>
      </c>
      <c r="E2580">
        <v>129.99</v>
      </c>
    </row>
    <row r="2581" spans="1:5" x14ac:dyDescent="0.3">
      <c r="A2581">
        <v>67413</v>
      </c>
      <c r="B2581">
        <v>26907</v>
      </c>
      <c r="C2581">
        <v>957</v>
      </c>
      <c r="D2581">
        <v>1</v>
      </c>
      <c r="E2581">
        <v>299.98</v>
      </c>
    </row>
    <row r="2582" spans="1:5" x14ac:dyDescent="0.3">
      <c r="A2582">
        <v>67412</v>
      </c>
      <c r="B2582">
        <v>26907</v>
      </c>
      <c r="C2582">
        <v>1004</v>
      </c>
      <c r="D2582">
        <v>1</v>
      </c>
      <c r="E2582">
        <v>399.98</v>
      </c>
    </row>
    <row r="2583" spans="1:5" x14ac:dyDescent="0.3">
      <c r="A2583">
        <v>67414</v>
      </c>
      <c r="B2583">
        <v>26909</v>
      </c>
      <c r="C2583">
        <v>502</v>
      </c>
      <c r="D2583">
        <v>5</v>
      </c>
      <c r="E2583">
        <v>250</v>
      </c>
    </row>
    <row r="2584" spans="1:5" x14ac:dyDescent="0.3">
      <c r="A2584">
        <v>67416</v>
      </c>
      <c r="B2584">
        <v>26909</v>
      </c>
      <c r="C2584">
        <v>1014</v>
      </c>
      <c r="D2584">
        <v>4</v>
      </c>
      <c r="E2584">
        <v>199.92</v>
      </c>
    </row>
    <row r="2585" spans="1:5" x14ac:dyDescent="0.3">
      <c r="A2585">
        <v>67415</v>
      </c>
      <c r="B2585">
        <v>26909</v>
      </c>
      <c r="C2585">
        <v>502</v>
      </c>
      <c r="D2585">
        <v>3</v>
      </c>
      <c r="E2585">
        <v>150</v>
      </c>
    </row>
    <row r="2586" spans="1:5" x14ac:dyDescent="0.3">
      <c r="A2586">
        <v>67434</v>
      </c>
      <c r="B2586">
        <v>26917</v>
      </c>
      <c r="C2586">
        <v>1014</v>
      </c>
      <c r="D2586">
        <v>4</v>
      </c>
      <c r="E2586">
        <v>199.92</v>
      </c>
    </row>
    <row r="2587" spans="1:5" x14ac:dyDescent="0.3">
      <c r="A2587">
        <v>67432</v>
      </c>
      <c r="B2587">
        <v>26917</v>
      </c>
      <c r="C2587">
        <v>1014</v>
      </c>
      <c r="D2587">
        <v>4</v>
      </c>
      <c r="E2587">
        <v>199.92</v>
      </c>
    </row>
    <row r="2588" spans="1:5" x14ac:dyDescent="0.3">
      <c r="A2588">
        <v>67433</v>
      </c>
      <c r="B2588">
        <v>26917</v>
      </c>
      <c r="C2588">
        <v>627</v>
      </c>
      <c r="D2588">
        <v>5</v>
      </c>
      <c r="E2588">
        <v>199.95</v>
      </c>
    </row>
    <row r="2589" spans="1:5" x14ac:dyDescent="0.3">
      <c r="A2589">
        <v>67446</v>
      </c>
      <c r="B2589">
        <v>26923</v>
      </c>
      <c r="C2589">
        <v>403</v>
      </c>
      <c r="D2589">
        <v>1</v>
      </c>
      <c r="E2589">
        <v>129.99</v>
      </c>
    </row>
    <row r="2590" spans="1:5" x14ac:dyDescent="0.3">
      <c r="A2590">
        <v>67450</v>
      </c>
      <c r="B2590">
        <v>26924</v>
      </c>
      <c r="C2590">
        <v>1073</v>
      </c>
      <c r="D2590">
        <v>1</v>
      </c>
      <c r="E2590">
        <v>199.99</v>
      </c>
    </row>
    <row r="2591" spans="1:5" x14ac:dyDescent="0.3">
      <c r="A2591">
        <v>67449</v>
      </c>
      <c r="B2591">
        <v>26924</v>
      </c>
      <c r="C2591">
        <v>1014</v>
      </c>
      <c r="D2591">
        <v>4</v>
      </c>
      <c r="E2591">
        <v>199.92</v>
      </c>
    </row>
    <row r="2592" spans="1:5" x14ac:dyDescent="0.3">
      <c r="A2592">
        <v>67448</v>
      </c>
      <c r="B2592">
        <v>26924</v>
      </c>
      <c r="C2592">
        <v>365</v>
      </c>
      <c r="D2592">
        <v>1</v>
      </c>
      <c r="E2592">
        <v>59.99</v>
      </c>
    </row>
    <row r="2593" spans="1:5" x14ac:dyDescent="0.3">
      <c r="A2593">
        <v>67447</v>
      </c>
      <c r="B2593">
        <v>26924</v>
      </c>
      <c r="C2593">
        <v>502</v>
      </c>
      <c r="D2593">
        <v>2</v>
      </c>
      <c r="E2593">
        <v>100</v>
      </c>
    </row>
    <row r="2594" spans="1:5" x14ac:dyDescent="0.3">
      <c r="A2594">
        <v>67484</v>
      </c>
      <c r="B2594">
        <v>26941</v>
      </c>
      <c r="C2594">
        <v>1073</v>
      </c>
      <c r="D2594">
        <v>1</v>
      </c>
      <c r="E2594">
        <v>199.99</v>
      </c>
    </row>
    <row r="2595" spans="1:5" x14ac:dyDescent="0.3">
      <c r="A2595">
        <v>67486</v>
      </c>
      <c r="B2595">
        <v>26941</v>
      </c>
      <c r="C2595">
        <v>1014</v>
      </c>
      <c r="D2595">
        <v>1</v>
      </c>
      <c r="E2595">
        <v>49.98</v>
      </c>
    </row>
    <row r="2596" spans="1:5" x14ac:dyDescent="0.3">
      <c r="A2596">
        <v>67485</v>
      </c>
      <c r="B2596">
        <v>26941</v>
      </c>
      <c r="C2596">
        <v>1014</v>
      </c>
      <c r="D2596">
        <v>1</v>
      </c>
      <c r="E2596">
        <v>49.98</v>
      </c>
    </row>
    <row r="2597" spans="1:5" x14ac:dyDescent="0.3">
      <c r="A2597">
        <v>67487</v>
      </c>
      <c r="B2597">
        <v>26941</v>
      </c>
      <c r="C2597">
        <v>191</v>
      </c>
      <c r="D2597">
        <v>4</v>
      </c>
      <c r="E2597">
        <v>399.96</v>
      </c>
    </row>
    <row r="2598" spans="1:5" x14ac:dyDescent="0.3">
      <c r="A2598">
        <v>67488</v>
      </c>
      <c r="B2598">
        <v>26941</v>
      </c>
      <c r="C2598">
        <v>627</v>
      </c>
      <c r="D2598">
        <v>4</v>
      </c>
      <c r="E2598">
        <v>159.96</v>
      </c>
    </row>
    <row r="2599" spans="1:5" x14ac:dyDescent="0.3">
      <c r="A2599">
        <v>67490</v>
      </c>
      <c r="B2599">
        <v>26942</v>
      </c>
      <c r="C2599">
        <v>1014</v>
      </c>
      <c r="D2599">
        <v>5</v>
      </c>
      <c r="E2599">
        <v>249.9</v>
      </c>
    </row>
    <row r="2600" spans="1:5" x14ac:dyDescent="0.3">
      <c r="A2600">
        <v>67489</v>
      </c>
      <c r="B2600">
        <v>26942</v>
      </c>
      <c r="C2600">
        <v>403</v>
      </c>
      <c r="D2600">
        <v>1</v>
      </c>
      <c r="E2600">
        <v>129.99</v>
      </c>
    </row>
    <row r="2601" spans="1:5" x14ac:dyDescent="0.3">
      <c r="A2601">
        <v>67491</v>
      </c>
      <c r="B2601">
        <v>26942</v>
      </c>
      <c r="C2601">
        <v>191</v>
      </c>
      <c r="D2601">
        <v>5</v>
      </c>
      <c r="E2601">
        <v>499.95</v>
      </c>
    </row>
    <row r="2602" spans="1:5" x14ac:dyDescent="0.3">
      <c r="A2602">
        <v>67493</v>
      </c>
      <c r="B2602">
        <v>26943</v>
      </c>
      <c r="C2602">
        <v>1073</v>
      </c>
      <c r="D2602">
        <v>1</v>
      </c>
      <c r="E2602">
        <v>199.99</v>
      </c>
    </row>
    <row r="2603" spans="1:5" x14ac:dyDescent="0.3">
      <c r="A2603">
        <v>67492</v>
      </c>
      <c r="B2603">
        <v>26943</v>
      </c>
      <c r="C2603">
        <v>627</v>
      </c>
      <c r="D2603">
        <v>2</v>
      </c>
      <c r="E2603">
        <v>79.98</v>
      </c>
    </row>
    <row r="2604" spans="1:5" x14ac:dyDescent="0.3">
      <c r="A2604">
        <v>67497</v>
      </c>
      <c r="B2604">
        <v>26945</v>
      </c>
      <c r="C2604">
        <v>365</v>
      </c>
      <c r="D2604">
        <v>1</v>
      </c>
      <c r="E2604">
        <v>59.99</v>
      </c>
    </row>
    <row r="2605" spans="1:5" x14ac:dyDescent="0.3">
      <c r="A2605">
        <v>67586</v>
      </c>
      <c r="B2605">
        <v>26984</v>
      </c>
      <c r="C2605">
        <v>1014</v>
      </c>
      <c r="D2605">
        <v>2</v>
      </c>
      <c r="E2605">
        <v>99.96</v>
      </c>
    </row>
    <row r="2606" spans="1:5" x14ac:dyDescent="0.3">
      <c r="A2606">
        <v>67587</v>
      </c>
      <c r="B2606">
        <v>26984</v>
      </c>
      <c r="C2606">
        <v>828</v>
      </c>
      <c r="D2606">
        <v>3</v>
      </c>
      <c r="E2606">
        <v>95.97</v>
      </c>
    </row>
    <row r="2607" spans="1:5" x14ac:dyDescent="0.3">
      <c r="A2607">
        <v>67589</v>
      </c>
      <c r="B2607">
        <v>26985</v>
      </c>
      <c r="C2607">
        <v>365</v>
      </c>
      <c r="D2607">
        <v>5</v>
      </c>
      <c r="E2607">
        <v>299.95</v>
      </c>
    </row>
    <row r="2608" spans="1:5" x14ac:dyDescent="0.3">
      <c r="A2608">
        <v>67590</v>
      </c>
      <c r="B2608">
        <v>26985</v>
      </c>
      <c r="C2608">
        <v>502</v>
      </c>
      <c r="D2608">
        <v>5</v>
      </c>
      <c r="E2608">
        <v>250</v>
      </c>
    </row>
    <row r="2609" spans="1:5" x14ac:dyDescent="0.3">
      <c r="A2609">
        <v>67588</v>
      </c>
      <c r="B2609">
        <v>26985</v>
      </c>
      <c r="C2609">
        <v>1073</v>
      </c>
      <c r="D2609">
        <v>1</v>
      </c>
      <c r="E2609">
        <v>199.99</v>
      </c>
    </row>
    <row r="2610" spans="1:5" x14ac:dyDescent="0.3">
      <c r="A2610">
        <v>67664</v>
      </c>
      <c r="B2610">
        <v>27013</v>
      </c>
      <c r="C2610">
        <v>957</v>
      </c>
      <c r="D2610">
        <v>1</v>
      </c>
      <c r="E2610">
        <v>299.98</v>
      </c>
    </row>
    <row r="2611" spans="1:5" x14ac:dyDescent="0.3">
      <c r="A2611">
        <v>67665</v>
      </c>
      <c r="B2611">
        <v>27013</v>
      </c>
      <c r="C2611">
        <v>191</v>
      </c>
      <c r="D2611">
        <v>4</v>
      </c>
      <c r="E2611">
        <v>399.96</v>
      </c>
    </row>
    <row r="2612" spans="1:5" x14ac:dyDescent="0.3">
      <c r="A2612">
        <v>67663</v>
      </c>
      <c r="B2612">
        <v>27013</v>
      </c>
      <c r="C2612">
        <v>1073</v>
      </c>
      <c r="D2612">
        <v>1</v>
      </c>
      <c r="E2612">
        <v>199.99</v>
      </c>
    </row>
    <row r="2613" spans="1:5" x14ac:dyDescent="0.3">
      <c r="A2613">
        <v>67667</v>
      </c>
      <c r="B2613">
        <v>27014</v>
      </c>
      <c r="C2613">
        <v>957</v>
      </c>
      <c r="D2613">
        <v>1</v>
      </c>
      <c r="E2613">
        <v>299.98</v>
      </c>
    </row>
    <row r="2614" spans="1:5" x14ac:dyDescent="0.3">
      <c r="A2614">
        <v>67666</v>
      </c>
      <c r="B2614">
        <v>27014</v>
      </c>
      <c r="C2614">
        <v>502</v>
      </c>
      <c r="D2614">
        <v>5</v>
      </c>
      <c r="E2614">
        <v>250</v>
      </c>
    </row>
    <row r="2615" spans="1:5" x14ac:dyDescent="0.3">
      <c r="A2615">
        <v>67668</v>
      </c>
      <c r="B2615">
        <v>27015</v>
      </c>
      <c r="C2615">
        <v>1073</v>
      </c>
      <c r="D2615">
        <v>1</v>
      </c>
      <c r="E2615">
        <v>199.99</v>
      </c>
    </row>
    <row r="2616" spans="1:5" x14ac:dyDescent="0.3">
      <c r="A2616">
        <v>67669</v>
      </c>
      <c r="B2616">
        <v>27015</v>
      </c>
      <c r="C2616">
        <v>1004</v>
      </c>
      <c r="D2616">
        <v>1</v>
      </c>
      <c r="E2616">
        <v>399.98</v>
      </c>
    </row>
    <row r="2617" spans="1:5" x14ac:dyDescent="0.3">
      <c r="A2617">
        <v>67689</v>
      </c>
      <c r="B2617">
        <v>27024</v>
      </c>
      <c r="C2617">
        <v>1073</v>
      </c>
      <c r="D2617">
        <v>1</v>
      </c>
      <c r="E2617">
        <v>199.99</v>
      </c>
    </row>
    <row r="2618" spans="1:5" x14ac:dyDescent="0.3">
      <c r="A2618">
        <v>67690</v>
      </c>
      <c r="B2618">
        <v>27024</v>
      </c>
      <c r="C2618">
        <v>502</v>
      </c>
      <c r="D2618">
        <v>1</v>
      </c>
      <c r="E2618">
        <v>50</v>
      </c>
    </row>
    <row r="2619" spans="1:5" x14ac:dyDescent="0.3">
      <c r="A2619">
        <v>67720</v>
      </c>
      <c r="B2619">
        <v>27033</v>
      </c>
      <c r="C2619">
        <v>1073</v>
      </c>
      <c r="D2619">
        <v>1</v>
      </c>
      <c r="E2619">
        <v>199.99</v>
      </c>
    </row>
    <row r="2620" spans="1:5" x14ac:dyDescent="0.3">
      <c r="A2620">
        <v>67719</v>
      </c>
      <c r="B2620">
        <v>27033</v>
      </c>
      <c r="C2620">
        <v>403</v>
      </c>
      <c r="D2620">
        <v>1</v>
      </c>
      <c r="E2620">
        <v>129.99</v>
      </c>
    </row>
    <row r="2621" spans="1:5" x14ac:dyDescent="0.3">
      <c r="A2621">
        <v>67721</v>
      </c>
      <c r="B2621">
        <v>27033</v>
      </c>
      <c r="C2621">
        <v>957</v>
      </c>
      <c r="D2621">
        <v>1</v>
      </c>
      <c r="E2621">
        <v>299.98</v>
      </c>
    </row>
    <row r="2622" spans="1:5" x14ac:dyDescent="0.3">
      <c r="A2622">
        <v>67723</v>
      </c>
      <c r="B2622">
        <v>27033</v>
      </c>
      <c r="C2622">
        <v>627</v>
      </c>
      <c r="D2622">
        <v>4</v>
      </c>
      <c r="E2622">
        <v>159.96</v>
      </c>
    </row>
    <row r="2623" spans="1:5" x14ac:dyDescent="0.3">
      <c r="A2623">
        <v>67722</v>
      </c>
      <c r="B2623">
        <v>27033</v>
      </c>
      <c r="C2623">
        <v>1014</v>
      </c>
      <c r="D2623">
        <v>4</v>
      </c>
      <c r="E2623">
        <v>199.92</v>
      </c>
    </row>
    <row r="2624" spans="1:5" x14ac:dyDescent="0.3">
      <c r="A2624">
        <v>67724</v>
      </c>
      <c r="B2624">
        <v>27034</v>
      </c>
      <c r="C2624">
        <v>1073</v>
      </c>
      <c r="D2624">
        <v>1</v>
      </c>
      <c r="E2624">
        <v>199.99</v>
      </c>
    </row>
    <row r="2625" spans="1:5" x14ac:dyDescent="0.3">
      <c r="A2625">
        <v>67725</v>
      </c>
      <c r="B2625">
        <v>27034</v>
      </c>
      <c r="C2625">
        <v>403</v>
      </c>
      <c r="D2625">
        <v>1</v>
      </c>
      <c r="E2625">
        <v>129.99</v>
      </c>
    </row>
    <row r="2626" spans="1:5" x14ac:dyDescent="0.3">
      <c r="A2626">
        <v>67728</v>
      </c>
      <c r="B2626">
        <v>27034</v>
      </c>
      <c r="C2626">
        <v>957</v>
      </c>
      <c r="D2626">
        <v>1</v>
      </c>
      <c r="E2626">
        <v>299.98</v>
      </c>
    </row>
    <row r="2627" spans="1:5" x14ac:dyDescent="0.3">
      <c r="A2627">
        <v>67726</v>
      </c>
      <c r="B2627">
        <v>27034</v>
      </c>
      <c r="C2627">
        <v>191</v>
      </c>
      <c r="D2627">
        <v>2</v>
      </c>
      <c r="E2627">
        <v>199.98</v>
      </c>
    </row>
    <row r="2628" spans="1:5" x14ac:dyDescent="0.3">
      <c r="A2628">
        <v>67727</v>
      </c>
      <c r="B2628">
        <v>27034</v>
      </c>
      <c r="C2628">
        <v>502</v>
      </c>
      <c r="D2628">
        <v>3</v>
      </c>
      <c r="E2628">
        <v>150</v>
      </c>
    </row>
    <row r="2629" spans="1:5" x14ac:dyDescent="0.3">
      <c r="A2629">
        <v>67741</v>
      </c>
      <c r="B2629">
        <v>27038</v>
      </c>
      <c r="C2629">
        <v>365</v>
      </c>
      <c r="D2629">
        <v>2</v>
      </c>
      <c r="E2629">
        <v>119.98</v>
      </c>
    </row>
    <row r="2630" spans="1:5" x14ac:dyDescent="0.3">
      <c r="A2630">
        <v>67740</v>
      </c>
      <c r="B2630">
        <v>27038</v>
      </c>
      <c r="C2630">
        <v>1014</v>
      </c>
      <c r="D2630">
        <v>4</v>
      </c>
      <c r="E2630">
        <v>199.92</v>
      </c>
    </row>
    <row r="2631" spans="1:5" x14ac:dyDescent="0.3">
      <c r="A2631">
        <v>67745</v>
      </c>
      <c r="B2631">
        <v>27039</v>
      </c>
      <c r="C2631">
        <v>403</v>
      </c>
      <c r="D2631">
        <v>1</v>
      </c>
      <c r="E2631">
        <v>129.99</v>
      </c>
    </row>
    <row r="2632" spans="1:5" x14ac:dyDescent="0.3">
      <c r="A2632">
        <v>67746</v>
      </c>
      <c r="B2632">
        <v>27039</v>
      </c>
      <c r="C2632">
        <v>502</v>
      </c>
      <c r="D2632">
        <v>1</v>
      </c>
      <c r="E2632">
        <v>50</v>
      </c>
    </row>
    <row r="2633" spans="1:5" x14ac:dyDescent="0.3">
      <c r="A2633">
        <v>67744</v>
      </c>
      <c r="B2633">
        <v>27039</v>
      </c>
      <c r="C2633">
        <v>957</v>
      </c>
      <c r="D2633">
        <v>1</v>
      </c>
      <c r="E2633">
        <v>299.98</v>
      </c>
    </row>
    <row r="2634" spans="1:5" x14ac:dyDescent="0.3">
      <c r="A2634">
        <v>67742</v>
      </c>
      <c r="B2634">
        <v>27039</v>
      </c>
      <c r="C2634">
        <v>1014</v>
      </c>
      <c r="D2634">
        <v>1</v>
      </c>
      <c r="E2634">
        <v>49.98</v>
      </c>
    </row>
    <row r="2635" spans="1:5" x14ac:dyDescent="0.3">
      <c r="A2635">
        <v>67743</v>
      </c>
      <c r="B2635">
        <v>27039</v>
      </c>
      <c r="C2635">
        <v>1004</v>
      </c>
      <c r="D2635">
        <v>1</v>
      </c>
      <c r="E2635">
        <v>399.98</v>
      </c>
    </row>
    <row r="2636" spans="1:5" x14ac:dyDescent="0.3">
      <c r="A2636">
        <v>67750</v>
      </c>
      <c r="B2636">
        <v>27040</v>
      </c>
      <c r="C2636">
        <v>365</v>
      </c>
      <c r="D2636">
        <v>2</v>
      </c>
      <c r="E2636">
        <v>119.98</v>
      </c>
    </row>
    <row r="2637" spans="1:5" x14ac:dyDescent="0.3">
      <c r="A2637">
        <v>67749</v>
      </c>
      <c r="B2637">
        <v>27040</v>
      </c>
      <c r="C2637">
        <v>191</v>
      </c>
      <c r="D2637">
        <v>3</v>
      </c>
      <c r="E2637">
        <v>299.97000000000003</v>
      </c>
    </row>
    <row r="2638" spans="1:5" x14ac:dyDescent="0.3">
      <c r="A2638">
        <v>67747</v>
      </c>
      <c r="B2638">
        <v>27040</v>
      </c>
      <c r="C2638">
        <v>627</v>
      </c>
      <c r="D2638">
        <v>4</v>
      </c>
      <c r="E2638">
        <v>159.96</v>
      </c>
    </row>
    <row r="2639" spans="1:5" x14ac:dyDescent="0.3">
      <c r="A2639">
        <v>67748</v>
      </c>
      <c r="B2639">
        <v>27040</v>
      </c>
      <c r="C2639">
        <v>502</v>
      </c>
      <c r="D2639">
        <v>5</v>
      </c>
      <c r="E2639">
        <v>250</v>
      </c>
    </row>
    <row r="2640" spans="1:5" x14ac:dyDescent="0.3">
      <c r="A2640">
        <v>67752</v>
      </c>
      <c r="B2640">
        <v>27041</v>
      </c>
      <c r="C2640">
        <v>1014</v>
      </c>
      <c r="D2640">
        <v>1</v>
      </c>
      <c r="E2640">
        <v>49.98</v>
      </c>
    </row>
    <row r="2641" spans="1:5" x14ac:dyDescent="0.3">
      <c r="A2641">
        <v>67753</v>
      </c>
      <c r="B2641">
        <v>27041</v>
      </c>
      <c r="C2641">
        <v>365</v>
      </c>
      <c r="D2641">
        <v>1</v>
      </c>
      <c r="E2641">
        <v>59.99</v>
      </c>
    </row>
    <row r="2642" spans="1:5" x14ac:dyDescent="0.3">
      <c r="A2642">
        <v>67751</v>
      </c>
      <c r="B2642">
        <v>27041</v>
      </c>
      <c r="C2642">
        <v>886</v>
      </c>
      <c r="D2642">
        <v>2</v>
      </c>
      <c r="E2642">
        <v>49.98</v>
      </c>
    </row>
    <row r="2643" spans="1:5" x14ac:dyDescent="0.3">
      <c r="A2643">
        <v>67757</v>
      </c>
      <c r="B2643">
        <v>27043</v>
      </c>
      <c r="C2643">
        <v>1073</v>
      </c>
      <c r="D2643">
        <v>1</v>
      </c>
      <c r="E2643">
        <v>199.99</v>
      </c>
    </row>
    <row r="2644" spans="1:5" x14ac:dyDescent="0.3">
      <c r="A2644">
        <v>67756</v>
      </c>
      <c r="B2644">
        <v>27043</v>
      </c>
      <c r="C2644">
        <v>403</v>
      </c>
      <c r="D2644">
        <v>1</v>
      </c>
      <c r="E2644">
        <v>129.99</v>
      </c>
    </row>
    <row r="2645" spans="1:5" x14ac:dyDescent="0.3">
      <c r="A2645">
        <v>67755</v>
      </c>
      <c r="B2645">
        <v>27043</v>
      </c>
      <c r="C2645">
        <v>403</v>
      </c>
      <c r="D2645">
        <v>1</v>
      </c>
      <c r="E2645">
        <v>129.99</v>
      </c>
    </row>
    <row r="2646" spans="1:5" x14ac:dyDescent="0.3">
      <c r="A2646">
        <v>67754</v>
      </c>
      <c r="B2646">
        <v>27043</v>
      </c>
      <c r="C2646">
        <v>191</v>
      </c>
      <c r="D2646">
        <v>3</v>
      </c>
      <c r="E2646">
        <v>299.97000000000003</v>
      </c>
    </row>
    <row r="2647" spans="1:5" x14ac:dyDescent="0.3">
      <c r="A2647">
        <v>67759</v>
      </c>
      <c r="B2647">
        <v>27044</v>
      </c>
      <c r="C2647">
        <v>627</v>
      </c>
      <c r="D2647">
        <v>2</v>
      </c>
      <c r="E2647">
        <v>79.98</v>
      </c>
    </row>
    <row r="2648" spans="1:5" x14ac:dyDescent="0.3">
      <c r="A2648">
        <v>67758</v>
      </c>
      <c r="B2648">
        <v>27044</v>
      </c>
      <c r="C2648">
        <v>1004</v>
      </c>
      <c r="D2648">
        <v>1</v>
      </c>
      <c r="E2648">
        <v>399.98</v>
      </c>
    </row>
    <row r="2649" spans="1:5" x14ac:dyDescent="0.3">
      <c r="A2649">
        <v>67775</v>
      </c>
      <c r="B2649">
        <v>27049</v>
      </c>
      <c r="C2649">
        <v>1073</v>
      </c>
      <c r="D2649">
        <v>1</v>
      </c>
      <c r="E2649">
        <v>199.99</v>
      </c>
    </row>
    <row r="2650" spans="1:5" x14ac:dyDescent="0.3">
      <c r="A2650">
        <v>67776</v>
      </c>
      <c r="B2650">
        <v>27050</v>
      </c>
      <c r="C2650">
        <v>93</v>
      </c>
      <c r="D2650">
        <v>4</v>
      </c>
      <c r="E2650">
        <v>99.96</v>
      </c>
    </row>
    <row r="2651" spans="1:5" x14ac:dyDescent="0.3">
      <c r="A2651">
        <v>67777</v>
      </c>
      <c r="B2651">
        <v>27050</v>
      </c>
      <c r="C2651">
        <v>502</v>
      </c>
      <c r="D2651">
        <v>1</v>
      </c>
      <c r="E2651">
        <v>50</v>
      </c>
    </row>
    <row r="2652" spans="1:5" x14ac:dyDescent="0.3">
      <c r="A2652">
        <v>67778</v>
      </c>
      <c r="B2652">
        <v>27051</v>
      </c>
      <c r="C2652">
        <v>1014</v>
      </c>
      <c r="D2652">
        <v>1</v>
      </c>
      <c r="E2652">
        <v>49.98</v>
      </c>
    </row>
    <row r="2653" spans="1:5" x14ac:dyDescent="0.3">
      <c r="A2653">
        <v>67782</v>
      </c>
      <c r="B2653">
        <v>27051</v>
      </c>
      <c r="C2653">
        <v>403</v>
      </c>
      <c r="D2653">
        <v>1</v>
      </c>
      <c r="E2653">
        <v>129.99</v>
      </c>
    </row>
    <row r="2654" spans="1:5" x14ac:dyDescent="0.3">
      <c r="A2654">
        <v>67779</v>
      </c>
      <c r="B2654">
        <v>27051</v>
      </c>
      <c r="C2654">
        <v>403</v>
      </c>
      <c r="D2654">
        <v>1</v>
      </c>
      <c r="E2654">
        <v>129.99</v>
      </c>
    </row>
    <row r="2655" spans="1:5" x14ac:dyDescent="0.3">
      <c r="A2655">
        <v>67780</v>
      </c>
      <c r="B2655">
        <v>27051</v>
      </c>
      <c r="C2655">
        <v>365</v>
      </c>
      <c r="D2655">
        <v>3</v>
      </c>
      <c r="E2655">
        <v>179.97</v>
      </c>
    </row>
    <row r="2656" spans="1:5" x14ac:dyDescent="0.3">
      <c r="A2656">
        <v>67781</v>
      </c>
      <c r="B2656">
        <v>27051</v>
      </c>
      <c r="C2656">
        <v>1004</v>
      </c>
      <c r="D2656">
        <v>1</v>
      </c>
      <c r="E2656">
        <v>399.98</v>
      </c>
    </row>
    <row r="2657" spans="1:5" x14ac:dyDescent="0.3">
      <c r="A2657">
        <v>67831</v>
      </c>
      <c r="B2657">
        <v>27069</v>
      </c>
      <c r="C2657">
        <v>191</v>
      </c>
      <c r="D2657">
        <v>5</v>
      </c>
      <c r="E2657">
        <v>499.95</v>
      </c>
    </row>
    <row r="2658" spans="1:5" x14ac:dyDescent="0.3">
      <c r="A2658">
        <v>67830</v>
      </c>
      <c r="B2658">
        <v>27069</v>
      </c>
      <c r="C2658">
        <v>1014</v>
      </c>
      <c r="D2658">
        <v>2</v>
      </c>
      <c r="E2658">
        <v>99.96</v>
      </c>
    </row>
    <row r="2659" spans="1:5" x14ac:dyDescent="0.3">
      <c r="A2659">
        <v>67832</v>
      </c>
      <c r="B2659">
        <v>27070</v>
      </c>
      <c r="C2659">
        <v>365</v>
      </c>
      <c r="D2659">
        <v>5</v>
      </c>
      <c r="E2659">
        <v>299.95</v>
      </c>
    </row>
    <row r="2660" spans="1:5" x14ac:dyDescent="0.3">
      <c r="A2660">
        <v>67833</v>
      </c>
      <c r="B2660">
        <v>27070</v>
      </c>
      <c r="C2660">
        <v>1004</v>
      </c>
      <c r="D2660">
        <v>1</v>
      </c>
      <c r="E2660">
        <v>399.98</v>
      </c>
    </row>
    <row r="2661" spans="1:5" x14ac:dyDescent="0.3">
      <c r="A2661">
        <v>67838</v>
      </c>
      <c r="B2661">
        <v>27072</v>
      </c>
      <c r="C2661">
        <v>403</v>
      </c>
      <c r="D2661">
        <v>1</v>
      </c>
      <c r="E2661">
        <v>129.99</v>
      </c>
    </row>
    <row r="2662" spans="1:5" x14ac:dyDescent="0.3">
      <c r="A2662">
        <v>67835</v>
      </c>
      <c r="B2662">
        <v>27072</v>
      </c>
      <c r="C2662">
        <v>403</v>
      </c>
      <c r="D2662">
        <v>1</v>
      </c>
      <c r="E2662">
        <v>129.99</v>
      </c>
    </row>
    <row r="2663" spans="1:5" x14ac:dyDescent="0.3">
      <c r="A2663">
        <v>67837</v>
      </c>
      <c r="B2663">
        <v>27072</v>
      </c>
      <c r="C2663">
        <v>810</v>
      </c>
      <c r="D2663">
        <v>1</v>
      </c>
      <c r="E2663">
        <v>19.989999999999998</v>
      </c>
    </row>
    <row r="2664" spans="1:5" x14ac:dyDescent="0.3">
      <c r="A2664">
        <v>67836</v>
      </c>
      <c r="B2664">
        <v>27072</v>
      </c>
      <c r="C2664">
        <v>1004</v>
      </c>
      <c r="D2664">
        <v>1</v>
      </c>
      <c r="E2664">
        <v>399.98</v>
      </c>
    </row>
    <row r="2665" spans="1:5" x14ac:dyDescent="0.3">
      <c r="A2665">
        <v>67834</v>
      </c>
      <c r="B2665">
        <v>27072</v>
      </c>
      <c r="C2665">
        <v>1004</v>
      </c>
      <c r="D2665">
        <v>1</v>
      </c>
      <c r="E2665">
        <v>399.98</v>
      </c>
    </row>
    <row r="2666" spans="1:5" x14ac:dyDescent="0.3">
      <c r="A2666">
        <v>67938</v>
      </c>
      <c r="B2666">
        <v>27115</v>
      </c>
      <c r="C2666">
        <v>957</v>
      </c>
      <c r="D2666">
        <v>1</v>
      </c>
      <c r="E2666">
        <v>299.98</v>
      </c>
    </row>
    <row r="2667" spans="1:5" x14ac:dyDescent="0.3">
      <c r="A2667">
        <v>68001</v>
      </c>
      <c r="B2667">
        <v>27142</v>
      </c>
      <c r="C2667">
        <v>403</v>
      </c>
      <c r="D2667">
        <v>1</v>
      </c>
      <c r="E2667">
        <v>129.99</v>
      </c>
    </row>
    <row r="2668" spans="1:5" x14ac:dyDescent="0.3">
      <c r="A2668">
        <v>67999</v>
      </c>
      <c r="B2668">
        <v>27142</v>
      </c>
      <c r="C2668">
        <v>403</v>
      </c>
      <c r="D2668">
        <v>1</v>
      </c>
      <c r="E2668">
        <v>129.99</v>
      </c>
    </row>
    <row r="2669" spans="1:5" x14ac:dyDescent="0.3">
      <c r="A2669">
        <v>67997</v>
      </c>
      <c r="B2669">
        <v>27142</v>
      </c>
      <c r="C2669">
        <v>924</v>
      </c>
      <c r="D2669">
        <v>1</v>
      </c>
      <c r="E2669">
        <v>15.99</v>
      </c>
    </row>
    <row r="2670" spans="1:5" x14ac:dyDescent="0.3">
      <c r="A2670">
        <v>67998</v>
      </c>
      <c r="B2670">
        <v>27142</v>
      </c>
      <c r="C2670">
        <v>567</v>
      </c>
      <c r="D2670">
        <v>5</v>
      </c>
      <c r="E2670">
        <v>125</v>
      </c>
    </row>
    <row r="2671" spans="1:5" x14ac:dyDescent="0.3">
      <c r="A2671">
        <v>68000</v>
      </c>
      <c r="B2671">
        <v>27142</v>
      </c>
      <c r="C2671">
        <v>1014</v>
      </c>
      <c r="D2671">
        <v>2</v>
      </c>
      <c r="E2671">
        <v>99.96</v>
      </c>
    </row>
    <row r="2672" spans="1:5" x14ac:dyDescent="0.3">
      <c r="A2672">
        <v>68037</v>
      </c>
      <c r="B2672">
        <v>27160</v>
      </c>
      <c r="C2672">
        <v>1004</v>
      </c>
      <c r="D2672">
        <v>1</v>
      </c>
      <c r="E2672">
        <v>399.98</v>
      </c>
    </row>
    <row r="2673" spans="1:5" x14ac:dyDescent="0.3">
      <c r="A2673">
        <v>68041</v>
      </c>
      <c r="B2673">
        <v>27161</v>
      </c>
      <c r="C2673">
        <v>403</v>
      </c>
      <c r="D2673">
        <v>1</v>
      </c>
      <c r="E2673">
        <v>129.99</v>
      </c>
    </row>
    <row r="2674" spans="1:5" x14ac:dyDescent="0.3">
      <c r="A2674">
        <v>68040</v>
      </c>
      <c r="B2674">
        <v>27161</v>
      </c>
      <c r="C2674">
        <v>403</v>
      </c>
      <c r="D2674">
        <v>1</v>
      </c>
      <c r="E2674">
        <v>129.99</v>
      </c>
    </row>
    <row r="2675" spans="1:5" x14ac:dyDescent="0.3">
      <c r="A2675">
        <v>68039</v>
      </c>
      <c r="B2675">
        <v>27161</v>
      </c>
      <c r="C2675">
        <v>957</v>
      </c>
      <c r="D2675">
        <v>1</v>
      </c>
      <c r="E2675">
        <v>299.98</v>
      </c>
    </row>
    <row r="2676" spans="1:5" x14ac:dyDescent="0.3">
      <c r="A2676">
        <v>68038</v>
      </c>
      <c r="B2676">
        <v>27161</v>
      </c>
      <c r="C2676">
        <v>191</v>
      </c>
      <c r="D2676">
        <v>3</v>
      </c>
      <c r="E2676">
        <v>299.97000000000003</v>
      </c>
    </row>
    <row r="2677" spans="1:5" x14ac:dyDescent="0.3">
      <c r="A2677">
        <v>68043</v>
      </c>
      <c r="B2677">
        <v>27162</v>
      </c>
      <c r="C2677">
        <v>365</v>
      </c>
      <c r="D2677">
        <v>5</v>
      </c>
      <c r="E2677">
        <v>299.95</v>
      </c>
    </row>
    <row r="2678" spans="1:5" x14ac:dyDescent="0.3">
      <c r="A2678">
        <v>68042</v>
      </c>
      <c r="B2678">
        <v>27162</v>
      </c>
      <c r="C2678">
        <v>365</v>
      </c>
      <c r="D2678">
        <v>5</v>
      </c>
      <c r="E2678">
        <v>299.95</v>
      </c>
    </row>
    <row r="2679" spans="1:5" x14ac:dyDescent="0.3">
      <c r="A2679">
        <v>68044</v>
      </c>
      <c r="B2679">
        <v>27163</v>
      </c>
      <c r="C2679">
        <v>627</v>
      </c>
      <c r="D2679">
        <v>1</v>
      </c>
      <c r="E2679">
        <v>39.99</v>
      </c>
    </row>
    <row r="2680" spans="1:5" x14ac:dyDescent="0.3">
      <c r="A2680">
        <v>68047</v>
      </c>
      <c r="B2680">
        <v>27163</v>
      </c>
      <c r="C2680">
        <v>627</v>
      </c>
      <c r="D2680">
        <v>3</v>
      </c>
      <c r="E2680">
        <v>119.97</v>
      </c>
    </row>
    <row r="2681" spans="1:5" x14ac:dyDescent="0.3">
      <c r="A2681">
        <v>68046</v>
      </c>
      <c r="B2681">
        <v>27163</v>
      </c>
      <c r="C2681">
        <v>885</v>
      </c>
      <c r="D2681">
        <v>3</v>
      </c>
      <c r="E2681">
        <v>74.97</v>
      </c>
    </row>
    <row r="2682" spans="1:5" x14ac:dyDescent="0.3">
      <c r="A2682">
        <v>68045</v>
      </c>
      <c r="B2682">
        <v>27163</v>
      </c>
      <c r="C2682">
        <v>627</v>
      </c>
      <c r="D2682">
        <v>4</v>
      </c>
      <c r="E2682">
        <v>159.96</v>
      </c>
    </row>
    <row r="2683" spans="1:5" x14ac:dyDescent="0.3">
      <c r="A2683">
        <v>68048</v>
      </c>
      <c r="B2683">
        <v>27163</v>
      </c>
      <c r="C2683">
        <v>897</v>
      </c>
      <c r="D2683">
        <v>5</v>
      </c>
      <c r="E2683">
        <v>124.95</v>
      </c>
    </row>
    <row r="2684" spans="1:5" x14ac:dyDescent="0.3">
      <c r="A2684">
        <v>68050</v>
      </c>
      <c r="B2684">
        <v>27165</v>
      </c>
      <c r="C2684">
        <v>191</v>
      </c>
      <c r="D2684">
        <v>1</v>
      </c>
      <c r="E2684">
        <v>99.99</v>
      </c>
    </row>
    <row r="2685" spans="1:5" x14ac:dyDescent="0.3">
      <c r="A2685">
        <v>68049</v>
      </c>
      <c r="B2685">
        <v>27165</v>
      </c>
      <c r="C2685">
        <v>403</v>
      </c>
      <c r="D2685">
        <v>1</v>
      </c>
      <c r="E2685">
        <v>129.99</v>
      </c>
    </row>
    <row r="2686" spans="1:5" x14ac:dyDescent="0.3">
      <c r="A2686">
        <v>68132</v>
      </c>
      <c r="B2686">
        <v>27194</v>
      </c>
      <c r="C2686">
        <v>502</v>
      </c>
      <c r="D2686">
        <v>3</v>
      </c>
      <c r="E2686">
        <v>150</v>
      </c>
    </row>
    <row r="2687" spans="1:5" x14ac:dyDescent="0.3">
      <c r="A2687">
        <v>68143</v>
      </c>
      <c r="B2687">
        <v>27200</v>
      </c>
      <c r="C2687">
        <v>191</v>
      </c>
      <c r="D2687">
        <v>5</v>
      </c>
      <c r="E2687">
        <v>499.95</v>
      </c>
    </row>
    <row r="2688" spans="1:5" x14ac:dyDescent="0.3">
      <c r="A2688">
        <v>68144</v>
      </c>
      <c r="B2688">
        <v>27200</v>
      </c>
      <c r="C2688">
        <v>403</v>
      </c>
      <c r="D2688">
        <v>1</v>
      </c>
      <c r="E2688">
        <v>129.99</v>
      </c>
    </row>
    <row r="2689" spans="1:5" x14ac:dyDescent="0.3">
      <c r="A2689">
        <v>68141</v>
      </c>
      <c r="B2689">
        <v>27200</v>
      </c>
      <c r="C2689">
        <v>403</v>
      </c>
      <c r="D2689">
        <v>1</v>
      </c>
      <c r="E2689">
        <v>129.99</v>
      </c>
    </row>
    <row r="2690" spans="1:5" x14ac:dyDescent="0.3">
      <c r="A2690">
        <v>68142</v>
      </c>
      <c r="B2690">
        <v>27200</v>
      </c>
      <c r="C2690">
        <v>957</v>
      </c>
      <c r="D2690">
        <v>1</v>
      </c>
      <c r="E2690">
        <v>299.98</v>
      </c>
    </row>
    <row r="2691" spans="1:5" x14ac:dyDescent="0.3">
      <c r="A2691">
        <v>68145</v>
      </c>
      <c r="B2691">
        <v>27200</v>
      </c>
      <c r="C2691">
        <v>365</v>
      </c>
      <c r="D2691">
        <v>3</v>
      </c>
      <c r="E2691">
        <v>179.97</v>
      </c>
    </row>
    <row r="2692" spans="1:5" x14ac:dyDescent="0.3">
      <c r="A2692">
        <v>68147</v>
      </c>
      <c r="B2692">
        <v>27201</v>
      </c>
      <c r="C2692">
        <v>775</v>
      </c>
      <c r="D2692">
        <v>1</v>
      </c>
      <c r="E2692">
        <v>9.99</v>
      </c>
    </row>
    <row r="2693" spans="1:5" x14ac:dyDescent="0.3">
      <c r="A2693">
        <v>68146</v>
      </c>
      <c r="B2693">
        <v>27201</v>
      </c>
      <c r="C2693">
        <v>502</v>
      </c>
      <c r="D2693">
        <v>3</v>
      </c>
      <c r="E2693">
        <v>150</v>
      </c>
    </row>
    <row r="2694" spans="1:5" x14ac:dyDescent="0.3">
      <c r="A2694">
        <v>68148</v>
      </c>
      <c r="B2694">
        <v>27202</v>
      </c>
      <c r="C2694">
        <v>957</v>
      </c>
      <c r="D2694">
        <v>1</v>
      </c>
      <c r="E2694">
        <v>299.98</v>
      </c>
    </row>
    <row r="2695" spans="1:5" x14ac:dyDescent="0.3">
      <c r="A2695">
        <v>68234</v>
      </c>
      <c r="B2695">
        <v>27235</v>
      </c>
      <c r="C2695">
        <v>191</v>
      </c>
      <c r="D2695">
        <v>1</v>
      </c>
      <c r="E2695">
        <v>99.99</v>
      </c>
    </row>
    <row r="2696" spans="1:5" x14ac:dyDescent="0.3">
      <c r="A2696">
        <v>68231</v>
      </c>
      <c r="B2696">
        <v>27235</v>
      </c>
      <c r="C2696">
        <v>403</v>
      </c>
      <c r="D2696">
        <v>1</v>
      </c>
      <c r="E2696">
        <v>129.99</v>
      </c>
    </row>
    <row r="2697" spans="1:5" x14ac:dyDescent="0.3">
      <c r="A2697">
        <v>68232</v>
      </c>
      <c r="B2697">
        <v>27235</v>
      </c>
      <c r="C2697">
        <v>804</v>
      </c>
      <c r="D2697">
        <v>2</v>
      </c>
      <c r="E2697">
        <v>39.979999999999997</v>
      </c>
    </row>
    <row r="2698" spans="1:5" x14ac:dyDescent="0.3">
      <c r="A2698">
        <v>68233</v>
      </c>
      <c r="B2698">
        <v>27235</v>
      </c>
      <c r="C2698">
        <v>365</v>
      </c>
      <c r="D2698">
        <v>5</v>
      </c>
      <c r="E2698">
        <v>299.95</v>
      </c>
    </row>
    <row r="2699" spans="1:5" x14ac:dyDescent="0.3">
      <c r="A2699">
        <v>68230</v>
      </c>
      <c r="B2699">
        <v>27235</v>
      </c>
      <c r="C2699">
        <v>1014</v>
      </c>
      <c r="D2699">
        <v>5</v>
      </c>
      <c r="E2699">
        <v>249.9</v>
      </c>
    </row>
    <row r="2700" spans="1:5" x14ac:dyDescent="0.3">
      <c r="A2700">
        <v>68240</v>
      </c>
      <c r="B2700">
        <v>27239</v>
      </c>
      <c r="C2700">
        <v>191</v>
      </c>
      <c r="D2700">
        <v>1</v>
      </c>
      <c r="E2700">
        <v>99.99</v>
      </c>
    </row>
    <row r="2701" spans="1:5" x14ac:dyDescent="0.3">
      <c r="A2701">
        <v>68242</v>
      </c>
      <c r="B2701">
        <v>27239</v>
      </c>
      <c r="C2701">
        <v>627</v>
      </c>
      <c r="D2701">
        <v>2</v>
      </c>
      <c r="E2701">
        <v>79.98</v>
      </c>
    </row>
    <row r="2702" spans="1:5" x14ac:dyDescent="0.3">
      <c r="A2702">
        <v>68241</v>
      </c>
      <c r="B2702">
        <v>27239</v>
      </c>
      <c r="C2702">
        <v>1004</v>
      </c>
      <c r="D2702">
        <v>1</v>
      </c>
      <c r="E2702">
        <v>399.98</v>
      </c>
    </row>
    <row r="2703" spans="1:5" x14ac:dyDescent="0.3">
      <c r="A2703">
        <v>68293</v>
      </c>
      <c r="B2703">
        <v>27261</v>
      </c>
      <c r="C2703">
        <v>365</v>
      </c>
      <c r="D2703">
        <v>1</v>
      </c>
      <c r="E2703">
        <v>59.99</v>
      </c>
    </row>
    <row r="2704" spans="1:5" x14ac:dyDescent="0.3">
      <c r="A2704">
        <v>68292</v>
      </c>
      <c r="B2704">
        <v>27261</v>
      </c>
      <c r="C2704">
        <v>957</v>
      </c>
      <c r="D2704">
        <v>1</v>
      </c>
      <c r="E2704">
        <v>299.98</v>
      </c>
    </row>
    <row r="2705" spans="1:5" x14ac:dyDescent="0.3">
      <c r="A2705">
        <v>68291</v>
      </c>
      <c r="B2705">
        <v>27261</v>
      </c>
      <c r="C2705">
        <v>502</v>
      </c>
      <c r="D2705">
        <v>2</v>
      </c>
      <c r="E2705">
        <v>100</v>
      </c>
    </row>
    <row r="2706" spans="1:5" x14ac:dyDescent="0.3">
      <c r="A2706">
        <v>68294</v>
      </c>
      <c r="B2706">
        <v>27264</v>
      </c>
      <c r="C2706">
        <v>957</v>
      </c>
      <c r="D2706">
        <v>1</v>
      </c>
      <c r="E2706">
        <v>299.98</v>
      </c>
    </row>
    <row r="2707" spans="1:5" x14ac:dyDescent="0.3">
      <c r="A2707">
        <v>68308</v>
      </c>
      <c r="B2707">
        <v>27270</v>
      </c>
      <c r="C2707">
        <v>365</v>
      </c>
      <c r="D2707">
        <v>1</v>
      </c>
      <c r="E2707">
        <v>59.99</v>
      </c>
    </row>
    <row r="2708" spans="1:5" x14ac:dyDescent="0.3">
      <c r="A2708">
        <v>68306</v>
      </c>
      <c r="B2708">
        <v>27270</v>
      </c>
      <c r="C2708">
        <v>365</v>
      </c>
      <c r="D2708">
        <v>5</v>
      </c>
      <c r="E2708">
        <v>299.95</v>
      </c>
    </row>
    <row r="2709" spans="1:5" x14ac:dyDescent="0.3">
      <c r="A2709">
        <v>68307</v>
      </c>
      <c r="B2709">
        <v>27270</v>
      </c>
      <c r="C2709">
        <v>1014</v>
      </c>
      <c r="D2709">
        <v>2</v>
      </c>
      <c r="E2709">
        <v>99.96</v>
      </c>
    </row>
    <row r="2710" spans="1:5" x14ac:dyDescent="0.3">
      <c r="A2710">
        <v>68309</v>
      </c>
      <c r="B2710">
        <v>27270</v>
      </c>
      <c r="C2710">
        <v>1004</v>
      </c>
      <c r="D2710">
        <v>1</v>
      </c>
      <c r="E2710">
        <v>399.98</v>
      </c>
    </row>
    <row r="2711" spans="1:5" x14ac:dyDescent="0.3">
      <c r="A2711">
        <v>68311</v>
      </c>
      <c r="B2711">
        <v>27271</v>
      </c>
      <c r="C2711">
        <v>957</v>
      </c>
      <c r="D2711">
        <v>1</v>
      </c>
      <c r="E2711">
        <v>299.98</v>
      </c>
    </row>
    <row r="2712" spans="1:5" x14ac:dyDescent="0.3">
      <c r="A2712">
        <v>68314</v>
      </c>
      <c r="B2712">
        <v>27271</v>
      </c>
      <c r="C2712">
        <v>365</v>
      </c>
      <c r="D2712">
        <v>3</v>
      </c>
      <c r="E2712">
        <v>179.97</v>
      </c>
    </row>
    <row r="2713" spans="1:5" x14ac:dyDescent="0.3">
      <c r="A2713">
        <v>68312</v>
      </c>
      <c r="B2713">
        <v>27271</v>
      </c>
      <c r="C2713">
        <v>365</v>
      </c>
      <c r="D2713">
        <v>4</v>
      </c>
      <c r="E2713">
        <v>239.96</v>
      </c>
    </row>
    <row r="2714" spans="1:5" x14ac:dyDescent="0.3">
      <c r="A2714">
        <v>68310</v>
      </c>
      <c r="B2714">
        <v>27271</v>
      </c>
      <c r="C2714">
        <v>627</v>
      </c>
      <c r="D2714">
        <v>4</v>
      </c>
      <c r="E2714">
        <v>159.96</v>
      </c>
    </row>
    <row r="2715" spans="1:5" x14ac:dyDescent="0.3">
      <c r="A2715">
        <v>68313</v>
      </c>
      <c r="B2715">
        <v>27271</v>
      </c>
      <c r="C2715">
        <v>1014</v>
      </c>
      <c r="D2715">
        <v>2</v>
      </c>
      <c r="E2715">
        <v>99.96</v>
      </c>
    </row>
    <row r="2716" spans="1:5" x14ac:dyDescent="0.3">
      <c r="A2716">
        <v>68315</v>
      </c>
      <c r="B2716">
        <v>27272</v>
      </c>
      <c r="C2716">
        <v>957</v>
      </c>
      <c r="D2716">
        <v>1</v>
      </c>
      <c r="E2716">
        <v>299.98</v>
      </c>
    </row>
    <row r="2717" spans="1:5" x14ac:dyDescent="0.3">
      <c r="A2717">
        <v>68317</v>
      </c>
      <c r="B2717">
        <v>27273</v>
      </c>
      <c r="C2717">
        <v>403</v>
      </c>
      <c r="D2717">
        <v>1</v>
      </c>
      <c r="E2717">
        <v>129.99</v>
      </c>
    </row>
    <row r="2718" spans="1:5" x14ac:dyDescent="0.3">
      <c r="A2718">
        <v>68320</v>
      </c>
      <c r="B2718">
        <v>27273</v>
      </c>
      <c r="C2718">
        <v>627</v>
      </c>
      <c r="D2718">
        <v>3</v>
      </c>
      <c r="E2718">
        <v>119.97</v>
      </c>
    </row>
    <row r="2719" spans="1:5" x14ac:dyDescent="0.3">
      <c r="A2719">
        <v>68316</v>
      </c>
      <c r="B2719">
        <v>27273</v>
      </c>
      <c r="C2719">
        <v>365</v>
      </c>
      <c r="D2719">
        <v>4</v>
      </c>
      <c r="E2719">
        <v>239.96</v>
      </c>
    </row>
    <row r="2720" spans="1:5" x14ac:dyDescent="0.3">
      <c r="A2720">
        <v>68318</v>
      </c>
      <c r="B2720">
        <v>27273</v>
      </c>
      <c r="C2720">
        <v>502</v>
      </c>
      <c r="D2720">
        <v>5</v>
      </c>
      <c r="E2720">
        <v>250</v>
      </c>
    </row>
    <row r="2721" spans="1:5" x14ac:dyDescent="0.3">
      <c r="A2721">
        <v>68319</v>
      </c>
      <c r="B2721">
        <v>27273</v>
      </c>
      <c r="C2721">
        <v>778</v>
      </c>
      <c r="D2721">
        <v>2</v>
      </c>
      <c r="E2721">
        <v>49.98</v>
      </c>
    </row>
    <row r="2722" spans="1:5" x14ac:dyDescent="0.3">
      <c r="A2722">
        <v>68338</v>
      </c>
      <c r="B2722">
        <v>27281</v>
      </c>
      <c r="C2722">
        <v>1073</v>
      </c>
      <c r="D2722">
        <v>1</v>
      </c>
      <c r="E2722">
        <v>199.99</v>
      </c>
    </row>
    <row r="2723" spans="1:5" x14ac:dyDescent="0.3">
      <c r="A2723">
        <v>68347</v>
      </c>
      <c r="B2723">
        <v>27288</v>
      </c>
      <c r="C2723">
        <v>403</v>
      </c>
      <c r="D2723">
        <v>1</v>
      </c>
      <c r="E2723">
        <v>129.99</v>
      </c>
    </row>
    <row r="2724" spans="1:5" x14ac:dyDescent="0.3">
      <c r="A2724">
        <v>68348</v>
      </c>
      <c r="B2724">
        <v>27288</v>
      </c>
      <c r="C2724">
        <v>365</v>
      </c>
      <c r="D2724">
        <v>3</v>
      </c>
      <c r="E2724">
        <v>179.97</v>
      </c>
    </row>
    <row r="2725" spans="1:5" x14ac:dyDescent="0.3">
      <c r="A2725">
        <v>68349</v>
      </c>
      <c r="B2725">
        <v>27288</v>
      </c>
      <c r="C2725">
        <v>191</v>
      </c>
      <c r="D2725">
        <v>5</v>
      </c>
      <c r="E2725">
        <v>499.95</v>
      </c>
    </row>
    <row r="2726" spans="1:5" x14ac:dyDescent="0.3">
      <c r="A2726">
        <v>68350</v>
      </c>
      <c r="B2726">
        <v>27288</v>
      </c>
      <c r="C2726">
        <v>365</v>
      </c>
      <c r="D2726">
        <v>5</v>
      </c>
      <c r="E2726">
        <v>299.95</v>
      </c>
    </row>
    <row r="2727" spans="1:5" x14ac:dyDescent="0.3">
      <c r="A2727">
        <v>68351</v>
      </c>
      <c r="B2727">
        <v>27288</v>
      </c>
      <c r="C2727">
        <v>1014</v>
      </c>
      <c r="D2727">
        <v>3</v>
      </c>
      <c r="E2727">
        <v>149.94</v>
      </c>
    </row>
    <row r="2728" spans="1:5" x14ac:dyDescent="0.3">
      <c r="A2728">
        <v>68353</v>
      </c>
      <c r="B2728">
        <v>27289</v>
      </c>
      <c r="C2728">
        <v>502</v>
      </c>
      <c r="D2728">
        <v>5</v>
      </c>
      <c r="E2728">
        <v>250</v>
      </c>
    </row>
    <row r="2729" spans="1:5" x14ac:dyDescent="0.3">
      <c r="A2729">
        <v>68352</v>
      </c>
      <c r="B2729">
        <v>27289</v>
      </c>
      <c r="C2729">
        <v>778</v>
      </c>
      <c r="D2729">
        <v>1</v>
      </c>
      <c r="E2729">
        <v>24.99</v>
      </c>
    </row>
    <row r="2730" spans="1:5" x14ac:dyDescent="0.3">
      <c r="A2730">
        <v>68355</v>
      </c>
      <c r="B2730">
        <v>27289</v>
      </c>
      <c r="C2730">
        <v>403</v>
      </c>
      <c r="D2730">
        <v>1</v>
      </c>
      <c r="E2730">
        <v>129.99</v>
      </c>
    </row>
    <row r="2731" spans="1:5" x14ac:dyDescent="0.3">
      <c r="A2731">
        <v>68354</v>
      </c>
      <c r="B2731">
        <v>27289</v>
      </c>
      <c r="C2731">
        <v>1004</v>
      </c>
      <c r="D2731">
        <v>1</v>
      </c>
      <c r="E2731">
        <v>399.98</v>
      </c>
    </row>
    <row r="2732" spans="1:5" x14ac:dyDescent="0.3">
      <c r="A2732">
        <v>68359</v>
      </c>
      <c r="B2732">
        <v>27290</v>
      </c>
      <c r="C2732">
        <v>403</v>
      </c>
      <c r="D2732">
        <v>1</v>
      </c>
      <c r="E2732">
        <v>129.99</v>
      </c>
    </row>
    <row r="2733" spans="1:5" x14ac:dyDescent="0.3">
      <c r="A2733">
        <v>68357</v>
      </c>
      <c r="B2733">
        <v>27290</v>
      </c>
      <c r="C2733">
        <v>365</v>
      </c>
      <c r="D2733">
        <v>1</v>
      </c>
      <c r="E2733">
        <v>59.99</v>
      </c>
    </row>
    <row r="2734" spans="1:5" x14ac:dyDescent="0.3">
      <c r="A2734">
        <v>68358</v>
      </c>
      <c r="B2734">
        <v>27290</v>
      </c>
      <c r="C2734">
        <v>957</v>
      </c>
      <c r="D2734">
        <v>1</v>
      </c>
      <c r="E2734">
        <v>299.98</v>
      </c>
    </row>
    <row r="2735" spans="1:5" x14ac:dyDescent="0.3">
      <c r="A2735">
        <v>68360</v>
      </c>
      <c r="B2735">
        <v>27290</v>
      </c>
      <c r="C2735">
        <v>502</v>
      </c>
      <c r="D2735">
        <v>2</v>
      </c>
      <c r="E2735">
        <v>100</v>
      </c>
    </row>
    <row r="2736" spans="1:5" x14ac:dyDescent="0.3">
      <c r="A2736">
        <v>68356</v>
      </c>
      <c r="B2736">
        <v>27290</v>
      </c>
      <c r="C2736">
        <v>1014</v>
      </c>
      <c r="D2736">
        <v>5</v>
      </c>
      <c r="E2736">
        <v>249.9</v>
      </c>
    </row>
    <row r="2737" spans="1:5" x14ac:dyDescent="0.3">
      <c r="A2737">
        <v>68363</v>
      </c>
      <c r="B2737">
        <v>27291</v>
      </c>
      <c r="C2737">
        <v>403</v>
      </c>
      <c r="D2737">
        <v>1</v>
      </c>
      <c r="E2737">
        <v>129.99</v>
      </c>
    </row>
    <row r="2738" spans="1:5" x14ac:dyDescent="0.3">
      <c r="A2738">
        <v>68364</v>
      </c>
      <c r="B2738">
        <v>27291</v>
      </c>
      <c r="C2738">
        <v>502</v>
      </c>
      <c r="D2738">
        <v>1</v>
      </c>
      <c r="E2738">
        <v>50</v>
      </c>
    </row>
    <row r="2739" spans="1:5" x14ac:dyDescent="0.3">
      <c r="A2739">
        <v>68362</v>
      </c>
      <c r="B2739">
        <v>27291</v>
      </c>
      <c r="C2739">
        <v>957</v>
      </c>
      <c r="D2739">
        <v>1</v>
      </c>
      <c r="E2739">
        <v>299.98</v>
      </c>
    </row>
    <row r="2740" spans="1:5" x14ac:dyDescent="0.3">
      <c r="A2740">
        <v>68361</v>
      </c>
      <c r="B2740">
        <v>27291</v>
      </c>
      <c r="C2740">
        <v>825</v>
      </c>
      <c r="D2740">
        <v>4</v>
      </c>
      <c r="E2740">
        <v>127.96</v>
      </c>
    </row>
    <row r="2741" spans="1:5" x14ac:dyDescent="0.3">
      <c r="A2741">
        <v>68365</v>
      </c>
      <c r="B2741">
        <v>27292</v>
      </c>
      <c r="C2741">
        <v>191</v>
      </c>
      <c r="D2741">
        <v>1</v>
      </c>
      <c r="E2741">
        <v>99.99</v>
      </c>
    </row>
    <row r="2742" spans="1:5" x14ac:dyDescent="0.3">
      <c r="A2742">
        <v>68368</v>
      </c>
      <c r="B2742">
        <v>27292</v>
      </c>
      <c r="C2742">
        <v>365</v>
      </c>
      <c r="D2742">
        <v>2</v>
      </c>
      <c r="E2742">
        <v>119.98</v>
      </c>
    </row>
    <row r="2743" spans="1:5" x14ac:dyDescent="0.3">
      <c r="A2743">
        <v>68369</v>
      </c>
      <c r="B2743">
        <v>27292</v>
      </c>
      <c r="C2743">
        <v>365</v>
      </c>
      <c r="D2743">
        <v>4</v>
      </c>
      <c r="E2743">
        <v>239.96</v>
      </c>
    </row>
    <row r="2744" spans="1:5" x14ac:dyDescent="0.3">
      <c r="A2744">
        <v>68367</v>
      </c>
      <c r="B2744">
        <v>27292</v>
      </c>
      <c r="C2744">
        <v>502</v>
      </c>
      <c r="D2744">
        <v>5</v>
      </c>
      <c r="E2744">
        <v>250</v>
      </c>
    </row>
    <row r="2745" spans="1:5" x14ac:dyDescent="0.3">
      <c r="A2745">
        <v>68366</v>
      </c>
      <c r="B2745">
        <v>27292</v>
      </c>
      <c r="C2745">
        <v>1014</v>
      </c>
      <c r="D2745">
        <v>5</v>
      </c>
      <c r="E2745">
        <v>249.9</v>
      </c>
    </row>
    <row r="2746" spans="1:5" x14ac:dyDescent="0.3">
      <c r="A2746">
        <v>68371</v>
      </c>
      <c r="B2746">
        <v>27293</v>
      </c>
      <c r="C2746">
        <v>1073</v>
      </c>
      <c r="D2746">
        <v>1</v>
      </c>
      <c r="E2746">
        <v>199.99</v>
      </c>
    </row>
    <row r="2747" spans="1:5" x14ac:dyDescent="0.3">
      <c r="A2747">
        <v>68372</v>
      </c>
      <c r="B2747">
        <v>27293</v>
      </c>
      <c r="C2747">
        <v>957</v>
      </c>
      <c r="D2747">
        <v>1</v>
      </c>
      <c r="E2747">
        <v>299.98</v>
      </c>
    </row>
    <row r="2748" spans="1:5" x14ac:dyDescent="0.3">
      <c r="A2748">
        <v>68370</v>
      </c>
      <c r="B2748">
        <v>27293</v>
      </c>
      <c r="C2748">
        <v>1014</v>
      </c>
      <c r="D2748">
        <v>1</v>
      </c>
      <c r="E2748">
        <v>49.98</v>
      </c>
    </row>
    <row r="2749" spans="1:5" x14ac:dyDescent="0.3">
      <c r="A2749">
        <v>68381</v>
      </c>
      <c r="B2749">
        <v>27300</v>
      </c>
      <c r="C2749">
        <v>365</v>
      </c>
      <c r="D2749">
        <v>3</v>
      </c>
      <c r="E2749">
        <v>179.97</v>
      </c>
    </row>
    <row r="2750" spans="1:5" x14ac:dyDescent="0.3">
      <c r="A2750">
        <v>68378</v>
      </c>
      <c r="B2750">
        <v>27300</v>
      </c>
      <c r="C2750">
        <v>565</v>
      </c>
      <c r="D2750">
        <v>5</v>
      </c>
      <c r="E2750">
        <v>350</v>
      </c>
    </row>
    <row r="2751" spans="1:5" x14ac:dyDescent="0.3">
      <c r="A2751">
        <v>68382</v>
      </c>
      <c r="B2751">
        <v>27300</v>
      </c>
      <c r="C2751">
        <v>1014</v>
      </c>
      <c r="D2751">
        <v>2</v>
      </c>
      <c r="E2751">
        <v>99.96</v>
      </c>
    </row>
    <row r="2752" spans="1:5" x14ac:dyDescent="0.3">
      <c r="A2752">
        <v>68379</v>
      </c>
      <c r="B2752">
        <v>27300</v>
      </c>
      <c r="C2752">
        <v>1014</v>
      </c>
      <c r="D2752">
        <v>2</v>
      </c>
      <c r="E2752">
        <v>99.96</v>
      </c>
    </row>
    <row r="2753" spans="1:5" x14ac:dyDescent="0.3">
      <c r="A2753">
        <v>68380</v>
      </c>
      <c r="B2753">
        <v>27300</v>
      </c>
      <c r="C2753">
        <v>1004</v>
      </c>
      <c r="D2753">
        <v>1</v>
      </c>
      <c r="E2753">
        <v>399.98</v>
      </c>
    </row>
    <row r="2754" spans="1:5" x14ac:dyDescent="0.3">
      <c r="A2754">
        <v>68502</v>
      </c>
      <c r="B2754">
        <v>27351</v>
      </c>
      <c r="C2754">
        <v>365</v>
      </c>
      <c r="D2754">
        <v>1</v>
      </c>
      <c r="E2754">
        <v>59.99</v>
      </c>
    </row>
    <row r="2755" spans="1:5" x14ac:dyDescent="0.3">
      <c r="A2755">
        <v>68504</v>
      </c>
      <c r="B2755">
        <v>27353</v>
      </c>
      <c r="C2755">
        <v>1004</v>
      </c>
      <c r="D2755">
        <v>1</v>
      </c>
      <c r="E2755">
        <v>399.98</v>
      </c>
    </row>
    <row r="2756" spans="1:5" x14ac:dyDescent="0.3">
      <c r="A2756">
        <v>68503</v>
      </c>
      <c r="B2756">
        <v>27353</v>
      </c>
      <c r="C2756">
        <v>1004</v>
      </c>
      <c r="D2756">
        <v>1</v>
      </c>
      <c r="E2756">
        <v>399.98</v>
      </c>
    </row>
    <row r="2757" spans="1:5" x14ac:dyDescent="0.3">
      <c r="A2757">
        <v>68528</v>
      </c>
      <c r="B2757">
        <v>27366</v>
      </c>
      <c r="C2757">
        <v>793</v>
      </c>
      <c r="D2757">
        <v>1</v>
      </c>
      <c r="E2757">
        <v>14.99</v>
      </c>
    </row>
    <row r="2758" spans="1:5" x14ac:dyDescent="0.3">
      <c r="A2758">
        <v>68530</v>
      </c>
      <c r="B2758">
        <v>27366</v>
      </c>
      <c r="C2758">
        <v>1073</v>
      </c>
      <c r="D2758">
        <v>1</v>
      </c>
      <c r="E2758">
        <v>199.99</v>
      </c>
    </row>
    <row r="2759" spans="1:5" x14ac:dyDescent="0.3">
      <c r="A2759">
        <v>68526</v>
      </c>
      <c r="B2759">
        <v>27366</v>
      </c>
      <c r="C2759">
        <v>403</v>
      </c>
      <c r="D2759">
        <v>1</v>
      </c>
      <c r="E2759">
        <v>129.99</v>
      </c>
    </row>
    <row r="2760" spans="1:5" x14ac:dyDescent="0.3">
      <c r="A2760">
        <v>68529</v>
      </c>
      <c r="B2760">
        <v>27366</v>
      </c>
      <c r="C2760">
        <v>627</v>
      </c>
      <c r="D2760">
        <v>3</v>
      </c>
      <c r="E2760">
        <v>119.97</v>
      </c>
    </row>
    <row r="2761" spans="1:5" x14ac:dyDescent="0.3">
      <c r="A2761">
        <v>68527</v>
      </c>
      <c r="B2761">
        <v>27366</v>
      </c>
      <c r="C2761">
        <v>502</v>
      </c>
      <c r="D2761">
        <v>4</v>
      </c>
      <c r="E2761">
        <v>200</v>
      </c>
    </row>
    <row r="2762" spans="1:5" x14ac:dyDescent="0.3">
      <c r="A2762">
        <v>68533</v>
      </c>
      <c r="B2762">
        <v>27367</v>
      </c>
      <c r="C2762">
        <v>1073</v>
      </c>
      <c r="D2762">
        <v>1</v>
      </c>
      <c r="E2762">
        <v>199.99</v>
      </c>
    </row>
    <row r="2763" spans="1:5" x14ac:dyDescent="0.3">
      <c r="A2763">
        <v>68534</v>
      </c>
      <c r="B2763">
        <v>27367</v>
      </c>
      <c r="C2763">
        <v>403</v>
      </c>
      <c r="D2763">
        <v>1</v>
      </c>
      <c r="E2763">
        <v>129.99</v>
      </c>
    </row>
    <row r="2764" spans="1:5" x14ac:dyDescent="0.3">
      <c r="A2764">
        <v>68532</v>
      </c>
      <c r="B2764">
        <v>27367</v>
      </c>
      <c r="C2764">
        <v>957</v>
      </c>
      <c r="D2764">
        <v>1</v>
      </c>
      <c r="E2764">
        <v>299.98</v>
      </c>
    </row>
    <row r="2765" spans="1:5" x14ac:dyDescent="0.3">
      <c r="A2765">
        <v>68531</v>
      </c>
      <c r="B2765">
        <v>27367</v>
      </c>
      <c r="C2765">
        <v>957</v>
      </c>
      <c r="D2765">
        <v>1</v>
      </c>
      <c r="E2765">
        <v>299.98</v>
      </c>
    </row>
    <row r="2766" spans="1:5" x14ac:dyDescent="0.3">
      <c r="A2766">
        <v>68535</v>
      </c>
      <c r="B2766">
        <v>27367</v>
      </c>
      <c r="C2766">
        <v>502</v>
      </c>
      <c r="D2766">
        <v>3</v>
      </c>
      <c r="E2766">
        <v>150</v>
      </c>
    </row>
    <row r="2767" spans="1:5" x14ac:dyDescent="0.3">
      <c r="A2767">
        <v>68537</v>
      </c>
      <c r="B2767">
        <v>27368</v>
      </c>
      <c r="C2767">
        <v>1014</v>
      </c>
      <c r="D2767">
        <v>4</v>
      </c>
      <c r="E2767">
        <v>199.92</v>
      </c>
    </row>
    <row r="2768" spans="1:5" x14ac:dyDescent="0.3">
      <c r="A2768">
        <v>68536</v>
      </c>
      <c r="B2768">
        <v>27368</v>
      </c>
      <c r="C2768">
        <v>1014</v>
      </c>
      <c r="D2768">
        <v>5</v>
      </c>
      <c r="E2768">
        <v>249.9</v>
      </c>
    </row>
    <row r="2769" spans="1:5" x14ac:dyDescent="0.3">
      <c r="A2769">
        <v>68538</v>
      </c>
      <c r="B2769">
        <v>27368</v>
      </c>
      <c r="C2769">
        <v>1004</v>
      </c>
      <c r="D2769">
        <v>1</v>
      </c>
      <c r="E2769">
        <v>399.98</v>
      </c>
    </row>
    <row r="2770" spans="1:5" x14ac:dyDescent="0.3">
      <c r="A2770">
        <v>68576</v>
      </c>
      <c r="B2770">
        <v>27381</v>
      </c>
      <c r="C2770">
        <v>1073</v>
      </c>
      <c r="D2770">
        <v>1</v>
      </c>
      <c r="E2770">
        <v>199.99</v>
      </c>
    </row>
    <row r="2771" spans="1:5" x14ac:dyDescent="0.3">
      <c r="A2771">
        <v>68575</v>
      </c>
      <c r="B2771">
        <v>27381</v>
      </c>
      <c r="C2771">
        <v>1014</v>
      </c>
      <c r="D2771">
        <v>4</v>
      </c>
      <c r="E2771">
        <v>199.92</v>
      </c>
    </row>
    <row r="2772" spans="1:5" x14ac:dyDescent="0.3">
      <c r="A2772">
        <v>68574</v>
      </c>
      <c r="B2772">
        <v>27381</v>
      </c>
      <c r="C2772">
        <v>191</v>
      </c>
      <c r="D2772">
        <v>2</v>
      </c>
      <c r="E2772">
        <v>199.98</v>
      </c>
    </row>
    <row r="2773" spans="1:5" x14ac:dyDescent="0.3">
      <c r="A2773">
        <v>68577</v>
      </c>
      <c r="B2773">
        <v>27381</v>
      </c>
      <c r="C2773">
        <v>502</v>
      </c>
      <c r="D2773">
        <v>3</v>
      </c>
      <c r="E2773">
        <v>150</v>
      </c>
    </row>
    <row r="2774" spans="1:5" x14ac:dyDescent="0.3">
      <c r="A2774">
        <v>68634</v>
      </c>
      <c r="B2774">
        <v>27412</v>
      </c>
      <c r="C2774">
        <v>403</v>
      </c>
      <c r="D2774">
        <v>1</v>
      </c>
      <c r="E2774">
        <v>129.99</v>
      </c>
    </row>
    <row r="2775" spans="1:5" x14ac:dyDescent="0.3">
      <c r="A2775">
        <v>68633</v>
      </c>
      <c r="B2775">
        <v>27412</v>
      </c>
      <c r="C2775">
        <v>821</v>
      </c>
      <c r="D2775">
        <v>1</v>
      </c>
      <c r="E2775">
        <v>51.99</v>
      </c>
    </row>
    <row r="2776" spans="1:5" x14ac:dyDescent="0.3">
      <c r="A2776">
        <v>68632</v>
      </c>
      <c r="B2776">
        <v>27412</v>
      </c>
      <c r="C2776">
        <v>917</v>
      </c>
      <c r="D2776">
        <v>1</v>
      </c>
      <c r="E2776">
        <v>21.99</v>
      </c>
    </row>
    <row r="2777" spans="1:5" x14ac:dyDescent="0.3">
      <c r="A2777">
        <v>68635</v>
      </c>
      <c r="B2777">
        <v>27412</v>
      </c>
      <c r="C2777">
        <v>365</v>
      </c>
      <c r="D2777">
        <v>4</v>
      </c>
      <c r="E2777">
        <v>239.96</v>
      </c>
    </row>
    <row r="2778" spans="1:5" x14ac:dyDescent="0.3">
      <c r="A2778">
        <v>68631</v>
      </c>
      <c r="B2778">
        <v>27412</v>
      </c>
      <c r="C2778">
        <v>1014</v>
      </c>
      <c r="D2778">
        <v>3</v>
      </c>
      <c r="E2778">
        <v>149.94</v>
      </c>
    </row>
    <row r="2779" spans="1:5" x14ac:dyDescent="0.3">
      <c r="A2779">
        <v>68636</v>
      </c>
      <c r="B2779">
        <v>27413</v>
      </c>
      <c r="C2779">
        <v>403</v>
      </c>
      <c r="D2779">
        <v>1</v>
      </c>
      <c r="E2779">
        <v>129.99</v>
      </c>
    </row>
    <row r="2780" spans="1:5" x14ac:dyDescent="0.3">
      <c r="A2780">
        <v>68638</v>
      </c>
      <c r="B2780">
        <v>27413</v>
      </c>
      <c r="C2780">
        <v>627</v>
      </c>
      <c r="D2780">
        <v>1</v>
      </c>
      <c r="E2780">
        <v>39.99</v>
      </c>
    </row>
    <row r="2781" spans="1:5" x14ac:dyDescent="0.3">
      <c r="A2781">
        <v>68639</v>
      </c>
      <c r="B2781">
        <v>27413</v>
      </c>
      <c r="C2781">
        <v>191</v>
      </c>
      <c r="D2781">
        <v>4</v>
      </c>
      <c r="E2781">
        <v>399.96</v>
      </c>
    </row>
    <row r="2782" spans="1:5" x14ac:dyDescent="0.3">
      <c r="A2782">
        <v>68640</v>
      </c>
      <c r="B2782">
        <v>27413</v>
      </c>
      <c r="C2782">
        <v>502</v>
      </c>
      <c r="D2782">
        <v>4</v>
      </c>
      <c r="E2782">
        <v>200</v>
      </c>
    </row>
    <row r="2783" spans="1:5" x14ac:dyDescent="0.3">
      <c r="A2783">
        <v>68637</v>
      </c>
      <c r="B2783">
        <v>27413</v>
      </c>
      <c r="C2783">
        <v>502</v>
      </c>
      <c r="D2783">
        <v>4</v>
      </c>
      <c r="E2783">
        <v>200</v>
      </c>
    </row>
    <row r="2784" spans="1:5" x14ac:dyDescent="0.3">
      <c r="A2784">
        <v>68657</v>
      </c>
      <c r="B2784">
        <v>27426</v>
      </c>
      <c r="C2784">
        <v>1004</v>
      </c>
      <c r="D2784">
        <v>1</v>
      </c>
      <c r="E2784">
        <v>399.98</v>
      </c>
    </row>
    <row r="2785" spans="1:5" x14ac:dyDescent="0.3">
      <c r="A2785">
        <v>68658</v>
      </c>
      <c r="B2785">
        <v>27428</v>
      </c>
      <c r="C2785">
        <v>191</v>
      </c>
      <c r="D2785">
        <v>2</v>
      </c>
      <c r="E2785">
        <v>199.98</v>
      </c>
    </row>
    <row r="2786" spans="1:5" x14ac:dyDescent="0.3">
      <c r="A2786">
        <v>68660</v>
      </c>
      <c r="B2786">
        <v>27428</v>
      </c>
      <c r="C2786">
        <v>627</v>
      </c>
      <c r="D2786">
        <v>5</v>
      </c>
      <c r="E2786">
        <v>199.95</v>
      </c>
    </row>
    <row r="2787" spans="1:5" x14ac:dyDescent="0.3">
      <c r="A2787">
        <v>68659</v>
      </c>
      <c r="B2787">
        <v>27428</v>
      </c>
      <c r="C2787">
        <v>1073</v>
      </c>
      <c r="D2787">
        <v>1</v>
      </c>
      <c r="E2787">
        <v>199.99</v>
      </c>
    </row>
    <row r="2788" spans="1:5" x14ac:dyDescent="0.3">
      <c r="A2788">
        <v>68661</v>
      </c>
      <c r="B2788">
        <v>27429</v>
      </c>
      <c r="C2788">
        <v>1014</v>
      </c>
      <c r="D2788">
        <v>4</v>
      </c>
      <c r="E2788">
        <v>199.92</v>
      </c>
    </row>
    <row r="2789" spans="1:5" x14ac:dyDescent="0.3">
      <c r="A2789">
        <v>68662</v>
      </c>
      <c r="B2789">
        <v>27429</v>
      </c>
      <c r="C2789">
        <v>365</v>
      </c>
      <c r="D2789">
        <v>2</v>
      </c>
      <c r="E2789">
        <v>119.98</v>
      </c>
    </row>
    <row r="2790" spans="1:5" x14ac:dyDescent="0.3">
      <c r="A2790">
        <v>68663</v>
      </c>
      <c r="B2790">
        <v>27429</v>
      </c>
      <c r="C2790">
        <v>191</v>
      </c>
      <c r="D2790">
        <v>4</v>
      </c>
      <c r="E2790">
        <v>399.96</v>
      </c>
    </row>
    <row r="2791" spans="1:5" x14ac:dyDescent="0.3">
      <c r="A2791">
        <v>68664</v>
      </c>
      <c r="B2791">
        <v>27430</v>
      </c>
      <c r="C2791">
        <v>1014</v>
      </c>
      <c r="D2791">
        <v>1</v>
      </c>
      <c r="E2791">
        <v>49.98</v>
      </c>
    </row>
    <row r="2792" spans="1:5" x14ac:dyDescent="0.3">
      <c r="A2792">
        <v>68665</v>
      </c>
      <c r="B2792">
        <v>27430</v>
      </c>
      <c r="C2792">
        <v>403</v>
      </c>
      <c r="D2792">
        <v>1</v>
      </c>
      <c r="E2792">
        <v>129.99</v>
      </c>
    </row>
    <row r="2793" spans="1:5" x14ac:dyDescent="0.3">
      <c r="A2793">
        <v>68666</v>
      </c>
      <c r="B2793">
        <v>27430</v>
      </c>
      <c r="C2793">
        <v>821</v>
      </c>
      <c r="D2793">
        <v>1</v>
      </c>
      <c r="E2793">
        <v>51.99</v>
      </c>
    </row>
    <row r="2794" spans="1:5" x14ac:dyDescent="0.3">
      <c r="A2794">
        <v>68667</v>
      </c>
      <c r="B2794">
        <v>27431</v>
      </c>
      <c r="C2794">
        <v>1073</v>
      </c>
      <c r="D2794">
        <v>1</v>
      </c>
      <c r="E2794">
        <v>199.99</v>
      </c>
    </row>
    <row r="2795" spans="1:5" x14ac:dyDescent="0.3">
      <c r="A2795">
        <v>68670</v>
      </c>
      <c r="B2795">
        <v>27432</v>
      </c>
      <c r="C2795">
        <v>1014</v>
      </c>
      <c r="D2795">
        <v>5</v>
      </c>
      <c r="E2795">
        <v>249.9</v>
      </c>
    </row>
    <row r="2796" spans="1:5" x14ac:dyDescent="0.3">
      <c r="A2796">
        <v>68672</v>
      </c>
      <c r="B2796">
        <v>27432</v>
      </c>
      <c r="C2796">
        <v>365</v>
      </c>
      <c r="D2796">
        <v>1</v>
      </c>
      <c r="E2796">
        <v>59.99</v>
      </c>
    </row>
    <row r="2797" spans="1:5" x14ac:dyDescent="0.3">
      <c r="A2797">
        <v>68669</v>
      </c>
      <c r="B2797">
        <v>27432</v>
      </c>
      <c r="C2797">
        <v>191</v>
      </c>
      <c r="D2797">
        <v>2</v>
      </c>
      <c r="E2797">
        <v>199.98</v>
      </c>
    </row>
    <row r="2798" spans="1:5" x14ac:dyDescent="0.3">
      <c r="A2798">
        <v>68671</v>
      </c>
      <c r="B2798">
        <v>27432</v>
      </c>
      <c r="C2798">
        <v>627</v>
      </c>
      <c r="D2798">
        <v>4</v>
      </c>
      <c r="E2798">
        <v>159.96</v>
      </c>
    </row>
    <row r="2799" spans="1:5" x14ac:dyDescent="0.3">
      <c r="A2799">
        <v>68668</v>
      </c>
      <c r="B2799">
        <v>27432</v>
      </c>
      <c r="C2799">
        <v>1004</v>
      </c>
      <c r="D2799">
        <v>1</v>
      </c>
      <c r="E2799">
        <v>399.98</v>
      </c>
    </row>
    <row r="2800" spans="1:5" x14ac:dyDescent="0.3">
      <c r="A2800">
        <v>68712</v>
      </c>
      <c r="B2800">
        <v>27449</v>
      </c>
      <c r="C2800">
        <v>365</v>
      </c>
      <c r="D2800">
        <v>5</v>
      </c>
      <c r="E2800">
        <v>299.95</v>
      </c>
    </row>
    <row r="2801" spans="1:5" x14ac:dyDescent="0.3">
      <c r="A2801">
        <v>68711</v>
      </c>
      <c r="B2801">
        <v>27449</v>
      </c>
      <c r="C2801">
        <v>403</v>
      </c>
      <c r="D2801">
        <v>1</v>
      </c>
      <c r="E2801">
        <v>129.99</v>
      </c>
    </row>
    <row r="2802" spans="1:5" x14ac:dyDescent="0.3">
      <c r="A2802">
        <v>68710</v>
      </c>
      <c r="B2802">
        <v>27449</v>
      </c>
      <c r="C2802">
        <v>957</v>
      </c>
      <c r="D2802">
        <v>1</v>
      </c>
      <c r="E2802">
        <v>299.98</v>
      </c>
    </row>
    <row r="2803" spans="1:5" x14ac:dyDescent="0.3">
      <c r="A2803">
        <v>68716</v>
      </c>
      <c r="B2803">
        <v>27450</v>
      </c>
      <c r="C2803">
        <v>502</v>
      </c>
      <c r="D2803">
        <v>4</v>
      </c>
      <c r="E2803">
        <v>200</v>
      </c>
    </row>
    <row r="2804" spans="1:5" x14ac:dyDescent="0.3">
      <c r="A2804">
        <v>68715</v>
      </c>
      <c r="B2804">
        <v>27450</v>
      </c>
      <c r="C2804">
        <v>502</v>
      </c>
      <c r="D2804">
        <v>1</v>
      </c>
      <c r="E2804">
        <v>50</v>
      </c>
    </row>
    <row r="2805" spans="1:5" x14ac:dyDescent="0.3">
      <c r="A2805">
        <v>68713</v>
      </c>
      <c r="B2805">
        <v>27450</v>
      </c>
      <c r="C2805">
        <v>957</v>
      </c>
      <c r="D2805">
        <v>1</v>
      </c>
      <c r="E2805">
        <v>299.98</v>
      </c>
    </row>
    <row r="2806" spans="1:5" x14ac:dyDescent="0.3">
      <c r="A2806">
        <v>68717</v>
      </c>
      <c r="B2806">
        <v>27450</v>
      </c>
      <c r="C2806">
        <v>502</v>
      </c>
      <c r="D2806">
        <v>2</v>
      </c>
      <c r="E2806">
        <v>100</v>
      </c>
    </row>
    <row r="2807" spans="1:5" x14ac:dyDescent="0.3">
      <c r="A2807">
        <v>68714</v>
      </c>
      <c r="B2807">
        <v>27450</v>
      </c>
      <c r="C2807">
        <v>1004</v>
      </c>
      <c r="D2807">
        <v>1</v>
      </c>
      <c r="E2807">
        <v>399.98</v>
      </c>
    </row>
    <row r="2808" spans="1:5" x14ac:dyDescent="0.3">
      <c r="A2808">
        <v>68720</v>
      </c>
      <c r="B2808">
        <v>27451</v>
      </c>
      <c r="C2808">
        <v>365</v>
      </c>
      <c r="D2808">
        <v>4</v>
      </c>
      <c r="E2808">
        <v>239.96</v>
      </c>
    </row>
    <row r="2809" spans="1:5" x14ac:dyDescent="0.3">
      <c r="A2809">
        <v>68718</v>
      </c>
      <c r="B2809">
        <v>27451</v>
      </c>
      <c r="C2809">
        <v>365</v>
      </c>
      <c r="D2809">
        <v>4</v>
      </c>
      <c r="E2809">
        <v>239.96</v>
      </c>
    </row>
    <row r="2810" spans="1:5" x14ac:dyDescent="0.3">
      <c r="A2810">
        <v>68719</v>
      </c>
      <c r="B2810">
        <v>27451</v>
      </c>
      <c r="C2810">
        <v>1014</v>
      </c>
      <c r="D2810">
        <v>4</v>
      </c>
      <c r="E2810">
        <v>199.92</v>
      </c>
    </row>
    <row r="2811" spans="1:5" x14ac:dyDescent="0.3">
      <c r="A2811">
        <v>68725</v>
      </c>
      <c r="B2811">
        <v>27452</v>
      </c>
      <c r="C2811">
        <v>403</v>
      </c>
      <c r="D2811">
        <v>1</v>
      </c>
      <c r="E2811">
        <v>129.99</v>
      </c>
    </row>
    <row r="2812" spans="1:5" x14ac:dyDescent="0.3">
      <c r="A2812">
        <v>68723</v>
      </c>
      <c r="B2812">
        <v>27452</v>
      </c>
      <c r="C2812">
        <v>365</v>
      </c>
      <c r="D2812">
        <v>3</v>
      </c>
      <c r="E2812">
        <v>179.97</v>
      </c>
    </row>
    <row r="2813" spans="1:5" x14ac:dyDescent="0.3">
      <c r="A2813">
        <v>68724</v>
      </c>
      <c r="B2813">
        <v>27452</v>
      </c>
      <c r="C2813">
        <v>365</v>
      </c>
      <c r="D2813">
        <v>4</v>
      </c>
      <c r="E2813">
        <v>239.96</v>
      </c>
    </row>
    <row r="2814" spans="1:5" x14ac:dyDescent="0.3">
      <c r="A2814">
        <v>68722</v>
      </c>
      <c r="B2814">
        <v>27452</v>
      </c>
      <c r="C2814">
        <v>502</v>
      </c>
      <c r="D2814">
        <v>5</v>
      </c>
      <c r="E2814">
        <v>250</v>
      </c>
    </row>
    <row r="2815" spans="1:5" x14ac:dyDescent="0.3">
      <c r="A2815">
        <v>68721</v>
      </c>
      <c r="B2815">
        <v>27452</v>
      </c>
      <c r="C2815">
        <v>1004</v>
      </c>
      <c r="D2815">
        <v>1</v>
      </c>
      <c r="E2815">
        <v>399.98</v>
      </c>
    </row>
    <row r="2816" spans="1:5" x14ac:dyDescent="0.3">
      <c r="A2816">
        <v>68730</v>
      </c>
      <c r="B2816">
        <v>27454</v>
      </c>
      <c r="C2816">
        <v>403</v>
      </c>
      <c r="D2816">
        <v>1</v>
      </c>
      <c r="E2816">
        <v>129.99</v>
      </c>
    </row>
    <row r="2817" spans="1:5" x14ac:dyDescent="0.3">
      <c r="A2817">
        <v>68728</v>
      </c>
      <c r="B2817">
        <v>27454</v>
      </c>
      <c r="C2817">
        <v>191</v>
      </c>
      <c r="D2817">
        <v>4</v>
      </c>
      <c r="E2817">
        <v>399.96</v>
      </c>
    </row>
    <row r="2818" spans="1:5" x14ac:dyDescent="0.3">
      <c r="A2818">
        <v>68729</v>
      </c>
      <c r="B2818">
        <v>27454</v>
      </c>
      <c r="C2818">
        <v>1004</v>
      </c>
      <c r="D2818">
        <v>1</v>
      </c>
      <c r="E2818">
        <v>399.98</v>
      </c>
    </row>
    <row r="2819" spans="1:5" x14ac:dyDescent="0.3">
      <c r="A2819">
        <v>68755</v>
      </c>
      <c r="B2819">
        <v>27462</v>
      </c>
      <c r="C2819">
        <v>1073</v>
      </c>
      <c r="D2819">
        <v>1</v>
      </c>
      <c r="E2819">
        <v>199.99</v>
      </c>
    </row>
    <row r="2820" spans="1:5" x14ac:dyDescent="0.3">
      <c r="A2820">
        <v>68756</v>
      </c>
      <c r="B2820">
        <v>27462</v>
      </c>
      <c r="C2820">
        <v>828</v>
      </c>
      <c r="D2820">
        <v>1</v>
      </c>
      <c r="E2820">
        <v>31.99</v>
      </c>
    </row>
    <row r="2821" spans="1:5" x14ac:dyDescent="0.3">
      <c r="A2821">
        <v>68754</v>
      </c>
      <c r="B2821">
        <v>27462</v>
      </c>
      <c r="C2821">
        <v>627</v>
      </c>
      <c r="D2821">
        <v>2</v>
      </c>
      <c r="E2821">
        <v>79.98</v>
      </c>
    </row>
    <row r="2822" spans="1:5" x14ac:dyDescent="0.3">
      <c r="A2822">
        <v>68757</v>
      </c>
      <c r="B2822">
        <v>27464</v>
      </c>
      <c r="C2822">
        <v>502</v>
      </c>
      <c r="D2822">
        <v>1</v>
      </c>
      <c r="E2822">
        <v>50</v>
      </c>
    </row>
    <row r="2823" spans="1:5" x14ac:dyDescent="0.3">
      <c r="A2823">
        <v>68759</v>
      </c>
      <c r="B2823">
        <v>27464</v>
      </c>
      <c r="C2823">
        <v>191</v>
      </c>
      <c r="D2823">
        <v>5</v>
      </c>
      <c r="E2823">
        <v>499.95</v>
      </c>
    </row>
    <row r="2824" spans="1:5" x14ac:dyDescent="0.3">
      <c r="A2824">
        <v>68758</v>
      </c>
      <c r="B2824">
        <v>27464</v>
      </c>
      <c r="C2824">
        <v>1014</v>
      </c>
      <c r="D2824">
        <v>2</v>
      </c>
      <c r="E2824">
        <v>99.96</v>
      </c>
    </row>
    <row r="2825" spans="1:5" x14ac:dyDescent="0.3">
      <c r="A2825">
        <v>68798</v>
      </c>
      <c r="B2825">
        <v>27480</v>
      </c>
      <c r="C2825">
        <v>1073</v>
      </c>
      <c r="D2825">
        <v>1</v>
      </c>
      <c r="E2825">
        <v>199.99</v>
      </c>
    </row>
    <row r="2826" spans="1:5" x14ac:dyDescent="0.3">
      <c r="A2826">
        <v>68797</v>
      </c>
      <c r="B2826">
        <v>27480</v>
      </c>
      <c r="C2826">
        <v>1014</v>
      </c>
      <c r="D2826">
        <v>3</v>
      </c>
      <c r="E2826">
        <v>149.94</v>
      </c>
    </row>
    <row r="2827" spans="1:5" x14ac:dyDescent="0.3">
      <c r="A2827">
        <v>68796</v>
      </c>
      <c r="B2827">
        <v>27480</v>
      </c>
      <c r="C2827">
        <v>365</v>
      </c>
      <c r="D2827">
        <v>3</v>
      </c>
      <c r="E2827">
        <v>179.97</v>
      </c>
    </row>
    <row r="2828" spans="1:5" x14ac:dyDescent="0.3">
      <c r="A2828">
        <v>68799</v>
      </c>
      <c r="B2828">
        <v>27480</v>
      </c>
      <c r="C2828">
        <v>191</v>
      </c>
      <c r="D2828">
        <v>4</v>
      </c>
      <c r="E2828">
        <v>399.96</v>
      </c>
    </row>
    <row r="2829" spans="1:5" x14ac:dyDescent="0.3">
      <c r="A2829">
        <v>68801</v>
      </c>
      <c r="B2829">
        <v>27481</v>
      </c>
      <c r="C2829">
        <v>191</v>
      </c>
      <c r="D2829">
        <v>1</v>
      </c>
      <c r="E2829">
        <v>99.99</v>
      </c>
    </row>
    <row r="2830" spans="1:5" x14ac:dyDescent="0.3">
      <c r="A2830">
        <v>68800</v>
      </c>
      <c r="B2830">
        <v>27481</v>
      </c>
      <c r="C2830">
        <v>365</v>
      </c>
      <c r="D2830">
        <v>3</v>
      </c>
      <c r="E2830">
        <v>179.97</v>
      </c>
    </row>
    <row r="2831" spans="1:5" x14ac:dyDescent="0.3">
      <c r="A2831">
        <v>68803</v>
      </c>
      <c r="B2831">
        <v>27483</v>
      </c>
      <c r="C2831">
        <v>957</v>
      </c>
      <c r="D2831">
        <v>1</v>
      </c>
      <c r="E2831">
        <v>299.98</v>
      </c>
    </row>
    <row r="2832" spans="1:5" x14ac:dyDescent="0.3">
      <c r="A2832">
        <v>68804</v>
      </c>
      <c r="B2832">
        <v>27483</v>
      </c>
      <c r="C2832">
        <v>191</v>
      </c>
      <c r="D2832">
        <v>2</v>
      </c>
      <c r="E2832">
        <v>199.98</v>
      </c>
    </row>
    <row r="2833" spans="1:5" x14ac:dyDescent="0.3">
      <c r="A2833">
        <v>68805</v>
      </c>
      <c r="B2833">
        <v>27483</v>
      </c>
      <c r="C2833">
        <v>365</v>
      </c>
      <c r="D2833">
        <v>3</v>
      </c>
      <c r="E2833">
        <v>179.97</v>
      </c>
    </row>
    <row r="2834" spans="1:5" x14ac:dyDescent="0.3">
      <c r="A2834">
        <v>68802</v>
      </c>
      <c r="B2834">
        <v>27483</v>
      </c>
      <c r="C2834">
        <v>365</v>
      </c>
      <c r="D2834">
        <v>4</v>
      </c>
      <c r="E2834">
        <v>239.96</v>
      </c>
    </row>
    <row r="2835" spans="1:5" x14ac:dyDescent="0.3">
      <c r="A2835">
        <v>68883</v>
      </c>
      <c r="B2835">
        <v>27522</v>
      </c>
      <c r="C2835">
        <v>1073</v>
      </c>
      <c r="D2835">
        <v>1</v>
      </c>
      <c r="E2835">
        <v>199.99</v>
      </c>
    </row>
    <row r="2836" spans="1:5" x14ac:dyDescent="0.3">
      <c r="A2836">
        <v>68885</v>
      </c>
      <c r="B2836">
        <v>27522</v>
      </c>
      <c r="C2836">
        <v>403</v>
      </c>
      <c r="D2836">
        <v>1</v>
      </c>
      <c r="E2836">
        <v>129.99</v>
      </c>
    </row>
    <row r="2837" spans="1:5" x14ac:dyDescent="0.3">
      <c r="A2837">
        <v>68884</v>
      </c>
      <c r="B2837">
        <v>27522</v>
      </c>
      <c r="C2837">
        <v>957</v>
      </c>
      <c r="D2837">
        <v>1</v>
      </c>
      <c r="E2837">
        <v>299.98</v>
      </c>
    </row>
    <row r="2838" spans="1:5" x14ac:dyDescent="0.3">
      <c r="A2838">
        <v>68888</v>
      </c>
      <c r="B2838">
        <v>27523</v>
      </c>
      <c r="C2838">
        <v>365</v>
      </c>
      <c r="D2838">
        <v>1</v>
      </c>
      <c r="E2838">
        <v>59.99</v>
      </c>
    </row>
    <row r="2839" spans="1:5" x14ac:dyDescent="0.3">
      <c r="A2839">
        <v>68887</v>
      </c>
      <c r="B2839">
        <v>27523</v>
      </c>
      <c r="C2839">
        <v>957</v>
      </c>
      <c r="D2839">
        <v>1</v>
      </c>
      <c r="E2839">
        <v>299.98</v>
      </c>
    </row>
    <row r="2840" spans="1:5" x14ac:dyDescent="0.3">
      <c r="A2840">
        <v>68886</v>
      </c>
      <c r="B2840">
        <v>27523</v>
      </c>
      <c r="C2840">
        <v>1014</v>
      </c>
      <c r="D2840">
        <v>4</v>
      </c>
      <c r="E2840">
        <v>199.92</v>
      </c>
    </row>
    <row r="2841" spans="1:5" x14ac:dyDescent="0.3">
      <c r="A2841">
        <v>68890</v>
      </c>
      <c r="B2841">
        <v>27523</v>
      </c>
      <c r="C2841">
        <v>365</v>
      </c>
      <c r="D2841">
        <v>5</v>
      </c>
      <c r="E2841">
        <v>299.95</v>
      </c>
    </row>
    <row r="2842" spans="1:5" x14ac:dyDescent="0.3">
      <c r="A2842">
        <v>68889</v>
      </c>
      <c r="B2842">
        <v>27523</v>
      </c>
      <c r="C2842">
        <v>1004</v>
      </c>
      <c r="D2842">
        <v>1</v>
      </c>
      <c r="E2842">
        <v>399.98</v>
      </c>
    </row>
    <row r="2843" spans="1:5" x14ac:dyDescent="0.3">
      <c r="A2843">
        <v>68950</v>
      </c>
      <c r="B2843">
        <v>27547</v>
      </c>
      <c r="C2843">
        <v>957</v>
      </c>
      <c r="D2843">
        <v>1</v>
      </c>
      <c r="E2843">
        <v>299.98</v>
      </c>
    </row>
    <row r="2844" spans="1:5" x14ac:dyDescent="0.3">
      <c r="A2844">
        <v>68949</v>
      </c>
      <c r="B2844">
        <v>27547</v>
      </c>
      <c r="C2844">
        <v>957</v>
      </c>
      <c r="D2844">
        <v>1</v>
      </c>
      <c r="E2844">
        <v>299.98</v>
      </c>
    </row>
    <row r="2845" spans="1:5" x14ac:dyDescent="0.3">
      <c r="A2845">
        <v>68948</v>
      </c>
      <c r="B2845">
        <v>27547</v>
      </c>
      <c r="C2845">
        <v>191</v>
      </c>
      <c r="D2845">
        <v>4</v>
      </c>
      <c r="E2845">
        <v>399.96</v>
      </c>
    </row>
    <row r="2846" spans="1:5" x14ac:dyDescent="0.3">
      <c r="A2846">
        <v>68951</v>
      </c>
      <c r="B2846">
        <v>27548</v>
      </c>
      <c r="C2846">
        <v>1004</v>
      </c>
      <c r="D2846">
        <v>1</v>
      </c>
      <c r="E2846">
        <v>399.98</v>
      </c>
    </row>
    <row r="2847" spans="1:5" x14ac:dyDescent="0.3">
      <c r="A2847">
        <v>68952</v>
      </c>
      <c r="B2847">
        <v>27549</v>
      </c>
      <c r="C2847">
        <v>1004</v>
      </c>
      <c r="D2847">
        <v>1</v>
      </c>
      <c r="E2847">
        <v>399.98</v>
      </c>
    </row>
    <row r="2848" spans="1:5" x14ac:dyDescent="0.3">
      <c r="A2848">
        <v>68955</v>
      </c>
      <c r="B2848">
        <v>27550</v>
      </c>
      <c r="C2848">
        <v>403</v>
      </c>
      <c r="D2848">
        <v>1</v>
      </c>
      <c r="E2848">
        <v>129.99</v>
      </c>
    </row>
    <row r="2849" spans="1:5" x14ac:dyDescent="0.3">
      <c r="A2849">
        <v>68957</v>
      </c>
      <c r="B2849">
        <v>27550</v>
      </c>
      <c r="C2849">
        <v>957</v>
      </c>
      <c r="D2849">
        <v>1</v>
      </c>
      <c r="E2849">
        <v>299.98</v>
      </c>
    </row>
    <row r="2850" spans="1:5" x14ac:dyDescent="0.3">
      <c r="A2850">
        <v>68953</v>
      </c>
      <c r="B2850">
        <v>27550</v>
      </c>
      <c r="C2850">
        <v>627</v>
      </c>
      <c r="D2850">
        <v>3</v>
      </c>
      <c r="E2850">
        <v>119.97</v>
      </c>
    </row>
    <row r="2851" spans="1:5" x14ac:dyDescent="0.3">
      <c r="A2851">
        <v>68954</v>
      </c>
      <c r="B2851">
        <v>27550</v>
      </c>
      <c r="C2851">
        <v>365</v>
      </c>
      <c r="D2851">
        <v>4</v>
      </c>
      <c r="E2851">
        <v>239.96</v>
      </c>
    </row>
    <row r="2852" spans="1:5" x14ac:dyDescent="0.3">
      <c r="A2852">
        <v>68956</v>
      </c>
      <c r="B2852">
        <v>27550</v>
      </c>
      <c r="C2852">
        <v>1014</v>
      </c>
      <c r="D2852">
        <v>1</v>
      </c>
      <c r="E2852">
        <v>49.98</v>
      </c>
    </row>
    <row r="2853" spans="1:5" x14ac:dyDescent="0.3">
      <c r="A2853">
        <v>68960</v>
      </c>
      <c r="B2853">
        <v>27551</v>
      </c>
      <c r="C2853">
        <v>1014</v>
      </c>
      <c r="D2853">
        <v>5</v>
      </c>
      <c r="E2853">
        <v>249.9</v>
      </c>
    </row>
    <row r="2854" spans="1:5" x14ac:dyDescent="0.3">
      <c r="A2854">
        <v>68958</v>
      </c>
      <c r="B2854">
        <v>27551</v>
      </c>
      <c r="C2854">
        <v>191</v>
      </c>
      <c r="D2854">
        <v>2</v>
      </c>
      <c r="E2854">
        <v>199.98</v>
      </c>
    </row>
    <row r="2855" spans="1:5" x14ac:dyDescent="0.3">
      <c r="A2855">
        <v>68962</v>
      </c>
      <c r="B2855">
        <v>27551</v>
      </c>
      <c r="C2855">
        <v>365</v>
      </c>
      <c r="D2855">
        <v>2</v>
      </c>
      <c r="E2855">
        <v>119.98</v>
      </c>
    </row>
    <row r="2856" spans="1:5" x14ac:dyDescent="0.3">
      <c r="A2856">
        <v>68959</v>
      </c>
      <c r="B2856">
        <v>27551</v>
      </c>
      <c r="C2856">
        <v>365</v>
      </c>
      <c r="D2856">
        <v>4</v>
      </c>
      <c r="E2856">
        <v>239.96</v>
      </c>
    </row>
    <row r="2857" spans="1:5" x14ac:dyDescent="0.3">
      <c r="A2857">
        <v>68961</v>
      </c>
      <c r="B2857">
        <v>27551</v>
      </c>
      <c r="C2857">
        <v>502</v>
      </c>
      <c r="D2857">
        <v>5</v>
      </c>
      <c r="E2857">
        <v>250</v>
      </c>
    </row>
    <row r="2858" spans="1:5" x14ac:dyDescent="0.3">
      <c r="A2858">
        <v>68965</v>
      </c>
      <c r="B2858">
        <v>27552</v>
      </c>
      <c r="C2858">
        <v>365</v>
      </c>
      <c r="D2858">
        <v>5</v>
      </c>
      <c r="E2858">
        <v>299.95</v>
      </c>
    </row>
    <row r="2859" spans="1:5" x14ac:dyDescent="0.3">
      <c r="A2859">
        <v>68963</v>
      </c>
      <c r="B2859">
        <v>27552</v>
      </c>
      <c r="C2859">
        <v>365</v>
      </c>
      <c r="D2859">
        <v>5</v>
      </c>
      <c r="E2859">
        <v>299.95</v>
      </c>
    </row>
    <row r="2860" spans="1:5" x14ac:dyDescent="0.3">
      <c r="A2860">
        <v>68967</v>
      </c>
      <c r="B2860">
        <v>27552</v>
      </c>
      <c r="C2860">
        <v>728</v>
      </c>
      <c r="D2860">
        <v>4</v>
      </c>
      <c r="E2860">
        <v>260</v>
      </c>
    </row>
    <row r="2861" spans="1:5" x14ac:dyDescent="0.3">
      <c r="A2861">
        <v>68964</v>
      </c>
      <c r="B2861">
        <v>27552</v>
      </c>
      <c r="C2861">
        <v>1014</v>
      </c>
      <c r="D2861">
        <v>5</v>
      </c>
      <c r="E2861">
        <v>249.9</v>
      </c>
    </row>
    <row r="2862" spans="1:5" x14ac:dyDescent="0.3">
      <c r="A2862">
        <v>68966</v>
      </c>
      <c r="B2862">
        <v>27552</v>
      </c>
      <c r="C2862">
        <v>1004</v>
      </c>
      <c r="D2862">
        <v>1</v>
      </c>
      <c r="E2862">
        <v>399.98</v>
      </c>
    </row>
    <row r="2863" spans="1:5" x14ac:dyDescent="0.3">
      <c r="A2863">
        <v>68968</v>
      </c>
      <c r="B2863">
        <v>27553</v>
      </c>
      <c r="C2863">
        <v>403</v>
      </c>
      <c r="D2863">
        <v>1</v>
      </c>
      <c r="E2863">
        <v>129.99</v>
      </c>
    </row>
    <row r="2864" spans="1:5" x14ac:dyDescent="0.3">
      <c r="A2864">
        <v>68971</v>
      </c>
      <c r="B2864">
        <v>27553</v>
      </c>
      <c r="C2864">
        <v>278</v>
      </c>
      <c r="D2864">
        <v>3</v>
      </c>
      <c r="E2864">
        <v>134.97</v>
      </c>
    </row>
    <row r="2865" spans="1:5" x14ac:dyDescent="0.3">
      <c r="A2865">
        <v>68969</v>
      </c>
      <c r="B2865">
        <v>27553</v>
      </c>
      <c r="C2865">
        <v>1073</v>
      </c>
      <c r="D2865">
        <v>1</v>
      </c>
      <c r="E2865">
        <v>199.99</v>
      </c>
    </row>
    <row r="2866" spans="1:5" x14ac:dyDescent="0.3">
      <c r="A2866">
        <v>68970</v>
      </c>
      <c r="B2866">
        <v>27553</v>
      </c>
      <c r="C2866">
        <v>1004</v>
      </c>
      <c r="D2866">
        <v>1</v>
      </c>
      <c r="E2866">
        <v>399.98</v>
      </c>
    </row>
    <row r="2867" spans="1:5" x14ac:dyDescent="0.3">
      <c r="A2867">
        <v>68973</v>
      </c>
      <c r="B2867">
        <v>27554</v>
      </c>
      <c r="C2867">
        <v>403</v>
      </c>
      <c r="D2867">
        <v>1</v>
      </c>
      <c r="E2867">
        <v>129.99</v>
      </c>
    </row>
    <row r="2868" spans="1:5" x14ac:dyDescent="0.3">
      <c r="A2868">
        <v>68972</v>
      </c>
      <c r="B2868">
        <v>27554</v>
      </c>
      <c r="C2868">
        <v>957</v>
      </c>
      <c r="D2868">
        <v>1</v>
      </c>
      <c r="E2868">
        <v>299.98</v>
      </c>
    </row>
    <row r="2869" spans="1:5" x14ac:dyDescent="0.3">
      <c r="A2869">
        <v>68974</v>
      </c>
      <c r="B2869">
        <v>27554</v>
      </c>
      <c r="C2869">
        <v>804</v>
      </c>
      <c r="D2869">
        <v>2</v>
      </c>
      <c r="E2869">
        <v>39.979999999999997</v>
      </c>
    </row>
    <row r="2870" spans="1:5" x14ac:dyDescent="0.3">
      <c r="A2870">
        <v>68983</v>
      </c>
      <c r="B2870">
        <v>27558</v>
      </c>
      <c r="C2870">
        <v>403</v>
      </c>
      <c r="D2870">
        <v>1</v>
      </c>
      <c r="E2870">
        <v>129.99</v>
      </c>
    </row>
    <row r="2871" spans="1:5" x14ac:dyDescent="0.3">
      <c r="A2871">
        <v>68985</v>
      </c>
      <c r="B2871">
        <v>27558</v>
      </c>
      <c r="C2871">
        <v>365</v>
      </c>
      <c r="D2871">
        <v>1</v>
      </c>
      <c r="E2871">
        <v>59.99</v>
      </c>
    </row>
    <row r="2872" spans="1:5" x14ac:dyDescent="0.3">
      <c r="A2872">
        <v>68982</v>
      </c>
      <c r="B2872">
        <v>27558</v>
      </c>
      <c r="C2872">
        <v>365</v>
      </c>
      <c r="D2872">
        <v>1</v>
      </c>
      <c r="E2872">
        <v>59.99</v>
      </c>
    </row>
    <row r="2873" spans="1:5" x14ac:dyDescent="0.3">
      <c r="A2873">
        <v>68984</v>
      </c>
      <c r="B2873">
        <v>27558</v>
      </c>
      <c r="C2873">
        <v>627</v>
      </c>
      <c r="D2873">
        <v>1</v>
      </c>
      <c r="E2873">
        <v>39.99</v>
      </c>
    </row>
    <row r="2874" spans="1:5" x14ac:dyDescent="0.3">
      <c r="A2874">
        <v>68986</v>
      </c>
      <c r="B2874">
        <v>27558</v>
      </c>
      <c r="C2874">
        <v>1004</v>
      </c>
      <c r="D2874">
        <v>1</v>
      </c>
      <c r="E2874">
        <v>399.98</v>
      </c>
    </row>
    <row r="2875" spans="1:5" x14ac:dyDescent="0.3">
      <c r="A2875">
        <v>69020</v>
      </c>
      <c r="B2875">
        <v>27571</v>
      </c>
      <c r="C2875">
        <v>403</v>
      </c>
      <c r="D2875">
        <v>1</v>
      </c>
      <c r="E2875">
        <v>129.99</v>
      </c>
    </row>
    <row r="2876" spans="1:5" x14ac:dyDescent="0.3">
      <c r="A2876">
        <v>69019</v>
      </c>
      <c r="B2876">
        <v>27571</v>
      </c>
      <c r="C2876">
        <v>627</v>
      </c>
      <c r="D2876">
        <v>3</v>
      </c>
      <c r="E2876">
        <v>119.97</v>
      </c>
    </row>
    <row r="2877" spans="1:5" x14ac:dyDescent="0.3">
      <c r="A2877">
        <v>69034</v>
      </c>
      <c r="B2877">
        <v>27577</v>
      </c>
      <c r="C2877">
        <v>1014</v>
      </c>
      <c r="D2877">
        <v>2</v>
      </c>
      <c r="E2877">
        <v>99.96</v>
      </c>
    </row>
    <row r="2878" spans="1:5" x14ac:dyDescent="0.3">
      <c r="A2878">
        <v>69031</v>
      </c>
      <c r="B2878">
        <v>27577</v>
      </c>
      <c r="C2878">
        <v>403</v>
      </c>
      <c r="D2878">
        <v>1</v>
      </c>
      <c r="E2878">
        <v>129.99</v>
      </c>
    </row>
    <row r="2879" spans="1:5" x14ac:dyDescent="0.3">
      <c r="A2879">
        <v>69030</v>
      </c>
      <c r="B2879">
        <v>27577</v>
      </c>
      <c r="C2879">
        <v>403</v>
      </c>
      <c r="D2879">
        <v>1</v>
      </c>
      <c r="E2879">
        <v>129.99</v>
      </c>
    </row>
    <row r="2880" spans="1:5" x14ac:dyDescent="0.3">
      <c r="A2880">
        <v>69033</v>
      </c>
      <c r="B2880">
        <v>27577</v>
      </c>
      <c r="C2880">
        <v>627</v>
      </c>
      <c r="D2880">
        <v>1</v>
      </c>
      <c r="E2880">
        <v>39.99</v>
      </c>
    </row>
    <row r="2881" spans="1:5" x14ac:dyDescent="0.3">
      <c r="A2881">
        <v>69032</v>
      </c>
      <c r="B2881">
        <v>27577</v>
      </c>
      <c r="C2881">
        <v>1004</v>
      </c>
      <c r="D2881">
        <v>1</v>
      </c>
      <c r="E2881">
        <v>399.98</v>
      </c>
    </row>
    <row r="2882" spans="1:5" x14ac:dyDescent="0.3">
      <c r="A2882">
        <v>69035</v>
      </c>
      <c r="B2882">
        <v>27578</v>
      </c>
      <c r="C2882">
        <v>502</v>
      </c>
      <c r="D2882">
        <v>2</v>
      </c>
      <c r="E2882">
        <v>100</v>
      </c>
    </row>
    <row r="2883" spans="1:5" x14ac:dyDescent="0.3">
      <c r="A2883">
        <v>69036</v>
      </c>
      <c r="B2883">
        <v>27578</v>
      </c>
      <c r="C2883">
        <v>502</v>
      </c>
      <c r="D2883">
        <v>5</v>
      </c>
      <c r="E2883">
        <v>250</v>
      </c>
    </row>
    <row r="2884" spans="1:5" x14ac:dyDescent="0.3">
      <c r="A2884">
        <v>69125</v>
      </c>
      <c r="B2884">
        <v>27609</v>
      </c>
      <c r="C2884">
        <v>502</v>
      </c>
      <c r="D2884">
        <v>2</v>
      </c>
      <c r="E2884">
        <v>100</v>
      </c>
    </row>
    <row r="2885" spans="1:5" x14ac:dyDescent="0.3">
      <c r="A2885">
        <v>69124</v>
      </c>
      <c r="B2885">
        <v>27609</v>
      </c>
      <c r="C2885">
        <v>502</v>
      </c>
      <c r="D2885">
        <v>5</v>
      </c>
      <c r="E2885">
        <v>250</v>
      </c>
    </row>
    <row r="2886" spans="1:5" x14ac:dyDescent="0.3">
      <c r="A2886">
        <v>69129</v>
      </c>
      <c r="B2886">
        <v>27610</v>
      </c>
      <c r="C2886">
        <v>403</v>
      </c>
      <c r="D2886">
        <v>1</v>
      </c>
      <c r="E2886">
        <v>129.99</v>
      </c>
    </row>
    <row r="2887" spans="1:5" x14ac:dyDescent="0.3">
      <c r="A2887">
        <v>69127</v>
      </c>
      <c r="B2887">
        <v>27610</v>
      </c>
      <c r="C2887">
        <v>278</v>
      </c>
      <c r="D2887">
        <v>3</v>
      </c>
      <c r="E2887">
        <v>134.97</v>
      </c>
    </row>
    <row r="2888" spans="1:5" x14ac:dyDescent="0.3">
      <c r="A2888">
        <v>69128</v>
      </c>
      <c r="B2888">
        <v>27610</v>
      </c>
      <c r="C2888">
        <v>191</v>
      </c>
      <c r="D2888">
        <v>3</v>
      </c>
      <c r="E2888">
        <v>299.97000000000003</v>
      </c>
    </row>
    <row r="2889" spans="1:5" x14ac:dyDescent="0.3">
      <c r="A2889">
        <v>69126</v>
      </c>
      <c r="B2889">
        <v>27610</v>
      </c>
      <c r="C2889">
        <v>627</v>
      </c>
      <c r="D2889">
        <v>3</v>
      </c>
      <c r="E2889">
        <v>119.97</v>
      </c>
    </row>
    <row r="2890" spans="1:5" x14ac:dyDescent="0.3">
      <c r="A2890">
        <v>69130</v>
      </c>
      <c r="B2890">
        <v>27610</v>
      </c>
      <c r="C2890">
        <v>365</v>
      </c>
      <c r="D2890">
        <v>4</v>
      </c>
      <c r="E2890">
        <v>239.96</v>
      </c>
    </row>
    <row r="2891" spans="1:5" x14ac:dyDescent="0.3">
      <c r="A2891">
        <v>69150</v>
      </c>
      <c r="B2891">
        <v>27617</v>
      </c>
      <c r="C2891">
        <v>1073</v>
      </c>
      <c r="D2891">
        <v>1</v>
      </c>
      <c r="E2891">
        <v>199.99</v>
      </c>
    </row>
    <row r="2892" spans="1:5" x14ac:dyDescent="0.3">
      <c r="A2892">
        <v>69152</v>
      </c>
      <c r="B2892">
        <v>27618</v>
      </c>
      <c r="C2892">
        <v>957</v>
      </c>
      <c r="D2892">
        <v>1</v>
      </c>
      <c r="E2892">
        <v>299.98</v>
      </c>
    </row>
    <row r="2893" spans="1:5" x14ac:dyDescent="0.3">
      <c r="A2893">
        <v>69151</v>
      </c>
      <c r="B2893">
        <v>27618</v>
      </c>
      <c r="C2893">
        <v>1014</v>
      </c>
      <c r="D2893">
        <v>2</v>
      </c>
      <c r="E2893">
        <v>99.96</v>
      </c>
    </row>
    <row r="2894" spans="1:5" x14ac:dyDescent="0.3">
      <c r="A2894">
        <v>69154</v>
      </c>
      <c r="B2894">
        <v>27619</v>
      </c>
      <c r="C2894">
        <v>502</v>
      </c>
      <c r="D2894">
        <v>3</v>
      </c>
      <c r="E2894">
        <v>150</v>
      </c>
    </row>
    <row r="2895" spans="1:5" x14ac:dyDescent="0.3">
      <c r="A2895">
        <v>69153</v>
      </c>
      <c r="B2895">
        <v>27619</v>
      </c>
      <c r="C2895">
        <v>191</v>
      </c>
      <c r="D2895">
        <v>4</v>
      </c>
      <c r="E2895">
        <v>399.96</v>
      </c>
    </row>
    <row r="2896" spans="1:5" x14ac:dyDescent="0.3">
      <c r="A2896">
        <v>69210</v>
      </c>
      <c r="B2896">
        <v>27646</v>
      </c>
      <c r="C2896">
        <v>1073</v>
      </c>
      <c r="D2896">
        <v>1</v>
      </c>
      <c r="E2896">
        <v>199.99</v>
      </c>
    </row>
    <row r="2897" spans="1:5" x14ac:dyDescent="0.3">
      <c r="A2897">
        <v>69208</v>
      </c>
      <c r="B2897">
        <v>27646</v>
      </c>
      <c r="C2897">
        <v>1014</v>
      </c>
      <c r="D2897">
        <v>5</v>
      </c>
      <c r="E2897">
        <v>249.9</v>
      </c>
    </row>
    <row r="2898" spans="1:5" x14ac:dyDescent="0.3">
      <c r="A2898">
        <v>69209</v>
      </c>
      <c r="B2898">
        <v>27646</v>
      </c>
      <c r="C2898">
        <v>1004</v>
      </c>
      <c r="D2898">
        <v>1</v>
      </c>
      <c r="E2898">
        <v>399.98</v>
      </c>
    </row>
    <row r="2899" spans="1:5" x14ac:dyDescent="0.3">
      <c r="A2899">
        <v>69270</v>
      </c>
      <c r="B2899">
        <v>27672</v>
      </c>
      <c r="C2899">
        <v>365</v>
      </c>
      <c r="D2899">
        <v>1</v>
      </c>
      <c r="E2899">
        <v>59.99</v>
      </c>
    </row>
    <row r="2900" spans="1:5" x14ac:dyDescent="0.3">
      <c r="A2900">
        <v>69268</v>
      </c>
      <c r="B2900">
        <v>27672</v>
      </c>
      <c r="C2900">
        <v>567</v>
      </c>
      <c r="D2900">
        <v>1</v>
      </c>
      <c r="E2900">
        <v>25</v>
      </c>
    </row>
    <row r="2901" spans="1:5" x14ac:dyDescent="0.3">
      <c r="A2901">
        <v>69267</v>
      </c>
      <c r="B2901">
        <v>27672</v>
      </c>
      <c r="C2901">
        <v>365</v>
      </c>
      <c r="D2901">
        <v>2</v>
      </c>
      <c r="E2901">
        <v>119.98</v>
      </c>
    </row>
    <row r="2902" spans="1:5" x14ac:dyDescent="0.3">
      <c r="A2902">
        <v>69266</v>
      </c>
      <c r="B2902">
        <v>27672</v>
      </c>
      <c r="C2902">
        <v>365</v>
      </c>
      <c r="D2902">
        <v>2</v>
      </c>
      <c r="E2902">
        <v>119.98</v>
      </c>
    </row>
    <row r="2903" spans="1:5" x14ac:dyDescent="0.3">
      <c r="A2903">
        <v>69269</v>
      </c>
      <c r="B2903">
        <v>27672</v>
      </c>
      <c r="C2903">
        <v>1014</v>
      </c>
      <c r="D2903">
        <v>1</v>
      </c>
      <c r="E2903">
        <v>49.98</v>
      </c>
    </row>
    <row r="2904" spans="1:5" x14ac:dyDescent="0.3">
      <c r="A2904">
        <v>69411</v>
      </c>
      <c r="B2904">
        <v>27724</v>
      </c>
      <c r="C2904">
        <v>1073</v>
      </c>
      <c r="D2904">
        <v>1</v>
      </c>
      <c r="E2904">
        <v>199.99</v>
      </c>
    </row>
    <row r="2905" spans="1:5" x14ac:dyDescent="0.3">
      <c r="A2905">
        <v>69461</v>
      </c>
      <c r="B2905">
        <v>27742</v>
      </c>
      <c r="C2905">
        <v>191</v>
      </c>
      <c r="D2905">
        <v>5</v>
      </c>
      <c r="E2905">
        <v>499.95</v>
      </c>
    </row>
    <row r="2906" spans="1:5" x14ac:dyDescent="0.3">
      <c r="A2906">
        <v>69464</v>
      </c>
      <c r="B2906">
        <v>27743</v>
      </c>
      <c r="C2906">
        <v>403</v>
      </c>
      <c r="D2906">
        <v>1</v>
      </c>
      <c r="E2906">
        <v>129.99</v>
      </c>
    </row>
    <row r="2907" spans="1:5" x14ac:dyDescent="0.3">
      <c r="A2907">
        <v>69463</v>
      </c>
      <c r="B2907">
        <v>27743</v>
      </c>
      <c r="C2907">
        <v>403</v>
      </c>
      <c r="D2907">
        <v>1</v>
      </c>
      <c r="E2907">
        <v>129.99</v>
      </c>
    </row>
    <row r="2908" spans="1:5" x14ac:dyDescent="0.3">
      <c r="A2908">
        <v>69462</v>
      </c>
      <c r="B2908">
        <v>27743</v>
      </c>
      <c r="C2908">
        <v>1004</v>
      </c>
      <c r="D2908">
        <v>1</v>
      </c>
      <c r="E2908">
        <v>399.98</v>
      </c>
    </row>
    <row r="2909" spans="1:5" x14ac:dyDescent="0.3">
      <c r="A2909">
        <v>69465</v>
      </c>
      <c r="B2909">
        <v>27744</v>
      </c>
      <c r="C2909">
        <v>403</v>
      </c>
      <c r="D2909">
        <v>1</v>
      </c>
      <c r="E2909">
        <v>129.99</v>
      </c>
    </row>
    <row r="2910" spans="1:5" x14ac:dyDescent="0.3">
      <c r="A2910">
        <v>69499</v>
      </c>
      <c r="B2910">
        <v>27763</v>
      </c>
      <c r="C2910">
        <v>1073</v>
      </c>
      <c r="D2910">
        <v>1</v>
      </c>
      <c r="E2910">
        <v>199.99</v>
      </c>
    </row>
    <row r="2911" spans="1:5" x14ac:dyDescent="0.3">
      <c r="A2911">
        <v>69497</v>
      </c>
      <c r="B2911">
        <v>27763</v>
      </c>
      <c r="C2911">
        <v>365</v>
      </c>
      <c r="D2911">
        <v>3</v>
      </c>
      <c r="E2911">
        <v>179.97</v>
      </c>
    </row>
    <row r="2912" spans="1:5" x14ac:dyDescent="0.3">
      <c r="A2912">
        <v>69500</v>
      </c>
      <c r="B2912">
        <v>27763</v>
      </c>
      <c r="C2912">
        <v>502</v>
      </c>
      <c r="D2912">
        <v>4</v>
      </c>
      <c r="E2912">
        <v>200</v>
      </c>
    </row>
    <row r="2913" spans="1:5" x14ac:dyDescent="0.3">
      <c r="A2913">
        <v>69498</v>
      </c>
      <c r="B2913">
        <v>27763</v>
      </c>
      <c r="C2913">
        <v>1004</v>
      </c>
      <c r="D2913">
        <v>1</v>
      </c>
      <c r="E2913">
        <v>399.98</v>
      </c>
    </row>
    <row r="2914" spans="1:5" x14ac:dyDescent="0.3">
      <c r="A2914">
        <v>69554</v>
      </c>
      <c r="B2914">
        <v>27785</v>
      </c>
      <c r="C2914">
        <v>403</v>
      </c>
      <c r="D2914">
        <v>1</v>
      </c>
      <c r="E2914">
        <v>129.99</v>
      </c>
    </row>
    <row r="2915" spans="1:5" x14ac:dyDescent="0.3">
      <c r="A2915">
        <v>69555</v>
      </c>
      <c r="B2915">
        <v>27785</v>
      </c>
      <c r="C2915">
        <v>365</v>
      </c>
      <c r="D2915">
        <v>3</v>
      </c>
      <c r="E2915">
        <v>179.97</v>
      </c>
    </row>
    <row r="2916" spans="1:5" x14ac:dyDescent="0.3">
      <c r="A2916">
        <v>69556</v>
      </c>
      <c r="B2916">
        <v>27787</v>
      </c>
      <c r="C2916">
        <v>1073</v>
      </c>
      <c r="D2916">
        <v>1</v>
      </c>
      <c r="E2916">
        <v>199.99</v>
      </c>
    </row>
    <row r="2917" spans="1:5" x14ac:dyDescent="0.3">
      <c r="A2917">
        <v>69557</v>
      </c>
      <c r="B2917">
        <v>27787</v>
      </c>
      <c r="C2917">
        <v>1004</v>
      </c>
      <c r="D2917">
        <v>1</v>
      </c>
      <c r="E2917">
        <v>399.98</v>
      </c>
    </row>
    <row r="2918" spans="1:5" x14ac:dyDescent="0.3">
      <c r="A2918">
        <v>69583</v>
      </c>
      <c r="B2918">
        <v>27796</v>
      </c>
      <c r="C2918">
        <v>403</v>
      </c>
      <c r="D2918">
        <v>1</v>
      </c>
      <c r="E2918">
        <v>129.99</v>
      </c>
    </row>
    <row r="2919" spans="1:5" x14ac:dyDescent="0.3">
      <c r="A2919">
        <v>69580</v>
      </c>
      <c r="B2919">
        <v>27796</v>
      </c>
      <c r="C2919">
        <v>403</v>
      </c>
      <c r="D2919">
        <v>1</v>
      </c>
      <c r="E2919">
        <v>129.99</v>
      </c>
    </row>
    <row r="2920" spans="1:5" x14ac:dyDescent="0.3">
      <c r="A2920">
        <v>69579</v>
      </c>
      <c r="B2920">
        <v>27796</v>
      </c>
      <c r="C2920">
        <v>403</v>
      </c>
      <c r="D2920">
        <v>1</v>
      </c>
      <c r="E2920">
        <v>129.99</v>
      </c>
    </row>
    <row r="2921" spans="1:5" x14ac:dyDescent="0.3">
      <c r="A2921">
        <v>69581</v>
      </c>
      <c r="B2921">
        <v>27796</v>
      </c>
      <c r="C2921">
        <v>627</v>
      </c>
      <c r="D2921">
        <v>1</v>
      </c>
      <c r="E2921">
        <v>39.99</v>
      </c>
    </row>
    <row r="2922" spans="1:5" x14ac:dyDescent="0.3">
      <c r="A2922">
        <v>69582</v>
      </c>
      <c r="B2922">
        <v>27796</v>
      </c>
      <c r="C2922">
        <v>926</v>
      </c>
      <c r="D2922">
        <v>3</v>
      </c>
      <c r="E2922">
        <v>47.97</v>
      </c>
    </row>
    <row r="2923" spans="1:5" x14ac:dyDescent="0.3">
      <c r="A2923">
        <v>69595</v>
      </c>
      <c r="B2923">
        <v>27800</v>
      </c>
      <c r="C2923">
        <v>502</v>
      </c>
      <c r="D2923">
        <v>4</v>
      </c>
      <c r="E2923">
        <v>200</v>
      </c>
    </row>
    <row r="2924" spans="1:5" x14ac:dyDescent="0.3">
      <c r="A2924">
        <v>69596</v>
      </c>
      <c r="B2924">
        <v>27800</v>
      </c>
      <c r="C2924">
        <v>502</v>
      </c>
      <c r="D2924">
        <v>5</v>
      </c>
      <c r="E2924">
        <v>250</v>
      </c>
    </row>
    <row r="2925" spans="1:5" x14ac:dyDescent="0.3">
      <c r="A2925">
        <v>69594</v>
      </c>
      <c r="B2925">
        <v>27800</v>
      </c>
      <c r="C2925">
        <v>1073</v>
      </c>
      <c r="D2925">
        <v>1</v>
      </c>
      <c r="E2925">
        <v>199.99</v>
      </c>
    </row>
    <row r="2926" spans="1:5" x14ac:dyDescent="0.3">
      <c r="A2926">
        <v>69593</v>
      </c>
      <c r="B2926">
        <v>27800</v>
      </c>
      <c r="C2926">
        <v>1004</v>
      </c>
      <c r="D2926">
        <v>1</v>
      </c>
      <c r="E2926">
        <v>399.98</v>
      </c>
    </row>
    <row r="2927" spans="1:5" x14ac:dyDescent="0.3">
      <c r="A2927">
        <v>69597</v>
      </c>
      <c r="B2927">
        <v>27801</v>
      </c>
      <c r="C2927">
        <v>502</v>
      </c>
      <c r="D2927">
        <v>4</v>
      </c>
      <c r="E2927">
        <v>200</v>
      </c>
    </row>
    <row r="2928" spans="1:5" x14ac:dyDescent="0.3">
      <c r="A2928">
        <v>69598</v>
      </c>
      <c r="B2928">
        <v>27801</v>
      </c>
      <c r="C2928">
        <v>1004</v>
      </c>
      <c r="D2928">
        <v>1</v>
      </c>
      <c r="E2928">
        <v>399.98</v>
      </c>
    </row>
    <row r="2929" spans="1:5" x14ac:dyDescent="0.3">
      <c r="A2929">
        <v>69600</v>
      </c>
      <c r="B2929">
        <v>27802</v>
      </c>
      <c r="C2929">
        <v>235</v>
      </c>
      <c r="D2929">
        <v>2</v>
      </c>
      <c r="E2929">
        <v>69.98</v>
      </c>
    </row>
    <row r="2930" spans="1:5" x14ac:dyDescent="0.3">
      <c r="A2930">
        <v>69601</v>
      </c>
      <c r="B2930">
        <v>27802</v>
      </c>
      <c r="C2930">
        <v>828</v>
      </c>
      <c r="D2930">
        <v>4</v>
      </c>
      <c r="E2930">
        <v>127.96</v>
      </c>
    </row>
    <row r="2931" spans="1:5" x14ac:dyDescent="0.3">
      <c r="A2931">
        <v>69599</v>
      </c>
      <c r="B2931">
        <v>27802</v>
      </c>
      <c r="C2931">
        <v>825</v>
      </c>
      <c r="D2931">
        <v>5</v>
      </c>
      <c r="E2931">
        <v>159.94999999999999</v>
      </c>
    </row>
    <row r="2932" spans="1:5" x14ac:dyDescent="0.3">
      <c r="A2932">
        <v>69603</v>
      </c>
      <c r="B2932">
        <v>27803</v>
      </c>
      <c r="C2932">
        <v>403</v>
      </c>
      <c r="D2932">
        <v>1</v>
      </c>
      <c r="E2932">
        <v>129.99</v>
      </c>
    </row>
    <row r="2933" spans="1:5" x14ac:dyDescent="0.3">
      <c r="A2933">
        <v>69602</v>
      </c>
      <c r="B2933">
        <v>27803</v>
      </c>
      <c r="C2933">
        <v>502</v>
      </c>
      <c r="D2933">
        <v>5</v>
      </c>
      <c r="E2933">
        <v>250</v>
      </c>
    </row>
    <row r="2934" spans="1:5" x14ac:dyDescent="0.3">
      <c r="A2934">
        <v>69607</v>
      </c>
      <c r="B2934">
        <v>27804</v>
      </c>
      <c r="C2934">
        <v>44</v>
      </c>
      <c r="D2934">
        <v>4</v>
      </c>
      <c r="E2934">
        <v>239.96</v>
      </c>
    </row>
    <row r="2935" spans="1:5" x14ac:dyDescent="0.3">
      <c r="A2935">
        <v>69608</v>
      </c>
      <c r="B2935">
        <v>27804</v>
      </c>
      <c r="C2935">
        <v>191</v>
      </c>
      <c r="D2935">
        <v>4</v>
      </c>
      <c r="E2935">
        <v>399.96</v>
      </c>
    </row>
    <row r="2936" spans="1:5" x14ac:dyDescent="0.3">
      <c r="A2936">
        <v>69606</v>
      </c>
      <c r="B2936">
        <v>27804</v>
      </c>
      <c r="C2936">
        <v>1073</v>
      </c>
      <c r="D2936">
        <v>1</v>
      </c>
      <c r="E2936">
        <v>199.99</v>
      </c>
    </row>
    <row r="2937" spans="1:5" x14ac:dyDescent="0.3">
      <c r="A2937">
        <v>69605</v>
      </c>
      <c r="B2937">
        <v>27804</v>
      </c>
      <c r="C2937">
        <v>1073</v>
      </c>
      <c r="D2937">
        <v>1</v>
      </c>
      <c r="E2937">
        <v>199.99</v>
      </c>
    </row>
    <row r="2938" spans="1:5" x14ac:dyDescent="0.3">
      <c r="A2938">
        <v>69604</v>
      </c>
      <c r="B2938">
        <v>27804</v>
      </c>
      <c r="C2938">
        <v>1004</v>
      </c>
      <c r="D2938">
        <v>1</v>
      </c>
      <c r="E2938">
        <v>399.98</v>
      </c>
    </row>
    <row r="2939" spans="1:5" x14ac:dyDescent="0.3">
      <c r="A2939">
        <v>69615</v>
      </c>
      <c r="B2939">
        <v>27807</v>
      </c>
      <c r="C2939">
        <v>365</v>
      </c>
      <c r="D2939">
        <v>3</v>
      </c>
      <c r="E2939">
        <v>179.97</v>
      </c>
    </row>
    <row r="2940" spans="1:5" x14ac:dyDescent="0.3">
      <c r="A2940">
        <v>69616</v>
      </c>
      <c r="B2940">
        <v>27807</v>
      </c>
      <c r="C2940">
        <v>502</v>
      </c>
      <c r="D2940">
        <v>4</v>
      </c>
      <c r="E2940">
        <v>200</v>
      </c>
    </row>
    <row r="2941" spans="1:5" x14ac:dyDescent="0.3">
      <c r="A2941">
        <v>69614</v>
      </c>
      <c r="B2941">
        <v>27807</v>
      </c>
      <c r="C2941">
        <v>502</v>
      </c>
      <c r="D2941">
        <v>5</v>
      </c>
      <c r="E2941">
        <v>250</v>
      </c>
    </row>
    <row r="2942" spans="1:5" x14ac:dyDescent="0.3">
      <c r="A2942">
        <v>69618</v>
      </c>
      <c r="B2942">
        <v>27808</v>
      </c>
      <c r="C2942">
        <v>502</v>
      </c>
      <c r="D2942">
        <v>3</v>
      </c>
      <c r="E2942">
        <v>150</v>
      </c>
    </row>
    <row r="2943" spans="1:5" x14ac:dyDescent="0.3">
      <c r="A2943">
        <v>69617</v>
      </c>
      <c r="B2943">
        <v>27808</v>
      </c>
      <c r="C2943">
        <v>1073</v>
      </c>
      <c r="D2943">
        <v>1</v>
      </c>
      <c r="E2943">
        <v>199.99</v>
      </c>
    </row>
    <row r="2944" spans="1:5" x14ac:dyDescent="0.3">
      <c r="A2944">
        <v>69646</v>
      </c>
      <c r="B2944">
        <v>27819</v>
      </c>
      <c r="C2944">
        <v>191</v>
      </c>
      <c r="D2944">
        <v>1</v>
      </c>
      <c r="E2944">
        <v>99.99</v>
      </c>
    </row>
    <row r="2945" spans="1:5" x14ac:dyDescent="0.3">
      <c r="A2945">
        <v>69645</v>
      </c>
      <c r="B2945">
        <v>27819</v>
      </c>
      <c r="C2945">
        <v>403</v>
      </c>
      <c r="D2945">
        <v>1</v>
      </c>
      <c r="E2945">
        <v>129.99</v>
      </c>
    </row>
    <row r="2946" spans="1:5" x14ac:dyDescent="0.3">
      <c r="A2946">
        <v>69643</v>
      </c>
      <c r="B2946">
        <v>27819</v>
      </c>
      <c r="C2946">
        <v>957</v>
      </c>
      <c r="D2946">
        <v>1</v>
      </c>
      <c r="E2946">
        <v>299.98</v>
      </c>
    </row>
    <row r="2947" spans="1:5" x14ac:dyDescent="0.3">
      <c r="A2947">
        <v>69642</v>
      </c>
      <c r="B2947">
        <v>27819</v>
      </c>
      <c r="C2947">
        <v>627</v>
      </c>
      <c r="D2947">
        <v>5</v>
      </c>
      <c r="E2947">
        <v>199.95</v>
      </c>
    </row>
    <row r="2948" spans="1:5" x14ac:dyDescent="0.3">
      <c r="A2948">
        <v>69644</v>
      </c>
      <c r="B2948">
        <v>27819</v>
      </c>
      <c r="C2948">
        <v>1004</v>
      </c>
      <c r="D2948">
        <v>1</v>
      </c>
      <c r="E2948">
        <v>399.98</v>
      </c>
    </row>
    <row r="2949" spans="1:5" x14ac:dyDescent="0.3">
      <c r="A2949">
        <v>69647</v>
      </c>
      <c r="B2949">
        <v>27820</v>
      </c>
      <c r="C2949">
        <v>1014</v>
      </c>
      <c r="D2949">
        <v>2</v>
      </c>
      <c r="E2949">
        <v>99.96</v>
      </c>
    </row>
    <row r="2950" spans="1:5" x14ac:dyDescent="0.3">
      <c r="A2950">
        <v>69716</v>
      </c>
      <c r="B2950">
        <v>27847</v>
      </c>
      <c r="C2950">
        <v>1073</v>
      </c>
      <c r="D2950">
        <v>1</v>
      </c>
      <c r="E2950">
        <v>199.99</v>
      </c>
    </row>
    <row r="2951" spans="1:5" x14ac:dyDescent="0.3">
      <c r="A2951">
        <v>69712</v>
      </c>
      <c r="B2951">
        <v>27847</v>
      </c>
      <c r="C2951">
        <v>403</v>
      </c>
      <c r="D2951">
        <v>1</v>
      </c>
      <c r="E2951">
        <v>129.99</v>
      </c>
    </row>
    <row r="2952" spans="1:5" x14ac:dyDescent="0.3">
      <c r="A2952">
        <v>69715</v>
      </c>
      <c r="B2952">
        <v>27847</v>
      </c>
      <c r="C2952">
        <v>572</v>
      </c>
      <c r="D2952">
        <v>3</v>
      </c>
      <c r="E2952">
        <v>119.97</v>
      </c>
    </row>
    <row r="2953" spans="1:5" x14ac:dyDescent="0.3">
      <c r="A2953">
        <v>69714</v>
      </c>
      <c r="B2953">
        <v>27847</v>
      </c>
      <c r="C2953">
        <v>1004</v>
      </c>
      <c r="D2953">
        <v>1</v>
      </c>
      <c r="E2953">
        <v>399.98</v>
      </c>
    </row>
    <row r="2954" spans="1:5" x14ac:dyDescent="0.3">
      <c r="A2954">
        <v>69713</v>
      </c>
      <c r="B2954">
        <v>27847</v>
      </c>
      <c r="C2954">
        <v>1004</v>
      </c>
      <c r="D2954">
        <v>1</v>
      </c>
      <c r="E2954">
        <v>399.98</v>
      </c>
    </row>
    <row r="2955" spans="1:5" x14ac:dyDescent="0.3">
      <c r="A2955">
        <v>69721</v>
      </c>
      <c r="B2955">
        <v>27850</v>
      </c>
      <c r="C2955">
        <v>191</v>
      </c>
      <c r="D2955">
        <v>5</v>
      </c>
      <c r="E2955">
        <v>499.95</v>
      </c>
    </row>
    <row r="2956" spans="1:5" x14ac:dyDescent="0.3">
      <c r="A2956">
        <v>69734</v>
      </c>
      <c r="B2956">
        <v>27857</v>
      </c>
      <c r="C2956">
        <v>1014</v>
      </c>
      <c r="D2956">
        <v>1</v>
      </c>
      <c r="E2956">
        <v>49.98</v>
      </c>
    </row>
    <row r="2957" spans="1:5" x14ac:dyDescent="0.3">
      <c r="A2957">
        <v>69732</v>
      </c>
      <c r="B2957">
        <v>27857</v>
      </c>
      <c r="C2957">
        <v>403</v>
      </c>
      <c r="D2957">
        <v>1</v>
      </c>
      <c r="E2957">
        <v>129.99</v>
      </c>
    </row>
    <row r="2958" spans="1:5" x14ac:dyDescent="0.3">
      <c r="A2958">
        <v>69733</v>
      </c>
      <c r="B2958">
        <v>27857</v>
      </c>
      <c r="C2958">
        <v>191</v>
      </c>
      <c r="D2958">
        <v>2</v>
      </c>
      <c r="E2958">
        <v>199.98</v>
      </c>
    </row>
    <row r="2959" spans="1:5" x14ac:dyDescent="0.3">
      <c r="A2959">
        <v>69735</v>
      </c>
      <c r="B2959">
        <v>27857</v>
      </c>
      <c r="C2959">
        <v>1004</v>
      </c>
      <c r="D2959">
        <v>1</v>
      </c>
      <c r="E2959">
        <v>399.98</v>
      </c>
    </row>
    <row r="2960" spans="1:5" x14ac:dyDescent="0.3">
      <c r="A2960">
        <v>69738</v>
      </c>
      <c r="B2960">
        <v>27858</v>
      </c>
      <c r="C2960">
        <v>365</v>
      </c>
      <c r="D2960">
        <v>5</v>
      </c>
      <c r="E2960">
        <v>299.95</v>
      </c>
    </row>
    <row r="2961" spans="1:5" x14ac:dyDescent="0.3">
      <c r="A2961">
        <v>69736</v>
      </c>
      <c r="B2961">
        <v>27858</v>
      </c>
      <c r="C2961">
        <v>403</v>
      </c>
      <c r="D2961">
        <v>1</v>
      </c>
      <c r="E2961">
        <v>129.99</v>
      </c>
    </row>
    <row r="2962" spans="1:5" x14ac:dyDescent="0.3">
      <c r="A2962">
        <v>69737</v>
      </c>
      <c r="B2962">
        <v>27858</v>
      </c>
      <c r="C2962">
        <v>365</v>
      </c>
      <c r="D2962">
        <v>2</v>
      </c>
      <c r="E2962">
        <v>119.98</v>
      </c>
    </row>
    <row r="2963" spans="1:5" x14ac:dyDescent="0.3">
      <c r="A2963">
        <v>69740</v>
      </c>
      <c r="B2963">
        <v>27858</v>
      </c>
      <c r="C2963">
        <v>282</v>
      </c>
      <c r="D2963">
        <v>3</v>
      </c>
      <c r="E2963">
        <v>95.97</v>
      </c>
    </row>
    <row r="2964" spans="1:5" x14ac:dyDescent="0.3">
      <c r="A2964">
        <v>69739</v>
      </c>
      <c r="B2964">
        <v>27858</v>
      </c>
      <c r="C2964">
        <v>502</v>
      </c>
      <c r="D2964">
        <v>3</v>
      </c>
      <c r="E2964">
        <v>150</v>
      </c>
    </row>
    <row r="2965" spans="1:5" x14ac:dyDescent="0.3">
      <c r="A2965">
        <v>69742</v>
      </c>
      <c r="B2965">
        <v>27859</v>
      </c>
      <c r="C2965">
        <v>1014</v>
      </c>
      <c r="D2965">
        <v>3</v>
      </c>
      <c r="E2965">
        <v>149.94</v>
      </c>
    </row>
    <row r="2966" spans="1:5" x14ac:dyDescent="0.3">
      <c r="A2966">
        <v>69741</v>
      </c>
      <c r="B2966">
        <v>27859</v>
      </c>
      <c r="C2966">
        <v>1014</v>
      </c>
      <c r="D2966">
        <v>5</v>
      </c>
      <c r="E2966">
        <v>249.9</v>
      </c>
    </row>
    <row r="2967" spans="1:5" x14ac:dyDescent="0.3">
      <c r="A2967">
        <v>69743</v>
      </c>
      <c r="B2967">
        <v>27860</v>
      </c>
      <c r="C2967">
        <v>365</v>
      </c>
      <c r="D2967">
        <v>5</v>
      </c>
      <c r="E2967">
        <v>299.95</v>
      </c>
    </row>
    <row r="2968" spans="1:5" x14ac:dyDescent="0.3">
      <c r="A2968">
        <v>69745</v>
      </c>
      <c r="B2968">
        <v>27860</v>
      </c>
      <c r="C2968">
        <v>804</v>
      </c>
      <c r="D2968">
        <v>5</v>
      </c>
      <c r="E2968">
        <v>99.95</v>
      </c>
    </row>
    <row r="2969" spans="1:5" x14ac:dyDescent="0.3">
      <c r="A2969">
        <v>69744</v>
      </c>
      <c r="B2969">
        <v>27860</v>
      </c>
      <c r="C2969">
        <v>804</v>
      </c>
      <c r="D2969">
        <v>5</v>
      </c>
      <c r="E2969">
        <v>99.95</v>
      </c>
    </row>
    <row r="2970" spans="1:5" x14ac:dyDescent="0.3">
      <c r="A2970">
        <v>69747</v>
      </c>
      <c r="B2970">
        <v>27860</v>
      </c>
      <c r="C2970">
        <v>1073</v>
      </c>
      <c r="D2970">
        <v>1</v>
      </c>
      <c r="E2970">
        <v>199.99</v>
      </c>
    </row>
    <row r="2971" spans="1:5" x14ac:dyDescent="0.3">
      <c r="A2971">
        <v>69746</v>
      </c>
      <c r="B2971">
        <v>27860</v>
      </c>
      <c r="C2971">
        <v>365</v>
      </c>
      <c r="D2971">
        <v>3</v>
      </c>
      <c r="E2971">
        <v>179.97</v>
      </c>
    </row>
    <row r="2972" spans="1:5" x14ac:dyDescent="0.3">
      <c r="A2972">
        <v>69791</v>
      </c>
      <c r="B2972">
        <v>27880</v>
      </c>
      <c r="C2972">
        <v>403</v>
      </c>
      <c r="D2972">
        <v>1</v>
      </c>
      <c r="E2972">
        <v>129.99</v>
      </c>
    </row>
    <row r="2973" spans="1:5" x14ac:dyDescent="0.3">
      <c r="A2973">
        <v>69790</v>
      </c>
      <c r="B2973">
        <v>27880</v>
      </c>
      <c r="C2973">
        <v>957</v>
      </c>
      <c r="D2973">
        <v>1</v>
      </c>
      <c r="E2973">
        <v>299.98</v>
      </c>
    </row>
    <row r="2974" spans="1:5" x14ac:dyDescent="0.3">
      <c r="A2974">
        <v>69793</v>
      </c>
      <c r="B2974">
        <v>27880</v>
      </c>
      <c r="C2974">
        <v>191</v>
      </c>
      <c r="D2974">
        <v>3</v>
      </c>
      <c r="E2974">
        <v>299.97000000000003</v>
      </c>
    </row>
    <row r="2975" spans="1:5" x14ac:dyDescent="0.3">
      <c r="A2975">
        <v>69792</v>
      </c>
      <c r="B2975">
        <v>27880</v>
      </c>
      <c r="C2975">
        <v>502</v>
      </c>
      <c r="D2975">
        <v>3</v>
      </c>
      <c r="E2975">
        <v>150</v>
      </c>
    </row>
    <row r="2976" spans="1:5" x14ac:dyDescent="0.3">
      <c r="A2976">
        <v>69794</v>
      </c>
      <c r="B2976">
        <v>27880</v>
      </c>
      <c r="C2976">
        <v>1073</v>
      </c>
      <c r="D2976">
        <v>1</v>
      </c>
      <c r="E2976">
        <v>199.99</v>
      </c>
    </row>
    <row r="2977" spans="1:5" x14ac:dyDescent="0.3">
      <c r="A2977">
        <v>69797</v>
      </c>
      <c r="B2977">
        <v>27881</v>
      </c>
      <c r="C2977">
        <v>1073</v>
      </c>
      <c r="D2977">
        <v>1</v>
      </c>
      <c r="E2977">
        <v>199.99</v>
      </c>
    </row>
    <row r="2978" spans="1:5" x14ac:dyDescent="0.3">
      <c r="A2978">
        <v>69796</v>
      </c>
      <c r="B2978">
        <v>27881</v>
      </c>
      <c r="C2978">
        <v>403</v>
      </c>
      <c r="D2978">
        <v>1</v>
      </c>
      <c r="E2978">
        <v>129.99</v>
      </c>
    </row>
    <row r="2979" spans="1:5" x14ac:dyDescent="0.3">
      <c r="A2979">
        <v>69795</v>
      </c>
      <c r="B2979">
        <v>27881</v>
      </c>
      <c r="C2979">
        <v>627</v>
      </c>
      <c r="D2979">
        <v>2</v>
      </c>
      <c r="E2979">
        <v>79.98</v>
      </c>
    </row>
    <row r="2980" spans="1:5" x14ac:dyDescent="0.3">
      <c r="A2980">
        <v>69798</v>
      </c>
      <c r="B2980">
        <v>27881</v>
      </c>
      <c r="C2980">
        <v>1004</v>
      </c>
      <c r="D2980">
        <v>1</v>
      </c>
      <c r="E2980">
        <v>399.98</v>
      </c>
    </row>
    <row r="2981" spans="1:5" x14ac:dyDescent="0.3">
      <c r="A2981">
        <v>69799</v>
      </c>
      <c r="B2981">
        <v>27882</v>
      </c>
      <c r="C2981">
        <v>191</v>
      </c>
      <c r="D2981">
        <v>2</v>
      </c>
      <c r="E2981">
        <v>199.98</v>
      </c>
    </row>
    <row r="2982" spans="1:5" x14ac:dyDescent="0.3">
      <c r="A2982">
        <v>69805</v>
      </c>
      <c r="B2982">
        <v>27885</v>
      </c>
      <c r="C2982">
        <v>885</v>
      </c>
      <c r="D2982">
        <v>2</v>
      </c>
      <c r="E2982">
        <v>49.98</v>
      </c>
    </row>
    <row r="2983" spans="1:5" x14ac:dyDescent="0.3">
      <c r="A2983">
        <v>69804</v>
      </c>
      <c r="B2983">
        <v>27885</v>
      </c>
      <c r="C2983">
        <v>365</v>
      </c>
      <c r="D2983">
        <v>3</v>
      </c>
      <c r="E2983">
        <v>179.97</v>
      </c>
    </row>
    <row r="2984" spans="1:5" x14ac:dyDescent="0.3">
      <c r="A2984">
        <v>69803</v>
      </c>
      <c r="B2984">
        <v>27885</v>
      </c>
      <c r="C2984">
        <v>365</v>
      </c>
      <c r="D2984">
        <v>3</v>
      </c>
      <c r="E2984">
        <v>179.97</v>
      </c>
    </row>
    <row r="2985" spans="1:5" x14ac:dyDescent="0.3">
      <c r="A2985">
        <v>69809</v>
      </c>
      <c r="B2985">
        <v>27886</v>
      </c>
      <c r="C2985">
        <v>502</v>
      </c>
      <c r="D2985">
        <v>1</v>
      </c>
      <c r="E2985">
        <v>50</v>
      </c>
    </row>
    <row r="2986" spans="1:5" x14ac:dyDescent="0.3">
      <c r="A2986">
        <v>69806</v>
      </c>
      <c r="B2986">
        <v>27886</v>
      </c>
      <c r="C2986">
        <v>502</v>
      </c>
      <c r="D2986">
        <v>3</v>
      </c>
      <c r="E2986">
        <v>150</v>
      </c>
    </row>
    <row r="2987" spans="1:5" x14ac:dyDescent="0.3">
      <c r="A2987">
        <v>69808</v>
      </c>
      <c r="B2987">
        <v>27886</v>
      </c>
      <c r="C2987">
        <v>1073</v>
      </c>
      <c r="D2987">
        <v>1</v>
      </c>
      <c r="E2987">
        <v>199.99</v>
      </c>
    </row>
    <row r="2988" spans="1:5" x14ac:dyDescent="0.3">
      <c r="A2988">
        <v>69807</v>
      </c>
      <c r="B2988">
        <v>27886</v>
      </c>
      <c r="C2988">
        <v>1073</v>
      </c>
      <c r="D2988">
        <v>1</v>
      </c>
      <c r="E2988">
        <v>199.99</v>
      </c>
    </row>
    <row r="2989" spans="1:5" x14ac:dyDescent="0.3">
      <c r="A2989">
        <v>69811</v>
      </c>
      <c r="B2989">
        <v>27887</v>
      </c>
      <c r="C2989">
        <v>191</v>
      </c>
      <c r="D2989">
        <v>1</v>
      </c>
      <c r="E2989">
        <v>99.99</v>
      </c>
    </row>
    <row r="2990" spans="1:5" x14ac:dyDescent="0.3">
      <c r="A2990">
        <v>69812</v>
      </c>
      <c r="B2990">
        <v>27887</v>
      </c>
      <c r="C2990">
        <v>957</v>
      </c>
      <c r="D2990">
        <v>1</v>
      </c>
      <c r="E2990">
        <v>299.98</v>
      </c>
    </row>
    <row r="2991" spans="1:5" x14ac:dyDescent="0.3">
      <c r="A2991">
        <v>69810</v>
      </c>
      <c r="B2991">
        <v>27887</v>
      </c>
      <c r="C2991">
        <v>502</v>
      </c>
      <c r="D2991">
        <v>2</v>
      </c>
      <c r="E2991">
        <v>100</v>
      </c>
    </row>
    <row r="2992" spans="1:5" x14ac:dyDescent="0.3">
      <c r="A2992">
        <v>69813</v>
      </c>
      <c r="B2992">
        <v>27887</v>
      </c>
      <c r="C2992">
        <v>1073</v>
      </c>
      <c r="D2992">
        <v>1</v>
      </c>
      <c r="E2992">
        <v>199.99</v>
      </c>
    </row>
    <row r="2993" spans="1:5" x14ac:dyDescent="0.3">
      <c r="A2993">
        <v>69814</v>
      </c>
      <c r="B2993">
        <v>27888</v>
      </c>
      <c r="C2993">
        <v>403</v>
      </c>
      <c r="D2993">
        <v>1</v>
      </c>
      <c r="E2993">
        <v>129.99</v>
      </c>
    </row>
    <row r="2994" spans="1:5" x14ac:dyDescent="0.3">
      <c r="A2994">
        <v>69818</v>
      </c>
      <c r="B2994">
        <v>27888</v>
      </c>
      <c r="C2994">
        <v>276</v>
      </c>
      <c r="D2994">
        <v>2</v>
      </c>
      <c r="E2994">
        <v>63.98</v>
      </c>
    </row>
    <row r="2995" spans="1:5" x14ac:dyDescent="0.3">
      <c r="A2995">
        <v>69815</v>
      </c>
      <c r="B2995">
        <v>27888</v>
      </c>
      <c r="C2995">
        <v>365</v>
      </c>
      <c r="D2995">
        <v>3</v>
      </c>
      <c r="E2995">
        <v>179.97</v>
      </c>
    </row>
    <row r="2996" spans="1:5" x14ac:dyDescent="0.3">
      <c r="A2996">
        <v>69816</v>
      </c>
      <c r="B2996">
        <v>27888</v>
      </c>
      <c r="C2996">
        <v>365</v>
      </c>
      <c r="D2996">
        <v>4</v>
      </c>
      <c r="E2996">
        <v>239.96</v>
      </c>
    </row>
    <row r="2997" spans="1:5" x14ac:dyDescent="0.3">
      <c r="A2997">
        <v>69817</v>
      </c>
      <c r="B2997">
        <v>27888</v>
      </c>
      <c r="C2997">
        <v>1004</v>
      </c>
      <c r="D2997">
        <v>1</v>
      </c>
      <c r="E2997">
        <v>399.98</v>
      </c>
    </row>
    <row r="2998" spans="1:5" x14ac:dyDescent="0.3">
      <c r="A2998">
        <v>69819</v>
      </c>
      <c r="B2998">
        <v>27889</v>
      </c>
      <c r="C2998">
        <v>793</v>
      </c>
      <c r="D2998">
        <v>1</v>
      </c>
      <c r="E2998">
        <v>14.99</v>
      </c>
    </row>
    <row r="2999" spans="1:5" x14ac:dyDescent="0.3">
      <c r="A2999">
        <v>69821</v>
      </c>
      <c r="B2999">
        <v>27889</v>
      </c>
      <c r="C2999">
        <v>1073</v>
      </c>
      <c r="D2999">
        <v>1</v>
      </c>
      <c r="E2999">
        <v>199.99</v>
      </c>
    </row>
    <row r="3000" spans="1:5" x14ac:dyDescent="0.3">
      <c r="A3000">
        <v>69820</v>
      </c>
      <c r="B3000">
        <v>27889</v>
      </c>
      <c r="C3000">
        <v>403</v>
      </c>
      <c r="D3000">
        <v>1</v>
      </c>
      <c r="E3000">
        <v>129.99</v>
      </c>
    </row>
    <row r="3001" spans="1:5" x14ac:dyDescent="0.3">
      <c r="A3001">
        <v>69822</v>
      </c>
      <c r="B3001">
        <v>27890</v>
      </c>
      <c r="C3001">
        <v>365</v>
      </c>
      <c r="D3001">
        <v>4</v>
      </c>
      <c r="E3001">
        <v>239.96</v>
      </c>
    </row>
    <row r="3002" spans="1:5" x14ac:dyDescent="0.3">
      <c r="A3002">
        <v>69824</v>
      </c>
      <c r="B3002">
        <v>27892</v>
      </c>
      <c r="C3002">
        <v>1014</v>
      </c>
      <c r="D3002">
        <v>2</v>
      </c>
      <c r="E3002">
        <v>99.96</v>
      </c>
    </row>
    <row r="3003" spans="1:5" x14ac:dyDescent="0.3">
      <c r="A3003">
        <v>69823</v>
      </c>
      <c r="B3003">
        <v>27892</v>
      </c>
      <c r="C3003">
        <v>1004</v>
      </c>
      <c r="D3003">
        <v>1</v>
      </c>
      <c r="E3003">
        <v>399.98</v>
      </c>
    </row>
    <row r="3004" spans="1:5" x14ac:dyDescent="0.3">
      <c r="A3004">
        <v>69841</v>
      </c>
      <c r="B3004">
        <v>27902</v>
      </c>
      <c r="C3004">
        <v>1073</v>
      </c>
      <c r="D3004">
        <v>1</v>
      </c>
      <c r="E3004">
        <v>199.99</v>
      </c>
    </row>
    <row r="3005" spans="1:5" x14ac:dyDescent="0.3">
      <c r="A3005">
        <v>69842</v>
      </c>
      <c r="B3005">
        <v>27902</v>
      </c>
      <c r="C3005">
        <v>365</v>
      </c>
      <c r="D3005">
        <v>3</v>
      </c>
      <c r="E3005">
        <v>179.97</v>
      </c>
    </row>
    <row r="3006" spans="1:5" x14ac:dyDescent="0.3">
      <c r="A3006">
        <v>69838</v>
      </c>
      <c r="B3006">
        <v>27902</v>
      </c>
      <c r="C3006">
        <v>502</v>
      </c>
      <c r="D3006">
        <v>4</v>
      </c>
      <c r="E3006">
        <v>200</v>
      </c>
    </row>
    <row r="3007" spans="1:5" x14ac:dyDescent="0.3">
      <c r="A3007">
        <v>69839</v>
      </c>
      <c r="B3007">
        <v>27902</v>
      </c>
      <c r="C3007">
        <v>502</v>
      </c>
      <c r="D3007">
        <v>5</v>
      </c>
      <c r="E3007">
        <v>250</v>
      </c>
    </row>
    <row r="3008" spans="1:5" x14ac:dyDescent="0.3">
      <c r="A3008">
        <v>69840</v>
      </c>
      <c r="B3008">
        <v>27902</v>
      </c>
      <c r="C3008">
        <v>1014</v>
      </c>
      <c r="D3008">
        <v>2</v>
      </c>
      <c r="E3008">
        <v>99.96</v>
      </c>
    </row>
    <row r="3009" spans="1:5" x14ac:dyDescent="0.3">
      <c r="A3009">
        <v>69874</v>
      </c>
      <c r="B3009">
        <v>27921</v>
      </c>
      <c r="C3009">
        <v>403</v>
      </c>
      <c r="D3009">
        <v>1</v>
      </c>
      <c r="E3009">
        <v>129.99</v>
      </c>
    </row>
    <row r="3010" spans="1:5" x14ac:dyDescent="0.3">
      <c r="A3010">
        <v>69876</v>
      </c>
      <c r="B3010">
        <v>27921</v>
      </c>
      <c r="C3010">
        <v>564</v>
      </c>
      <c r="D3010">
        <v>2</v>
      </c>
      <c r="E3010">
        <v>60</v>
      </c>
    </row>
    <row r="3011" spans="1:5" x14ac:dyDescent="0.3">
      <c r="A3011">
        <v>69875</v>
      </c>
      <c r="B3011">
        <v>27921</v>
      </c>
      <c r="C3011">
        <v>365</v>
      </c>
      <c r="D3011">
        <v>5</v>
      </c>
      <c r="E3011">
        <v>299.95</v>
      </c>
    </row>
    <row r="3012" spans="1:5" x14ac:dyDescent="0.3">
      <c r="A3012">
        <v>69877</v>
      </c>
      <c r="B3012">
        <v>27921</v>
      </c>
      <c r="C3012">
        <v>1004</v>
      </c>
      <c r="D3012">
        <v>1</v>
      </c>
      <c r="E3012">
        <v>399.98</v>
      </c>
    </row>
    <row r="3013" spans="1:5" x14ac:dyDescent="0.3">
      <c r="A3013">
        <v>69933</v>
      </c>
      <c r="B3013">
        <v>27942</v>
      </c>
      <c r="C3013">
        <v>403</v>
      </c>
      <c r="D3013">
        <v>1</v>
      </c>
      <c r="E3013">
        <v>129.99</v>
      </c>
    </row>
    <row r="3014" spans="1:5" x14ac:dyDescent="0.3">
      <c r="A3014">
        <v>69932</v>
      </c>
      <c r="B3014">
        <v>27942</v>
      </c>
      <c r="C3014">
        <v>957</v>
      </c>
      <c r="D3014">
        <v>1</v>
      </c>
      <c r="E3014">
        <v>299.98</v>
      </c>
    </row>
    <row r="3015" spans="1:5" x14ac:dyDescent="0.3">
      <c r="A3015">
        <v>69938</v>
      </c>
      <c r="B3015">
        <v>27943</v>
      </c>
      <c r="C3015">
        <v>1073</v>
      </c>
      <c r="D3015">
        <v>1</v>
      </c>
      <c r="E3015">
        <v>199.99</v>
      </c>
    </row>
    <row r="3016" spans="1:5" x14ac:dyDescent="0.3">
      <c r="A3016">
        <v>69935</v>
      </c>
      <c r="B3016">
        <v>27943</v>
      </c>
      <c r="C3016">
        <v>403</v>
      </c>
      <c r="D3016">
        <v>1</v>
      </c>
      <c r="E3016">
        <v>129.99</v>
      </c>
    </row>
    <row r="3017" spans="1:5" x14ac:dyDescent="0.3">
      <c r="A3017">
        <v>69934</v>
      </c>
      <c r="B3017">
        <v>27943</v>
      </c>
      <c r="C3017">
        <v>403</v>
      </c>
      <c r="D3017">
        <v>1</v>
      </c>
      <c r="E3017">
        <v>129.99</v>
      </c>
    </row>
    <row r="3018" spans="1:5" x14ac:dyDescent="0.3">
      <c r="A3018">
        <v>69937</v>
      </c>
      <c r="B3018">
        <v>27943</v>
      </c>
      <c r="C3018">
        <v>365</v>
      </c>
      <c r="D3018">
        <v>4</v>
      </c>
      <c r="E3018">
        <v>239.96</v>
      </c>
    </row>
    <row r="3019" spans="1:5" x14ac:dyDescent="0.3">
      <c r="A3019">
        <v>69936</v>
      </c>
      <c r="B3019">
        <v>27943</v>
      </c>
      <c r="C3019">
        <v>1004</v>
      </c>
      <c r="D3019">
        <v>1</v>
      </c>
      <c r="E3019">
        <v>399.98</v>
      </c>
    </row>
    <row r="3020" spans="1:5" x14ac:dyDescent="0.3">
      <c r="A3020">
        <v>69943</v>
      </c>
      <c r="B3020">
        <v>27946</v>
      </c>
      <c r="C3020">
        <v>191</v>
      </c>
      <c r="D3020">
        <v>2</v>
      </c>
      <c r="E3020">
        <v>199.98</v>
      </c>
    </row>
    <row r="3021" spans="1:5" x14ac:dyDescent="0.3">
      <c r="A3021">
        <v>69942</v>
      </c>
      <c r="B3021">
        <v>27946</v>
      </c>
      <c r="C3021">
        <v>249</v>
      </c>
      <c r="D3021">
        <v>4</v>
      </c>
      <c r="E3021">
        <v>219.88</v>
      </c>
    </row>
    <row r="3022" spans="1:5" x14ac:dyDescent="0.3">
      <c r="A3022">
        <v>69996</v>
      </c>
      <c r="B3022">
        <v>27969</v>
      </c>
      <c r="C3022">
        <v>1073</v>
      </c>
      <c r="D3022">
        <v>1</v>
      </c>
      <c r="E3022">
        <v>199.99</v>
      </c>
    </row>
    <row r="3023" spans="1:5" x14ac:dyDescent="0.3">
      <c r="A3023">
        <v>69994</v>
      </c>
      <c r="B3023">
        <v>27969</v>
      </c>
      <c r="C3023">
        <v>1014</v>
      </c>
      <c r="D3023">
        <v>5</v>
      </c>
      <c r="E3023">
        <v>249.9</v>
      </c>
    </row>
    <row r="3024" spans="1:5" x14ac:dyDescent="0.3">
      <c r="A3024">
        <v>69992</v>
      </c>
      <c r="B3024">
        <v>27969</v>
      </c>
      <c r="C3024">
        <v>403</v>
      </c>
      <c r="D3024">
        <v>1</v>
      </c>
      <c r="E3024">
        <v>129.99</v>
      </c>
    </row>
    <row r="3025" spans="1:5" x14ac:dyDescent="0.3">
      <c r="A3025">
        <v>69993</v>
      </c>
      <c r="B3025">
        <v>27969</v>
      </c>
      <c r="C3025">
        <v>893</v>
      </c>
      <c r="D3025">
        <v>2</v>
      </c>
      <c r="E3025">
        <v>49.98</v>
      </c>
    </row>
    <row r="3026" spans="1:5" x14ac:dyDescent="0.3">
      <c r="A3026">
        <v>69995</v>
      </c>
      <c r="B3026">
        <v>27969</v>
      </c>
      <c r="C3026">
        <v>825</v>
      </c>
      <c r="D3026">
        <v>4</v>
      </c>
      <c r="E3026">
        <v>127.96</v>
      </c>
    </row>
    <row r="3027" spans="1:5" x14ac:dyDescent="0.3">
      <c r="A3027">
        <v>70056</v>
      </c>
      <c r="B3027">
        <v>27994</v>
      </c>
      <c r="C3027">
        <v>135</v>
      </c>
      <c r="D3027">
        <v>3</v>
      </c>
      <c r="E3027">
        <v>66</v>
      </c>
    </row>
    <row r="3028" spans="1:5" x14ac:dyDescent="0.3">
      <c r="A3028">
        <v>70057</v>
      </c>
      <c r="B3028">
        <v>27994</v>
      </c>
      <c r="C3028">
        <v>365</v>
      </c>
      <c r="D3028">
        <v>4</v>
      </c>
      <c r="E3028">
        <v>239.96</v>
      </c>
    </row>
    <row r="3029" spans="1:5" x14ac:dyDescent="0.3">
      <c r="A3029">
        <v>70059</v>
      </c>
      <c r="B3029">
        <v>27994</v>
      </c>
      <c r="C3029">
        <v>627</v>
      </c>
      <c r="D3029">
        <v>4</v>
      </c>
      <c r="E3029">
        <v>159.96</v>
      </c>
    </row>
    <row r="3030" spans="1:5" x14ac:dyDescent="0.3">
      <c r="A3030">
        <v>70058</v>
      </c>
      <c r="B3030">
        <v>27994</v>
      </c>
      <c r="C3030">
        <v>502</v>
      </c>
      <c r="D3030">
        <v>4</v>
      </c>
      <c r="E3030">
        <v>200</v>
      </c>
    </row>
    <row r="3031" spans="1:5" x14ac:dyDescent="0.3">
      <c r="A3031">
        <v>70060</v>
      </c>
      <c r="B3031">
        <v>27995</v>
      </c>
      <c r="C3031">
        <v>1073</v>
      </c>
      <c r="D3031">
        <v>1</v>
      </c>
      <c r="E3031">
        <v>199.99</v>
      </c>
    </row>
    <row r="3032" spans="1:5" x14ac:dyDescent="0.3">
      <c r="A3032">
        <v>70061</v>
      </c>
      <c r="B3032">
        <v>27995</v>
      </c>
      <c r="C3032">
        <v>502</v>
      </c>
      <c r="D3032">
        <v>2</v>
      </c>
      <c r="E3032">
        <v>100</v>
      </c>
    </row>
    <row r="3033" spans="1:5" x14ac:dyDescent="0.3">
      <c r="A3033">
        <v>70076</v>
      </c>
      <c r="B3033">
        <v>28004</v>
      </c>
      <c r="C3033">
        <v>249</v>
      </c>
      <c r="D3033">
        <v>2</v>
      </c>
      <c r="E3033">
        <v>109.94</v>
      </c>
    </row>
    <row r="3034" spans="1:5" x14ac:dyDescent="0.3">
      <c r="A3034">
        <v>70087</v>
      </c>
      <c r="B3034">
        <v>28008</v>
      </c>
      <c r="C3034">
        <v>1073</v>
      </c>
      <c r="D3034">
        <v>1</v>
      </c>
      <c r="E3034">
        <v>199.99</v>
      </c>
    </row>
    <row r="3035" spans="1:5" x14ac:dyDescent="0.3">
      <c r="A3035">
        <v>70086</v>
      </c>
      <c r="B3035">
        <v>28008</v>
      </c>
      <c r="C3035">
        <v>502</v>
      </c>
      <c r="D3035">
        <v>5</v>
      </c>
      <c r="E3035">
        <v>250</v>
      </c>
    </row>
    <row r="3036" spans="1:5" x14ac:dyDescent="0.3">
      <c r="A3036">
        <v>70089</v>
      </c>
      <c r="B3036">
        <v>28009</v>
      </c>
      <c r="C3036">
        <v>1073</v>
      </c>
      <c r="D3036">
        <v>1</v>
      </c>
      <c r="E3036">
        <v>199.99</v>
      </c>
    </row>
    <row r="3037" spans="1:5" x14ac:dyDescent="0.3">
      <c r="A3037">
        <v>70088</v>
      </c>
      <c r="B3037">
        <v>28009</v>
      </c>
      <c r="C3037">
        <v>957</v>
      </c>
      <c r="D3037">
        <v>1</v>
      </c>
      <c r="E3037">
        <v>299.98</v>
      </c>
    </row>
    <row r="3038" spans="1:5" x14ac:dyDescent="0.3">
      <c r="A3038">
        <v>70090</v>
      </c>
      <c r="B3038">
        <v>28009</v>
      </c>
      <c r="C3038">
        <v>1004</v>
      </c>
      <c r="D3038">
        <v>1</v>
      </c>
      <c r="E3038">
        <v>399.98</v>
      </c>
    </row>
    <row r="3039" spans="1:5" x14ac:dyDescent="0.3">
      <c r="A3039">
        <v>70099</v>
      </c>
      <c r="B3039">
        <v>28016</v>
      </c>
      <c r="C3039">
        <v>1073</v>
      </c>
      <c r="D3039">
        <v>1</v>
      </c>
      <c r="E3039">
        <v>199.99</v>
      </c>
    </row>
    <row r="3040" spans="1:5" x14ac:dyDescent="0.3">
      <c r="A3040">
        <v>70097</v>
      </c>
      <c r="B3040">
        <v>28016</v>
      </c>
      <c r="C3040">
        <v>191</v>
      </c>
      <c r="D3040">
        <v>1</v>
      </c>
      <c r="E3040">
        <v>99.99</v>
      </c>
    </row>
    <row r="3041" spans="1:5" x14ac:dyDescent="0.3">
      <c r="A3041">
        <v>70100</v>
      </c>
      <c r="B3041">
        <v>28016</v>
      </c>
      <c r="C3041">
        <v>957</v>
      </c>
      <c r="D3041">
        <v>1</v>
      </c>
      <c r="E3041">
        <v>299.98</v>
      </c>
    </row>
    <row r="3042" spans="1:5" x14ac:dyDescent="0.3">
      <c r="A3042">
        <v>70098</v>
      </c>
      <c r="B3042">
        <v>28016</v>
      </c>
      <c r="C3042">
        <v>365</v>
      </c>
      <c r="D3042">
        <v>4</v>
      </c>
      <c r="E3042">
        <v>239.96</v>
      </c>
    </row>
    <row r="3043" spans="1:5" x14ac:dyDescent="0.3">
      <c r="A3043">
        <v>70102</v>
      </c>
      <c r="B3043">
        <v>28017</v>
      </c>
      <c r="C3043">
        <v>926</v>
      </c>
      <c r="D3043">
        <v>5</v>
      </c>
      <c r="E3043">
        <v>79.95</v>
      </c>
    </row>
    <row r="3044" spans="1:5" x14ac:dyDescent="0.3">
      <c r="A3044">
        <v>70101</v>
      </c>
      <c r="B3044">
        <v>28017</v>
      </c>
      <c r="C3044">
        <v>403</v>
      </c>
      <c r="D3044">
        <v>1</v>
      </c>
      <c r="E3044">
        <v>129.99</v>
      </c>
    </row>
    <row r="3045" spans="1:5" x14ac:dyDescent="0.3">
      <c r="A3045">
        <v>70104</v>
      </c>
      <c r="B3045">
        <v>28018</v>
      </c>
      <c r="C3045">
        <v>957</v>
      </c>
      <c r="D3045">
        <v>1</v>
      </c>
      <c r="E3045">
        <v>299.98</v>
      </c>
    </row>
    <row r="3046" spans="1:5" x14ac:dyDescent="0.3">
      <c r="A3046">
        <v>70105</v>
      </c>
      <c r="B3046">
        <v>28018</v>
      </c>
      <c r="C3046">
        <v>502</v>
      </c>
      <c r="D3046">
        <v>2</v>
      </c>
      <c r="E3046">
        <v>100</v>
      </c>
    </row>
    <row r="3047" spans="1:5" x14ac:dyDescent="0.3">
      <c r="A3047">
        <v>70103</v>
      </c>
      <c r="B3047">
        <v>28018</v>
      </c>
      <c r="C3047">
        <v>365</v>
      </c>
      <c r="D3047">
        <v>5</v>
      </c>
      <c r="E3047">
        <v>299.95</v>
      </c>
    </row>
    <row r="3048" spans="1:5" x14ac:dyDescent="0.3">
      <c r="A3048">
        <v>70118</v>
      </c>
      <c r="B3048">
        <v>28025</v>
      </c>
      <c r="C3048">
        <v>924</v>
      </c>
      <c r="D3048">
        <v>1</v>
      </c>
      <c r="E3048">
        <v>15.99</v>
      </c>
    </row>
    <row r="3049" spans="1:5" x14ac:dyDescent="0.3">
      <c r="A3049">
        <v>70117</v>
      </c>
      <c r="B3049">
        <v>28025</v>
      </c>
      <c r="C3049">
        <v>957</v>
      </c>
      <c r="D3049">
        <v>1</v>
      </c>
      <c r="E3049">
        <v>299.98</v>
      </c>
    </row>
    <row r="3050" spans="1:5" x14ac:dyDescent="0.3">
      <c r="A3050">
        <v>70116</v>
      </c>
      <c r="B3050">
        <v>28025</v>
      </c>
      <c r="C3050">
        <v>502</v>
      </c>
      <c r="D3050">
        <v>4</v>
      </c>
      <c r="E3050">
        <v>200</v>
      </c>
    </row>
    <row r="3051" spans="1:5" x14ac:dyDescent="0.3">
      <c r="A3051">
        <v>70133</v>
      </c>
      <c r="B3051">
        <v>28033</v>
      </c>
      <c r="C3051">
        <v>191</v>
      </c>
      <c r="D3051">
        <v>1</v>
      </c>
      <c r="E3051">
        <v>99.99</v>
      </c>
    </row>
    <row r="3052" spans="1:5" x14ac:dyDescent="0.3">
      <c r="A3052">
        <v>70134</v>
      </c>
      <c r="B3052">
        <v>28033</v>
      </c>
      <c r="C3052">
        <v>403</v>
      </c>
      <c r="D3052">
        <v>1</v>
      </c>
      <c r="E3052">
        <v>129.99</v>
      </c>
    </row>
    <row r="3053" spans="1:5" x14ac:dyDescent="0.3">
      <c r="A3053">
        <v>70131</v>
      </c>
      <c r="B3053">
        <v>28033</v>
      </c>
      <c r="C3053">
        <v>365</v>
      </c>
      <c r="D3053">
        <v>2</v>
      </c>
      <c r="E3053">
        <v>119.98</v>
      </c>
    </row>
    <row r="3054" spans="1:5" x14ac:dyDescent="0.3">
      <c r="A3054">
        <v>70132</v>
      </c>
      <c r="B3054">
        <v>28033</v>
      </c>
      <c r="C3054">
        <v>1014</v>
      </c>
      <c r="D3054">
        <v>4</v>
      </c>
      <c r="E3054">
        <v>199.92</v>
      </c>
    </row>
    <row r="3055" spans="1:5" x14ac:dyDescent="0.3">
      <c r="A3055">
        <v>70135</v>
      </c>
      <c r="B3055">
        <v>28034</v>
      </c>
      <c r="C3055">
        <v>403</v>
      </c>
      <c r="D3055">
        <v>1</v>
      </c>
      <c r="E3055">
        <v>129.99</v>
      </c>
    </row>
    <row r="3056" spans="1:5" x14ac:dyDescent="0.3">
      <c r="A3056">
        <v>70137</v>
      </c>
      <c r="B3056">
        <v>28034</v>
      </c>
      <c r="C3056">
        <v>957</v>
      </c>
      <c r="D3056">
        <v>1</v>
      </c>
      <c r="E3056">
        <v>299.98</v>
      </c>
    </row>
    <row r="3057" spans="1:5" x14ac:dyDescent="0.3">
      <c r="A3057">
        <v>70136</v>
      </c>
      <c r="B3057">
        <v>28034</v>
      </c>
      <c r="C3057">
        <v>365</v>
      </c>
      <c r="D3057">
        <v>4</v>
      </c>
      <c r="E3057">
        <v>239.96</v>
      </c>
    </row>
    <row r="3058" spans="1:5" x14ac:dyDescent="0.3">
      <c r="A3058">
        <v>70138</v>
      </c>
      <c r="B3058">
        <v>28034</v>
      </c>
      <c r="C3058">
        <v>567</v>
      </c>
      <c r="D3058">
        <v>4</v>
      </c>
      <c r="E3058">
        <v>100</v>
      </c>
    </row>
    <row r="3059" spans="1:5" x14ac:dyDescent="0.3">
      <c r="A3059">
        <v>70139</v>
      </c>
      <c r="B3059">
        <v>28034</v>
      </c>
      <c r="C3059">
        <v>1004</v>
      </c>
      <c r="D3059">
        <v>1</v>
      </c>
      <c r="E3059">
        <v>399.98</v>
      </c>
    </row>
    <row r="3060" spans="1:5" x14ac:dyDescent="0.3">
      <c r="A3060">
        <v>70141</v>
      </c>
      <c r="B3060">
        <v>28035</v>
      </c>
      <c r="C3060">
        <v>1004</v>
      </c>
      <c r="D3060">
        <v>1</v>
      </c>
      <c r="E3060">
        <v>399.98</v>
      </c>
    </row>
    <row r="3061" spans="1:5" x14ac:dyDescent="0.3">
      <c r="A3061">
        <v>70140</v>
      </c>
      <c r="B3061">
        <v>28035</v>
      </c>
      <c r="C3061">
        <v>1004</v>
      </c>
      <c r="D3061">
        <v>1</v>
      </c>
      <c r="E3061">
        <v>399.98</v>
      </c>
    </row>
    <row r="3062" spans="1:5" x14ac:dyDescent="0.3">
      <c r="A3062">
        <v>70143</v>
      </c>
      <c r="B3062">
        <v>28036</v>
      </c>
      <c r="C3062">
        <v>403</v>
      </c>
      <c r="D3062">
        <v>1</v>
      </c>
      <c r="E3062">
        <v>129.99</v>
      </c>
    </row>
    <row r="3063" spans="1:5" x14ac:dyDescent="0.3">
      <c r="A3063">
        <v>70145</v>
      </c>
      <c r="B3063">
        <v>28036</v>
      </c>
      <c r="C3063">
        <v>565</v>
      </c>
      <c r="D3063">
        <v>3</v>
      </c>
      <c r="E3063">
        <v>210</v>
      </c>
    </row>
    <row r="3064" spans="1:5" x14ac:dyDescent="0.3">
      <c r="A3064">
        <v>70144</v>
      </c>
      <c r="B3064">
        <v>28036</v>
      </c>
      <c r="C3064">
        <v>403</v>
      </c>
      <c r="D3064">
        <v>1</v>
      </c>
      <c r="E3064">
        <v>129.99</v>
      </c>
    </row>
    <row r="3065" spans="1:5" x14ac:dyDescent="0.3">
      <c r="A3065">
        <v>70142</v>
      </c>
      <c r="B3065">
        <v>28036</v>
      </c>
      <c r="C3065">
        <v>1004</v>
      </c>
      <c r="D3065">
        <v>1</v>
      </c>
      <c r="E3065">
        <v>399.98</v>
      </c>
    </row>
    <row r="3066" spans="1:5" x14ac:dyDescent="0.3">
      <c r="A3066">
        <v>70148</v>
      </c>
      <c r="B3066">
        <v>28038</v>
      </c>
      <c r="C3066">
        <v>1073</v>
      </c>
      <c r="D3066">
        <v>1</v>
      </c>
      <c r="E3066">
        <v>199.99</v>
      </c>
    </row>
    <row r="3067" spans="1:5" x14ac:dyDescent="0.3">
      <c r="A3067">
        <v>70149</v>
      </c>
      <c r="B3067">
        <v>28038</v>
      </c>
      <c r="C3067">
        <v>502</v>
      </c>
      <c r="D3067">
        <v>4</v>
      </c>
      <c r="E3067">
        <v>200</v>
      </c>
    </row>
    <row r="3068" spans="1:5" x14ac:dyDescent="0.3">
      <c r="A3068">
        <v>70147</v>
      </c>
      <c r="B3068">
        <v>28038</v>
      </c>
      <c r="C3068">
        <v>1014</v>
      </c>
      <c r="D3068">
        <v>3</v>
      </c>
      <c r="E3068">
        <v>149.94</v>
      </c>
    </row>
    <row r="3069" spans="1:5" x14ac:dyDescent="0.3">
      <c r="A3069">
        <v>70146</v>
      </c>
      <c r="B3069">
        <v>28038</v>
      </c>
      <c r="C3069">
        <v>1014</v>
      </c>
      <c r="D3069">
        <v>2</v>
      </c>
      <c r="E3069">
        <v>99.96</v>
      </c>
    </row>
    <row r="3070" spans="1:5" x14ac:dyDescent="0.3">
      <c r="A3070">
        <v>70151</v>
      </c>
      <c r="B3070">
        <v>28041</v>
      </c>
      <c r="C3070">
        <v>365</v>
      </c>
      <c r="D3070">
        <v>5</v>
      </c>
      <c r="E3070">
        <v>299.95</v>
      </c>
    </row>
    <row r="3071" spans="1:5" x14ac:dyDescent="0.3">
      <c r="A3071">
        <v>70150</v>
      </c>
      <c r="B3071">
        <v>28041</v>
      </c>
      <c r="C3071">
        <v>1014</v>
      </c>
      <c r="D3071">
        <v>4</v>
      </c>
      <c r="E3071">
        <v>199.92</v>
      </c>
    </row>
    <row r="3072" spans="1:5" x14ac:dyDescent="0.3">
      <c r="A3072">
        <v>70153</v>
      </c>
      <c r="B3072">
        <v>28042</v>
      </c>
      <c r="C3072">
        <v>957</v>
      </c>
      <c r="D3072">
        <v>1</v>
      </c>
      <c r="E3072">
        <v>299.98</v>
      </c>
    </row>
    <row r="3073" spans="1:5" x14ac:dyDescent="0.3">
      <c r="A3073">
        <v>70155</v>
      </c>
      <c r="B3073">
        <v>28042</v>
      </c>
      <c r="C3073">
        <v>191</v>
      </c>
      <c r="D3073">
        <v>2</v>
      </c>
      <c r="E3073">
        <v>199.98</v>
      </c>
    </row>
    <row r="3074" spans="1:5" x14ac:dyDescent="0.3">
      <c r="A3074">
        <v>70152</v>
      </c>
      <c r="B3074">
        <v>28042</v>
      </c>
      <c r="C3074">
        <v>191</v>
      </c>
      <c r="D3074">
        <v>2</v>
      </c>
      <c r="E3074">
        <v>199.98</v>
      </c>
    </row>
    <row r="3075" spans="1:5" x14ac:dyDescent="0.3">
      <c r="A3075">
        <v>70156</v>
      </c>
      <c r="B3075">
        <v>28042</v>
      </c>
      <c r="C3075">
        <v>502</v>
      </c>
      <c r="D3075">
        <v>2</v>
      </c>
      <c r="E3075">
        <v>100</v>
      </c>
    </row>
    <row r="3076" spans="1:5" x14ac:dyDescent="0.3">
      <c r="A3076">
        <v>70154</v>
      </c>
      <c r="B3076">
        <v>28042</v>
      </c>
      <c r="C3076">
        <v>502</v>
      </c>
      <c r="D3076">
        <v>2</v>
      </c>
      <c r="E3076">
        <v>100</v>
      </c>
    </row>
    <row r="3077" spans="1:5" x14ac:dyDescent="0.3">
      <c r="A3077">
        <v>70173</v>
      </c>
      <c r="B3077">
        <v>28049</v>
      </c>
      <c r="C3077">
        <v>885</v>
      </c>
      <c r="D3077">
        <v>5</v>
      </c>
      <c r="E3077">
        <v>124.95</v>
      </c>
    </row>
    <row r="3078" spans="1:5" x14ac:dyDescent="0.3">
      <c r="A3078">
        <v>70175</v>
      </c>
      <c r="B3078">
        <v>28049</v>
      </c>
      <c r="C3078">
        <v>1014</v>
      </c>
      <c r="D3078">
        <v>4</v>
      </c>
      <c r="E3078">
        <v>199.92</v>
      </c>
    </row>
    <row r="3079" spans="1:5" x14ac:dyDescent="0.3">
      <c r="A3079">
        <v>70172</v>
      </c>
      <c r="B3079">
        <v>28049</v>
      </c>
      <c r="C3079">
        <v>403</v>
      </c>
      <c r="D3079">
        <v>1</v>
      </c>
      <c r="E3079">
        <v>129.99</v>
      </c>
    </row>
    <row r="3080" spans="1:5" x14ac:dyDescent="0.3">
      <c r="A3080">
        <v>70174</v>
      </c>
      <c r="B3080">
        <v>28049</v>
      </c>
      <c r="C3080">
        <v>957</v>
      </c>
      <c r="D3080">
        <v>1</v>
      </c>
      <c r="E3080">
        <v>299.98</v>
      </c>
    </row>
    <row r="3081" spans="1:5" x14ac:dyDescent="0.3">
      <c r="A3081">
        <v>70171</v>
      </c>
      <c r="B3081">
        <v>28049</v>
      </c>
      <c r="C3081">
        <v>1004</v>
      </c>
      <c r="D3081">
        <v>1</v>
      </c>
      <c r="E3081">
        <v>399.98</v>
      </c>
    </row>
    <row r="3082" spans="1:5" x14ac:dyDescent="0.3">
      <c r="A3082">
        <v>70178</v>
      </c>
      <c r="B3082">
        <v>28051</v>
      </c>
      <c r="C3082">
        <v>797</v>
      </c>
      <c r="D3082">
        <v>3</v>
      </c>
      <c r="E3082">
        <v>53.97</v>
      </c>
    </row>
    <row r="3083" spans="1:5" x14ac:dyDescent="0.3">
      <c r="A3083">
        <v>70177</v>
      </c>
      <c r="B3083">
        <v>28051</v>
      </c>
      <c r="C3083">
        <v>403</v>
      </c>
      <c r="D3083">
        <v>1</v>
      </c>
      <c r="E3083">
        <v>129.99</v>
      </c>
    </row>
    <row r="3084" spans="1:5" x14ac:dyDescent="0.3">
      <c r="A3084">
        <v>70230</v>
      </c>
      <c r="B3084">
        <v>28074</v>
      </c>
      <c r="C3084">
        <v>502</v>
      </c>
      <c r="D3084">
        <v>3</v>
      </c>
      <c r="E3084">
        <v>150</v>
      </c>
    </row>
    <row r="3085" spans="1:5" x14ac:dyDescent="0.3">
      <c r="A3085">
        <v>70231</v>
      </c>
      <c r="B3085">
        <v>28074</v>
      </c>
      <c r="C3085">
        <v>365</v>
      </c>
      <c r="D3085">
        <v>4</v>
      </c>
      <c r="E3085">
        <v>239.96</v>
      </c>
    </row>
    <row r="3086" spans="1:5" x14ac:dyDescent="0.3">
      <c r="A3086">
        <v>70232</v>
      </c>
      <c r="B3086">
        <v>28075</v>
      </c>
      <c r="C3086">
        <v>1004</v>
      </c>
      <c r="D3086">
        <v>1</v>
      </c>
      <c r="E3086">
        <v>399.98</v>
      </c>
    </row>
    <row r="3087" spans="1:5" x14ac:dyDescent="0.3">
      <c r="A3087">
        <v>70237</v>
      </c>
      <c r="B3087">
        <v>28077</v>
      </c>
      <c r="C3087">
        <v>1073</v>
      </c>
      <c r="D3087">
        <v>1</v>
      </c>
      <c r="E3087">
        <v>199.99</v>
      </c>
    </row>
    <row r="3088" spans="1:5" x14ac:dyDescent="0.3">
      <c r="A3088">
        <v>70241</v>
      </c>
      <c r="B3088">
        <v>28077</v>
      </c>
      <c r="C3088">
        <v>403</v>
      </c>
      <c r="D3088">
        <v>1</v>
      </c>
      <c r="E3088">
        <v>129.99</v>
      </c>
    </row>
    <row r="3089" spans="1:5" x14ac:dyDescent="0.3">
      <c r="A3089">
        <v>70238</v>
      </c>
      <c r="B3089">
        <v>28077</v>
      </c>
      <c r="C3089">
        <v>403</v>
      </c>
      <c r="D3089">
        <v>1</v>
      </c>
      <c r="E3089">
        <v>129.99</v>
      </c>
    </row>
    <row r="3090" spans="1:5" x14ac:dyDescent="0.3">
      <c r="A3090">
        <v>70239</v>
      </c>
      <c r="B3090">
        <v>28077</v>
      </c>
      <c r="C3090">
        <v>191</v>
      </c>
      <c r="D3090">
        <v>3</v>
      </c>
      <c r="E3090">
        <v>299.97000000000003</v>
      </c>
    </row>
    <row r="3091" spans="1:5" x14ac:dyDescent="0.3">
      <c r="A3091">
        <v>70240</v>
      </c>
      <c r="B3091">
        <v>28077</v>
      </c>
      <c r="C3091">
        <v>1004</v>
      </c>
      <c r="D3091">
        <v>1</v>
      </c>
      <c r="E3091">
        <v>399.98</v>
      </c>
    </row>
    <row r="3092" spans="1:5" x14ac:dyDescent="0.3">
      <c r="A3092">
        <v>70365</v>
      </c>
      <c r="B3092">
        <v>28139</v>
      </c>
      <c r="C3092">
        <v>1004</v>
      </c>
      <c r="D3092">
        <v>1</v>
      </c>
      <c r="E3092">
        <v>399.98</v>
      </c>
    </row>
    <row r="3093" spans="1:5" x14ac:dyDescent="0.3">
      <c r="A3093">
        <v>70405</v>
      </c>
      <c r="B3093">
        <v>28153</v>
      </c>
      <c r="C3093">
        <v>924</v>
      </c>
      <c r="D3093">
        <v>5</v>
      </c>
      <c r="E3093">
        <v>79.95</v>
      </c>
    </row>
    <row r="3094" spans="1:5" x14ac:dyDescent="0.3">
      <c r="A3094">
        <v>70406</v>
      </c>
      <c r="B3094">
        <v>28153</v>
      </c>
      <c r="C3094">
        <v>1073</v>
      </c>
      <c r="D3094">
        <v>1</v>
      </c>
      <c r="E3094">
        <v>199.99</v>
      </c>
    </row>
    <row r="3095" spans="1:5" x14ac:dyDescent="0.3">
      <c r="A3095">
        <v>70407</v>
      </c>
      <c r="B3095">
        <v>28153</v>
      </c>
      <c r="C3095">
        <v>1014</v>
      </c>
      <c r="D3095">
        <v>1</v>
      </c>
      <c r="E3095">
        <v>49.98</v>
      </c>
    </row>
    <row r="3096" spans="1:5" x14ac:dyDescent="0.3">
      <c r="A3096">
        <v>70418</v>
      </c>
      <c r="B3096">
        <v>28158</v>
      </c>
      <c r="C3096">
        <v>1014</v>
      </c>
      <c r="D3096">
        <v>4</v>
      </c>
      <c r="E3096">
        <v>199.92</v>
      </c>
    </row>
    <row r="3097" spans="1:5" x14ac:dyDescent="0.3">
      <c r="A3097">
        <v>70417</v>
      </c>
      <c r="B3097">
        <v>28158</v>
      </c>
      <c r="C3097">
        <v>957</v>
      </c>
      <c r="D3097">
        <v>1</v>
      </c>
      <c r="E3097">
        <v>299.98</v>
      </c>
    </row>
    <row r="3098" spans="1:5" x14ac:dyDescent="0.3">
      <c r="A3098">
        <v>70423</v>
      </c>
      <c r="B3098">
        <v>28160</v>
      </c>
      <c r="C3098">
        <v>403</v>
      </c>
      <c r="D3098">
        <v>1</v>
      </c>
      <c r="E3098">
        <v>129.99</v>
      </c>
    </row>
    <row r="3099" spans="1:5" x14ac:dyDescent="0.3">
      <c r="A3099">
        <v>70420</v>
      </c>
      <c r="B3099">
        <v>28160</v>
      </c>
      <c r="C3099">
        <v>502</v>
      </c>
      <c r="D3099">
        <v>1</v>
      </c>
      <c r="E3099">
        <v>50</v>
      </c>
    </row>
    <row r="3100" spans="1:5" x14ac:dyDescent="0.3">
      <c r="A3100">
        <v>70419</v>
      </c>
      <c r="B3100">
        <v>28160</v>
      </c>
      <c r="C3100">
        <v>502</v>
      </c>
      <c r="D3100">
        <v>3</v>
      </c>
      <c r="E3100">
        <v>150</v>
      </c>
    </row>
    <row r="3101" spans="1:5" x14ac:dyDescent="0.3">
      <c r="A3101">
        <v>70421</v>
      </c>
      <c r="B3101">
        <v>28160</v>
      </c>
      <c r="C3101">
        <v>191</v>
      </c>
      <c r="D3101">
        <v>4</v>
      </c>
      <c r="E3101">
        <v>399.96</v>
      </c>
    </row>
    <row r="3102" spans="1:5" x14ac:dyDescent="0.3">
      <c r="A3102">
        <v>70422</v>
      </c>
      <c r="B3102">
        <v>28160</v>
      </c>
      <c r="C3102">
        <v>1073</v>
      </c>
      <c r="D3102">
        <v>1</v>
      </c>
      <c r="E3102">
        <v>199.99</v>
      </c>
    </row>
    <row r="3103" spans="1:5" x14ac:dyDescent="0.3">
      <c r="A3103">
        <v>70425</v>
      </c>
      <c r="B3103">
        <v>28161</v>
      </c>
      <c r="C3103">
        <v>1004</v>
      </c>
      <c r="D3103">
        <v>1</v>
      </c>
      <c r="E3103">
        <v>399.98</v>
      </c>
    </row>
    <row r="3104" spans="1:5" x14ac:dyDescent="0.3">
      <c r="A3104">
        <v>70424</v>
      </c>
      <c r="B3104">
        <v>28161</v>
      </c>
      <c r="C3104">
        <v>1004</v>
      </c>
      <c r="D3104">
        <v>1</v>
      </c>
      <c r="E3104">
        <v>399.98</v>
      </c>
    </row>
    <row r="3105" spans="1:5" x14ac:dyDescent="0.3">
      <c r="A3105">
        <v>70436</v>
      </c>
      <c r="B3105">
        <v>28165</v>
      </c>
      <c r="C3105">
        <v>1073</v>
      </c>
      <c r="D3105">
        <v>1</v>
      </c>
      <c r="E3105">
        <v>199.99</v>
      </c>
    </row>
    <row r="3106" spans="1:5" x14ac:dyDescent="0.3">
      <c r="A3106">
        <v>70437</v>
      </c>
      <c r="B3106">
        <v>28165</v>
      </c>
      <c r="C3106">
        <v>365</v>
      </c>
      <c r="D3106">
        <v>4</v>
      </c>
      <c r="E3106">
        <v>239.96</v>
      </c>
    </row>
    <row r="3107" spans="1:5" x14ac:dyDescent="0.3">
      <c r="A3107">
        <v>70435</v>
      </c>
      <c r="B3107">
        <v>28165</v>
      </c>
      <c r="C3107">
        <v>365</v>
      </c>
      <c r="D3107">
        <v>5</v>
      </c>
      <c r="E3107">
        <v>299.95</v>
      </c>
    </row>
    <row r="3108" spans="1:5" x14ac:dyDescent="0.3">
      <c r="A3108">
        <v>70434</v>
      </c>
      <c r="B3108">
        <v>28165</v>
      </c>
      <c r="C3108">
        <v>1014</v>
      </c>
      <c r="D3108">
        <v>2</v>
      </c>
      <c r="E3108">
        <v>99.96</v>
      </c>
    </row>
    <row r="3109" spans="1:5" x14ac:dyDescent="0.3">
      <c r="A3109">
        <v>70448</v>
      </c>
      <c r="B3109">
        <v>28169</v>
      </c>
      <c r="C3109">
        <v>403</v>
      </c>
      <c r="D3109">
        <v>1</v>
      </c>
      <c r="E3109">
        <v>129.99</v>
      </c>
    </row>
    <row r="3110" spans="1:5" x14ac:dyDescent="0.3">
      <c r="A3110">
        <v>70446</v>
      </c>
      <c r="B3110">
        <v>28169</v>
      </c>
      <c r="C3110">
        <v>403</v>
      </c>
      <c r="D3110">
        <v>1</v>
      </c>
      <c r="E3110">
        <v>129.99</v>
      </c>
    </row>
    <row r="3111" spans="1:5" x14ac:dyDescent="0.3">
      <c r="A3111">
        <v>70449</v>
      </c>
      <c r="B3111">
        <v>28169</v>
      </c>
      <c r="C3111">
        <v>957</v>
      </c>
      <c r="D3111">
        <v>1</v>
      </c>
      <c r="E3111">
        <v>299.98</v>
      </c>
    </row>
    <row r="3112" spans="1:5" x14ac:dyDescent="0.3">
      <c r="A3112">
        <v>70445</v>
      </c>
      <c r="B3112">
        <v>28169</v>
      </c>
      <c r="C3112">
        <v>1014</v>
      </c>
      <c r="D3112">
        <v>3</v>
      </c>
      <c r="E3112">
        <v>149.94</v>
      </c>
    </row>
    <row r="3113" spans="1:5" x14ac:dyDescent="0.3">
      <c r="A3113">
        <v>70447</v>
      </c>
      <c r="B3113">
        <v>28169</v>
      </c>
      <c r="C3113">
        <v>1004</v>
      </c>
      <c r="D3113">
        <v>1</v>
      </c>
      <c r="E3113">
        <v>399.98</v>
      </c>
    </row>
    <row r="3114" spans="1:5" x14ac:dyDescent="0.3">
      <c r="A3114">
        <v>70451</v>
      </c>
      <c r="B3114">
        <v>28170</v>
      </c>
      <c r="C3114">
        <v>1073</v>
      </c>
      <c r="D3114">
        <v>1</v>
      </c>
      <c r="E3114">
        <v>199.99</v>
      </c>
    </row>
    <row r="3115" spans="1:5" x14ac:dyDescent="0.3">
      <c r="A3115">
        <v>70452</v>
      </c>
      <c r="B3115">
        <v>28170</v>
      </c>
      <c r="C3115">
        <v>1014</v>
      </c>
      <c r="D3115">
        <v>1</v>
      </c>
      <c r="E3115">
        <v>49.98</v>
      </c>
    </row>
    <row r="3116" spans="1:5" x14ac:dyDescent="0.3">
      <c r="A3116">
        <v>70450</v>
      </c>
      <c r="B3116">
        <v>28170</v>
      </c>
      <c r="C3116">
        <v>821</v>
      </c>
      <c r="D3116">
        <v>3</v>
      </c>
      <c r="E3116">
        <v>155.97</v>
      </c>
    </row>
    <row r="3117" spans="1:5" x14ac:dyDescent="0.3">
      <c r="A3117">
        <v>70453</v>
      </c>
      <c r="B3117">
        <v>28170</v>
      </c>
      <c r="C3117">
        <v>1004</v>
      </c>
      <c r="D3117">
        <v>1</v>
      </c>
      <c r="E3117">
        <v>399.98</v>
      </c>
    </row>
    <row r="3118" spans="1:5" x14ac:dyDescent="0.3">
      <c r="A3118">
        <v>70479</v>
      </c>
      <c r="B3118">
        <v>28185</v>
      </c>
      <c r="C3118">
        <v>957</v>
      </c>
      <c r="D3118">
        <v>1</v>
      </c>
      <c r="E3118">
        <v>299.98</v>
      </c>
    </row>
    <row r="3119" spans="1:5" x14ac:dyDescent="0.3">
      <c r="A3119">
        <v>70481</v>
      </c>
      <c r="B3119">
        <v>28185</v>
      </c>
      <c r="C3119">
        <v>627</v>
      </c>
      <c r="D3119">
        <v>5</v>
      </c>
      <c r="E3119">
        <v>199.95</v>
      </c>
    </row>
    <row r="3120" spans="1:5" x14ac:dyDescent="0.3">
      <c r="A3120">
        <v>70480</v>
      </c>
      <c r="B3120">
        <v>28185</v>
      </c>
      <c r="C3120">
        <v>1073</v>
      </c>
      <c r="D3120">
        <v>1</v>
      </c>
      <c r="E3120">
        <v>199.99</v>
      </c>
    </row>
    <row r="3121" spans="1:5" x14ac:dyDescent="0.3">
      <c r="A3121">
        <v>70557</v>
      </c>
      <c r="B3121">
        <v>28212</v>
      </c>
      <c r="C3121">
        <v>191</v>
      </c>
      <c r="D3121">
        <v>1</v>
      </c>
      <c r="E3121">
        <v>99.99</v>
      </c>
    </row>
    <row r="3122" spans="1:5" x14ac:dyDescent="0.3">
      <c r="A3122">
        <v>70559</v>
      </c>
      <c r="B3122">
        <v>28212</v>
      </c>
      <c r="C3122">
        <v>365</v>
      </c>
      <c r="D3122">
        <v>3</v>
      </c>
      <c r="E3122">
        <v>179.97</v>
      </c>
    </row>
    <row r="3123" spans="1:5" x14ac:dyDescent="0.3">
      <c r="A3123">
        <v>70558</v>
      </c>
      <c r="B3123">
        <v>28212</v>
      </c>
      <c r="C3123">
        <v>1073</v>
      </c>
      <c r="D3123">
        <v>1</v>
      </c>
      <c r="E3123">
        <v>199.99</v>
      </c>
    </row>
    <row r="3124" spans="1:5" x14ac:dyDescent="0.3">
      <c r="A3124">
        <v>70674</v>
      </c>
      <c r="B3124">
        <v>28255</v>
      </c>
      <c r="C3124">
        <v>502</v>
      </c>
      <c r="D3124">
        <v>2</v>
      </c>
      <c r="E3124">
        <v>100</v>
      </c>
    </row>
    <row r="3125" spans="1:5" x14ac:dyDescent="0.3">
      <c r="A3125">
        <v>70677</v>
      </c>
      <c r="B3125">
        <v>28255</v>
      </c>
      <c r="C3125">
        <v>365</v>
      </c>
      <c r="D3125">
        <v>3</v>
      </c>
      <c r="E3125">
        <v>179.97</v>
      </c>
    </row>
    <row r="3126" spans="1:5" x14ac:dyDescent="0.3">
      <c r="A3126">
        <v>70675</v>
      </c>
      <c r="B3126">
        <v>28255</v>
      </c>
      <c r="C3126">
        <v>282</v>
      </c>
      <c r="D3126">
        <v>4</v>
      </c>
      <c r="E3126">
        <v>127.96</v>
      </c>
    </row>
    <row r="3127" spans="1:5" x14ac:dyDescent="0.3">
      <c r="A3127">
        <v>70676</v>
      </c>
      <c r="B3127">
        <v>28255</v>
      </c>
      <c r="C3127">
        <v>502</v>
      </c>
      <c r="D3127">
        <v>5</v>
      </c>
      <c r="E3127">
        <v>250</v>
      </c>
    </row>
    <row r="3128" spans="1:5" x14ac:dyDescent="0.3">
      <c r="A3128">
        <v>70735</v>
      </c>
      <c r="B3128">
        <v>28279</v>
      </c>
      <c r="C3128">
        <v>1014</v>
      </c>
      <c r="D3128">
        <v>4</v>
      </c>
      <c r="E3128">
        <v>199.92</v>
      </c>
    </row>
    <row r="3129" spans="1:5" x14ac:dyDescent="0.3">
      <c r="A3129">
        <v>70738</v>
      </c>
      <c r="B3129">
        <v>28279</v>
      </c>
      <c r="C3129">
        <v>365</v>
      </c>
      <c r="D3129">
        <v>1</v>
      </c>
      <c r="E3129">
        <v>59.99</v>
      </c>
    </row>
    <row r="3130" spans="1:5" x14ac:dyDescent="0.3">
      <c r="A3130">
        <v>70736</v>
      </c>
      <c r="B3130">
        <v>28279</v>
      </c>
      <c r="C3130">
        <v>365</v>
      </c>
      <c r="D3130">
        <v>1</v>
      </c>
      <c r="E3130">
        <v>59.99</v>
      </c>
    </row>
    <row r="3131" spans="1:5" x14ac:dyDescent="0.3">
      <c r="A3131">
        <v>70737</v>
      </c>
      <c r="B3131">
        <v>28279</v>
      </c>
      <c r="C3131">
        <v>924</v>
      </c>
      <c r="D3131">
        <v>1</v>
      </c>
      <c r="E3131">
        <v>15.99</v>
      </c>
    </row>
    <row r="3132" spans="1:5" x14ac:dyDescent="0.3">
      <c r="A3132">
        <v>70739</v>
      </c>
      <c r="B3132">
        <v>28280</v>
      </c>
      <c r="C3132">
        <v>365</v>
      </c>
      <c r="D3132">
        <v>2</v>
      </c>
      <c r="E3132">
        <v>119.98</v>
      </c>
    </row>
    <row r="3133" spans="1:5" x14ac:dyDescent="0.3">
      <c r="A3133">
        <v>70740</v>
      </c>
      <c r="B3133">
        <v>28280</v>
      </c>
      <c r="C3133">
        <v>365</v>
      </c>
      <c r="D3133">
        <v>4</v>
      </c>
      <c r="E3133">
        <v>239.96</v>
      </c>
    </row>
    <row r="3134" spans="1:5" x14ac:dyDescent="0.3">
      <c r="A3134">
        <v>70742</v>
      </c>
      <c r="B3134">
        <v>28281</v>
      </c>
      <c r="C3134">
        <v>403</v>
      </c>
      <c r="D3134">
        <v>1</v>
      </c>
      <c r="E3134">
        <v>129.99</v>
      </c>
    </row>
    <row r="3135" spans="1:5" x14ac:dyDescent="0.3">
      <c r="A3135">
        <v>70741</v>
      </c>
      <c r="B3135">
        <v>28281</v>
      </c>
      <c r="C3135">
        <v>191</v>
      </c>
      <c r="D3135">
        <v>2</v>
      </c>
      <c r="E3135">
        <v>199.98</v>
      </c>
    </row>
    <row r="3136" spans="1:5" x14ac:dyDescent="0.3">
      <c r="A3136">
        <v>70745</v>
      </c>
      <c r="B3136">
        <v>28281</v>
      </c>
      <c r="C3136">
        <v>502</v>
      </c>
      <c r="D3136">
        <v>2</v>
      </c>
      <c r="E3136">
        <v>100</v>
      </c>
    </row>
    <row r="3137" spans="1:5" x14ac:dyDescent="0.3">
      <c r="A3137">
        <v>70743</v>
      </c>
      <c r="B3137">
        <v>28281</v>
      </c>
      <c r="C3137">
        <v>1073</v>
      </c>
      <c r="D3137">
        <v>1</v>
      </c>
      <c r="E3137">
        <v>199.99</v>
      </c>
    </row>
    <row r="3138" spans="1:5" x14ac:dyDescent="0.3">
      <c r="A3138">
        <v>70744</v>
      </c>
      <c r="B3138">
        <v>28281</v>
      </c>
      <c r="C3138">
        <v>1014</v>
      </c>
      <c r="D3138">
        <v>4</v>
      </c>
      <c r="E3138">
        <v>199.92</v>
      </c>
    </row>
    <row r="3139" spans="1:5" x14ac:dyDescent="0.3">
      <c r="A3139">
        <v>70746</v>
      </c>
      <c r="B3139">
        <v>28282</v>
      </c>
      <c r="C3139">
        <v>1073</v>
      </c>
      <c r="D3139">
        <v>1</v>
      </c>
      <c r="E3139">
        <v>199.99</v>
      </c>
    </row>
    <row r="3140" spans="1:5" x14ac:dyDescent="0.3">
      <c r="A3140">
        <v>70767</v>
      </c>
      <c r="B3140">
        <v>28291</v>
      </c>
      <c r="C3140">
        <v>1014</v>
      </c>
      <c r="D3140">
        <v>5</v>
      </c>
      <c r="E3140">
        <v>249.9</v>
      </c>
    </row>
    <row r="3141" spans="1:5" x14ac:dyDescent="0.3">
      <c r="A3141">
        <v>70768</v>
      </c>
      <c r="B3141">
        <v>28291</v>
      </c>
      <c r="C3141">
        <v>403</v>
      </c>
      <c r="D3141">
        <v>1</v>
      </c>
      <c r="E3141">
        <v>129.99</v>
      </c>
    </row>
    <row r="3142" spans="1:5" x14ac:dyDescent="0.3">
      <c r="A3142">
        <v>70769</v>
      </c>
      <c r="B3142">
        <v>28291</v>
      </c>
      <c r="C3142">
        <v>365</v>
      </c>
      <c r="D3142">
        <v>4</v>
      </c>
      <c r="E3142">
        <v>239.96</v>
      </c>
    </row>
    <row r="3143" spans="1:5" x14ac:dyDescent="0.3">
      <c r="A3143">
        <v>70772</v>
      </c>
      <c r="B3143">
        <v>28292</v>
      </c>
      <c r="C3143">
        <v>924</v>
      </c>
      <c r="D3143">
        <v>3</v>
      </c>
      <c r="E3143">
        <v>47.97</v>
      </c>
    </row>
    <row r="3144" spans="1:5" x14ac:dyDescent="0.3">
      <c r="A3144">
        <v>70770</v>
      </c>
      <c r="B3144">
        <v>28292</v>
      </c>
      <c r="C3144">
        <v>1014</v>
      </c>
      <c r="D3144">
        <v>2</v>
      </c>
      <c r="E3144">
        <v>99.96</v>
      </c>
    </row>
    <row r="3145" spans="1:5" x14ac:dyDescent="0.3">
      <c r="A3145">
        <v>70771</v>
      </c>
      <c r="B3145">
        <v>28292</v>
      </c>
      <c r="C3145">
        <v>403</v>
      </c>
      <c r="D3145">
        <v>1</v>
      </c>
      <c r="E3145">
        <v>129.99</v>
      </c>
    </row>
    <row r="3146" spans="1:5" x14ac:dyDescent="0.3">
      <c r="A3146">
        <v>70773</v>
      </c>
      <c r="B3146">
        <v>28292</v>
      </c>
      <c r="C3146">
        <v>957</v>
      </c>
      <c r="D3146">
        <v>1</v>
      </c>
      <c r="E3146">
        <v>299.98</v>
      </c>
    </row>
    <row r="3147" spans="1:5" x14ac:dyDescent="0.3">
      <c r="A3147">
        <v>70782</v>
      </c>
      <c r="B3147">
        <v>28294</v>
      </c>
      <c r="C3147">
        <v>957</v>
      </c>
      <c r="D3147">
        <v>1</v>
      </c>
      <c r="E3147">
        <v>299.98</v>
      </c>
    </row>
    <row r="3148" spans="1:5" x14ac:dyDescent="0.3">
      <c r="A3148">
        <v>70780</v>
      </c>
      <c r="B3148">
        <v>28294</v>
      </c>
      <c r="C3148">
        <v>191</v>
      </c>
      <c r="D3148">
        <v>4</v>
      </c>
      <c r="E3148">
        <v>399.96</v>
      </c>
    </row>
    <row r="3149" spans="1:5" x14ac:dyDescent="0.3">
      <c r="A3149">
        <v>70779</v>
      </c>
      <c r="B3149">
        <v>28294</v>
      </c>
      <c r="C3149">
        <v>627</v>
      </c>
      <c r="D3149">
        <v>5</v>
      </c>
      <c r="E3149">
        <v>199.95</v>
      </c>
    </row>
    <row r="3150" spans="1:5" x14ac:dyDescent="0.3">
      <c r="A3150">
        <v>70781</v>
      </c>
      <c r="B3150">
        <v>28294</v>
      </c>
      <c r="C3150">
        <v>502</v>
      </c>
      <c r="D3150">
        <v>5</v>
      </c>
      <c r="E3150">
        <v>250</v>
      </c>
    </row>
    <row r="3151" spans="1:5" x14ac:dyDescent="0.3">
      <c r="A3151">
        <v>70791</v>
      </c>
      <c r="B3151">
        <v>28296</v>
      </c>
      <c r="C3151">
        <v>1073</v>
      </c>
      <c r="D3151">
        <v>1</v>
      </c>
      <c r="E3151">
        <v>199.99</v>
      </c>
    </row>
    <row r="3152" spans="1:5" x14ac:dyDescent="0.3">
      <c r="A3152">
        <v>70788</v>
      </c>
      <c r="B3152">
        <v>28296</v>
      </c>
      <c r="C3152">
        <v>403</v>
      </c>
      <c r="D3152">
        <v>1</v>
      </c>
      <c r="E3152">
        <v>129.99</v>
      </c>
    </row>
    <row r="3153" spans="1:5" x14ac:dyDescent="0.3">
      <c r="A3153">
        <v>70789</v>
      </c>
      <c r="B3153">
        <v>28296</v>
      </c>
      <c r="C3153">
        <v>1014</v>
      </c>
      <c r="D3153">
        <v>3</v>
      </c>
      <c r="E3153">
        <v>149.94</v>
      </c>
    </row>
    <row r="3154" spans="1:5" x14ac:dyDescent="0.3">
      <c r="A3154">
        <v>70790</v>
      </c>
      <c r="B3154">
        <v>28296</v>
      </c>
      <c r="C3154">
        <v>825</v>
      </c>
      <c r="D3154">
        <v>5</v>
      </c>
      <c r="E3154">
        <v>159.94999999999999</v>
      </c>
    </row>
    <row r="3155" spans="1:5" x14ac:dyDescent="0.3">
      <c r="A3155">
        <v>70792</v>
      </c>
      <c r="B3155">
        <v>28296</v>
      </c>
      <c r="C3155">
        <v>1004</v>
      </c>
      <c r="D3155">
        <v>1</v>
      </c>
      <c r="E3155">
        <v>399.98</v>
      </c>
    </row>
    <row r="3156" spans="1:5" x14ac:dyDescent="0.3">
      <c r="A3156">
        <v>70843</v>
      </c>
      <c r="B3156">
        <v>28317</v>
      </c>
      <c r="C3156">
        <v>365</v>
      </c>
      <c r="D3156">
        <v>2</v>
      </c>
      <c r="E3156">
        <v>119.98</v>
      </c>
    </row>
    <row r="3157" spans="1:5" x14ac:dyDescent="0.3">
      <c r="A3157">
        <v>70846</v>
      </c>
      <c r="B3157">
        <v>28318</v>
      </c>
      <c r="C3157">
        <v>1014</v>
      </c>
      <c r="D3157">
        <v>4</v>
      </c>
      <c r="E3157">
        <v>199.92</v>
      </c>
    </row>
    <row r="3158" spans="1:5" x14ac:dyDescent="0.3">
      <c r="A3158">
        <v>70844</v>
      </c>
      <c r="B3158">
        <v>28318</v>
      </c>
      <c r="C3158">
        <v>977</v>
      </c>
      <c r="D3158">
        <v>1</v>
      </c>
      <c r="E3158">
        <v>29.99</v>
      </c>
    </row>
    <row r="3159" spans="1:5" x14ac:dyDescent="0.3">
      <c r="A3159">
        <v>70845</v>
      </c>
      <c r="B3159">
        <v>28318</v>
      </c>
      <c r="C3159">
        <v>627</v>
      </c>
      <c r="D3159">
        <v>2</v>
      </c>
      <c r="E3159">
        <v>79.98</v>
      </c>
    </row>
    <row r="3160" spans="1:5" x14ac:dyDescent="0.3">
      <c r="A3160">
        <v>70847</v>
      </c>
      <c r="B3160">
        <v>28318</v>
      </c>
      <c r="C3160">
        <v>502</v>
      </c>
      <c r="D3160">
        <v>4</v>
      </c>
      <c r="E3160">
        <v>200</v>
      </c>
    </row>
    <row r="3161" spans="1:5" x14ac:dyDescent="0.3">
      <c r="A3161">
        <v>70848</v>
      </c>
      <c r="B3161">
        <v>28318</v>
      </c>
      <c r="C3161">
        <v>1004</v>
      </c>
      <c r="D3161">
        <v>1</v>
      </c>
      <c r="E3161">
        <v>399.98</v>
      </c>
    </row>
    <row r="3162" spans="1:5" x14ac:dyDescent="0.3">
      <c r="A3162">
        <v>70884</v>
      </c>
      <c r="B3162">
        <v>28329</v>
      </c>
      <c r="C3162">
        <v>403</v>
      </c>
      <c r="D3162">
        <v>1</v>
      </c>
      <c r="E3162">
        <v>129.99</v>
      </c>
    </row>
    <row r="3163" spans="1:5" x14ac:dyDescent="0.3">
      <c r="A3163">
        <v>70885</v>
      </c>
      <c r="B3163">
        <v>28329</v>
      </c>
      <c r="C3163">
        <v>365</v>
      </c>
      <c r="D3163">
        <v>3</v>
      </c>
      <c r="E3163">
        <v>179.97</v>
      </c>
    </row>
    <row r="3164" spans="1:5" x14ac:dyDescent="0.3">
      <c r="A3164">
        <v>70886</v>
      </c>
      <c r="B3164">
        <v>28329</v>
      </c>
      <c r="C3164">
        <v>191</v>
      </c>
      <c r="D3164">
        <v>4</v>
      </c>
      <c r="E3164">
        <v>399.96</v>
      </c>
    </row>
    <row r="3165" spans="1:5" x14ac:dyDescent="0.3">
      <c r="A3165">
        <v>70883</v>
      </c>
      <c r="B3165">
        <v>28329</v>
      </c>
      <c r="C3165">
        <v>1073</v>
      </c>
      <c r="D3165">
        <v>1</v>
      </c>
      <c r="E3165">
        <v>199.99</v>
      </c>
    </row>
    <row r="3166" spans="1:5" x14ac:dyDescent="0.3">
      <c r="A3166">
        <v>70882</v>
      </c>
      <c r="B3166">
        <v>28329</v>
      </c>
      <c r="C3166">
        <v>1004</v>
      </c>
      <c r="D3166">
        <v>1</v>
      </c>
      <c r="E3166">
        <v>399.98</v>
      </c>
    </row>
    <row r="3167" spans="1:5" x14ac:dyDescent="0.3">
      <c r="A3167">
        <v>70890</v>
      </c>
      <c r="B3167">
        <v>28330</v>
      </c>
      <c r="C3167">
        <v>823</v>
      </c>
      <c r="D3167">
        <v>3</v>
      </c>
      <c r="E3167">
        <v>155.97</v>
      </c>
    </row>
    <row r="3168" spans="1:5" x14ac:dyDescent="0.3">
      <c r="A3168">
        <v>70889</v>
      </c>
      <c r="B3168">
        <v>28330</v>
      </c>
      <c r="C3168">
        <v>502</v>
      </c>
      <c r="D3168">
        <v>5</v>
      </c>
      <c r="E3168">
        <v>250</v>
      </c>
    </row>
    <row r="3169" spans="1:5" x14ac:dyDescent="0.3">
      <c r="A3169">
        <v>70888</v>
      </c>
      <c r="B3169">
        <v>28330</v>
      </c>
      <c r="C3169">
        <v>1014</v>
      </c>
      <c r="D3169">
        <v>1</v>
      </c>
      <c r="E3169">
        <v>49.98</v>
      </c>
    </row>
    <row r="3170" spans="1:5" x14ac:dyDescent="0.3">
      <c r="A3170">
        <v>70887</v>
      </c>
      <c r="B3170">
        <v>28330</v>
      </c>
      <c r="C3170">
        <v>1014</v>
      </c>
      <c r="D3170">
        <v>4</v>
      </c>
      <c r="E3170">
        <v>199.92</v>
      </c>
    </row>
    <row r="3171" spans="1:5" x14ac:dyDescent="0.3">
      <c r="A3171">
        <v>70891</v>
      </c>
      <c r="B3171">
        <v>28331</v>
      </c>
      <c r="C3171">
        <v>1014</v>
      </c>
      <c r="D3171">
        <v>1</v>
      </c>
      <c r="E3171">
        <v>49.98</v>
      </c>
    </row>
    <row r="3172" spans="1:5" x14ac:dyDescent="0.3">
      <c r="A3172">
        <v>70893</v>
      </c>
      <c r="B3172">
        <v>28332</v>
      </c>
      <c r="C3172">
        <v>365</v>
      </c>
      <c r="D3172">
        <v>4</v>
      </c>
      <c r="E3172">
        <v>239.96</v>
      </c>
    </row>
    <row r="3173" spans="1:5" x14ac:dyDescent="0.3">
      <c r="A3173">
        <v>70894</v>
      </c>
      <c r="B3173">
        <v>28332</v>
      </c>
      <c r="C3173">
        <v>1014</v>
      </c>
      <c r="D3173">
        <v>5</v>
      </c>
      <c r="E3173">
        <v>249.9</v>
      </c>
    </row>
    <row r="3174" spans="1:5" x14ac:dyDescent="0.3">
      <c r="A3174">
        <v>70892</v>
      </c>
      <c r="B3174">
        <v>28332</v>
      </c>
      <c r="C3174">
        <v>1004</v>
      </c>
      <c r="D3174">
        <v>1</v>
      </c>
      <c r="E3174">
        <v>399.98</v>
      </c>
    </row>
    <row r="3175" spans="1:5" x14ac:dyDescent="0.3">
      <c r="A3175">
        <v>70895</v>
      </c>
      <c r="B3175">
        <v>28333</v>
      </c>
      <c r="C3175">
        <v>957</v>
      </c>
      <c r="D3175">
        <v>1</v>
      </c>
      <c r="E3175">
        <v>299.98</v>
      </c>
    </row>
    <row r="3176" spans="1:5" x14ac:dyDescent="0.3">
      <c r="A3176">
        <v>70899</v>
      </c>
      <c r="B3176">
        <v>28333</v>
      </c>
      <c r="C3176">
        <v>365</v>
      </c>
      <c r="D3176">
        <v>4</v>
      </c>
      <c r="E3176">
        <v>239.96</v>
      </c>
    </row>
    <row r="3177" spans="1:5" x14ac:dyDescent="0.3">
      <c r="A3177">
        <v>70898</v>
      </c>
      <c r="B3177">
        <v>28333</v>
      </c>
      <c r="C3177">
        <v>502</v>
      </c>
      <c r="D3177">
        <v>5</v>
      </c>
      <c r="E3177">
        <v>250</v>
      </c>
    </row>
    <row r="3178" spans="1:5" x14ac:dyDescent="0.3">
      <c r="A3178">
        <v>70896</v>
      </c>
      <c r="B3178">
        <v>28333</v>
      </c>
      <c r="C3178">
        <v>893</v>
      </c>
      <c r="D3178">
        <v>5</v>
      </c>
      <c r="E3178">
        <v>124.95</v>
      </c>
    </row>
    <row r="3179" spans="1:5" x14ac:dyDescent="0.3">
      <c r="A3179">
        <v>70897</v>
      </c>
      <c r="B3179">
        <v>28333</v>
      </c>
      <c r="C3179">
        <v>1073</v>
      </c>
      <c r="D3179">
        <v>1</v>
      </c>
      <c r="E3179">
        <v>199.99</v>
      </c>
    </row>
    <row r="3180" spans="1:5" x14ac:dyDescent="0.3">
      <c r="A3180">
        <v>70902</v>
      </c>
      <c r="B3180">
        <v>28334</v>
      </c>
      <c r="C3180">
        <v>403</v>
      </c>
      <c r="D3180">
        <v>1</v>
      </c>
      <c r="E3180">
        <v>129.99</v>
      </c>
    </row>
    <row r="3181" spans="1:5" x14ac:dyDescent="0.3">
      <c r="A3181">
        <v>70900</v>
      </c>
      <c r="B3181">
        <v>28334</v>
      </c>
      <c r="C3181">
        <v>365</v>
      </c>
      <c r="D3181">
        <v>3</v>
      </c>
      <c r="E3181">
        <v>179.97</v>
      </c>
    </row>
    <row r="3182" spans="1:5" x14ac:dyDescent="0.3">
      <c r="A3182">
        <v>70901</v>
      </c>
      <c r="B3182">
        <v>28334</v>
      </c>
      <c r="C3182">
        <v>1014</v>
      </c>
      <c r="D3182">
        <v>4</v>
      </c>
      <c r="E3182">
        <v>199.92</v>
      </c>
    </row>
    <row r="3183" spans="1:5" x14ac:dyDescent="0.3">
      <c r="A3183">
        <v>70903</v>
      </c>
      <c r="B3183">
        <v>28336</v>
      </c>
      <c r="C3183">
        <v>403</v>
      </c>
      <c r="D3183">
        <v>1</v>
      </c>
      <c r="E3183">
        <v>129.99</v>
      </c>
    </row>
    <row r="3184" spans="1:5" x14ac:dyDescent="0.3">
      <c r="A3184">
        <v>70904</v>
      </c>
      <c r="B3184">
        <v>28336</v>
      </c>
      <c r="C3184">
        <v>957</v>
      </c>
      <c r="D3184">
        <v>1</v>
      </c>
      <c r="E3184">
        <v>299.98</v>
      </c>
    </row>
    <row r="3185" spans="1:5" x14ac:dyDescent="0.3">
      <c r="A3185">
        <v>70906</v>
      </c>
      <c r="B3185">
        <v>28336</v>
      </c>
      <c r="C3185">
        <v>502</v>
      </c>
      <c r="D3185">
        <v>2</v>
      </c>
      <c r="E3185">
        <v>100</v>
      </c>
    </row>
    <row r="3186" spans="1:5" x14ac:dyDescent="0.3">
      <c r="A3186">
        <v>70905</v>
      </c>
      <c r="B3186">
        <v>28336</v>
      </c>
      <c r="C3186">
        <v>1014</v>
      </c>
      <c r="D3186">
        <v>1</v>
      </c>
      <c r="E3186">
        <v>49.98</v>
      </c>
    </row>
    <row r="3187" spans="1:5" x14ac:dyDescent="0.3">
      <c r="A3187">
        <v>70908</v>
      </c>
      <c r="B3187">
        <v>28337</v>
      </c>
      <c r="C3187">
        <v>403</v>
      </c>
      <c r="D3187">
        <v>1</v>
      </c>
      <c r="E3187">
        <v>129.99</v>
      </c>
    </row>
    <row r="3188" spans="1:5" x14ac:dyDescent="0.3">
      <c r="A3188">
        <v>70907</v>
      </c>
      <c r="B3188">
        <v>28337</v>
      </c>
      <c r="C3188">
        <v>627</v>
      </c>
      <c r="D3188">
        <v>4</v>
      </c>
      <c r="E3188">
        <v>159.96</v>
      </c>
    </row>
    <row r="3189" spans="1:5" x14ac:dyDescent="0.3">
      <c r="A3189">
        <v>70909</v>
      </c>
      <c r="B3189">
        <v>28337</v>
      </c>
      <c r="C3189">
        <v>191</v>
      </c>
      <c r="D3189">
        <v>5</v>
      </c>
      <c r="E3189">
        <v>499.95</v>
      </c>
    </row>
    <row r="3190" spans="1:5" x14ac:dyDescent="0.3">
      <c r="A3190">
        <v>70923</v>
      </c>
      <c r="B3190">
        <v>28344</v>
      </c>
      <c r="C3190">
        <v>502</v>
      </c>
      <c r="D3190">
        <v>2</v>
      </c>
      <c r="E3190">
        <v>100</v>
      </c>
    </row>
    <row r="3191" spans="1:5" x14ac:dyDescent="0.3">
      <c r="A3191">
        <v>70922</v>
      </c>
      <c r="B3191">
        <v>28344</v>
      </c>
      <c r="C3191">
        <v>1004</v>
      </c>
      <c r="D3191">
        <v>1</v>
      </c>
      <c r="E3191">
        <v>399.98</v>
      </c>
    </row>
    <row r="3192" spans="1:5" x14ac:dyDescent="0.3">
      <c r="A3192">
        <v>70926</v>
      </c>
      <c r="B3192">
        <v>28345</v>
      </c>
      <c r="C3192">
        <v>365</v>
      </c>
      <c r="D3192">
        <v>1</v>
      </c>
      <c r="E3192">
        <v>59.99</v>
      </c>
    </row>
    <row r="3193" spans="1:5" x14ac:dyDescent="0.3">
      <c r="A3193">
        <v>70925</v>
      </c>
      <c r="B3193">
        <v>28345</v>
      </c>
      <c r="C3193">
        <v>365</v>
      </c>
      <c r="D3193">
        <v>4</v>
      </c>
      <c r="E3193">
        <v>239.96</v>
      </c>
    </row>
    <row r="3194" spans="1:5" x14ac:dyDescent="0.3">
      <c r="A3194">
        <v>70924</v>
      </c>
      <c r="B3194">
        <v>28345</v>
      </c>
      <c r="C3194">
        <v>1073</v>
      </c>
      <c r="D3194">
        <v>1</v>
      </c>
      <c r="E3194">
        <v>199.99</v>
      </c>
    </row>
    <row r="3195" spans="1:5" x14ac:dyDescent="0.3">
      <c r="A3195">
        <v>70928</v>
      </c>
      <c r="B3195">
        <v>28346</v>
      </c>
      <c r="C3195">
        <v>1073</v>
      </c>
      <c r="D3195">
        <v>1</v>
      </c>
      <c r="E3195">
        <v>199.99</v>
      </c>
    </row>
    <row r="3196" spans="1:5" x14ac:dyDescent="0.3">
      <c r="A3196">
        <v>70927</v>
      </c>
      <c r="B3196">
        <v>28346</v>
      </c>
      <c r="C3196">
        <v>1073</v>
      </c>
      <c r="D3196">
        <v>1</v>
      </c>
      <c r="E3196">
        <v>199.99</v>
      </c>
    </row>
    <row r="3197" spans="1:5" x14ac:dyDescent="0.3">
      <c r="A3197">
        <v>70930</v>
      </c>
      <c r="B3197">
        <v>28347</v>
      </c>
      <c r="C3197">
        <v>957</v>
      </c>
      <c r="D3197">
        <v>1</v>
      </c>
      <c r="E3197">
        <v>299.98</v>
      </c>
    </row>
    <row r="3198" spans="1:5" x14ac:dyDescent="0.3">
      <c r="A3198">
        <v>70929</v>
      </c>
      <c r="B3198">
        <v>28347</v>
      </c>
      <c r="C3198">
        <v>1014</v>
      </c>
      <c r="D3198">
        <v>2</v>
      </c>
      <c r="E3198">
        <v>99.96</v>
      </c>
    </row>
    <row r="3199" spans="1:5" x14ac:dyDescent="0.3">
      <c r="A3199">
        <v>70969</v>
      </c>
      <c r="B3199">
        <v>28364</v>
      </c>
      <c r="C3199">
        <v>627</v>
      </c>
      <c r="D3199">
        <v>5</v>
      </c>
      <c r="E3199">
        <v>199.95</v>
      </c>
    </row>
    <row r="3200" spans="1:5" x14ac:dyDescent="0.3">
      <c r="A3200">
        <v>70968</v>
      </c>
      <c r="B3200">
        <v>28364</v>
      </c>
      <c r="C3200">
        <v>502</v>
      </c>
      <c r="D3200">
        <v>5</v>
      </c>
      <c r="E3200">
        <v>250</v>
      </c>
    </row>
    <row r="3201" spans="1:5" x14ac:dyDescent="0.3">
      <c r="A3201">
        <v>71003</v>
      </c>
      <c r="B3201">
        <v>28376</v>
      </c>
      <c r="C3201">
        <v>1073</v>
      </c>
      <c r="D3201">
        <v>1</v>
      </c>
      <c r="E3201">
        <v>199.99</v>
      </c>
    </row>
    <row r="3202" spans="1:5" x14ac:dyDescent="0.3">
      <c r="A3202">
        <v>71001</v>
      </c>
      <c r="B3202">
        <v>28376</v>
      </c>
      <c r="C3202">
        <v>365</v>
      </c>
      <c r="D3202">
        <v>3</v>
      </c>
      <c r="E3202">
        <v>179.97</v>
      </c>
    </row>
    <row r="3203" spans="1:5" x14ac:dyDescent="0.3">
      <c r="A3203">
        <v>71002</v>
      </c>
      <c r="B3203">
        <v>28376</v>
      </c>
      <c r="C3203">
        <v>627</v>
      </c>
      <c r="D3203">
        <v>5</v>
      </c>
      <c r="E3203">
        <v>199.95</v>
      </c>
    </row>
    <row r="3204" spans="1:5" x14ac:dyDescent="0.3">
      <c r="A3204">
        <v>71013</v>
      </c>
      <c r="B3204">
        <v>28381</v>
      </c>
      <c r="C3204">
        <v>1073</v>
      </c>
      <c r="D3204">
        <v>1</v>
      </c>
      <c r="E3204">
        <v>199.99</v>
      </c>
    </row>
    <row r="3205" spans="1:5" x14ac:dyDescent="0.3">
      <c r="A3205">
        <v>71012</v>
      </c>
      <c r="B3205">
        <v>28381</v>
      </c>
      <c r="C3205">
        <v>1073</v>
      </c>
      <c r="D3205">
        <v>1</v>
      </c>
      <c r="E3205">
        <v>199.99</v>
      </c>
    </row>
    <row r="3206" spans="1:5" x14ac:dyDescent="0.3">
      <c r="A3206">
        <v>71015</v>
      </c>
      <c r="B3206">
        <v>28381</v>
      </c>
      <c r="C3206">
        <v>403</v>
      </c>
      <c r="D3206">
        <v>1</v>
      </c>
      <c r="E3206">
        <v>129.99</v>
      </c>
    </row>
    <row r="3207" spans="1:5" x14ac:dyDescent="0.3">
      <c r="A3207">
        <v>71014</v>
      </c>
      <c r="B3207">
        <v>28381</v>
      </c>
      <c r="C3207">
        <v>403</v>
      </c>
      <c r="D3207">
        <v>1</v>
      </c>
      <c r="E3207">
        <v>129.99</v>
      </c>
    </row>
    <row r="3208" spans="1:5" x14ac:dyDescent="0.3">
      <c r="A3208">
        <v>71016</v>
      </c>
      <c r="B3208">
        <v>28381</v>
      </c>
      <c r="C3208">
        <v>1014</v>
      </c>
      <c r="D3208">
        <v>4</v>
      </c>
      <c r="E3208">
        <v>199.92</v>
      </c>
    </row>
    <row r="3209" spans="1:5" x14ac:dyDescent="0.3">
      <c r="A3209">
        <v>71019</v>
      </c>
      <c r="B3209">
        <v>28382</v>
      </c>
      <c r="C3209">
        <v>627</v>
      </c>
      <c r="D3209">
        <v>5</v>
      </c>
      <c r="E3209">
        <v>199.95</v>
      </c>
    </row>
    <row r="3210" spans="1:5" x14ac:dyDescent="0.3">
      <c r="A3210">
        <v>71020</v>
      </c>
      <c r="B3210">
        <v>28382</v>
      </c>
      <c r="C3210">
        <v>1073</v>
      </c>
      <c r="D3210">
        <v>1</v>
      </c>
      <c r="E3210">
        <v>199.99</v>
      </c>
    </row>
    <row r="3211" spans="1:5" x14ac:dyDescent="0.3">
      <c r="A3211">
        <v>71018</v>
      </c>
      <c r="B3211">
        <v>28382</v>
      </c>
      <c r="C3211">
        <v>403</v>
      </c>
      <c r="D3211">
        <v>1</v>
      </c>
      <c r="E3211">
        <v>129.99</v>
      </c>
    </row>
    <row r="3212" spans="1:5" x14ac:dyDescent="0.3">
      <c r="A3212">
        <v>71017</v>
      </c>
      <c r="B3212">
        <v>28382</v>
      </c>
      <c r="C3212">
        <v>1004</v>
      </c>
      <c r="D3212">
        <v>1</v>
      </c>
      <c r="E3212">
        <v>399.98</v>
      </c>
    </row>
    <row r="3213" spans="1:5" x14ac:dyDescent="0.3">
      <c r="A3213">
        <v>71028</v>
      </c>
      <c r="B3213">
        <v>28385</v>
      </c>
      <c r="C3213">
        <v>365</v>
      </c>
      <c r="D3213">
        <v>1</v>
      </c>
      <c r="E3213">
        <v>59.99</v>
      </c>
    </row>
    <row r="3214" spans="1:5" x14ac:dyDescent="0.3">
      <c r="A3214">
        <v>71034</v>
      </c>
      <c r="B3214">
        <v>28387</v>
      </c>
      <c r="C3214">
        <v>957</v>
      </c>
      <c r="D3214">
        <v>1</v>
      </c>
      <c r="E3214">
        <v>299.98</v>
      </c>
    </row>
    <row r="3215" spans="1:5" x14ac:dyDescent="0.3">
      <c r="A3215">
        <v>71035</v>
      </c>
      <c r="B3215">
        <v>28387</v>
      </c>
      <c r="C3215">
        <v>365</v>
      </c>
      <c r="D3215">
        <v>2</v>
      </c>
      <c r="E3215">
        <v>119.98</v>
      </c>
    </row>
    <row r="3216" spans="1:5" x14ac:dyDescent="0.3">
      <c r="A3216">
        <v>71036</v>
      </c>
      <c r="B3216">
        <v>28387</v>
      </c>
      <c r="C3216">
        <v>564</v>
      </c>
      <c r="D3216">
        <v>3</v>
      </c>
      <c r="E3216">
        <v>90</v>
      </c>
    </row>
    <row r="3217" spans="1:5" x14ac:dyDescent="0.3">
      <c r="A3217">
        <v>71039</v>
      </c>
      <c r="B3217">
        <v>28388</v>
      </c>
      <c r="C3217">
        <v>403</v>
      </c>
      <c r="D3217">
        <v>1</v>
      </c>
      <c r="E3217">
        <v>129.99</v>
      </c>
    </row>
    <row r="3218" spans="1:5" x14ac:dyDescent="0.3">
      <c r="A3218">
        <v>71038</v>
      </c>
      <c r="B3218">
        <v>28388</v>
      </c>
      <c r="C3218">
        <v>365</v>
      </c>
      <c r="D3218">
        <v>1</v>
      </c>
      <c r="E3218">
        <v>59.99</v>
      </c>
    </row>
    <row r="3219" spans="1:5" x14ac:dyDescent="0.3">
      <c r="A3219">
        <v>71037</v>
      </c>
      <c r="B3219">
        <v>28388</v>
      </c>
      <c r="C3219">
        <v>403</v>
      </c>
      <c r="D3219">
        <v>1</v>
      </c>
      <c r="E3219">
        <v>129.99</v>
      </c>
    </row>
    <row r="3220" spans="1:5" x14ac:dyDescent="0.3">
      <c r="A3220">
        <v>71042</v>
      </c>
      <c r="B3220">
        <v>28390</v>
      </c>
      <c r="C3220">
        <v>502</v>
      </c>
      <c r="D3220">
        <v>2</v>
      </c>
      <c r="E3220">
        <v>100</v>
      </c>
    </row>
    <row r="3221" spans="1:5" x14ac:dyDescent="0.3">
      <c r="A3221">
        <v>71041</v>
      </c>
      <c r="B3221">
        <v>28390</v>
      </c>
      <c r="C3221">
        <v>191</v>
      </c>
      <c r="D3221">
        <v>3</v>
      </c>
      <c r="E3221">
        <v>299.97000000000003</v>
      </c>
    </row>
    <row r="3222" spans="1:5" x14ac:dyDescent="0.3">
      <c r="A3222">
        <v>71044</v>
      </c>
      <c r="B3222">
        <v>28391</v>
      </c>
      <c r="C3222">
        <v>1014</v>
      </c>
      <c r="D3222">
        <v>3</v>
      </c>
      <c r="E3222">
        <v>149.94</v>
      </c>
    </row>
    <row r="3223" spans="1:5" x14ac:dyDescent="0.3">
      <c r="A3223">
        <v>71043</v>
      </c>
      <c r="B3223">
        <v>28391</v>
      </c>
      <c r="C3223">
        <v>1014</v>
      </c>
      <c r="D3223">
        <v>2</v>
      </c>
      <c r="E3223">
        <v>99.96</v>
      </c>
    </row>
    <row r="3224" spans="1:5" x14ac:dyDescent="0.3">
      <c r="A3224">
        <v>71046</v>
      </c>
      <c r="B3224">
        <v>28391</v>
      </c>
      <c r="C3224">
        <v>1004</v>
      </c>
      <c r="D3224">
        <v>1</v>
      </c>
      <c r="E3224">
        <v>399.98</v>
      </c>
    </row>
    <row r="3225" spans="1:5" x14ac:dyDescent="0.3">
      <c r="A3225">
        <v>71045</v>
      </c>
      <c r="B3225">
        <v>28391</v>
      </c>
      <c r="C3225">
        <v>1004</v>
      </c>
      <c r="D3225">
        <v>1</v>
      </c>
      <c r="E3225">
        <v>399.98</v>
      </c>
    </row>
    <row r="3226" spans="1:5" x14ac:dyDescent="0.3">
      <c r="A3226">
        <v>71050</v>
      </c>
      <c r="B3226">
        <v>28392</v>
      </c>
      <c r="C3226">
        <v>957</v>
      </c>
      <c r="D3226">
        <v>1</v>
      </c>
      <c r="E3226">
        <v>299.98</v>
      </c>
    </row>
    <row r="3227" spans="1:5" x14ac:dyDescent="0.3">
      <c r="A3227">
        <v>71048</v>
      </c>
      <c r="B3227">
        <v>28392</v>
      </c>
      <c r="C3227">
        <v>365</v>
      </c>
      <c r="D3227">
        <v>2</v>
      </c>
      <c r="E3227">
        <v>119.98</v>
      </c>
    </row>
    <row r="3228" spans="1:5" x14ac:dyDescent="0.3">
      <c r="A3228">
        <v>71049</v>
      </c>
      <c r="B3228">
        <v>28392</v>
      </c>
      <c r="C3228">
        <v>191</v>
      </c>
      <c r="D3228">
        <v>3</v>
      </c>
      <c r="E3228">
        <v>299.97000000000003</v>
      </c>
    </row>
    <row r="3229" spans="1:5" x14ac:dyDescent="0.3">
      <c r="A3229">
        <v>71047</v>
      </c>
      <c r="B3229">
        <v>28392</v>
      </c>
      <c r="C3229">
        <v>627</v>
      </c>
      <c r="D3229">
        <v>4</v>
      </c>
      <c r="E3229">
        <v>159.96</v>
      </c>
    </row>
    <row r="3230" spans="1:5" x14ac:dyDescent="0.3">
      <c r="A3230">
        <v>71140</v>
      </c>
      <c r="B3230">
        <v>28424</v>
      </c>
      <c r="C3230">
        <v>1073</v>
      </c>
      <c r="D3230">
        <v>1</v>
      </c>
      <c r="E3230">
        <v>199.99</v>
      </c>
    </row>
    <row r="3231" spans="1:5" x14ac:dyDescent="0.3">
      <c r="A3231">
        <v>71142</v>
      </c>
      <c r="B3231">
        <v>28425</v>
      </c>
      <c r="C3231">
        <v>403</v>
      </c>
      <c r="D3231">
        <v>1</v>
      </c>
      <c r="E3231">
        <v>129.99</v>
      </c>
    </row>
    <row r="3232" spans="1:5" x14ac:dyDescent="0.3">
      <c r="A3232">
        <v>71141</v>
      </c>
      <c r="B3232">
        <v>28425</v>
      </c>
      <c r="C3232">
        <v>502</v>
      </c>
      <c r="D3232">
        <v>1</v>
      </c>
      <c r="E3232">
        <v>50</v>
      </c>
    </row>
    <row r="3233" spans="1:5" x14ac:dyDescent="0.3">
      <c r="A3233">
        <v>71144</v>
      </c>
      <c r="B3233">
        <v>28427</v>
      </c>
      <c r="C3233">
        <v>116</v>
      </c>
      <c r="D3233">
        <v>1</v>
      </c>
      <c r="E3233">
        <v>44.99</v>
      </c>
    </row>
    <row r="3234" spans="1:5" x14ac:dyDescent="0.3">
      <c r="A3234">
        <v>71147</v>
      </c>
      <c r="B3234">
        <v>28427</v>
      </c>
      <c r="C3234">
        <v>627</v>
      </c>
      <c r="D3234">
        <v>3</v>
      </c>
      <c r="E3234">
        <v>119.97</v>
      </c>
    </row>
    <row r="3235" spans="1:5" x14ac:dyDescent="0.3">
      <c r="A3235">
        <v>71146</v>
      </c>
      <c r="B3235">
        <v>28427</v>
      </c>
      <c r="C3235">
        <v>1073</v>
      </c>
      <c r="D3235">
        <v>1</v>
      </c>
      <c r="E3235">
        <v>199.99</v>
      </c>
    </row>
    <row r="3236" spans="1:5" x14ac:dyDescent="0.3">
      <c r="A3236">
        <v>71145</v>
      </c>
      <c r="B3236">
        <v>28427</v>
      </c>
      <c r="C3236">
        <v>1073</v>
      </c>
      <c r="D3236">
        <v>1</v>
      </c>
      <c r="E3236">
        <v>199.99</v>
      </c>
    </row>
    <row r="3237" spans="1:5" x14ac:dyDescent="0.3">
      <c r="A3237">
        <v>71143</v>
      </c>
      <c r="B3237">
        <v>28427</v>
      </c>
      <c r="C3237">
        <v>1014</v>
      </c>
      <c r="D3237">
        <v>3</v>
      </c>
      <c r="E3237">
        <v>149.94</v>
      </c>
    </row>
    <row r="3238" spans="1:5" x14ac:dyDescent="0.3">
      <c r="A3238">
        <v>71150</v>
      </c>
      <c r="B3238">
        <v>28428</v>
      </c>
      <c r="C3238">
        <v>403</v>
      </c>
      <c r="D3238">
        <v>1</v>
      </c>
      <c r="E3238">
        <v>129.99</v>
      </c>
    </row>
    <row r="3239" spans="1:5" x14ac:dyDescent="0.3">
      <c r="A3239">
        <v>71148</v>
      </c>
      <c r="B3239">
        <v>28428</v>
      </c>
      <c r="C3239">
        <v>191</v>
      </c>
      <c r="D3239">
        <v>3</v>
      </c>
      <c r="E3239">
        <v>299.97000000000003</v>
      </c>
    </row>
    <row r="3240" spans="1:5" x14ac:dyDescent="0.3">
      <c r="A3240">
        <v>71151</v>
      </c>
      <c r="B3240">
        <v>28428</v>
      </c>
      <c r="C3240">
        <v>365</v>
      </c>
      <c r="D3240">
        <v>3</v>
      </c>
      <c r="E3240">
        <v>179.97</v>
      </c>
    </row>
    <row r="3241" spans="1:5" x14ac:dyDescent="0.3">
      <c r="A3241">
        <v>71152</v>
      </c>
      <c r="B3241">
        <v>28428</v>
      </c>
      <c r="C3241">
        <v>1073</v>
      </c>
      <c r="D3241">
        <v>1</v>
      </c>
      <c r="E3241">
        <v>199.99</v>
      </c>
    </row>
    <row r="3242" spans="1:5" x14ac:dyDescent="0.3">
      <c r="A3242">
        <v>71149</v>
      </c>
      <c r="B3242">
        <v>28428</v>
      </c>
      <c r="C3242">
        <v>1004</v>
      </c>
      <c r="D3242">
        <v>1</v>
      </c>
      <c r="E3242">
        <v>399.98</v>
      </c>
    </row>
    <row r="3243" spans="1:5" x14ac:dyDescent="0.3">
      <c r="A3243">
        <v>71153</v>
      </c>
      <c r="B3243">
        <v>28430</v>
      </c>
      <c r="C3243">
        <v>565</v>
      </c>
      <c r="D3243">
        <v>4</v>
      </c>
      <c r="E3243">
        <v>280</v>
      </c>
    </row>
    <row r="3244" spans="1:5" x14ac:dyDescent="0.3">
      <c r="A3244">
        <v>71154</v>
      </c>
      <c r="B3244">
        <v>28430</v>
      </c>
      <c r="C3244">
        <v>1014</v>
      </c>
      <c r="D3244">
        <v>1</v>
      </c>
      <c r="E3244">
        <v>49.98</v>
      </c>
    </row>
    <row r="3245" spans="1:5" x14ac:dyDescent="0.3">
      <c r="A3245">
        <v>71185</v>
      </c>
      <c r="B3245">
        <v>28443</v>
      </c>
      <c r="C3245">
        <v>403</v>
      </c>
      <c r="D3245">
        <v>1</v>
      </c>
      <c r="E3245">
        <v>129.99</v>
      </c>
    </row>
    <row r="3246" spans="1:5" x14ac:dyDescent="0.3">
      <c r="A3246">
        <v>71188</v>
      </c>
      <c r="B3246">
        <v>28443</v>
      </c>
      <c r="C3246">
        <v>957</v>
      </c>
      <c r="D3246">
        <v>1</v>
      </c>
      <c r="E3246">
        <v>299.98</v>
      </c>
    </row>
    <row r="3247" spans="1:5" x14ac:dyDescent="0.3">
      <c r="A3247">
        <v>71187</v>
      </c>
      <c r="B3247">
        <v>28443</v>
      </c>
      <c r="C3247">
        <v>828</v>
      </c>
      <c r="D3247">
        <v>3</v>
      </c>
      <c r="E3247">
        <v>95.97</v>
      </c>
    </row>
    <row r="3248" spans="1:5" x14ac:dyDescent="0.3">
      <c r="A3248">
        <v>71184</v>
      </c>
      <c r="B3248">
        <v>28443</v>
      </c>
      <c r="C3248">
        <v>627</v>
      </c>
      <c r="D3248">
        <v>5</v>
      </c>
      <c r="E3248">
        <v>199.95</v>
      </c>
    </row>
    <row r="3249" spans="1:5" x14ac:dyDescent="0.3">
      <c r="A3249">
        <v>71186</v>
      </c>
      <c r="B3249">
        <v>28443</v>
      </c>
      <c r="C3249">
        <v>502</v>
      </c>
      <c r="D3249">
        <v>5</v>
      </c>
      <c r="E3249">
        <v>250</v>
      </c>
    </row>
    <row r="3250" spans="1:5" x14ac:dyDescent="0.3">
      <c r="A3250">
        <v>71189</v>
      </c>
      <c r="B3250">
        <v>28444</v>
      </c>
      <c r="C3250">
        <v>403</v>
      </c>
      <c r="D3250">
        <v>1</v>
      </c>
      <c r="E3250">
        <v>129.99</v>
      </c>
    </row>
    <row r="3251" spans="1:5" x14ac:dyDescent="0.3">
      <c r="A3251">
        <v>71192</v>
      </c>
      <c r="B3251">
        <v>28444</v>
      </c>
      <c r="C3251">
        <v>886</v>
      </c>
      <c r="D3251">
        <v>4</v>
      </c>
      <c r="E3251">
        <v>99.96</v>
      </c>
    </row>
    <row r="3252" spans="1:5" x14ac:dyDescent="0.3">
      <c r="A3252">
        <v>71190</v>
      </c>
      <c r="B3252">
        <v>28444</v>
      </c>
      <c r="C3252">
        <v>917</v>
      </c>
      <c r="D3252">
        <v>4</v>
      </c>
      <c r="E3252">
        <v>87.96</v>
      </c>
    </row>
    <row r="3253" spans="1:5" x14ac:dyDescent="0.3">
      <c r="A3253">
        <v>71191</v>
      </c>
      <c r="B3253">
        <v>28444</v>
      </c>
      <c r="C3253">
        <v>1014</v>
      </c>
      <c r="D3253">
        <v>5</v>
      </c>
      <c r="E3253">
        <v>249.9</v>
      </c>
    </row>
    <row r="3254" spans="1:5" x14ac:dyDescent="0.3">
      <c r="A3254">
        <v>71193</v>
      </c>
      <c r="B3254">
        <v>28444</v>
      </c>
      <c r="C3254">
        <v>1004</v>
      </c>
      <c r="D3254">
        <v>1</v>
      </c>
      <c r="E3254">
        <v>399.98</v>
      </c>
    </row>
    <row r="3255" spans="1:5" x14ac:dyDescent="0.3">
      <c r="A3255">
        <v>71224</v>
      </c>
      <c r="B3255">
        <v>28458</v>
      </c>
      <c r="C3255">
        <v>957</v>
      </c>
      <c r="D3255">
        <v>1</v>
      </c>
      <c r="E3255">
        <v>299.98</v>
      </c>
    </row>
    <row r="3256" spans="1:5" x14ac:dyDescent="0.3">
      <c r="A3256">
        <v>71225</v>
      </c>
      <c r="B3256">
        <v>28459</v>
      </c>
      <c r="C3256">
        <v>365</v>
      </c>
      <c r="D3256">
        <v>1</v>
      </c>
      <c r="E3256">
        <v>59.99</v>
      </c>
    </row>
    <row r="3257" spans="1:5" x14ac:dyDescent="0.3">
      <c r="A3257">
        <v>71226</v>
      </c>
      <c r="B3257">
        <v>28459</v>
      </c>
      <c r="C3257">
        <v>502</v>
      </c>
      <c r="D3257">
        <v>5</v>
      </c>
      <c r="E3257">
        <v>250</v>
      </c>
    </row>
    <row r="3258" spans="1:5" x14ac:dyDescent="0.3">
      <c r="A3258">
        <v>71276</v>
      </c>
      <c r="B3258">
        <v>28480</v>
      </c>
      <c r="C3258">
        <v>502</v>
      </c>
      <c r="D3258">
        <v>1</v>
      </c>
      <c r="E3258">
        <v>50</v>
      </c>
    </row>
    <row r="3259" spans="1:5" x14ac:dyDescent="0.3">
      <c r="A3259">
        <v>71275</v>
      </c>
      <c r="B3259">
        <v>28480</v>
      </c>
      <c r="C3259">
        <v>567</v>
      </c>
      <c r="D3259">
        <v>1</v>
      </c>
      <c r="E3259">
        <v>25</v>
      </c>
    </row>
    <row r="3260" spans="1:5" x14ac:dyDescent="0.3">
      <c r="A3260">
        <v>71274</v>
      </c>
      <c r="B3260">
        <v>28480</v>
      </c>
      <c r="C3260">
        <v>627</v>
      </c>
      <c r="D3260">
        <v>2</v>
      </c>
      <c r="E3260">
        <v>79.98</v>
      </c>
    </row>
    <row r="3261" spans="1:5" x14ac:dyDescent="0.3">
      <c r="A3261">
        <v>71277</v>
      </c>
      <c r="B3261">
        <v>28480</v>
      </c>
      <c r="C3261">
        <v>1004</v>
      </c>
      <c r="D3261">
        <v>1</v>
      </c>
      <c r="E3261">
        <v>399.98</v>
      </c>
    </row>
    <row r="3262" spans="1:5" x14ac:dyDescent="0.3">
      <c r="A3262">
        <v>71278</v>
      </c>
      <c r="B3262">
        <v>28481</v>
      </c>
      <c r="C3262">
        <v>365</v>
      </c>
      <c r="D3262">
        <v>5</v>
      </c>
      <c r="E3262">
        <v>299.95</v>
      </c>
    </row>
    <row r="3263" spans="1:5" x14ac:dyDescent="0.3">
      <c r="A3263">
        <v>71279</v>
      </c>
      <c r="B3263">
        <v>28481</v>
      </c>
      <c r="C3263">
        <v>627</v>
      </c>
      <c r="D3263">
        <v>5</v>
      </c>
      <c r="E3263">
        <v>199.95</v>
      </c>
    </row>
    <row r="3264" spans="1:5" x14ac:dyDescent="0.3">
      <c r="A3264">
        <v>71286</v>
      </c>
      <c r="B3264">
        <v>28484</v>
      </c>
      <c r="C3264">
        <v>1073</v>
      </c>
      <c r="D3264">
        <v>1</v>
      </c>
      <c r="E3264">
        <v>199.99</v>
      </c>
    </row>
    <row r="3265" spans="1:5" x14ac:dyDescent="0.3">
      <c r="A3265">
        <v>71288</v>
      </c>
      <c r="B3265">
        <v>28484</v>
      </c>
      <c r="C3265">
        <v>957</v>
      </c>
      <c r="D3265">
        <v>1</v>
      </c>
      <c r="E3265">
        <v>299.98</v>
      </c>
    </row>
    <row r="3266" spans="1:5" x14ac:dyDescent="0.3">
      <c r="A3266">
        <v>71285</v>
      </c>
      <c r="B3266">
        <v>28484</v>
      </c>
      <c r="C3266">
        <v>957</v>
      </c>
      <c r="D3266">
        <v>1</v>
      </c>
      <c r="E3266">
        <v>299.98</v>
      </c>
    </row>
    <row r="3267" spans="1:5" x14ac:dyDescent="0.3">
      <c r="A3267">
        <v>71284</v>
      </c>
      <c r="B3267">
        <v>28484</v>
      </c>
      <c r="C3267">
        <v>502</v>
      </c>
      <c r="D3267">
        <v>3</v>
      </c>
      <c r="E3267">
        <v>150</v>
      </c>
    </row>
    <row r="3268" spans="1:5" x14ac:dyDescent="0.3">
      <c r="A3268">
        <v>71287</v>
      </c>
      <c r="B3268">
        <v>28484</v>
      </c>
      <c r="C3268">
        <v>818</v>
      </c>
      <c r="D3268">
        <v>5</v>
      </c>
      <c r="E3268">
        <v>239.95</v>
      </c>
    </row>
    <row r="3269" spans="1:5" x14ac:dyDescent="0.3">
      <c r="A3269">
        <v>71289</v>
      </c>
      <c r="B3269">
        <v>28485</v>
      </c>
      <c r="C3269">
        <v>825</v>
      </c>
      <c r="D3269">
        <v>1</v>
      </c>
      <c r="E3269">
        <v>31.99</v>
      </c>
    </row>
    <row r="3270" spans="1:5" x14ac:dyDescent="0.3">
      <c r="A3270">
        <v>71290</v>
      </c>
      <c r="B3270">
        <v>28485</v>
      </c>
      <c r="C3270">
        <v>365</v>
      </c>
      <c r="D3270">
        <v>4</v>
      </c>
      <c r="E3270">
        <v>239.96</v>
      </c>
    </row>
    <row r="3271" spans="1:5" x14ac:dyDescent="0.3">
      <c r="A3271">
        <v>71291</v>
      </c>
      <c r="B3271">
        <v>28485</v>
      </c>
      <c r="C3271">
        <v>627</v>
      </c>
      <c r="D3271">
        <v>4</v>
      </c>
      <c r="E3271">
        <v>159.96</v>
      </c>
    </row>
    <row r="3272" spans="1:5" x14ac:dyDescent="0.3">
      <c r="A3272">
        <v>71292</v>
      </c>
      <c r="B3272">
        <v>28485</v>
      </c>
      <c r="C3272">
        <v>1073</v>
      </c>
      <c r="D3272">
        <v>1</v>
      </c>
      <c r="E3272">
        <v>199.99</v>
      </c>
    </row>
    <row r="3273" spans="1:5" x14ac:dyDescent="0.3">
      <c r="A3273">
        <v>71296</v>
      </c>
      <c r="B3273">
        <v>28486</v>
      </c>
      <c r="C3273">
        <v>792</v>
      </c>
      <c r="D3273">
        <v>2</v>
      </c>
      <c r="E3273">
        <v>29.98</v>
      </c>
    </row>
    <row r="3274" spans="1:5" x14ac:dyDescent="0.3">
      <c r="A3274">
        <v>71295</v>
      </c>
      <c r="B3274">
        <v>28486</v>
      </c>
      <c r="C3274">
        <v>403</v>
      </c>
      <c r="D3274">
        <v>1</v>
      </c>
      <c r="E3274">
        <v>129.99</v>
      </c>
    </row>
    <row r="3275" spans="1:5" x14ac:dyDescent="0.3">
      <c r="A3275">
        <v>71293</v>
      </c>
      <c r="B3275">
        <v>28486</v>
      </c>
      <c r="C3275">
        <v>957</v>
      </c>
      <c r="D3275">
        <v>1</v>
      </c>
      <c r="E3275">
        <v>299.98</v>
      </c>
    </row>
    <row r="3276" spans="1:5" x14ac:dyDescent="0.3">
      <c r="A3276">
        <v>71294</v>
      </c>
      <c r="B3276">
        <v>28486</v>
      </c>
      <c r="C3276">
        <v>191</v>
      </c>
      <c r="D3276">
        <v>3</v>
      </c>
      <c r="E3276">
        <v>299.97000000000003</v>
      </c>
    </row>
    <row r="3277" spans="1:5" x14ac:dyDescent="0.3">
      <c r="A3277">
        <v>71297</v>
      </c>
      <c r="B3277">
        <v>28487</v>
      </c>
      <c r="C3277">
        <v>957</v>
      </c>
      <c r="D3277">
        <v>1</v>
      </c>
      <c r="E3277">
        <v>299.98</v>
      </c>
    </row>
    <row r="3278" spans="1:5" x14ac:dyDescent="0.3">
      <c r="A3278">
        <v>71308</v>
      </c>
      <c r="B3278">
        <v>28491</v>
      </c>
      <c r="C3278">
        <v>502</v>
      </c>
      <c r="D3278">
        <v>1</v>
      </c>
      <c r="E3278">
        <v>50</v>
      </c>
    </row>
    <row r="3279" spans="1:5" x14ac:dyDescent="0.3">
      <c r="A3279">
        <v>71309</v>
      </c>
      <c r="B3279">
        <v>28491</v>
      </c>
      <c r="C3279">
        <v>502</v>
      </c>
      <c r="D3279">
        <v>2</v>
      </c>
      <c r="E3279">
        <v>100</v>
      </c>
    </row>
    <row r="3280" spans="1:5" x14ac:dyDescent="0.3">
      <c r="A3280">
        <v>71311</v>
      </c>
      <c r="B3280">
        <v>28491</v>
      </c>
      <c r="C3280">
        <v>172</v>
      </c>
      <c r="D3280">
        <v>3</v>
      </c>
      <c r="E3280">
        <v>90</v>
      </c>
    </row>
    <row r="3281" spans="1:5" x14ac:dyDescent="0.3">
      <c r="A3281">
        <v>71310</v>
      </c>
      <c r="B3281">
        <v>28491</v>
      </c>
      <c r="C3281">
        <v>1014</v>
      </c>
      <c r="D3281">
        <v>5</v>
      </c>
      <c r="E3281">
        <v>249.9</v>
      </c>
    </row>
    <row r="3282" spans="1:5" x14ac:dyDescent="0.3">
      <c r="A3282">
        <v>71307</v>
      </c>
      <c r="B3282">
        <v>28491</v>
      </c>
      <c r="C3282">
        <v>1004</v>
      </c>
      <c r="D3282">
        <v>1</v>
      </c>
      <c r="E3282">
        <v>399.98</v>
      </c>
    </row>
    <row r="3283" spans="1:5" x14ac:dyDescent="0.3">
      <c r="A3283">
        <v>71312</v>
      </c>
      <c r="B3283">
        <v>28492</v>
      </c>
      <c r="C3283">
        <v>365</v>
      </c>
      <c r="D3283">
        <v>3</v>
      </c>
      <c r="E3283">
        <v>179.97</v>
      </c>
    </row>
    <row r="3284" spans="1:5" x14ac:dyDescent="0.3">
      <c r="A3284">
        <v>71338</v>
      </c>
      <c r="B3284">
        <v>28503</v>
      </c>
      <c r="C3284">
        <v>1073</v>
      </c>
      <c r="D3284">
        <v>1</v>
      </c>
      <c r="E3284">
        <v>199.99</v>
      </c>
    </row>
    <row r="3285" spans="1:5" x14ac:dyDescent="0.3">
      <c r="A3285">
        <v>71351</v>
      </c>
      <c r="B3285">
        <v>28511</v>
      </c>
      <c r="C3285">
        <v>1004</v>
      </c>
      <c r="D3285">
        <v>1</v>
      </c>
      <c r="E3285">
        <v>399.98</v>
      </c>
    </row>
    <row r="3286" spans="1:5" x14ac:dyDescent="0.3">
      <c r="A3286">
        <v>71352</v>
      </c>
      <c r="B3286">
        <v>28512</v>
      </c>
      <c r="C3286">
        <v>957</v>
      </c>
      <c r="D3286">
        <v>1</v>
      </c>
      <c r="E3286">
        <v>299.98</v>
      </c>
    </row>
    <row r="3287" spans="1:5" x14ac:dyDescent="0.3">
      <c r="A3287">
        <v>71371</v>
      </c>
      <c r="B3287">
        <v>28521</v>
      </c>
      <c r="C3287">
        <v>1073</v>
      </c>
      <c r="D3287">
        <v>1</v>
      </c>
      <c r="E3287">
        <v>199.99</v>
      </c>
    </row>
    <row r="3288" spans="1:5" x14ac:dyDescent="0.3">
      <c r="A3288">
        <v>71372</v>
      </c>
      <c r="B3288">
        <v>28521</v>
      </c>
      <c r="C3288">
        <v>191</v>
      </c>
      <c r="D3288">
        <v>2</v>
      </c>
      <c r="E3288">
        <v>199.98</v>
      </c>
    </row>
    <row r="3289" spans="1:5" x14ac:dyDescent="0.3">
      <c r="A3289">
        <v>71406</v>
      </c>
      <c r="B3289">
        <v>28537</v>
      </c>
      <c r="C3289">
        <v>191</v>
      </c>
      <c r="D3289">
        <v>1</v>
      </c>
      <c r="E3289">
        <v>99.99</v>
      </c>
    </row>
    <row r="3290" spans="1:5" x14ac:dyDescent="0.3">
      <c r="A3290">
        <v>71407</v>
      </c>
      <c r="B3290">
        <v>28537</v>
      </c>
      <c r="C3290">
        <v>365</v>
      </c>
      <c r="D3290">
        <v>1</v>
      </c>
      <c r="E3290">
        <v>59.99</v>
      </c>
    </row>
    <row r="3291" spans="1:5" x14ac:dyDescent="0.3">
      <c r="A3291">
        <v>71408</v>
      </c>
      <c r="B3291">
        <v>28537</v>
      </c>
      <c r="C3291">
        <v>403</v>
      </c>
      <c r="D3291">
        <v>1</v>
      </c>
      <c r="E3291">
        <v>129.99</v>
      </c>
    </row>
    <row r="3292" spans="1:5" x14ac:dyDescent="0.3">
      <c r="A3292">
        <v>71405</v>
      </c>
      <c r="B3292">
        <v>28537</v>
      </c>
      <c r="C3292">
        <v>1004</v>
      </c>
      <c r="D3292">
        <v>1</v>
      </c>
      <c r="E3292">
        <v>399.98</v>
      </c>
    </row>
    <row r="3293" spans="1:5" x14ac:dyDescent="0.3">
      <c r="A3293">
        <v>71404</v>
      </c>
      <c r="B3293">
        <v>28537</v>
      </c>
      <c r="C3293">
        <v>1004</v>
      </c>
      <c r="D3293">
        <v>1</v>
      </c>
      <c r="E3293">
        <v>399.98</v>
      </c>
    </row>
    <row r="3294" spans="1:5" x14ac:dyDescent="0.3">
      <c r="A3294">
        <v>71449</v>
      </c>
      <c r="B3294">
        <v>28552</v>
      </c>
      <c r="C3294">
        <v>191</v>
      </c>
      <c r="D3294">
        <v>3</v>
      </c>
      <c r="E3294">
        <v>299.97000000000003</v>
      </c>
    </row>
    <row r="3295" spans="1:5" x14ac:dyDescent="0.3">
      <c r="A3295">
        <v>71451</v>
      </c>
      <c r="B3295">
        <v>28552</v>
      </c>
      <c r="C3295">
        <v>627</v>
      </c>
      <c r="D3295">
        <v>4</v>
      </c>
      <c r="E3295">
        <v>159.96</v>
      </c>
    </row>
    <row r="3296" spans="1:5" x14ac:dyDescent="0.3">
      <c r="A3296">
        <v>71450</v>
      </c>
      <c r="B3296">
        <v>28552</v>
      </c>
      <c r="C3296">
        <v>502</v>
      </c>
      <c r="D3296">
        <v>4</v>
      </c>
      <c r="E3296">
        <v>200</v>
      </c>
    </row>
    <row r="3297" spans="1:5" x14ac:dyDescent="0.3">
      <c r="A3297">
        <v>71448</v>
      </c>
      <c r="B3297">
        <v>28552</v>
      </c>
      <c r="C3297">
        <v>191</v>
      </c>
      <c r="D3297">
        <v>5</v>
      </c>
      <c r="E3297">
        <v>499.95</v>
      </c>
    </row>
    <row r="3298" spans="1:5" x14ac:dyDescent="0.3">
      <c r="A3298">
        <v>71453</v>
      </c>
      <c r="B3298">
        <v>28553</v>
      </c>
      <c r="C3298">
        <v>703</v>
      </c>
      <c r="D3298">
        <v>2</v>
      </c>
      <c r="E3298">
        <v>39.979999999999997</v>
      </c>
    </row>
    <row r="3299" spans="1:5" x14ac:dyDescent="0.3">
      <c r="A3299">
        <v>71452</v>
      </c>
      <c r="B3299">
        <v>28553</v>
      </c>
      <c r="C3299">
        <v>1073</v>
      </c>
      <c r="D3299">
        <v>1</v>
      </c>
      <c r="E3299">
        <v>199.99</v>
      </c>
    </row>
    <row r="3300" spans="1:5" x14ac:dyDescent="0.3">
      <c r="A3300">
        <v>71455</v>
      </c>
      <c r="B3300">
        <v>28554</v>
      </c>
      <c r="C3300">
        <v>1004</v>
      </c>
      <c r="D3300">
        <v>1</v>
      </c>
      <c r="E3300">
        <v>399.98</v>
      </c>
    </row>
    <row r="3301" spans="1:5" x14ac:dyDescent="0.3">
      <c r="A3301">
        <v>71454</v>
      </c>
      <c r="B3301">
        <v>28554</v>
      </c>
      <c r="C3301">
        <v>1004</v>
      </c>
      <c r="D3301">
        <v>1</v>
      </c>
      <c r="E3301">
        <v>399.98</v>
      </c>
    </row>
    <row r="3302" spans="1:5" x14ac:dyDescent="0.3">
      <c r="A3302">
        <v>71460</v>
      </c>
      <c r="B3302">
        <v>28555</v>
      </c>
      <c r="C3302">
        <v>276</v>
      </c>
      <c r="D3302">
        <v>5</v>
      </c>
      <c r="E3302">
        <v>159.94999999999999</v>
      </c>
    </row>
    <row r="3303" spans="1:5" x14ac:dyDescent="0.3">
      <c r="A3303">
        <v>71456</v>
      </c>
      <c r="B3303">
        <v>28555</v>
      </c>
      <c r="C3303">
        <v>502</v>
      </c>
      <c r="D3303">
        <v>3</v>
      </c>
      <c r="E3303">
        <v>150</v>
      </c>
    </row>
    <row r="3304" spans="1:5" x14ac:dyDescent="0.3">
      <c r="A3304">
        <v>71458</v>
      </c>
      <c r="B3304">
        <v>28555</v>
      </c>
      <c r="C3304">
        <v>273</v>
      </c>
      <c r="D3304">
        <v>4</v>
      </c>
      <c r="E3304">
        <v>111.96</v>
      </c>
    </row>
    <row r="3305" spans="1:5" x14ac:dyDescent="0.3">
      <c r="A3305">
        <v>71459</v>
      </c>
      <c r="B3305">
        <v>28555</v>
      </c>
      <c r="C3305">
        <v>1014</v>
      </c>
      <c r="D3305">
        <v>2</v>
      </c>
      <c r="E3305">
        <v>99.96</v>
      </c>
    </row>
    <row r="3306" spans="1:5" x14ac:dyDescent="0.3">
      <c r="A3306">
        <v>71457</v>
      </c>
      <c r="B3306">
        <v>28555</v>
      </c>
      <c r="C3306">
        <v>1004</v>
      </c>
      <c r="D3306">
        <v>1</v>
      </c>
      <c r="E3306">
        <v>399.98</v>
      </c>
    </row>
    <row r="3307" spans="1:5" x14ac:dyDescent="0.3">
      <c r="A3307">
        <v>71464</v>
      </c>
      <c r="B3307">
        <v>28557</v>
      </c>
      <c r="C3307">
        <v>1004</v>
      </c>
      <c r="D3307">
        <v>1</v>
      </c>
      <c r="E3307">
        <v>399.98</v>
      </c>
    </row>
    <row r="3308" spans="1:5" x14ac:dyDescent="0.3">
      <c r="A3308">
        <v>71466</v>
      </c>
      <c r="B3308">
        <v>28558</v>
      </c>
      <c r="C3308">
        <v>627</v>
      </c>
      <c r="D3308">
        <v>1</v>
      </c>
      <c r="E3308">
        <v>39.99</v>
      </c>
    </row>
    <row r="3309" spans="1:5" x14ac:dyDescent="0.3">
      <c r="A3309">
        <v>71468</v>
      </c>
      <c r="B3309">
        <v>28558</v>
      </c>
      <c r="C3309">
        <v>957</v>
      </c>
      <c r="D3309">
        <v>1</v>
      </c>
      <c r="E3309">
        <v>299.98</v>
      </c>
    </row>
    <row r="3310" spans="1:5" x14ac:dyDescent="0.3">
      <c r="A3310">
        <v>71467</v>
      </c>
      <c r="B3310">
        <v>28558</v>
      </c>
      <c r="C3310">
        <v>627</v>
      </c>
      <c r="D3310">
        <v>5</v>
      </c>
      <c r="E3310">
        <v>199.95</v>
      </c>
    </row>
    <row r="3311" spans="1:5" x14ac:dyDescent="0.3">
      <c r="A3311">
        <v>71465</v>
      </c>
      <c r="B3311">
        <v>28558</v>
      </c>
      <c r="C3311">
        <v>1073</v>
      </c>
      <c r="D3311">
        <v>1</v>
      </c>
      <c r="E3311">
        <v>199.99</v>
      </c>
    </row>
    <row r="3312" spans="1:5" x14ac:dyDescent="0.3">
      <c r="A3312">
        <v>71551</v>
      </c>
      <c r="B3312">
        <v>28589</v>
      </c>
      <c r="C3312">
        <v>502</v>
      </c>
      <c r="D3312">
        <v>1</v>
      </c>
      <c r="E3312">
        <v>50</v>
      </c>
    </row>
    <row r="3313" spans="1:5" x14ac:dyDescent="0.3">
      <c r="A3313">
        <v>71550</v>
      </c>
      <c r="B3313">
        <v>28589</v>
      </c>
      <c r="C3313">
        <v>191</v>
      </c>
      <c r="D3313">
        <v>3</v>
      </c>
      <c r="E3313">
        <v>299.97000000000003</v>
      </c>
    </row>
    <row r="3314" spans="1:5" x14ac:dyDescent="0.3">
      <c r="A3314">
        <v>71549</v>
      </c>
      <c r="B3314">
        <v>28589</v>
      </c>
      <c r="C3314">
        <v>191</v>
      </c>
      <c r="D3314">
        <v>4</v>
      </c>
      <c r="E3314">
        <v>399.96</v>
      </c>
    </row>
    <row r="3315" spans="1:5" x14ac:dyDescent="0.3">
      <c r="A3315">
        <v>71548</v>
      </c>
      <c r="B3315">
        <v>28589</v>
      </c>
      <c r="C3315">
        <v>1014</v>
      </c>
      <c r="D3315">
        <v>2</v>
      </c>
      <c r="E3315">
        <v>99.96</v>
      </c>
    </row>
    <row r="3316" spans="1:5" x14ac:dyDescent="0.3">
      <c r="A3316">
        <v>71547</v>
      </c>
      <c r="B3316">
        <v>28589</v>
      </c>
      <c r="C3316">
        <v>1014</v>
      </c>
      <c r="D3316">
        <v>4</v>
      </c>
      <c r="E3316">
        <v>199.92</v>
      </c>
    </row>
    <row r="3317" spans="1:5" x14ac:dyDescent="0.3">
      <c r="A3317">
        <v>71552</v>
      </c>
      <c r="B3317">
        <v>28590</v>
      </c>
      <c r="C3317">
        <v>502</v>
      </c>
      <c r="D3317">
        <v>1</v>
      </c>
      <c r="E3317">
        <v>50</v>
      </c>
    </row>
    <row r="3318" spans="1:5" x14ac:dyDescent="0.3">
      <c r="A3318">
        <v>71584</v>
      </c>
      <c r="B3318">
        <v>28601</v>
      </c>
      <c r="C3318">
        <v>1073</v>
      </c>
      <c r="D3318">
        <v>1</v>
      </c>
      <c r="E3318">
        <v>199.99</v>
      </c>
    </row>
    <row r="3319" spans="1:5" x14ac:dyDescent="0.3">
      <c r="A3319">
        <v>71583</v>
      </c>
      <c r="B3319">
        <v>28601</v>
      </c>
      <c r="C3319">
        <v>1014</v>
      </c>
      <c r="D3319">
        <v>1</v>
      </c>
      <c r="E3319">
        <v>49.98</v>
      </c>
    </row>
    <row r="3320" spans="1:5" x14ac:dyDescent="0.3">
      <c r="A3320">
        <v>71589</v>
      </c>
      <c r="B3320">
        <v>28602</v>
      </c>
      <c r="C3320">
        <v>365</v>
      </c>
      <c r="D3320">
        <v>3</v>
      </c>
      <c r="E3320">
        <v>179.97</v>
      </c>
    </row>
    <row r="3321" spans="1:5" x14ac:dyDescent="0.3">
      <c r="A3321">
        <v>71588</v>
      </c>
      <c r="B3321">
        <v>28602</v>
      </c>
      <c r="C3321">
        <v>365</v>
      </c>
      <c r="D3321">
        <v>3</v>
      </c>
      <c r="E3321">
        <v>179.97</v>
      </c>
    </row>
    <row r="3322" spans="1:5" x14ac:dyDescent="0.3">
      <c r="A3322">
        <v>71586</v>
      </c>
      <c r="B3322">
        <v>28602</v>
      </c>
      <c r="C3322">
        <v>502</v>
      </c>
      <c r="D3322">
        <v>4</v>
      </c>
      <c r="E3322">
        <v>200</v>
      </c>
    </row>
    <row r="3323" spans="1:5" x14ac:dyDescent="0.3">
      <c r="A3323">
        <v>71587</v>
      </c>
      <c r="B3323">
        <v>28602</v>
      </c>
      <c r="C3323">
        <v>1014</v>
      </c>
      <c r="D3323">
        <v>3</v>
      </c>
      <c r="E3323">
        <v>149.94</v>
      </c>
    </row>
    <row r="3324" spans="1:5" x14ac:dyDescent="0.3">
      <c r="A3324">
        <v>71585</v>
      </c>
      <c r="B3324">
        <v>28602</v>
      </c>
      <c r="C3324">
        <v>1004</v>
      </c>
      <c r="D3324">
        <v>1</v>
      </c>
      <c r="E3324">
        <v>399.98</v>
      </c>
    </row>
    <row r="3325" spans="1:5" x14ac:dyDescent="0.3">
      <c r="A3325">
        <v>71595</v>
      </c>
      <c r="B3325">
        <v>28604</v>
      </c>
      <c r="C3325">
        <v>1073</v>
      </c>
      <c r="D3325">
        <v>1</v>
      </c>
      <c r="E3325">
        <v>199.99</v>
      </c>
    </row>
    <row r="3326" spans="1:5" x14ac:dyDescent="0.3">
      <c r="A3326">
        <v>71596</v>
      </c>
      <c r="B3326">
        <v>28605</v>
      </c>
      <c r="C3326">
        <v>191</v>
      </c>
      <c r="D3326">
        <v>1</v>
      </c>
      <c r="E3326">
        <v>99.99</v>
      </c>
    </row>
    <row r="3327" spans="1:5" x14ac:dyDescent="0.3">
      <c r="A3327">
        <v>71597</v>
      </c>
      <c r="B3327">
        <v>28606</v>
      </c>
      <c r="C3327">
        <v>893</v>
      </c>
      <c r="D3327">
        <v>2</v>
      </c>
      <c r="E3327">
        <v>49.98</v>
      </c>
    </row>
    <row r="3328" spans="1:5" x14ac:dyDescent="0.3">
      <c r="A3328">
        <v>71678</v>
      </c>
      <c r="B3328">
        <v>28638</v>
      </c>
      <c r="C3328">
        <v>502</v>
      </c>
      <c r="D3328">
        <v>4</v>
      </c>
      <c r="E3328">
        <v>200</v>
      </c>
    </row>
    <row r="3329" spans="1:5" x14ac:dyDescent="0.3">
      <c r="A3329">
        <v>71679</v>
      </c>
      <c r="B3329">
        <v>28639</v>
      </c>
      <c r="C3329">
        <v>365</v>
      </c>
      <c r="D3329">
        <v>2</v>
      </c>
      <c r="E3329">
        <v>119.98</v>
      </c>
    </row>
    <row r="3330" spans="1:5" x14ac:dyDescent="0.3">
      <c r="A3330">
        <v>71680</v>
      </c>
      <c r="B3330">
        <v>28639</v>
      </c>
      <c r="C3330">
        <v>1014</v>
      </c>
      <c r="D3330">
        <v>4</v>
      </c>
      <c r="E3330">
        <v>199.92</v>
      </c>
    </row>
    <row r="3331" spans="1:5" x14ac:dyDescent="0.3">
      <c r="A3331">
        <v>71681</v>
      </c>
      <c r="B3331">
        <v>28640</v>
      </c>
      <c r="C3331">
        <v>191</v>
      </c>
      <c r="D3331">
        <v>1</v>
      </c>
      <c r="E3331">
        <v>99.99</v>
      </c>
    </row>
    <row r="3332" spans="1:5" x14ac:dyDescent="0.3">
      <c r="A3332">
        <v>71683</v>
      </c>
      <c r="B3332">
        <v>28640</v>
      </c>
      <c r="C3332">
        <v>1073</v>
      </c>
      <c r="D3332">
        <v>1</v>
      </c>
      <c r="E3332">
        <v>199.99</v>
      </c>
    </row>
    <row r="3333" spans="1:5" x14ac:dyDescent="0.3">
      <c r="A3333">
        <v>71682</v>
      </c>
      <c r="B3333">
        <v>28640</v>
      </c>
      <c r="C3333">
        <v>1073</v>
      </c>
      <c r="D3333">
        <v>1</v>
      </c>
      <c r="E3333">
        <v>199.99</v>
      </c>
    </row>
    <row r="3334" spans="1:5" x14ac:dyDescent="0.3">
      <c r="A3334">
        <v>71684</v>
      </c>
      <c r="B3334">
        <v>28641</v>
      </c>
      <c r="C3334">
        <v>403</v>
      </c>
      <c r="D3334">
        <v>1</v>
      </c>
      <c r="E3334">
        <v>129.99</v>
      </c>
    </row>
    <row r="3335" spans="1:5" x14ac:dyDescent="0.3">
      <c r="A3335">
        <v>71685</v>
      </c>
      <c r="B3335">
        <v>28641</v>
      </c>
      <c r="C3335">
        <v>502</v>
      </c>
      <c r="D3335">
        <v>1</v>
      </c>
      <c r="E3335">
        <v>50</v>
      </c>
    </row>
    <row r="3336" spans="1:5" x14ac:dyDescent="0.3">
      <c r="A3336">
        <v>71686</v>
      </c>
      <c r="B3336">
        <v>28641</v>
      </c>
      <c r="C3336">
        <v>1004</v>
      </c>
      <c r="D3336">
        <v>1</v>
      </c>
      <c r="E3336">
        <v>399.98</v>
      </c>
    </row>
    <row r="3337" spans="1:5" x14ac:dyDescent="0.3">
      <c r="A3337">
        <v>71689</v>
      </c>
      <c r="B3337">
        <v>28642</v>
      </c>
      <c r="C3337">
        <v>403</v>
      </c>
      <c r="D3337">
        <v>1</v>
      </c>
      <c r="E3337">
        <v>129.99</v>
      </c>
    </row>
    <row r="3338" spans="1:5" x14ac:dyDescent="0.3">
      <c r="A3338">
        <v>71688</v>
      </c>
      <c r="B3338">
        <v>28642</v>
      </c>
      <c r="C3338">
        <v>957</v>
      </c>
      <c r="D3338">
        <v>1</v>
      </c>
      <c r="E3338">
        <v>299.98</v>
      </c>
    </row>
    <row r="3339" spans="1:5" x14ac:dyDescent="0.3">
      <c r="A3339">
        <v>71690</v>
      </c>
      <c r="B3339">
        <v>28642</v>
      </c>
      <c r="C3339">
        <v>365</v>
      </c>
      <c r="D3339">
        <v>4</v>
      </c>
      <c r="E3339">
        <v>239.96</v>
      </c>
    </row>
    <row r="3340" spans="1:5" x14ac:dyDescent="0.3">
      <c r="A3340">
        <v>71687</v>
      </c>
      <c r="B3340">
        <v>28642</v>
      </c>
      <c r="C3340">
        <v>810</v>
      </c>
      <c r="D3340">
        <v>5</v>
      </c>
      <c r="E3340">
        <v>99.95</v>
      </c>
    </row>
    <row r="3341" spans="1:5" x14ac:dyDescent="0.3">
      <c r="A3341">
        <v>71691</v>
      </c>
      <c r="B3341">
        <v>28642</v>
      </c>
      <c r="C3341">
        <v>1004</v>
      </c>
      <c r="D3341">
        <v>1</v>
      </c>
      <c r="E3341">
        <v>399.98</v>
      </c>
    </row>
    <row r="3342" spans="1:5" x14ac:dyDescent="0.3">
      <c r="A3342">
        <v>71692</v>
      </c>
      <c r="B3342">
        <v>28643</v>
      </c>
      <c r="C3342">
        <v>191</v>
      </c>
      <c r="D3342">
        <v>1</v>
      </c>
      <c r="E3342">
        <v>99.99</v>
      </c>
    </row>
    <row r="3343" spans="1:5" x14ac:dyDescent="0.3">
      <c r="A3343">
        <v>71693</v>
      </c>
      <c r="B3343">
        <v>28643</v>
      </c>
      <c r="C3343">
        <v>502</v>
      </c>
      <c r="D3343">
        <v>2</v>
      </c>
      <c r="E3343">
        <v>100</v>
      </c>
    </row>
    <row r="3344" spans="1:5" x14ac:dyDescent="0.3">
      <c r="A3344">
        <v>71698</v>
      </c>
      <c r="B3344">
        <v>28644</v>
      </c>
      <c r="C3344">
        <v>44</v>
      </c>
      <c r="D3344">
        <v>5</v>
      </c>
      <c r="E3344">
        <v>299.95</v>
      </c>
    </row>
    <row r="3345" spans="1:5" x14ac:dyDescent="0.3">
      <c r="A3345">
        <v>71694</v>
      </c>
      <c r="B3345">
        <v>28644</v>
      </c>
      <c r="C3345">
        <v>403</v>
      </c>
      <c r="D3345">
        <v>1</v>
      </c>
      <c r="E3345">
        <v>129.99</v>
      </c>
    </row>
    <row r="3346" spans="1:5" x14ac:dyDescent="0.3">
      <c r="A3346">
        <v>71697</v>
      </c>
      <c r="B3346">
        <v>28644</v>
      </c>
      <c r="C3346">
        <v>957</v>
      </c>
      <c r="D3346">
        <v>1</v>
      </c>
      <c r="E3346">
        <v>299.98</v>
      </c>
    </row>
    <row r="3347" spans="1:5" x14ac:dyDescent="0.3">
      <c r="A3347">
        <v>71696</v>
      </c>
      <c r="B3347">
        <v>28644</v>
      </c>
      <c r="C3347">
        <v>1004</v>
      </c>
      <c r="D3347">
        <v>1</v>
      </c>
      <c r="E3347">
        <v>399.98</v>
      </c>
    </row>
    <row r="3348" spans="1:5" x14ac:dyDescent="0.3">
      <c r="A3348">
        <v>71695</v>
      </c>
      <c r="B3348">
        <v>28644</v>
      </c>
      <c r="C3348">
        <v>1004</v>
      </c>
      <c r="D3348">
        <v>1</v>
      </c>
      <c r="E3348">
        <v>399.98</v>
      </c>
    </row>
    <row r="3349" spans="1:5" x14ac:dyDescent="0.3">
      <c r="A3349">
        <v>71703</v>
      </c>
      <c r="B3349">
        <v>28645</v>
      </c>
      <c r="C3349">
        <v>1073</v>
      </c>
      <c r="D3349">
        <v>1</v>
      </c>
      <c r="E3349">
        <v>199.99</v>
      </c>
    </row>
    <row r="3350" spans="1:5" x14ac:dyDescent="0.3">
      <c r="A3350">
        <v>71700</v>
      </c>
      <c r="B3350">
        <v>28645</v>
      </c>
      <c r="C3350">
        <v>403</v>
      </c>
      <c r="D3350">
        <v>1</v>
      </c>
      <c r="E3350">
        <v>129.99</v>
      </c>
    </row>
    <row r="3351" spans="1:5" x14ac:dyDescent="0.3">
      <c r="A3351">
        <v>71702</v>
      </c>
      <c r="B3351">
        <v>28645</v>
      </c>
      <c r="C3351">
        <v>502</v>
      </c>
      <c r="D3351">
        <v>2</v>
      </c>
      <c r="E3351">
        <v>100</v>
      </c>
    </row>
    <row r="3352" spans="1:5" x14ac:dyDescent="0.3">
      <c r="A3352">
        <v>71701</v>
      </c>
      <c r="B3352">
        <v>28645</v>
      </c>
      <c r="C3352">
        <v>627</v>
      </c>
      <c r="D3352">
        <v>3</v>
      </c>
      <c r="E3352">
        <v>119.97</v>
      </c>
    </row>
    <row r="3353" spans="1:5" x14ac:dyDescent="0.3">
      <c r="A3353">
        <v>71699</v>
      </c>
      <c r="B3353">
        <v>28645</v>
      </c>
      <c r="C3353">
        <v>1014</v>
      </c>
      <c r="D3353">
        <v>2</v>
      </c>
      <c r="E3353">
        <v>99.96</v>
      </c>
    </row>
    <row r="3354" spans="1:5" x14ac:dyDescent="0.3">
      <c r="A3354">
        <v>71704</v>
      </c>
      <c r="B3354">
        <v>28646</v>
      </c>
      <c r="C3354">
        <v>502</v>
      </c>
      <c r="D3354">
        <v>4</v>
      </c>
      <c r="E3354">
        <v>200</v>
      </c>
    </row>
    <row r="3355" spans="1:5" x14ac:dyDescent="0.3">
      <c r="A3355">
        <v>71770</v>
      </c>
      <c r="B3355">
        <v>28672</v>
      </c>
      <c r="C3355">
        <v>1073</v>
      </c>
      <c r="D3355">
        <v>1</v>
      </c>
      <c r="E3355">
        <v>199.99</v>
      </c>
    </row>
    <row r="3356" spans="1:5" x14ac:dyDescent="0.3">
      <c r="A3356">
        <v>71769</v>
      </c>
      <c r="B3356">
        <v>28672</v>
      </c>
      <c r="C3356">
        <v>1073</v>
      </c>
      <c r="D3356">
        <v>1</v>
      </c>
      <c r="E3356">
        <v>199.99</v>
      </c>
    </row>
    <row r="3357" spans="1:5" x14ac:dyDescent="0.3">
      <c r="A3357">
        <v>71772</v>
      </c>
      <c r="B3357">
        <v>28672</v>
      </c>
      <c r="C3357">
        <v>365</v>
      </c>
      <c r="D3357">
        <v>3</v>
      </c>
      <c r="E3357">
        <v>179.97</v>
      </c>
    </row>
    <row r="3358" spans="1:5" x14ac:dyDescent="0.3">
      <c r="A3358">
        <v>71771</v>
      </c>
      <c r="B3358">
        <v>28672</v>
      </c>
      <c r="C3358">
        <v>502</v>
      </c>
      <c r="D3358">
        <v>3</v>
      </c>
      <c r="E3358">
        <v>150</v>
      </c>
    </row>
    <row r="3359" spans="1:5" x14ac:dyDescent="0.3">
      <c r="A3359">
        <v>71803</v>
      </c>
      <c r="B3359">
        <v>28689</v>
      </c>
      <c r="C3359">
        <v>502</v>
      </c>
      <c r="D3359">
        <v>2</v>
      </c>
      <c r="E3359">
        <v>100</v>
      </c>
    </row>
    <row r="3360" spans="1:5" x14ac:dyDescent="0.3">
      <c r="A3360">
        <v>71802</v>
      </c>
      <c r="B3360">
        <v>28689</v>
      </c>
      <c r="C3360">
        <v>365</v>
      </c>
      <c r="D3360">
        <v>4</v>
      </c>
      <c r="E3360">
        <v>239.96</v>
      </c>
    </row>
    <row r="3361" spans="1:5" x14ac:dyDescent="0.3">
      <c r="A3361">
        <v>71804</v>
      </c>
      <c r="B3361">
        <v>28689</v>
      </c>
      <c r="C3361">
        <v>1014</v>
      </c>
      <c r="D3361">
        <v>5</v>
      </c>
      <c r="E3361">
        <v>249.9</v>
      </c>
    </row>
    <row r="3362" spans="1:5" x14ac:dyDescent="0.3">
      <c r="A3362">
        <v>71807</v>
      </c>
      <c r="B3362">
        <v>28690</v>
      </c>
      <c r="C3362">
        <v>924</v>
      </c>
      <c r="D3362">
        <v>4</v>
      </c>
      <c r="E3362">
        <v>63.96</v>
      </c>
    </row>
    <row r="3363" spans="1:5" x14ac:dyDescent="0.3">
      <c r="A3363">
        <v>71806</v>
      </c>
      <c r="B3363">
        <v>28690</v>
      </c>
      <c r="C3363">
        <v>1014</v>
      </c>
      <c r="D3363">
        <v>3</v>
      </c>
      <c r="E3363">
        <v>149.94</v>
      </c>
    </row>
    <row r="3364" spans="1:5" x14ac:dyDescent="0.3">
      <c r="A3364">
        <v>71805</v>
      </c>
      <c r="B3364">
        <v>28690</v>
      </c>
      <c r="C3364">
        <v>1004</v>
      </c>
      <c r="D3364">
        <v>1</v>
      </c>
      <c r="E3364">
        <v>399.98</v>
      </c>
    </row>
    <row r="3365" spans="1:5" x14ac:dyDescent="0.3">
      <c r="A3365">
        <v>71810</v>
      </c>
      <c r="B3365">
        <v>28691</v>
      </c>
      <c r="C3365">
        <v>897</v>
      </c>
      <c r="D3365">
        <v>5</v>
      </c>
      <c r="E3365">
        <v>124.95</v>
      </c>
    </row>
    <row r="3366" spans="1:5" x14ac:dyDescent="0.3">
      <c r="A3366">
        <v>71811</v>
      </c>
      <c r="B3366">
        <v>28691</v>
      </c>
      <c r="C3366">
        <v>1014</v>
      </c>
      <c r="D3366">
        <v>5</v>
      </c>
      <c r="E3366">
        <v>249.9</v>
      </c>
    </row>
    <row r="3367" spans="1:5" x14ac:dyDescent="0.3">
      <c r="A3367">
        <v>71809</v>
      </c>
      <c r="B3367">
        <v>28691</v>
      </c>
      <c r="C3367">
        <v>1014</v>
      </c>
      <c r="D3367">
        <v>3</v>
      </c>
      <c r="E3367">
        <v>149.94</v>
      </c>
    </row>
    <row r="3368" spans="1:5" x14ac:dyDescent="0.3">
      <c r="A3368">
        <v>71808</v>
      </c>
      <c r="B3368">
        <v>28691</v>
      </c>
      <c r="C3368">
        <v>627</v>
      </c>
      <c r="D3368">
        <v>1</v>
      </c>
      <c r="E3368">
        <v>39.99</v>
      </c>
    </row>
    <row r="3369" spans="1:5" x14ac:dyDescent="0.3">
      <c r="A3369">
        <v>71814</v>
      </c>
      <c r="B3369">
        <v>28692</v>
      </c>
      <c r="C3369">
        <v>957</v>
      </c>
      <c r="D3369">
        <v>1</v>
      </c>
      <c r="E3369">
        <v>299.98</v>
      </c>
    </row>
    <row r="3370" spans="1:5" x14ac:dyDescent="0.3">
      <c r="A3370">
        <v>71813</v>
      </c>
      <c r="B3370">
        <v>28692</v>
      </c>
      <c r="C3370">
        <v>627</v>
      </c>
      <c r="D3370">
        <v>4</v>
      </c>
      <c r="E3370">
        <v>159.96</v>
      </c>
    </row>
    <row r="3371" spans="1:5" x14ac:dyDescent="0.3">
      <c r="A3371">
        <v>71812</v>
      </c>
      <c r="B3371">
        <v>28692</v>
      </c>
      <c r="C3371">
        <v>835</v>
      </c>
      <c r="D3371">
        <v>4</v>
      </c>
      <c r="E3371">
        <v>127.96</v>
      </c>
    </row>
    <row r="3372" spans="1:5" x14ac:dyDescent="0.3">
      <c r="A3372">
        <v>71815</v>
      </c>
      <c r="B3372">
        <v>28692</v>
      </c>
      <c r="C3372">
        <v>365</v>
      </c>
      <c r="D3372">
        <v>5</v>
      </c>
      <c r="E3372">
        <v>299.95</v>
      </c>
    </row>
    <row r="3373" spans="1:5" x14ac:dyDescent="0.3">
      <c r="A3373">
        <v>71816</v>
      </c>
      <c r="B3373">
        <v>28692</v>
      </c>
      <c r="C3373">
        <v>906</v>
      </c>
      <c r="D3373">
        <v>5</v>
      </c>
      <c r="E3373">
        <v>124.95</v>
      </c>
    </row>
    <row r="3374" spans="1:5" x14ac:dyDescent="0.3">
      <c r="A3374">
        <v>71817</v>
      </c>
      <c r="B3374">
        <v>28694</v>
      </c>
      <c r="C3374">
        <v>957</v>
      </c>
      <c r="D3374">
        <v>1</v>
      </c>
      <c r="E3374">
        <v>299.98</v>
      </c>
    </row>
    <row r="3375" spans="1:5" x14ac:dyDescent="0.3">
      <c r="A3375">
        <v>71818</v>
      </c>
      <c r="B3375">
        <v>28694</v>
      </c>
      <c r="C3375">
        <v>502</v>
      </c>
      <c r="D3375">
        <v>4</v>
      </c>
      <c r="E3375">
        <v>200</v>
      </c>
    </row>
    <row r="3376" spans="1:5" x14ac:dyDescent="0.3">
      <c r="A3376">
        <v>71841</v>
      </c>
      <c r="B3376">
        <v>28701</v>
      </c>
      <c r="C3376">
        <v>565</v>
      </c>
      <c r="D3376">
        <v>2</v>
      </c>
      <c r="E3376">
        <v>140</v>
      </c>
    </row>
    <row r="3377" spans="1:5" x14ac:dyDescent="0.3">
      <c r="A3377">
        <v>71842</v>
      </c>
      <c r="B3377">
        <v>28701</v>
      </c>
      <c r="C3377">
        <v>1014</v>
      </c>
      <c r="D3377">
        <v>2</v>
      </c>
      <c r="E3377">
        <v>99.96</v>
      </c>
    </row>
    <row r="3378" spans="1:5" x14ac:dyDescent="0.3">
      <c r="A3378">
        <v>71844</v>
      </c>
      <c r="B3378">
        <v>28702</v>
      </c>
      <c r="C3378">
        <v>191</v>
      </c>
      <c r="D3378">
        <v>2</v>
      </c>
      <c r="E3378">
        <v>199.98</v>
      </c>
    </row>
    <row r="3379" spans="1:5" x14ac:dyDescent="0.3">
      <c r="A3379">
        <v>71846</v>
      </c>
      <c r="B3379">
        <v>28702</v>
      </c>
      <c r="C3379">
        <v>365</v>
      </c>
      <c r="D3379">
        <v>2</v>
      </c>
      <c r="E3379">
        <v>119.98</v>
      </c>
    </row>
    <row r="3380" spans="1:5" x14ac:dyDescent="0.3">
      <c r="A3380">
        <v>71843</v>
      </c>
      <c r="B3380">
        <v>28702</v>
      </c>
      <c r="C3380">
        <v>885</v>
      </c>
      <c r="D3380">
        <v>5</v>
      </c>
      <c r="E3380">
        <v>124.95</v>
      </c>
    </row>
    <row r="3381" spans="1:5" x14ac:dyDescent="0.3">
      <c r="A3381">
        <v>71845</v>
      </c>
      <c r="B3381">
        <v>28702</v>
      </c>
      <c r="C3381">
        <v>1073</v>
      </c>
      <c r="D3381">
        <v>1</v>
      </c>
      <c r="E3381">
        <v>199.99</v>
      </c>
    </row>
    <row r="3382" spans="1:5" x14ac:dyDescent="0.3">
      <c r="A3382">
        <v>71855</v>
      </c>
      <c r="B3382">
        <v>28708</v>
      </c>
      <c r="C3382">
        <v>403</v>
      </c>
      <c r="D3382">
        <v>1</v>
      </c>
      <c r="E3382">
        <v>129.99</v>
      </c>
    </row>
    <row r="3383" spans="1:5" x14ac:dyDescent="0.3">
      <c r="A3383">
        <v>71854</v>
      </c>
      <c r="B3383">
        <v>28708</v>
      </c>
      <c r="C3383">
        <v>627</v>
      </c>
      <c r="D3383">
        <v>2</v>
      </c>
      <c r="E3383">
        <v>79.98</v>
      </c>
    </row>
    <row r="3384" spans="1:5" x14ac:dyDescent="0.3">
      <c r="A3384">
        <v>71856</v>
      </c>
      <c r="B3384">
        <v>28709</v>
      </c>
      <c r="C3384">
        <v>822</v>
      </c>
      <c r="D3384">
        <v>1</v>
      </c>
      <c r="E3384">
        <v>47.99</v>
      </c>
    </row>
    <row r="3385" spans="1:5" x14ac:dyDescent="0.3">
      <c r="A3385">
        <v>71857</v>
      </c>
      <c r="B3385">
        <v>28709</v>
      </c>
      <c r="C3385">
        <v>825</v>
      </c>
      <c r="D3385">
        <v>1</v>
      </c>
      <c r="E3385">
        <v>31.99</v>
      </c>
    </row>
    <row r="3386" spans="1:5" x14ac:dyDescent="0.3">
      <c r="A3386">
        <v>71860</v>
      </c>
      <c r="B3386">
        <v>28709</v>
      </c>
      <c r="C3386">
        <v>1014</v>
      </c>
      <c r="D3386">
        <v>5</v>
      </c>
      <c r="E3386">
        <v>249.9</v>
      </c>
    </row>
    <row r="3387" spans="1:5" x14ac:dyDescent="0.3">
      <c r="A3387">
        <v>71859</v>
      </c>
      <c r="B3387">
        <v>28709</v>
      </c>
      <c r="C3387">
        <v>1014</v>
      </c>
      <c r="D3387">
        <v>1</v>
      </c>
      <c r="E3387">
        <v>49.98</v>
      </c>
    </row>
    <row r="3388" spans="1:5" x14ac:dyDescent="0.3">
      <c r="A3388">
        <v>71858</v>
      </c>
      <c r="B3388">
        <v>28709</v>
      </c>
      <c r="C3388">
        <v>1004</v>
      </c>
      <c r="D3388">
        <v>1</v>
      </c>
      <c r="E3388">
        <v>399.98</v>
      </c>
    </row>
    <row r="3389" spans="1:5" x14ac:dyDescent="0.3">
      <c r="A3389">
        <v>71861</v>
      </c>
      <c r="B3389">
        <v>28710</v>
      </c>
      <c r="C3389">
        <v>1073</v>
      </c>
      <c r="D3389">
        <v>1</v>
      </c>
      <c r="E3389">
        <v>199.99</v>
      </c>
    </row>
    <row r="3390" spans="1:5" x14ac:dyDescent="0.3">
      <c r="A3390">
        <v>71862</v>
      </c>
      <c r="B3390">
        <v>28710</v>
      </c>
      <c r="C3390">
        <v>365</v>
      </c>
      <c r="D3390">
        <v>1</v>
      </c>
      <c r="E3390">
        <v>59.99</v>
      </c>
    </row>
    <row r="3391" spans="1:5" x14ac:dyDescent="0.3">
      <c r="A3391">
        <v>71938</v>
      </c>
      <c r="B3391">
        <v>28736</v>
      </c>
      <c r="C3391">
        <v>191</v>
      </c>
      <c r="D3391">
        <v>4</v>
      </c>
      <c r="E3391">
        <v>399.96</v>
      </c>
    </row>
    <row r="3392" spans="1:5" x14ac:dyDescent="0.3">
      <c r="A3392">
        <v>71941</v>
      </c>
      <c r="B3392">
        <v>28737</v>
      </c>
      <c r="C3392">
        <v>403</v>
      </c>
      <c r="D3392">
        <v>1</v>
      </c>
      <c r="E3392">
        <v>129.99</v>
      </c>
    </row>
    <row r="3393" spans="1:5" x14ac:dyDescent="0.3">
      <c r="A3393">
        <v>71939</v>
      </c>
      <c r="B3393">
        <v>28737</v>
      </c>
      <c r="C3393">
        <v>403</v>
      </c>
      <c r="D3393">
        <v>1</v>
      </c>
      <c r="E3393">
        <v>129.99</v>
      </c>
    </row>
    <row r="3394" spans="1:5" x14ac:dyDescent="0.3">
      <c r="A3394">
        <v>71943</v>
      </c>
      <c r="B3394">
        <v>28737</v>
      </c>
      <c r="C3394">
        <v>502</v>
      </c>
      <c r="D3394">
        <v>1</v>
      </c>
      <c r="E3394">
        <v>50</v>
      </c>
    </row>
    <row r="3395" spans="1:5" x14ac:dyDescent="0.3">
      <c r="A3395">
        <v>71940</v>
      </c>
      <c r="B3395">
        <v>28737</v>
      </c>
      <c r="C3395">
        <v>627</v>
      </c>
      <c r="D3395">
        <v>4</v>
      </c>
      <c r="E3395">
        <v>159.96</v>
      </c>
    </row>
    <row r="3396" spans="1:5" x14ac:dyDescent="0.3">
      <c r="A3396">
        <v>71942</v>
      </c>
      <c r="B3396">
        <v>28737</v>
      </c>
      <c r="C3396">
        <v>1014</v>
      </c>
      <c r="D3396">
        <v>4</v>
      </c>
      <c r="E3396">
        <v>199.92</v>
      </c>
    </row>
    <row r="3397" spans="1:5" x14ac:dyDescent="0.3">
      <c r="A3397">
        <v>71954</v>
      </c>
      <c r="B3397">
        <v>28743</v>
      </c>
      <c r="C3397">
        <v>1004</v>
      </c>
      <c r="D3397">
        <v>1</v>
      </c>
      <c r="E3397">
        <v>399.98</v>
      </c>
    </row>
    <row r="3398" spans="1:5" x14ac:dyDescent="0.3">
      <c r="A3398">
        <v>71956</v>
      </c>
      <c r="B3398">
        <v>28744</v>
      </c>
      <c r="C3398">
        <v>365</v>
      </c>
      <c r="D3398">
        <v>2</v>
      </c>
      <c r="E3398">
        <v>119.98</v>
      </c>
    </row>
    <row r="3399" spans="1:5" x14ac:dyDescent="0.3">
      <c r="A3399">
        <v>71958</v>
      </c>
      <c r="B3399">
        <v>28744</v>
      </c>
      <c r="C3399">
        <v>1014</v>
      </c>
      <c r="D3399">
        <v>1</v>
      </c>
      <c r="E3399">
        <v>49.98</v>
      </c>
    </row>
    <row r="3400" spans="1:5" x14ac:dyDescent="0.3">
      <c r="A3400">
        <v>71955</v>
      </c>
      <c r="B3400">
        <v>28744</v>
      </c>
      <c r="C3400">
        <v>1014</v>
      </c>
      <c r="D3400">
        <v>1</v>
      </c>
      <c r="E3400">
        <v>49.98</v>
      </c>
    </row>
    <row r="3401" spans="1:5" x14ac:dyDescent="0.3">
      <c r="A3401">
        <v>71957</v>
      </c>
      <c r="B3401">
        <v>28744</v>
      </c>
      <c r="C3401">
        <v>1004</v>
      </c>
      <c r="D3401">
        <v>1</v>
      </c>
      <c r="E3401">
        <v>399.98</v>
      </c>
    </row>
    <row r="3402" spans="1:5" x14ac:dyDescent="0.3">
      <c r="A3402">
        <v>71959</v>
      </c>
      <c r="B3402">
        <v>28746</v>
      </c>
      <c r="C3402">
        <v>365</v>
      </c>
      <c r="D3402">
        <v>2</v>
      </c>
      <c r="E3402">
        <v>119.98</v>
      </c>
    </row>
    <row r="3403" spans="1:5" x14ac:dyDescent="0.3">
      <c r="A3403">
        <v>71988</v>
      </c>
      <c r="B3403">
        <v>28760</v>
      </c>
      <c r="C3403">
        <v>502</v>
      </c>
      <c r="D3403">
        <v>2</v>
      </c>
      <c r="E3403">
        <v>100</v>
      </c>
    </row>
    <row r="3404" spans="1:5" x14ac:dyDescent="0.3">
      <c r="A3404">
        <v>71989</v>
      </c>
      <c r="B3404">
        <v>28760</v>
      </c>
      <c r="C3404">
        <v>191</v>
      </c>
      <c r="D3404">
        <v>3</v>
      </c>
      <c r="E3404">
        <v>299.97000000000003</v>
      </c>
    </row>
    <row r="3405" spans="1:5" x14ac:dyDescent="0.3">
      <c r="A3405">
        <v>71990</v>
      </c>
      <c r="B3405">
        <v>28761</v>
      </c>
      <c r="C3405">
        <v>1014</v>
      </c>
      <c r="D3405">
        <v>3</v>
      </c>
      <c r="E3405">
        <v>149.94</v>
      </c>
    </row>
    <row r="3406" spans="1:5" x14ac:dyDescent="0.3">
      <c r="A3406">
        <v>71991</v>
      </c>
      <c r="B3406">
        <v>28761</v>
      </c>
      <c r="C3406">
        <v>627</v>
      </c>
      <c r="D3406">
        <v>3</v>
      </c>
      <c r="E3406">
        <v>119.97</v>
      </c>
    </row>
    <row r="3407" spans="1:5" x14ac:dyDescent="0.3">
      <c r="A3407">
        <v>71993</v>
      </c>
      <c r="B3407">
        <v>28763</v>
      </c>
      <c r="C3407">
        <v>502</v>
      </c>
      <c r="D3407">
        <v>5</v>
      </c>
      <c r="E3407">
        <v>250</v>
      </c>
    </row>
    <row r="3408" spans="1:5" x14ac:dyDescent="0.3">
      <c r="A3408">
        <v>71992</v>
      </c>
      <c r="B3408">
        <v>28763</v>
      </c>
      <c r="C3408">
        <v>957</v>
      </c>
      <c r="D3408">
        <v>1</v>
      </c>
      <c r="E3408">
        <v>299.98</v>
      </c>
    </row>
    <row r="3409" spans="1:5" x14ac:dyDescent="0.3">
      <c r="A3409">
        <v>72006</v>
      </c>
      <c r="B3409">
        <v>28771</v>
      </c>
      <c r="C3409">
        <v>502</v>
      </c>
      <c r="D3409">
        <v>5</v>
      </c>
      <c r="E3409">
        <v>250</v>
      </c>
    </row>
    <row r="3410" spans="1:5" x14ac:dyDescent="0.3">
      <c r="A3410">
        <v>72009</v>
      </c>
      <c r="B3410">
        <v>28772</v>
      </c>
      <c r="C3410">
        <v>778</v>
      </c>
      <c r="D3410">
        <v>5</v>
      </c>
      <c r="E3410">
        <v>124.95</v>
      </c>
    </row>
    <row r="3411" spans="1:5" x14ac:dyDescent="0.3">
      <c r="A3411">
        <v>72008</v>
      </c>
      <c r="B3411">
        <v>28772</v>
      </c>
      <c r="C3411">
        <v>191</v>
      </c>
      <c r="D3411">
        <v>4</v>
      </c>
      <c r="E3411">
        <v>399.96</v>
      </c>
    </row>
    <row r="3412" spans="1:5" x14ac:dyDescent="0.3">
      <c r="A3412">
        <v>72007</v>
      </c>
      <c r="B3412">
        <v>28772</v>
      </c>
      <c r="C3412">
        <v>502</v>
      </c>
      <c r="D3412">
        <v>4</v>
      </c>
      <c r="E3412">
        <v>200</v>
      </c>
    </row>
    <row r="3413" spans="1:5" x14ac:dyDescent="0.3">
      <c r="A3413">
        <v>72010</v>
      </c>
      <c r="B3413">
        <v>28773</v>
      </c>
      <c r="C3413">
        <v>502</v>
      </c>
      <c r="D3413">
        <v>1</v>
      </c>
      <c r="E3413">
        <v>50</v>
      </c>
    </row>
    <row r="3414" spans="1:5" x14ac:dyDescent="0.3">
      <c r="A3414">
        <v>72020</v>
      </c>
      <c r="B3414">
        <v>28779</v>
      </c>
      <c r="C3414">
        <v>403</v>
      </c>
      <c r="D3414">
        <v>1</v>
      </c>
      <c r="E3414">
        <v>129.99</v>
      </c>
    </row>
    <row r="3415" spans="1:5" x14ac:dyDescent="0.3">
      <c r="A3415">
        <v>72021</v>
      </c>
      <c r="B3415">
        <v>28780</v>
      </c>
      <c r="C3415">
        <v>403</v>
      </c>
      <c r="D3415">
        <v>1</v>
      </c>
      <c r="E3415">
        <v>129.99</v>
      </c>
    </row>
    <row r="3416" spans="1:5" x14ac:dyDescent="0.3">
      <c r="A3416">
        <v>72024</v>
      </c>
      <c r="B3416">
        <v>28781</v>
      </c>
      <c r="C3416">
        <v>1014</v>
      </c>
      <c r="D3416">
        <v>4</v>
      </c>
      <c r="E3416">
        <v>199.92</v>
      </c>
    </row>
    <row r="3417" spans="1:5" x14ac:dyDescent="0.3">
      <c r="A3417">
        <v>72025</v>
      </c>
      <c r="B3417">
        <v>28781</v>
      </c>
      <c r="C3417">
        <v>957</v>
      </c>
      <c r="D3417">
        <v>1</v>
      </c>
      <c r="E3417">
        <v>299.98</v>
      </c>
    </row>
    <row r="3418" spans="1:5" x14ac:dyDescent="0.3">
      <c r="A3418">
        <v>72022</v>
      </c>
      <c r="B3418">
        <v>28781</v>
      </c>
      <c r="C3418">
        <v>957</v>
      </c>
      <c r="D3418">
        <v>1</v>
      </c>
      <c r="E3418">
        <v>299.98</v>
      </c>
    </row>
    <row r="3419" spans="1:5" x14ac:dyDescent="0.3">
      <c r="A3419">
        <v>72026</v>
      </c>
      <c r="B3419">
        <v>28781</v>
      </c>
      <c r="C3419">
        <v>365</v>
      </c>
      <c r="D3419">
        <v>3</v>
      </c>
      <c r="E3419">
        <v>179.97</v>
      </c>
    </row>
    <row r="3420" spans="1:5" x14ac:dyDescent="0.3">
      <c r="A3420">
        <v>72023</v>
      </c>
      <c r="B3420">
        <v>28781</v>
      </c>
      <c r="C3420">
        <v>821</v>
      </c>
      <c r="D3420">
        <v>3</v>
      </c>
      <c r="E3420">
        <v>155.97</v>
      </c>
    </row>
    <row r="3421" spans="1:5" x14ac:dyDescent="0.3">
      <c r="A3421">
        <v>72030</v>
      </c>
      <c r="B3421">
        <v>28782</v>
      </c>
      <c r="C3421">
        <v>627</v>
      </c>
      <c r="D3421">
        <v>5</v>
      </c>
      <c r="E3421">
        <v>199.95</v>
      </c>
    </row>
    <row r="3422" spans="1:5" x14ac:dyDescent="0.3">
      <c r="A3422">
        <v>72027</v>
      </c>
      <c r="B3422">
        <v>28782</v>
      </c>
      <c r="C3422">
        <v>502</v>
      </c>
      <c r="D3422">
        <v>5</v>
      </c>
      <c r="E3422">
        <v>250</v>
      </c>
    </row>
    <row r="3423" spans="1:5" x14ac:dyDescent="0.3">
      <c r="A3423">
        <v>72029</v>
      </c>
      <c r="B3423">
        <v>28782</v>
      </c>
      <c r="C3423">
        <v>365</v>
      </c>
      <c r="D3423">
        <v>3</v>
      </c>
      <c r="E3423">
        <v>179.97</v>
      </c>
    </row>
    <row r="3424" spans="1:5" x14ac:dyDescent="0.3">
      <c r="A3424">
        <v>72028</v>
      </c>
      <c r="B3424">
        <v>28782</v>
      </c>
      <c r="C3424">
        <v>365</v>
      </c>
      <c r="D3424">
        <v>3</v>
      </c>
      <c r="E3424">
        <v>179.97</v>
      </c>
    </row>
    <row r="3425" spans="1:5" x14ac:dyDescent="0.3">
      <c r="A3425">
        <v>72032</v>
      </c>
      <c r="B3425">
        <v>28783</v>
      </c>
      <c r="C3425">
        <v>627</v>
      </c>
      <c r="D3425">
        <v>4</v>
      </c>
      <c r="E3425">
        <v>159.96</v>
      </c>
    </row>
    <row r="3426" spans="1:5" x14ac:dyDescent="0.3">
      <c r="A3426">
        <v>72031</v>
      </c>
      <c r="B3426">
        <v>28783</v>
      </c>
      <c r="C3426">
        <v>1014</v>
      </c>
      <c r="D3426">
        <v>3</v>
      </c>
      <c r="E3426">
        <v>149.94</v>
      </c>
    </row>
    <row r="3427" spans="1:5" x14ac:dyDescent="0.3">
      <c r="A3427">
        <v>72038</v>
      </c>
      <c r="B3427">
        <v>28785</v>
      </c>
      <c r="C3427">
        <v>1073</v>
      </c>
      <c r="D3427">
        <v>1</v>
      </c>
      <c r="E3427">
        <v>199.99</v>
      </c>
    </row>
    <row r="3428" spans="1:5" x14ac:dyDescent="0.3">
      <c r="A3428">
        <v>72042</v>
      </c>
      <c r="B3428">
        <v>28786</v>
      </c>
      <c r="C3428">
        <v>1073</v>
      </c>
      <c r="D3428">
        <v>1</v>
      </c>
      <c r="E3428">
        <v>199.99</v>
      </c>
    </row>
    <row r="3429" spans="1:5" x14ac:dyDescent="0.3">
      <c r="A3429">
        <v>72041</v>
      </c>
      <c r="B3429">
        <v>28786</v>
      </c>
      <c r="C3429">
        <v>565</v>
      </c>
      <c r="D3429">
        <v>4</v>
      </c>
      <c r="E3429">
        <v>280</v>
      </c>
    </row>
    <row r="3430" spans="1:5" x14ac:dyDescent="0.3">
      <c r="A3430">
        <v>72040</v>
      </c>
      <c r="B3430">
        <v>28786</v>
      </c>
      <c r="C3430">
        <v>502</v>
      </c>
      <c r="D3430">
        <v>4</v>
      </c>
      <c r="E3430">
        <v>200</v>
      </c>
    </row>
    <row r="3431" spans="1:5" x14ac:dyDescent="0.3">
      <c r="A3431">
        <v>72039</v>
      </c>
      <c r="B3431">
        <v>28786</v>
      </c>
      <c r="C3431">
        <v>1004</v>
      </c>
      <c r="D3431">
        <v>1</v>
      </c>
      <c r="E3431">
        <v>399.98</v>
      </c>
    </row>
    <row r="3432" spans="1:5" x14ac:dyDescent="0.3">
      <c r="A3432">
        <v>72043</v>
      </c>
      <c r="B3432">
        <v>28787</v>
      </c>
      <c r="C3432">
        <v>365</v>
      </c>
      <c r="D3432">
        <v>1</v>
      </c>
      <c r="E3432">
        <v>59.99</v>
      </c>
    </row>
    <row r="3433" spans="1:5" x14ac:dyDescent="0.3">
      <c r="A3433">
        <v>72045</v>
      </c>
      <c r="B3433">
        <v>28787</v>
      </c>
      <c r="C3433">
        <v>957</v>
      </c>
      <c r="D3433">
        <v>1</v>
      </c>
      <c r="E3433">
        <v>299.98</v>
      </c>
    </row>
    <row r="3434" spans="1:5" x14ac:dyDescent="0.3">
      <c r="A3434">
        <v>72044</v>
      </c>
      <c r="B3434">
        <v>28787</v>
      </c>
      <c r="C3434">
        <v>1004</v>
      </c>
      <c r="D3434">
        <v>1</v>
      </c>
      <c r="E3434">
        <v>399.98</v>
      </c>
    </row>
    <row r="3435" spans="1:5" x14ac:dyDescent="0.3">
      <c r="A3435">
        <v>72077</v>
      </c>
      <c r="B3435">
        <v>28802</v>
      </c>
      <c r="C3435">
        <v>627</v>
      </c>
      <c r="D3435">
        <v>3</v>
      </c>
      <c r="E3435">
        <v>119.97</v>
      </c>
    </row>
    <row r="3436" spans="1:5" x14ac:dyDescent="0.3">
      <c r="A3436">
        <v>72078</v>
      </c>
      <c r="B3436">
        <v>28802</v>
      </c>
      <c r="C3436">
        <v>1014</v>
      </c>
      <c r="D3436">
        <v>1</v>
      </c>
      <c r="E3436">
        <v>49.98</v>
      </c>
    </row>
    <row r="3437" spans="1:5" x14ac:dyDescent="0.3">
      <c r="A3437">
        <v>72076</v>
      </c>
      <c r="B3437">
        <v>28802</v>
      </c>
      <c r="C3437">
        <v>1014</v>
      </c>
      <c r="D3437">
        <v>3</v>
      </c>
      <c r="E3437">
        <v>149.94</v>
      </c>
    </row>
    <row r="3438" spans="1:5" x14ac:dyDescent="0.3">
      <c r="A3438">
        <v>72102</v>
      </c>
      <c r="B3438">
        <v>28814</v>
      </c>
      <c r="C3438">
        <v>403</v>
      </c>
      <c r="D3438">
        <v>1</v>
      </c>
      <c r="E3438">
        <v>129.99</v>
      </c>
    </row>
    <row r="3439" spans="1:5" x14ac:dyDescent="0.3">
      <c r="A3439">
        <v>72100</v>
      </c>
      <c r="B3439">
        <v>28814</v>
      </c>
      <c r="C3439">
        <v>502</v>
      </c>
      <c r="D3439">
        <v>2</v>
      </c>
      <c r="E3439">
        <v>100</v>
      </c>
    </row>
    <row r="3440" spans="1:5" x14ac:dyDescent="0.3">
      <c r="A3440">
        <v>72101</v>
      </c>
      <c r="B3440">
        <v>28814</v>
      </c>
      <c r="C3440">
        <v>1004</v>
      </c>
      <c r="D3440">
        <v>1</v>
      </c>
      <c r="E3440">
        <v>399.98</v>
      </c>
    </row>
    <row r="3441" spans="1:5" x14ac:dyDescent="0.3">
      <c r="A3441">
        <v>72104</v>
      </c>
      <c r="B3441">
        <v>28816</v>
      </c>
      <c r="C3441">
        <v>403</v>
      </c>
      <c r="D3441">
        <v>1</v>
      </c>
      <c r="E3441">
        <v>129.99</v>
      </c>
    </row>
    <row r="3442" spans="1:5" x14ac:dyDescent="0.3">
      <c r="A3442">
        <v>72103</v>
      </c>
      <c r="B3442">
        <v>28816</v>
      </c>
      <c r="C3442">
        <v>403</v>
      </c>
      <c r="D3442">
        <v>1</v>
      </c>
      <c r="E3442">
        <v>129.99</v>
      </c>
    </row>
    <row r="3443" spans="1:5" x14ac:dyDescent="0.3">
      <c r="A3443">
        <v>72106</v>
      </c>
      <c r="B3443">
        <v>28816</v>
      </c>
      <c r="C3443">
        <v>957</v>
      </c>
      <c r="D3443">
        <v>1</v>
      </c>
      <c r="E3443">
        <v>299.98</v>
      </c>
    </row>
    <row r="3444" spans="1:5" x14ac:dyDescent="0.3">
      <c r="A3444">
        <v>72105</v>
      </c>
      <c r="B3444">
        <v>28816</v>
      </c>
      <c r="C3444">
        <v>191</v>
      </c>
      <c r="D3444">
        <v>4</v>
      </c>
      <c r="E3444">
        <v>399.96</v>
      </c>
    </row>
    <row r="3445" spans="1:5" x14ac:dyDescent="0.3">
      <c r="A3445">
        <v>72186</v>
      </c>
      <c r="B3445">
        <v>28849</v>
      </c>
      <c r="C3445">
        <v>1073</v>
      </c>
      <c r="D3445">
        <v>1</v>
      </c>
      <c r="E3445">
        <v>199.99</v>
      </c>
    </row>
    <row r="3446" spans="1:5" x14ac:dyDescent="0.3">
      <c r="A3446">
        <v>72184</v>
      </c>
      <c r="B3446">
        <v>28849</v>
      </c>
      <c r="C3446">
        <v>1014</v>
      </c>
      <c r="D3446">
        <v>5</v>
      </c>
      <c r="E3446">
        <v>249.9</v>
      </c>
    </row>
    <row r="3447" spans="1:5" x14ac:dyDescent="0.3">
      <c r="A3447">
        <v>72183</v>
      </c>
      <c r="B3447">
        <v>28849</v>
      </c>
      <c r="C3447">
        <v>1014</v>
      </c>
      <c r="D3447">
        <v>3</v>
      </c>
      <c r="E3447">
        <v>149.94</v>
      </c>
    </row>
    <row r="3448" spans="1:5" x14ac:dyDescent="0.3">
      <c r="A3448">
        <v>72185</v>
      </c>
      <c r="B3448">
        <v>28849</v>
      </c>
      <c r="C3448">
        <v>403</v>
      </c>
      <c r="D3448">
        <v>1</v>
      </c>
      <c r="E3448">
        <v>129.99</v>
      </c>
    </row>
    <row r="3449" spans="1:5" x14ac:dyDescent="0.3">
      <c r="A3449">
        <v>72187</v>
      </c>
      <c r="B3449">
        <v>28849</v>
      </c>
      <c r="C3449">
        <v>502</v>
      </c>
      <c r="D3449">
        <v>5</v>
      </c>
      <c r="E3449">
        <v>250</v>
      </c>
    </row>
    <row r="3450" spans="1:5" x14ac:dyDescent="0.3">
      <c r="A3450">
        <v>72188</v>
      </c>
      <c r="B3450">
        <v>28850</v>
      </c>
      <c r="C3450">
        <v>957</v>
      </c>
      <c r="D3450">
        <v>1</v>
      </c>
      <c r="E3450">
        <v>299.98</v>
      </c>
    </row>
    <row r="3451" spans="1:5" x14ac:dyDescent="0.3">
      <c r="A3451">
        <v>72192</v>
      </c>
      <c r="B3451">
        <v>28851</v>
      </c>
      <c r="C3451">
        <v>502</v>
      </c>
      <c r="D3451">
        <v>3</v>
      </c>
      <c r="E3451">
        <v>150</v>
      </c>
    </row>
    <row r="3452" spans="1:5" x14ac:dyDescent="0.3">
      <c r="A3452">
        <v>72191</v>
      </c>
      <c r="B3452">
        <v>28851</v>
      </c>
      <c r="C3452">
        <v>627</v>
      </c>
      <c r="D3452">
        <v>4</v>
      </c>
      <c r="E3452">
        <v>159.96</v>
      </c>
    </row>
    <row r="3453" spans="1:5" x14ac:dyDescent="0.3">
      <c r="A3453">
        <v>72189</v>
      </c>
      <c r="B3453">
        <v>28851</v>
      </c>
      <c r="C3453">
        <v>502</v>
      </c>
      <c r="D3453">
        <v>5</v>
      </c>
      <c r="E3453">
        <v>250</v>
      </c>
    </row>
    <row r="3454" spans="1:5" x14ac:dyDescent="0.3">
      <c r="A3454">
        <v>72190</v>
      </c>
      <c r="B3454">
        <v>28851</v>
      </c>
      <c r="C3454">
        <v>1073</v>
      </c>
      <c r="D3454">
        <v>1</v>
      </c>
      <c r="E3454">
        <v>199.99</v>
      </c>
    </row>
    <row r="3455" spans="1:5" x14ac:dyDescent="0.3">
      <c r="A3455">
        <v>72195</v>
      </c>
      <c r="B3455">
        <v>28852</v>
      </c>
      <c r="C3455">
        <v>191</v>
      </c>
      <c r="D3455">
        <v>5</v>
      </c>
      <c r="E3455">
        <v>499.95</v>
      </c>
    </row>
    <row r="3456" spans="1:5" x14ac:dyDescent="0.3">
      <c r="A3456">
        <v>72194</v>
      </c>
      <c r="B3456">
        <v>28852</v>
      </c>
      <c r="C3456">
        <v>502</v>
      </c>
      <c r="D3456">
        <v>5</v>
      </c>
      <c r="E3456">
        <v>250</v>
      </c>
    </row>
    <row r="3457" spans="1:5" x14ac:dyDescent="0.3">
      <c r="A3457">
        <v>72196</v>
      </c>
      <c r="B3457">
        <v>28852</v>
      </c>
      <c r="C3457">
        <v>1073</v>
      </c>
      <c r="D3457">
        <v>1</v>
      </c>
      <c r="E3457">
        <v>199.99</v>
      </c>
    </row>
    <row r="3458" spans="1:5" x14ac:dyDescent="0.3">
      <c r="A3458">
        <v>72193</v>
      </c>
      <c r="B3458">
        <v>28852</v>
      </c>
      <c r="C3458">
        <v>1073</v>
      </c>
      <c r="D3458">
        <v>1</v>
      </c>
      <c r="E3458">
        <v>199.99</v>
      </c>
    </row>
    <row r="3459" spans="1:5" x14ac:dyDescent="0.3">
      <c r="A3459">
        <v>72198</v>
      </c>
      <c r="B3459">
        <v>28853</v>
      </c>
      <c r="C3459">
        <v>1073</v>
      </c>
      <c r="D3459">
        <v>1</v>
      </c>
      <c r="E3459">
        <v>199.99</v>
      </c>
    </row>
    <row r="3460" spans="1:5" x14ac:dyDescent="0.3">
      <c r="A3460">
        <v>72197</v>
      </c>
      <c r="B3460">
        <v>28853</v>
      </c>
      <c r="C3460">
        <v>502</v>
      </c>
      <c r="D3460">
        <v>1</v>
      </c>
      <c r="E3460">
        <v>50</v>
      </c>
    </row>
    <row r="3461" spans="1:5" x14ac:dyDescent="0.3">
      <c r="A3461">
        <v>72209</v>
      </c>
      <c r="B3461">
        <v>28857</v>
      </c>
      <c r="C3461">
        <v>502</v>
      </c>
      <c r="D3461">
        <v>4</v>
      </c>
      <c r="E3461">
        <v>200</v>
      </c>
    </row>
    <row r="3462" spans="1:5" x14ac:dyDescent="0.3">
      <c r="A3462">
        <v>72208</v>
      </c>
      <c r="B3462">
        <v>28857</v>
      </c>
      <c r="C3462">
        <v>1004</v>
      </c>
      <c r="D3462">
        <v>1</v>
      </c>
      <c r="E3462">
        <v>399.98</v>
      </c>
    </row>
    <row r="3463" spans="1:5" x14ac:dyDescent="0.3">
      <c r="A3463">
        <v>72223</v>
      </c>
      <c r="B3463">
        <v>28862</v>
      </c>
      <c r="C3463">
        <v>1014</v>
      </c>
      <c r="D3463">
        <v>3</v>
      </c>
      <c r="E3463">
        <v>149.94</v>
      </c>
    </row>
    <row r="3464" spans="1:5" x14ac:dyDescent="0.3">
      <c r="A3464">
        <v>72221</v>
      </c>
      <c r="B3464">
        <v>28862</v>
      </c>
      <c r="C3464">
        <v>1014</v>
      </c>
      <c r="D3464">
        <v>5</v>
      </c>
      <c r="E3464">
        <v>249.9</v>
      </c>
    </row>
    <row r="3465" spans="1:5" x14ac:dyDescent="0.3">
      <c r="A3465">
        <v>72220</v>
      </c>
      <c r="B3465">
        <v>28862</v>
      </c>
      <c r="C3465">
        <v>403</v>
      </c>
      <c r="D3465">
        <v>1</v>
      </c>
      <c r="E3465">
        <v>129.99</v>
      </c>
    </row>
    <row r="3466" spans="1:5" x14ac:dyDescent="0.3">
      <c r="A3466">
        <v>72224</v>
      </c>
      <c r="B3466">
        <v>28862</v>
      </c>
      <c r="C3466">
        <v>365</v>
      </c>
      <c r="D3466">
        <v>2</v>
      </c>
      <c r="E3466">
        <v>119.98</v>
      </c>
    </row>
    <row r="3467" spans="1:5" x14ac:dyDescent="0.3">
      <c r="A3467">
        <v>72222</v>
      </c>
      <c r="B3467">
        <v>28862</v>
      </c>
      <c r="C3467">
        <v>365</v>
      </c>
      <c r="D3467">
        <v>4</v>
      </c>
      <c r="E3467">
        <v>239.96</v>
      </c>
    </row>
    <row r="3468" spans="1:5" x14ac:dyDescent="0.3">
      <c r="A3468">
        <v>72236</v>
      </c>
      <c r="B3468">
        <v>28867</v>
      </c>
      <c r="C3468">
        <v>1014</v>
      </c>
      <c r="D3468">
        <v>3</v>
      </c>
      <c r="E3468">
        <v>149.94</v>
      </c>
    </row>
    <row r="3469" spans="1:5" x14ac:dyDescent="0.3">
      <c r="A3469">
        <v>72237</v>
      </c>
      <c r="B3469">
        <v>28867</v>
      </c>
      <c r="C3469">
        <v>627</v>
      </c>
      <c r="D3469">
        <v>1</v>
      </c>
      <c r="E3469">
        <v>39.99</v>
      </c>
    </row>
    <row r="3470" spans="1:5" x14ac:dyDescent="0.3">
      <c r="A3470">
        <v>72235</v>
      </c>
      <c r="B3470">
        <v>28867</v>
      </c>
      <c r="C3470">
        <v>957</v>
      </c>
      <c r="D3470">
        <v>1</v>
      </c>
      <c r="E3470">
        <v>299.98</v>
      </c>
    </row>
    <row r="3471" spans="1:5" x14ac:dyDescent="0.3">
      <c r="A3471">
        <v>72374</v>
      </c>
      <c r="B3471">
        <v>28923</v>
      </c>
      <c r="C3471">
        <v>403</v>
      </c>
      <c r="D3471">
        <v>1</v>
      </c>
      <c r="E3471">
        <v>129.99</v>
      </c>
    </row>
    <row r="3472" spans="1:5" x14ac:dyDescent="0.3">
      <c r="A3472">
        <v>72377</v>
      </c>
      <c r="B3472">
        <v>28923</v>
      </c>
      <c r="C3472">
        <v>365</v>
      </c>
      <c r="D3472">
        <v>1</v>
      </c>
      <c r="E3472">
        <v>59.99</v>
      </c>
    </row>
    <row r="3473" spans="1:5" x14ac:dyDescent="0.3">
      <c r="A3473">
        <v>72376</v>
      </c>
      <c r="B3473">
        <v>28923</v>
      </c>
      <c r="C3473">
        <v>365</v>
      </c>
      <c r="D3473">
        <v>1</v>
      </c>
      <c r="E3473">
        <v>59.99</v>
      </c>
    </row>
    <row r="3474" spans="1:5" x14ac:dyDescent="0.3">
      <c r="A3474">
        <v>72375</v>
      </c>
      <c r="B3474">
        <v>28923</v>
      </c>
      <c r="C3474">
        <v>191</v>
      </c>
      <c r="D3474">
        <v>3</v>
      </c>
      <c r="E3474">
        <v>299.97000000000003</v>
      </c>
    </row>
    <row r="3475" spans="1:5" x14ac:dyDescent="0.3">
      <c r="A3475">
        <v>72380</v>
      </c>
      <c r="B3475">
        <v>28926</v>
      </c>
      <c r="C3475">
        <v>565</v>
      </c>
      <c r="D3475">
        <v>4</v>
      </c>
      <c r="E3475">
        <v>280</v>
      </c>
    </row>
    <row r="3476" spans="1:5" x14ac:dyDescent="0.3">
      <c r="A3476">
        <v>72389</v>
      </c>
      <c r="B3476">
        <v>28929</v>
      </c>
      <c r="C3476">
        <v>1014</v>
      </c>
      <c r="D3476">
        <v>3</v>
      </c>
      <c r="E3476">
        <v>149.94</v>
      </c>
    </row>
    <row r="3477" spans="1:5" x14ac:dyDescent="0.3">
      <c r="A3477">
        <v>72396</v>
      </c>
      <c r="B3477">
        <v>28932</v>
      </c>
      <c r="C3477">
        <v>403</v>
      </c>
      <c r="D3477">
        <v>1</v>
      </c>
      <c r="E3477">
        <v>129.99</v>
      </c>
    </row>
    <row r="3478" spans="1:5" x14ac:dyDescent="0.3">
      <c r="A3478">
        <v>72392</v>
      </c>
      <c r="B3478">
        <v>28932</v>
      </c>
      <c r="C3478">
        <v>403</v>
      </c>
      <c r="D3478">
        <v>1</v>
      </c>
      <c r="E3478">
        <v>129.99</v>
      </c>
    </row>
    <row r="3479" spans="1:5" x14ac:dyDescent="0.3">
      <c r="A3479">
        <v>72394</v>
      </c>
      <c r="B3479">
        <v>28932</v>
      </c>
      <c r="C3479">
        <v>502</v>
      </c>
      <c r="D3479">
        <v>1</v>
      </c>
      <c r="E3479">
        <v>50</v>
      </c>
    </row>
    <row r="3480" spans="1:5" x14ac:dyDescent="0.3">
      <c r="A3480">
        <v>72395</v>
      </c>
      <c r="B3480">
        <v>28932</v>
      </c>
      <c r="C3480">
        <v>502</v>
      </c>
      <c r="D3480">
        <v>2</v>
      </c>
      <c r="E3480">
        <v>100</v>
      </c>
    </row>
    <row r="3481" spans="1:5" x14ac:dyDescent="0.3">
      <c r="A3481">
        <v>72393</v>
      </c>
      <c r="B3481">
        <v>28932</v>
      </c>
      <c r="C3481">
        <v>1073</v>
      </c>
      <c r="D3481">
        <v>1</v>
      </c>
      <c r="E3481">
        <v>199.99</v>
      </c>
    </row>
    <row r="3482" spans="1:5" x14ac:dyDescent="0.3">
      <c r="A3482">
        <v>72397</v>
      </c>
      <c r="B3482">
        <v>28933</v>
      </c>
      <c r="C3482">
        <v>403</v>
      </c>
      <c r="D3482">
        <v>1</v>
      </c>
      <c r="E3482">
        <v>129.99</v>
      </c>
    </row>
    <row r="3483" spans="1:5" x14ac:dyDescent="0.3">
      <c r="A3483">
        <v>72434</v>
      </c>
      <c r="B3483">
        <v>28947</v>
      </c>
      <c r="C3483">
        <v>957</v>
      </c>
      <c r="D3483">
        <v>1</v>
      </c>
      <c r="E3483">
        <v>299.98</v>
      </c>
    </row>
    <row r="3484" spans="1:5" x14ac:dyDescent="0.3">
      <c r="A3484">
        <v>72433</v>
      </c>
      <c r="B3484">
        <v>28947</v>
      </c>
      <c r="C3484">
        <v>957</v>
      </c>
      <c r="D3484">
        <v>1</v>
      </c>
      <c r="E3484">
        <v>299.98</v>
      </c>
    </row>
    <row r="3485" spans="1:5" x14ac:dyDescent="0.3">
      <c r="A3485">
        <v>72448</v>
      </c>
      <c r="B3485">
        <v>28953</v>
      </c>
      <c r="C3485">
        <v>365</v>
      </c>
      <c r="D3485">
        <v>4</v>
      </c>
      <c r="E3485">
        <v>239.96</v>
      </c>
    </row>
    <row r="3486" spans="1:5" x14ac:dyDescent="0.3">
      <c r="A3486">
        <v>72449</v>
      </c>
      <c r="B3486">
        <v>28953</v>
      </c>
      <c r="C3486">
        <v>1014</v>
      </c>
      <c r="D3486">
        <v>5</v>
      </c>
      <c r="E3486">
        <v>249.9</v>
      </c>
    </row>
    <row r="3487" spans="1:5" x14ac:dyDescent="0.3">
      <c r="A3487">
        <v>72468</v>
      </c>
      <c r="B3487">
        <v>28963</v>
      </c>
      <c r="C3487">
        <v>957</v>
      </c>
      <c r="D3487">
        <v>1</v>
      </c>
      <c r="E3487">
        <v>299.98</v>
      </c>
    </row>
    <row r="3488" spans="1:5" x14ac:dyDescent="0.3">
      <c r="A3488">
        <v>72465</v>
      </c>
      <c r="B3488">
        <v>28963</v>
      </c>
      <c r="C3488">
        <v>502</v>
      </c>
      <c r="D3488">
        <v>2</v>
      </c>
      <c r="E3488">
        <v>100</v>
      </c>
    </row>
    <row r="3489" spans="1:5" x14ac:dyDescent="0.3">
      <c r="A3489">
        <v>72466</v>
      </c>
      <c r="B3489">
        <v>28963</v>
      </c>
      <c r="C3489">
        <v>627</v>
      </c>
      <c r="D3489">
        <v>4</v>
      </c>
      <c r="E3489">
        <v>159.96</v>
      </c>
    </row>
    <row r="3490" spans="1:5" x14ac:dyDescent="0.3">
      <c r="A3490">
        <v>72467</v>
      </c>
      <c r="B3490">
        <v>28963</v>
      </c>
      <c r="C3490">
        <v>116</v>
      </c>
      <c r="D3490">
        <v>5</v>
      </c>
      <c r="E3490">
        <v>224.95</v>
      </c>
    </row>
    <row r="3491" spans="1:5" x14ac:dyDescent="0.3">
      <c r="A3491">
        <v>72535</v>
      </c>
      <c r="B3491">
        <v>28990</v>
      </c>
      <c r="C3491">
        <v>403</v>
      </c>
      <c r="D3491">
        <v>1</v>
      </c>
      <c r="E3491">
        <v>129.99</v>
      </c>
    </row>
    <row r="3492" spans="1:5" x14ac:dyDescent="0.3">
      <c r="A3492">
        <v>72536</v>
      </c>
      <c r="B3492">
        <v>28990</v>
      </c>
      <c r="C3492">
        <v>502</v>
      </c>
      <c r="D3492">
        <v>3</v>
      </c>
      <c r="E3492">
        <v>150</v>
      </c>
    </row>
    <row r="3493" spans="1:5" x14ac:dyDescent="0.3">
      <c r="A3493">
        <v>72534</v>
      </c>
      <c r="B3493">
        <v>28990</v>
      </c>
      <c r="C3493">
        <v>1004</v>
      </c>
      <c r="D3493">
        <v>1</v>
      </c>
      <c r="E3493">
        <v>399.98</v>
      </c>
    </row>
    <row r="3494" spans="1:5" x14ac:dyDescent="0.3">
      <c r="A3494">
        <v>72538</v>
      </c>
      <c r="B3494">
        <v>28991</v>
      </c>
      <c r="C3494">
        <v>957</v>
      </c>
      <c r="D3494">
        <v>1</v>
      </c>
      <c r="E3494">
        <v>299.98</v>
      </c>
    </row>
    <row r="3495" spans="1:5" x14ac:dyDescent="0.3">
      <c r="A3495">
        <v>72540</v>
      </c>
      <c r="B3495">
        <v>28991</v>
      </c>
      <c r="C3495">
        <v>897</v>
      </c>
      <c r="D3495">
        <v>2</v>
      </c>
      <c r="E3495">
        <v>49.98</v>
      </c>
    </row>
    <row r="3496" spans="1:5" x14ac:dyDescent="0.3">
      <c r="A3496">
        <v>72537</v>
      </c>
      <c r="B3496">
        <v>28991</v>
      </c>
      <c r="C3496">
        <v>365</v>
      </c>
      <c r="D3496">
        <v>4</v>
      </c>
      <c r="E3496">
        <v>239.96</v>
      </c>
    </row>
    <row r="3497" spans="1:5" x14ac:dyDescent="0.3">
      <c r="A3497">
        <v>72539</v>
      </c>
      <c r="B3497">
        <v>28991</v>
      </c>
      <c r="C3497">
        <v>627</v>
      </c>
      <c r="D3497">
        <v>4</v>
      </c>
      <c r="E3497">
        <v>159.96</v>
      </c>
    </row>
    <row r="3498" spans="1:5" x14ac:dyDescent="0.3">
      <c r="A3498">
        <v>72541</v>
      </c>
      <c r="B3498">
        <v>28991</v>
      </c>
      <c r="C3498">
        <v>1004</v>
      </c>
      <c r="D3498">
        <v>1</v>
      </c>
      <c r="E3498">
        <v>399.98</v>
      </c>
    </row>
    <row r="3499" spans="1:5" x14ac:dyDescent="0.3">
      <c r="A3499">
        <v>72544</v>
      </c>
      <c r="B3499">
        <v>28992</v>
      </c>
      <c r="C3499">
        <v>627</v>
      </c>
      <c r="D3499">
        <v>3</v>
      </c>
      <c r="E3499">
        <v>119.97</v>
      </c>
    </row>
    <row r="3500" spans="1:5" x14ac:dyDescent="0.3">
      <c r="A3500">
        <v>72542</v>
      </c>
      <c r="B3500">
        <v>28992</v>
      </c>
      <c r="C3500">
        <v>1073</v>
      </c>
      <c r="D3500">
        <v>1</v>
      </c>
      <c r="E3500">
        <v>199.99</v>
      </c>
    </row>
    <row r="3501" spans="1:5" x14ac:dyDescent="0.3">
      <c r="A3501">
        <v>72543</v>
      </c>
      <c r="B3501">
        <v>28992</v>
      </c>
      <c r="C3501">
        <v>957</v>
      </c>
      <c r="D3501">
        <v>1</v>
      </c>
      <c r="E3501">
        <v>299.98</v>
      </c>
    </row>
    <row r="3502" spans="1:5" x14ac:dyDescent="0.3">
      <c r="A3502">
        <v>72551</v>
      </c>
      <c r="B3502">
        <v>28997</v>
      </c>
      <c r="C3502">
        <v>116</v>
      </c>
      <c r="D3502">
        <v>1</v>
      </c>
      <c r="E3502">
        <v>44.99</v>
      </c>
    </row>
    <row r="3503" spans="1:5" x14ac:dyDescent="0.3">
      <c r="A3503">
        <v>72550</v>
      </c>
      <c r="B3503">
        <v>28997</v>
      </c>
      <c r="C3503">
        <v>403</v>
      </c>
      <c r="D3503">
        <v>1</v>
      </c>
      <c r="E3503">
        <v>129.99</v>
      </c>
    </row>
    <row r="3504" spans="1:5" x14ac:dyDescent="0.3">
      <c r="A3504">
        <v>72554</v>
      </c>
      <c r="B3504">
        <v>28997</v>
      </c>
      <c r="C3504">
        <v>627</v>
      </c>
      <c r="D3504">
        <v>1</v>
      </c>
      <c r="E3504">
        <v>39.99</v>
      </c>
    </row>
    <row r="3505" spans="1:5" x14ac:dyDescent="0.3">
      <c r="A3505">
        <v>72553</v>
      </c>
      <c r="B3505">
        <v>28997</v>
      </c>
      <c r="C3505">
        <v>957</v>
      </c>
      <c r="D3505">
        <v>1</v>
      </c>
      <c r="E3505">
        <v>299.98</v>
      </c>
    </row>
    <row r="3506" spans="1:5" x14ac:dyDescent="0.3">
      <c r="A3506">
        <v>72552</v>
      </c>
      <c r="B3506">
        <v>28997</v>
      </c>
      <c r="C3506">
        <v>1004</v>
      </c>
      <c r="D3506">
        <v>1</v>
      </c>
      <c r="E3506">
        <v>399.98</v>
      </c>
    </row>
    <row r="3507" spans="1:5" x14ac:dyDescent="0.3">
      <c r="A3507">
        <v>72555</v>
      </c>
      <c r="B3507">
        <v>28998</v>
      </c>
      <c r="C3507">
        <v>365</v>
      </c>
      <c r="D3507">
        <v>2</v>
      </c>
      <c r="E3507">
        <v>119.98</v>
      </c>
    </row>
    <row r="3508" spans="1:5" x14ac:dyDescent="0.3">
      <c r="A3508">
        <v>72558</v>
      </c>
      <c r="B3508">
        <v>28998</v>
      </c>
      <c r="C3508">
        <v>828</v>
      </c>
      <c r="D3508">
        <v>5</v>
      </c>
      <c r="E3508">
        <v>159.94999999999999</v>
      </c>
    </row>
    <row r="3509" spans="1:5" x14ac:dyDescent="0.3">
      <c r="A3509">
        <v>72559</v>
      </c>
      <c r="B3509">
        <v>28998</v>
      </c>
      <c r="C3509">
        <v>1004</v>
      </c>
      <c r="D3509">
        <v>1</v>
      </c>
      <c r="E3509">
        <v>399.98</v>
      </c>
    </row>
    <row r="3510" spans="1:5" x14ac:dyDescent="0.3">
      <c r="A3510">
        <v>72557</v>
      </c>
      <c r="B3510">
        <v>28998</v>
      </c>
      <c r="C3510">
        <v>1004</v>
      </c>
      <c r="D3510">
        <v>1</v>
      </c>
      <c r="E3510">
        <v>399.98</v>
      </c>
    </row>
    <row r="3511" spans="1:5" x14ac:dyDescent="0.3">
      <c r="A3511">
        <v>72556</v>
      </c>
      <c r="B3511">
        <v>28998</v>
      </c>
      <c r="C3511">
        <v>1004</v>
      </c>
      <c r="D3511">
        <v>1</v>
      </c>
      <c r="E3511">
        <v>399.98</v>
      </c>
    </row>
    <row r="3512" spans="1:5" x14ac:dyDescent="0.3">
      <c r="A3512">
        <v>72595</v>
      </c>
      <c r="B3512">
        <v>29013</v>
      </c>
      <c r="C3512">
        <v>403</v>
      </c>
      <c r="D3512">
        <v>1</v>
      </c>
      <c r="E3512">
        <v>129.99</v>
      </c>
    </row>
    <row r="3513" spans="1:5" x14ac:dyDescent="0.3">
      <c r="A3513">
        <v>72596</v>
      </c>
      <c r="B3513">
        <v>29013</v>
      </c>
      <c r="C3513">
        <v>1004</v>
      </c>
      <c r="D3513">
        <v>1</v>
      </c>
      <c r="E3513">
        <v>399.98</v>
      </c>
    </row>
    <row r="3514" spans="1:5" x14ac:dyDescent="0.3">
      <c r="A3514">
        <v>72599</v>
      </c>
      <c r="B3514">
        <v>29014</v>
      </c>
      <c r="C3514">
        <v>957</v>
      </c>
      <c r="D3514">
        <v>1</v>
      </c>
      <c r="E3514">
        <v>299.98</v>
      </c>
    </row>
    <row r="3515" spans="1:5" x14ac:dyDescent="0.3">
      <c r="A3515">
        <v>72597</v>
      </c>
      <c r="B3515">
        <v>29014</v>
      </c>
      <c r="C3515">
        <v>957</v>
      </c>
      <c r="D3515">
        <v>1</v>
      </c>
      <c r="E3515">
        <v>299.98</v>
      </c>
    </row>
    <row r="3516" spans="1:5" x14ac:dyDescent="0.3">
      <c r="A3516">
        <v>72598</v>
      </c>
      <c r="B3516">
        <v>29014</v>
      </c>
      <c r="C3516">
        <v>502</v>
      </c>
      <c r="D3516">
        <v>5</v>
      </c>
      <c r="E3516">
        <v>250</v>
      </c>
    </row>
    <row r="3517" spans="1:5" x14ac:dyDescent="0.3">
      <c r="A3517">
        <v>72600</v>
      </c>
      <c r="B3517">
        <v>29014</v>
      </c>
      <c r="C3517">
        <v>1014</v>
      </c>
      <c r="D3517">
        <v>5</v>
      </c>
      <c r="E3517">
        <v>249.9</v>
      </c>
    </row>
    <row r="3518" spans="1:5" x14ac:dyDescent="0.3">
      <c r="A3518">
        <v>72676</v>
      </c>
      <c r="B3518">
        <v>29046</v>
      </c>
      <c r="C3518">
        <v>403</v>
      </c>
      <c r="D3518">
        <v>1</v>
      </c>
      <c r="E3518">
        <v>129.99</v>
      </c>
    </row>
    <row r="3519" spans="1:5" x14ac:dyDescent="0.3">
      <c r="A3519">
        <v>72675</v>
      </c>
      <c r="B3519">
        <v>29046</v>
      </c>
      <c r="C3519">
        <v>403</v>
      </c>
      <c r="D3519">
        <v>1</v>
      </c>
      <c r="E3519">
        <v>129.99</v>
      </c>
    </row>
    <row r="3520" spans="1:5" x14ac:dyDescent="0.3">
      <c r="A3520">
        <v>72674</v>
      </c>
      <c r="B3520">
        <v>29046</v>
      </c>
      <c r="C3520">
        <v>627</v>
      </c>
      <c r="D3520">
        <v>2</v>
      </c>
      <c r="E3520">
        <v>79.98</v>
      </c>
    </row>
    <row r="3521" spans="1:5" x14ac:dyDescent="0.3">
      <c r="A3521">
        <v>72679</v>
      </c>
      <c r="B3521">
        <v>29047</v>
      </c>
      <c r="C3521">
        <v>1014</v>
      </c>
      <c r="D3521">
        <v>2</v>
      </c>
      <c r="E3521">
        <v>99.96</v>
      </c>
    </row>
    <row r="3522" spans="1:5" x14ac:dyDescent="0.3">
      <c r="A3522">
        <v>72681</v>
      </c>
      <c r="B3522">
        <v>29047</v>
      </c>
      <c r="C3522">
        <v>403</v>
      </c>
      <c r="D3522">
        <v>1</v>
      </c>
      <c r="E3522">
        <v>129.99</v>
      </c>
    </row>
    <row r="3523" spans="1:5" x14ac:dyDescent="0.3">
      <c r="A3523">
        <v>72677</v>
      </c>
      <c r="B3523">
        <v>29047</v>
      </c>
      <c r="C3523">
        <v>365</v>
      </c>
      <c r="D3523">
        <v>4</v>
      </c>
      <c r="E3523">
        <v>239.96</v>
      </c>
    </row>
    <row r="3524" spans="1:5" x14ac:dyDescent="0.3">
      <c r="A3524">
        <v>72678</v>
      </c>
      <c r="B3524">
        <v>29047</v>
      </c>
      <c r="C3524">
        <v>564</v>
      </c>
      <c r="D3524">
        <v>4</v>
      </c>
      <c r="E3524">
        <v>120</v>
      </c>
    </row>
    <row r="3525" spans="1:5" x14ac:dyDescent="0.3">
      <c r="A3525">
        <v>72680</v>
      </c>
      <c r="B3525">
        <v>29047</v>
      </c>
      <c r="C3525">
        <v>1004</v>
      </c>
      <c r="D3525">
        <v>1</v>
      </c>
      <c r="E3525">
        <v>399.98</v>
      </c>
    </row>
    <row r="3526" spans="1:5" x14ac:dyDescent="0.3">
      <c r="A3526">
        <v>72761</v>
      </c>
      <c r="B3526">
        <v>29082</v>
      </c>
      <c r="C3526">
        <v>627</v>
      </c>
      <c r="D3526">
        <v>4</v>
      </c>
      <c r="E3526">
        <v>159.96</v>
      </c>
    </row>
    <row r="3527" spans="1:5" x14ac:dyDescent="0.3">
      <c r="A3527">
        <v>72762</v>
      </c>
      <c r="B3527">
        <v>29082</v>
      </c>
      <c r="C3527">
        <v>1004</v>
      </c>
      <c r="D3527">
        <v>1</v>
      </c>
      <c r="E3527">
        <v>399.98</v>
      </c>
    </row>
    <row r="3528" spans="1:5" x14ac:dyDescent="0.3">
      <c r="A3528">
        <v>72778</v>
      </c>
      <c r="B3528">
        <v>29086</v>
      </c>
      <c r="C3528">
        <v>502</v>
      </c>
      <c r="D3528">
        <v>2</v>
      </c>
      <c r="E3528">
        <v>100</v>
      </c>
    </row>
    <row r="3529" spans="1:5" x14ac:dyDescent="0.3">
      <c r="A3529">
        <v>72777</v>
      </c>
      <c r="B3529">
        <v>29086</v>
      </c>
      <c r="C3529">
        <v>278</v>
      </c>
      <c r="D3529">
        <v>5</v>
      </c>
      <c r="E3529">
        <v>224.95</v>
      </c>
    </row>
    <row r="3530" spans="1:5" x14ac:dyDescent="0.3">
      <c r="A3530">
        <v>72779</v>
      </c>
      <c r="B3530">
        <v>29087</v>
      </c>
      <c r="C3530">
        <v>1014</v>
      </c>
      <c r="D3530">
        <v>4</v>
      </c>
      <c r="E3530">
        <v>199.92</v>
      </c>
    </row>
    <row r="3531" spans="1:5" x14ac:dyDescent="0.3">
      <c r="A3531">
        <v>72783</v>
      </c>
      <c r="B3531">
        <v>29087</v>
      </c>
      <c r="C3531">
        <v>403</v>
      </c>
      <c r="D3531">
        <v>1</v>
      </c>
      <c r="E3531">
        <v>129.99</v>
      </c>
    </row>
    <row r="3532" spans="1:5" x14ac:dyDescent="0.3">
      <c r="A3532">
        <v>72780</v>
      </c>
      <c r="B3532">
        <v>29087</v>
      </c>
      <c r="C3532">
        <v>403</v>
      </c>
      <c r="D3532">
        <v>1</v>
      </c>
      <c r="E3532">
        <v>129.99</v>
      </c>
    </row>
    <row r="3533" spans="1:5" x14ac:dyDescent="0.3">
      <c r="A3533">
        <v>72782</v>
      </c>
      <c r="B3533">
        <v>29087</v>
      </c>
      <c r="C3533">
        <v>1004</v>
      </c>
      <c r="D3533">
        <v>1</v>
      </c>
      <c r="E3533">
        <v>399.98</v>
      </c>
    </row>
    <row r="3534" spans="1:5" x14ac:dyDescent="0.3">
      <c r="A3534">
        <v>72781</v>
      </c>
      <c r="B3534">
        <v>29087</v>
      </c>
      <c r="C3534">
        <v>1004</v>
      </c>
      <c r="D3534">
        <v>1</v>
      </c>
      <c r="E3534">
        <v>399.98</v>
      </c>
    </row>
    <row r="3535" spans="1:5" x14ac:dyDescent="0.3">
      <c r="A3535">
        <v>72785</v>
      </c>
      <c r="B3535">
        <v>29089</v>
      </c>
      <c r="C3535">
        <v>191</v>
      </c>
      <c r="D3535">
        <v>5</v>
      </c>
      <c r="E3535">
        <v>499.95</v>
      </c>
    </row>
    <row r="3536" spans="1:5" x14ac:dyDescent="0.3">
      <c r="A3536">
        <v>72784</v>
      </c>
      <c r="B3536">
        <v>29089</v>
      </c>
      <c r="C3536">
        <v>191</v>
      </c>
      <c r="D3536">
        <v>5</v>
      </c>
      <c r="E3536">
        <v>499.95</v>
      </c>
    </row>
    <row r="3537" spans="1:5" x14ac:dyDescent="0.3">
      <c r="A3537">
        <v>72788</v>
      </c>
      <c r="B3537">
        <v>29090</v>
      </c>
      <c r="C3537">
        <v>792</v>
      </c>
      <c r="D3537">
        <v>3</v>
      </c>
      <c r="E3537">
        <v>44.97</v>
      </c>
    </row>
    <row r="3538" spans="1:5" x14ac:dyDescent="0.3">
      <c r="A3538">
        <v>72790</v>
      </c>
      <c r="B3538">
        <v>29090</v>
      </c>
      <c r="C3538">
        <v>191</v>
      </c>
      <c r="D3538">
        <v>1</v>
      </c>
      <c r="E3538">
        <v>99.99</v>
      </c>
    </row>
    <row r="3539" spans="1:5" x14ac:dyDescent="0.3">
      <c r="A3539">
        <v>72789</v>
      </c>
      <c r="B3539">
        <v>29090</v>
      </c>
      <c r="C3539">
        <v>403</v>
      </c>
      <c r="D3539">
        <v>1</v>
      </c>
      <c r="E3539">
        <v>129.99</v>
      </c>
    </row>
    <row r="3540" spans="1:5" x14ac:dyDescent="0.3">
      <c r="A3540">
        <v>72787</v>
      </c>
      <c r="B3540">
        <v>29090</v>
      </c>
      <c r="C3540">
        <v>403</v>
      </c>
      <c r="D3540">
        <v>1</v>
      </c>
      <c r="E3540">
        <v>129.99</v>
      </c>
    </row>
    <row r="3541" spans="1:5" x14ac:dyDescent="0.3">
      <c r="A3541">
        <v>72786</v>
      </c>
      <c r="B3541">
        <v>29090</v>
      </c>
      <c r="C3541">
        <v>502</v>
      </c>
      <c r="D3541">
        <v>2</v>
      </c>
      <c r="E3541">
        <v>100</v>
      </c>
    </row>
    <row r="3542" spans="1:5" x14ac:dyDescent="0.3">
      <c r="A3542">
        <v>72792</v>
      </c>
      <c r="B3542">
        <v>29091</v>
      </c>
      <c r="C3542">
        <v>365</v>
      </c>
      <c r="D3542">
        <v>3</v>
      </c>
      <c r="E3542">
        <v>179.97</v>
      </c>
    </row>
    <row r="3543" spans="1:5" x14ac:dyDescent="0.3">
      <c r="A3543">
        <v>72793</v>
      </c>
      <c r="B3543">
        <v>29091</v>
      </c>
      <c r="C3543">
        <v>502</v>
      </c>
      <c r="D3543">
        <v>5</v>
      </c>
      <c r="E3543">
        <v>250</v>
      </c>
    </row>
    <row r="3544" spans="1:5" x14ac:dyDescent="0.3">
      <c r="A3544">
        <v>72791</v>
      </c>
      <c r="B3544">
        <v>29091</v>
      </c>
      <c r="C3544">
        <v>771</v>
      </c>
      <c r="D3544">
        <v>5</v>
      </c>
      <c r="E3544">
        <v>199.95</v>
      </c>
    </row>
    <row r="3545" spans="1:5" x14ac:dyDescent="0.3">
      <c r="A3545">
        <v>72820</v>
      </c>
      <c r="B3545">
        <v>29103</v>
      </c>
      <c r="C3545">
        <v>365</v>
      </c>
      <c r="D3545">
        <v>2</v>
      </c>
      <c r="E3545">
        <v>119.98</v>
      </c>
    </row>
    <row r="3546" spans="1:5" x14ac:dyDescent="0.3">
      <c r="A3546">
        <v>72822</v>
      </c>
      <c r="B3546">
        <v>29104</v>
      </c>
      <c r="C3546">
        <v>1073</v>
      </c>
      <c r="D3546">
        <v>1</v>
      </c>
      <c r="E3546">
        <v>199.99</v>
      </c>
    </row>
    <row r="3547" spans="1:5" x14ac:dyDescent="0.3">
      <c r="A3547">
        <v>72825</v>
      </c>
      <c r="B3547">
        <v>29104</v>
      </c>
      <c r="C3547">
        <v>1014</v>
      </c>
      <c r="D3547">
        <v>4</v>
      </c>
      <c r="E3547">
        <v>199.92</v>
      </c>
    </row>
    <row r="3548" spans="1:5" x14ac:dyDescent="0.3">
      <c r="A3548">
        <v>72823</v>
      </c>
      <c r="B3548">
        <v>29104</v>
      </c>
      <c r="C3548">
        <v>403</v>
      </c>
      <c r="D3548">
        <v>1</v>
      </c>
      <c r="E3548">
        <v>129.99</v>
      </c>
    </row>
    <row r="3549" spans="1:5" x14ac:dyDescent="0.3">
      <c r="A3549">
        <v>72821</v>
      </c>
      <c r="B3549">
        <v>29104</v>
      </c>
      <c r="C3549">
        <v>957</v>
      </c>
      <c r="D3549">
        <v>1</v>
      </c>
      <c r="E3549">
        <v>299.98</v>
      </c>
    </row>
    <row r="3550" spans="1:5" x14ac:dyDescent="0.3">
      <c r="A3550">
        <v>72824</v>
      </c>
      <c r="B3550">
        <v>29104</v>
      </c>
      <c r="C3550">
        <v>365</v>
      </c>
      <c r="D3550">
        <v>2</v>
      </c>
      <c r="E3550">
        <v>119.98</v>
      </c>
    </row>
    <row r="3551" spans="1:5" x14ac:dyDescent="0.3">
      <c r="A3551">
        <v>72887</v>
      </c>
      <c r="B3551">
        <v>29125</v>
      </c>
      <c r="C3551">
        <v>1004</v>
      </c>
      <c r="D3551">
        <v>1</v>
      </c>
      <c r="E3551">
        <v>399.98</v>
      </c>
    </row>
    <row r="3552" spans="1:5" x14ac:dyDescent="0.3">
      <c r="A3552">
        <v>72949</v>
      </c>
      <c r="B3552">
        <v>29151</v>
      </c>
      <c r="C3552">
        <v>642</v>
      </c>
      <c r="D3552">
        <v>1</v>
      </c>
      <c r="E3552">
        <v>30</v>
      </c>
    </row>
    <row r="3553" spans="1:5" x14ac:dyDescent="0.3">
      <c r="A3553">
        <v>72948</v>
      </c>
      <c r="B3553">
        <v>29151</v>
      </c>
      <c r="C3553">
        <v>957</v>
      </c>
      <c r="D3553">
        <v>1</v>
      </c>
      <c r="E3553">
        <v>299.98</v>
      </c>
    </row>
    <row r="3554" spans="1:5" x14ac:dyDescent="0.3">
      <c r="A3554">
        <v>72947</v>
      </c>
      <c r="B3554">
        <v>29151</v>
      </c>
      <c r="C3554">
        <v>627</v>
      </c>
      <c r="D3554">
        <v>4</v>
      </c>
      <c r="E3554">
        <v>159.96</v>
      </c>
    </row>
    <row r="3555" spans="1:5" x14ac:dyDescent="0.3">
      <c r="A3555">
        <v>72950</v>
      </c>
      <c r="B3555">
        <v>29151</v>
      </c>
      <c r="C3555">
        <v>1004</v>
      </c>
      <c r="D3555">
        <v>1</v>
      </c>
      <c r="E3555">
        <v>399.98</v>
      </c>
    </row>
    <row r="3556" spans="1:5" x14ac:dyDescent="0.3">
      <c r="A3556">
        <v>72963</v>
      </c>
      <c r="B3556">
        <v>29161</v>
      </c>
      <c r="C3556">
        <v>1004</v>
      </c>
      <c r="D3556">
        <v>1</v>
      </c>
      <c r="E3556">
        <v>399.98</v>
      </c>
    </row>
    <row r="3557" spans="1:5" x14ac:dyDescent="0.3">
      <c r="A3557">
        <v>72968</v>
      </c>
      <c r="B3557">
        <v>29163</v>
      </c>
      <c r="C3557">
        <v>191</v>
      </c>
      <c r="D3557">
        <v>2</v>
      </c>
      <c r="E3557">
        <v>199.98</v>
      </c>
    </row>
    <row r="3558" spans="1:5" x14ac:dyDescent="0.3">
      <c r="A3558">
        <v>72996</v>
      </c>
      <c r="B3558">
        <v>29173</v>
      </c>
      <c r="C3558">
        <v>1014</v>
      </c>
      <c r="D3558">
        <v>2</v>
      </c>
      <c r="E3558">
        <v>99.96</v>
      </c>
    </row>
    <row r="3559" spans="1:5" x14ac:dyDescent="0.3">
      <c r="A3559">
        <v>72999</v>
      </c>
      <c r="B3559">
        <v>29174</v>
      </c>
      <c r="C3559">
        <v>403</v>
      </c>
      <c r="D3559">
        <v>1</v>
      </c>
      <c r="E3559">
        <v>129.99</v>
      </c>
    </row>
    <row r="3560" spans="1:5" x14ac:dyDescent="0.3">
      <c r="A3560">
        <v>72998</v>
      </c>
      <c r="B3560">
        <v>29174</v>
      </c>
      <c r="C3560">
        <v>403</v>
      </c>
      <c r="D3560">
        <v>1</v>
      </c>
      <c r="E3560">
        <v>129.99</v>
      </c>
    </row>
    <row r="3561" spans="1:5" x14ac:dyDescent="0.3">
      <c r="A3561">
        <v>72997</v>
      </c>
      <c r="B3561">
        <v>29174</v>
      </c>
      <c r="C3561">
        <v>957</v>
      </c>
      <c r="D3561">
        <v>1</v>
      </c>
      <c r="E3561">
        <v>299.98</v>
      </c>
    </row>
    <row r="3562" spans="1:5" x14ac:dyDescent="0.3">
      <c r="A3562">
        <v>73060</v>
      </c>
      <c r="B3562">
        <v>29203</v>
      </c>
      <c r="C3562">
        <v>502</v>
      </c>
      <c r="D3562">
        <v>2</v>
      </c>
      <c r="E3562">
        <v>100</v>
      </c>
    </row>
    <row r="3563" spans="1:5" x14ac:dyDescent="0.3">
      <c r="A3563">
        <v>73062</v>
      </c>
      <c r="B3563">
        <v>29204</v>
      </c>
      <c r="C3563">
        <v>403</v>
      </c>
      <c r="D3563">
        <v>1</v>
      </c>
      <c r="E3563">
        <v>129.99</v>
      </c>
    </row>
    <row r="3564" spans="1:5" x14ac:dyDescent="0.3">
      <c r="A3564">
        <v>73061</v>
      </c>
      <c r="B3564">
        <v>29204</v>
      </c>
      <c r="C3564">
        <v>403</v>
      </c>
      <c r="D3564">
        <v>1</v>
      </c>
      <c r="E3564">
        <v>129.99</v>
      </c>
    </row>
    <row r="3565" spans="1:5" x14ac:dyDescent="0.3">
      <c r="A3565">
        <v>73063</v>
      </c>
      <c r="B3565">
        <v>29204</v>
      </c>
      <c r="C3565">
        <v>627</v>
      </c>
      <c r="D3565">
        <v>3</v>
      </c>
      <c r="E3565">
        <v>119.97</v>
      </c>
    </row>
    <row r="3566" spans="1:5" x14ac:dyDescent="0.3">
      <c r="A3566">
        <v>73064</v>
      </c>
      <c r="B3566">
        <v>29204</v>
      </c>
      <c r="C3566">
        <v>627</v>
      </c>
      <c r="D3566">
        <v>5</v>
      </c>
      <c r="E3566">
        <v>199.95</v>
      </c>
    </row>
    <row r="3567" spans="1:5" x14ac:dyDescent="0.3">
      <c r="A3567">
        <v>73084</v>
      </c>
      <c r="B3567">
        <v>29216</v>
      </c>
      <c r="C3567">
        <v>403</v>
      </c>
      <c r="D3567">
        <v>1</v>
      </c>
      <c r="E3567">
        <v>129.99</v>
      </c>
    </row>
    <row r="3568" spans="1:5" x14ac:dyDescent="0.3">
      <c r="A3568">
        <v>73085</v>
      </c>
      <c r="B3568">
        <v>29216</v>
      </c>
      <c r="C3568">
        <v>365</v>
      </c>
      <c r="D3568">
        <v>5</v>
      </c>
      <c r="E3568">
        <v>299.95</v>
      </c>
    </row>
    <row r="3569" spans="1:5" x14ac:dyDescent="0.3">
      <c r="A3569">
        <v>73086</v>
      </c>
      <c r="B3569">
        <v>29216</v>
      </c>
      <c r="C3569">
        <v>502</v>
      </c>
      <c r="D3569">
        <v>5</v>
      </c>
      <c r="E3569">
        <v>250</v>
      </c>
    </row>
    <row r="3570" spans="1:5" x14ac:dyDescent="0.3">
      <c r="A3570">
        <v>73087</v>
      </c>
      <c r="B3570">
        <v>29218</v>
      </c>
      <c r="C3570">
        <v>1014</v>
      </c>
      <c r="D3570">
        <v>1</v>
      </c>
      <c r="E3570">
        <v>49.98</v>
      </c>
    </row>
    <row r="3571" spans="1:5" x14ac:dyDescent="0.3">
      <c r="A3571">
        <v>73088</v>
      </c>
      <c r="B3571">
        <v>29218</v>
      </c>
      <c r="C3571">
        <v>502</v>
      </c>
      <c r="D3571">
        <v>5</v>
      </c>
      <c r="E3571">
        <v>250</v>
      </c>
    </row>
    <row r="3572" spans="1:5" x14ac:dyDescent="0.3">
      <c r="A3572">
        <v>73090</v>
      </c>
      <c r="B3572">
        <v>29220</v>
      </c>
      <c r="C3572">
        <v>502</v>
      </c>
      <c r="D3572">
        <v>5</v>
      </c>
      <c r="E3572">
        <v>250</v>
      </c>
    </row>
    <row r="3573" spans="1:5" x14ac:dyDescent="0.3">
      <c r="A3573">
        <v>73089</v>
      </c>
      <c r="B3573">
        <v>29220</v>
      </c>
      <c r="C3573">
        <v>502</v>
      </c>
      <c r="D3573">
        <v>1</v>
      </c>
      <c r="E3573">
        <v>50</v>
      </c>
    </row>
    <row r="3574" spans="1:5" x14ac:dyDescent="0.3">
      <c r="A3574">
        <v>73091</v>
      </c>
      <c r="B3574">
        <v>29220</v>
      </c>
      <c r="C3574">
        <v>957</v>
      </c>
      <c r="D3574">
        <v>1</v>
      </c>
      <c r="E3574">
        <v>299.98</v>
      </c>
    </row>
    <row r="3575" spans="1:5" x14ac:dyDescent="0.3">
      <c r="A3575">
        <v>73096</v>
      </c>
      <c r="B3575">
        <v>29224</v>
      </c>
      <c r="C3575">
        <v>365</v>
      </c>
      <c r="D3575">
        <v>1</v>
      </c>
      <c r="E3575">
        <v>59.99</v>
      </c>
    </row>
    <row r="3576" spans="1:5" x14ac:dyDescent="0.3">
      <c r="A3576">
        <v>73095</v>
      </c>
      <c r="B3576">
        <v>29224</v>
      </c>
      <c r="C3576">
        <v>502</v>
      </c>
      <c r="D3576">
        <v>1</v>
      </c>
      <c r="E3576">
        <v>50</v>
      </c>
    </row>
    <row r="3577" spans="1:5" x14ac:dyDescent="0.3">
      <c r="A3577">
        <v>73098</v>
      </c>
      <c r="B3577">
        <v>29225</v>
      </c>
      <c r="C3577">
        <v>804</v>
      </c>
      <c r="D3577">
        <v>3</v>
      </c>
      <c r="E3577">
        <v>59.97</v>
      </c>
    </row>
    <row r="3578" spans="1:5" x14ac:dyDescent="0.3">
      <c r="A3578">
        <v>73099</v>
      </c>
      <c r="B3578">
        <v>29225</v>
      </c>
      <c r="C3578">
        <v>502</v>
      </c>
      <c r="D3578">
        <v>4</v>
      </c>
      <c r="E3578">
        <v>200</v>
      </c>
    </row>
    <row r="3579" spans="1:5" x14ac:dyDescent="0.3">
      <c r="A3579">
        <v>73097</v>
      </c>
      <c r="B3579">
        <v>29225</v>
      </c>
      <c r="C3579">
        <v>365</v>
      </c>
      <c r="D3579">
        <v>5</v>
      </c>
      <c r="E3579">
        <v>299.95</v>
      </c>
    </row>
    <row r="3580" spans="1:5" x14ac:dyDescent="0.3">
      <c r="A3580">
        <v>73101</v>
      </c>
      <c r="B3580">
        <v>29226</v>
      </c>
      <c r="C3580">
        <v>627</v>
      </c>
      <c r="D3580">
        <v>3</v>
      </c>
      <c r="E3580">
        <v>119.97</v>
      </c>
    </row>
    <row r="3581" spans="1:5" x14ac:dyDescent="0.3">
      <c r="A3581">
        <v>73102</v>
      </c>
      <c r="B3581">
        <v>29226</v>
      </c>
      <c r="C3581">
        <v>924</v>
      </c>
      <c r="D3581">
        <v>3</v>
      </c>
      <c r="E3581">
        <v>47.97</v>
      </c>
    </row>
    <row r="3582" spans="1:5" x14ac:dyDescent="0.3">
      <c r="A3582">
        <v>73100</v>
      </c>
      <c r="B3582">
        <v>29226</v>
      </c>
      <c r="C3582">
        <v>1004</v>
      </c>
      <c r="D3582">
        <v>1</v>
      </c>
      <c r="E3582">
        <v>399.98</v>
      </c>
    </row>
    <row r="3583" spans="1:5" x14ac:dyDescent="0.3">
      <c r="A3583">
        <v>73103</v>
      </c>
      <c r="B3583">
        <v>29227</v>
      </c>
      <c r="C3583">
        <v>926</v>
      </c>
      <c r="D3583">
        <v>2</v>
      </c>
      <c r="E3583">
        <v>31.98</v>
      </c>
    </row>
    <row r="3584" spans="1:5" x14ac:dyDescent="0.3">
      <c r="A3584">
        <v>73119</v>
      </c>
      <c r="B3584">
        <v>29234</v>
      </c>
      <c r="C3584">
        <v>403</v>
      </c>
      <c r="D3584">
        <v>1</v>
      </c>
      <c r="E3584">
        <v>129.99</v>
      </c>
    </row>
    <row r="3585" spans="1:5" x14ac:dyDescent="0.3">
      <c r="A3585">
        <v>73121</v>
      </c>
      <c r="B3585">
        <v>29234</v>
      </c>
      <c r="C3585">
        <v>627</v>
      </c>
      <c r="D3585">
        <v>1</v>
      </c>
      <c r="E3585">
        <v>39.99</v>
      </c>
    </row>
    <row r="3586" spans="1:5" x14ac:dyDescent="0.3">
      <c r="A3586">
        <v>73122</v>
      </c>
      <c r="B3586">
        <v>29234</v>
      </c>
      <c r="C3586">
        <v>897</v>
      </c>
      <c r="D3586">
        <v>2</v>
      </c>
      <c r="E3586">
        <v>49.98</v>
      </c>
    </row>
    <row r="3587" spans="1:5" x14ac:dyDescent="0.3">
      <c r="A3587">
        <v>73118</v>
      </c>
      <c r="B3587">
        <v>29234</v>
      </c>
      <c r="C3587">
        <v>1014</v>
      </c>
      <c r="D3587">
        <v>3</v>
      </c>
      <c r="E3587">
        <v>149.94</v>
      </c>
    </row>
    <row r="3588" spans="1:5" x14ac:dyDescent="0.3">
      <c r="A3588">
        <v>73120</v>
      </c>
      <c r="B3588">
        <v>29234</v>
      </c>
      <c r="C3588">
        <v>1004</v>
      </c>
      <c r="D3588">
        <v>1</v>
      </c>
      <c r="E3588">
        <v>399.98</v>
      </c>
    </row>
    <row r="3589" spans="1:5" x14ac:dyDescent="0.3">
      <c r="A3589">
        <v>73123</v>
      </c>
      <c r="B3589">
        <v>29235</v>
      </c>
      <c r="C3589">
        <v>365</v>
      </c>
      <c r="D3589">
        <v>3</v>
      </c>
      <c r="E3589">
        <v>179.97</v>
      </c>
    </row>
    <row r="3590" spans="1:5" x14ac:dyDescent="0.3">
      <c r="A3590">
        <v>73212</v>
      </c>
      <c r="B3590">
        <v>29269</v>
      </c>
      <c r="C3590">
        <v>957</v>
      </c>
      <c r="D3590">
        <v>1</v>
      </c>
      <c r="E3590">
        <v>299.98</v>
      </c>
    </row>
    <row r="3591" spans="1:5" x14ac:dyDescent="0.3">
      <c r="A3591">
        <v>73213</v>
      </c>
      <c r="B3591">
        <v>29269</v>
      </c>
      <c r="C3591">
        <v>365</v>
      </c>
      <c r="D3591">
        <v>2</v>
      </c>
      <c r="E3591">
        <v>119.98</v>
      </c>
    </row>
    <row r="3592" spans="1:5" x14ac:dyDescent="0.3">
      <c r="A3592">
        <v>73215</v>
      </c>
      <c r="B3592">
        <v>29270</v>
      </c>
      <c r="C3592">
        <v>365</v>
      </c>
      <c r="D3592">
        <v>2</v>
      </c>
      <c r="E3592">
        <v>119.98</v>
      </c>
    </row>
    <row r="3593" spans="1:5" x14ac:dyDescent="0.3">
      <c r="A3593">
        <v>73217</v>
      </c>
      <c r="B3593">
        <v>29270</v>
      </c>
      <c r="C3593">
        <v>627</v>
      </c>
      <c r="D3593">
        <v>4</v>
      </c>
      <c r="E3593">
        <v>159.96</v>
      </c>
    </row>
    <row r="3594" spans="1:5" x14ac:dyDescent="0.3">
      <c r="A3594">
        <v>73214</v>
      </c>
      <c r="B3594">
        <v>29270</v>
      </c>
      <c r="C3594">
        <v>365</v>
      </c>
      <c r="D3594">
        <v>5</v>
      </c>
      <c r="E3594">
        <v>299.95</v>
      </c>
    </row>
    <row r="3595" spans="1:5" x14ac:dyDescent="0.3">
      <c r="A3595">
        <v>73218</v>
      </c>
      <c r="B3595">
        <v>29270</v>
      </c>
      <c r="C3595">
        <v>1004</v>
      </c>
      <c r="D3595">
        <v>1</v>
      </c>
      <c r="E3595">
        <v>399.98</v>
      </c>
    </row>
    <row r="3596" spans="1:5" x14ac:dyDescent="0.3">
      <c r="A3596">
        <v>73216</v>
      </c>
      <c r="B3596">
        <v>29270</v>
      </c>
      <c r="C3596">
        <v>1004</v>
      </c>
      <c r="D3596">
        <v>1</v>
      </c>
      <c r="E3596">
        <v>399.98</v>
      </c>
    </row>
    <row r="3597" spans="1:5" x14ac:dyDescent="0.3">
      <c r="A3597">
        <v>73219</v>
      </c>
      <c r="B3597">
        <v>29271</v>
      </c>
      <c r="C3597">
        <v>365</v>
      </c>
      <c r="D3597">
        <v>4</v>
      </c>
      <c r="E3597">
        <v>239.96</v>
      </c>
    </row>
    <row r="3598" spans="1:5" x14ac:dyDescent="0.3">
      <c r="A3598">
        <v>73220</v>
      </c>
      <c r="B3598">
        <v>29271</v>
      </c>
      <c r="C3598">
        <v>917</v>
      </c>
      <c r="D3598">
        <v>4</v>
      </c>
      <c r="E3598">
        <v>87.96</v>
      </c>
    </row>
    <row r="3599" spans="1:5" x14ac:dyDescent="0.3">
      <c r="A3599">
        <v>73221</v>
      </c>
      <c r="B3599">
        <v>29272</v>
      </c>
      <c r="C3599">
        <v>116</v>
      </c>
      <c r="D3599">
        <v>4</v>
      </c>
      <c r="E3599">
        <v>179.96</v>
      </c>
    </row>
    <row r="3600" spans="1:5" x14ac:dyDescent="0.3">
      <c r="A3600">
        <v>73224</v>
      </c>
      <c r="B3600">
        <v>29272</v>
      </c>
      <c r="C3600">
        <v>365</v>
      </c>
      <c r="D3600">
        <v>4</v>
      </c>
      <c r="E3600">
        <v>239.96</v>
      </c>
    </row>
    <row r="3601" spans="1:5" x14ac:dyDescent="0.3">
      <c r="A3601">
        <v>73225</v>
      </c>
      <c r="B3601">
        <v>29272</v>
      </c>
      <c r="C3601">
        <v>502</v>
      </c>
      <c r="D3601">
        <v>4</v>
      </c>
      <c r="E3601">
        <v>200</v>
      </c>
    </row>
    <row r="3602" spans="1:5" x14ac:dyDescent="0.3">
      <c r="A3602">
        <v>73222</v>
      </c>
      <c r="B3602">
        <v>29272</v>
      </c>
      <c r="C3602">
        <v>191</v>
      </c>
      <c r="D3602">
        <v>5</v>
      </c>
      <c r="E3602">
        <v>499.95</v>
      </c>
    </row>
    <row r="3603" spans="1:5" x14ac:dyDescent="0.3">
      <c r="A3603">
        <v>73223</v>
      </c>
      <c r="B3603">
        <v>29272</v>
      </c>
      <c r="C3603">
        <v>365</v>
      </c>
      <c r="D3603">
        <v>5</v>
      </c>
      <c r="E3603">
        <v>299.95</v>
      </c>
    </row>
    <row r="3604" spans="1:5" x14ac:dyDescent="0.3">
      <c r="A3604">
        <v>73226</v>
      </c>
      <c r="B3604">
        <v>29273</v>
      </c>
      <c r="C3604">
        <v>191</v>
      </c>
      <c r="D3604">
        <v>5</v>
      </c>
      <c r="E3604">
        <v>499.95</v>
      </c>
    </row>
    <row r="3605" spans="1:5" x14ac:dyDescent="0.3">
      <c r="A3605">
        <v>73227</v>
      </c>
      <c r="B3605">
        <v>29273</v>
      </c>
      <c r="C3605">
        <v>502</v>
      </c>
      <c r="D3605">
        <v>5</v>
      </c>
      <c r="E3605">
        <v>250</v>
      </c>
    </row>
    <row r="3606" spans="1:5" x14ac:dyDescent="0.3">
      <c r="A3606">
        <v>73259</v>
      </c>
      <c r="B3606">
        <v>29284</v>
      </c>
      <c r="C3606">
        <v>1073</v>
      </c>
      <c r="D3606">
        <v>1</v>
      </c>
      <c r="E3606">
        <v>199.99</v>
      </c>
    </row>
    <row r="3607" spans="1:5" x14ac:dyDescent="0.3">
      <c r="A3607">
        <v>73258</v>
      </c>
      <c r="B3607">
        <v>29284</v>
      </c>
      <c r="C3607">
        <v>365</v>
      </c>
      <c r="D3607">
        <v>1</v>
      </c>
      <c r="E3607">
        <v>59.99</v>
      </c>
    </row>
    <row r="3608" spans="1:5" x14ac:dyDescent="0.3">
      <c r="A3608">
        <v>73257</v>
      </c>
      <c r="B3608">
        <v>29284</v>
      </c>
      <c r="C3608">
        <v>957</v>
      </c>
      <c r="D3608">
        <v>1</v>
      </c>
      <c r="E3608">
        <v>299.98</v>
      </c>
    </row>
    <row r="3609" spans="1:5" x14ac:dyDescent="0.3">
      <c r="A3609">
        <v>73260</v>
      </c>
      <c r="B3609">
        <v>29284</v>
      </c>
      <c r="C3609">
        <v>627</v>
      </c>
      <c r="D3609">
        <v>5</v>
      </c>
      <c r="E3609">
        <v>199.95</v>
      </c>
    </row>
    <row r="3610" spans="1:5" x14ac:dyDescent="0.3">
      <c r="A3610">
        <v>73256</v>
      </c>
      <c r="B3610">
        <v>29284</v>
      </c>
      <c r="C3610">
        <v>1004</v>
      </c>
      <c r="D3610">
        <v>1</v>
      </c>
      <c r="E3610">
        <v>399.98</v>
      </c>
    </row>
    <row r="3611" spans="1:5" x14ac:dyDescent="0.3">
      <c r="A3611">
        <v>73269</v>
      </c>
      <c r="B3611">
        <v>29286</v>
      </c>
      <c r="C3611">
        <v>365</v>
      </c>
      <c r="D3611">
        <v>5</v>
      </c>
      <c r="E3611">
        <v>299.95</v>
      </c>
    </row>
    <row r="3612" spans="1:5" x14ac:dyDescent="0.3">
      <c r="A3612">
        <v>73267</v>
      </c>
      <c r="B3612">
        <v>29286</v>
      </c>
      <c r="C3612">
        <v>771</v>
      </c>
      <c r="D3612">
        <v>2</v>
      </c>
      <c r="E3612">
        <v>79.98</v>
      </c>
    </row>
    <row r="3613" spans="1:5" x14ac:dyDescent="0.3">
      <c r="A3613">
        <v>73265</v>
      </c>
      <c r="B3613">
        <v>29286</v>
      </c>
      <c r="C3613">
        <v>1014</v>
      </c>
      <c r="D3613">
        <v>1</v>
      </c>
      <c r="E3613">
        <v>49.98</v>
      </c>
    </row>
    <row r="3614" spans="1:5" x14ac:dyDescent="0.3">
      <c r="A3614">
        <v>73266</v>
      </c>
      <c r="B3614">
        <v>29286</v>
      </c>
      <c r="C3614">
        <v>502</v>
      </c>
      <c r="D3614">
        <v>1</v>
      </c>
      <c r="E3614">
        <v>50</v>
      </c>
    </row>
    <row r="3615" spans="1:5" x14ac:dyDescent="0.3">
      <c r="A3615">
        <v>73268</v>
      </c>
      <c r="B3615">
        <v>29286</v>
      </c>
      <c r="C3615">
        <v>957</v>
      </c>
      <c r="D3615">
        <v>1</v>
      </c>
      <c r="E3615">
        <v>299.98</v>
      </c>
    </row>
    <row r="3616" spans="1:5" x14ac:dyDescent="0.3">
      <c r="A3616">
        <v>73291</v>
      </c>
      <c r="B3616">
        <v>29293</v>
      </c>
      <c r="C3616">
        <v>403</v>
      </c>
      <c r="D3616">
        <v>1</v>
      </c>
      <c r="E3616">
        <v>129.99</v>
      </c>
    </row>
    <row r="3617" spans="1:5" x14ac:dyDescent="0.3">
      <c r="A3617">
        <v>73290</v>
      </c>
      <c r="B3617">
        <v>29293</v>
      </c>
      <c r="C3617">
        <v>627</v>
      </c>
      <c r="D3617">
        <v>1</v>
      </c>
      <c r="E3617">
        <v>39.99</v>
      </c>
    </row>
    <row r="3618" spans="1:5" x14ac:dyDescent="0.3">
      <c r="A3618">
        <v>73294</v>
      </c>
      <c r="B3618">
        <v>29293</v>
      </c>
      <c r="C3618">
        <v>365</v>
      </c>
      <c r="D3618">
        <v>3</v>
      </c>
      <c r="E3618">
        <v>179.97</v>
      </c>
    </row>
    <row r="3619" spans="1:5" x14ac:dyDescent="0.3">
      <c r="A3619">
        <v>73292</v>
      </c>
      <c r="B3619">
        <v>29293</v>
      </c>
      <c r="C3619">
        <v>365</v>
      </c>
      <c r="D3619">
        <v>5</v>
      </c>
      <c r="E3619">
        <v>299.95</v>
      </c>
    </row>
    <row r="3620" spans="1:5" x14ac:dyDescent="0.3">
      <c r="A3620">
        <v>73293</v>
      </c>
      <c r="B3620">
        <v>29293</v>
      </c>
      <c r="C3620">
        <v>627</v>
      </c>
      <c r="D3620">
        <v>5</v>
      </c>
      <c r="E3620">
        <v>199.95</v>
      </c>
    </row>
    <row r="3621" spans="1:5" x14ac:dyDescent="0.3">
      <c r="A3621">
        <v>73331</v>
      </c>
      <c r="B3621">
        <v>29309</v>
      </c>
      <c r="C3621">
        <v>627</v>
      </c>
      <c r="D3621">
        <v>1</v>
      </c>
      <c r="E3621">
        <v>39.99</v>
      </c>
    </row>
    <row r="3622" spans="1:5" x14ac:dyDescent="0.3">
      <c r="A3622">
        <v>73333</v>
      </c>
      <c r="B3622">
        <v>29309</v>
      </c>
      <c r="C3622">
        <v>502</v>
      </c>
      <c r="D3622">
        <v>1</v>
      </c>
      <c r="E3622">
        <v>50</v>
      </c>
    </row>
    <row r="3623" spans="1:5" x14ac:dyDescent="0.3">
      <c r="A3623">
        <v>73332</v>
      </c>
      <c r="B3623">
        <v>29309</v>
      </c>
      <c r="C3623">
        <v>1004</v>
      </c>
      <c r="D3623">
        <v>1</v>
      </c>
      <c r="E3623">
        <v>399.98</v>
      </c>
    </row>
    <row r="3624" spans="1:5" x14ac:dyDescent="0.3">
      <c r="A3624">
        <v>73334</v>
      </c>
      <c r="B3624">
        <v>29310</v>
      </c>
      <c r="C3624">
        <v>403</v>
      </c>
      <c r="D3624">
        <v>1</v>
      </c>
      <c r="E3624">
        <v>129.99</v>
      </c>
    </row>
    <row r="3625" spans="1:5" x14ac:dyDescent="0.3">
      <c r="A3625">
        <v>73337</v>
      </c>
      <c r="B3625">
        <v>29311</v>
      </c>
      <c r="C3625">
        <v>403</v>
      </c>
      <c r="D3625">
        <v>1</v>
      </c>
      <c r="E3625">
        <v>129.99</v>
      </c>
    </row>
    <row r="3626" spans="1:5" x14ac:dyDescent="0.3">
      <c r="A3626">
        <v>73335</v>
      </c>
      <c r="B3626">
        <v>29311</v>
      </c>
      <c r="C3626">
        <v>365</v>
      </c>
      <c r="D3626">
        <v>3</v>
      </c>
      <c r="E3626">
        <v>179.97</v>
      </c>
    </row>
    <row r="3627" spans="1:5" x14ac:dyDescent="0.3">
      <c r="A3627">
        <v>73338</v>
      </c>
      <c r="B3627">
        <v>29311</v>
      </c>
      <c r="C3627">
        <v>502</v>
      </c>
      <c r="D3627">
        <v>5</v>
      </c>
      <c r="E3627">
        <v>250</v>
      </c>
    </row>
    <row r="3628" spans="1:5" x14ac:dyDescent="0.3">
      <c r="A3628">
        <v>73336</v>
      </c>
      <c r="B3628">
        <v>29311</v>
      </c>
      <c r="C3628">
        <v>502</v>
      </c>
      <c r="D3628">
        <v>5</v>
      </c>
      <c r="E3628">
        <v>250</v>
      </c>
    </row>
    <row r="3629" spans="1:5" x14ac:dyDescent="0.3">
      <c r="A3629">
        <v>73351</v>
      </c>
      <c r="B3629">
        <v>29316</v>
      </c>
      <c r="C3629">
        <v>191</v>
      </c>
      <c r="D3629">
        <v>5</v>
      </c>
      <c r="E3629">
        <v>499.95</v>
      </c>
    </row>
    <row r="3630" spans="1:5" x14ac:dyDescent="0.3">
      <c r="A3630">
        <v>73352</v>
      </c>
      <c r="B3630">
        <v>29316</v>
      </c>
      <c r="C3630">
        <v>1073</v>
      </c>
      <c r="D3630">
        <v>1</v>
      </c>
      <c r="E3630">
        <v>199.99</v>
      </c>
    </row>
    <row r="3631" spans="1:5" x14ac:dyDescent="0.3">
      <c r="A3631">
        <v>73350</v>
      </c>
      <c r="B3631">
        <v>29316</v>
      </c>
      <c r="C3631">
        <v>191</v>
      </c>
      <c r="D3631">
        <v>1</v>
      </c>
      <c r="E3631">
        <v>99.99</v>
      </c>
    </row>
    <row r="3632" spans="1:5" x14ac:dyDescent="0.3">
      <c r="A3632">
        <v>73349</v>
      </c>
      <c r="B3632">
        <v>29316</v>
      </c>
      <c r="C3632">
        <v>502</v>
      </c>
      <c r="D3632">
        <v>3</v>
      </c>
      <c r="E3632">
        <v>150</v>
      </c>
    </row>
    <row r="3633" spans="1:5" x14ac:dyDescent="0.3">
      <c r="A3633">
        <v>73354</v>
      </c>
      <c r="B3633">
        <v>29317</v>
      </c>
      <c r="C3633">
        <v>1014</v>
      </c>
      <c r="D3633">
        <v>1</v>
      </c>
      <c r="E3633">
        <v>49.98</v>
      </c>
    </row>
    <row r="3634" spans="1:5" x14ac:dyDescent="0.3">
      <c r="A3634">
        <v>73355</v>
      </c>
      <c r="B3634">
        <v>29317</v>
      </c>
      <c r="C3634">
        <v>191</v>
      </c>
      <c r="D3634">
        <v>2</v>
      </c>
      <c r="E3634">
        <v>199.98</v>
      </c>
    </row>
    <row r="3635" spans="1:5" x14ac:dyDescent="0.3">
      <c r="A3635">
        <v>73356</v>
      </c>
      <c r="B3635">
        <v>29317</v>
      </c>
      <c r="C3635">
        <v>502</v>
      </c>
      <c r="D3635">
        <v>4</v>
      </c>
      <c r="E3635">
        <v>200</v>
      </c>
    </row>
    <row r="3636" spans="1:5" x14ac:dyDescent="0.3">
      <c r="A3636">
        <v>73353</v>
      </c>
      <c r="B3636">
        <v>29317</v>
      </c>
      <c r="C3636">
        <v>1004</v>
      </c>
      <c r="D3636">
        <v>1</v>
      </c>
      <c r="E3636">
        <v>399.98</v>
      </c>
    </row>
    <row r="3637" spans="1:5" x14ac:dyDescent="0.3">
      <c r="A3637">
        <v>73358</v>
      </c>
      <c r="B3637">
        <v>29318</v>
      </c>
      <c r="C3637">
        <v>403</v>
      </c>
      <c r="D3637">
        <v>1</v>
      </c>
      <c r="E3637">
        <v>129.99</v>
      </c>
    </row>
    <row r="3638" spans="1:5" x14ac:dyDescent="0.3">
      <c r="A3638">
        <v>73357</v>
      </c>
      <c r="B3638">
        <v>29318</v>
      </c>
      <c r="C3638">
        <v>403</v>
      </c>
      <c r="D3638">
        <v>1</v>
      </c>
      <c r="E3638">
        <v>129.99</v>
      </c>
    </row>
    <row r="3639" spans="1:5" x14ac:dyDescent="0.3">
      <c r="A3639">
        <v>73359</v>
      </c>
      <c r="B3639">
        <v>29320</v>
      </c>
      <c r="C3639">
        <v>1073</v>
      </c>
      <c r="D3639">
        <v>1</v>
      </c>
      <c r="E3639">
        <v>199.99</v>
      </c>
    </row>
    <row r="3640" spans="1:5" x14ac:dyDescent="0.3">
      <c r="A3640">
        <v>73360</v>
      </c>
      <c r="B3640">
        <v>29324</v>
      </c>
      <c r="C3640">
        <v>778</v>
      </c>
      <c r="D3640">
        <v>5</v>
      </c>
      <c r="E3640">
        <v>124.95</v>
      </c>
    </row>
    <row r="3641" spans="1:5" x14ac:dyDescent="0.3">
      <c r="A3641">
        <v>73363</v>
      </c>
      <c r="B3641">
        <v>29324</v>
      </c>
      <c r="C3641">
        <v>1014</v>
      </c>
      <c r="D3641">
        <v>4</v>
      </c>
      <c r="E3641">
        <v>199.92</v>
      </c>
    </row>
    <row r="3642" spans="1:5" x14ac:dyDescent="0.3">
      <c r="A3642">
        <v>73362</v>
      </c>
      <c r="B3642">
        <v>29324</v>
      </c>
      <c r="C3642">
        <v>1004</v>
      </c>
      <c r="D3642">
        <v>1</v>
      </c>
      <c r="E3642">
        <v>399.98</v>
      </c>
    </row>
    <row r="3643" spans="1:5" x14ac:dyDescent="0.3">
      <c r="A3643">
        <v>73361</v>
      </c>
      <c r="B3643">
        <v>29324</v>
      </c>
      <c r="C3643">
        <v>1004</v>
      </c>
      <c r="D3643">
        <v>1</v>
      </c>
      <c r="E3643">
        <v>399.98</v>
      </c>
    </row>
    <row r="3644" spans="1:5" x14ac:dyDescent="0.3">
      <c r="A3644">
        <v>73367</v>
      </c>
      <c r="B3644">
        <v>29325</v>
      </c>
      <c r="C3644">
        <v>403</v>
      </c>
      <c r="D3644">
        <v>1</v>
      </c>
      <c r="E3644">
        <v>129.99</v>
      </c>
    </row>
    <row r="3645" spans="1:5" x14ac:dyDescent="0.3">
      <c r="A3645">
        <v>73365</v>
      </c>
      <c r="B3645">
        <v>29325</v>
      </c>
      <c r="C3645">
        <v>957</v>
      </c>
      <c r="D3645">
        <v>1</v>
      </c>
      <c r="E3645">
        <v>299.98</v>
      </c>
    </row>
    <row r="3646" spans="1:5" x14ac:dyDescent="0.3">
      <c r="A3646">
        <v>73364</v>
      </c>
      <c r="B3646">
        <v>29325</v>
      </c>
      <c r="C3646">
        <v>627</v>
      </c>
      <c r="D3646">
        <v>4</v>
      </c>
      <c r="E3646">
        <v>159.96</v>
      </c>
    </row>
    <row r="3647" spans="1:5" x14ac:dyDescent="0.3">
      <c r="A3647">
        <v>73366</v>
      </c>
      <c r="B3647">
        <v>29325</v>
      </c>
      <c r="C3647">
        <v>1004</v>
      </c>
      <c r="D3647">
        <v>1</v>
      </c>
      <c r="E3647">
        <v>399.98</v>
      </c>
    </row>
    <row r="3648" spans="1:5" x14ac:dyDescent="0.3">
      <c r="A3648">
        <v>73369</v>
      </c>
      <c r="B3648">
        <v>29326</v>
      </c>
      <c r="C3648">
        <v>191</v>
      </c>
      <c r="D3648">
        <v>1</v>
      </c>
      <c r="E3648">
        <v>99.99</v>
      </c>
    </row>
    <row r="3649" spans="1:5" x14ac:dyDescent="0.3">
      <c r="A3649">
        <v>73371</v>
      </c>
      <c r="B3649">
        <v>29326</v>
      </c>
      <c r="C3649">
        <v>403</v>
      </c>
      <c r="D3649">
        <v>1</v>
      </c>
      <c r="E3649">
        <v>129.99</v>
      </c>
    </row>
    <row r="3650" spans="1:5" x14ac:dyDescent="0.3">
      <c r="A3650">
        <v>73368</v>
      </c>
      <c r="B3650">
        <v>29326</v>
      </c>
      <c r="C3650">
        <v>977</v>
      </c>
      <c r="D3650">
        <v>1</v>
      </c>
      <c r="E3650">
        <v>29.99</v>
      </c>
    </row>
    <row r="3651" spans="1:5" x14ac:dyDescent="0.3">
      <c r="A3651">
        <v>73370</v>
      </c>
      <c r="B3651">
        <v>29326</v>
      </c>
      <c r="C3651">
        <v>191</v>
      </c>
      <c r="D3651">
        <v>3</v>
      </c>
      <c r="E3651">
        <v>299.97000000000003</v>
      </c>
    </row>
    <row r="3652" spans="1:5" x14ac:dyDescent="0.3">
      <c r="A3652">
        <v>73372</v>
      </c>
      <c r="B3652">
        <v>29327</v>
      </c>
      <c r="C3652">
        <v>403</v>
      </c>
      <c r="D3652">
        <v>1</v>
      </c>
      <c r="E3652">
        <v>129.99</v>
      </c>
    </row>
    <row r="3653" spans="1:5" x14ac:dyDescent="0.3">
      <c r="A3653">
        <v>73373</v>
      </c>
      <c r="B3653">
        <v>29328</v>
      </c>
      <c r="C3653">
        <v>403</v>
      </c>
      <c r="D3653">
        <v>1</v>
      </c>
      <c r="E3653">
        <v>129.99</v>
      </c>
    </row>
    <row r="3654" spans="1:5" x14ac:dyDescent="0.3">
      <c r="A3654">
        <v>73433</v>
      </c>
      <c r="B3654">
        <v>29352</v>
      </c>
      <c r="C3654">
        <v>365</v>
      </c>
      <c r="D3654">
        <v>3</v>
      </c>
      <c r="E3654">
        <v>179.97</v>
      </c>
    </row>
    <row r="3655" spans="1:5" x14ac:dyDescent="0.3">
      <c r="A3655">
        <v>73434</v>
      </c>
      <c r="B3655">
        <v>29352</v>
      </c>
      <c r="C3655">
        <v>1014</v>
      </c>
      <c r="D3655">
        <v>2</v>
      </c>
      <c r="E3655">
        <v>99.96</v>
      </c>
    </row>
    <row r="3656" spans="1:5" x14ac:dyDescent="0.3">
      <c r="A3656">
        <v>73432</v>
      </c>
      <c r="B3656">
        <v>29352</v>
      </c>
      <c r="C3656">
        <v>1004</v>
      </c>
      <c r="D3656">
        <v>1</v>
      </c>
      <c r="E3656">
        <v>399.98</v>
      </c>
    </row>
    <row r="3657" spans="1:5" x14ac:dyDescent="0.3">
      <c r="A3657">
        <v>73440</v>
      </c>
      <c r="B3657">
        <v>29354</v>
      </c>
      <c r="C3657">
        <v>502</v>
      </c>
      <c r="D3657">
        <v>5</v>
      </c>
      <c r="E3657">
        <v>250</v>
      </c>
    </row>
    <row r="3658" spans="1:5" x14ac:dyDescent="0.3">
      <c r="A3658">
        <v>73441</v>
      </c>
      <c r="B3658">
        <v>29354</v>
      </c>
      <c r="C3658">
        <v>1014</v>
      </c>
      <c r="D3658">
        <v>3</v>
      </c>
      <c r="E3658">
        <v>149.94</v>
      </c>
    </row>
    <row r="3659" spans="1:5" x14ac:dyDescent="0.3">
      <c r="A3659">
        <v>73439</v>
      </c>
      <c r="B3659">
        <v>29354</v>
      </c>
      <c r="C3659">
        <v>1014</v>
      </c>
      <c r="D3659">
        <v>2</v>
      </c>
      <c r="E3659">
        <v>99.96</v>
      </c>
    </row>
    <row r="3660" spans="1:5" x14ac:dyDescent="0.3">
      <c r="A3660">
        <v>73445</v>
      </c>
      <c r="B3660">
        <v>29355</v>
      </c>
      <c r="C3660">
        <v>502</v>
      </c>
      <c r="D3660">
        <v>1</v>
      </c>
      <c r="E3660">
        <v>50</v>
      </c>
    </row>
    <row r="3661" spans="1:5" x14ac:dyDescent="0.3">
      <c r="A3661">
        <v>73446</v>
      </c>
      <c r="B3661">
        <v>29355</v>
      </c>
      <c r="C3661">
        <v>957</v>
      </c>
      <c r="D3661">
        <v>1</v>
      </c>
      <c r="E3661">
        <v>299.98</v>
      </c>
    </row>
    <row r="3662" spans="1:5" x14ac:dyDescent="0.3">
      <c r="A3662">
        <v>73443</v>
      </c>
      <c r="B3662">
        <v>29355</v>
      </c>
      <c r="C3662">
        <v>957</v>
      </c>
      <c r="D3662">
        <v>1</v>
      </c>
      <c r="E3662">
        <v>299.98</v>
      </c>
    </row>
    <row r="3663" spans="1:5" x14ac:dyDescent="0.3">
      <c r="A3663">
        <v>73444</v>
      </c>
      <c r="B3663">
        <v>29355</v>
      </c>
      <c r="C3663">
        <v>627</v>
      </c>
      <c r="D3663">
        <v>3</v>
      </c>
      <c r="E3663">
        <v>119.97</v>
      </c>
    </row>
    <row r="3664" spans="1:5" x14ac:dyDescent="0.3">
      <c r="A3664">
        <v>73442</v>
      </c>
      <c r="B3664">
        <v>29355</v>
      </c>
      <c r="C3664">
        <v>627</v>
      </c>
      <c r="D3664">
        <v>4</v>
      </c>
      <c r="E3664">
        <v>159.96</v>
      </c>
    </row>
    <row r="3665" spans="1:5" x14ac:dyDescent="0.3">
      <c r="A3665">
        <v>73451</v>
      </c>
      <c r="B3665">
        <v>29358</v>
      </c>
      <c r="C3665">
        <v>957</v>
      </c>
      <c r="D3665">
        <v>1</v>
      </c>
      <c r="E3665">
        <v>299.98</v>
      </c>
    </row>
    <row r="3666" spans="1:5" x14ac:dyDescent="0.3">
      <c r="A3666">
        <v>73450</v>
      </c>
      <c r="B3666">
        <v>29358</v>
      </c>
      <c r="C3666">
        <v>191</v>
      </c>
      <c r="D3666">
        <v>4</v>
      </c>
      <c r="E3666">
        <v>399.96</v>
      </c>
    </row>
    <row r="3667" spans="1:5" x14ac:dyDescent="0.3">
      <c r="A3667">
        <v>73452</v>
      </c>
      <c r="B3667">
        <v>29358</v>
      </c>
      <c r="C3667">
        <v>1004</v>
      </c>
      <c r="D3667">
        <v>1</v>
      </c>
      <c r="E3667">
        <v>399.98</v>
      </c>
    </row>
    <row r="3668" spans="1:5" x14ac:dyDescent="0.3">
      <c r="A3668">
        <v>73499</v>
      </c>
      <c r="B3668">
        <v>29376</v>
      </c>
      <c r="C3668">
        <v>1073</v>
      </c>
      <c r="D3668">
        <v>1</v>
      </c>
      <c r="E3668">
        <v>199.99</v>
      </c>
    </row>
    <row r="3669" spans="1:5" x14ac:dyDescent="0.3">
      <c r="A3669">
        <v>73500</v>
      </c>
      <c r="B3669">
        <v>29376</v>
      </c>
      <c r="C3669">
        <v>1004</v>
      </c>
      <c r="D3669">
        <v>1</v>
      </c>
      <c r="E3669">
        <v>399.98</v>
      </c>
    </row>
    <row r="3670" spans="1:5" x14ac:dyDescent="0.3">
      <c r="A3670">
        <v>73504</v>
      </c>
      <c r="B3670">
        <v>29377</v>
      </c>
      <c r="C3670">
        <v>365</v>
      </c>
      <c r="D3670">
        <v>1</v>
      </c>
      <c r="E3670">
        <v>59.99</v>
      </c>
    </row>
    <row r="3671" spans="1:5" x14ac:dyDescent="0.3">
      <c r="A3671">
        <v>73503</v>
      </c>
      <c r="B3671">
        <v>29377</v>
      </c>
      <c r="C3671">
        <v>191</v>
      </c>
      <c r="D3671">
        <v>2</v>
      </c>
      <c r="E3671">
        <v>199.98</v>
      </c>
    </row>
    <row r="3672" spans="1:5" x14ac:dyDescent="0.3">
      <c r="A3672">
        <v>73502</v>
      </c>
      <c r="B3672">
        <v>29377</v>
      </c>
      <c r="C3672">
        <v>365</v>
      </c>
      <c r="D3672">
        <v>3</v>
      </c>
      <c r="E3672">
        <v>179.97</v>
      </c>
    </row>
    <row r="3673" spans="1:5" x14ac:dyDescent="0.3">
      <c r="A3673">
        <v>73501</v>
      </c>
      <c r="B3673">
        <v>29377</v>
      </c>
      <c r="C3673">
        <v>778</v>
      </c>
      <c r="D3673">
        <v>2</v>
      </c>
      <c r="E3673">
        <v>49.98</v>
      </c>
    </row>
    <row r="3674" spans="1:5" x14ac:dyDescent="0.3">
      <c r="A3674">
        <v>73546</v>
      </c>
      <c r="B3674">
        <v>29395</v>
      </c>
      <c r="C3674">
        <v>191</v>
      </c>
      <c r="D3674">
        <v>3</v>
      </c>
      <c r="E3674">
        <v>299.97000000000003</v>
      </c>
    </row>
    <row r="3675" spans="1:5" x14ac:dyDescent="0.3">
      <c r="A3675">
        <v>73547</v>
      </c>
      <c r="B3675">
        <v>29395</v>
      </c>
      <c r="C3675">
        <v>273</v>
      </c>
      <c r="D3675">
        <v>4</v>
      </c>
      <c r="E3675">
        <v>111.96</v>
      </c>
    </row>
    <row r="3676" spans="1:5" x14ac:dyDescent="0.3">
      <c r="A3676">
        <v>73545</v>
      </c>
      <c r="B3676">
        <v>29395</v>
      </c>
      <c r="C3676">
        <v>365</v>
      </c>
      <c r="D3676">
        <v>4</v>
      </c>
      <c r="E3676">
        <v>239.96</v>
      </c>
    </row>
    <row r="3677" spans="1:5" x14ac:dyDescent="0.3">
      <c r="A3677">
        <v>73667</v>
      </c>
      <c r="B3677">
        <v>29446</v>
      </c>
      <c r="C3677">
        <v>365</v>
      </c>
      <c r="D3677">
        <v>1</v>
      </c>
      <c r="E3677">
        <v>59.99</v>
      </c>
    </row>
    <row r="3678" spans="1:5" x14ac:dyDescent="0.3">
      <c r="A3678">
        <v>73666</v>
      </c>
      <c r="B3678">
        <v>29446</v>
      </c>
      <c r="C3678">
        <v>1014</v>
      </c>
      <c r="D3678">
        <v>5</v>
      </c>
      <c r="E3678">
        <v>249.9</v>
      </c>
    </row>
    <row r="3679" spans="1:5" x14ac:dyDescent="0.3">
      <c r="A3679">
        <v>73668</v>
      </c>
      <c r="B3679">
        <v>29446</v>
      </c>
      <c r="C3679">
        <v>1004</v>
      </c>
      <c r="D3679">
        <v>1</v>
      </c>
      <c r="E3679">
        <v>399.98</v>
      </c>
    </row>
    <row r="3680" spans="1:5" x14ac:dyDescent="0.3">
      <c r="A3680">
        <v>73670</v>
      </c>
      <c r="B3680">
        <v>29448</v>
      </c>
      <c r="C3680">
        <v>793</v>
      </c>
      <c r="D3680">
        <v>2</v>
      </c>
      <c r="E3680">
        <v>29.98</v>
      </c>
    </row>
    <row r="3681" spans="1:5" x14ac:dyDescent="0.3">
      <c r="A3681">
        <v>73671</v>
      </c>
      <c r="B3681">
        <v>29448</v>
      </c>
      <c r="C3681">
        <v>1073</v>
      </c>
      <c r="D3681">
        <v>1</v>
      </c>
      <c r="E3681">
        <v>199.99</v>
      </c>
    </row>
    <row r="3682" spans="1:5" x14ac:dyDescent="0.3">
      <c r="A3682">
        <v>73669</v>
      </c>
      <c r="B3682">
        <v>29448</v>
      </c>
      <c r="C3682">
        <v>1004</v>
      </c>
      <c r="D3682">
        <v>1</v>
      </c>
      <c r="E3682">
        <v>399.98</v>
      </c>
    </row>
    <row r="3683" spans="1:5" x14ac:dyDescent="0.3">
      <c r="A3683">
        <v>73672</v>
      </c>
      <c r="B3683">
        <v>29449</v>
      </c>
      <c r="C3683">
        <v>403</v>
      </c>
      <c r="D3683">
        <v>1</v>
      </c>
      <c r="E3683">
        <v>129.99</v>
      </c>
    </row>
    <row r="3684" spans="1:5" x14ac:dyDescent="0.3">
      <c r="A3684">
        <v>73673</v>
      </c>
      <c r="B3684">
        <v>29449</v>
      </c>
      <c r="C3684">
        <v>502</v>
      </c>
      <c r="D3684">
        <v>3</v>
      </c>
      <c r="E3684">
        <v>150</v>
      </c>
    </row>
    <row r="3685" spans="1:5" x14ac:dyDescent="0.3">
      <c r="A3685">
        <v>73674</v>
      </c>
      <c r="B3685">
        <v>29449</v>
      </c>
      <c r="C3685">
        <v>365</v>
      </c>
      <c r="D3685">
        <v>4</v>
      </c>
      <c r="E3685">
        <v>239.96</v>
      </c>
    </row>
    <row r="3686" spans="1:5" x14ac:dyDescent="0.3">
      <c r="A3686">
        <v>73741</v>
      </c>
      <c r="B3686">
        <v>29473</v>
      </c>
      <c r="C3686">
        <v>957</v>
      </c>
      <c r="D3686">
        <v>1</v>
      </c>
      <c r="E3686">
        <v>299.98</v>
      </c>
    </row>
    <row r="3687" spans="1:5" x14ac:dyDescent="0.3">
      <c r="A3687">
        <v>73740</v>
      </c>
      <c r="B3687">
        <v>29473</v>
      </c>
      <c r="C3687">
        <v>957</v>
      </c>
      <c r="D3687">
        <v>1</v>
      </c>
      <c r="E3687">
        <v>299.98</v>
      </c>
    </row>
    <row r="3688" spans="1:5" x14ac:dyDescent="0.3">
      <c r="A3688">
        <v>73745</v>
      </c>
      <c r="B3688">
        <v>29474</v>
      </c>
      <c r="C3688">
        <v>502</v>
      </c>
      <c r="D3688">
        <v>1</v>
      </c>
      <c r="E3688">
        <v>50</v>
      </c>
    </row>
    <row r="3689" spans="1:5" x14ac:dyDescent="0.3">
      <c r="A3689">
        <v>73744</v>
      </c>
      <c r="B3689">
        <v>29474</v>
      </c>
      <c r="C3689">
        <v>1073</v>
      </c>
      <c r="D3689">
        <v>1</v>
      </c>
      <c r="E3689">
        <v>199.99</v>
      </c>
    </row>
    <row r="3690" spans="1:5" x14ac:dyDescent="0.3">
      <c r="A3690">
        <v>73743</v>
      </c>
      <c r="B3690">
        <v>29474</v>
      </c>
      <c r="C3690">
        <v>1073</v>
      </c>
      <c r="D3690">
        <v>1</v>
      </c>
      <c r="E3690">
        <v>199.99</v>
      </c>
    </row>
    <row r="3691" spans="1:5" x14ac:dyDescent="0.3">
      <c r="A3691">
        <v>73742</v>
      </c>
      <c r="B3691">
        <v>29474</v>
      </c>
      <c r="C3691">
        <v>1004</v>
      </c>
      <c r="D3691">
        <v>1</v>
      </c>
      <c r="E3691">
        <v>399.98</v>
      </c>
    </row>
    <row r="3692" spans="1:5" x14ac:dyDescent="0.3">
      <c r="A3692">
        <v>73856</v>
      </c>
      <c r="B3692">
        <v>29510</v>
      </c>
      <c r="C3692">
        <v>365</v>
      </c>
      <c r="D3692">
        <v>2</v>
      </c>
      <c r="E3692">
        <v>119.98</v>
      </c>
    </row>
    <row r="3693" spans="1:5" x14ac:dyDescent="0.3">
      <c r="A3693">
        <v>73855</v>
      </c>
      <c r="B3693">
        <v>29510</v>
      </c>
      <c r="C3693">
        <v>365</v>
      </c>
      <c r="D3693">
        <v>5</v>
      </c>
      <c r="E3693">
        <v>299.95</v>
      </c>
    </row>
    <row r="3694" spans="1:5" x14ac:dyDescent="0.3">
      <c r="A3694">
        <v>73881</v>
      </c>
      <c r="B3694">
        <v>29523</v>
      </c>
      <c r="C3694">
        <v>1073</v>
      </c>
      <c r="D3694">
        <v>1</v>
      </c>
      <c r="E3694">
        <v>199.99</v>
      </c>
    </row>
    <row r="3695" spans="1:5" x14ac:dyDescent="0.3">
      <c r="A3695">
        <v>73883</v>
      </c>
      <c r="B3695">
        <v>29524</v>
      </c>
      <c r="C3695">
        <v>502</v>
      </c>
      <c r="D3695">
        <v>2</v>
      </c>
      <c r="E3695">
        <v>100</v>
      </c>
    </row>
    <row r="3696" spans="1:5" x14ac:dyDescent="0.3">
      <c r="A3696">
        <v>73882</v>
      </c>
      <c r="B3696">
        <v>29524</v>
      </c>
      <c r="C3696">
        <v>502</v>
      </c>
      <c r="D3696">
        <v>5</v>
      </c>
      <c r="E3696">
        <v>250</v>
      </c>
    </row>
    <row r="3697" spans="1:5" x14ac:dyDescent="0.3">
      <c r="A3697">
        <v>73884</v>
      </c>
      <c r="B3697">
        <v>29524</v>
      </c>
      <c r="C3697">
        <v>1004</v>
      </c>
      <c r="D3697">
        <v>1</v>
      </c>
      <c r="E3697">
        <v>399.98</v>
      </c>
    </row>
    <row r="3698" spans="1:5" x14ac:dyDescent="0.3">
      <c r="A3698">
        <v>73888</v>
      </c>
      <c r="B3698">
        <v>29527</v>
      </c>
      <c r="C3698">
        <v>1073</v>
      </c>
      <c r="D3698">
        <v>1</v>
      </c>
      <c r="E3698">
        <v>199.99</v>
      </c>
    </row>
    <row r="3699" spans="1:5" x14ac:dyDescent="0.3">
      <c r="A3699">
        <v>73889</v>
      </c>
      <c r="B3699">
        <v>29527</v>
      </c>
      <c r="C3699">
        <v>403</v>
      </c>
      <c r="D3699">
        <v>1</v>
      </c>
      <c r="E3699">
        <v>129.99</v>
      </c>
    </row>
    <row r="3700" spans="1:5" x14ac:dyDescent="0.3">
      <c r="A3700">
        <v>73886</v>
      </c>
      <c r="B3700">
        <v>29527</v>
      </c>
      <c r="C3700">
        <v>1014</v>
      </c>
      <c r="D3700">
        <v>1</v>
      </c>
      <c r="E3700">
        <v>49.98</v>
      </c>
    </row>
    <row r="3701" spans="1:5" x14ac:dyDescent="0.3">
      <c r="A3701">
        <v>73887</v>
      </c>
      <c r="B3701">
        <v>29527</v>
      </c>
      <c r="C3701">
        <v>1004</v>
      </c>
      <c r="D3701">
        <v>1</v>
      </c>
      <c r="E3701">
        <v>399.98</v>
      </c>
    </row>
    <row r="3702" spans="1:5" x14ac:dyDescent="0.3">
      <c r="A3702">
        <v>73918</v>
      </c>
      <c r="B3702">
        <v>29539</v>
      </c>
      <c r="C3702">
        <v>403</v>
      </c>
      <c r="D3702">
        <v>1</v>
      </c>
      <c r="E3702">
        <v>129.99</v>
      </c>
    </row>
    <row r="3703" spans="1:5" x14ac:dyDescent="0.3">
      <c r="A3703">
        <v>73917</v>
      </c>
      <c r="B3703">
        <v>29539</v>
      </c>
      <c r="C3703">
        <v>627</v>
      </c>
      <c r="D3703">
        <v>4</v>
      </c>
      <c r="E3703">
        <v>159.96</v>
      </c>
    </row>
    <row r="3704" spans="1:5" x14ac:dyDescent="0.3">
      <c r="A3704">
        <v>73916</v>
      </c>
      <c r="B3704">
        <v>29539</v>
      </c>
      <c r="C3704">
        <v>1014</v>
      </c>
      <c r="D3704">
        <v>1</v>
      </c>
      <c r="E3704">
        <v>49.98</v>
      </c>
    </row>
    <row r="3705" spans="1:5" x14ac:dyDescent="0.3">
      <c r="A3705">
        <v>73923</v>
      </c>
      <c r="B3705">
        <v>29540</v>
      </c>
      <c r="C3705">
        <v>1014</v>
      </c>
      <c r="D3705">
        <v>4</v>
      </c>
      <c r="E3705">
        <v>199.92</v>
      </c>
    </row>
    <row r="3706" spans="1:5" x14ac:dyDescent="0.3">
      <c r="A3706">
        <v>73922</v>
      </c>
      <c r="B3706">
        <v>29540</v>
      </c>
      <c r="C3706">
        <v>191</v>
      </c>
      <c r="D3706">
        <v>1</v>
      </c>
      <c r="E3706">
        <v>99.99</v>
      </c>
    </row>
    <row r="3707" spans="1:5" x14ac:dyDescent="0.3">
      <c r="A3707">
        <v>73919</v>
      </c>
      <c r="B3707">
        <v>29540</v>
      </c>
      <c r="C3707">
        <v>365</v>
      </c>
      <c r="D3707">
        <v>1</v>
      </c>
      <c r="E3707">
        <v>59.99</v>
      </c>
    </row>
    <row r="3708" spans="1:5" x14ac:dyDescent="0.3">
      <c r="A3708">
        <v>73921</v>
      </c>
      <c r="B3708">
        <v>29540</v>
      </c>
      <c r="C3708">
        <v>403</v>
      </c>
      <c r="D3708">
        <v>1</v>
      </c>
      <c r="E3708">
        <v>129.99</v>
      </c>
    </row>
    <row r="3709" spans="1:5" x14ac:dyDescent="0.3">
      <c r="A3709">
        <v>73920</v>
      </c>
      <c r="B3709">
        <v>29540</v>
      </c>
      <c r="C3709">
        <v>365</v>
      </c>
      <c r="D3709">
        <v>2</v>
      </c>
      <c r="E3709">
        <v>119.98</v>
      </c>
    </row>
    <row r="3710" spans="1:5" x14ac:dyDescent="0.3">
      <c r="A3710">
        <v>73925</v>
      </c>
      <c r="B3710">
        <v>29541</v>
      </c>
      <c r="C3710">
        <v>1073</v>
      </c>
      <c r="D3710">
        <v>1</v>
      </c>
      <c r="E3710">
        <v>199.99</v>
      </c>
    </row>
    <row r="3711" spans="1:5" x14ac:dyDescent="0.3">
      <c r="A3711">
        <v>73924</v>
      </c>
      <c r="B3711">
        <v>29541</v>
      </c>
      <c r="C3711">
        <v>1073</v>
      </c>
      <c r="D3711">
        <v>1</v>
      </c>
      <c r="E3711">
        <v>199.99</v>
      </c>
    </row>
    <row r="3712" spans="1:5" x14ac:dyDescent="0.3">
      <c r="A3712">
        <v>73927</v>
      </c>
      <c r="B3712">
        <v>29541</v>
      </c>
      <c r="C3712">
        <v>1004</v>
      </c>
      <c r="D3712">
        <v>1</v>
      </c>
      <c r="E3712">
        <v>399.98</v>
      </c>
    </row>
    <row r="3713" spans="1:5" x14ac:dyDescent="0.3">
      <c r="A3713">
        <v>73926</v>
      </c>
      <c r="B3713">
        <v>29541</v>
      </c>
      <c r="C3713">
        <v>403</v>
      </c>
      <c r="D3713">
        <v>1</v>
      </c>
      <c r="E3713">
        <v>129.99</v>
      </c>
    </row>
    <row r="3714" spans="1:5" x14ac:dyDescent="0.3">
      <c r="A3714">
        <v>73929</v>
      </c>
      <c r="B3714">
        <v>29542</v>
      </c>
      <c r="C3714">
        <v>403</v>
      </c>
      <c r="D3714">
        <v>1</v>
      </c>
      <c r="E3714">
        <v>129.99</v>
      </c>
    </row>
    <row r="3715" spans="1:5" x14ac:dyDescent="0.3">
      <c r="A3715">
        <v>73928</v>
      </c>
      <c r="B3715">
        <v>29542</v>
      </c>
      <c r="C3715">
        <v>1073</v>
      </c>
      <c r="D3715">
        <v>1</v>
      </c>
      <c r="E3715">
        <v>199.99</v>
      </c>
    </row>
    <row r="3716" spans="1:5" x14ac:dyDescent="0.3">
      <c r="A3716">
        <v>73932</v>
      </c>
      <c r="B3716">
        <v>29544</v>
      </c>
      <c r="C3716">
        <v>502</v>
      </c>
      <c r="D3716">
        <v>1</v>
      </c>
      <c r="E3716">
        <v>50</v>
      </c>
    </row>
    <row r="3717" spans="1:5" x14ac:dyDescent="0.3">
      <c r="A3717">
        <v>73930</v>
      </c>
      <c r="B3717">
        <v>29544</v>
      </c>
      <c r="C3717">
        <v>365</v>
      </c>
      <c r="D3717">
        <v>5</v>
      </c>
      <c r="E3717">
        <v>299.95</v>
      </c>
    </row>
    <row r="3718" spans="1:5" x14ac:dyDescent="0.3">
      <c r="A3718">
        <v>73931</v>
      </c>
      <c r="B3718">
        <v>29544</v>
      </c>
      <c r="C3718">
        <v>1004</v>
      </c>
      <c r="D3718">
        <v>1</v>
      </c>
      <c r="E3718">
        <v>399.98</v>
      </c>
    </row>
    <row r="3719" spans="1:5" x14ac:dyDescent="0.3">
      <c r="A3719">
        <v>74007</v>
      </c>
      <c r="B3719">
        <v>29573</v>
      </c>
      <c r="C3719">
        <v>1014</v>
      </c>
      <c r="D3719">
        <v>1</v>
      </c>
      <c r="E3719">
        <v>49.98</v>
      </c>
    </row>
    <row r="3720" spans="1:5" x14ac:dyDescent="0.3">
      <c r="A3720">
        <v>74010</v>
      </c>
      <c r="B3720">
        <v>29574</v>
      </c>
      <c r="C3720">
        <v>191</v>
      </c>
      <c r="D3720">
        <v>1</v>
      </c>
      <c r="E3720">
        <v>99.99</v>
      </c>
    </row>
    <row r="3721" spans="1:5" x14ac:dyDescent="0.3">
      <c r="A3721">
        <v>74008</v>
      </c>
      <c r="B3721">
        <v>29574</v>
      </c>
      <c r="C3721">
        <v>502</v>
      </c>
      <c r="D3721">
        <v>2</v>
      </c>
      <c r="E3721">
        <v>100</v>
      </c>
    </row>
    <row r="3722" spans="1:5" x14ac:dyDescent="0.3">
      <c r="A3722">
        <v>74009</v>
      </c>
      <c r="B3722">
        <v>29574</v>
      </c>
      <c r="C3722">
        <v>502</v>
      </c>
      <c r="D3722">
        <v>3</v>
      </c>
      <c r="E3722">
        <v>150</v>
      </c>
    </row>
    <row r="3723" spans="1:5" x14ac:dyDescent="0.3">
      <c r="A3723">
        <v>74011</v>
      </c>
      <c r="B3723">
        <v>29574</v>
      </c>
      <c r="C3723">
        <v>502</v>
      </c>
      <c r="D3723">
        <v>5</v>
      </c>
      <c r="E3723">
        <v>250</v>
      </c>
    </row>
    <row r="3724" spans="1:5" x14ac:dyDescent="0.3">
      <c r="A3724">
        <v>74017</v>
      </c>
      <c r="B3724">
        <v>29579</v>
      </c>
      <c r="C3724">
        <v>365</v>
      </c>
      <c r="D3724">
        <v>1</v>
      </c>
      <c r="E3724">
        <v>59.99</v>
      </c>
    </row>
    <row r="3725" spans="1:5" x14ac:dyDescent="0.3">
      <c r="A3725">
        <v>74020</v>
      </c>
      <c r="B3725">
        <v>29579</v>
      </c>
      <c r="C3725">
        <v>627</v>
      </c>
      <c r="D3725">
        <v>3</v>
      </c>
      <c r="E3725">
        <v>119.97</v>
      </c>
    </row>
    <row r="3726" spans="1:5" x14ac:dyDescent="0.3">
      <c r="A3726">
        <v>74019</v>
      </c>
      <c r="B3726">
        <v>29579</v>
      </c>
      <c r="C3726">
        <v>502</v>
      </c>
      <c r="D3726">
        <v>4</v>
      </c>
      <c r="E3726">
        <v>200</v>
      </c>
    </row>
    <row r="3727" spans="1:5" x14ac:dyDescent="0.3">
      <c r="A3727">
        <v>74018</v>
      </c>
      <c r="B3727">
        <v>29579</v>
      </c>
      <c r="C3727">
        <v>1014</v>
      </c>
      <c r="D3727">
        <v>1</v>
      </c>
      <c r="E3727">
        <v>49.98</v>
      </c>
    </row>
    <row r="3728" spans="1:5" x14ac:dyDescent="0.3">
      <c r="A3728">
        <v>74068</v>
      </c>
      <c r="B3728">
        <v>29597</v>
      </c>
      <c r="C3728">
        <v>403</v>
      </c>
      <c r="D3728">
        <v>1</v>
      </c>
      <c r="E3728">
        <v>129.99</v>
      </c>
    </row>
    <row r="3729" spans="1:5" x14ac:dyDescent="0.3">
      <c r="A3729">
        <v>74067</v>
      </c>
      <c r="B3729">
        <v>29597</v>
      </c>
      <c r="C3729">
        <v>365</v>
      </c>
      <c r="D3729">
        <v>4</v>
      </c>
      <c r="E3729">
        <v>239.96</v>
      </c>
    </row>
    <row r="3730" spans="1:5" x14ac:dyDescent="0.3">
      <c r="A3730">
        <v>74076</v>
      </c>
      <c r="B3730">
        <v>29600</v>
      </c>
      <c r="C3730">
        <v>365</v>
      </c>
      <c r="D3730">
        <v>1</v>
      </c>
      <c r="E3730">
        <v>59.99</v>
      </c>
    </row>
    <row r="3731" spans="1:5" x14ac:dyDescent="0.3">
      <c r="A3731">
        <v>74077</v>
      </c>
      <c r="B3731">
        <v>29600</v>
      </c>
      <c r="C3731">
        <v>172</v>
      </c>
      <c r="D3731">
        <v>3</v>
      </c>
      <c r="E3731">
        <v>90</v>
      </c>
    </row>
    <row r="3732" spans="1:5" x14ac:dyDescent="0.3">
      <c r="A3732">
        <v>74078</v>
      </c>
      <c r="B3732">
        <v>29601</v>
      </c>
      <c r="C3732">
        <v>957</v>
      </c>
      <c r="D3732">
        <v>1</v>
      </c>
      <c r="E3732">
        <v>299.98</v>
      </c>
    </row>
    <row r="3733" spans="1:5" x14ac:dyDescent="0.3">
      <c r="A3733">
        <v>74080</v>
      </c>
      <c r="B3733">
        <v>29602</v>
      </c>
      <c r="C3733">
        <v>403</v>
      </c>
      <c r="D3733">
        <v>1</v>
      </c>
      <c r="E3733">
        <v>129.99</v>
      </c>
    </row>
    <row r="3734" spans="1:5" x14ac:dyDescent="0.3">
      <c r="A3734">
        <v>74079</v>
      </c>
      <c r="B3734">
        <v>29602</v>
      </c>
      <c r="C3734">
        <v>403</v>
      </c>
      <c r="D3734">
        <v>1</v>
      </c>
      <c r="E3734">
        <v>129.99</v>
      </c>
    </row>
    <row r="3735" spans="1:5" x14ac:dyDescent="0.3">
      <c r="A3735">
        <v>74081</v>
      </c>
      <c r="B3735">
        <v>29604</v>
      </c>
      <c r="C3735">
        <v>502</v>
      </c>
      <c r="D3735">
        <v>4</v>
      </c>
      <c r="E3735">
        <v>200</v>
      </c>
    </row>
    <row r="3736" spans="1:5" x14ac:dyDescent="0.3">
      <c r="A3736">
        <v>74082</v>
      </c>
      <c r="B3736">
        <v>29604</v>
      </c>
      <c r="C3736">
        <v>502</v>
      </c>
      <c r="D3736">
        <v>5</v>
      </c>
      <c r="E3736">
        <v>250</v>
      </c>
    </row>
    <row r="3737" spans="1:5" x14ac:dyDescent="0.3">
      <c r="A3737">
        <v>74107</v>
      </c>
      <c r="B3737">
        <v>29618</v>
      </c>
      <c r="C3737">
        <v>1014</v>
      </c>
      <c r="D3737">
        <v>3</v>
      </c>
      <c r="E3737">
        <v>149.94</v>
      </c>
    </row>
    <row r="3738" spans="1:5" x14ac:dyDescent="0.3">
      <c r="A3738">
        <v>74109</v>
      </c>
      <c r="B3738">
        <v>29618</v>
      </c>
      <c r="C3738">
        <v>957</v>
      </c>
      <c r="D3738">
        <v>1</v>
      </c>
      <c r="E3738">
        <v>299.98</v>
      </c>
    </row>
    <row r="3739" spans="1:5" x14ac:dyDescent="0.3">
      <c r="A3739">
        <v>74108</v>
      </c>
      <c r="B3739">
        <v>29618</v>
      </c>
      <c r="C3739">
        <v>502</v>
      </c>
      <c r="D3739">
        <v>4</v>
      </c>
      <c r="E3739">
        <v>200</v>
      </c>
    </row>
    <row r="3740" spans="1:5" x14ac:dyDescent="0.3">
      <c r="A3740">
        <v>74110</v>
      </c>
      <c r="B3740">
        <v>29620</v>
      </c>
      <c r="C3740">
        <v>1073</v>
      </c>
      <c r="D3740">
        <v>1</v>
      </c>
      <c r="E3740">
        <v>199.99</v>
      </c>
    </row>
    <row r="3741" spans="1:5" x14ac:dyDescent="0.3">
      <c r="A3741">
        <v>74197</v>
      </c>
      <c r="B3741">
        <v>29659</v>
      </c>
      <c r="C3741">
        <v>134</v>
      </c>
      <c r="D3741">
        <v>3</v>
      </c>
      <c r="E3741">
        <v>75</v>
      </c>
    </row>
    <row r="3742" spans="1:5" x14ac:dyDescent="0.3">
      <c r="A3742">
        <v>74199</v>
      </c>
      <c r="B3742">
        <v>29659</v>
      </c>
      <c r="C3742">
        <v>957</v>
      </c>
      <c r="D3742">
        <v>1</v>
      </c>
      <c r="E3742">
        <v>299.98</v>
      </c>
    </row>
    <row r="3743" spans="1:5" x14ac:dyDescent="0.3">
      <c r="A3743">
        <v>74198</v>
      </c>
      <c r="B3743">
        <v>29659</v>
      </c>
      <c r="C3743">
        <v>502</v>
      </c>
      <c r="D3743">
        <v>3</v>
      </c>
      <c r="E3743">
        <v>150</v>
      </c>
    </row>
    <row r="3744" spans="1:5" x14ac:dyDescent="0.3">
      <c r="A3744">
        <v>74222</v>
      </c>
      <c r="B3744">
        <v>29671</v>
      </c>
      <c r="C3744">
        <v>502</v>
      </c>
      <c r="D3744">
        <v>3</v>
      </c>
      <c r="E3744">
        <v>150</v>
      </c>
    </row>
    <row r="3745" spans="1:5" x14ac:dyDescent="0.3">
      <c r="A3745">
        <v>74249</v>
      </c>
      <c r="B3745">
        <v>29680</v>
      </c>
      <c r="C3745">
        <v>502</v>
      </c>
      <c r="D3745">
        <v>1</v>
      </c>
      <c r="E3745">
        <v>50</v>
      </c>
    </row>
    <row r="3746" spans="1:5" x14ac:dyDescent="0.3">
      <c r="A3746">
        <v>74250</v>
      </c>
      <c r="B3746">
        <v>29680</v>
      </c>
      <c r="C3746">
        <v>957</v>
      </c>
      <c r="D3746">
        <v>1</v>
      </c>
      <c r="E3746">
        <v>299.98</v>
      </c>
    </row>
    <row r="3747" spans="1:5" x14ac:dyDescent="0.3">
      <c r="A3747">
        <v>74251</v>
      </c>
      <c r="B3747">
        <v>29680</v>
      </c>
      <c r="C3747">
        <v>365</v>
      </c>
      <c r="D3747">
        <v>3</v>
      </c>
      <c r="E3747">
        <v>179.97</v>
      </c>
    </row>
    <row r="3748" spans="1:5" x14ac:dyDescent="0.3">
      <c r="A3748">
        <v>74252</v>
      </c>
      <c r="B3748">
        <v>29680</v>
      </c>
      <c r="C3748">
        <v>191</v>
      </c>
      <c r="D3748">
        <v>5</v>
      </c>
      <c r="E3748">
        <v>499.95</v>
      </c>
    </row>
    <row r="3749" spans="1:5" x14ac:dyDescent="0.3">
      <c r="A3749">
        <v>74268</v>
      </c>
      <c r="B3749">
        <v>29686</v>
      </c>
      <c r="C3749">
        <v>403</v>
      </c>
      <c r="D3749">
        <v>1</v>
      </c>
      <c r="E3749">
        <v>129.99</v>
      </c>
    </row>
    <row r="3750" spans="1:5" x14ac:dyDescent="0.3">
      <c r="A3750">
        <v>74272</v>
      </c>
      <c r="B3750">
        <v>29686</v>
      </c>
      <c r="C3750">
        <v>365</v>
      </c>
      <c r="D3750">
        <v>2</v>
      </c>
      <c r="E3750">
        <v>119.98</v>
      </c>
    </row>
    <row r="3751" spans="1:5" x14ac:dyDescent="0.3">
      <c r="A3751">
        <v>74269</v>
      </c>
      <c r="B3751">
        <v>29686</v>
      </c>
      <c r="C3751">
        <v>565</v>
      </c>
      <c r="D3751">
        <v>3</v>
      </c>
      <c r="E3751">
        <v>210</v>
      </c>
    </row>
    <row r="3752" spans="1:5" x14ac:dyDescent="0.3">
      <c r="A3752">
        <v>74271</v>
      </c>
      <c r="B3752">
        <v>29686</v>
      </c>
      <c r="C3752">
        <v>502</v>
      </c>
      <c r="D3752">
        <v>3</v>
      </c>
      <c r="E3752">
        <v>150</v>
      </c>
    </row>
    <row r="3753" spans="1:5" x14ac:dyDescent="0.3">
      <c r="A3753">
        <v>74270</v>
      </c>
      <c r="B3753">
        <v>29686</v>
      </c>
      <c r="C3753">
        <v>1004</v>
      </c>
      <c r="D3753">
        <v>1</v>
      </c>
      <c r="E3753">
        <v>399.98</v>
      </c>
    </row>
    <row r="3754" spans="1:5" x14ac:dyDescent="0.3">
      <c r="A3754">
        <v>74273</v>
      </c>
      <c r="B3754">
        <v>29687</v>
      </c>
      <c r="C3754">
        <v>403</v>
      </c>
      <c r="D3754">
        <v>1</v>
      </c>
      <c r="E3754">
        <v>129.99</v>
      </c>
    </row>
    <row r="3755" spans="1:5" x14ac:dyDescent="0.3">
      <c r="A3755">
        <v>74274</v>
      </c>
      <c r="B3755">
        <v>29687</v>
      </c>
      <c r="C3755">
        <v>905</v>
      </c>
      <c r="D3755">
        <v>3</v>
      </c>
      <c r="E3755">
        <v>74.97</v>
      </c>
    </row>
    <row r="3756" spans="1:5" x14ac:dyDescent="0.3">
      <c r="A3756">
        <v>74275</v>
      </c>
      <c r="B3756">
        <v>29687</v>
      </c>
      <c r="C3756">
        <v>828</v>
      </c>
      <c r="D3756">
        <v>4</v>
      </c>
      <c r="E3756">
        <v>127.96</v>
      </c>
    </row>
    <row r="3757" spans="1:5" x14ac:dyDescent="0.3">
      <c r="A3757">
        <v>74286</v>
      </c>
      <c r="B3757">
        <v>29692</v>
      </c>
      <c r="C3757">
        <v>191</v>
      </c>
      <c r="D3757">
        <v>1</v>
      </c>
      <c r="E3757">
        <v>99.99</v>
      </c>
    </row>
    <row r="3758" spans="1:5" x14ac:dyDescent="0.3">
      <c r="A3758">
        <v>74285</v>
      </c>
      <c r="B3758">
        <v>29692</v>
      </c>
      <c r="C3758">
        <v>403</v>
      </c>
      <c r="D3758">
        <v>1</v>
      </c>
      <c r="E3758">
        <v>129.99</v>
      </c>
    </row>
    <row r="3759" spans="1:5" x14ac:dyDescent="0.3">
      <c r="A3759">
        <v>74287</v>
      </c>
      <c r="B3759">
        <v>29692</v>
      </c>
      <c r="C3759">
        <v>627</v>
      </c>
      <c r="D3759">
        <v>1</v>
      </c>
      <c r="E3759">
        <v>39.99</v>
      </c>
    </row>
    <row r="3760" spans="1:5" x14ac:dyDescent="0.3">
      <c r="A3760">
        <v>74284</v>
      </c>
      <c r="B3760">
        <v>29692</v>
      </c>
      <c r="C3760">
        <v>1073</v>
      </c>
      <c r="D3760">
        <v>1</v>
      </c>
      <c r="E3760">
        <v>199.99</v>
      </c>
    </row>
    <row r="3761" spans="1:5" x14ac:dyDescent="0.3">
      <c r="A3761">
        <v>74302</v>
      </c>
      <c r="B3761">
        <v>29699</v>
      </c>
      <c r="C3761">
        <v>957</v>
      </c>
      <c r="D3761">
        <v>1</v>
      </c>
      <c r="E3761">
        <v>299.98</v>
      </c>
    </row>
    <row r="3762" spans="1:5" x14ac:dyDescent="0.3">
      <c r="A3762">
        <v>74304</v>
      </c>
      <c r="B3762">
        <v>29699</v>
      </c>
      <c r="C3762">
        <v>627</v>
      </c>
      <c r="D3762">
        <v>4</v>
      </c>
      <c r="E3762">
        <v>159.96</v>
      </c>
    </row>
    <row r="3763" spans="1:5" x14ac:dyDescent="0.3">
      <c r="A3763">
        <v>74303</v>
      </c>
      <c r="B3763">
        <v>29699</v>
      </c>
      <c r="C3763">
        <v>191</v>
      </c>
      <c r="D3763">
        <v>5</v>
      </c>
      <c r="E3763">
        <v>499.95</v>
      </c>
    </row>
    <row r="3764" spans="1:5" x14ac:dyDescent="0.3">
      <c r="A3764">
        <v>74305</v>
      </c>
      <c r="B3764">
        <v>29699</v>
      </c>
      <c r="C3764">
        <v>1073</v>
      </c>
      <c r="D3764">
        <v>1</v>
      </c>
      <c r="E3764">
        <v>199.99</v>
      </c>
    </row>
    <row r="3765" spans="1:5" x14ac:dyDescent="0.3">
      <c r="A3765">
        <v>74334</v>
      </c>
      <c r="B3765">
        <v>29712</v>
      </c>
      <c r="C3765">
        <v>1073</v>
      </c>
      <c r="D3765">
        <v>1</v>
      </c>
      <c r="E3765">
        <v>199.99</v>
      </c>
    </row>
    <row r="3766" spans="1:5" x14ac:dyDescent="0.3">
      <c r="A3766">
        <v>74333</v>
      </c>
      <c r="B3766">
        <v>29712</v>
      </c>
      <c r="C3766">
        <v>1014</v>
      </c>
      <c r="D3766">
        <v>1</v>
      </c>
      <c r="E3766">
        <v>49.98</v>
      </c>
    </row>
    <row r="3767" spans="1:5" x14ac:dyDescent="0.3">
      <c r="A3767">
        <v>74335</v>
      </c>
      <c r="B3767">
        <v>29712</v>
      </c>
      <c r="C3767">
        <v>282</v>
      </c>
      <c r="D3767">
        <v>4</v>
      </c>
      <c r="E3767">
        <v>127.96</v>
      </c>
    </row>
    <row r="3768" spans="1:5" x14ac:dyDescent="0.3">
      <c r="A3768">
        <v>74336</v>
      </c>
      <c r="B3768">
        <v>29712</v>
      </c>
      <c r="C3768">
        <v>365</v>
      </c>
      <c r="D3768">
        <v>5</v>
      </c>
      <c r="E3768">
        <v>299.95</v>
      </c>
    </row>
    <row r="3769" spans="1:5" x14ac:dyDescent="0.3">
      <c r="A3769">
        <v>74337</v>
      </c>
      <c r="B3769">
        <v>29714</v>
      </c>
      <c r="C3769">
        <v>502</v>
      </c>
      <c r="D3769">
        <v>4</v>
      </c>
      <c r="E3769">
        <v>200</v>
      </c>
    </row>
    <row r="3770" spans="1:5" x14ac:dyDescent="0.3">
      <c r="A3770">
        <v>74343</v>
      </c>
      <c r="B3770">
        <v>29719</v>
      </c>
      <c r="C3770">
        <v>365</v>
      </c>
      <c r="D3770">
        <v>1</v>
      </c>
      <c r="E3770">
        <v>59.99</v>
      </c>
    </row>
    <row r="3771" spans="1:5" x14ac:dyDescent="0.3">
      <c r="A3771">
        <v>74344</v>
      </c>
      <c r="B3771">
        <v>29719</v>
      </c>
      <c r="C3771">
        <v>1073</v>
      </c>
      <c r="D3771">
        <v>1</v>
      </c>
      <c r="E3771">
        <v>199.99</v>
      </c>
    </row>
    <row r="3772" spans="1:5" x14ac:dyDescent="0.3">
      <c r="A3772">
        <v>74345</v>
      </c>
      <c r="B3772">
        <v>29719</v>
      </c>
      <c r="C3772">
        <v>1004</v>
      </c>
      <c r="D3772">
        <v>1</v>
      </c>
      <c r="E3772">
        <v>399.98</v>
      </c>
    </row>
    <row r="3773" spans="1:5" x14ac:dyDescent="0.3">
      <c r="A3773">
        <v>74342</v>
      </c>
      <c r="B3773">
        <v>29719</v>
      </c>
      <c r="C3773">
        <v>1004</v>
      </c>
      <c r="D3773">
        <v>1</v>
      </c>
      <c r="E3773">
        <v>399.98</v>
      </c>
    </row>
    <row r="3774" spans="1:5" x14ac:dyDescent="0.3">
      <c r="A3774">
        <v>74346</v>
      </c>
      <c r="B3774">
        <v>29720</v>
      </c>
      <c r="C3774">
        <v>278</v>
      </c>
      <c r="D3774">
        <v>5</v>
      </c>
      <c r="E3774">
        <v>224.95</v>
      </c>
    </row>
    <row r="3775" spans="1:5" x14ac:dyDescent="0.3">
      <c r="A3775">
        <v>74347</v>
      </c>
      <c r="B3775">
        <v>29720</v>
      </c>
      <c r="C3775">
        <v>1073</v>
      </c>
      <c r="D3775">
        <v>1</v>
      </c>
      <c r="E3775">
        <v>199.99</v>
      </c>
    </row>
    <row r="3776" spans="1:5" x14ac:dyDescent="0.3">
      <c r="A3776">
        <v>74348</v>
      </c>
      <c r="B3776">
        <v>29720</v>
      </c>
      <c r="C3776">
        <v>1014</v>
      </c>
      <c r="D3776">
        <v>5</v>
      </c>
      <c r="E3776">
        <v>249.9</v>
      </c>
    </row>
    <row r="3777" spans="1:5" x14ac:dyDescent="0.3">
      <c r="A3777">
        <v>74376</v>
      </c>
      <c r="B3777">
        <v>29729</v>
      </c>
      <c r="C3777">
        <v>1014</v>
      </c>
      <c r="D3777">
        <v>4</v>
      </c>
      <c r="E3777">
        <v>199.92</v>
      </c>
    </row>
    <row r="3778" spans="1:5" x14ac:dyDescent="0.3">
      <c r="A3778">
        <v>74375</v>
      </c>
      <c r="B3778">
        <v>29729</v>
      </c>
      <c r="C3778">
        <v>1004</v>
      </c>
      <c r="D3778">
        <v>1</v>
      </c>
      <c r="E3778">
        <v>399.98</v>
      </c>
    </row>
    <row r="3779" spans="1:5" x14ac:dyDescent="0.3">
      <c r="A3779">
        <v>74425</v>
      </c>
      <c r="B3779">
        <v>29747</v>
      </c>
      <c r="C3779">
        <v>116</v>
      </c>
      <c r="D3779">
        <v>1</v>
      </c>
      <c r="E3779">
        <v>44.99</v>
      </c>
    </row>
    <row r="3780" spans="1:5" x14ac:dyDescent="0.3">
      <c r="A3780">
        <v>74427</v>
      </c>
      <c r="B3780">
        <v>29747</v>
      </c>
      <c r="C3780">
        <v>627</v>
      </c>
      <c r="D3780">
        <v>1</v>
      </c>
      <c r="E3780">
        <v>39.99</v>
      </c>
    </row>
    <row r="3781" spans="1:5" x14ac:dyDescent="0.3">
      <c r="A3781">
        <v>74426</v>
      </c>
      <c r="B3781">
        <v>29747</v>
      </c>
      <c r="C3781">
        <v>365</v>
      </c>
      <c r="D3781">
        <v>2</v>
      </c>
      <c r="E3781">
        <v>119.98</v>
      </c>
    </row>
    <row r="3782" spans="1:5" x14ac:dyDescent="0.3">
      <c r="A3782">
        <v>74428</v>
      </c>
      <c r="B3782">
        <v>29747</v>
      </c>
      <c r="C3782">
        <v>885</v>
      </c>
      <c r="D3782">
        <v>3</v>
      </c>
      <c r="E3782">
        <v>74.97</v>
      </c>
    </row>
    <row r="3783" spans="1:5" x14ac:dyDescent="0.3">
      <c r="A3783">
        <v>74429</v>
      </c>
      <c r="B3783">
        <v>29747</v>
      </c>
      <c r="C3783">
        <v>1004</v>
      </c>
      <c r="D3783">
        <v>1</v>
      </c>
      <c r="E3783">
        <v>399.98</v>
      </c>
    </row>
    <row r="3784" spans="1:5" x14ac:dyDescent="0.3">
      <c r="A3784">
        <v>74434</v>
      </c>
      <c r="B3784">
        <v>29748</v>
      </c>
      <c r="C3784">
        <v>403</v>
      </c>
      <c r="D3784">
        <v>1</v>
      </c>
      <c r="E3784">
        <v>129.99</v>
      </c>
    </row>
    <row r="3785" spans="1:5" x14ac:dyDescent="0.3">
      <c r="A3785">
        <v>74431</v>
      </c>
      <c r="B3785">
        <v>29748</v>
      </c>
      <c r="C3785">
        <v>403</v>
      </c>
      <c r="D3785">
        <v>1</v>
      </c>
      <c r="E3785">
        <v>129.99</v>
      </c>
    </row>
    <row r="3786" spans="1:5" x14ac:dyDescent="0.3">
      <c r="A3786">
        <v>74433</v>
      </c>
      <c r="B3786">
        <v>29748</v>
      </c>
      <c r="C3786">
        <v>957</v>
      </c>
      <c r="D3786">
        <v>1</v>
      </c>
      <c r="E3786">
        <v>299.98</v>
      </c>
    </row>
    <row r="3787" spans="1:5" x14ac:dyDescent="0.3">
      <c r="A3787">
        <v>74432</v>
      </c>
      <c r="B3787">
        <v>29748</v>
      </c>
      <c r="C3787">
        <v>502</v>
      </c>
      <c r="D3787">
        <v>2</v>
      </c>
      <c r="E3787">
        <v>100</v>
      </c>
    </row>
    <row r="3788" spans="1:5" x14ac:dyDescent="0.3">
      <c r="A3788">
        <v>74430</v>
      </c>
      <c r="B3788">
        <v>29748</v>
      </c>
      <c r="C3788">
        <v>1004</v>
      </c>
      <c r="D3788">
        <v>1</v>
      </c>
      <c r="E3788">
        <v>399.98</v>
      </c>
    </row>
    <row r="3789" spans="1:5" x14ac:dyDescent="0.3">
      <c r="A3789">
        <v>74435</v>
      </c>
      <c r="B3789">
        <v>29749</v>
      </c>
      <c r="C3789">
        <v>627</v>
      </c>
      <c r="D3789">
        <v>4</v>
      </c>
      <c r="E3789">
        <v>159.96</v>
      </c>
    </row>
    <row r="3790" spans="1:5" x14ac:dyDescent="0.3">
      <c r="A3790">
        <v>74436</v>
      </c>
      <c r="B3790">
        <v>29749</v>
      </c>
      <c r="C3790">
        <v>1004</v>
      </c>
      <c r="D3790">
        <v>1</v>
      </c>
      <c r="E3790">
        <v>399.98</v>
      </c>
    </row>
    <row r="3791" spans="1:5" x14ac:dyDescent="0.3">
      <c r="A3791">
        <v>74437</v>
      </c>
      <c r="B3791">
        <v>29750</v>
      </c>
      <c r="C3791">
        <v>778</v>
      </c>
      <c r="D3791">
        <v>3</v>
      </c>
      <c r="E3791">
        <v>74.97</v>
      </c>
    </row>
    <row r="3792" spans="1:5" x14ac:dyDescent="0.3">
      <c r="A3792">
        <v>74438</v>
      </c>
      <c r="B3792">
        <v>29750</v>
      </c>
      <c r="C3792">
        <v>191</v>
      </c>
      <c r="D3792">
        <v>3</v>
      </c>
      <c r="E3792">
        <v>299.97000000000003</v>
      </c>
    </row>
    <row r="3793" spans="1:5" x14ac:dyDescent="0.3">
      <c r="A3793">
        <v>74439</v>
      </c>
      <c r="B3793">
        <v>29751</v>
      </c>
      <c r="C3793">
        <v>957</v>
      </c>
      <c r="D3793">
        <v>1</v>
      </c>
      <c r="E3793">
        <v>299.98</v>
      </c>
    </row>
    <row r="3794" spans="1:5" x14ac:dyDescent="0.3">
      <c r="A3794">
        <v>74443</v>
      </c>
      <c r="B3794">
        <v>29752</v>
      </c>
      <c r="C3794">
        <v>885</v>
      </c>
      <c r="D3794">
        <v>2</v>
      </c>
      <c r="E3794">
        <v>49.98</v>
      </c>
    </row>
    <row r="3795" spans="1:5" x14ac:dyDescent="0.3">
      <c r="A3795">
        <v>74442</v>
      </c>
      <c r="B3795">
        <v>29752</v>
      </c>
      <c r="C3795">
        <v>365</v>
      </c>
      <c r="D3795">
        <v>3</v>
      </c>
      <c r="E3795">
        <v>179.97</v>
      </c>
    </row>
    <row r="3796" spans="1:5" x14ac:dyDescent="0.3">
      <c r="A3796">
        <v>74440</v>
      </c>
      <c r="B3796">
        <v>29752</v>
      </c>
      <c r="C3796">
        <v>627</v>
      </c>
      <c r="D3796">
        <v>3</v>
      </c>
      <c r="E3796">
        <v>119.97</v>
      </c>
    </row>
    <row r="3797" spans="1:5" x14ac:dyDescent="0.3">
      <c r="A3797">
        <v>74444</v>
      </c>
      <c r="B3797">
        <v>29752</v>
      </c>
      <c r="C3797">
        <v>365</v>
      </c>
      <c r="D3797">
        <v>4</v>
      </c>
      <c r="E3797">
        <v>239.96</v>
      </c>
    </row>
    <row r="3798" spans="1:5" x14ac:dyDescent="0.3">
      <c r="A3798">
        <v>74441</v>
      </c>
      <c r="B3798">
        <v>29752</v>
      </c>
      <c r="C3798">
        <v>1073</v>
      </c>
      <c r="D3798">
        <v>1</v>
      </c>
      <c r="E3798">
        <v>199.99</v>
      </c>
    </row>
    <row r="3799" spans="1:5" x14ac:dyDescent="0.3">
      <c r="A3799">
        <v>74449</v>
      </c>
      <c r="B3799">
        <v>29753</v>
      </c>
      <c r="C3799">
        <v>1004</v>
      </c>
      <c r="D3799">
        <v>1</v>
      </c>
      <c r="E3799">
        <v>399.98</v>
      </c>
    </row>
    <row r="3800" spans="1:5" x14ac:dyDescent="0.3">
      <c r="A3800">
        <v>74447</v>
      </c>
      <c r="B3800">
        <v>29753</v>
      </c>
      <c r="C3800">
        <v>1004</v>
      </c>
      <c r="D3800">
        <v>1</v>
      </c>
      <c r="E3800">
        <v>399.98</v>
      </c>
    </row>
    <row r="3801" spans="1:5" x14ac:dyDescent="0.3">
      <c r="A3801">
        <v>74448</v>
      </c>
      <c r="B3801">
        <v>29753</v>
      </c>
      <c r="C3801">
        <v>365</v>
      </c>
      <c r="D3801">
        <v>3</v>
      </c>
      <c r="E3801">
        <v>179.97</v>
      </c>
    </row>
    <row r="3802" spans="1:5" x14ac:dyDescent="0.3">
      <c r="A3802">
        <v>74446</v>
      </c>
      <c r="B3802">
        <v>29753</v>
      </c>
      <c r="C3802">
        <v>502</v>
      </c>
      <c r="D3802">
        <v>4</v>
      </c>
      <c r="E3802">
        <v>200</v>
      </c>
    </row>
    <row r="3803" spans="1:5" x14ac:dyDescent="0.3">
      <c r="A3803">
        <v>74445</v>
      </c>
      <c r="B3803">
        <v>29753</v>
      </c>
      <c r="C3803">
        <v>249</v>
      </c>
      <c r="D3803">
        <v>5</v>
      </c>
      <c r="E3803">
        <v>274.85000000000002</v>
      </c>
    </row>
    <row r="3804" spans="1:5" x14ac:dyDescent="0.3">
      <c r="A3804">
        <v>74522</v>
      </c>
      <c r="B3804">
        <v>29780</v>
      </c>
      <c r="C3804">
        <v>365</v>
      </c>
      <c r="D3804">
        <v>2</v>
      </c>
      <c r="E3804">
        <v>119.98</v>
      </c>
    </row>
    <row r="3805" spans="1:5" x14ac:dyDescent="0.3">
      <c r="A3805">
        <v>74521</v>
      </c>
      <c r="B3805">
        <v>29780</v>
      </c>
      <c r="C3805">
        <v>1004</v>
      </c>
      <c r="D3805">
        <v>1</v>
      </c>
      <c r="E3805">
        <v>399.98</v>
      </c>
    </row>
    <row r="3806" spans="1:5" x14ac:dyDescent="0.3">
      <c r="A3806">
        <v>74520</v>
      </c>
      <c r="B3806">
        <v>29780</v>
      </c>
      <c r="C3806">
        <v>1004</v>
      </c>
      <c r="D3806">
        <v>1</v>
      </c>
      <c r="E3806">
        <v>399.98</v>
      </c>
    </row>
    <row r="3807" spans="1:5" x14ac:dyDescent="0.3">
      <c r="A3807">
        <v>74588</v>
      </c>
      <c r="B3807">
        <v>29806</v>
      </c>
      <c r="C3807">
        <v>1004</v>
      </c>
      <c r="D3807">
        <v>1</v>
      </c>
      <c r="E3807">
        <v>399.98</v>
      </c>
    </row>
    <row r="3808" spans="1:5" x14ac:dyDescent="0.3">
      <c r="A3808">
        <v>74719</v>
      </c>
      <c r="B3808">
        <v>29865</v>
      </c>
      <c r="C3808">
        <v>1073</v>
      </c>
      <c r="D3808">
        <v>1</v>
      </c>
      <c r="E3808">
        <v>199.99</v>
      </c>
    </row>
    <row r="3809" spans="1:5" x14ac:dyDescent="0.3">
      <c r="A3809">
        <v>74720</v>
      </c>
      <c r="B3809">
        <v>29865</v>
      </c>
      <c r="C3809">
        <v>403</v>
      </c>
      <c r="D3809">
        <v>1</v>
      </c>
      <c r="E3809">
        <v>129.99</v>
      </c>
    </row>
    <row r="3810" spans="1:5" x14ac:dyDescent="0.3">
      <c r="A3810">
        <v>74717</v>
      </c>
      <c r="B3810">
        <v>29865</v>
      </c>
      <c r="C3810">
        <v>1014</v>
      </c>
      <c r="D3810">
        <v>3</v>
      </c>
      <c r="E3810">
        <v>149.94</v>
      </c>
    </row>
    <row r="3811" spans="1:5" x14ac:dyDescent="0.3">
      <c r="A3811">
        <v>74718</v>
      </c>
      <c r="B3811">
        <v>29865</v>
      </c>
      <c r="C3811">
        <v>1004</v>
      </c>
      <c r="D3811">
        <v>1</v>
      </c>
      <c r="E3811">
        <v>399.98</v>
      </c>
    </row>
    <row r="3812" spans="1:5" x14ac:dyDescent="0.3">
      <c r="A3812">
        <v>74721</v>
      </c>
      <c r="B3812">
        <v>29866</v>
      </c>
      <c r="C3812">
        <v>572</v>
      </c>
      <c r="D3812">
        <v>1</v>
      </c>
      <c r="E3812">
        <v>39.99</v>
      </c>
    </row>
    <row r="3813" spans="1:5" x14ac:dyDescent="0.3">
      <c r="A3813">
        <v>74831</v>
      </c>
      <c r="B3813">
        <v>29911</v>
      </c>
      <c r="C3813">
        <v>502</v>
      </c>
      <c r="D3813">
        <v>5</v>
      </c>
      <c r="E3813">
        <v>250</v>
      </c>
    </row>
    <row r="3814" spans="1:5" x14ac:dyDescent="0.3">
      <c r="A3814">
        <v>74832</v>
      </c>
      <c r="B3814">
        <v>29911</v>
      </c>
      <c r="C3814">
        <v>1014</v>
      </c>
      <c r="D3814">
        <v>5</v>
      </c>
      <c r="E3814">
        <v>249.9</v>
      </c>
    </row>
    <row r="3815" spans="1:5" x14ac:dyDescent="0.3">
      <c r="A3815">
        <v>74838</v>
      </c>
      <c r="B3815">
        <v>29914</v>
      </c>
      <c r="C3815">
        <v>403</v>
      </c>
      <c r="D3815">
        <v>1</v>
      </c>
      <c r="E3815">
        <v>129.99</v>
      </c>
    </row>
    <row r="3816" spans="1:5" x14ac:dyDescent="0.3">
      <c r="A3816">
        <v>74837</v>
      </c>
      <c r="B3816">
        <v>29914</v>
      </c>
      <c r="C3816">
        <v>627</v>
      </c>
      <c r="D3816">
        <v>3</v>
      </c>
      <c r="E3816">
        <v>119.97</v>
      </c>
    </row>
    <row r="3817" spans="1:5" x14ac:dyDescent="0.3">
      <c r="A3817">
        <v>74839</v>
      </c>
      <c r="B3817">
        <v>29914</v>
      </c>
      <c r="C3817">
        <v>191</v>
      </c>
      <c r="D3817">
        <v>4</v>
      </c>
      <c r="E3817">
        <v>399.96</v>
      </c>
    </row>
    <row r="3818" spans="1:5" x14ac:dyDescent="0.3">
      <c r="A3818">
        <v>74840</v>
      </c>
      <c r="B3818">
        <v>29916</v>
      </c>
      <c r="C3818">
        <v>1014</v>
      </c>
      <c r="D3818">
        <v>2</v>
      </c>
      <c r="E3818">
        <v>99.96</v>
      </c>
    </row>
    <row r="3819" spans="1:5" x14ac:dyDescent="0.3">
      <c r="A3819">
        <v>74874</v>
      </c>
      <c r="B3819">
        <v>29932</v>
      </c>
      <c r="C3819">
        <v>1073</v>
      </c>
      <c r="D3819">
        <v>1</v>
      </c>
      <c r="E3819">
        <v>199.99</v>
      </c>
    </row>
    <row r="3820" spans="1:5" x14ac:dyDescent="0.3">
      <c r="A3820">
        <v>74875</v>
      </c>
      <c r="B3820">
        <v>29932</v>
      </c>
      <c r="C3820">
        <v>365</v>
      </c>
      <c r="D3820">
        <v>4</v>
      </c>
      <c r="E3820">
        <v>239.96</v>
      </c>
    </row>
    <row r="3821" spans="1:5" x14ac:dyDescent="0.3">
      <c r="A3821">
        <v>74897</v>
      </c>
      <c r="B3821">
        <v>29942</v>
      </c>
      <c r="C3821">
        <v>502</v>
      </c>
      <c r="D3821">
        <v>4</v>
      </c>
      <c r="E3821">
        <v>200</v>
      </c>
    </row>
    <row r="3822" spans="1:5" x14ac:dyDescent="0.3">
      <c r="A3822">
        <v>74896</v>
      </c>
      <c r="B3822">
        <v>29942</v>
      </c>
      <c r="C3822">
        <v>1014</v>
      </c>
      <c r="D3822">
        <v>5</v>
      </c>
      <c r="E3822">
        <v>249.9</v>
      </c>
    </row>
    <row r="3823" spans="1:5" x14ac:dyDescent="0.3">
      <c r="A3823">
        <v>74895</v>
      </c>
      <c r="B3823">
        <v>29942</v>
      </c>
      <c r="C3823">
        <v>1014</v>
      </c>
      <c r="D3823">
        <v>4</v>
      </c>
      <c r="E3823">
        <v>199.92</v>
      </c>
    </row>
    <row r="3824" spans="1:5" x14ac:dyDescent="0.3">
      <c r="A3824">
        <v>74989</v>
      </c>
      <c r="B3824">
        <v>29988</v>
      </c>
      <c r="C3824">
        <v>365</v>
      </c>
      <c r="D3824">
        <v>1</v>
      </c>
      <c r="E3824">
        <v>59.99</v>
      </c>
    </row>
    <row r="3825" spans="1:5" x14ac:dyDescent="0.3">
      <c r="A3825">
        <v>74987</v>
      </c>
      <c r="B3825">
        <v>29988</v>
      </c>
      <c r="C3825">
        <v>191</v>
      </c>
      <c r="D3825">
        <v>2</v>
      </c>
      <c r="E3825">
        <v>199.98</v>
      </c>
    </row>
    <row r="3826" spans="1:5" x14ac:dyDescent="0.3">
      <c r="A3826">
        <v>74988</v>
      </c>
      <c r="B3826">
        <v>29988</v>
      </c>
      <c r="C3826">
        <v>365</v>
      </c>
      <c r="D3826">
        <v>2</v>
      </c>
      <c r="E3826">
        <v>119.98</v>
      </c>
    </row>
    <row r="3827" spans="1:5" x14ac:dyDescent="0.3">
      <c r="A3827">
        <v>74990</v>
      </c>
      <c r="B3827">
        <v>29988</v>
      </c>
      <c r="C3827">
        <v>365</v>
      </c>
      <c r="D3827">
        <v>5</v>
      </c>
      <c r="E3827">
        <v>299.95</v>
      </c>
    </row>
    <row r="3828" spans="1:5" x14ac:dyDescent="0.3">
      <c r="A3828">
        <v>74986</v>
      </c>
      <c r="B3828">
        <v>29988</v>
      </c>
      <c r="C3828">
        <v>365</v>
      </c>
      <c r="D3828">
        <v>5</v>
      </c>
      <c r="E3828">
        <v>299.95</v>
      </c>
    </row>
    <row r="3829" spans="1:5" x14ac:dyDescent="0.3">
      <c r="A3829">
        <v>75004</v>
      </c>
      <c r="B3829">
        <v>29994</v>
      </c>
      <c r="C3829">
        <v>1073</v>
      </c>
      <c r="D3829">
        <v>1</v>
      </c>
      <c r="E3829">
        <v>199.99</v>
      </c>
    </row>
    <row r="3830" spans="1:5" x14ac:dyDescent="0.3">
      <c r="A3830">
        <v>75007</v>
      </c>
      <c r="B3830">
        <v>29994</v>
      </c>
      <c r="C3830">
        <v>365</v>
      </c>
      <c r="D3830">
        <v>4</v>
      </c>
      <c r="E3830">
        <v>239.96</v>
      </c>
    </row>
    <row r="3831" spans="1:5" x14ac:dyDescent="0.3">
      <c r="A3831">
        <v>75005</v>
      </c>
      <c r="B3831">
        <v>29994</v>
      </c>
      <c r="C3831">
        <v>365</v>
      </c>
      <c r="D3831">
        <v>4</v>
      </c>
      <c r="E3831">
        <v>239.96</v>
      </c>
    </row>
    <row r="3832" spans="1:5" x14ac:dyDescent="0.3">
      <c r="A3832">
        <v>75006</v>
      </c>
      <c r="B3832">
        <v>29994</v>
      </c>
      <c r="C3832">
        <v>1004</v>
      </c>
      <c r="D3832">
        <v>1</v>
      </c>
      <c r="E3832">
        <v>399.98</v>
      </c>
    </row>
    <row r="3833" spans="1:5" x14ac:dyDescent="0.3">
      <c r="A3833">
        <v>75009</v>
      </c>
      <c r="B3833">
        <v>29995</v>
      </c>
      <c r="C3833">
        <v>924</v>
      </c>
      <c r="D3833">
        <v>5</v>
      </c>
      <c r="E3833">
        <v>79.95</v>
      </c>
    </row>
    <row r="3834" spans="1:5" x14ac:dyDescent="0.3">
      <c r="A3834">
        <v>75010</v>
      </c>
      <c r="B3834">
        <v>29995</v>
      </c>
      <c r="C3834">
        <v>502</v>
      </c>
      <c r="D3834">
        <v>1</v>
      </c>
      <c r="E3834">
        <v>50</v>
      </c>
    </row>
    <row r="3835" spans="1:5" x14ac:dyDescent="0.3">
      <c r="A3835">
        <v>75008</v>
      </c>
      <c r="B3835">
        <v>29995</v>
      </c>
      <c r="C3835">
        <v>365</v>
      </c>
      <c r="D3835">
        <v>3</v>
      </c>
      <c r="E3835">
        <v>179.97</v>
      </c>
    </row>
    <row r="3836" spans="1:5" x14ac:dyDescent="0.3">
      <c r="A3836">
        <v>75014</v>
      </c>
      <c r="B3836">
        <v>30000</v>
      </c>
      <c r="C3836">
        <v>502</v>
      </c>
      <c r="D3836">
        <v>3</v>
      </c>
      <c r="E3836">
        <v>150</v>
      </c>
    </row>
    <row r="3837" spans="1:5" x14ac:dyDescent="0.3">
      <c r="A3837">
        <v>75015</v>
      </c>
      <c r="B3837">
        <v>30000</v>
      </c>
      <c r="C3837">
        <v>502</v>
      </c>
      <c r="D3837">
        <v>4</v>
      </c>
      <c r="E3837">
        <v>200</v>
      </c>
    </row>
    <row r="3838" spans="1:5" x14ac:dyDescent="0.3">
      <c r="A3838">
        <v>75017</v>
      </c>
      <c r="B3838">
        <v>30000</v>
      </c>
      <c r="C3838">
        <v>1014</v>
      </c>
      <c r="D3838">
        <v>1</v>
      </c>
      <c r="E3838">
        <v>49.98</v>
      </c>
    </row>
    <row r="3839" spans="1:5" x14ac:dyDescent="0.3">
      <c r="A3839">
        <v>75016</v>
      </c>
      <c r="B3839">
        <v>30000</v>
      </c>
      <c r="C3839">
        <v>1014</v>
      </c>
      <c r="D3839">
        <v>2</v>
      </c>
      <c r="E3839">
        <v>99.96</v>
      </c>
    </row>
    <row r="3840" spans="1:5" x14ac:dyDescent="0.3">
      <c r="A3840">
        <v>75018</v>
      </c>
      <c r="B3840">
        <v>30002</v>
      </c>
      <c r="C3840">
        <v>403</v>
      </c>
      <c r="D3840">
        <v>1</v>
      </c>
      <c r="E3840">
        <v>129.99</v>
      </c>
    </row>
    <row r="3841" spans="1:5" x14ac:dyDescent="0.3">
      <c r="A3841">
        <v>75019</v>
      </c>
      <c r="B3841">
        <v>30002</v>
      </c>
      <c r="C3841">
        <v>1004</v>
      </c>
      <c r="D3841">
        <v>1</v>
      </c>
      <c r="E3841">
        <v>399.98</v>
      </c>
    </row>
    <row r="3842" spans="1:5" x14ac:dyDescent="0.3">
      <c r="A3842">
        <v>75036</v>
      </c>
      <c r="B3842">
        <v>30010</v>
      </c>
      <c r="C3842">
        <v>365</v>
      </c>
      <c r="D3842">
        <v>4</v>
      </c>
      <c r="E3842">
        <v>239.96</v>
      </c>
    </row>
    <row r="3843" spans="1:5" x14ac:dyDescent="0.3">
      <c r="A3843">
        <v>75037</v>
      </c>
      <c r="B3843">
        <v>30010</v>
      </c>
      <c r="C3843">
        <v>1073</v>
      </c>
      <c r="D3843">
        <v>1</v>
      </c>
      <c r="E3843">
        <v>199.99</v>
      </c>
    </row>
    <row r="3844" spans="1:5" x14ac:dyDescent="0.3">
      <c r="A3844">
        <v>75035</v>
      </c>
      <c r="B3844">
        <v>30010</v>
      </c>
      <c r="C3844">
        <v>403</v>
      </c>
      <c r="D3844">
        <v>1</v>
      </c>
      <c r="E3844">
        <v>129.99</v>
      </c>
    </row>
    <row r="3845" spans="1:5" x14ac:dyDescent="0.3">
      <c r="A3845">
        <v>75038</v>
      </c>
      <c r="B3845">
        <v>30010</v>
      </c>
      <c r="C3845">
        <v>502</v>
      </c>
      <c r="D3845">
        <v>1</v>
      </c>
      <c r="E3845">
        <v>50</v>
      </c>
    </row>
    <row r="3846" spans="1:5" x14ac:dyDescent="0.3">
      <c r="A3846">
        <v>75039</v>
      </c>
      <c r="B3846">
        <v>30010</v>
      </c>
      <c r="C3846">
        <v>365</v>
      </c>
      <c r="D3846">
        <v>2</v>
      </c>
      <c r="E3846">
        <v>119.98</v>
      </c>
    </row>
    <row r="3847" spans="1:5" x14ac:dyDescent="0.3">
      <c r="A3847">
        <v>75040</v>
      </c>
      <c r="B3847">
        <v>30013</v>
      </c>
      <c r="C3847">
        <v>1073</v>
      </c>
      <c r="D3847">
        <v>1</v>
      </c>
      <c r="E3847">
        <v>199.99</v>
      </c>
    </row>
    <row r="3848" spans="1:5" x14ac:dyDescent="0.3">
      <c r="A3848">
        <v>75041</v>
      </c>
      <c r="B3848">
        <v>30013</v>
      </c>
      <c r="C3848">
        <v>1004</v>
      </c>
      <c r="D3848">
        <v>1</v>
      </c>
      <c r="E3848">
        <v>399.98</v>
      </c>
    </row>
    <row r="3849" spans="1:5" x14ac:dyDescent="0.3">
      <c r="A3849">
        <v>75052</v>
      </c>
      <c r="B3849">
        <v>30017</v>
      </c>
      <c r="C3849">
        <v>502</v>
      </c>
      <c r="D3849">
        <v>4</v>
      </c>
      <c r="E3849">
        <v>200</v>
      </c>
    </row>
    <row r="3850" spans="1:5" x14ac:dyDescent="0.3">
      <c r="A3850">
        <v>75051</v>
      </c>
      <c r="B3850">
        <v>30017</v>
      </c>
      <c r="C3850">
        <v>1073</v>
      </c>
      <c r="D3850">
        <v>1</v>
      </c>
      <c r="E3850">
        <v>199.99</v>
      </c>
    </row>
    <row r="3851" spans="1:5" x14ac:dyDescent="0.3">
      <c r="A3851">
        <v>75055</v>
      </c>
      <c r="B3851">
        <v>30019</v>
      </c>
      <c r="C3851">
        <v>403</v>
      </c>
      <c r="D3851">
        <v>1</v>
      </c>
      <c r="E3851">
        <v>129.99</v>
      </c>
    </row>
    <row r="3852" spans="1:5" x14ac:dyDescent="0.3">
      <c r="A3852">
        <v>75054</v>
      </c>
      <c r="B3852">
        <v>30019</v>
      </c>
      <c r="C3852">
        <v>627</v>
      </c>
      <c r="D3852">
        <v>5</v>
      </c>
      <c r="E3852">
        <v>199.95</v>
      </c>
    </row>
    <row r="3853" spans="1:5" x14ac:dyDescent="0.3">
      <c r="A3853">
        <v>75056</v>
      </c>
      <c r="B3853">
        <v>30019</v>
      </c>
      <c r="C3853">
        <v>1073</v>
      </c>
      <c r="D3853">
        <v>1</v>
      </c>
      <c r="E3853">
        <v>199.99</v>
      </c>
    </row>
    <row r="3854" spans="1:5" x14ac:dyDescent="0.3">
      <c r="A3854">
        <v>75053</v>
      </c>
      <c r="B3854">
        <v>30019</v>
      </c>
      <c r="C3854">
        <v>1073</v>
      </c>
      <c r="D3854">
        <v>1</v>
      </c>
      <c r="E3854">
        <v>199.99</v>
      </c>
    </row>
    <row r="3855" spans="1:5" x14ac:dyDescent="0.3">
      <c r="A3855">
        <v>75084</v>
      </c>
      <c r="B3855">
        <v>30033</v>
      </c>
      <c r="C3855">
        <v>403</v>
      </c>
      <c r="D3855">
        <v>1</v>
      </c>
      <c r="E3855">
        <v>129.99</v>
      </c>
    </row>
    <row r="3856" spans="1:5" x14ac:dyDescent="0.3">
      <c r="A3856">
        <v>75083</v>
      </c>
      <c r="B3856">
        <v>30033</v>
      </c>
      <c r="C3856">
        <v>365</v>
      </c>
      <c r="D3856">
        <v>2</v>
      </c>
      <c r="E3856">
        <v>119.98</v>
      </c>
    </row>
    <row r="3857" spans="1:5" x14ac:dyDescent="0.3">
      <c r="A3857">
        <v>75082</v>
      </c>
      <c r="B3857">
        <v>30033</v>
      </c>
      <c r="C3857">
        <v>1073</v>
      </c>
      <c r="D3857">
        <v>1</v>
      </c>
      <c r="E3857">
        <v>199.99</v>
      </c>
    </row>
    <row r="3858" spans="1:5" x14ac:dyDescent="0.3">
      <c r="A3858">
        <v>75086</v>
      </c>
      <c r="B3858">
        <v>30034</v>
      </c>
      <c r="C3858">
        <v>403</v>
      </c>
      <c r="D3858">
        <v>1</v>
      </c>
      <c r="E3858">
        <v>129.99</v>
      </c>
    </row>
    <row r="3859" spans="1:5" x14ac:dyDescent="0.3">
      <c r="A3859">
        <v>75085</v>
      </c>
      <c r="B3859">
        <v>30034</v>
      </c>
      <c r="C3859">
        <v>1004</v>
      </c>
      <c r="D3859">
        <v>1</v>
      </c>
      <c r="E3859">
        <v>399.98</v>
      </c>
    </row>
    <row r="3860" spans="1:5" x14ac:dyDescent="0.3">
      <c r="A3860">
        <v>75109</v>
      </c>
      <c r="B3860">
        <v>30042</v>
      </c>
      <c r="C3860">
        <v>191</v>
      </c>
      <c r="D3860">
        <v>4</v>
      </c>
      <c r="E3860">
        <v>399.96</v>
      </c>
    </row>
    <row r="3861" spans="1:5" x14ac:dyDescent="0.3">
      <c r="A3861">
        <v>75111</v>
      </c>
      <c r="B3861">
        <v>30043</v>
      </c>
      <c r="C3861">
        <v>502</v>
      </c>
      <c r="D3861">
        <v>5</v>
      </c>
      <c r="E3861">
        <v>250</v>
      </c>
    </row>
    <row r="3862" spans="1:5" x14ac:dyDescent="0.3">
      <c r="A3862">
        <v>75110</v>
      </c>
      <c r="B3862">
        <v>30043</v>
      </c>
      <c r="C3862">
        <v>1004</v>
      </c>
      <c r="D3862">
        <v>1</v>
      </c>
      <c r="E3862">
        <v>399.98</v>
      </c>
    </row>
    <row r="3863" spans="1:5" x14ac:dyDescent="0.3">
      <c r="A3863">
        <v>75163</v>
      </c>
      <c r="B3863">
        <v>30068</v>
      </c>
      <c r="C3863">
        <v>1073</v>
      </c>
      <c r="D3863">
        <v>1</v>
      </c>
      <c r="E3863">
        <v>199.99</v>
      </c>
    </row>
    <row r="3864" spans="1:5" x14ac:dyDescent="0.3">
      <c r="A3864">
        <v>75164</v>
      </c>
      <c r="B3864">
        <v>30068</v>
      </c>
      <c r="C3864">
        <v>502</v>
      </c>
      <c r="D3864">
        <v>1</v>
      </c>
      <c r="E3864">
        <v>50</v>
      </c>
    </row>
    <row r="3865" spans="1:5" x14ac:dyDescent="0.3">
      <c r="A3865">
        <v>75167</v>
      </c>
      <c r="B3865">
        <v>30068</v>
      </c>
      <c r="C3865">
        <v>1014</v>
      </c>
      <c r="D3865">
        <v>3</v>
      </c>
      <c r="E3865">
        <v>149.94</v>
      </c>
    </row>
    <row r="3866" spans="1:5" x14ac:dyDescent="0.3">
      <c r="A3866">
        <v>75165</v>
      </c>
      <c r="B3866">
        <v>30068</v>
      </c>
      <c r="C3866">
        <v>1014</v>
      </c>
      <c r="D3866">
        <v>3</v>
      </c>
      <c r="E3866">
        <v>149.94</v>
      </c>
    </row>
    <row r="3867" spans="1:5" x14ac:dyDescent="0.3">
      <c r="A3867">
        <v>75166</v>
      </c>
      <c r="B3867">
        <v>30068</v>
      </c>
      <c r="C3867">
        <v>1004</v>
      </c>
      <c r="D3867">
        <v>1</v>
      </c>
      <c r="E3867">
        <v>399.98</v>
      </c>
    </row>
    <row r="3868" spans="1:5" x14ac:dyDescent="0.3">
      <c r="A3868">
        <v>75170</v>
      </c>
      <c r="B3868">
        <v>30069</v>
      </c>
      <c r="C3868">
        <v>403</v>
      </c>
      <c r="D3868">
        <v>1</v>
      </c>
      <c r="E3868">
        <v>129.99</v>
      </c>
    </row>
    <row r="3869" spans="1:5" x14ac:dyDescent="0.3">
      <c r="A3869">
        <v>75168</v>
      </c>
      <c r="B3869">
        <v>30069</v>
      </c>
      <c r="C3869">
        <v>403</v>
      </c>
      <c r="D3869">
        <v>1</v>
      </c>
      <c r="E3869">
        <v>129.99</v>
      </c>
    </row>
    <row r="3870" spans="1:5" x14ac:dyDescent="0.3">
      <c r="A3870">
        <v>75169</v>
      </c>
      <c r="B3870">
        <v>30069</v>
      </c>
      <c r="C3870">
        <v>365</v>
      </c>
      <c r="D3870">
        <v>1</v>
      </c>
      <c r="E3870">
        <v>59.99</v>
      </c>
    </row>
    <row r="3871" spans="1:5" x14ac:dyDescent="0.3">
      <c r="A3871">
        <v>75172</v>
      </c>
      <c r="B3871">
        <v>30070</v>
      </c>
      <c r="C3871">
        <v>365</v>
      </c>
      <c r="D3871">
        <v>4</v>
      </c>
      <c r="E3871">
        <v>239.96</v>
      </c>
    </row>
    <row r="3872" spans="1:5" x14ac:dyDescent="0.3">
      <c r="A3872">
        <v>75175</v>
      </c>
      <c r="B3872">
        <v>30070</v>
      </c>
      <c r="C3872">
        <v>502</v>
      </c>
      <c r="D3872">
        <v>5</v>
      </c>
      <c r="E3872">
        <v>250</v>
      </c>
    </row>
    <row r="3873" spans="1:5" x14ac:dyDescent="0.3">
      <c r="A3873">
        <v>75174</v>
      </c>
      <c r="B3873">
        <v>30070</v>
      </c>
      <c r="C3873">
        <v>957</v>
      </c>
      <c r="D3873">
        <v>1</v>
      </c>
      <c r="E3873">
        <v>299.98</v>
      </c>
    </row>
    <row r="3874" spans="1:5" x14ac:dyDescent="0.3">
      <c r="A3874">
        <v>75171</v>
      </c>
      <c r="B3874">
        <v>30070</v>
      </c>
      <c r="C3874">
        <v>957</v>
      </c>
      <c r="D3874">
        <v>1</v>
      </c>
      <c r="E3874">
        <v>299.98</v>
      </c>
    </row>
    <row r="3875" spans="1:5" x14ac:dyDescent="0.3">
      <c r="A3875">
        <v>75173</v>
      </c>
      <c r="B3875">
        <v>30070</v>
      </c>
      <c r="C3875">
        <v>502</v>
      </c>
      <c r="D3875">
        <v>3</v>
      </c>
      <c r="E3875">
        <v>150</v>
      </c>
    </row>
    <row r="3876" spans="1:5" x14ac:dyDescent="0.3">
      <c r="A3876">
        <v>75176</v>
      </c>
      <c r="B3876">
        <v>30074</v>
      </c>
      <c r="C3876">
        <v>191</v>
      </c>
      <c r="D3876">
        <v>3</v>
      </c>
      <c r="E3876">
        <v>299.97000000000003</v>
      </c>
    </row>
    <row r="3877" spans="1:5" x14ac:dyDescent="0.3">
      <c r="A3877">
        <v>75207</v>
      </c>
      <c r="B3877">
        <v>30086</v>
      </c>
      <c r="C3877">
        <v>957</v>
      </c>
      <c r="D3877">
        <v>1</v>
      </c>
      <c r="E3877">
        <v>299.98</v>
      </c>
    </row>
    <row r="3878" spans="1:5" x14ac:dyDescent="0.3">
      <c r="A3878">
        <v>75209</v>
      </c>
      <c r="B3878">
        <v>30086</v>
      </c>
      <c r="C3878">
        <v>191</v>
      </c>
      <c r="D3878">
        <v>4</v>
      </c>
      <c r="E3878">
        <v>399.96</v>
      </c>
    </row>
    <row r="3879" spans="1:5" x14ac:dyDescent="0.3">
      <c r="A3879">
        <v>75210</v>
      </c>
      <c r="B3879">
        <v>30086</v>
      </c>
      <c r="C3879">
        <v>1014</v>
      </c>
      <c r="D3879">
        <v>5</v>
      </c>
      <c r="E3879">
        <v>249.9</v>
      </c>
    </row>
    <row r="3880" spans="1:5" x14ac:dyDescent="0.3">
      <c r="A3880">
        <v>75208</v>
      </c>
      <c r="B3880">
        <v>30086</v>
      </c>
      <c r="C3880">
        <v>1014</v>
      </c>
      <c r="D3880">
        <v>3</v>
      </c>
      <c r="E3880">
        <v>149.94</v>
      </c>
    </row>
    <row r="3881" spans="1:5" x14ac:dyDescent="0.3">
      <c r="A3881">
        <v>75206</v>
      </c>
      <c r="B3881">
        <v>30086</v>
      </c>
      <c r="C3881">
        <v>1004</v>
      </c>
      <c r="D3881">
        <v>1</v>
      </c>
      <c r="E3881">
        <v>399.98</v>
      </c>
    </row>
    <row r="3882" spans="1:5" x14ac:dyDescent="0.3">
      <c r="A3882">
        <v>75211</v>
      </c>
      <c r="B3882">
        <v>30087</v>
      </c>
      <c r="C3882">
        <v>627</v>
      </c>
      <c r="D3882">
        <v>3</v>
      </c>
      <c r="E3882">
        <v>119.97</v>
      </c>
    </row>
    <row r="3883" spans="1:5" x14ac:dyDescent="0.3">
      <c r="A3883">
        <v>75284</v>
      </c>
      <c r="B3883">
        <v>30115</v>
      </c>
      <c r="C3883">
        <v>365</v>
      </c>
      <c r="D3883">
        <v>1</v>
      </c>
      <c r="E3883">
        <v>59.99</v>
      </c>
    </row>
    <row r="3884" spans="1:5" x14ac:dyDescent="0.3">
      <c r="A3884">
        <v>75282</v>
      </c>
      <c r="B3884">
        <v>30115</v>
      </c>
      <c r="C3884">
        <v>1073</v>
      </c>
      <c r="D3884">
        <v>1</v>
      </c>
      <c r="E3884">
        <v>199.99</v>
      </c>
    </row>
    <row r="3885" spans="1:5" x14ac:dyDescent="0.3">
      <c r="A3885">
        <v>75283</v>
      </c>
      <c r="B3885">
        <v>30115</v>
      </c>
      <c r="C3885">
        <v>1004</v>
      </c>
      <c r="D3885">
        <v>1</v>
      </c>
      <c r="E3885">
        <v>399.98</v>
      </c>
    </row>
    <row r="3886" spans="1:5" x14ac:dyDescent="0.3">
      <c r="A3886">
        <v>75285</v>
      </c>
      <c r="B3886">
        <v>30116</v>
      </c>
      <c r="C3886">
        <v>249</v>
      </c>
      <c r="D3886">
        <v>4</v>
      </c>
      <c r="E3886">
        <v>219.88</v>
      </c>
    </row>
    <row r="3887" spans="1:5" x14ac:dyDescent="0.3">
      <c r="A3887">
        <v>75286</v>
      </c>
      <c r="B3887">
        <v>30116</v>
      </c>
      <c r="C3887">
        <v>627</v>
      </c>
      <c r="D3887">
        <v>4</v>
      </c>
      <c r="E3887">
        <v>159.96</v>
      </c>
    </row>
    <row r="3888" spans="1:5" x14ac:dyDescent="0.3">
      <c r="A3888">
        <v>75294</v>
      </c>
      <c r="B3888">
        <v>30123</v>
      </c>
      <c r="C3888">
        <v>1014</v>
      </c>
      <c r="D3888">
        <v>3</v>
      </c>
      <c r="E3888">
        <v>149.94</v>
      </c>
    </row>
    <row r="3889" spans="1:5" x14ac:dyDescent="0.3">
      <c r="A3889">
        <v>75293</v>
      </c>
      <c r="B3889">
        <v>30123</v>
      </c>
      <c r="C3889">
        <v>957</v>
      </c>
      <c r="D3889">
        <v>1</v>
      </c>
      <c r="E3889">
        <v>299.98</v>
      </c>
    </row>
    <row r="3890" spans="1:5" x14ac:dyDescent="0.3">
      <c r="A3890">
        <v>75295</v>
      </c>
      <c r="B3890">
        <v>30124</v>
      </c>
      <c r="C3890">
        <v>403</v>
      </c>
      <c r="D3890">
        <v>1</v>
      </c>
      <c r="E3890">
        <v>129.99</v>
      </c>
    </row>
    <row r="3891" spans="1:5" x14ac:dyDescent="0.3">
      <c r="A3891">
        <v>75306</v>
      </c>
      <c r="B3891">
        <v>30129</v>
      </c>
      <c r="C3891">
        <v>957</v>
      </c>
      <c r="D3891">
        <v>1</v>
      </c>
      <c r="E3891">
        <v>299.98</v>
      </c>
    </row>
    <row r="3892" spans="1:5" x14ac:dyDescent="0.3">
      <c r="A3892">
        <v>75305</v>
      </c>
      <c r="B3892">
        <v>30129</v>
      </c>
      <c r="C3892">
        <v>627</v>
      </c>
      <c r="D3892">
        <v>3</v>
      </c>
      <c r="E3892">
        <v>119.97</v>
      </c>
    </row>
    <row r="3893" spans="1:5" x14ac:dyDescent="0.3">
      <c r="A3893">
        <v>75304</v>
      </c>
      <c r="B3893">
        <v>30129</v>
      </c>
      <c r="C3893">
        <v>191</v>
      </c>
      <c r="D3893">
        <v>4</v>
      </c>
      <c r="E3893">
        <v>399.96</v>
      </c>
    </row>
    <row r="3894" spans="1:5" x14ac:dyDescent="0.3">
      <c r="A3894">
        <v>75307</v>
      </c>
      <c r="B3894">
        <v>30129</v>
      </c>
      <c r="C3894">
        <v>1014</v>
      </c>
      <c r="D3894">
        <v>2</v>
      </c>
      <c r="E3894">
        <v>99.96</v>
      </c>
    </row>
    <row r="3895" spans="1:5" x14ac:dyDescent="0.3">
      <c r="A3895">
        <v>75310</v>
      </c>
      <c r="B3895">
        <v>30130</v>
      </c>
      <c r="C3895">
        <v>191</v>
      </c>
      <c r="D3895">
        <v>1</v>
      </c>
      <c r="E3895">
        <v>99.99</v>
      </c>
    </row>
    <row r="3896" spans="1:5" x14ac:dyDescent="0.3">
      <c r="A3896">
        <v>75309</v>
      </c>
      <c r="B3896">
        <v>30130</v>
      </c>
      <c r="C3896">
        <v>403</v>
      </c>
      <c r="D3896">
        <v>1</v>
      </c>
      <c r="E3896">
        <v>129.99</v>
      </c>
    </row>
    <row r="3897" spans="1:5" x14ac:dyDescent="0.3">
      <c r="A3897">
        <v>75308</v>
      </c>
      <c r="B3897">
        <v>30130</v>
      </c>
      <c r="C3897">
        <v>957</v>
      </c>
      <c r="D3897">
        <v>1</v>
      </c>
      <c r="E3897">
        <v>299.98</v>
      </c>
    </row>
    <row r="3898" spans="1:5" x14ac:dyDescent="0.3">
      <c r="A3898">
        <v>75311</v>
      </c>
      <c r="B3898">
        <v>30130</v>
      </c>
      <c r="C3898">
        <v>835</v>
      </c>
      <c r="D3898">
        <v>2</v>
      </c>
      <c r="E3898">
        <v>63.98</v>
      </c>
    </row>
    <row r="3899" spans="1:5" x14ac:dyDescent="0.3">
      <c r="A3899">
        <v>75332</v>
      </c>
      <c r="B3899">
        <v>30140</v>
      </c>
      <c r="C3899">
        <v>957</v>
      </c>
      <c r="D3899">
        <v>1</v>
      </c>
      <c r="E3899">
        <v>299.98</v>
      </c>
    </row>
    <row r="3900" spans="1:5" x14ac:dyDescent="0.3">
      <c r="A3900">
        <v>75333</v>
      </c>
      <c r="B3900">
        <v>30140</v>
      </c>
      <c r="C3900">
        <v>191</v>
      </c>
      <c r="D3900">
        <v>5</v>
      </c>
      <c r="E3900">
        <v>499.95</v>
      </c>
    </row>
    <row r="3901" spans="1:5" x14ac:dyDescent="0.3">
      <c r="A3901">
        <v>75435</v>
      </c>
      <c r="B3901">
        <v>30181</v>
      </c>
      <c r="C3901">
        <v>403</v>
      </c>
      <c r="D3901">
        <v>1</v>
      </c>
      <c r="E3901">
        <v>129.99</v>
      </c>
    </row>
    <row r="3902" spans="1:5" x14ac:dyDescent="0.3">
      <c r="A3902">
        <v>75437</v>
      </c>
      <c r="B3902">
        <v>30181</v>
      </c>
      <c r="C3902">
        <v>957</v>
      </c>
      <c r="D3902">
        <v>1</v>
      </c>
      <c r="E3902">
        <v>299.98</v>
      </c>
    </row>
    <row r="3903" spans="1:5" x14ac:dyDescent="0.3">
      <c r="A3903">
        <v>75436</v>
      </c>
      <c r="B3903">
        <v>30181</v>
      </c>
      <c r="C3903">
        <v>191</v>
      </c>
      <c r="D3903">
        <v>2</v>
      </c>
      <c r="E3903">
        <v>199.98</v>
      </c>
    </row>
    <row r="3904" spans="1:5" x14ac:dyDescent="0.3">
      <c r="A3904">
        <v>75434</v>
      </c>
      <c r="B3904">
        <v>30181</v>
      </c>
      <c r="C3904">
        <v>1073</v>
      </c>
      <c r="D3904">
        <v>1</v>
      </c>
      <c r="E3904">
        <v>199.99</v>
      </c>
    </row>
    <row r="3905" spans="1:5" x14ac:dyDescent="0.3">
      <c r="A3905">
        <v>75442</v>
      </c>
      <c r="B3905">
        <v>30182</v>
      </c>
      <c r="C3905">
        <v>703</v>
      </c>
      <c r="D3905">
        <v>4</v>
      </c>
      <c r="E3905">
        <v>79.959999999999994</v>
      </c>
    </row>
    <row r="3906" spans="1:5" x14ac:dyDescent="0.3">
      <c r="A3906">
        <v>75439</v>
      </c>
      <c r="B3906">
        <v>30182</v>
      </c>
      <c r="C3906">
        <v>1073</v>
      </c>
      <c r="D3906">
        <v>1</v>
      </c>
      <c r="E3906">
        <v>199.99</v>
      </c>
    </row>
    <row r="3907" spans="1:5" x14ac:dyDescent="0.3">
      <c r="A3907">
        <v>75438</v>
      </c>
      <c r="B3907">
        <v>30182</v>
      </c>
      <c r="C3907">
        <v>191</v>
      </c>
      <c r="D3907">
        <v>2</v>
      </c>
      <c r="E3907">
        <v>199.98</v>
      </c>
    </row>
    <row r="3908" spans="1:5" x14ac:dyDescent="0.3">
      <c r="A3908">
        <v>75441</v>
      </c>
      <c r="B3908">
        <v>30182</v>
      </c>
      <c r="C3908">
        <v>365</v>
      </c>
      <c r="D3908">
        <v>2</v>
      </c>
      <c r="E3908">
        <v>119.98</v>
      </c>
    </row>
    <row r="3909" spans="1:5" x14ac:dyDescent="0.3">
      <c r="A3909">
        <v>75440</v>
      </c>
      <c r="B3909">
        <v>30182</v>
      </c>
      <c r="C3909">
        <v>191</v>
      </c>
      <c r="D3909">
        <v>3</v>
      </c>
      <c r="E3909">
        <v>299.97000000000003</v>
      </c>
    </row>
    <row r="3910" spans="1:5" x14ac:dyDescent="0.3">
      <c r="A3910">
        <v>75467</v>
      </c>
      <c r="B3910">
        <v>30199</v>
      </c>
      <c r="C3910">
        <v>564</v>
      </c>
      <c r="D3910">
        <v>3</v>
      </c>
      <c r="E3910">
        <v>90</v>
      </c>
    </row>
    <row r="3911" spans="1:5" x14ac:dyDescent="0.3">
      <c r="A3911">
        <v>75468</v>
      </c>
      <c r="B3911">
        <v>30200</v>
      </c>
      <c r="C3911">
        <v>365</v>
      </c>
      <c r="D3911">
        <v>5</v>
      </c>
      <c r="E3911">
        <v>299.95</v>
      </c>
    </row>
    <row r="3912" spans="1:5" x14ac:dyDescent="0.3">
      <c r="A3912">
        <v>75471</v>
      </c>
      <c r="B3912">
        <v>30200</v>
      </c>
      <c r="C3912">
        <v>797</v>
      </c>
      <c r="D3912">
        <v>5</v>
      </c>
      <c r="E3912">
        <v>89.95</v>
      </c>
    </row>
    <row r="3913" spans="1:5" x14ac:dyDescent="0.3">
      <c r="A3913">
        <v>75470</v>
      </c>
      <c r="B3913">
        <v>30200</v>
      </c>
      <c r="C3913">
        <v>1073</v>
      </c>
      <c r="D3913">
        <v>1</v>
      </c>
      <c r="E3913">
        <v>199.99</v>
      </c>
    </row>
    <row r="3914" spans="1:5" x14ac:dyDescent="0.3">
      <c r="A3914">
        <v>75469</v>
      </c>
      <c r="B3914">
        <v>30200</v>
      </c>
      <c r="C3914">
        <v>1004</v>
      </c>
      <c r="D3914">
        <v>1</v>
      </c>
      <c r="E3914">
        <v>399.98</v>
      </c>
    </row>
    <row r="3915" spans="1:5" x14ac:dyDescent="0.3">
      <c r="A3915">
        <v>75473</v>
      </c>
      <c r="B3915">
        <v>30201</v>
      </c>
      <c r="C3915">
        <v>1073</v>
      </c>
      <c r="D3915">
        <v>1</v>
      </c>
      <c r="E3915">
        <v>199.99</v>
      </c>
    </row>
    <row r="3916" spans="1:5" x14ac:dyDescent="0.3">
      <c r="A3916">
        <v>75472</v>
      </c>
      <c r="B3916">
        <v>30201</v>
      </c>
      <c r="C3916">
        <v>1073</v>
      </c>
      <c r="D3916">
        <v>1</v>
      </c>
      <c r="E3916">
        <v>199.99</v>
      </c>
    </row>
    <row r="3917" spans="1:5" x14ac:dyDescent="0.3">
      <c r="A3917">
        <v>75608</v>
      </c>
      <c r="B3917">
        <v>30263</v>
      </c>
      <c r="C3917">
        <v>1014</v>
      </c>
      <c r="D3917">
        <v>4</v>
      </c>
      <c r="E3917">
        <v>199.92</v>
      </c>
    </row>
    <row r="3918" spans="1:5" x14ac:dyDescent="0.3">
      <c r="A3918">
        <v>75610</v>
      </c>
      <c r="B3918">
        <v>30265</v>
      </c>
      <c r="C3918">
        <v>134</v>
      </c>
      <c r="D3918">
        <v>2</v>
      </c>
      <c r="E3918">
        <v>50</v>
      </c>
    </row>
    <row r="3919" spans="1:5" x14ac:dyDescent="0.3">
      <c r="A3919">
        <v>75611</v>
      </c>
      <c r="B3919">
        <v>30265</v>
      </c>
      <c r="C3919">
        <v>403</v>
      </c>
      <c r="D3919">
        <v>1</v>
      </c>
      <c r="E3919">
        <v>129.99</v>
      </c>
    </row>
    <row r="3920" spans="1:5" x14ac:dyDescent="0.3">
      <c r="A3920">
        <v>75609</v>
      </c>
      <c r="B3920">
        <v>30265</v>
      </c>
      <c r="C3920">
        <v>403</v>
      </c>
      <c r="D3920">
        <v>1</v>
      </c>
      <c r="E3920">
        <v>129.99</v>
      </c>
    </row>
    <row r="3921" spans="1:5" x14ac:dyDescent="0.3">
      <c r="A3921">
        <v>75613</v>
      </c>
      <c r="B3921">
        <v>30265</v>
      </c>
      <c r="C3921">
        <v>627</v>
      </c>
      <c r="D3921">
        <v>2</v>
      </c>
      <c r="E3921">
        <v>79.98</v>
      </c>
    </row>
    <row r="3922" spans="1:5" x14ac:dyDescent="0.3">
      <c r="A3922">
        <v>75612</v>
      </c>
      <c r="B3922">
        <v>30265</v>
      </c>
      <c r="C3922">
        <v>365</v>
      </c>
      <c r="D3922">
        <v>3</v>
      </c>
      <c r="E3922">
        <v>179.97</v>
      </c>
    </row>
    <row r="3923" spans="1:5" x14ac:dyDescent="0.3">
      <c r="A3923">
        <v>75669</v>
      </c>
      <c r="B3923">
        <v>30282</v>
      </c>
      <c r="C3923">
        <v>365</v>
      </c>
      <c r="D3923">
        <v>3</v>
      </c>
      <c r="E3923">
        <v>179.97</v>
      </c>
    </row>
    <row r="3924" spans="1:5" x14ac:dyDescent="0.3">
      <c r="A3924">
        <v>75667</v>
      </c>
      <c r="B3924">
        <v>30282</v>
      </c>
      <c r="C3924">
        <v>365</v>
      </c>
      <c r="D3924">
        <v>3</v>
      </c>
      <c r="E3924">
        <v>179.97</v>
      </c>
    </row>
    <row r="3925" spans="1:5" x14ac:dyDescent="0.3">
      <c r="A3925">
        <v>75668</v>
      </c>
      <c r="B3925">
        <v>30282</v>
      </c>
      <c r="C3925">
        <v>191</v>
      </c>
      <c r="D3925">
        <v>5</v>
      </c>
      <c r="E3925">
        <v>499.95</v>
      </c>
    </row>
    <row r="3926" spans="1:5" x14ac:dyDescent="0.3">
      <c r="A3926">
        <v>174905</v>
      </c>
      <c r="B3926">
        <v>71590</v>
      </c>
      <c r="C3926">
        <v>1354</v>
      </c>
      <c r="D3926">
        <v>1</v>
      </c>
      <c r="E3926">
        <v>164.38</v>
      </c>
    </row>
    <row r="3927" spans="1:5" x14ac:dyDescent="0.3">
      <c r="A3927">
        <v>174942</v>
      </c>
      <c r="B3927">
        <v>71627</v>
      </c>
      <c r="C3927">
        <v>1354</v>
      </c>
      <c r="D3927">
        <v>1</v>
      </c>
      <c r="E3927">
        <v>164.38</v>
      </c>
    </row>
    <row r="3928" spans="1:5" x14ac:dyDescent="0.3">
      <c r="A3928">
        <v>174943</v>
      </c>
      <c r="B3928">
        <v>71628</v>
      </c>
      <c r="C3928">
        <v>1354</v>
      </c>
      <c r="D3928">
        <v>1</v>
      </c>
      <c r="E3928">
        <v>164.38</v>
      </c>
    </row>
    <row r="3929" spans="1:5" x14ac:dyDescent="0.3">
      <c r="A3929">
        <v>174951</v>
      </c>
      <c r="B3929">
        <v>71636</v>
      </c>
      <c r="C3929">
        <v>1354</v>
      </c>
      <c r="D3929">
        <v>1</v>
      </c>
      <c r="E3929">
        <v>164.38</v>
      </c>
    </row>
    <row r="3930" spans="1:5" x14ac:dyDescent="0.3">
      <c r="A3930">
        <v>174966</v>
      </c>
      <c r="B3930">
        <v>71651</v>
      </c>
      <c r="C3930">
        <v>1354</v>
      </c>
      <c r="D3930">
        <v>1</v>
      </c>
      <c r="E3930">
        <v>164.38</v>
      </c>
    </row>
    <row r="3931" spans="1:5" x14ac:dyDescent="0.3">
      <c r="A3931">
        <v>174967</v>
      </c>
      <c r="B3931">
        <v>71652</v>
      </c>
      <c r="C3931">
        <v>1354</v>
      </c>
      <c r="D3931">
        <v>1</v>
      </c>
      <c r="E3931">
        <v>164.38</v>
      </c>
    </row>
    <row r="3932" spans="1:5" x14ac:dyDescent="0.3">
      <c r="A3932">
        <v>174968</v>
      </c>
      <c r="B3932">
        <v>71653</v>
      </c>
      <c r="C3932">
        <v>1354</v>
      </c>
      <c r="D3932">
        <v>1</v>
      </c>
      <c r="E3932">
        <v>164.38</v>
      </c>
    </row>
    <row r="3933" spans="1:5" x14ac:dyDescent="0.3">
      <c r="A3933">
        <v>174969</v>
      </c>
      <c r="B3933">
        <v>71654</v>
      </c>
      <c r="C3933">
        <v>1354</v>
      </c>
      <c r="D3933">
        <v>1</v>
      </c>
      <c r="E3933">
        <v>164.38</v>
      </c>
    </row>
    <row r="3934" spans="1:5" x14ac:dyDescent="0.3">
      <c r="A3934">
        <v>174970</v>
      </c>
      <c r="B3934">
        <v>71655</v>
      </c>
      <c r="C3934">
        <v>1354</v>
      </c>
      <c r="D3934">
        <v>1</v>
      </c>
      <c r="E3934">
        <v>164.38</v>
      </c>
    </row>
    <row r="3935" spans="1:5" x14ac:dyDescent="0.3">
      <c r="A3935">
        <v>174971</v>
      </c>
      <c r="B3935">
        <v>71656</v>
      </c>
      <c r="C3935">
        <v>1354</v>
      </c>
      <c r="D3935">
        <v>1</v>
      </c>
      <c r="E3935">
        <v>164.38</v>
      </c>
    </row>
    <row r="3936" spans="1:5" x14ac:dyDescent="0.3">
      <c r="A3936">
        <v>174973</v>
      </c>
      <c r="B3936">
        <v>71658</v>
      </c>
      <c r="C3936">
        <v>1354</v>
      </c>
      <c r="D3936">
        <v>1</v>
      </c>
      <c r="E3936">
        <v>164.38</v>
      </c>
    </row>
    <row r="3937" spans="1:5" x14ac:dyDescent="0.3">
      <c r="A3937">
        <v>174985</v>
      </c>
      <c r="B3937">
        <v>71670</v>
      </c>
      <c r="C3937">
        <v>1354</v>
      </c>
      <c r="D3937">
        <v>1</v>
      </c>
      <c r="E3937">
        <v>164.38</v>
      </c>
    </row>
    <row r="3938" spans="1:5" x14ac:dyDescent="0.3">
      <c r="A3938">
        <v>174986</v>
      </c>
      <c r="B3938">
        <v>71671</v>
      </c>
      <c r="C3938">
        <v>1354</v>
      </c>
      <c r="D3938">
        <v>1</v>
      </c>
      <c r="E3938">
        <v>164.38</v>
      </c>
    </row>
    <row r="3939" spans="1:5" x14ac:dyDescent="0.3">
      <c r="A3939">
        <v>175012</v>
      </c>
      <c r="B3939">
        <v>71697</v>
      </c>
      <c r="C3939">
        <v>1354</v>
      </c>
      <c r="D3939">
        <v>1</v>
      </c>
      <c r="E3939">
        <v>164.38</v>
      </c>
    </row>
    <row r="3940" spans="1:5" x14ac:dyDescent="0.3">
      <c r="A3940">
        <v>175013</v>
      </c>
      <c r="B3940">
        <v>71698</v>
      </c>
      <c r="C3940">
        <v>1354</v>
      </c>
      <c r="D3940">
        <v>1</v>
      </c>
      <c r="E3940">
        <v>164.38</v>
      </c>
    </row>
    <row r="3941" spans="1:5" x14ac:dyDescent="0.3">
      <c r="A3941">
        <v>175029</v>
      </c>
      <c r="B3941">
        <v>71714</v>
      </c>
      <c r="C3941">
        <v>1354</v>
      </c>
      <c r="D3941">
        <v>1</v>
      </c>
      <c r="E3941">
        <v>164.38</v>
      </c>
    </row>
    <row r="3942" spans="1:5" x14ac:dyDescent="0.3">
      <c r="A3942">
        <v>175031</v>
      </c>
      <c r="B3942">
        <v>71716</v>
      </c>
      <c r="C3942">
        <v>1354</v>
      </c>
      <c r="D3942">
        <v>1</v>
      </c>
      <c r="E3942">
        <v>164.38</v>
      </c>
    </row>
    <row r="3943" spans="1:5" x14ac:dyDescent="0.3">
      <c r="A3943">
        <v>175032</v>
      </c>
      <c r="B3943">
        <v>71717</v>
      </c>
      <c r="C3943">
        <v>1354</v>
      </c>
      <c r="D3943">
        <v>1</v>
      </c>
      <c r="E3943">
        <v>164.38</v>
      </c>
    </row>
    <row r="3944" spans="1:5" x14ac:dyDescent="0.3">
      <c r="A3944">
        <v>175033</v>
      </c>
      <c r="B3944">
        <v>71718</v>
      </c>
      <c r="C3944">
        <v>1354</v>
      </c>
      <c r="D3944">
        <v>1</v>
      </c>
      <c r="E3944">
        <v>164.38</v>
      </c>
    </row>
    <row r="3945" spans="1:5" x14ac:dyDescent="0.3">
      <c r="A3945">
        <v>175034</v>
      </c>
      <c r="B3945">
        <v>71719</v>
      </c>
      <c r="C3945">
        <v>1354</v>
      </c>
      <c r="D3945">
        <v>1</v>
      </c>
      <c r="E3945">
        <v>164.38</v>
      </c>
    </row>
    <row r="3946" spans="1:5" x14ac:dyDescent="0.3">
      <c r="A3946">
        <v>175058</v>
      </c>
      <c r="B3946">
        <v>71743</v>
      </c>
      <c r="C3946">
        <v>1355</v>
      </c>
      <c r="D3946">
        <v>1</v>
      </c>
      <c r="E3946">
        <v>532.58000000000004</v>
      </c>
    </row>
    <row r="3947" spans="1:5" x14ac:dyDescent="0.3">
      <c r="A3947">
        <v>175059</v>
      </c>
      <c r="B3947">
        <v>71744</v>
      </c>
      <c r="C3947">
        <v>1355</v>
      </c>
      <c r="D3947">
        <v>1</v>
      </c>
      <c r="E3947">
        <v>532.58000000000004</v>
      </c>
    </row>
    <row r="3948" spans="1:5" x14ac:dyDescent="0.3">
      <c r="A3948">
        <v>175097</v>
      </c>
      <c r="B3948">
        <v>71782</v>
      </c>
      <c r="C3948">
        <v>1355</v>
      </c>
      <c r="D3948">
        <v>1</v>
      </c>
      <c r="E3948">
        <v>532.58000000000004</v>
      </c>
    </row>
    <row r="3949" spans="1:5" x14ac:dyDescent="0.3">
      <c r="A3949">
        <v>175105</v>
      </c>
      <c r="B3949">
        <v>71790</v>
      </c>
      <c r="C3949">
        <v>1355</v>
      </c>
      <c r="D3949">
        <v>1</v>
      </c>
      <c r="E3949">
        <v>532.58000000000004</v>
      </c>
    </row>
    <row r="3950" spans="1:5" x14ac:dyDescent="0.3">
      <c r="A3950">
        <v>175118</v>
      </c>
      <c r="B3950">
        <v>71803</v>
      </c>
      <c r="C3950">
        <v>1355</v>
      </c>
      <c r="D3950">
        <v>1</v>
      </c>
      <c r="E3950">
        <v>532.58000000000004</v>
      </c>
    </row>
    <row r="3951" spans="1:5" x14ac:dyDescent="0.3">
      <c r="A3951">
        <v>175119</v>
      </c>
      <c r="B3951">
        <v>71804</v>
      </c>
      <c r="C3951">
        <v>1355</v>
      </c>
      <c r="D3951">
        <v>1</v>
      </c>
      <c r="E3951">
        <v>532.58000000000004</v>
      </c>
    </row>
    <row r="3952" spans="1:5" x14ac:dyDescent="0.3">
      <c r="A3952">
        <v>175135</v>
      </c>
      <c r="B3952">
        <v>71820</v>
      </c>
      <c r="C3952">
        <v>1355</v>
      </c>
      <c r="D3952">
        <v>1</v>
      </c>
      <c r="E3952">
        <v>532.58000000000004</v>
      </c>
    </row>
    <row r="3953" spans="1:5" x14ac:dyDescent="0.3">
      <c r="A3953">
        <v>175153</v>
      </c>
      <c r="B3953">
        <v>71838</v>
      </c>
      <c r="C3953">
        <v>1355</v>
      </c>
      <c r="D3953">
        <v>1</v>
      </c>
      <c r="E3953">
        <v>532.58000000000004</v>
      </c>
    </row>
    <row r="3954" spans="1:5" x14ac:dyDescent="0.3">
      <c r="A3954">
        <v>175154</v>
      </c>
      <c r="B3954">
        <v>71839</v>
      </c>
      <c r="C3954">
        <v>1355</v>
      </c>
      <c r="D3954">
        <v>1</v>
      </c>
      <c r="E3954">
        <v>532.58000000000004</v>
      </c>
    </row>
    <row r="3955" spans="1:5" x14ac:dyDescent="0.3">
      <c r="A3955">
        <v>175164</v>
      </c>
      <c r="B3955">
        <v>71849</v>
      </c>
      <c r="C3955">
        <v>1355</v>
      </c>
      <c r="D3955">
        <v>1</v>
      </c>
      <c r="E3955">
        <v>532.58000000000004</v>
      </c>
    </row>
    <row r="3956" spans="1:5" x14ac:dyDescent="0.3">
      <c r="A3956">
        <v>175172</v>
      </c>
      <c r="B3956">
        <v>71857</v>
      </c>
      <c r="C3956">
        <v>1355</v>
      </c>
      <c r="D3956">
        <v>1</v>
      </c>
      <c r="E3956">
        <v>532.58000000000004</v>
      </c>
    </row>
    <row r="3957" spans="1:5" x14ac:dyDescent="0.3">
      <c r="A3957">
        <v>175173</v>
      </c>
      <c r="B3957">
        <v>71858</v>
      </c>
      <c r="C3957">
        <v>1355</v>
      </c>
      <c r="D3957">
        <v>1</v>
      </c>
      <c r="E3957">
        <v>532.58000000000004</v>
      </c>
    </row>
    <row r="3958" spans="1:5" x14ac:dyDescent="0.3">
      <c r="A3958">
        <v>175186</v>
      </c>
      <c r="B3958">
        <v>71871</v>
      </c>
      <c r="C3958">
        <v>1355</v>
      </c>
      <c r="D3958">
        <v>1</v>
      </c>
      <c r="E3958">
        <v>532.58000000000004</v>
      </c>
    </row>
    <row r="3959" spans="1:5" x14ac:dyDescent="0.3">
      <c r="A3959">
        <v>175187</v>
      </c>
      <c r="B3959">
        <v>71872</v>
      </c>
      <c r="C3959">
        <v>1355</v>
      </c>
      <c r="D3959">
        <v>1</v>
      </c>
      <c r="E3959">
        <v>532.58000000000004</v>
      </c>
    </row>
    <row r="3960" spans="1:5" x14ac:dyDescent="0.3">
      <c r="A3960">
        <v>175188</v>
      </c>
      <c r="B3960">
        <v>71873</v>
      </c>
      <c r="C3960">
        <v>1355</v>
      </c>
      <c r="D3960">
        <v>1</v>
      </c>
      <c r="E3960">
        <v>532.58000000000004</v>
      </c>
    </row>
    <row r="3961" spans="1:5" x14ac:dyDescent="0.3">
      <c r="A3961">
        <v>175190</v>
      </c>
      <c r="B3961">
        <v>71875</v>
      </c>
      <c r="C3961">
        <v>1355</v>
      </c>
      <c r="D3961">
        <v>1</v>
      </c>
      <c r="E3961">
        <v>532.58000000000004</v>
      </c>
    </row>
    <row r="3962" spans="1:5" x14ac:dyDescent="0.3">
      <c r="A3962">
        <v>175210</v>
      </c>
      <c r="B3962">
        <v>71895</v>
      </c>
      <c r="C3962">
        <v>1355</v>
      </c>
      <c r="D3962">
        <v>1</v>
      </c>
      <c r="E3962">
        <v>532.58000000000004</v>
      </c>
    </row>
    <row r="3963" spans="1:5" x14ac:dyDescent="0.3">
      <c r="A3963">
        <v>175229</v>
      </c>
      <c r="B3963">
        <v>71914</v>
      </c>
      <c r="C3963">
        <v>1355</v>
      </c>
      <c r="D3963">
        <v>1</v>
      </c>
      <c r="E3963">
        <v>532.58000000000004</v>
      </c>
    </row>
    <row r="3964" spans="1:5" x14ac:dyDescent="0.3">
      <c r="A3964">
        <v>175230</v>
      </c>
      <c r="B3964">
        <v>71915</v>
      </c>
      <c r="C3964">
        <v>1355</v>
      </c>
      <c r="D3964">
        <v>1</v>
      </c>
      <c r="E3964">
        <v>532.58000000000004</v>
      </c>
    </row>
    <row r="3965" spans="1:5" x14ac:dyDescent="0.3">
      <c r="A3965">
        <v>175236</v>
      </c>
      <c r="B3965">
        <v>71921</v>
      </c>
      <c r="C3965">
        <v>1355</v>
      </c>
      <c r="D3965">
        <v>1</v>
      </c>
      <c r="E3965">
        <v>532.58000000000004</v>
      </c>
    </row>
    <row r="3966" spans="1:5" x14ac:dyDescent="0.3">
      <c r="A3966">
        <v>175283</v>
      </c>
      <c r="B3966">
        <v>71968</v>
      </c>
      <c r="C3966">
        <v>1355</v>
      </c>
      <c r="D3966">
        <v>1</v>
      </c>
      <c r="E3966">
        <v>532.58000000000004</v>
      </c>
    </row>
    <row r="3967" spans="1:5" x14ac:dyDescent="0.3">
      <c r="A3967">
        <v>175296</v>
      </c>
      <c r="B3967">
        <v>71981</v>
      </c>
      <c r="C3967">
        <v>1355</v>
      </c>
      <c r="D3967">
        <v>1</v>
      </c>
      <c r="E3967">
        <v>532.58000000000004</v>
      </c>
    </row>
    <row r="3968" spans="1:5" x14ac:dyDescent="0.3">
      <c r="A3968">
        <v>175307</v>
      </c>
      <c r="B3968">
        <v>71992</v>
      </c>
      <c r="C3968">
        <v>1355</v>
      </c>
      <c r="D3968">
        <v>1</v>
      </c>
      <c r="E3968">
        <v>532.58000000000004</v>
      </c>
    </row>
    <row r="3969" spans="1:5" x14ac:dyDescent="0.3">
      <c r="A3969">
        <v>175308</v>
      </c>
      <c r="B3969">
        <v>71993</v>
      </c>
      <c r="C3969">
        <v>1355</v>
      </c>
      <c r="D3969">
        <v>1</v>
      </c>
      <c r="E3969">
        <v>532.58000000000004</v>
      </c>
    </row>
    <row r="3970" spans="1:5" x14ac:dyDescent="0.3">
      <c r="A3970">
        <v>175309</v>
      </c>
      <c r="B3970">
        <v>71994</v>
      </c>
      <c r="C3970">
        <v>1355</v>
      </c>
      <c r="D3970">
        <v>1</v>
      </c>
      <c r="E3970">
        <v>532.58000000000004</v>
      </c>
    </row>
    <row r="3971" spans="1:5" x14ac:dyDescent="0.3">
      <c r="A3971">
        <v>175325</v>
      </c>
      <c r="B3971">
        <v>72010</v>
      </c>
      <c r="C3971">
        <v>1355</v>
      </c>
      <c r="D3971">
        <v>1</v>
      </c>
      <c r="E3971">
        <v>532.58000000000004</v>
      </c>
    </row>
    <row r="3972" spans="1:5" x14ac:dyDescent="0.3">
      <c r="A3972">
        <v>175326</v>
      </c>
      <c r="B3972">
        <v>72011</v>
      </c>
      <c r="C3972">
        <v>1355</v>
      </c>
      <c r="D3972">
        <v>1</v>
      </c>
      <c r="E3972">
        <v>532.58000000000004</v>
      </c>
    </row>
    <row r="3973" spans="1:5" x14ac:dyDescent="0.3">
      <c r="A3973">
        <v>175332</v>
      </c>
      <c r="B3973">
        <v>72017</v>
      </c>
      <c r="C3973">
        <v>1355</v>
      </c>
      <c r="D3973">
        <v>1</v>
      </c>
      <c r="E3973">
        <v>532.58000000000004</v>
      </c>
    </row>
    <row r="3974" spans="1:5" x14ac:dyDescent="0.3">
      <c r="A3974">
        <v>175335</v>
      </c>
      <c r="B3974">
        <v>72020</v>
      </c>
      <c r="C3974">
        <v>1355</v>
      </c>
      <c r="D3974">
        <v>1</v>
      </c>
      <c r="E3974">
        <v>532.58000000000004</v>
      </c>
    </row>
    <row r="3975" spans="1:5" x14ac:dyDescent="0.3">
      <c r="A3975">
        <v>175350</v>
      </c>
      <c r="B3975">
        <v>72035</v>
      </c>
      <c r="C3975">
        <v>1355</v>
      </c>
      <c r="D3975">
        <v>1</v>
      </c>
      <c r="E3975">
        <v>532.58000000000004</v>
      </c>
    </row>
    <row r="3976" spans="1:5" x14ac:dyDescent="0.3">
      <c r="A3976">
        <v>175357</v>
      </c>
      <c r="B3976">
        <v>72042</v>
      </c>
      <c r="C3976">
        <v>1355</v>
      </c>
      <c r="D3976">
        <v>1</v>
      </c>
      <c r="E3976">
        <v>532.58000000000004</v>
      </c>
    </row>
    <row r="3977" spans="1:5" x14ac:dyDescent="0.3">
      <c r="A3977">
        <v>175358</v>
      </c>
      <c r="B3977">
        <v>72043</v>
      </c>
      <c r="C3977">
        <v>1355</v>
      </c>
      <c r="D3977">
        <v>1</v>
      </c>
      <c r="E3977">
        <v>532.58000000000004</v>
      </c>
    </row>
    <row r="3978" spans="1:5" x14ac:dyDescent="0.3">
      <c r="A3978">
        <v>175363</v>
      </c>
      <c r="B3978">
        <v>72048</v>
      </c>
      <c r="C3978">
        <v>1355</v>
      </c>
      <c r="D3978">
        <v>1</v>
      </c>
      <c r="E3978">
        <v>532.58000000000004</v>
      </c>
    </row>
    <row r="3979" spans="1:5" x14ac:dyDescent="0.3">
      <c r="A3979">
        <v>175385</v>
      </c>
      <c r="B3979">
        <v>72070</v>
      </c>
      <c r="C3979">
        <v>1355</v>
      </c>
      <c r="D3979">
        <v>1</v>
      </c>
      <c r="E3979">
        <v>532.58000000000004</v>
      </c>
    </row>
    <row r="3980" spans="1:5" x14ac:dyDescent="0.3">
      <c r="A3980">
        <v>175386</v>
      </c>
      <c r="B3980">
        <v>72071</v>
      </c>
      <c r="C3980">
        <v>1355</v>
      </c>
      <c r="D3980">
        <v>1</v>
      </c>
      <c r="E3980">
        <v>532.58000000000004</v>
      </c>
    </row>
    <row r="3981" spans="1:5" x14ac:dyDescent="0.3">
      <c r="A3981">
        <v>175401</v>
      </c>
      <c r="B3981">
        <v>72086</v>
      </c>
      <c r="C3981">
        <v>1355</v>
      </c>
      <c r="D3981">
        <v>1</v>
      </c>
      <c r="E3981">
        <v>532.58000000000004</v>
      </c>
    </row>
    <row r="3982" spans="1:5" x14ac:dyDescent="0.3">
      <c r="A3982">
        <v>175404</v>
      </c>
      <c r="B3982">
        <v>72089</v>
      </c>
      <c r="C3982">
        <v>1355</v>
      </c>
      <c r="D3982">
        <v>1</v>
      </c>
      <c r="E3982">
        <v>532.58000000000004</v>
      </c>
    </row>
    <row r="3983" spans="1:5" x14ac:dyDescent="0.3">
      <c r="A3983">
        <v>175416</v>
      </c>
      <c r="B3983">
        <v>72101</v>
      </c>
      <c r="C3983">
        <v>1355</v>
      </c>
      <c r="D3983">
        <v>1</v>
      </c>
      <c r="E3983">
        <v>532.58000000000004</v>
      </c>
    </row>
    <row r="3984" spans="1:5" x14ac:dyDescent="0.3">
      <c r="A3984">
        <v>175432</v>
      </c>
      <c r="B3984">
        <v>72117</v>
      </c>
      <c r="C3984">
        <v>1355</v>
      </c>
      <c r="D3984">
        <v>1</v>
      </c>
      <c r="E3984">
        <v>532.58000000000004</v>
      </c>
    </row>
    <row r="3985" spans="1:5" x14ac:dyDescent="0.3">
      <c r="A3985">
        <v>175433</v>
      </c>
      <c r="B3985">
        <v>72118</v>
      </c>
      <c r="C3985">
        <v>1355</v>
      </c>
      <c r="D3985">
        <v>1</v>
      </c>
      <c r="E3985">
        <v>532.58000000000004</v>
      </c>
    </row>
    <row r="3986" spans="1:5" x14ac:dyDescent="0.3">
      <c r="A3986">
        <v>175434</v>
      </c>
      <c r="B3986">
        <v>72119</v>
      </c>
      <c r="C3986">
        <v>1355</v>
      </c>
      <c r="D3986">
        <v>1</v>
      </c>
      <c r="E3986">
        <v>532.58000000000004</v>
      </c>
    </row>
    <row r="3987" spans="1:5" x14ac:dyDescent="0.3">
      <c r="A3987">
        <v>175438</v>
      </c>
      <c r="B3987">
        <v>72123</v>
      </c>
      <c r="C3987">
        <v>1355</v>
      </c>
      <c r="D3987">
        <v>1</v>
      </c>
      <c r="E3987">
        <v>532.58000000000004</v>
      </c>
    </row>
    <row r="3988" spans="1:5" x14ac:dyDescent="0.3">
      <c r="A3988">
        <v>175439</v>
      </c>
      <c r="B3988">
        <v>72124</v>
      </c>
      <c r="C3988">
        <v>1355</v>
      </c>
      <c r="D3988">
        <v>1</v>
      </c>
      <c r="E3988">
        <v>532.58000000000004</v>
      </c>
    </row>
    <row r="3989" spans="1:5" x14ac:dyDescent="0.3">
      <c r="A3989">
        <v>175440</v>
      </c>
      <c r="B3989">
        <v>72125</v>
      </c>
      <c r="C3989">
        <v>1356</v>
      </c>
      <c r="D3989">
        <v>1</v>
      </c>
      <c r="E3989">
        <v>293.04000000000002</v>
      </c>
    </row>
    <row r="3990" spans="1:5" x14ac:dyDescent="0.3">
      <c r="A3990">
        <v>175441</v>
      </c>
      <c r="B3990">
        <v>72126</v>
      </c>
      <c r="C3990">
        <v>1356</v>
      </c>
      <c r="D3990">
        <v>1</v>
      </c>
      <c r="E3990">
        <v>293.04000000000002</v>
      </c>
    </row>
    <row r="3991" spans="1:5" x14ac:dyDescent="0.3">
      <c r="A3991">
        <v>175456</v>
      </c>
      <c r="B3991">
        <v>72141</v>
      </c>
      <c r="C3991">
        <v>1356</v>
      </c>
      <c r="D3991">
        <v>1</v>
      </c>
      <c r="E3991">
        <v>293.04000000000002</v>
      </c>
    </row>
    <row r="3992" spans="1:5" x14ac:dyDescent="0.3">
      <c r="A3992">
        <v>175457</v>
      </c>
      <c r="B3992">
        <v>72142</v>
      </c>
      <c r="C3992">
        <v>1356</v>
      </c>
      <c r="D3992">
        <v>1</v>
      </c>
      <c r="E3992">
        <v>293.04000000000002</v>
      </c>
    </row>
    <row r="3993" spans="1:5" x14ac:dyDescent="0.3">
      <c r="A3993">
        <v>175458</v>
      </c>
      <c r="B3993">
        <v>72143</v>
      </c>
      <c r="C3993">
        <v>1356</v>
      </c>
      <c r="D3993">
        <v>1</v>
      </c>
      <c r="E3993">
        <v>293.04000000000002</v>
      </c>
    </row>
    <row r="3994" spans="1:5" x14ac:dyDescent="0.3">
      <c r="A3994">
        <v>175459</v>
      </c>
      <c r="B3994">
        <v>72144</v>
      </c>
      <c r="C3994">
        <v>1356</v>
      </c>
      <c r="D3994">
        <v>1</v>
      </c>
      <c r="E3994">
        <v>293.04000000000002</v>
      </c>
    </row>
    <row r="3995" spans="1:5" x14ac:dyDescent="0.3">
      <c r="A3995">
        <v>175460</v>
      </c>
      <c r="B3995">
        <v>72145</v>
      </c>
      <c r="C3995">
        <v>1356</v>
      </c>
      <c r="D3995">
        <v>1</v>
      </c>
      <c r="E3995">
        <v>293.04000000000002</v>
      </c>
    </row>
    <row r="3996" spans="1:5" x14ac:dyDescent="0.3">
      <c r="A3996">
        <v>175473</v>
      </c>
      <c r="B3996">
        <v>72158</v>
      </c>
      <c r="C3996">
        <v>1356</v>
      </c>
      <c r="D3996">
        <v>1</v>
      </c>
      <c r="E3996">
        <v>293.04000000000002</v>
      </c>
    </row>
    <row r="3997" spans="1:5" x14ac:dyDescent="0.3">
      <c r="A3997">
        <v>175474</v>
      </c>
      <c r="B3997">
        <v>72159</v>
      </c>
      <c r="C3997">
        <v>1356</v>
      </c>
      <c r="D3997">
        <v>1</v>
      </c>
      <c r="E3997">
        <v>293.04000000000002</v>
      </c>
    </row>
    <row r="3998" spans="1:5" x14ac:dyDescent="0.3">
      <c r="A3998">
        <v>175475</v>
      </c>
      <c r="B3998">
        <v>72160</v>
      </c>
      <c r="C3998">
        <v>1356</v>
      </c>
      <c r="D3998">
        <v>1</v>
      </c>
      <c r="E3998">
        <v>293.04000000000002</v>
      </c>
    </row>
    <row r="3999" spans="1:5" x14ac:dyDescent="0.3">
      <c r="A3999">
        <v>175482</v>
      </c>
      <c r="B3999">
        <v>72167</v>
      </c>
      <c r="C3999">
        <v>1356</v>
      </c>
      <c r="D3999">
        <v>1</v>
      </c>
      <c r="E3999">
        <v>293.04000000000002</v>
      </c>
    </row>
    <row r="4000" spans="1:5" x14ac:dyDescent="0.3">
      <c r="A4000">
        <v>175492</v>
      </c>
      <c r="B4000">
        <v>72177</v>
      </c>
      <c r="C4000">
        <v>1356</v>
      </c>
      <c r="D4000">
        <v>1</v>
      </c>
      <c r="E4000">
        <v>293.04000000000002</v>
      </c>
    </row>
    <row r="4001" spans="1:5" x14ac:dyDescent="0.3">
      <c r="A4001">
        <v>175538</v>
      </c>
      <c r="B4001">
        <v>72223</v>
      </c>
      <c r="C4001">
        <v>1356</v>
      </c>
      <c r="D4001">
        <v>1</v>
      </c>
      <c r="E4001">
        <v>293.04000000000002</v>
      </c>
    </row>
    <row r="4002" spans="1:5" x14ac:dyDescent="0.3">
      <c r="A4002">
        <v>175539</v>
      </c>
      <c r="B4002">
        <v>72224</v>
      </c>
      <c r="C4002">
        <v>1356</v>
      </c>
      <c r="D4002">
        <v>1</v>
      </c>
      <c r="E4002">
        <v>293.04000000000002</v>
      </c>
    </row>
    <row r="4003" spans="1:5" x14ac:dyDescent="0.3">
      <c r="A4003">
        <v>175540</v>
      </c>
      <c r="B4003">
        <v>72225</v>
      </c>
      <c r="C4003">
        <v>1356</v>
      </c>
      <c r="D4003">
        <v>1</v>
      </c>
      <c r="E4003">
        <v>293.04000000000002</v>
      </c>
    </row>
    <row r="4004" spans="1:5" x14ac:dyDescent="0.3">
      <c r="A4004">
        <v>175541</v>
      </c>
      <c r="B4004">
        <v>72226</v>
      </c>
      <c r="C4004">
        <v>1356</v>
      </c>
      <c r="D4004">
        <v>1</v>
      </c>
      <c r="E4004">
        <v>293.04000000000002</v>
      </c>
    </row>
    <row r="4005" spans="1:5" x14ac:dyDescent="0.3">
      <c r="A4005">
        <v>175542</v>
      </c>
      <c r="B4005">
        <v>72227</v>
      </c>
      <c r="C4005">
        <v>1356</v>
      </c>
      <c r="D4005">
        <v>1</v>
      </c>
      <c r="E4005">
        <v>293.04000000000002</v>
      </c>
    </row>
    <row r="4006" spans="1:5" x14ac:dyDescent="0.3">
      <c r="A4006">
        <v>175543</v>
      </c>
      <c r="B4006">
        <v>72228</v>
      </c>
      <c r="C4006">
        <v>1356</v>
      </c>
      <c r="D4006">
        <v>1</v>
      </c>
      <c r="E4006">
        <v>293.04000000000002</v>
      </c>
    </row>
    <row r="4007" spans="1:5" x14ac:dyDescent="0.3">
      <c r="A4007">
        <v>175544</v>
      </c>
      <c r="B4007">
        <v>72229</v>
      </c>
      <c r="C4007">
        <v>1356</v>
      </c>
      <c r="D4007">
        <v>1</v>
      </c>
      <c r="E4007">
        <v>293.04000000000002</v>
      </c>
    </row>
    <row r="4008" spans="1:5" x14ac:dyDescent="0.3">
      <c r="A4008">
        <v>175545</v>
      </c>
      <c r="B4008">
        <v>72230</v>
      </c>
      <c r="C4008">
        <v>1356</v>
      </c>
      <c r="D4008">
        <v>1</v>
      </c>
      <c r="E4008">
        <v>293.04000000000002</v>
      </c>
    </row>
    <row r="4009" spans="1:5" x14ac:dyDescent="0.3">
      <c r="A4009">
        <v>175546</v>
      </c>
      <c r="B4009">
        <v>72231</v>
      </c>
      <c r="C4009">
        <v>1356</v>
      </c>
      <c r="D4009">
        <v>1</v>
      </c>
      <c r="E4009">
        <v>293.04000000000002</v>
      </c>
    </row>
    <row r="4010" spans="1:5" x14ac:dyDescent="0.3">
      <c r="A4010">
        <v>175547</v>
      </c>
      <c r="B4010">
        <v>72232</v>
      </c>
      <c r="C4010">
        <v>1356</v>
      </c>
      <c r="D4010">
        <v>1</v>
      </c>
      <c r="E4010">
        <v>293.04000000000002</v>
      </c>
    </row>
    <row r="4011" spans="1:5" x14ac:dyDescent="0.3">
      <c r="A4011">
        <v>175548</v>
      </c>
      <c r="B4011">
        <v>72233</v>
      </c>
      <c r="C4011">
        <v>1356</v>
      </c>
      <c r="D4011">
        <v>1</v>
      </c>
      <c r="E4011">
        <v>293.04000000000002</v>
      </c>
    </row>
    <row r="4012" spans="1:5" x14ac:dyDescent="0.3">
      <c r="A4012">
        <v>175558</v>
      </c>
      <c r="B4012">
        <v>72243</v>
      </c>
      <c r="C4012">
        <v>1356</v>
      </c>
      <c r="D4012">
        <v>1</v>
      </c>
      <c r="E4012">
        <v>293.04000000000002</v>
      </c>
    </row>
    <row r="4013" spans="1:5" x14ac:dyDescent="0.3">
      <c r="A4013">
        <v>175559</v>
      </c>
      <c r="B4013">
        <v>72244</v>
      </c>
      <c r="C4013">
        <v>1356</v>
      </c>
      <c r="D4013">
        <v>1</v>
      </c>
      <c r="E4013">
        <v>293.04000000000002</v>
      </c>
    </row>
    <row r="4014" spans="1:5" x14ac:dyDescent="0.3">
      <c r="A4014">
        <v>175560</v>
      </c>
      <c r="B4014">
        <v>72245</v>
      </c>
      <c r="C4014">
        <v>1356</v>
      </c>
      <c r="D4014">
        <v>1</v>
      </c>
      <c r="E4014">
        <v>293.04000000000002</v>
      </c>
    </row>
    <row r="4015" spans="1:5" x14ac:dyDescent="0.3">
      <c r="A4015">
        <v>175569</v>
      </c>
      <c r="B4015">
        <v>72254</v>
      </c>
      <c r="C4015">
        <v>1356</v>
      </c>
      <c r="D4015">
        <v>1</v>
      </c>
      <c r="E4015">
        <v>293.04000000000002</v>
      </c>
    </row>
    <row r="4016" spans="1:5" x14ac:dyDescent="0.3">
      <c r="A4016">
        <v>175571</v>
      </c>
      <c r="B4016">
        <v>72256</v>
      </c>
      <c r="C4016">
        <v>1356</v>
      </c>
      <c r="D4016">
        <v>1</v>
      </c>
      <c r="E4016">
        <v>293.04000000000002</v>
      </c>
    </row>
    <row r="4017" spans="1:5" x14ac:dyDescent="0.3">
      <c r="A4017">
        <v>175572</v>
      </c>
      <c r="B4017">
        <v>72257</v>
      </c>
      <c r="C4017">
        <v>1356</v>
      </c>
      <c r="D4017">
        <v>1</v>
      </c>
      <c r="E4017">
        <v>293.04000000000002</v>
      </c>
    </row>
    <row r="4018" spans="1:5" x14ac:dyDescent="0.3">
      <c r="A4018">
        <v>175575</v>
      </c>
      <c r="B4018">
        <v>72260</v>
      </c>
      <c r="C4018">
        <v>1356</v>
      </c>
      <c r="D4018">
        <v>1</v>
      </c>
      <c r="E4018">
        <v>293.04000000000002</v>
      </c>
    </row>
    <row r="4019" spans="1:5" x14ac:dyDescent="0.3">
      <c r="A4019">
        <v>175576</v>
      </c>
      <c r="B4019">
        <v>72261</v>
      </c>
      <c r="C4019">
        <v>1356</v>
      </c>
      <c r="D4019">
        <v>1</v>
      </c>
      <c r="E4019">
        <v>293.04000000000002</v>
      </c>
    </row>
    <row r="4020" spans="1:5" x14ac:dyDescent="0.3">
      <c r="A4020">
        <v>175577</v>
      </c>
      <c r="B4020">
        <v>72262</v>
      </c>
      <c r="C4020">
        <v>1356</v>
      </c>
      <c r="D4020">
        <v>1</v>
      </c>
      <c r="E4020">
        <v>293.04000000000002</v>
      </c>
    </row>
    <row r="4021" spans="1:5" x14ac:dyDescent="0.3">
      <c r="A4021">
        <v>175578</v>
      </c>
      <c r="B4021">
        <v>72263</v>
      </c>
      <c r="C4021">
        <v>1356</v>
      </c>
      <c r="D4021">
        <v>1</v>
      </c>
      <c r="E4021">
        <v>293.04000000000002</v>
      </c>
    </row>
    <row r="4022" spans="1:5" x14ac:dyDescent="0.3">
      <c r="A4022">
        <v>175579</v>
      </c>
      <c r="B4022">
        <v>72264</v>
      </c>
      <c r="C4022">
        <v>1356</v>
      </c>
      <c r="D4022">
        <v>1</v>
      </c>
      <c r="E4022">
        <v>293.04000000000002</v>
      </c>
    </row>
    <row r="4023" spans="1:5" x14ac:dyDescent="0.3">
      <c r="A4023">
        <v>175580</v>
      </c>
      <c r="B4023">
        <v>72265</v>
      </c>
      <c r="C4023">
        <v>1356</v>
      </c>
      <c r="D4023">
        <v>1</v>
      </c>
      <c r="E4023">
        <v>293.04000000000002</v>
      </c>
    </row>
    <row r="4024" spans="1:5" x14ac:dyDescent="0.3">
      <c r="A4024">
        <v>175587</v>
      </c>
      <c r="B4024">
        <v>72272</v>
      </c>
      <c r="C4024">
        <v>1356</v>
      </c>
      <c r="D4024">
        <v>1</v>
      </c>
      <c r="E4024">
        <v>293.04000000000002</v>
      </c>
    </row>
    <row r="4025" spans="1:5" x14ac:dyDescent="0.3">
      <c r="A4025">
        <v>175588</v>
      </c>
      <c r="B4025">
        <v>72273</v>
      </c>
      <c r="C4025">
        <v>1356</v>
      </c>
      <c r="D4025">
        <v>1</v>
      </c>
      <c r="E4025">
        <v>293.04000000000002</v>
      </c>
    </row>
    <row r="4026" spans="1:5" x14ac:dyDescent="0.3">
      <c r="A4026">
        <v>175589</v>
      </c>
      <c r="B4026">
        <v>72274</v>
      </c>
      <c r="C4026">
        <v>1356</v>
      </c>
      <c r="D4026">
        <v>1</v>
      </c>
      <c r="E4026">
        <v>293.04000000000002</v>
      </c>
    </row>
    <row r="4027" spans="1:5" x14ac:dyDescent="0.3">
      <c r="A4027">
        <v>175615</v>
      </c>
      <c r="B4027">
        <v>72300</v>
      </c>
      <c r="C4027">
        <v>1356</v>
      </c>
      <c r="D4027">
        <v>1</v>
      </c>
      <c r="E4027">
        <v>293.04000000000002</v>
      </c>
    </row>
    <row r="4028" spans="1:5" x14ac:dyDescent="0.3">
      <c r="A4028">
        <v>175616</v>
      </c>
      <c r="B4028">
        <v>72301</v>
      </c>
      <c r="C4028">
        <v>1356</v>
      </c>
      <c r="D4028">
        <v>1</v>
      </c>
      <c r="E4028">
        <v>293.04000000000002</v>
      </c>
    </row>
    <row r="4029" spans="1:5" x14ac:dyDescent="0.3">
      <c r="A4029">
        <v>175617</v>
      </c>
      <c r="B4029">
        <v>72302</v>
      </c>
      <c r="C4029">
        <v>1356</v>
      </c>
      <c r="D4029">
        <v>1</v>
      </c>
      <c r="E4029">
        <v>293.04000000000002</v>
      </c>
    </row>
    <row r="4030" spans="1:5" x14ac:dyDescent="0.3">
      <c r="A4030">
        <v>175618</v>
      </c>
      <c r="B4030">
        <v>72303</v>
      </c>
      <c r="C4030">
        <v>1356</v>
      </c>
      <c r="D4030">
        <v>1</v>
      </c>
      <c r="E4030">
        <v>293.04000000000002</v>
      </c>
    </row>
    <row r="4031" spans="1:5" x14ac:dyDescent="0.3">
      <c r="A4031">
        <v>175621</v>
      </c>
      <c r="B4031">
        <v>72306</v>
      </c>
      <c r="C4031">
        <v>1356</v>
      </c>
      <c r="D4031">
        <v>1</v>
      </c>
      <c r="E4031">
        <v>293.04000000000002</v>
      </c>
    </row>
    <row r="4032" spans="1:5" x14ac:dyDescent="0.3">
      <c r="A4032">
        <v>175622</v>
      </c>
      <c r="B4032">
        <v>72307</v>
      </c>
      <c r="C4032">
        <v>1356</v>
      </c>
      <c r="D4032">
        <v>1</v>
      </c>
      <c r="E4032">
        <v>293.04000000000002</v>
      </c>
    </row>
    <row r="4033" spans="1:5" x14ac:dyDescent="0.3">
      <c r="A4033">
        <v>175623</v>
      </c>
      <c r="B4033">
        <v>72308</v>
      </c>
      <c r="C4033">
        <v>1356</v>
      </c>
      <c r="D4033">
        <v>1</v>
      </c>
      <c r="E4033">
        <v>293.04000000000002</v>
      </c>
    </row>
    <row r="4034" spans="1:5" x14ac:dyDescent="0.3">
      <c r="A4034">
        <v>175624</v>
      </c>
      <c r="B4034">
        <v>72309</v>
      </c>
      <c r="C4034">
        <v>1356</v>
      </c>
      <c r="D4034">
        <v>1</v>
      </c>
      <c r="E4034">
        <v>293.04000000000002</v>
      </c>
    </row>
    <row r="4035" spans="1:5" x14ac:dyDescent="0.3">
      <c r="A4035">
        <v>175692</v>
      </c>
      <c r="B4035">
        <v>72377</v>
      </c>
      <c r="C4035">
        <v>1357</v>
      </c>
      <c r="D4035">
        <v>1</v>
      </c>
      <c r="E4035">
        <v>210.85</v>
      </c>
    </row>
    <row r="4036" spans="1:5" x14ac:dyDescent="0.3">
      <c r="A4036">
        <v>175711</v>
      </c>
      <c r="B4036">
        <v>72396</v>
      </c>
      <c r="C4036">
        <v>1357</v>
      </c>
      <c r="D4036">
        <v>1</v>
      </c>
      <c r="E4036">
        <v>210.85</v>
      </c>
    </row>
    <row r="4037" spans="1:5" x14ac:dyDescent="0.3">
      <c r="A4037">
        <v>175712</v>
      </c>
      <c r="B4037">
        <v>72397</v>
      </c>
      <c r="C4037">
        <v>1357</v>
      </c>
      <c r="D4037">
        <v>1</v>
      </c>
      <c r="E4037">
        <v>210.85</v>
      </c>
    </row>
    <row r="4038" spans="1:5" x14ac:dyDescent="0.3">
      <c r="A4038">
        <v>175713</v>
      </c>
      <c r="B4038">
        <v>72398</v>
      </c>
      <c r="C4038">
        <v>1357</v>
      </c>
      <c r="D4038">
        <v>1</v>
      </c>
      <c r="E4038">
        <v>210.85</v>
      </c>
    </row>
    <row r="4039" spans="1:5" x14ac:dyDescent="0.3">
      <c r="A4039">
        <v>175714</v>
      </c>
      <c r="B4039">
        <v>72399</v>
      </c>
      <c r="C4039">
        <v>1357</v>
      </c>
      <c r="D4039">
        <v>1</v>
      </c>
      <c r="E4039">
        <v>210.85</v>
      </c>
    </row>
    <row r="4040" spans="1:5" x14ac:dyDescent="0.3">
      <c r="A4040">
        <v>175715</v>
      </c>
      <c r="B4040">
        <v>72400</v>
      </c>
      <c r="C4040">
        <v>1357</v>
      </c>
      <c r="D4040">
        <v>1</v>
      </c>
      <c r="E4040">
        <v>210.85</v>
      </c>
    </row>
    <row r="4041" spans="1:5" x14ac:dyDescent="0.3">
      <c r="A4041">
        <v>175716</v>
      </c>
      <c r="B4041">
        <v>72401</v>
      </c>
      <c r="C4041">
        <v>1357</v>
      </c>
      <c r="D4041">
        <v>1</v>
      </c>
      <c r="E4041">
        <v>210.85</v>
      </c>
    </row>
    <row r="4042" spans="1:5" x14ac:dyDescent="0.3">
      <c r="A4042">
        <v>175717</v>
      </c>
      <c r="B4042">
        <v>72402</v>
      </c>
      <c r="C4042">
        <v>1357</v>
      </c>
      <c r="D4042">
        <v>1</v>
      </c>
      <c r="E4042">
        <v>210.85</v>
      </c>
    </row>
    <row r="4043" spans="1:5" x14ac:dyDescent="0.3">
      <c r="A4043">
        <v>175735</v>
      </c>
      <c r="B4043">
        <v>72420</v>
      </c>
      <c r="C4043">
        <v>1357</v>
      </c>
      <c r="D4043">
        <v>1</v>
      </c>
      <c r="E4043">
        <v>210.85</v>
      </c>
    </row>
    <row r="4044" spans="1:5" x14ac:dyDescent="0.3">
      <c r="A4044">
        <v>175736</v>
      </c>
      <c r="B4044">
        <v>72421</v>
      </c>
      <c r="C4044">
        <v>1357</v>
      </c>
      <c r="D4044">
        <v>1</v>
      </c>
      <c r="E4044">
        <v>210.85</v>
      </c>
    </row>
    <row r="4045" spans="1:5" x14ac:dyDescent="0.3">
      <c r="A4045">
        <v>175737</v>
      </c>
      <c r="B4045">
        <v>72422</v>
      </c>
      <c r="C4045">
        <v>1357</v>
      </c>
      <c r="D4045">
        <v>1</v>
      </c>
      <c r="E4045">
        <v>210.85</v>
      </c>
    </row>
    <row r="4046" spans="1:5" x14ac:dyDescent="0.3">
      <c r="A4046">
        <v>175743</v>
      </c>
      <c r="B4046">
        <v>72428</v>
      </c>
      <c r="C4046">
        <v>1357</v>
      </c>
      <c r="D4046">
        <v>1</v>
      </c>
      <c r="E4046">
        <v>210.85</v>
      </c>
    </row>
    <row r="4047" spans="1:5" x14ac:dyDescent="0.3">
      <c r="A4047">
        <v>175744</v>
      </c>
      <c r="B4047">
        <v>72429</v>
      </c>
      <c r="C4047">
        <v>1357</v>
      </c>
      <c r="D4047">
        <v>1</v>
      </c>
      <c r="E4047">
        <v>210.85</v>
      </c>
    </row>
    <row r="4048" spans="1:5" x14ac:dyDescent="0.3">
      <c r="A4048">
        <v>175745</v>
      </c>
      <c r="B4048">
        <v>72430</v>
      </c>
      <c r="C4048">
        <v>1357</v>
      </c>
      <c r="D4048">
        <v>1</v>
      </c>
      <c r="E4048">
        <v>210.85</v>
      </c>
    </row>
    <row r="4049" spans="1:5" x14ac:dyDescent="0.3">
      <c r="A4049">
        <v>175746</v>
      </c>
      <c r="B4049">
        <v>72431</v>
      </c>
      <c r="C4049">
        <v>1357</v>
      </c>
      <c r="D4049">
        <v>1</v>
      </c>
      <c r="E4049">
        <v>210.85</v>
      </c>
    </row>
    <row r="4050" spans="1:5" x14ac:dyDescent="0.3">
      <c r="A4050">
        <v>175766</v>
      </c>
      <c r="B4050">
        <v>72451</v>
      </c>
      <c r="C4050">
        <v>1357</v>
      </c>
      <c r="D4050">
        <v>1</v>
      </c>
      <c r="E4050">
        <v>210.85</v>
      </c>
    </row>
    <row r="4051" spans="1:5" x14ac:dyDescent="0.3">
      <c r="A4051">
        <v>175775</v>
      </c>
      <c r="B4051">
        <v>72460</v>
      </c>
      <c r="C4051">
        <v>1357</v>
      </c>
      <c r="D4051">
        <v>1</v>
      </c>
      <c r="E4051">
        <v>210.85</v>
      </c>
    </row>
    <row r="4052" spans="1:5" x14ac:dyDescent="0.3">
      <c r="A4052">
        <v>175797</v>
      </c>
      <c r="B4052">
        <v>72482</v>
      </c>
      <c r="C4052">
        <v>1357</v>
      </c>
      <c r="D4052">
        <v>1</v>
      </c>
      <c r="E4052">
        <v>210.85</v>
      </c>
    </row>
    <row r="4053" spans="1:5" x14ac:dyDescent="0.3">
      <c r="A4053">
        <v>175815</v>
      </c>
      <c r="B4053">
        <v>72500</v>
      </c>
      <c r="C4053">
        <v>1357</v>
      </c>
      <c r="D4053">
        <v>1</v>
      </c>
      <c r="E4053">
        <v>210.85</v>
      </c>
    </row>
    <row r="4054" spans="1:5" x14ac:dyDescent="0.3">
      <c r="A4054">
        <v>175819</v>
      </c>
      <c r="B4054">
        <v>72504</v>
      </c>
      <c r="C4054">
        <v>1357</v>
      </c>
      <c r="D4054">
        <v>1</v>
      </c>
      <c r="E4054">
        <v>210.85</v>
      </c>
    </row>
    <row r="4055" spans="1:5" x14ac:dyDescent="0.3">
      <c r="A4055">
        <v>175835</v>
      </c>
      <c r="B4055">
        <v>72520</v>
      </c>
      <c r="C4055">
        <v>1357</v>
      </c>
      <c r="D4055">
        <v>1</v>
      </c>
      <c r="E4055">
        <v>210.85</v>
      </c>
    </row>
    <row r="4056" spans="1:5" x14ac:dyDescent="0.3">
      <c r="A4056">
        <v>175836</v>
      </c>
      <c r="B4056">
        <v>72521</v>
      </c>
      <c r="C4056">
        <v>1357</v>
      </c>
      <c r="D4056">
        <v>1</v>
      </c>
      <c r="E4056">
        <v>210.85</v>
      </c>
    </row>
    <row r="4057" spans="1:5" x14ac:dyDescent="0.3">
      <c r="A4057">
        <v>175844</v>
      </c>
      <c r="B4057">
        <v>72529</v>
      </c>
      <c r="C4057">
        <v>1357</v>
      </c>
      <c r="D4057">
        <v>1</v>
      </c>
      <c r="E4057">
        <v>210.85</v>
      </c>
    </row>
    <row r="4058" spans="1:5" x14ac:dyDescent="0.3">
      <c r="A4058">
        <v>175845</v>
      </c>
      <c r="B4058">
        <v>72530</v>
      </c>
      <c r="C4058">
        <v>1357</v>
      </c>
      <c r="D4058">
        <v>1</v>
      </c>
      <c r="E4058">
        <v>210.85</v>
      </c>
    </row>
    <row r="4059" spans="1:5" x14ac:dyDescent="0.3">
      <c r="A4059">
        <v>175862</v>
      </c>
      <c r="B4059">
        <v>72547</v>
      </c>
      <c r="C4059">
        <v>1358</v>
      </c>
      <c r="D4059">
        <v>1</v>
      </c>
      <c r="E4059">
        <v>260.64999999999998</v>
      </c>
    </row>
    <row r="4060" spans="1:5" x14ac:dyDescent="0.3">
      <c r="A4060">
        <v>175881</v>
      </c>
      <c r="B4060">
        <v>72566</v>
      </c>
      <c r="C4060">
        <v>1358</v>
      </c>
      <c r="D4060">
        <v>1</v>
      </c>
      <c r="E4060">
        <v>260.64999999999998</v>
      </c>
    </row>
    <row r="4061" spans="1:5" x14ac:dyDescent="0.3">
      <c r="A4061">
        <v>175883</v>
      </c>
      <c r="B4061">
        <v>72568</v>
      </c>
      <c r="C4061">
        <v>1358</v>
      </c>
      <c r="D4061">
        <v>1</v>
      </c>
      <c r="E4061">
        <v>260.64999999999998</v>
      </c>
    </row>
    <row r="4062" spans="1:5" x14ac:dyDescent="0.3">
      <c r="A4062">
        <v>175885</v>
      </c>
      <c r="B4062">
        <v>72570</v>
      </c>
      <c r="C4062">
        <v>1358</v>
      </c>
      <c r="D4062">
        <v>1</v>
      </c>
      <c r="E4062">
        <v>260.64999999999998</v>
      </c>
    </row>
    <row r="4063" spans="1:5" x14ac:dyDescent="0.3">
      <c r="A4063">
        <v>175886</v>
      </c>
      <c r="B4063">
        <v>72571</v>
      </c>
      <c r="C4063">
        <v>1358</v>
      </c>
      <c r="D4063">
        <v>1</v>
      </c>
      <c r="E4063">
        <v>260.64999999999998</v>
      </c>
    </row>
    <row r="4064" spans="1:5" x14ac:dyDescent="0.3">
      <c r="A4064">
        <v>175887</v>
      </c>
      <c r="B4064">
        <v>72572</v>
      </c>
      <c r="C4064">
        <v>1358</v>
      </c>
      <c r="D4064">
        <v>1</v>
      </c>
      <c r="E4064">
        <v>260.64999999999998</v>
      </c>
    </row>
    <row r="4065" spans="1:5" x14ac:dyDescent="0.3">
      <c r="A4065">
        <v>175897</v>
      </c>
      <c r="B4065">
        <v>72582</v>
      </c>
      <c r="C4065">
        <v>1358</v>
      </c>
      <c r="D4065">
        <v>1</v>
      </c>
      <c r="E4065">
        <v>260.64999999999998</v>
      </c>
    </row>
    <row r="4066" spans="1:5" x14ac:dyDescent="0.3">
      <c r="A4066">
        <v>175922</v>
      </c>
      <c r="B4066">
        <v>72607</v>
      </c>
      <c r="C4066">
        <v>1358</v>
      </c>
      <c r="D4066">
        <v>1</v>
      </c>
      <c r="E4066">
        <v>260.64999999999998</v>
      </c>
    </row>
    <row r="4067" spans="1:5" x14ac:dyDescent="0.3">
      <c r="A4067">
        <v>175923</v>
      </c>
      <c r="B4067">
        <v>72608</v>
      </c>
      <c r="C4067">
        <v>1358</v>
      </c>
      <c r="D4067">
        <v>1</v>
      </c>
      <c r="E4067">
        <v>260.64999999999998</v>
      </c>
    </row>
    <row r="4068" spans="1:5" x14ac:dyDescent="0.3">
      <c r="A4068">
        <v>175924</v>
      </c>
      <c r="B4068">
        <v>72609</v>
      </c>
      <c r="C4068">
        <v>1358</v>
      </c>
      <c r="D4068">
        <v>1</v>
      </c>
      <c r="E4068">
        <v>260.64999999999998</v>
      </c>
    </row>
    <row r="4069" spans="1:5" x14ac:dyDescent="0.3">
      <c r="A4069">
        <v>175925</v>
      </c>
      <c r="B4069">
        <v>72610</v>
      </c>
      <c r="C4069">
        <v>1358</v>
      </c>
      <c r="D4069">
        <v>1</v>
      </c>
      <c r="E4069">
        <v>260.64999999999998</v>
      </c>
    </row>
    <row r="4070" spans="1:5" x14ac:dyDescent="0.3">
      <c r="A4070">
        <v>175926</v>
      </c>
      <c r="B4070">
        <v>72611</v>
      </c>
      <c r="C4070">
        <v>1358</v>
      </c>
      <c r="D4070">
        <v>1</v>
      </c>
      <c r="E4070">
        <v>260.64999999999998</v>
      </c>
    </row>
    <row r="4071" spans="1:5" x14ac:dyDescent="0.3">
      <c r="A4071">
        <v>175927</v>
      </c>
      <c r="B4071">
        <v>72612</v>
      </c>
      <c r="C4071">
        <v>1358</v>
      </c>
      <c r="D4071">
        <v>1</v>
      </c>
      <c r="E4071">
        <v>260.64999999999998</v>
      </c>
    </row>
    <row r="4072" spans="1:5" x14ac:dyDescent="0.3">
      <c r="A4072">
        <v>175934</v>
      </c>
      <c r="B4072">
        <v>72619</v>
      </c>
      <c r="C4072">
        <v>1358</v>
      </c>
      <c r="D4072">
        <v>1</v>
      </c>
      <c r="E4072">
        <v>260.64999999999998</v>
      </c>
    </row>
    <row r="4073" spans="1:5" x14ac:dyDescent="0.3">
      <c r="A4073">
        <v>175966</v>
      </c>
      <c r="B4073">
        <v>72651</v>
      </c>
      <c r="C4073">
        <v>1358</v>
      </c>
      <c r="D4073">
        <v>1</v>
      </c>
      <c r="E4073">
        <v>260.64999999999998</v>
      </c>
    </row>
    <row r="4074" spans="1:5" x14ac:dyDescent="0.3">
      <c r="A4074">
        <v>175967</v>
      </c>
      <c r="B4074">
        <v>72652</v>
      </c>
      <c r="C4074">
        <v>1358</v>
      </c>
      <c r="D4074">
        <v>1</v>
      </c>
      <c r="E4074">
        <v>260.64999999999998</v>
      </c>
    </row>
    <row r="4075" spans="1:5" x14ac:dyDescent="0.3">
      <c r="A4075">
        <v>175968</v>
      </c>
      <c r="B4075">
        <v>72653</v>
      </c>
      <c r="C4075">
        <v>1358</v>
      </c>
      <c r="D4075">
        <v>1</v>
      </c>
      <c r="E4075">
        <v>260.64999999999998</v>
      </c>
    </row>
    <row r="4076" spans="1:5" x14ac:dyDescent="0.3">
      <c r="A4076">
        <v>175979</v>
      </c>
      <c r="B4076">
        <v>72664</v>
      </c>
      <c r="C4076">
        <v>1358</v>
      </c>
      <c r="D4076">
        <v>1</v>
      </c>
      <c r="E4076">
        <v>260.64999999999998</v>
      </c>
    </row>
    <row r="4077" spans="1:5" x14ac:dyDescent="0.3">
      <c r="A4077">
        <v>175980</v>
      </c>
      <c r="B4077">
        <v>72665</v>
      </c>
      <c r="C4077">
        <v>1358</v>
      </c>
      <c r="D4077">
        <v>1</v>
      </c>
      <c r="E4077">
        <v>260.64999999999998</v>
      </c>
    </row>
    <row r="4078" spans="1:5" x14ac:dyDescent="0.3">
      <c r="A4078">
        <v>175981</v>
      </c>
      <c r="B4078">
        <v>72666</v>
      </c>
      <c r="C4078">
        <v>1358</v>
      </c>
      <c r="D4078">
        <v>1</v>
      </c>
      <c r="E4078">
        <v>260.64999999999998</v>
      </c>
    </row>
    <row r="4079" spans="1:5" x14ac:dyDescent="0.3">
      <c r="A4079">
        <v>175982</v>
      </c>
      <c r="B4079">
        <v>72667</v>
      </c>
      <c r="C4079">
        <v>1358</v>
      </c>
      <c r="D4079">
        <v>1</v>
      </c>
      <c r="E4079">
        <v>260.64999999999998</v>
      </c>
    </row>
    <row r="4080" spans="1:5" x14ac:dyDescent="0.3">
      <c r="A4080">
        <v>175983</v>
      </c>
      <c r="B4080">
        <v>72668</v>
      </c>
      <c r="C4080">
        <v>1358</v>
      </c>
      <c r="D4080">
        <v>1</v>
      </c>
      <c r="E4080">
        <v>260.64999999999998</v>
      </c>
    </row>
    <row r="4081" spans="1:5" x14ac:dyDescent="0.3">
      <c r="A4081">
        <v>175984</v>
      </c>
      <c r="B4081">
        <v>72669</v>
      </c>
      <c r="C4081">
        <v>1358</v>
      </c>
      <c r="D4081">
        <v>1</v>
      </c>
      <c r="E4081">
        <v>260.64999999999998</v>
      </c>
    </row>
    <row r="4082" spans="1:5" x14ac:dyDescent="0.3">
      <c r="A4082">
        <v>175985</v>
      </c>
      <c r="B4082">
        <v>72670</v>
      </c>
      <c r="C4082">
        <v>1358</v>
      </c>
      <c r="D4082">
        <v>1</v>
      </c>
      <c r="E4082">
        <v>260.64999999999998</v>
      </c>
    </row>
    <row r="4083" spans="1:5" x14ac:dyDescent="0.3">
      <c r="A4083">
        <v>175989</v>
      </c>
      <c r="B4083">
        <v>72674</v>
      </c>
      <c r="C4083">
        <v>1358</v>
      </c>
      <c r="D4083">
        <v>1</v>
      </c>
      <c r="E4083">
        <v>260.64999999999998</v>
      </c>
    </row>
    <row r="4084" spans="1:5" x14ac:dyDescent="0.3">
      <c r="A4084">
        <v>175990</v>
      </c>
      <c r="B4084">
        <v>72675</v>
      </c>
      <c r="C4084">
        <v>1358</v>
      </c>
      <c r="D4084">
        <v>1</v>
      </c>
      <c r="E4084">
        <v>260.64999999999998</v>
      </c>
    </row>
    <row r="4085" spans="1:5" x14ac:dyDescent="0.3">
      <c r="A4085">
        <v>175991</v>
      </c>
      <c r="B4085">
        <v>72676</v>
      </c>
      <c r="C4085">
        <v>1358</v>
      </c>
      <c r="D4085">
        <v>1</v>
      </c>
      <c r="E4085">
        <v>260.64999999999998</v>
      </c>
    </row>
    <row r="4086" spans="1:5" x14ac:dyDescent="0.3">
      <c r="A4086">
        <v>176012</v>
      </c>
      <c r="B4086">
        <v>72697</v>
      </c>
      <c r="C4086">
        <v>1358</v>
      </c>
      <c r="D4086">
        <v>1</v>
      </c>
      <c r="E4086">
        <v>260.64999999999998</v>
      </c>
    </row>
    <row r="4087" spans="1:5" x14ac:dyDescent="0.3">
      <c r="A4087">
        <v>176013</v>
      </c>
      <c r="B4087">
        <v>72698</v>
      </c>
      <c r="C4087">
        <v>1358</v>
      </c>
      <c r="D4087">
        <v>1</v>
      </c>
      <c r="E4087">
        <v>260.64999999999998</v>
      </c>
    </row>
    <row r="4088" spans="1:5" x14ac:dyDescent="0.3">
      <c r="A4088">
        <v>176017</v>
      </c>
      <c r="B4088">
        <v>72702</v>
      </c>
      <c r="C4088">
        <v>1358</v>
      </c>
      <c r="D4088">
        <v>1</v>
      </c>
      <c r="E4088">
        <v>260.64999999999998</v>
      </c>
    </row>
    <row r="4089" spans="1:5" x14ac:dyDescent="0.3">
      <c r="A4089">
        <v>176018</v>
      </c>
      <c r="B4089">
        <v>72703</v>
      </c>
      <c r="C4089">
        <v>1358</v>
      </c>
      <c r="D4089">
        <v>1</v>
      </c>
      <c r="E4089">
        <v>260.64999999999998</v>
      </c>
    </row>
    <row r="4090" spans="1:5" x14ac:dyDescent="0.3">
      <c r="A4090">
        <v>176019</v>
      </c>
      <c r="B4090">
        <v>72704</v>
      </c>
      <c r="C4090">
        <v>1358</v>
      </c>
      <c r="D4090">
        <v>1</v>
      </c>
      <c r="E4090">
        <v>260.64999999999998</v>
      </c>
    </row>
    <row r="4091" spans="1:5" x14ac:dyDescent="0.3">
      <c r="A4091">
        <v>176020</v>
      </c>
      <c r="B4091">
        <v>72705</v>
      </c>
      <c r="C4091">
        <v>1358</v>
      </c>
      <c r="D4091">
        <v>1</v>
      </c>
      <c r="E4091">
        <v>260.64999999999998</v>
      </c>
    </row>
    <row r="4092" spans="1:5" x14ac:dyDescent="0.3">
      <c r="A4092">
        <v>176021</v>
      </c>
      <c r="B4092">
        <v>72706</v>
      </c>
      <c r="C4092">
        <v>1358</v>
      </c>
      <c r="D4092">
        <v>1</v>
      </c>
      <c r="E4092">
        <v>260.64999999999998</v>
      </c>
    </row>
    <row r="4093" spans="1:5" x14ac:dyDescent="0.3">
      <c r="A4093">
        <v>176022</v>
      </c>
      <c r="B4093">
        <v>72707</v>
      </c>
      <c r="C4093">
        <v>1358</v>
      </c>
      <c r="D4093">
        <v>1</v>
      </c>
      <c r="E4093">
        <v>260.64999999999998</v>
      </c>
    </row>
    <row r="4094" spans="1:5" x14ac:dyDescent="0.3">
      <c r="A4094">
        <v>176023</v>
      </c>
      <c r="B4094">
        <v>72708</v>
      </c>
      <c r="C4094">
        <v>1358</v>
      </c>
      <c r="D4094">
        <v>1</v>
      </c>
      <c r="E4094">
        <v>260.64999999999998</v>
      </c>
    </row>
    <row r="4095" spans="1:5" x14ac:dyDescent="0.3">
      <c r="A4095">
        <v>176024</v>
      </c>
      <c r="B4095">
        <v>72709</v>
      </c>
      <c r="C4095">
        <v>1358</v>
      </c>
      <c r="D4095">
        <v>1</v>
      </c>
      <c r="E4095">
        <v>260.64999999999998</v>
      </c>
    </row>
    <row r="4096" spans="1:5" x14ac:dyDescent="0.3">
      <c r="A4096">
        <v>176025</v>
      </c>
      <c r="B4096">
        <v>72710</v>
      </c>
      <c r="C4096">
        <v>1358</v>
      </c>
      <c r="D4096">
        <v>1</v>
      </c>
      <c r="E4096">
        <v>260.64999999999998</v>
      </c>
    </row>
    <row r="4097" spans="1:5" x14ac:dyDescent="0.3">
      <c r="A4097">
        <v>176026</v>
      </c>
      <c r="B4097">
        <v>72711</v>
      </c>
      <c r="C4097">
        <v>1358</v>
      </c>
      <c r="D4097">
        <v>1</v>
      </c>
      <c r="E4097">
        <v>260.64999999999998</v>
      </c>
    </row>
    <row r="4098" spans="1:5" x14ac:dyDescent="0.3">
      <c r="A4098">
        <v>176027</v>
      </c>
      <c r="B4098">
        <v>72712</v>
      </c>
      <c r="C4098">
        <v>1358</v>
      </c>
      <c r="D4098">
        <v>1</v>
      </c>
      <c r="E4098">
        <v>260.64999999999998</v>
      </c>
    </row>
    <row r="4099" spans="1:5" x14ac:dyDescent="0.3">
      <c r="A4099">
        <v>176073</v>
      </c>
      <c r="B4099">
        <v>72758</v>
      </c>
      <c r="C4099">
        <v>1358</v>
      </c>
      <c r="D4099">
        <v>1</v>
      </c>
      <c r="E4099">
        <v>260.64999999999998</v>
      </c>
    </row>
    <row r="4100" spans="1:5" x14ac:dyDescent="0.3">
      <c r="A4100">
        <v>176074</v>
      </c>
      <c r="B4100">
        <v>72759</v>
      </c>
      <c r="C4100">
        <v>1358</v>
      </c>
      <c r="D4100">
        <v>1</v>
      </c>
      <c r="E4100">
        <v>260.64999999999998</v>
      </c>
    </row>
    <row r="4101" spans="1:5" x14ac:dyDescent="0.3">
      <c r="A4101">
        <v>176105</v>
      </c>
      <c r="B4101">
        <v>72790</v>
      </c>
      <c r="C4101">
        <v>1358</v>
      </c>
      <c r="D4101">
        <v>1</v>
      </c>
      <c r="E4101">
        <v>260.64999999999998</v>
      </c>
    </row>
    <row r="4102" spans="1:5" x14ac:dyDescent="0.3">
      <c r="A4102">
        <v>176109</v>
      </c>
      <c r="B4102">
        <v>72794</v>
      </c>
      <c r="C4102">
        <v>1358</v>
      </c>
      <c r="D4102">
        <v>1</v>
      </c>
      <c r="E4102">
        <v>260.64999999999998</v>
      </c>
    </row>
    <row r="4103" spans="1:5" x14ac:dyDescent="0.3">
      <c r="A4103">
        <v>176110</v>
      </c>
      <c r="B4103">
        <v>72795</v>
      </c>
      <c r="C4103">
        <v>1358</v>
      </c>
      <c r="D4103">
        <v>1</v>
      </c>
      <c r="E4103">
        <v>260.64999999999998</v>
      </c>
    </row>
    <row r="4104" spans="1:5" x14ac:dyDescent="0.3">
      <c r="A4104">
        <v>176111</v>
      </c>
      <c r="B4104">
        <v>72796</v>
      </c>
      <c r="C4104">
        <v>1358</v>
      </c>
      <c r="D4104">
        <v>1</v>
      </c>
      <c r="E4104">
        <v>260.64999999999998</v>
      </c>
    </row>
    <row r="4105" spans="1:5" x14ac:dyDescent="0.3">
      <c r="A4105">
        <v>176114</v>
      </c>
      <c r="B4105">
        <v>72799</v>
      </c>
      <c r="C4105">
        <v>1358</v>
      </c>
      <c r="D4105">
        <v>1</v>
      </c>
      <c r="E4105">
        <v>260.64999999999998</v>
      </c>
    </row>
    <row r="4106" spans="1:5" x14ac:dyDescent="0.3">
      <c r="A4106">
        <v>176115</v>
      </c>
      <c r="B4106">
        <v>72800</v>
      </c>
      <c r="C4106">
        <v>1358</v>
      </c>
      <c r="D4106">
        <v>1</v>
      </c>
      <c r="E4106">
        <v>260.64999999999998</v>
      </c>
    </row>
    <row r="4107" spans="1:5" x14ac:dyDescent="0.3">
      <c r="A4107">
        <v>176116</v>
      </c>
      <c r="B4107">
        <v>72801</v>
      </c>
      <c r="C4107">
        <v>1358</v>
      </c>
      <c r="D4107">
        <v>1</v>
      </c>
      <c r="E4107">
        <v>260.64999999999998</v>
      </c>
    </row>
    <row r="4108" spans="1:5" x14ac:dyDescent="0.3">
      <c r="A4108">
        <v>176118</v>
      </c>
      <c r="B4108">
        <v>72803</v>
      </c>
      <c r="C4108">
        <v>1358</v>
      </c>
      <c r="D4108">
        <v>1</v>
      </c>
      <c r="E4108">
        <v>260.64999999999998</v>
      </c>
    </row>
    <row r="4109" spans="1:5" x14ac:dyDescent="0.3">
      <c r="A4109">
        <v>176119</v>
      </c>
      <c r="B4109">
        <v>72804</v>
      </c>
      <c r="C4109">
        <v>1358</v>
      </c>
      <c r="D4109">
        <v>1</v>
      </c>
      <c r="E4109">
        <v>260.64999999999998</v>
      </c>
    </row>
    <row r="4110" spans="1:5" x14ac:dyDescent="0.3">
      <c r="A4110">
        <v>176162</v>
      </c>
      <c r="B4110">
        <v>72847</v>
      </c>
      <c r="C4110">
        <v>1359</v>
      </c>
      <c r="D4110">
        <v>1</v>
      </c>
      <c r="E4110">
        <v>84.4</v>
      </c>
    </row>
    <row r="4111" spans="1:5" x14ac:dyDescent="0.3">
      <c r="A4111">
        <v>176163</v>
      </c>
      <c r="B4111">
        <v>72848</v>
      </c>
      <c r="C4111">
        <v>1359</v>
      </c>
      <c r="D4111">
        <v>1</v>
      </c>
      <c r="E4111">
        <v>84.4</v>
      </c>
    </row>
    <row r="4112" spans="1:5" x14ac:dyDescent="0.3">
      <c r="A4112">
        <v>176183</v>
      </c>
      <c r="B4112">
        <v>72868</v>
      </c>
      <c r="C4112">
        <v>1359</v>
      </c>
      <c r="D4112">
        <v>1</v>
      </c>
      <c r="E4112">
        <v>84.4</v>
      </c>
    </row>
    <row r="4113" spans="1:5" x14ac:dyDescent="0.3">
      <c r="A4113">
        <v>176184</v>
      </c>
      <c r="B4113">
        <v>72869</v>
      </c>
      <c r="C4113">
        <v>1359</v>
      </c>
      <c r="D4113">
        <v>1</v>
      </c>
      <c r="E4113">
        <v>84.4</v>
      </c>
    </row>
    <row r="4114" spans="1:5" x14ac:dyDescent="0.3">
      <c r="A4114">
        <v>176206</v>
      </c>
      <c r="B4114">
        <v>72891</v>
      </c>
      <c r="C4114">
        <v>1359</v>
      </c>
      <c r="D4114">
        <v>1</v>
      </c>
      <c r="E4114">
        <v>84.4</v>
      </c>
    </row>
    <row r="4115" spans="1:5" x14ac:dyDescent="0.3">
      <c r="A4115">
        <v>176230</v>
      </c>
      <c r="B4115">
        <v>72915</v>
      </c>
      <c r="C4115">
        <v>1359</v>
      </c>
      <c r="D4115">
        <v>1</v>
      </c>
      <c r="E4115">
        <v>84.4</v>
      </c>
    </row>
    <row r="4116" spans="1:5" x14ac:dyDescent="0.3">
      <c r="A4116">
        <v>176247</v>
      </c>
      <c r="B4116">
        <v>72932</v>
      </c>
      <c r="C4116">
        <v>1359</v>
      </c>
      <c r="D4116">
        <v>1</v>
      </c>
      <c r="E4116">
        <v>84.4</v>
      </c>
    </row>
    <row r="4117" spans="1:5" x14ac:dyDescent="0.3">
      <c r="A4117">
        <v>176296</v>
      </c>
      <c r="B4117">
        <v>72981</v>
      </c>
      <c r="C4117">
        <v>1359</v>
      </c>
      <c r="D4117">
        <v>1</v>
      </c>
      <c r="E4117">
        <v>84.4</v>
      </c>
    </row>
    <row r="4118" spans="1:5" x14ac:dyDescent="0.3">
      <c r="A4118">
        <v>176297</v>
      </c>
      <c r="B4118">
        <v>72982</v>
      </c>
      <c r="C4118">
        <v>1359</v>
      </c>
      <c r="D4118">
        <v>1</v>
      </c>
      <c r="E4118">
        <v>84.4</v>
      </c>
    </row>
    <row r="4119" spans="1:5" x14ac:dyDescent="0.3">
      <c r="A4119">
        <v>176298</v>
      </c>
      <c r="B4119">
        <v>72983</v>
      </c>
      <c r="C4119">
        <v>1359</v>
      </c>
      <c r="D4119">
        <v>1</v>
      </c>
      <c r="E4119">
        <v>84.4</v>
      </c>
    </row>
    <row r="4120" spans="1:5" x14ac:dyDescent="0.3">
      <c r="A4120">
        <v>176307</v>
      </c>
      <c r="B4120">
        <v>72992</v>
      </c>
      <c r="C4120">
        <v>1359</v>
      </c>
      <c r="D4120">
        <v>1</v>
      </c>
      <c r="E4120">
        <v>84.4</v>
      </c>
    </row>
    <row r="4121" spans="1:5" x14ac:dyDescent="0.3">
      <c r="A4121">
        <v>176312</v>
      </c>
      <c r="B4121">
        <v>72997</v>
      </c>
      <c r="C4121">
        <v>1359</v>
      </c>
      <c r="D4121">
        <v>1</v>
      </c>
      <c r="E4121">
        <v>84.4</v>
      </c>
    </row>
    <row r="4122" spans="1:5" x14ac:dyDescent="0.3">
      <c r="A4122">
        <v>176313</v>
      </c>
      <c r="B4122">
        <v>72998</v>
      </c>
      <c r="C4122">
        <v>1359</v>
      </c>
      <c r="D4122">
        <v>1</v>
      </c>
      <c r="E4122">
        <v>84.4</v>
      </c>
    </row>
    <row r="4123" spans="1:5" x14ac:dyDescent="0.3">
      <c r="A4123">
        <v>176328</v>
      </c>
      <c r="B4123">
        <v>73013</v>
      </c>
      <c r="C4123">
        <v>1359</v>
      </c>
      <c r="D4123">
        <v>1</v>
      </c>
      <c r="E4123">
        <v>84.4</v>
      </c>
    </row>
    <row r="4124" spans="1:5" x14ac:dyDescent="0.3">
      <c r="A4124">
        <v>176331</v>
      </c>
      <c r="B4124">
        <v>73016</v>
      </c>
      <c r="C4124">
        <v>1359</v>
      </c>
      <c r="D4124">
        <v>1</v>
      </c>
      <c r="E4124">
        <v>84.4</v>
      </c>
    </row>
    <row r="4125" spans="1:5" x14ac:dyDescent="0.3">
      <c r="A4125">
        <v>176343</v>
      </c>
      <c r="B4125">
        <v>73028</v>
      </c>
      <c r="C4125">
        <v>1359</v>
      </c>
      <c r="D4125">
        <v>1</v>
      </c>
      <c r="E4125">
        <v>84.4</v>
      </c>
    </row>
    <row r="4126" spans="1:5" x14ac:dyDescent="0.3">
      <c r="A4126">
        <v>176344</v>
      </c>
      <c r="B4126">
        <v>73029</v>
      </c>
      <c r="C4126">
        <v>1359</v>
      </c>
      <c r="D4126">
        <v>1</v>
      </c>
      <c r="E4126">
        <v>84.4</v>
      </c>
    </row>
    <row r="4127" spans="1:5" x14ac:dyDescent="0.3">
      <c r="A4127">
        <v>176351</v>
      </c>
      <c r="B4127">
        <v>73036</v>
      </c>
      <c r="C4127">
        <v>1359</v>
      </c>
      <c r="D4127">
        <v>1</v>
      </c>
      <c r="E4127">
        <v>84.4</v>
      </c>
    </row>
    <row r="4128" spans="1:5" x14ac:dyDescent="0.3">
      <c r="A4128">
        <v>176352</v>
      </c>
      <c r="B4128">
        <v>73037</v>
      </c>
      <c r="C4128">
        <v>1359</v>
      </c>
      <c r="D4128">
        <v>1</v>
      </c>
      <c r="E4128">
        <v>84.4</v>
      </c>
    </row>
    <row r="4129" spans="1:5" x14ac:dyDescent="0.3">
      <c r="A4129">
        <v>176392</v>
      </c>
      <c r="B4129">
        <v>73077</v>
      </c>
      <c r="C4129">
        <v>1360</v>
      </c>
      <c r="D4129">
        <v>1</v>
      </c>
      <c r="E4129">
        <v>327.75</v>
      </c>
    </row>
    <row r="4130" spans="1:5" x14ac:dyDescent="0.3">
      <c r="A4130">
        <v>176395</v>
      </c>
      <c r="B4130">
        <v>73080</v>
      </c>
      <c r="C4130">
        <v>1360</v>
      </c>
      <c r="D4130">
        <v>1</v>
      </c>
      <c r="E4130">
        <v>327.75</v>
      </c>
    </row>
    <row r="4131" spans="1:5" x14ac:dyDescent="0.3">
      <c r="A4131">
        <v>176415</v>
      </c>
      <c r="B4131">
        <v>73100</v>
      </c>
      <c r="C4131">
        <v>1360</v>
      </c>
      <c r="D4131">
        <v>1</v>
      </c>
      <c r="E4131">
        <v>327.75</v>
      </c>
    </row>
    <row r="4132" spans="1:5" x14ac:dyDescent="0.3">
      <c r="A4132">
        <v>176417</v>
      </c>
      <c r="B4132">
        <v>73102</v>
      </c>
      <c r="C4132">
        <v>1360</v>
      </c>
      <c r="D4132">
        <v>1</v>
      </c>
      <c r="E4132">
        <v>327.75</v>
      </c>
    </row>
    <row r="4133" spans="1:5" x14ac:dyDescent="0.3">
      <c r="A4133">
        <v>176439</v>
      </c>
      <c r="B4133">
        <v>73124</v>
      </c>
      <c r="C4133">
        <v>1360</v>
      </c>
      <c r="D4133">
        <v>1</v>
      </c>
      <c r="E4133">
        <v>327.75</v>
      </c>
    </row>
    <row r="4134" spans="1:5" x14ac:dyDescent="0.3">
      <c r="A4134">
        <v>176440</v>
      </c>
      <c r="B4134">
        <v>73125</v>
      </c>
      <c r="C4134">
        <v>1360</v>
      </c>
      <c r="D4134">
        <v>1</v>
      </c>
      <c r="E4134">
        <v>327.75</v>
      </c>
    </row>
    <row r="4135" spans="1:5" x14ac:dyDescent="0.3">
      <c r="A4135">
        <v>176458</v>
      </c>
      <c r="B4135">
        <v>73143</v>
      </c>
      <c r="C4135">
        <v>1360</v>
      </c>
      <c r="D4135">
        <v>1</v>
      </c>
      <c r="E4135">
        <v>327.75</v>
      </c>
    </row>
    <row r="4136" spans="1:5" x14ac:dyDescent="0.3">
      <c r="A4136">
        <v>176459</v>
      </c>
      <c r="B4136">
        <v>73144</v>
      </c>
      <c r="C4136">
        <v>1360</v>
      </c>
      <c r="D4136">
        <v>1</v>
      </c>
      <c r="E4136">
        <v>327.75</v>
      </c>
    </row>
    <row r="4137" spans="1:5" x14ac:dyDescent="0.3">
      <c r="A4137">
        <v>176488</v>
      </c>
      <c r="B4137">
        <v>73173</v>
      </c>
      <c r="C4137">
        <v>1360</v>
      </c>
      <c r="D4137">
        <v>1</v>
      </c>
      <c r="E4137">
        <v>327.75</v>
      </c>
    </row>
    <row r="4138" spans="1:5" x14ac:dyDescent="0.3">
      <c r="A4138">
        <v>176492</v>
      </c>
      <c r="B4138">
        <v>73177</v>
      </c>
      <c r="C4138">
        <v>1360</v>
      </c>
      <c r="D4138">
        <v>1</v>
      </c>
      <c r="E4138">
        <v>327.75</v>
      </c>
    </row>
    <row r="4139" spans="1:5" x14ac:dyDescent="0.3">
      <c r="A4139">
        <v>176493</v>
      </c>
      <c r="B4139">
        <v>73178</v>
      </c>
      <c r="C4139">
        <v>1360</v>
      </c>
      <c r="D4139">
        <v>1</v>
      </c>
      <c r="E4139">
        <v>327.75</v>
      </c>
    </row>
    <row r="4140" spans="1:5" x14ac:dyDescent="0.3">
      <c r="A4140">
        <v>176510</v>
      </c>
      <c r="B4140">
        <v>73195</v>
      </c>
      <c r="C4140">
        <v>1360</v>
      </c>
      <c r="D4140">
        <v>1</v>
      </c>
      <c r="E4140">
        <v>327.75</v>
      </c>
    </row>
    <row r="4141" spans="1:5" x14ac:dyDescent="0.3">
      <c r="A4141">
        <v>176511</v>
      </c>
      <c r="B4141">
        <v>73196</v>
      </c>
      <c r="C4141">
        <v>1360</v>
      </c>
      <c r="D4141">
        <v>1</v>
      </c>
      <c r="E4141">
        <v>327.75</v>
      </c>
    </row>
    <row r="4142" spans="1:5" x14ac:dyDescent="0.3">
      <c r="A4142">
        <v>176526</v>
      </c>
      <c r="B4142">
        <v>73211</v>
      </c>
      <c r="C4142">
        <v>1360</v>
      </c>
      <c r="D4142">
        <v>1</v>
      </c>
      <c r="E4142">
        <v>327.75</v>
      </c>
    </row>
    <row r="4143" spans="1:5" x14ac:dyDescent="0.3">
      <c r="A4143">
        <v>176527</v>
      </c>
      <c r="B4143">
        <v>73212</v>
      </c>
      <c r="C4143">
        <v>1360</v>
      </c>
      <c r="D4143">
        <v>1</v>
      </c>
      <c r="E4143">
        <v>327.75</v>
      </c>
    </row>
    <row r="4144" spans="1:5" x14ac:dyDescent="0.3">
      <c r="A4144">
        <v>176529</v>
      </c>
      <c r="B4144">
        <v>73214</v>
      </c>
      <c r="C4144">
        <v>1360</v>
      </c>
      <c r="D4144">
        <v>1</v>
      </c>
      <c r="E4144">
        <v>327.75</v>
      </c>
    </row>
    <row r="4145" spans="1:5" x14ac:dyDescent="0.3">
      <c r="A4145">
        <v>176530</v>
      </c>
      <c r="B4145">
        <v>73215</v>
      </c>
      <c r="C4145">
        <v>1360</v>
      </c>
      <c r="D4145">
        <v>1</v>
      </c>
      <c r="E4145">
        <v>327.75</v>
      </c>
    </row>
    <row r="4146" spans="1:5" x14ac:dyDescent="0.3">
      <c r="A4146">
        <v>176531</v>
      </c>
      <c r="B4146">
        <v>73216</v>
      </c>
      <c r="C4146">
        <v>1360</v>
      </c>
      <c r="D4146">
        <v>1</v>
      </c>
      <c r="E4146">
        <v>327.75</v>
      </c>
    </row>
    <row r="4147" spans="1:5" x14ac:dyDescent="0.3">
      <c r="A4147">
        <v>176532</v>
      </c>
      <c r="B4147">
        <v>73217</v>
      </c>
      <c r="C4147">
        <v>1360</v>
      </c>
      <c r="D4147">
        <v>1</v>
      </c>
      <c r="E4147">
        <v>327.75</v>
      </c>
    </row>
    <row r="4148" spans="1:5" x14ac:dyDescent="0.3">
      <c r="A4148">
        <v>176533</v>
      </c>
      <c r="B4148">
        <v>73218</v>
      </c>
      <c r="C4148">
        <v>1360</v>
      </c>
      <c r="D4148">
        <v>1</v>
      </c>
      <c r="E4148">
        <v>327.75</v>
      </c>
    </row>
    <row r="4149" spans="1:5" x14ac:dyDescent="0.3">
      <c r="A4149">
        <v>176534</v>
      </c>
      <c r="B4149">
        <v>73219</v>
      </c>
      <c r="C4149">
        <v>1360</v>
      </c>
      <c r="D4149">
        <v>1</v>
      </c>
      <c r="E4149">
        <v>327.75</v>
      </c>
    </row>
    <row r="4150" spans="1:5" x14ac:dyDescent="0.3">
      <c r="A4150">
        <v>176535</v>
      </c>
      <c r="B4150">
        <v>73220</v>
      </c>
      <c r="C4150">
        <v>1360</v>
      </c>
      <c r="D4150">
        <v>1</v>
      </c>
      <c r="E4150">
        <v>327.75</v>
      </c>
    </row>
    <row r="4151" spans="1:5" x14ac:dyDescent="0.3">
      <c r="A4151">
        <v>176536</v>
      </c>
      <c r="B4151">
        <v>73221</v>
      </c>
      <c r="C4151">
        <v>1360</v>
      </c>
      <c r="D4151">
        <v>1</v>
      </c>
      <c r="E4151">
        <v>327.75</v>
      </c>
    </row>
    <row r="4152" spans="1:5" x14ac:dyDescent="0.3">
      <c r="A4152">
        <v>176585</v>
      </c>
      <c r="B4152">
        <v>73270</v>
      </c>
      <c r="C4152">
        <v>1361</v>
      </c>
      <c r="D4152">
        <v>1</v>
      </c>
      <c r="E4152">
        <v>11.54</v>
      </c>
    </row>
    <row r="4153" spans="1:5" x14ac:dyDescent="0.3">
      <c r="A4153">
        <v>176586</v>
      </c>
      <c r="B4153">
        <v>73271</v>
      </c>
      <c r="C4153">
        <v>1361</v>
      </c>
      <c r="D4153">
        <v>1</v>
      </c>
      <c r="E4153">
        <v>11.54</v>
      </c>
    </row>
    <row r="4154" spans="1:5" x14ac:dyDescent="0.3">
      <c r="A4154">
        <v>176587</v>
      </c>
      <c r="B4154">
        <v>73272</v>
      </c>
      <c r="C4154">
        <v>1361</v>
      </c>
      <c r="D4154">
        <v>1</v>
      </c>
      <c r="E4154">
        <v>11.54</v>
      </c>
    </row>
    <row r="4155" spans="1:5" x14ac:dyDescent="0.3">
      <c r="A4155">
        <v>176595</v>
      </c>
      <c r="B4155">
        <v>73280</v>
      </c>
      <c r="C4155">
        <v>1361</v>
      </c>
      <c r="D4155">
        <v>1</v>
      </c>
      <c r="E4155">
        <v>11.54</v>
      </c>
    </row>
    <row r="4156" spans="1:5" x14ac:dyDescent="0.3">
      <c r="A4156">
        <v>176599</v>
      </c>
      <c r="B4156">
        <v>73284</v>
      </c>
      <c r="C4156">
        <v>1361</v>
      </c>
      <c r="D4156">
        <v>1</v>
      </c>
      <c r="E4156">
        <v>11.54</v>
      </c>
    </row>
    <row r="4157" spans="1:5" x14ac:dyDescent="0.3">
      <c r="A4157">
        <v>176600</v>
      </c>
      <c r="B4157">
        <v>73285</v>
      </c>
      <c r="C4157">
        <v>1361</v>
      </c>
      <c r="D4157">
        <v>1</v>
      </c>
      <c r="E4157">
        <v>11.54</v>
      </c>
    </row>
    <row r="4158" spans="1:5" x14ac:dyDescent="0.3">
      <c r="A4158">
        <v>176601</v>
      </c>
      <c r="B4158">
        <v>73286</v>
      </c>
      <c r="C4158">
        <v>1361</v>
      </c>
      <c r="D4158">
        <v>1</v>
      </c>
      <c r="E4158">
        <v>11.54</v>
      </c>
    </row>
    <row r="4159" spans="1:5" x14ac:dyDescent="0.3">
      <c r="A4159">
        <v>176611</v>
      </c>
      <c r="B4159">
        <v>73296</v>
      </c>
      <c r="C4159">
        <v>1361</v>
      </c>
      <c r="D4159">
        <v>1</v>
      </c>
      <c r="E4159">
        <v>11.54</v>
      </c>
    </row>
    <row r="4160" spans="1:5" x14ac:dyDescent="0.3">
      <c r="A4160">
        <v>176612</v>
      </c>
      <c r="B4160">
        <v>73297</v>
      </c>
      <c r="C4160">
        <v>1361</v>
      </c>
      <c r="D4160">
        <v>1</v>
      </c>
      <c r="E4160">
        <v>11.54</v>
      </c>
    </row>
    <row r="4161" spans="1:5" x14ac:dyDescent="0.3">
      <c r="A4161">
        <v>176613</v>
      </c>
      <c r="B4161">
        <v>73298</v>
      </c>
      <c r="C4161">
        <v>1361</v>
      </c>
      <c r="D4161">
        <v>1</v>
      </c>
      <c r="E4161">
        <v>11.54</v>
      </c>
    </row>
    <row r="4162" spans="1:5" x14ac:dyDescent="0.3">
      <c r="A4162">
        <v>176624</v>
      </c>
      <c r="B4162">
        <v>73309</v>
      </c>
      <c r="C4162">
        <v>1361</v>
      </c>
      <c r="D4162">
        <v>1</v>
      </c>
      <c r="E4162">
        <v>11.54</v>
      </c>
    </row>
    <row r="4163" spans="1:5" x14ac:dyDescent="0.3">
      <c r="A4163">
        <v>176625</v>
      </c>
      <c r="B4163">
        <v>73310</v>
      </c>
      <c r="C4163">
        <v>1361</v>
      </c>
      <c r="D4163">
        <v>1</v>
      </c>
      <c r="E4163">
        <v>11.54</v>
      </c>
    </row>
    <row r="4164" spans="1:5" x14ac:dyDescent="0.3">
      <c r="A4164">
        <v>176628</v>
      </c>
      <c r="B4164">
        <v>73313</v>
      </c>
      <c r="C4164">
        <v>1361</v>
      </c>
      <c r="D4164">
        <v>1</v>
      </c>
      <c r="E4164">
        <v>11.54</v>
      </c>
    </row>
    <row r="4165" spans="1:5" x14ac:dyDescent="0.3">
      <c r="A4165">
        <v>176640</v>
      </c>
      <c r="B4165">
        <v>73325</v>
      </c>
      <c r="C4165">
        <v>1361</v>
      </c>
      <c r="D4165">
        <v>1</v>
      </c>
      <c r="E4165">
        <v>11.54</v>
      </c>
    </row>
    <row r="4166" spans="1:5" x14ac:dyDescent="0.3">
      <c r="A4166">
        <v>176641</v>
      </c>
      <c r="B4166">
        <v>73326</v>
      </c>
      <c r="C4166">
        <v>1361</v>
      </c>
      <c r="D4166">
        <v>1</v>
      </c>
      <c r="E4166">
        <v>11.54</v>
      </c>
    </row>
    <row r="4167" spans="1:5" x14ac:dyDescent="0.3">
      <c r="A4167">
        <v>176642</v>
      </c>
      <c r="B4167">
        <v>73327</v>
      </c>
      <c r="C4167">
        <v>1361</v>
      </c>
      <c r="D4167">
        <v>1</v>
      </c>
      <c r="E4167">
        <v>11.54</v>
      </c>
    </row>
    <row r="4168" spans="1:5" x14ac:dyDescent="0.3">
      <c r="A4168">
        <v>176643</v>
      </c>
      <c r="B4168">
        <v>73328</v>
      </c>
      <c r="C4168">
        <v>1361</v>
      </c>
      <c r="D4168">
        <v>1</v>
      </c>
      <c r="E4168">
        <v>11.54</v>
      </c>
    </row>
    <row r="4169" spans="1:5" x14ac:dyDescent="0.3">
      <c r="A4169">
        <v>176644</v>
      </c>
      <c r="B4169">
        <v>73329</v>
      </c>
      <c r="C4169">
        <v>1361</v>
      </c>
      <c r="D4169">
        <v>1</v>
      </c>
      <c r="E4169">
        <v>11.54</v>
      </c>
    </row>
    <row r="4170" spans="1:5" x14ac:dyDescent="0.3">
      <c r="A4170">
        <v>176645</v>
      </c>
      <c r="B4170">
        <v>73330</v>
      </c>
      <c r="C4170">
        <v>1361</v>
      </c>
      <c r="D4170">
        <v>1</v>
      </c>
      <c r="E4170">
        <v>11.54</v>
      </c>
    </row>
    <row r="4171" spans="1:5" x14ac:dyDescent="0.3">
      <c r="A4171">
        <v>176646</v>
      </c>
      <c r="B4171">
        <v>73331</v>
      </c>
      <c r="C4171">
        <v>1361</v>
      </c>
      <c r="D4171">
        <v>1</v>
      </c>
      <c r="E4171">
        <v>11.54</v>
      </c>
    </row>
    <row r="4172" spans="1:5" x14ac:dyDescent="0.3">
      <c r="A4172">
        <v>176650</v>
      </c>
      <c r="B4172">
        <v>73335</v>
      </c>
      <c r="C4172">
        <v>1361</v>
      </c>
      <c r="D4172">
        <v>1</v>
      </c>
      <c r="E4172">
        <v>11.54</v>
      </c>
    </row>
    <row r="4173" spans="1:5" x14ac:dyDescent="0.3">
      <c r="A4173">
        <v>176660</v>
      </c>
      <c r="B4173">
        <v>73345</v>
      </c>
      <c r="C4173">
        <v>1361</v>
      </c>
      <c r="D4173">
        <v>1</v>
      </c>
      <c r="E4173">
        <v>11.54</v>
      </c>
    </row>
    <row r="4174" spans="1:5" x14ac:dyDescent="0.3">
      <c r="A4174">
        <v>176665</v>
      </c>
      <c r="B4174">
        <v>73350</v>
      </c>
      <c r="C4174">
        <v>1361</v>
      </c>
      <c r="D4174">
        <v>1</v>
      </c>
      <c r="E4174">
        <v>11.54</v>
      </c>
    </row>
    <row r="4175" spans="1:5" x14ac:dyDescent="0.3">
      <c r="A4175">
        <v>176666</v>
      </c>
      <c r="B4175">
        <v>73351</v>
      </c>
      <c r="C4175">
        <v>1361</v>
      </c>
      <c r="D4175">
        <v>1</v>
      </c>
      <c r="E4175">
        <v>11.54</v>
      </c>
    </row>
    <row r="4176" spans="1:5" x14ac:dyDescent="0.3">
      <c r="A4176">
        <v>176670</v>
      </c>
      <c r="B4176">
        <v>73355</v>
      </c>
      <c r="C4176">
        <v>1361</v>
      </c>
      <c r="D4176">
        <v>1</v>
      </c>
      <c r="E4176">
        <v>11.54</v>
      </c>
    </row>
    <row r="4177" spans="1:5" x14ac:dyDescent="0.3">
      <c r="A4177">
        <v>176671</v>
      </c>
      <c r="B4177">
        <v>73356</v>
      </c>
      <c r="C4177">
        <v>1361</v>
      </c>
      <c r="D4177">
        <v>1</v>
      </c>
      <c r="E4177">
        <v>11.54</v>
      </c>
    </row>
    <row r="4178" spans="1:5" x14ac:dyDescent="0.3">
      <c r="A4178">
        <v>176672</v>
      </c>
      <c r="B4178">
        <v>73357</v>
      </c>
      <c r="C4178">
        <v>1361</v>
      </c>
      <c r="D4178">
        <v>1</v>
      </c>
      <c r="E4178">
        <v>11.54</v>
      </c>
    </row>
    <row r="4179" spans="1:5" x14ac:dyDescent="0.3">
      <c r="A4179">
        <v>176673</v>
      </c>
      <c r="B4179">
        <v>73358</v>
      </c>
      <c r="C4179">
        <v>1361</v>
      </c>
      <c r="D4179">
        <v>1</v>
      </c>
      <c r="E4179">
        <v>11.54</v>
      </c>
    </row>
    <row r="4180" spans="1:5" x14ac:dyDescent="0.3">
      <c r="A4180">
        <v>176674</v>
      </c>
      <c r="B4180">
        <v>73359</v>
      </c>
      <c r="C4180">
        <v>1361</v>
      </c>
      <c r="D4180">
        <v>1</v>
      </c>
      <c r="E4180">
        <v>11.54</v>
      </c>
    </row>
    <row r="4181" spans="1:5" x14ac:dyDescent="0.3">
      <c r="A4181">
        <v>176687</v>
      </c>
      <c r="B4181">
        <v>73372</v>
      </c>
      <c r="C4181">
        <v>1361</v>
      </c>
      <c r="D4181">
        <v>1</v>
      </c>
      <c r="E4181">
        <v>11.54</v>
      </c>
    </row>
    <row r="4182" spans="1:5" x14ac:dyDescent="0.3">
      <c r="A4182">
        <v>176698</v>
      </c>
      <c r="B4182">
        <v>73383</v>
      </c>
      <c r="C4182">
        <v>1361</v>
      </c>
      <c r="D4182">
        <v>1</v>
      </c>
      <c r="E4182">
        <v>11.54</v>
      </c>
    </row>
    <row r="4183" spans="1:5" x14ac:dyDescent="0.3">
      <c r="A4183">
        <v>176699</v>
      </c>
      <c r="B4183">
        <v>73384</v>
      </c>
      <c r="C4183">
        <v>1361</v>
      </c>
      <c r="D4183">
        <v>1</v>
      </c>
      <c r="E4183">
        <v>11.54</v>
      </c>
    </row>
    <row r="4184" spans="1:5" x14ac:dyDescent="0.3">
      <c r="A4184">
        <v>176727</v>
      </c>
      <c r="B4184">
        <v>73412</v>
      </c>
      <c r="C4184">
        <v>1361</v>
      </c>
      <c r="D4184">
        <v>1</v>
      </c>
      <c r="E4184">
        <v>11.54</v>
      </c>
    </row>
    <row r="4185" spans="1:5" x14ac:dyDescent="0.3">
      <c r="A4185">
        <v>176747</v>
      </c>
      <c r="B4185">
        <v>73432</v>
      </c>
      <c r="C4185">
        <v>1361</v>
      </c>
      <c r="D4185">
        <v>1</v>
      </c>
      <c r="E4185">
        <v>11.54</v>
      </c>
    </row>
    <row r="4186" spans="1:5" x14ac:dyDescent="0.3">
      <c r="A4186">
        <v>176778</v>
      </c>
      <c r="B4186">
        <v>73463</v>
      </c>
      <c r="C4186">
        <v>1361</v>
      </c>
      <c r="D4186">
        <v>1</v>
      </c>
      <c r="E4186">
        <v>11.54</v>
      </c>
    </row>
    <row r="4187" spans="1:5" x14ac:dyDescent="0.3">
      <c r="A4187">
        <v>176791</v>
      </c>
      <c r="B4187">
        <v>73476</v>
      </c>
      <c r="C4187">
        <v>1362</v>
      </c>
      <c r="D4187">
        <v>1</v>
      </c>
      <c r="E4187">
        <v>39.75</v>
      </c>
    </row>
    <row r="4188" spans="1:5" x14ac:dyDescent="0.3">
      <c r="A4188">
        <v>176792</v>
      </c>
      <c r="B4188">
        <v>73477</v>
      </c>
      <c r="C4188">
        <v>1362</v>
      </c>
      <c r="D4188">
        <v>1</v>
      </c>
      <c r="E4188">
        <v>39.75</v>
      </c>
    </row>
    <row r="4189" spans="1:5" x14ac:dyDescent="0.3">
      <c r="A4189">
        <v>176793</v>
      </c>
      <c r="B4189">
        <v>73478</v>
      </c>
      <c r="C4189">
        <v>1362</v>
      </c>
      <c r="D4189">
        <v>1</v>
      </c>
      <c r="E4189">
        <v>39.75</v>
      </c>
    </row>
    <row r="4190" spans="1:5" x14ac:dyDescent="0.3">
      <c r="A4190">
        <v>176809</v>
      </c>
      <c r="B4190">
        <v>73494</v>
      </c>
      <c r="C4190">
        <v>1362</v>
      </c>
      <c r="D4190">
        <v>1</v>
      </c>
      <c r="E4190">
        <v>39.75</v>
      </c>
    </row>
    <row r="4191" spans="1:5" x14ac:dyDescent="0.3">
      <c r="A4191">
        <v>176810</v>
      </c>
      <c r="B4191">
        <v>73495</v>
      </c>
      <c r="C4191">
        <v>1362</v>
      </c>
      <c r="D4191">
        <v>1</v>
      </c>
      <c r="E4191">
        <v>39.75</v>
      </c>
    </row>
    <row r="4192" spans="1:5" x14ac:dyDescent="0.3">
      <c r="A4192">
        <v>176811</v>
      </c>
      <c r="B4192">
        <v>73496</v>
      </c>
      <c r="C4192">
        <v>1362</v>
      </c>
      <c r="D4192">
        <v>1</v>
      </c>
      <c r="E4192">
        <v>39.75</v>
      </c>
    </row>
    <row r="4193" spans="1:5" x14ac:dyDescent="0.3">
      <c r="A4193">
        <v>176824</v>
      </c>
      <c r="B4193">
        <v>73509</v>
      </c>
      <c r="C4193">
        <v>1362</v>
      </c>
      <c r="D4193">
        <v>1</v>
      </c>
      <c r="E4193">
        <v>39.75</v>
      </c>
    </row>
    <row r="4194" spans="1:5" x14ac:dyDescent="0.3">
      <c r="A4194">
        <v>176825</v>
      </c>
      <c r="B4194">
        <v>73510</v>
      </c>
      <c r="C4194">
        <v>1362</v>
      </c>
      <c r="D4194">
        <v>1</v>
      </c>
      <c r="E4194">
        <v>39.75</v>
      </c>
    </row>
    <row r="4195" spans="1:5" x14ac:dyDescent="0.3">
      <c r="A4195">
        <v>176841</v>
      </c>
      <c r="B4195">
        <v>73526</v>
      </c>
      <c r="C4195">
        <v>1362</v>
      </c>
      <c r="D4195">
        <v>1</v>
      </c>
      <c r="E4195">
        <v>39.75</v>
      </c>
    </row>
    <row r="4196" spans="1:5" x14ac:dyDescent="0.3">
      <c r="A4196">
        <v>176848</v>
      </c>
      <c r="B4196">
        <v>73533</v>
      </c>
      <c r="C4196">
        <v>1362</v>
      </c>
      <c r="D4196">
        <v>1</v>
      </c>
      <c r="E4196">
        <v>39.75</v>
      </c>
    </row>
    <row r="4197" spans="1:5" x14ac:dyDescent="0.3">
      <c r="A4197">
        <v>176849</v>
      </c>
      <c r="B4197">
        <v>73534</v>
      </c>
      <c r="C4197">
        <v>1362</v>
      </c>
      <c r="D4197">
        <v>1</v>
      </c>
      <c r="E4197">
        <v>39.75</v>
      </c>
    </row>
    <row r="4198" spans="1:5" x14ac:dyDescent="0.3">
      <c r="A4198">
        <v>176856</v>
      </c>
      <c r="B4198">
        <v>73541</v>
      </c>
      <c r="C4198">
        <v>1362</v>
      </c>
      <c r="D4198">
        <v>1</v>
      </c>
      <c r="E4198">
        <v>39.75</v>
      </c>
    </row>
    <row r="4199" spans="1:5" x14ac:dyDescent="0.3">
      <c r="A4199">
        <v>176857</v>
      </c>
      <c r="B4199">
        <v>73542</v>
      </c>
      <c r="C4199">
        <v>1362</v>
      </c>
      <c r="D4199">
        <v>1</v>
      </c>
      <c r="E4199">
        <v>39.75</v>
      </c>
    </row>
    <row r="4200" spans="1:5" x14ac:dyDescent="0.3">
      <c r="A4200">
        <v>176893</v>
      </c>
      <c r="B4200">
        <v>73578</v>
      </c>
      <c r="C4200">
        <v>1362</v>
      </c>
      <c r="D4200">
        <v>1</v>
      </c>
      <c r="E4200">
        <v>39.75</v>
      </c>
    </row>
    <row r="4201" spans="1:5" x14ac:dyDescent="0.3">
      <c r="A4201">
        <v>176894</v>
      </c>
      <c r="B4201">
        <v>73579</v>
      </c>
      <c r="C4201">
        <v>1362</v>
      </c>
      <c r="D4201">
        <v>1</v>
      </c>
      <c r="E4201">
        <v>39.75</v>
      </c>
    </row>
    <row r="4202" spans="1:5" x14ac:dyDescent="0.3">
      <c r="A4202">
        <v>176895</v>
      </c>
      <c r="B4202">
        <v>73580</v>
      </c>
      <c r="C4202">
        <v>1362</v>
      </c>
      <c r="D4202">
        <v>1</v>
      </c>
      <c r="E4202">
        <v>39.75</v>
      </c>
    </row>
    <row r="4203" spans="1:5" x14ac:dyDescent="0.3">
      <c r="A4203">
        <v>176898</v>
      </c>
      <c r="B4203">
        <v>73583</v>
      </c>
      <c r="C4203">
        <v>1362</v>
      </c>
      <c r="D4203">
        <v>1</v>
      </c>
      <c r="E4203">
        <v>39.75</v>
      </c>
    </row>
    <row r="4204" spans="1:5" x14ac:dyDescent="0.3">
      <c r="A4204">
        <v>176920</v>
      </c>
      <c r="B4204">
        <v>73605</v>
      </c>
      <c r="C4204">
        <v>1362</v>
      </c>
      <c r="D4204">
        <v>1</v>
      </c>
      <c r="E4204">
        <v>39.75</v>
      </c>
    </row>
    <row r="4205" spans="1:5" x14ac:dyDescent="0.3">
      <c r="A4205">
        <v>176923</v>
      </c>
      <c r="B4205">
        <v>73608</v>
      </c>
      <c r="C4205">
        <v>1362</v>
      </c>
      <c r="D4205">
        <v>1</v>
      </c>
      <c r="E4205">
        <v>39.75</v>
      </c>
    </row>
    <row r="4206" spans="1:5" x14ac:dyDescent="0.3">
      <c r="A4206">
        <v>176942</v>
      </c>
      <c r="B4206">
        <v>73627</v>
      </c>
      <c r="C4206">
        <v>1362</v>
      </c>
      <c r="D4206">
        <v>1</v>
      </c>
      <c r="E4206">
        <v>39.75</v>
      </c>
    </row>
    <row r="4207" spans="1:5" x14ac:dyDescent="0.3">
      <c r="A4207">
        <v>176944</v>
      </c>
      <c r="B4207">
        <v>73629</v>
      </c>
      <c r="C4207">
        <v>1362</v>
      </c>
      <c r="D4207">
        <v>1</v>
      </c>
      <c r="E4207">
        <v>39.75</v>
      </c>
    </row>
    <row r="4208" spans="1:5" x14ac:dyDescent="0.3">
      <c r="A4208">
        <v>176945</v>
      </c>
      <c r="B4208">
        <v>73630</v>
      </c>
      <c r="C4208">
        <v>1362</v>
      </c>
      <c r="D4208">
        <v>1</v>
      </c>
      <c r="E4208">
        <v>39.75</v>
      </c>
    </row>
    <row r="4209" spans="1:5" x14ac:dyDescent="0.3">
      <c r="A4209">
        <v>176946</v>
      </c>
      <c r="B4209">
        <v>73631</v>
      </c>
      <c r="C4209">
        <v>1362</v>
      </c>
      <c r="D4209">
        <v>1</v>
      </c>
      <c r="E4209">
        <v>39.75</v>
      </c>
    </row>
    <row r="4210" spans="1:5" x14ac:dyDescent="0.3">
      <c r="A4210">
        <v>176947</v>
      </c>
      <c r="B4210">
        <v>73632</v>
      </c>
      <c r="C4210">
        <v>1362</v>
      </c>
      <c r="D4210">
        <v>1</v>
      </c>
      <c r="E4210">
        <v>39.75</v>
      </c>
    </row>
    <row r="4211" spans="1:5" x14ac:dyDescent="0.3">
      <c r="A4211">
        <v>176948</v>
      </c>
      <c r="B4211">
        <v>73633</v>
      </c>
      <c r="C4211">
        <v>1362</v>
      </c>
      <c r="D4211">
        <v>1</v>
      </c>
      <c r="E4211">
        <v>39.75</v>
      </c>
    </row>
    <row r="4212" spans="1:5" x14ac:dyDescent="0.3">
      <c r="A4212">
        <v>176991</v>
      </c>
      <c r="B4212">
        <v>73676</v>
      </c>
      <c r="C4212">
        <v>1362</v>
      </c>
      <c r="D4212">
        <v>1</v>
      </c>
      <c r="E4212">
        <v>39.75</v>
      </c>
    </row>
    <row r="4213" spans="1:5" x14ac:dyDescent="0.3">
      <c r="A4213">
        <v>177035</v>
      </c>
      <c r="B4213">
        <v>73720</v>
      </c>
      <c r="C4213">
        <v>1363</v>
      </c>
      <c r="D4213">
        <v>1</v>
      </c>
      <c r="E4213">
        <v>215.82</v>
      </c>
    </row>
    <row r="4214" spans="1:5" x14ac:dyDescent="0.3">
      <c r="A4214">
        <v>177057</v>
      </c>
      <c r="B4214">
        <v>73742</v>
      </c>
      <c r="C4214">
        <v>1363</v>
      </c>
      <c r="D4214">
        <v>1</v>
      </c>
      <c r="E4214">
        <v>215.82</v>
      </c>
    </row>
    <row r="4215" spans="1:5" x14ac:dyDescent="0.3">
      <c r="A4215">
        <v>177059</v>
      </c>
      <c r="B4215">
        <v>73744</v>
      </c>
      <c r="C4215">
        <v>1363</v>
      </c>
      <c r="D4215">
        <v>1</v>
      </c>
      <c r="E4215">
        <v>215.82</v>
      </c>
    </row>
    <row r="4216" spans="1:5" x14ac:dyDescent="0.3">
      <c r="A4216">
        <v>177060</v>
      </c>
      <c r="B4216">
        <v>73745</v>
      </c>
      <c r="C4216">
        <v>1363</v>
      </c>
      <c r="D4216">
        <v>1</v>
      </c>
      <c r="E4216">
        <v>215.82</v>
      </c>
    </row>
    <row r="4217" spans="1:5" x14ac:dyDescent="0.3">
      <c r="A4217">
        <v>177077</v>
      </c>
      <c r="B4217">
        <v>73762</v>
      </c>
      <c r="C4217">
        <v>1363</v>
      </c>
      <c r="D4217">
        <v>1</v>
      </c>
      <c r="E4217">
        <v>215.82</v>
      </c>
    </row>
    <row r="4218" spans="1:5" x14ac:dyDescent="0.3">
      <c r="A4218">
        <v>177078</v>
      </c>
      <c r="B4218">
        <v>73763</v>
      </c>
      <c r="C4218">
        <v>1363</v>
      </c>
      <c r="D4218">
        <v>1</v>
      </c>
      <c r="E4218">
        <v>215.82</v>
      </c>
    </row>
    <row r="4219" spans="1:5" x14ac:dyDescent="0.3">
      <c r="A4219">
        <v>177079</v>
      </c>
      <c r="B4219">
        <v>73764</v>
      </c>
      <c r="C4219">
        <v>1363</v>
      </c>
      <c r="D4219">
        <v>1</v>
      </c>
      <c r="E4219">
        <v>215.82</v>
      </c>
    </row>
    <row r="4220" spans="1:5" x14ac:dyDescent="0.3">
      <c r="A4220">
        <v>177080</v>
      </c>
      <c r="B4220">
        <v>73765</v>
      </c>
      <c r="C4220">
        <v>1363</v>
      </c>
      <c r="D4220">
        <v>1</v>
      </c>
      <c r="E4220">
        <v>215.82</v>
      </c>
    </row>
    <row r="4221" spans="1:5" x14ac:dyDescent="0.3">
      <c r="A4221">
        <v>177091</v>
      </c>
      <c r="B4221">
        <v>73776</v>
      </c>
      <c r="C4221">
        <v>1363</v>
      </c>
      <c r="D4221">
        <v>1</v>
      </c>
      <c r="E4221">
        <v>215.82</v>
      </c>
    </row>
    <row r="4222" spans="1:5" x14ac:dyDescent="0.3">
      <c r="A4222">
        <v>177095</v>
      </c>
      <c r="B4222">
        <v>73780</v>
      </c>
      <c r="C4222">
        <v>1363</v>
      </c>
      <c r="D4222">
        <v>1</v>
      </c>
      <c r="E4222">
        <v>215.82</v>
      </c>
    </row>
    <row r="4223" spans="1:5" x14ac:dyDescent="0.3">
      <c r="A4223">
        <v>177102</v>
      </c>
      <c r="B4223">
        <v>73787</v>
      </c>
      <c r="C4223">
        <v>1363</v>
      </c>
      <c r="D4223">
        <v>1</v>
      </c>
      <c r="E4223">
        <v>215.82</v>
      </c>
    </row>
    <row r="4224" spans="1:5" x14ac:dyDescent="0.3">
      <c r="A4224">
        <v>177103</v>
      </c>
      <c r="B4224">
        <v>73788</v>
      </c>
      <c r="C4224">
        <v>1363</v>
      </c>
      <c r="D4224">
        <v>1</v>
      </c>
      <c r="E4224">
        <v>215.82</v>
      </c>
    </row>
    <row r="4225" spans="1:5" x14ac:dyDescent="0.3">
      <c r="A4225">
        <v>177104</v>
      </c>
      <c r="B4225">
        <v>73789</v>
      </c>
      <c r="C4225">
        <v>1363</v>
      </c>
      <c r="D4225">
        <v>1</v>
      </c>
      <c r="E4225">
        <v>215.82</v>
      </c>
    </row>
    <row r="4226" spans="1:5" x14ac:dyDescent="0.3">
      <c r="A4226">
        <v>177123</v>
      </c>
      <c r="B4226">
        <v>73808</v>
      </c>
      <c r="C4226">
        <v>1363</v>
      </c>
      <c r="D4226">
        <v>1</v>
      </c>
      <c r="E4226">
        <v>215.82</v>
      </c>
    </row>
    <row r="4227" spans="1:5" x14ac:dyDescent="0.3">
      <c r="A4227">
        <v>177127</v>
      </c>
      <c r="B4227">
        <v>73812</v>
      </c>
      <c r="C4227">
        <v>1363</v>
      </c>
      <c r="D4227">
        <v>1</v>
      </c>
      <c r="E4227">
        <v>215.82</v>
      </c>
    </row>
    <row r="4228" spans="1:5" x14ac:dyDescent="0.3">
      <c r="A4228">
        <v>177138</v>
      </c>
      <c r="B4228">
        <v>73823</v>
      </c>
      <c r="C4228">
        <v>1363</v>
      </c>
      <c r="D4228">
        <v>1</v>
      </c>
      <c r="E4228">
        <v>215.82</v>
      </c>
    </row>
    <row r="4229" spans="1:5" x14ac:dyDescent="0.3">
      <c r="A4229">
        <v>177140</v>
      </c>
      <c r="B4229">
        <v>73825</v>
      </c>
      <c r="C4229">
        <v>1363</v>
      </c>
      <c r="D4229">
        <v>1</v>
      </c>
      <c r="E4229">
        <v>215.82</v>
      </c>
    </row>
    <row r="4230" spans="1:5" x14ac:dyDescent="0.3">
      <c r="A4230">
        <v>177143</v>
      </c>
      <c r="B4230">
        <v>73828</v>
      </c>
      <c r="C4230">
        <v>1363</v>
      </c>
      <c r="D4230">
        <v>1</v>
      </c>
      <c r="E4230">
        <v>215.82</v>
      </c>
    </row>
    <row r="4231" spans="1:5" x14ac:dyDescent="0.3">
      <c r="A4231">
        <v>177154</v>
      </c>
      <c r="B4231">
        <v>73839</v>
      </c>
      <c r="C4231">
        <v>1363</v>
      </c>
      <c r="D4231">
        <v>1</v>
      </c>
      <c r="E4231">
        <v>215.82</v>
      </c>
    </row>
    <row r="4232" spans="1:5" x14ac:dyDescent="0.3">
      <c r="A4232">
        <v>177155</v>
      </c>
      <c r="B4232">
        <v>73840</v>
      </c>
      <c r="C4232">
        <v>1363</v>
      </c>
      <c r="D4232">
        <v>1</v>
      </c>
      <c r="E4232">
        <v>215.82</v>
      </c>
    </row>
    <row r="4233" spans="1:5" x14ac:dyDescent="0.3">
      <c r="A4233">
        <v>177156</v>
      </c>
      <c r="B4233">
        <v>73841</v>
      </c>
      <c r="C4233">
        <v>1363</v>
      </c>
      <c r="D4233">
        <v>1</v>
      </c>
      <c r="E4233">
        <v>215.82</v>
      </c>
    </row>
    <row r="4234" spans="1:5" x14ac:dyDescent="0.3">
      <c r="A4234">
        <v>177158</v>
      </c>
      <c r="B4234">
        <v>73843</v>
      </c>
      <c r="C4234">
        <v>1363</v>
      </c>
      <c r="D4234">
        <v>1</v>
      </c>
      <c r="E4234">
        <v>215.82</v>
      </c>
    </row>
    <row r="4235" spans="1:5" x14ac:dyDescent="0.3">
      <c r="A4235">
        <v>177159</v>
      </c>
      <c r="B4235">
        <v>73844</v>
      </c>
      <c r="C4235">
        <v>1363</v>
      </c>
      <c r="D4235">
        <v>1</v>
      </c>
      <c r="E4235">
        <v>215.82</v>
      </c>
    </row>
    <row r="4236" spans="1:5" x14ac:dyDescent="0.3">
      <c r="A4236">
        <v>177175</v>
      </c>
      <c r="B4236">
        <v>73860</v>
      </c>
      <c r="C4236">
        <v>1363</v>
      </c>
      <c r="D4236">
        <v>1</v>
      </c>
      <c r="E4236">
        <v>215.82</v>
      </c>
    </row>
    <row r="4237" spans="1:5" x14ac:dyDescent="0.3">
      <c r="A4237">
        <v>177178</v>
      </c>
      <c r="B4237">
        <v>73863</v>
      </c>
      <c r="C4237">
        <v>1363</v>
      </c>
      <c r="D4237">
        <v>1</v>
      </c>
      <c r="E4237">
        <v>215.82</v>
      </c>
    </row>
    <row r="4238" spans="1:5" x14ac:dyDescent="0.3">
      <c r="A4238">
        <v>177179</v>
      </c>
      <c r="B4238">
        <v>73864</v>
      </c>
      <c r="C4238">
        <v>1363</v>
      </c>
      <c r="D4238">
        <v>1</v>
      </c>
      <c r="E4238">
        <v>215.82</v>
      </c>
    </row>
    <row r="4239" spans="1:5" x14ac:dyDescent="0.3">
      <c r="A4239">
        <v>177180</v>
      </c>
      <c r="B4239">
        <v>73865</v>
      </c>
      <c r="C4239">
        <v>1363</v>
      </c>
      <c r="D4239">
        <v>1</v>
      </c>
      <c r="E4239">
        <v>215.82</v>
      </c>
    </row>
    <row r="4240" spans="1:5" x14ac:dyDescent="0.3">
      <c r="A4240">
        <v>177181</v>
      </c>
      <c r="B4240">
        <v>73866</v>
      </c>
      <c r="C4240">
        <v>1363</v>
      </c>
      <c r="D4240">
        <v>1</v>
      </c>
      <c r="E4240">
        <v>215.82</v>
      </c>
    </row>
    <row r="4241" spans="1:5" x14ac:dyDescent="0.3">
      <c r="A4241">
        <v>177182</v>
      </c>
      <c r="B4241">
        <v>73867</v>
      </c>
      <c r="C4241">
        <v>1363</v>
      </c>
      <c r="D4241">
        <v>1</v>
      </c>
      <c r="E4241">
        <v>215.82</v>
      </c>
    </row>
    <row r="4242" spans="1:5" x14ac:dyDescent="0.3">
      <c r="A4242">
        <v>177206</v>
      </c>
      <c r="B4242">
        <v>73891</v>
      </c>
      <c r="C4242">
        <v>1363</v>
      </c>
      <c r="D4242">
        <v>1</v>
      </c>
      <c r="E4242">
        <v>215.82</v>
      </c>
    </row>
    <row r="4243" spans="1:5" x14ac:dyDescent="0.3">
      <c r="A4243">
        <v>177207</v>
      </c>
      <c r="B4243">
        <v>73892</v>
      </c>
      <c r="C4243">
        <v>1363</v>
      </c>
      <c r="D4243">
        <v>1</v>
      </c>
      <c r="E4243">
        <v>215.82</v>
      </c>
    </row>
    <row r="4244" spans="1:5" x14ac:dyDescent="0.3">
      <c r="A4244">
        <v>177247</v>
      </c>
      <c r="B4244">
        <v>73932</v>
      </c>
      <c r="C4244">
        <v>1363</v>
      </c>
      <c r="D4244">
        <v>1</v>
      </c>
      <c r="E4244">
        <v>215.82</v>
      </c>
    </row>
    <row r="4245" spans="1:5" x14ac:dyDescent="0.3">
      <c r="A4245">
        <v>177249</v>
      </c>
      <c r="B4245">
        <v>73934</v>
      </c>
      <c r="C4245">
        <v>1363</v>
      </c>
      <c r="D4245">
        <v>1</v>
      </c>
      <c r="E4245">
        <v>215.82</v>
      </c>
    </row>
    <row r="4246" spans="1:5" x14ac:dyDescent="0.3">
      <c r="A4246">
        <v>177273</v>
      </c>
      <c r="B4246">
        <v>73958</v>
      </c>
      <c r="C4246">
        <v>1363</v>
      </c>
      <c r="D4246">
        <v>1</v>
      </c>
      <c r="E4246">
        <v>215.82</v>
      </c>
    </row>
    <row r="4247" spans="1:5" x14ac:dyDescent="0.3">
      <c r="A4247">
        <v>177275</v>
      </c>
      <c r="B4247">
        <v>73960</v>
      </c>
      <c r="C4247">
        <v>1363</v>
      </c>
      <c r="D4247">
        <v>1</v>
      </c>
      <c r="E4247">
        <v>215.82</v>
      </c>
    </row>
    <row r="4248" spans="1:5" x14ac:dyDescent="0.3">
      <c r="A4248">
        <v>177276</v>
      </c>
      <c r="B4248">
        <v>73961</v>
      </c>
      <c r="C4248">
        <v>1363</v>
      </c>
      <c r="D4248">
        <v>1</v>
      </c>
      <c r="E4248">
        <v>215.82</v>
      </c>
    </row>
    <row r="4249" spans="1:5" x14ac:dyDescent="0.3">
      <c r="A4249">
        <v>177277</v>
      </c>
      <c r="B4249">
        <v>73962</v>
      </c>
      <c r="C4249">
        <v>1363</v>
      </c>
      <c r="D4249">
        <v>1</v>
      </c>
      <c r="E4249">
        <v>215.82</v>
      </c>
    </row>
    <row r="4250" spans="1:5" x14ac:dyDescent="0.3">
      <c r="A4250">
        <v>177278</v>
      </c>
      <c r="B4250">
        <v>73963</v>
      </c>
      <c r="C4250">
        <v>1363</v>
      </c>
      <c r="D4250">
        <v>1</v>
      </c>
      <c r="E4250">
        <v>215.82</v>
      </c>
    </row>
    <row r="4251" spans="1:5" x14ac:dyDescent="0.3">
      <c r="A4251">
        <v>177290</v>
      </c>
      <c r="B4251">
        <v>73975</v>
      </c>
      <c r="C4251">
        <v>1346</v>
      </c>
      <c r="D4251">
        <v>1</v>
      </c>
      <c r="E4251">
        <v>31.08</v>
      </c>
    </row>
    <row r="4252" spans="1:5" x14ac:dyDescent="0.3">
      <c r="A4252">
        <v>177291</v>
      </c>
      <c r="B4252">
        <v>73976</v>
      </c>
      <c r="C4252">
        <v>1346</v>
      </c>
      <c r="D4252">
        <v>1</v>
      </c>
      <c r="E4252">
        <v>31.08</v>
      </c>
    </row>
    <row r="4253" spans="1:5" x14ac:dyDescent="0.3">
      <c r="A4253">
        <v>177292</v>
      </c>
      <c r="B4253">
        <v>73977</v>
      </c>
      <c r="C4253">
        <v>1346</v>
      </c>
      <c r="D4253">
        <v>1</v>
      </c>
      <c r="E4253">
        <v>31.08</v>
      </c>
    </row>
    <row r="4254" spans="1:5" x14ac:dyDescent="0.3">
      <c r="A4254">
        <v>177315</v>
      </c>
      <c r="B4254">
        <v>74000</v>
      </c>
      <c r="C4254">
        <v>1346</v>
      </c>
      <c r="D4254">
        <v>1</v>
      </c>
      <c r="E4254">
        <v>31.08</v>
      </c>
    </row>
    <row r="4255" spans="1:5" x14ac:dyDescent="0.3">
      <c r="A4255">
        <v>177316</v>
      </c>
      <c r="B4255">
        <v>74001</v>
      </c>
      <c r="C4255">
        <v>1346</v>
      </c>
      <c r="D4255">
        <v>1</v>
      </c>
      <c r="E4255">
        <v>31.08</v>
      </c>
    </row>
    <row r="4256" spans="1:5" x14ac:dyDescent="0.3">
      <c r="A4256">
        <v>177317</v>
      </c>
      <c r="B4256">
        <v>74002</v>
      </c>
      <c r="C4256">
        <v>1346</v>
      </c>
      <c r="D4256">
        <v>1</v>
      </c>
      <c r="E4256">
        <v>31.08</v>
      </c>
    </row>
    <row r="4257" spans="1:5" x14ac:dyDescent="0.3">
      <c r="A4257">
        <v>177322</v>
      </c>
      <c r="B4257">
        <v>74007</v>
      </c>
      <c r="C4257">
        <v>1346</v>
      </c>
      <c r="D4257">
        <v>1</v>
      </c>
      <c r="E4257">
        <v>31.08</v>
      </c>
    </row>
    <row r="4258" spans="1:5" x14ac:dyDescent="0.3">
      <c r="A4258">
        <v>177323</v>
      </c>
      <c r="B4258">
        <v>74008</v>
      </c>
      <c r="C4258">
        <v>1346</v>
      </c>
      <c r="D4258">
        <v>1</v>
      </c>
      <c r="E4258">
        <v>31.08</v>
      </c>
    </row>
    <row r="4259" spans="1:5" x14ac:dyDescent="0.3">
      <c r="A4259">
        <v>177324</v>
      </c>
      <c r="B4259">
        <v>74009</v>
      </c>
      <c r="C4259">
        <v>1346</v>
      </c>
      <c r="D4259">
        <v>1</v>
      </c>
      <c r="E4259">
        <v>31.08</v>
      </c>
    </row>
    <row r="4260" spans="1:5" x14ac:dyDescent="0.3">
      <c r="A4260">
        <v>177366</v>
      </c>
      <c r="B4260">
        <v>74051</v>
      </c>
      <c r="C4260">
        <v>1346</v>
      </c>
      <c r="D4260">
        <v>1</v>
      </c>
      <c r="E4260">
        <v>31.08</v>
      </c>
    </row>
    <row r="4261" spans="1:5" x14ac:dyDescent="0.3">
      <c r="A4261">
        <v>177385</v>
      </c>
      <c r="B4261">
        <v>74070</v>
      </c>
      <c r="C4261">
        <v>1346</v>
      </c>
      <c r="D4261">
        <v>1</v>
      </c>
      <c r="E4261">
        <v>31.08</v>
      </c>
    </row>
    <row r="4262" spans="1:5" x14ac:dyDescent="0.3">
      <c r="A4262">
        <v>177386</v>
      </c>
      <c r="B4262">
        <v>74071</v>
      </c>
      <c r="C4262">
        <v>1346</v>
      </c>
      <c r="D4262">
        <v>1</v>
      </c>
      <c r="E4262">
        <v>31.08</v>
      </c>
    </row>
    <row r="4263" spans="1:5" x14ac:dyDescent="0.3">
      <c r="A4263">
        <v>177387</v>
      </c>
      <c r="B4263">
        <v>74072</v>
      </c>
      <c r="C4263">
        <v>1347</v>
      </c>
      <c r="D4263">
        <v>1</v>
      </c>
      <c r="E4263">
        <v>59.08</v>
      </c>
    </row>
    <row r="4264" spans="1:5" x14ac:dyDescent="0.3">
      <c r="A4264">
        <v>177394</v>
      </c>
      <c r="B4264">
        <v>74079</v>
      </c>
      <c r="C4264">
        <v>1347</v>
      </c>
      <c r="D4264">
        <v>1</v>
      </c>
      <c r="E4264">
        <v>59.08</v>
      </c>
    </row>
    <row r="4265" spans="1:5" x14ac:dyDescent="0.3">
      <c r="A4265">
        <v>177395</v>
      </c>
      <c r="B4265">
        <v>74080</v>
      </c>
      <c r="C4265">
        <v>1347</v>
      </c>
      <c r="D4265">
        <v>1</v>
      </c>
      <c r="E4265">
        <v>59.08</v>
      </c>
    </row>
    <row r="4266" spans="1:5" x14ac:dyDescent="0.3">
      <c r="A4266">
        <v>177396</v>
      </c>
      <c r="B4266">
        <v>74081</v>
      </c>
      <c r="C4266">
        <v>1347</v>
      </c>
      <c r="D4266">
        <v>1</v>
      </c>
      <c r="E4266">
        <v>59.08</v>
      </c>
    </row>
    <row r="4267" spans="1:5" x14ac:dyDescent="0.3">
      <c r="A4267">
        <v>177402</v>
      </c>
      <c r="B4267">
        <v>74087</v>
      </c>
      <c r="C4267">
        <v>1347</v>
      </c>
      <c r="D4267">
        <v>1</v>
      </c>
      <c r="E4267">
        <v>59.08</v>
      </c>
    </row>
    <row r="4268" spans="1:5" x14ac:dyDescent="0.3">
      <c r="A4268">
        <v>177403</v>
      </c>
      <c r="B4268">
        <v>74088</v>
      </c>
      <c r="C4268">
        <v>1347</v>
      </c>
      <c r="D4268">
        <v>1</v>
      </c>
      <c r="E4268">
        <v>59.08</v>
      </c>
    </row>
    <row r="4269" spans="1:5" x14ac:dyDescent="0.3">
      <c r="A4269">
        <v>177433</v>
      </c>
      <c r="B4269">
        <v>74118</v>
      </c>
      <c r="C4269">
        <v>1347</v>
      </c>
      <c r="D4269">
        <v>1</v>
      </c>
      <c r="E4269">
        <v>59.08</v>
      </c>
    </row>
    <row r="4270" spans="1:5" x14ac:dyDescent="0.3">
      <c r="A4270">
        <v>177436</v>
      </c>
      <c r="B4270">
        <v>74121</v>
      </c>
      <c r="C4270">
        <v>1347</v>
      </c>
      <c r="D4270">
        <v>1</v>
      </c>
      <c r="E4270">
        <v>59.08</v>
      </c>
    </row>
    <row r="4271" spans="1:5" x14ac:dyDescent="0.3">
      <c r="A4271">
        <v>177437</v>
      </c>
      <c r="B4271">
        <v>74122</v>
      </c>
      <c r="C4271">
        <v>1347</v>
      </c>
      <c r="D4271">
        <v>1</v>
      </c>
      <c r="E4271">
        <v>59.08</v>
      </c>
    </row>
    <row r="4272" spans="1:5" x14ac:dyDescent="0.3">
      <c r="A4272">
        <v>177508</v>
      </c>
      <c r="B4272">
        <v>74193</v>
      </c>
      <c r="C4272">
        <v>1347</v>
      </c>
      <c r="D4272">
        <v>1</v>
      </c>
      <c r="E4272">
        <v>59.08</v>
      </c>
    </row>
    <row r="4273" spans="1:5" x14ac:dyDescent="0.3">
      <c r="A4273">
        <v>177509</v>
      </c>
      <c r="B4273">
        <v>74194</v>
      </c>
      <c r="C4273">
        <v>1347</v>
      </c>
      <c r="D4273">
        <v>1</v>
      </c>
      <c r="E4273">
        <v>59.08</v>
      </c>
    </row>
    <row r="4274" spans="1:5" x14ac:dyDescent="0.3">
      <c r="A4274">
        <v>177510</v>
      </c>
      <c r="B4274">
        <v>74195</v>
      </c>
      <c r="C4274">
        <v>1347</v>
      </c>
      <c r="D4274">
        <v>1</v>
      </c>
      <c r="E4274">
        <v>59.08</v>
      </c>
    </row>
    <row r="4275" spans="1:5" x14ac:dyDescent="0.3">
      <c r="A4275">
        <v>177511</v>
      </c>
      <c r="B4275">
        <v>74196</v>
      </c>
      <c r="C4275">
        <v>1347</v>
      </c>
      <c r="D4275">
        <v>1</v>
      </c>
      <c r="E4275">
        <v>59.08</v>
      </c>
    </row>
    <row r="4276" spans="1:5" x14ac:dyDescent="0.3">
      <c r="A4276">
        <v>177512</v>
      </c>
      <c r="B4276">
        <v>74197</v>
      </c>
      <c r="C4276">
        <v>1348</v>
      </c>
      <c r="D4276">
        <v>1</v>
      </c>
      <c r="E4276">
        <v>11.29</v>
      </c>
    </row>
    <row r="4277" spans="1:5" x14ac:dyDescent="0.3">
      <c r="A4277">
        <v>177526</v>
      </c>
      <c r="B4277">
        <v>74211</v>
      </c>
      <c r="C4277">
        <v>1348</v>
      </c>
      <c r="D4277">
        <v>1</v>
      </c>
      <c r="E4277">
        <v>11.29</v>
      </c>
    </row>
    <row r="4278" spans="1:5" x14ac:dyDescent="0.3">
      <c r="A4278">
        <v>177527</v>
      </c>
      <c r="B4278">
        <v>74212</v>
      </c>
      <c r="C4278">
        <v>1348</v>
      </c>
      <c r="D4278">
        <v>1</v>
      </c>
      <c r="E4278">
        <v>11.29</v>
      </c>
    </row>
    <row r="4279" spans="1:5" x14ac:dyDescent="0.3">
      <c r="A4279">
        <v>177539</v>
      </c>
      <c r="B4279">
        <v>74224</v>
      </c>
      <c r="C4279">
        <v>1348</v>
      </c>
      <c r="D4279">
        <v>1</v>
      </c>
      <c r="E4279">
        <v>11.29</v>
      </c>
    </row>
    <row r="4280" spans="1:5" x14ac:dyDescent="0.3">
      <c r="A4280">
        <v>177540</v>
      </c>
      <c r="B4280">
        <v>74225</v>
      </c>
      <c r="C4280">
        <v>1348</v>
      </c>
      <c r="D4280">
        <v>1</v>
      </c>
      <c r="E4280">
        <v>11.29</v>
      </c>
    </row>
    <row r="4281" spans="1:5" x14ac:dyDescent="0.3">
      <c r="A4281">
        <v>177542</v>
      </c>
      <c r="B4281">
        <v>74227</v>
      </c>
      <c r="C4281">
        <v>1348</v>
      </c>
      <c r="D4281">
        <v>1</v>
      </c>
      <c r="E4281">
        <v>11.29</v>
      </c>
    </row>
    <row r="4282" spans="1:5" x14ac:dyDescent="0.3">
      <c r="A4282">
        <v>177549</v>
      </c>
      <c r="B4282">
        <v>74234</v>
      </c>
      <c r="C4282">
        <v>1348</v>
      </c>
      <c r="D4282">
        <v>1</v>
      </c>
      <c r="E4282">
        <v>11.29</v>
      </c>
    </row>
    <row r="4283" spans="1:5" x14ac:dyDescent="0.3">
      <c r="A4283">
        <v>177550</v>
      </c>
      <c r="B4283">
        <v>74235</v>
      </c>
      <c r="C4283">
        <v>1348</v>
      </c>
      <c r="D4283">
        <v>1</v>
      </c>
      <c r="E4283">
        <v>11.29</v>
      </c>
    </row>
    <row r="4284" spans="1:5" x14ac:dyDescent="0.3">
      <c r="A4284">
        <v>177569</v>
      </c>
      <c r="B4284">
        <v>74254</v>
      </c>
      <c r="C4284">
        <v>1348</v>
      </c>
      <c r="D4284">
        <v>1</v>
      </c>
      <c r="E4284">
        <v>11.29</v>
      </c>
    </row>
    <row r="4285" spans="1:5" x14ac:dyDescent="0.3">
      <c r="A4285">
        <v>177570</v>
      </c>
      <c r="B4285">
        <v>74255</v>
      </c>
      <c r="C4285">
        <v>1348</v>
      </c>
      <c r="D4285">
        <v>1</v>
      </c>
      <c r="E4285">
        <v>11.29</v>
      </c>
    </row>
    <row r="4286" spans="1:5" x14ac:dyDescent="0.3">
      <c r="A4286">
        <v>177575</v>
      </c>
      <c r="B4286">
        <v>74260</v>
      </c>
      <c r="C4286">
        <v>1348</v>
      </c>
      <c r="D4286">
        <v>1</v>
      </c>
      <c r="E4286">
        <v>11.29</v>
      </c>
    </row>
    <row r="4287" spans="1:5" x14ac:dyDescent="0.3">
      <c r="A4287">
        <v>177583</v>
      </c>
      <c r="B4287">
        <v>74268</v>
      </c>
      <c r="C4287">
        <v>1348</v>
      </c>
      <c r="D4287">
        <v>1</v>
      </c>
      <c r="E4287">
        <v>11.29</v>
      </c>
    </row>
    <row r="4288" spans="1:5" x14ac:dyDescent="0.3">
      <c r="A4288">
        <v>177603</v>
      </c>
      <c r="B4288">
        <v>74288</v>
      </c>
      <c r="C4288">
        <v>1348</v>
      </c>
      <c r="D4288">
        <v>1</v>
      </c>
      <c r="E4288">
        <v>11.29</v>
      </c>
    </row>
    <row r="4289" spans="1:5" x14ac:dyDescent="0.3">
      <c r="A4289">
        <v>177604</v>
      </c>
      <c r="B4289">
        <v>74289</v>
      </c>
      <c r="C4289">
        <v>1348</v>
      </c>
      <c r="D4289">
        <v>1</v>
      </c>
      <c r="E4289">
        <v>11.29</v>
      </c>
    </row>
    <row r="4290" spans="1:5" x14ac:dyDescent="0.3">
      <c r="A4290">
        <v>177605</v>
      </c>
      <c r="B4290">
        <v>74290</v>
      </c>
      <c r="C4290">
        <v>1348</v>
      </c>
      <c r="D4290">
        <v>1</v>
      </c>
      <c r="E4290">
        <v>11.29</v>
      </c>
    </row>
    <row r="4291" spans="1:5" x14ac:dyDescent="0.3">
      <c r="A4291">
        <v>177644</v>
      </c>
      <c r="B4291">
        <v>74329</v>
      </c>
      <c r="C4291">
        <v>1348</v>
      </c>
      <c r="D4291">
        <v>1</v>
      </c>
      <c r="E4291">
        <v>11.29</v>
      </c>
    </row>
    <row r="4292" spans="1:5" x14ac:dyDescent="0.3">
      <c r="A4292">
        <v>177645</v>
      </c>
      <c r="B4292">
        <v>74330</v>
      </c>
      <c r="C4292">
        <v>1348</v>
      </c>
      <c r="D4292">
        <v>1</v>
      </c>
      <c r="E4292">
        <v>11.29</v>
      </c>
    </row>
    <row r="4293" spans="1:5" x14ac:dyDescent="0.3">
      <c r="A4293">
        <v>177646</v>
      </c>
      <c r="B4293">
        <v>74331</v>
      </c>
      <c r="C4293">
        <v>1348</v>
      </c>
      <c r="D4293">
        <v>1</v>
      </c>
      <c r="E4293">
        <v>11.29</v>
      </c>
    </row>
    <row r="4294" spans="1:5" x14ac:dyDescent="0.3">
      <c r="A4294">
        <v>177647</v>
      </c>
      <c r="B4294">
        <v>74332</v>
      </c>
      <c r="C4294">
        <v>1348</v>
      </c>
      <c r="D4294">
        <v>1</v>
      </c>
      <c r="E4294">
        <v>11.29</v>
      </c>
    </row>
    <row r="4295" spans="1:5" x14ac:dyDescent="0.3">
      <c r="A4295">
        <v>177648</v>
      </c>
      <c r="B4295">
        <v>74333</v>
      </c>
      <c r="C4295">
        <v>1348</v>
      </c>
      <c r="D4295">
        <v>1</v>
      </c>
      <c r="E4295">
        <v>11.29</v>
      </c>
    </row>
    <row r="4296" spans="1:5" x14ac:dyDescent="0.3">
      <c r="A4296">
        <v>177649</v>
      </c>
      <c r="B4296">
        <v>74334</v>
      </c>
      <c r="C4296">
        <v>1348</v>
      </c>
      <c r="D4296">
        <v>1</v>
      </c>
      <c r="E4296">
        <v>11.29</v>
      </c>
    </row>
    <row r="4297" spans="1:5" x14ac:dyDescent="0.3">
      <c r="A4297">
        <v>177650</v>
      </c>
      <c r="B4297">
        <v>74335</v>
      </c>
      <c r="C4297">
        <v>1349</v>
      </c>
      <c r="D4297">
        <v>1</v>
      </c>
      <c r="E4297">
        <v>452.04</v>
      </c>
    </row>
    <row r="4298" spans="1:5" x14ac:dyDescent="0.3">
      <c r="A4298">
        <v>177651</v>
      </c>
      <c r="B4298">
        <v>74336</v>
      </c>
      <c r="C4298">
        <v>1349</v>
      </c>
      <c r="D4298">
        <v>1</v>
      </c>
      <c r="E4298">
        <v>452.04</v>
      </c>
    </row>
    <row r="4299" spans="1:5" x14ac:dyDescent="0.3">
      <c r="A4299">
        <v>177652</v>
      </c>
      <c r="B4299">
        <v>74337</v>
      </c>
      <c r="C4299">
        <v>1349</v>
      </c>
      <c r="D4299">
        <v>1</v>
      </c>
      <c r="E4299">
        <v>452.04</v>
      </c>
    </row>
    <row r="4300" spans="1:5" x14ac:dyDescent="0.3">
      <c r="A4300">
        <v>177675</v>
      </c>
      <c r="B4300">
        <v>74360</v>
      </c>
      <c r="C4300">
        <v>1350</v>
      </c>
      <c r="D4300">
        <v>1</v>
      </c>
      <c r="E4300">
        <v>357.1</v>
      </c>
    </row>
    <row r="4301" spans="1:5" x14ac:dyDescent="0.3">
      <c r="A4301">
        <v>177676</v>
      </c>
      <c r="B4301">
        <v>74361</v>
      </c>
      <c r="C4301">
        <v>1350</v>
      </c>
      <c r="D4301">
        <v>1</v>
      </c>
      <c r="E4301">
        <v>357.1</v>
      </c>
    </row>
    <row r="4302" spans="1:5" x14ac:dyDescent="0.3">
      <c r="A4302">
        <v>177677</v>
      </c>
      <c r="B4302">
        <v>74362</v>
      </c>
      <c r="C4302">
        <v>1350</v>
      </c>
      <c r="D4302">
        <v>1</v>
      </c>
      <c r="E4302">
        <v>357.1</v>
      </c>
    </row>
    <row r="4303" spans="1:5" x14ac:dyDescent="0.3">
      <c r="A4303">
        <v>177678</v>
      </c>
      <c r="B4303">
        <v>74363</v>
      </c>
      <c r="C4303">
        <v>1350</v>
      </c>
      <c r="D4303">
        <v>1</v>
      </c>
      <c r="E4303">
        <v>357.1</v>
      </c>
    </row>
    <row r="4304" spans="1:5" x14ac:dyDescent="0.3">
      <c r="A4304">
        <v>177679</v>
      </c>
      <c r="B4304">
        <v>74364</v>
      </c>
      <c r="C4304">
        <v>1350</v>
      </c>
      <c r="D4304">
        <v>1</v>
      </c>
      <c r="E4304">
        <v>357.1</v>
      </c>
    </row>
    <row r="4305" spans="1:5" x14ac:dyDescent="0.3">
      <c r="A4305">
        <v>177683</v>
      </c>
      <c r="B4305">
        <v>74368</v>
      </c>
      <c r="C4305">
        <v>1350</v>
      </c>
      <c r="D4305">
        <v>1</v>
      </c>
      <c r="E4305">
        <v>357.1</v>
      </c>
    </row>
    <row r="4306" spans="1:5" x14ac:dyDescent="0.3">
      <c r="A4306">
        <v>177684</v>
      </c>
      <c r="B4306">
        <v>74369</v>
      </c>
      <c r="C4306">
        <v>1350</v>
      </c>
      <c r="D4306">
        <v>1</v>
      </c>
      <c r="E4306">
        <v>357.1</v>
      </c>
    </row>
    <row r="4307" spans="1:5" x14ac:dyDescent="0.3">
      <c r="A4307">
        <v>177685</v>
      </c>
      <c r="B4307">
        <v>74370</v>
      </c>
      <c r="C4307">
        <v>1350</v>
      </c>
      <c r="D4307">
        <v>1</v>
      </c>
      <c r="E4307">
        <v>357.1</v>
      </c>
    </row>
    <row r="4308" spans="1:5" x14ac:dyDescent="0.3">
      <c r="A4308">
        <v>177686</v>
      </c>
      <c r="B4308">
        <v>74371</v>
      </c>
      <c r="C4308">
        <v>1350</v>
      </c>
      <c r="D4308">
        <v>1</v>
      </c>
      <c r="E4308">
        <v>357.1</v>
      </c>
    </row>
    <row r="4309" spans="1:5" x14ac:dyDescent="0.3">
      <c r="A4309">
        <v>177731</v>
      </c>
      <c r="B4309">
        <v>74416</v>
      </c>
      <c r="C4309">
        <v>1350</v>
      </c>
      <c r="D4309">
        <v>1</v>
      </c>
      <c r="E4309">
        <v>357.1</v>
      </c>
    </row>
    <row r="4310" spans="1:5" x14ac:dyDescent="0.3">
      <c r="A4310">
        <v>177732</v>
      </c>
      <c r="B4310">
        <v>74417</v>
      </c>
      <c r="C4310">
        <v>1350</v>
      </c>
      <c r="D4310">
        <v>1</v>
      </c>
      <c r="E4310">
        <v>357.1</v>
      </c>
    </row>
    <row r="4311" spans="1:5" x14ac:dyDescent="0.3">
      <c r="A4311">
        <v>177733</v>
      </c>
      <c r="B4311">
        <v>74418</v>
      </c>
      <c r="C4311">
        <v>1350</v>
      </c>
      <c r="D4311">
        <v>1</v>
      </c>
      <c r="E4311">
        <v>357.1</v>
      </c>
    </row>
    <row r="4312" spans="1:5" x14ac:dyDescent="0.3">
      <c r="A4312">
        <v>177734</v>
      </c>
      <c r="B4312">
        <v>74419</v>
      </c>
      <c r="C4312">
        <v>1350</v>
      </c>
      <c r="D4312">
        <v>1</v>
      </c>
      <c r="E4312">
        <v>357.1</v>
      </c>
    </row>
    <row r="4313" spans="1:5" x14ac:dyDescent="0.3">
      <c r="A4313">
        <v>177735</v>
      </c>
      <c r="B4313">
        <v>74420</v>
      </c>
      <c r="C4313">
        <v>1350</v>
      </c>
      <c r="D4313">
        <v>1</v>
      </c>
      <c r="E4313">
        <v>357.1</v>
      </c>
    </row>
    <row r="4314" spans="1:5" x14ac:dyDescent="0.3">
      <c r="A4314">
        <v>177736</v>
      </c>
      <c r="B4314">
        <v>74421</v>
      </c>
      <c r="C4314">
        <v>1350</v>
      </c>
      <c r="D4314">
        <v>1</v>
      </c>
      <c r="E4314">
        <v>357.1</v>
      </c>
    </row>
    <row r="4315" spans="1:5" x14ac:dyDescent="0.3">
      <c r="A4315">
        <v>177769</v>
      </c>
      <c r="B4315">
        <v>74454</v>
      </c>
      <c r="C4315">
        <v>1350</v>
      </c>
      <c r="D4315">
        <v>1</v>
      </c>
      <c r="E4315">
        <v>357.1</v>
      </c>
    </row>
    <row r="4316" spans="1:5" x14ac:dyDescent="0.3">
      <c r="A4316">
        <v>177770</v>
      </c>
      <c r="B4316">
        <v>74455</v>
      </c>
      <c r="C4316">
        <v>1350</v>
      </c>
      <c r="D4316">
        <v>1</v>
      </c>
      <c r="E4316">
        <v>357.1</v>
      </c>
    </row>
    <row r="4317" spans="1:5" x14ac:dyDescent="0.3">
      <c r="A4317">
        <v>177771</v>
      </c>
      <c r="B4317">
        <v>74456</v>
      </c>
      <c r="C4317">
        <v>1350</v>
      </c>
      <c r="D4317">
        <v>1</v>
      </c>
      <c r="E4317">
        <v>357.1</v>
      </c>
    </row>
    <row r="4318" spans="1:5" x14ac:dyDescent="0.3">
      <c r="A4318">
        <v>177811</v>
      </c>
      <c r="B4318">
        <v>74496</v>
      </c>
      <c r="C4318">
        <v>1351</v>
      </c>
      <c r="D4318">
        <v>1</v>
      </c>
      <c r="E4318">
        <v>1500</v>
      </c>
    </row>
    <row r="4319" spans="1:5" x14ac:dyDescent="0.3">
      <c r="A4319">
        <v>177817</v>
      </c>
      <c r="B4319">
        <v>74502</v>
      </c>
      <c r="C4319">
        <v>1351</v>
      </c>
      <c r="D4319">
        <v>1</v>
      </c>
      <c r="E4319">
        <v>1500</v>
      </c>
    </row>
    <row r="4320" spans="1:5" x14ac:dyDescent="0.3">
      <c r="A4320">
        <v>177830</v>
      </c>
      <c r="B4320">
        <v>74515</v>
      </c>
      <c r="C4320">
        <v>1351</v>
      </c>
      <c r="D4320">
        <v>1</v>
      </c>
      <c r="E4320">
        <v>1500</v>
      </c>
    </row>
    <row r="4321" spans="1:5" x14ac:dyDescent="0.3">
      <c r="A4321">
        <v>177831</v>
      </c>
      <c r="B4321">
        <v>74516</v>
      </c>
      <c r="C4321">
        <v>1351</v>
      </c>
      <c r="D4321">
        <v>1</v>
      </c>
      <c r="E4321">
        <v>1500</v>
      </c>
    </row>
    <row r="4322" spans="1:5" x14ac:dyDescent="0.3">
      <c r="A4322">
        <v>177849</v>
      </c>
      <c r="B4322">
        <v>74534</v>
      </c>
      <c r="C4322">
        <v>1351</v>
      </c>
      <c r="D4322">
        <v>1</v>
      </c>
      <c r="E4322">
        <v>1500</v>
      </c>
    </row>
    <row r="4323" spans="1:5" x14ac:dyDescent="0.3">
      <c r="A4323">
        <v>177850</v>
      </c>
      <c r="B4323">
        <v>74535</v>
      </c>
      <c r="C4323">
        <v>1351</v>
      </c>
      <c r="D4323">
        <v>1</v>
      </c>
      <c r="E4323">
        <v>1500</v>
      </c>
    </row>
    <row r="4324" spans="1:5" x14ac:dyDescent="0.3">
      <c r="A4324">
        <v>177851</v>
      </c>
      <c r="B4324">
        <v>74536</v>
      </c>
      <c r="C4324">
        <v>1351</v>
      </c>
      <c r="D4324">
        <v>1</v>
      </c>
      <c r="E4324">
        <v>1500</v>
      </c>
    </row>
    <row r="4325" spans="1:5" x14ac:dyDescent="0.3">
      <c r="A4325">
        <v>177895</v>
      </c>
      <c r="B4325">
        <v>74580</v>
      </c>
      <c r="C4325">
        <v>1352</v>
      </c>
      <c r="D4325">
        <v>1</v>
      </c>
      <c r="E4325">
        <v>252.88</v>
      </c>
    </row>
    <row r="4326" spans="1:5" x14ac:dyDescent="0.3">
      <c r="A4326">
        <v>177905</v>
      </c>
      <c r="B4326">
        <v>74590</v>
      </c>
      <c r="C4326">
        <v>1352</v>
      </c>
      <c r="D4326">
        <v>1</v>
      </c>
      <c r="E4326">
        <v>252.88</v>
      </c>
    </row>
    <row r="4327" spans="1:5" x14ac:dyDescent="0.3">
      <c r="A4327">
        <v>177906</v>
      </c>
      <c r="B4327">
        <v>74591</v>
      </c>
      <c r="C4327">
        <v>1352</v>
      </c>
      <c r="D4327">
        <v>1</v>
      </c>
      <c r="E4327">
        <v>252.88</v>
      </c>
    </row>
    <row r="4328" spans="1:5" x14ac:dyDescent="0.3">
      <c r="A4328">
        <v>177930</v>
      </c>
      <c r="B4328">
        <v>74615</v>
      </c>
      <c r="C4328">
        <v>1352</v>
      </c>
      <c r="D4328">
        <v>1</v>
      </c>
      <c r="E4328">
        <v>252.88</v>
      </c>
    </row>
    <row r="4329" spans="1:5" x14ac:dyDescent="0.3">
      <c r="A4329">
        <v>177931</v>
      </c>
      <c r="B4329">
        <v>74616</v>
      </c>
      <c r="C4329">
        <v>1352</v>
      </c>
      <c r="D4329">
        <v>1</v>
      </c>
      <c r="E4329">
        <v>252.88</v>
      </c>
    </row>
    <row r="4330" spans="1:5" x14ac:dyDescent="0.3">
      <c r="A4330">
        <v>177932</v>
      </c>
      <c r="B4330">
        <v>74617</v>
      </c>
      <c r="C4330">
        <v>1352</v>
      </c>
      <c r="D4330">
        <v>1</v>
      </c>
      <c r="E4330">
        <v>252.88</v>
      </c>
    </row>
    <row r="4331" spans="1:5" x14ac:dyDescent="0.3">
      <c r="A4331">
        <v>177935</v>
      </c>
      <c r="B4331">
        <v>74620</v>
      </c>
      <c r="C4331">
        <v>1352</v>
      </c>
      <c r="D4331">
        <v>1</v>
      </c>
      <c r="E4331">
        <v>252.88</v>
      </c>
    </row>
    <row r="4332" spans="1:5" x14ac:dyDescent="0.3">
      <c r="A4332">
        <v>177936</v>
      </c>
      <c r="B4332">
        <v>74621</v>
      </c>
      <c r="C4332">
        <v>1352</v>
      </c>
      <c r="D4332">
        <v>1</v>
      </c>
      <c r="E4332">
        <v>252.88</v>
      </c>
    </row>
    <row r="4333" spans="1:5" x14ac:dyDescent="0.3">
      <c r="A4333">
        <v>177962</v>
      </c>
      <c r="B4333">
        <v>74647</v>
      </c>
      <c r="C4333">
        <v>1352</v>
      </c>
      <c r="D4333">
        <v>1</v>
      </c>
      <c r="E4333">
        <v>252.88</v>
      </c>
    </row>
    <row r="4334" spans="1:5" x14ac:dyDescent="0.3">
      <c r="A4334">
        <v>177963</v>
      </c>
      <c r="B4334">
        <v>74648</v>
      </c>
      <c r="C4334">
        <v>1352</v>
      </c>
      <c r="D4334">
        <v>1</v>
      </c>
      <c r="E4334">
        <v>252.88</v>
      </c>
    </row>
    <row r="4335" spans="1:5" x14ac:dyDescent="0.3">
      <c r="A4335">
        <v>177964</v>
      </c>
      <c r="B4335">
        <v>74649</v>
      </c>
      <c r="C4335">
        <v>1352</v>
      </c>
      <c r="D4335">
        <v>1</v>
      </c>
      <c r="E4335">
        <v>252.88</v>
      </c>
    </row>
    <row r="4336" spans="1:5" x14ac:dyDescent="0.3">
      <c r="A4336">
        <v>177986</v>
      </c>
      <c r="B4336">
        <v>74671</v>
      </c>
      <c r="C4336">
        <v>1352</v>
      </c>
      <c r="D4336">
        <v>1</v>
      </c>
      <c r="E4336">
        <v>252.88</v>
      </c>
    </row>
    <row r="4337" spans="1:5" x14ac:dyDescent="0.3">
      <c r="A4337">
        <v>177991</v>
      </c>
      <c r="B4337">
        <v>74676</v>
      </c>
      <c r="C4337">
        <v>1352</v>
      </c>
      <c r="D4337">
        <v>1</v>
      </c>
      <c r="E4337">
        <v>252.88</v>
      </c>
    </row>
    <row r="4338" spans="1:5" x14ac:dyDescent="0.3">
      <c r="A4338">
        <v>177992</v>
      </c>
      <c r="B4338">
        <v>74677</v>
      </c>
      <c r="C4338">
        <v>1352</v>
      </c>
      <c r="D4338">
        <v>1</v>
      </c>
      <c r="E4338">
        <v>252.88</v>
      </c>
    </row>
    <row r="4339" spans="1:5" x14ac:dyDescent="0.3">
      <c r="A4339">
        <v>177994</v>
      </c>
      <c r="B4339">
        <v>74679</v>
      </c>
      <c r="C4339">
        <v>1352</v>
      </c>
      <c r="D4339">
        <v>1</v>
      </c>
      <c r="E4339">
        <v>252.88</v>
      </c>
    </row>
    <row r="4340" spans="1:5" x14ac:dyDescent="0.3">
      <c r="A4340">
        <v>177995</v>
      </c>
      <c r="B4340">
        <v>74680</v>
      </c>
      <c r="C4340">
        <v>1352</v>
      </c>
      <c r="D4340">
        <v>1</v>
      </c>
      <c r="E4340">
        <v>252.88</v>
      </c>
    </row>
    <row r="4341" spans="1:5" x14ac:dyDescent="0.3">
      <c r="A4341">
        <v>177996</v>
      </c>
      <c r="B4341">
        <v>74681</v>
      </c>
      <c r="C4341">
        <v>1352</v>
      </c>
      <c r="D4341">
        <v>1</v>
      </c>
      <c r="E4341">
        <v>252.88</v>
      </c>
    </row>
    <row r="4342" spans="1:5" x14ac:dyDescent="0.3">
      <c r="A4342">
        <v>177997</v>
      </c>
      <c r="B4342">
        <v>74682</v>
      </c>
      <c r="C4342">
        <v>1352</v>
      </c>
      <c r="D4342">
        <v>1</v>
      </c>
      <c r="E4342">
        <v>252.88</v>
      </c>
    </row>
    <row r="4343" spans="1:5" x14ac:dyDescent="0.3">
      <c r="A4343">
        <v>177998</v>
      </c>
      <c r="B4343">
        <v>74683</v>
      </c>
      <c r="C4343">
        <v>1352</v>
      </c>
      <c r="D4343">
        <v>1</v>
      </c>
      <c r="E4343">
        <v>252.88</v>
      </c>
    </row>
    <row r="4344" spans="1:5" x14ac:dyDescent="0.3">
      <c r="A4344">
        <v>178000</v>
      </c>
      <c r="B4344">
        <v>74685</v>
      </c>
      <c r="C4344">
        <v>1352</v>
      </c>
      <c r="D4344">
        <v>1</v>
      </c>
      <c r="E4344">
        <v>252.88</v>
      </c>
    </row>
    <row r="4345" spans="1:5" x14ac:dyDescent="0.3">
      <c r="A4345">
        <v>178001</v>
      </c>
      <c r="B4345">
        <v>74686</v>
      </c>
      <c r="C4345">
        <v>1352</v>
      </c>
      <c r="D4345">
        <v>1</v>
      </c>
      <c r="E4345">
        <v>252.88</v>
      </c>
    </row>
    <row r="4346" spans="1:5" x14ac:dyDescent="0.3">
      <c r="A4346">
        <v>178002</v>
      </c>
      <c r="B4346">
        <v>74687</v>
      </c>
      <c r="C4346">
        <v>1352</v>
      </c>
      <c r="D4346">
        <v>1</v>
      </c>
      <c r="E4346">
        <v>252.88</v>
      </c>
    </row>
    <row r="4347" spans="1:5" x14ac:dyDescent="0.3">
      <c r="A4347">
        <v>178003</v>
      </c>
      <c r="B4347">
        <v>74688</v>
      </c>
      <c r="C4347">
        <v>1352</v>
      </c>
      <c r="D4347">
        <v>1</v>
      </c>
      <c r="E4347">
        <v>252.88</v>
      </c>
    </row>
    <row r="4348" spans="1:5" x14ac:dyDescent="0.3">
      <c r="A4348">
        <v>178009</v>
      </c>
      <c r="B4348">
        <v>74694</v>
      </c>
      <c r="C4348">
        <v>1352</v>
      </c>
      <c r="D4348">
        <v>1</v>
      </c>
      <c r="E4348">
        <v>252.88</v>
      </c>
    </row>
    <row r="4349" spans="1:5" x14ac:dyDescent="0.3">
      <c r="A4349">
        <v>178010</v>
      </c>
      <c r="B4349">
        <v>74695</v>
      </c>
      <c r="C4349">
        <v>1352</v>
      </c>
      <c r="D4349">
        <v>1</v>
      </c>
      <c r="E4349">
        <v>252.88</v>
      </c>
    </row>
    <row r="4350" spans="1:5" x14ac:dyDescent="0.3">
      <c r="A4350">
        <v>178011</v>
      </c>
      <c r="B4350">
        <v>74696</v>
      </c>
      <c r="C4350">
        <v>1352</v>
      </c>
      <c r="D4350">
        <v>1</v>
      </c>
      <c r="E4350">
        <v>252.88</v>
      </c>
    </row>
    <row r="4351" spans="1:5" x14ac:dyDescent="0.3">
      <c r="A4351">
        <v>178012</v>
      </c>
      <c r="B4351">
        <v>74697</v>
      </c>
      <c r="C4351">
        <v>1352</v>
      </c>
      <c r="D4351">
        <v>1</v>
      </c>
      <c r="E4351">
        <v>252.88</v>
      </c>
    </row>
    <row r="4352" spans="1:5" x14ac:dyDescent="0.3">
      <c r="A4352">
        <v>178023</v>
      </c>
      <c r="B4352">
        <v>74708</v>
      </c>
      <c r="C4352">
        <v>1352</v>
      </c>
      <c r="D4352">
        <v>1</v>
      </c>
      <c r="E4352">
        <v>252.88</v>
      </c>
    </row>
    <row r="4353" spans="1:5" x14ac:dyDescent="0.3">
      <c r="A4353">
        <v>178024</v>
      </c>
      <c r="B4353">
        <v>74709</v>
      </c>
      <c r="C4353">
        <v>1352</v>
      </c>
      <c r="D4353">
        <v>1</v>
      </c>
      <c r="E4353">
        <v>252.88</v>
      </c>
    </row>
    <row r="4354" spans="1:5" x14ac:dyDescent="0.3">
      <c r="A4354">
        <v>178044</v>
      </c>
      <c r="B4354">
        <v>74729</v>
      </c>
      <c r="C4354">
        <v>1353</v>
      </c>
      <c r="D4354">
        <v>1</v>
      </c>
      <c r="E4354">
        <v>461.48</v>
      </c>
    </row>
    <row r="4355" spans="1:5" x14ac:dyDescent="0.3">
      <c r="A4355">
        <v>178045</v>
      </c>
      <c r="B4355">
        <v>74730</v>
      </c>
      <c r="C4355">
        <v>1353</v>
      </c>
      <c r="D4355">
        <v>1</v>
      </c>
      <c r="E4355">
        <v>461.48</v>
      </c>
    </row>
    <row r="4356" spans="1:5" x14ac:dyDescent="0.3">
      <c r="A4356">
        <v>178048</v>
      </c>
      <c r="B4356">
        <v>74733</v>
      </c>
      <c r="C4356">
        <v>1353</v>
      </c>
      <c r="D4356">
        <v>1</v>
      </c>
      <c r="E4356">
        <v>461.48</v>
      </c>
    </row>
    <row r="4357" spans="1:5" x14ac:dyDescent="0.3">
      <c r="A4357">
        <v>178062</v>
      </c>
      <c r="B4357">
        <v>74747</v>
      </c>
      <c r="C4357">
        <v>1353</v>
      </c>
      <c r="D4357">
        <v>1</v>
      </c>
      <c r="E4357">
        <v>461.48</v>
      </c>
    </row>
    <row r="4358" spans="1:5" x14ac:dyDescent="0.3">
      <c r="A4358">
        <v>178071</v>
      </c>
      <c r="B4358">
        <v>74756</v>
      </c>
      <c r="C4358">
        <v>1353</v>
      </c>
      <c r="D4358">
        <v>1</v>
      </c>
      <c r="E4358">
        <v>461.48</v>
      </c>
    </row>
    <row r="4359" spans="1:5" x14ac:dyDescent="0.3">
      <c r="A4359">
        <v>178075</v>
      </c>
      <c r="B4359">
        <v>74760</v>
      </c>
      <c r="C4359">
        <v>1353</v>
      </c>
      <c r="D4359">
        <v>1</v>
      </c>
      <c r="E4359">
        <v>461.48</v>
      </c>
    </row>
    <row r="4360" spans="1:5" x14ac:dyDescent="0.3">
      <c r="A4360">
        <v>178120</v>
      </c>
      <c r="B4360">
        <v>74805</v>
      </c>
      <c r="C4360">
        <v>1353</v>
      </c>
      <c r="D4360">
        <v>1</v>
      </c>
      <c r="E4360">
        <v>461.48</v>
      </c>
    </row>
    <row r="4361" spans="1:5" x14ac:dyDescent="0.3">
      <c r="A4361">
        <v>178121</v>
      </c>
      <c r="B4361">
        <v>74806</v>
      </c>
      <c r="C4361">
        <v>1353</v>
      </c>
      <c r="D4361">
        <v>1</v>
      </c>
      <c r="E4361">
        <v>461.48</v>
      </c>
    </row>
    <row r="4362" spans="1:5" x14ac:dyDescent="0.3">
      <c r="A4362">
        <v>178122</v>
      </c>
      <c r="B4362">
        <v>74807</v>
      </c>
      <c r="C4362">
        <v>1353</v>
      </c>
      <c r="D4362">
        <v>1</v>
      </c>
      <c r="E4362">
        <v>461.48</v>
      </c>
    </row>
    <row r="4363" spans="1:5" x14ac:dyDescent="0.3">
      <c r="A4363">
        <v>178123</v>
      </c>
      <c r="B4363">
        <v>74808</v>
      </c>
      <c r="C4363">
        <v>1353</v>
      </c>
      <c r="D4363">
        <v>1</v>
      </c>
      <c r="E4363">
        <v>461.48</v>
      </c>
    </row>
    <row r="4364" spans="1:5" x14ac:dyDescent="0.3">
      <c r="A4364">
        <v>178135</v>
      </c>
      <c r="B4364">
        <v>74820</v>
      </c>
      <c r="C4364">
        <v>1353</v>
      </c>
      <c r="D4364">
        <v>1</v>
      </c>
      <c r="E4364">
        <v>461.48</v>
      </c>
    </row>
    <row r="4365" spans="1:5" x14ac:dyDescent="0.3">
      <c r="A4365">
        <v>178136</v>
      </c>
      <c r="B4365">
        <v>74821</v>
      </c>
      <c r="C4365">
        <v>1353</v>
      </c>
      <c r="D4365">
        <v>1</v>
      </c>
      <c r="E4365">
        <v>461.48</v>
      </c>
    </row>
    <row r="4366" spans="1:5" x14ac:dyDescent="0.3">
      <c r="A4366">
        <v>178137</v>
      </c>
      <c r="B4366">
        <v>74822</v>
      </c>
      <c r="C4366">
        <v>1353</v>
      </c>
      <c r="D4366">
        <v>1</v>
      </c>
      <c r="E4366">
        <v>461.48</v>
      </c>
    </row>
    <row r="4367" spans="1:5" x14ac:dyDescent="0.3">
      <c r="A4367">
        <v>178138</v>
      </c>
      <c r="B4367">
        <v>74823</v>
      </c>
      <c r="C4367">
        <v>1353</v>
      </c>
      <c r="D4367">
        <v>1</v>
      </c>
      <c r="E4367">
        <v>461.48</v>
      </c>
    </row>
    <row r="4368" spans="1:5" x14ac:dyDescent="0.3">
      <c r="A4368">
        <v>178162</v>
      </c>
      <c r="B4368">
        <v>74847</v>
      </c>
      <c r="C4368">
        <v>1353</v>
      </c>
      <c r="D4368">
        <v>1</v>
      </c>
      <c r="E4368">
        <v>461.48</v>
      </c>
    </row>
    <row r="4369" spans="1:5" x14ac:dyDescent="0.3">
      <c r="A4369">
        <v>178181</v>
      </c>
      <c r="B4369">
        <v>74866</v>
      </c>
      <c r="C4369">
        <v>1353</v>
      </c>
      <c r="D4369">
        <v>1</v>
      </c>
      <c r="E4369">
        <v>461.48</v>
      </c>
    </row>
    <row r="4370" spans="1:5" x14ac:dyDescent="0.3">
      <c r="A4370">
        <v>178184</v>
      </c>
      <c r="B4370">
        <v>74869</v>
      </c>
      <c r="C4370">
        <v>1353</v>
      </c>
      <c r="D4370">
        <v>1</v>
      </c>
      <c r="E4370">
        <v>461.48</v>
      </c>
    </row>
    <row r="4371" spans="1:5" x14ac:dyDescent="0.3">
      <c r="A4371">
        <v>178195</v>
      </c>
      <c r="B4371">
        <v>74880</v>
      </c>
      <c r="C4371">
        <v>1353</v>
      </c>
      <c r="D4371">
        <v>1</v>
      </c>
      <c r="E4371">
        <v>461.48</v>
      </c>
    </row>
    <row r="4372" spans="1:5" x14ac:dyDescent="0.3">
      <c r="A4372">
        <v>178196</v>
      </c>
      <c r="B4372">
        <v>74881</v>
      </c>
      <c r="C4372">
        <v>1353</v>
      </c>
      <c r="D4372">
        <v>1</v>
      </c>
      <c r="E4372">
        <v>461.48</v>
      </c>
    </row>
    <row r="4373" spans="1:5" x14ac:dyDescent="0.3">
      <c r="A4373">
        <v>178197</v>
      </c>
      <c r="B4373">
        <v>74882</v>
      </c>
      <c r="C4373">
        <v>1353</v>
      </c>
      <c r="D4373">
        <v>1</v>
      </c>
      <c r="E4373">
        <v>461.48</v>
      </c>
    </row>
    <row r="4374" spans="1:5" x14ac:dyDescent="0.3">
      <c r="A4374">
        <v>178198</v>
      </c>
      <c r="B4374">
        <v>74883</v>
      </c>
      <c r="C4374">
        <v>1353</v>
      </c>
      <c r="D4374">
        <v>1</v>
      </c>
      <c r="E4374">
        <v>461.48</v>
      </c>
    </row>
    <row r="4375" spans="1:5" x14ac:dyDescent="0.3">
      <c r="A4375">
        <v>178243</v>
      </c>
      <c r="B4375">
        <v>74928</v>
      </c>
      <c r="C4375">
        <v>1353</v>
      </c>
      <c r="D4375">
        <v>1</v>
      </c>
      <c r="E4375">
        <v>461.48</v>
      </c>
    </row>
    <row r="4376" spans="1:5" x14ac:dyDescent="0.3">
      <c r="A4376">
        <v>178248</v>
      </c>
      <c r="B4376">
        <v>74933</v>
      </c>
      <c r="C4376">
        <v>1353</v>
      </c>
      <c r="D4376">
        <v>1</v>
      </c>
      <c r="E4376">
        <v>461.48</v>
      </c>
    </row>
    <row r="4377" spans="1:5" x14ac:dyDescent="0.3">
      <c r="A4377">
        <v>178249</v>
      </c>
      <c r="B4377">
        <v>74934</v>
      </c>
      <c r="C4377">
        <v>1353</v>
      </c>
      <c r="D4377">
        <v>1</v>
      </c>
      <c r="E4377">
        <v>461.48</v>
      </c>
    </row>
    <row r="4378" spans="1:5" x14ac:dyDescent="0.3">
      <c r="A4378">
        <v>178250</v>
      </c>
      <c r="B4378">
        <v>74935</v>
      </c>
      <c r="C4378">
        <v>1353</v>
      </c>
      <c r="D4378">
        <v>1</v>
      </c>
      <c r="E4378">
        <v>461.48</v>
      </c>
    </row>
    <row r="4379" spans="1:5" x14ac:dyDescent="0.3">
      <c r="A4379">
        <v>178251</v>
      </c>
      <c r="B4379">
        <v>74936</v>
      </c>
      <c r="C4379">
        <v>1353</v>
      </c>
      <c r="D4379">
        <v>1</v>
      </c>
      <c r="E4379">
        <v>461.48</v>
      </c>
    </row>
    <row r="4380" spans="1:5" x14ac:dyDescent="0.3">
      <c r="A4380">
        <v>178254</v>
      </c>
      <c r="B4380">
        <v>74939</v>
      </c>
      <c r="C4380">
        <v>1353</v>
      </c>
      <c r="D4380">
        <v>1</v>
      </c>
      <c r="E4380">
        <v>461.48</v>
      </c>
    </row>
    <row r="4381" spans="1:5" x14ac:dyDescent="0.3">
      <c r="A4381">
        <v>178255</v>
      </c>
      <c r="B4381">
        <v>74940</v>
      </c>
      <c r="C4381">
        <v>1353</v>
      </c>
      <c r="D4381">
        <v>1</v>
      </c>
      <c r="E4381">
        <v>461.48</v>
      </c>
    </row>
    <row r="4382" spans="1:5" x14ac:dyDescent="0.3">
      <c r="A4382">
        <v>178256</v>
      </c>
      <c r="B4382">
        <v>74941</v>
      </c>
      <c r="C4382">
        <v>1353</v>
      </c>
      <c r="D4382">
        <v>1</v>
      </c>
      <c r="E4382">
        <v>461.48</v>
      </c>
    </row>
    <row r="4383" spans="1:5" x14ac:dyDescent="0.3">
      <c r="A4383">
        <v>178264</v>
      </c>
      <c r="B4383">
        <v>74949</v>
      </c>
      <c r="C4383">
        <v>1353</v>
      </c>
      <c r="D4383">
        <v>1</v>
      </c>
      <c r="E4383">
        <v>461.48</v>
      </c>
    </row>
    <row r="4384" spans="1:5" x14ac:dyDescent="0.3">
      <c r="A4384">
        <v>178265</v>
      </c>
      <c r="B4384">
        <v>74950</v>
      </c>
      <c r="C4384">
        <v>1353</v>
      </c>
      <c r="D4384">
        <v>1</v>
      </c>
      <c r="E4384">
        <v>461.48</v>
      </c>
    </row>
    <row r="4385" spans="1:5" x14ac:dyDescent="0.3">
      <c r="A4385">
        <v>178271</v>
      </c>
      <c r="B4385">
        <v>74956</v>
      </c>
      <c r="C4385">
        <v>1353</v>
      </c>
      <c r="D4385">
        <v>1</v>
      </c>
      <c r="E4385">
        <v>461.48</v>
      </c>
    </row>
    <row r="4386" spans="1:5" x14ac:dyDescent="0.3">
      <c r="A4386">
        <v>178272</v>
      </c>
      <c r="B4386">
        <v>74957</v>
      </c>
      <c r="C4386">
        <v>1353</v>
      </c>
      <c r="D4386">
        <v>1</v>
      </c>
      <c r="E4386">
        <v>461.48</v>
      </c>
    </row>
    <row r="4387" spans="1:5" x14ac:dyDescent="0.3">
      <c r="A4387">
        <v>178273</v>
      </c>
      <c r="B4387">
        <v>74958</v>
      </c>
      <c r="C4387">
        <v>1353</v>
      </c>
      <c r="D4387">
        <v>1</v>
      </c>
      <c r="E4387">
        <v>461.48</v>
      </c>
    </row>
    <row r="4388" spans="1:5" x14ac:dyDescent="0.3">
      <c r="A4388">
        <v>178274</v>
      </c>
      <c r="B4388">
        <v>74959</v>
      </c>
      <c r="C4388">
        <v>1353</v>
      </c>
      <c r="D4388">
        <v>1</v>
      </c>
      <c r="E4388">
        <v>461.48</v>
      </c>
    </row>
    <row r="4389" spans="1:5" x14ac:dyDescent="0.3">
      <c r="A4389">
        <v>178275</v>
      </c>
      <c r="B4389">
        <v>74960</v>
      </c>
      <c r="C4389">
        <v>1353</v>
      </c>
      <c r="D4389">
        <v>1</v>
      </c>
      <c r="E4389">
        <v>461.48</v>
      </c>
    </row>
    <row r="4390" spans="1:5" x14ac:dyDescent="0.3">
      <c r="A4390">
        <v>178277</v>
      </c>
      <c r="B4390">
        <v>74962</v>
      </c>
      <c r="C4390">
        <v>1353</v>
      </c>
      <c r="D4390">
        <v>1</v>
      </c>
      <c r="E4390">
        <v>461.48</v>
      </c>
    </row>
    <row r="4391" spans="1:5" x14ac:dyDescent="0.3">
      <c r="A4391">
        <v>178278</v>
      </c>
      <c r="B4391">
        <v>74963</v>
      </c>
      <c r="C4391">
        <v>1353</v>
      </c>
      <c r="D4391">
        <v>1</v>
      </c>
      <c r="E4391">
        <v>461.48</v>
      </c>
    </row>
    <row r="4392" spans="1:5" x14ac:dyDescent="0.3">
      <c r="A4392">
        <v>178279</v>
      </c>
      <c r="B4392">
        <v>74964</v>
      </c>
      <c r="C4392">
        <v>1353</v>
      </c>
      <c r="D4392">
        <v>1</v>
      </c>
      <c r="E4392">
        <v>461.48</v>
      </c>
    </row>
    <row r="4393" spans="1:5" x14ac:dyDescent="0.3">
      <c r="A4393">
        <v>178284</v>
      </c>
      <c r="B4393">
        <v>74969</v>
      </c>
      <c r="C4393">
        <v>1353</v>
      </c>
      <c r="D4393">
        <v>1</v>
      </c>
      <c r="E4393">
        <v>461.48</v>
      </c>
    </row>
    <row r="4394" spans="1:5" x14ac:dyDescent="0.3">
      <c r="A4394">
        <v>178285</v>
      </c>
      <c r="B4394">
        <v>74970</v>
      </c>
      <c r="C4394">
        <v>1353</v>
      </c>
      <c r="D4394">
        <v>1</v>
      </c>
      <c r="E4394">
        <v>461.48</v>
      </c>
    </row>
    <row r="4395" spans="1:5" x14ac:dyDescent="0.3">
      <c r="A4395">
        <v>178286</v>
      </c>
      <c r="B4395">
        <v>74971</v>
      </c>
      <c r="C4395">
        <v>1353</v>
      </c>
      <c r="D4395">
        <v>1</v>
      </c>
      <c r="E4395">
        <v>461.48</v>
      </c>
    </row>
    <row r="4396" spans="1:5" x14ac:dyDescent="0.3">
      <c r="A4396">
        <v>178287</v>
      </c>
      <c r="B4396">
        <v>74972</v>
      </c>
      <c r="C4396">
        <v>1353</v>
      </c>
      <c r="D4396">
        <v>1</v>
      </c>
      <c r="E4396">
        <v>461.48</v>
      </c>
    </row>
    <row r="4397" spans="1:5" x14ac:dyDescent="0.3">
      <c r="A4397">
        <v>178288</v>
      </c>
      <c r="B4397">
        <v>74973</v>
      </c>
      <c r="C4397">
        <v>1354</v>
      </c>
      <c r="D4397">
        <v>1</v>
      </c>
      <c r="E4397">
        <v>164.38</v>
      </c>
    </row>
    <row r="4398" spans="1:5" x14ac:dyDescent="0.3">
      <c r="A4398">
        <v>178289</v>
      </c>
      <c r="B4398">
        <v>74974</v>
      </c>
      <c r="C4398">
        <v>1354</v>
      </c>
      <c r="D4398">
        <v>1</v>
      </c>
      <c r="E4398">
        <v>164.38</v>
      </c>
    </row>
    <row r="4399" spans="1:5" x14ac:dyDescent="0.3">
      <c r="A4399">
        <v>178312</v>
      </c>
      <c r="B4399">
        <v>74997</v>
      </c>
      <c r="C4399">
        <v>1354</v>
      </c>
      <c r="D4399">
        <v>1</v>
      </c>
      <c r="E4399">
        <v>164.38</v>
      </c>
    </row>
    <row r="4400" spans="1:5" x14ac:dyDescent="0.3">
      <c r="A4400">
        <v>178317</v>
      </c>
      <c r="B4400">
        <v>75002</v>
      </c>
      <c r="C4400">
        <v>1354</v>
      </c>
      <c r="D4400">
        <v>1</v>
      </c>
      <c r="E4400">
        <v>164.38</v>
      </c>
    </row>
    <row r="4401" spans="1:5" x14ac:dyDescent="0.3">
      <c r="A4401">
        <v>178318</v>
      </c>
      <c r="B4401">
        <v>75003</v>
      </c>
      <c r="C4401">
        <v>1354</v>
      </c>
      <c r="D4401">
        <v>1</v>
      </c>
      <c r="E4401">
        <v>164.38</v>
      </c>
    </row>
    <row r="4402" spans="1:5" x14ac:dyDescent="0.3">
      <c r="A4402">
        <v>178319</v>
      </c>
      <c r="B4402">
        <v>75004</v>
      </c>
      <c r="C4402">
        <v>1354</v>
      </c>
      <c r="D4402">
        <v>1</v>
      </c>
      <c r="E4402">
        <v>164.38</v>
      </c>
    </row>
    <row r="4403" spans="1:5" x14ac:dyDescent="0.3">
      <c r="A4403">
        <v>178320</v>
      </c>
      <c r="B4403">
        <v>75005</v>
      </c>
      <c r="C4403">
        <v>1354</v>
      </c>
      <c r="D4403">
        <v>1</v>
      </c>
      <c r="E4403">
        <v>164.38</v>
      </c>
    </row>
    <row r="4404" spans="1:5" x14ac:dyDescent="0.3">
      <c r="A4404">
        <v>178321</v>
      </c>
      <c r="B4404">
        <v>75006</v>
      </c>
      <c r="C4404">
        <v>1354</v>
      </c>
      <c r="D4404">
        <v>1</v>
      </c>
      <c r="E4404">
        <v>164.38</v>
      </c>
    </row>
    <row r="4405" spans="1:5" x14ac:dyDescent="0.3">
      <c r="A4405">
        <v>178322</v>
      </c>
      <c r="B4405">
        <v>75007</v>
      </c>
      <c r="C4405">
        <v>1354</v>
      </c>
      <c r="D4405">
        <v>1</v>
      </c>
      <c r="E4405">
        <v>164.38</v>
      </c>
    </row>
    <row r="4406" spans="1:5" x14ac:dyDescent="0.3">
      <c r="A4406">
        <v>178328</v>
      </c>
      <c r="B4406">
        <v>75013</v>
      </c>
      <c r="C4406">
        <v>1354</v>
      </c>
      <c r="D4406">
        <v>1</v>
      </c>
      <c r="E4406">
        <v>164.38</v>
      </c>
    </row>
    <row r="4407" spans="1:5" x14ac:dyDescent="0.3">
      <c r="A4407">
        <v>178329</v>
      </c>
      <c r="B4407">
        <v>75014</v>
      </c>
      <c r="C4407">
        <v>1354</v>
      </c>
      <c r="D4407">
        <v>1</v>
      </c>
      <c r="E4407">
        <v>164.38</v>
      </c>
    </row>
    <row r="4408" spans="1:5" x14ac:dyDescent="0.3">
      <c r="A4408">
        <v>178330</v>
      </c>
      <c r="B4408">
        <v>75015</v>
      </c>
      <c r="C4408">
        <v>1354</v>
      </c>
      <c r="D4408">
        <v>1</v>
      </c>
      <c r="E4408">
        <v>164.38</v>
      </c>
    </row>
    <row r="4409" spans="1:5" x14ac:dyDescent="0.3">
      <c r="A4409">
        <v>178374</v>
      </c>
      <c r="B4409">
        <v>75059</v>
      </c>
      <c r="C4409">
        <v>1354</v>
      </c>
      <c r="D4409">
        <v>1</v>
      </c>
      <c r="E4409">
        <v>164.38</v>
      </c>
    </row>
    <row r="4410" spans="1:5" x14ac:dyDescent="0.3">
      <c r="A4410">
        <v>178436</v>
      </c>
      <c r="B4410">
        <v>75121</v>
      </c>
      <c r="C4410">
        <v>1355</v>
      </c>
      <c r="D4410">
        <v>1</v>
      </c>
      <c r="E4410">
        <v>532.58000000000004</v>
      </c>
    </row>
    <row r="4411" spans="1:5" x14ac:dyDescent="0.3">
      <c r="A4411">
        <v>178437</v>
      </c>
      <c r="B4411">
        <v>75122</v>
      </c>
      <c r="C4411">
        <v>1355</v>
      </c>
      <c r="D4411">
        <v>1</v>
      </c>
      <c r="E4411">
        <v>532.58000000000004</v>
      </c>
    </row>
    <row r="4412" spans="1:5" x14ac:dyDescent="0.3">
      <c r="A4412">
        <v>178439</v>
      </c>
      <c r="B4412">
        <v>75124</v>
      </c>
      <c r="C4412">
        <v>1355</v>
      </c>
      <c r="D4412">
        <v>1</v>
      </c>
      <c r="E4412">
        <v>532.58000000000004</v>
      </c>
    </row>
    <row r="4413" spans="1:5" x14ac:dyDescent="0.3">
      <c r="A4413">
        <v>178440</v>
      </c>
      <c r="B4413">
        <v>75125</v>
      </c>
      <c r="C4413">
        <v>1355</v>
      </c>
      <c r="D4413">
        <v>1</v>
      </c>
      <c r="E4413">
        <v>532.58000000000004</v>
      </c>
    </row>
    <row r="4414" spans="1:5" x14ac:dyDescent="0.3">
      <c r="A4414">
        <v>178441</v>
      </c>
      <c r="B4414">
        <v>75126</v>
      </c>
      <c r="C4414">
        <v>1355</v>
      </c>
      <c r="D4414">
        <v>1</v>
      </c>
      <c r="E4414">
        <v>532.58000000000004</v>
      </c>
    </row>
    <row r="4415" spans="1:5" x14ac:dyDescent="0.3">
      <c r="A4415">
        <v>178442</v>
      </c>
      <c r="B4415">
        <v>75127</v>
      </c>
      <c r="C4415">
        <v>1355</v>
      </c>
      <c r="D4415">
        <v>1</v>
      </c>
      <c r="E4415">
        <v>532.58000000000004</v>
      </c>
    </row>
    <row r="4416" spans="1:5" x14ac:dyDescent="0.3">
      <c r="A4416">
        <v>178443</v>
      </c>
      <c r="B4416">
        <v>75128</v>
      </c>
      <c r="C4416">
        <v>1355</v>
      </c>
      <c r="D4416">
        <v>1</v>
      </c>
      <c r="E4416">
        <v>532.58000000000004</v>
      </c>
    </row>
    <row r="4417" spans="1:5" x14ac:dyDescent="0.3">
      <c r="A4417">
        <v>178444</v>
      </c>
      <c r="B4417">
        <v>75129</v>
      </c>
      <c r="C4417">
        <v>1355</v>
      </c>
      <c r="D4417">
        <v>1</v>
      </c>
      <c r="E4417">
        <v>532.58000000000004</v>
      </c>
    </row>
    <row r="4418" spans="1:5" x14ac:dyDescent="0.3">
      <c r="A4418">
        <v>178445</v>
      </c>
      <c r="B4418">
        <v>75130</v>
      </c>
      <c r="C4418">
        <v>1355</v>
      </c>
      <c r="D4418">
        <v>1</v>
      </c>
      <c r="E4418">
        <v>532.58000000000004</v>
      </c>
    </row>
    <row r="4419" spans="1:5" x14ac:dyDescent="0.3">
      <c r="A4419">
        <v>178446</v>
      </c>
      <c r="B4419">
        <v>75131</v>
      </c>
      <c r="C4419">
        <v>1355</v>
      </c>
      <c r="D4419">
        <v>1</v>
      </c>
      <c r="E4419">
        <v>532.58000000000004</v>
      </c>
    </row>
    <row r="4420" spans="1:5" x14ac:dyDescent="0.3">
      <c r="A4420">
        <v>178447</v>
      </c>
      <c r="B4420">
        <v>75132</v>
      </c>
      <c r="C4420">
        <v>1355</v>
      </c>
      <c r="D4420">
        <v>1</v>
      </c>
      <c r="E4420">
        <v>532.58000000000004</v>
      </c>
    </row>
    <row r="4421" spans="1:5" x14ac:dyDescent="0.3">
      <c r="A4421">
        <v>178448</v>
      </c>
      <c r="B4421">
        <v>75133</v>
      </c>
      <c r="C4421">
        <v>1355</v>
      </c>
      <c r="D4421">
        <v>1</v>
      </c>
      <c r="E4421">
        <v>532.58000000000004</v>
      </c>
    </row>
    <row r="4422" spans="1:5" x14ac:dyDescent="0.3">
      <c r="A4422">
        <v>178449</v>
      </c>
      <c r="B4422">
        <v>75134</v>
      </c>
      <c r="C4422">
        <v>1355</v>
      </c>
      <c r="D4422">
        <v>1</v>
      </c>
      <c r="E4422">
        <v>532.58000000000004</v>
      </c>
    </row>
    <row r="4423" spans="1:5" x14ac:dyDescent="0.3">
      <c r="A4423">
        <v>178465</v>
      </c>
      <c r="B4423">
        <v>75150</v>
      </c>
      <c r="C4423">
        <v>1355</v>
      </c>
      <c r="D4423">
        <v>1</v>
      </c>
      <c r="E4423">
        <v>532.58000000000004</v>
      </c>
    </row>
    <row r="4424" spans="1:5" x14ac:dyDescent="0.3">
      <c r="A4424">
        <v>178475</v>
      </c>
      <c r="B4424">
        <v>75160</v>
      </c>
      <c r="C4424">
        <v>1355</v>
      </c>
      <c r="D4424">
        <v>1</v>
      </c>
      <c r="E4424">
        <v>532.58000000000004</v>
      </c>
    </row>
    <row r="4425" spans="1:5" x14ac:dyDescent="0.3">
      <c r="A4425">
        <v>178476</v>
      </c>
      <c r="B4425">
        <v>75161</v>
      </c>
      <c r="C4425">
        <v>1355</v>
      </c>
      <c r="D4425">
        <v>1</v>
      </c>
      <c r="E4425">
        <v>532.58000000000004</v>
      </c>
    </row>
    <row r="4426" spans="1:5" x14ac:dyDescent="0.3">
      <c r="A4426">
        <v>178477</v>
      </c>
      <c r="B4426">
        <v>75162</v>
      </c>
      <c r="C4426">
        <v>1355</v>
      </c>
      <c r="D4426">
        <v>1</v>
      </c>
      <c r="E4426">
        <v>532.58000000000004</v>
      </c>
    </row>
    <row r="4427" spans="1:5" x14ac:dyDescent="0.3">
      <c r="A4427">
        <v>178478</v>
      </c>
      <c r="B4427">
        <v>75163</v>
      </c>
      <c r="C4427">
        <v>1355</v>
      </c>
      <c r="D4427">
        <v>1</v>
      </c>
      <c r="E4427">
        <v>532.58000000000004</v>
      </c>
    </row>
    <row r="4428" spans="1:5" x14ac:dyDescent="0.3">
      <c r="A4428">
        <v>178479</v>
      </c>
      <c r="B4428">
        <v>75164</v>
      </c>
      <c r="C4428">
        <v>1355</v>
      </c>
      <c r="D4428">
        <v>1</v>
      </c>
      <c r="E4428">
        <v>532.58000000000004</v>
      </c>
    </row>
    <row r="4429" spans="1:5" x14ac:dyDescent="0.3">
      <c r="A4429">
        <v>178480</v>
      </c>
      <c r="B4429">
        <v>75165</v>
      </c>
      <c r="C4429">
        <v>1355</v>
      </c>
      <c r="D4429">
        <v>1</v>
      </c>
      <c r="E4429">
        <v>532.58000000000004</v>
      </c>
    </row>
    <row r="4430" spans="1:5" x14ac:dyDescent="0.3">
      <c r="A4430">
        <v>178485</v>
      </c>
      <c r="B4430">
        <v>75170</v>
      </c>
      <c r="C4430">
        <v>1355</v>
      </c>
      <c r="D4430">
        <v>1</v>
      </c>
      <c r="E4430">
        <v>532.58000000000004</v>
      </c>
    </row>
    <row r="4431" spans="1:5" x14ac:dyDescent="0.3">
      <c r="A4431">
        <v>178486</v>
      </c>
      <c r="B4431">
        <v>75171</v>
      </c>
      <c r="C4431">
        <v>1355</v>
      </c>
      <c r="D4431">
        <v>1</v>
      </c>
      <c r="E4431">
        <v>532.58000000000004</v>
      </c>
    </row>
    <row r="4432" spans="1:5" x14ac:dyDescent="0.3">
      <c r="A4432">
        <v>178487</v>
      </c>
      <c r="B4432">
        <v>75172</v>
      </c>
      <c r="C4432">
        <v>1355</v>
      </c>
      <c r="D4432">
        <v>1</v>
      </c>
      <c r="E4432">
        <v>532.58000000000004</v>
      </c>
    </row>
    <row r="4433" spans="1:5" x14ac:dyDescent="0.3">
      <c r="A4433">
        <v>178510</v>
      </c>
      <c r="B4433">
        <v>75195</v>
      </c>
      <c r="C4433">
        <v>1356</v>
      </c>
      <c r="D4433">
        <v>1</v>
      </c>
      <c r="E4433">
        <v>293.04000000000002</v>
      </c>
    </row>
    <row r="4434" spans="1:5" x14ac:dyDescent="0.3">
      <c r="A4434">
        <v>178523</v>
      </c>
      <c r="B4434">
        <v>75208</v>
      </c>
      <c r="C4434">
        <v>1356</v>
      </c>
      <c r="D4434">
        <v>1</v>
      </c>
      <c r="E4434">
        <v>293.04000000000002</v>
      </c>
    </row>
    <row r="4435" spans="1:5" x14ac:dyDescent="0.3">
      <c r="A4435">
        <v>178552</v>
      </c>
      <c r="B4435">
        <v>75237</v>
      </c>
      <c r="C4435">
        <v>1356</v>
      </c>
      <c r="D4435">
        <v>1</v>
      </c>
      <c r="E4435">
        <v>293.04000000000002</v>
      </c>
    </row>
    <row r="4436" spans="1:5" x14ac:dyDescent="0.3">
      <c r="A4436">
        <v>178553</v>
      </c>
      <c r="B4436">
        <v>75238</v>
      </c>
      <c r="C4436">
        <v>1356</v>
      </c>
      <c r="D4436">
        <v>1</v>
      </c>
      <c r="E4436">
        <v>293.04000000000002</v>
      </c>
    </row>
    <row r="4437" spans="1:5" x14ac:dyDescent="0.3">
      <c r="A4437">
        <v>178557</v>
      </c>
      <c r="B4437">
        <v>75242</v>
      </c>
      <c r="C4437">
        <v>1356</v>
      </c>
      <c r="D4437">
        <v>1</v>
      </c>
      <c r="E4437">
        <v>293.04000000000002</v>
      </c>
    </row>
    <row r="4438" spans="1:5" x14ac:dyDescent="0.3">
      <c r="A4438">
        <v>178576</v>
      </c>
      <c r="B4438">
        <v>75261</v>
      </c>
      <c r="C4438">
        <v>1356</v>
      </c>
      <c r="D4438">
        <v>1</v>
      </c>
      <c r="E4438">
        <v>293.04000000000002</v>
      </c>
    </row>
    <row r="4439" spans="1:5" x14ac:dyDescent="0.3">
      <c r="A4439">
        <v>178577</v>
      </c>
      <c r="B4439">
        <v>75262</v>
      </c>
      <c r="C4439">
        <v>1356</v>
      </c>
      <c r="D4439">
        <v>1</v>
      </c>
      <c r="E4439">
        <v>293.04000000000002</v>
      </c>
    </row>
    <row r="4440" spans="1:5" x14ac:dyDescent="0.3">
      <c r="A4440">
        <v>178578</v>
      </c>
      <c r="B4440">
        <v>75263</v>
      </c>
      <c r="C4440">
        <v>1356</v>
      </c>
      <c r="D4440">
        <v>1</v>
      </c>
      <c r="E4440">
        <v>293.04000000000002</v>
      </c>
    </row>
    <row r="4441" spans="1:5" x14ac:dyDescent="0.3">
      <c r="A4441">
        <v>178579</v>
      </c>
      <c r="B4441">
        <v>75264</v>
      </c>
      <c r="C4441">
        <v>1356</v>
      </c>
      <c r="D4441">
        <v>1</v>
      </c>
      <c r="E4441">
        <v>293.04000000000002</v>
      </c>
    </row>
    <row r="4442" spans="1:5" x14ac:dyDescent="0.3">
      <c r="A4442">
        <v>178582</v>
      </c>
      <c r="B4442">
        <v>75267</v>
      </c>
      <c r="C4442">
        <v>1356</v>
      </c>
      <c r="D4442">
        <v>1</v>
      </c>
      <c r="E4442">
        <v>293.04000000000002</v>
      </c>
    </row>
    <row r="4443" spans="1:5" x14ac:dyDescent="0.3">
      <c r="A4443">
        <v>178583</v>
      </c>
      <c r="B4443">
        <v>75268</v>
      </c>
      <c r="C4443">
        <v>1356</v>
      </c>
      <c r="D4443">
        <v>1</v>
      </c>
      <c r="E4443">
        <v>293.04000000000002</v>
      </c>
    </row>
    <row r="4444" spans="1:5" x14ac:dyDescent="0.3">
      <c r="A4444">
        <v>178584</v>
      </c>
      <c r="B4444">
        <v>75269</v>
      </c>
      <c r="C4444">
        <v>1356</v>
      </c>
      <c r="D4444">
        <v>1</v>
      </c>
      <c r="E4444">
        <v>293.04000000000002</v>
      </c>
    </row>
    <row r="4445" spans="1:5" x14ac:dyDescent="0.3">
      <c r="A4445">
        <v>178585</v>
      </c>
      <c r="B4445">
        <v>75270</v>
      </c>
      <c r="C4445">
        <v>1356</v>
      </c>
      <c r="D4445">
        <v>1</v>
      </c>
      <c r="E4445">
        <v>293.04000000000002</v>
      </c>
    </row>
    <row r="4446" spans="1:5" x14ac:dyDescent="0.3">
      <c r="A4446">
        <v>178586</v>
      </c>
      <c r="B4446">
        <v>75271</v>
      </c>
      <c r="C4446">
        <v>1356</v>
      </c>
      <c r="D4446">
        <v>1</v>
      </c>
      <c r="E4446">
        <v>293.04000000000002</v>
      </c>
    </row>
    <row r="4447" spans="1:5" x14ac:dyDescent="0.3">
      <c r="A4447">
        <v>178607</v>
      </c>
      <c r="B4447">
        <v>75292</v>
      </c>
      <c r="C4447">
        <v>1356</v>
      </c>
      <c r="D4447">
        <v>1</v>
      </c>
      <c r="E4447">
        <v>293.04000000000002</v>
      </c>
    </row>
    <row r="4448" spans="1:5" x14ac:dyDescent="0.3">
      <c r="A4448">
        <v>178613</v>
      </c>
      <c r="B4448">
        <v>75298</v>
      </c>
      <c r="C4448">
        <v>1356</v>
      </c>
      <c r="D4448">
        <v>1</v>
      </c>
      <c r="E4448">
        <v>293.04000000000002</v>
      </c>
    </row>
    <row r="4449" spans="1:5" x14ac:dyDescent="0.3">
      <c r="A4449">
        <v>178614</v>
      </c>
      <c r="B4449">
        <v>75299</v>
      </c>
      <c r="C4449">
        <v>1356</v>
      </c>
      <c r="D4449">
        <v>1</v>
      </c>
      <c r="E4449">
        <v>293.04000000000002</v>
      </c>
    </row>
    <row r="4450" spans="1:5" x14ac:dyDescent="0.3">
      <c r="A4450">
        <v>178621</v>
      </c>
      <c r="B4450">
        <v>75306</v>
      </c>
      <c r="C4450">
        <v>1356</v>
      </c>
      <c r="D4450">
        <v>1</v>
      </c>
      <c r="E4450">
        <v>293.04000000000002</v>
      </c>
    </row>
    <row r="4451" spans="1:5" x14ac:dyDescent="0.3">
      <c r="A4451">
        <v>178634</v>
      </c>
      <c r="B4451">
        <v>75319</v>
      </c>
      <c r="C4451">
        <v>1357</v>
      </c>
      <c r="D4451">
        <v>1</v>
      </c>
      <c r="E4451">
        <v>210.85</v>
      </c>
    </row>
    <row r="4452" spans="1:5" x14ac:dyDescent="0.3">
      <c r="A4452">
        <v>178635</v>
      </c>
      <c r="B4452">
        <v>75320</v>
      </c>
      <c r="C4452">
        <v>1357</v>
      </c>
      <c r="D4452">
        <v>1</v>
      </c>
      <c r="E4452">
        <v>210.85</v>
      </c>
    </row>
    <row r="4453" spans="1:5" x14ac:dyDescent="0.3">
      <c r="A4453">
        <v>178649</v>
      </c>
      <c r="B4453">
        <v>75334</v>
      </c>
      <c r="C4453">
        <v>1357</v>
      </c>
      <c r="D4453">
        <v>1</v>
      </c>
      <c r="E4453">
        <v>210.85</v>
      </c>
    </row>
    <row r="4454" spans="1:5" x14ac:dyDescent="0.3">
      <c r="A4454">
        <v>178652</v>
      </c>
      <c r="B4454">
        <v>75337</v>
      </c>
      <c r="C4454">
        <v>1357</v>
      </c>
      <c r="D4454">
        <v>1</v>
      </c>
      <c r="E4454">
        <v>210.85</v>
      </c>
    </row>
    <row r="4455" spans="1:5" x14ac:dyDescent="0.3">
      <c r="A4455">
        <v>178662</v>
      </c>
      <c r="B4455">
        <v>75347</v>
      </c>
      <c r="C4455">
        <v>1358</v>
      </c>
      <c r="D4455">
        <v>1</v>
      </c>
      <c r="E4455">
        <v>260.64999999999998</v>
      </c>
    </row>
    <row r="4456" spans="1:5" x14ac:dyDescent="0.3">
      <c r="A4456">
        <v>178663</v>
      </c>
      <c r="B4456">
        <v>75348</v>
      </c>
      <c r="C4456">
        <v>1358</v>
      </c>
      <c r="D4456">
        <v>1</v>
      </c>
      <c r="E4456">
        <v>260.64999999999998</v>
      </c>
    </row>
    <row r="4457" spans="1:5" x14ac:dyDescent="0.3">
      <c r="A4457">
        <v>178664</v>
      </c>
      <c r="B4457">
        <v>75349</v>
      </c>
      <c r="C4457">
        <v>1358</v>
      </c>
      <c r="D4457">
        <v>1</v>
      </c>
      <c r="E4457">
        <v>260.64999999999998</v>
      </c>
    </row>
    <row r="4458" spans="1:5" x14ac:dyDescent="0.3">
      <c r="A4458">
        <v>178665</v>
      </c>
      <c r="B4458">
        <v>75350</v>
      </c>
      <c r="C4458">
        <v>1358</v>
      </c>
      <c r="D4458">
        <v>1</v>
      </c>
      <c r="E4458">
        <v>260.64999999999998</v>
      </c>
    </row>
    <row r="4459" spans="1:5" x14ac:dyDescent="0.3">
      <c r="A4459">
        <v>178666</v>
      </c>
      <c r="B4459">
        <v>75351</v>
      </c>
      <c r="C4459">
        <v>1358</v>
      </c>
      <c r="D4459">
        <v>1</v>
      </c>
      <c r="E4459">
        <v>260.64999999999998</v>
      </c>
    </row>
    <row r="4460" spans="1:5" x14ac:dyDescent="0.3">
      <c r="A4460">
        <v>178667</v>
      </c>
      <c r="B4460">
        <v>75352</v>
      </c>
      <c r="C4460">
        <v>1358</v>
      </c>
      <c r="D4460">
        <v>1</v>
      </c>
      <c r="E4460">
        <v>260.64999999999998</v>
      </c>
    </row>
    <row r="4461" spans="1:5" x14ac:dyDescent="0.3">
      <c r="A4461">
        <v>178668</v>
      </c>
      <c r="B4461">
        <v>75353</v>
      </c>
      <c r="C4461">
        <v>1358</v>
      </c>
      <c r="D4461">
        <v>1</v>
      </c>
      <c r="E4461">
        <v>260.64999999999998</v>
      </c>
    </row>
    <row r="4462" spans="1:5" x14ac:dyDescent="0.3">
      <c r="A4462">
        <v>178684</v>
      </c>
      <c r="B4462">
        <v>75369</v>
      </c>
      <c r="C4462">
        <v>1358</v>
      </c>
      <c r="D4462">
        <v>1</v>
      </c>
      <c r="E4462">
        <v>260.64999999999998</v>
      </c>
    </row>
    <row r="4463" spans="1:5" x14ac:dyDescent="0.3">
      <c r="A4463">
        <v>178696</v>
      </c>
      <c r="B4463">
        <v>75381</v>
      </c>
      <c r="C4463">
        <v>1358</v>
      </c>
      <c r="D4463">
        <v>1</v>
      </c>
      <c r="E4463">
        <v>260.64999999999998</v>
      </c>
    </row>
    <row r="4464" spans="1:5" x14ac:dyDescent="0.3">
      <c r="A4464">
        <v>178697</v>
      </c>
      <c r="B4464">
        <v>75382</v>
      </c>
      <c r="C4464">
        <v>1358</v>
      </c>
      <c r="D4464">
        <v>1</v>
      </c>
      <c r="E4464">
        <v>260.64999999999998</v>
      </c>
    </row>
    <row r="4465" spans="1:5" x14ac:dyDescent="0.3">
      <c r="A4465">
        <v>178703</v>
      </c>
      <c r="B4465">
        <v>75388</v>
      </c>
      <c r="C4465">
        <v>1358</v>
      </c>
      <c r="D4465">
        <v>1</v>
      </c>
      <c r="E4465">
        <v>260.64999999999998</v>
      </c>
    </row>
    <row r="4466" spans="1:5" x14ac:dyDescent="0.3">
      <c r="A4466">
        <v>178704</v>
      </c>
      <c r="B4466">
        <v>75389</v>
      </c>
      <c r="C4466">
        <v>1358</v>
      </c>
      <c r="D4466">
        <v>1</v>
      </c>
      <c r="E4466">
        <v>260.64999999999998</v>
      </c>
    </row>
    <row r="4467" spans="1:5" x14ac:dyDescent="0.3">
      <c r="A4467">
        <v>178705</v>
      </c>
      <c r="B4467">
        <v>75390</v>
      </c>
      <c r="C4467">
        <v>1358</v>
      </c>
      <c r="D4467">
        <v>1</v>
      </c>
      <c r="E4467">
        <v>260.64999999999998</v>
      </c>
    </row>
    <row r="4468" spans="1:5" x14ac:dyDescent="0.3">
      <c r="A4468">
        <v>178706</v>
      </c>
      <c r="B4468">
        <v>75391</v>
      </c>
      <c r="C4468">
        <v>1358</v>
      </c>
      <c r="D4468">
        <v>1</v>
      </c>
      <c r="E4468">
        <v>260.64999999999998</v>
      </c>
    </row>
    <row r="4469" spans="1:5" x14ac:dyDescent="0.3">
      <c r="A4469">
        <v>178707</v>
      </c>
      <c r="B4469">
        <v>75392</v>
      </c>
      <c r="C4469">
        <v>1358</v>
      </c>
      <c r="D4469">
        <v>1</v>
      </c>
      <c r="E4469">
        <v>260.64999999999998</v>
      </c>
    </row>
    <row r="4470" spans="1:5" x14ac:dyDescent="0.3">
      <c r="A4470">
        <v>178708</v>
      </c>
      <c r="B4470">
        <v>75393</v>
      </c>
      <c r="C4470">
        <v>1358</v>
      </c>
      <c r="D4470">
        <v>1</v>
      </c>
      <c r="E4470">
        <v>260.64999999999998</v>
      </c>
    </row>
    <row r="4471" spans="1:5" x14ac:dyDescent="0.3">
      <c r="A4471">
        <v>178709</v>
      </c>
      <c r="B4471">
        <v>75394</v>
      </c>
      <c r="C4471">
        <v>1358</v>
      </c>
      <c r="D4471">
        <v>1</v>
      </c>
      <c r="E4471">
        <v>260.64999999999998</v>
      </c>
    </row>
    <row r="4472" spans="1:5" x14ac:dyDescent="0.3">
      <c r="A4472">
        <v>178710</v>
      </c>
      <c r="B4472">
        <v>75395</v>
      </c>
      <c r="C4472">
        <v>1358</v>
      </c>
      <c r="D4472">
        <v>1</v>
      </c>
      <c r="E4472">
        <v>260.64999999999998</v>
      </c>
    </row>
    <row r="4473" spans="1:5" x14ac:dyDescent="0.3">
      <c r="A4473">
        <v>178725</v>
      </c>
      <c r="B4473">
        <v>75410</v>
      </c>
      <c r="C4473">
        <v>1358</v>
      </c>
      <c r="D4473">
        <v>1</v>
      </c>
      <c r="E4473">
        <v>260.64999999999998</v>
      </c>
    </row>
    <row r="4474" spans="1:5" x14ac:dyDescent="0.3">
      <c r="A4474">
        <v>178726</v>
      </c>
      <c r="B4474">
        <v>75411</v>
      </c>
      <c r="C4474">
        <v>1358</v>
      </c>
      <c r="D4474">
        <v>1</v>
      </c>
      <c r="E4474">
        <v>260.64999999999998</v>
      </c>
    </row>
    <row r="4475" spans="1:5" x14ac:dyDescent="0.3">
      <c r="A4475">
        <v>178727</v>
      </c>
      <c r="B4475">
        <v>75412</v>
      </c>
      <c r="C4475">
        <v>1358</v>
      </c>
      <c r="D4475">
        <v>1</v>
      </c>
      <c r="E4475">
        <v>260.64999999999998</v>
      </c>
    </row>
    <row r="4476" spans="1:5" x14ac:dyDescent="0.3">
      <c r="A4476">
        <v>178749</v>
      </c>
      <c r="B4476">
        <v>75434</v>
      </c>
      <c r="C4476">
        <v>1358</v>
      </c>
      <c r="D4476">
        <v>1</v>
      </c>
      <c r="E4476">
        <v>260.64999999999998</v>
      </c>
    </row>
    <row r="4477" spans="1:5" x14ac:dyDescent="0.3">
      <c r="A4477">
        <v>178750</v>
      </c>
      <c r="B4477">
        <v>75435</v>
      </c>
      <c r="C4477">
        <v>1358</v>
      </c>
      <c r="D4477">
        <v>1</v>
      </c>
      <c r="E4477">
        <v>260.64999999999998</v>
      </c>
    </row>
    <row r="4478" spans="1:5" x14ac:dyDescent="0.3">
      <c r="A4478">
        <v>178751</v>
      </c>
      <c r="B4478">
        <v>75436</v>
      </c>
      <c r="C4478">
        <v>1358</v>
      </c>
      <c r="D4478">
        <v>1</v>
      </c>
      <c r="E4478">
        <v>260.64999999999998</v>
      </c>
    </row>
    <row r="4479" spans="1:5" x14ac:dyDescent="0.3">
      <c r="A4479">
        <v>178752</v>
      </c>
      <c r="B4479">
        <v>75437</v>
      </c>
      <c r="C4479">
        <v>1358</v>
      </c>
      <c r="D4479">
        <v>1</v>
      </c>
      <c r="E4479">
        <v>260.64999999999998</v>
      </c>
    </row>
    <row r="4480" spans="1:5" x14ac:dyDescent="0.3">
      <c r="A4480">
        <v>178764</v>
      </c>
      <c r="B4480">
        <v>75449</v>
      </c>
      <c r="C4480">
        <v>1358</v>
      </c>
      <c r="D4480">
        <v>1</v>
      </c>
      <c r="E4480">
        <v>260.64999999999998</v>
      </c>
    </row>
    <row r="4481" spans="1:5" x14ac:dyDescent="0.3">
      <c r="A4481">
        <v>178769</v>
      </c>
      <c r="B4481">
        <v>75454</v>
      </c>
      <c r="C4481">
        <v>1358</v>
      </c>
      <c r="D4481">
        <v>1</v>
      </c>
      <c r="E4481">
        <v>260.64999999999998</v>
      </c>
    </row>
    <row r="4482" spans="1:5" x14ac:dyDescent="0.3">
      <c r="A4482">
        <v>178770</v>
      </c>
      <c r="B4482">
        <v>75455</v>
      </c>
      <c r="C4482">
        <v>1358</v>
      </c>
      <c r="D4482">
        <v>1</v>
      </c>
      <c r="E4482">
        <v>260.64999999999998</v>
      </c>
    </row>
    <row r="4483" spans="1:5" x14ac:dyDescent="0.3">
      <c r="A4483">
        <v>178771</v>
      </c>
      <c r="B4483">
        <v>75456</v>
      </c>
      <c r="C4483">
        <v>1358</v>
      </c>
      <c r="D4483">
        <v>1</v>
      </c>
      <c r="E4483">
        <v>260.64999999999998</v>
      </c>
    </row>
    <row r="4484" spans="1:5" x14ac:dyDescent="0.3">
      <c r="A4484">
        <v>178777</v>
      </c>
      <c r="B4484">
        <v>75462</v>
      </c>
      <c r="C4484">
        <v>1358</v>
      </c>
      <c r="D4484">
        <v>1</v>
      </c>
      <c r="E4484">
        <v>260.64999999999998</v>
      </c>
    </row>
    <row r="4485" spans="1:5" x14ac:dyDescent="0.3">
      <c r="A4485">
        <v>178779</v>
      </c>
      <c r="B4485">
        <v>75464</v>
      </c>
      <c r="C4485">
        <v>1358</v>
      </c>
      <c r="D4485">
        <v>1</v>
      </c>
      <c r="E4485">
        <v>260.64999999999998</v>
      </c>
    </row>
    <row r="4486" spans="1:5" x14ac:dyDescent="0.3">
      <c r="A4486">
        <v>178781</v>
      </c>
      <c r="B4486">
        <v>75466</v>
      </c>
      <c r="C4486">
        <v>1358</v>
      </c>
      <c r="D4486">
        <v>1</v>
      </c>
      <c r="E4486">
        <v>260.64999999999998</v>
      </c>
    </row>
    <row r="4487" spans="1:5" x14ac:dyDescent="0.3">
      <c r="A4487">
        <v>178782</v>
      </c>
      <c r="B4487">
        <v>75467</v>
      </c>
      <c r="C4487">
        <v>1358</v>
      </c>
      <c r="D4487">
        <v>1</v>
      </c>
      <c r="E4487">
        <v>260.64999999999998</v>
      </c>
    </row>
    <row r="4488" spans="1:5" x14ac:dyDescent="0.3">
      <c r="A4488">
        <v>178783</v>
      </c>
      <c r="B4488">
        <v>75468</v>
      </c>
      <c r="C4488">
        <v>1358</v>
      </c>
      <c r="D4488">
        <v>1</v>
      </c>
      <c r="E4488">
        <v>260.64999999999998</v>
      </c>
    </row>
    <row r="4489" spans="1:5" x14ac:dyDescent="0.3">
      <c r="A4489">
        <v>178794</v>
      </c>
      <c r="B4489">
        <v>75479</v>
      </c>
      <c r="C4489">
        <v>1358</v>
      </c>
      <c r="D4489">
        <v>1</v>
      </c>
      <c r="E4489">
        <v>260.64999999999998</v>
      </c>
    </row>
    <row r="4490" spans="1:5" x14ac:dyDescent="0.3">
      <c r="A4490">
        <v>178795</v>
      </c>
      <c r="B4490">
        <v>75480</v>
      </c>
      <c r="C4490">
        <v>1358</v>
      </c>
      <c r="D4490">
        <v>1</v>
      </c>
      <c r="E4490">
        <v>260.64999999999998</v>
      </c>
    </row>
    <row r="4491" spans="1:5" x14ac:dyDescent="0.3">
      <c r="A4491">
        <v>178800</v>
      </c>
      <c r="B4491">
        <v>75485</v>
      </c>
      <c r="C4491">
        <v>1359</v>
      </c>
      <c r="D4491">
        <v>1</v>
      </c>
      <c r="E4491">
        <v>84.4</v>
      </c>
    </row>
    <row r="4492" spans="1:5" x14ac:dyDescent="0.3">
      <c r="A4492">
        <v>178805</v>
      </c>
      <c r="B4492">
        <v>75490</v>
      </c>
      <c r="C4492">
        <v>1359</v>
      </c>
      <c r="D4492">
        <v>1</v>
      </c>
      <c r="E4492">
        <v>84.4</v>
      </c>
    </row>
    <row r="4493" spans="1:5" x14ac:dyDescent="0.3">
      <c r="A4493">
        <v>178807</v>
      </c>
      <c r="B4493">
        <v>75492</v>
      </c>
      <c r="C4493">
        <v>1359</v>
      </c>
      <c r="D4493">
        <v>1</v>
      </c>
      <c r="E4493">
        <v>84.4</v>
      </c>
    </row>
    <row r="4494" spans="1:5" x14ac:dyDescent="0.3">
      <c r="A4494">
        <v>178808</v>
      </c>
      <c r="B4494">
        <v>75493</v>
      </c>
      <c r="C4494">
        <v>1359</v>
      </c>
      <c r="D4494">
        <v>1</v>
      </c>
      <c r="E4494">
        <v>84.4</v>
      </c>
    </row>
    <row r="4495" spans="1:5" x14ac:dyDescent="0.3">
      <c r="A4495">
        <v>178809</v>
      </c>
      <c r="B4495">
        <v>75494</v>
      </c>
      <c r="C4495">
        <v>1359</v>
      </c>
      <c r="D4495">
        <v>1</v>
      </c>
      <c r="E4495">
        <v>84.4</v>
      </c>
    </row>
    <row r="4496" spans="1:5" x14ac:dyDescent="0.3">
      <c r="A4496">
        <v>178840</v>
      </c>
      <c r="B4496">
        <v>75525</v>
      </c>
      <c r="C4496">
        <v>1359</v>
      </c>
      <c r="D4496">
        <v>1</v>
      </c>
      <c r="E4496">
        <v>84.4</v>
      </c>
    </row>
    <row r="4497" spans="1:5" x14ac:dyDescent="0.3">
      <c r="A4497">
        <v>178841</v>
      </c>
      <c r="B4497">
        <v>75526</v>
      </c>
      <c r="C4497">
        <v>1359</v>
      </c>
      <c r="D4497">
        <v>1</v>
      </c>
      <c r="E4497">
        <v>84.4</v>
      </c>
    </row>
    <row r="4498" spans="1:5" x14ac:dyDescent="0.3">
      <c r="A4498">
        <v>178842</v>
      </c>
      <c r="B4498">
        <v>75527</v>
      </c>
      <c r="C4498">
        <v>1359</v>
      </c>
      <c r="D4498">
        <v>1</v>
      </c>
      <c r="E4498">
        <v>84.4</v>
      </c>
    </row>
    <row r="4499" spans="1:5" x14ac:dyDescent="0.3">
      <c r="A4499">
        <v>178843</v>
      </c>
      <c r="B4499">
        <v>75528</v>
      </c>
      <c r="C4499">
        <v>1359</v>
      </c>
      <c r="D4499">
        <v>1</v>
      </c>
      <c r="E4499">
        <v>84.4</v>
      </c>
    </row>
    <row r="4500" spans="1:5" x14ac:dyDescent="0.3">
      <c r="A4500">
        <v>178854</v>
      </c>
      <c r="B4500">
        <v>75539</v>
      </c>
      <c r="C4500">
        <v>1359</v>
      </c>
      <c r="D4500">
        <v>1</v>
      </c>
      <c r="E4500">
        <v>84.4</v>
      </c>
    </row>
    <row r="4501" spans="1:5" x14ac:dyDescent="0.3">
      <c r="A4501">
        <v>178855</v>
      </c>
      <c r="B4501">
        <v>75540</v>
      </c>
      <c r="C4501">
        <v>1359</v>
      </c>
      <c r="D4501">
        <v>1</v>
      </c>
      <c r="E4501">
        <v>84.4</v>
      </c>
    </row>
    <row r="4502" spans="1:5" x14ac:dyDescent="0.3">
      <c r="A4502">
        <v>178856</v>
      </c>
      <c r="B4502">
        <v>75541</v>
      </c>
      <c r="C4502">
        <v>1359</v>
      </c>
      <c r="D4502">
        <v>1</v>
      </c>
      <c r="E4502">
        <v>84.4</v>
      </c>
    </row>
    <row r="4503" spans="1:5" x14ac:dyDescent="0.3">
      <c r="A4503">
        <v>178858</v>
      </c>
      <c r="B4503">
        <v>75543</v>
      </c>
      <c r="C4503">
        <v>1359</v>
      </c>
      <c r="D4503">
        <v>1</v>
      </c>
      <c r="E4503">
        <v>84.4</v>
      </c>
    </row>
    <row r="4504" spans="1:5" x14ac:dyDescent="0.3">
      <c r="A4504">
        <v>178871</v>
      </c>
      <c r="B4504">
        <v>75556</v>
      </c>
      <c r="C4504">
        <v>1359</v>
      </c>
      <c r="D4504">
        <v>1</v>
      </c>
      <c r="E4504">
        <v>84.4</v>
      </c>
    </row>
    <row r="4505" spans="1:5" x14ac:dyDescent="0.3">
      <c r="A4505">
        <v>178872</v>
      </c>
      <c r="B4505">
        <v>75557</v>
      </c>
      <c r="C4505">
        <v>1359</v>
      </c>
      <c r="D4505">
        <v>1</v>
      </c>
      <c r="E4505">
        <v>84.4</v>
      </c>
    </row>
    <row r="4506" spans="1:5" x14ac:dyDescent="0.3">
      <c r="A4506">
        <v>178881</v>
      </c>
      <c r="B4506">
        <v>75566</v>
      </c>
      <c r="C4506">
        <v>1359</v>
      </c>
      <c r="D4506">
        <v>1</v>
      </c>
      <c r="E4506">
        <v>84.4</v>
      </c>
    </row>
    <row r="4507" spans="1:5" x14ac:dyDescent="0.3">
      <c r="A4507">
        <v>178889</v>
      </c>
      <c r="B4507">
        <v>75574</v>
      </c>
      <c r="C4507">
        <v>1359</v>
      </c>
      <c r="D4507">
        <v>1</v>
      </c>
      <c r="E4507">
        <v>84.4</v>
      </c>
    </row>
    <row r="4508" spans="1:5" x14ac:dyDescent="0.3">
      <c r="A4508">
        <v>178896</v>
      </c>
      <c r="B4508">
        <v>75581</v>
      </c>
      <c r="C4508">
        <v>1359</v>
      </c>
      <c r="D4508">
        <v>1</v>
      </c>
      <c r="E4508">
        <v>84.4</v>
      </c>
    </row>
    <row r="4509" spans="1:5" x14ac:dyDescent="0.3">
      <c r="A4509">
        <v>178897</v>
      </c>
      <c r="B4509">
        <v>75582</v>
      </c>
      <c r="C4509">
        <v>1359</v>
      </c>
      <c r="D4509">
        <v>1</v>
      </c>
      <c r="E4509">
        <v>84.4</v>
      </c>
    </row>
    <row r="4510" spans="1:5" x14ac:dyDescent="0.3">
      <c r="A4510">
        <v>178920</v>
      </c>
      <c r="B4510">
        <v>75605</v>
      </c>
      <c r="C4510">
        <v>1359</v>
      </c>
      <c r="D4510">
        <v>1</v>
      </c>
      <c r="E4510">
        <v>84.4</v>
      </c>
    </row>
    <row r="4511" spans="1:5" x14ac:dyDescent="0.3">
      <c r="A4511">
        <v>178948</v>
      </c>
      <c r="B4511">
        <v>75633</v>
      </c>
      <c r="C4511">
        <v>1359</v>
      </c>
      <c r="D4511">
        <v>1</v>
      </c>
      <c r="E4511">
        <v>84.4</v>
      </c>
    </row>
    <row r="4512" spans="1:5" x14ac:dyDescent="0.3">
      <c r="A4512">
        <v>178969</v>
      </c>
      <c r="B4512">
        <v>75654</v>
      </c>
      <c r="C4512">
        <v>1359</v>
      </c>
      <c r="D4512">
        <v>1</v>
      </c>
      <c r="E4512">
        <v>84.4</v>
      </c>
    </row>
    <row r="4513" spans="1:5" x14ac:dyDescent="0.3">
      <c r="A4513">
        <v>178971</v>
      </c>
      <c r="B4513">
        <v>75656</v>
      </c>
      <c r="C4513">
        <v>1359</v>
      </c>
      <c r="D4513">
        <v>1</v>
      </c>
      <c r="E4513">
        <v>84.4</v>
      </c>
    </row>
    <row r="4514" spans="1:5" x14ac:dyDescent="0.3">
      <c r="A4514">
        <v>178972</v>
      </c>
      <c r="B4514">
        <v>75657</v>
      </c>
      <c r="C4514">
        <v>1359</v>
      </c>
      <c r="D4514">
        <v>1</v>
      </c>
      <c r="E4514">
        <v>84.4</v>
      </c>
    </row>
    <row r="4515" spans="1:5" x14ac:dyDescent="0.3">
      <c r="A4515">
        <v>178973</v>
      </c>
      <c r="B4515">
        <v>75658</v>
      </c>
      <c r="C4515">
        <v>1359</v>
      </c>
      <c r="D4515">
        <v>1</v>
      </c>
      <c r="E4515">
        <v>84.4</v>
      </c>
    </row>
    <row r="4516" spans="1:5" x14ac:dyDescent="0.3">
      <c r="A4516">
        <v>178974</v>
      </c>
      <c r="B4516">
        <v>75659</v>
      </c>
      <c r="C4516">
        <v>1359</v>
      </c>
      <c r="D4516">
        <v>1</v>
      </c>
      <c r="E4516">
        <v>84.4</v>
      </c>
    </row>
    <row r="4517" spans="1:5" x14ac:dyDescent="0.3">
      <c r="A4517">
        <v>178975</v>
      </c>
      <c r="B4517">
        <v>75660</v>
      </c>
      <c r="C4517">
        <v>1359</v>
      </c>
      <c r="D4517">
        <v>1</v>
      </c>
      <c r="E4517">
        <v>84.4</v>
      </c>
    </row>
    <row r="4518" spans="1:5" x14ac:dyDescent="0.3">
      <c r="A4518">
        <v>178976</v>
      </c>
      <c r="B4518">
        <v>75661</v>
      </c>
      <c r="C4518">
        <v>1359</v>
      </c>
      <c r="D4518">
        <v>1</v>
      </c>
      <c r="E4518">
        <v>84.4</v>
      </c>
    </row>
    <row r="4519" spans="1:5" x14ac:dyDescent="0.3">
      <c r="A4519">
        <v>178977</v>
      </c>
      <c r="B4519">
        <v>75662</v>
      </c>
      <c r="C4519">
        <v>1359</v>
      </c>
      <c r="D4519">
        <v>1</v>
      </c>
      <c r="E4519">
        <v>84.4</v>
      </c>
    </row>
    <row r="4520" spans="1:5" x14ac:dyDescent="0.3">
      <c r="A4520">
        <v>178978</v>
      </c>
      <c r="B4520">
        <v>75663</v>
      </c>
      <c r="C4520">
        <v>1359</v>
      </c>
      <c r="D4520">
        <v>1</v>
      </c>
      <c r="E4520">
        <v>84.4</v>
      </c>
    </row>
    <row r="4521" spans="1:5" x14ac:dyDescent="0.3">
      <c r="A4521">
        <v>178979</v>
      </c>
      <c r="B4521">
        <v>75664</v>
      </c>
      <c r="C4521">
        <v>1359</v>
      </c>
      <c r="D4521">
        <v>1</v>
      </c>
      <c r="E4521">
        <v>84.4</v>
      </c>
    </row>
    <row r="4522" spans="1:5" x14ac:dyDescent="0.3">
      <c r="A4522">
        <v>178980</v>
      </c>
      <c r="B4522">
        <v>75665</v>
      </c>
      <c r="C4522">
        <v>1359</v>
      </c>
      <c r="D4522">
        <v>1</v>
      </c>
      <c r="E4522">
        <v>84.4</v>
      </c>
    </row>
    <row r="4523" spans="1:5" x14ac:dyDescent="0.3">
      <c r="A4523">
        <v>179008</v>
      </c>
      <c r="B4523">
        <v>75693</v>
      </c>
      <c r="C4523">
        <v>1359</v>
      </c>
      <c r="D4523">
        <v>1</v>
      </c>
      <c r="E4523">
        <v>84.4</v>
      </c>
    </row>
    <row r="4524" spans="1:5" x14ac:dyDescent="0.3">
      <c r="A4524">
        <v>179009</v>
      </c>
      <c r="B4524">
        <v>75694</v>
      </c>
      <c r="C4524">
        <v>1359</v>
      </c>
      <c r="D4524">
        <v>1</v>
      </c>
      <c r="E4524">
        <v>84.4</v>
      </c>
    </row>
    <row r="4525" spans="1:5" x14ac:dyDescent="0.3">
      <c r="A4525">
        <v>179019</v>
      </c>
      <c r="B4525">
        <v>75704</v>
      </c>
      <c r="C4525">
        <v>1359</v>
      </c>
      <c r="D4525">
        <v>1</v>
      </c>
      <c r="E4525">
        <v>84.4</v>
      </c>
    </row>
    <row r="4526" spans="1:5" x14ac:dyDescent="0.3">
      <c r="A4526">
        <v>179062</v>
      </c>
      <c r="B4526">
        <v>75747</v>
      </c>
      <c r="C4526">
        <v>1360</v>
      </c>
      <c r="D4526">
        <v>1</v>
      </c>
      <c r="E4526">
        <v>327.75</v>
      </c>
    </row>
    <row r="4527" spans="1:5" x14ac:dyDescent="0.3">
      <c r="A4527">
        <v>179082</v>
      </c>
      <c r="B4527">
        <v>75767</v>
      </c>
      <c r="C4527">
        <v>1360</v>
      </c>
      <c r="D4527">
        <v>1</v>
      </c>
      <c r="E4527">
        <v>327.75</v>
      </c>
    </row>
    <row r="4528" spans="1:5" x14ac:dyDescent="0.3">
      <c r="A4528">
        <v>179083</v>
      </c>
      <c r="B4528">
        <v>75768</v>
      </c>
      <c r="C4528">
        <v>1360</v>
      </c>
      <c r="D4528">
        <v>1</v>
      </c>
      <c r="E4528">
        <v>327.75</v>
      </c>
    </row>
    <row r="4529" spans="1:5" x14ac:dyDescent="0.3">
      <c r="A4529">
        <v>179099</v>
      </c>
      <c r="B4529">
        <v>75784</v>
      </c>
      <c r="C4529">
        <v>1360</v>
      </c>
      <c r="D4529">
        <v>1</v>
      </c>
      <c r="E4529">
        <v>327.75</v>
      </c>
    </row>
    <row r="4530" spans="1:5" x14ac:dyDescent="0.3">
      <c r="A4530">
        <v>179100</v>
      </c>
      <c r="B4530">
        <v>75785</v>
      </c>
      <c r="C4530">
        <v>1360</v>
      </c>
      <c r="D4530">
        <v>1</v>
      </c>
      <c r="E4530">
        <v>327.75</v>
      </c>
    </row>
    <row r="4531" spans="1:5" x14ac:dyDescent="0.3">
      <c r="A4531">
        <v>179101</v>
      </c>
      <c r="B4531">
        <v>75786</v>
      </c>
      <c r="C4531">
        <v>1360</v>
      </c>
      <c r="D4531">
        <v>1</v>
      </c>
      <c r="E4531">
        <v>327.75</v>
      </c>
    </row>
    <row r="4532" spans="1:5" x14ac:dyDescent="0.3">
      <c r="A4532">
        <v>179113</v>
      </c>
      <c r="B4532">
        <v>75798</v>
      </c>
      <c r="C4532">
        <v>1360</v>
      </c>
      <c r="D4532">
        <v>1</v>
      </c>
      <c r="E4532">
        <v>327.75</v>
      </c>
    </row>
    <row r="4533" spans="1:5" x14ac:dyDescent="0.3">
      <c r="A4533">
        <v>179115</v>
      </c>
      <c r="B4533">
        <v>75800</v>
      </c>
      <c r="C4533">
        <v>1360</v>
      </c>
      <c r="D4533">
        <v>1</v>
      </c>
      <c r="E4533">
        <v>327.75</v>
      </c>
    </row>
    <row r="4534" spans="1:5" x14ac:dyDescent="0.3">
      <c r="A4534">
        <v>179116</v>
      </c>
      <c r="B4534">
        <v>75801</v>
      </c>
      <c r="C4534">
        <v>1360</v>
      </c>
      <c r="D4534">
        <v>1</v>
      </c>
      <c r="E4534">
        <v>327.75</v>
      </c>
    </row>
    <row r="4535" spans="1:5" x14ac:dyDescent="0.3">
      <c r="A4535">
        <v>179136</v>
      </c>
      <c r="B4535">
        <v>75821</v>
      </c>
      <c r="C4535">
        <v>1360</v>
      </c>
      <c r="D4535">
        <v>1</v>
      </c>
      <c r="E4535">
        <v>327.75</v>
      </c>
    </row>
    <row r="4536" spans="1:5" x14ac:dyDescent="0.3">
      <c r="A4536">
        <v>179137</v>
      </c>
      <c r="B4536">
        <v>75822</v>
      </c>
      <c r="C4536">
        <v>1360</v>
      </c>
      <c r="D4536">
        <v>1</v>
      </c>
      <c r="E4536">
        <v>327.75</v>
      </c>
    </row>
    <row r="4537" spans="1:5" x14ac:dyDescent="0.3">
      <c r="A4537">
        <v>179146</v>
      </c>
      <c r="B4537">
        <v>75831</v>
      </c>
      <c r="C4537">
        <v>1360</v>
      </c>
      <c r="D4537">
        <v>1</v>
      </c>
      <c r="E4537">
        <v>327.75</v>
      </c>
    </row>
    <row r="4538" spans="1:5" x14ac:dyDescent="0.3">
      <c r="A4538">
        <v>179147</v>
      </c>
      <c r="B4538">
        <v>75832</v>
      </c>
      <c r="C4538">
        <v>1360</v>
      </c>
      <c r="D4538">
        <v>1</v>
      </c>
      <c r="E4538">
        <v>327.75</v>
      </c>
    </row>
    <row r="4539" spans="1:5" x14ac:dyDescent="0.3">
      <c r="A4539">
        <v>179148</v>
      </c>
      <c r="B4539">
        <v>75833</v>
      </c>
      <c r="C4539">
        <v>1360</v>
      </c>
      <c r="D4539">
        <v>1</v>
      </c>
      <c r="E4539">
        <v>327.75</v>
      </c>
    </row>
    <row r="4540" spans="1:5" x14ac:dyDescent="0.3">
      <c r="A4540">
        <v>179149</v>
      </c>
      <c r="B4540">
        <v>75834</v>
      </c>
      <c r="C4540">
        <v>1360</v>
      </c>
      <c r="D4540">
        <v>1</v>
      </c>
      <c r="E4540">
        <v>327.75</v>
      </c>
    </row>
    <row r="4541" spans="1:5" x14ac:dyDescent="0.3">
      <c r="A4541">
        <v>179150</v>
      </c>
      <c r="B4541">
        <v>75835</v>
      </c>
      <c r="C4541">
        <v>1360</v>
      </c>
      <c r="D4541">
        <v>1</v>
      </c>
      <c r="E4541">
        <v>327.75</v>
      </c>
    </row>
    <row r="4542" spans="1:5" x14ac:dyDescent="0.3">
      <c r="A4542">
        <v>179161</v>
      </c>
      <c r="B4542">
        <v>75846</v>
      </c>
      <c r="C4542">
        <v>1360</v>
      </c>
      <c r="D4542">
        <v>1</v>
      </c>
      <c r="E4542">
        <v>327.75</v>
      </c>
    </row>
    <row r="4543" spans="1:5" x14ac:dyDescent="0.3">
      <c r="A4543">
        <v>179162</v>
      </c>
      <c r="B4543">
        <v>75847</v>
      </c>
      <c r="C4543">
        <v>1360</v>
      </c>
      <c r="D4543">
        <v>1</v>
      </c>
      <c r="E4543">
        <v>327.75</v>
      </c>
    </row>
    <row r="4544" spans="1:5" x14ac:dyDescent="0.3">
      <c r="A4544">
        <v>179163</v>
      </c>
      <c r="B4544">
        <v>75848</v>
      </c>
      <c r="C4544">
        <v>1360</v>
      </c>
      <c r="D4544">
        <v>1</v>
      </c>
      <c r="E4544">
        <v>327.75</v>
      </c>
    </row>
    <row r="4545" spans="1:5" x14ac:dyDescent="0.3">
      <c r="A4545">
        <v>179164</v>
      </c>
      <c r="B4545">
        <v>75849</v>
      </c>
      <c r="C4545">
        <v>1360</v>
      </c>
      <c r="D4545">
        <v>1</v>
      </c>
      <c r="E4545">
        <v>327.75</v>
      </c>
    </row>
    <row r="4546" spans="1:5" x14ac:dyDescent="0.3">
      <c r="A4546">
        <v>179165</v>
      </c>
      <c r="B4546">
        <v>75850</v>
      </c>
      <c r="C4546">
        <v>1360</v>
      </c>
      <c r="D4546">
        <v>1</v>
      </c>
      <c r="E4546">
        <v>327.75</v>
      </c>
    </row>
    <row r="4547" spans="1:5" x14ac:dyDescent="0.3">
      <c r="A4547">
        <v>179184</v>
      </c>
      <c r="B4547">
        <v>75869</v>
      </c>
      <c r="C4547">
        <v>1360</v>
      </c>
      <c r="D4547">
        <v>1</v>
      </c>
      <c r="E4547">
        <v>327.75</v>
      </c>
    </row>
    <row r="4548" spans="1:5" x14ac:dyDescent="0.3">
      <c r="A4548">
        <v>179185</v>
      </c>
      <c r="B4548">
        <v>75870</v>
      </c>
      <c r="C4548">
        <v>1360</v>
      </c>
      <c r="D4548">
        <v>1</v>
      </c>
      <c r="E4548">
        <v>327.75</v>
      </c>
    </row>
    <row r="4549" spans="1:5" x14ac:dyDescent="0.3">
      <c r="A4549">
        <v>179186</v>
      </c>
      <c r="B4549">
        <v>75871</v>
      </c>
      <c r="C4549">
        <v>1360</v>
      </c>
      <c r="D4549">
        <v>1</v>
      </c>
      <c r="E4549">
        <v>327.75</v>
      </c>
    </row>
    <row r="4550" spans="1:5" x14ac:dyDescent="0.3">
      <c r="A4550">
        <v>179187</v>
      </c>
      <c r="B4550">
        <v>75872</v>
      </c>
      <c r="C4550">
        <v>1360</v>
      </c>
      <c r="D4550">
        <v>1</v>
      </c>
      <c r="E4550">
        <v>327.75</v>
      </c>
    </row>
    <row r="4551" spans="1:5" x14ac:dyDescent="0.3">
      <c r="A4551">
        <v>179188</v>
      </c>
      <c r="B4551">
        <v>75873</v>
      </c>
      <c r="C4551">
        <v>1360</v>
      </c>
      <c r="D4551">
        <v>1</v>
      </c>
      <c r="E4551">
        <v>327.75</v>
      </c>
    </row>
    <row r="4552" spans="1:5" x14ac:dyDescent="0.3">
      <c r="A4552">
        <v>179193</v>
      </c>
      <c r="B4552">
        <v>75878</v>
      </c>
      <c r="C4552">
        <v>1360</v>
      </c>
      <c r="D4552">
        <v>1</v>
      </c>
      <c r="E4552">
        <v>327.75</v>
      </c>
    </row>
    <row r="4553" spans="1:5" x14ac:dyDescent="0.3">
      <c r="A4553">
        <v>179194</v>
      </c>
      <c r="B4553">
        <v>75879</v>
      </c>
      <c r="C4553">
        <v>1360</v>
      </c>
      <c r="D4553">
        <v>1</v>
      </c>
      <c r="E4553">
        <v>327.75</v>
      </c>
    </row>
    <row r="4554" spans="1:5" x14ac:dyDescent="0.3">
      <c r="A4554">
        <v>179207</v>
      </c>
      <c r="B4554">
        <v>75892</v>
      </c>
      <c r="C4554">
        <v>1360</v>
      </c>
      <c r="D4554">
        <v>1</v>
      </c>
      <c r="E4554">
        <v>327.75</v>
      </c>
    </row>
    <row r="4555" spans="1:5" x14ac:dyDescent="0.3">
      <c r="A4555">
        <v>179209</v>
      </c>
      <c r="B4555">
        <v>75894</v>
      </c>
      <c r="C4555">
        <v>1360</v>
      </c>
      <c r="D4555">
        <v>1</v>
      </c>
      <c r="E4555">
        <v>327.75</v>
      </c>
    </row>
    <row r="4556" spans="1:5" x14ac:dyDescent="0.3">
      <c r="A4556">
        <v>179210</v>
      </c>
      <c r="B4556">
        <v>75895</v>
      </c>
      <c r="C4556">
        <v>1360</v>
      </c>
      <c r="D4556">
        <v>1</v>
      </c>
      <c r="E4556">
        <v>327.75</v>
      </c>
    </row>
    <row r="4557" spans="1:5" x14ac:dyDescent="0.3">
      <c r="A4557">
        <v>179219</v>
      </c>
      <c r="B4557">
        <v>75904</v>
      </c>
      <c r="C4557">
        <v>1360</v>
      </c>
      <c r="D4557">
        <v>1</v>
      </c>
      <c r="E4557">
        <v>327.75</v>
      </c>
    </row>
    <row r="4558" spans="1:5" x14ac:dyDescent="0.3">
      <c r="A4558">
        <v>179223</v>
      </c>
      <c r="B4558">
        <v>75908</v>
      </c>
      <c r="C4558">
        <v>1360</v>
      </c>
      <c r="D4558">
        <v>1</v>
      </c>
      <c r="E4558">
        <v>327.75</v>
      </c>
    </row>
    <row r="4559" spans="1:5" x14ac:dyDescent="0.3">
      <c r="A4559">
        <v>179224</v>
      </c>
      <c r="B4559">
        <v>75909</v>
      </c>
      <c r="C4559">
        <v>1360</v>
      </c>
      <c r="D4559">
        <v>1</v>
      </c>
      <c r="E4559">
        <v>327.75</v>
      </c>
    </row>
    <row r="4560" spans="1:5" x14ac:dyDescent="0.3">
      <c r="A4560">
        <v>179234</v>
      </c>
      <c r="B4560">
        <v>75919</v>
      </c>
      <c r="C4560">
        <v>1360</v>
      </c>
      <c r="D4560">
        <v>1</v>
      </c>
      <c r="E4560">
        <v>327.75</v>
      </c>
    </row>
    <row r="4561" spans="1:5" x14ac:dyDescent="0.3">
      <c r="A4561">
        <v>179235</v>
      </c>
      <c r="B4561">
        <v>75920</v>
      </c>
      <c r="C4561">
        <v>1360</v>
      </c>
      <c r="D4561">
        <v>1</v>
      </c>
      <c r="E4561">
        <v>327.75</v>
      </c>
    </row>
    <row r="4562" spans="1:5" x14ac:dyDescent="0.3">
      <c r="A4562">
        <v>179236</v>
      </c>
      <c r="B4562">
        <v>75921</v>
      </c>
      <c r="C4562">
        <v>1360</v>
      </c>
      <c r="D4562">
        <v>1</v>
      </c>
      <c r="E4562">
        <v>327.75</v>
      </c>
    </row>
    <row r="4563" spans="1:5" x14ac:dyDescent="0.3">
      <c r="A4563">
        <v>179237</v>
      </c>
      <c r="B4563">
        <v>75922</v>
      </c>
      <c r="C4563">
        <v>1360</v>
      </c>
      <c r="D4563">
        <v>1</v>
      </c>
      <c r="E4563">
        <v>327.75</v>
      </c>
    </row>
    <row r="4564" spans="1:5" x14ac:dyDescent="0.3">
      <c r="A4564">
        <v>179238</v>
      </c>
      <c r="B4564">
        <v>75923</v>
      </c>
      <c r="C4564">
        <v>1360</v>
      </c>
      <c r="D4564">
        <v>1</v>
      </c>
      <c r="E4564">
        <v>327.75</v>
      </c>
    </row>
    <row r="4565" spans="1:5" x14ac:dyDescent="0.3">
      <c r="A4565">
        <v>179240</v>
      </c>
      <c r="B4565">
        <v>75925</v>
      </c>
      <c r="C4565">
        <v>1360</v>
      </c>
      <c r="D4565">
        <v>1</v>
      </c>
      <c r="E4565">
        <v>327.75</v>
      </c>
    </row>
    <row r="4566" spans="1:5" x14ac:dyDescent="0.3">
      <c r="A4566">
        <v>179241</v>
      </c>
      <c r="B4566">
        <v>75926</v>
      </c>
      <c r="C4566">
        <v>1360</v>
      </c>
      <c r="D4566">
        <v>1</v>
      </c>
      <c r="E4566">
        <v>327.75</v>
      </c>
    </row>
    <row r="4567" spans="1:5" x14ac:dyDescent="0.3">
      <c r="A4567">
        <v>179242</v>
      </c>
      <c r="B4567">
        <v>75927</v>
      </c>
      <c r="C4567">
        <v>1360</v>
      </c>
      <c r="D4567">
        <v>1</v>
      </c>
      <c r="E4567">
        <v>327.75</v>
      </c>
    </row>
    <row r="4568" spans="1:5" x14ac:dyDescent="0.3">
      <c r="A4568">
        <v>179253</v>
      </c>
      <c r="B4568">
        <v>75938</v>
      </c>
      <c r="C4568">
        <v>1360</v>
      </c>
      <c r="D4568">
        <v>1</v>
      </c>
      <c r="E4568">
        <v>327.75</v>
      </c>
    </row>
    <row r="4569" spans="1:5" x14ac:dyDescent="0.3">
      <c r="A4569">
        <v>179254</v>
      </c>
      <c r="B4569">
        <v>75939</v>
      </c>
      <c r="C4569">
        <v>1360</v>
      </c>
      <c r="D4569">
        <v>1</v>
      </c>
      <c r="E4569">
        <v>327.75</v>
      </c>
    </row>
    <row r="4570" spans="1:5" x14ac:dyDescent="0.3">
      <c r="A4570">
        <v>179255</v>
      </c>
      <c r="B4570">
        <v>75940</v>
      </c>
      <c r="C4570">
        <v>1361</v>
      </c>
      <c r="D4570">
        <v>1</v>
      </c>
      <c r="E4570">
        <v>11.54</v>
      </c>
    </row>
    <row r="4571" spans="1:5" x14ac:dyDescent="0.3">
      <c r="A4571">
        <v>179256</v>
      </c>
      <c r="B4571">
        <v>75941</v>
      </c>
      <c r="C4571">
        <v>1361</v>
      </c>
      <c r="D4571">
        <v>1</v>
      </c>
      <c r="E4571">
        <v>11.54</v>
      </c>
    </row>
    <row r="4572" spans="1:5" x14ac:dyDescent="0.3">
      <c r="A4572">
        <v>179257</v>
      </c>
      <c r="B4572">
        <v>75942</v>
      </c>
      <c r="C4572">
        <v>1361</v>
      </c>
      <c r="D4572">
        <v>1</v>
      </c>
      <c r="E4572">
        <v>11.54</v>
      </c>
    </row>
    <row r="4573" spans="1:5" x14ac:dyDescent="0.3">
      <c r="A4573">
        <v>179258</v>
      </c>
      <c r="B4573">
        <v>75943</v>
      </c>
      <c r="C4573">
        <v>1361</v>
      </c>
      <c r="D4573">
        <v>1</v>
      </c>
      <c r="E4573">
        <v>11.54</v>
      </c>
    </row>
    <row r="4574" spans="1:5" x14ac:dyDescent="0.3">
      <c r="A4574">
        <v>179259</v>
      </c>
      <c r="B4574">
        <v>75944</v>
      </c>
      <c r="C4574">
        <v>1361</v>
      </c>
      <c r="D4574">
        <v>1</v>
      </c>
      <c r="E4574">
        <v>11.54</v>
      </c>
    </row>
    <row r="4575" spans="1:5" x14ac:dyDescent="0.3">
      <c r="A4575">
        <v>179289</v>
      </c>
      <c r="B4575">
        <v>75974</v>
      </c>
      <c r="C4575">
        <v>1361</v>
      </c>
      <c r="D4575">
        <v>1</v>
      </c>
      <c r="E4575">
        <v>11.54</v>
      </c>
    </row>
    <row r="4576" spans="1:5" x14ac:dyDescent="0.3">
      <c r="A4576">
        <v>179290</v>
      </c>
      <c r="B4576">
        <v>75975</v>
      </c>
      <c r="C4576">
        <v>1361</v>
      </c>
      <c r="D4576">
        <v>1</v>
      </c>
      <c r="E4576">
        <v>11.54</v>
      </c>
    </row>
    <row r="4577" spans="1:5" x14ac:dyDescent="0.3">
      <c r="A4577">
        <v>179291</v>
      </c>
      <c r="B4577">
        <v>75976</v>
      </c>
      <c r="C4577">
        <v>1361</v>
      </c>
      <c r="D4577">
        <v>1</v>
      </c>
      <c r="E4577">
        <v>11.54</v>
      </c>
    </row>
    <row r="4578" spans="1:5" x14ac:dyDescent="0.3">
      <c r="A4578">
        <v>179292</v>
      </c>
      <c r="B4578">
        <v>75977</v>
      </c>
      <c r="C4578">
        <v>1361</v>
      </c>
      <c r="D4578">
        <v>1</v>
      </c>
      <c r="E4578">
        <v>11.54</v>
      </c>
    </row>
    <row r="4579" spans="1:5" x14ac:dyDescent="0.3">
      <c r="A4579">
        <v>179331</v>
      </c>
      <c r="B4579">
        <v>76016</v>
      </c>
      <c r="C4579">
        <v>1361</v>
      </c>
      <c r="D4579">
        <v>1</v>
      </c>
      <c r="E4579">
        <v>11.54</v>
      </c>
    </row>
    <row r="4580" spans="1:5" x14ac:dyDescent="0.3">
      <c r="A4580">
        <v>179332</v>
      </c>
      <c r="B4580">
        <v>76017</v>
      </c>
      <c r="C4580">
        <v>1361</v>
      </c>
      <c r="D4580">
        <v>1</v>
      </c>
      <c r="E4580">
        <v>11.54</v>
      </c>
    </row>
    <row r="4581" spans="1:5" x14ac:dyDescent="0.3">
      <c r="A4581">
        <v>179333</v>
      </c>
      <c r="B4581">
        <v>76018</v>
      </c>
      <c r="C4581">
        <v>1361</v>
      </c>
      <c r="D4581">
        <v>1</v>
      </c>
      <c r="E4581">
        <v>11.54</v>
      </c>
    </row>
    <row r="4582" spans="1:5" x14ac:dyDescent="0.3">
      <c r="A4582">
        <v>179359</v>
      </c>
      <c r="B4582">
        <v>76044</v>
      </c>
      <c r="C4582">
        <v>1361</v>
      </c>
      <c r="D4582">
        <v>1</v>
      </c>
      <c r="E4582">
        <v>11.54</v>
      </c>
    </row>
    <row r="4583" spans="1:5" x14ac:dyDescent="0.3">
      <c r="A4583">
        <v>179360</v>
      </c>
      <c r="B4583">
        <v>76045</v>
      </c>
      <c r="C4583">
        <v>1361</v>
      </c>
      <c r="D4583">
        <v>1</v>
      </c>
      <c r="E4583">
        <v>11.54</v>
      </c>
    </row>
    <row r="4584" spans="1:5" x14ac:dyDescent="0.3">
      <c r="A4584">
        <v>179361</v>
      </c>
      <c r="B4584">
        <v>76046</v>
      </c>
      <c r="C4584">
        <v>1361</v>
      </c>
      <c r="D4584">
        <v>1</v>
      </c>
      <c r="E4584">
        <v>11.54</v>
      </c>
    </row>
    <row r="4585" spans="1:5" x14ac:dyDescent="0.3">
      <c r="A4585">
        <v>179362</v>
      </c>
      <c r="B4585">
        <v>76047</v>
      </c>
      <c r="C4585">
        <v>1361</v>
      </c>
      <c r="D4585">
        <v>1</v>
      </c>
      <c r="E4585">
        <v>11.54</v>
      </c>
    </row>
    <row r="4586" spans="1:5" x14ac:dyDescent="0.3">
      <c r="A4586">
        <v>179393</v>
      </c>
      <c r="B4586">
        <v>76078</v>
      </c>
      <c r="C4586">
        <v>1361</v>
      </c>
      <c r="D4586">
        <v>1</v>
      </c>
      <c r="E4586">
        <v>11.54</v>
      </c>
    </row>
    <row r="4587" spans="1:5" x14ac:dyDescent="0.3">
      <c r="A4587">
        <v>179394</v>
      </c>
      <c r="B4587">
        <v>76079</v>
      </c>
      <c r="C4587">
        <v>1361</v>
      </c>
      <c r="D4587">
        <v>1</v>
      </c>
      <c r="E4587">
        <v>11.54</v>
      </c>
    </row>
    <row r="4588" spans="1:5" x14ac:dyDescent="0.3">
      <c r="A4588">
        <v>179416</v>
      </c>
      <c r="B4588">
        <v>76101</v>
      </c>
      <c r="C4588">
        <v>1361</v>
      </c>
      <c r="D4588">
        <v>1</v>
      </c>
      <c r="E4588">
        <v>11.54</v>
      </c>
    </row>
    <row r="4589" spans="1:5" x14ac:dyDescent="0.3">
      <c r="A4589">
        <v>179420</v>
      </c>
      <c r="B4589">
        <v>76105</v>
      </c>
      <c r="C4589">
        <v>1361</v>
      </c>
      <c r="D4589">
        <v>1</v>
      </c>
      <c r="E4589">
        <v>11.54</v>
      </c>
    </row>
    <row r="4590" spans="1:5" x14ac:dyDescent="0.3">
      <c r="A4590">
        <v>179432</v>
      </c>
      <c r="B4590">
        <v>76117</v>
      </c>
      <c r="C4590">
        <v>1361</v>
      </c>
      <c r="D4590">
        <v>1</v>
      </c>
      <c r="E4590">
        <v>11.54</v>
      </c>
    </row>
    <row r="4591" spans="1:5" x14ac:dyDescent="0.3">
      <c r="A4591">
        <v>179456</v>
      </c>
      <c r="B4591">
        <v>76141</v>
      </c>
      <c r="C4591">
        <v>1361</v>
      </c>
      <c r="D4591">
        <v>1</v>
      </c>
      <c r="E4591">
        <v>11.54</v>
      </c>
    </row>
    <row r="4592" spans="1:5" x14ac:dyDescent="0.3">
      <c r="A4592">
        <v>179457</v>
      </c>
      <c r="B4592">
        <v>76142</v>
      </c>
      <c r="C4592">
        <v>1361</v>
      </c>
      <c r="D4592">
        <v>1</v>
      </c>
      <c r="E4592">
        <v>11.54</v>
      </c>
    </row>
    <row r="4593" spans="1:5" x14ac:dyDescent="0.3">
      <c r="A4593">
        <v>179458</v>
      </c>
      <c r="B4593">
        <v>76143</v>
      </c>
      <c r="C4593">
        <v>1361</v>
      </c>
      <c r="D4593">
        <v>1</v>
      </c>
      <c r="E4593">
        <v>11.54</v>
      </c>
    </row>
    <row r="4594" spans="1:5" x14ac:dyDescent="0.3">
      <c r="A4594">
        <v>179477</v>
      </c>
      <c r="B4594">
        <v>76162</v>
      </c>
      <c r="C4594">
        <v>1361</v>
      </c>
      <c r="D4594">
        <v>1</v>
      </c>
      <c r="E4594">
        <v>11.54</v>
      </c>
    </row>
    <row r="4595" spans="1:5" x14ac:dyDescent="0.3">
      <c r="A4595">
        <v>179478</v>
      </c>
      <c r="B4595">
        <v>76163</v>
      </c>
      <c r="C4595">
        <v>1361</v>
      </c>
      <c r="D4595">
        <v>1</v>
      </c>
      <c r="E4595">
        <v>11.54</v>
      </c>
    </row>
    <row r="4596" spans="1:5" x14ac:dyDescent="0.3">
      <c r="A4596">
        <v>179479</v>
      </c>
      <c r="B4596">
        <v>76164</v>
      </c>
      <c r="C4596">
        <v>1361</v>
      </c>
      <c r="D4596">
        <v>1</v>
      </c>
      <c r="E4596">
        <v>11.54</v>
      </c>
    </row>
    <row r="4597" spans="1:5" x14ac:dyDescent="0.3">
      <c r="A4597">
        <v>179481</v>
      </c>
      <c r="B4597">
        <v>76166</v>
      </c>
      <c r="C4597">
        <v>1361</v>
      </c>
      <c r="D4597">
        <v>1</v>
      </c>
      <c r="E4597">
        <v>11.54</v>
      </c>
    </row>
    <row r="4598" spans="1:5" x14ac:dyDescent="0.3">
      <c r="A4598">
        <v>179482</v>
      </c>
      <c r="B4598">
        <v>76167</v>
      </c>
      <c r="C4598">
        <v>1361</v>
      </c>
      <c r="D4598">
        <v>1</v>
      </c>
      <c r="E4598">
        <v>11.54</v>
      </c>
    </row>
    <row r="4599" spans="1:5" x14ac:dyDescent="0.3">
      <c r="A4599">
        <v>179519</v>
      </c>
      <c r="B4599">
        <v>76204</v>
      </c>
      <c r="C4599">
        <v>1361</v>
      </c>
      <c r="D4599">
        <v>1</v>
      </c>
      <c r="E4599">
        <v>11.54</v>
      </c>
    </row>
    <row r="4600" spans="1:5" x14ac:dyDescent="0.3">
      <c r="A4600">
        <v>179540</v>
      </c>
      <c r="B4600">
        <v>76225</v>
      </c>
      <c r="C4600">
        <v>1362</v>
      </c>
      <c r="D4600">
        <v>1</v>
      </c>
      <c r="E4600">
        <v>39.75</v>
      </c>
    </row>
    <row r="4601" spans="1:5" x14ac:dyDescent="0.3">
      <c r="A4601">
        <v>179541</v>
      </c>
      <c r="B4601">
        <v>76226</v>
      </c>
      <c r="C4601">
        <v>1362</v>
      </c>
      <c r="D4601">
        <v>1</v>
      </c>
      <c r="E4601">
        <v>39.75</v>
      </c>
    </row>
    <row r="4602" spans="1:5" x14ac:dyDescent="0.3">
      <c r="A4602">
        <v>179542</v>
      </c>
      <c r="B4602">
        <v>76227</v>
      </c>
      <c r="C4602">
        <v>1362</v>
      </c>
      <c r="D4602">
        <v>1</v>
      </c>
      <c r="E4602">
        <v>39.75</v>
      </c>
    </row>
    <row r="4603" spans="1:5" x14ac:dyDescent="0.3">
      <c r="A4603">
        <v>179543</v>
      </c>
      <c r="B4603">
        <v>76228</v>
      </c>
      <c r="C4603">
        <v>1362</v>
      </c>
      <c r="D4603">
        <v>1</v>
      </c>
      <c r="E4603">
        <v>39.75</v>
      </c>
    </row>
    <row r="4604" spans="1:5" x14ac:dyDescent="0.3">
      <c r="A4604">
        <v>179545</v>
      </c>
      <c r="B4604">
        <v>76230</v>
      </c>
      <c r="C4604">
        <v>1362</v>
      </c>
      <c r="D4604">
        <v>1</v>
      </c>
      <c r="E4604">
        <v>39.75</v>
      </c>
    </row>
    <row r="4605" spans="1:5" x14ac:dyDescent="0.3">
      <c r="A4605">
        <v>179562</v>
      </c>
      <c r="B4605">
        <v>76247</v>
      </c>
      <c r="C4605">
        <v>1362</v>
      </c>
      <c r="D4605">
        <v>1</v>
      </c>
      <c r="E4605">
        <v>39.75</v>
      </c>
    </row>
    <row r="4606" spans="1:5" x14ac:dyDescent="0.3">
      <c r="A4606">
        <v>179563</v>
      </c>
      <c r="B4606">
        <v>76248</v>
      </c>
      <c r="C4606">
        <v>1362</v>
      </c>
      <c r="D4606">
        <v>1</v>
      </c>
      <c r="E4606">
        <v>39.75</v>
      </c>
    </row>
    <row r="4607" spans="1:5" x14ac:dyDescent="0.3">
      <c r="A4607">
        <v>179564</v>
      </c>
      <c r="B4607">
        <v>76249</v>
      </c>
      <c r="C4607">
        <v>1362</v>
      </c>
      <c r="D4607">
        <v>1</v>
      </c>
      <c r="E4607">
        <v>39.75</v>
      </c>
    </row>
    <row r="4608" spans="1:5" x14ac:dyDescent="0.3">
      <c r="A4608">
        <v>179568</v>
      </c>
      <c r="B4608">
        <v>76253</v>
      </c>
      <c r="C4608">
        <v>1362</v>
      </c>
      <c r="D4608">
        <v>1</v>
      </c>
      <c r="E4608">
        <v>39.75</v>
      </c>
    </row>
    <row r="4609" spans="1:5" x14ac:dyDescent="0.3">
      <c r="A4609">
        <v>179569</v>
      </c>
      <c r="B4609">
        <v>76254</v>
      </c>
      <c r="C4609">
        <v>1362</v>
      </c>
      <c r="D4609">
        <v>1</v>
      </c>
      <c r="E4609">
        <v>39.75</v>
      </c>
    </row>
    <row r="4610" spans="1:5" x14ac:dyDescent="0.3">
      <c r="A4610">
        <v>179575</v>
      </c>
      <c r="B4610">
        <v>76260</v>
      </c>
      <c r="C4610">
        <v>1362</v>
      </c>
      <c r="D4610">
        <v>1</v>
      </c>
      <c r="E4610">
        <v>39.75</v>
      </c>
    </row>
    <row r="4611" spans="1:5" x14ac:dyDescent="0.3">
      <c r="A4611">
        <v>179585</v>
      </c>
      <c r="B4611">
        <v>76270</v>
      </c>
      <c r="C4611">
        <v>1362</v>
      </c>
      <c r="D4611">
        <v>1</v>
      </c>
      <c r="E4611">
        <v>39.75</v>
      </c>
    </row>
    <row r="4612" spans="1:5" x14ac:dyDescent="0.3">
      <c r="A4612">
        <v>179587</v>
      </c>
      <c r="B4612">
        <v>76272</v>
      </c>
      <c r="C4612">
        <v>1362</v>
      </c>
      <c r="D4612">
        <v>1</v>
      </c>
      <c r="E4612">
        <v>39.75</v>
      </c>
    </row>
    <row r="4613" spans="1:5" x14ac:dyDescent="0.3">
      <c r="A4613">
        <v>179588</v>
      </c>
      <c r="B4613">
        <v>76273</v>
      </c>
      <c r="C4613">
        <v>1362</v>
      </c>
      <c r="D4613">
        <v>1</v>
      </c>
      <c r="E4613">
        <v>39.75</v>
      </c>
    </row>
    <row r="4614" spans="1:5" x14ac:dyDescent="0.3">
      <c r="A4614">
        <v>179589</v>
      </c>
      <c r="B4614">
        <v>76274</v>
      </c>
      <c r="C4614">
        <v>1362</v>
      </c>
      <c r="D4614">
        <v>1</v>
      </c>
      <c r="E4614">
        <v>39.75</v>
      </c>
    </row>
    <row r="4615" spans="1:5" x14ac:dyDescent="0.3">
      <c r="A4615">
        <v>179590</v>
      </c>
      <c r="B4615">
        <v>76275</v>
      </c>
      <c r="C4615">
        <v>1362</v>
      </c>
      <c r="D4615">
        <v>1</v>
      </c>
      <c r="E4615">
        <v>39.75</v>
      </c>
    </row>
    <row r="4616" spans="1:5" x14ac:dyDescent="0.3">
      <c r="A4616">
        <v>179601</v>
      </c>
      <c r="B4616">
        <v>76286</v>
      </c>
      <c r="C4616">
        <v>1362</v>
      </c>
      <c r="D4616">
        <v>1</v>
      </c>
      <c r="E4616">
        <v>39.75</v>
      </c>
    </row>
    <row r="4617" spans="1:5" x14ac:dyDescent="0.3">
      <c r="A4617">
        <v>179602</v>
      </c>
      <c r="B4617">
        <v>76287</v>
      </c>
      <c r="C4617">
        <v>1362</v>
      </c>
      <c r="D4617">
        <v>1</v>
      </c>
      <c r="E4617">
        <v>39.75</v>
      </c>
    </row>
    <row r="4618" spans="1:5" x14ac:dyDescent="0.3">
      <c r="A4618">
        <v>179603</v>
      </c>
      <c r="B4618">
        <v>76288</v>
      </c>
      <c r="C4618">
        <v>1362</v>
      </c>
      <c r="D4618">
        <v>1</v>
      </c>
      <c r="E4618">
        <v>39.75</v>
      </c>
    </row>
    <row r="4619" spans="1:5" x14ac:dyDescent="0.3">
      <c r="A4619">
        <v>179623</v>
      </c>
      <c r="B4619">
        <v>76308</v>
      </c>
      <c r="C4619">
        <v>1362</v>
      </c>
      <c r="D4619">
        <v>1</v>
      </c>
      <c r="E4619">
        <v>39.75</v>
      </c>
    </row>
    <row r="4620" spans="1:5" x14ac:dyDescent="0.3">
      <c r="A4620">
        <v>179646</v>
      </c>
      <c r="B4620">
        <v>76331</v>
      </c>
      <c r="C4620">
        <v>1362</v>
      </c>
      <c r="D4620">
        <v>1</v>
      </c>
      <c r="E4620">
        <v>39.75</v>
      </c>
    </row>
    <row r="4621" spans="1:5" x14ac:dyDescent="0.3">
      <c r="A4621">
        <v>179647</v>
      </c>
      <c r="B4621">
        <v>76332</v>
      </c>
      <c r="C4621">
        <v>1362</v>
      </c>
      <c r="D4621">
        <v>1</v>
      </c>
      <c r="E4621">
        <v>39.75</v>
      </c>
    </row>
    <row r="4622" spans="1:5" x14ac:dyDescent="0.3">
      <c r="A4622">
        <v>179652</v>
      </c>
      <c r="B4622">
        <v>76337</v>
      </c>
      <c r="C4622">
        <v>1362</v>
      </c>
      <c r="D4622">
        <v>1</v>
      </c>
      <c r="E4622">
        <v>39.75</v>
      </c>
    </row>
    <row r="4623" spans="1:5" x14ac:dyDescent="0.3">
      <c r="A4623">
        <v>179653</v>
      </c>
      <c r="B4623">
        <v>76338</v>
      </c>
      <c r="C4623">
        <v>1362</v>
      </c>
      <c r="D4623">
        <v>1</v>
      </c>
      <c r="E4623">
        <v>39.75</v>
      </c>
    </row>
    <row r="4624" spans="1:5" x14ac:dyDescent="0.3">
      <c r="A4624">
        <v>179655</v>
      </c>
      <c r="B4624">
        <v>76340</v>
      </c>
      <c r="C4624">
        <v>1362</v>
      </c>
      <c r="D4624">
        <v>1</v>
      </c>
      <c r="E4624">
        <v>39.75</v>
      </c>
    </row>
    <row r="4625" spans="1:5" x14ac:dyDescent="0.3">
      <c r="A4625">
        <v>179656</v>
      </c>
      <c r="B4625">
        <v>76341</v>
      </c>
      <c r="C4625">
        <v>1362</v>
      </c>
      <c r="D4625">
        <v>1</v>
      </c>
      <c r="E4625">
        <v>39.75</v>
      </c>
    </row>
    <row r="4626" spans="1:5" x14ac:dyDescent="0.3">
      <c r="A4626">
        <v>179672</v>
      </c>
      <c r="B4626">
        <v>76357</v>
      </c>
      <c r="C4626">
        <v>1362</v>
      </c>
      <c r="D4626">
        <v>1</v>
      </c>
      <c r="E4626">
        <v>39.75</v>
      </c>
    </row>
    <row r="4627" spans="1:5" x14ac:dyDescent="0.3">
      <c r="A4627">
        <v>179701</v>
      </c>
      <c r="B4627">
        <v>76386</v>
      </c>
      <c r="C4627">
        <v>1362</v>
      </c>
      <c r="D4627">
        <v>1</v>
      </c>
      <c r="E4627">
        <v>39.75</v>
      </c>
    </row>
    <row r="4628" spans="1:5" x14ac:dyDescent="0.3">
      <c r="A4628">
        <v>179702</v>
      </c>
      <c r="B4628">
        <v>76387</v>
      </c>
      <c r="C4628">
        <v>1362</v>
      </c>
      <c r="D4628">
        <v>1</v>
      </c>
      <c r="E4628">
        <v>39.75</v>
      </c>
    </row>
    <row r="4629" spans="1:5" x14ac:dyDescent="0.3">
      <c r="A4629">
        <v>179703</v>
      </c>
      <c r="B4629">
        <v>76388</v>
      </c>
      <c r="C4629">
        <v>1362</v>
      </c>
      <c r="D4629">
        <v>1</v>
      </c>
      <c r="E4629">
        <v>39.75</v>
      </c>
    </row>
    <row r="4630" spans="1:5" x14ac:dyDescent="0.3">
      <c r="A4630">
        <v>179704</v>
      </c>
      <c r="B4630">
        <v>76389</v>
      </c>
      <c r="C4630">
        <v>1362</v>
      </c>
      <c r="D4630">
        <v>1</v>
      </c>
      <c r="E4630">
        <v>39.75</v>
      </c>
    </row>
    <row r="4631" spans="1:5" x14ac:dyDescent="0.3">
      <c r="A4631">
        <v>179707</v>
      </c>
      <c r="B4631">
        <v>76392</v>
      </c>
      <c r="C4631">
        <v>1362</v>
      </c>
      <c r="D4631">
        <v>1</v>
      </c>
      <c r="E4631">
        <v>39.75</v>
      </c>
    </row>
    <row r="4632" spans="1:5" x14ac:dyDescent="0.3">
      <c r="A4632">
        <v>179708</v>
      </c>
      <c r="B4632">
        <v>76393</v>
      </c>
      <c r="C4632">
        <v>1362</v>
      </c>
      <c r="D4632">
        <v>1</v>
      </c>
      <c r="E4632">
        <v>39.75</v>
      </c>
    </row>
    <row r="4633" spans="1:5" x14ac:dyDescent="0.3">
      <c r="A4633">
        <v>179711</v>
      </c>
      <c r="B4633">
        <v>76396</v>
      </c>
      <c r="C4633">
        <v>1362</v>
      </c>
      <c r="D4633">
        <v>1</v>
      </c>
      <c r="E4633">
        <v>39.75</v>
      </c>
    </row>
    <row r="4634" spans="1:5" x14ac:dyDescent="0.3">
      <c r="A4634">
        <v>179713</v>
      </c>
      <c r="B4634">
        <v>76398</v>
      </c>
      <c r="C4634">
        <v>1362</v>
      </c>
      <c r="D4634">
        <v>1</v>
      </c>
      <c r="E4634">
        <v>39.75</v>
      </c>
    </row>
    <row r="4635" spans="1:5" x14ac:dyDescent="0.3">
      <c r="A4635">
        <v>179714</v>
      </c>
      <c r="B4635">
        <v>76399</v>
      </c>
      <c r="C4635">
        <v>1362</v>
      </c>
      <c r="D4635">
        <v>1</v>
      </c>
      <c r="E4635">
        <v>39.75</v>
      </c>
    </row>
    <row r="4636" spans="1:5" x14ac:dyDescent="0.3">
      <c r="A4636">
        <v>179715</v>
      </c>
      <c r="B4636">
        <v>76400</v>
      </c>
      <c r="C4636">
        <v>1362</v>
      </c>
      <c r="D4636">
        <v>1</v>
      </c>
      <c r="E4636">
        <v>39.75</v>
      </c>
    </row>
    <row r="4637" spans="1:5" x14ac:dyDescent="0.3">
      <c r="A4637">
        <v>179716</v>
      </c>
      <c r="B4637">
        <v>76401</v>
      </c>
      <c r="C4637">
        <v>1362</v>
      </c>
      <c r="D4637">
        <v>1</v>
      </c>
      <c r="E4637">
        <v>39.75</v>
      </c>
    </row>
    <row r="4638" spans="1:5" x14ac:dyDescent="0.3">
      <c r="A4638">
        <v>179717</v>
      </c>
      <c r="B4638">
        <v>76402</v>
      </c>
      <c r="C4638">
        <v>1362</v>
      </c>
      <c r="D4638">
        <v>1</v>
      </c>
      <c r="E4638">
        <v>39.75</v>
      </c>
    </row>
    <row r="4639" spans="1:5" x14ac:dyDescent="0.3">
      <c r="A4639">
        <v>179718</v>
      </c>
      <c r="B4639">
        <v>76403</v>
      </c>
      <c r="C4639">
        <v>1362</v>
      </c>
      <c r="D4639">
        <v>1</v>
      </c>
      <c r="E4639">
        <v>39.75</v>
      </c>
    </row>
    <row r="4640" spans="1:5" x14ac:dyDescent="0.3">
      <c r="A4640">
        <v>179719</v>
      </c>
      <c r="B4640">
        <v>76404</v>
      </c>
      <c r="C4640">
        <v>1362</v>
      </c>
      <c r="D4640">
        <v>1</v>
      </c>
      <c r="E4640">
        <v>39.75</v>
      </c>
    </row>
    <row r="4641" spans="1:5" x14ac:dyDescent="0.3">
      <c r="A4641">
        <v>179720</v>
      </c>
      <c r="B4641">
        <v>76405</v>
      </c>
      <c r="C4641">
        <v>1362</v>
      </c>
      <c r="D4641">
        <v>1</v>
      </c>
      <c r="E4641">
        <v>39.75</v>
      </c>
    </row>
    <row r="4642" spans="1:5" x14ac:dyDescent="0.3">
      <c r="A4642">
        <v>179721</v>
      </c>
      <c r="B4642">
        <v>76406</v>
      </c>
      <c r="C4642">
        <v>1362</v>
      </c>
      <c r="D4642">
        <v>1</v>
      </c>
      <c r="E4642">
        <v>39.75</v>
      </c>
    </row>
    <row r="4643" spans="1:5" x14ac:dyDescent="0.3">
      <c r="A4643">
        <v>179722</v>
      </c>
      <c r="B4643">
        <v>76407</v>
      </c>
      <c r="C4643">
        <v>1362</v>
      </c>
      <c r="D4643">
        <v>1</v>
      </c>
      <c r="E4643">
        <v>39.75</v>
      </c>
    </row>
    <row r="4644" spans="1:5" x14ac:dyDescent="0.3">
      <c r="A4644">
        <v>179736</v>
      </c>
      <c r="B4644">
        <v>76421</v>
      </c>
      <c r="C4644">
        <v>1362</v>
      </c>
      <c r="D4644">
        <v>1</v>
      </c>
      <c r="E4644">
        <v>39.75</v>
      </c>
    </row>
    <row r="4645" spans="1:5" x14ac:dyDescent="0.3">
      <c r="A4645">
        <v>179737</v>
      </c>
      <c r="B4645">
        <v>76422</v>
      </c>
      <c r="C4645">
        <v>1362</v>
      </c>
      <c r="D4645">
        <v>1</v>
      </c>
      <c r="E4645">
        <v>39.75</v>
      </c>
    </row>
    <row r="4646" spans="1:5" x14ac:dyDescent="0.3">
      <c r="A4646">
        <v>179738</v>
      </c>
      <c r="B4646">
        <v>76423</v>
      </c>
      <c r="C4646">
        <v>1362</v>
      </c>
      <c r="D4646">
        <v>1</v>
      </c>
      <c r="E4646">
        <v>39.75</v>
      </c>
    </row>
    <row r="4647" spans="1:5" x14ac:dyDescent="0.3">
      <c r="A4647">
        <v>179743</v>
      </c>
      <c r="B4647">
        <v>76428</v>
      </c>
      <c r="C4647">
        <v>1362</v>
      </c>
      <c r="D4647">
        <v>1</v>
      </c>
      <c r="E4647">
        <v>39.75</v>
      </c>
    </row>
    <row r="4648" spans="1:5" x14ac:dyDescent="0.3">
      <c r="A4648">
        <v>179745</v>
      </c>
      <c r="B4648">
        <v>76430</v>
      </c>
      <c r="C4648">
        <v>1362</v>
      </c>
      <c r="D4648">
        <v>1</v>
      </c>
      <c r="E4648">
        <v>39.75</v>
      </c>
    </row>
    <row r="4649" spans="1:5" x14ac:dyDescent="0.3">
      <c r="A4649">
        <v>179746</v>
      </c>
      <c r="B4649">
        <v>76431</v>
      </c>
      <c r="C4649">
        <v>1362</v>
      </c>
      <c r="D4649">
        <v>1</v>
      </c>
      <c r="E4649">
        <v>39.75</v>
      </c>
    </row>
    <row r="4650" spans="1:5" x14ac:dyDescent="0.3">
      <c r="A4650">
        <v>179787</v>
      </c>
      <c r="B4650">
        <v>76472</v>
      </c>
      <c r="C4650">
        <v>1362</v>
      </c>
      <c r="D4650">
        <v>1</v>
      </c>
      <c r="E4650">
        <v>39.75</v>
      </c>
    </row>
    <row r="4651" spans="1:5" x14ac:dyDescent="0.3">
      <c r="A4651">
        <v>179788</v>
      </c>
      <c r="B4651">
        <v>76473</v>
      </c>
      <c r="C4651">
        <v>1362</v>
      </c>
      <c r="D4651">
        <v>1</v>
      </c>
      <c r="E4651">
        <v>39.75</v>
      </c>
    </row>
    <row r="4652" spans="1:5" x14ac:dyDescent="0.3">
      <c r="A4652">
        <v>179789</v>
      </c>
      <c r="B4652">
        <v>76474</v>
      </c>
      <c r="C4652">
        <v>1362</v>
      </c>
      <c r="D4652">
        <v>1</v>
      </c>
      <c r="E4652">
        <v>39.75</v>
      </c>
    </row>
    <row r="4653" spans="1:5" x14ac:dyDescent="0.3">
      <c r="A4653">
        <v>179807</v>
      </c>
      <c r="B4653">
        <v>76492</v>
      </c>
      <c r="C4653">
        <v>1362</v>
      </c>
      <c r="D4653">
        <v>1</v>
      </c>
      <c r="E4653">
        <v>39.75</v>
      </c>
    </row>
    <row r="4654" spans="1:5" x14ac:dyDescent="0.3">
      <c r="A4654">
        <v>179808</v>
      </c>
      <c r="B4654">
        <v>76493</v>
      </c>
      <c r="C4654">
        <v>1362</v>
      </c>
      <c r="D4654">
        <v>1</v>
      </c>
      <c r="E4654">
        <v>39.75</v>
      </c>
    </row>
    <row r="4655" spans="1:5" x14ac:dyDescent="0.3">
      <c r="A4655">
        <v>179809</v>
      </c>
      <c r="B4655">
        <v>76494</v>
      </c>
      <c r="C4655">
        <v>1362</v>
      </c>
      <c r="D4655">
        <v>1</v>
      </c>
      <c r="E4655">
        <v>39.75</v>
      </c>
    </row>
    <row r="4656" spans="1:5" x14ac:dyDescent="0.3">
      <c r="A4656">
        <v>179810</v>
      </c>
      <c r="B4656">
        <v>76495</v>
      </c>
      <c r="C4656">
        <v>1362</v>
      </c>
      <c r="D4656">
        <v>1</v>
      </c>
      <c r="E4656">
        <v>39.75</v>
      </c>
    </row>
    <row r="4657" spans="1:5" x14ac:dyDescent="0.3">
      <c r="A4657">
        <v>179811</v>
      </c>
      <c r="B4657">
        <v>76496</v>
      </c>
      <c r="C4657">
        <v>1362</v>
      </c>
      <c r="D4657">
        <v>1</v>
      </c>
      <c r="E4657">
        <v>39.75</v>
      </c>
    </row>
    <row r="4658" spans="1:5" x14ac:dyDescent="0.3">
      <c r="A4658">
        <v>179812</v>
      </c>
      <c r="B4658">
        <v>76497</v>
      </c>
      <c r="C4658">
        <v>1362</v>
      </c>
      <c r="D4658">
        <v>1</v>
      </c>
      <c r="E4658">
        <v>39.75</v>
      </c>
    </row>
    <row r="4659" spans="1:5" x14ac:dyDescent="0.3">
      <c r="A4659">
        <v>179815</v>
      </c>
      <c r="B4659">
        <v>76500</v>
      </c>
      <c r="C4659">
        <v>1362</v>
      </c>
      <c r="D4659">
        <v>1</v>
      </c>
      <c r="E4659">
        <v>39.75</v>
      </c>
    </row>
    <row r="4660" spans="1:5" x14ac:dyDescent="0.3">
      <c r="A4660">
        <v>179833</v>
      </c>
      <c r="B4660">
        <v>76518</v>
      </c>
      <c r="C4660">
        <v>1362</v>
      </c>
      <c r="D4660">
        <v>1</v>
      </c>
      <c r="E4660">
        <v>39.75</v>
      </c>
    </row>
    <row r="4661" spans="1:5" x14ac:dyDescent="0.3">
      <c r="A4661">
        <v>179848</v>
      </c>
      <c r="B4661">
        <v>76533</v>
      </c>
      <c r="C4661">
        <v>1362</v>
      </c>
      <c r="D4661">
        <v>1</v>
      </c>
      <c r="E4661">
        <v>39.75</v>
      </c>
    </row>
    <row r="4662" spans="1:5" x14ac:dyDescent="0.3">
      <c r="A4662">
        <v>179849</v>
      </c>
      <c r="B4662">
        <v>76534</v>
      </c>
      <c r="C4662">
        <v>1362</v>
      </c>
      <c r="D4662">
        <v>1</v>
      </c>
      <c r="E4662">
        <v>39.75</v>
      </c>
    </row>
    <row r="4663" spans="1:5" x14ac:dyDescent="0.3">
      <c r="A4663">
        <v>179850</v>
      </c>
      <c r="B4663">
        <v>76535</v>
      </c>
      <c r="C4663">
        <v>1362</v>
      </c>
      <c r="D4663">
        <v>1</v>
      </c>
      <c r="E4663">
        <v>39.75</v>
      </c>
    </row>
    <row r="4664" spans="1:5" x14ac:dyDescent="0.3">
      <c r="A4664">
        <v>179851</v>
      </c>
      <c r="B4664">
        <v>76536</v>
      </c>
      <c r="C4664">
        <v>1362</v>
      </c>
      <c r="D4664">
        <v>1</v>
      </c>
      <c r="E4664">
        <v>39.75</v>
      </c>
    </row>
    <row r="4665" spans="1:5" x14ac:dyDescent="0.3">
      <c r="A4665">
        <v>179852</v>
      </c>
      <c r="B4665">
        <v>76537</v>
      </c>
      <c r="C4665">
        <v>1362</v>
      </c>
      <c r="D4665">
        <v>1</v>
      </c>
      <c r="E4665">
        <v>39.75</v>
      </c>
    </row>
    <row r="4666" spans="1:5" x14ac:dyDescent="0.3">
      <c r="A4666">
        <v>179853</v>
      </c>
      <c r="B4666">
        <v>76538</v>
      </c>
      <c r="C4666">
        <v>1362</v>
      </c>
      <c r="D4666">
        <v>1</v>
      </c>
      <c r="E4666">
        <v>39.75</v>
      </c>
    </row>
    <row r="4667" spans="1:5" x14ac:dyDescent="0.3">
      <c r="A4667">
        <v>179854</v>
      </c>
      <c r="B4667">
        <v>76539</v>
      </c>
      <c r="C4667">
        <v>1362</v>
      </c>
      <c r="D4667">
        <v>1</v>
      </c>
      <c r="E4667">
        <v>39.75</v>
      </c>
    </row>
    <row r="4668" spans="1:5" x14ac:dyDescent="0.3">
      <c r="A4668">
        <v>179855</v>
      </c>
      <c r="B4668">
        <v>76540</v>
      </c>
      <c r="C4668">
        <v>1362</v>
      </c>
      <c r="D4668">
        <v>1</v>
      </c>
      <c r="E4668">
        <v>39.75</v>
      </c>
    </row>
    <row r="4669" spans="1:5" x14ac:dyDescent="0.3">
      <c r="A4669">
        <v>179881</v>
      </c>
      <c r="B4669">
        <v>76566</v>
      </c>
      <c r="C4669">
        <v>1362</v>
      </c>
      <c r="D4669">
        <v>1</v>
      </c>
      <c r="E4669">
        <v>39.75</v>
      </c>
    </row>
    <row r="4670" spans="1:5" x14ac:dyDescent="0.3">
      <c r="A4670">
        <v>179882</v>
      </c>
      <c r="B4670">
        <v>76567</v>
      </c>
      <c r="C4670">
        <v>1362</v>
      </c>
      <c r="D4670">
        <v>1</v>
      </c>
      <c r="E4670">
        <v>39.75</v>
      </c>
    </row>
    <row r="4671" spans="1:5" x14ac:dyDescent="0.3">
      <c r="A4671">
        <v>179904</v>
      </c>
      <c r="B4671">
        <v>76589</v>
      </c>
      <c r="C4671">
        <v>1362</v>
      </c>
      <c r="D4671">
        <v>1</v>
      </c>
      <c r="E4671">
        <v>39.75</v>
      </c>
    </row>
    <row r="4672" spans="1:5" x14ac:dyDescent="0.3">
      <c r="A4672">
        <v>179905</v>
      </c>
      <c r="B4672">
        <v>76590</v>
      </c>
      <c r="C4672">
        <v>1362</v>
      </c>
      <c r="D4672">
        <v>1</v>
      </c>
      <c r="E4672">
        <v>39.75</v>
      </c>
    </row>
    <row r="4673" spans="1:5" x14ac:dyDescent="0.3">
      <c r="A4673">
        <v>179906</v>
      </c>
      <c r="B4673">
        <v>76591</v>
      </c>
      <c r="C4673">
        <v>1362</v>
      </c>
      <c r="D4673">
        <v>1</v>
      </c>
      <c r="E4673">
        <v>39.75</v>
      </c>
    </row>
    <row r="4674" spans="1:5" x14ac:dyDescent="0.3">
      <c r="A4674">
        <v>179949</v>
      </c>
      <c r="B4674">
        <v>76634</v>
      </c>
      <c r="C4674">
        <v>1362</v>
      </c>
      <c r="D4674">
        <v>1</v>
      </c>
      <c r="E4674">
        <v>39.75</v>
      </c>
    </row>
    <row r="4675" spans="1:5" x14ac:dyDescent="0.3">
      <c r="A4675">
        <v>179955</v>
      </c>
      <c r="B4675">
        <v>76640</v>
      </c>
      <c r="C4675">
        <v>1362</v>
      </c>
      <c r="D4675">
        <v>1</v>
      </c>
      <c r="E4675">
        <v>39.75</v>
      </c>
    </row>
    <row r="4676" spans="1:5" x14ac:dyDescent="0.3">
      <c r="A4676">
        <v>179956</v>
      </c>
      <c r="B4676">
        <v>76641</v>
      </c>
      <c r="C4676">
        <v>1362</v>
      </c>
      <c r="D4676">
        <v>1</v>
      </c>
      <c r="E4676">
        <v>39.75</v>
      </c>
    </row>
    <row r="4677" spans="1:5" x14ac:dyDescent="0.3">
      <c r="A4677">
        <v>179957</v>
      </c>
      <c r="B4677">
        <v>76642</v>
      </c>
      <c r="C4677">
        <v>1362</v>
      </c>
      <c r="D4677">
        <v>1</v>
      </c>
      <c r="E4677">
        <v>39.75</v>
      </c>
    </row>
    <row r="4678" spans="1:5" x14ac:dyDescent="0.3">
      <c r="A4678">
        <v>179958</v>
      </c>
      <c r="B4678">
        <v>76643</v>
      </c>
      <c r="C4678">
        <v>1362</v>
      </c>
      <c r="D4678">
        <v>1</v>
      </c>
      <c r="E4678">
        <v>39.75</v>
      </c>
    </row>
    <row r="4679" spans="1:5" x14ac:dyDescent="0.3">
      <c r="A4679">
        <v>179965</v>
      </c>
      <c r="B4679">
        <v>76650</v>
      </c>
      <c r="C4679">
        <v>1362</v>
      </c>
      <c r="D4679">
        <v>1</v>
      </c>
      <c r="E4679">
        <v>39.75</v>
      </c>
    </row>
    <row r="4680" spans="1:5" x14ac:dyDescent="0.3">
      <c r="A4680">
        <v>179981</v>
      </c>
      <c r="B4680">
        <v>76666</v>
      </c>
      <c r="C4680">
        <v>1362</v>
      </c>
      <c r="D4680">
        <v>1</v>
      </c>
      <c r="E4680">
        <v>39.75</v>
      </c>
    </row>
    <row r="4681" spans="1:5" x14ac:dyDescent="0.3">
      <c r="A4681">
        <v>180003</v>
      </c>
      <c r="B4681">
        <v>76688</v>
      </c>
      <c r="C4681">
        <v>1362</v>
      </c>
      <c r="D4681">
        <v>1</v>
      </c>
      <c r="E4681">
        <v>39.75</v>
      </c>
    </row>
    <row r="4682" spans="1:5" x14ac:dyDescent="0.3">
      <c r="A4682">
        <v>180010</v>
      </c>
      <c r="B4682">
        <v>76695</v>
      </c>
      <c r="C4682">
        <v>1362</v>
      </c>
      <c r="D4682">
        <v>1</v>
      </c>
      <c r="E4682">
        <v>39.75</v>
      </c>
    </row>
    <row r="4683" spans="1:5" x14ac:dyDescent="0.3">
      <c r="A4683">
        <v>180011</v>
      </c>
      <c r="B4683">
        <v>76696</v>
      </c>
      <c r="C4683">
        <v>1362</v>
      </c>
      <c r="D4683">
        <v>1</v>
      </c>
      <c r="E4683">
        <v>39.75</v>
      </c>
    </row>
    <row r="4684" spans="1:5" x14ac:dyDescent="0.3">
      <c r="A4684">
        <v>180021</v>
      </c>
      <c r="B4684">
        <v>76706</v>
      </c>
      <c r="C4684">
        <v>1362</v>
      </c>
      <c r="D4684">
        <v>1</v>
      </c>
      <c r="E4684">
        <v>39.75</v>
      </c>
    </row>
    <row r="4685" spans="1:5" x14ac:dyDescent="0.3">
      <c r="A4685">
        <v>180022</v>
      </c>
      <c r="B4685">
        <v>76707</v>
      </c>
      <c r="C4685">
        <v>1362</v>
      </c>
      <c r="D4685">
        <v>1</v>
      </c>
      <c r="E4685">
        <v>39.75</v>
      </c>
    </row>
    <row r="4686" spans="1:5" x14ac:dyDescent="0.3">
      <c r="A4686">
        <v>180039</v>
      </c>
      <c r="B4686">
        <v>76724</v>
      </c>
      <c r="C4686">
        <v>1362</v>
      </c>
      <c r="D4686">
        <v>1</v>
      </c>
      <c r="E4686">
        <v>39.75</v>
      </c>
    </row>
    <row r="4687" spans="1:5" x14ac:dyDescent="0.3">
      <c r="A4687">
        <v>180048</v>
      </c>
      <c r="B4687">
        <v>76733</v>
      </c>
      <c r="C4687">
        <v>1362</v>
      </c>
      <c r="D4687">
        <v>1</v>
      </c>
      <c r="E4687">
        <v>39.75</v>
      </c>
    </row>
    <row r="4688" spans="1:5" x14ac:dyDescent="0.3">
      <c r="A4688">
        <v>180049</v>
      </c>
      <c r="B4688">
        <v>76734</v>
      </c>
      <c r="C4688">
        <v>1362</v>
      </c>
      <c r="D4688">
        <v>1</v>
      </c>
      <c r="E4688">
        <v>39.75</v>
      </c>
    </row>
    <row r="4689" spans="1:5" x14ac:dyDescent="0.3">
      <c r="A4689">
        <v>180050</v>
      </c>
      <c r="B4689">
        <v>76735</v>
      </c>
      <c r="C4689">
        <v>1362</v>
      </c>
      <c r="D4689">
        <v>1</v>
      </c>
      <c r="E4689">
        <v>39.75</v>
      </c>
    </row>
    <row r="4690" spans="1:5" x14ac:dyDescent="0.3">
      <c r="A4690">
        <v>180051</v>
      </c>
      <c r="B4690">
        <v>76736</v>
      </c>
      <c r="C4690">
        <v>1362</v>
      </c>
      <c r="D4690">
        <v>1</v>
      </c>
      <c r="E4690">
        <v>39.75</v>
      </c>
    </row>
    <row r="4691" spans="1:5" x14ac:dyDescent="0.3">
      <c r="A4691">
        <v>180055</v>
      </c>
      <c r="B4691">
        <v>76740</v>
      </c>
      <c r="C4691">
        <v>1362</v>
      </c>
      <c r="D4691">
        <v>1</v>
      </c>
      <c r="E4691">
        <v>39.75</v>
      </c>
    </row>
    <row r="4692" spans="1:5" x14ac:dyDescent="0.3">
      <c r="A4692">
        <v>180073</v>
      </c>
      <c r="B4692">
        <v>76758</v>
      </c>
      <c r="C4692">
        <v>1362</v>
      </c>
      <c r="D4692">
        <v>1</v>
      </c>
      <c r="E4692">
        <v>39.75</v>
      </c>
    </row>
    <row r="4693" spans="1:5" x14ac:dyDescent="0.3">
      <c r="A4693">
        <v>180074</v>
      </c>
      <c r="B4693">
        <v>76759</v>
      </c>
      <c r="C4693">
        <v>1362</v>
      </c>
      <c r="D4693">
        <v>1</v>
      </c>
      <c r="E4693">
        <v>39.75</v>
      </c>
    </row>
    <row r="4694" spans="1:5" x14ac:dyDescent="0.3">
      <c r="A4694">
        <v>180075</v>
      </c>
      <c r="B4694">
        <v>76760</v>
      </c>
      <c r="C4694">
        <v>1362</v>
      </c>
      <c r="D4694">
        <v>1</v>
      </c>
      <c r="E4694">
        <v>39.75</v>
      </c>
    </row>
    <row r="4695" spans="1:5" x14ac:dyDescent="0.3">
      <c r="A4695">
        <v>180076</v>
      </c>
      <c r="B4695">
        <v>76761</v>
      </c>
      <c r="C4695">
        <v>1362</v>
      </c>
      <c r="D4695">
        <v>1</v>
      </c>
      <c r="E4695">
        <v>39.75</v>
      </c>
    </row>
    <row r="4696" spans="1:5" x14ac:dyDescent="0.3">
      <c r="A4696">
        <v>180078</v>
      </c>
      <c r="B4696">
        <v>76763</v>
      </c>
      <c r="C4696">
        <v>1362</v>
      </c>
      <c r="D4696">
        <v>1</v>
      </c>
      <c r="E4696">
        <v>39.75</v>
      </c>
    </row>
    <row r="4697" spans="1:5" x14ac:dyDescent="0.3">
      <c r="A4697">
        <v>180079</v>
      </c>
      <c r="B4697">
        <v>76764</v>
      </c>
      <c r="C4697">
        <v>1362</v>
      </c>
      <c r="D4697">
        <v>1</v>
      </c>
      <c r="E4697">
        <v>39.75</v>
      </c>
    </row>
    <row r="4698" spans="1:5" x14ac:dyDescent="0.3">
      <c r="A4698">
        <v>180082</v>
      </c>
      <c r="B4698">
        <v>76767</v>
      </c>
      <c r="C4698">
        <v>1362</v>
      </c>
      <c r="D4698">
        <v>1</v>
      </c>
      <c r="E4698">
        <v>39.75</v>
      </c>
    </row>
    <row r="4699" spans="1:5" x14ac:dyDescent="0.3">
      <c r="A4699">
        <v>180088</v>
      </c>
      <c r="B4699">
        <v>76773</v>
      </c>
      <c r="C4699">
        <v>1362</v>
      </c>
      <c r="D4699">
        <v>1</v>
      </c>
      <c r="E4699">
        <v>39.75</v>
      </c>
    </row>
    <row r="4700" spans="1:5" x14ac:dyDescent="0.3">
      <c r="A4700">
        <v>180089</v>
      </c>
      <c r="B4700">
        <v>76774</v>
      </c>
      <c r="C4700">
        <v>1362</v>
      </c>
      <c r="D4700">
        <v>1</v>
      </c>
      <c r="E4700">
        <v>39.75</v>
      </c>
    </row>
    <row r="4701" spans="1:5" x14ac:dyDescent="0.3">
      <c r="A4701">
        <v>180090</v>
      </c>
      <c r="B4701">
        <v>76775</v>
      </c>
      <c r="C4701">
        <v>1362</v>
      </c>
      <c r="D4701">
        <v>1</v>
      </c>
      <c r="E4701">
        <v>39.75</v>
      </c>
    </row>
    <row r="4702" spans="1:5" x14ac:dyDescent="0.3">
      <c r="A4702">
        <v>180091</v>
      </c>
      <c r="B4702">
        <v>76776</v>
      </c>
      <c r="C4702">
        <v>1362</v>
      </c>
      <c r="D4702">
        <v>1</v>
      </c>
      <c r="E4702">
        <v>39.75</v>
      </c>
    </row>
    <row r="4703" spans="1:5" x14ac:dyDescent="0.3">
      <c r="A4703">
        <v>180092</v>
      </c>
      <c r="B4703">
        <v>76777</v>
      </c>
      <c r="C4703">
        <v>1362</v>
      </c>
      <c r="D4703">
        <v>1</v>
      </c>
      <c r="E4703">
        <v>39.75</v>
      </c>
    </row>
    <row r="4704" spans="1:5" x14ac:dyDescent="0.3">
      <c r="A4704">
        <v>180093</v>
      </c>
      <c r="B4704">
        <v>76778</v>
      </c>
      <c r="C4704">
        <v>1362</v>
      </c>
      <c r="D4704">
        <v>1</v>
      </c>
      <c r="E4704">
        <v>39.75</v>
      </c>
    </row>
    <row r="4705" spans="1:5" x14ac:dyDescent="0.3">
      <c r="A4705">
        <v>180094</v>
      </c>
      <c r="B4705">
        <v>76779</v>
      </c>
      <c r="C4705">
        <v>1362</v>
      </c>
      <c r="D4705">
        <v>1</v>
      </c>
      <c r="E4705">
        <v>39.75</v>
      </c>
    </row>
    <row r="4706" spans="1:5" x14ac:dyDescent="0.3">
      <c r="A4706">
        <v>180095</v>
      </c>
      <c r="B4706">
        <v>76780</v>
      </c>
      <c r="C4706">
        <v>1362</v>
      </c>
      <c r="D4706">
        <v>1</v>
      </c>
      <c r="E4706">
        <v>39.75</v>
      </c>
    </row>
    <row r="4707" spans="1:5" x14ac:dyDescent="0.3">
      <c r="A4707">
        <v>180108</v>
      </c>
      <c r="B4707">
        <v>76793</v>
      </c>
      <c r="C4707">
        <v>1362</v>
      </c>
      <c r="D4707">
        <v>1</v>
      </c>
      <c r="E4707">
        <v>39.75</v>
      </c>
    </row>
    <row r="4708" spans="1:5" x14ac:dyDescent="0.3">
      <c r="A4708">
        <v>180109</v>
      </c>
      <c r="B4708">
        <v>76794</v>
      </c>
      <c r="C4708">
        <v>1362</v>
      </c>
      <c r="D4708">
        <v>1</v>
      </c>
      <c r="E4708">
        <v>39.75</v>
      </c>
    </row>
    <row r="4709" spans="1:5" x14ac:dyDescent="0.3">
      <c r="A4709">
        <v>180110</v>
      </c>
      <c r="B4709">
        <v>76795</v>
      </c>
      <c r="C4709">
        <v>1362</v>
      </c>
      <c r="D4709">
        <v>1</v>
      </c>
      <c r="E4709">
        <v>39.75</v>
      </c>
    </row>
    <row r="4710" spans="1:5" x14ac:dyDescent="0.3">
      <c r="A4710">
        <v>180111</v>
      </c>
      <c r="B4710">
        <v>76796</v>
      </c>
      <c r="C4710">
        <v>1362</v>
      </c>
      <c r="D4710">
        <v>1</v>
      </c>
      <c r="E4710">
        <v>39.75</v>
      </c>
    </row>
    <row r="4711" spans="1:5" x14ac:dyDescent="0.3">
      <c r="A4711">
        <v>180112</v>
      </c>
      <c r="B4711">
        <v>76797</v>
      </c>
      <c r="C4711">
        <v>1362</v>
      </c>
      <c r="D4711">
        <v>1</v>
      </c>
      <c r="E4711">
        <v>39.75</v>
      </c>
    </row>
    <row r="4712" spans="1:5" x14ac:dyDescent="0.3">
      <c r="A4712">
        <v>180113</v>
      </c>
      <c r="B4712">
        <v>76798</v>
      </c>
      <c r="C4712">
        <v>1362</v>
      </c>
      <c r="D4712">
        <v>1</v>
      </c>
      <c r="E4712">
        <v>39.75</v>
      </c>
    </row>
    <row r="4713" spans="1:5" x14ac:dyDescent="0.3">
      <c r="A4713">
        <v>180114</v>
      </c>
      <c r="B4713">
        <v>76799</v>
      </c>
      <c r="C4713">
        <v>1362</v>
      </c>
      <c r="D4713">
        <v>1</v>
      </c>
      <c r="E4713">
        <v>39.75</v>
      </c>
    </row>
    <row r="4714" spans="1:5" x14ac:dyDescent="0.3">
      <c r="A4714">
        <v>180115</v>
      </c>
      <c r="B4714">
        <v>76800</v>
      </c>
      <c r="C4714">
        <v>1362</v>
      </c>
      <c r="D4714">
        <v>1</v>
      </c>
      <c r="E4714">
        <v>39.75</v>
      </c>
    </row>
    <row r="4715" spans="1:5" x14ac:dyDescent="0.3">
      <c r="A4715">
        <v>180116</v>
      </c>
      <c r="B4715">
        <v>76801</v>
      </c>
      <c r="C4715">
        <v>1362</v>
      </c>
      <c r="D4715">
        <v>1</v>
      </c>
      <c r="E4715">
        <v>39.75</v>
      </c>
    </row>
    <row r="4716" spans="1:5" x14ac:dyDescent="0.3">
      <c r="A4716">
        <v>180132</v>
      </c>
      <c r="B4716">
        <v>76817</v>
      </c>
      <c r="C4716">
        <v>1362</v>
      </c>
      <c r="D4716">
        <v>1</v>
      </c>
      <c r="E4716">
        <v>39.75</v>
      </c>
    </row>
    <row r="4717" spans="1:5" x14ac:dyDescent="0.3">
      <c r="A4717">
        <v>180133</v>
      </c>
      <c r="B4717">
        <v>76818</v>
      </c>
      <c r="C4717">
        <v>1362</v>
      </c>
      <c r="D4717">
        <v>1</v>
      </c>
      <c r="E4717">
        <v>39.75</v>
      </c>
    </row>
    <row r="4718" spans="1:5" x14ac:dyDescent="0.3">
      <c r="A4718">
        <v>180145</v>
      </c>
      <c r="B4718">
        <v>76830</v>
      </c>
      <c r="C4718">
        <v>1363</v>
      </c>
      <c r="D4718">
        <v>1</v>
      </c>
      <c r="E4718">
        <v>215.82</v>
      </c>
    </row>
    <row r="4719" spans="1:5" x14ac:dyDescent="0.3">
      <c r="A4719">
        <v>180146</v>
      </c>
      <c r="B4719">
        <v>76831</v>
      </c>
      <c r="C4719">
        <v>1363</v>
      </c>
      <c r="D4719">
        <v>1</v>
      </c>
      <c r="E4719">
        <v>215.82</v>
      </c>
    </row>
    <row r="4720" spans="1:5" x14ac:dyDescent="0.3">
      <c r="A4720">
        <v>180147</v>
      </c>
      <c r="B4720">
        <v>76832</v>
      </c>
      <c r="C4720">
        <v>1363</v>
      </c>
      <c r="D4720">
        <v>1</v>
      </c>
      <c r="E4720">
        <v>215.82</v>
      </c>
    </row>
    <row r="4721" spans="1:5" x14ac:dyDescent="0.3">
      <c r="A4721">
        <v>180148</v>
      </c>
      <c r="B4721">
        <v>76833</v>
      </c>
      <c r="C4721">
        <v>1363</v>
      </c>
      <c r="D4721">
        <v>1</v>
      </c>
      <c r="E4721">
        <v>215.82</v>
      </c>
    </row>
    <row r="4722" spans="1:5" x14ac:dyDescent="0.3">
      <c r="A4722">
        <v>180150</v>
      </c>
      <c r="B4722">
        <v>76835</v>
      </c>
      <c r="C4722">
        <v>1363</v>
      </c>
      <c r="D4722">
        <v>1</v>
      </c>
      <c r="E4722">
        <v>215.82</v>
      </c>
    </row>
    <row r="4723" spans="1:5" x14ac:dyDescent="0.3">
      <c r="A4723">
        <v>180157</v>
      </c>
      <c r="B4723">
        <v>76842</v>
      </c>
      <c r="C4723">
        <v>1363</v>
      </c>
      <c r="D4723">
        <v>1</v>
      </c>
      <c r="E4723">
        <v>215.82</v>
      </c>
    </row>
    <row r="4724" spans="1:5" x14ac:dyDescent="0.3">
      <c r="A4724">
        <v>180158</v>
      </c>
      <c r="B4724">
        <v>76843</v>
      </c>
      <c r="C4724">
        <v>1363</v>
      </c>
      <c r="D4724">
        <v>1</v>
      </c>
      <c r="E4724">
        <v>215.82</v>
      </c>
    </row>
    <row r="4725" spans="1:5" x14ac:dyDescent="0.3">
      <c r="A4725">
        <v>180159</v>
      </c>
      <c r="B4725">
        <v>76844</v>
      </c>
      <c r="C4725">
        <v>1363</v>
      </c>
      <c r="D4725">
        <v>1</v>
      </c>
      <c r="E4725">
        <v>215.82</v>
      </c>
    </row>
    <row r="4726" spans="1:5" x14ac:dyDescent="0.3">
      <c r="A4726">
        <v>180175</v>
      </c>
      <c r="B4726">
        <v>76860</v>
      </c>
      <c r="C4726">
        <v>1363</v>
      </c>
      <c r="D4726">
        <v>1</v>
      </c>
      <c r="E4726">
        <v>215.82</v>
      </c>
    </row>
    <row r="4727" spans="1:5" x14ac:dyDescent="0.3">
      <c r="A4727">
        <v>180192</v>
      </c>
      <c r="B4727">
        <v>76877</v>
      </c>
      <c r="C4727">
        <v>1363</v>
      </c>
      <c r="D4727">
        <v>1</v>
      </c>
      <c r="E4727">
        <v>215.82</v>
      </c>
    </row>
    <row r="4728" spans="1:5" x14ac:dyDescent="0.3">
      <c r="A4728">
        <v>180193</v>
      </c>
      <c r="B4728">
        <v>76878</v>
      </c>
      <c r="C4728">
        <v>1363</v>
      </c>
      <c r="D4728">
        <v>1</v>
      </c>
      <c r="E4728">
        <v>215.82</v>
      </c>
    </row>
    <row r="4729" spans="1:5" x14ac:dyDescent="0.3">
      <c r="A4729">
        <v>180194</v>
      </c>
      <c r="B4729">
        <v>76879</v>
      </c>
      <c r="C4729">
        <v>1363</v>
      </c>
      <c r="D4729">
        <v>1</v>
      </c>
      <c r="E4729">
        <v>215.82</v>
      </c>
    </row>
    <row r="4730" spans="1:5" x14ac:dyDescent="0.3">
      <c r="A4730">
        <v>180195</v>
      </c>
      <c r="B4730">
        <v>76880</v>
      </c>
      <c r="C4730">
        <v>1363</v>
      </c>
      <c r="D4730">
        <v>1</v>
      </c>
      <c r="E4730">
        <v>215.82</v>
      </c>
    </row>
    <row r="4731" spans="1:5" x14ac:dyDescent="0.3">
      <c r="A4731">
        <v>180196</v>
      </c>
      <c r="B4731">
        <v>76881</v>
      </c>
      <c r="C4731">
        <v>1363</v>
      </c>
      <c r="D4731">
        <v>1</v>
      </c>
      <c r="E4731">
        <v>215.82</v>
      </c>
    </row>
    <row r="4732" spans="1:5" x14ac:dyDescent="0.3">
      <c r="A4732">
        <v>180201</v>
      </c>
      <c r="B4732">
        <v>76886</v>
      </c>
      <c r="C4732">
        <v>1363</v>
      </c>
      <c r="D4732">
        <v>1</v>
      </c>
      <c r="E4732">
        <v>215.82</v>
      </c>
    </row>
    <row r="4733" spans="1:5" x14ac:dyDescent="0.3">
      <c r="A4733">
        <v>180202</v>
      </c>
      <c r="B4733">
        <v>76887</v>
      </c>
      <c r="C4733">
        <v>1363</v>
      </c>
      <c r="D4733">
        <v>1</v>
      </c>
      <c r="E4733">
        <v>215.82</v>
      </c>
    </row>
    <row r="4734" spans="1:5" x14ac:dyDescent="0.3">
      <c r="A4734">
        <v>180221</v>
      </c>
      <c r="B4734">
        <v>76906</v>
      </c>
      <c r="C4734">
        <v>1363</v>
      </c>
      <c r="D4734">
        <v>1</v>
      </c>
      <c r="E4734">
        <v>215.82</v>
      </c>
    </row>
    <row r="4735" spans="1:5" x14ac:dyDescent="0.3">
      <c r="A4735">
        <v>180222</v>
      </c>
      <c r="B4735">
        <v>76907</v>
      </c>
      <c r="C4735">
        <v>1363</v>
      </c>
      <c r="D4735">
        <v>1</v>
      </c>
      <c r="E4735">
        <v>215.82</v>
      </c>
    </row>
    <row r="4736" spans="1:5" x14ac:dyDescent="0.3">
      <c r="A4736">
        <v>180224</v>
      </c>
      <c r="B4736">
        <v>76909</v>
      </c>
      <c r="C4736">
        <v>1363</v>
      </c>
      <c r="D4736">
        <v>1</v>
      </c>
      <c r="E4736">
        <v>215.82</v>
      </c>
    </row>
    <row r="4737" spans="1:5" x14ac:dyDescent="0.3">
      <c r="A4737">
        <v>180225</v>
      </c>
      <c r="B4737">
        <v>76910</v>
      </c>
      <c r="C4737">
        <v>1363</v>
      </c>
      <c r="D4737">
        <v>1</v>
      </c>
      <c r="E4737">
        <v>215.82</v>
      </c>
    </row>
    <row r="4738" spans="1:5" x14ac:dyDescent="0.3">
      <c r="A4738">
        <v>180264</v>
      </c>
      <c r="B4738">
        <v>76949</v>
      </c>
      <c r="C4738">
        <v>1363</v>
      </c>
      <c r="D4738">
        <v>1</v>
      </c>
      <c r="E4738">
        <v>215.82</v>
      </c>
    </row>
    <row r="4739" spans="1:5" x14ac:dyDescent="0.3">
      <c r="A4739">
        <v>180267</v>
      </c>
      <c r="B4739">
        <v>76952</v>
      </c>
      <c r="C4739">
        <v>1363</v>
      </c>
      <c r="D4739">
        <v>1</v>
      </c>
      <c r="E4739">
        <v>215.82</v>
      </c>
    </row>
    <row r="4740" spans="1:5" x14ac:dyDescent="0.3">
      <c r="A4740">
        <v>180268</v>
      </c>
      <c r="B4740">
        <v>76953</v>
      </c>
      <c r="C4740">
        <v>1363</v>
      </c>
      <c r="D4740">
        <v>1</v>
      </c>
      <c r="E4740">
        <v>215.82</v>
      </c>
    </row>
    <row r="4741" spans="1:5" x14ac:dyDescent="0.3">
      <c r="A4741">
        <v>180269</v>
      </c>
      <c r="B4741">
        <v>76954</v>
      </c>
      <c r="C4741">
        <v>1363</v>
      </c>
      <c r="D4741">
        <v>1</v>
      </c>
      <c r="E4741">
        <v>215.82</v>
      </c>
    </row>
    <row r="4742" spans="1:5" x14ac:dyDescent="0.3">
      <c r="A4742">
        <v>180315</v>
      </c>
      <c r="B4742">
        <v>77000</v>
      </c>
      <c r="C4742">
        <v>1363</v>
      </c>
      <c r="D4742">
        <v>1</v>
      </c>
      <c r="E4742">
        <v>215.82</v>
      </c>
    </row>
    <row r="4743" spans="1:5" x14ac:dyDescent="0.3">
      <c r="A4743">
        <v>180316</v>
      </c>
      <c r="B4743">
        <v>77001</v>
      </c>
      <c r="C4743">
        <v>1363</v>
      </c>
      <c r="D4743">
        <v>1</v>
      </c>
      <c r="E4743">
        <v>215.82</v>
      </c>
    </row>
    <row r="4744" spans="1:5" x14ac:dyDescent="0.3">
      <c r="A4744">
        <v>180317</v>
      </c>
      <c r="B4744">
        <v>77002</v>
      </c>
      <c r="C4744">
        <v>1363</v>
      </c>
      <c r="D4744">
        <v>1</v>
      </c>
      <c r="E4744">
        <v>215.82</v>
      </c>
    </row>
    <row r="4745" spans="1:5" x14ac:dyDescent="0.3">
      <c r="A4745">
        <v>180328</v>
      </c>
      <c r="B4745">
        <v>77013</v>
      </c>
      <c r="C4745">
        <v>1363</v>
      </c>
      <c r="D4745">
        <v>1</v>
      </c>
      <c r="E4745">
        <v>215.82</v>
      </c>
    </row>
    <row r="4746" spans="1:5" x14ac:dyDescent="0.3">
      <c r="A4746">
        <v>180329</v>
      </c>
      <c r="B4746">
        <v>77014</v>
      </c>
      <c r="C4746">
        <v>1363</v>
      </c>
      <c r="D4746">
        <v>1</v>
      </c>
      <c r="E4746">
        <v>215.82</v>
      </c>
    </row>
    <row r="4747" spans="1:5" x14ac:dyDescent="0.3">
      <c r="A4747">
        <v>180334</v>
      </c>
      <c r="B4747">
        <v>77019</v>
      </c>
      <c r="C4747">
        <v>1363</v>
      </c>
      <c r="D4747">
        <v>1</v>
      </c>
      <c r="E4747">
        <v>215.82</v>
      </c>
    </row>
    <row r="4748" spans="1:5" x14ac:dyDescent="0.3">
      <c r="A4748">
        <v>180350</v>
      </c>
      <c r="B4748">
        <v>77035</v>
      </c>
      <c r="C4748">
        <v>1363</v>
      </c>
      <c r="D4748">
        <v>1</v>
      </c>
      <c r="E4748">
        <v>215.82</v>
      </c>
    </row>
    <row r="4749" spans="1:5" x14ac:dyDescent="0.3">
      <c r="A4749">
        <v>180351</v>
      </c>
      <c r="B4749">
        <v>77036</v>
      </c>
      <c r="C4749">
        <v>1363</v>
      </c>
      <c r="D4749">
        <v>1</v>
      </c>
      <c r="E4749">
        <v>215.82</v>
      </c>
    </row>
    <row r="4750" spans="1:5" x14ac:dyDescent="0.3">
      <c r="A4750">
        <v>180368</v>
      </c>
      <c r="B4750">
        <v>77053</v>
      </c>
      <c r="C4750">
        <v>1363</v>
      </c>
      <c r="D4750">
        <v>1</v>
      </c>
      <c r="E4750">
        <v>215.82</v>
      </c>
    </row>
    <row r="4751" spans="1:5" x14ac:dyDescent="0.3">
      <c r="A4751">
        <v>180370</v>
      </c>
      <c r="B4751">
        <v>77055</v>
      </c>
      <c r="C4751">
        <v>1363</v>
      </c>
      <c r="D4751">
        <v>1</v>
      </c>
      <c r="E4751">
        <v>215.82</v>
      </c>
    </row>
    <row r="4752" spans="1:5" x14ac:dyDescent="0.3">
      <c r="A4752">
        <v>180388</v>
      </c>
      <c r="B4752">
        <v>77073</v>
      </c>
      <c r="C4752">
        <v>1363</v>
      </c>
      <c r="D4752">
        <v>1</v>
      </c>
      <c r="E4752">
        <v>215.82</v>
      </c>
    </row>
    <row r="4753" spans="1:5" x14ac:dyDescent="0.3">
      <c r="A4753">
        <v>180389</v>
      </c>
      <c r="B4753">
        <v>77074</v>
      </c>
      <c r="C4753">
        <v>1363</v>
      </c>
      <c r="D4753">
        <v>1</v>
      </c>
      <c r="E4753">
        <v>215.82</v>
      </c>
    </row>
    <row r="4754" spans="1:5" x14ac:dyDescent="0.3">
      <c r="A4754">
        <v>180393</v>
      </c>
      <c r="B4754">
        <v>77078</v>
      </c>
      <c r="C4754">
        <v>1363</v>
      </c>
      <c r="D4754">
        <v>1</v>
      </c>
      <c r="E4754">
        <v>215.82</v>
      </c>
    </row>
    <row r="4755" spans="1:5" x14ac:dyDescent="0.3">
      <c r="A4755">
        <v>180394</v>
      </c>
      <c r="B4755">
        <v>77079</v>
      </c>
      <c r="C4755">
        <v>1363</v>
      </c>
      <c r="D4755">
        <v>1</v>
      </c>
      <c r="E4755">
        <v>215.82</v>
      </c>
    </row>
    <row r="4756" spans="1:5" x14ac:dyDescent="0.3">
      <c r="A4756">
        <v>180395</v>
      </c>
      <c r="B4756">
        <v>77080</v>
      </c>
      <c r="C4756">
        <v>1363</v>
      </c>
      <c r="D4756">
        <v>1</v>
      </c>
      <c r="E4756">
        <v>215.82</v>
      </c>
    </row>
    <row r="4757" spans="1:5" x14ac:dyDescent="0.3">
      <c r="A4757">
        <v>180398</v>
      </c>
      <c r="B4757">
        <v>77083</v>
      </c>
      <c r="C4757">
        <v>1363</v>
      </c>
      <c r="D4757">
        <v>1</v>
      </c>
      <c r="E4757">
        <v>215.82</v>
      </c>
    </row>
    <row r="4758" spans="1:5" x14ac:dyDescent="0.3">
      <c r="A4758">
        <v>180400</v>
      </c>
      <c r="B4758">
        <v>77085</v>
      </c>
      <c r="C4758">
        <v>1363</v>
      </c>
      <c r="D4758">
        <v>1</v>
      </c>
      <c r="E4758">
        <v>215.82</v>
      </c>
    </row>
    <row r="4759" spans="1:5" x14ac:dyDescent="0.3">
      <c r="A4759">
        <v>180401</v>
      </c>
      <c r="B4759">
        <v>77086</v>
      </c>
      <c r="C4759">
        <v>1363</v>
      </c>
      <c r="D4759">
        <v>1</v>
      </c>
      <c r="E4759">
        <v>215.82</v>
      </c>
    </row>
    <row r="4760" spans="1:5" x14ac:dyDescent="0.3">
      <c r="A4760">
        <v>180402</v>
      </c>
      <c r="B4760">
        <v>77087</v>
      </c>
      <c r="C4760">
        <v>1363</v>
      </c>
      <c r="D4760">
        <v>1</v>
      </c>
      <c r="E4760">
        <v>215.82</v>
      </c>
    </row>
    <row r="4761" spans="1:5" x14ac:dyDescent="0.3">
      <c r="A4761">
        <v>180403</v>
      </c>
      <c r="B4761">
        <v>77088</v>
      </c>
      <c r="C4761">
        <v>1363</v>
      </c>
      <c r="D4761">
        <v>1</v>
      </c>
      <c r="E4761">
        <v>215.82</v>
      </c>
    </row>
    <row r="4762" spans="1:5" x14ac:dyDescent="0.3">
      <c r="A4762">
        <v>180404</v>
      </c>
      <c r="B4762">
        <v>77089</v>
      </c>
      <c r="C4762">
        <v>1363</v>
      </c>
      <c r="D4762">
        <v>1</v>
      </c>
      <c r="E4762">
        <v>215.82</v>
      </c>
    </row>
    <row r="4763" spans="1:5" x14ac:dyDescent="0.3">
      <c r="A4763">
        <v>180409</v>
      </c>
      <c r="B4763">
        <v>77094</v>
      </c>
      <c r="C4763">
        <v>1363</v>
      </c>
      <c r="D4763">
        <v>1</v>
      </c>
      <c r="E4763">
        <v>215.82</v>
      </c>
    </row>
    <row r="4764" spans="1:5" x14ac:dyDescent="0.3">
      <c r="A4764">
        <v>180410</v>
      </c>
      <c r="B4764">
        <v>77095</v>
      </c>
      <c r="C4764">
        <v>1363</v>
      </c>
      <c r="D4764">
        <v>1</v>
      </c>
      <c r="E4764">
        <v>215.82</v>
      </c>
    </row>
    <row r="4765" spans="1:5" x14ac:dyDescent="0.3">
      <c r="A4765">
        <v>180411</v>
      </c>
      <c r="B4765">
        <v>77096</v>
      </c>
      <c r="C4765">
        <v>1363</v>
      </c>
      <c r="D4765">
        <v>1</v>
      </c>
      <c r="E4765">
        <v>215.82</v>
      </c>
    </row>
    <row r="4766" spans="1:5" x14ac:dyDescent="0.3">
      <c r="A4766">
        <v>180421</v>
      </c>
      <c r="B4766">
        <v>77106</v>
      </c>
      <c r="C4766">
        <v>1363</v>
      </c>
      <c r="D4766">
        <v>1</v>
      </c>
      <c r="E4766">
        <v>215.82</v>
      </c>
    </row>
    <row r="4767" spans="1:5" x14ac:dyDescent="0.3">
      <c r="A4767">
        <v>180422</v>
      </c>
      <c r="B4767">
        <v>77107</v>
      </c>
      <c r="C4767">
        <v>1363</v>
      </c>
      <c r="D4767">
        <v>1</v>
      </c>
      <c r="E4767">
        <v>215.82</v>
      </c>
    </row>
    <row r="4768" spans="1:5" x14ac:dyDescent="0.3">
      <c r="A4768">
        <v>180424</v>
      </c>
      <c r="B4768">
        <v>77109</v>
      </c>
      <c r="C4768">
        <v>1363</v>
      </c>
      <c r="D4768">
        <v>1</v>
      </c>
      <c r="E4768">
        <v>215.82</v>
      </c>
    </row>
    <row r="4769" spans="1:5" x14ac:dyDescent="0.3">
      <c r="A4769">
        <v>180429</v>
      </c>
      <c r="B4769">
        <v>77114</v>
      </c>
      <c r="C4769">
        <v>1363</v>
      </c>
      <c r="D4769">
        <v>1</v>
      </c>
      <c r="E4769">
        <v>215.82</v>
      </c>
    </row>
    <row r="4770" spans="1:5" x14ac:dyDescent="0.3">
      <c r="A4770">
        <v>180430</v>
      </c>
      <c r="B4770">
        <v>77115</v>
      </c>
      <c r="C4770">
        <v>1363</v>
      </c>
      <c r="D4770">
        <v>1</v>
      </c>
      <c r="E4770">
        <v>215.82</v>
      </c>
    </row>
    <row r="4771" spans="1:5" x14ac:dyDescent="0.3">
      <c r="A4771">
        <v>180452</v>
      </c>
      <c r="B4771">
        <v>77137</v>
      </c>
      <c r="C4771">
        <v>1363</v>
      </c>
      <c r="D4771">
        <v>1</v>
      </c>
      <c r="E4771">
        <v>215.82</v>
      </c>
    </row>
    <row r="4772" spans="1:5" x14ac:dyDescent="0.3">
      <c r="A4772">
        <v>180453</v>
      </c>
      <c r="B4772">
        <v>77138</v>
      </c>
      <c r="C4772">
        <v>1363</v>
      </c>
      <c r="D4772">
        <v>1</v>
      </c>
      <c r="E4772">
        <v>215.82</v>
      </c>
    </row>
    <row r="4773" spans="1:5" x14ac:dyDescent="0.3">
      <c r="A4773">
        <v>180454</v>
      </c>
      <c r="B4773">
        <v>77139</v>
      </c>
      <c r="C4773">
        <v>1363</v>
      </c>
      <c r="D4773">
        <v>1</v>
      </c>
      <c r="E4773">
        <v>215.82</v>
      </c>
    </row>
    <row r="4774" spans="1:5" x14ac:dyDescent="0.3">
      <c r="A4774">
        <v>180455</v>
      </c>
      <c r="B4774">
        <v>77140</v>
      </c>
      <c r="C4774">
        <v>1363</v>
      </c>
      <c r="D4774">
        <v>1</v>
      </c>
      <c r="E4774">
        <v>215.82</v>
      </c>
    </row>
    <row r="4775" spans="1:5" x14ac:dyDescent="0.3">
      <c r="A4775">
        <v>180456</v>
      </c>
      <c r="B4775">
        <v>77141</v>
      </c>
      <c r="C4775">
        <v>1363</v>
      </c>
      <c r="D4775">
        <v>1</v>
      </c>
      <c r="E4775">
        <v>215.82</v>
      </c>
    </row>
    <row r="4776" spans="1:5" x14ac:dyDescent="0.3">
      <c r="A4776">
        <v>180467</v>
      </c>
      <c r="B4776">
        <v>77152</v>
      </c>
      <c r="C4776">
        <v>1363</v>
      </c>
      <c r="D4776">
        <v>1</v>
      </c>
      <c r="E4776">
        <v>215.82</v>
      </c>
    </row>
    <row r="4777" spans="1:5" x14ac:dyDescent="0.3">
      <c r="A4777">
        <v>180468</v>
      </c>
      <c r="B4777">
        <v>77153</v>
      </c>
      <c r="C4777">
        <v>1363</v>
      </c>
      <c r="D4777">
        <v>1</v>
      </c>
      <c r="E4777">
        <v>215.82</v>
      </c>
    </row>
    <row r="4778" spans="1:5" x14ac:dyDescent="0.3">
      <c r="A4778">
        <v>180470</v>
      </c>
      <c r="B4778">
        <v>77155</v>
      </c>
      <c r="C4778">
        <v>1363</v>
      </c>
      <c r="D4778">
        <v>1</v>
      </c>
      <c r="E4778">
        <v>215.82</v>
      </c>
    </row>
    <row r="4779" spans="1:5" x14ac:dyDescent="0.3">
      <c r="A4779">
        <v>180471</v>
      </c>
      <c r="B4779">
        <v>77156</v>
      </c>
      <c r="C4779">
        <v>1363</v>
      </c>
      <c r="D4779">
        <v>1</v>
      </c>
      <c r="E4779">
        <v>215.82</v>
      </c>
    </row>
    <row r="4780" spans="1:5" x14ac:dyDescent="0.3">
      <c r="A4780">
        <v>180472</v>
      </c>
      <c r="B4780">
        <v>77157</v>
      </c>
      <c r="C4780">
        <v>1363</v>
      </c>
      <c r="D4780">
        <v>1</v>
      </c>
      <c r="E4780">
        <v>215.82</v>
      </c>
    </row>
    <row r="4781" spans="1:5" x14ac:dyDescent="0.3">
      <c r="A4781">
        <v>180479</v>
      </c>
      <c r="B4781">
        <v>77164</v>
      </c>
      <c r="C4781">
        <v>1363</v>
      </c>
      <c r="D4781">
        <v>1</v>
      </c>
      <c r="E4781">
        <v>215.82</v>
      </c>
    </row>
    <row r="4782" spans="1:5" x14ac:dyDescent="0.3">
      <c r="A4782">
        <v>180497</v>
      </c>
      <c r="B4782">
        <v>77182</v>
      </c>
      <c r="C4782">
        <v>1363</v>
      </c>
      <c r="D4782">
        <v>1</v>
      </c>
      <c r="E4782">
        <v>215.82</v>
      </c>
    </row>
    <row r="4783" spans="1:5" x14ac:dyDescent="0.3">
      <c r="A4783">
        <v>180500</v>
      </c>
      <c r="B4783">
        <v>77185</v>
      </c>
      <c r="C4783">
        <v>1363</v>
      </c>
      <c r="D4783">
        <v>1</v>
      </c>
      <c r="E4783">
        <v>215.82</v>
      </c>
    </row>
    <row r="4784" spans="1:5" x14ac:dyDescent="0.3">
      <c r="A4784">
        <v>180513</v>
      </c>
      <c r="B4784">
        <v>77198</v>
      </c>
      <c r="C4784">
        <v>1363</v>
      </c>
      <c r="D4784">
        <v>1</v>
      </c>
      <c r="E4784">
        <v>215.82</v>
      </c>
    </row>
  </sheetData>
  <autoFilter ref="A1:E4784" xr:uid="{BC3532F3-BE61-46B1-A4D3-FF35DDD37096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D222-4955-4A7E-B7A4-B764E61A4DF3}">
  <sheetPr codeName="Sheet11"/>
  <dimension ref="A1:E73"/>
  <sheetViews>
    <sheetView workbookViewId="0">
      <selection activeCell="D1" sqref="D1"/>
    </sheetView>
  </sheetViews>
  <sheetFormatPr defaultRowHeight="14.4" x14ac:dyDescent="0.3"/>
  <cols>
    <col min="1" max="1" width="10.33203125" bestFit="1" customWidth="1"/>
    <col min="2" max="2" width="42.6640625" bestFit="1" customWidth="1"/>
    <col min="3" max="3" width="11.21875" bestFit="1" customWidth="1"/>
    <col min="4" max="4" width="13.88671875" bestFit="1" customWidth="1"/>
    <col min="5" max="5" width="12.77734375" bestFit="1" customWidth="1"/>
  </cols>
  <sheetData>
    <row r="1" spans="1:5" x14ac:dyDescent="0.3">
      <c r="A1" s="5" t="s">
        <v>5721</v>
      </c>
      <c r="B1" s="5" t="s">
        <v>5713</v>
      </c>
      <c r="C1" s="5" t="s">
        <v>5714</v>
      </c>
      <c r="D1" s="5" t="s">
        <v>5715</v>
      </c>
      <c r="E1" s="5" t="s">
        <v>5723</v>
      </c>
    </row>
    <row r="2" spans="1:5" x14ac:dyDescent="0.3">
      <c r="A2">
        <v>37</v>
      </c>
      <c r="B2" t="s">
        <v>5746</v>
      </c>
      <c r="C2">
        <v>3</v>
      </c>
      <c r="D2">
        <v>2</v>
      </c>
      <c r="E2">
        <v>34.99</v>
      </c>
    </row>
    <row r="3" spans="1:5" x14ac:dyDescent="0.3">
      <c r="A3">
        <v>44</v>
      </c>
      <c r="B3" t="s">
        <v>5747</v>
      </c>
      <c r="C3">
        <v>3</v>
      </c>
      <c r="D3">
        <v>2</v>
      </c>
      <c r="E3">
        <v>59.99</v>
      </c>
    </row>
    <row r="4" spans="1:5" x14ac:dyDescent="0.3">
      <c r="A4">
        <v>93</v>
      </c>
      <c r="B4" t="s">
        <v>5748</v>
      </c>
      <c r="C4">
        <v>5</v>
      </c>
      <c r="D4">
        <v>2</v>
      </c>
      <c r="E4">
        <v>24.99</v>
      </c>
    </row>
    <row r="5" spans="1:5" x14ac:dyDescent="0.3">
      <c r="A5">
        <v>116</v>
      </c>
      <c r="B5" t="s">
        <v>5749</v>
      </c>
      <c r="C5">
        <v>6</v>
      </c>
      <c r="D5">
        <v>2</v>
      </c>
      <c r="E5">
        <v>44.99</v>
      </c>
    </row>
    <row r="6" spans="1:5" x14ac:dyDescent="0.3">
      <c r="A6">
        <v>134</v>
      </c>
      <c r="B6" t="s">
        <v>5750</v>
      </c>
      <c r="C6">
        <v>7</v>
      </c>
      <c r="D6">
        <v>2</v>
      </c>
      <c r="E6">
        <v>25</v>
      </c>
    </row>
    <row r="7" spans="1:5" x14ac:dyDescent="0.3">
      <c r="A7">
        <v>135</v>
      </c>
      <c r="B7" t="s">
        <v>490</v>
      </c>
      <c r="C7">
        <v>7</v>
      </c>
      <c r="D7">
        <v>2</v>
      </c>
      <c r="E7">
        <v>22</v>
      </c>
    </row>
    <row r="8" spans="1:5" x14ac:dyDescent="0.3">
      <c r="A8">
        <v>172</v>
      </c>
      <c r="B8" t="s">
        <v>5751</v>
      </c>
      <c r="C8">
        <v>9</v>
      </c>
      <c r="D8">
        <v>3</v>
      </c>
      <c r="E8">
        <v>30</v>
      </c>
    </row>
    <row r="9" spans="1:5" x14ac:dyDescent="0.3">
      <c r="A9">
        <v>191</v>
      </c>
      <c r="B9" t="s">
        <v>5752</v>
      </c>
      <c r="C9">
        <v>9</v>
      </c>
      <c r="D9">
        <v>3</v>
      </c>
      <c r="E9">
        <v>99.99</v>
      </c>
    </row>
    <row r="10" spans="1:5" x14ac:dyDescent="0.3">
      <c r="A10">
        <v>235</v>
      </c>
      <c r="B10" t="s">
        <v>1570</v>
      </c>
      <c r="C10">
        <v>11</v>
      </c>
      <c r="D10">
        <v>3</v>
      </c>
      <c r="E10">
        <v>34.99</v>
      </c>
    </row>
    <row r="11" spans="1:5" x14ac:dyDescent="0.3">
      <c r="A11">
        <v>249</v>
      </c>
      <c r="B11" t="s">
        <v>5753</v>
      </c>
      <c r="C11">
        <v>12</v>
      </c>
      <c r="D11">
        <v>3</v>
      </c>
      <c r="E11">
        <v>54.97</v>
      </c>
    </row>
    <row r="12" spans="1:5" x14ac:dyDescent="0.3">
      <c r="A12">
        <v>273</v>
      </c>
      <c r="B12" t="s">
        <v>5754</v>
      </c>
      <c r="C12">
        <v>13</v>
      </c>
      <c r="D12">
        <v>3</v>
      </c>
      <c r="E12">
        <v>27.99</v>
      </c>
    </row>
    <row r="13" spans="1:5" x14ac:dyDescent="0.3">
      <c r="A13">
        <v>276</v>
      </c>
      <c r="B13" t="s">
        <v>5755</v>
      </c>
      <c r="C13">
        <v>13</v>
      </c>
      <c r="D13">
        <v>3</v>
      </c>
      <c r="E13">
        <v>31.99</v>
      </c>
    </row>
    <row r="14" spans="1:5" x14ac:dyDescent="0.3">
      <c r="A14">
        <v>278</v>
      </c>
      <c r="B14" t="s">
        <v>5756</v>
      </c>
      <c r="C14">
        <v>13</v>
      </c>
      <c r="D14">
        <v>3</v>
      </c>
      <c r="E14">
        <v>44.99</v>
      </c>
    </row>
    <row r="15" spans="1:5" x14ac:dyDescent="0.3">
      <c r="A15">
        <v>282</v>
      </c>
      <c r="B15" t="s">
        <v>5757</v>
      </c>
      <c r="C15">
        <v>13</v>
      </c>
      <c r="D15">
        <v>3</v>
      </c>
      <c r="E15">
        <v>31.99</v>
      </c>
    </row>
    <row r="16" spans="1:5" x14ac:dyDescent="0.3">
      <c r="A16">
        <v>365</v>
      </c>
      <c r="B16" t="s">
        <v>100</v>
      </c>
      <c r="C16">
        <v>17</v>
      </c>
      <c r="D16">
        <v>4</v>
      </c>
      <c r="E16">
        <v>59.99</v>
      </c>
    </row>
    <row r="17" spans="1:5" x14ac:dyDescent="0.3">
      <c r="A17">
        <v>403</v>
      </c>
      <c r="B17" t="s">
        <v>5758</v>
      </c>
      <c r="C17">
        <v>18</v>
      </c>
      <c r="D17">
        <v>4</v>
      </c>
      <c r="E17">
        <v>129.99</v>
      </c>
    </row>
    <row r="18" spans="1:5" x14ac:dyDescent="0.3">
      <c r="A18">
        <v>502</v>
      </c>
      <c r="B18" t="s">
        <v>5759</v>
      </c>
      <c r="C18">
        <v>24</v>
      </c>
      <c r="D18">
        <v>5</v>
      </c>
      <c r="E18">
        <v>50</v>
      </c>
    </row>
    <row r="19" spans="1:5" x14ac:dyDescent="0.3">
      <c r="A19">
        <v>564</v>
      </c>
      <c r="B19" t="s">
        <v>5760</v>
      </c>
      <c r="C19">
        <v>26</v>
      </c>
      <c r="D19">
        <v>5</v>
      </c>
      <c r="E19">
        <v>30</v>
      </c>
    </row>
    <row r="20" spans="1:5" x14ac:dyDescent="0.3">
      <c r="A20">
        <v>565</v>
      </c>
      <c r="B20" t="s">
        <v>1105</v>
      </c>
      <c r="C20">
        <v>26</v>
      </c>
      <c r="D20">
        <v>5</v>
      </c>
      <c r="E20">
        <v>70</v>
      </c>
    </row>
    <row r="21" spans="1:5" x14ac:dyDescent="0.3">
      <c r="A21">
        <v>567</v>
      </c>
      <c r="B21" t="s">
        <v>5761</v>
      </c>
      <c r="C21">
        <v>26</v>
      </c>
      <c r="D21">
        <v>5</v>
      </c>
      <c r="E21">
        <v>25</v>
      </c>
    </row>
    <row r="22" spans="1:5" x14ac:dyDescent="0.3">
      <c r="A22">
        <v>572</v>
      </c>
      <c r="B22" t="s">
        <v>5762</v>
      </c>
      <c r="C22">
        <v>26</v>
      </c>
      <c r="D22">
        <v>5</v>
      </c>
      <c r="E22">
        <v>39.99</v>
      </c>
    </row>
    <row r="23" spans="1:5" x14ac:dyDescent="0.3">
      <c r="A23">
        <v>627</v>
      </c>
      <c r="B23" t="s">
        <v>5763</v>
      </c>
      <c r="C23">
        <v>29</v>
      </c>
      <c r="D23">
        <v>5</v>
      </c>
      <c r="E23">
        <v>39.99</v>
      </c>
    </row>
    <row r="24" spans="1:5" x14ac:dyDescent="0.3">
      <c r="A24">
        <v>642</v>
      </c>
      <c r="B24" t="s">
        <v>5764</v>
      </c>
      <c r="C24">
        <v>29</v>
      </c>
      <c r="D24">
        <v>5</v>
      </c>
      <c r="E24">
        <v>30</v>
      </c>
    </row>
    <row r="25" spans="1:5" x14ac:dyDescent="0.3">
      <c r="A25">
        <v>703</v>
      </c>
      <c r="B25" t="s">
        <v>5765</v>
      </c>
      <c r="C25">
        <v>32</v>
      </c>
      <c r="D25">
        <v>6</v>
      </c>
      <c r="E25">
        <v>19.989999999999998</v>
      </c>
    </row>
    <row r="26" spans="1:5" x14ac:dyDescent="0.3">
      <c r="A26">
        <v>728</v>
      </c>
      <c r="B26" t="s">
        <v>5766</v>
      </c>
      <c r="C26">
        <v>33</v>
      </c>
      <c r="D26">
        <v>6</v>
      </c>
      <c r="E26">
        <v>65</v>
      </c>
    </row>
    <row r="27" spans="1:5" x14ac:dyDescent="0.3">
      <c r="A27">
        <v>771</v>
      </c>
      <c r="B27" t="s">
        <v>1781</v>
      </c>
      <c r="C27">
        <v>35</v>
      </c>
      <c r="D27">
        <v>6</v>
      </c>
      <c r="E27">
        <v>39.99</v>
      </c>
    </row>
    <row r="28" spans="1:5" x14ac:dyDescent="0.3">
      <c r="A28">
        <v>775</v>
      </c>
      <c r="B28" t="s">
        <v>1776</v>
      </c>
      <c r="C28">
        <v>35</v>
      </c>
      <c r="D28">
        <v>6</v>
      </c>
      <c r="E28">
        <v>9.99</v>
      </c>
    </row>
    <row r="29" spans="1:5" x14ac:dyDescent="0.3">
      <c r="A29">
        <v>778</v>
      </c>
      <c r="B29" t="s">
        <v>1764</v>
      </c>
      <c r="C29">
        <v>35</v>
      </c>
      <c r="D29">
        <v>6</v>
      </c>
      <c r="E29">
        <v>24.99</v>
      </c>
    </row>
    <row r="30" spans="1:5" x14ac:dyDescent="0.3">
      <c r="A30">
        <v>792</v>
      </c>
      <c r="B30" t="s">
        <v>5767</v>
      </c>
      <c r="C30">
        <v>36</v>
      </c>
      <c r="D30">
        <v>6</v>
      </c>
      <c r="E30">
        <v>14.99</v>
      </c>
    </row>
    <row r="31" spans="1:5" x14ac:dyDescent="0.3">
      <c r="A31">
        <v>793</v>
      </c>
      <c r="B31" t="s">
        <v>5768</v>
      </c>
      <c r="C31">
        <v>36</v>
      </c>
      <c r="D31">
        <v>6</v>
      </c>
      <c r="E31">
        <v>14.99</v>
      </c>
    </row>
    <row r="32" spans="1:5" x14ac:dyDescent="0.3">
      <c r="A32">
        <v>797</v>
      </c>
      <c r="B32" t="s">
        <v>5769</v>
      </c>
      <c r="C32">
        <v>36</v>
      </c>
      <c r="D32">
        <v>6</v>
      </c>
      <c r="E32">
        <v>17.989999999999998</v>
      </c>
    </row>
    <row r="33" spans="1:5" x14ac:dyDescent="0.3">
      <c r="A33">
        <v>804</v>
      </c>
      <c r="B33" t="s">
        <v>5770</v>
      </c>
      <c r="C33">
        <v>36</v>
      </c>
      <c r="D33">
        <v>6</v>
      </c>
      <c r="E33">
        <v>19.989999999999998</v>
      </c>
    </row>
    <row r="34" spans="1:5" x14ac:dyDescent="0.3">
      <c r="A34">
        <v>810</v>
      </c>
      <c r="B34" t="s">
        <v>5771</v>
      </c>
      <c r="C34">
        <v>36</v>
      </c>
      <c r="D34">
        <v>6</v>
      </c>
      <c r="E34">
        <v>19.989999999999998</v>
      </c>
    </row>
    <row r="35" spans="1:5" x14ac:dyDescent="0.3">
      <c r="A35">
        <v>818</v>
      </c>
      <c r="B35" t="s">
        <v>292</v>
      </c>
      <c r="C35">
        <v>37</v>
      </c>
      <c r="D35">
        <v>6</v>
      </c>
      <c r="E35">
        <v>47.99</v>
      </c>
    </row>
    <row r="36" spans="1:5" x14ac:dyDescent="0.3">
      <c r="A36">
        <v>821</v>
      </c>
      <c r="B36" t="s">
        <v>1028</v>
      </c>
      <c r="C36">
        <v>37</v>
      </c>
      <c r="D36">
        <v>6</v>
      </c>
      <c r="E36">
        <v>51.99</v>
      </c>
    </row>
    <row r="37" spans="1:5" x14ac:dyDescent="0.3">
      <c r="A37">
        <v>822</v>
      </c>
      <c r="B37" t="s">
        <v>721</v>
      </c>
      <c r="C37">
        <v>37</v>
      </c>
      <c r="D37">
        <v>6</v>
      </c>
      <c r="E37">
        <v>47.99</v>
      </c>
    </row>
    <row r="38" spans="1:5" x14ac:dyDescent="0.3">
      <c r="A38">
        <v>823</v>
      </c>
      <c r="B38" t="s">
        <v>480</v>
      </c>
      <c r="C38">
        <v>37</v>
      </c>
      <c r="D38">
        <v>6</v>
      </c>
      <c r="E38">
        <v>51.99</v>
      </c>
    </row>
    <row r="39" spans="1:5" x14ac:dyDescent="0.3">
      <c r="A39">
        <v>825</v>
      </c>
      <c r="B39" t="s">
        <v>722</v>
      </c>
      <c r="C39">
        <v>37</v>
      </c>
      <c r="D39">
        <v>6</v>
      </c>
      <c r="E39">
        <v>31.99</v>
      </c>
    </row>
    <row r="40" spans="1:5" x14ac:dyDescent="0.3">
      <c r="A40">
        <v>828</v>
      </c>
      <c r="B40" t="s">
        <v>923</v>
      </c>
      <c r="C40">
        <v>37</v>
      </c>
      <c r="D40">
        <v>6</v>
      </c>
      <c r="E40">
        <v>31.99</v>
      </c>
    </row>
    <row r="41" spans="1:5" x14ac:dyDescent="0.3">
      <c r="A41">
        <v>835</v>
      </c>
      <c r="B41" t="s">
        <v>1125</v>
      </c>
      <c r="C41">
        <v>37</v>
      </c>
      <c r="D41">
        <v>6</v>
      </c>
      <c r="E41">
        <v>31.99</v>
      </c>
    </row>
    <row r="42" spans="1:5" x14ac:dyDescent="0.3">
      <c r="A42">
        <v>885</v>
      </c>
      <c r="B42" t="s">
        <v>845</v>
      </c>
      <c r="C42">
        <v>40</v>
      </c>
      <c r="D42">
        <v>6</v>
      </c>
      <c r="E42">
        <v>24.99</v>
      </c>
    </row>
    <row r="43" spans="1:5" x14ac:dyDescent="0.3">
      <c r="A43">
        <v>886</v>
      </c>
      <c r="B43" t="s">
        <v>1589</v>
      </c>
      <c r="C43">
        <v>40</v>
      </c>
      <c r="D43">
        <v>6</v>
      </c>
      <c r="E43">
        <v>24.99</v>
      </c>
    </row>
    <row r="44" spans="1:5" x14ac:dyDescent="0.3">
      <c r="A44">
        <v>893</v>
      </c>
      <c r="B44" t="s">
        <v>919</v>
      </c>
      <c r="C44">
        <v>40</v>
      </c>
      <c r="D44">
        <v>6</v>
      </c>
      <c r="E44">
        <v>24.99</v>
      </c>
    </row>
    <row r="45" spans="1:5" x14ac:dyDescent="0.3">
      <c r="A45">
        <v>897</v>
      </c>
      <c r="B45" t="s">
        <v>1199</v>
      </c>
      <c r="C45">
        <v>40</v>
      </c>
      <c r="D45">
        <v>6</v>
      </c>
      <c r="E45">
        <v>24.99</v>
      </c>
    </row>
    <row r="46" spans="1:5" x14ac:dyDescent="0.3">
      <c r="A46">
        <v>905</v>
      </c>
      <c r="B46" t="s">
        <v>1614</v>
      </c>
      <c r="C46">
        <v>40</v>
      </c>
      <c r="D46">
        <v>6</v>
      </c>
      <c r="E46">
        <v>24.99</v>
      </c>
    </row>
    <row r="47" spans="1:5" x14ac:dyDescent="0.3">
      <c r="A47">
        <v>906</v>
      </c>
      <c r="B47" t="s">
        <v>1090</v>
      </c>
      <c r="C47">
        <v>40</v>
      </c>
      <c r="D47">
        <v>6</v>
      </c>
      <c r="E47">
        <v>24.99</v>
      </c>
    </row>
    <row r="48" spans="1:5" x14ac:dyDescent="0.3">
      <c r="A48">
        <v>917</v>
      </c>
      <c r="B48" t="s">
        <v>5772</v>
      </c>
      <c r="C48">
        <v>41</v>
      </c>
      <c r="D48">
        <v>6</v>
      </c>
      <c r="E48">
        <v>21.99</v>
      </c>
    </row>
    <row r="49" spans="1:5" x14ac:dyDescent="0.3">
      <c r="A49">
        <v>924</v>
      </c>
      <c r="B49" t="s">
        <v>228</v>
      </c>
      <c r="C49">
        <v>41</v>
      </c>
      <c r="D49">
        <v>6</v>
      </c>
      <c r="E49">
        <v>15.99</v>
      </c>
    </row>
    <row r="50" spans="1:5" x14ac:dyDescent="0.3">
      <c r="A50">
        <v>926</v>
      </c>
      <c r="B50" t="s">
        <v>432</v>
      </c>
      <c r="C50">
        <v>41</v>
      </c>
      <c r="D50">
        <v>6</v>
      </c>
      <c r="E50">
        <v>15.99</v>
      </c>
    </row>
    <row r="51" spans="1:5" x14ac:dyDescent="0.3">
      <c r="A51">
        <v>957</v>
      </c>
      <c r="B51" t="s">
        <v>5773</v>
      </c>
      <c r="C51">
        <v>43</v>
      </c>
      <c r="D51">
        <v>7</v>
      </c>
      <c r="E51">
        <v>299.98</v>
      </c>
    </row>
    <row r="52" spans="1:5" x14ac:dyDescent="0.3">
      <c r="A52">
        <v>977</v>
      </c>
      <c r="B52" t="s">
        <v>2174</v>
      </c>
      <c r="C52">
        <v>44</v>
      </c>
      <c r="D52">
        <v>7</v>
      </c>
      <c r="E52">
        <v>29.99</v>
      </c>
    </row>
    <row r="53" spans="1:5" x14ac:dyDescent="0.3">
      <c r="A53">
        <v>1004</v>
      </c>
      <c r="B53" t="s">
        <v>587</v>
      </c>
      <c r="C53">
        <v>45</v>
      </c>
      <c r="D53">
        <v>7</v>
      </c>
      <c r="E53">
        <v>399.98</v>
      </c>
    </row>
    <row r="54" spans="1:5" x14ac:dyDescent="0.3">
      <c r="A54">
        <v>1014</v>
      </c>
      <c r="B54" t="s">
        <v>5774</v>
      </c>
      <c r="C54">
        <v>46</v>
      </c>
      <c r="D54">
        <v>7</v>
      </c>
      <c r="E54">
        <v>49.98</v>
      </c>
    </row>
    <row r="55" spans="1:5" x14ac:dyDescent="0.3">
      <c r="A55">
        <v>1073</v>
      </c>
      <c r="B55" t="s">
        <v>2662</v>
      </c>
      <c r="C55">
        <v>48</v>
      </c>
      <c r="D55">
        <v>7</v>
      </c>
      <c r="E55">
        <v>199.99</v>
      </c>
    </row>
    <row r="56" spans="1:5" x14ac:dyDescent="0.3">
      <c r="A56">
        <v>1346</v>
      </c>
      <c r="B56" t="s">
        <v>652</v>
      </c>
      <c r="C56">
        <v>59</v>
      </c>
      <c r="D56">
        <v>8</v>
      </c>
      <c r="E56">
        <v>31.08</v>
      </c>
    </row>
    <row r="57" spans="1:5" x14ac:dyDescent="0.3">
      <c r="A57">
        <v>1347</v>
      </c>
      <c r="B57" t="s">
        <v>276</v>
      </c>
      <c r="C57">
        <v>60</v>
      </c>
      <c r="D57">
        <v>4</v>
      </c>
      <c r="E57">
        <v>59.08</v>
      </c>
    </row>
    <row r="58" spans="1:5" x14ac:dyDescent="0.3">
      <c r="A58">
        <v>1348</v>
      </c>
      <c r="B58" t="s">
        <v>908</v>
      </c>
      <c r="C58">
        <v>61</v>
      </c>
      <c r="D58">
        <v>9</v>
      </c>
      <c r="E58">
        <v>11.29</v>
      </c>
    </row>
    <row r="59" spans="1:5" x14ac:dyDescent="0.3">
      <c r="A59">
        <v>1349</v>
      </c>
      <c r="B59" t="s">
        <v>818</v>
      </c>
      <c r="C59">
        <v>62</v>
      </c>
      <c r="D59">
        <v>10</v>
      </c>
      <c r="E59">
        <v>452.04</v>
      </c>
    </row>
    <row r="60" spans="1:5" x14ac:dyDescent="0.3">
      <c r="A60">
        <v>1350</v>
      </c>
      <c r="B60" t="s">
        <v>5775</v>
      </c>
      <c r="C60">
        <v>63</v>
      </c>
      <c r="D60">
        <v>4</v>
      </c>
      <c r="E60">
        <v>357.1</v>
      </c>
    </row>
    <row r="61" spans="1:5" x14ac:dyDescent="0.3">
      <c r="A61">
        <v>1351</v>
      </c>
      <c r="B61" t="s">
        <v>547</v>
      </c>
      <c r="C61">
        <v>64</v>
      </c>
      <c r="D61">
        <v>10</v>
      </c>
      <c r="E61">
        <v>1500</v>
      </c>
    </row>
    <row r="62" spans="1:5" x14ac:dyDescent="0.3">
      <c r="A62">
        <v>1352</v>
      </c>
      <c r="B62" t="s">
        <v>1240</v>
      </c>
      <c r="C62">
        <v>65</v>
      </c>
      <c r="D62">
        <v>10</v>
      </c>
      <c r="E62">
        <v>252.88</v>
      </c>
    </row>
    <row r="63" spans="1:5" x14ac:dyDescent="0.3">
      <c r="A63">
        <v>1353</v>
      </c>
      <c r="B63" t="s">
        <v>828</v>
      </c>
      <c r="C63">
        <v>66</v>
      </c>
      <c r="D63">
        <v>4</v>
      </c>
      <c r="E63">
        <v>461.48</v>
      </c>
    </row>
    <row r="64" spans="1:5" x14ac:dyDescent="0.3">
      <c r="A64">
        <v>1354</v>
      </c>
      <c r="B64" t="s">
        <v>694</v>
      </c>
      <c r="C64">
        <v>67</v>
      </c>
      <c r="D64">
        <v>9</v>
      </c>
      <c r="E64">
        <v>164.38</v>
      </c>
    </row>
    <row r="65" spans="1:5" x14ac:dyDescent="0.3">
      <c r="A65">
        <v>1355</v>
      </c>
      <c r="B65" t="s">
        <v>470</v>
      </c>
      <c r="C65">
        <v>68</v>
      </c>
      <c r="D65">
        <v>6</v>
      </c>
      <c r="E65">
        <v>532.58000000000004</v>
      </c>
    </row>
    <row r="66" spans="1:5" x14ac:dyDescent="0.3">
      <c r="A66">
        <v>1356</v>
      </c>
      <c r="B66" t="s">
        <v>519</v>
      </c>
      <c r="C66">
        <v>69</v>
      </c>
      <c r="D66">
        <v>12</v>
      </c>
      <c r="E66">
        <v>293.04000000000002</v>
      </c>
    </row>
    <row r="67" spans="1:5" x14ac:dyDescent="0.3">
      <c r="A67">
        <v>1357</v>
      </c>
      <c r="B67" t="s">
        <v>5776</v>
      </c>
      <c r="C67">
        <v>70</v>
      </c>
      <c r="D67">
        <v>4</v>
      </c>
      <c r="E67">
        <v>210.85</v>
      </c>
    </row>
    <row r="68" spans="1:5" x14ac:dyDescent="0.3">
      <c r="A68">
        <v>1358</v>
      </c>
      <c r="B68" t="s">
        <v>614</v>
      </c>
      <c r="C68">
        <v>71</v>
      </c>
      <c r="D68">
        <v>9</v>
      </c>
      <c r="E68">
        <v>260.64999999999998</v>
      </c>
    </row>
    <row r="69" spans="1:5" x14ac:dyDescent="0.3">
      <c r="A69">
        <v>1359</v>
      </c>
      <c r="B69" t="s">
        <v>553</v>
      </c>
      <c r="C69">
        <v>72</v>
      </c>
      <c r="D69">
        <v>11</v>
      </c>
      <c r="E69">
        <v>84.4</v>
      </c>
    </row>
    <row r="70" spans="1:5" x14ac:dyDescent="0.3">
      <c r="A70">
        <v>1360</v>
      </c>
      <c r="B70" t="s">
        <v>15</v>
      </c>
      <c r="C70">
        <v>73</v>
      </c>
      <c r="D70">
        <v>2</v>
      </c>
      <c r="E70">
        <v>327.75</v>
      </c>
    </row>
    <row r="71" spans="1:5" x14ac:dyDescent="0.3">
      <c r="A71">
        <v>1361</v>
      </c>
      <c r="B71" t="s">
        <v>2321</v>
      </c>
      <c r="C71">
        <v>74</v>
      </c>
      <c r="D71">
        <v>7</v>
      </c>
      <c r="E71">
        <v>11.54</v>
      </c>
    </row>
    <row r="72" spans="1:5" x14ac:dyDescent="0.3">
      <c r="A72">
        <v>1362</v>
      </c>
      <c r="B72" t="s">
        <v>608</v>
      </c>
      <c r="C72">
        <v>75</v>
      </c>
      <c r="D72">
        <v>9</v>
      </c>
      <c r="E72">
        <v>39.75</v>
      </c>
    </row>
    <row r="73" spans="1:5" x14ac:dyDescent="0.3">
      <c r="A73">
        <v>1363</v>
      </c>
      <c r="B73" t="s">
        <v>125</v>
      </c>
      <c r="C73">
        <v>76</v>
      </c>
      <c r="D73">
        <v>4</v>
      </c>
      <c r="E73">
        <v>215.82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3904-F6E2-46DE-BF34-5E5B3C7AA431}">
  <sheetPr codeName="Sheet12"/>
  <dimension ref="A1:H4462"/>
  <sheetViews>
    <sheetView workbookViewId="0">
      <selection activeCell="E15" sqref="E15"/>
    </sheetView>
  </sheetViews>
  <sheetFormatPr defaultRowHeight="14.4" x14ac:dyDescent="0.3"/>
  <cols>
    <col min="1" max="1" width="11.21875" bestFit="1" customWidth="1"/>
    <col min="2" max="2" width="17.44140625" bestFit="1" customWidth="1"/>
    <col min="3" max="4" width="14.88671875" bestFit="1" customWidth="1"/>
    <col min="5" max="5" width="16.44140625" bestFit="1" customWidth="1"/>
    <col min="6" max="6" width="13.6640625" bestFit="1" customWidth="1"/>
    <col min="7" max="7" width="27.88671875" bestFit="1" customWidth="1"/>
    <col min="8" max="8" width="15.77734375" bestFit="1" customWidth="1"/>
  </cols>
  <sheetData>
    <row r="1" spans="1:8" x14ac:dyDescent="0.3">
      <c r="A1" s="1" t="s">
        <v>5693</v>
      </c>
      <c r="B1" s="1" t="s">
        <v>5688</v>
      </c>
      <c r="C1" s="1" t="s">
        <v>5725</v>
      </c>
      <c r="D1" s="1" t="s">
        <v>5724</v>
      </c>
      <c r="E1" s="1" t="s">
        <v>5689</v>
      </c>
      <c r="F1" s="1" t="s">
        <v>5690</v>
      </c>
      <c r="G1" s="1" t="s">
        <v>5691</v>
      </c>
      <c r="H1" s="1" t="s">
        <v>5692</v>
      </c>
    </row>
    <row r="2" spans="1:8" x14ac:dyDescent="0.3">
      <c r="A2">
        <v>1</v>
      </c>
      <c r="B2" t="s">
        <v>267</v>
      </c>
      <c r="C2" t="s">
        <v>491</v>
      </c>
      <c r="D2" t="s">
        <v>974</v>
      </c>
      <c r="E2" t="s">
        <v>8</v>
      </c>
      <c r="F2" t="s">
        <v>114</v>
      </c>
      <c r="G2" t="s">
        <v>975</v>
      </c>
      <c r="H2" s="7">
        <v>78521</v>
      </c>
    </row>
    <row r="3" spans="1:8" x14ac:dyDescent="0.3">
      <c r="A3">
        <v>8</v>
      </c>
      <c r="B3" t="s">
        <v>1166</v>
      </c>
      <c r="C3" t="s">
        <v>841</v>
      </c>
      <c r="D3" t="s">
        <v>107</v>
      </c>
      <c r="E3" t="s">
        <v>27</v>
      </c>
      <c r="F3" t="s">
        <v>36</v>
      </c>
      <c r="G3" t="s">
        <v>4111</v>
      </c>
      <c r="H3" s="7">
        <v>1841</v>
      </c>
    </row>
    <row r="4" spans="1:8" x14ac:dyDescent="0.3">
      <c r="A4">
        <v>16</v>
      </c>
      <c r="B4" t="s">
        <v>5</v>
      </c>
      <c r="C4" t="s">
        <v>2674</v>
      </c>
      <c r="D4" t="s">
        <v>107</v>
      </c>
      <c r="E4" t="s">
        <v>27</v>
      </c>
      <c r="F4" t="s">
        <v>9</v>
      </c>
      <c r="G4" t="s">
        <v>4644</v>
      </c>
      <c r="H4" s="7">
        <v>725</v>
      </c>
    </row>
    <row r="5" spans="1:8" x14ac:dyDescent="0.3">
      <c r="A5">
        <v>17</v>
      </c>
      <c r="B5" t="s">
        <v>842</v>
      </c>
      <c r="C5" t="s">
        <v>93</v>
      </c>
      <c r="D5" t="s">
        <v>1812</v>
      </c>
      <c r="E5" t="s">
        <v>8</v>
      </c>
      <c r="F5" t="s">
        <v>381</v>
      </c>
      <c r="G5" t="s">
        <v>2360</v>
      </c>
      <c r="H5" s="7">
        <v>48180</v>
      </c>
    </row>
    <row r="6" spans="1:8" x14ac:dyDescent="0.3">
      <c r="A6">
        <v>20</v>
      </c>
      <c r="B6" t="s">
        <v>759</v>
      </c>
      <c r="C6" t="s">
        <v>93</v>
      </c>
      <c r="D6" t="s">
        <v>2760</v>
      </c>
      <c r="E6" t="s">
        <v>8</v>
      </c>
      <c r="F6" t="s">
        <v>308</v>
      </c>
      <c r="G6" t="s">
        <v>4037</v>
      </c>
      <c r="H6" s="7">
        <v>7093</v>
      </c>
    </row>
    <row r="7" spans="1:8" x14ac:dyDescent="0.3">
      <c r="A7">
        <v>24</v>
      </c>
      <c r="B7" t="s">
        <v>5</v>
      </c>
      <c r="C7" t="s">
        <v>93</v>
      </c>
      <c r="D7" t="s">
        <v>107</v>
      </c>
      <c r="E7" t="s">
        <v>95</v>
      </c>
      <c r="F7" t="s">
        <v>9</v>
      </c>
      <c r="G7" t="s">
        <v>1734</v>
      </c>
      <c r="H7" s="7">
        <v>725</v>
      </c>
    </row>
    <row r="8" spans="1:8" x14ac:dyDescent="0.3">
      <c r="A8">
        <v>27</v>
      </c>
      <c r="B8" t="s">
        <v>5</v>
      </c>
      <c r="C8" t="s">
        <v>93</v>
      </c>
      <c r="D8" t="s">
        <v>437</v>
      </c>
      <c r="E8" t="s">
        <v>8</v>
      </c>
      <c r="F8" t="s">
        <v>9</v>
      </c>
      <c r="G8" t="s">
        <v>4060</v>
      </c>
      <c r="H8" s="7">
        <v>725</v>
      </c>
    </row>
    <row r="9" spans="1:8" x14ac:dyDescent="0.3">
      <c r="A9">
        <v>31</v>
      </c>
      <c r="B9" t="s">
        <v>1635</v>
      </c>
      <c r="C9" t="s">
        <v>93</v>
      </c>
      <c r="D9" t="s">
        <v>3757</v>
      </c>
      <c r="E9" t="s">
        <v>8</v>
      </c>
      <c r="F9" t="s">
        <v>1177</v>
      </c>
      <c r="G9" t="s">
        <v>1847</v>
      </c>
      <c r="H9" s="7">
        <v>87111</v>
      </c>
    </row>
    <row r="10" spans="1:8" x14ac:dyDescent="0.3">
      <c r="A10">
        <v>33</v>
      </c>
      <c r="B10" t="s">
        <v>2212</v>
      </c>
      <c r="C10" t="s">
        <v>1399</v>
      </c>
      <c r="D10" t="s">
        <v>770</v>
      </c>
      <c r="E10" t="s">
        <v>8</v>
      </c>
      <c r="F10" t="s">
        <v>283</v>
      </c>
      <c r="G10" t="s">
        <v>2121</v>
      </c>
      <c r="H10" s="7">
        <v>23503</v>
      </c>
    </row>
    <row r="11" spans="1:8" x14ac:dyDescent="0.3">
      <c r="A11">
        <v>37</v>
      </c>
      <c r="B11" t="s">
        <v>2212</v>
      </c>
      <c r="C11" t="s">
        <v>1045</v>
      </c>
      <c r="D11" t="s">
        <v>2175</v>
      </c>
      <c r="E11" t="s">
        <v>8</v>
      </c>
      <c r="F11" t="s">
        <v>283</v>
      </c>
      <c r="G11" t="s">
        <v>5171</v>
      </c>
      <c r="H11" s="7">
        <v>23503</v>
      </c>
    </row>
    <row r="12" spans="1:8" x14ac:dyDescent="0.3">
      <c r="A12">
        <v>39</v>
      </c>
      <c r="B12" t="s">
        <v>5</v>
      </c>
      <c r="C12" t="s">
        <v>535</v>
      </c>
      <c r="D12" t="s">
        <v>82</v>
      </c>
      <c r="E12" t="s">
        <v>8</v>
      </c>
      <c r="F12" t="s">
        <v>9</v>
      </c>
      <c r="G12" t="s">
        <v>3651</v>
      </c>
      <c r="H12" s="7">
        <v>725</v>
      </c>
    </row>
    <row r="13" spans="1:8" x14ac:dyDescent="0.3">
      <c r="A13">
        <v>40</v>
      </c>
      <c r="B13" t="s">
        <v>59</v>
      </c>
      <c r="C13" t="s">
        <v>93</v>
      </c>
      <c r="D13" t="s">
        <v>107</v>
      </c>
      <c r="E13" t="s">
        <v>8</v>
      </c>
      <c r="F13" t="s">
        <v>21</v>
      </c>
      <c r="G13" t="s">
        <v>829</v>
      </c>
      <c r="H13" s="7">
        <v>90805</v>
      </c>
    </row>
    <row r="14" spans="1:8" x14ac:dyDescent="0.3">
      <c r="A14">
        <v>41</v>
      </c>
      <c r="B14" t="s">
        <v>495</v>
      </c>
      <c r="C14" t="s">
        <v>1294</v>
      </c>
      <c r="D14" t="s">
        <v>2255</v>
      </c>
      <c r="E14" t="s">
        <v>8</v>
      </c>
      <c r="F14" t="s">
        <v>88</v>
      </c>
      <c r="G14" t="s">
        <v>5458</v>
      </c>
      <c r="H14" s="7">
        <v>11230</v>
      </c>
    </row>
    <row r="15" spans="1:8" x14ac:dyDescent="0.3">
      <c r="A15">
        <v>43</v>
      </c>
      <c r="B15" t="s">
        <v>5</v>
      </c>
      <c r="C15" t="s">
        <v>93</v>
      </c>
      <c r="D15" t="s">
        <v>2706</v>
      </c>
      <c r="E15" t="s">
        <v>27</v>
      </c>
      <c r="F15" t="s">
        <v>9</v>
      </c>
      <c r="G15" t="s">
        <v>2707</v>
      </c>
      <c r="H15" s="7">
        <v>725</v>
      </c>
    </row>
    <row r="16" spans="1:8" x14ac:dyDescent="0.3">
      <c r="A16">
        <v>44</v>
      </c>
      <c r="B16" t="s">
        <v>1672</v>
      </c>
      <c r="C16" t="s">
        <v>1673</v>
      </c>
      <c r="D16" t="s">
        <v>107</v>
      </c>
      <c r="E16" t="s">
        <v>27</v>
      </c>
      <c r="F16" t="s">
        <v>21</v>
      </c>
      <c r="G16" t="s">
        <v>1674</v>
      </c>
      <c r="H16" s="7">
        <v>94558</v>
      </c>
    </row>
    <row r="17" spans="1:8" x14ac:dyDescent="0.3">
      <c r="A17">
        <v>63</v>
      </c>
      <c r="B17" t="s">
        <v>5</v>
      </c>
      <c r="C17" t="s">
        <v>1381</v>
      </c>
      <c r="D17" t="s">
        <v>107</v>
      </c>
      <c r="E17" t="s">
        <v>95</v>
      </c>
      <c r="F17" t="s">
        <v>9</v>
      </c>
      <c r="G17" t="s">
        <v>5560</v>
      </c>
      <c r="H17" s="7">
        <v>725</v>
      </c>
    </row>
    <row r="18" spans="1:8" x14ac:dyDescent="0.3">
      <c r="A18">
        <v>70</v>
      </c>
      <c r="B18" t="s">
        <v>174</v>
      </c>
      <c r="C18" t="s">
        <v>93</v>
      </c>
      <c r="D18" t="s">
        <v>704</v>
      </c>
      <c r="E18" t="s">
        <v>27</v>
      </c>
      <c r="F18" t="s">
        <v>21</v>
      </c>
      <c r="G18" t="s">
        <v>705</v>
      </c>
      <c r="H18" s="7">
        <v>90042</v>
      </c>
    </row>
    <row r="19" spans="1:8" x14ac:dyDescent="0.3">
      <c r="A19">
        <v>77</v>
      </c>
      <c r="B19" t="s">
        <v>5</v>
      </c>
      <c r="C19" t="s">
        <v>977</v>
      </c>
      <c r="D19" t="s">
        <v>2811</v>
      </c>
      <c r="E19" t="s">
        <v>27</v>
      </c>
      <c r="F19" t="s">
        <v>9</v>
      </c>
      <c r="G19" t="s">
        <v>3512</v>
      </c>
      <c r="H19" s="7">
        <v>725</v>
      </c>
    </row>
    <row r="20" spans="1:8" x14ac:dyDescent="0.3">
      <c r="A20">
        <v>85</v>
      </c>
      <c r="B20" t="s">
        <v>5</v>
      </c>
      <c r="C20" t="s">
        <v>93</v>
      </c>
      <c r="D20" t="s">
        <v>523</v>
      </c>
      <c r="E20" t="s">
        <v>8</v>
      </c>
      <c r="F20" t="s">
        <v>9</v>
      </c>
      <c r="G20" t="s">
        <v>1941</v>
      </c>
      <c r="H20" s="7">
        <v>725</v>
      </c>
    </row>
    <row r="21" spans="1:8" x14ac:dyDescent="0.3">
      <c r="A21">
        <v>103</v>
      </c>
      <c r="B21" t="s">
        <v>1638</v>
      </c>
      <c r="C21" t="s">
        <v>93</v>
      </c>
      <c r="D21" t="s">
        <v>1291</v>
      </c>
      <c r="E21" t="s">
        <v>27</v>
      </c>
      <c r="F21" t="s">
        <v>729</v>
      </c>
      <c r="G21" t="s">
        <v>1639</v>
      </c>
      <c r="H21" s="7">
        <v>80020</v>
      </c>
    </row>
    <row r="22" spans="1:8" x14ac:dyDescent="0.3">
      <c r="A22">
        <v>107</v>
      </c>
      <c r="B22" t="s">
        <v>5</v>
      </c>
      <c r="C22" t="s">
        <v>93</v>
      </c>
      <c r="D22" t="s">
        <v>1864</v>
      </c>
      <c r="E22" t="s">
        <v>8</v>
      </c>
      <c r="F22" t="s">
        <v>9</v>
      </c>
      <c r="G22" t="s">
        <v>5556</v>
      </c>
      <c r="H22" s="7">
        <v>725</v>
      </c>
    </row>
    <row r="23" spans="1:8" x14ac:dyDescent="0.3">
      <c r="A23">
        <v>119</v>
      </c>
      <c r="B23" t="s">
        <v>5</v>
      </c>
      <c r="C23" t="s">
        <v>93</v>
      </c>
      <c r="D23" t="s">
        <v>4780</v>
      </c>
      <c r="E23" t="s">
        <v>8</v>
      </c>
      <c r="F23" t="s">
        <v>9</v>
      </c>
      <c r="G23" t="s">
        <v>4480</v>
      </c>
      <c r="H23" s="7">
        <v>725</v>
      </c>
    </row>
    <row r="24" spans="1:8" x14ac:dyDescent="0.3">
      <c r="A24">
        <v>124</v>
      </c>
      <c r="B24" t="s">
        <v>5</v>
      </c>
      <c r="C24" t="s">
        <v>3232</v>
      </c>
      <c r="D24" t="s">
        <v>107</v>
      </c>
      <c r="E24" t="s">
        <v>8</v>
      </c>
      <c r="F24" t="s">
        <v>9</v>
      </c>
      <c r="G24" t="s">
        <v>5300</v>
      </c>
      <c r="H24" s="7">
        <v>725</v>
      </c>
    </row>
    <row r="25" spans="1:8" x14ac:dyDescent="0.3">
      <c r="A25">
        <v>129</v>
      </c>
      <c r="B25" t="s">
        <v>5</v>
      </c>
      <c r="C25" t="s">
        <v>488</v>
      </c>
      <c r="D25" t="s">
        <v>107</v>
      </c>
      <c r="E25" t="s">
        <v>95</v>
      </c>
      <c r="F25" t="s">
        <v>9</v>
      </c>
      <c r="G25" t="s">
        <v>5041</v>
      </c>
      <c r="H25" s="7">
        <v>725</v>
      </c>
    </row>
    <row r="26" spans="1:8" x14ac:dyDescent="0.3">
      <c r="A26">
        <v>138</v>
      </c>
      <c r="B26" t="s">
        <v>5</v>
      </c>
      <c r="C26" t="s">
        <v>93</v>
      </c>
      <c r="D26" t="s">
        <v>3890</v>
      </c>
      <c r="E26" t="s">
        <v>8</v>
      </c>
      <c r="F26" t="s">
        <v>9</v>
      </c>
      <c r="G26" t="s">
        <v>3398</v>
      </c>
      <c r="H26" s="7">
        <v>725</v>
      </c>
    </row>
    <row r="27" spans="1:8" x14ac:dyDescent="0.3">
      <c r="A27">
        <v>141</v>
      </c>
      <c r="B27" t="s">
        <v>495</v>
      </c>
      <c r="C27" t="s">
        <v>93</v>
      </c>
      <c r="D27" t="s">
        <v>217</v>
      </c>
      <c r="E27" t="s">
        <v>8</v>
      </c>
      <c r="F27" t="s">
        <v>88</v>
      </c>
      <c r="G27" t="s">
        <v>2725</v>
      </c>
      <c r="H27" s="7">
        <v>11203</v>
      </c>
    </row>
    <row r="28" spans="1:8" x14ac:dyDescent="0.3">
      <c r="A28">
        <v>142</v>
      </c>
      <c r="B28" t="s">
        <v>619</v>
      </c>
      <c r="C28" t="s">
        <v>1186</v>
      </c>
      <c r="D28" t="s">
        <v>107</v>
      </c>
      <c r="E28" t="s">
        <v>8</v>
      </c>
      <c r="F28" t="s">
        <v>448</v>
      </c>
      <c r="G28" t="s">
        <v>1187</v>
      </c>
      <c r="H28" s="7">
        <v>33055</v>
      </c>
    </row>
    <row r="29" spans="1:8" x14ac:dyDescent="0.3">
      <c r="A29">
        <v>146</v>
      </c>
      <c r="B29" t="s">
        <v>5</v>
      </c>
      <c r="C29" t="s">
        <v>477</v>
      </c>
      <c r="D29" t="s">
        <v>728</v>
      </c>
      <c r="E29" t="s">
        <v>95</v>
      </c>
      <c r="F29" t="s">
        <v>9</v>
      </c>
      <c r="G29" t="s">
        <v>4228</v>
      </c>
      <c r="H29" s="7">
        <v>725</v>
      </c>
    </row>
    <row r="30" spans="1:8" x14ac:dyDescent="0.3">
      <c r="A30">
        <v>147</v>
      </c>
      <c r="B30" t="s">
        <v>4136</v>
      </c>
      <c r="C30" t="s">
        <v>93</v>
      </c>
      <c r="D30" t="s">
        <v>107</v>
      </c>
      <c r="E30" t="s">
        <v>95</v>
      </c>
      <c r="F30" t="s">
        <v>77</v>
      </c>
      <c r="G30" t="s">
        <v>5555</v>
      </c>
      <c r="H30" s="7">
        <v>17331</v>
      </c>
    </row>
    <row r="31" spans="1:8" x14ac:dyDescent="0.3">
      <c r="A31">
        <v>149</v>
      </c>
      <c r="B31" t="s">
        <v>2510</v>
      </c>
      <c r="C31" t="s">
        <v>977</v>
      </c>
      <c r="D31" t="s">
        <v>2511</v>
      </c>
      <c r="E31" t="s">
        <v>95</v>
      </c>
      <c r="F31" t="s">
        <v>21</v>
      </c>
      <c r="G31" t="s">
        <v>2512</v>
      </c>
      <c r="H31" s="7">
        <v>92324</v>
      </c>
    </row>
    <row r="32" spans="1:8" x14ac:dyDescent="0.3">
      <c r="A32">
        <v>152</v>
      </c>
      <c r="B32" t="s">
        <v>5</v>
      </c>
      <c r="C32" t="s">
        <v>93</v>
      </c>
      <c r="D32" t="s">
        <v>107</v>
      </c>
      <c r="E32" t="s">
        <v>8</v>
      </c>
      <c r="F32" t="s">
        <v>9</v>
      </c>
      <c r="G32" t="s">
        <v>3604</v>
      </c>
      <c r="H32" s="7">
        <v>725</v>
      </c>
    </row>
    <row r="33" spans="1:8" x14ac:dyDescent="0.3">
      <c r="A33">
        <v>160</v>
      </c>
      <c r="B33" t="s">
        <v>495</v>
      </c>
      <c r="C33" t="s">
        <v>1169</v>
      </c>
      <c r="D33" t="s">
        <v>107</v>
      </c>
      <c r="E33" t="s">
        <v>95</v>
      </c>
      <c r="F33" t="s">
        <v>88</v>
      </c>
      <c r="G33" t="s">
        <v>4213</v>
      </c>
      <c r="H33" s="7">
        <v>11229</v>
      </c>
    </row>
    <row r="34" spans="1:8" x14ac:dyDescent="0.3">
      <c r="A34">
        <v>161</v>
      </c>
      <c r="B34" t="s">
        <v>447</v>
      </c>
      <c r="C34" t="s">
        <v>93</v>
      </c>
      <c r="D34" t="s">
        <v>107</v>
      </c>
      <c r="E34" t="s">
        <v>27</v>
      </c>
      <c r="F34" t="s">
        <v>448</v>
      </c>
      <c r="G34" t="s">
        <v>2197</v>
      </c>
      <c r="H34" s="7">
        <v>33010</v>
      </c>
    </row>
    <row r="35" spans="1:8" x14ac:dyDescent="0.3">
      <c r="A35">
        <v>164</v>
      </c>
      <c r="B35" t="s">
        <v>5</v>
      </c>
      <c r="C35" t="s">
        <v>93</v>
      </c>
      <c r="D35" t="s">
        <v>3630</v>
      </c>
      <c r="E35" t="s">
        <v>8</v>
      </c>
      <c r="F35" t="s">
        <v>9</v>
      </c>
      <c r="G35" t="s">
        <v>2329</v>
      </c>
      <c r="H35" s="7">
        <v>725</v>
      </c>
    </row>
    <row r="36" spans="1:8" x14ac:dyDescent="0.3">
      <c r="A36">
        <v>174</v>
      </c>
      <c r="B36" t="s">
        <v>5</v>
      </c>
      <c r="C36" t="s">
        <v>93</v>
      </c>
      <c r="D36" t="s">
        <v>523</v>
      </c>
      <c r="E36" t="s">
        <v>95</v>
      </c>
      <c r="F36" t="s">
        <v>9</v>
      </c>
      <c r="G36" t="s">
        <v>524</v>
      </c>
      <c r="H36" s="7">
        <v>725</v>
      </c>
    </row>
    <row r="37" spans="1:8" x14ac:dyDescent="0.3">
      <c r="A37">
        <v>176</v>
      </c>
      <c r="B37" t="s">
        <v>4636</v>
      </c>
      <c r="C37" t="s">
        <v>895</v>
      </c>
      <c r="D37" t="s">
        <v>107</v>
      </c>
      <c r="E37" t="s">
        <v>27</v>
      </c>
      <c r="F37" t="s">
        <v>242</v>
      </c>
      <c r="G37" t="s">
        <v>4844</v>
      </c>
      <c r="H37" s="7">
        <v>21222</v>
      </c>
    </row>
    <row r="38" spans="1:8" x14ac:dyDescent="0.3">
      <c r="A38">
        <v>177</v>
      </c>
      <c r="B38" t="s">
        <v>5</v>
      </c>
      <c r="C38" t="s">
        <v>93</v>
      </c>
      <c r="D38" t="s">
        <v>3503</v>
      </c>
      <c r="E38" t="s">
        <v>8</v>
      </c>
      <c r="F38" t="s">
        <v>9</v>
      </c>
      <c r="G38" t="s">
        <v>5554</v>
      </c>
      <c r="H38" s="7">
        <v>725</v>
      </c>
    </row>
    <row r="39" spans="1:8" x14ac:dyDescent="0.3">
      <c r="A39">
        <v>192</v>
      </c>
      <c r="B39" t="s">
        <v>5</v>
      </c>
      <c r="C39" t="s">
        <v>93</v>
      </c>
      <c r="D39" t="s">
        <v>1699</v>
      </c>
      <c r="E39" t="s">
        <v>95</v>
      </c>
      <c r="F39" t="s">
        <v>9</v>
      </c>
      <c r="G39" t="s">
        <v>4478</v>
      </c>
      <c r="H39" s="7">
        <v>725</v>
      </c>
    </row>
    <row r="40" spans="1:8" x14ac:dyDescent="0.3">
      <c r="A40">
        <v>207</v>
      </c>
      <c r="B40" t="s">
        <v>5</v>
      </c>
      <c r="C40" t="s">
        <v>847</v>
      </c>
      <c r="D40" t="s">
        <v>2021</v>
      </c>
      <c r="E40" t="s">
        <v>27</v>
      </c>
      <c r="F40" t="s">
        <v>9</v>
      </c>
      <c r="G40" t="s">
        <v>5370</v>
      </c>
      <c r="H40" s="7">
        <v>725</v>
      </c>
    </row>
    <row r="41" spans="1:8" x14ac:dyDescent="0.3">
      <c r="A41">
        <v>217</v>
      </c>
      <c r="B41" t="s">
        <v>5</v>
      </c>
      <c r="C41" t="s">
        <v>93</v>
      </c>
      <c r="D41" t="s">
        <v>2942</v>
      </c>
      <c r="E41" t="s">
        <v>27</v>
      </c>
      <c r="F41" t="s">
        <v>9</v>
      </c>
      <c r="G41" t="s">
        <v>2943</v>
      </c>
      <c r="H41" s="7">
        <v>725</v>
      </c>
    </row>
    <row r="42" spans="1:8" x14ac:dyDescent="0.3">
      <c r="A42">
        <v>225</v>
      </c>
      <c r="B42" t="s">
        <v>5</v>
      </c>
      <c r="C42" t="s">
        <v>841</v>
      </c>
      <c r="D42" t="s">
        <v>802</v>
      </c>
      <c r="E42" t="s">
        <v>27</v>
      </c>
      <c r="F42" t="s">
        <v>9</v>
      </c>
      <c r="G42" t="s">
        <v>1600</v>
      </c>
      <c r="H42" s="7">
        <v>725</v>
      </c>
    </row>
    <row r="43" spans="1:8" x14ac:dyDescent="0.3">
      <c r="A43">
        <v>227</v>
      </c>
      <c r="B43" t="s">
        <v>1293</v>
      </c>
      <c r="C43" t="s">
        <v>93</v>
      </c>
      <c r="D43" t="s">
        <v>107</v>
      </c>
      <c r="E43" t="s">
        <v>95</v>
      </c>
      <c r="F43" t="s">
        <v>190</v>
      </c>
      <c r="G43" t="s">
        <v>3067</v>
      </c>
      <c r="H43" s="7">
        <v>85283</v>
      </c>
    </row>
    <row r="44" spans="1:8" x14ac:dyDescent="0.3">
      <c r="A44">
        <v>231</v>
      </c>
      <c r="B44" t="s">
        <v>1520</v>
      </c>
      <c r="C44" t="s">
        <v>93</v>
      </c>
      <c r="D44" t="s">
        <v>746</v>
      </c>
      <c r="E44" t="s">
        <v>8</v>
      </c>
      <c r="F44" t="s">
        <v>381</v>
      </c>
      <c r="G44" t="s">
        <v>1521</v>
      </c>
      <c r="H44" s="7">
        <v>49509</v>
      </c>
    </row>
    <row r="45" spans="1:8" x14ac:dyDescent="0.3">
      <c r="A45">
        <v>234</v>
      </c>
      <c r="B45" t="s">
        <v>1313</v>
      </c>
      <c r="C45" t="s">
        <v>93</v>
      </c>
      <c r="D45" t="s">
        <v>3863</v>
      </c>
      <c r="E45" t="s">
        <v>8</v>
      </c>
      <c r="F45" t="s">
        <v>448</v>
      </c>
      <c r="G45" t="s">
        <v>4473</v>
      </c>
      <c r="H45" s="7">
        <v>33157</v>
      </c>
    </row>
    <row r="46" spans="1:8" x14ac:dyDescent="0.3">
      <c r="A46">
        <v>236</v>
      </c>
      <c r="B46" t="s">
        <v>5</v>
      </c>
      <c r="C46" t="s">
        <v>1169</v>
      </c>
      <c r="D46" t="s">
        <v>127</v>
      </c>
      <c r="E46" t="s">
        <v>95</v>
      </c>
      <c r="F46" t="s">
        <v>9</v>
      </c>
      <c r="G46" t="s">
        <v>4445</v>
      </c>
      <c r="H46" s="7">
        <v>725</v>
      </c>
    </row>
    <row r="47" spans="1:8" x14ac:dyDescent="0.3">
      <c r="A47">
        <v>242</v>
      </c>
      <c r="B47" t="s">
        <v>1270</v>
      </c>
      <c r="C47" t="s">
        <v>93</v>
      </c>
      <c r="D47" t="s">
        <v>193</v>
      </c>
      <c r="E47" t="s">
        <v>27</v>
      </c>
      <c r="F47" t="s">
        <v>134</v>
      </c>
      <c r="G47" t="s">
        <v>1271</v>
      </c>
      <c r="H47" s="7">
        <v>96789</v>
      </c>
    </row>
    <row r="48" spans="1:8" x14ac:dyDescent="0.3">
      <c r="A48">
        <v>246</v>
      </c>
      <c r="B48" t="s">
        <v>2119</v>
      </c>
      <c r="C48" t="s">
        <v>93</v>
      </c>
      <c r="D48" t="s">
        <v>2120</v>
      </c>
      <c r="E48" t="s">
        <v>8</v>
      </c>
      <c r="F48" t="s">
        <v>55</v>
      </c>
      <c r="G48" t="s">
        <v>2121</v>
      </c>
      <c r="H48" s="7">
        <v>60453</v>
      </c>
    </row>
    <row r="49" spans="1:8" x14ac:dyDescent="0.3">
      <c r="A49">
        <v>247</v>
      </c>
      <c r="B49" t="s">
        <v>5</v>
      </c>
      <c r="C49" t="s">
        <v>1112</v>
      </c>
      <c r="D49" t="s">
        <v>107</v>
      </c>
      <c r="E49" t="s">
        <v>8</v>
      </c>
      <c r="F49" t="s">
        <v>9</v>
      </c>
      <c r="G49" t="s">
        <v>1418</v>
      </c>
      <c r="H49" s="7">
        <v>725</v>
      </c>
    </row>
    <row r="50" spans="1:8" x14ac:dyDescent="0.3">
      <c r="A50">
        <v>250</v>
      </c>
      <c r="B50" t="s">
        <v>5</v>
      </c>
      <c r="C50" t="s">
        <v>734</v>
      </c>
      <c r="D50" t="s">
        <v>107</v>
      </c>
      <c r="E50" t="s">
        <v>8</v>
      </c>
      <c r="F50" t="s">
        <v>9</v>
      </c>
      <c r="G50" t="s">
        <v>2211</v>
      </c>
      <c r="H50" s="7">
        <v>725</v>
      </c>
    </row>
    <row r="51" spans="1:8" x14ac:dyDescent="0.3">
      <c r="A51">
        <v>252</v>
      </c>
      <c r="B51" t="s">
        <v>1213</v>
      </c>
      <c r="C51" t="s">
        <v>93</v>
      </c>
      <c r="D51" t="s">
        <v>1622</v>
      </c>
      <c r="E51" t="s">
        <v>27</v>
      </c>
      <c r="F51" t="s">
        <v>114</v>
      </c>
      <c r="G51" t="s">
        <v>820</v>
      </c>
      <c r="H51" s="7">
        <v>75080</v>
      </c>
    </row>
    <row r="52" spans="1:8" x14ac:dyDescent="0.3">
      <c r="A52">
        <v>254</v>
      </c>
      <c r="B52" t="s">
        <v>440</v>
      </c>
      <c r="C52" t="s">
        <v>1200</v>
      </c>
      <c r="D52" t="s">
        <v>1201</v>
      </c>
      <c r="E52" t="s">
        <v>8</v>
      </c>
      <c r="F52" t="s">
        <v>114</v>
      </c>
      <c r="G52" t="s">
        <v>1202</v>
      </c>
      <c r="H52" s="7">
        <v>78223</v>
      </c>
    </row>
    <row r="53" spans="1:8" x14ac:dyDescent="0.3">
      <c r="A53">
        <v>255</v>
      </c>
      <c r="B53" t="s">
        <v>5</v>
      </c>
      <c r="C53" t="s">
        <v>93</v>
      </c>
      <c r="D53" t="s">
        <v>107</v>
      </c>
      <c r="E53" t="s">
        <v>27</v>
      </c>
      <c r="F53" t="s">
        <v>9</v>
      </c>
      <c r="G53" t="s">
        <v>1435</v>
      </c>
      <c r="H53" s="7">
        <v>725</v>
      </c>
    </row>
    <row r="54" spans="1:8" x14ac:dyDescent="0.3">
      <c r="A54">
        <v>256</v>
      </c>
      <c r="B54" t="s">
        <v>254</v>
      </c>
      <c r="C54" t="s">
        <v>1191</v>
      </c>
      <c r="D54" t="s">
        <v>1192</v>
      </c>
      <c r="E54" t="s">
        <v>8</v>
      </c>
      <c r="F54" t="s">
        <v>55</v>
      </c>
      <c r="G54" t="s">
        <v>1193</v>
      </c>
      <c r="H54" s="7">
        <v>60625</v>
      </c>
    </row>
    <row r="55" spans="1:8" x14ac:dyDescent="0.3">
      <c r="A55">
        <v>259</v>
      </c>
      <c r="B55" t="s">
        <v>5</v>
      </c>
      <c r="C55" t="s">
        <v>93</v>
      </c>
      <c r="D55" t="s">
        <v>2215</v>
      </c>
      <c r="E55" t="s">
        <v>8</v>
      </c>
      <c r="F55" t="s">
        <v>9</v>
      </c>
      <c r="G55" t="s">
        <v>4049</v>
      </c>
      <c r="H55" s="7">
        <v>725</v>
      </c>
    </row>
    <row r="56" spans="1:8" x14ac:dyDescent="0.3">
      <c r="A56">
        <v>261</v>
      </c>
      <c r="B56" t="s">
        <v>683</v>
      </c>
      <c r="C56" t="s">
        <v>93</v>
      </c>
      <c r="D56" t="s">
        <v>964</v>
      </c>
      <c r="E56" t="s">
        <v>27</v>
      </c>
      <c r="F56" t="s">
        <v>21</v>
      </c>
      <c r="G56" t="s">
        <v>686</v>
      </c>
      <c r="H56" s="7">
        <v>90703</v>
      </c>
    </row>
    <row r="57" spans="1:8" x14ac:dyDescent="0.3">
      <c r="A57">
        <v>265</v>
      </c>
      <c r="B57" t="s">
        <v>1648</v>
      </c>
      <c r="C57" t="s">
        <v>738</v>
      </c>
      <c r="D57" t="s">
        <v>4777</v>
      </c>
      <c r="E57" t="s">
        <v>95</v>
      </c>
      <c r="F57" t="s">
        <v>1649</v>
      </c>
      <c r="G57" t="s">
        <v>4229</v>
      </c>
      <c r="H57" s="7">
        <v>52001</v>
      </c>
    </row>
    <row r="58" spans="1:8" x14ac:dyDescent="0.3">
      <c r="A58">
        <v>273</v>
      </c>
      <c r="B58" t="s">
        <v>2543</v>
      </c>
      <c r="C58" t="s">
        <v>573</v>
      </c>
      <c r="D58" t="s">
        <v>107</v>
      </c>
      <c r="E58" t="s">
        <v>27</v>
      </c>
      <c r="F58" t="s">
        <v>88</v>
      </c>
      <c r="G58" t="s">
        <v>2893</v>
      </c>
      <c r="H58" s="7">
        <v>11435</v>
      </c>
    </row>
    <row r="59" spans="1:8" x14ac:dyDescent="0.3">
      <c r="A59">
        <v>279</v>
      </c>
      <c r="B59" t="s">
        <v>92</v>
      </c>
      <c r="C59" t="s">
        <v>268</v>
      </c>
      <c r="D59" t="s">
        <v>107</v>
      </c>
      <c r="E59" t="s">
        <v>8</v>
      </c>
      <c r="F59" t="s">
        <v>9</v>
      </c>
      <c r="G59" t="s">
        <v>1398</v>
      </c>
      <c r="H59" s="7">
        <v>957</v>
      </c>
    </row>
    <row r="60" spans="1:8" x14ac:dyDescent="0.3">
      <c r="A60">
        <v>286</v>
      </c>
      <c r="B60" t="s">
        <v>4307</v>
      </c>
      <c r="C60" t="s">
        <v>93</v>
      </c>
      <c r="D60" t="s">
        <v>441</v>
      </c>
      <c r="E60" t="s">
        <v>27</v>
      </c>
      <c r="F60" t="s">
        <v>21</v>
      </c>
      <c r="G60" t="s">
        <v>1454</v>
      </c>
      <c r="H60" s="7">
        <v>95060</v>
      </c>
    </row>
    <row r="61" spans="1:8" x14ac:dyDescent="0.3">
      <c r="A61">
        <v>287</v>
      </c>
      <c r="B61" t="s">
        <v>5</v>
      </c>
      <c r="C61" t="s">
        <v>564</v>
      </c>
      <c r="D61" t="s">
        <v>565</v>
      </c>
      <c r="E61" t="s">
        <v>8</v>
      </c>
      <c r="F61" t="s">
        <v>9</v>
      </c>
      <c r="G61" t="s">
        <v>566</v>
      </c>
      <c r="H61" s="7">
        <v>725</v>
      </c>
    </row>
    <row r="62" spans="1:8" x14ac:dyDescent="0.3">
      <c r="A62">
        <v>292</v>
      </c>
      <c r="B62" t="s">
        <v>343</v>
      </c>
      <c r="C62" t="s">
        <v>93</v>
      </c>
      <c r="D62" t="s">
        <v>3624</v>
      </c>
      <c r="E62" t="s">
        <v>95</v>
      </c>
      <c r="F62" t="s">
        <v>248</v>
      </c>
      <c r="G62" t="s">
        <v>5191</v>
      </c>
      <c r="H62" s="7">
        <v>43207</v>
      </c>
    </row>
    <row r="63" spans="1:8" x14ac:dyDescent="0.3">
      <c r="A63">
        <v>294</v>
      </c>
      <c r="B63" t="s">
        <v>997</v>
      </c>
      <c r="C63" t="s">
        <v>93</v>
      </c>
      <c r="D63" t="s">
        <v>107</v>
      </c>
      <c r="E63" t="s">
        <v>8</v>
      </c>
      <c r="F63" t="s">
        <v>2654</v>
      </c>
      <c r="G63" t="s">
        <v>4800</v>
      </c>
      <c r="H63" s="7">
        <v>19711</v>
      </c>
    </row>
    <row r="64" spans="1:8" x14ac:dyDescent="0.3">
      <c r="A64">
        <v>301</v>
      </c>
      <c r="B64" t="s">
        <v>5</v>
      </c>
      <c r="C64" t="s">
        <v>2295</v>
      </c>
      <c r="D64" t="s">
        <v>107</v>
      </c>
      <c r="E64" t="s">
        <v>95</v>
      </c>
      <c r="F64" t="s">
        <v>9</v>
      </c>
      <c r="G64" t="s">
        <v>3588</v>
      </c>
      <c r="H64" s="7">
        <v>725</v>
      </c>
    </row>
    <row r="65" spans="1:8" x14ac:dyDescent="0.3">
      <c r="A65">
        <v>302</v>
      </c>
      <c r="B65" t="s">
        <v>2129</v>
      </c>
      <c r="C65" t="s">
        <v>93</v>
      </c>
      <c r="D65" t="s">
        <v>992</v>
      </c>
      <c r="E65" t="s">
        <v>27</v>
      </c>
      <c r="F65" t="s">
        <v>21</v>
      </c>
      <c r="G65" t="s">
        <v>4164</v>
      </c>
      <c r="H65" s="7">
        <v>92833</v>
      </c>
    </row>
    <row r="66" spans="1:8" x14ac:dyDescent="0.3">
      <c r="A66">
        <v>309</v>
      </c>
      <c r="B66" t="s">
        <v>5</v>
      </c>
      <c r="C66" t="s">
        <v>2080</v>
      </c>
      <c r="D66" t="s">
        <v>107</v>
      </c>
      <c r="E66" t="s">
        <v>27</v>
      </c>
      <c r="F66" t="s">
        <v>9</v>
      </c>
      <c r="G66" t="s">
        <v>1076</v>
      </c>
      <c r="H66" s="7">
        <v>725</v>
      </c>
    </row>
    <row r="67" spans="1:8" x14ac:dyDescent="0.3">
      <c r="A67">
        <v>311</v>
      </c>
      <c r="B67" t="s">
        <v>601</v>
      </c>
      <c r="C67" t="s">
        <v>223</v>
      </c>
      <c r="D67" t="s">
        <v>1336</v>
      </c>
      <c r="E67" t="s">
        <v>95</v>
      </c>
      <c r="F67" t="s">
        <v>114</v>
      </c>
      <c r="G67" t="s">
        <v>5511</v>
      </c>
      <c r="H67" s="7">
        <v>78753</v>
      </c>
    </row>
    <row r="68" spans="1:8" x14ac:dyDescent="0.3">
      <c r="A68">
        <v>313</v>
      </c>
      <c r="B68" t="s">
        <v>5</v>
      </c>
      <c r="C68" t="s">
        <v>93</v>
      </c>
      <c r="D68" t="s">
        <v>3362</v>
      </c>
      <c r="E68" t="s">
        <v>8</v>
      </c>
      <c r="F68" t="s">
        <v>9</v>
      </c>
      <c r="G68" t="s">
        <v>3133</v>
      </c>
      <c r="H68" s="7">
        <v>725</v>
      </c>
    </row>
    <row r="69" spans="1:8" x14ac:dyDescent="0.3">
      <c r="A69">
        <v>315</v>
      </c>
      <c r="B69" t="s">
        <v>761</v>
      </c>
      <c r="C69" t="s">
        <v>643</v>
      </c>
      <c r="D69" t="s">
        <v>1669</v>
      </c>
      <c r="E69" t="s">
        <v>95</v>
      </c>
      <c r="F69" t="s">
        <v>21</v>
      </c>
      <c r="G69" t="s">
        <v>5442</v>
      </c>
      <c r="H69" s="7">
        <v>95350</v>
      </c>
    </row>
    <row r="70" spans="1:8" x14ac:dyDescent="0.3">
      <c r="A70">
        <v>317</v>
      </c>
      <c r="B70" t="s">
        <v>719</v>
      </c>
      <c r="C70" t="s">
        <v>967</v>
      </c>
      <c r="D70" t="s">
        <v>565</v>
      </c>
      <c r="E70" t="s">
        <v>8</v>
      </c>
      <c r="F70" t="s">
        <v>308</v>
      </c>
      <c r="G70" t="s">
        <v>2991</v>
      </c>
      <c r="H70" s="7">
        <v>7470</v>
      </c>
    </row>
    <row r="71" spans="1:8" x14ac:dyDescent="0.3">
      <c r="A71">
        <v>318</v>
      </c>
      <c r="B71" t="s">
        <v>5</v>
      </c>
      <c r="C71" t="s">
        <v>1321</v>
      </c>
      <c r="D71" t="s">
        <v>107</v>
      </c>
      <c r="E71" t="s">
        <v>8</v>
      </c>
      <c r="F71" t="s">
        <v>9</v>
      </c>
      <c r="G71" t="s">
        <v>5080</v>
      </c>
      <c r="H71" s="7">
        <v>725</v>
      </c>
    </row>
    <row r="72" spans="1:8" x14ac:dyDescent="0.3">
      <c r="A72">
        <v>319</v>
      </c>
      <c r="B72" t="s">
        <v>254</v>
      </c>
      <c r="C72" t="s">
        <v>2295</v>
      </c>
      <c r="D72" t="s">
        <v>968</v>
      </c>
      <c r="E72" t="s">
        <v>27</v>
      </c>
      <c r="F72" t="s">
        <v>55</v>
      </c>
      <c r="G72" t="s">
        <v>2296</v>
      </c>
      <c r="H72" s="7">
        <v>60623</v>
      </c>
    </row>
    <row r="73" spans="1:8" x14ac:dyDescent="0.3">
      <c r="A73">
        <v>323</v>
      </c>
      <c r="B73" t="s">
        <v>368</v>
      </c>
      <c r="C73" t="s">
        <v>1767</v>
      </c>
      <c r="D73" t="s">
        <v>107</v>
      </c>
      <c r="E73" t="s">
        <v>8</v>
      </c>
      <c r="F73" t="s">
        <v>88</v>
      </c>
      <c r="G73" t="s">
        <v>4344</v>
      </c>
      <c r="H73" s="7">
        <v>10025</v>
      </c>
    </row>
    <row r="74" spans="1:8" x14ac:dyDescent="0.3">
      <c r="A74">
        <v>332</v>
      </c>
      <c r="B74" t="s">
        <v>120</v>
      </c>
      <c r="C74" t="s">
        <v>93</v>
      </c>
      <c r="D74" t="s">
        <v>107</v>
      </c>
      <c r="E74" t="s">
        <v>8</v>
      </c>
      <c r="F74" t="s">
        <v>21</v>
      </c>
      <c r="G74" t="s">
        <v>3088</v>
      </c>
      <c r="H74" s="7">
        <v>92870</v>
      </c>
    </row>
    <row r="75" spans="1:8" x14ac:dyDescent="0.3">
      <c r="A75">
        <v>333</v>
      </c>
      <c r="B75" t="s">
        <v>5</v>
      </c>
      <c r="C75" t="s">
        <v>454</v>
      </c>
      <c r="D75" t="s">
        <v>1706</v>
      </c>
      <c r="E75" t="s">
        <v>8</v>
      </c>
      <c r="F75" t="s">
        <v>9</v>
      </c>
      <c r="G75" t="s">
        <v>3664</v>
      </c>
      <c r="H75" s="7">
        <v>725</v>
      </c>
    </row>
    <row r="76" spans="1:8" x14ac:dyDescent="0.3">
      <c r="A76">
        <v>336</v>
      </c>
      <c r="B76" t="s">
        <v>368</v>
      </c>
      <c r="C76" t="s">
        <v>397</v>
      </c>
      <c r="D76" t="s">
        <v>675</v>
      </c>
      <c r="E76" t="s">
        <v>8</v>
      </c>
      <c r="F76" t="s">
        <v>88</v>
      </c>
      <c r="G76" t="s">
        <v>3475</v>
      </c>
      <c r="H76" s="7">
        <v>10029</v>
      </c>
    </row>
    <row r="77" spans="1:8" x14ac:dyDescent="0.3">
      <c r="A77">
        <v>338</v>
      </c>
      <c r="B77" t="s">
        <v>5</v>
      </c>
      <c r="C77" t="s">
        <v>1333</v>
      </c>
      <c r="D77" t="s">
        <v>107</v>
      </c>
      <c r="E77" t="s">
        <v>8</v>
      </c>
      <c r="F77" t="s">
        <v>9</v>
      </c>
      <c r="G77" t="s">
        <v>3818</v>
      </c>
      <c r="H77" s="7">
        <v>725</v>
      </c>
    </row>
    <row r="78" spans="1:8" x14ac:dyDescent="0.3">
      <c r="A78">
        <v>343</v>
      </c>
      <c r="B78" t="s">
        <v>440</v>
      </c>
      <c r="C78" t="s">
        <v>462</v>
      </c>
      <c r="D78" t="s">
        <v>776</v>
      </c>
      <c r="E78" t="s">
        <v>27</v>
      </c>
      <c r="F78" t="s">
        <v>114</v>
      </c>
      <c r="G78" t="s">
        <v>777</v>
      </c>
      <c r="H78" s="7">
        <v>78227</v>
      </c>
    </row>
    <row r="79" spans="1:8" x14ac:dyDescent="0.3">
      <c r="A79">
        <v>363</v>
      </c>
      <c r="B79" t="s">
        <v>5</v>
      </c>
      <c r="C79" t="s">
        <v>1824</v>
      </c>
      <c r="D79" t="s">
        <v>2765</v>
      </c>
      <c r="E79" t="s">
        <v>8</v>
      </c>
      <c r="F79" t="s">
        <v>9</v>
      </c>
      <c r="G79" t="s">
        <v>2766</v>
      </c>
      <c r="H79" s="7">
        <v>725</v>
      </c>
    </row>
    <row r="80" spans="1:8" x14ac:dyDescent="0.3">
      <c r="A80">
        <v>365</v>
      </c>
      <c r="B80" t="s">
        <v>195</v>
      </c>
      <c r="C80" t="s">
        <v>977</v>
      </c>
      <c r="D80" t="s">
        <v>107</v>
      </c>
      <c r="E80" t="s">
        <v>8</v>
      </c>
      <c r="F80" t="s">
        <v>21</v>
      </c>
      <c r="G80" t="s">
        <v>1185</v>
      </c>
      <c r="H80" s="7">
        <v>92843</v>
      </c>
    </row>
    <row r="81" spans="1:8" x14ac:dyDescent="0.3">
      <c r="A81">
        <v>368</v>
      </c>
      <c r="B81" t="s">
        <v>5</v>
      </c>
      <c r="C81" t="s">
        <v>1851</v>
      </c>
      <c r="D81" t="s">
        <v>1870</v>
      </c>
      <c r="E81" t="s">
        <v>27</v>
      </c>
      <c r="F81" t="s">
        <v>9</v>
      </c>
      <c r="G81" t="s">
        <v>5413</v>
      </c>
      <c r="H81" s="7">
        <v>725</v>
      </c>
    </row>
    <row r="82" spans="1:8" x14ac:dyDescent="0.3">
      <c r="A82">
        <v>369</v>
      </c>
      <c r="B82" t="s">
        <v>254</v>
      </c>
      <c r="C82" t="s">
        <v>957</v>
      </c>
      <c r="D82" t="s">
        <v>4279</v>
      </c>
      <c r="E82" t="s">
        <v>27</v>
      </c>
      <c r="F82" t="s">
        <v>55</v>
      </c>
      <c r="G82" t="s">
        <v>4748</v>
      </c>
      <c r="H82" s="7">
        <v>60624</v>
      </c>
    </row>
    <row r="83" spans="1:8" x14ac:dyDescent="0.3">
      <c r="A83">
        <v>370</v>
      </c>
      <c r="B83" t="s">
        <v>5</v>
      </c>
      <c r="C83" t="s">
        <v>93</v>
      </c>
      <c r="D83" t="s">
        <v>107</v>
      </c>
      <c r="E83" t="s">
        <v>8</v>
      </c>
      <c r="F83" t="s">
        <v>9</v>
      </c>
      <c r="G83" t="s">
        <v>4822</v>
      </c>
      <c r="H83" s="7">
        <v>725</v>
      </c>
    </row>
    <row r="84" spans="1:8" x14ac:dyDescent="0.3">
      <c r="A84">
        <v>376</v>
      </c>
      <c r="B84" t="s">
        <v>5</v>
      </c>
      <c r="C84" t="s">
        <v>1231</v>
      </c>
      <c r="D84" t="s">
        <v>1284</v>
      </c>
      <c r="E84" t="s">
        <v>95</v>
      </c>
      <c r="F84" t="s">
        <v>9</v>
      </c>
      <c r="G84" t="s">
        <v>2711</v>
      </c>
      <c r="H84" s="7">
        <v>725</v>
      </c>
    </row>
    <row r="85" spans="1:8" x14ac:dyDescent="0.3">
      <c r="A85">
        <v>377</v>
      </c>
      <c r="B85" t="s">
        <v>40</v>
      </c>
      <c r="C85" t="s">
        <v>93</v>
      </c>
      <c r="D85" t="s">
        <v>107</v>
      </c>
      <c r="E85" t="s">
        <v>8</v>
      </c>
      <c r="F85" t="s">
        <v>21</v>
      </c>
      <c r="G85" t="s">
        <v>3218</v>
      </c>
      <c r="H85" s="7">
        <v>93535</v>
      </c>
    </row>
    <row r="86" spans="1:8" x14ac:dyDescent="0.3">
      <c r="A86">
        <v>386</v>
      </c>
      <c r="B86" t="s">
        <v>823</v>
      </c>
      <c r="C86" t="s">
        <v>2452</v>
      </c>
      <c r="D86" t="s">
        <v>4076</v>
      </c>
      <c r="E86" t="s">
        <v>8</v>
      </c>
      <c r="F86" t="s">
        <v>114</v>
      </c>
      <c r="G86" t="s">
        <v>4367</v>
      </c>
      <c r="H86" s="7">
        <v>77469</v>
      </c>
    </row>
    <row r="87" spans="1:8" x14ac:dyDescent="0.3">
      <c r="A87">
        <v>387</v>
      </c>
      <c r="B87" t="s">
        <v>5</v>
      </c>
      <c r="C87" t="s">
        <v>93</v>
      </c>
      <c r="D87" t="s">
        <v>424</v>
      </c>
      <c r="E87" t="s">
        <v>8</v>
      </c>
      <c r="F87" t="s">
        <v>9</v>
      </c>
      <c r="G87" t="s">
        <v>425</v>
      </c>
      <c r="H87" s="7">
        <v>725</v>
      </c>
    </row>
    <row r="88" spans="1:8" x14ac:dyDescent="0.3">
      <c r="A88">
        <v>388</v>
      </c>
      <c r="B88" t="s">
        <v>174</v>
      </c>
      <c r="C88" t="s">
        <v>112</v>
      </c>
      <c r="D88" t="s">
        <v>107</v>
      </c>
      <c r="E88" t="s">
        <v>8</v>
      </c>
      <c r="F88" t="s">
        <v>21</v>
      </c>
      <c r="G88" t="s">
        <v>1923</v>
      </c>
      <c r="H88" s="7">
        <v>90046</v>
      </c>
    </row>
    <row r="89" spans="1:8" x14ac:dyDescent="0.3">
      <c r="A89">
        <v>399</v>
      </c>
      <c r="B89" t="s">
        <v>862</v>
      </c>
      <c r="C89" t="s">
        <v>93</v>
      </c>
      <c r="D89" t="s">
        <v>523</v>
      </c>
      <c r="E89" t="s">
        <v>8</v>
      </c>
      <c r="F89" t="s">
        <v>478</v>
      </c>
      <c r="G89" t="s">
        <v>2829</v>
      </c>
      <c r="H89" s="7">
        <v>89103</v>
      </c>
    </row>
    <row r="90" spans="1:8" x14ac:dyDescent="0.3">
      <c r="A90">
        <v>400</v>
      </c>
      <c r="B90" t="s">
        <v>5</v>
      </c>
      <c r="C90" t="s">
        <v>700</v>
      </c>
      <c r="D90" t="s">
        <v>1752</v>
      </c>
      <c r="E90" t="s">
        <v>27</v>
      </c>
      <c r="F90" t="s">
        <v>9</v>
      </c>
      <c r="G90" t="s">
        <v>1753</v>
      </c>
      <c r="H90" s="7">
        <v>725</v>
      </c>
    </row>
    <row r="91" spans="1:8" x14ac:dyDescent="0.3">
      <c r="A91">
        <v>404</v>
      </c>
      <c r="B91" t="s">
        <v>5</v>
      </c>
      <c r="C91" t="s">
        <v>93</v>
      </c>
      <c r="D91" t="s">
        <v>1479</v>
      </c>
      <c r="E91" t="s">
        <v>8</v>
      </c>
      <c r="F91" t="s">
        <v>9</v>
      </c>
      <c r="G91" t="s">
        <v>1480</v>
      </c>
      <c r="H91" s="7">
        <v>725</v>
      </c>
    </row>
    <row r="92" spans="1:8" x14ac:dyDescent="0.3">
      <c r="A92">
        <v>408</v>
      </c>
      <c r="B92" t="s">
        <v>5</v>
      </c>
      <c r="C92" t="s">
        <v>454</v>
      </c>
      <c r="D92" t="s">
        <v>506</v>
      </c>
      <c r="E92" t="s">
        <v>8</v>
      </c>
      <c r="F92" t="s">
        <v>9</v>
      </c>
      <c r="G92" t="s">
        <v>3625</v>
      </c>
      <c r="H92" s="7">
        <v>725</v>
      </c>
    </row>
    <row r="93" spans="1:8" x14ac:dyDescent="0.3">
      <c r="A93">
        <v>409</v>
      </c>
      <c r="B93" t="s">
        <v>831</v>
      </c>
      <c r="C93" t="s">
        <v>787</v>
      </c>
      <c r="D93" t="s">
        <v>107</v>
      </c>
      <c r="E93" t="s">
        <v>8</v>
      </c>
      <c r="F93" t="s">
        <v>341</v>
      </c>
      <c r="G93" t="s">
        <v>1134</v>
      </c>
      <c r="H93" s="7">
        <v>27406</v>
      </c>
    </row>
    <row r="94" spans="1:8" x14ac:dyDescent="0.3">
      <c r="A94">
        <v>418</v>
      </c>
      <c r="B94" t="s">
        <v>3826</v>
      </c>
      <c r="C94" t="s">
        <v>93</v>
      </c>
      <c r="D94" t="s">
        <v>1351</v>
      </c>
      <c r="E94" t="s">
        <v>8</v>
      </c>
      <c r="F94" t="s">
        <v>21</v>
      </c>
      <c r="G94" t="s">
        <v>1364</v>
      </c>
      <c r="H94" s="7">
        <v>90247</v>
      </c>
    </row>
    <row r="95" spans="1:8" x14ac:dyDescent="0.3">
      <c r="A95">
        <v>419</v>
      </c>
      <c r="B95" t="s">
        <v>5</v>
      </c>
      <c r="C95" t="s">
        <v>251</v>
      </c>
      <c r="D95" t="s">
        <v>107</v>
      </c>
      <c r="E95" t="s">
        <v>8</v>
      </c>
      <c r="F95" t="s">
        <v>9</v>
      </c>
      <c r="G95" t="s">
        <v>4863</v>
      </c>
      <c r="H95" s="7">
        <v>725</v>
      </c>
    </row>
    <row r="96" spans="1:8" x14ac:dyDescent="0.3">
      <c r="A96">
        <v>427</v>
      </c>
      <c r="B96" t="s">
        <v>5</v>
      </c>
      <c r="C96" t="s">
        <v>1080</v>
      </c>
      <c r="D96" t="s">
        <v>968</v>
      </c>
      <c r="E96" t="s">
        <v>27</v>
      </c>
      <c r="F96" t="s">
        <v>9</v>
      </c>
      <c r="G96" t="s">
        <v>2926</v>
      </c>
      <c r="H96" s="7">
        <v>725</v>
      </c>
    </row>
    <row r="97" spans="1:8" x14ac:dyDescent="0.3">
      <c r="A97">
        <v>430</v>
      </c>
      <c r="B97" t="s">
        <v>3930</v>
      </c>
      <c r="C97" t="s">
        <v>93</v>
      </c>
      <c r="D97" t="s">
        <v>107</v>
      </c>
      <c r="E97" t="s">
        <v>8</v>
      </c>
      <c r="F97" t="s">
        <v>21</v>
      </c>
      <c r="G97" t="s">
        <v>4138</v>
      </c>
      <c r="H97" s="7">
        <v>93257</v>
      </c>
    </row>
    <row r="98" spans="1:8" x14ac:dyDescent="0.3">
      <c r="A98">
        <v>431</v>
      </c>
      <c r="B98" t="s">
        <v>343</v>
      </c>
      <c r="C98" t="s">
        <v>223</v>
      </c>
      <c r="D98" t="s">
        <v>1184</v>
      </c>
      <c r="E98" t="s">
        <v>8</v>
      </c>
      <c r="F98" t="s">
        <v>248</v>
      </c>
      <c r="G98" t="s">
        <v>1185</v>
      </c>
      <c r="H98" s="7">
        <v>43207</v>
      </c>
    </row>
    <row r="99" spans="1:8" x14ac:dyDescent="0.3">
      <c r="A99">
        <v>435</v>
      </c>
      <c r="B99" t="s">
        <v>254</v>
      </c>
      <c r="C99" t="s">
        <v>67</v>
      </c>
      <c r="D99" t="s">
        <v>468</v>
      </c>
      <c r="E99" t="s">
        <v>8</v>
      </c>
      <c r="F99" t="s">
        <v>55</v>
      </c>
      <c r="G99" t="s">
        <v>650</v>
      </c>
      <c r="H99" s="7">
        <v>60628</v>
      </c>
    </row>
    <row r="100" spans="1:8" x14ac:dyDescent="0.3">
      <c r="A100">
        <v>439</v>
      </c>
      <c r="B100" t="s">
        <v>5</v>
      </c>
      <c r="C100" t="s">
        <v>795</v>
      </c>
      <c r="D100" t="s">
        <v>1420</v>
      </c>
      <c r="E100" t="s">
        <v>8</v>
      </c>
      <c r="F100" t="s">
        <v>9</v>
      </c>
      <c r="G100" t="s">
        <v>1421</v>
      </c>
      <c r="H100" s="7">
        <v>725</v>
      </c>
    </row>
    <row r="101" spans="1:8" x14ac:dyDescent="0.3">
      <c r="A101">
        <v>442</v>
      </c>
      <c r="B101" t="s">
        <v>1910</v>
      </c>
      <c r="C101" t="s">
        <v>93</v>
      </c>
      <c r="D101" t="s">
        <v>107</v>
      </c>
      <c r="E101" t="s">
        <v>8</v>
      </c>
      <c r="F101" t="s">
        <v>77</v>
      </c>
      <c r="G101" t="s">
        <v>1911</v>
      </c>
      <c r="H101" s="7">
        <v>18103</v>
      </c>
    </row>
    <row r="102" spans="1:8" x14ac:dyDescent="0.3">
      <c r="A102">
        <v>455</v>
      </c>
      <c r="B102" t="s">
        <v>1581</v>
      </c>
      <c r="C102" t="s">
        <v>2441</v>
      </c>
      <c r="D102" t="s">
        <v>107</v>
      </c>
      <c r="E102" t="s">
        <v>8</v>
      </c>
      <c r="F102" t="s">
        <v>729</v>
      </c>
      <c r="G102" t="s">
        <v>265</v>
      </c>
      <c r="H102" s="7">
        <v>80918</v>
      </c>
    </row>
    <row r="103" spans="1:8" x14ac:dyDescent="0.3">
      <c r="A103">
        <v>456</v>
      </c>
      <c r="B103" t="s">
        <v>5</v>
      </c>
      <c r="C103" t="s">
        <v>462</v>
      </c>
      <c r="D103" t="s">
        <v>1854</v>
      </c>
      <c r="E103" t="s">
        <v>8</v>
      </c>
      <c r="F103" t="s">
        <v>9</v>
      </c>
      <c r="G103" t="s">
        <v>4534</v>
      </c>
      <c r="H103" s="7">
        <v>725</v>
      </c>
    </row>
    <row r="104" spans="1:8" x14ac:dyDescent="0.3">
      <c r="A104">
        <v>458</v>
      </c>
      <c r="B104" t="s">
        <v>1793</v>
      </c>
      <c r="C104" t="s">
        <v>891</v>
      </c>
      <c r="D104" t="s">
        <v>2093</v>
      </c>
      <c r="E104" t="s">
        <v>8</v>
      </c>
      <c r="F104" t="s">
        <v>21</v>
      </c>
      <c r="G104" t="s">
        <v>4961</v>
      </c>
      <c r="H104" s="7">
        <v>94109</v>
      </c>
    </row>
    <row r="105" spans="1:8" x14ac:dyDescent="0.3">
      <c r="A105">
        <v>463</v>
      </c>
      <c r="B105" t="s">
        <v>5</v>
      </c>
      <c r="C105" t="s">
        <v>2871</v>
      </c>
      <c r="D105" t="s">
        <v>107</v>
      </c>
      <c r="E105" t="s">
        <v>27</v>
      </c>
      <c r="F105" t="s">
        <v>9</v>
      </c>
      <c r="G105" t="s">
        <v>5358</v>
      </c>
      <c r="H105" s="7">
        <v>725</v>
      </c>
    </row>
    <row r="106" spans="1:8" x14ac:dyDescent="0.3">
      <c r="A106">
        <v>464</v>
      </c>
      <c r="B106" t="s">
        <v>846</v>
      </c>
      <c r="C106" t="s">
        <v>93</v>
      </c>
      <c r="D106" t="s">
        <v>1266</v>
      </c>
      <c r="E106" t="s">
        <v>8</v>
      </c>
      <c r="F106" t="s">
        <v>77</v>
      </c>
      <c r="G106" t="s">
        <v>2105</v>
      </c>
      <c r="H106" s="7">
        <v>19067</v>
      </c>
    </row>
    <row r="107" spans="1:8" x14ac:dyDescent="0.3">
      <c r="A107">
        <v>467</v>
      </c>
      <c r="B107" t="s">
        <v>761</v>
      </c>
      <c r="C107" t="s">
        <v>251</v>
      </c>
      <c r="D107" t="s">
        <v>107</v>
      </c>
      <c r="E107" t="s">
        <v>8</v>
      </c>
      <c r="F107" t="s">
        <v>21</v>
      </c>
      <c r="G107" t="s">
        <v>4081</v>
      </c>
      <c r="H107" s="7">
        <v>95350</v>
      </c>
    </row>
    <row r="108" spans="1:8" x14ac:dyDescent="0.3">
      <c r="A108">
        <v>477</v>
      </c>
      <c r="B108" t="s">
        <v>5</v>
      </c>
      <c r="C108" t="s">
        <v>745</v>
      </c>
      <c r="D108" t="s">
        <v>107</v>
      </c>
      <c r="E108" t="s">
        <v>27</v>
      </c>
      <c r="F108" t="s">
        <v>9</v>
      </c>
      <c r="G108" t="s">
        <v>2800</v>
      </c>
      <c r="H108" s="7">
        <v>725</v>
      </c>
    </row>
    <row r="109" spans="1:8" x14ac:dyDescent="0.3">
      <c r="A109">
        <v>507</v>
      </c>
      <c r="B109" t="s">
        <v>707</v>
      </c>
      <c r="C109" t="s">
        <v>1039</v>
      </c>
      <c r="D109" t="s">
        <v>107</v>
      </c>
      <c r="E109" t="s">
        <v>8</v>
      </c>
      <c r="F109" t="s">
        <v>21</v>
      </c>
      <c r="G109" t="s">
        <v>3115</v>
      </c>
      <c r="H109" s="7">
        <v>93065</v>
      </c>
    </row>
    <row r="110" spans="1:8" x14ac:dyDescent="0.3">
      <c r="A110">
        <v>532</v>
      </c>
      <c r="B110" t="s">
        <v>287</v>
      </c>
      <c r="C110" t="s">
        <v>288</v>
      </c>
      <c r="D110" t="s">
        <v>107</v>
      </c>
      <c r="E110" t="s">
        <v>27</v>
      </c>
      <c r="F110" t="s">
        <v>114</v>
      </c>
      <c r="G110" t="s">
        <v>289</v>
      </c>
      <c r="H110" s="7">
        <v>77479</v>
      </c>
    </row>
    <row r="111" spans="1:8" x14ac:dyDescent="0.3">
      <c r="A111">
        <v>544</v>
      </c>
      <c r="B111" t="s">
        <v>5</v>
      </c>
      <c r="C111" t="s">
        <v>93</v>
      </c>
      <c r="D111" t="s">
        <v>107</v>
      </c>
      <c r="E111" t="s">
        <v>8</v>
      </c>
      <c r="F111" t="s">
        <v>9</v>
      </c>
      <c r="G111" t="s">
        <v>5034</v>
      </c>
      <c r="H111" s="7">
        <v>725</v>
      </c>
    </row>
    <row r="112" spans="1:8" x14ac:dyDescent="0.3">
      <c r="A112">
        <v>545</v>
      </c>
      <c r="B112" t="s">
        <v>1263</v>
      </c>
      <c r="C112" t="s">
        <v>1207</v>
      </c>
      <c r="D112" t="s">
        <v>1633</v>
      </c>
      <c r="E112" t="s">
        <v>8</v>
      </c>
      <c r="F112" t="s">
        <v>21</v>
      </c>
      <c r="G112" t="s">
        <v>3385</v>
      </c>
      <c r="H112" s="7">
        <v>92021</v>
      </c>
    </row>
    <row r="113" spans="1:8" x14ac:dyDescent="0.3">
      <c r="A113">
        <v>551</v>
      </c>
      <c r="B113" t="s">
        <v>5</v>
      </c>
      <c r="C113" t="s">
        <v>657</v>
      </c>
      <c r="D113" t="s">
        <v>1864</v>
      </c>
      <c r="E113" t="s">
        <v>8</v>
      </c>
      <c r="F113" t="s">
        <v>9</v>
      </c>
      <c r="G113" t="s">
        <v>2671</v>
      </c>
      <c r="H113" s="7">
        <v>725</v>
      </c>
    </row>
    <row r="114" spans="1:8" x14ac:dyDescent="0.3">
      <c r="A114">
        <v>558</v>
      </c>
      <c r="B114" t="s">
        <v>74</v>
      </c>
      <c r="C114" t="s">
        <v>223</v>
      </c>
      <c r="D114" t="s">
        <v>2735</v>
      </c>
      <c r="E114" t="s">
        <v>8</v>
      </c>
      <c r="F114" t="s">
        <v>77</v>
      </c>
      <c r="G114" t="s">
        <v>2736</v>
      </c>
      <c r="H114" s="7">
        <v>17013</v>
      </c>
    </row>
    <row r="115" spans="1:8" x14ac:dyDescent="0.3">
      <c r="A115">
        <v>561</v>
      </c>
      <c r="B115" t="s">
        <v>5</v>
      </c>
      <c r="C115" t="s">
        <v>3319</v>
      </c>
      <c r="D115" t="s">
        <v>3649</v>
      </c>
      <c r="E115" t="s">
        <v>27</v>
      </c>
      <c r="F115" t="s">
        <v>9</v>
      </c>
      <c r="G115" t="s">
        <v>5596</v>
      </c>
      <c r="H115" s="7">
        <v>725</v>
      </c>
    </row>
    <row r="116" spans="1:8" x14ac:dyDescent="0.3">
      <c r="A116">
        <v>580</v>
      </c>
      <c r="B116" t="s">
        <v>5</v>
      </c>
      <c r="C116" t="s">
        <v>1068</v>
      </c>
      <c r="D116" t="s">
        <v>1176</v>
      </c>
      <c r="E116" t="s">
        <v>27</v>
      </c>
      <c r="F116" t="s">
        <v>9</v>
      </c>
      <c r="G116" t="s">
        <v>5289</v>
      </c>
      <c r="H116" s="7">
        <v>725</v>
      </c>
    </row>
    <row r="117" spans="1:8" x14ac:dyDescent="0.3">
      <c r="A117">
        <v>581</v>
      </c>
      <c r="B117" t="s">
        <v>759</v>
      </c>
      <c r="C117" t="s">
        <v>93</v>
      </c>
      <c r="D117" t="s">
        <v>87</v>
      </c>
      <c r="E117" t="s">
        <v>8</v>
      </c>
      <c r="F117" t="s">
        <v>308</v>
      </c>
      <c r="G117" t="s">
        <v>4132</v>
      </c>
      <c r="H117" s="7">
        <v>7093</v>
      </c>
    </row>
    <row r="118" spans="1:8" x14ac:dyDescent="0.3">
      <c r="A118">
        <v>604</v>
      </c>
      <c r="B118" t="s">
        <v>5</v>
      </c>
      <c r="C118" t="s">
        <v>93</v>
      </c>
      <c r="D118" t="s">
        <v>1494</v>
      </c>
      <c r="E118" t="s">
        <v>8</v>
      </c>
      <c r="F118" t="s">
        <v>9</v>
      </c>
      <c r="G118" t="s">
        <v>2440</v>
      </c>
      <c r="H118" s="7">
        <v>725</v>
      </c>
    </row>
    <row r="119" spans="1:8" x14ac:dyDescent="0.3">
      <c r="A119">
        <v>606</v>
      </c>
      <c r="B119" t="s">
        <v>997</v>
      </c>
      <c r="C119" t="s">
        <v>93</v>
      </c>
      <c r="D119" t="s">
        <v>107</v>
      </c>
      <c r="E119" t="s">
        <v>8</v>
      </c>
      <c r="F119" t="s">
        <v>2654</v>
      </c>
      <c r="G119" t="s">
        <v>4663</v>
      </c>
      <c r="H119" s="7">
        <v>19702</v>
      </c>
    </row>
    <row r="120" spans="1:8" x14ac:dyDescent="0.3">
      <c r="A120">
        <v>607</v>
      </c>
      <c r="B120" t="s">
        <v>5</v>
      </c>
      <c r="C120" t="s">
        <v>491</v>
      </c>
      <c r="D120" t="s">
        <v>2890</v>
      </c>
      <c r="E120" t="s">
        <v>8</v>
      </c>
      <c r="F120" t="s">
        <v>9</v>
      </c>
      <c r="G120" t="s">
        <v>3811</v>
      </c>
      <c r="H120" s="7">
        <v>725</v>
      </c>
    </row>
    <row r="121" spans="1:8" x14ac:dyDescent="0.3">
      <c r="A121">
        <v>619</v>
      </c>
      <c r="B121" t="s">
        <v>699</v>
      </c>
      <c r="C121" t="s">
        <v>700</v>
      </c>
      <c r="D121" t="s">
        <v>559</v>
      </c>
      <c r="E121" t="s">
        <v>27</v>
      </c>
      <c r="F121" t="s">
        <v>114</v>
      </c>
      <c r="G121" t="s">
        <v>701</v>
      </c>
      <c r="H121" s="7">
        <v>77015</v>
      </c>
    </row>
    <row r="122" spans="1:8" x14ac:dyDescent="0.3">
      <c r="A122">
        <v>620</v>
      </c>
      <c r="B122" t="s">
        <v>5</v>
      </c>
      <c r="C122" t="s">
        <v>1391</v>
      </c>
      <c r="D122" t="s">
        <v>107</v>
      </c>
      <c r="E122" t="s">
        <v>8</v>
      </c>
      <c r="F122" t="s">
        <v>9</v>
      </c>
      <c r="G122" t="s">
        <v>3395</v>
      </c>
      <c r="H122" s="7">
        <v>725</v>
      </c>
    </row>
    <row r="123" spans="1:8" x14ac:dyDescent="0.3">
      <c r="A123">
        <v>622</v>
      </c>
      <c r="B123" t="s">
        <v>5</v>
      </c>
      <c r="C123" t="s">
        <v>755</v>
      </c>
      <c r="D123" t="s">
        <v>1762</v>
      </c>
      <c r="E123" t="s">
        <v>27</v>
      </c>
      <c r="F123" t="s">
        <v>9</v>
      </c>
      <c r="G123" t="s">
        <v>1763</v>
      </c>
      <c r="H123" s="7">
        <v>725</v>
      </c>
    </row>
    <row r="124" spans="1:8" x14ac:dyDescent="0.3">
      <c r="A124">
        <v>626</v>
      </c>
      <c r="B124" t="s">
        <v>508</v>
      </c>
      <c r="C124" t="s">
        <v>93</v>
      </c>
      <c r="D124" t="s">
        <v>2728</v>
      </c>
      <c r="E124" t="s">
        <v>27</v>
      </c>
      <c r="F124" t="s">
        <v>114</v>
      </c>
      <c r="G124" t="s">
        <v>2729</v>
      </c>
      <c r="H124" s="7">
        <v>75228</v>
      </c>
    </row>
    <row r="125" spans="1:8" x14ac:dyDescent="0.3">
      <c r="A125">
        <v>634</v>
      </c>
      <c r="B125" t="s">
        <v>2106</v>
      </c>
      <c r="C125" t="s">
        <v>1794</v>
      </c>
      <c r="D125" t="s">
        <v>1825</v>
      </c>
      <c r="E125" t="s">
        <v>95</v>
      </c>
      <c r="F125" t="s">
        <v>21</v>
      </c>
      <c r="G125" t="s">
        <v>2692</v>
      </c>
      <c r="H125" s="7">
        <v>92504</v>
      </c>
    </row>
    <row r="126" spans="1:8" x14ac:dyDescent="0.3">
      <c r="A126">
        <v>639</v>
      </c>
      <c r="B126" t="s">
        <v>5</v>
      </c>
      <c r="C126" t="s">
        <v>454</v>
      </c>
      <c r="D126" t="s">
        <v>3876</v>
      </c>
      <c r="E126" t="s">
        <v>95</v>
      </c>
      <c r="F126" t="s">
        <v>9</v>
      </c>
      <c r="G126" t="s">
        <v>3877</v>
      </c>
      <c r="H126" s="7">
        <v>725</v>
      </c>
    </row>
    <row r="127" spans="1:8" x14ac:dyDescent="0.3">
      <c r="A127">
        <v>644</v>
      </c>
      <c r="B127" t="s">
        <v>5</v>
      </c>
      <c r="C127" t="s">
        <v>93</v>
      </c>
      <c r="D127" t="s">
        <v>107</v>
      </c>
      <c r="E127" t="s">
        <v>95</v>
      </c>
      <c r="F127" t="s">
        <v>9</v>
      </c>
      <c r="G127" t="s">
        <v>893</v>
      </c>
      <c r="H127" s="7">
        <v>725</v>
      </c>
    </row>
    <row r="128" spans="1:8" x14ac:dyDescent="0.3">
      <c r="A128">
        <v>663</v>
      </c>
      <c r="B128" t="s">
        <v>1020</v>
      </c>
      <c r="C128" t="s">
        <v>93</v>
      </c>
      <c r="D128" t="s">
        <v>107</v>
      </c>
      <c r="E128" t="s">
        <v>8</v>
      </c>
      <c r="F128" t="s">
        <v>21</v>
      </c>
      <c r="G128" t="s">
        <v>4743</v>
      </c>
      <c r="H128" s="7">
        <v>91331</v>
      </c>
    </row>
    <row r="129" spans="1:8" x14ac:dyDescent="0.3">
      <c r="A129">
        <v>664</v>
      </c>
      <c r="B129" t="s">
        <v>2429</v>
      </c>
      <c r="C129" t="s">
        <v>3187</v>
      </c>
      <c r="D129" t="s">
        <v>3188</v>
      </c>
      <c r="E129" t="s">
        <v>95</v>
      </c>
      <c r="F129" t="s">
        <v>381</v>
      </c>
      <c r="G129" t="s">
        <v>915</v>
      </c>
      <c r="H129" s="7">
        <v>49423</v>
      </c>
    </row>
    <row r="130" spans="1:8" x14ac:dyDescent="0.3">
      <c r="A130">
        <v>665</v>
      </c>
      <c r="B130" t="s">
        <v>5</v>
      </c>
      <c r="C130" t="s">
        <v>93</v>
      </c>
      <c r="D130" t="s">
        <v>107</v>
      </c>
      <c r="E130" t="s">
        <v>8</v>
      </c>
      <c r="F130" t="s">
        <v>9</v>
      </c>
      <c r="G130" t="s">
        <v>5008</v>
      </c>
      <c r="H130" s="7">
        <v>725</v>
      </c>
    </row>
    <row r="131" spans="1:8" x14ac:dyDescent="0.3">
      <c r="A131">
        <v>668</v>
      </c>
      <c r="B131" t="s">
        <v>187</v>
      </c>
      <c r="C131" t="s">
        <v>2080</v>
      </c>
      <c r="D131" t="s">
        <v>2224</v>
      </c>
      <c r="E131" t="s">
        <v>95</v>
      </c>
      <c r="F131" t="s">
        <v>190</v>
      </c>
      <c r="G131" t="s">
        <v>5223</v>
      </c>
      <c r="H131" s="7">
        <v>85345</v>
      </c>
    </row>
    <row r="132" spans="1:8" x14ac:dyDescent="0.3">
      <c r="A132">
        <v>670</v>
      </c>
      <c r="B132" t="s">
        <v>5</v>
      </c>
      <c r="C132" t="s">
        <v>93</v>
      </c>
      <c r="D132" t="s">
        <v>107</v>
      </c>
      <c r="E132" t="s">
        <v>27</v>
      </c>
      <c r="F132" t="s">
        <v>9</v>
      </c>
      <c r="G132" t="s">
        <v>2963</v>
      </c>
      <c r="H132" s="7">
        <v>725</v>
      </c>
    </row>
    <row r="133" spans="1:8" x14ac:dyDescent="0.3">
      <c r="A133">
        <v>674</v>
      </c>
      <c r="B133" t="s">
        <v>846</v>
      </c>
      <c r="C133" t="s">
        <v>847</v>
      </c>
      <c r="D133" t="s">
        <v>848</v>
      </c>
      <c r="E133" t="s">
        <v>8</v>
      </c>
      <c r="F133" t="s">
        <v>77</v>
      </c>
      <c r="G133" t="s">
        <v>849</v>
      </c>
      <c r="H133" s="7">
        <v>19067</v>
      </c>
    </row>
    <row r="134" spans="1:8" x14ac:dyDescent="0.3">
      <c r="A134">
        <v>684</v>
      </c>
      <c r="B134" t="s">
        <v>2219</v>
      </c>
      <c r="C134" t="s">
        <v>444</v>
      </c>
      <c r="D134" t="s">
        <v>2220</v>
      </c>
      <c r="E134" t="s">
        <v>27</v>
      </c>
      <c r="F134" t="s">
        <v>381</v>
      </c>
      <c r="G134" t="s">
        <v>2221</v>
      </c>
      <c r="H134" s="7">
        <v>48203</v>
      </c>
    </row>
    <row r="135" spans="1:8" x14ac:dyDescent="0.3">
      <c r="A135">
        <v>685</v>
      </c>
      <c r="B135" t="s">
        <v>5</v>
      </c>
      <c r="C135" t="s">
        <v>488</v>
      </c>
      <c r="D135" t="s">
        <v>107</v>
      </c>
      <c r="E135" t="s">
        <v>95</v>
      </c>
      <c r="F135" t="s">
        <v>9</v>
      </c>
      <c r="G135" t="s">
        <v>1079</v>
      </c>
      <c r="H135" s="7">
        <v>725</v>
      </c>
    </row>
    <row r="136" spans="1:8" x14ac:dyDescent="0.3">
      <c r="A136">
        <v>686</v>
      </c>
      <c r="B136" t="s">
        <v>1023</v>
      </c>
      <c r="C136" t="s">
        <v>93</v>
      </c>
      <c r="D136" t="s">
        <v>2201</v>
      </c>
      <c r="E136" t="s">
        <v>95</v>
      </c>
      <c r="F136" t="s">
        <v>21</v>
      </c>
      <c r="G136" t="s">
        <v>3454</v>
      </c>
      <c r="H136" s="7">
        <v>91605</v>
      </c>
    </row>
    <row r="137" spans="1:8" x14ac:dyDescent="0.3">
      <c r="A137">
        <v>689</v>
      </c>
      <c r="B137" t="s">
        <v>5</v>
      </c>
      <c r="C137" t="s">
        <v>93</v>
      </c>
      <c r="D137" t="s">
        <v>107</v>
      </c>
      <c r="E137" t="s">
        <v>95</v>
      </c>
      <c r="F137" t="s">
        <v>9</v>
      </c>
      <c r="G137" t="s">
        <v>3539</v>
      </c>
      <c r="H137" s="7">
        <v>725</v>
      </c>
    </row>
    <row r="138" spans="1:8" x14ac:dyDescent="0.3">
      <c r="A138">
        <v>692</v>
      </c>
      <c r="B138" t="s">
        <v>769</v>
      </c>
      <c r="C138" t="s">
        <v>1642</v>
      </c>
      <c r="D138" t="s">
        <v>107</v>
      </c>
      <c r="E138" t="s">
        <v>95</v>
      </c>
      <c r="F138" t="s">
        <v>190</v>
      </c>
      <c r="G138" t="s">
        <v>3827</v>
      </c>
      <c r="H138" s="7">
        <v>85029</v>
      </c>
    </row>
    <row r="139" spans="1:8" x14ac:dyDescent="0.3">
      <c r="A139">
        <v>694</v>
      </c>
      <c r="B139" t="s">
        <v>670</v>
      </c>
      <c r="C139" t="s">
        <v>2693</v>
      </c>
      <c r="D139" t="s">
        <v>3034</v>
      </c>
      <c r="E139" t="s">
        <v>8</v>
      </c>
      <c r="F139" t="s">
        <v>88</v>
      </c>
      <c r="G139" t="s">
        <v>3035</v>
      </c>
      <c r="H139" s="7">
        <v>11373</v>
      </c>
    </row>
    <row r="140" spans="1:8" x14ac:dyDescent="0.3">
      <c r="A140">
        <v>697</v>
      </c>
      <c r="B140" t="s">
        <v>733</v>
      </c>
      <c r="C140" t="s">
        <v>1326</v>
      </c>
      <c r="D140" t="s">
        <v>4184</v>
      </c>
      <c r="E140" t="s">
        <v>8</v>
      </c>
      <c r="F140" t="s">
        <v>735</v>
      </c>
      <c r="G140" t="s">
        <v>2900</v>
      </c>
      <c r="H140" s="7">
        <v>20019</v>
      </c>
    </row>
    <row r="141" spans="1:8" x14ac:dyDescent="0.3">
      <c r="A141">
        <v>698</v>
      </c>
      <c r="B141" t="s">
        <v>5</v>
      </c>
      <c r="C141" t="s">
        <v>93</v>
      </c>
      <c r="D141" t="s">
        <v>107</v>
      </c>
      <c r="E141" t="s">
        <v>27</v>
      </c>
      <c r="F141" t="s">
        <v>9</v>
      </c>
      <c r="G141" t="s">
        <v>2052</v>
      </c>
      <c r="H141" s="7">
        <v>725</v>
      </c>
    </row>
    <row r="142" spans="1:8" x14ac:dyDescent="0.3">
      <c r="A142">
        <v>699</v>
      </c>
      <c r="B142" t="s">
        <v>699</v>
      </c>
      <c r="C142" t="s">
        <v>506</v>
      </c>
      <c r="D142" t="s">
        <v>1887</v>
      </c>
      <c r="E142" t="s">
        <v>27</v>
      </c>
      <c r="F142" t="s">
        <v>114</v>
      </c>
      <c r="G142" t="s">
        <v>5540</v>
      </c>
      <c r="H142" s="7">
        <v>77036</v>
      </c>
    </row>
    <row r="143" spans="1:8" x14ac:dyDescent="0.3">
      <c r="A143">
        <v>700</v>
      </c>
      <c r="B143" t="s">
        <v>3422</v>
      </c>
      <c r="C143" t="s">
        <v>93</v>
      </c>
      <c r="D143" t="s">
        <v>3423</v>
      </c>
      <c r="E143" t="s">
        <v>8</v>
      </c>
      <c r="F143" t="s">
        <v>21</v>
      </c>
      <c r="G143" t="s">
        <v>3424</v>
      </c>
      <c r="H143" s="7">
        <v>91910</v>
      </c>
    </row>
    <row r="144" spans="1:8" x14ac:dyDescent="0.3">
      <c r="A144">
        <v>702</v>
      </c>
      <c r="B144" t="s">
        <v>105</v>
      </c>
      <c r="C144" t="s">
        <v>106</v>
      </c>
      <c r="D144" t="s">
        <v>107</v>
      </c>
      <c r="E144" t="s">
        <v>27</v>
      </c>
      <c r="F144" t="s">
        <v>108</v>
      </c>
      <c r="G144" t="s">
        <v>109</v>
      </c>
      <c r="H144" s="7">
        <v>97701</v>
      </c>
    </row>
    <row r="145" spans="1:8" x14ac:dyDescent="0.3">
      <c r="A145">
        <v>709</v>
      </c>
      <c r="B145" t="s">
        <v>5</v>
      </c>
      <c r="C145" t="s">
        <v>700</v>
      </c>
      <c r="D145" t="s">
        <v>3116</v>
      </c>
      <c r="E145" t="s">
        <v>8</v>
      </c>
      <c r="F145" t="s">
        <v>9</v>
      </c>
      <c r="G145" t="s">
        <v>5046</v>
      </c>
      <c r="H145" s="7">
        <v>725</v>
      </c>
    </row>
    <row r="146" spans="1:8" x14ac:dyDescent="0.3">
      <c r="A146">
        <v>715</v>
      </c>
      <c r="B146" t="s">
        <v>1648</v>
      </c>
      <c r="C146" t="s">
        <v>93</v>
      </c>
      <c r="D146" t="s">
        <v>107</v>
      </c>
      <c r="E146" t="s">
        <v>8</v>
      </c>
      <c r="F146" t="s">
        <v>1649</v>
      </c>
      <c r="G146" t="s">
        <v>3241</v>
      </c>
      <c r="H146" s="7">
        <v>52001</v>
      </c>
    </row>
    <row r="147" spans="1:8" x14ac:dyDescent="0.3">
      <c r="A147">
        <v>716</v>
      </c>
      <c r="B147" t="s">
        <v>5</v>
      </c>
      <c r="C147" t="s">
        <v>3197</v>
      </c>
      <c r="D147" t="s">
        <v>1528</v>
      </c>
      <c r="E147" t="s">
        <v>95</v>
      </c>
      <c r="F147" t="s">
        <v>9</v>
      </c>
      <c r="G147" t="s">
        <v>3198</v>
      </c>
      <c r="H147" s="7">
        <v>725</v>
      </c>
    </row>
    <row r="148" spans="1:8" x14ac:dyDescent="0.3">
      <c r="A148">
        <v>718</v>
      </c>
      <c r="B148" t="s">
        <v>5</v>
      </c>
      <c r="C148" t="s">
        <v>589</v>
      </c>
      <c r="D148" t="s">
        <v>107</v>
      </c>
      <c r="E148" t="s">
        <v>8</v>
      </c>
      <c r="F148" t="s">
        <v>9</v>
      </c>
      <c r="G148" t="s">
        <v>4843</v>
      </c>
      <c r="H148" s="7">
        <v>725</v>
      </c>
    </row>
    <row r="149" spans="1:8" x14ac:dyDescent="0.3">
      <c r="A149">
        <v>723</v>
      </c>
      <c r="B149" t="s">
        <v>823</v>
      </c>
      <c r="C149" t="s">
        <v>93</v>
      </c>
      <c r="D149" t="s">
        <v>107</v>
      </c>
      <c r="E149" t="s">
        <v>95</v>
      </c>
      <c r="F149" t="s">
        <v>283</v>
      </c>
      <c r="G149" t="s">
        <v>4803</v>
      </c>
      <c r="H149" s="7">
        <v>23223</v>
      </c>
    </row>
    <row r="150" spans="1:8" x14ac:dyDescent="0.3">
      <c r="A150">
        <v>729</v>
      </c>
      <c r="B150" t="s">
        <v>5</v>
      </c>
      <c r="C150" t="s">
        <v>564</v>
      </c>
      <c r="D150" t="s">
        <v>107</v>
      </c>
      <c r="E150" t="s">
        <v>8</v>
      </c>
      <c r="F150" t="s">
        <v>9</v>
      </c>
      <c r="G150" t="s">
        <v>5066</v>
      </c>
      <c r="H150" s="7">
        <v>725</v>
      </c>
    </row>
    <row r="151" spans="1:8" x14ac:dyDescent="0.3">
      <c r="A151">
        <v>736</v>
      </c>
      <c r="B151" t="s">
        <v>1902</v>
      </c>
      <c r="C151" t="s">
        <v>1546</v>
      </c>
      <c r="D151" t="s">
        <v>1050</v>
      </c>
      <c r="E151" t="s">
        <v>8</v>
      </c>
      <c r="F151" t="s">
        <v>1195</v>
      </c>
      <c r="G151" t="s">
        <v>1049</v>
      </c>
      <c r="H151" s="7">
        <v>98632</v>
      </c>
    </row>
    <row r="152" spans="1:8" x14ac:dyDescent="0.3">
      <c r="A152">
        <v>737</v>
      </c>
      <c r="B152" t="s">
        <v>2627</v>
      </c>
      <c r="C152" t="s">
        <v>1166</v>
      </c>
      <c r="D152" t="s">
        <v>107</v>
      </c>
      <c r="E152" t="s">
        <v>8</v>
      </c>
      <c r="F152" t="s">
        <v>21</v>
      </c>
      <c r="G152" t="s">
        <v>2894</v>
      </c>
      <c r="H152" s="7">
        <v>91767</v>
      </c>
    </row>
    <row r="153" spans="1:8" x14ac:dyDescent="0.3">
      <c r="A153">
        <v>740</v>
      </c>
      <c r="B153" t="s">
        <v>5</v>
      </c>
      <c r="C153" t="s">
        <v>1482</v>
      </c>
      <c r="D153" t="s">
        <v>107</v>
      </c>
      <c r="E153" t="s">
        <v>27</v>
      </c>
      <c r="F153" t="s">
        <v>9</v>
      </c>
      <c r="G153" t="s">
        <v>4912</v>
      </c>
      <c r="H153" s="7">
        <v>725</v>
      </c>
    </row>
    <row r="154" spans="1:8" x14ac:dyDescent="0.3">
      <c r="A154">
        <v>741</v>
      </c>
      <c r="B154" t="s">
        <v>495</v>
      </c>
      <c r="C154" t="s">
        <v>3764</v>
      </c>
      <c r="D154" t="s">
        <v>3026</v>
      </c>
      <c r="E154" t="s">
        <v>27</v>
      </c>
      <c r="F154" t="s">
        <v>88</v>
      </c>
      <c r="G154" t="s">
        <v>2859</v>
      </c>
      <c r="H154" s="7">
        <v>11211</v>
      </c>
    </row>
    <row r="155" spans="1:8" x14ac:dyDescent="0.3">
      <c r="A155">
        <v>754</v>
      </c>
      <c r="B155" t="s">
        <v>5</v>
      </c>
      <c r="C155" t="s">
        <v>272</v>
      </c>
      <c r="D155" t="s">
        <v>107</v>
      </c>
      <c r="E155" t="s">
        <v>8</v>
      </c>
      <c r="F155" t="s">
        <v>9</v>
      </c>
      <c r="G155" t="s">
        <v>3908</v>
      </c>
      <c r="H155" s="7">
        <v>725</v>
      </c>
    </row>
    <row r="156" spans="1:8" x14ac:dyDescent="0.3">
      <c r="A156">
        <v>756</v>
      </c>
      <c r="B156" t="s">
        <v>33</v>
      </c>
      <c r="C156" t="s">
        <v>112</v>
      </c>
      <c r="D156" t="s">
        <v>107</v>
      </c>
      <c r="E156" t="s">
        <v>27</v>
      </c>
      <c r="F156" t="s">
        <v>36</v>
      </c>
      <c r="G156" t="s">
        <v>3669</v>
      </c>
      <c r="H156" s="7">
        <v>1960</v>
      </c>
    </row>
    <row r="157" spans="1:8" x14ac:dyDescent="0.3">
      <c r="A157">
        <v>758</v>
      </c>
      <c r="B157" t="s">
        <v>5</v>
      </c>
      <c r="C157" t="s">
        <v>93</v>
      </c>
      <c r="D157" t="s">
        <v>1046</v>
      </c>
      <c r="E157" t="s">
        <v>8</v>
      </c>
      <c r="F157" t="s">
        <v>9</v>
      </c>
      <c r="G157" t="s">
        <v>3364</v>
      </c>
      <c r="H157" s="7">
        <v>725</v>
      </c>
    </row>
    <row r="158" spans="1:8" x14ac:dyDescent="0.3">
      <c r="A158">
        <v>759</v>
      </c>
      <c r="B158" t="s">
        <v>1978</v>
      </c>
      <c r="C158" t="s">
        <v>696</v>
      </c>
      <c r="D158" t="s">
        <v>107</v>
      </c>
      <c r="E158" t="s">
        <v>8</v>
      </c>
      <c r="F158" t="s">
        <v>1979</v>
      </c>
      <c r="G158" t="s">
        <v>1980</v>
      </c>
      <c r="H158" s="7">
        <v>73505</v>
      </c>
    </row>
    <row r="159" spans="1:8" x14ac:dyDescent="0.3">
      <c r="A159">
        <v>763</v>
      </c>
      <c r="B159" t="s">
        <v>254</v>
      </c>
      <c r="C159" t="s">
        <v>223</v>
      </c>
      <c r="D159" t="s">
        <v>1248</v>
      </c>
      <c r="E159" t="s">
        <v>8</v>
      </c>
      <c r="F159" t="s">
        <v>55</v>
      </c>
      <c r="G159" t="s">
        <v>5324</v>
      </c>
      <c r="H159" s="7">
        <v>60638</v>
      </c>
    </row>
    <row r="160" spans="1:8" x14ac:dyDescent="0.3">
      <c r="A160">
        <v>773</v>
      </c>
      <c r="B160" t="s">
        <v>1116</v>
      </c>
      <c r="C160" t="s">
        <v>745</v>
      </c>
      <c r="D160" t="s">
        <v>2062</v>
      </c>
      <c r="E160" t="s">
        <v>8</v>
      </c>
      <c r="F160" t="s">
        <v>1118</v>
      </c>
      <c r="G160" t="s">
        <v>4667</v>
      </c>
      <c r="H160" s="7">
        <v>55112</v>
      </c>
    </row>
    <row r="161" spans="1:8" x14ac:dyDescent="0.3">
      <c r="A161">
        <v>776</v>
      </c>
      <c r="B161" t="s">
        <v>5</v>
      </c>
      <c r="C161" t="s">
        <v>2317</v>
      </c>
      <c r="D161" t="s">
        <v>107</v>
      </c>
      <c r="E161" t="s">
        <v>8</v>
      </c>
      <c r="F161" t="s">
        <v>9</v>
      </c>
      <c r="G161" t="s">
        <v>2068</v>
      </c>
      <c r="H161" s="7">
        <v>725</v>
      </c>
    </row>
    <row r="162" spans="1:8" x14ac:dyDescent="0.3">
      <c r="A162">
        <v>787</v>
      </c>
      <c r="B162" t="s">
        <v>647</v>
      </c>
      <c r="C162" t="s">
        <v>2713</v>
      </c>
      <c r="D162" t="s">
        <v>4734</v>
      </c>
      <c r="E162" t="s">
        <v>27</v>
      </c>
      <c r="F162" t="s">
        <v>308</v>
      </c>
      <c r="G162" t="s">
        <v>4441</v>
      </c>
      <c r="H162" s="7">
        <v>8854</v>
      </c>
    </row>
    <row r="163" spans="1:8" x14ac:dyDescent="0.3">
      <c r="A163">
        <v>790</v>
      </c>
      <c r="B163" t="s">
        <v>131</v>
      </c>
      <c r="C163" t="s">
        <v>1121</v>
      </c>
      <c r="D163" t="s">
        <v>1812</v>
      </c>
      <c r="E163" t="s">
        <v>27</v>
      </c>
      <c r="F163" t="s">
        <v>134</v>
      </c>
      <c r="G163" t="s">
        <v>2016</v>
      </c>
      <c r="H163" s="7">
        <v>96817</v>
      </c>
    </row>
    <row r="164" spans="1:8" x14ac:dyDescent="0.3">
      <c r="A164">
        <v>792</v>
      </c>
      <c r="B164" t="s">
        <v>5</v>
      </c>
      <c r="C164" t="s">
        <v>436</v>
      </c>
      <c r="D164" t="s">
        <v>2067</v>
      </c>
      <c r="E164" t="s">
        <v>27</v>
      </c>
      <c r="F164" t="s">
        <v>9</v>
      </c>
      <c r="G164" t="s">
        <v>4562</v>
      </c>
      <c r="H164" s="7">
        <v>725</v>
      </c>
    </row>
    <row r="165" spans="1:8" x14ac:dyDescent="0.3">
      <c r="A165">
        <v>803</v>
      </c>
      <c r="B165" t="s">
        <v>1313</v>
      </c>
      <c r="C165" t="s">
        <v>251</v>
      </c>
      <c r="D165" t="s">
        <v>928</v>
      </c>
      <c r="E165" t="s">
        <v>8</v>
      </c>
      <c r="F165" t="s">
        <v>448</v>
      </c>
      <c r="G165" t="s">
        <v>3495</v>
      </c>
      <c r="H165" s="7">
        <v>33177</v>
      </c>
    </row>
    <row r="166" spans="1:8" x14ac:dyDescent="0.3">
      <c r="A166">
        <v>809</v>
      </c>
      <c r="B166" t="s">
        <v>5</v>
      </c>
      <c r="C166" t="s">
        <v>1103</v>
      </c>
      <c r="D166" t="s">
        <v>3665</v>
      </c>
      <c r="E166" t="s">
        <v>8</v>
      </c>
      <c r="F166" t="s">
        <v>9</v>
      </c>
      <c r="G166" t="s">
        <v>4460</v>
      </c>
      <c r="H166" s="7">
        <v>725</v>
      </c>
    </row>
    <row r="167" spans="1:8" x14ac:dyDescent="0.3">
      <c r="A167">
        <v>812</v>
      </c>
      <c r="B167" t="s">
        <v>142</v>
      </c>
      <c r="C167" t="s">
        <v>93</v>
      </c>
      <c r="D167" t="s">
        <v>107</v>
      </c>
      <c r="E167" t="s">
        <v>27</v>
      </c>
      <c r="F167" t="s">
        <v>88</v>
      </c>
      <c r="G167" t="s">
        <v>5019</v>
      </c>
      <c r="H167" s="7">
        <v>10462</v>
      </c>
    </row>
    <row r="168" spans="1:8" x14ac:dyDescent="0.3">
      <c r="A168">
        <v>813</v>
      </c>
      <c r="B168" t="s">
        <v>1793</v>
      </c>
      <c r="C168" t="s">
        <v>1794</v>
      </c>
      <c r="D168" t="s">
        <v>1304</v>
      </c>
      <c r="E168" t="s">
        <v>27</v>
      </c>
      <c r="F168" t="s">
        <v>21</v>
      </c>
      <c r="G168" t="s">
        <v>1795</v>
      </c>
      <c r="H168" s="7">
        <v>94122</v>
      </c>
    </row>
    <row r="169" spans="1:8" x14ac:dyDescent="0.3">
      <c r="A169">
        <v>821</v>
      </c>
      <c r="B169" t="s">
        <v>647</v>
      </c>
      <c r="C169" t="s">
        <v>1303</v>
      </c>
      <c r="D169" t="s">
        <v>1584</v>
      </c>
      <c r="E169" t="s">
        <v>27</v>
      </c>
      <c r="F169" t="s">
        <v>308</v>
      </c>
      <c r="G169" t="s">
        <v>1585</v>
      </c>
      <c r="H169" s="7">
        <v>8854</v>
      </c>
    </row>
    <row r="170" spans="1:8" x14ac:dyDescent="0.3">
      <c r="A170">
        <v>822</v>
      </c>
      <c r="B170" t="s">
        <v>1203</v>
      </c>
      <c r="C170" t="s">
        <v>411</v>
      </c>
      <c r="D170" t="s">
        <v>107</v>
      </c>
      <c r="E170" t="s">
        <v>27</v>
      </c>
      <c r="F170" t="s">
        <v>21</v>
      </c>
      <c r="G170" t="s">
        <v>4116</v>
      </c>
      <c r="H170" s="7">
        <v>91748</v>
      </c>
    </row>
    <row r="171" spans="1:8" x14ac:dyDescent="0.3">
      <c r="A171">
        <v>831</v>
      </c>
      <c r="B171" t="s">
        <v>1839</v>
      </c>
      <c r="C171" t="s">
        <v>1303</v>
      </c>
      <c r="D171" t="s">
        <v>107</v>
      </c>
      <c r="E171" t="s">
        <v>8</v>
      </c>
      <c r="F171" t="s">
        <v>55</v>
      </c>
      <c r="G171" t="s">
        <v>1841</v>
      </c>
      <c r="H171" s="7">
        <v>60014</v>
      </c>
    </row>
    <row r="172" spans="1:8" x14ac:dyDescent="0.3">
      <c r="A172">
        <v>833</v>
      </c>
      <c r="B172" t="s">
        <v>1648</v>
      </c>
      <c r="C172" t="s">
        <v>589</v>
      </c>
      <c r="D172" t="s">
        <v>107</v>
      </c>
      <c r="E172" t="s">
        <v>27</v>
      </c>
      <c r="F172" t="s">
        <v>1649</v>
      </c>
      <c r="G172" t="s">
        <v>1650</v>
      </c>
      <c r="H172" s="7">
        <v>52001</v>
      </c>
    </row>
    <row r="173" spans="1:8" x14ac:dyDescent="0.3">
      <c r="A173">
        <v>841</v>
      </c>
      <c r="B173" t="s">
        <v>142</v>
      </c>
      <c r="C173" t="s">
        <v>1191</v>
      </c>
      <c r="D173" t="s">
        <v>107</v>
      </c>
      <c r="E173" t="s">
        <v>8</v>
      </c>
      <c r="F173" t="s">
        <v>88</v>
      </c>
      <c r="G173" t="s">
        <v>1286</v>
      </c>
      <c r="H173" s="7">
        <v>10463</v>
      </c>
    </row>
    <row r="174" spans="1:8" x14ac:dyDescent="0.3">
      <c r="A174">
        <v>845</v>
      </c>
      <c r="B174" t="s">
        <v>2683</v>
      </c>
      <c r="C174" t="s">
        <v>971</v>
      </c>
      <c r="D174" t="s">
        <v>107</v>
      </c>
      <c r="E174" t="s">
        <v>8</v>
      </c>
      <c r="F174" t="s">
        <v>21</v>
      </c>
      <c r="G174" t="s">
        <v>3731</v>
      </c>
      <c r="H174" s="7">
        <v>92009</v>
      </c>
    </row>
    <row r="175" spans="1:8" x14ac:dyDescent="0.3">
      <c r="A175">
        <v>847</v>
      </c>
      <c r="B175" t="s">
        <v>117</v>
      </c>
      <c r="C175" t="s">
        <v>3126</v>
      </c>
      <c r="D175" t="s">
        <v>1706</v>
      </c>
      <c r="E175" t="s">
        <v>8</v>
      </c>
      <c r="F175" t="s">
        <v>21</v>
      </c>
      <c r="G175" t="s">
        <v>3501</v>
      </c>
      <c r="H175" s="7">
        <v>92102</v>
      </c>
    </row>
    <row r="176" spans="1:8" x14ac:dyDescent="0.3">
      <c r="A176">
        <v>853</v>
      </c>
      <c r="B176" t="s">
        <v>1203</v>
      </c>
      <c r="C176" t="s">
        <v>93</v>
      </c>
      <c r="D176" t="s">
        <v>1204</v>
      </c>
      <c r="E176" t="s">
        <v>8</v>
      </c>
      <c r="F176" t="s">
        <v>21</v>
      </c>
      <c r="G176" t="s">
        <v>1205</v>
      </c>
      <c r="H176" s="7">
        <v>91748</v>
      </c>
    </row>
    <row r="177" spans="1:8" x14ac:dyDescent="0.3">
      <c r="A177">
        <v>860</v>
      </c>
      <c r="B177" t="s">
        <v>699</v>
      </c>
      <c r="C177" t="s">
        <v>360</v>
      </c>
      <c r="D177" t="s">
        <v>107</v>
      </c>
      <c r="E177" t="s">
        <v>95</v>
      </c>
      <c r="F177" t="s">
        <v>114</v>
      </c>
      <c r="G177" t="s">
        <v>5514</v>
      </c>
      <c r="H177" s="7">
        <v>77081</v>
      </c>
    </row>
    <row r="178" spans="1:8" x14ac:dyDescent="0.3">
      <c r="A178">
        <v>863</v>
      </c>
      <c r="B178" t="s">
        <v>5</v>
      </c>
      <c r="C178" t="s">
        <v>407</v>
      </c>
      <c r="D178" t="s">
        <v>556</v>
      </c>
      <c r="E178" t="s">
        <v>8</v>
      </c>
      <c r="F178" t="s">
        <v>9</v>
      </c>
      <c r="G178" t="s">
        <v>3777</v>
      </c>
      <c r="H178" s="7">
        <v>725</v>
      </c>
    </row>
    <row r="179" spans="1:8" x14ac:dyDescent="0.3">
      <c r="A179">
        <v>866</v>
      </c>
      <c r="B179" t="s">
        <v>999</v>
      </c>
      <c r="C179" t="s">
        <v>251</v>
      </c>
      <c r="D179" t="s">
        <v>1762</v>
      </c>
      <c r="E179" t="s">
        <v>8</v>
      </c>
      <c r="F179" t="s">
        <v>55</v>
      </c>
      <c r="G179" t="s">
        <v>1836</v>
      </c>
      <c r="H179" s="7">
        <v>62301</v>
      </c>
    </row>
    <row r="180" spans="1:8" x14ac:dyDescent="0.3">
      <c r="A180">
        <v>876</v>
      </c>
      <c r="B180" t="s">
        <v>723</v>
      </c>
      <c r="C180" t="s">
        <v>1070</v>
      </c>
      <c r="D180" t="s">
        <v>107</v>
      </c>
      <c r="E180" t="s">
        <v>95</v>
      </c>
      <c r="F180" t="s">
        <v>729</v>
      </c>
      <c r="G180" t="s">
        <v>3673</v>
      </c>
      <c r="H180" s="7">
        <v>80012</v>
      </c>
    </row>
    <row r="181" spans="1:8" x14ac:dyDescent="0.3">
      <c r="A181">
        <v>878</v>
      </c>
      <c r="B181" t="s">
        <v>296</v>
      </c>
      <c r="C181" t="s">
        <v>93</v>
      </c>
      <c r="D181" t="s">
        <v>107</v>
      </c>
      <c r="E181" t="s">
        <v>8</v>
      </c>
      <c r="F181" t="s">
        <v>21</v>
      </c>
      <c r="G181" t="s">
        <v>3078</v>
      </c>
      <c r="H181" s="7">
        <v>91790</v>
      </c>
    </row>
    <row r="182" spans="1:8" x14ac:dyDescent="0.3">
      <c r="A182">
        <v>884</v>
      </c>
      <c r="B182" t="s">
        <v>1664</v>
      </c>
      <c r="C182" t="s">
        <v>93</v>
      </c>
      <c r="D182" t="s">
        <v>107</v>
      </c>
      <c r="E182" t="s">
        <v>8</v>
      </c>
      <c r="F182" t="s">
        <v>172</v>
      </c>
      <c r="G182" t="s">
        <v>5577</v>
      </c>
      <c r="H182" s="7">
        <v>63033</v>
      </c>
    </row>
    <row r="183" spans="1:8" x14ac:dyDescent="0.3">
      <c r="A183">
        <v>891</v>
      </c>
      <c r="B183" t="s">
        <v>673</v>
      </c>
      <c r="C183" t="s">
        <v>93</v>
      </c>
      <c r="D183" t="s">
        <v>171</v>
      </c>
      <c r="E183" t="s">
        <v>8</v>
      </c>
      <c r="F183" t="s">
        <v>108</v>
      </c>
      <c r="G183" t="s">
        <v>2579</v>
      </c>
      <c r="H183" s="7">
        <v>97007</v>
      </c>
    </row>
    <row r="184" spans="1:8" x14ac:dyDescent="0.3">
      <c r="A184">
        <v>892</v>
      </c>
      <c r="B184" t="s">
        <v>981</v>
      </c>
      <c r="C184" t="s">
        <v>766</v>
      </c>
      <c r="D184" t="s">
        <v>107</v>
      </c>
      <c r="E184" t="s">
        <v>95</v>
      </c>
      <c r="F184" t="s">
        <v>114</v>
      </c>
      <c r="G184" t="s">
        <v>4522</v>
      </c>
      <c r="H184" s="7">
        <v>75149</v>
      </c>
    </row>
    <row r="185" spans="1:8" x14ac:dyDescent="0.3">
      <c r="A185">
        <v>908</v>
      </c>
      <c r="B185" t="s">
        <v>5</v>
      </c>
      <c r="C185" t="s">
        <v>93</v>
      </c>
      <c r="D185" t="s">
        <v>107</v>
      </c>
      <c r="E185" t="s">
        <v>27</v>
      </c>
      <c r="F185" t="s">
        <v>9</v>
      </c>
      <c r="G185" t="s">
        <v>1059</v>
      </c>
      <c r="H185" s="7">
        <v>725</v>
      </c>
    </row>
    <row r="186" spans="1:8" x14ac:dyDescent="0.3">
      <c r="A186">
        <v>918</v>
      </c>
      <c r="B186" t="s">
        <v>5</v>
      </c>
      <c r="C186" t="s">
        <v>1714</v>
      </c>
      <c r="D186" t="s">
        <v>107</v>
      </c>
      <c r="E186" t="s">
        <v>27</v>
      </c>
      <c r="F186" t="s">
        <v>9</v>
      </c>
      <c r="G186" t="s">
        <v>5259</v>
      </c>
      <c r="H186" s="7">
        <v>725</v>
      </c>
    </row>
    <row r="187" spans="1:8" x14ac:dyDescent="0.3">
      <c r="A187">
        <v>920</v>
      </c>
      <c r="B187" t="s">
        <v>2718</v>
      </c>
      <c r="C187" t="s">
        <v>841</v>
      </c>
      <c r="D187" t="s">
        <v>2782</v>
      </c>
      <c r="E187" t="s">
        <v>8</v>
      </c>
      <c r="F187" t="s">
        <v>114</v>
      </c>
      <c r="G187" t="s">
        <v>4920</v>
      </c>
      <c r="H187" s="7">
        <v>78130</v>
      </c>
    </row>
    <row r="188" spans="1:8" x14ac:dyDescent="0.3">
      <c r="A188">
        <v>933</v>
      </c>
      <c r="B188" t="s">
        <v>765</v>
      </c>
      <c r="C188" t="s">
        <v>93</v>
      </c>
      <c r="D188" t="s">
        <v>107</v>
      </c>
      <c r="E188" t="s">
        <v>27</v>
      </c>
      <c r="F188" t="s">
        <v>308</v>
      </c>
      <c r="G188" t="s">
        <v>5024</v>
      </c>
      <c r="H188" s="7">
        <v>8302</v>
      </c>
    </row>
    <row r="189" spans="1:8" x14ac:dyDescent="0.3">
      <c r="A189">
        <v>935</v>
      </c>
      <c r="B189" t="s">
        <v>368</v>
      </c>
      <c r="C189" t="s">
        <v>1175</v>
      </c>
      <c r="D189" t="s">
        <v>2023</v>
      </c>
      <c r="E189" t="s">
        <v>27</v>
      </c>
      <c r="F189" t="s">
        <v>88</v>
      </c>
      <c r="G189" t="s">
        <v>1185</v>
      </c>
      <c r="H189" s="7">
        <v>10029</v>
      </c>
    </row>
    <row r="190" spans="1:8" x14ac:dyDescent="0.3">
      <c r="A190">
        <v>954</v>
      </c>
      <c r="B190" t="s">
        <v>823</v>
      </c>
      <c r="C190" t="s">
        <v>1482</v>
      </c>
      <c r="D190" t="s">
        <v>3393</v>
      </c>
      <c r="E190" t="s">
        <v>95</v>
      </c>
      <c r="F190" t="s">
        <v>114</v>
      </c>
      <c r="G190" t="s">
        <v>2794</v>
      </c>
      <c r="H190" s="7">
        <v>77469</v>
      </c>
    </row>
    <row r="191" spans="1:8" x14ac:dyDescent="0.3">
      <c r="A191">
        <v>958</v>
      </c>
      <c r="B191" t="s">
        <v>5</v>
      </c>
      <c r="C191" t="s">
        <v>3924</v>
      </c>
      <c r="D191" t="s">
        <v>2575</v>
      </c>
      <c r="E191" t="s">
        <v>27</v>
      </c>
      <c r="F191" t="s">
        <v>9</v>
      </c>
      <c r="G191" t="s">
        <v>4242</v>
      </c>
      <c r="H191" s="7">
        <v>725</v>
      </c>
    </row>
    <row r="192" spans="1:8" x14ac:dyDescent="0.3">
      <c r="A192">
        <v>961</v>
      </c>
      <c r="B192" t="s">
        <v>5</v>
      </c>
      <c r="C192" t="s">
        <v>1191</v>
      </c>
      <c r="D192" t="s">
        <v>107</v>
      </c>
      <c r="E192" t="s">
        <v>8</v>
      </c>
      <c r="F192" t="s">
        <v>9</v>
      </c>
      <c r="G192" t="s">
        <v>5287</v>
      </c>
      <c r="H192" s="7">
        <v>725</v>
      </c>
    </row>
    <row r="193" spans="1:8" x14ac:dyDescent="0.3">
      <c r="A193">
        <v>962</v>
      </c>
      <c r="B193" t="s">
        <v>2147</v>
      </c>
      <c r="C193" t="s">
        <v>93</v>
      </c>
      <c r="D193" t="s">
        <v>1280</v>
      </c>
      <c r="E193" t="s">
        <v>8</v>
      </c>
      <c r="F193" t="s">
        <v>172</v>
      </c>
      <c r="G193" t="s">
        <v>2943</v>
      </c>
      <c r="H193" s="7">
        <v>63376</v>
      </c>
    </row>
    <row r="194" spans="1:8" x14ac:dyDescent="0.3">
      <c r="A194">
        <v>964</v>
      </c>
      <c r="B194" t="s">
        <v>368</v>
      </c>
      <c r="C194" t="s">
        <v>93</v>
      </c>
      <c r="D194" t="s">
        <v>1622</v>
      </c>
      <c r="E194" t="s">
        <v>27</v>
      </c>
      <c r="F194" t="s">
        <v>88</v>
      </c>
      <c r="G194" t="s">
        <v>4450</v>
      </c>
      <c r="H194" s="7">
        <v>10027</v>
      </c>
    </row>
    <row r="195" spans="1:8" x14ac:dyDescent="0.3">
      <c r="A195">
        <v>970</v>
      </c>
      <c r="B195" t="s">
        <v>5</v>
      </c>
      <c r="C195" t="s">
        <v>93</v>
      </c>
      <c r="D195" t="s">
        <v>1416</v>
      </c>
      <c r="E195" t="s">
        <v>8</v>
      </c>
      <c r="F195" t="s">
        <v>9</v>
      </c>
      <c r="G195" t="s">
        <v>1417</v>
      </c>
      <c r="H195" s="7">
        <v>725</v>
      </c>
    </row>
    <row r="196" spans="1:8" x14ac:dyDescent="0.3">
      <c r="A196">
        <v>972</v>
      </c>
      <c r="B196" t="s">
        <v>5</v>
      </c>
      <c r="C196" t="s">
        <v>93</v>
      </c>
      <c r="D196" t="s">
        <v>107</v>
      </c>
      <c r="E196" t="s">
        <v>8</v>
      </c>
      <c r="F196" t="s">
        <v>9</v>
      </c>
      <c r="G196" t="s">
        <v>3078</v>
      </c>
      <c r="H196" s="7">
        <v>725</v>
      </c>
    </row>
    <row r="197" spans="1:8" x14ac:dyDescent="0.3">
      <c r="A197">
        <v>984</v>
      </c>
      <c r="B197" t="s">
        <v>254</v>
      </c>
      <c r="C197" t="s">
        <v>895</v>
      </c>
      <c r="D197" t="s">
        <v>107</v>
      </c>
      <c r="E197" t="s">
        <v>8</v>
      </c>
      <c r="F197" t="s">
        <v>55</v>
      </c>
      <c r="G197" t="s">
        <v>5199</v>
      </c>
      <c r="H197" s="7">
        <v>60617</v>
      </c>
    </row>
    <row r="198" spans="1:8" x14ac:dyDescent="0.3">
      <c r="A198">
        <v>987</v>
      </c>
      <c r="B198" t="s">
        <v>1635</v>
      </c>
      <c r="C198" t="s">
        <v>2301</v>
      </c>
      <c r="D198" t="s">
        <v>107</v>
      </c>
      <c r="E198" t="s">
        <v>8</v>
      </c>
      <c r="F198" t="s">
        <v>1177</v>
      </c>
      <c r="G198" t="s">
        <v>3225</v>
      </c>
      <c r="H198" s="7">
        <v>87111</v>
      </c>
    </row>
    <row r="199" spans="1:8" x14ac:dyDescent="0.3">
      <c r="A199">
        <v>989</v>
      </c>
      <c r="B199" t="s">
        <v>5</v>
      </c>
      <c r="C199" t="s">
        <v>2025</v>
      </c>
      <c r="D199" t="s">
        <v>107</v>
      </c>
      <c r="E199" t="s">
        <v>27</v>
      </c>
      <c r="F199" t="s">
        <v>9</v>
      </c>
      <c r="G199" t="s">
        <v>4627</v>
      </c>
      <c r="H199" s="7">
        <v>725</v>
      </c>
    </row>
    <row r="200" spans="1:8" x14ac:dyDescent="0.3">
      <c r="A200">
        <v>995</v>
      </c>
      <c r="B200" t="s">
        <v>823</v>
      </c>
      <c r="C200" t="s">
        <v>2025</v>
      </c>
      <c r="D200" t="s">
        <v>2128</v>
      </c>
      <c r="E200" t="s">
        <v>95</v>
      </c>
      <c r="F200" t="s">
        <v>749</v>
      </c>
      <c r="G200" t="s">
        <v>3698</v>
      </c>
      <c r="H200" s="7">
        <v>47374</v>
      </c>
    </row>
    <row r="201" spans="1:8" x14ac:dyDescent="0.3">
      <c r="A201">
        <v>1005</v>
      </c>
      <c r="B201" t="s">
        <v>495</v>
      </c>
      <c r="C201" t="s">
        <v>236</v>
      </c>
      <c r="D201" t="s">
        <v>4383</v>
      </c>
      <c r="E201" t="s">
        <v>95</v>
      </c>
      <c r="F201" t="s">
        <v>88</v>
      </c>
      <c r="G201" t="s">
        <v>5509</v>
      </c>
      <c r="H201" s="7">
        <v>11207</v>
      </c>
    </row>
    <row r="202" spans="1:8" x14ac:dyDescent="0.3">
      <c r="A202">
        <v>1011</v>
      </c>
      <c r="B202" t="s">
        <v>5</v>
      </c>
      <c r="C202" t="s">
        <v>93</v>
      </c>
      <c r="D202" t="s">
        <v>107</v>
      </c>
      <c r="E202" t="s">
        <v>27</v>
      </c>
      <c r="F202" t="s">
        <v>9</v>
      </c>
      <c r="G202" t="s">
        <v>2613</v>
      </c>
      <c r="H202" s="7">
        <v>725</v>
      </c>
    </row>
    <row r="203" spans="1:8" x14ac:dyDescent="0.3">
      <c r="A203">
        <v>1022</v>
      </c>
      <c r="B203" t="s">
        <v>2337</v>
      </c>
      <c r="C203" t="s">
        <v>93</v>
      </c>
      <c r="D203" t="s">
        <v>107</v>
      </c>
      <c r="E203" t="s">
        <v>8</v>
      </c>
      <c r="F203" t="s">
        <v>153</v>
      </c>
      <c r="G203" t="s">
        <v>3397</v>
      </c>
      <c r="H203" s="7">
        <v>84404</v>
      </c>
    </row>
    <row r="204" spans="1:8" x14ac:dyDescent="0.3">
      <c r="A204">
        <v>1027</v>
      </c>
      <c r="B204" t="s">
        <v>5</v>
      </c>
      <c r="C204" t="s">
        <v>2917</v>
      </c>
      <c r="D204" t="s">
        <v>2929</v>
      </c>
      <c r="E204" t="s">
        <v>95</v>
      </c>
      <c r="F204" t="s">
        <v>9</v>
      </c>
      <c r="G204" t="s">
        <v>4496</v>
      </c>
      <c r="H204" s="7">
        <v>725</v>
      </c>
    </row>
    <row r="205" spans="1:8" x14ac:dyDescent="0.3">
      <c r="A205">
        <v>1028</v>
      </c>
      <c r="B205" t="s">
        <v>601</v>
      </c>
      <c r="C205" t="s">
        <v>1045</v>
      </c>
      <c r="D205" t="s">
        <v>1046</v>
      </c>
      <c r="E205" t="s">
        <v>27</v>
      </c>
      <c r="F205" t="s">
        <v>114</v>
      </c>
      <c r="G205" t="s">
        <v>1047</v>
      </c>
      <c r="H205" s="7">
        <v>78704</v>
      </c>
    </row>
    <row r="206" spans="1:8" x14ac:dyDescent="0.3">
      <c r="A206">
        <v>1031</v>
      </c>
      <c r="B206" t="s">
        <v>1549</v>
      </c>
      <c r="C206" t="s">
        <v>589</v>
      </c>
      <c r="D206" t="s">
        <v>107</v>
      </c>
      <c r="E206" t="s">
        <v>27</v>
      </c>
      <c r="F206" t="s">
        <v>21</v>
      </c>
      <c r="G206" t="s">
        <v>231</v>
      </c>
      <c r="H206" s="7">
        <v>90630</v>
      </c>
    </row>
    <row r="207" spans="1:8" x14ac:dyDescent="0.3">
      <c r="A207">
        <v>1034</v>
      </c>
      <c r="B207" t="s">
        <v>4787</v>
      </c>
      <c r="C207" t="s">
        <v>93</v>
      </c>
      <c r="D207" t="s">
        <v>107</v>
      </c>
      <c r="E207" t="s">
        <v>8</v>
      </c>
      <c r="F207" t="s">
        <v>21</v>
      </c>
      <c r="G207" t="s">
        <v>1843</v>
      </c>
      <c r="H207" s="7">
        <v>95340</v>
      </c>
    </row>
    <row r="208" spans="1:8" x14ac:dyDescent="0.3">
      <c r="A208">
        <v>1037</v>
      </c>
      <c r="B208" t="s">
        <v>5</v>
      </c>
      <c r="C208" t="s">
        <v>417</v>
      </c>
      <c r="D208" t="s">
        <v>107</v>
      </c>
      <c r="E208" t="s">
        <v>8</v>
      </c>
      <c r="F208" t="s">
        <v>9</v>
      </c>
      <c r="G208" t="s">
        <v>3264</v>
      </c>
      <c r="H208" s="7">
        <v>725</v>
      </c>
    </row>
    <row r="209" spans="1:8" x14ac:dyDescent="0.3">
      <c r="A209">
        <v>1038</v>
      </c>
      <c r="B209" t="s">
        <v>1493</v>
      </c>
      <c r="C209" t="s">
        <v>1144</v>
      </c>
      <c r="D209" t="s">
        <v>4431</v>
      </c>
      <c r="E209" t="s">
        <v>27</v>
      </c>
      <c r="F209" t="s">
        <v>21</v>
      </c>
      <c r="G209" t="s">
        <v>4836</v>
      </c>
      <c r="H209" s="7">
        <v>92346</v>
      </c>
    </row>
    <row r="210" spans="1:8" x14ac:dyDescent="0.3">
      <c r="A210">
        <v>1040</v>
      </c>
      <c r="B210" t="s">
        <v>1793</v>
      </c>
      <c r="C210" t="s">
        <v>491</v>
      </c>
      <c r="D210" t="s">
        <v>1870</v>
      </c>
      <c r="E210" t="s">
        <v>27</v>
      </c>
      <c r="F210" t="s">
        <v>21</v>
      </c>
      <c r="G210" t="s">
        <v>3541</v>
      </c>
      <c r="H210" s="7">
        <v>94122</v>
      </c>
    </row>
    <row r="211" spans="1:8" x14ac:dyDescent="0.3">
      <c r="A211">
        <v>1042</v>
      </c>
      <c r="B211" t="s">
        <v>5</v>
      </c>
      <c r="C211" t="s">
        <v>2619</v>
      </c>
      <c r="D211" t="s">
        <v>1336</v>
      </c>
      <c r="E211" t="s">
        <v>8</v>
      </c>
      <c r="F211" t="s">
        <v>9</v>
      </c>
      <c r="G211" t="s">
        <v>4449</v>
      </c>
      <c r="H211" s="7">
        <v>725</v>
      </c>
    </row>
    <row r="212" spans="1:8" x14ac:dyDescent="0.3">
      <c r="A212">
        <v>1044</v>
      </c>
      <c r="B212" t="s">
        <v>5</v>
      </c>
      <c r="C212" t="s">
        <v>577</v>
      </c>
      <c r="D212" t="s">
        <v>1904</v>
      </c>
      <c r="E212" t="s">
        <v>8</v>
      </c>
      <c r="F212" t="s">
        <v>9</v>
      </c>
      <c r="G212" t="s">
        <v>2769</v>
      </c>
      <c r="H212" s="7">
        <v>725</v>
      </c>
    </row>
    <row r="213" spans="1:8" x14ac:dyDescent="0.3">
      <c r="A213">
        <v>1046</v>
      </c>
      <c r="B213" t="s">
        <v>440</v>
      </c>
      <c r="C213" t="s">
        <v>93</v>
      </c>
      <c r="D213" t="s">
        <v>107</v>
      </c>
      <c r="E213" t="s">
        <v>8</v>
      </c>
      <c r="F213" t="s">
        <v>114</v>
      </c>
      <c r="G213" t="s">
        <v>2311</v>
      </c>
      <c r="H213" s="7">
        <v>78201</v>
      </c>
    </row>
    <row r="214" spans="1:8" x14ac:dyDescent="0.3">
      <c r="A214">
        <v>1053</v>
      </c>
      <c r="B214" t="s">
        <v>5</v>
      </c>
      <c r="C214" t="s">
        <v>93</v>
      </c>
      <c r="D214" t="s">
        <v>985</v>
      </c>
      <c r="E214" t="s">
        <v>8</v>
      </c>
      <c r="F214" t="s">
        <v>9</v>
      </c>
      <c r="G214" t="s">
        <v>4554</v>
      </c>
      <c r="H214" s="7">
        <v>725</v>
      </c>
    </row>
    <row r="215" spans="1:8" x14ac:dyDescent="0.3">
      <c r="A215">
        <v>1054</v>
      </c>
      <c r="B215" t="s">
        <v>254</v>
      </c>
      <c r="C215" t="s">
        <v>2693</v>
      </c>
      <c r="D215" t="s">
        <v>1434</v>
      </c>
      <c r="E215" t="s">
        <v>8</v>
      </c>
      <c r="F215" t="s">
        <v>55</v>
      </c>
      <c r="G215" t="s">
        <v>2694</v>
      </c>
      <c r="H215" s="7">
        <v>60630</v>
      </c>
    </row>
    <row r="216" spans="1:8" x14ac:dyDescent="0.3">
      <c r="A216">
        <v>1058</v>
      </c>
      <c r="B216" t="s">
        <v>5</v>
      </c>
      <c r="C216" t="s">
        <v>1121</v>
      </c>
      <c r="D216" t="s">
        <v>107</v>
      </c>
      <c r="E216" t="s">
        <v>95</v>
      </c>
      <c r="F216" t="s">
        <v>9</v>
      </c>
      <c r="G216" t="s">
        <v>1709</v>
      </c>
      <c r="H216" s="7">
        <v>725</v>
      </c>
    </row>
    <row r="217" spans="1:8" x14ac:dyDescent="0.3">
      <c r="A217">
        <v>1063</v>
      </c>
      <c r="B217" t="s">
        <v>508</v>
      </c>
      <c r="C217" t="s">
        <v>93</v>
      </c>
      <c r="D217" t="s">
        <v>2122</v>
      </c>
      <c r="E217" t="s">
        <v>8</v>
      </c>
      <c r="F217" t="s">
        <v>114</v>
      </c>
      <c r="G217" t="s">
        <v>2123</v>
      </c>
      <c r="H217" s="7">
        <v>75227</v>
      </c>
    </row>
    <row r="218" spans="1:8" x14ac:dyDescent="0.3">
      <c r="A218">
        <v>1070</v>
      </c>
      <c r="B218" t="s">
        <v>5</v>
      </c>
      <c r="C218" t="s">
        <v>527</v>
      </c>
      <c r="D218" t="s">
        <v>345</v>
      </c>
      <c r="E218" t="s">
        <v>95</v>
      </c>
      <c r="F218" t="s">
        <v>9</v>
      </c>
      <c r="G218" t="s">
        <v>1119</v>
      </c>
      <c r="H218" s="7">
        <v>725</v>
      </c>
    </row>
    <row r="219" spans="1:8" x14ac:dyDescent="0.3">
      <c r="A219">
        <v>1073</v>
      </c>
      <c r="B219" t="s">
        <v>5</v>
      </c>
      <c r="C219" t="s">
        <v>1604</v>
      </c>
      <c r="D219" t="s">
        <v>3983</v>
      </c>
      <c r="E219" t="s">
        <v>8</v>
      </c>
      <c r="F219" t="s">
        <v>9</v>
      </c>
      <c r="G219" t="s">
        <v>1994</v>
      </c>
      <c r="H219" s="7">
        <v>725</v>
      </c>
    </row>
    <row r="220" spans="1:8" x14ac:dyDescent="0.3">
      <c r="A220">
        <v>1075</v>
      </c>
      <c r="B220" t="s">
        <v>733</v>
      </c>
      <c r="C220" t="s">
        <v>738</v>
      </c>
      <c r="D220" t="s">
        <v>107</v>
      </c>
      <c r="E220" t="s">
        <v>8</v>
      </c>
      <c r="F220" t="s">
        <v>735</v>
      </c>
      <c r="G220" t="s">
        <v>1497</v>
      </c>
      <c r="H220" s="7">
        <v>20009</v>
      </c>
    </row>
    <row r="221" spans="1:8" x14ac:dyDescent="0.3">
      <c r="A221">
        <v>1078</v>
      </c>
      <c r="B221" t="s">
        <v>174</v>
      </c>
      <c r="C221" t="s">
        <v>1718</v>
      </c>
      <c r="D221" t="s">
        <v>107</v>
      </c>
      <c r="E221" t="s">
        <v>8</v>
      </c>
      <c r="F221" t="s">
        <v>21</v>
      </c>
      <c r="G221" t="s">
        <v>2742</v>
      </c>
      <c r="H221" s="7">
        <v>90044</v>
      </c>
    </row>
    <row r="222" spans="1:8" x14ac:dyDescent="0.3">
      <c r="A222">
        <v>1081</v>
      </c>
      <c r="B222" t="s">
        <v>1538</v>
      </c>
      <c r="C222" t="s">
        <v>93</v>
      </c>
      <c r="D222" t="s">
        <v>2169</v>
      </c>
      <c r="E222" t="s">
        <v>27</v>
      </c>
      <c r="F222" t="s">
        <v>21</v>
      </c>
      <c r="G222" t="s">
        <v>1541</v>
      </c>
      <c r="H222" s="7">
        <v>95823</v>
      </c>
    </row>
    <row r="223" spans="1:8" x14ac:dyDescent="0.3">
      <c r="A223">
        <v>1090</v>
      </c>
      <c r="B223" t="s">
        <v>5</v>
      </c>
      <c r="C223" t="s">
        <v>407</v>
      </c>
      <c r="D223" t="s">
        <v>319</v>
      </c>
      <c r="E223" t="s">
        <v>8</v>
      </c>
      <c r="F223" t="s">
        <v>9</v>
      </c>
      <c r="G223" t="s">
        <v>1094</v>
      </c>
      <c r="H223" s="7">
        <v>725</v>
      </c>
    </row>
    <row r="224" spans="1:8" x14ac:dyDescent="0.3">
      <c r="A224">
        <v>1094</v>
      </c>
      <c r="B224" t="s">
        <v>1210</v>
      </c>
      <c r="C224" t="s">
        <v>1211</v>
      </c>
      <c r="D224" t="s">
        <v>107</v>
      </c>
      <c r="E224" t="s">
        <v>8</v>
      </c>
      <c r="F224" t="s">
        <v>308</v>
      </c>
      <c r="G224" t="s">
        <v>1212</v>
      </c>
      <c r="H224" s="7">
        <v>7003</v>
      </c>
    </row>
    <row r="225" spans="1:8" x14ac:dyDescent="0.3">
      <c r="A225">
        <v>1114</v>
      </c>
      <c r="B225" t="s">
        <v>1139</v>
      </c>
      <c r="C225" t="s">
        <v>251</v>
      </c>
      <c r="D225" t="s">
        <v>2169</v>
      </c>
      <c r="E225" t="s">
        <v>27</v>
      </c>
      <c r="F225" t="s">
        <v>114</v>
      </c>
      <c r="G225" t="s">
        <v>4374</v>
      </c>
      <c r="H225" s="7">
        <v>79924</v>
      </c>
    </row>
    <row r="226" spans="1:8" x14ac:dyDescent="0.3">
      <c r="A226">
        <v>1118</v>
      </c>
      <c r="B226" t="s">
        <v>42</v>
      </c>
      <c r="C226" t="s">
        <v>93</v>
      </c>
      <c r="D226" t="s">
        <v>107</v>
      </c>
      <c r="E226" t="s">
        <v>27</v>
      </c>
      <c r="F226" t="s">
        <v>21</v>
      </c>
      <c r="G226" t="s">
        <v>4390</v>
      </c>
      <c r="H226" s="7">
        <v>90723</v>
      </c>
    </row>
    <row r="227" spans="1:8" x14ac:dyDescent="0.3">
      <c r="A227">
        <v>1128</v>
      </c>
      <c r="B227" t="s">
        <v>5</v>
      </c>
      <c r="C227" t="s">
        <v>93</v>
      </c>
      <c r="D227" t="s">
        <v>1651</v>
      </c>
      <c r="E227" t="s">
        <v>27</v>
      </c>
      <c r="F227" t="s">
        <v>9</v>
      </c>
      <c r="G227" t="s">
        <v>2046</v>
      </c>
      <c r="H227" s="7">
        <v>725</v>
      </c>
    </row>
    <row r="228" spans="1:8" x14ac:dyDescent="0.3">
      <c r="A228">
        <v>1133</v>
      </c>
      <c r="B228" t="s">
        <v>2738</v>
      </c>
      <c r="C228" t="s">
        <v>2674</v>
      </c>
      <c r="D228" t="s">
        <v>1333</v>
      </c>
      <c r="E228" t="s">
        <v>27</v>
      </c>
      <c r="F228" t="s">
        <v>21</v>
      </c>
      <c r="G228" t="s">
        <v>4876</v>
      </c>
      <c r="H228" s="7">
        <v>93030</v>
      </c>
    </row>
    <row r="229" spans="1:8" x14ac:dyDescent="0.3">
      <c r="A229">
        <v>1139</v>
      </c>
      <c r="B229" t="s">
        <v>5</v>
      </c>
      <c r="C229" t="s">
        <v>573</v>
      </c>
      <c r="D229" t="s">
        <v>107</v>
      </c>
      <c r="E229" t="s">
        <v>8</v>
      </c>
      <c r="F229" t="s">
        <v>9</v>
      </c>
      <c r="G229" t="s">
        <v>2037</v>
      </c>
      <c r="H229" s="7">
        <v>725</v>
      </c>
    </row>
    <row r="230" spans="1:8" x14ac:dyDescent="0.3">
      <c r="A230">
        <v>1143</v>
      </c>
      <c r="B230" t="s">
        <v>5</v>
      </c>
      <c r="C230" t="s">
        <v>93</v>
      </c>
      <c r="D230" t="s">
        <v>4415</v>
      </c>
      <c r="E230" t="s">
        <v>27</v>
      </c>
      <c r="F230" t="s">
        <v>9</v>
      </c>
      <c r="G230" t="s">
        <v>2138</v>
      </c>
      <c r="H230" s="7">
        <v>725</v>
      </c>
    </row>
    <row r="231" spans="1:8" x14ac:dyDescent="0.3">
      <c r="A231">
        <v>1145</v>
      </c>
      <c r="B231" t="s">
        <v>343</v>
      </c>
      <c r="C231" t="s">
        <v>93</v>
      </c>
      <c r="D231" t="s">
        <v>107</v>
      </c>
      <c r="E231" t="s">
        <v>8</v>
      </c>
      <c r="F231" t="s">
        <v>248</v>
      </c>
      <c r="G231" t="s">
        <v>3032</v>
      </c>
      <c r="H231" s="7">
        <v>43230</v>
      </c>
    </row>
    <row r="232" spans="1:8" x14ac:dyDescent="0.3">
      <c r="A232">
        <v>1149</v>
      </c>
      <c r="B232" t="s">
        <v>5</v>
      </c>
      <c r="C232" t="s">
        <v>106</v>
      </c>
      <c r="D232" t="s">
        <v>1450</v>
      </c>
      <c r="E232" t="s">
        <v>8</v>
      </c>
      <c r="F232" t="s">
        <v>9</v>
      </c>
      <c r="G232" t="s">
        <v>5250</v>
      </c>
      <c r="H232" s="7">
        <v>725</v>
      </c>
    </row>
    <row r="233" spans="1:8" x14ac:dyDescent="0.3">
      <c r="A233">
        <v>1151</v>
      </c>
      <c r="B233" t="s">
        <v>5</v>
      </c>
      <c r="C233" t="s">
        <v>93</v>
      </c>
      <c r="D233" t="s">
        <v>3649</v>
      </c>
      <c r="E233" t="s">
        <v>8</v>
      </c>
      <c r="F233" t="s">
        <v>9</v>
      </c>
      <c r="G233" t="s">
        <v>3650</v>
      </c>
      <c r="H233" s="7">
        <v>725</v>
      </c>
    </row>
    <row r="234" spans="1:8" x14ac:dyDescent="0.3">
      <c r="A234">
        <v>1153</v>
      </c>
      <c r="B234" t="s">
        <v>281</v>
      </c>
      <c r="C234" t="s">
        <v>93</v>
      </c>
      <c r="D234" t="s">
        <v>1221</v>
      </c>
      <c r="E234" t="s">
        <v>8</v>
      </c>
      <c r="F234" t="s">
        <v>283</v>
      </c>
      <c r="G234" t="s">
        <v>1682</v>
      </c>
      <c r="H234" s="7">
        <v>22192</v>
      </c>
    </row>
    <row r="235" spans="1:8" x14ac:dyDescent="0.3">
      <c r="A235">
        <v>1154</v>
      </c>
      <c r="B235" t="s">
        <v>5</v>
      </c>
      <c r="C235" t="s">
        <v>1153</v>
      </c>
      <c r="D235" t="s">
        <v>107</v>
      </c>
      <c r="E235" t="s">
        <v>8</v>
      </c>
      <c r="F235" t="s">
        <v>9</v>
      </c>
      <c r="G235" t="s">
        <v>560</v>
      </c>
      <c r="H235" s="7">
        <v>725</v>
      </c>
    </row>
    <row r="236" spans="1:8" x14ac:dyDescent="0.3">
      <c r="A236">
        <v>1157</v>
      </c>
      <c r="B236" t="s">
        <v>1571</v>
      </c>
      <c r="C236" t="s">
        <v>3108</v>
      </c>
      <c r="D236" t="s">
        <v>107</v>
      </c>
      <c r="E236" t="s">
        <v>8</v>
      </c>
      <c r="F236" t="s">
        <v>248</v>
      </c>
      <c r="G236" t="s">
        <v>1945</v>
      </c>
      <c r="H236" s="7">
        <v>43026</v>
      </c>
    </row>
    <row r="237" spans="1:8" x14ac:dyDescent="0.3">
      <c r="A237">
        <v>1159</v>
      </c>
      <c r="B237" t="s">
        <v>3743</v>
      </c>
      <c r="C237" t="s">
        <v>93</v>
      </c>
      <c r="D237" t="s">
        <v>1559</v>
      </c>
      <c r="E237" t="s">
        <v>95</v>
      </c>
      <c r="F237" t="s">
        <v>140</v>
      </c>
      <c r="G237" t="s">
        <v>3744</v>
      </c>
      <c r="H237" s="7">
        <v>30083</v>
      </c>
    </row>
    <row r="238" spans="1:8" x14ac:dyDescent="0.3">
      <c r="A238">
        <v>1162</v>
      </c>
      <c r="B238" t="s">
        <v>2099</v>
      </c>
      <c r="C238" t="s">
        <v>93</v>
      </c>
      <c r="D238" t="s">
        <v>1407</v>
      </c>
      <c r="E238" t="s">
        <v>8</v>
      </c>
      <c r="F238" t="s">
        <v>21</v>
      </c>
      <c r="G238" t="s">
        <v>2100</v>
      </c>
      <c r="H238" s="7">
        <v>91306</v>
      </c>
    </row>
    <row r="239" spans="1:8" x14ac:dyDescent="0.3">
      <c r="A239">
        <v>1163</v>
      </c>
      <c r="B239" t="s">
        <v>5</v>
      </c>
      <c r="C239" t="s">
        <v>2469</v>
      </c>
      <c r="D239" t="s">
        <v>107</v>
      </c>
      <c r="E239" t="s">
        <v>27</v>
      </c>
      <c r="F239" t="s">
        <v>9</v>
      </c>
      <c r="G239" t="s">
        <v>2710</v>
      </c>
      <c r="H239" s="7">
        <v>725</v>
      </c>
    </row>
    <row r="240" spans="1:8" x14ac:dyDescent="0.3">
      <c r="A240">
        <v>1167</v>
      </c>
      <c r="B240" t="s">
        <v>5</v>
      </c>
      <c r="C240" t="s">
        <v>93</v>
      </c>
      <c r="D240" t="s">
        <v>2648</v>
      </c>
      <c r="E240" t="s">
        <v>27</v>
      </c>
      <c r="F240" t="s">
        <v>9</v>
      </c>
      <c r="G240" t="s">
        <v>191</v>
      </c>
      <c r="H240" s="7">
        <v>725</v>
      </c>
    </row>
    <row r="241" spans="1:8" x14ac:dyDescent="0.3">
      <c r="A241">
        <v>1169</v>
      </c>
      <c r="B241" t="s">
        <v>2738</v>
      </c>
      <c r="C241" t="s">
        <v>93</v>
      </c>
      <c r="D241" t="s">
        <v>107</v>
      </c>
      <c r="E241" t="s">
        <v>27</v>
      </c>
      <c r="F241" t="s">
        <v>21</v>
      </c>
      <c r="G241" t="s">
        <v>3925</v>
      </c>
      <c r="H241" s="7">
        <v>93030</v>
      </c>
    </row>
    <row r="242" spans="1:8" x14ac:dyDescent="0.3">
      <c r="A242">
        <v>1178</v>
      </c>
      <c r="B242" t="s">
        <v>447</v>
      </c>
      <c r="C242" t="s">
        <v>891</v>
      </c>
      <c r="D242" t="s">
        <v>933</v>
      </c>
      <c r="E242" t="s">
        <v>8</v>
      </c>
      <c r="F242" t="s">
        <v>448</v>
      </c>
      <c r="G242" t="s">
        <v>2888</v>
      </c>
      <c r="H242" s="7">
        <v>33015</v>
      </c>
    </row>
    <row r="243" spans="1:8" x14ac:dyDescent="0.3">
      <c r="A243">
        <v>1182</v>
      </c>
      <c r="B243" t="s">
        <v>1313</v>
      </c>
      <c r="C243" t="s">
        <v>93</v>
      </c>
      <c r="D243" t="s">
        <v>107</v>
      </c>
      <c r="E243" t="s">
        <v>27</v>
      </c>
      <c r="F243" t="s">
        <v>448</v>
      </c>
      <c r="G243" t="s">
        <v>3926</v>
      </c>
      <c r="H243" s="7">
        <v>33147</v>
      </c>
    </row>
    <row r="244" spans="1:8" x14ac:dyDescent="0.3">
      <c r="A244">
        <v>1184</v>
      </c>
      <c r="B244" t="s">
        <v>5</v>
      </c>
      <c r="C244" t="s">
        <v>93</v>
      </c>
      <c r="D244" t="s">
        <v>924</v>
      </c>
      <c r="E244" t="s">
        <v>27</v>
      </c>
      <c r="F244" t="s">
        <v>9</v>
      </c>
      <c r="G244" t="s">
        <v>925</v>
      </c>
      <c r="H244" s="7">
        <v>725</v>
      </c>
    </row>
    <row r="245" spans="1:8" x14ac:dyDescent="0.3">
      <c r="A245">
        <v>1186</v>
      </c>
      <c r="B245" t="s">
        <v>5</v>
      </c>
      <c r="C245" t="s">
        <v>93</v>
      </c>
      <c r="D245" t="s">
        <v>1376</v>
      </c>
      <c r="E245" t="s">
        <v>8</v>
      </c>
      <c r="F245" t="s">
        <v>9</v>
      </c>
      <c r="G245" t="s">
        <v>3563</v>
      </c>
      <c r="H245" s="7">
        <v>725</v>
      </c>
    </row>
    <row r="246" spans="1:8" x14ac:dyDescent="0.3">
      <c r="A246">
        <v>1189</v>
      </c>
      <c r="B246" t="s">
        <v>1899</v>
      </c>
      <c r="C246" t="s">
        <v>93</v>
      </c>
      <c r="D246" t="s">
        <v>428</v>
      </c>
      <c r="E246" t="s">
        <v>27</v>
      </c>
      <c r="F246" t="s">
        <v>381</v>
      </c>
      <c r="G246" t="s">
        <v>1133</v>
      </c>
      <c r="H246" s="7">
        <v>48238</v>
      </c>
    </row>
    <row r="247" spans="1:8" x14ac:dyDescent="0.3">
      <c r="A247">
        <v>1192</v>
      </c>
      <c r="B247" t="s">
        <v>733</v>
      </c>
      <c r="C247" t="s">
        <v>2216</v>
      </c>
      <c r="D247" t="s">
        <v>1975</v>
      </c>
      <c r="E247" t="s">
        <v>8</v>
      </c>
      <c r="F247" t="s">
        <v>77</v>
      </c>
      <c r="G247" t="s">
        <v>3469</v>
      </c>
      <c r="H247" s="7">
        <v>15301</v>
      </c>
    </row>
    <row r="248" spans="1:8" x14ac:dyDescent="0.3">
      <c r="A248">
        <v>1198</v>
      </c>
      <c r="B248" t="s">
        <v>5</v>
      </c>
      <c r="C248" t="s">
        <v>1032</v>
      </c>
      <c r="D248" t="s">
        <v>307</v>
      </c>
      <c r="E248" t="s">
        <v>8</v>
      </c>
      <c r="F248" t="s">
        <v>9</v>
      </c>
      <c r="G248" t="s">
        <v>5260</v>
      </c>
      <c r="H248" s="7">
        <v>725</v>
      </c>
    </row>
    <row r="249" spans="1:8" x14ac:dyDescent="0.3">
      <c r="A249">
        <v>1215</v>
      </c>
      <c r="B249" t="s">
        <v>862</v>
      </c>
      <c r="C249" t="s">
        <v>1207</v>
      </c>
      <c r="D249" t="s">
        <v>2293</v>
      </c>
      <c r="E249" t="s">
        <v>8</v>
      </c>
      <c r="F249" t="s">
        <v>478</v>
      </c>
      <c r="G249" t="s">
        <v>4234</v>
      </c>
      <c r="H249" s="7">
        <v>89123</v>
      </c>
    </row>
    <row r="250" spans="1:8" x14ac:dyDescent="0.3">
      <c r="A250">
        <v>1219</v>
      </c>
      <c r="B250" t="s">
        <v>1899</v>
      </c>
      <c r="C250" t="s">
        <v>1112</v>
      </c>
      <c r="D250" t="s">
        <v>1750</v>
      </c>
      <c r="E250" t="s">
        <v>27</v>
      </c>
      <c r="F250" t="s">
        <v>381</v>
      </c>
      <c r="G250" t="s">
        <v>3955</v>
      </c>
      <c r="H250" s="7">
        <v>48205</v>
      </c>
    </row>
    <row r="251" spans="1:8" x14ac:dyDescent="0.3">
      <c r="A251">
        <v>1223</v>
      </c>
      <c r="B251" t="s">
        <v>142</v>
      </c>
      <c r="C251" t="s">
        <v>491</v>
      </c>
      <c r="D251" t="s">
        <v>1636</v>
      </c>
      <c r="E251" t="s">
        <v>8</v>
      </c>
      <c r="F251" t="s">
        <v>88</v>
      </c>
      <c r="G251" t="s">
        <v>517</v>
      </c>
      <c r="H251" s="7">
        <v>10469</v>
      </c>
    </row>
    <row r="252" spans="1:8" x14ac:dyDescent="0.3">
      <c r="A252">
        <v>1225</v>
      </c>
      <c r="B252" t="s">
        <v>2207</v>
      </c>
      <c r="C252" t="s">
        <v>93</v>
      </c>
      <c r="D252" t="s">
        <v>107</v>
      </c>
      <c r="E252" t="s">
        <v>27</v>
      </c>
      <c r="F252" t="s">
        <v>190</v>
      </c>
      <c r="G252" t="s">
        <v>2208</v>
      </c>
      <c r="H252" s="7">
        <v>85254</v>
      </c>
    </row>
    <row r="253" spans="1:8" x14ac:dyDescent="0.3">
      <c r="A253">
        <v>1226</v>
      </c>
      <c r="B253" t="s">
        <v>5</v>
      </c>
      <c r="C253" t="s">
        <v>1406</v>
      </c>
      <c r="D253" t="s">
        <v>1376</v>
      </c>
      <c r="E253" t="s">
        <v>27</v>
      </c>
      <c r="F253" t="s">
        <v>9</v>
      </c>
      <c r="G253" t="s">
        <v>4580</v>
      </c>
      <c r="H253" s="7">
        <v>725</v>
      </c>
    </row>
    <row r="254" spans="1:8" x14ac:dyDescent="0.3">
      <c r="A254">
        <v>1228</v>
      </c>
      <c r="B254" t="s">
        <v>1162</v>
      </c>
      <c r="C254" t="s">
        <v>1200</v>
      </c>
      <c r="D254" t="s">
        <v>107</v>
      </c>
      <c r="E254" t="s">
        <v>8</v>
      </c>
      <c r="F254" t="s">
        <v>21</v>
      </c>
      <c r="G254" t="s">
        <v>5227</v>
      </c>
      <c r="H254" s="7">
        <v>94086</v>
      </c>
    </row>
    <row r="255" spans="1:8" x14ac:dyDescent="0.3">
      <c r="A255">
        <v>1233</v>
      </c>
      <c r="B255" t="s">
        <v>2099</v>
      </c>
      <c r="C255" t="s">
        <v>93</v>
      </c>
      <c r="D255" t="s">
        <v>1251</v>
      </c>
      <c r="E255" t="s">
        <v>8</v>
      </c>
      <c r="F255" t="s">
        <v>21</v>
      </c>
      <c r="G255" t="s">
        <v>194</v>
      </c>
      <c r="H255" s="7">
        <v>91306</v>
      </c>
    </row>
    <row r="256" spans="1:8" x14ac:dyDescent="0.3">
      <c r="A256">
        <v>1236</v>
      </c>
      <c r="B256" t="s">
        <v>1586</v>
      </c>
      <c r="C256" t="s">
        <v>1045</v>
      </c>
      <c r="D256" t="s">
        <v>1819</v>
      </c>
      <c r="E256" t="s">
        <v>95</v>
      </c>
      <c r="F256" t="s">
        <v>341</v>
      </c>
      <c r="G256" t="s">
        <v>3125</v>
      </c>
      <c r="H256" s="7">
        <v>27514</v>
      </c>
    </row>
    <row r="257" spans="1:8" x14ac:dyDescent="0.3">
      <c r="A257">
        <v>1252</v>
      </c>
      <c r="B257" t="s">
        <v>368</v>
      </c>
      <c r="C257" t="s">
        <v>597</v>
      </c>
      <c r="D257" t="s">
        <v>3026</v>
      </c>
      <c r="E257" t="s">
        <v>8</v>
      </c>
      <c r="F257" t="s">
        <v>88</v>
      </c>
      <c r="G257" t="s">
        <v>1347</v>
      </c>
      <c r="H257" s="7">
        <v>10016</v>
      </c>
    </row>
    <row r="258" spans="1:8" x14ac:dyDescent="0.3">
      <c r="A258">
        <v>1266</v>
      </c>
      <c r="B258" t="s">
        <v>5</v>
      </c>
      <c r="C258" t="s">
        <v>93</v>
      </c>
      <c r="D258" t="s">
        <v>675</v>
      </c>
      <c r="E258" t="s">
        <v>95</v>
      </c>
      <c r="F258" t="s">
        <v>9</v>
      </c>
      <c r="G258" t="s">
        <v>1702</v>
      </c>
      <c r="H258" s="7">
        <v>725</v>
      </c>
    </row>
    <row r="259" spans="1:8" x14ac:dyDescent="0.3">
      <c r="A259">
        <v>1269</v>
      </c>
      <c r="B259" t="s">
        <v>2870</v>
      </c>
      <c r="C259" t="s">
        <v>93</v>
      </c>
      <c r="D259" t="s">
        <v>3154</v>
      </c>
      <c r="E259" t="s">
        <v>95</v>
      </c>
      <c r="F259" t="s">
        <v>21</v>
      </c>
      <c r="G259" t="s">
        <v>3542</v>
      </c>
      <c r="H259" s="7">
        <v>92701</v>
      </c>
    </row>
    <row r="260" spans="1:8" x14ac:dyDescent="0.3">
      <c r="A260">
        <v>1274</v>
      </c>
      <c r="B260" t="s">
        <v>995</v>
      </c>
      <c r="C260" t="s">
        <v>93</v>
      </c>
      <c r="D260" t="s">
        <v>823</v>
      </c>
      <c r="E260" t="s">
        <v>27</v>
      </c>
      <c r="F260" t="s">
        <v>283</v>
      </c>
      <c r="G260" t="s">
        <v>4934</v>
      </c>
      <c r="H260" s="7">
        <v>23455</v>
      </c>
    </row>
    <row r="261" spans="1:8" x14ac:dyDescent="0.3">
      <c r="A261">
        <v>1276</v>
      </c>
      <c r="B261" t="s">
        <v>131</v>
      </c>
      <c r="C261" t="s">
        <v>93</v>
      </c>
      <c r="D261" t="s">
        <v>1746</v>
      </c>
      <c r="E261" t="s">
        <v>8</v>
      </c>
      <c r="F261" t="s">
        <v>134</v>
      </c>
      <c r="G261" t="s">
        <v>4498</v>
      </c>
      <c r="H261" s="7">
        <v>96817</v>
      </c>
    </row>
    <row r="262" spans="1:8" x14ac:dyDescent="0.3">
      <c r="A262">
        <v>1277</v>
      </c>
      <c r="B262" t="s">
        <v>2492</v>
      </c>
      <c r="C262" t="s">
        <v>2002</v>
      </c>
      <c r="D262" t="s">
        <v>1528</v>
      </c>
      <c r="E262" t="s">
        <v>95</v>
      </c>
      <c r="F262" t="s">
        <v>1145</v>
      </c>
      <c r="G262" t="s">
        <v>2493</v>
      </c>
      <c r="H262" s="7">
        <v>53511</v>
      </c>
    </row>
    <row r="263" spans="1:8" x14ac:dyDescent="0.3">
      <c r="A263">
        <v>1278</v>
      </c>
      <c r="B263" t="s">
        <v>440</v>
      </c>
      <c r="C263" t="s">
        <v>93</v>
      </c>
      <c r="D263" t="s">
        <v>107</v>
      </c>
      <c r="E263" t="s">
        <v>8</v>
      </c>
      <c r="F263" t="s">
        <v>114</v>
      </c>
      <c r="G263" t="s">
        <v>4975</v>
      </c>
      <c r="H263" s="7">
        <v>78240</v>
      </c>
    </row>
    <row r="264" spans="1:8" x14ac:dyDescent="0.3">
      <c r="A264">
        <v>1283</v>
      </c>
      <c r="B264" t="s">
        <v>1168</v>
      </c>
      <c r="C264" t="s">
        <v>1169</v>
      </c>
      <c r="D264" t="s">
        <v>1170</v>
      </c>
      <c r="E264" t="s">
        <v>8</v>
      </c>
      <c r="F264" t="s">
        <v>21</v>
      </c>
      <c r="G264" t="s">
        <v>1171</v>
      </c>
      <c r="H264" s="7">
        <v>90250</v>
      </c>
    </row>
    <row r="265" spans="1:8" x14ac:dyDescent="0.3">
      <c r="A265">
        <v>1291</v>
      </c>
      <c r="B265" t="s">
        <v>4426</v>
      </c>
      <c r="C265" t="s">
        <v>93</v>
      </c>
      <c r="D265" t="s">
        <v>107</v>
      </c>
      <c r="E265" t="s">
        <v>95</v>
      </c>
      <c r="F265" t="s">
        <v>248</v>
      </c>
      <c r="G265" t="s">
        <v>3881</v>
      </c>
      <c r="H265" s="7">
        <v>44646</v>
      </c>
    </row>
    <row r="266" spans="1:8" x14ac:dyDescent="0.3">
      <c r="A266">
        <v>1294</v>
      </c>
      <c r="B266" t="s">
        <v>5</v>
      </c>
      <c r="C266" t="s">
        <v>454</v>
      </c>
      <c r="D266" t="s">
        <v>107</v>
      </c>
      <c r="E266" t="s">
        <v>95</v>
      </c>
      <c r="F266" t="s">
        <v>9</v>
      </c>
      <c r="G266" t="s">
        <v>3986</v>
      </c>
      <c r="H266" s="7">
        <v>725</v>
      </c>
    </row>
    <row r="267" spans="1:8" x14ac:dyDescent="0.3">
      <c r="A267">
        <v>1296</v>
      </c>
      <c r="B267" t="s">
        <v>5</v>
      </c>
      <c r="C267" t="s">
        <v>93</v>
      </c>
      <c r="D267" t="s">
        <v>800</v>
      </c>
      <c r="E267" t="s">
        <v>8</v>
      </c>
      <c r="F267" t="s">
        <v>9</v>
      </c>
      <c r="G267" t="s">
        <v>4404</v>
      </c>
      <c r="H267" s="7">
        <v>725</v>
      </c>
    </row>
    <row r="268" spans="1:8" x14ac:dyDescent="0.3">
      <c r="A268">
        <v>1301</v>
      </c>
      <c r="B268" t="s">
        <v>683</v>
      </c>
      <c r="C268" t="s">
        <v>93</v>
      </c>
      <c r="D268" t="s">
        <v>107</v>
      </c>
      <c r="E268" t="s">
        <v>8</v>
      </c>
      <c r="F268" t="s">
        <v>21</v>
      </c>
      <c r="G268" t="s">
        <v>2844</v>
      </c>
      <c r="H268" s="7">
        <v>90703</v>
      </c>
    </row>
    <row r="269" spans="1:8" x14ac:dyDescent="0.3">
      <c r="A269">
        <v>1328</v>
      </c>
      <c r="B269" t="s">
        <v>719</v>
      </c>
      <c r="C269" t="s">
        <v>2740</v>
      </c>
      <c r="D269" t="s">
        <v>107</v>
      </c>
      <c r="E269" t="s">
        <v>95</v>
      </c>
      <c r="F269" t="s">
        <v>308</v>
      </c>
      <c r="G269" t="s">
        <v>2204</v>
      </c>
      <c r="H269" s="7">
        <v>7470</v>
      </c>
    </row>
    <row r="270" spans="1:8" x14ac:dyDescent="0.3">
      <c r="A270">
        <v>1336</v>
      </c>
      <c r="B270" t="s">
        <v>117</v>
      </c>
      <c r="C270" t="s">
        <v>886</v>
      </c>
      <c r="D270" t="s">
        <v>1743</v>
      </c>
      <c r="E270" t="s">
        <v>95</v>
      </c>
      <c r="F270" t="s">
        <v>21</v>
      </c>
      <c r="G270" t="s">
        <v>5478</v>
      </c>
      <c r="H270" s="7">
        <v>92111</v>
      </c>
    </row>
    <row r="271" spans="1:8" x14ac:dyDescent="0.3">
      <c r="A271">
        <v>1338</v>
      </c>
      <c r="B271" t="s">
        <v>2980</v>
      </c>
      <c r="C271" t="s">
        <v>577</v>
      </c>
      <c r="D271" t="s">
        <v>107</v>
      </c>
      <c r="E271" t="s">
        <v>27</v>
      </c>
      <c r="F271" t="s">
        <v>1003</v>
      </c>
      <c r="G271" t="s">
        <v>5218</v>
      </c>
      <c r="H271" s="7">
        <v>72032</v>
      </c>
    </row>
    <row r="272" spans="1:8" x14ac:dyDescent="0.3">
      <c r="A272">
        <v>1346</v>
      </c>
      <c r="B272" t="s">
        <v>5</v>
      </c>
      <c r="C272" t="s">
        <v>93</v>
      </c>
      <c r="D272" t="s">
        <v>933</v>
      </c>
      <c r="E272" t="s">
        <v>27</v>
      </c>
      <c r="F272" t="s">
        <v>9</v>
      </c>
      <c r="G272" t="s">
        <v>934</v>
      </c>
      <c r="H272" s="7">
        <v>725</v>
      </c>
    </row>
    <row r="273" spans="1:8" x14ac:dyDescent="0.3">
      <c r="A273">
        <v>1347</v>
      </c>
      <c r="B273" t="s">
        <v>1779</v>
      </c>
      <c r="C273" t="s">
        <v>751</v>
      </c>
      <c r="D273" t="s">
        <v>3221</v>
      </c>
      <c r="E273" t="s">
        <v>27</v>
      </c>
      <c r="F273" t="s">
        <v>21</v>
      </c>
      <c r="G273" t="s">
        <v>4918</v>
      </c>
      <c r="H273" s="7">
        <v>94544</v>
      </c>
    </row>
    <row r="274" spans="1:8" x14ac:dyDescent="0.3">
      <c r="A274">
        <v>1352</v>
      </c>
      <c r="B274" t="s">
        <v>1166</v>
      </c>
      <c r="C274" t="s">
        <v>1951</v>
      </c>
      <c r="D274" t="s">
        <v>4810</v>
      </c>
      <c r="E274" t="s">
        <v>8</v>
      </c>
      <c r="F274" t="s">
        <v>36</v>
      </c>
      <c r="G274" t="s">
        <v>4811</v>
      </c>
      <c r="H274" s="7">
        <v>1841</v>
      </c>
    </row>
    <row r="275" spans="1:8" x14ac:dyDescent="0.3">
      <c r="A275">
        <v>1353</v>
      </c>
      <c r="B275" t="s">
        <v>5</v>
      </c>
      <c r="C275" t="s">
        <v>1294</v>
      </c>
      <c r="D275" t="s">
        <v>2377</v>
      </c>
      <c r="E275" t="s">
        <v>8</v>
      </c>
      <c r="F275" t="s">
        <v>9</v>
      </c>
      <c r="G275" t="s">
        <v>5299</v>
      </c>
      <c r="H275" s="7">
        <v>725</v>
      </c>
    </row>
    <row r="276" spans="1:8" x14ac:dyDescent="0.3">
      <c r="A276">
        <v>1358</v>
      </c>
      <c r="B276" t="s">
        <v>5</v>
      </c>
      <c r="C276" t="s">
        <v>1504</v>
      </c>
      <c r="D276" t="s">
        <v>3860</v>
      </c>
      <c r="E276" t="s">
        <v>27</v>
      </c>
      <c r="F276" t="s">
        <v>9</v>
      </c>
      <c r="G276" t="s">
        <v>4568</v>
      </c>
      <c r="H276" s="7">
        <v>725</v>
      </c>
    </row>
    <row r="277" spans="1:8" x14ac:dyDescent="0.3">
      <c r="A277">
        <v>1361</v>
      </c>
      <c r="B277" t="s">
        <v>1793</v>
      </c>
      <c r="C277" t="s">
        <v>1011</v>
      </c>
      <c r="D277" t="s">
        <v>2251</v>
      </c>
      <c r="E277" t="s">
        <v>95</v>
      </c>
      <c r="F277" t="s">
        <v>21</v>
      </c>
      <c r="G277" t="s">
        <v>3697</v>
      </c>
      <c r="H277" s="7">
        <v>94109</v>
      </c>
    </row>
    <row r="278" spans="1:8" x14ac:dyDescent="0.3">
      <c r="A278">
        <v>1362</v>
      </c>
      <c r="B278" t="s">
        <v>5</v>
      </c>
      <c r="C278" t="s">
        <v>532</v>
      </c>
      <c r="D278" t="s">
        <v>107</v>
      </c>
      <c r="E278" t="s">
        <v>95</v>
      </c>
      <c r="F278" t="s">
        <v>9</v>
      </c>
      <c r="G278" t="s">
        <v>3428</v>
      </c>
      <c r="H278" s="7">
        <v>725</v>
      </c>
    </row>
    <row r="279" spans="1:8" x14ac:dyDescent="0.3">
      <c r="A279">
        <v>1365</v>
      </c>
      <c r="B279" t="s">
        <v>313</v>
      </c>
      <c r="C279" t="s">
        <v>436</v>
      </c>
      <c r="D279" t="s">
        <v>107</v>
      </c>
      <c r="E279" t="s">
        <v>95</v>
      </c>
      <c r="F279" t="s">
        <v>88</v>
      </c>
      <c r="G279" t="s">
        <v>2248</v>
      </c>
      <c r="H279" s="7">
        <v>11368</v>
      </c>
    </row>
    <row r="280" spans="1:8" x14ac:dyDescent="0.3">
      <c r="A280">
        <v>1371</v>
      </c>
      <c r="B280" t="s">
        <v>5</v>
      </c>
      <c r="C280" t="s">
        <v>93</v>
      </c>
      <c r="D280" t="s">
        <v>107</v>
      </c>
      <c r="E280" t="s">
        <v>8</v>
      </c>
      <c r="F280" t="s">
        <v>9</v>
      </c>
      <c r="G280" t="s">
        <v>3550</v>
      </c>
      <c r="H280" s="7">
        <v>725</v>
      </c>
    </row>
    <row r="281" spans="1:8" x14ac:dyDescent="0.3">
      <c r="A281">
        <v>1381</v>
      </c>
      <c r="B281" t="s">
        <v>2284</v>
      </c>
      <c r="C281" t="s">
        <v>657</v>
      </c>
      <c r="D281" t="s">
        <v>1284</v>
      </c>
      <c r="E281" t="s">
        <v>8</v>
      </c>
      <c r="F281" t="s">
        <v>21</v>
      </c>
      <c r="G281" t="s">
        <v>2682</v>
      </c>
      <c r="H281" s="7">
        <v>95008</v>
      </c>
    </row>
    <row r="282" spans="1:8" x14ac:dyDescent="0.3">
      <c r="A282">
        <v>1383</v>
      </c>
      <c r="B282" t="s">
        <v>628</v>
      </c>
      <c r="C282" t="s">
        <v>971</v>
      </c>
      <c r="D282" t="s">
        <v>107</v>
      </c>
      <c r="E282" t="s">
        <v>27</v>
      </c>
      <c r="F282" t="s">
        <v>629</v>
      </c>
      <c r="G282" t="s">
        <v>4163</v>
      </c>
      <c r="H282" s="7">
        <v>70072</v>
      </c>
    </row>
    <row r="283" spans="1:8" x14ac:dyDescent="0.3">
      <c r="A283">
        <v>1390</v>
      </c>
      <c r="B283" t="s">
        <v>769</v>
      </c>
      <c r="C283" t="s">
        <v>1172</v>
      </c>
      <c r="D283" t="s">
        <v>107</v>
      </c>
      <c r="E283" t="s">
        <v>8</v>
      </c>
      <c r="F283" t="s">
        <v>190</v>
      </c>
      <c r="G283" t="s">
        <v>1173</v>
      </c>
      <c r="H283" s="7">
        <v>85029</v>
      </c>
    </row>
    <row r="284" spans="1:8" x14ac:dyDescent="0.3">
      <c r="A284">
        <v>1394</v>
      </c>
      <c r="B284" t="s">
        <v>476</v>
      </c>
      <c r="C284" t="s">
        <v>477</v>
      </c>
      <c r="D284" t="s">
        <v>107</v>
      </c>
      <c r="E284" t="s">
        <v>27</v>
      </c>
      <c r="F284" t="s">
        <v>478</v>
      </c>
      <c r="G284" t="s">
        <v>479</v>
      </c>
      <c r="H284" s="7">
        <v>89030</v>
      </c>
    </row>
    <row r="285" spans="1:8" x14ac:dyDescent="0.3">
      <c r="A285">
        <v>1396</v>
      </c>
      <c r="B285" t="s">
        <v>5</v>
      </c>
      <c r="C285" t="s">
        <v>93</v>
      </c>
      <c r="D285" t="s">
        <v>107</v>
      </c>
      <c r="E285" t="s">
        <v>8</v>
      </c>
      <c r="F285" t="s">
        <v>9</v>
      </c>
      <c r="G285" t="s">
        <v>3366</v>
      </c>
      <c r="H285" s="7">
        <v>725</v>
      </c>
    </row>
    <row r="286" spans="1:8" x14ac:dyDescent="0.3">
      <c r="A286">
        <v>1401</v>
      </c>
      <c r="B286" t="s">
        <v>1978</v>
      </c>
      <c r="C286" t="s">
        <v>93</v>
      </c>
      <c r="D286" t="s">
        <v>2548</v>
      </c>
      <c r="E286" t="s">
        <v>8</v>
      </c>
      <c r="F286" t="s">
        <v>1979</v>
      </c>
      <c r="G286" t="s">
        <v>3194</v>
      </c>
      <c r="H286" s="7">
        <v>73505</v>
      </c>
    </row>
    <row r="287" spans="1:8" x14ac:dyDescent="0.3">
      <c r="A287">
        <v>1405</v>
      </c>
      <c r="B287" t="s">
        <v>246</v>
      </c>
      <c r="C287" t="s">
        <v>93</v>
      </c>
      <c r="D287" t="s">
        <v>2312</v>
      </c>
      <c r="E287" t="s">
        <v>27</v>
      </c>
      <c r="F287" t="s">
        <v>248</v>
      </c>
      <c r="G287" t="s">
        <v>3824</v>
      </c>
      <c r="H287" s="7">
        <v>44136</v>
      </c>
    </row>
    <row r="288" spans="1:8" x14ac:dyDescent="0.3">
      <c r="A288">
        <v>1407</v>
      </c>
      <c r="B288" t="s">
        <v>142</v>
      </c>
      <c r="C288" t="s">
        <v>1710</v>
      </c>
      <c r="D288" t="s">
        <v>1170</v>
      </c>
      <c r="E288" t="s">
        <v>8</v>
      </c>
      <c r="F288" t="s">
        <v>88</v>
      </c>
      <c r="G288" t="s">
        <v>1984</v>
      </c>
      <c r="H288" s="7">
        <v>10452</v>
      </c>
    </row>
    <row r="289" spans="1:8" x14ac:dyDescent="0.3">
      <c r="A289">
        <v>1416</v>
      </c>
      <c r="B289" t="s">
        <v>2299</v>
      </c>
      <c r="C289" t="s">
        <v>2216</v>
      </c>
      <c r="D289" t="s">
        <v>1345</v>
      </c>
      <c r="E289" t="s">
        <v>27</v>
      </c>
      <c r="F289" t="s">
        <v>140</v>
      </c>
      <c r="G289" t="s">
        <v>5130</v>
      </c>
      <c r="H289" s="7">
        <v>30349</v>
      </c>
    </row>
    <row r="290" spans="1:8" x14ac:dyDescent="0.3">
      <c r="A290">
        <v>1424</v>
      </c>
      <c r="B290" t="s">
        <v>215</v>
      </c>
      <c r="C290" t="s">
        <v>251</v>
      </c>
      <c r="D290" t="s">
        <v>107</v>
      </c>
      <c r="E290" t="s">
        <v>8</v>
      </c>
      <c r="F290" t="s">
        <v>190</v>
      </c>
      <c r="G290" t="s">
        <v>3412</v>
      </c>
      <c r="H290" s="7">
        <v>85204</v>
      </c>
    </row>
    <row r="291" spans="1:8" x14ac:dyDescent="0.3">
      <c r="A291">
        <v>1426</v>
      </c>
      <c r="B291" t="s">
        <v>59</v>
      </c>
      <c r="C291" t="s">
        <v>93</v>
      </c>
      <c r="D291" t="s">
        <v>746</v>
      </c>
      <c r="E291" t="s">
        <v>8</v>
      </c>
      <c r="F291" t="s">
        <v>21</v>
      </c>
      <c r="G291" t="s">
        <v>4642</v>
      </c>
      <c r="H291" s="7">
        <v>90813</v>
      </c>
    </row>
    <row r="292" spans="1:8" x14ac:dyDescent="0.3">
      <c r="A292">
        <v>1430</v>
      </c>
      <c r="B292" t="s">
        <v>656</v>
      </c>
      <c r="C292" t="s">
        <v>366</v>
      </c>
      <c r="D292" t="s">
        <v>107</v>
      </c>
      <c r="E292" t="s">
        <v>95</v>
      </c>
      <c r="F292" t="s">
        <v>77</v>
      </c>
      <c r="G292" t="s">
        <v>2509</v>
      </c>
      <c r="H292" s="7">
        <v>19145</v>
      </c>
    </row>
    <row r="293" spans="1:8" x14ac:dyDescent="0.3">
      <c r="A293">
        <v>1432</v>
      </c>
      <c r="B293" t="s">
        <v>5</v>
      </c>
      <c r="C293" t="s">
        <v>1714</v>
      </c>
      <c r="D293" t="s">
        <v>107</v>
      </c>
      <c r="E293" t="s">
        <v>95</v>
      </c>
      <c r="F293" t="s">
        <v>9</v>
      </c>
      <c r="G293" t="s">
        <v>3398</v>
      </c>
      <c r="H293" s="7">
        <v>725</v>
      </c>
    </row>
    <row r="294" spans="1:8" x14ac:dyDescent="0.3">
      <c r="A294">
        <v>1433</v>
      </c>
      <c r="B294" t="s">
        <v>840</v>
      </c>
      <c r="C294" t="s">
        <v>93</v>
      </c>
      <c r="D294" t="s">
        <v>1854</v>
      </c>
      <c r="E294" t="s">
        <v>95</v>
      </c>
      <c r="F294" t="s">
        <v>21</v>
      </c>
      <c r="G294" t="s">
        <v>3464</v>
      </c>
      <c r="H294" s="7">
        <v>94533</v>
      </c>
    </row>
    <row r="295" spans="1:8" x14ac:dyDescent="0.3">
      <c r="A295">
        <v>1435</v>
      </c>
      <c r="B295" t="s">
        <v>5</v>
      </c>
      <c r="C295" t="s">
        <v>93</v>
      </c>
      <c r="D295" t="s">
        <v>1258</v>
      </c>
      <c r="E295" t="s">
        <v>27</v>
      </c>
      <c r="F295" t="s">
        <v>9</v>
      </c>
      <c r="G295" t="s">
        <v>4908</v>
      </c>
      <c r="H295" s="7">
        <v>725</v>
      </c>
    </row>
    <row r="296" spans="1:8" x14ac:dyDescent="0.3">
      <c r="A296">
        <v>1438</v>
      </c>
      <c r="B296" t="s">
        <v>215</v>
      </c>
      <c r="C296" t="s">
        <v>1109</v>
      </c>
      <c r="D296" t="s">
        <v>107</v>
      </c>
      <c r="E296" t="s">
        <v>8</v>
      </c>
      <c r="F296" t="s">
        <v>190</v>
      </c>
      <c r="G296" t="s">
        <v>3947</v>
      </c>
      <c r="H296" s="7">
        <v>85201</v>
      </c>
    </row>
    <row r="297" spans="1:8" x14ac:dyDescent="0.3">
      <c r="A297">
        <v>1447</v>
      </c>
      <c r="B297" t="s">
        <v>997</v>
      </c>
      <c r="C297" t="s">
        <v>1231</v>
      </c>
      <c r="D297" t="s">
        <v>107</v>
      </c>
      <c r="E297" t="s">
        <v>8</v>
      </c>
      <c r="F297" t="s">
        <v>2654</v>
      </c>
      <c r="G297" t="s">
        <v>5613</v>
      </c>
      <c r="H297" s="7">
        <v>19702</v>
      </c>
    </row>
    <row r="298" spans="1:8" x14ac:dyDescent="0.3">
      <c r="A298">
        <v>1449</v>
      </c>
      <c r="B298" t="s">
        <v>1535</v>
      </c>
      <c r="C298" t="s">
        <v>251</v>
      </c>
      <c r="D298" t="s">
        <v>107</v>
      </c>
      <c r="E298" t="s">
        <v>8</v>
      </c>
      <c r="F298" t="s">
        <v>140</v>
      </c>
      <c r="G298" t="s">
        <v>4286</v>
      </c>
      <c r="H298" s="7">
        <v>30044</v>
      </c>
    </row>
    <row r="299" spans="1:8" x14ac:dyDescent="0.3">
      <c r="A299">
        <v>1471</v>
      </c>
      <c r="B299" t="s">
        <v>250</v>
      </c>
      <c r="C299" t="s">
        <v>499</v>
      </c>
      <c r="D299" t="s">
        <v>1308</v>
      </c>
      <c r="E299" t="s">
        <v>8</v>
      </c>
      <c r="F299" t="s">
        <v>21</v>
      </c>
      <c r="G299" t="s">
        <v>3024</v>
      </c>
      <c r="H299" s="7">
        <v>92627</v>
      </c>
    </row>
    <row r="300" spans="1:8" x14ac:dyDescent="0.3">
      <c r="A300">
        <v>1473</v>
      </c>
      <c r="B300" t="s">
        <v>5</v>
      </c>
      <c r="C300" t="s">
        <v>3108</v>
      </c>
      <c r="D300" t="s">
        <v>3154</v>
      </c>
      <c r="E300" t="s">
        <v>8</v>
      </c>
      <c r="F300" t="s">
        <v>9</v>
      </c>
      <c r="G300" t="s">
        <v>3155</v>
      </c>
      <c r="H300" s="7">
        <v>725</v>
      </c>
    </row>
    <row r="301" spans="1:8" x14ac:dyDescent="0.3">
      <c r="A301">
        <v>1480</v>
      </c>
      <c r="B301" t="s">
        <v>254</v>
      </c>
      <c r="C301" t="s">
        <v>1011</v>
      </c>
      <c r="D301" t="s">
        <v>1012</v>
      </c>
      <c r="E301" t="s">
        <v>8</v>
      </c>
      <c r="F301" t="s">
        <v>55</v>
      </c>
      <c r="G301" t="s">
        <v>1013</v>
      </c>
      <c r="H301" s="7">
        <v>60619</v>
      </c>
    </row>
    <row r="302" spans="1:8" x14ac:dyDescent="0.3">
      <c r="A302">
        <v>1484</v>
      </c>
      <c r="B302" t="s">
        <v>281</v>
      </c>
      <c r="C302" t="s">
        <v>93</v>
      </c>
      <c r="D302" t="s">
        <v>2341</v>
      </c>
      <c r="E302" t="s">
        <v>27</v>
      </c>
      <c r="F302" t="s">
        <v>283</v>
      </c>
      <c r="G302" t="s">
        <v>4607</v>
      </c>
      <c r="H302" s="7">
        <v>22192</v>
      </c>
    </row>
    <row r="303" spans="1:8" x14ac:dyDescent="0.3">
      <c r="A303">
        <v>1485</v>
      </c>
      <c r="B303" t="s">
        <v>1516</v>
      </c>
      <c r="C303" t="s">
        <v>2674</v>
      </c>
      <c r="D303" t="s">
        <v>107</v>
      </c>
      <c r="E303" t="s">
        <v>95</v>
      </c>
      <c r="F303" t="s">
        <v>308</v>
      </c>
      <c r="G303" t="s">
        <v>2675</v>
      </c>
      <c r="H303" s="7">
        <v>7960</v>
      </c>
    </row>
    <row r="304" spans="1:8" x14ac:dyDescent="0.3">
      <c r="A304">
        <v>1489</v>
      </c>
      <c r="B304" t="s">
        <v>368</v>
      </c>
      <c r="C304" t="s">
        <v>112</v>
      </c>
      <c r="D304" t="s">
        <v>107</v>
      </c>
      <c r="E304" t="s">
        <v>8</v>
      </c>
      <c r="F304" t="s">
        <v>88</v>
      </c>
      <c r="G304" t="s">
        <v>2889</v>
      </c>
      <c r="H304" s="7">
        <v>10003</v>
      </c>
    </row>
    <row r="305" spans="1:8" x14ac:dyDescent="0.3">
      <c r="A305">
        <v>1492</v>
      </c>
      <c r="B305" t="s">
        <v>2918</v>
      </c>
      <c r="C305" t="s">
        <v>1401</v>
      </c>
      <c r="D305" t="s">
        <v>2680</v>
      </c>
      <c r="E305" t="s">
        <v>8</v>
      </c>
      <c r="F305" t="s">
        <v>21</v>
      </c>
      <c r="G305" t="s">
        <v>2919</v>
      </c>
      <c r="H305" s="7">
        <v>90640</v>
      </c>
    </row>
    <row r="306" spans="1:8" x14ac:dyDescent="0.3">
      <c r="A306">
        <v>1502</v>
      </c>
      <c r="B306" t="s">
        <v>5</v>
      </c>
      <c r="C306" t="s">
        <v>751</v>
      </c>
      <c r="D306" t="s">
        <v>1597</v>
      </c>
      <c r="E306" t="s">
        <v>8</v>
      </c>
      <c r="F306" t="s">
        <v>9</v>
      </c>
      <c r="G306" t="s">
        <v>4864</v>
      </c>
      <c r="H306" s="7">
        <v>725</v>
      </c>
    </row>
    <row r="307" spans="1:8" x14ac:dyDescent="0.3">
      <c r="A307">
        <v>1506</v>
      </c>
      <c r="B307" t="s">
        <v>1919</v>
      </c>
      <c r="C307" t="s">
        <v>1175</v>
      </c>
      <c r="D307" t="s">
        <v>3649</v>
      </c>
      <c r="E307" t="s">
        <v>8</v>
      </c>
      <c r="F307" t="s">
        <v>242</v>
      </c>
      <c r="G307" t="s">
        <v>4620</v>
      </c>
      <c r="H307" s="7">
        <v>21740</v>
      </c>
    </row>
    <row r="308" spans="1:8" x14ac:dyDescent="0.3">
      <c r="A308">
        <v>1518</v>
      </c>
      <c r="B308" t="s">
        <v>239</v>
      </c>
      <c r="C308" t="s">
        <v>727</v>
      </c>
      <c r="D308" t="s">
        <v>107</v>
      </c>
      <c r="E308" t="s">
        <v>8</v>
      </c>
      <c r="F308" t="s">
        <v>242</v>
      </c>
      <c r="G308" t="s">
        <v>2717</v>
      </c>
      <c r="H308" s="7">
        <v>21229</v>
      </c>
    </row>
    <row r="309" spans="1:8" x14ac:dyDescent="0.3">
      <c r="A309">
        <v>1522</v>
      </c>
      <c r="B309" t="s">
        <v>2973</v>
      </c>
      <c r="C309" t="s">
        <v>93</v>
      </c>
      <c r="D309" t="s">
        <v>5337</v>
      </c>
      <c r="E309" t="s">
        <v>27</v>
      </c>
      <c r="F309" t="s">
        <v>1657</v>
      </c>
      <c r="G309" t="s">
        <v>5338</v>
      </c>
      <c r="H309" s="7">
        <v>6902</v>
      </c>
    </row>
    <row r="310" spans="1:8" x14ac:dyDescent="0.3">
      <c r="A310">
        <v>1523</v>
      </c>
      <c r="B310" t="s">
        <v>1579</v>
      </c>
      <c r="C310" t="s">
        <v>1303</v>
      </c>
      <c r="D310" t="s">
        <v>107</v>
      </c>
      <c r="E310" t="s">
        <v>27</v>
      </c>
      <c r="F310" t="s">
        <v>21</v>
      </c>
      <c r="G310" t="s">
        <v>1580</v>
      </c>
      <c r="H310" s="7">
        <v>91405</v>
      </c>
    </row>
    <row r="311" spans="1:8" x14ac:dyDescent="0.3">
      <c r="A311">
        <v>1524</v>
      </c>
      <c r="B311" t="s">
        <v>1787</v>
      </c>
      <c r="C311" t="s">
        <v>1714</v>
      </c>
      <c r="D311" t="s">
        <v>403</v>
      </c>
      <c r="E311" t="s">
        <v>8</v>
      </c>
      <c r="F311" t="s">
        <v>21</v>
      </c>
      <c r="G311" t="s">
        <v>2741</v>
      </c>
      <c r="H311" s="7">
        <v>90638</v>
      </c>
    </row>
    <row r="312" spans="1:8" x14ac:dyDescent="0.3">
      <c r="A312">
        <v>1531</v>
      </c>
      <c r="B312" t="s">
        <v>5</v>
      </c>
      <c r="C312" t="s">
        <v>556</v>
      </c>
      <c r="D312" t="s">
        <v>1304</v>
      </c>
      <c r="E312" t="s">
        <v>8</v>
      </c>
      <c r="F312" t="s">
        <v>9</v>
      </c>
      <c r="G312" t="s">
        <v>5075</v>
      </c>
      <c r="H312" s="7">
        <v>725</v>
      </c>
    </row>
    <row r="313" spans="1:8" x14ac:dyDescent="0.3">
      <c r="A313">
        <v>1534</v>
      </c>
      <c r="B313" t="s">
        <v>1850</v>
      </c>
      <c r="C313" t="s">
        <v>555</v>
      </c>
      <c r="D313" t="s">
        <v>107</v>
      </c>
      <c r="E313" t="s">
        <v>95</v>
      </c>
      <c r="F313" t="s">
        <v>21</v>
      </c>
      <c r="G313" t="s">
        <v>5565</v>
      </c>
      <c r="H313" s="7">
        <v>92708</v>
      </c>
    </row>
    <row r="314" spans="1:8" x14ac:dyDescent="0.3">
      <c r="A314">
        <v>1537</v>
      </c>
      <c r="B314" t="s">
        <v>810</v>
      </c>
      <c r="C314" t="s">
        <v>577</v>
      </c>
      <c r="D314" t="s">
        <v>2556</v>
      </c>
      <c r="E314" t="s">
        <v>27</v>
      </c>
      <c r="F314" t="s">
        <v>448</v>
      </c>
      <c r="G314" t="s">
        <v>3554</v>
      </c>
      <c r="H314" s="7">
        <v>33064</v>
      </c>
    </row>
    <row r="315" spans="1:8" x14ac:dyDescent="0.3">
      <c r="A315">
        <v>1538</v>
      </c>
      <c r="B315" t="s">
        <v>5</v>
      </c>
      <c r="C315" t="s">
        <v>93</v>
      </c>
      <c r="D315" t="s">
        <v>107</v>
      </c>
      <c r="E315" t="s">
        <v>8</v>
      </c>
      <c r="F315" t="s">
        <v>9</v>
      </c>
      <c r="G315" t="s">
        <v>5063</v>
      </c>
      <c r="H315" s="7">
        <v>725</v>
      </c>
    </row>
    <row r="316" spans="1:8" x14ac:dyDescent="0.3">
      <c r="A316">
        <v>1541</v>
      </c>
      <c r="B316" t="s">
        <v>5</v>
      </c>
      <c r="C316" t="s">
        <v>1294</v>
      </c>
      <c r="D316" t="s">
        <v>107</v>
      </c>
      <c r="E316" t="s">
        <v>8</v>
      </c>
      <c r="F316" t="s">
        <v>9</v>
      </c>
      <c r="G316" t="s">
        <v>5280</v>
      </c>
      <c r="H316" s="7">
        <v>725</v>
      </c>
    </row>
    <row r="317" spans="1:8" x14ac:dyDescent="0.3">
      <c r="A317">
        <v>1543</v>
      </c>
      <c r="B317" t="s">
        <v>3150</v>
      </c>
      <c r="C317" t="s">
        <v>93</v>
      </c>
      <c r="D317" t="s">
        <v>107</v>
      </c>
      <c r="E317" t="s">
        <v>8</v>
      </c>
      <c r="F317" t="s">
        <v>341</v>
      </c>
      <c r="G317" t="s">
        <v>4417</v>
      </c>
      <c r="H317" s="7">
        <v>28314</v>
      </c>
    </row>
    <row r="318" spans="1:8" x14ac:dyDescent="0.3">
      <c r="A318">
        <v>1546</v>
      </c>
      <c r="B318" t="s">
        <v>313</v>
      </c>
      <c r="C318" t="s">
        <v>948</v>
      </c>
      <c r="D318" t="s">
        <v>1248</v>
      </c>
      <c r="E318" t="s">
        <v>8</v>
      </c>
      <c r="F318" t="s">
        <v>21</v>
      </c>
      <c r="G318" t="s">
        <v>2079</v>
      </c>
      <c r="H318" s="7">
        <v>92879</v>
      </c>
    </row>
    <row r="319" spans="1:8" x14ac:dyDescent="0.3">
      <c r="A319">
        <v>1547</v>
      </c>
      <c r="B319" t="s">
        <v>769</v>
      </c>
      <c r="C319" t="s">
        <v>366</v>
      </c>
      <c r="D319" t="s">
        <v>107</v>
      </c>
      <c r="E319" t="s">
        <v>8</v>
      </c>
      <c r="F319" t="s">
        <v>190</v>
      </c>
      <c r="G319" t="s">
        <v>4958</v>
      </c>
      <c r="H319" s="7">
        <v>85035</v>
      </c>
    </row>
    <row r="320" spans="1:8" x14ac:dyDescent="0.3">
      <c r="A320">
        <v>1549</v>
      </c>
      <c r="B320" t="s">
        <v>2915</v>
      </c>
      <c r="C320" t="s">
        <v>1981</v>
      </c>
      <c r="D320" t="s">
        <v>5025</v>
      </c>
      <c r="E320" t="s">
        <v>27</v>
      </c>
      <c r="F320" t="s">
        <v>108</v>
      </c>
      <c r="G320" t="s">
        <v>5519</v>
      </c>
      <c r="H320" s="7">
        <v>97045</v>
      </c>
    </row>
    <row r="321" spans="1:8" x14ac:dyDescent="0.3">
      <c r="A321">
        <v>1551</v>
      </c>
      <c r="B321" t="s">
        <v>997</v>
      </c>
      <c r="C321" t="s">
        <v>799</v>
      </c>
      <c r="D321" t="s">
        <v>739</v>
      </c>
      <c r="E321" t="s">
        <v>27</v>
      </c>
      <c r="F321" t="s">
        <v>308</v>
      </c>
      <c r="G321" t="s">
        <v>892</v>
      </c>
      <c r="H321" s="7">
        <v>7105</v>
      </c>
    </row>
    <row r="322" spans="1:8" x14ac:dyDescent="0.3">
      <c r="A322">
        <v>1552</v>
      </c>
      <c r="B322" t="s">
        <v>5</v>
      </c>
      <c r="C322" t="s">
        <v>93</v>
      </c>
      <c r="D322" t="s">
        <v>4260</v>
      </c>
      <c r="E322" t="s">
        <v>8</v>
      </c>
      <c r="F322" t="s">
        <v>9</v>
      </c>
      <c r="G322" t="s">
        <v>4617</v>
      </c>
      <c r="H322" s="7">
        <v>725</v>
      </c>
    </row>
    <row r="323" spans="1:8" x14ac:dyDescent="0.3">
      <c r="A323">
        <v>1553</v>
      </c>
      <c r="B323" t="s">
        <v>1915</v>
      </c>
      <c r="C323" t="s">
        <v>506</v>
      </c>
      <c r="D323" t="s">
        <v>107</v>
      </c>
      <c r="E323" t="s">
        <v>8</v>
      </c>
      <c r="F323" t="s">
        <v>21</v>
      </c>
      <c r="G323" t="s">
        <v>1916</v>
      </c>
      <c r="H323" s="7">
        <v>94601</v>
      </c>
    </row>
    <row r="324" spans="1:8" x14ac:dyDescent="0.3">
      <c r="A324">
        <v>1555</v>
      </c>
      <c r="B324" t="s">
        <v>1928</v>
      </c>
      <c r="C324" t="s">
        <v>1399</v>
      </c>
      <c r="D324" t="s">
        <v>107</v>
      </c>
      <c r="E324" t="s">
        <v>8</v>
      </c>
      <c r="F324" t="s">
        <v>88</v>
      </c>
      <c r="G324" t="s">
        <v>3950</v>
      </c>
      <c r="H324" s="7">
        <v>10314</v>
      </c>
    </row>
    <row r="325" spans="1:8" x14ac:dyDescent="0.3">
      <c r="A325">
        <v>1558</v>
      </c>
      <c r="B325" t="s">
        <v>5</v>
      </c>
      <c r="C325" t="s">
        <v>93</v>
      </c>
      <c r="D325" t="s">
        <v>107</v>
      </c>
      <c r="E325" t="s">
        <v>95</v>
      </c>
      <c r="F325" t="s">
        <v>9</v>
      </c>
      <c r="G325" t="s">
        <v>540</v>
      </c>
      <c r="H325" s="7">
        <v>725</v>
      </c>
    </row>
    <row r="326" spans="1:8" x14ac:dyDescent="0.3">
      <c r="A326">
        <v>1559</v>
      </c>
      <c r="B326" t="s">
        <v>723</v>
      </c>
      <c r="C326" t="s">
        <v>251</v>
      </c>
      <c r="D326" t="s">
        <v>2175</v>
      </c>
      <c r="E326" t="s">
        <v>8</v>
      </c>
      <c r="F326" t="s">
        <v>729</v>
      </c>
      <c r="G326" t="s">
        <v>2845</v>
      </c>
      <c r="H326" s="7">
        <v>80015</v>
      </c>
    </row>
    <row r="327" spans="1:8" x14ac:dyDescent="0.3">
      <c r="A327">
        <v>1560</v>
      </c>
      <c r="B327" t="s">
        <v>5</v>
      </c>
      <c r="C327" t="s">
        <v>93</v>
      </c>
      <c r="D327" t="s">
        <v>107</v>
      </c>
      <c r="E327" t="s">
        <v>8</v>
      </c>
      <c r="F327" t="s">
        <v>9</v>
      </c>
      <c r="G327" t="s">
        <v>592</v>
      </c>
      <c r="H327" s="7">
        <v>725</v>
      </c>
    </row>
    <row r="328" spans="1:8" x14ac:dyDescent="0.3">
      <c r="A328">
        <v>1573</v>
      </c>
      <c r="B328" t="s">
        <v>769</v>
      </c>
      <c r="C328" t="s">
        <v>1381</v>
      </c>
      <c r="D328" t="s">
        <v>2852</v>
      </c>
      <c r="E328" t="s">
        <v>8</v>
      </c>
      <c r="F328" t="s">
        <v>190</v>
      </c>
      <c r="G328" t="s">
        <v>3872</v>
      </c>
      <c r="H328" s="7">
        <v>85009</v>
      </c>
    </row>
    <row r="329" spans="1:8" x14ac:dyDescent="0.3">
      <c r="A329">
        <v>1575</v>
      </c>
      <c r="B329" t="s">
        <v>5</v>
      </c>
      <c r="C329" t="s">
        <v>417</v>
      </c>
      <c r="D329" t="s">
        <v>322</v>
      </c>
      <c r="E329" t="s">
        <v>95</v>
      </c>
      <c r="F329" t="s">
        <v>9</v>
      </c>
      <c r="G329" t="s">
        <v>4229</v>
      </c>
      <c r="H329" s="7">
        <v>725</v>
      </c>
    </row>
    <row r="330" spans="1:8" x14ac:dyDescent="0.3">
      <c r="A330">
        <v>1577</v>
      </c>
      <c r="B330" t="s">
        <v>5</v>
      </c>
      <c r="C330" t="s">
        <v>93</v>
      </c>
      <c r="D330" t="s">
        <v>107</v>
      </c>
      <c r="E330" t="s">
        <v>95</v>
      </c>
      <c r="F330" t="s">
        <v>9</v>
      </c>
      <c r="G330" t="s">
        <v>3566</v>
      </c>
      <c r="H330" s="7">
        <v>725</v>
      </c>
    </row>
    <row r="331" spans="1:8" x14ac:dyDescent="0.3">
      <c r="A331">
        <v>1581</v>
      </c>
      <c r="B331" t="s">
        <v>435</v>
      </c>
      <c r="C331" t="s">
        <v>93</v>
      </c>
      <c r="D331" t="s">
        <v>107</v>
      </c>
      <c r="E331" t="s">
        <v>8</v>
      </c>
      <c r="F331" t="s">
        <v>172</v>
      </c>
      <c r="G331" t="s">
        <v>1278</v>
      </c>
      <c r="H331" s="7">
        <v>63116</v>
      </c>
    </row>
    <row r="332" spans="1:8" x14ac:dyDescent="0.3">
      <c r="A332">
        <v>1589</v>
      </c>
      <c r="B332" t="s">
        <v>2170</v>
      </c>
      <c r="C332" t="s">
        <v>700</v>
      </c>
      <c r="D332" t="s">
        <v>3795</v>
      </c>
      <c r="E332" t="s">
        <v>27</v>
      </c>
      <c r="F332" t="s">
        <v>248</v>
      </c>
      <c r="G332" t="s">
        <v>3130</v>
      </c>
      <c r="H332" s="7">
        <v>44102</v>
      </c>
    </row>
    <row r="333" spans="1:8" x14ac:dyDescent="0.3">
      <c r="A333">
        <v>1591</v>
      </c>
      <c r="B333" t="s">
        <v>5</v>
      </c>
      <c r="C333" t="s">
        <v>891</v>
      </c>
      <c r="D333" t="s">
        <v>1304</v>
      </c>
      <c r="E333" t="s">
        <v>27</v>
      </c>
      <c r="F333" t="s">
        <v>9</v>
      </c>
      <c r="G333" t="s">
        <v>636</v>
      </c>
      <c r="H333" s="7">
        <v>725</v>
      </c>
    </row>
    <row r="334" spans="1:8" x14ac:dyDescent="0.3">
      <c r="A334">
        <v>1597</v>
      </c>
      <c r="B334" t="s">
        <v>3216</v>
      </c>
      <c r="C334" t="s">
        <v>841</v>
      </c>
      <c r="D334" t="s">
        <v>107</v>
      </c>
      <c r="E334" t="s">
        <v>8</v>
      </c>
      <c r="F334" t="s">
        <v>140</v>
      </c>
      <c r="G334" t="s">
        <v>2932</v>
      </c>
      <c r="H334" s="7">
        <v>30093</v>
      </c>
    </row>
    <row r="335" spans="1:8" x14ac:dyDescent="0.3">
      <c r="A335">
        <v>1604</v>
      </c>
      <c r="B335" t="s">
        <v>5</v>
      </c>
      <c r="C335" t="s">
        <v>1482</v>
      </c>
      <c r="D335" t="s">
        <v>776</v>
      </c>
      <c r="E335" t="s">
        <v>95</v>
      </c>
      <c r="F335" t="s">
        <v>9</v>
      </c>
      <c r="G335" t="s">
        <v>4833</v>
      </c>
      <c r="H335" s="7">
        <v>725</v>
      </c>
    </row>
    <row r="336" spans="1:8" x14ac:dyDescent="0.3">
      <c r="A336">
        <v>1608</v>
      </c>
      <c r="B336" t="s">
        <v>710</v>
      </c>
      <c r="C336" t="s">
        <v>223</v>
      </c>
      <c r="D336" t="s">
        <v>107</v>
      </c>
      <c r="E336" t="s">
        <v>27</v>
      </c>
      <c r="F336" t="s">
        <v>448</v>
      </c>
      <c r="G336" t="s">
        <v>714</v>
      </c>
      <c r="H336" s="7">
        <v>33324</v>
      </c>
    </row>
    <row r="337" spans="1:8" x14ac:dyDescent="0.3">
      <c r="A337">
        <v>1640</v>
      </c>
      <c r="B337" t="s">
        <v>1523</v>
      </c>
      <c r="C337" t="s">
        <v>93</v>
      </c>
      <c r="D337" t="s">
        <v>107</v>
      </c>
      <c r="E337" t="s">
        <v>27</v>
      </c>
      <c r="F337" t="s">
        <v>21</v>
      </c>
      <c r="G337" t="s">
        <v>1524</v>
      </c>
      <c r="H337" s="7">
        <v>90201</v>
      </c>
    </row>
    <row r="338" spans="1:8" x14ac:dyDescent="0.3">
      <c r="A338">
        <v>1658</v>
      </c>
      <c r="B338" t="s">
        <v>174</v>
      </c>
      <c r="C338" t="s">
        <v>745</v>
      </c>
      <c r="D338" t="s">
        <v>746</v>
      </c>
      <c r="E338" t="s">
        <v>8</v>
      </c>
      <c r="F338" t="s">
        <v>21</v>
      </c>
      <c r="G338" t="s">
        <v>747</v>
      </c>
      <c r="H338" s="7">
        <v>90066</v>
      </c>
    </row>
    <row r="339" spans="1:8" x14ac:dyDescent="0.3">
      <c r="A339">
        <v>1660</v>
      </c>
      <c r="B339" t="s">
        <v>642</v>
      </c>
      <c r="C339" t="s">
        <v>643</v>
      </c>
      <c r="D339" t="s">
        <v>644</v>
      </c>
      <c r="E339" t="s">
        <v>27</v>
      </c>
      <c r="F339" t="s">
        <v>21</v>
      </c>
      <c r="G339" t="s">
        <v>645</v>
      </c>
      <c r="H339" s="7">
        <v>91352</v>
      </c>
    </row>
    <row r="340" spans="1:8" x14ac:dyDescent="0.3">
      <c r="A340">
        <v>1678</v>
      </c>
      <c r="B340" t="s">
        <v>2101</v>
      </c>
      <c r="C340" t="s">
        <v>93</v>
      </c>
      <c r="D340" t="s">
        <v>4799</v>
      </c>
      <c r="E340" t="s">
        <v>95</v>
      </c>
      <c r="F340" t="s">
        <v>77</v>
      </c>
      <c r="G340" t="s">
        <v>4874</v>
      </c>
      <c r="H340" s="7">
        <v>19380</v>
      </c>
    </row>
    <row r="341" spans="1:8" x14ac:dyDescent="0.3">
      <c r="A341">
        <v>1679</v>
      </c>
      <c r="B341" t="s">
        <v>5</v>
      </c>
      <c r="C341" t="s">
        <v>236</v>
      </c>
      <c r="D341" t="s">
        <v>107</v>
      </c>
      <c r="E341" t="s">
        <v>8</v>
      </c>
      <c r="F341" t="s">
        <v>9</v>
      </c>
      <c r="G341" t="s">
        <v>3160</v>
      </c>
      <c r="H341" s="7">
        <v>725</v>
      </c>
    </row>
    <row r="342" spans="1:8" x14ac:dyDescent="0.3">
      <c r="A342">
        <v>1682</v>
      </c>
      <c r="B342" t="s">
        <v>1698</v>
      </c>
      <c r="C342" t="s">
        <v>93</v>
      </c>
      <c r="D342" t="s">
        <v>1699</v>
      </c>
      <c r="E342" t="s">
        <v>27</v>
      </c>
      <c r="F342" t="s">
        <v>88</v>
      </c>
      <c r="G342" t="s">
        <v>1700</v>
      </c>
      <c r="H342" s="7">
        <v>11377</v>
      </c>
    </row>
    <row r="343" spans="1:8" x14ac:dyDescent="0.3">
      <c r="A343">
        <v>1685</v>
      </c>
      <c r="B343" t="s">
        <v>254</v>
      </c>
      <c r="C343" t="s">
        <v>2301</v>
      </c>
      <c r="D343" t="s">
        <v>4095</v>
      </c>
      <c r="E343" t="s">
        <v>8</v>
      </c>
      <c r="F343" t="s">
        <v>55</v>
      </c>
      <c r="G343" t="s">
        <v>1836</v>
      </c>
      <c r="H343" s="7">
        <v>60618</v>
      </c>
    </row>
    <row r="344" spans="1:8" x14ac:dyDescent="0.3">
      <c r="A344">
        <v>1700</v>
      </c>
      <c r="B344" t="s">
        <v>174</v>
      </c>
      <c r="C344" t="s">
        <v>555</v>
      </c>
      <c r="D344" t="s">
        <v>1113</v>
      </c>
      <c r="E344" t="s">
        <v>27</v>
      </c>
      <c r="F344" t="s">
        <v>21</v>
      </c>
      <c r="G344" t="s">
        <v>4730</v>
      </c>
      <c r="H344" s="7">
        <v>90047</v>
      </c>
    </row>
    <row r="345" spans="1:8" x14ac:dyDescent="0.3">
      <c r="A345">
        <v>1707</v>
      </c>
      <c r="B345" t="s">
        <v>3199</v>
      </c>
      <c r="C345" t="s">
        <v>93</v>
      </c>
      <c r="D345" t="s">
        <v>1081</v>
      </c>
      <c r="E345" t="s">
        <v>8</v>
      </c>
      <c r="F345" t="s">
        <v>134</v>
      </c>
      <c r="G345" t="s">
        <v>3200</v>
      </c>
      <c r="H345" s="7">
        <v>96744</v>
      </c>
    </row>
    <row r="346" spans="1:8" x14ac:dyDescent="0.3">
      <c r="A346">
        <v>1708</v>
      </c>
      <c r="B346" t="s">
        <v>3010</v>
      </c>
      <c r="C346" t="s">
        <v>1317</v>
      </c>
      <c r="D346" t="s">
        <v>1127</v>
      </c>
      <c r="E346" t="s">
        <v>8</v>
      </c>
      <c r="F346" t="s">
        <v>114</v>
      </c>
      <c r="G346" t="s">
        <v>3082</v>
      </c>
      <c r="H346" s="7">
        <v>76010</v>
      </c>
    </row>
    <row r="347" spans="1:8" x14ac:dyDescent="0.3">
      <c r="A347">
        <v>1709</v>
      </c>
      <c r="B347" t="s">
        <v>4386</v>
      </c>
      <c r="C347" t="s">
        <v>700</v>
      </c>
      <c r="D347" t="s">
        <v>107</v>
      </c>
      <c r="E347" t="s">
        <v>27</v>
      </c>
      <c r="F347" t="s">
        <v>381</v>
      </c>
      <c r="G347" t="s">
        <v>4944</v>
      </c>
      <c r="H347" s="7">
        <v>48185</v>
      </c>
    </row>
    <row r="348" spans="1:8" x14ac:dyDescent="0.3">
      <c r="A348">
        <v>1711</v>
      </c>
      <c r="B348" t="s">
        <v>854</v>
      </c>
      <c r="C348" t="s">
        <v>1109</v>
      </c>
      <c r="D348" t="s">
        <v>107</v>
      </c>
      <c r="E348" t="s">
        <v>27</v>
      </c>
      <c r="F348" t="s">
        <v>108</v>
      </c>
      <c r="G348" t="s">
        <v>4923</v>
      </c>
      <c r="H348" s="7">
        <v>97301</v>
      </c>
    </row>
    <row r="349" spans="1:8" x14ac:dyDescent="0.3">
      <c r="A349">
        <v>1713</v>
      </c>
      <c r="B349" t="s">
        <v>4413</v>
      </c>
      <c r="C349" t="s">
        <v>93</v>
      </c>
      <c r="D349" t="s">
        <v>2755</v>
      </c>
      <c r="E349" t="s">
        <v>27</v>
      </c>
      <c r="F349" t="s">
        <v>1514</v>
      </c>
      <c r="G349" t="s">
        <v>5326</v>
      </c>
      <c r="H349" s="7">
        <v>40601</v>
      </c>
    </row>
    <row r="350" spans="1:8" x14ac:dyDescent="0.3">
      <c r="A350">
        <v>1714</v>
      </c>
      <c r="B350" t="s">
        <v>1839</v>
      </c>
      <c r="C350" t="s">
        <v>913</v>
      </c>
      <c r="D350" t="s">
        <v>107</v>
      </c>
      <c r="E350" t="s">
        <v>27</v>
      </c>
      <c r="F350" t="s">
        <v>55</v>
      </c>
      <c r="G350" t="s">
        <v>3161</v>
      </c>
      <c r="H350" s="7">
        <v>60014</v>
      </c>
    </row>
    <row r="351" spans="1:8" x14ac:dyDescent="0.3">
      <c r="A351">
        <v>1715</v>
      </c>
      <c r="B351" t="s">
        <v>5</v>
      </c>
      <c r="C351" t="s">
        <v>93</v>
      </c>
      <c r="D351" t="s">
        <v>1720</v>
      </c>
      <c r="E351" t="s">
        <v>27</v>
      </c>
      <c r="F351" t="s">
        <v>9</v>
      </c>
      <c r="G351" t="s">
        <v>2931</v>
      </c>
      <c r="H351" s="7">
        <v>725</v>
      </c>
    </row>
    <row r="352" spans="1:8" x14ac:dyDescent="0.3">
      <c r="A352">
        <v>1716</v>
      </c>
      <c r="B352" t="s">
        <v>699</v>
      </c>
      <c r="C352" t="s">
        <v>2697</v>
      </c>
      <c r="D352" t="s">
        <v>107</v>
      </c>
      <c r="E352" t="s">
        <v>95</v>
      </c>
      <c r="F352" t="s">
        <v>114</v>
      </c>
      <c r="G352" t="s">
        <v>5575</v>
      </c>
      <c r="H352" s="7">
        <v>77036</v>
      </c>
    </row>
    <row r="353" spans="1:8" x14ac:dyDescent="0.3">
      <c r="A353">
        <v>1720</v>
      </c>
      <c r="B353" t="s">
        <v>5</v>
      </c>
      <c r="C353" t="s">
        <v>93</v>
      </c>
      <c r="D353" t="s">
        <v>1304</v>
      </c>
      <c r="E353" t="s">
        <v>27</v>
      </c>
      <c r="F353" t="s">
        <v>9</v>
      </c>
      <c r="G353" t="s">
        <v>4108</v>
      </c>
      <c r="H353" s="7">
        <v>725</v>
      </c>
    </row>
    <row r="354" spans="1:8" x14ac:dyDescent="0.3">
      <c r="A354">
        <v>1721</v>
      </c>
      <c r="B354" t="s">
        <v>2292</v>
      </c>
      <c r="C354" t="s">
        <v>1713</v>
      </c>
      <c r="D354" t="s">
        <v>2293</v>
      </c>
      <c r="E354" t="s">
        <v>27</v>
      </c>
      <c r="F354" t="s">
        <v>21</v>
      </c>
      <c r="G354" t="s">
        <v>2294</v>
      </c>
      <c r="H354" s="7">
        <v>93003</v>
      </c>
    </row>
    <row r="355" spans="1:8" x14ac:dyDescent="0.3">
      <c r="A355">
        <v>1726</v>
      </c>
      <c r="B355" t="s">
        <v>5</v>
      </c>
      <c r="C355" t="s">
        <v>488</v>
      </c>
      <c r="D355" t="s">
        <v>107</v>
      </c>
      <c r="E355" t="s">
        <v>27</v>
      </c>
      <c r="F355" t="s">
        <v>9</v>
      </c>
      <c r="G355" t="s">
        <v>5068</v>
      </c>
      <c r="H355" s="7">
        <v>725</v>
      </c>
    </row>
    <row r="356" spans="1:8" x14ac:dyDescent="0.3">
      <c r="A356">
        <v>1727</v>
      </c>
      <c r="B356" t="s">
        <v>2543</v>
      </c>
      <c r="C356" t="s">
        <v>93</v>
      </c>
      <c r="D356" t="s">
        <v>5116</v>
      </c>
      <c r="E356" t="s">
        <v>27</v>
      </c>
      <c r="F356" t="s">
        <v>88</v>
      </c>
      <c r="G356" t="s">
        <v>5117</v>
      </c>
      <c r="H356" s="7">
        <v>11434</v>
      </c>
    </row>
    <row r="357" spans="1:8" x14ac:dyDescent="0.3">
      <c r="A357">
        <v>1730</v>
      </c>
      <c r="B357" t="s">
        <v>2210</v>
      </c>
      <c r="C357" t="s">
        <v>93</v>
      </c>
      <c r="D357" t="s">
        <v>107</v>
      </c>
      <c r="E357" t="s">
        <v>27</v>
      </c>
      <c r="F357" t="s">
        <v>21</v>
      </c>
      <c r="G357" t="s">
        <v>4681</v>
      </c>
      <c r="H357" s="7">
        <v>92630</v>
      </c>
    </row>
    <row r="358" spans="1:8" x14ac:dyDescent="0.3">
      <c r="A358">
        <v>1736</v>
      </c>
      <c r="B358" t="s">
        <v>1293</v>
      </c>
      <c r="C358" t="s">
        <v>1231</v>
      </c>
      <c r="D358" t="s">
        <v>107</v>
      </c>
      <c r="E358" t="s">
        <v>95</v>
      </c>
      <c r="F358" t="s">
        <v>190</v>
      </c>
      <c r="G358" t="s">
        <v>5538</v>
      </c>
      <c r="H358" s="7">
        <v>85283</v>
      </c>
    </row>
    <row r="359" spans="1:8" x14ac:dyDescent="0.3">
      <c r="A359">
        <v>1744</v>
      </c>
      <c r="B359" t="s">
        <v>5</v>
      </c>
      <c r="C359" t="s">
        <v>268</v>
      </c>
      <c r="D359" t="s">
        <v>1280</v>
      </c>
      <c r="E359" t="s">
        <v>27</v>
      </c>
      <c r="F359" t="s">
        <v>9</v>
      </c>
      <c r="G359" t="s">
        <v>2598</v>
      </c>
      <c r="H359" s="7">
        <v>725</v>
      </c>
    </row>
    <row r="360" spans="1:8" x14ac:dyDescent="0.3">
      <c r="A360">
        <v>1745</v>
      </c>
      <c r="B360" t="s">
        <v>1203</v>
      </c>
      <c r="C360" t="s">
        <v>93</v>
      </c>
      <c r="D360" t="s">
        <v>107</v>
      </c>
      <c r="E360" t="s">
        <v>27</v>
      </c>
      <c r="F360" t="s">
        <v>21</v>
      </c>
      <c r="G360" t="s">
        <v>2661</v>
      </c>
      <c r="H360" s="7">
        <v>91748</v>
      </c>
    </row>
    <row r="361" spans="1:8" x14ac:dyDescent="0.3">
      <c r="A361">
        <v>1754</v>
      </c>
      <c r="B361" t="s">
        <v>5</v>
      </c>
      <c r="C361" t="s">
        <v>787</v>
      </c>
      <c r="D361" t="s">
        <v>3320</v>
      </c>
      <c r="E361" t="s">
        <v>27</v>
      </c>
      <c r="F361" t="s">
        <v>9</v>
      </c>
      <c r="G361" t="s">
        <v>4618</v>
      </c>
      <c r="H361" s="7">
        <v>725</v>
      </c>
    </row>
    <row r="362" spans="1:8" x14ac:dyDescent="0.3">
      <c r="A362">
        <v>1756</v>
      </c>
      <c r="B362" t="s">
        <v>508</v>
      </c>
      <c r="C362" t="s">
        <v>1109</v>
      </c>
      <c r="D362" t="s">
        <v>3320</v>
      </c>
      <c r="E362" t="s">
        <v>8</v>
      </c>
      <c r="F362" t="s">
        <v>114</v>
      </c>
      <c r="G362" t="s">
        <v>4315</v>
      </c>
      <c r="H362" s="7">
        <v>75227</v>
      </c>
    </row>
    <row r="363" spans="1:8" x14ac:dyDescent="0.3">
      <c r="A363">
        <v>1757</v>
      </c>
      <c r="B363" t="s">
        <v>5</v>
      </c>
      <c r="C363" t="s">
        <v>93</v>
      </c>
      <c r="D363" t="s">
        <v>107</v>
      </c>
      <c r="E363" t="s">
        <v>8</v>
      </c>
      <c r="F363" t="s">
        <v>9</v>
      </c>
      <c r="G363" t="s">
        <v>918</v>
      </c>
      <c r="H363" s="7">
        <v>725</v>
      </c>
    </row>
    <row r="364" spans="1:8" x14ac:dyDescent="0.3">
      <c r="A364">
        <v>1762</v>
      </c>
      <c r="B364" t="s">
        <v>5</v>
      </c>
      <c r="C364" t="s">
        <v>230</v>
      </c>
      <c r="D364" t="s">
        <v>107</v>
      </c>
      <c r="E364" t="s">
        <v>27</v>
      </c>
      <c r="F364" t="s">
        <v>9</v>
      </c>
      <c r="G364" t="s">
        <v>1167</v>
      </c>
      <c r="H364" s="7">
        <v>725</v>
      </c>
    </row>
    <row r="365" spans="1:8" x14ac:dyDescent="0.3">
      <c r="A365">
        <v>1766</v>
      </c>
      <c r="B365" t="s">
        <v>2352</v>
      </c>
      <c r="C365" t="s">
        <v>223</v>
      </c>
      <c r="D365" t="s">
        <v>2201</v>
      </c>
      <c r="E365" t="s">
        <v>95</v>
      </c>
      <c r="F365" t="s">
        <v>729</v>
      </c>
      <c r="G365" t="s">
        <v>5510</v>
      </c>
      <c r="H365" s="7">
        <v>80219</v>
      </c>
    </row>
    <row r="366" spans="1:8" x14ac:dyDescent="0.3">
      <c r="A366">
        <v>1768</v>
      </c>
      <c r="B366" t="s">
        <v>862</v>
      </c>
      <c r="C366" t="s">
        <v>2295</v>
      </c>
      <c r="D366" t="s">
        <v>107</v>
      </c>
      <c r="E366" t="s">
        <v>8</v>
      </c>
      <c r="F366" t="s">
        <v>478</v>
      </c>
      <c r="G366" t="s">
        <v>4786</v>
      </c>
      <c r="H366" s="7">
        <v>89119</v>
      </c>
    </row>
    <row r="367" spans="1:8" x14ac:dyDescent="0.3">
      <c r="A367">
        <v>1769</v>
      </c>
      <c r="B367" t="s">
        <v>5</v>
      </c>
      <c r="C367" t="s">
        <v>93</v>
      </c>
      <c r="D367" t="s">
        <v>1201</v>
      </c>
      <c r="E367" t="s">
        <v>27</v>
      </c>
      <c r="F367" t="s">
        <v>9</v>
      </c>
      <c r="G367" t="s">
        <v>2692</v>
      </c>
      <c r="H367" s="7">
        <v>725</v>
      </c>
    </row>
    <row r="368" spans="1:8" x14ac:dyDescent="0.3">
      <c r="A368">
        <v>1772</v>
      </c>
      <c r="B368" t="s">
        <v>5</v>
      </c>
      <c r="C368" t="s">
        <v>93</v>
      </c>
      <c r="D368" t="s">
        <v>567</v>
      </c>
      <c r="E368" t="s">
        <v>27</v>
      </c>
      <c r="F368" t="s">
        <v>9</v>
      </c>
      <c r="G368" t="s">
        <v>3279</v>
      </c>
      <c r="H368" s="7">
        <v>725</v>
      </c>
    </row>
    <row r="369" spans="1:8" x14ac:dyDescent="0.3">
      <c r="A369">
        <v>1779</v>
      </c>
      <c r="B369" t="s">
        <v>1550</v>
      </c>
      <c r="C369" t="s">
        <v>1153</v>
      </c>
      <c r="D369" t="s">
        <v>107</v>
      </c>
      <c r="E369" t="s">
        <v>27</v>
      </c>
      <c r="F369" t="s">
        <v>88</v>
      </c>
      <c r="G369" t="s">
        <v>4456</v>
      </c>
      <c r="H369" s="7">
        <v>11420</v>
      </c>
    </row>
    <row r="370" spans="1:8" x14ac:dyDescent="0.3">
      <c r="A370">
        <v>1780</v>
      </c>
      <c r="B370" t="s">
        <v>5</v>
      </c>
      <c r="C370" t="s">
        <v>1299</v>
      </c>
      <c r="D370" t="s">
        <v>2023</v>
      </c>
      <c r="E370" t="s">
        <v>95</v>
      </c>
      <c r="F370" t="s">
        <v>9</v>
      </c>
      <c r="G370" t="s">
        <v>2423</v>
      </c>
      <c r="H370" s="7">
        <v>725</v>
      </c>
    </row>
    <row r="371" spans="1:8" x14ac:dyDescent="0.3">
      <c r="A371">
        <v>1782</v>
      </c>
      <c r="B371" t="s">
        <v>1800</v>
      </c>
      <c r="C371" t="s">
        <v>112</v>
      </c>
      <c r="D371" t="s">
        <v>107</v>
      </c>
      <c r="E371" t="s">
        <v>27</v>
      </c>
      <c r="F371" t="s">
        <v>114</v>
      </c>
      <c r="G371" t="s">
        <v>2622</v>
      </c>
      <c r="H371" s="7">
        <v>76106</v>
      </c>
    </row>
    <row r="372" spans="1:8" x14ac:dyDescent="0.3">
      <c r="A372">
        <v>1793</v>
      </c>
      <c r="B372" t="s">
        <v>2538</v>
      </c>
      <c r="C372" t="s">
        <v>93</v>
      </c>
      <c r="D372" t="s">
        <v>1340</v>
      </c>
      <c r="E372" t="s">
        <v>8</v>
      </c>
      <c r="F372" t="s">
        <v>55</v>
      </c>
      <c r="G372" t="s">
        <v>2896</v>
      </c>
      <c r="H372" s="7">
        <v>60025</v>
      </c>
    </row>
    <row r="373" spans="1:8" x14ac:dyDescent="0.3">
      <c r="A373">
        <v>1797</v>
      </c>
      <c r="B373" t="s">
        <v>3008</v>
      </c>
      <c r="C373" t="s">
        <v>160</v>
      </c>
      <c r="D373" t="s">
        <v>107</v>
      </c>
      <c r="E373" t="s">
        <v>8</v>
      </c>
      <c r="F373" t="s">
        <v>158</v>
      </c>
      <c r="G373" t="s">
        <v>4987</v>
      </c>
      <c r="H373" s="7">
        <v>38118</v>
      </c>
    </row>
    <row r="374" spans="1:8" x14ac:dyDescent="0.3">
      <c r="A374">
        <v>1798</v>
      </c>
      <c r="B374" t="s">
        <v>5</v>
      </c>
      <c r="C374" t="s">
        <v>93</v>
      </c>
      <c r="D374" t="s">
        <v>3166</v>
      </c>
      <c r="E374" t="s">
        <v>8</v>
      </c>
      <c r="F374" t="s">
        <v>9</v>
      </c>
      <c r="G374" t="s">
        <v>2881</v>
      </c>
      <c r="H374" s="7">
        <v>725</v>
      </c>
    </row>
    <row r="375" spans="1:8" x14ac:dyDescent="0.3">
      <c r="A375">
        <v>1804</v>
      </c>
      <c r="B375" t="s">
        <v>837</v>
      </c>
      <c r="C375" t="s">
        <v>1188</v>
      </c>
      <c r="D375" t="s">
        <v>1176</v>
      </c>
      <c r="E375" t="s">
        <v>27</v>
      </c>
      <c r="F375" t="s">
        <v>381</v>
      </c>
      <c r="G375" t="s">
        <v>4436</v>
      </c>
      <c r="H375" s="7">
        <v>48843</v>
      </c>
    </row>
    <row r="376" spans="1:8" x14ac:dyDescent="0.3">
      <c r="A376">
        <v>1806</v>
      </c>
      <c r="B376" t="s">
        <v>1139</v>
      </c>
      <c r="C376" t="s">
        <v>1391</v>
      </c>
      <c r="D376" t="s">
        <v>107</v>
      </c>
      <c r="E376" t="s">
        <v>27</v>
      </c>
      <c r="F376" t="s">
        <v>114</v>
      </c>
      <c r="G376" t="s">
        <v>4571</v>
      </c>
      <c r="H376" s="7">
        <v>79927</v>
      </c>
    </row>
    <row r="377" spans="1:8" x14ac:dyDescent="0.3">
      <c r="A377">
        <v>1811</v>
      </c>
      <c r="B377" t="s">
        <v>1899</v>
      </c>
      <c r="C377" t="s">
        <v>1241</v>
      </c>
      <c r="D377" t="s">
        <v>1946</v>
      </c>
      <c r="E377" t="s">
        <v>95</v>
      </c>
      <c r="F377" t="s">
        <v>381</v>
      </c>
      <c r="G377" t="s">
        <v>3184</v>
      </c>
      <c r="H377" s="7">
        <v>48205</v>
      </c>
    </row>
    <row r="378" spans="1:8" x14ac:dyDescent="0.3">
      <c r="A378">
        <v>1816</v>
      </c>
      <c r="B378" t="s">
        <v>1313</v>
      </c>
      <c r="C378" t="s">
        <v>93</v>
      </c>
      <c r="D378" t="s">
        <v>842</v>
      </c>
      <c r="E378" t="s">
        <v>95</v>
      </c>
      <c r="F378" t="s">
        <v>448</v>
      </c>
      <c r="G378" t="s">
        <v>5604</v>
      </c>
      <c r="H378" s="7">
        <v>33165</v>
      </c>
    </row>
    <row r="379" spans="1:8" x14ac:dyDescent="0.3">
      <c r="A379">
        <v>1818</v>
      </c>
      <c r="B379" t="s">
        <v>5</v>
      </c>
      <c r="C379" t="s">
        <v>93</v>
      </c>
      <c r="D379" t="s">
        <v>2059</v>
      </c>
      <c r="E379" t="s">
        <v>27</v>
      </c>
      <c r="F379" t="s">
        <v>9</v>
      </c>
      <c r="G379" t="s">
        <v>2060</v>
      </c>
      <c r="H379" s="7">
        <v>725</v>
      </c>
    </row>
    <row r="380" spans="1:8" x14ac:dyDescent="0.3">
      <c r="A380">
        <v>1819</v>
      </c>
      <c r="B380" t="s">
        <v>1635</v>
      </c>
      <c r="C380" t="s">
        <v>332</v>
      </c>
      <c r="D380" t="s">
        <v>107</v>
      </c>
      <c r="E380" t="s">
        <v>95</v>
      </c>
      <c r="F380" t="s">
        <v>1177</v>
      </c>
      <c r="G380" t="s">
        <v>5573</v>
      </c>
      <c r="H380" s="7">
        <v>87120</v>
      </c>
    </row>
    <row r="381" spans="1:8" x14ac:dyDescent="0.3">
      <c r="A381">
        <v>1829</v>
      </c>
      <c r="B381" t="s">
        <v>5</v>
      </c>
      <c r="C381" t="s">
        <v>93</v>
      </c>
      <c r="D381" t="s">
        <v>3214</v>
      </c>
      <c r="E381" t="s">
        <v>8</v>
      </c>
      <c r="F381" t="s">
        <v>9</v>
      </c>
      <c r="G381" t="s">
        <v>4900</v>
      </c>
      <c r="H381" s="7">
        <v>725</v>
      </c>
    </row>
    <row r="382" spans="1:8" x14ac:dyDescent="0.3">
      <c r="A382">
        <v>1832</v>
      </c>
      <c r="B382" t="s">
        <v>5</v>
      </c>
      <c r="C382" t="s">
        <v>93</v>
      </c>
      <c r="D382" t="s">
        <v>3180</v>
      </c>
      <c r="E382" t="s">
        <v>8</v>
      </c>
      <c r="F382" t="s">
        <v>9</v>
      </c>
      <c r="G382" t="s">
        <v>3181</v>
      </c>
      <c r="H382" s="7">
        <v>725</v>
      </c>
    </row>
    <row r="383" spans="1:8" x14ac:dyDescent="0.3">
      <c r="A383">
        <v>1833</v>
      </c>
      <c r="B383" t="s">
        <v>995</v>
      </c>
      <c r="C383" t="s">
        <v>555</v>
      </c>
      <c r="D383" t="s">
        <v>107</v>
      </c>
      <c r="E383" t="s">
        <v>27</v>
      </c>
      <c r="F383" t="s">
        <v>283</v>
      </c>
      <c r="G383" t="s">
        <v>5201</v>
      </c>
      <c r="H383" s="7">
        <v>23455</v>
      </c>
    </row>
    <row r="384" spans="1:8" x14ac:dyDescent="0.3">
      <c r="A384">
        <v>1838</v>
      </c>
      <c r="B384" t="s">
        <v>2290</v>
      </c>
      <c r="C384" t="s">
        <v>1112</v>
      </c>
      <c r="D384" t="s">
        <v>107</v>
      </c>
      <c r="E384" t="s">
        <v>95</v>
      </c>
      <c r="F384" t="s">
        <v>21</v>
      </c>
      <c r="G384" t="s">
        <v>2298</v>
      </c>
      <c r="H384" s="7">
        <v>91764</v>
      </c>
    </row>
    <row r="385" spans="1:8" x14ac:dyDescent="0.3">
      <c r="A385">
        <v>1849</v>
      </c>
      <c r="B385" t="s">
        <v>451</v>
      </c>
      <c r="C385" t="s">
        <v>417</v>
      </c>
      <c r="D385" t="s">
        <v>76</v>
      </c>
      <c r="E385" t="s">
        <v>27</v>
      </c>
      <c r="F385" t="s">
        <v>21</v>
      </c>
      <c r="G385" t="s">
        <v>452</v>
      </c>
      <c r="H385" s="7">
        <v>93905</v>
      </c>
    </row>
    <row r="386" spans="1:8" x14ac:dyDescent="0.3">
      <c r="A386">
        <v>1852</v>
      </c>
      <c r="B386" t="s">
        <v>3915</v>
      </c>
      <c r="C386" t="s">
        <v>597</v>
      </c>
      <c r="D386" t="s">
        <v>472</v>
      </c>
      <c r="E386" t="s">
        <v>8</v>
      </c>
      <c r="F386" t="s">
        <v>88</v>
      </c>
      <c r="G386" t="s">
        <v>4765</v>
      </c>
      <c r="H386" s="7">
        <v>13440</v>
      </c>
    </row>
    <row r="387" spans="1:8" x14ac:dyDescent="0.3">
      <c r="A387">
        <v>1860</v>
      </c>
      <c r="B387" t="s">
        <v>1123</v>
      </c>
      <c r="C387" t="s">
        <v>444</v>
      </c>
      <c r="D387" t="s">
        <v>1871</v>
      </c>
      <c r="E387" t="s">
        <v>8</v>
      </c>
      <c r="F387" t="s">
        <v>21</v>
      </c>
      <c r="G387" t="s">
        <v>1872</v>
      </c>
      <c r="H387" s="7">
        <v>93702</v>
      </c>
    </row>
    <row r="388" spans="1:8" x14ac:dyDescent="0.3">
      <c r="A388">
        <v>1864</v>
      </c>
      <c r="B388" t="s">
        <v>254</v>
      </c>
      <c r="C388" t="s">
        <v>967</v>
      </c>
      <c r="D388" t="s">
        <v>107</v>
      </c>
      <c r="E388" t="s">
        <v>27</v>
      </c>
      <c r="F388" t="s">
        <v>55</v>
      </c>
      <c r="G388" t="s">
        <v>3810</v>
      </c>
      <c r="H388" s="7">
        <v>60647</v>
      </c>
    </row>
    <row r="389" spans="1:8" x14ac:dyDescent="0.3">
      <c r="A389">
        <v>1871</v>
      </c>
      <c r="B389" t="s">
        <v>5</v>
      </c>
      <c r="C389" t="s">
        <v>93</v>
      </c>
      <c r="D389" t="s">
        <v>3170</v>
      </c>
      <c r="E389" t="s">
        <v>8</v>
      </c>
      <c r="F389" t="s">
        <v>9</v>
      </c>
      <c r="G389" t="s">
        <v>3171</v>
      </c>
      <c r="H389" s="7">
        <v>725</v>
      </c>
    </row>
    <row r="390" spans="1:8" x14ac:dyDescent="0.3">
      <c r="A390">
        <v>1873</v>
      </c>
      <c r="B390" t="s">
        <v>5</v>
      </c>
      <c r="C390" t="s">
        <v>555</v>
      </c>
      <c r="D390" t="s">
        <v>556</v>
      </c>
      <c r="E390" t="s">
        <v>8</v>
      </c>
      <c r="F390" t="s">
        <v>9</v>
      </c>
      <c r="G390" t="s">
        <v>557</v>
      </c>
      <c r="H390" s="7">
        <v>725</v>
      </c>
    </row>
    <row r="391" spans="1:8" x14ac:dyDescent="0.3">
      <c r="A391">
        <v>1877</v>
      </c>
      <c r="B391" t="s">
        <v>5</v>
      </c>
      <c r="C391" t="s">
        <v>93</v>
      </c>
      <c r="D391" t="s">
        <v>2021</v>
      </c>
      <c r="E391" t="s">
        <v>8</v>
      </c>
      <c r="F391" t="s">
        <v>9</v>
      </c>
      <c r="G391" t="s">
        <v>3828</v>
      </c>
      <c r="H391" s="7">
        <v>725</v>
      </c>
    </row>
    <row r="392" spans="1:8" x14ac:dyDescent="0.3">
      <c r="A392">
        <v>1878</v>
      </c>
      <c r="B392" t="s">
        <v>117</v>
      </c>
      <c r="C392" t="s">
        <v>477</v>
      </c>
      <c r="D392" t="s">
        <v>107</v>
      </c>
      <c r="E392" t="s">
        <v>27</v>
      </c>
      <c r="F392" t="s">
        <v>21</v>
      </c>
      <c r="G392" t="s">
        <v>1149</v>
      </c>
      <c r="H392" s="7">
        <v>92117</v>
      </c>
    </row>
    <row r="393" spans="1:8" x14ac:dyDescent="0.3">
      <c r="A393">
        <v>1880</v>
      </c>
      <c r="B393" t="s">
        <v>1313</v>
      </c>
      <c r="C393" t="s">
        <v>1153</v>
      </c>
      <c r="D393" t="s">
        <v>107</v>
      </c>
      <c r="E393" t="s">
        <v>27</v>
      </c>
      <c r="F393" t="s">
        <v>448</v>
      </c>
      <c r="G393" t="s">
        <v>2621</v>
      </c>
      <c r="H393" s="7">
        <v>33165</v>
      </c>
    </row>
    <row r="394" spans="1:8" x14ac:dyDescent="0.3">
      <c r="A394">
        <v>1882</v>
      </c>
      <c r="B394" t="s">
        <v>142</v>
      </c>
      <c r="C394" t="s">
        <v>1011</v>
      </c>
      <c r="D394" t="s">
        <v>2120</v>
      </c>
      <c r="E394" t="s">
        <v>95</v>
      </c>
      <c r="F394" t="s">
        <v>88</v>
      </c>
      <c r="G394" t="s">
        <v>3152</v>
      </c>
      <c r="H394" s="7">
        <v>10461</v>
      </c>
    </row>
    <row r="395" spans="1:8" x14ac:dyDescent="0.3">
      <c r="A395">
        <v>1886</v>
      </c>
      <c r="B395" t="s">
        <v>5</v>
      </c>
      <c r="C395" t="s">
        <v>288</v>
      </c>
      <c r="D395" t="s">
        <v>107</v>
      </c>
      <c r="E395" t="s">
        <v>95</v>
      </c>
      <c r="F395" t="s">
        <v>9</v>
      </c>
      <c r="G395" t="s">
        <v>1732</v>
      </c>
      <c r="H395" s="7">
        <v>725</v>
      </c>
    </row>
    <row r="396" spans="1:8" x14ac:dyDescent="0.3">
      <c r="A396">
        <v>1890</v>
      </c>
      <c r="B396" t="s">
        <v>5</v>
      </c>
      <c r="C396" t="s">
        <v>1317</v>
      </c>
      <c r="D396" t="s">
        <v>107</v>
      </c>
      <c r="E396" t="s">
        <v>95</v>
      </c>
      <c r="F396" t="s">
        <v>9</v>
      </c>
      <c r="G396" t="s">
        <v>1478</v>
      </c>
      <c r="H396" s="7">
        <v>725</v>
      </c>
    </row>
    <row r="397" spans="1:8" x14ac:dyDescent="0.3">
      <c r="A397">
        <v>1892</v>
      </c>
      <c r="B397" t="s">
        <v>5</v>
      </c>
      <c r="C397" t="s">
        <v>230</v>
      </c>
      <c r="D397" t="s">
        <v>107</v>
      </c>
      <c r="E397" t="s">
        <v>8</v>
      </c>
      <c r="F397" t="s">
        <v>9</v>
      </c>
      <c r="G397" t="s">
        <v>3291</v>
      </c>
      <c r="H397" s="7">
        <v>725</v>
      </c>
    </row>
    <row r="398" spans="1:8" x14ac:dyDescent="0.3">
      <c r="A398">
        <v>1901</v>
      </c>
      <c r="B398" t="s">
        <v>254</v>
      </c>
      <c r="C398" t="s">
        <v>1011</v>
      </c>
      <c r="D398" t="s">
        <v>107</v>
      </c>
      <c r="E398" t="s">
        <v>8</v>
      </c>
      <c r="F398" t="s">
        <v>55</v>
      </c>
      <c r="G398" t="s">
        <v>1847</v>
      </c>
      <c r="H398" s="7">
        <v>60625</v>
      </c>
    </row>
    <row r="399" spans="1:8" x14ac:dyDescent="0.3">
      <c r="A399">
        <v>1906</v>
      </c>
      <c r="B399" t="s">
        <v>505</v>
      </c>
      <c r="C399" t="s">
        <v>506</v>
      </c>
      <c r="D399" t="s">
        <v>107</v>
      </c>
      <c r="E399" t="s">
        <v>8</v>
      </c>
      <c r="F399" t="s">
        <v>448</v>
      </c>
      <c r="G399" t="s">
        <v>507</v>
      </c>
      <c r="H399" s="7">
        <v>33549</v>
      </c>
    </row>
    <row r="400" spans="1:8" x14ac:dyDescent="0.3">
      <c r="A400">
        <v>1908</v>
      </c>
      <c r="B400" t="s">
        <v>5</v>
      </c>
      <c r="C400" t="s">
        <v>1032</v>
      </c>
      <c r="D400" t="s">
        <v>1345</v>
      </c>
      <c r="E400" t="s">
        <v>8</v>
      </c>
      <c r="F400" t="s">
        <v>9</v>
      </c>
      <c r="G400" t="s">
        <v>969</v>
      </c>
      <c r="H400" s="7">
        <v>725</v>
      </c>
    </row>
    <row r="401" spans="1:8" x14ac:dyDescent="0.3">
      <c r="A401">
        <v>1911</v>
      </c>
      <c r="B401" t="s">
        <v>3150</v>
      </c>
      <c r="C401" t="s">
        <v>93</v>
      </c>
      <c r="D401" t="s">
        <v>107</v>
      </c>
      <c r="E401" t="s">
        <v>27</v>
      </c>
      <c r="F401" t="s">
        <v>341</v>
      </c>
      <c r="G401" t="s">
        <v>3510</v>
      </c>
      <c r="H401" s="7">
        <v>28314</v>
      </c>
    </row>
    <row r="402" spans="1:8" x14ac:dyDescent="0.3">
      <c r="A402">
        <v>1920</v>
      </c>
      <c r="B402" t="s">
        <v>5</v>
      </c>
      <c r="C402" t="s">
        <v>520</v>
      </c>
      <c r="D402" t="s">
        <v>521</v>
      </c>
      <c r="E402" t="s">
        <v>95</v>
      </c>
      <c r="F402" t="s">
        <v>9</v>
      </c>
      <c r="G402" t="s">
        <v>522</v>
      </c>
      <c r="H402" s="7">
        <v>725</v>
      </c>
    </row>
    <row r="403" spans="1:8" x14ac:dyDescent="0.3">
      <c r="A403">
        <v>1926</v>
      </c>
      <c r="B403" t="s">
        <v>174</v>
      </c>
      <c r="C403" t="s">
        <v>93</v>
      </c>
      <c r="D403" t="s">
        <v>1291</v>
      </c>
      <c r="E403" t="s">
        <v>8</v>
      </c>
      <c r="F403" t="s">
        <v>21</v>
      </c>
      <c r="G403" t="s">
        <v>1748</v>
      </c>
      <c r="H403" s="7">
        <v>90003</v>
      </c>
    </row>
    <row r="404" spans="1:8" x14ac:dyDescent="0.3">
      <c r="A404">
        <v>1936</v>
      </c>
      <c r="B404" t="s">
        <v>5</v>
      </c>
      <c r="C404" t="s">
        <v>332</v>
      </c>
      <c r="D404" t="s">
        <v>2051</v>
      </c>
      <c r="E404" t="s">
        <v>27</v>
      </c>
      <c r="F404" t="s">
        <v>9</v>
      </c>
      <c r="G404" t="s">
        <v>2705</v>
      </c>
      <c r="H404" s="7">
        <v>725</v>
      </c>
    </row>
    <row r="405" spans="1:8" x14ac:dyDescent="0.3">
      <c r="A405">
        <v>1937</v>
      </c>
      <c r="B405" t="s">
        <v>1139</v>
      </c>
      <c r="C405" t="s">
        <v>93</v>
      </c>
      <c r="D405" t="s">
        <v>1261</v>
      </c>
      <c r="E405" t="s">
        <v>27</v>
      </c>
      <c r="F405" t="s">
        <v>114</v>
      </c>
      <c r="G405" t="s">
        <v>1262</v>
      </c>
      <c r="H405" s="7">
        <v>79936</v>
      </c>
    </row>
    <row r="406" spans="1:8" x14ac:dyDescent="0.3">
      <c r="A406">
        <v>1938</v>
      </c>
      <c r="B406" t="s">
        <v>5</v>
      </c>
      <c r="C406" t="s">
        <v>891</v>
      </c>
      <c r="D406" t="s">
        <v>107</v>
      </c>
      <c r="E406" t="s">
        <v>95</v>
      </c>
      <c r="F406" t="s">
        <v>9</v>
      </c>
      <c r="G406" t="s">
        <v>892</v>
      </c>
      <c r="H406" s="7">
        <v>725</v>
      </c>
    </row>
    <row r="407" spans="1:8" x14ac:dyDescent="0.3">
      <c r="A407">
        <v>1940</v>
      </c>
      <c r="B407" t="s">
        <v>1635</v>
      </c>
      <c r="C407" t="s">
        <v>407</v>
      </c>
      <c r="D407" t="s">
        <v>107</v>
      </c>
      <c r="E407" t="s">
        <v>27</v>
      </c>
      <c r="F407" t="s">
        <v>1177</v>
      </c>
      <c r="G407" t="s">
        <v>2623</v>
      </c>
      <c r="H407" s="7">
        <v>87112</v>
      </c>
    </row>
    <row r="408" spans="1:8" x14ac:dyDescent="0.3">
      <c r="A408">
        <v>1941</v>
      </c>
      <c r="B408" t="s">
        <v>5</v>
      </c>
      <c r="C408" t="s">
        <v>93</v>
      </c>
      <c r="D408" t="s">
        <v>2326</v>
      </c>
      <c r="E408" t="s">
        <v>27</v>
      </c>
      <c r="F408" t="s">
        <v>9</v>
      </c>
      <c r="G408" t="s">
        <v>2802</v>
      </c>
      <c r="H408" s="7">
        <v>725</v>
      </c>
    </row>
    <row r="409" spans="1:8" x14ac:dyDescent="0.3">
      <c r="A409">
        <v>1942</v>
      </c>
      <c r="B409" t="s">
        <v>131</v>
      </c>
      <c r="C409" t="s">
        <v>776</v>
      </c>
      <c r="D409" t="s">
        <v>924</v>
      </c>
      <c r="E409" t="s">
        <v>27</v>
      </c>
      <c r="F409" t="s">
        <v>134</v>
      </c>
      <c r="G409" t="s">
        <v>1766</v>
      </c>
      <c r="H409" s="7">
        <v>96818</v>
      </c>
    </row>
    <row r="410" spans="1:8" x14ac:dyDescent="0.3">
      <c r="A410">
        <v>1946</v>
      </c>
      <c r="B410" t="s">
        <v>5</v>
      </c>
      <c r="C410" t="s">
        <v>1981</v>
      </c>
      <c r="D410" t="s">
        <v>107</v>
      </c>
      <c r="E410" t="s">
        <v>8</v>
      </c>
      <c r="F410" t="s">
        <v>9</v>
      </c>
      <c r="G410" t="s">
        <v>4516</v>
      </c>
      <c r="H410" s="7">
        <v>725</v>
      </c>
    </row>
    <row r="411" spans="1:8" x14ac:dyDescent="0.3">
      <c r="A411">
        <v>1963</v>
      </c>
      <c r="B411" t="s">
        <v>174</v>
      </c>
      <c r="C411" t="s">
        <v>93</v>
      </c>
      <c r="D411" t="s">
        <v>574</v>
      </c>
      <c r="E411" t="s">
        <v>8</v>
      </c>
      <c r="F411" t="s">
        <v>21</v>
      </c>
      <c r="G411" t="s">
        <v>4018</v>
      </c>
      <c r="H411" s="7">
        <v>90019</v>
      </c>
    </row>
    <row r="412" spans="1:8" x14ac:dyDescent="0.3">
      <c r="A412">
        <v>1965</v>
      </c>
      <c r="B412" t="s">
        <v>263</v>
      </c>
      <c r="C412" t="s">
        <v>93</v>
      </c>
      <c r="D412" t="s">
        <v>4252</v>
      </c>
      <c r="E412" t="s">
        <v>8</v>
      </c>
      <c r="F412" t="s">
        <v>55</v>
      </c>
      <c r="G412" t="s">
        <v>3222</v>
      </c>
      <c r="H412" s="7">
        <v>60435</v>
      </c>
    </row>
    <row r="413" spans="1:8" x14ac:dyDescent="0.3">
      <c r="A413">
        <v>1969</v>
      </c>
      <c r="B413" t="s">
        <v>2536</v>
      </c>
      <c r="C413" t="s">
        <v>3142</v>
      </c>
      <c r="D413" t="s">
        <v>589</v>
      </c>
      <c r="E413" t="s">
        <v>27</v>
      </c>
      <c r="F413" t="s">
        <v>1145</v>
      </c>
      <c r="G413" t="s">
        <v>4767</v>
      </c>
      <c r="H413" s="7">
        <v>54601</v>
      </c>
    </row>
    <row r="414" spans="1:8" x14ac:dyDescent="0.3">
      <c r="A414">
        <v>1971</v>
      </c>
      <c r="B414" t="s">
        <v>1685</v>
      </c>
      <c r="C414" t="s">
        <v>491</v>
      </c>
      <c r="D414" t="s">
        <v>1686</v>
      </c>
      <c r="E414" t="s">
        <v>27</v>
      </c>
      <c r="F414" t="s">
        <v>1195</v>
      </c>
      <c r="G414" t="s">
        <v>1687</v>
      </c>
      <c r="H414" s="7">
        <v>98115</v>
      </c>
    </row>
    <row r="415" spans="1:8" x14ac:dyDescent="0.3">
      <c r="A415">
        <v>1973</v>
      </c>
      <c r="B415" t="s">
        <v>3934</v>
      </c>
      <c r="C415" t="s">
        <v>93</v>
      </c>
      <c r="D415" t="s">
        <v>413</v>
      </c>
      <c r="E415" t="s">
        <v>8</v>
      </c>
      <c r="F415" t="s">
        <v>1195</v>
      </c>
      <c r="G415" t="s">
        <v>4919</v>
      </c>
      <c r="H415" s="7">
        <v>98031</v>
      </c>
    </row>
    <row r="416" spans="1:8" x14ac:dyDescent="0.3">
      <c r="A416">
        <v>1978</v>
      </c>
      <c r="B416" t="s">
        <v>174</v>
      </c>
      <c r="C416" t="s">
        <v>93</v>
      </c>
      <c r="D416" t="s">
        <v>1170</v>
      </c>
      <c r="E416" t="s">
        <v>8</v>
      </c>
      <c r="F416" t="s">
        <v>21</v>
      </c>
      <c r="G416" t="s">
        <v>2535</v>
      </c>
      <c r="H416" s="7">
        <v>90033</v>
      </c>
    </row>
    <row r="417" spans="1:8" x14ac:dyDescent="0.3">
      <c r="A417">
        <v>1979</v>
      </c>
      <c r="B417" t="s">
        <v>5</v>
      </c>
      <c r="C417" t="s">
        <v>1068</v>
      </c>
      <c r="D417" t="s">
        <v>1587</v>
      </c>
      <c r="E417" t="s">
        <v>8</v>
      </c>
      <c r="F417" t="s">
        <v>9</v>
      </c>
      <c r="G417" t="s">
        <v>1173</v>
      </c>
      <c r="H417" s="7">
        <v>725</v>
      </c>
    </row>
    <row r="418" spans="1:8" x14ac:dyDescent="0.3">
      <c r="A418">
        <v>1988</v>
      </c>
      <c r="B418" t="s">
        <v>593</v>
      </c>
      <c r="C418" t="s">
        <v>93</v>
      </c>
      <c r="D418" t="s">
        <v>107</v>
      </c>
      <c r="E418" t="s">
        <v>27</v>
      </c>
      <c r="F418" t="s">
        <v>9</v>
      </c>
      <c r="G418" t="s">
        <v>4873</v>
      </c>
      <c r="H418" s="7">
        <v>745</v>
      </c>
    </row>
    <row r="419" spans="1:8" x14ac:dyDescent="0.3">
      <c r="A419">
        <v>1993</v>
      </c>
      <c r="B419" t="s">
        <v>5</v>
      </c>
      <c r="C419" t="s">
        <v>1200</v>
      </c>
      <c r="D419" t="s">
        <v>107</v>
      </c>
      <c r="E419" t="s">
        <v>8</v>
      </c>
      <c r="F419" t="s">
        <v>9</v>
      </c>
      <c r="G419" t="s">
        <v>1064</v>
      </c>
      <c r="H419" s="7">
        <v>725</v>
      </c>
    </row>
    <row r="420" spans="1:8" x14ac:dyDescent="0.3">
      <c r="A420">
        <v>1995</v>
      </c>
      <c r="B420" t="s">
        <v>5</v>
      </c>
      <c r="C420" t="s">
        <v>458</v>
      </c>
      <c r="D420" t="s">
        <v>251</v>
      </c>
      <c r="E420" t="s">
        <v>8</v>
      </c>
      <c r="F420" t="s">
        <v>9</v>
      </c>
      <c r="G420" t="s">
        <v>4398</v>
      </c>
      <c r="H420" s="7">
        <v>725</v>
      </c>
    </row>
    <row r="421" spans="1:8" x14ac:dyDescent="0.3">
      <c r="A421">
        <v>2000</v>
      </c>
      <c r="B421" t="s">
        <v>5</v>
      </c>
      <c r="C421" t="s">
        <v>93</v>
      </c>
      <c r="D421" t="s">
        <v>1184</v>
      </c>
      <c r="E421" t="s">
        <v>95</v>
      </c>
      <c r="F421" t="s">
        <v>9</v>
      </c>
      <c r="G421" t="s">
        <v>1990</v>
      </c>
      <c r="H421" s="7">
        <v>725</v>
      </c>
    </row>
    <row r="422" spans="1:8" x14ac:dyDescent="0.3">
      <c r="A422">
        <v>2003</v>
      </c>
      <c r="B422" t="s">
        <v>40</v>
      </c>
      <c r="C422" t="s">
        <v>93</v>
      </c>
      <c r="D422" t="s">
        <v>1018</v>
      </c>
      <c r="E422" t="s">
        <v>8</v>
      </c>
      <c r="F422" t="s">
        <v>77</v>
      </c>
      <c r="G422" t="s">
        <v>1019</v>
      </c>
      <c r="H422" s="7">
        <v>17603</v>
      </c>
    </row>
    <row r="423" spans="1:8" x14ac:dyDescent="0.3">
      <c r="A423">
        <v>2006</v>
      </c>
      <c r="B423" t="s">
        <v>3146</v>
      </c>
      <c r="C423" t="s">
        <v>491</v>
      </c>
      <c r="D423" t="s">
        <v>2067</v>
      </c>
      <c r="E423" t="s">
        <v>8</v>
      </c>
      <c r="F423" t="s">
        <v>1979</v>
      </c>
      <c r="G423" t="s">
        <v>3147</v>
      </c>
      <c r="H423" s="7">
        <v>74012</v>
      </c>
    </row>
    <row r="424" spans="1:8" x14ac:dyDescent="0.3">
      <c r="A424">
        <v>2008</v>
      </c>
      <c r="B424" t="s">
        <v>5</v>
      </c>
      <c r="C424" t="s">
        <v>589</v>
      </c>
      <c r="D424" t="s">
        <v>107</v>
      </c>
      <c r="E424" t="s">
        <v>8</v>
      </c>
      <c r="F424" t="s">
        <v>9</v>
      </c>
      <c r="G424" t="s">
        <v>590</v>
      </c>
      <c r="H424" s="7">
        <v>725</v>
      </c>
    </row>
    <row r="425" spans="1:8" x14ac:dyDescent="0.3">
      <c r="A425">
        <v>2027</v>
      </c>
      <c r="B425" t="s">
        <v>622</v>
      </c>
      <c r="C425" t="s">
        <v>1824</v>
      </c>
      <c r="D425" t="s">
        <v>1113</v>
      </c>
      <c r="E425" t="s">
        <v>27</v>
      </c>
      <c r="F425" t="s">
        <v>21</v>
      </c>
      <c r="G425" t="s">
        <v>2644</v>
      </c>
      <c r="H425" s="7">
        <v>92692</v>
      </c>
    </row>
    <row r="426" spans="1:8" x14ac:dyDescent="0.3">
      <c r="A426">
        <v>2028</v>
      </c>
      <c r="B426" t="s">
        <v>5</v>
      </c>
      <c r="C426" t="s">
        <v>106</v>
      </c>
      <c r="D426" t="s">
        <v>107</v>
      </c>
      <c r="E426" t="s">
        <v>8</v>
      </c>
      <c r="F426" t="s">
        <v>9</v>
      </c>
      <c r="G426" t="s">
        <v>3467</v>
      </c>
      <c r="H426" s="7">
        <v>725</v>
      </c>
    </row>
    <row r="427" spans="1:8" x14ac:dyDescent="0.3">
      <c r="A427">
        <v>2030</v>
      </c>
      <c r="B427" t="s">
        <v>5</v>
      </c>
      <c r="C427" t="s">
        <v>795</v>
      </c>
      <c r="D427" t="s">
        <v>107</v>
      </c>
      <c r="E427" t="s">
        <v>27</v>
      </c>
      <c r="F427" t="s">
        <v>9</v>
      </c>
      <c r="G427" t="s">
        <v>3297</v>
      </c>
      <c r="H427" s="7">
        <v>725</v>
      </c>
    </row>
    <row r="428" spans="1:8" x14ac:dyDescent="0.3">
      <c r="A428">
        <v>2048</v>
      </c>
      <c r="B428" t="s">
        <v>831</v>
      </c>
      <c r="C428" t="s">
        <v>93</v>
      </c>
      <c r="D428" t="s">
        <v>595</v>
      </c>
      <c r="E428" t="s">
        <v>8</v>
      </c>
      <c r="F428" t="s">
        <v>341</v>
      </c>
      <c r="G428" t="s">
        <v>832</v>
      </c>
      <c r="H428" s="7">
        <v>27410</v>
      </c>
    </row>
    <row r="429" spans="1:8" x14ac:dyDescent="0.3">
      <c r="A429">
        <v>2050</v>
      </c>
      <c r="B429" t="s">
        <v>2669</v>
      </c>
      <c r="C429" t="s">
        <v>93</v>
      </c>
      <c r="D429" t="s">
        <v>2670</v>
      </c>
      <c r="E429" t="s">
        <v>27</v>
      </c>
      <c r="F429" t="s">
        <v>77</v>
      </c>
      <c r="G429" t="s">
        <v>1212</v>
      </c>
      <c r="H429" s="7">
        <v>18901</v>
      </c>
    </row>
    <row r="430" spans="1:8" x14ac:dyDescent="0.3">
      <c r="A430">
        <v>2055</v>
      </c>
      <c r="B430" t="s">
        <v>5</v>
      </c>
      <c r="C430" t="s">
        <v>93</v>
      </c>
      <c r="D430" t="s">
        <v>107</v>
      </c>
      <c r="E430" t="s">
        <v>8</v>
      </c>
      <c r="F430" t="s">
        <v>9</v>
      </c>
      <c r="G430" t="s">
        <v>3322</v>
      </c>
      <c r="H430" s="7">
        <v>725</v>
      </c>
    </row>
    <row r="431" spans="1:8" x14ac:dyDescent="0.3">
      <c r="A431">
        <v>2058</v>
      </c>
      <c r="B431" t="s">
        <v>5</v>
      </c>
      <c r="C431" t="s">
        <v>93</v>
      </c>
      <c r="D431" t="s">
        <v>974</v>
      </c>
      <c r="E431" t="s">
        <v>8</v>
      </c>
      <c r="F431" t="s">
        <v>9</v>
      </c>
      <c r="G431" t="s">
        <v>3622</v>
      </c>
      <c r="H431" s="7">
        <v>725</v>
      </c>
    </row>
    <row r="432" spans="1:8" x14ac:dyDescent="0.3">
      <c r="A432">
        <v>2063</v>
      </c>
      <c r="B432" t="s">
        <v>427</v>
      </c>
      <c r="C432" t="s">
        <v>93</v>
      </c>
      <c r="D432" t="s">
        <v>1386</v>
      </c>
      <c r="E432" t="s">
        <v>8</v>
      </c>
      <c r="F432" t="s">
        <v>9</v>
      </c>
      <c r="G432" t="s">
        <v>3638</v>
      </c>
      <c r="H432" s="7">
        <v>921</v>
      </c>
    </row>
    <row r="433" spans="1:8" x14ac:dyDescent="0.3">
      <c r="A433">
        <v>2067</v>
      </c>
      <c r="B433" t="s">
        <v>155</v>
      </c>
      <c r="C433" t="s">
        <v>886</v>
      </c>
      <c r="D433" t="s">
        <v>2690</v>
      </c>
      <c r="E433" t="s">
        <v>8</v>
      </c>
      <c r="F433" t="s">
        <v>172</v>
      </c>
      <c r="G433" t="s">
        <v>5152</v>
      </c>
      <c r="H433" s="7">
        <v>65203</v>
      </c>
    </row>
    <row r="434" spans="1:8" x14ac:dyDescent="0.3">
      <c r="A434">
        <v>2071</v>
      </c>
      <c r="B434" t="s">
        <v>174</v>
      </c>
      <c r="C434" t="s">
        <v>1987</v>
      </c>
      <c r="D434" t="s">
        <v>1673</v>
      </c>
      <c r="E434" t="s">
        <v>27</v>
      </c>
      <c r="F434" t="s">
        <v>21</v>
      </c>
      <c r="G434" t="s">
        <v>2565</v>
      </c>
      <c r="H434" s="7">
        <v>90018</v>
      </c>
    </row>
    <row r="435" spans="1:8" x14ac:dyDescent="0.3">
      <c r="A435">
        <v>2072</v>
      </c>
      <c r="B435" t="s">
        <v>5</v>
      </c>
      <c r="C435" t="s">
        <v>93</v>
      </c>
      <c r="D435" t="s">
        <v>1640</v>
      </c>
      <c r="E435" t="s">
        <v>27</v>
      </c>
      <c r="F435" t="s">
        <v>9</v>
      </c>
      <c r="G435" t="s">
        <v>2951</v>
      </c>
      <c r="H435" s="7">
        <v>725</v>
      </c>
    </row>
    <row r="436" spans="1:8" x14ac:dyDescent="0.3">
      <c r="A436">
        <v>2082</v>
      </c>
      <c r="B436" t="s">
        <v>3216</v>
      </c>
      <c r="C436" t="s">
        <v>841</v>
      </c>
      <c r="D436" t="s">
        <v>2429</v>
      </c>
      <c r="E436" t="s">
        <v>27</v>
      </c>
      <c r="F436" t="s">
        <v>140</v>
      </c>
      <c r="G436" t="s">
        <v>4401</v>
      </c>
      <c r="H436" s="7">
        <v>30093</v>
      </c>
    </row>
    <row r="437" spans="1:8" x14ac:dyDescent="0.3">
      <c r="A437">
        <v>2086</v>
      </c>
      <c r="B437" t="s">
        <v>5</v>
      </c>
      <c r="C437" t="s">
        <v>397</v>
      </c>
      <c r="D437" t="s">
        <v>107</v>
      </c>
      <c r="E437" t="s">
        <v>95</v>
      </c>
      <c r="F437" t="s">
        <v>9</v>
      </c>
      <c r="G437" t="s">
        <v>5052</v>
      </c>
      <c r="H437" s="7">
        <v>725</v>
      </c>
    </row>
    <row r="438" spans="1:8" x14ac:dyDescent="0.3">
      <c r="A438">
        <v>2102</v>
      </c>
      <c r="B438" t="s">
        <v>806</v>
      </c>
      <c r="C438" t="s">
        <v>93</v>
      </c>
      <c r="D438" t="s">
        <v>807</v>
      </c>
      <c r="E438" t="s">
        <v>27</v>
      </c>
      <c r="F438" t="s">
        <v>21</v>
      </c>
      <c r="G438" t="s">
        <v>808</v>
      </c>
      <c r="H438" s="7">
        <v>92780</v>
      </c>
    </row>
    <row r="439" spans="1:8" x14ac:dyDescent="0.3">
      <c r="A439">
        <v>2110</v>
      </c>
      <c r="B439" t="s">
        <v>2129</v>
      </c>
      <c r="C439" t="s">
        <v>106</v>
      </c>
      <c r="D439" t="s">
        <v>2201</v>
      </c>
      <c r="E439" t="s">
        <v>8</v>
      </c>
      <c r="F439" t="s">
        <v>21</v>
      </c>
      <c r="G439" t="s">
        <v>2792</v>
      </c>
      <c r="H439" s="7">
        <v>92833</v>
      </c>
    </row>
    <row r="440" spans="1:8" x14ac:dyDescent="0.3">
      <c r="A440">
        <v>2111</v>
      </c>
      <c r="B440" t="s">
        <v>5</v>
      </c>
      <c r="C440" t="s">
        <v>67</v>
      </c>
      <c r="D440" t="s">
        <v>107</v>
      </c>
      <c r="E440" t="s">
        <v>95</v>
      </c>
      <c r="F440" t="s">
        <v>9</v>
      </c>
      <c r="G440" t="s">
        <v>1716</v>
      </c>
      <c r="H440" s="7">
        <v>725</v>
      </c>
    </row>
    <row r="441" spans="1:8" x14ac:dyDescent="0.3">
      <c r="A441">
        <v>2133</v>
      </c>
      <c r="B441" t="s">
        <v>495</v>
      </c>
      <c r="C441" t="s">
        <v>411</v>
      </c>
      <c r="D441" t="s">
        <v>3661</v>
      </c>
      <c r="E441" t="s">
        <v>8</v>
      </c>
      <c r="F441" t="s">
        <v>88</v>
      </c>
      <c r="G441" t="s">
        <v>4363</v>
      </c>
      <c r="H441" s="7">
        <v>11203</v>
      </c>
    </row>
    <row r="442" spans="1:8" x14ac:dyDescent="0.3">
      <c r="A442">
        <v>2134</v>
      </c>
      <c r="B442" t="s">
        <v>5</v>
      </c>
      <c r="C442" t="s">
        <v>93</v>
      </c>
      <c r="D442" t="s">
        <v>2382</v>
      </c>
      <c r="E442" t="s">
        <v>8</v>
      </c>
      <c r="F442" t="s">
        <v>9</v>
      </c>
      <c r="G442" t="s">
        <v>3334</v>
      </c>
      <c r="H442" s="7">
        <v>725</v>
      </c>
    </row>
    <row r="443" spans="1:8" x14ac:dyDescent="0.3">
      <c r="A443">
        <v>2136</v>
      </c>
      <c r="B443" t="s">
        <v>5</v>
      </c>
      <c r="C443" t="s">
        <v>971</v>
      </c>
      <c r="D443" t="s">
        <v>1854</v>
      </c>
      <c r="E443" t="s">
        <v>8</v>
      </c>
      <c r="F443" t="s">
        <v>9</v>
      </c>
      <c r="G443" t="s">
        <v>2445</v>
      </c>
      <c r="H443" s="7">
        <v>725</v>
      </c>
    </row>
    <row r="444" spans="1:8" x14ac:dyDescent="0.3">
      <c r="A444">
        <v>2154</v>
      </c>
      <c r="B444" t="s">
        <v>1688</v>
      </c>
      <c r="C444" t="s">
        <v>93</v>
      </c>
      <c r="D444" t="s">
        <v>1961</v>
      </c>
      <c r="E444" t="s">
        <v>27</v>
      </c>
      <c r="F444" t="s">
        <v>114</v>
      </c>
      <c r="G444" t="s">
        <v>2583</v>
      </c>
      <c r="H444" s="7">
        <v>78040</v>
      </c>
    </row>
    <row r="445" spans="1:8" x14ac:dyDescent="0.3">
      <c r="A445">
        <v>2157</v>
      </c>
      <c r="B445" t="s">
        <v>806</v>
      </c>
      <c r="C445" t="s">
        <v>643</v>
      </c>
      <c r="D445" t="s">
        <v>3983</v>
      </c>
      <c r="E445" t="s">
        <v>27</v>
      </c>
      <c r="F445" t="s">
        <v>21</v>
      </c>
      <c r="G445" t="s">
        <v>4576</v>
      </c>
      <c r="H445" s="7">
        <v>92780</v>
      </c>
    </row>
    <row r="446" spans="1:8" x14ac:dyDescent="0.3">
      <c r="A446">
        <v>2160</v>
      </c>
      <c r="B446" t="s">
        <v>5</v>
      </c>
      <c r="C446" t="s">
        <v>1007</v>
      </c>
      <c r="D446" t="s">
        <v>107</v>
      </c>
      <c r="E446" t="s">
        <v>27</v>
      </c>
      <c r="F446" t="s">
        <v>9</v>
      </c>
      <c r="G446" t="s">
        <v>3288</v>
      </c>
      <c r="H446" s="7">
        <v>725</v>
      </c>
    </row>
    <row r="447" spans="1:8" x14ac:dyDescent="0.3">
      <c r="A447">
        <v>2169</v>
      </c>
      <c r="B447" t="s">
        <v>4459</v>
      </c>
      <c r="C447" t="s">
        <v>2917</v>
      </c>
      <c r="D447" t="s">
        <v>4330</v>
      </c>
      <c r="E447" t="s">
        <v>8</v>
      </c>
      <c r="F447" t="s">
        <v>21</v>
      </c>
      <c r="G447" t="s">
        <v>5108</v>
      </c>
      <c r="H447" s="7">
        <v>92069</v>
      </c>
    </row>
    <row r="448" spans="1:8" x14ac:dyDescent="0.3">
      <c r="A448">
        <v>2173</v>
      </c>
      <c r="B448" t="s">
        <v>5</v>
      </c>
      <c r="C448" t="s">
        <v>93</v>
      </c>
      <c r="D448" t="s">
        <v>1743</v>
      </c>
      <c r="E448" t="s">
        <v>8</v>
      </c>
      <c r="F448" t="s">
        <v>9</v>
      </c>
      <c r="G448" t="s">
        <v>4050</v>
      </c>
      <c r="H448" s="7">
        <v>725</v>
      </c>
    </row>
    <row r="449" spans="1:8" x14ac:dyDescent="0.3">
      <c r="A449">
        <v>2183</v>
      </c>
      <c r="B449" t="s">
        <v>5</v>
      </c>
      <c r="C449" t="s">
        <v>491</v>
      </c>
      <c r="D449" t="s">
        <v>107</v>
      </c>
      <c r="E449" t="s">
        <v>8</v>
      </c>
      <c r="F449" t="s">
        <v>9</v>
      </c>
      <c r="G449" t="s">
        <v>3451</v>
      </c>
      <c r="H449" s="7">
        <v>725</v>
      </c>
    </row>
    <row r="450" spans="1:8" x14ac:dyDescent="0.3">
      <c r="A450">
        <v>2188</v>
      </c>
      <c r="B450" t="s">
        <v>4755</v>
      </c>
      <c r="C450" t="s">
        <v>251</v>
      </c>
      <c r="D450" t="s">
        <v>2680</v>
      </c>
      <c r="E450" t="s">
        <v>27</v>
      </c>
      <c r="F450" t="s">
        <v>21</v>
      </c>
      <c r="G450" t="s">
        <v>4756</v>
      </c>
      <c r="H450" s="7">
        <v>93274</v>
      </c>
    </row>
    <row r="451" spans="1:8" x14ac:dyDescent="0.3">
      <c r="A451">
        <v>2193</v>
      </c>
      <c r="B451" t="s">
        <v>1025</v>
      </c>
      <c r="C451" t="s">
        <v>971</v>
      </c>
      <c r="D451" t="s">
        <v>107</v>
      </c>
      <c r="E451" t="s">
        <v>8</v>
      </c>
      <c r="F451" t="s">
        <v>55</v>
      </c>
      <c r="G451" t="s">
        <v>5410</v>
      </c>
      <c r="H451" s="7">
        <v>61265</v>
      </c>
    </row>
    <row r="452" spans="1:8" x14ac:dyDescent="0.3">
      <c r="A452">
        <v>2195</v>
      </c>
      <c r="B452" t="s">
        <v>508</v>
      </c>
      <c r="C452" t="s">
        <v>1987</v>
      </c>
      <c r="D452" t="s">
        <v>107</v>
      </c>
      <c r="E452" t="s">
        <v>95</v>
      </c>
      <c r="F452" t="s">
        <v>114</v>
      </c>
      <c r="G452" t="s">
        <v>4243</v>
      </c>
      <c r="H452" s="7">
        <v>75228</v>
      </c>
    </row>
    <row r="453" spans="1:8" x14ac:dyDescent="0.3">
      <c r="A453">
        <v>2211</v>
      </c>
      <c r="B453" t="s">
        <v>5</v>
      </c>
      <c r="C453" t="s">
        <v>790</v>
      </c>
      <c r="D453" t="s">
        <v>978</v>
      </c>
      <c r="E453" t="s">
        <v>8</v>
      </c>
      <c r="F453" t="s">
        <v>9</v>
      </c>
      <c r="G453" t="s">
        <v>3537</v>
      </c>
      <c r="H453" s="7">
        <v>725</v>
      </c>
    </row>
    <row r="454" spans="1:8" x14ac:dyDescent="0.3">
      <c r="A454">
        <v>2216</v>
      </c>
      <c r="B454" t="s">
        <v>3057</v>
      </c>
      <c r="C454" t="s">
        <v>411</v>
      </c>
      <c r="D454" t="s">
        <v>107</v>
      </c>
      <c r="E454" t="s">
        <v>95</v>
      </c>
      <c r="F454" t="s">
        <v>21</v>
      </c>
      <c r="G454" t="s">
        <v>5542</v>
      </c>
      <c r="H454" s="7">
        <v>94539</v>
      </c>
    </row>
    <row r="455" spans="1:8" x14ac:dyDescent="0.3">
      <c r="A455">
        <v>2217</v>
      </c>
      <c r="B455" t="s">
        <v>5</v>
      </c>
      <c r="C455" t="s">
        <v>93</v>
      </c>
      <c r="D455" t="s">
        <v>985</v>
      </c>
      <c r="E455" t="s">
        <v>8</v>
      </c>
      <c r="F455" t="s">
        <v>9</v>
      </c>
      <c r="G455" t="s">
        <v>2618</v>
      </c>
      <c r="H455" s="7">
        <v>725</v>
      </c>
    </row>
    <row r="456" spans="1:8" x14ac:dyDescent="0.3">
      <c r="A456">
        <v>2220</v>
      </c>
      <c r="B456" t="s">
        <v>5</v>
      </c>
      <c r="C456" t="s">
        <v>251</v>
      </c>
      <c r="D456" t="s">
        <v>107</v>
      </c>
      <c r="E456" t="s">
        <v>27</v>
      </c>
      <c r="F456" t="s">
        <v>9</v>
      </c>
      <c r="G456" t="s">
        <v>3289</v>
      </c>
      <c r="H456" s="7">
        <v>725</v>
      </c>
    </row>
    <row r="457" spans="1:8" x14ac:dyDescent="0.3">
      <c r="A457">
        <v>2222</v>
      </c>
      <c r="B457" t="s">
        <v>5</v>
      </c>
      <c r="C457" t="s">
        <v>1080</v>
      </c>
      <c r="D457" t="s">
        <v>2008</v>
      </c>
      <c r="E457" t="s">
        <v>27</v>
      </c>
      <c r="F457" t="s">
        <v>9</v>
      </c>
      <c r="G457" t="s">
        <v>2009</v>
      </c>
      <c r="H457" s="7">
        <v>725</v>
      </c>
    </row>
    <row r="458" spans="1:8" x14ac:dyDescent="0.3">
      <c r="A458">
        <v>2224</v>
      </c>
      <c r="B458" t="s">
        <v>5</v>
      </c>
      <c r="C458" t="s">
        <v>1642</v>
      </c>
      <c r="D458" t="s">
        <v>728</v>
      </c>
      <c r="E458" t="s">
        <v>27</v>
      </c>
      <c r="F458" t="s">
        <v>9</v>
      </c>
      <c r="G458" t="s">
        <v>2668</v>
      </c>
      <c r="H458" s="7">
        <v>725</v>
      </c>
    </row>
    <row r="459" spans="1:8" x14ac:dyDescent="0.3">
      <c r="A459">
        <v>2229</v>
      </c>
      <c r="B459" t="s">
        <v>5</v>
      </c>
      <c r="C459" t="s">
        <v>93</v>
      </c>
      <c r="D459" t="s">
        <v>1829</v>
      </c>
      <c r="E459" t="s">
        <v>27</v>
      </c>
      <c r="F459" t="s">
        <v>9</v>
      </c>
      <c r="G459" t="s">
        <v>2078</v>
      </c>
      <c r="H459" s="7">
        <v>725</v>
      </c>
    </row>
    <row r="460" spans="1:8" x14ac:dyDescent="0.3">
      <c r="A460">
        <v>2230</v>
      </c>
      <c r="B460" t="s">
        <v>851</v>
      </c>
      <c r="C460" t="s">
        <v>411</v>
      </c>
      <c r="D460" t="s">
        <v>107</v>
      </c>
      <c r="E460" t="s">
        <v>27</v>
      </c>
      <c r="F460" t="s">
        <v>21</v>
      </c>
      <c r="G460" t="s">
        <v>4455</v>
      </c>
      <c r="H460" s="7">
        <v>92404</v>
      </c>
    </row>
    <row r="461" spans="1:8" x14ac:dyDescent="0.3">
      <c r="A461">
        <v>2236</v>
      </c>
      <c r="B461" t="s">
        <v>5</v>
      </c>
      <c r="C461" t="s">
        <v>2441</v>
      </c>
      <c r="D461" t="s">
        <v>306</v>
      </c>
      <c r="E461" t="s">
        <v>8</v>
      </c>
      <c r="F461" t="s">
        <v>9</v>
      </c>
      <c r="G461" t="s">
        <v>2442</v>
      </c>
      <c r="H461" s="7">
        <v>725</v>
      </c>
    </row>
    <row r="462" spans="1:8" x14ac:dyDescent="0.3">
      <c r="A462">
        <v>2248</v>
      </c>
      <c r="B462" t="s">
        <v>5</v>
      </c>
      <c r="C462" t="s">
        <v>93</v>
      </c>
      <c r="D462" t="s">
        <v>107</v>
      </c>
      <c r="E462" t="s">
        <v>95</v>
      </c>
      <c r="F462" t="s">
        <v>9</v>
      </c>
      <c r="G462" t="s">
        <v>3567</v>
      </c>
      <c r="H462" s="7">
        <v>725</v>
      </c>
    </row>
    <row r="463" spans="1:8" x14ac:dyDescent="0.3">
      <c r="A463">
        <v>2255</v>
      </c>
      <c r="B463" t="s">
        <v>656</v>
      </c>
      <c r="C463" t="s">
        <v>2301</v>
      </c>
      <c r="D463" t="s">
        <v>2084</v>
      </c>
      <c r="E463" t="s">
        <v>8</v>
      </c>
      <c r="F463" t="s">
        <v>77</v>
      </c>
      <c r="G463" t="s">
        <v>4304</v>
      </c>
      <c r="H463" s="7">
        <v>19124</v>
      </c>
    </row>
    <row r="464" spans="1:8" x14ac:dyDescent="0.3">
      <c r="A464">
        <v>2257</v>
      </c>
      <c r="B464" t="s">
        <v>1143</v>
      </c>
      <c r="C464" t="s">
        <v>700</v>
      </c>
      <c r="D464" t="s">
        <v>463</v>
      </c>
      <c r="E464" t="s">
        <v>95</v>
      </c>
      <c r="F464" t="s">
        <v>1145</v>
      </c>
      <c r="G464" t="s">
        <v>5009</v>
      </c>
      <c r="H464" s="7">
        <v>53215</v>
      </c>
    </row>
    <row r="465" spans="1:8" x14ac:dyDescent="0.3">
      <c r="A465">
        <v>2260</v>
      </c>
      <c r="B465" t="s">
        <v>5</v>
      </c>
      <c r="C465" t="s">
        <v>766</v>
      </c>
      <c r="D465" t="s">
        <v>4038</v>
      </c>
      <c r="E465" t="s">
        <v>95</v>
      </c>
      <c r="F465" t="s">
        <v>9</v>
      </c>
      <c r="G465" t="s">
        <v>1846</v>
      </c>
      <c r="H465" s="7">
        <v>725</v>
      </c>
    </row>
    <row r="466" spans="1:8" x14ac:dyDescent="0.3">
      <c r="A466">
        <v>2263</v>
      </c>
      <c r="B466" t="s">
        <v>4215</v>
      </c>
      <c r="C466" t="s">
        <v>93</v>
      </c>
      <c r="D466" t="s">
        <v>107</v>
      </c>
      <c r="E466" t="s">
        <v>8</v>
      </c>
      <c r="F466" t="s">
        <v>242</v>
      </c>
      <c r="G466" t="s">
        <v>4751</v>
      </c>
      <c r="H466" s="7">
        <v>21234</v>
      </c>
    </row>
    <row r="467" spans="1:8" x14ac:dyDescent="0.3">
      <c r="A467">
        <v>2265</v>
      </c>
      <c r="B467" t="s">
        <v>5</v>
      </c>
      <c r="C467" t="s">
        <v>93</v>
      </c>
      <c r="D467" t="s">
        <v>107</v>
      </c>
      <c r="E467" t="s">
        <v>8</v>
      </c>
      <c r="F467" t="s">
        <v>9</v>
      </c>
      <c r="G467" t="s">
        <v>554</v>
      </c>
      <c r="H467" s="7">
        <v>725</v>
      </c>
    </row>
    <row r="468" spans="1:8" x14ac:dyDescent="0.3">
      <c r="A468">
        <v>2267</v>
      </c>
      <c r="B468" t="s">
        <v>1645</v>
      </c>
      <c r="C468" t="s">
        <v>411</v>
      </c>
      <c r="D468" t="s">
        <v>1154</v>
      </c>
      <c r="E468" t="s">
        <v>8</v>
      </c>
      <c r="F468" t="s">
        <v>190</v>
      </c>
      <c r="G468" t="s">
        <v>2558</v>
      </c>
      <c r="H468" s="7">
        <v>85308</v>
      </c>
    </row>
    <row r="469" spans="1:8" x14ac:dyDescent="0.3">
      <c r="A469">
        <v>2268</v>
      </c>
      <c r="B469" t="s">
        <v>1782</v>
      </c>
      <c r="C469" t="s">
        <v>93</v>
      </c>
      <c r="D469" t="s">
        <v>107</v>
      </c>
      <c r="E469" t="s">
        <v>95</v>
      </c>
      <c r="F469" t="s">
        <v>140</v>
      </c>
      <c r="G469" t="s">
        <v>1783</v>
      </c>
      <c r="H469" s="7">
        <v>30067</v>
      </c>
    </row>
    <row r="470" spans="1:8" x14ac:dyDescent="0.3">
      <c r="A470">
        <v>2280</v>
      </c>
      <c r="B470" t="s">
        <v>443</v>
      </c>
      <c r="C470" t="s">
        <v>93</v>
      </c>
      <c r="D470" t="s">
        <v>107</v>
      </c>
      <c r="E470" t="s">
        <v>95</v>
      </c>
      <c r="F470" t="s">
        <v>108</v>
      </c>
      <c r="G470" t="s">
        <v>3678</v>
      </c>
      <c r="H470" s="7">
        <v>97229</v>
      </c>
    </row>
    <row r="471" spans="1:8" x14ac:dyDescent="0.3">
      <c r="A471">
        <v>2300</v>
      </c>
      <c r="B471" t="s">
        <v>5</v>
      </c>
      <c r="C471" t="s">
        <v>2002</v>
      </c>
      <c r="D471" t="s">
        <v>2003</v>
      </c>
      <c r="E471" t="s">
        <v>27</v>
      </c>
      <c r="F471" t="s">
        <v>9</v>
      </c>
      <c r="G471" t="s">
        <v>2004</v>
      </c>
      <c r="H471" s="7">
        <v>725</v>
      </c>
    </row>
    <row r="472" spans="1:8" x14ac:dyDescent="0.3">
      <c r="A472">
        <v>2309</v>
      </c>
      <c r="B472" t="s">
        <v>5</v>
      </c>
      <c r="C472" t="s">
        <v>436</v>
      </c>
      <c r="D472" t="s">
        <v>2043</v>
      </c>
      <c r="E472" t="s">
        <v>27</v>
      </c>
      <c r="F472" t="s">
        <v>9</v>
      </c>
      <c r="G472" t="s">
        <v>2044</v>
      </c>
      <c r="H472" s="7">
        <v>725</v>
      </c>
    </row>
    <row r="473" spans="1:8" x14ac:dyDescent="0.3">
      <c r="A473">
        <v>2314</v>
      </c>
      <c r="B473" t="s">
        <v>5</v>
      </c>
      <c r="C473" t="s">
        <v>886</v>
      </c>
      <c r="D473" t="s">
        <v>107</v>
      </c>
      <c r="E473" t="s">
        <v>8</v>
      </c>
      <c r="F473" t="s">
        <v>9</v>
      </c>
      <c r="G473" t="s">
        <v>3448</v>
      </c>
      <c r="H473" s="7">
        <v>725</v>
      </c>
    </row>
    <row r="474" spans="1:8" x14ac:dyDescent="0.3">
      <c r="A474">
        <v>2317</v>
      </c>
      <c r="B474" t="s">
        <v>4307</v>
      </c>
      <c r="C474" t="s">
        <v>93</v>
      </c>
      <c r="D474" t="s">
        <v>1318</v>
      </c>
      <c r="E474" t="s">
        <v>27</v>
      </c>
      <c r="F474" t="s">
        <v>21</v>
      </c>
      <c r="G474" t="s">
        <v>4375</v>
      </c>
      <c r="H474" s="7">
        <v>95060</v>
      </c>
    </row>
    <row r="475" spans="1:8" x14ac:dyDescent="0.3">
      <c r="A475">
        <v>2320</v>
      </c>
      <c r="B475" t="s">
        <v>5</v>
      </c>
      <c r="C475" t="s">
        <v>407</v>
      </c>
      <c r="D475" t="s">
        <v>107</v>
      </c>
      <c r="E475" t="s">
        <v>8</v>
      </c>
      <c r="F475" t="s">
        <v>9</v>
      </c>
      <c r="G475" t="s">
        <v>1038</v>
      </c>
      <c r="H475" s="7">
        <v>725</v>
      </c>
    </row>
    <row r="476" spans="1:8" x14ac:dyDescent="0.3">
      <c r="A476">
        <v>2327</v>
      </c>
      <c r="B476" t="s">
        <v>2101</v>
      </c>
      <c r="C476" t="s">
        <v>2025</v>
      </c>
      <c r="D476" t="s">
        <v>2169</v>
      </c>
      <c r="E476" t="s">
        <v>27</v>
      </c>
      <c r="F476" t="s">
        <v>77</v>
      </c>
      <c r="G476" t="s">
        <v>5385</v>
      </c>
      <c r="H476" s="7">
        <v>19380</v>
      </c>
    </row>
    <row r="477" spans="1:8" x14ac:dyDescent="0.3">
      <c r="A477">
        <v>2352</v>
      </c>
      <c r="B477" t="s">
        <v>5</v>
      </c>
      <c r="C477" t="s">
        <v>2469</v>
      </c>
      <c r="D477" t="s">
        <v>2470</v>
      </c>
      <c r="E477" t="s">
        <v>8</v>
      </c>
      <c r="F477" t="s">
        <v>9</v>
      </c>
      <c r="G477" t="s">
        <v>2471</v>
      </c>
      <c r="H477" s="7">
        <v>725</v>
      </c>
    </row>
    <row r="478" spans="1:8" x14ac:dyDescent="0.3">
      <c r="A478">
        <v>2356</v>
      </c>
      <c r="B478" t="s">
        <v>2226</v>
      </c>
      <c r="C478" t="s">
        <v>93</v>
      </c>
      <c r="D478" t="s">
        <v>366</v>
      </c>
      <c r="E478" t="s">
        <v>95</v>
      </c>
      <c r="F478" t="s">
        <v>77</v>
      </c>
      <c r="G478" t="s">
        <v>5244</v>
      </c>
      <c r="H478" s="7">
        <v>15642</v>
      </c>
    </row>
    <row r="479" spans="1:8" x14ac:dyDescent="0.3">
      <c r="A479">
        <v>2360</v>
      </c>
      <c r="B479" t="s">
        <v>440</v>
      </c>
      <c r="C479" t="s">
        <v>2740</v>
      </c>
      <c r="D479" t="s">
        <v>107</v>
      </c>
      <c r="E479" t="s">
        <v>95</v>
      </c>
      <c r="F479" t="s">
        <v>114</v>
      </c>
      <c r="G479" t="s">
        <v>4745</v>
      </c>
      <c r="H479" s="7">
        <v>78223</v>
      </c>
    </row>
    <row r="480" spans="1:8" x14ac:dyDescent="0.3">
      <c r="A480">
        <v>2369</v>
      </c>
      <c r="B480" t="s">
        <v>1230</v>
      </c>
      <c r="C480" t="s">
        <v>967</v>
      </c>
      <c r="D480" t="s">
        <v>3969</v>
      </c>
      <c r="E480" t="s">
        <v>27</v>
      </c>
      <c r="F480" t="s">
        <v>248</v>
      </c>
      <c r="G480" t="s">
        <v>3602</v>
      </c>
      <c r="H480" s="7">
        <v>45840</v>
      </c>
    </row>
    <row r="481" spans="1:8" x14ac:dyDescent="0.3">
      <c r="A481">
        <v>2371</v>
      </c>
      <c r="B481" t="s">
        <v>2762</v>
      </c>
      <c r="C481" t="s">
        <v>2693</v>
      </c>
      <c r="D481" t="s">
        <v>107</v>
      </c>
      <c r="E481" t="s">
        <v>27</v>
      </c>
      <c r="F481" t="s">
        <v>114</v>
      </c>
      <c r="G481" t="s">
        <v>2763</v>
      </c>
      <c r="H481" s="7">
        <v>77520</v>
      </c>
    </row>
    <row r="482" spans="1:8" x14ac:dyDescent="0.3">
      <c r="A482">
        <v>2373</v>
      </c>
      <c r="B482" t="s">
        <v>1041</v>
      </c>
      <c r="C482" t="s">
        <v>93</v>
      </c>
      <c r="D482" t="s">
        <v>107</v>
      </c>
      <c r="E482" t="s">
        <v>8</v>
      </c>
      <c r="F482" t="s">
        <v>1042</v>
      </c>
      <c r="G482" t="s">
        <v>1043</v>
      </c>
      <c r="H482" s="7">
        <v>29445</v>
      </c>
    </row>
    <row r="483" spans="1:8" x14ac:dyDescent="0.3">
      <c r="A483">
        <v>2376</v>
      </c>
      <c r="B483" t="s">
        <v>1756</v>
      </c>
      <c r="C483" t="s">
        <v>1191</v>
      </c>
      <c r="D483" t="s">
        <v>1757</v>
      </c>
      <c r="E483" t="s">
        <v>95</v>
      </c>
      <c r="F483" t="s">
        <v>1657</v>
      </c>
      <c r="G483" t="s">
        <v>1758</v>
      </c>
      <c r="H483" s="7">
        <v>6460</v>
      </c>
    </row>
    <row r="484" spans="1:8" x14ac:dyDescent="0.3">
      <c r="A484">
        <v>2384</v>
      </c>
      <c r="B484" t="s">
        <v>5</v>
      </c>
      <c r="C484" t="s">
        <v>93</v>
      </c>
      <c r="D484" t="s">
        <v>931</v>
      </c>
      <c r="E484" t="s">
        <v>27</v>
      </c>
      <c r="F484" t="s">
        <v>9</v>
      </c>
      <c r="G484" t="s">
        <v>932</v>
      </c>
      <c r="H484" s="7">
        <v>725</v>
      </c>
    </row>
    <row r="485" spans="1:8" x14ac:dyDescent="0.3">
      <c r="A485">
        <v>2389</v>
      </c>
      <c r="B485" t="s">
        <v>3008</v>
      </c>
      <c r="C485" t="s">
        <v>93</v>
      </c>
      <c r="D485" t="s">
        <v>107</v>
      </c>
      <c r="E485" t="s">
        <v>8</v>
      </c>
      <c r="F485" t="s">
        <v>158</v>
      </c>
      <c r="G485" t="s">
        <v>3121</v>
      </c>
      <c r="H485" s="7">
        <v>38111</v>
      </c>
    </row>
    <row r="486" spans="1:8" x14ac:dyDescent="0.3">
      <c r="A486">
        <v>2398</v>
      </c>
      <c r="B486" t="s">
        <v>2386</v>
      </c>
      <c r="C486" t="s">
        <v>93</v>
      </c>
      <c r="D486" t="s">
        <v>107</v>
      </c>
      <c r="E486" t="s">
        <v>8</v>
      </c>
      <c r="F486" t="s">
        <v>36</v>
      </c>
      <c r="G486" t="s">
        <v>4364</v>
      </c>
      <c r="H486" s="7">
        <v>2124</v>
      </c>
    </row>
    <row r="487" spans="1:8" x14ac:dyDescent="0.3">
      <c r="A487">
        <v>2405</v>
      </c>
      <c r="B487" t="s">
        <v>723</v>
      </c>
      <c r="C487" t="s">
        <v>2750</v>
      </c>
      <c r="D487" t="s">
        <v>107</v>
      </c>
      <c r="E487" t="s">
        <v>8</v>
      </c>
      <c r="F487" t="s">
        <v>55</v>
      </c>
      <c r="G487" t="s">
        <v>5188</v>
      </c>
      <c r="H487" s="7">
        <v>60506</v>
      </c>
    </row>
    <row r="488" spans="1:8" x14ac:dyDescent="0.3">
      <c r="A488">
        <v>2417</v>
      </c>
      <c r="B488" t="s">
        <v>5</v>
      </c>
      <c r="C488" t="s">
        <v>93</v>
      </c>
      <c r="D488" t="s">
        <v>2028</v>
      </c>
      <c r="E488" t="s">
        <v>27</v>
      </c>
      <c r="F488" t="s">
        <v>9</v>
      </c>
      <c r="G488" t="s">
        <v>2029</v>
      </c>
      <c r="H488" s="7">
        <v>725</v>
      </c>
    </row>
    <row r="489" spans="1:8" x14ac:dyDescent="0.3">
      <c r="A489">
        <v>2419</v>
      </c>
      <c r="B489" t="s">
        <v>5</v>
      </c>
      <c r="C489" t="s">
        <v>1604</v>
      </c>
      <c r="D489" t="s">
        <v>380</v>
      </c>
      <c r="E489" t="s">
        <v>95</v>
      </c>
      <c r="F489" t="s">
        <v>9</v>
      </c>
      <c r="G489" t="s">
        <v>4887</v>
      </c>
      <c r="H489" s="7">
        <v>725</v>
      </c>
    </row>
    <row r="490" spans="1:8" x14ac:dyDescent="0.3">
      <c r="A490">
        <v>2424</v>
      </c>
      <c r="B490" t="s">
        <v>2541</v>
      </c>
      <c r="C490" t="s">
        <v>93</v>
      </c>
      <c r="D490" t="s">
        <v>2285</v>
      </c>
      <c r="E490" t="s">
        <v>8</v>
      </c>
      <c r="F490" t="s">
        <v>448</v>
      </c>
      <c r="G490" t="s">
        <v>2542</v>
      </c>
      <c r="H490" s="7">
        <v>32244</v>
      </c>
    </row>
    <row r="491" spans="1:8" x14ac:dyDescent="0.3">
      <c r="A491">
        <v>2433</v>
      </c>
      <c r="B491" t="s">
        <v>5</v>
      </c>
      <c r="C491" t="s">
        <v>251</v>
      </c>
      <c r="D491" t="s">
        <v>107</v>
      </c>
      <c r="E491" t="s">
        <v>95</v>
      </c>
      <c r="F491" t="s">
        <v>9</v>
      </c>
      <c r="G491" t="s">
        <v>987</v>
      </c>
      <c r="H491" s="7">
        <v>725</v>
      </c>
    </row>
    <row r="492" spans="1:8" x14ac:dyDescent="0.3">
      <c r="A492">
        <v>2434</v>
      </c>
      <c r="B492" t="s">
        <v>3150</v>
      </c>
      <c r="C492" t="s">
        <v>2917</v>
      </c>
      <c r="D492" t="s">
        <v>1873</v>
      </c>
      <c r="E492" t="s">
        <v>95</v>
      </c>
      <c r="F492" t="s">
        <v>341</v>
      </c>
      <c r="G492" t="s">
        <v>3713</v>
      </c>
      <c r="H492" s="7">
        <v>28314</v>
      </c>
    </row>
    <row r="493" spans="1:8" x14ac:dyDescent="0.3">
      <c r="A493">
        <v>2435</v>
      </c>
      <c r="B493" t="s">
        <v>5</v>
      </c>
      <c r="C493" t="s">
        <v>1391</v>
      </c>
      <c r="D493" t="s">
        <v>1392</v>
      </c>
      <c r="E493" t="s">
        <v>8</v>
      </c>
      <c r="F493" t="s">
        <v>9</v>
      </c>
      <c r="G493" t="s">
        <v>1393</v>
      </c>
      <c r="H493" s="7">
        <v>725</v>
      </c>
    </row>
    <row r="494" spans="1:8" x14ac:dyDescent="0.3">
      <c r="A494">
        <v>2438</v>
      </c>
      <c r="B494" t="s">
        <v>495</v>
      </c>
      <c r="C494" t="s">
        <v>93</v>
      </c>
      <c r="D494" t="s">
        <v>2808</v>
      </c>
      <c r="E494" t="s">
        <v>27</v>
      </c>
      <c r="F494" t="s">
        <v>88</v>
      </c>
      <c r="G494" t="s">
        <v>2809</v>
      </c>
      <c r="H494" s="7">
        <v>11221</v>
      </c>
    </row>
    <row r="495" spans="1:8" x14ac:dyDescent="0.3">
      <c r="A495">
        <v>2440</v>
      </c>
      <c r="B495" t="s">
        <v>1774</v>
      </c>
      <c r="C495" t="s">
        <v>1045</v>
      </c>
      <c r="D495" t="s">
        <v>1746</v>
      </c>
      <c r="E495" t="s">
        <v>95</v>
      </c>
      <c r="F495" t="s">
        <v>21</v>
      </c>
      <c r="G495" t="s">
        <v>5419</v>
      </c>
      <c r="H495" s="7">
        <v>91801</v>
      </c>
    </row>
    <row r="496" spans="1:8" x14ac:dyDescent="0.3">
      <c r="A496">
        <v>2444</v>
      </c>
      <c r="B496" t="s">
        <v>1025</v>
      </c>
      <c r="C496" t="s">
        <v>1026</v>
      </c>
      <c r="D496" t="s">
        <v>107</v>
      </c>
      <c r="E496" t="s">
        <v>8</v>
      </c>
      <c r="F496" t="s">
        <v>55</v>
      </c>
      <c r="G496" t="s">
        <v>1027</v>
      </c>
      <c r="H496" s="7">
        <v>61265</v>
      </c>
    </row>
    <row r="497" spans="1:8" x14ac:dyDescent="0.3">
      <c r="A497">
        <v>2445</v>
      </c>
      <c r="B497" t="s">
        <v>5</v>
      </c>
      <c r="C497" t="s">
        <v>93</v>
      </c>
      <c r="D497" t="s">
        <v>964</v>
      </c>
      <c r="E497" t="s">
        <v>8</v>
      </c>
      <c r="F497" t="s">
        <v>9</v>
      </c>
      <c r="G497" t="s">
        <v>5094</v>
      </c>
      <c r="H497" s="7">
        <v>725</v>
      </c>
    </row>
    <row r="498" spans="1:8" x14ac:dyDescent="0.3">
      <c r="A498">
        <v>2446</v>
      </c>
      <c r="B498" t="s">
        <v>810</v>
      </c>
      <c r="C498" t="s">
        <v>1080</v>
      </c>
      <c r="D498" t="s">
        <v>396</v>
      </c>
      <c r="E498" t="s">
        <v>95</v>
      </c>
      <c r="F498" t="s">
        <v>448</v>
      </c>
      <c r="G498" t="s">
        <v>3589</v>
      </c>
      <c r="H498" s="7">
        <v>33068</v>
      </c>
    </row>
    <row r="499" spans="1:8" x14ac:dyDescent="0.3">
      <c r="A499">
        <v>2453</v>
      </c>
      <c r="B499" t="s">
        <v>5</v>
      </c>
      <c r="C499" t="s">
        <v>1007</v>
      </c>
      <c r="D499" t="s">
        <v>107</v>
      </c>
      <c r="E499" t="s">
        <v>27</v>
      </c>
      <c r="F499" t="s">
        <v>9</v>
      </c>
      <c r="G499" t="s">
        <v>1796</v>
      </c>
      <c r="H499" s="7">
        <v>725</v>
      </c>
    </row>
    <row r="500" spans="1:8" x14ac:dyDescent="0.3">
      <c r="A500">
        <v>2460</v>
      </c>
      <c r="B500" t="s">
        <v>4345</v>
      </c>
      <c r="C500" t="s">
        <v>1191</v>
      </c>
      <c r="D500" t="s">
        <v>5079</v>
      </c>
      <c r="E500" t="s">
        <v>27</v>
      </c>
      <c r="F500" t="s">
        <v>21</v>
      </c>
      <c r="G500" t="s">
        <v>4343</v>
      </c>
      <c r="H500" s="7">
        <v>94806</v>
      </c>
    </row>
    <row r="501" spans="1:8" x14ac:dyDescent="0.3">
      <c r="A501">
        <v>2462</v>
      </c>
      <c r="B501" t="s">
        <v>59</v>
      </c>
      <c r="C501" t="s">
        <v>1166</v>
      </c>
      <c r="D501" t="s">
        <v>3934</v>
      </c>
      <c r="E501" t="s">
        <v>8</v>
      </c>
      <c r="F501" t="s">
        <v>21</v>
      </c>
      <c r="G501" t="s">
        <v>4466</v>
      </c>
      <c r="H501" s="7">
        <v>90806</v>
      </c>
    </row>
    <row r="502" spans="1:8" x14ac:dyDescent="0.3">
      <c r="A502">
        <v>2469</v>
      </c>
      <c r="B502" t="s">
        <v>5</v>
      </c>
      <c r="C502" t="s">
        <v>527</v>
      </c>
      <c r="D502" t="s">
        <v>107</v>
      </c>
      <c r="E502" t="s">
        <v>8</v>
      </c>
      <c r="F502" t="s">
        <v>9</v>
      </c>
      <c r="G502" t="s">
        <v>4376</v>
      </c>
      <c r="H502" s="7">
        <v>725</v>
      </c>
    </row>
    <row r="503" spans="1:8" x14ac:dyDescent="0.3">
      <c r="A503">
        <v>2471</v>
      </c>
      <c r="B503" t="s">
        <v>1942</v>
      </c>
      <c r="C503" t="s">
        <v>1710</v>
      </c>
      <c r="D503" t="s">
        <v>107</v>
      </c>
      <c r="E503" t="s">
        <v>95</v>
      </c>
      <c r="F503" t="s">
        <v>381</v>
      </c>
      <c r="G503" t="s">
        <v>1926</v>
      </c>
      <c r="H503" s="7">
        <v>48212</v>
      </c>
    </row>
    <row r="504" spans="1:8" x14ac:dyDescent="0.3">
      <c r="A504">
        <v>2484</v>
      </c>
      <c r="B504" t="s">
        <v>1276</v>
      </c>
      <c r="C504" t="s">
        <v>1153</v>
      </c>
      <c r="D504" t="s">
        <v>107</v>
      </c>
      <c r="E504" t="s">
        <v>27</v>
      </c>
      <c r="F504" t="s">
        <v>341</v>
      </c>
      <c r="G504" t="s">
        <v>1668</v>
      </c>
      <c r="H504" s="7">
        <v>27502</v>
      </c>
    </row>
    <row r="505" spans="1:8" x14ac:dyDescent="0.3">
      <c r="A505">
        <v>2485</v>
      </c>
      <c r="B505" t="s">
        <v>5</v>
      </c>
      <c r="C505" t="s">
        <v>93</v>
      </c>
      <c r="D505" t="s">
        <v>974</v>
      </c>
      <c r="E505" t="s">
        <v>8</v>
      </c>
      <c r="F505" t="s">
        <v>9</v>
      </c>
      <c r="G505" t="s">
        <v>3312</v>
      </c>
      <c r="H505" s="7">
        <v>725</v>
      </c>
    </row>
    <row r="506" spans="1:8" x14ac:dyDescent="0.3">
      <c r="A506">
        <v>2489</v>
      </c>
      <c r="B506" t="s">
        <v>440</v>
      </c>
      <c r="C506" t="s">
        <v>2713</v>
      </c>
      <c r="D506" t="s">
        <v>107</v>
      </c>
      <c r="E506" t="s">
        <v>27</v>
      </c>
      <c r="F506" t="s">
        <v>114</v>
      </c>
      <c r="G506" t="s">
        <v>5538</v>
      </c>
      <c r="H506" s="7">
        <v>78240</v>
      </c>
    </row>
    <row r="507" spans="1:8" x14ac:dyDescent="0.3">
      <c r="A507">
        <v>2492</v>
      </c>
      <c r="B507" t="s">
        <v>2188</v>
      </c>
      <c r="C507" t="s">
        <v>93</v>
      </c>
      <c r="D507" t="s">
        <v>2799</v>
      </c>
      <c r="E507" t="s">
        <v>8</v>
      </c>
      <c r="F507" t="s">
        <v>308</v>
      </c>
      <c r="G507" t="s">
        <v>4134</v>
      </c>
      <c r="H507" s="7">
        <v>8021</v>
      </c>
    </row>
    <row r="508" spans="1:8" x14ac:dyDescent="0.3">
      <c r="A508">
        <v>2497</v>
      </c>
      <c r="B508" t="s">
        <v>981</v>
      </c>
      <c r="C508" t="s">
        <v>719</v>
      </c>
      <c r="D508" t="s">
        <v>982</v>
      </c>
      <c r="E508" t="s">
        <v>8</v>
      </c>
      <c r="F508" t="s">
        <v>114</v>
      </c>
      <c r="G508" t="s">
        <v>983</v>
      </c>
      <c r="H508" s="7">
        <v>75150</v>
      </c>
    </row>
    <row r="509" spans="1:8" x14ac:dyDescent="0.3">
      <c r="A509">
        <v>2510</v>
      </c>
      <c r="B509" t="s">
        <v>5</v>
      </c>
      <c r="C509" t="s">
        <v>93</v>
      </c>
      <c r="D509" t="s">
        <v>2596</v>
      </c>
      <c r="E509" t="s">
        <v>27</v>
      </c>
      <c r="F509" t="s">
        <v>9</v>
      </c>
      <c r="G509" t="s">
        <v>2597</v>
      </c>
      <c r="H509" s="7">
        <v>725</v>
      </c>
    </row>
    <row r="510" spans="1:8" x14ac:dyDescent="0.3">
      <c r="A510">
        <v>2515</v>
      </c>
      <c r="B510" t="s">
        <v>4670</v>
      </c>
      <c r="C510" t="s">
        <v>1241</v>
      </c>
      <c r="D510" t="s">
        <v>107</v>
      </c>
      <c r="E510" t="s">
        <v>8</v>
      </c>
      <c r="F510" t="s">
        <v>448</v>
      </c>
      <c r="G510" t="s">
        <v>4671</v>
      </c>
      <c r="H510" s="7">
        <v>32703</v>
      </c>
    </row>
    <row r="511" spans="1:8" x14ac:dyDescent="0.3">
      <c r="A511">
        <v>2531</v>
      </c>
      <c r="B511" t="s">
        <v>5</v>
      </c>
      <c r="C511" t="s">
        <v>93</v>
      </c>
      <c r="D511" t="s">
        <v>3325</v>
      </c>
      <c r="E511" t="s">
        <v>8</v>
      </c>
      <c r="F511" t="s">
        <v>9</v>
      </c>
      <c r="G511" t="s">
        <v>3326</v>
      </c>
      <c r="H511" s="7">
        <v>725</v>
      </c>
    </row>
    <row r="512" spans="1:8" x14ac:dyDescent="0.3">
      <c r="A512">
        <v>2534</v>
      </c>
      <c r="B512" t="s">
        <v>846</v>
      </c>
      <c r="C512" t="s">
        <v>1987</v>
      </c>
      <c r="D512" t="s">
        <v>107</v>
      </c>
      <c r="E512" t="s">
        <v>8</v>
      </c>
      <c r="F512" t="s">
        <v>77</v>
      </c>
      <c r="G512" t="s">
        <v>3477</v>
      </c>
      <c r="H512" s="7">
        <v>19067</v>
      </c>
    </row>
    <row r="513" spans="1:8" x14ac:dyDescent="0.3">
      <c r="A513">
        <v>2539</v>
      </c>
      <c r="B513" t="s">
        <v>495</v>
      </c>
      <c r="C513" t="s">
        <v>93</v>
      </c>
      <c r="D513" t="s">
        <v>1777</v>
      </c>
      <c r="E513" t="s">
        <v>27</v>
      </c>
      <c r="F513" t="s">
        <v>88</v>
      </c>
      <c r="G513" t="s">
        <v>4928</v>
      </c>
      <c r="H513" s="7">
        <v>11214</v>
      </c>
    </row>
    <row r="514" spans="1:8" x14ac:dyDescent="0.3">
      <c r="A514">
        <v>2544</v>
      </c>
      <c r="B514" t="s">
        <v>4136</v>
      </c>
      <c r="C514" t="s">
        <v>93</v>
      </c>
      <c r="D514" t="s">
        <v>107</v>
      </c>
      <c r="E514" t="s">
        <v>8</v>
      </c>
      <c r="F514" t="s">
        <v>77</v>
      </c>
      <c r="G514" t="s">
        <v>966</v>
      </c>
      <c r="H514" s="7">
        <v>17331</v>
      </c>
    </row>
    <row r="515" spans="1:8" x14ac:dyDescent="0.3">
      <c r="A515">
        <v>2545</v>
      </c>
      <c r="B515" t="s">
        <v>1213</v>
      </c>
      <c r="C515" t="s">
        <v>1299</v>
      </c>
      <c r="D515" t="s">
        <v>2680</v>
      </c>
      <c r="E515" t="s">
        <v>95</v>
      </c>
      <c r="F515" t="s">
        <v>114</v>
      </c>
      <c r="G515" t="s">
        <v>2681</v>
      </c>
      <c r="H515" s="7">
        <v>75080</v>
      </c>
    </row>
    <row r="516" spans="1:8" x14ac:dyDescent="0.3">
      <c r="A516">
        <v>2546</v>
      </c>
      <c r="B516" t="s">
        <v>5</v>
      </c>
      <c r="C516" t="s">
        <v>93</v>
      </c>
      <c r="D516" t="s">
        <v>107</v>
      </c>
      <c r="E516" t="s">
        <v>95</v>
      </c>
      <c r="F516" t="s">
        <v>9</v>
      </c>
      <c r="G516" t="s">
        <v>4009</v>
      </c>
      <c r="H516" s="7">
        <v>725</v>
      </c>
    </row>
    <row r="517" spans="1:8" x14ac:dyDescent="0.3">
      <c r="A517">
        <v>2547</v>
      </c>
      <c r="B517" t="s">
        <v>299</v>
      </c>
      <c r="C517" t="s">
        <v>1987</v>
      </c>
      <c r="D517" t="s">
        <v>2939</v>
      </c>
      <c r="E517" t="s">
        <v>95</v>
      </c>
      <c r="F517" t="s">
        <v>114</v>
      </c>
      <c r="G517" t="s">
        <v>4509</v>
      </c>
      <c r="H517" s="7">
        <v>76180</v>
      </c>
    </row>
    <row r="518" spans="1:8" x14ac:dyDescent="0.3">
      <c r="A518">
        <v>2555</v>
      </c>
      <c r="B518" t="s">
        <v>250</v>
      </c>
      <c r="C518" t="s">
        <v>93</v>
      </c>
      <c r="D518" t="s">
        <v>1506</v>
      </c>
      <c r="E518" t="s">
        <v>8</v>
      </c>
      <c r="F518" t="s">
        <v>21</v>
      </c>
      <c r="G518" t="s">
        <v>1879</v>
      </c>
      <c r="H518" s="7">
        <v>92626</v>
      </c>
    </row>
    <row r="519" spans="1:8" x14ac:dyDescent="0.3">
      <c r="A519">
        <v>2560</v>
      </c>
      <c r="B519" t="s">
        <v>5</v>
      </c>
      <c r="C519" t="s">
        <v>93</v>
      </c>
      <c r="D519" t="s">
        <v>113</v>
      </c>
      <c r="E519" t="s">
        <v>27</v>
      </c>
      <c r="F519" t="s">
        <v>9</v>
      </c>
      <c r="G519" t="s">
        <v>5102</v>
      </c>
      <c r="H519" s="7">
        <v>725</v>
      </c>
    </row>
    <row r="520" spans="1:8" x14ac:dyDescent="0.3">
      <c r="A520">
        <v>2561</v>
      </c>
      <c r="B520" t="s">
        <v>1486</v>
      </c>
      <c r="C520" t="s">
        <v>1112</v>
      </c>
      <c r="D520" t="s">
        <v>107</v>
      </c>
      <c r="E520" t="s">
        <v>27</v>
      </c>
      <c r="F520" t="s">
        <v>308</v>
      </c>
      <c r="G520" t="s">
        <v>1487</v>
      </c>
      <c r="H520" s="7">
        <v>7307</v>
      </c>
    </row>
    <row r="521" spans="1:8" x14ac:dyDescent="0.3">
      <c r="A521">
        <v>2566</v>
      </c>
      <c r="B521" t="s">
        <v>4787</v>
      </c>
      <c r="C521" t="s">
        <v>397</v>
      </c>
      <c r="D521" t="s">
        <v>107</v>
      </c>
      <c r="E521" t="s">
        <v>8</v>
      </c>
      <c r="F521" t="s">
        <v>21</v>
      </c>
      <c r="G521" t="s">
        <v>4689</v>
      </c>
      <c r="H521" s="7">
        <v>95340</v>
      </c>
    </row>
    <row r="522" spans="1:8" x14ac:dyDescent="0.3">
      <c r="A522">
        <v>2567</v>
      </c>
      <c r="B522" t="s">
        <v>5</v>
      </c>
      <c r="C522" t="s">
        <v>93</v>
      </c>
      <c r="D522" t="s">
        <v>3337</v>
      </c>
      <c r="E522" t="s">
        <v>8</v>
      </c>
      <c r="F522" t="s">
        <v>9</v>
      </c>
      <c r="G522" t="s">
        <v>3435</v>
      </c>
      <c r="H522" s="7">
        <v>725</v>
      </c>
    </row>
    <row r="523" spans="1:8" x14ac:dyDescent="0.3">
      <c r="A523">
        <v>2569</v>
      </c>
      <c r="B523" t="s">
        <v>5</v>
      </c>
      <c r="C523" t="s">
        <v>93</v>
      </c>
      <c r="D523" t="s">
        <v>2464</v>
      </c>
      <c r="E523" t="s">
        <v>8</v>
      </c>
      <c r="F523" t="s">
        <v>9</v>
      </c>
      <c r="G523" t="s">
        <v>2465</v>
      </c>
      <c r="H523" s="7">
        <v>725</v>
      </c>
    </row>
    <row r="524" spans="1:8" x14ac:dyDescent="0.3">
      <c r="A524">
        <v>2572</v>
      </c>
      <c r="B524" t="s">
        <v>5</v>
      </c>
      <c r="C524" t="s">
        <v>93</v>
      </c>
      <c r="D524" t="s">
        <v>107</v>
      </c>
      <c r="E524" t="s">
        <v>8</v>
      </c>
      <c r="F524" t="s">
        <v>9</v>
      </c>
      <c r="G524" t="s">
        <v>757</v>
      </c>
      <c r="H524" s="7">
        <v>725</v>
      </c>
    </row>
    <row r="525" spans="1:8" x14ac:dyDescent="0.3">
      <c r="A525">
        <v>2574</v>
      </c>
      <c r="B525" t="s">
        <v>5</v>
      </c>
      <c r="C525" t="s">
        <v>1121</v>
      </c>
      <c r="D525" t="s">
        <v>122</v>
      </c>
      <c r="E525" t="s">
        <v>8</v>
      </c>
      <c r="F525" t="s">
        <v>9</v>
      </c>
      <c r="G525" t="s">
        <v>3658</v>
      </c>
      <c r="H525" s="7">
        <v>725</v>
      </c>
    </row>
    <row r="526" spans="1:8" x14ac:dyDescent="0.3">
      <c r="A526">
        <v>2575</v>
      </c>
      <c r="B526" t="s">
        <v>2627</v>
      </c>
      <c r="C526" t="s">
        <v>93</v>
      </c>
      <c r="D526" t="s">
        <v>725</v>
      </c>
      <c r="E526" t="s">
        <v>8</v>
      </c>
      <c r="F526" t="s">
        <v>21</v>
      </c>
      <c r="G526" t="s">
        <v>2868</v>
      </c>
      <c r="H526" s="7">
        <v>91767</v>
      </c>
    </row>
    <row r="527" spans="1:8" x14ac:dyDescent="0.3">
      <c r="A527">
        <v>2582</v>
      </c>
      <c r="B527" t="s">
        <v>5</v>
      </c>
      <c r="C527" t="s">
        <v>1191</v>
      </c>
      <c r="D527" t="s">
        <v>1300</v>
      </c>
      <c r="E527" t="s">
        <v>95</v>
      </c>
      <c r="F527" t="s">
        <v>9</v>
      </c>
      <c r="G527" t="s">
        <v>4485</v>
      </c>
      <c r="H527" s="7">
        <v>725</v>
      </c>
    </row>
    <row r="528" spans="1:8" x14ac:dyDescent="0.3">
      <c r="A528">
        <v>2590</v>
      </c>
      <c r="B528" t="s">
        <v>5</v>
      </c>
      <c r="C528" t="s">
        <v>93</v>
      </c>
      <c r="D528" t="s">
        <v>1633</v>
      </c>
      <c r="E528" t="s">
        <v>8</v>
      </c>
      <c r="F528" t="s">
        <v>9</v>
      </c>
      <c r="G528" t="s">
        <v>2487</v>
      </c>
      <c r="H528" s="7">
        <v>725</v>
      </c>
    </row>
    <row r="529" spans="1:8" x14ac:dyDescent="0.3">
      <c r="A529">
        <v>2604</v>
      </c>
      <c r="B529" t="s">
        <v>5</v>
      </c>
      <c r="C529" t="s">
        <v>2917</v>
      </c>
      <c r="D529" t="s">
        <v>1490</v>
      </c>
      <c r="E529" t="s">
        <v>95</v>
      </c>
      <c r="F529" t="s">
        <v>9</v>
      </c>
      <c r="G529" t="s">
        <v>3335</v>
      </c>
      <c r="H529" s="7">
        <v>725</v>
      </c>
    </row>
    <row r="530" spans="1:8" x14ac:dyDescent="0.3">
      <c r="A530">
        <v>2607</v>
      </c>
      <c r="B530" t="s">
        <v>5</v>
      </c>
      <c r="C530" t="s">
        <v>93</v>
      </c>
      <c r="D530" t="s">
        <v>107</v>
      </c>
      <c r="E530" t="s">
        <v>8</v>
      </c>
      <c r="F530" t="s">
        <v>9</v>
      </c>
      <c r="G530" t="s">
        <v>3193</v>
      </c>
      <c r="H530" s="7">
        <v>725</v>
      </c>
    </row>
    <row r="531" spans="1:8" x14ac:dyDescent="0.3">
      <c r="A531">
        <v>2612</v>
      </c>
      <c r="B531" t="s">
        <v>5</v>
      </c>
      <c r="C531" t="s">
        <v>499</v>
      </c>
      <c r="D531" t="s">
        <v>107</v>
      </c>
      <c r="E531" t="s">
        <v>27</v>
      </c>
      <c r="F531" t="s">
        <v>9</v>
      </c>
      <c r="G531" t="s">
        <v>2712</v>
      </c>
      <c r="H531" s="7">
        <v>725</v>
      </c>
    </row>
    <row r="532" spans="1:8" x14ac:dyDescent="0.3">
      <c r="A532">
        <v>2617</v>
      </c>
      <c r="B532" t="s">
        <v>2870</v>
      </c>
      <c r="C532" t="s">
        <v>93</v>
      </c>
      <c r="D532" t="s">
        <v>107</v>
      </c>
      <c r="E532" t="s">
        <v>8</v>
      </c>
      <c r="F532" t="s">
        <v>21</v>
      </c>
      <c r="G532" t="s">
        <v>4695</v>
      </c>
      <c r="H532" s="7">
        <v>92704</v>
      </c>
    </row>
    <row r="533" spans="1:8" x14ac:dyDescent="0.3">
      <c r="A533">
        <v>2618</v>
      </c>
      <c r="B533" t="s">
        <v>277</v>
      </c>
      <c r="C533" t="s">
        <v>948</v>
      </c>
      <c r="D533" t="s">
        <v>413</v>
      </c>
      <c r="E533" t="s">
        <v>8</v>
      </c>
      <c r="F533" t="s">
        <v>21</v>
      </c>
      <c r="G533" t="s">
        <v>4583</v>
      </c>
      <c r="H533" s="7">
        <v>95035</v>
      </c>
    </row>
    <row r="534" spans="1:8" x14ac:dyDescent="0.3">
      <c r="A534">
        <v>2620</v>
      </c>
      <c r="B534" t="s">
        <v>5</v>
      </c>
      <c r="C534" t="s">
        <v>93</v>
      </c>
      <c r="D534" t="s">
        <v>107</v>
      </c>
      <c r="E534" t="s">
        <v>8</v>
      </c>
      <c r="F534" t="s">
        <v>9</v>
      </c>
      <c r="G534" t="s">
        <v>3138</v>
      </c>
      <c r="H534" s="7">
        <v>725</v>
      </c>
    </row>
    <row r="535" spans="1:8" x14ac:dyDescent="0.3">
      <c r="A535">
        <v>2622</v>
      </c>
      <c r="B535" t="s">
        <v>3150</v>
      </c>
      <c r="C535" t="s">
        <v>1824</v>
      </c>
      <c r="D535" t="s">
        <v>3773</v>
      </c>
      <c r="E535" t="s">
        <v>27</v>
      </c>
      <c r="F535" t="s">
        <v>341</v>
      </c>
      <c r="G535" t="s">
        <v>4938</v>
      </c>
      <c r="H535" s="7">
        <v>28314</v>
      </c>
    </row>
    <row r="536" spans="1:8" x14ac:dyDescent="0.3">
      <c r="A536">
        <v>2623</v>
      </c>
      <c r="B536" t="s">
        <v>5</v>
      </c>
      <c r="C536" t="s">
        <v>1710</v>
      </c>
      <c r="D536" t="s">
        <v>107</v>
      </c>
      <c r="E536" t="s">
        <v>27</v>
      </c>
      <c r="F536" t="s">
        <v>9</v>
      </c>
      <c r="G536" t="s">
        <v>342</v>
      </c>
      <c r="H536" s="7">
        <v>725</v>
      </c>
    </row>
    <row r="537" spans="1:8" x14ac:dyDescent="0.3">
      <c r="A537">
        <v>2626</v>
      </c>
      <c r="B537" t="s">
        <v>2886</v>
      </c>
      <c r="C537" t="s">
        <v>766</v>
      </c>
      <c r="D537" t="s">
        <v>107</v>
      </c>
      <c r="E537" t="s">
        <v>8</v>
      </c>
      <c r="F537" t="s">
        <v>21</v>
      </c>
      <c r="G537" t="s">
        <v>5193</v>
      </c>
      <c r="H537" s="7">
        <v>92056</v>
      </c>
    </row>
    <row r="538" spans="1:8" x14ac:dyDescent="0.3">
      <c r="A538">
        <v>2627</v>
      </c>
      <c r="B538" t="s">
        <v>5</v>
      </c>
      <c r="C538" t="s">
        <v>93</v>
      </c>
      <c r="D538" t="s">
        <v>800</v>
      </c>
      <c r="E538" t="s">
        <v>8</v>
      </c>
      <c r="F538" t="s">
        <v>9</v>
      </c>
      <c r="G538" t="s">
        <v>1424</v>
      </c>
      <c r="H538" s="7">
        <v>725</v>
      </c>
    </row>
    <row r="539" spans="1:8" x14ac:dyDescent="0.3">
      <c r="A539">
        <v>2629</v>
      </c>
      <c r="B539" t="s">
        <v>5</v>
      </c>
      <c r="C539" t="s">
        <v>93</v>
      </c>
      <c r="D539" t="s">
        <v>107</v>
      </c>
      <c r="E539" t="s">
        <v>8</v>
      </c>
      <c r="F539" t="s">
        <v>9</v>
      </c>
      <c r="G539" t="s">
        <v>2466</v>
      </c>
      <c r="H539" s="7">
        <v>725</v>
      </c>
    </row>
    <row r="540" spans="1:8" x14ac:dyDescent="0.3">
      <c r="A540">
        <v>2642</v>
      </c>
      <c r="B540" t="s">
        <v>354</v>
      </c>
      <c r="C540" t="s">
        <v>93</v>
      </c>
      <c r="D540" t="s">
        <v>3134</v>
      </c>
      <c r="E540" t="s">
        <v>8</v>
      </c>
      <c r="F540" t="s">
        <v>88</v>
      </c>
      <c r="G540" t="s">
        <v>3761</v>
      </c>
      <c r="H540" s="7">
        <v>11757</v>
      </c>
    </row>
    <row r="541" spans="1:8" x14ac:dyDescent="0.3">
      <c r="A541">
        <v>2644</v>
      </c>
      <c r="B541" t="s">
        <v>495</v>
      </c>
      <c r="C541" t="s">
        <v>3456</v>
      </c>
      <c r="D541" t="s">
        <v>968</v>
      </c>
      <c r="E541" t="s">
        <v>95</v>
      </c>
      <c r="F541" t="s">
        <v>88</v>
      </c>
      <c r="G541" t="s">
        <v>2168</v>
      </c>
      <c r="H541" s="7">
        <v>11218</v>
      </c>
    </row>
    <row r="542" spans="1:8" x14ac:dyDescent="0.3">
      <c r="A542">
        <v>2645</v>
      </c>
      <c r="B542" t="s">
        <v>5</v>
      </c>
      <c r="C542" t="s">
        <v>1713</v>
      </c>
      <c r="D542" t="s">
        <v>333</v>
      </c>
      <c r="E542" t="s">
        <v>95</v>
      </c>
      <c r="F542" t="s">
        <v>9</v>
      </c>
      <c r="G542" t="s">
        <v>162</v>
      </c>
      <c r="H542" s="7">
        <v>725</v>
      </c>
    </row>
    <row r="543" spans="1:8" x14ac:dyDescent="0.3">
      <c r="A543">
        <v>2648</v>
      </c>
      <c r="B543" t="s">
        <v>5</v>
      </c>
      <c r="C543" t="s">
        <v>93</v>
      </c>
      <c r="D543" t="s">
        <v>4019</v>
      </c>
      <c r="E543" t="s">
        <v>27</v>
      </c>
      <c r="F543" t="s">
        <v>9</v>
      </c>
      <c r="G543" t="s">
        <v>5452</v>
      </c>
      <c r="H543" s="7">
        <v>725</v>
      </c>
    </row>
    <row r="544" spans="1:8" x14ac:dyDescent="0.3">
      <c r="A544">
        <v>2658</v>
      </c>
      <c r="B544" t="s">
        <v>4092</v>
      </c>
      <c r="C544" t="s">
        <v>913</v>
      </c>
      <c r="D544" t="s">
        <v>1277</v>
      </c>
      <c r="E544" t="s">
        <v>8</v>
      </c>
      <c r="F544" t="s">
        <v>114</v>
      </c>
      <c r="G544" t="s">
        <v>5591</v>
      </c>
      <c r="H544" s="7">
        <v>78596</v>
      </c>
    </row>
    <row r="545" spans="1:8" x14ac:dyDescent="0.3">
      <c r="A545">
        <v>2660</v>
      </c>
      <c r="B545" t="s">
        <v>5</v>
      </c>
      <c r="C545" t="s">
        <v>93</v>
      </c>
      <c r="D545" t="s">
        <v>3736</v>
      </c>
      <c r="E545" t="s">
        <v>8</v>
      </c>
      <c r="F545" t="s">
        <v>9</v>
      </c>
      <c r="G545" t="s">
        <v>3208</v>
      </c>
      <c r="H545" s="7">
        <v>725</v>
      </c>
    </row>
    <row r="546" spans="1:8" x14ac:dyDescent="0.3">
      <c r="A546">
        <v>2670</v>
      </c>
      <c r="B546" t="s">
        <v>5</v>
      </c>
      <c r="C546" t="s">
        <v>93</v>
      </c>
      <c r="D546" t="s">
        <v>107</v>
      </c>
      <c r="E546" t="s">
        <v>8</v>
      </c>
      <c r="F546" t="s">
        <v>9</v>
      </c>
      <c r="G546" t="s">
        <v>3145</v>
      </c>
      <c r="H546" s="7">
        <v>725</v>
      </c>
    </row>
    <row r="547" spans="1:8" x14ac:dyDescent="0.3">
      <c r="A547">
        <v>2672</v>
      </c>
      <c r="B547" t="s">
        <v>5</v>
      </c>
      <c r="C547" t="s">
        <v>2047</v>
      </c>
      <c r="D547" t="s">
        <v>1582</v>
      </c>
      <c r="E547" t="s">
        <v>8</v>
      </c>
      <c r="F547" t="s">
        <v>9</v>
      </c>
      <c r="G547" t="s">
        <v>5675</v>
      </c>
      <c r="H547" s="7">
        <v>725</v>
      </c>
    </row>
    <row r="548" spans="1:8" x14ac:dyDescent="0.3">
      <c r="A548">
        <v>2676</v>
      </c>
      <c r="B548" t="s">
        <v>2795</v>
      </c>
      <c r="C548" t="s">
        <v>2441</v>
      </c>
      <c r="D548" t="s">
        <v>107</v>
      </c>
      <c r="E548" t="s">
        <v>27</v>
      </c>
      <c r="F548" t="s">
        <v>77</v>
      </c>
      <c r="G548" t="s">
        <v>2796</v>
      </c>
      <c r="H548" s="7">
        <v>19020</v>
      </c>
    </row>
    <row r="549" spans="1:8" x14ac:dyDescent="0.3">
      <c r="A549">
        <v>2684</v>
      </c>
      <c r="B549" t="s">
        <v>710</v>
      </c>
      <c r="C549" t="s">
        <v>93</v>
      </c>
      <c r="D549" t="s">
        <v>1987</v>
      </c>
      <c r="E549" t="s">
        <v>8</v>
      </c>
      <c r="F549" t="s">
        <v>448</v>
      </c>
      <c r="G549" t="s">
        <v>5428</v>
      </c>
      <c r="H549" s="7">
        <v>33313</v>
      </c>
    </row>
    <row r="550" spans="1:8" x14ac:dyDescent="0.3">
      <c r="A550">
        <v>2688</v>
      </c>
      <c r="B550" t="s">
        <v>1553</v>
      </c>
      <c r="C550" t="s">
        <v>93</v>
      </c>
      <c r="D550" t="s">
        <v>816</v>
      </c>
      <c r="E550" t="s">
        <v>8</v>
      </c>
      <c r="F550" t="s">
        <v>114</v>
      </c>
      <c r="G550" t="s">
        <v>3511</v>
      </c>
      <c r="H550" s="7">
        <v>75060</v>
      </c>
    </row>
    <row r="551" spans="1:8" x14ac:dyDescent="0.3">
      <c r="A551">
        <v>2689</v>
      </c>
      <c r="B551" t="s">
        <v>5</v>
      </c>
      <c r="C551" t="s">
        <v>700</v>
      </c>
      <c r="D551" t="s">
        <v>107</v>
      </c>
      <c r="E551" t="s">
        <v>8</v>
      </c>
      <c r="F551" t="s">
        <v>9</v>
      </c>
      <c r="G551" t="s">
        <v>2637</v>
      </c>
      <c r="H551" s="7">
        <v>725</v>
      </c>
    </row>
    <row r="552" spans="1:8" x14ac:dyDescent="0.3">
      <c r="A552">
        <v>2698</v>
      </c>
      <c r="B552" t="s">
        <v>2627</v>
      </c>
      <c r="C552" t="s">
        <v>93</v>
      </c>
      <c r="D552" t="s">
        <v>2278</v>
      </c>
      <c r="E552" t="s">
        <v>8</v>
      </c>
      <c r="F552" t="s">
        <v>21</v>
      </c>
      <c r="G552" t="s">
        <v>4120</v>
      </c>
      <c r="H552" s="7">
        <v>91766</v>
      </c>
    </row>
    <row r="553" spans="1:8" x14ac:dyDescent="0.3">
      <c r="A553">
        <v>2703</v>
      </c>
      <c r="B553" t="s">
        <v>5</v>
      </c>
      <c r="C553" t="s">
        <v>1068</v>
      </c>
      <c r="D553" t="s">
        <v>107</v>
      </c>
      <c r="E553" t="s">
        <v>27</v>
      </c>
      <c r="F553" t="s">
        <v>9</v>
      </c>
      <c r="G553" t="s">
        <v>3139</v>
      </c>
      <c r="H553" s="7">
        <v>725</v>
      </c>
    </row>
    <row r="554" spans="1:8" x14ac:dyDescent="0.3">
      <c r="A554">
        <v>2711</v>
      </c>
      <c r="B554" t="s">
        <v>142</v>
      </c>
      <c r="C554" t="s">
        <v>671</v>
      </c>
      <c r="D554" t="s">
        <v>1192</v>
      </c>
      <c r="E554" t="s">
        <v>8</v>
      </c>
      <c r="F554" t="s">
        <v>88</v>
      </c>
      <c r="G554" t="s">
        <v>3494</v>
      </c>
      <c r="H554" s="7">
        <v>10460</v>
      </c>
    </row>
    <row r="555" spans="1:8" x14ac:dyDescent="0.3">
      <c r="A555">
        <v>2713</v>
      </c>
      <c r="B555" t="s">
        <v>5</v>
      </c>
      <c r="C555" t="s">
        <v>1231</v>
      </c>
      <c r="D555" t="s">
        <v>2690</v>
      </c>
      <c r="E555" t="s">
        <v>8</v>
      </c>
      <c r="F555" t="s">
        <v>9</v>
      </c>
      <c r="G555" t="s">
        <v>3271</v>
      </c>
      <c r="H555" s="7">
        <v>725</v>
      </c>
    </row>
    <row r="556" spans="1:8" x14ac:dyDescent="0.3">
      <c r="A556">
        <v>2716</v>
      </c>
      <c r="B556" t="s">
        <v>277</v>
      </c>
      <c r="C556" t="s">
        <v>1188</v>
      </c>
      <c r="D556" t="s">
        <v>1740</v>
      </c>
      <c r="E556" t="s">
        <v>8</v>
      </c>
      <c r="F556" t="s">
        <v>21</v>
      </c>
      <c r="G556" t="s">
        <v>280</v>
      </c>
      <c r="H556" s="7">
        <v>95035</v>
      </c>
    </row>
    <row r="557" spans="1:8" x14ac:dyDescent="0.3">
      <c r="A557">
        <v>2720</v>
      </c>
      <c r="B557" t="s">
        <v>1652</v>
      </c>
      <c r="C557" t="s">
        <v>223</v>
      </c>
      <c r="D557" t="s">
        <v>2765</v>
      </c>
      <c r="E557" t="s">
        <v>8</v>
      </c>
      <c r="F557" t="s">
        <v>381</v>
      </c>
      <c r="G557" t="s">
        <v>2910</v>
      </c>
      <c r="H557" s="7">
        <v>48197</v>
      </c>
    </row>
    <row r="558" spans="1:8" x14ac:dyDescent="0.3">
      <c r="A558">
        <v>2726</v>
      </c>
      <c r="B558" t="s">
        <v>4465</v>
      </c>
      <c r="C558" t="s">
        <v>2693</v>
      </c>
      <c r="D558" t="s">
        <v>1037</v>
      </c>
      <c r="E558" t="s">
        <v>8</v>
      </c>
      <c r="F558" t="s">
        <v>242</v>
      </c>
      <c r="G558" t="s">
        <v>5501</v>
      </c>
      <c r="H558" s="7">
        <v>21401</v>
      </c>
    </row>
    <row r="559" spans="1:8" x14ac:dyDescent="0.3">
      <c r="A559">
        <v>2727</v>
      </c>
      <c r="B559" t="s">
        <v>5</v>
      </c>
      <c r="C559" t="s">
        <v>366</v>
      </c>
      <c r="D559" t="s">
        <v>107</v>
      </c>
      <c r="E559" t="s">
        <v>8</v>
      </c>
      <c r="F559" t="s">
        <v>9</v>
      </c>
      <c r="G559" t="s">
        <v>1745</v>
      </c>
      <c r="H559" s="7">
        <v>725</v>
      </c>
    </row>
    <row r="560" spans="1:8" x14ac:dyDescent="0.3">
      <c r="A560">
        <v>2735</v>
      </c>
      <c r="B560" t="s">
        <v>5</v>
      </c>
      <c r="C560" t="s">
        <v>93</v>
      </c>
      <c r="D560" t="s">
        <v>796</v>
      </c>
      <c r="E560" t="s">
        <v>27</v>
      </c>
      <c r="F560" t="s">
        <v>9</v>
      </c>
      <c r="G560" t="s">
        <v>2599</v>
      </c>
      <c r="H560" s="7">
        <v>725</v>
      </c>
    </row>
    <row r="561" spans="1:8" x14ac:dyDescent="0.3">
      <c r="A561">
        <v>2738</v>
      </c>
      <c r="B561" t="s">
        <v>769</v>
      </c>
      <c r="C561" t="s">
        <v>477</v>
      </c>
      <c r="D561" t="s">
        <v>811</v>
      </c>
      <c r="E561" t="s">
        <v>8</v>
      </c>
      <c r="F561" t="s">
        <v>190</v>
      </c>
      <c r="G561" t="s">
        <v>3956</v>
      </c>
      <c r="H561" s="7">
        <v>85008</v>
      </c>
    </row>
    <row r="562" spans="1:8" x14ac:dyDescent="0.3">
      <c r="A562">
        <v>2744</v>
      </c>
      <c r="B562" t="s">
        <v>1888</v>
      </c>
      <c r="C562" t="s">
        <v>2713</v>
      </c>
      <c r="D562" t="s">
        <v>3393</v>
      </c>
      <c r="E562" t="s">
        <v>95</v>
      </c>
      <c r="F562" t="s">
        <v>55</v>
      </c>
      <c r="G562" t="s">
        <v>1908</v>
      </c>
      <c r="H562" s="7">
        <v>60102</v>
      </c>
    </row>
    <row r="563" spans="1:8" x14ac:dyDescent="0.3">
      <c r="A563">
        <v>2745</v>
      </c>
      <c r="B563" t="s">
        <v>5</v>
      </c>
      <c r="C563" t="s">
        <v>93</v>
      </c>
      <c r="D563" t="s">
        <v>5113</v>
      </c>
      <c r="E563" t="s">
        <v>95</v>
      </c>
      <c r="F563" t="s">
        <v>9</v>
      </c>
      <c r="G563" t="s">
        <v>1451</v>
      </c>
      <c r="H563" s="7">
        <v>725</v>
      </c>
    </row>
    <row r="564" spans="1:8" x14ac:dyDescent="0.3">
      <c r="A564">
        <v>2746</v>
      </c>
      <c r="B564" t="s">
        <v>1950</v>
      </c>
      <c r="C564" t="s">
        <v>520</v>
      </c>
      <c r="D564" t="s">
        <v>107</v>
      </c>
      <c r="E564" t="s">
        <v>95</v>
      </c>
      <c r="F564" t="s">
        <v>381</v>
      </c>
      <c r="G564" t="s">
        <v>2508</v>
      </c>
      <c r="H564" s="7">
        <v>48126</v>
      </c>
    </row>
    <row r="565" spans="1:8" x14ac:dyDescent="0.3">
      <c r="A565">
        <v>2753</v>
      </c>
      <c r="B565" t="s">
        <v>5</v>
      </c>
      <c r="C565" t="s">
        <v>895</v>
      </c>
      <c r="D565" t="s">
        <v>107</v>
      </c>
      <c r="E565" t="s">
        <v>95</v>
      </c>
      <c r="F565" t="s">
        <v>9</v>
      </c>
      <c r="G565" t="s">
        <v>896</v>
      </c>
      <c r="H565" s="7">
        <v>725</v>
      </c>
    </row>
    <row r="566" spans="1:8" x14ac:dyDescent="0.3">
      <c r="A566">
        <v>2769</v>
      </c>
      <c r="B566" t="s">
        <v>131</v>
      </c>
      <c r="C566" t="s">
        <v>93</v>
      </c>
      <c r="D566" t="s">
        <v>1540</v>
      </c>
      <c r="E566" t="s">
        <v>27</v>
      </c>
      <c r="F566" t="s">
        <v>134</v>
      </c>
      <c r="G566" t="s">
        <v>3692</v>
      </c>
      <c r="H566" s="7">
        <v>96817</v>
      </c>
    </row>
    <row r="567" spans="1:8" x14ac:dyDescent="0.3">
      <c r="A567">
        <v>2770</v>
      </c>
      <c r="B567" t="s">
        <v>3057</v>
      </c>
      <c r="C567" t="s">
        <v>868</v>
      </c>
      <c r="D567" t="s">
        <v>4279</v>
      </c>
      <c r="E567" t="s">
        <v>27</v>
      </c>
      <c r="F567" t="s">
        <v>21</v>
      </c>
      <c r="G567" t="s">
        <v>3728</v>
      </c>
      <c r="H567" s="7">
        <v>94539</v>
      </c>
    </row>
    <row r="568" spans="1:8" x14ac:dyDescent="0.3">
      <c r="A568">
        <v>2774</v>
      </c>
      <c r="B568" t="s">
        <v>163</v>
      </c>
      <c r="C568" t="s">
        <v>2697</v>
      </c>
      <c r="D568" t="s">
        <v>107</v>
      </c>
      <c r="E568" t="s">
        <v>8</v>
      </c>
      <c r="F568" t="s">
        <v>55</v>
      </c>
      <c r="G568" t="s">
        <v>3030</v>
      </c>
      <c r="H568" s="7">
        <v>60441</v>
      </c>
    </row>
    <row r="569" spans="1:8" x14ac:dyDescent="0.3">
      <c r="A569">
        <v>2775</v>
      </c>
      <c r="B569" t="s">
        <v>5</v>
      </c>
      <c r="C569" t="s">
        <v>93</v>
      </c>
      <c r="D569" t="s">
        <v>1555</v>
      </c>
      <c r="E569" t="s">
        <v>8</v>
      </c>
      <c r="F569" t="s">
        <v>9</v>
      </c>
      <c r="G569" t="s">
        <v>2434</v>
      </c>
      <c r="H569" s="7">
        <v>725</v>
      </c>
    </row>
    <row r="570" spans="1:8" x14ac:dyDescent="0.3">
      <c r="A570">
        <v>2776</v>
      </c>
      <c r="B570" t="s">
        <v>862</v>
      </c>
      <c r="C570" t="s">
        <v>251</v>
      </c>
      <c r="D570" t="s">
        <v>1629</v>
      </c>
      <c r="E570" t="s">
        <v>27</v>
      </c>
      <c r="F570" t="s">
        <v>478</v>
      </c>
      <c r="G570" t="s">
        <v>2204</v>
      </c>
      <c r="H570" s="7">
        <v>89103</v>
      </c>
    </row>
    <row r="571" spans="1:8" x14ac:dyDescent="0.3">
      <c r="A571">
        <v>2777</v>
      </c>
      <c r="B571" t="s">
        <v>5</v>
      </c>
      <c r="C571" t="s">
        <v>616</v>
      </c>
      <c r="D571" t="s">
        <v>107</v>
      </c>
      <c r="E571" t="s">
        <v>8</v>
      </c>
      <c r="F571" t="s">
        <v>9</v>
      </c>
      <c r="G571" t="s">
        <v>2073</v>
      </c>
      <c r="H571" s="7">
        <v>725</v>
      </c>
    </row>
    <row r="572" spans="1:8" x14ac:dyDescent="0.3">
      <c r="A572">
        <v>2780</v>
      </c>
      <c r="B572" t="s">
        <v>635</v>
      </c>
      <c r="C572" t="s">
        <v>93</v>
      </c>
      <c r="D572" t="s">
        <v>107</v>
      </c>
      <c r="E572" t="s">
        <v>27</v>
      </c>
      <c r="F572" t="s">
        <v>448</v>
      </c>
      <c r="G572" t="s">
        <v>636</v>
      </c>
      <c r="H572" s="7">
        <v>32308</v>
      </c>
    </row>
    <row r="573" spans="1:8" x14ac:dyDescent="0.3">
      <c r="A573">
        <v>2781</v>
      </c>
      <c r="B573" t="s">
        <v>5</v>
      </c>
      <c r="C573" t="s">
        <v>2260</v>
      </c>
      <c r="D573" t="s">
        <v>2183</v>
      </c>
      <c r="E573" t="s">
        <v>27</v>
      </c>
      <c r="F573" t="s">
        <v>9</v>
      </c>
      <c r="G573" t="s">
        <v>5421</v>
      </c>
      <c r="H573" s="7">
        <v>725</v>
      </c>
    </row>
    <row r="574" spans="1:8" x14ac:dyDescent="0.3">
      <c r="A574">
        <v>2783</v>
      </c>
      <c r="B574" t="s">
        <v>2874</v>
      </c>
      <c r="C574" t="s">
        <v>93</v>
      </c>
      <c r="D574" t="s">
        <v>3524</v>
      </c>
      <c r="E574" t="s">
        <v>95</v>
      </c>
      <c r="F574" t="s">
        <v>248</v>
      </c>
      <c r="G574" t="s">
        <v>3083</v>
      </c>
      <c r="H574" s="7">
        <v>45044</v>
      </c>
    </row>
    <row r="575" spans="1:8" x14ac:dyDescent="0.3">
      <c r="A575">
        <v>2786</v>
      </c>
      <c r="B575" t="s">
        <v>254</v>
      </c>
      <c r="C575" t="s">
        <v>1399</v>
      </c>
      <c r="D575" t="s">
        <v>1470</v>
      </c>
      <c r="E575" t="s">
        <v>8</v>
      </c>
      <c r="F575" t="s">
        <v>55</v>
      </c>
      <c r="G575" t="s">
        <v>2152</v>
      </c>
      <c r="H575" s="7">
        <v>60622</v>
      </c>
    </row>
    <row r="576" spans="1:8" x14ac:dyDescent="0.3">
      <c r="A576">
        <v>2790</v>
      </c>
      <c r="B576" t="s">
        <v>2870</v>
      </c>
      <c r="C576" t="s">
        <v>93</v>
      </c>
      <c r="D576" t="s">
        <v>1573</v>
      </c>
      <c r="E576" t="s">
        <v>8</v>
      </c>
      <c r="F576" t="s">
        <v>21</v>
      </c>
      <c r="G576" t="s">
        <v>4314</v>
      </c>
      <c r="H576" s="7">
        <v>92705</v>
      </c>
    </row>
    <row r="577" spans="1:8" x14ac:dyDescent="0.3">
      <c r="A577">
        <v>2792</v>
      </c>
      <c r="B577" t="s">
        <v>3936</v>
      </c>
      <c r="C577" t="s">
        <v>762</v>
      </c>
      <c r="D577" t="s">
        <v>1141</v>
      </c>
      <c r="E577" t="s">
        <v>8</v>
      </c>
      <c r="F577" t="s">
        <v>36</v>
      </c>
      <c r="G577" t="s">
        <v>3951</v>
      </c>
      <c r="H577" s="7">
        <v>2360</v>
      </c>
    </row>
    <row r="578" spans="1:8" x14ac:dyDescent="0.3">
      <c r="A578">
        <v>2796</v>
      </c>
      <c r="B578" t="s">
        <v>5</v>
      </c>
      <c r="C578" t="s">
        <v>93</v>
      </c>
      <c r="D578" t="s">
        <v>375</v>
      </c>
      <c r="E578" t="s">
        <v>8</v>
      </c>
      <c r="F578" t="s">
        <v>9</v>
      </c>
      <c r="G578" t="s">
        <v>4321</v>
      </c>
      <c r="H578" s="7">
        <v>725</v>
      </c>
    </row>
    <row r="579" spans="1:8" x14ac:dyDescent="0.3">
      <c r="A579">
        <v>2797</v>
      </c>
      <c r="B579" t="s">
        <v>2352</v>
      </c>
      <c r="C579" t="s">
        <v>1191</v>
      </c>
      <c r="D579" t="s">
        <v>107</v>
      </c>
      <c r="E579" t="s">
        <v>8</v>
      </c>
      <c r="F579" t="s">
        <v>729</v>
      </c>
      <c r="G579" t="s">
        <v>1929</v>
      </c>
      <c r="H579" s="7">
        <v>80219</v>
      </c>
    </row>
    <row r="580" spans="1:8" x14ac:dyDescent="0.3">
      <c r="A580">
        <v>2798</v>
      </c>
      <c r="B580" t="s">
        <v>769</v>
      </c>
      <c r="C580" t="s">
        <v>738</v>
      </c>
      <c r="D580" t="s">
        <v>770</v>
      </c>
      <c r="E580" t="s">
        <v>27</v>
      </c>
      <c r="F580" t="s">
        <v>190</v>
      </c>
      <c r="G580" t="s">
        <v>771</v>
      </c>
      <c r="H580" s="7">
        <v>85022</v>
      </c>
    </row>
    <row r="581" spans="1:8" x14ac:dyDescent="0.3">
      <c r="A581">
        <v>2802</v>
      </c>
      <c r="B581" t="s">
        <v>2170</v>
      </c>
      <c r="C581" t="s">
        <v>724</v>
      </c>
      <c r="D581" t="s">
        <v>107</v>
      </c>
      <c r="E581" t="s">
        <v>95</v>
      </c>
      <c r="F581" t="s">
        <v>248</v>
      </c>
      <c r="G581" t="s">
        <v>5602</v>
      </c>
      <c r="H581" s="7">
        <v>44109</v>
      </c>
    </row>
    <row r="582" spans="1:8" x14ac:dyDescent="0.3">
      <c r="A582">
        <v>2804</v>
      </c>
      <c r="B582" t="s">
        <v>5</v>
      </c>
      <c r="C582" t="s">
        <v>700</v>
      </c>
      <c r="D582" t="s">
        <v>2852</v>
      </c>
      <c r="E582" t="s">
        <v>8</v>
      </c>
      <c r="F582" t="s">
        <v>9</v>
      </c>
      <c r="G582" t="s">
        <v>5245</v>
      </c>
      <c r="H582" s="7">
        <v>725</v>
      </c>
    </row>
    <row r="583" spans="1:8" x14ac:dyDescent="0.3">
      <c r="A583">
        <v>2806</v>
      </c>
      <c r="B583" t="s">
        <v>5</v>
      </c>
      <c r="C583" t="s">
        <v>93</v>
      </c>
      <c r="D583" t="s">
        <v>1264</v>
      </c>
      <c r="E583" t="s">
        <v>8</v>
      </c>
      <c r="F583" t="s">
        <v>9</v>
      </c>
      <c r="G583" t="s">
        <v>4803</v>
      </c>
      <c r="H583" s="7">
        <v>725</v>
      </c>
    </row>
    <row r="584" spans="1:8" x14ac:dyDescent="0.3">
      <c r="A584">
        <v>2809</v>
      </c>
      <c r="B584" t="s">
        <v>997</v>
      </c>
      <c r="C584" t="s">
        <v>436</v>
      </c>
      <c r="D584" t="s">
        <v>1736</v>
      </c>
      <c r="E584" t="s">
        <v>95</v>
      </c>
      <c r="F584" t="s">
        <v>2654</v>
      </c>
      <c r="G584" t="s">
        <v>3189</v>
      </c>
      <c r="H584" s="7">
        <v>19702</v>
      </c>
    </row>
    <row r="585" spans="1:8" x14ac:dyDescent="0.3">
      <c r="A585">
        <v>2811</v>
      </c>
      <c r="B585" t="s">
        <v>3506</v>
      </c>
      <c r="C585" t="s">
        <v>597</v>
      </c>
      <c r="D585" t="s">
        <v>107</v>
      </c>
      <c r="E585" t="s">
        <v>8</v>
      </c>
      <c r="F585" t="s">
        <v>55</v>
      </c>
      <c r="G585" t="s">
        <v>3507</v>
      </c>
      <c r="H585" s="7">
        <v>60477</v>
      </c>
    </row>
    <row r="586" spans="1:8" x14ac:dyDescent="0.3">
      <c r="A586">
        <v>2814</v>
      </c>
      <c r="B586" t="s">
        <v>254</v>
      </c>
      <c r="C586" t="s">
        <v>790</v>
      </c>
      <c r="D586" t="s">
        <v>2700</v>
      </c>
      <c r="E586" t="s">
        <v>8</v>
      </c>
      <c r="F586" t="s">
        <v>55</v>
      </c>
      <c r="G586" t="s">
        <v>3487</v>
      </c>
      <c r="H586" s="7">
        <v>60614</v>
      </c>
    </row>
    <row r="587" spans="1:8" x14ac:dyDescent="0.3">
      <c r="A587">
        <v>2816</v>
      </c>
      <c r="B587" t="s">
        <v>5</v>
      </c>
      <c r="C587" t="s">
        <v>93</v>
      </c>
      <c r="D587" t="s">
        <v>2846</v>
      </c>
      <c r="E587" t="s">
        <v>8</v>
      </c>
      <c r="F587" t="s">
        <v>9</v>
      </c>
      <c r="G587" t="s">
        <v>5288</v>
      </c>
      <c r="H587" s="7">
        <v>725</v>
      </c>
    </row>
    <row r="588" spans="1:8" x14ac:dyDescent="0.3">
      <c r="A588">
        <v>2835</v>
      </c>
      <c r="B588" t="s">
        <v>5</v>
      </c>
      <c r="C588" t="s">
        <v>1510</v>
      </c>
      <c r="D588" t="s">
        <v>3134</v>
      </c>
      <c r="E588" t="s">
        <v>27</v>
      </c>
      <c r="F588" t="s">
        <v>9</v>
      </c>
      <c r="G588" t="s">
        <v>3135</v>
      </c>
      <c r="H588" s="7">
        <v>725</v>
      </c>
    </row>
    <row r="589" spans="1:8" x14ac:dyDescent="0.3">
      <c r="A589">
        <v>2836</v>
      </c>
      <c r="B589" t="s">
        <v>1586</v>
      </c>
      <c r="C589" t="s">
        <v>93</v>
      </c>
      <c r="D589" t="s">
        <v>107</v>
      </c>
      <c r="E589" t="s">
        <v>27</v>
      </c>
      <c r="F589" t="s">
        <v>341</v>
      </c>
      <c r="G589" t="s">
        <v>1588</v>
      </c>
      <c r="H589" s="7">
        <v>27514</v>
      </c>
    </row>
    <row r="590" spans="1:8" x14ac:dyDescent="0.3">
      <c r="A590">
        <v>2845</v>
      </c>
      <c r="B590" t="s">
        <v>723</v>
      </c>
      <c r="C590" t="s">
        <v>1333</v>
      </c>
      <c r="D590" t="s">
        <v>739</v>
      </c>
      <c r="E590" t="s">
        <v>8</v>
      </c>
      <c r="F590" t="s">
        <v>729</v>
      </c>
      <c r="G590" t="s">
        <v>2843</v>
      </c>
      <c r="H590" s="7">
        <v>80012</v>
      </c>
    </row>
    <row r="591" spans="1:8" x14ac:dyDescent="0.3">
      <c r="A591">
        <v>2848</v>
      </c>
      <c r="B591" t="s">
        <v>5</v>
      </c>
      <c r="C591" t="s">
        <v>93</v>
      </c>
      <c r="D591" t="s">
        <v>107</v>
      </c>
      <c r="E591" t="s">
        <v>95</v>
      </c>
      <c r="F591" t="s">
        <v>9</v>
      </c>
      <c r="G591" t="s">
        <v>3440</v>
      </c>
      <c r="H591" s="7">
        <v>725</v>
      </c>
    </row>
    <row r="592" spans="1:8" x14ac:dyDescent="0.3">
      <c r="A592">
        <v>2849</v>
      </c>
      <c r="B592" t="s">
        <v>699</v>
      </c>
      <c r="C592" t="s">
        <v>411</v>
      </c>
      <c r="D592" t="s">
        <v>2890</v>
      </c>
      <c r="E592" t="s">
        <v>95</v>
      </c>
      <c r="F592" t="s">
        <v>114</v>
      </c>
      <c r="G592" t="s">
        <v>4482</v>
      </c>
      <c r="H592" s="7">
        <v>77036</v>
      </c>
    </row>
    <row r="593" spans="1:8" x14ac:dyDescent="0.3">
      <c r="A593">
        <v>2854</v>
      </c>
      <c r="B593" t="s">
        <v>5</v>
      </c>
      <c r="C593" t="s">
        <v>927</v>
      </c>
      <c r="D593" t="s">
        <v>107</v>
      </c>
      <c r="E593" t="s">
        <v>27</v>
      </c>
      <c r="F593" t="s">
        <v>9</v>
      </c>
      <c r="G593" t="s">
        <v>3178</v>
      </c>
      <c r="H593" s="7">
        <v>725</v>
      </c>
    </row>
    <row r="594" spans="1:8" x14ac:dyDescent="0.3">
      <c r="A594">
        <v>2856</v>
      </c>
      <c r="B594" t="s">
        <v>5</v>
      </c>
      <c r="C594" t="s">
        <v>755</v>
      </c>
      <c r="D594" t="s">
        <v>3292</v>
      </c>
      <c r="E594" t="s">
        <v>27</v>
      </c>
      <c r="F594" t="s">
        <v>9</v>
      </c>
      <c r="G594" t="s">
        <v>3607</v>
      </c>
      <c r="H594" s="7">
        <v>725</v>
      </c>
    </row>
    <row r="595" spans="1:8" x14ac:dyDescent="0.3">
      <c r="A595">
        <v>2865</v>
      </c>
      <c r="B595" t="s">
        <v>1246</v>
      </c>
      <c r="C595" t="s">
        <v>1546</v>
      </c>
      <c r="D595" t="s">
        <v>4452</v>
      </c>
      <c r="E595" t="s">
        <v>8</v>
      </c>
      <c r="F595" t="s">
        <v>1249</v>
      </c>
      <c r="G595" t="s">
        <v>3721</v>
      </c>
      <c r="H595" s="7">
        <v>67212</v>
      </c>
    </row>
    <row r="596" spans="1:8" x14ac:dyDescent="0.3">
      <c r="A596">
        <v>2866</v>
      </c>
      <c r="B596" t="s">
        <v>5</v>
      </c>
      <c r="C596" t="s">
        <v>3126</v>
      </c>
      <c r="D596" t="s">
        <v>107</v>
      </c>
      <c r="E596" t="s">
        <v>8</v>
      </c>
      <c r="F596" t="s">
        <v>9</v>
      </c>
      <c r="G596" t="s">
        <v>4143</v>
      </c>
      <c r="H596" s="7">
        <v>725</v>
      </c>
    </row>
    <row r="597" spans="1:8" x14ac:dyDescent="0.3">
      <c r="A597">
        <v>2870</v>
      </c>
      <c r="B597" t="s">
        <v>1139</v>
      </c>
      <c r="C597" t="s">
        <v>555</v>
      </c>
      <c r="D597" t="s">
        <v>107</v>
      </c>
      <c r="E597" t="s">
        <v>8</v>
      </c>
      <c r="F597" t="s">
        <v>114</v>
      </c>
      <c r="G597" t="s">
        <v>5335</v>
      </c>
      <c r="H597" s="7">
        <v>79936</v>
      </c>
    </row>
    <row r="598" spans="1:8" x14ac:dyDescent="0.3">
      <c r="A598">
        <v>2873</v>
      </c>
      <c r="B598" t="s">
        <v>5</v>
      </c>
      <c r="C598" t="s">
        <v>663</v>
      </c>
      <c r="D598" t="s">
        <v>2444</v>
      </c>
      <c r="E598" t="s">
        <v>8</v>
      </c>
      <c r="F598" t="s">
        <v>9</v>
      </c>
      <c r="G598" t="s">
        <v>2445</v>
      </c>
      <c r="H598" s="7">
        <v>725</v>
      </c>
    </row>
    <row r="599" spans="1:8" x14ac:dyDescent="0.3">
      <c r="A599">
        <v>2876</v>
      </c>
      <c r="B599" t="s">
        <v>5</v>
      </c>
      <c r="C599" t="s">
        <v>236</v>
      </c>
      <c r="D599" t="s">
        <v>107</v>
      </c>
      <c r="E599" t="s">
        <v>95</v>
      </c>
      <c r="F599" t="s">
        <v>9</v>
      </c>
      <c r="G599" t="s">
        <v>1458</v>
      </c>
      <c r="H599" s="7">
        <v>725</v>
      </c>
    </row>
    <row r="600" spans="1:8" x14ac:dyDescent="0.3">
      <c r="A600">
        <v>2877</v>
      </c>
      <c r="B600" t="s">
        <v>2744</v>
      </c>
      <c r="C600" t="s">
        <v>93</v>
      </c>
      <c r="D600" t="s">
        <v>3110</v>
      </c>
      <c r="E600" t="s">
        <v>95</v>
      </c>
      <c r="F600" t="s">
        <v>308</v>
      </c>
      <c r="G600" t="s">
        <v>3111</v>
      </c>
      <c r="H600" s="7">
        <v>8753</v>
      </c>
    </row>
    <row r="601" spans="1:8" x14ac:dyDescent="0.3">
      <c r="A601">
        <v>2882</v>
      </c>
      <c r="B601" t="s">
        <v>1859</v>
      </c>
      <c r="C601" t="s">
        <v>93</v>
      </c>
      <c r="D601" t="s">
        <v>1860</v>
      </c>
      <c r="E601" t="s">
        <v>8</v>
      </c>
      <c r="F601" t="s">
        <v>114</v>
      </c>
      <c r="G601" t="s">
        <v>1861</v>
      </c>
      <c r="H601" s="7">
        <v>79109</v>
      </c>
    </row>
    <row r="602" spans="1:8" x14ac:dyDescent="0.3">
      <c r="A602">
        <v>2889</v>
      </c>
      <c r="B602" t="s">
        <v>447</v>
      </c>
      <c r="C602" t="s">
        <v>2953</v>
      </c>
      <c r="D602" t="s">
        <v>107</v>
      </c>
      <c r="E602" t="s">
        <v>27</v>
      </c>
      <c r="F602" t="s">
        <v>448</v>
      </c>
      <c r="G602" t="s">
        <v>4994</v>
      </c>
      <c r="H602" s="7">
        <v>33010</v>
      </c>
    </row>
    <row r="603" spans="1:8" x14ac:dyDescent="0.3">
      <c r="A603">
        <v>2891</v>
      </c>
      <c r="B603" t="s">
        <v>2210</v>
      </c>
      <c r="C603" t="s">
        <v>1294</v>
      </c>
      <c r="D603" t="s">
        <v>4117</v>
      </c>
      <c r="E603" t="s">
        <v>27</v>
      </c>
      <c r="F603" t="s">
        <v>21</v>
      </c>
      <c r="G603" t="s">
        <v>2269</v>
      </c>
      <c r="H603" s="7">
        <v>92630</v>
      </c>
    </row>
    <row r="604" spans="1:8" x14ac:dyDescent="0.3">
      <c r="A604">
        <v>2896</v>
      </c>
      <c r="B604" t="s">
        <v>5</v>
      </c>
      <c r="C604" t="s">
        <v>93</v>
      </c>
      <c r="D604" t="s">
        <v>107</v>
      </c>
      <c r="E604" t="s">
        <v>27</v>
      </c>
      <c r="F604" t="s">
        <v>9</v>
      </c>
      <c r="G604" t="s">
        <v>4560</v>
      </c>
      <c r="H604" s="7">
        <v>725</v>
      </c>
    </row>
    <row r="605" spans="1:8" x14ac:dyDescent="0.3">
      <c r="A605">
        <v>2898</v>
      </c>
      <c r="B605" t="s">
        <v>4289</v>
      </c>
      <c r="C605" t="s">
        <v>1144</v>
      </c>
      <c r="D605" t="s">
        <v>107</v>
      </c>
      <c r="E605" t="s">
        <v>27</v>
      </c>
      <c r="F605" t="s">
        <v>21</v>
      </c>
      <c r="G605" t="s">
        <v>4899</v>
      </c>
      <c r="H605" s="7">
        <v>92392</v>
      </c>
    </row>
    <row r="606" spans="1:8" x14ac:dyDescent="0.3">
      <c r="A606">
        <v>2906</v>
      </c>
      <c r="B606" t="s">
        <v>3826</v>
      </c>
      <c r="C606" t="s">
        <v>93</v>
      </c>
      <c r="D606" t="s">
        <v>107</v>
      </c>
      <c r="E606" t="s">
        <v>27</v>
      </c>
      <c r="F606" t="s">
        <v>21</v>
      </c>
      <c r="G606" t="s">
        <v>3827</v>
      </c>
      <c r="H606" s="7">
        <v>90247</v>
      </c>
    </row>
    <row r="607" spans="1:8" x14ac:dyDescent="0.3">
      <c r="A607">
        <v>2907</v>
      </c>
      <c r="B607" t="s">
        <v>5</v>
      </c>
      <c r="C607" t="s">
        <v>2767</v>
      </c>
      <c r="D607" t="s">
        <v>1940</v>
      </c>
      <c r="E607" t="s">
        <v>8</v>
      </c>
      <c r="F607" t="s">
        <v>9</v>
      </c>
      <c r="G607" t="s">
        <v>1393</v>
      </c>
      <c r="H607" s="7">
        <v>725</v>
      </c>
    </row>
    <row r="608" spans="1:8" x14ac:dyDescent="0.3">
      <c r="A608">
        <v>2911</v>
      </c>
      <c r="B608" t="s">
        <v>5</v>
      </c>
      <c r="C608" t="s">
        <v>93</v>
      </c>
      <c r="D608" t="s">
        <v>107</v>
      </c>
      <c r="E608" t="s">
        <v>27</v>
      </c>
      <c r="F608" t="s">
        <v>9</v>
      </c>
      <c r="G608" t="s">
        <v>4552</v>
      </c>
      <c r="H608" s="7">
        <v>725</v>
      </c>
    </row>
    <row r="609" spans="1:8" x14ac:dyDescent="0.3">
      <c r="A609">
        <v>2914</v>
      </c>
      <c r="B609" t="s">
        <v>5</v>
      </c>
      <c r="C609" t="s">
        <v>93</v>
      </c>
      <c r="D609" t="s">
        <v>107</v>
      </c>
      <c r="E609" t="s">
        <v>95</v>
      </c>
      <c r="F609" t="s">
        <v>9</v>
      </c>
      <c r="G609" t="s">
        <v>2792</v>
      </c>
      <c r="H609" s="7">
        <v>725</v>
      </c>
    </row>
    <row r="610" spans="1:8" x14ac:dyDescent="0.3">
      <c r="A610">
        <v>2917</v>
      </c>
      <c r="B610" t="s">
        <v>18</v>
      </c>
      <c r="C610" t="s">
        <v>889</v>
      </c>
      <c r="D610" t="s">
        <v>107</v>
      </c>
      <c r="E610" t="s">
        <v>8</v>
      </c>
      <c r="F610" t="s">
        <v>21</v>
      </c>
      <c r="G610" t="s">
        <v>3037</v>
      </c>
      <c r="H610" s="7">
        <v>95125</v>
      </c>
    </row>
    <row r="611" spans="1:8" x14ac:dyDescent="0.3">
      <c r="A611">
        <v>2919</v>
      </c>
      <c r="B611" t="s">
        <v>461</v>
      </c>
      <c r="C611" t="s">
        <v>462</v>
      </c>
      <c r="D611" t="s">
        <v>463</v>
      </c>
      <c r="E611" t="s">
        <v>27</v>
      </c>
      <c r="F611" t="s">
        <v>341</v>
      </c>
      <c r="G611" t="s">
        <v>464</v>
      </c>
      <c r="H611" s="7">
        <v>27610</v>
      </c>
    </row>
    <row r="612" spans="1:8" x14ac:dyDescent="0.3">
      <c r="A612">
        <v>2925</v>
      </c>
      <c r="B612" t="s">
        <v>699</v>
      </c>
      <c r="C612" t="s">
        <v>93</v>
      </c>
      <c r="D612" t="s">
        <v>4578</v>
      </c>
      <c r="E612" t="s">
        <v>95</v>
      </c>
      <c r="F612" t="s">
        <v>114</v>
      </c>
      <c r="G612" t="s">
        <v>4414</v>
      </c>
      <c r="H612" s="7">
        <v>77083</v>
      </c>
    </row>
    <row r="613" spans="1:8" x14ac:dyDescent="0.3">
      <c r="A613">
        <v>2929</v>
      </c>
      <c r="B613" t="s">
        <v>5</v>
      </c>
      <c r="C613" t="s">
        <v>93</v>
      </c>
      <c r="D613" t="s">
        <v>107</v>
      </c>
      <c r="E613" t="s">
        <v>8</v>
      </c>
      <c r="F613" t="s">
        <v>9</v>
      </c>
      <c r="G613" t="s">
        <v>5057</v>
      </c>
      <c r="H613" s="7">
        <v>725</v>
      </c>
    </row>
    <row r="614" spans="1:8" x14ac:dyDescent="0.3">
      <c r="A614">
        <v>2930</v>
      </c>
      <c r="B614" t="s">
        <v>3488</v>
      </c>
      <c r="C614" t="s">
        <v>555</v>
      </c>
      <c r="D614" t="s">
        <v>4604</v>
      </c>
      <c r="E614" t="s">
        <v>27</v>
      </c>
      <c r="F614" t="s">
        <v>308</v>
      </c>
      <c r="G614" t="s">
        <v>5330</v>
      </c>
      <c r="H614" s="7">
        <v>8861</v>
      </c>
    </row>
    <row r="615" spans="1:8" x14ac:dyDescent="0.3">
      <c r="A615">
        <v>2935</v>
      </c>
      <c r="B615" t="s">
        <v>1307</v>
      </c>
      <c r="C615" t="s">
        <v>93</v>
      </c>
      <c r="D615" t="s">
        <v>107</v>
      </c>
      <c r="E615" t="s">
        <v>8</v>
      </c>
      <c r="F615" t="s">
        <v>158</v>
      </c>
      <c r="G615" t="s">
        <v>5153</v>
      </c>
      <c r="H615" s="7">
        <v>37922</v>
      </c>
    </row>
    <row r="616" spans="1:8" x14ac:dyDescent="0.3">
      <c r="A616">
        <v>2942</v>
      </c>
      <c r="B616" t="s">
        <v>5</v>
      </c>
      <c r="C616" t="s">
        <v>93</v>
      </c>
      <c r="D616" t="s">
        <v>842</v>
      </c>
      <c r="E616" t="s">
        <v>8</v>
      </c>
      <c r="F616" t="s">
        <v>9</v>
      </c>
      <c r="G616" t="s">
        <v>1377</v>
      </c>
      <c r="H616" s="7">
        <v>725</v>
      </c>
    </row>
    <row r="617" spans="1:8" x14ac:dyDescent="0.3">
      <c r="A617">
        <v>2943</v>
      </c>
      <c r="B617" t="s">
        <v>976</v>
      </c>
      <c r="C617" t="s">
        <v>488</v>
      </c>
      <c r="D617" t="s">
        <v>1825</v>
      </c>
      <c r="E617" t="s">
        <v>8</v>
      </c>
      <c r="F617" t="s">
        <v>153</v>
      </c>
      <c r="G617" t="s">
        <v>2856</v>
      </c>
      <c r="H617" s="7">
        <v>84118</v>
      </c>
    </row>
    <row r="618" spans="1:8" x14ac:dyDescent="0.3">
      <c r="A618">
        <v>2944</v>
      </c>
      <c r="B618" t="s">
        <v>451</v>
      </c>
      <c r="C618" t="s">
        <v>93</v>
      </c>
      <c r="D618" t="s">
        <v>4204</v>
      </c>
      <c r="E618" t="s">
        <v>27</v>
      </c>
      <c r="F618" t="s">
        <v>21</v>
      </c>
      <c r="G618" t="s">
        <v>3494</v>
      </c>
      <c r="H618" s="7">
        <v>93905</v>
      </c>
    </row>
    <row r="619" spans="1:8" x14ac:dyDescent="0.3">
      <c r="A619">
        <v>2947</v>
      </c>
      <c r="B619" t="s">
        <v>1779</v>
      </c>
      <c r="C619" t="s">
        <v>762</v>
      </c>
      <c r="D619" t="s">
        <v>107</v>
      </c>
      <c r="E619" t="s">
        <v>8</v>
      </c>
      <c r="F619" t="s">
        <v>21</v>
      </c>
      <c r="G619" t="s">
        <v>3387</v>
      </c>
      <c r="H619" s="7">
        <v>94544</v>
      </c>
    </row>
    <row r="620" spans="1:8" x14ac:dyDescent="0.3">
      <c r="A620">
        <v>2961</v>
      </c>
      <c r="B620" t="s">
        <v>5</v>
      </c>
      <c r="C620" t="s">
        <v>93</v>
      </c>
      <c r="D620" t="s">
        <v>2038</v>
      </c>
      <c r="E620" t="s">
        <v>8</v>
      </c>
      <c r="F620" t="s">
        <v>9</v>
      </c>
      <c r="G620" t="s">
        <v>5096</v>
      </c>
      <c r="H620" s="7">
        <v>725</v>
      </c>
    </row>
    <row r="621" spans="1:8" x14ac:dyDescent="0.3">
      <c r="A621">
        <v>2965</v>
      </c>
      <c r="B621" t="s">
        <v>5</v>
      </c>
      <c r="C621" t="s">
        <v>93</v>
      </c>
      <c r="D621" t="s">
        <v>2539</v>
      </c>
      <c r="E621" t="s">
        <v>95</v>
      </c>
      <c r="F621" t="s">
        <v>9</v>
      </c>
      <c r="G621" t="s">
        <v>5044</v>
      </c>
      <c r="H621" s="7">
        <v>725</v>
      </c>
    </row>
    <row r="622" spans="1:8" x14ac:dyDescent="0.3">
      <c r="A622">
        <v>2971</v>
      </c>
      <c r="B622" t="s">
        <v>5</v>
      </c>
      <c r="C622" t="s">
        <v>2713</v>
      </c>
      <c r="D622" t="s">
        <v>3409</v>
      </c>
      <c r="E622" t="s">
        <v>8</v>
      </c>
      <c r="F622" t="s">
        <v>9</v>
      </c>
      <c r="G622" t="s">
        <v>2058</v>
      </c>
      <c r="H622" s="7">
        <v>725</v>
      </c>
    </row>
    <row r="623" spans="1:8" x14ac:dyDescent="0.3">
      <c r="A623">
        <v>2978</v>
      </c>
      <c r="B623" t="s">
        <v>1833</v>
      </c>
      <c r="C623" t="s">
        <v>93</v>
      </c>
      <c r="D623" t="s">
        <v>916</v>
      </c>
      <c r="E623" t="s">
        <v>27</v>
      </c>
      <c r="F623" t="s">
        <v>21</v>
      </c>
      <c r="G623" t="s">
        <v>1835</v>
      </c>
      <c r="H623" s="7">
        <v>93304</v>
      </c>
    </row>
    <row r="624" spans="1:8" x14ac:dyDescent="0.3">
      <c r="A624">
        <v>2981</v>
      </c>
      <c r="B624" t="s">
        <v>1309</v>
      </c>
      <c r="C624" t="s">
        <v>93</v>
      </c>
      <c r="D624" t="s">
        <v>2369</v>
      </c>
      <c r="E624" t="s">
        <v>95</v>
      </c>
      <c r="F624" t="s">
        <v>21</v>
      </c>
      <c r="G624" t="s">
        <v>5457</v>
      </c>
      <c r="H624" s="7">
        <v>92557</v>
      </c>
    </row>
    <row r="625" spans="1:8" x14ac:dyDescent="0.3">
      <c r="A625">
        <v>2983</v>
      </c>
      <c r="B625" t="s">
        <v>2787</v>
      </c>
      <c r="C625" t="s">
        <v>67</v>
      </c>
      <c r="D625" t="s">
        <v>2224</v>
      </c>
      <c r="E625" t="s">
        <v>95</v>
      </c>
      <c r="F625" t="s">
        <v>248</v>
      </c>
      <c r="G625" t="s">
        <v>2484</v>
      </c>
      <c r="H625" s="7">
        <v>45601</v>
      </c>
    </row>
    <row r="626" spans="1:8" x14ac:dyDescent="0.3">
      <c r="A626">
        <v>2989</v>
      </c>
      <c r="B626" t="s">
        <v>5</v>
      </c>
      <c r="C626" t="s">
        <v>93</v>
      </c>
      <c r="D626" t="s">
        <v>1256</v>
      </c>
      <c r="E626" t="s">
        <v>27</v>
      </c>
      <c r="F626" t="s">
        <v>9</v>
      </c>
      <c r="G626" t="s">
        <v>3285</v>
      </c>
      <c r="H626" s="7">
        <v>725</v>
      </c>
    </row>
    <row r="627" spans="1:8" x14ac:dyDescent="0.3">
      <c r="A627">
        <v>2991</v>
      </c>
      <c r="B627" t="s">
        <v>5</v>
      </c>
      <c r="C627" t="s">
        <v>734</v>
      </c>
      <c r="D627" t="s">
        <v>3449</v>
      </c>
      <c r="E627" t="s">
        <v>8</v>
      </c>
      <c r="F627" t="s">
        <v>9</v>
      </c>
      <c r="G627" t="s">
        <v>3450</v>
      </c>
      <c r="H627" s="7">
        <v>725</v>
      </c>
    </row>
    <row r="628" spans="1:8" x14ac:dyDescent="0.3">
      <c r="A628">
        <v>3006</v>
      </c>
      <c r="B628" t="s">
        <v>5</v>
      </c>
      <c r="C628" t="s">
        <v>2693</v>
      </c>
      <c r="D628" t="s">
        <v>2048</v>
      </c>
      <c r="E628" t="s">
        <v>27</v>
      </c>
      <c r="F628" t="s">
        <v>9</v>
      </c>
      <c r="G628" t="s">
        <v>5264</v>
      </c>
      <c r="H628" s="7">
        <v>725</v>
      </c>
    </row>
    <row r="629" spans="1:8" x14ac:dyDescent="0.3">
      <c r="A629">
        <v>3007</v>
      </c>
      <c r="B629" t="s">
        <v>254</v>
      </c>
      <c r="C629" t="s">
        <v>727</v>
      </c>
      <c r="D629" t="s">
        <v>1886</v>
      </c>
      <c r="E629" t="s">
        <v>27</v>
      </c>
      <c r="F629" t="s">
        <v>55</v>
      </c>
      <c r="G629" t="s">
        <v>4885</v>
      </c>
      <c r="H629" s="7">
        <v>60629</v>
      </c>
    </row>
    <row r="630" spans="1:8" x14ac:dyDescent="0.3">
      <c r="A630">
        <v>3009</v>
      </c>
      <c r="B630" t="s">
        <v>1323</v>
      </c>
      <c r="C630" t="s">
        <v>407</v>
      </c>
      <c r="D630" t="s">
        <v>1351</v>
      </c>
      <c r="E630" t="s">
        <v>27</v>
      </c>
      <c r="F630" t="s">
        <v>88</v>
      </c>
      <c r="G630" t="s">
        <v>5133</v>
      </c>
      <c r="H630" s="7">
        <v>14120</v>
      </c>
    </row>
    <row r="631" spans="1:8" x14ac:dyDescent="0.3">
      <c r="A631">
        <v>3011</v>
      </c>
      <c r="B631" t="s">
        <v>1246</v>
      </c>
      <c r="C631" t="s">
        <v>1673</v>
      </c>
      <c r="D631" t="s">
        <v>1420</v>
      </c>
      <c r="E631" t="s">
        <v>8</v>
      </c>
      <c r="F631" t="s">
        <v>1249</v>
      </c>
      <c r="G631" t="s">
        <v>2860</v>
      </c>
      <c r="H631" s="7">
        <v>67212</v>
      </c>
    </row>
    <row r="632" spans="1:8" x14ac:dyDescent="0.3">
      <c r="A632">
        <v>3013</v>
      </c>
      <c r="B632" t="s">
        <v>379</v>
      </c>
      <c r="C632" t="s">
        <v>1231</v>
      </c>
      <c r="D632" t="s">
        <v>842</v>
      </c>
      <c r="E632" t="s">
        <v>8</v>
      </c>
      <c r="F632" t="s">
        <v>381</v>
      </c>
      <c r="G632" t="s">
        <v>2213</v>
      </c>
      <c r="H632" s="7">
        <v>48187</v>
      </c>
    </row>
    <row r="633" spans="1:8" x14ac:dyDescent="0.3">
      <c r="A633">
        <v>3017</v>
      </c>
      <c r="B633" t="s">
        <v>1501</v>
      </c>
      <c r="C633" t="s">
        <v>94</v>
      </c>
      <c r="D633" t="s">
        <v>1388</v>
      </c>
      <c r="E633" t="s">
        <v>27</v>
      </c>
      <c r="F633" t="s">
        <v>308</v>
      </c>
      <c r="G633" t="s">
        <v>4372</v>
      </c>
      <c r="H633" s="7">
        <v>8817</v>
      </c>
    </row>
    <row r="634" spans="1:8" x14ac:dyDescent="0.3">
      <c r="A634">
        <v>3026</v>
      </c>
      <c r="B634" t="s">
        <v>474</v>
      </c>
      <c r="C634" t="s">
        <v>1981</v>
      </c>
      <c r="D634" t="s">
        <v>107</v>
      </c>
      <c r="E634" t="s">
        <v>8</v>
      </c>
      <c r="F634" t="s">
        <v>140</v>
      </c>
      <c r="G634" t="s">
        <v>4984</v>
      </c>
      <c r="H634" s="7">
        <v>30907</v>
      </c>
    </row>
    <row r="635" spans="1:8" x14ac:dyDescent="0.3">
      <c r="A635">
        <v>3027</v>
      </c>
      <c r="B635" t="s">
        <v>5</v>
      </c>
      <c r="C635" t="s">
        <v>93</v>
      </c>
      <c r="D635" t="s">
        <v>2010</v>
      </c>
      <c r="E635" t="s">
        <v>27</v>
      </c>
      <c r="F635" t="s">
        <v>9</v>
      </c>
      <c r="G635" t="s">
        <v>2011</v>
      </c>
      <c r="H635" s="7">
        <v>725</v>
      </c>
    </row>
    <row r="636" spans="1:8" x14ac:dyDescent="0.3">
      <c r="A636">
        <v>3028</v>
      </c>
      <c r="B636" t="s">
        <v>476</v>
      </c>
      <c r="C636" t="s">
        <v>1169</v>
      </c>
      <c r="D636" t="s">
        <v>1021</v>
      </c>
      <c r="E636" t="s">
        <v>27</v>
      </c>
      <c r="F636" t="s">
        <v>478</v>
      </c>
      <c r="G636" t="s">
        <v>83</v>
      </c>
      <c r="H636" s="7">
        <v>89030</v>
      </c>
    </row>
    <row r="637" spans="1:8" x14ac:dyDescent="0.3">
      <c r="A637">
        <v>3034</v>
      </c>
      <c r="B637" t="s">
        <v>187</v>
      </c>
      <c r="C637" t="s">
        <v>93</v>
      </c>
      <c r="D637" t="s">
        <v>107</v>
      </c>
      <c r="E637" t="s">
        <v>8</v>
      </c>
      <c r="F637" t="s">
        <v>190</v>
      </c>
      <c r="G637" t="s">
        <v>5032</v>
      </c>
      <c r="H637" s="7">
        <v>85345</v>
      </c>
    </row>
    <row r="638" spans="1:8" x14ac:dyDescent="0.3">
      <c r="A638">
        <v>3048</v>
      </c>
      <c r="B638" t="s">
        <v>3422</v>
      </c>
      <c r="C638" t="s">
        <v>93</v>
      </c>
      <c r="D638" t="s">
        <v>968</v>
      </c>
      <c r="E638" t="s">
        <v>8</v>
      </c>
      <c r="F638" t="s">
        <v>21</v>
      </c>
      <c r="G638" t="s">
        <v>5536</v>
      </c>
      <c r="H638" s="7">
        <v>91911</v>
      </c>
    </row>
    <row r="639" spans="1:8" x14ac:dyDescent="0.3">
      <c r="A639">
        <v>3049</v>
      </c>
      <c r="B639" t="s">
        <v>1833</v>
      </c>
      <c r="C639" t="s">
        <v>1007</v>
      </c>
      <c r="D639" t="s">
        <v>445</v>
      </c>
      <c r="E639" t="s">
        <v>8</v>
      </c>
      <c r="F639" t="s">
        <v>21</v>
      </c>
      <c r="G639" t="s">
        <v>4308</v>
      </c>
      <c r="H639" s="7">
        <v>93304</v>
      </c>
    </row>
    <row r="640" spans="1:8" x14ac:dyDescent="0.3">
      <c r="A640">
        <v>3052</v>
      </c>
      <c r="B640" t="s">
        <v>5</v>
      </c>
      <c r="C640" t="s">
        <v>93</v>
      </c>
      <c r="D640" t="s">
        <v>2700</v>
      </c>
      <c r="E640" t="s">
        <v>95</v>
      </c>
      <c r="F640" t="s">
        <v>9</v>
      </c>
      <c r="G640" t="s">
        <v>3564</v>
      </c>
      <c r="H640" s="7">
        <v>725</v>
      </c>
    </row>
    <row r="641" spans="1:8" x14ac:dyDescent="0.3">
      <c r="A641">
        <v>3054</v>
      </c>
      <c r="B641" t="s">
        <v>1449</v>
      </c>
      <c r="C641" t="s">
        <v>724</v>
      </c>
      <c r="D641" t="s">
        <v>1904</v>
      </c>
      <c r="E641" t="s">
        <v>8</v>
      </c>
      <c r="F641" t="s">
        <v>21</v>
      </c>
      <c r="G641" t="s">
        <v>1912</v>
      </c>
      <c r="H641" s="7">
        <v>90220</v>
      </c>
    </row>
    <row r="642" spans="1:8" x14ac:dyDescent="0.3">
      <c r="A642">
        <v>3056</v>
      </c>
      <c r="B642" t="s">
        <v>656</v>
      </c>
      <c r="C642" t="s">
        <v>623</v>
      </c>
      <c r="D642" t="s">
        <v>3443</v>
      </c>
      <c r="E642" t="s">
        <v>8</v>
      </c>
      <c r="F642" t="s">
        <v>77</v>
      </c>
      <c r="G642" t="s">
        <v>3923</v>
      </c>
      <c r="H642" s="7">
        <v>19143</v>
      </c>
    </row>
    <row r="643" spans="1:8" x14ac:dyDescent="0.3">
      <c r="A643">
        <v>3066</v>
      </c>
      <c r="B643" t="s">
        <v>239</v>
      </c>
      <c r="C643" t="s">
        <v>93</v>
      </c>
      <c r="D643" t="s">
        <v>107</v>
      </c>
      <c r="E643" t="s">
        <v>8</v>
      </c>
      <c r="F643" t="s">
        <v>242</v>
      </c>
      <c r="G643" t="s">
        <v>932</v>
      </c>
      <c r="H643" s="7">
        <v>21218</v>
      </c>
    </row>
    <row r="644" spans="1:8" x14ac:dyDescent="0.3">
      <c r="A644">
        <v>3074</v>
      </c>
      <c r="B644" t="s">
        <v>2918</v>
      </c>
      <c r="C644" t="s">
        <v>93</v>
      </c>
      <c r="D644" t="s">
        <v>107</v>
      </c>
      <c r="E644" t="s">
        <v>95</v>
      </c>
      <c r="F644" t="s">
        <v>21</v>
      </c>
      <c r="G644" t="s">
        <v>3763</v>
      </c>
      <c r="H644" s="7">
        <v>90640</v>
      </c>
    </row>
    <row r="645" spans="1:8" x14ac:dyDescent="0.3">
      <c r="A645">
        <v>3081</v>
      </c>
      <c r="B645" t="s">
        <v>343</v>
      </c>
      <c r="C645" t="s">
        <v>1468</v>
      </c>
      <c r="D645" t="s">
        <v>4499</v>
      </c>
      <c r="E645" t="s">
        <v>95</v>
      </c>
      <c r="F645" t="s">
        <v>248</v>
      </c>
      <c r="G645" t="s">
        <v>5539</v>
      </c>
      <c r="H645" s="7">
        <v>43230</v>
      </c>
    </row>
    <row r="646" spans="1:8" x14ac:dyDescent="0.3">
      <c r="A646">
        <v>3082</v>
      </c>
      <c r="B646" t="s">
        <v>169</v>
      </c>
      <c r="C646" t="s">
        <v>93</v>
      </c>
      <c r="D646" t="s">
        <v>107</v>
      </c>
      <c r="E646" t="s">
        <v>95</v>
      </c>
      <c r="F646" t="s">
        <v>172</v>
      </c>
      <c r="G646" t="s">
        <v>5212</v>
      </c>
      <c r="H646" s="7">
        <v>63301</v>
      </c>
    </row>
    <row r="647" spans="1:8" x14ac:dyDescent="0.3">
      <c r="A647">
        <v>3085</v>
      </c>
      <c r="B647" t="s">
        <v>2170</v>
      </c>
      <c r="C647" t="s">
        <v>491</v>
      </c>
      <c r="D647" t="s">
        <v>107</v>
      </c>
      <c r="E647" t="s">
        <v>27</v>
      </c>
      <c r="F647" t="s">
        <v>248</v>
      </c>
      <c r="G647" t="s">
        <v>2785</v>
      </c>
      <c r="H647" s="7">
        <v>44102</v>
      </c>
    </row>
    <row r="648" spans="1:8" x14ac:dyDescent="0.3">
      <c r="A648">
        <v>3088</v>
      </c>
      <c r="B648" t="s">
        <v>1143</v>
      </c>
      <c r="C648" t="s">
        <v>895</v>
      </c>
      <c r="D648" t="s">
        <v>107</v>
      </c>
      <c r="E648" t="s">
        <v>8</v>
      </c>
      <c r="F648" t="s">
        <v>1145</v>
      </c>
      <c r="G648" t="s">
        <v>3540</v>
      </c>
      <c r="H648" s="7">
        <v>53209</v>
      </c>
    </row>
    <row r="649" spans="1:8" x14ac:dyDescent="0.3">
      <c r="A649">
        <v>3090</v>
      </c>
      <c r="B649" t="s">
        <v>2874</v>
      </c>
      <c r="C649" t="s">
        <v>93</v>
      </c>
      <c r="D649" t="s">
        <v>107</v>
      </c>
      <c r="E649" t="s">
        <v>8</v>
      </c>
      <c r="F649" t="s">
        <v>1657</v>
      </c>
      <c r="G649" t="s">
        <v>2875</v>
      </c>
      <c r="H649" s="7">
        <v>6457</v>
      </c>
    </row>
    <row r="650" spans="1:8" x14ac:dyDescent="0.3">
      <c r="A650">
        <v>3093</v>
      </c>
      <c r="B650" t="s">
        <v>5</v>
      </c>
      <c r="C650" t="s">
        <v>785</v>
      </c>
      <c r="D650" t="s">
        <v>107</v>
      </c>
      <c r="E650" t="s">
        <v>95</v>
      </c>
      <c r="F650" t="s">
        <v>9</v>
      </c>
      <c r="G650" t="s">
        <v>1909</v>
      </c>
      <c r="H650" s="7">
        <v>725</v>
      </c>
    </row>
    <row r="651" spans="1:8" x14ac:dyDescent="0.3">
      <c r="A651">
        <v>3101</v>
      </c>
      <c r="B651" t="s">
        <v>622</v>
      </c>
      <c r="C651" t="s">
        <v>623</v>
      </c>
      <c r="D651" t="s">
        <v>2840</v>
      </c>
      <c r="E651" t="s">
        <v>8</v>
      </c>
      <c r="F651" t="s">
        <v>21</v>
      </c>
      <c r="G651" t="s">
        <v>4686</v>
      </c>
      <c r="H651" s="7">
        <v>92692</v>
      </c>
    </row>
    <row r="652" spans="1:8" x14ac:dyDescent="0.3">
      <c r="A652">
        <v>3102</v>
      </c>
      <c r="B652" t="s">
        <v>5</v>
      </c>
      <c r="C652" t="s">
        <v>3319</v>
      </c>
      <c r="D652" t="s">
        <v>3320</v>
      </c>
      <c r="E652" t="s">
        <v>8</v>
      </c>
      <c r="F652" t="s">
        <v>9</v>
      </c>
      <c r="G652" t="s">
        <v>3321</v>
      </c>
      <c r="H652" s="7">
        <v>725</v>
      </c>
    </row>
    <row r="653" spans="1:8" x14ac:dyDescent="0.3">
      <c r="A653">
        <v>3113</v>
      </c>
      <c r="B653" t="s">
        <v>5</v>
      </c>
      <c r="C653" t="s">
        <v>1381</v>
      </c>
      <c r="D653" t="s">
        <v>107</v>
      </c>
      <c r="E653" t="s">
        <v>8</v>
      </c>
      <c r="F653" t="s">
        <v>9</v>
      </c>
      <c r="G653" t="s">
        <v>3293</v>
      </c>
      <c r="H653" s="7">
        <v>725</v>
      </c>
    </row>
    <row r="654" spans="1:8" x14ac:dyDescent="0.3">
      <c r="A654">
        <v>3126</v>
      </c>
      <c r="B654" t="s">
        <v>1850</v>
      </c>
      <c r="C654" t="s">
        <v>93</v>
      </c>
      <c r="D654" t="s">
        <v>1616</v>
      </c>
      <c r="E654" t="s">
        <v>8</v>
      </c>
      <c r="F654" t="s">
        <v>21</v>
      </c>
      <c r="G654" t="s">
        <v>5433</v>
      </c>
      <c r="H654" s="7">
        <v>92708</v>
      </c>
    </row>
    <row r="655" spans="1:8" x14ac:dyDescent="0.3">
      <c r="A655">
        <v>3129</v>
      </c>
      <c r="B655" t="s">
        <v>5</v>
      </c>
      <c r="C655" t="s">
        <v>93</v>
      </c>
      <c r="D655" t="s">
        <v>2183</v>
      </c>
      <c r="E655" t="s">
        <v>27</v>
      </c>
      <c r="F655" t="s">
        <v>9</v>
      </c>
      <c r="G655" t="s">
        <v>2923</v>
      </c>
      <c r="H655" s="7">
        <v>725</v>
      </c>
    </row>
    <row r="656" spans="1:8" x14ac:dyDescent="0.3">
      <c r="A656">
        <v>3135</v>
      </c>
      <c r="B656" t="s">
        <v>699</v>
      </c>
      <c r="C656" t="s">
        <v>2025</v>
      </c>
      <c r="D656" t="s">
        <v>122</v>
      </c>
      <c r="E656" t="s">
        <v>8</v>
      </c>
      <c r="F656" t="s">
        <v>114</v>
      </c>
      <c r="G656" t="s">
        <v>2753</v>
      </c>
      <c r="H656" s="7">
        <v>77093</v>
      </c>
    </row>
    <row r="657" spans="1:8" x14ac:dyDescent="0.3">
      <c r="A657">
        <v>3153</v>
      </c>
      <c r="B657" t="s">
        <v>293</v>
      </c>
      <c r="C657" t="s">
        <v>93</v>
      </c>
      <c r="D657" t="s">
        <v>107</v>
      </c>
      <c r="E657" t="s">
        <v>27</v>
      </c>
      <c r="F657" t="s">
        <v>114</v>
      </c>
      <c r="G657" t="s">
        <v>294</v>
      </c>
      <c r="H657" s="7">
        <v>75052</v>
      </c>
    </row>
    <row r="658" spans="1:8" x14ac:dyDescent="0.3">
      <c r="A658">
        <v>3159</v>
      </c>
      <c r="B658" t="s">
        <v>2170</v>
      </c>
      <c r="C658" t="s">
        <v>93</v>
      </c>
      <c r="D658" t="s">
        <v>101</v>
      </c>
      <c r="E658" t="s">
        <v>27</v>
      </c>
      <c r="F658" t="s">
        <v>248</v>
      </c>
      <c r="G658" t="s">
        <v>2816</v>
      </c>
      <c r="H658" s="7">
        <v>44118</v>
      </c>
    </row>
    <row r="659" spans="1:8" x14ac:dyDescent="0.3">
      <c r="A659">
        <v>3162</v>
      </c>
      <c r="B659" t="s">
        <v>5</v>
      </c>
      <c r="C659" t="s">
        <v>719</v>
      </c>
      <c r="D659" t="s">
        <v>107</v>
      </c>
      <c r="E659" t="s">
        <v>8</v>
      </c>
      <c r="F659" t="s">
        <v>9</v>
      </c>
      <c r="G659" t="s">
        <v>3324</v>
      </c>
      <c r="H659" s="7">
        <v>725</v>
      </c>
    </row>
    <row r="660" spans="1:8" x14ac:dyDescent="0.3">
      <c r="A660">
        <v>3165</v>
      </c>
      <c r="B660" t="s">
        <v>5</v>
      </c>
      <c r="C660" t="s">
        <v>1718</v>
      </c>
      <c r="D660" t="s">
        <v>1719</v>
      </c>
      <c r="E660" t="s">
        <v>95</v>
      </c>
      <c r="F660" t="s">
        <v>9</v>
      </c>
      <c r="G660" t="s">
        <v>224</v>
      </c>
      <c r="H660" s="7">
        <v>725</v>
      </c>
    </row>
    <row r="661" spans="1:8" x14ac:dyDescent="0.3">
      <c r="A661">
        <v>3171</v>
      </c>
      <c r="B661" t="s">
        <v>5</v>
      </c>
      <c r="C661" t="s">
        <v>454</v>
      </c>
      <c r="D661" t="s">
        <v>1444</v>
      </c>
      <c r="E661" t="s">
        <v>27</v>
      </c>
      <c r="F661" t="s">
        <v>9</v>
      </c>
      <c r="G661" t="s">
        <v>1609</v>
      </c>
      <c r="H661" s="7">
        <v>725</v>
      </c>
    </row>
    <row r="662" spans="1:8" x14ac:dyDescent="0.3">
      <c r="A662">
        <v>3174</v>
      </c>
      <c r="B662" t="s">
        <v>5</v>
      </c>
      <c r="C662" t="s">
        <v>795</v>
      </c>
      <c r="D662" t="s">
        <v>1854</v>
      </c>
      <c r="E662" t="s">
        <v>27</v>
      </c>
      <c r="F662" t="s">
        <v>9</v>
      </c>
      <c r="G662" t="s">
        <v>4650</v>
      </c>
      <c r="H662" s="7">
        <v>725</v>
      </c>
    </row>
    <row r="663" spans="1:8" x14ac:dyDescent="0.3">
      <c r="A663">
        <v>3175</v>
      </c>
      <c r="B663" t="s">
        <v>865</v>
      </c>
      <c r="C663" t="s">
        <v>93</v>
      </c>
      <c r="D663" t="s">
        <v>1808</v>
      </c>
      <c r="E663" t="s">
        <v>27</v>
      </c>
      <c r="F663" t="s">
        <v>190</v>
      </c>
      <c r="G663" t="s">
        <v>449</v>
      </c>
      <c r="H663" s="7">
        <v>85713</v>
      </c>
    </row>
    <row r="664" spans="1:8" x14ac:dyDescent="0.3">
      <c r="A664">
        <v>3176</v>
      </c>
      <c r="B664" t="s">
        <v>5</v>
      </c>
      <c r="C664" t="s">
        <v>696</v>
      </c>
      <c r="D664" t="s">
        <v>107</v>
      </c>
      <c r="E664" t="s">
        <v>27</v>
      </c>
      <c r="F664" t="s">
        <v>9</v>
      </c>
      <c r="G664" t="s">
        <v>4687</v>
      </c>
      <c r="H664" s="7">
        <v>725</v>
      </c>
    </row>
    <row r="665" spans="1:8" x14ac:dyDescent="0.3">
      <c r="A665">
        <v>3177</v>
      </c>
      <c r="B665" t="s">
        <v>305</v>
      </c>
      <c r="C665" t="s">
        <v>93</v>
      </c>
      <c r="D665" t="s">
        <v>992</v>
      </c>
      <c r="E665" t="s">
        <v>8</v>
      </c>
      <c r="F665" t="s">
        <v>308</v>
      </c>
      <c r="G665" t="s">
        <v>993</v>
      </c>
      <c r="H665" s="7">
        <v>7111</v>
      </c>
    </row>
    <row r="666" spans="1:8" x14ac:dyDescent="0.3">
      <c r="A666">
        <v>3178</v>
      </c>
      <c r="B666" t="s">
        <v>2874</v>
      </c>
      <c r="C666" t="s">
        <v>1294</v>
      </c>
      <c r="D666" t="s">
        <v>1037</v>
      </c>
      <c r="E666" t="s">
        <v>8</v>
      </c>
      <c r="F666" t="s">
        <v>248</v>
      </c>
      <c r="G666" t="s">
        <v>5316</v>
      </c>
      <c r="H666" s="7">
        <v>45044</v>
      </c>
    </row>
    <row r="667" spans="1:8" x14ac:dyDescent="0.3">
      <c r="A667">
        <v>3187</v>
      </c>
      <c r="B667" t="s">
        <v>1486</v>
      </c>
      <c r="C667" t="s">
        <v>93</v>
      </c>
      <c r="D667" t="s">
        <v>127</v>
      </c>
      <c r="E667" t="s">
        <v>8</v>
      </c>
      <c r="F667" t="s">
        <v>308</v>
      </c>
      <c r="G667" t="s">
        <v>2759</v>
      </c>
      <c r="H667" s="7">
        <v>7305</v>
      </c>
    </row>
    <row r="668" spans="1:8" x14ac:dyDescent="0.3">
      <c r="A668">
        <v>3190</v>
      </c>
      <c r="B668" t="s">
        <v>4710</v>
      </c>
      <c r="C668" t="s">
        <v>93</v>
      </c>
      <c r="D668" t="s">
        <v>1357</v>
      </c>
      <c r="E668" t="s">
        <v>27</v>
      </c>
      <c r="F668" t="s">
        <v>248</v>
      </c>
      <c r="G668" t="s">
        <v>3657</v>
      </c>
      <c r="H668" s="7">
        <v>44870</v>
      </c>
    </row>
    <row r="669" spans="1:8" x14ac:dyDescent="0.3">
      <c r="A669">
        <v>3195</v>
      </c>
      <c r="B669" t="s">
        <v>324</v>
      </c>
      <c r="C669" t="s">
        <v>93</v>
      </c>
      <c r="D669" t="s">
        <v>107</v>
      </c>
      <c r="E669" t="s">
        <v>27</v>
      </c>
      <c r="F669" t="s">
        <v>21</v>
      </c>
      <c r="G669" t="s">
        <v>2695</v>
      </c>
      <c r="H669" s="7">
        <v>95020</v>
      </c>
    </row>
    <row r="670" spans="1:8" x14ac:dyDescent="0.3">
      <c r="A670">
        <v>3197</v>
      </c>
      <c r="B670" t="s">
        <v>174</v>
      </c>
      <c r="C670" t="s">
        <v>93</v>
      </c>
      <c r="D670" t="s">
        <v>1030</v>
      </c>
      <c r="E670" t="s">
        <v>95</v>
      </c>
      <c r="F670" t="s">
        <v>21</v>
      </c>
      <c r="G670" t="s">
        <v>5440</v>
      </c>
      <c r="H670" s="7">
        <v>90047</v>
      </c>
    </row>
    <row r="671" spans="1:8" x14ac:dyDescent="0.3">
      <c r="A671">
        <v>3202</v>
      </c>
      <c r="B671" t="s">
        <v>5</v>
      </c>
      <c r="C671" t="s">
        <v>1788</v>
      </c>
      <c r="D671" t="s">
        <v>574</v>
      </c>
      <c r="E671" t="s">
        <v>8</v>
      </c>
      <c r="F671" t="s">
        <v>9</v>
      </c>
      <c r="G671" t="s">
        <v>3600</v>
      </c>
      <c r="H671" s="7">
        <v>725</v>
      </c>
    </row>
    <row r="672" spans="1:8" x14ac:dyDescent="0.3">
      <c r="A672">
        <v>3213</v>
      </c>
      <c r="B672" t="s">
        <v>2983</v>
      </c>
      <c r="C672" t="s">
        <v>93</v>
      </c>
      <c r="D672" t="s">
        <v>107</v>
      </c>
      <c r="E672" t="s">
        <v>8</v>
      </c>
      <c r="F672" t="s">
        <v>55</v>
      </c>
      <c r="G672" t="s">
        <v>5505</v>
      </c>
      <c r="H672" s="7">
        <v>61554</v>
      </c>
    </row>
    <row r="673" spans="1:8" x14ac:dyDescent="0.3">
      <c r="A673">
        <v>3216</v>
      </c>
      <c r="B673" t="s">
        <v>997</v>
      </c>
      <c r="C673" t="s">
        <v>762</v>
      </c>
      <c r="D673" t="s">
        <v>72</v>
      </c>
      <c r="E673" t="s">
        <v>95</v>
      </c>
      <c r="F673" t="s">
        <v>308</v>
      </c>
      <c r="G673" t="s">
        <v>5334</v>
      </c>
      <c r="H673" s="7">
        <v>7105</v>
      </c>
    </row>
    <row r="674" spans="1:8" x14ac:dyDescent="0.3">
      <c r="A674">
        <v>3217</v>
      </c>
      <c r="B674" t="s">
        <v>5</v>
      </c>
      <c r="C674" t="s">
        <v>93</v>
      </c>
      <c r="D674" t="s">
        <v>107</v>
      </c>
      <c r="E674" t="s">
        <v>95</v>
      </c>
      <c r="F674" t="s">
        <v>9</v>
      </c>
      <c r="G674" t="s">
        <v>3455</v>
      </c>
      <c r="H674" s="7">
        <v>725</v>
      </c>
    </row>
    <row r="675" spans="1:8" x14ac:dyDescent="0.3">
      <c r="A675">
        <v>3218</v>
      </c>
      <c r="B675" t="s">
        <v>1928</v>
      </c>
      <c r="C675" t="s">
        <v>1039</v>
      </c>
      <c r="D675" t="s">
        <v>3409</v>
      </c>
      <c r="E675" t="s">
        <v>95</v>
      </c>
      <c r="F675" t="s">
        <v>88</v>
      </c>
      <c r="G675" t="s">
        <v>1929</v>
      </c>
      <c r="H675" s="7">
        <v>10306</v>
      </c>
    </row>
    <row r="676" spans="1:8" x14ac:dyDescent="0.3">
      <c r="A676">
        <v>3219</v>
      </c>
      <c r="B676" t="s">
        <v>5</v>
      </c>
      <c r="C676" t="s">
        <v>93</v>
      </c>
      <c r="D676" t="s">
        <v>1425</v>
      </c>
      <c r="E676" t="s">
        <v>8</v>
      </c>
      <c r="F676" t="s">
        <v>9</v>
      </c>
      <c r="G676" t="s">
        <v>1337</v>
      </c>
      <c r="H676" s="7">
        <v>725</v>
      </c>
    </row>
    <row r="677" spans="1:8" x14ac:dyDescent="0.3">
      <c r="A677">
        <v>3223</v>
      </c>
      <c r="B677" t="s">
        <v>5</v>
      </c>
      <c r="C677" t="s">
        <v>597</v>
      </c>
      <c r="D677" t="s">
        <v>1170</v>
      </c>
      <c r="E677" t="s">
        <v>8</v>
      </c>
      <c r="F677" t="s">
        <v>9</v>
      </c>
      <c r="G677" t="s">
        <v>1035</v>
      </c>
      <c r="H677" s="7">
        <v>725</v>
      </c>
    </row>
    <row r="678" spans="1:8" x14ac:dyDescent="0.3">
      <c r="A678">
        <v>3230</v>
      </c>
      <c r="B678" t="s">
        <v>5</v>
      </c>
      <c r="C678" t="s">
        <v>93</v>
      </c>
      <c r="D678" t="s">
        <v>413</v>
      </c>
      <c r="E678" t="s">
        <v>8</v>
      </c>
      <c r="F678" t="s">
        <v>9</v>
      </c>
      <c r="G678" t="s">
        <v>414</v>
      </c>
      <c r="H678" s="7">
        <v>725</v>
      </c>
    </row>
    <row r="679" spans="1:8" x14ac:dyDescent="0.3">
      <c r="A679">
        <v>3232</v>
      </c>
      <c r="B679" t="s">
        <v>2249</v>
      </c>
      <c r="C679" t="s">
        <v>1710</v>
      </c>
      <c r="D679" t="s">
        <v>107</v>
      </c>
      <c r="E679" t="s">
        <v>27</v>
      </c>
      <c r="F679" t="s">
        <v>21</v>
      </c>
      <c r="G679" t="s">
        <v>2250</v>
      </c>
      <c r="H679" s="7">
        <v>91730</v>
      </c>
    </row>
    <row r="680" spans="1:8" x14ac:dyDescent="0.3">
      <c r="A680">
        <v>3236</v>
      </c>
      <c r="B680" t="s">
        <v>3045</v>
      </c>
      <c r="C680" t="s">
        <v>93</v>
      </c>
      <c r="D680" t="s">
        <v>107</v>
      </c>
      <c r="E680" t="s">
        <v>8</v>
      </c>
      <c r="F680" t="s">
        <v>21</v>
      </c>
      <c r="G680" t="s">
        <v>2045</v>
      </c>
      <c r="H680" s="7">
        <v>95023</v>
      </c>
    </row>
    <row r="681" spans="1:8" x14ac:dyDescent="0.3">
      <c r="A681">
        <v>3242</v>
      </c>
      <c r="B681" t="s">
        <v>1263</v>
      </c>
      <c r="C681" t="s">
        <v>93</v>
      </c>
      <c r="D681" t="s">
        <v>1264</v>
      </c>
      <c r="E681" t="s">
        <v>27</v>
      </c>
      <c r="F681" t="s">
        <v>21</v>
      </c>
      <c r="G681" t="s">
        <v>1265</v>
      </c>
      <c r="H681" s="7">
        <v>92021</v>
      </c>
    </row>
    <row r="682" spans="1:8" x14ac:dyDescent="0.3">
      <c r="A682">
        <v>3243</v>
      </c>
      <c r="B682" t="s">
        <v>396</v>
      </c>
      <c r="C682" t="s">
        <v>882</v>
      </c>
      <c r="D682" t="s">
        <v>2224</v>
      </c>
      <c r="E682" t="s">
        <v>27</v>
      </c>
      <c r="F682" t="s">
        <v>248</v>
      </c>
      <c r="G682" t="s">
        <v>2803</v>
      </c>
      <c r="H682" s="7">
        <v>45011</v>
      </c>
    </row>
    <row r="683" spans="1:8" x14ac:dyDescent="0.3">
      <c r="A683">
        <v>3245</v>
      </c>
      <c r="B683" t="s">
        <v>1779</v>
      </c>
      <c r="C683" t="s">
        <v>411</v>
      </c>
      <c r="D683" t="s">
        <v>107</v>
      </c>
      <c r="E683" t="s">
        <v>8</v>
      </c>
      <c r="F683" t="s">
        <v>21</v>
      </c>
      <c r="G683" t="s">
        <v>3453</v>
      </c>
      <c r="H683" s="7">
        <v>94544</v>
      </c>
    </row>
    <row r="684" spans="1:8" x14ac:dyDescent="0.3">
      <c r="A684">
        <v>3248</v>
      </c>
      <c r="B684" t="s">
        <v>1501</v>
      </c>
      <c r="C684" t="s">
        <v>2452</v>
      </c>
      <c r="D684" t="s">
        <v>4734</v>
      </c>
      <c r="E684" t="s">
        <v>8</v>
      </c>
      <c r="F684" t="s">
        <v>308</v>
      </c>
      <c r="G684" t="s">
        <v>475</v>
      </c>
      <c r="H684" s="7">
        <v>8817</v>
      </c>
    </row>
    <row r="685" spans="1:8" x14ac:dyDescent="0.3">
      <c r="A685">
        <v>3260</v>
      </c>
      <c r="B685" t="s">
        <v>5</v>
      </c>
      <c r="C685" t="s">
        <v>700</v>
      </c>
      <c r="D685" t="s">
        <v>107</v>
      </c>
      <c r="E685" t="s">
        <v>95</v>
      </c>
      <c r="F685" t="s">
        <v>9</v>
      </c>
      <c r="G685" t="s">
        <v>1062</v>
      </c>
      <c r="H685" s="7">
        <v>725</v>
      </c>
    </row>
    <row r="686" spans="1:8" x14ac:dyDescent="0.3">
      <c r="A686">
        <v>3261</v>
      </c>
      <c r="B686" t="s">
        <v>2089</v>
      </c>
      <c r="C686" t="s">
        <v>719</v>
      </c>
      <c r="D686" t="s">
        <v>2278</v>
      </c>
      <c r="E686" t="s">
        <v>8</v>
      </c>
      <c r="F686" t="s">
        <v>21</v>
      </c>
      <c r="G686" t="s">
        <v>2092</v>
      </c>
      <c r="H686" s="7">
        <v>95687</v>
      </c>
    </row>
    <row r="687" spans="1:8" x14ac:dyDescent="0.3">
      <c r="A687">
        <v>3262</v>
      </c>
      <c r="B687" t="s">
        <v>723</v>
      </c>
      <c r="C687" t="s">
        <v>93</v>
      </c>
      <c r="D687" t="s">
        <v>2199</v>
      </c>
      <c r="E687" t="s">
        <v>27</v>
      </c>
      <c r="F687" t="s">
        <v>55</v>
      </c>
      <c r="G687" t="s">
        <v>2200</v>
      </c>
      <c r="H687" s="7">
        <v>60504</v>
      </c>
    </row>
    <row r="688" spans="1:8" x14ac:dyDescent="0.3">
      <c r="A688">
        <v>3266</v>
      </c>
      <c r="B688" t="s">
        <v>254</v>
      </c>
      <c r="C688" t="s">
        <v>93</v>
      </c>
      <c r="D688" t="s">
        <v>451</v>
      </c>
      <c r="E688" t="s">
        <v>27</v>
      </c>
      <c r="F688" t="s">
        <v>55</v>
      </c>
      <c r="G688" t="s">
        <v>1492</v>
      </c>
      <c r="H688" s="7">
        <v>60649</v>
      </c>
    </row>
    <row r="689" spans="1:8" x14ac:dyDescent="0.3">
      <c r="A689">
        <v>3280</v>
      </c>
      <c r="B689" t="s">
        <v>2181</v>
      </c>
      <c r="C689" t="s">
        <v>1188</v>
      </c>
      <c r="D689" t="s">
        <v>107</v>
      </c>
      <c r="E689" t="s">
        <v>8</v>
      </c>
      <c r="F689" t="s">
        <v>986</v>
      </c>
      <c r="G689" t="s">
        <v>3028</v>
      </c>
      <c r="H689" s="7">
        <v>2860</v>
      </c>
    </row>
    <row r="690" spans="1:8" x14ac:dyDescent="0.3">
      <c r="A690">
        <v>3282</v>
      </c>
      <c r="B690" t="s">
        <v>508</v>
      </c>
      <c r="C690" t="s">
        <v>93</v>
      </c>
      <c r="D690" t="s">
        <v>107</v>
      </c>
      <c r="E690" t="s">
        <v>8</v>
      </c>
      <c r="F690" t="s">
        <v>114</v>
      </c>
      <c r="G690" t="s">
        <v>509</v>
      </c>
      <c r="H690" s="7">
        <v>75217</v>
      </c>
    </row>
    <row r="691" spans="1:8" x14ac:dyDescent="0.3">
      <c r="A691">
        <v>3286</v>
      </c>
      <c r="B691" t="s">
        <v>5</v>
      </c>
      <c r="C691" t="s">
        <v>1007</v>
      </c>
      <c r="D691" t="s">
        <v>107</v>
      </c>
      <c r="E691" t="s">
        <v>27</v>
      </c>
      <c r="F691" t="s">
        <v>9</v>
      </c>
      <c r="G691" t="s">
        <v>4910</v>
      </c>
      <c r="H691" s="7">
        <v>725</v>
      </c>
    </row>
    <row r="692" spans="1:8" x14ac:dyDescent="0.3">
      <c r="A692">
        <v>3288</v>
      </c>
      <c r="B692" t="s">
        <v>5</v>
      </c>
      <c r="C692" t="s">
        <v>520</v>
      </c>
      <c r="D692" t="s">
        <v>107</v>
      </c>
      <c r="E692" t="s">
        <v>8</v>
      </c>
      <c r="F692" t="s">
        <v>9</v>
      </c>
      <c r="G692" t="s">
        <v>1091</v>
      </c>
      <c r="H692" s="7">
        <v>725</v>
      </c>
    </row>
    <row r="693" spans="1:8" x14ac:dyDescent="0.3">
      <c r="A693">
        <v>3289</v>
      </c>
      <c r="B693" t="s">
        <v>3386</v>
      </c>
      <c r="C693" t="s">
        <v>93</v>
      </c>
      <c r="D693" t="s">
        <v>1479</v>
      </c>
      <c r="E693" t="s">
        <v>8</v>
      </c>
      <c r="F693" t="s">
        <v>21</v>
      </c>
      <c r="G693" t="s">
        <v>3387</v>
      </c>
      <c r="H693" s="7">
        <v>92376</v>
      </c>
    </row>
    <row r="694" spans="1:8" x14ac:dyDescent="0.3">
      <c r="A694">
        <v>3296</v>
      </c>
      <c r="B694" t="s">
        <v>5</v>
      </c>
      <c r="C694" t="s">
        <v>93</v>
      </c>
      <c r="D694" t="s">
        <v>107</v>
      </c>
      <c r="E694" t="s">
        <v>95</v>
      </c>
      <c r="F694" t="s">
        <v>9</v>
      </c>
      <c r="G694" t="s">
        <v>3878</v>
      </c>
      <c r="H694" s="7">
        <v>725</v>
      </c>
    </row>
    <row r="695" spans="1:8" x14ac:dyDescent="0.3">
      <c r="A695">
        <v>3297</v>
      </c>
      <c r="B695" t="s">
        <v>1309</v>
      </c>
      <c r="C695" t="s">
        <v>1510</v>
      </c>
      <c r="D695" t="s">
        <v>2224</v>
      </c>
      <c r="E695" t="s">
        <v>8</v>
      </c>
      <c r="F695" t="s">
        <v>21</v>
      </c>
      <c r="G695" t="s">
        <v>4783</v>
      </c>
      <c r="H695" s="7">
        <v>92553</v>
      </c>
    </row>
    <row r="696" spans="1:8" x14ac:dyDescent="0.3">
      <c r="A696">
        <v>3298</v>
      </c>
      <c r="B696" t="s">
        <v>5</v>
      </c>
      <c r="C696" t="s">
        <v>93</v>
      </c>
      <c r="D696" t="s">
        <v>1936</v>
      </c>
      <c r="E696" t="s">
        <v>27</v>
      </c>
      <c r="F696" t="s">
        <v>9</v>
      </c>
      <c r="G696" t="s">
        <v>4546</v>
      </c>
      <c r="H696" s="7">
        <v>725</v>
      </c>
    </row>
    <row r="697" spans="1:8" x14ac:dyDescent="0.3">
      <c r="A697">
        <v>3300</v>
      </c>
      <c r="B697" t="s">
        <v>1253</v>
      </c>
      <c r="C697" t="s">
        <v>93</v>
      </c>
      <c r="D697" t="s">
        <v>1675</v>
      </c>
      <c r="E697" t="s">
        <v>27</v>
      </c>
      <c r="F697" t="s">
        <v>158</v>
      </c>
      <c r="G697" t="s">
        <v>1676</v>
      </c>
      <c r="H697" s="7">
        <v>37075</v>
      </c>
    </row>
    <row r="698" spans="1:8" x14ac:dyDescent="0.3">
      <c r="A698">
        <v>3303</v>
      </c>
      <c r="B698" t="s">
        <v>5</v>
      </c>
      <c r="C698" t="s">
        <v>93</v>
      </c>
      <c r="D698" t="s">
        <v>1812</v>
      </c>
      <c r="E698" t="s">
        <v>27</v>
      </c>
      <c r="F698" t="s">
        <v>9</v>
      </c>
      <c r="G698" t="s">
        <v>1596</v>
      </c>
      <c r="H698" s="7">
        <v>725</v>
      </c>
    </row>
    <row r="699" spans="1:8" x14ac:dyDescent="0.3">
      <c r="A699">
        <v>3306</v>
      </c>
      <c r="B699" t="s">
        <v>368</v>
      </c>
      <c r="C699" t="s">
        <v>93</v>
      </c>
      <c r="D699" t="s">
        <v>4415</v>
      </c>
      <c r="E699" t="s">
        <v>27</v>
      </c>
      <c r="F699" t="s">
        <v>88</v>
      </c>
      <c r="G699" t="s">
        <v>4416</v>
      </c>
      <c r="H699" s="7">
        <v>10023</v>
      </c>
    </row>
    <row r="700" spans="1:8" x14ac:dyDescent="0.3">
      <c r="A700">
        <v>3307</v>
      </c>
      <c r="B700" t="s">
        <v>5</v>
      </c>
      <c r="C700" t="s">
        <v>927</v>
      </c>
      <c r="D700" t="s">
        <v>811</v>
      </c>
      <c r="E700" t="s">
        <v>8</v>
      </c>
      <c r="F700" t="s">
        <v>9</v>
      </c>
      <c r="G700" t="s">
        <v>4407</v>
      </c>
      <c r="H700" s="7">
        <v>725</v>
      </c>
    </row>
    <row r="701" spans="1:8" x14ac:dyDescent="0.3">
      <c r="A701">
        <v>3312</v>
      </c>
      <c r="B701" t="s">
        <v>4174</v>
      </c>
      <c r="C701" t="s">
        <v>332</v>
      </c>
      <c r="D701" t="s">
        <v>107</v>
      </c>
      <c r="E701" t="s">
        <v>8</v>
      </c>
      <c r="F701" t="s">
        <v>88</v>
      </c>
      <c r="G701" t="s">
        <v>2508</v>
      </c>
      <c r="H701" s="7">
        <v>11375</v>
      </c>
    </row>
    <row r="702" spans="1:8" x14ac:dyDescent="0.3">
      <c r="A702">
        <v>3322</v>
      </c>
      <c r="B702" t="s">
        <v>111</v>
      </c>
      <c r="C702" t="s">
        <v>663</v>
      </c>
      <c r="D702" t="s">
        <v>107</v>
      </c>
      <c r="E702" t="s">
        <v>8</v>
      </c>
      <c r="F702" t="s">
        <v>114</v>
      </c>
      <c r="G702" t="s">
        <v>4079</v>
      </c>
      <c r="H702" s="7">
        <v>78840</v>
      </c>
    </row>
    <row r="703" spans="1:8" x14ac:dyDescent="0.3">
      <c r="A703">
        <v>3324</v>
      </c>
      <c r="B703" t="s">
        <v>723</v>
      </c>
      <c r="C703" t="s">
        <v>93</v>
      </c>
      <c r="D703" t="s">
        <v>107</v>
      </c>
      <c r="E703" t="s">
        <v>27</v>
      </c>
      <c r="F703" t="s">
        <v>729</v>
      </c>
      <c r="G703" t="s">
        <v>5459</v>
      </c>
      <c r="H703" s="7">
        <v>80012</v>
      </c>
    </row>
    <row r="704" spans="1:8" x14ac:dyDescent="0.3">
      <c r="A704">
        <v>3326</v>
      </c>
      <c r="B704" t="s">
        <v>670</v>
      </c>
      <c r="C704" t="s">
        <v>93</v>
      </c>
      <c r="D704" t="s">
        <v>107</v>
      </c>
      <c r="E704" t="s">
        <v>27</v>
      </c>
      <c r="F704" t="s">
        <v>55</v>
      </c>
      <c r="G704" t="s">
        <v>1269</v>
      </c>
      <c r="H704" s="7">
        <v>60126</v>
      </c>
    </row>
    <row r="705" spans="1:8" x14ac:dyDescent="0.3">
      <c r="A705">
        <v>3330</v>
      </c>
      <c r="B705" t="s">
        <v>1919</v>
      </c>
      <c r="C705" t="s">
        <v>93</v>
      </c>
      <c r="D705" t="s">
        <v>1304</v>
      </c>
      <c r="E705" t="s">
        <v>8</v>
      </c>
      <c r="F705" t="s">
        <v>242</v>
      </c>
      <c r="G705" t="s">
        <v>1920</v>
      </c>
      <c r="H705" s="7">
        <v>21740</v>
      </c>
    </row>
    <row r="706" spans="1:8" x14ac:dyDescent="0.3">
      <c r="A706">
        <v>3331</v>
      </c>
      <c r="B706" t="s">
        <v>1850</v>
      </c>
      <c r="C706" t="s">
        <v>1981</v>
      </c>
      <c r="D706" t="s">
        <v>985</v>
      </c>
      <c r="E706" t="s">
        <v>8</v>
      </c>
      <c r="F706" t="s">
        <v>21</v>
      </c>
      <c r="G706" t="s">
        <v>1852</v>
      </c>
      <c r="H706" s="7">
        <v>92708</v>
      </c>
    </row>
    <row r="707" spans="1:8" x14ac:dyDescent="0.3">
      <c r="A707">
        <v>3332</v>
      </c>
      <c r="B707" t="s">
        <v>3953</v>
      </c>
      <c r="C707" t="s">
        <v>93</v>
      </c>
      <c r="D707" t="s">
        <v>1812</v>
      </c>
      <c r="E707" t="s">
        <v>8</v>
      </c>
      <c r="F707" t="s">
        <v>21</v>
      </c>
      <c r="G707" t="s">
        <v>5099</v>
      </c>
      <c r="H707" s="7">
        <v>95207</v>
      </c>
    </row>
    <row r="708" spans="1:8" x14ac:dyDescent="0.3">
      <c r="A708">
        <v>3336</v>
      </c>
      <c r="B708" t="s">
        <v>495</v>
      </c>
      <c r="C708" t="s">
        <v>2697</v>
      </c>
      <c r="D708" t="s">
        <v>2883</v>
      </c>
      <c r="E708" t="s">
        <v>8</v>
      </c>
      <c r="F708" t="s">
        <v>88</v>
      </c>
      <c r="G708" t="s">
        <v>2884</v>
      </c>
      <c r="H708" s="7">
        <v>11209</v>
      </c>
    </row>
    <row r="709" spans="1:8" x14ac:dyDescent="0.3">
      <c r="A709">
        <v>3345</v>
      </c>
      <c r="B709" t="s">
        <v>5</v>
      </c>
      <c r="C709" t="s">
        <v>1144</v>
      </c>
      <c r="D709" t="s">
        <v>107</v>
      </c>
      <c r="E709" t="s">
        <v>8</v>
      </c>
      <c r="F709" t="s">
        <v>9</v>
      </c>
      <c r="G709" t="s">
        <v>1994</v>
      </c>
      <c r="H709" s="7">
        <v>725</v>
      </c>
    </row>
    <row r="710" spans="1:8" x14ac:dyDescent="0.3">
      <c r="A710">
        <v>3347</v>
      </c>
      <c r="B710" t="s">
        <v>1139</v>
      </c>
      <c r="C710" t="s">
        <v>93</v>
      </c>
      <c r="D710" t="s">
        <v>2281</v>
      </c>
      <c r="E710" t="s">
        <v>95</v>
      </c>
      <c r="F710" t="s">
        <v>114</v>
      </c>
      <c r="G710" t="s">
        <v>1142</v>
      </c>
      <c r="H710" s="7">
        <v>79912</v>
      </c>
    </row>
    <row r="711" spans="1:8" x14ac:dyDescent="0.3">
      <c r="A711">
        <v>3354</v>
      </c>
      <c r="B711" t="s">
        <v>5</v>
      </c>
      <c r="C711" t="s">
        <v>2767</v>
      </c>
      <c r="D711" t="s">
        <v>1870</v>
      </c>
      <c r="E711" t="s">
        <v>27</v>
      </c>
      <c r="F711" t="s">
        <v>9</v>
      </c>
      <c r="G711" t="s">
        <v>2768</v>
      </c>
      <c r="H711" s="7">
        <v>725</v>
      </c>
    </row>
    <row r="712" spans="1:8" x14ac:dyDescent="0.3">
      <c r="A712">
        <v>3357</v>
      </c>
      <c r="B712" t="s">
        <v>505</v>
      </c>
      <c r="C712" t="s">
        <v>93</v>
      </c>
      <c r="D712" t="s">
        <v>107</v>
      </c>
      <c r="E712" t="s">
        <v>95</v>
      </c>
      <c r="F712" t="s">
        <v>448</v>
      </c>
      <c r="G712" t="s">
        <v>5499</v>
      </c>
      <c r="H712" s="7">
        <v>33549</v>
      </c>
    </row>
    <row r="713" spans="1:8" x14ac:dyDescent="0.3">
      <c r="A713">
        <v>3371</v>
      </c>
      <c r="B713" t="s">
        <v>5</v>
      </c>
      <c r="C713" t="s">
        <v>1191</v>
      </c>
      <c r="D713" t="s">
        <v>3320</v>
      </c>
      <c r="E713" t="s">
        <v>8</v>
      </c>
      <c r="F713" t="s">
        <v>9</v>
      </c>
      <c r="G713" t="s">
        <v>3294</v>
      </c>
      <c r="H713" s="7">
        <v>725</v>
      </c>
    </row>
    <row r="714" spans="1:8" x14ac:dyDescent="0.3">
      <c r="A714">
        <v>3372</v>
      </c>
      <c r="B714" t="s">
        <v>1243</v>
      </c>
      <c r="C714" t="s">
        <v>1045</v>
      </c>
      <c r="D714" t="s">
        <v>107</v>
      </c>
      <c r="E714" t="s">
        <v>8</v>
      </c>
      <c r="F714" t="s">
        <v>308</v>
      </c>
      <c r="G714" t="s">
        <v>3948</v>
      </c>
      <c r="H714" s="7">
        <v>8540</v>
      </c>
    </row>
    <row r="715" spans="1:8" x14ac:dyDescent="0.3">
      <c r="A715">
        <v>3373</v>
      </c>
      <c r="B715" t="s">
        <v>5</v>
      </c>
      <c r="C715" t="s">
        <v>93</v>
      </c>
      <c r="D715" t="s">
        <v>3524</v>
      </c>
      <c r="E715" t="s">
        <v>8</v>
      </c>
      <c r="F715" t="s">
        <v>9</v>
      </c>
      <c r="G715" t="s">
        <v>940</v>
      </c>
      <c r="H715" s="7">
        <v>725</v>
      </c>
    </row>
    <row r="716" spans="1:8" x14ac:dyDescent="0.3">
      <c r="A716">
        <v>3382</v>
      </c>
      <c r="B716" t="s">
        <v>5</v>
      </c>
      <c r="C716" t="s">
        <v>886</v>
      </c>
      <c r="D716" t="s">
        <v>441</v>
      </c>
      <c r="E716" t="s">
        <v>95</v>
      </c>
      <c r="F716" t="s">
        <v>9</v>
      </c>
      <c r="G716" t="s">
        <v>887</v>
      </c>
      <c r="H716" s="7">
        <v>725</v>
      </c>
    </row>
    <row r="717" spans="1:8" x14ac:dyDescent="0.3">
      <c r="A717">
        <v>3385</v>
      </c>
      <c r="B717" t="s">
        <v>120</v>
      </c>
      <c r="C717" t="s">
        <v>597</v>
      </c>
      <c r="D717" t="s">
        <v>413</v>
      </c>
      <c r="E717" t="s">
        <v>95</v>
      </c>
      <c r="F717" t="s">
        <v>21</v>
      </c>
      <c r="G717" t="s">
        <v>1826</v>
      </c>
      <c r="H717" s="7">
        <v>92870</v>
      </c>
    </row>
    <row r="718" spans="1:8" x14ac:dyDescent="0.3">
      <c r="A718">
        <v>3386</v>
      </c>
      <c r="B718" t="s">
        <v>1688</v>
      </c>
      <c r="C718" t="s">
        <v>1172</v>
      </c>
      <c r="D718" t="s">
        <v>107</v>
      </c>
      <c r="E718" t="s">
        <v>8</v>
      </c>
      <c r="F718" t="s">
        <v>114</v>
      </c>
      <c r="G718" t="s">
        <v>2218</v>
      </c>
      <c r="H718" s="7">
        <v>78040</v>
      </c>
    </row>
    <row r="719" spans="1:8" x14ac:dyDescent="0.3">
      <c r="A719">
        <v>3387</v>
      </c>
      <c r="B719" t="s">
        <v>5</v>
      </c>
      <c r="C719" t="s">
        <v>1231</v>
      </c>
      <c r="D719" t="s">
        <v>5088</v>
      </c>
      <c r="E719" t="s">
        <v>8</v>
      </c>
      <c r="F719" t="s">
        <v>9</v>
      </c>
      <c r="G719" t="s">
        <v>5488</v>
      </c>
      <c r="H719" s="7">
        <v>725</v>
      </c>
    </row>
    <row r="720" spans="1:8" x14ac:dyDescent="0.3">
      <c r="A720">
        <v>3389</v>
      </c>
      <c r="B720" t="s">
        <v>1135</v>
      </c>
      <c r="C720" t="s">
        <v>93</v>
      </c>
      <c r="D720" t="s">
        <v>985</v>
      </c>
      <c r="E720" t="s">
        <v>8</v>
      </c>
      <c r="F720" t="s">
        <v>36</v>
      </c>
      <c r="G720" t="s">
        <v>1138</v>
      </c>
      <c r="H720" s="7">
        <v>1201</v>
      </c>
    </row>
    <row r="721" spans="1:8" x14ac:dyDescent="0.3">
      <c r="A721">
        <v>3393</v>
      </c>
      <c r="B721" t="s">
        <v>5</v>
      </c>
      <c r="C721" t="s">
        <v>1714</v>
      </c>
      <c r="D721" t="s">
        <v>107</v>
      </c>
      <c r="E721" t="s">
        <v>8</v>
      </c>
      <c r="F721" t="s">
        <v>9</v>
      </c>
      <c r="G721" t="s">
        <v>5588</v>
      </c>
      <c r="H721" s="7">
        <v>725</v>
      </c>
    </row>
    <row r="722" spans="1:8" x14ac:dyDescent="0.3">
      <c r="A722">
        <v>3401</v>
      </c>
      <c r="B722" t="s">
        <v>5</v>
      </c>
      <c r="C722" t="s">
        <v>913</v>
      </c>
      <c r="D722" t="s">
        <v>2457</v>
      </c>
      <c r="E722" t="s">
        <v>8</v>
      </c>
      <c r="F722" t="s">
        <v>9</v>
      </c>
      <c r="G722" t="s">
        <v>2458</v>
      </c>
      <c r="H722" s="7">
        <v>725</v>
      </c>
    </row>
    <row r="723" spans="1:8" x14ac:dyDescent="0.3">
      <c r="A723">
        <v>3409</v>
      </c>
      <c r="B723" t="s">
        <v>656</v>
      </c>
      <c r="C723" t="s">
        <v>93</v>
      </c>
      <c r="D723" t="s">
        <v>2153</v>
      </c>
      <c r="E723" t="s">
        <v>8</v>
      </c>
      <c r="F723" t="s">
        <v>77</v>
      </c>
      <c r="G723" t="s">
        <v>2154</v>
      </c>
      <c r="H723" s="7">
        <v>19148</v>
      </c>
    </row>
    <row r="724" spans="1:8" x14ac:dyDescent="0.3">
      <c r="A724">
        <v>3410</v>
      </c>
      <c r="B724" t="s">
        <v>5</v>
      </c>
      <c r="C724" t="s">
        <v>1482</v>
      </c>
      <c r="D724" t="s">
        <v>107</v>
      </c>
      <c r="E724" t="s">
        <v>27</v>
      </c>
      <c r="F724" t="s">
        <v>9</v>
      </c>
      <c r="G724" t="s">
        <v>4882</v>
      </c>
      <c r="H724" s="7">
        <v>725</v>
      </c>
    </row>
    <row r="725" spans="1:8" x14ac:dyDescent="0.3">
      <c r="A725">
        <v>3413</v>
      </c>
      <c r="B725" t="s">
        <v>3406</v>
      </c>
      <c r="C725" t="s">
        <v>93</v>
      </c>
      <c r="D725" t="s">
        <v>3407</v>
      </c>
      <c r="E725" t="s">
        <v>95</v>
      </c>
      <c r="F725" t="s">
        <v>21</v>
      </c>
      <c r="G725" t="s">
        <v>3408</v>
      </c>
      <c r="H725" s="7">
        <v>93638</v>
      </c>
    </row>
    <row r="726" spans="1:8" x14ac:dyDescent="0.3">
      <c r="A726">
        <v>3414</v>
      </c>
      <c r="B726" t="s">
        <v>5</v>
      </c>
      <c r="C726" t="s">
        <v>397</v>
      </c>
      <c r="D726" t="s">
        <v>107</v>
      </c>
      <c r="E726" t="s">
        <v>95</v>
      </c>
      <c r="F726" t="s">
        <v>9</v>
      </c>
      <c r="G726" t="s">
        <v>539</v>
      </c>
      <c r="H726" s="7">
        <v>725</v>
      </c>
    </row>
    <row r="727" spans="1:8" x14ac:dyDescent="0.3">
      <c r="A727">
        <v>3421</v>
      </c>
      <c r="B727" t="s">
        <v>5</v>
      </c>
      <c r="C727" t="s">
        <v>2047</v>
      </c>
      <c r="D727" t="s">
        <v>2048</v>
      </c>
      <c r="E727" t="s">
        <v>27</v>
      </c>
      <c r="F727" t="s">
        <v>9</v>
      </c>
      <c r="G727" t="s">
        <v>1146</v>
      </c>
      <c r="H727" s="7">
        <v>725</v>
      </c>
    </row>
    <row r="728" spans="1:8" x14ac:dyDescent="0.3">
      <c r="A728">
        <v>3429</v>
      </c>
      <c r="B728" t="s">
        <v>5</v>
      </c>
      <c r="C728" t="s">
        <v>93</v>
      </c>
      <c r="D728" t="s">
        <v>107</v>
      </c>
      <c r="E728" t="s">
        <v>27</v>
      </c>
      <c r="F728" t="s">
        <v>9</v>
      </c>
      <c r="G728" t="s">
        <v>5348</v>
      </c>
      <c r="H728" s="7">
        <v>725</v>
      </c>
    </row>
    <row r="729" spans="1:8" x14ac:dyDescent="0.3">
      <c r="A729">
        <v>3431</v>
      </c>
      <c r="B729" t="s">
        <v>5</v>
      </c>
      <c r="C729" t="s">
        <v>93</v>
      </c>
      <c r="D729" t="s">
        <v>1084</v>
      </c>
      <c r="E729" t="s">
        <v>8</v>
      </c>
      <c r="F729" t="s">
        <v>9</v>
      </c>
      <c r="G729" t="s">
        <v>1085</v>
      </c>
      <c r="H729" s="7">
        <v>725</v>
      </c>
    </row>
    <row r="730" spans="1:8" x14ac:dyDescent="0.3">
      <c r="A730">
        <v>3441</v>
      </c>
      <c r="B730" t="s">
        <v>163</v>
      </c>
      <c r="C730" t="s">
        <v>1788</v>
      </c>
      <c r="D730" t="s">
        <v>2767</v>
      </c>
      <c r="E730" t="s">
        <v>8</v>
      </c>
      <c r="F730" t="s">
        <v>88</v>
      </c>
      <c r="G730" t="s">
        <v>3949</v>
      </c>
      <c r="H730" s="7">
        <v>14094</v>
      </c>
    </row>
    <row r="731" spans="1:8" x14ac:dyDescent="0.3">
      <c r="A731">
        <v>3442</v>
      </c>
      <c r="B731" t="s">
        <v>5</v>
      </c>
      <c r="C731" t="s">
        <v>93</v>
      </c>
      <c r="D731" t="s">
        <v>1720</v>
      </c>
      <c r="E731" t="s">
        <v>8</v>
      </c>
      <c r="F731" t="s">
        <v>9</v>
      </c>
      <c r="G731" t="s">
        <v>5135</v>
      </c>
      <c r="H731" s="7">
        <v>725</v>
      </c>
    </row>
    <row r="732" spans="1:8" x14ac:dyDescent="0.3">
      <c r="A732">
        <v>3443</v>
      </c>
      <c r="B732" t="s">
        <v>1197</v>
      </c>
      <c r="C732" t="s">
        <v>251</v>
      </c>
      <c r="D732" t="s">
        <v>107</v>
      </c>
      <c r="E732" t="s">
        <v>8</v>
      </c>
      <c r="F732" t="s">
        <v>749</v>
      </c>
      <c r="G732" t="s">
        <v>4129</v>
      </c>
      <c r="H732" s="7">
        <v>47906</v>
      </c>
    </row>
    <row r="733" spans="1:8" x14ac:dyDescent="0.3">
      <c r="A733">
        <v>3449</v>
      </c>
      <c r="B733" t="s">
        <v>179</v>
      </c>
      <c r="C733" t="s">
        <v>663</v>
      </c>
      <c r="D733" t="s">
        <v>2596</v>
      </c>
      <c r="E733" t="s">
        <v>8</v>
      </c>
      <c r="F733" t="s">
        <v>21</v>
      </c>
      <c r="G733" t="s">
        <v>5417</v>
      </c>
      <c r="H733" s="7">
        <v>95014</v>
      </c>
    </row>
    <row r="734" spans="1:8" x14ac:dyDescent="0.3">
      <c r="A734">
        <v>3452</v>
      </c>
      <c r="B734" t="s">
        <v>447</v>
      </c>
      <c r="C734" t="s">
        <v>93</v>
      </c>
      <c r="D734" t="s">
        <v>685</v>
      </c>
      <c r="E734" t="s">
        <v>8</v>
      </c>
      <c r="F734" t="s">
        <v>448</v>
      </c>
      <c r="G734" t="s">
        <v>915</v>
      </c>
      <c r="H734" s="7">
        <v>33016</v>
      </c>
    </row>
    <row r="735" spans="1:8" x14ac:dyDescent="0.3">
      <c r="A735">
        <v>3453</v>
      </c>
      <c r="B735" t="s">
        <v>5</v>
      </c>
      <c r="C735" t="s">
        <v>93</v>
      </c>
      <c r="D735" t="s">
        <v>107</v>
      </c>
      <c r="E735" t="s">
        <v>8</v>
      </c>
      <c r="F735" t="s">
        <v>9</v>
      </c>
      <c r="G735" t="s">
        <v>3898</v>
      </c>
      <c r="H735" s="7">
        <v>725</v>
      </c>
    </row>
    <row r="736" spans="1:8" x14ac:dyDescent="0.3">
      <c r="A736">
        <v>3455</v>
      </c>
      <c r="B736" t="s">
        <v>865</v>
      </c>
      <c r="C736" t="s">
        <v>93</v>
      </c>
      <c r="D736" t="s">
        <v>107</v>
      </c>
      <c r="E736" t="s">
        <v>95</v>
      </c>
      <c r="F736" t="s">
        <v>190</v>
      </c>
      <c r="G736" t="s">
        <v>4442</v>
      </c>
      <c r="H736" s="7">
        <v>85713</v>
      </c>
    </row>
    <row r="737" spans="1:8" x14ac:dyDescent="0.3">
      <c r="A737">
        <v>3461</v>
      </c>
      <c r="B737" t="s">
        <v>1313</v>
      </c>
      <c r="C737" t="s">
        <v>847</v>
      </c>
      <c r="D737" t="s">
        <v>107</v>
      </c>
      <c r="E737" t="s">
        <v>27</v>
      </c>
      <c r="F737" t="s">
        <v>448</v>
      </c>
      <c r="G737" t="s">
        <v>2214</v>
      </c>
      <c r="H737" s="7">
        <v>33175</v>
      </c>
    </row>
    <row r="738" spans="1:8" x14ac:dyDescent="0.3">
      <c r="A738">
        <v>3465</v>
      </c>
      <c r="B738" t="s">
        <v>2754</v>
      </c>
      <c r="C738" t="s">
        <v>93</v>
      </c>
      <c r="D738" t="s">
        <v>2755</v>
      </c>
      <c r="E738" t="s">
        <v>95</v>
      </c>
      <c r="F738" t="s">
        <v>21</v>
      </c>
      <c r="G738" t="s">
        <v>2756</v>
      </c>
      <c r="H738" s="7">
        <v>95051</v>
      </c>
    </row>
    <row r="739" spans="1:8" x14ac:dyDescent="0.3">
      <c r="A739">
        <v>3467</v>
      </c>
      <c r="B739" t="s">
        <v>1020</v>
      </c>
      <c r="C739" t="s">
        <v>1294</v>
      </c>
      <c r="D739" t="s">
        <v>107</v>
      </c>
      <c r="E739" t="s">
        <v>8</v>
      </c>
      <c r="F739" t="s">
        <v>21</v>
      </c>
      <c r="G739" t="s">
        <v>5374</v>
      </c>
      <c r="H739" s="7">
        <v>91331</v>
      </c>
    </row>
    <row r="740" spans="1:8" x14ac:dyDescent="0.3">
      <c r="A740">
        <v>3470</v>
      </c>
      <c r="B740" t="s">
        <v>1888</v>
      </c>
      <c r="C740" t="s">
        <v>160</v>
      </c>
      <c r="D740" t="s">
        <v>770</v>
      </c>
      <c r="E740" t="s">
        <v>95</v>
      </c>
      <c r="F740" t="s">
        <v>55</v>
      </c>
      <c r="G740" t="s">
        <v>5508</v>
      </c>
      <c r="H740" s="7">
        <v>60102</v>
      </c>
    </row>
    <row r="741" spans="1:8" x14ac:dyDescent="0.3">
      <c r="A741">
        <v>3480</v>
      </c>
      <c r="B741" t="s">
        <v>5</v>
      </c>
      <c r="C741" t="s">
        <v>251</v>
      </c>
      <c r="D741" t="s">
        <v>107</v>
      </c>
      <c r="E741" t="s">
        <v>27</v>
      </c>
      <c r="F741" t="s">
        <v>9</v>
      </c>
      <c r="G741" t="s">
        <v>1380</v>
      </c>
      <c r="H741" s="7">
        <v>725</v>
      </c>
    </row>
    <row r="742" spans="1:8" x14ac:dyDescent="0.3">
      <c r="A742">
        <v>3481</v>
      </c>
      <c r="B742" t="s">
        <v>1520</v>
      </c>
      <c r="C742" t="s">
        <v>555</v>
      </c>
      <c r="D742" t="s">
        <v>2765</v>
      </c>
      <c r="E742" t="s">
        <v>8</v>
      </c>
      <c r="F742" t="s">
        <v>381</v>
      </c>
      <c r="G742" t="s">
        <v>3014</v>
      </c>
      <c r="H742" s="7">
        <v>49509</v>
      </c>
    </row>
    <row r="743" spans="1:8" x14ac:dyDescent="0.3">
      <c r="A743">
        <v>3489</v>
      </c>
      <c r="B743" t="s">
        <v>601</v>
      </c>
      <c r="C743" t="s">
        <v>1299</v>
      </c>
      <c r="D743" t="s">
        <v>2470</v>
      </c>
      <c r="E743" t="s">
        <v>27</v>
      </c>
      <c r="F743" t="s">
        <v>114</v>
      </c>
      <c r="G743" t="s">
        <v>4378</v>
      </c>
      <c r="H743" s="7">
        <v>78704</v>
      </c>
    </row>
    <row r="744" spans="1:8" x14ac:dyDescent="0.3">
      <c r="A744">
        <v>3493</v>
      </c>
      <c r="B744" t="s">
        <v>5</v>
      </c>
      <c r="C744" t="s">
        <v>776</v>
      </c>
      <c r="D744" t="s">
        <v>704</v>
      </c>
      <c r="E744" t="s">
        <v>8</v>
      </c>
      <c r="F744" t="s">
        <v>9</v>
      </c>
      <c r="G744" t="s">
        <v>2007</v>
      </c>
      <c r="H744" s="7">
        <v>725</v>
      </c>
    </row>
    <row r="745" spans="1:8" x14ac:dyDescent="0.3">
      <c r="A745">
        <v>3505</v>
      </c>
      <c r="B745" t="s">
        <v>254</v>
      </c>
      <c r="C745" t="s">
        <v>787</v>
      </c>
      <c r="D745" t="s">
        <v>107</v>
      </c>
      <c r="E745" t="s">
        <v>27</v>
      </c>
      <c r="F745" t="s">
        <v>55</v>
      </c>
      <c r="G745" t="s">
        <v>878</v>
      </c>
      <c r="H745" s="7">
        <v>60647</v>
      </c>
    </row>
    <row r="746" spans="1:8" x14ac:dyDescent="0.3">
      <c r="A746">
        <v>3508</v>
      </c>
      <c r="B746" t="s">
        <v>1938</v>
      </c>
      <c r="C746" t="s">
        <v>2053</v>
      </c>
      <c r="D746" t="s">
        <v>107</v>
      </c>
      <c r="E746" t="s">
        <v>95</v>
      </c>
      <c r="F746" t="s">
        <v>21</v>
      </c>
      <c r="G746" t="s">
        <v>3437</v>
      </c>
      <c r="H746" s="7">
        <v>92027</v>
      </c>
    </row>
    <row r="747" spans="1:8" x14ac:dyDescent="0.3">
      <c r="A747">
        <v>3509</v>
      </c>
      <c r="B747" t="s">
        <v>5</v>
      </c>
      <c r="C747" t="s">
        <v>93</v>
      </c>
      <c r="D747" t="s">
        <v>1636</v>
      </c>
      <c r="E747" t="s">
        <v>95</v>
      </c>
      <c r="F747" t="s">
        <v>9</v>
      </c>
      <c r="G747" t="s">
        <v>4476</v>
      </c>
      <c r="H747" s="7">
        <v>725</v>
      </c>
    </row>
    <row r="748" spans="1:8" x14ac:dyDescent="0.3">
      <c r="A748">
        <v>3516</v>
      </c>
      <c r="B748" t="s">
        <v>5</v>
      </c>
      <c r="C748" t="s">
        <v>454</v>
      </c>
      <c r="D748" t="s">
        <v>107</v>
      </c>
      <c r="E748" t="s">
        <v>95</v>
      </c>
      <c r="F748" t="s">
        <v>9</v>
      </c>
      <c r="G748" t="s">
        <v>1069</v>
      </c>
      <c r="H748" s="7">
        <v>725</v>
      </c>
    </row>
    <row r="749" spans="1:8" x14ac:dyDescent="0.3">
      <c r="A749">
        <v>3519</v>
      </c>
      <c r="B749" t="s">
        <v>440</v>
      </c>
      <c r="C749" t="s">
        <v>230</v>
      </c>
      <c r="D749" t="s">
        <v>2566</v>
      </c>
      <c r="E749" t="s">
        <v>8</v>
      </c>
      <c r="F749" t="s">
        <v>114</v>
      </c>
      <c r="G749" t="s">
        <v>442</v>
      </c>
      <c r="H749" s="7">
        <v>78240</v>
      </c>
    </row>
    <row r="750" spans="1:8" x14ac:dyDescent="0.3">
      <c r="A750">
        <v>3520</v>
      </c>
      <c r="B750" t="s">
        <v>5</v>
      </c>
      <c r="C750" t="s">
        <v>93</v>
      </c>
      <c r="D750" t="s">
        <v>107</v>
      </c>
      <c r="E750" t="s">
        <v>8</v>
      </c>
      <c r="F750" t="s">
        <v>9</v>
      </c>
      <c r="G750" t="s">
        <v>128</v>
      </c>
      <c r="H750" s="7">
        <v>725</v>
      </c>
    </row>
    <row r="751" spans="1:8" x14ac:dyDescent="0.3">
      <c r="A751">
        <v>3524</v>
      </c>
      <c r="B751" t="s">
        <v>1535</v>
      </c>
      <c r="C751" t="s">
        <v>417</v>
      </c>
      <c r="D751" t="s">
        <v>107</v>
      </c>
      <c r="E751" t="s">
        <v>8</v>
      </c>
      <c r="F751" t="s">
        <v>140</v>
      </c>
      <c r="G751" t="s">
        <v>4623</v>
      </c>
      <c r="H751" s="7">
        <v>30043</v>
      </c>
    </row>
    <row r="752" spans="1:8" x14ac:dyDescent="0.3">
      <c r="A752">
        <v>3525</v>
      </c>
      <c r="B752" t="s">
        <v>2170</v>
      </c>
      <c r="C752" t="s">
        <v>776</v>
      </c>
      <c r="D752" t="s">
        <v>1870</v>
      </c>
      <c r="E752" t="s">
        <v>8</v>
      </c>
      <c r="F752" t="s">
        <v>248</v>
      </c>
      <c r="G752" t="s">
        <v>2571</v>
      </c>
      <c r="H752" s="7">
        <v>44105</v>
      </c>
    </row>
    <row r="753" spans="1:8" x14ac:dyDescent="0.3">
      <c r="A753">
        <v>3527</v>
      </c>
      <c r="B753" t="s">
        <v>1882</v>
      </c>
      <c r="C753" t="s">
        <v>93</v>
      </c>
      <c r="D753" t="s">
        <v>107</v>
      </c>
      <c r="E753" t="s">
        <v>8</v>
      </c>
      <c r="F753" t="s">
        <v>21</v>
      </c>
      <c r="G753" t="s">
        <v>1885</v>
      </c>
      <c r="H753" s="7">
        <v>92345</v>
      </c>
    </row>
    <row r="754" spans="1:8" x14ac:dyDescent="0.3">
      <c r="A754">
        <v>3528</v>
      </c>
      <c r="B754" t="s">
        <v>174</v>
      </c>
      <c r="C754" t="s">
        <v>948</v>
      </c>
      <c r="D754" t="s">
        <v>1018</v>
      </c>
      <c r="E754" t="s">
        <v>8</v>
      </c>
      <c r="F754" t="s">
        <v>21</v>
      </c>
      <c r="G754" t="s">
        <v>1693</v>
      </c>
      <c r="H754" s="7">
        <v>90023</v>
      </c>
    </row>
    <row r="755" spans="1:8" x14ac:dyDescent="0.3">
      <c r="A755">
        <v>3530</v>
      </c>
      <c r="B755" t="s">
        <v>5</v>
      </c>
      <c r="C755" t="s">
        <v>93</v>
      </c>
      <c r="D755" t="s">
        <v>107</v>
      </c>
      <c r="E755" t="s">
        <v>8</v>
      </c>
      <c r="F755" t="s">
        <v>9</v>
      </c>
      <c r="G755" t="s">
        <v>3316</v>
      </c>
      <c r="H755" s="7">
        <v>725</v>
      </c>
    </row>
    <row r="756" spans="1:8" x14ac:dyDescent="0.3">
      <c r="A756">
        <v>3533</v>
      </c>
      <c r="B756" t="s">
        <v>354</v>
      </c>
      <c r="C756" t="s">
        <v>93</v>
      </c>
      <c r="D756" t="s">
        <v>107</v>
      </c>
      <c r="E756" t="s">
        <v>8</v>
      </c>
      <c r="F756" t="s">
        <v>88</v>
      </c>
      <c r="G756" t="s">
        <v>2580</v>
      </c>
      <c r="H756" s="7">
        <v>11757</v>
      </c>
    </row>
    <row r="757" spans="1:8" x14ac:dyDescent="0.3">
      <c r="A757">
        <v>3539</v>
      </c>
      <c r="B757" t="s">
        <v>733</v>
      </c>
      <c r="C757" t="s">
        <v>491</v>
      </c>
      <c r="D757" t="s">
        <v>107</v>
      </c>
      <c r="E757" t="s">
        <v>8</v>
      </c>
      <c r="F757" t="s">
        <v>735</v>
      </c>
      <c r="G757" t="s">
        <v>1977</v>
      </c>
      <c r="H757" s="7">
        <v>20011</v>
      </c>
    </row>
    <row r="758" spans="1:8" x14ac:dyDescent="0.3">
      <c r="A758">
        <v>3547</v>
      </c>
      <c r="B758" t="s">
        <v>2577</v>
      </c>
      <c r="C758" t="s">
        <v>411</v>
      </c>
      <c r="D758" t="s">
        <v>2470</v>
      </c>
      <c r="E758" t="s">
        <v>8</v>
      </c>
      <c r="F758" t="s">
        <v>21</v>
      </c>
      <c r="G758" t="s">
        <v>2578</v>
      </c>
      <c r="H758" s="7">
        <v>94080</v>
      </c>
    </row>
    <row r="759" spans="1:8" x14ac:dyDescent="0.3">
      <c r="A759">
        <v>3549</v>
      </c>
      <c r="B759" t="s">
        <v>5</v>
      </c>
      <c r="C759" t="s">
        <v>1399</v>
      </c>
      <c r="D759" t="s">
        <v>1386</v>
      </c>
      <c r="E759" t="s">
        <v>8</v>
      </c>
      <c r="F759" t="s">
        <v>9</v>
      </c>
      <c r="G759" t="s">
        <v>1400</v>
      </c>
      <c r="H759" s="7">
        <v>725</v>
      </c>
    </row>
    <row r="760" spans="1:8" x14ac:dyDescent="0.3">
      <c r="A760">
        <v>3551</v>
      </c>
      <c r="B760" t="s">
        <v>5</v>
      </c>
      <c r="C760" t="s">
        <v>491</v>
      </c>
      <c r="D760" t="s">
        <v>1587</v>
      </c>
      <c r="E760" t="s">
        <v>8</v>
      </c>
      <c r="F760" t="s">
        <v>9</v>
      </c>
      <c r="G760" t="s">
        <v>2856</v>
      </c>
      <c r="H760" s="7">
        <v>725</v>
      </c>
    </row>
    <row r="761" spans="1:8" x14ac:dyDescent="0.3">
      <c r="A761">
        <v>3558</v>
      </c>
      <c r="B761" t="s">
        <v>5</v>
      </c>
      <c r="C761" t="s">
        <v>93</v>
      </c>
      <c r="D761" t="s">
        <v>107</v>
      </c>
      <c r="E761" t="s">
        <v>8</v>
      </c>
      <c r="F761" t="s">
        <v>9</v>
      </c>
      <c r="G761" t="s">
        <v>4519</v>
      </c>
      <c r="H761" s="7">
        <v>725</v>
      </c>
    </row>
    <row r="762" spans="1:8" x14ac:dyDescent="0.3">
      <c r="A762">
        <v>3561</v>
      </c>
      <c r="B762" t="s">
        <v>5</v>
      </c>
      <c r="C762" t="s">
        <v>93</v>
      </c>
      <c r="D762" t="s">
        <v>107</v>
      </c>
      <c r="E762" t="s">
        <v>8</v>
      </c>
      <c r="F762" t="s">
        <v>9</v>
      </c>
      <c r="G762" t="s">
        <v>798</v>
      </c>
      <c r="H762" s="7">
        <v>725</v>
      </c>
    </row>
    <row r="763" spans="1:8" x14ac:dyDescent="0.3">
      <c r="A763">
        <v>3568</v>
      </c>
      <c r="B763" t="s">
        <v>5</v>
      </c>
      <c r="C763" t="s">
        <v>957</v>
      </c>
      <c r="D763" t="s">
        <v>107</v>
      </c>
      <c r="E763" t="s">
        <v>95</v>
      </c>
      <c r="F763" t="s">
        <v>9</v>
      </c>
      <c r="G763" t="s">
        <v>3307</v>
      </c>
      <c r="H763" s="7">
        <v>725</v>
      </c>
    </row>
    <row r="764" spans="1:8" x14ac:dyDescent="0.3">
      <c r="A764">
        <v>3572</v>
      </c>
      <c r="B764" t="s">
        <v>2536</v>
      </c>
      <c r="C764" t="s">
        <v>93</v>
      </c>
      <c r="D764" t="s">
        <v>2364</v>
      </c>
      <c r="E764" t="s">
        <v>8</v>
      </c>
      <c r="F764" t="s">
        <v>1145</v>
      </c>
      <c r="G764" t="s">
        <v>2537</v>
      </c>
      <c r="H764" s="7">
        <v>54601</v>
      </c>
    </row>
    <row r="765" spans="1:8" x14ac:dyDescent="0.3">
      <c r="A765">
        <v>3581</v>
      </c>
      <c r="B765" t="s">
        <v>5</v>
      </c>
      <c r="C765" t="s">
        <v>93</v>
      </c>
      <c r="D765" t="s">
        <v>1345</v>
      </c>
      <c r="E765" t="s">
        <v>8</v>
      </c>
      <c r="F765" t="s">
        <v>9</v>
      </c>
      <c r="G765" t="s">
        <v>832</v>
      </c>
      <c r="H765" s="7">
        <v>725</v>
      </c>
    </row>
    <row r="766" spans="1:8" x14ac:dyDescent="0.3">
      <c r="A766">
        <v>3589</v>
      </c>
      <c r="B766" t="s">
        <v>5</v>
      </c>
      <c r="C766" t="s">
        <v>93</v>
      </c>
      <c r="D766" t="s">
        <v>107</v>
      </c>
      <c r="E766" t="s">
        <v>27</v>
      </c>
      <c r="F766" t="s">
        <v>9</v>
      </c>
      <c r="G766" t="s">
        <v>4890</v>
      </c>
      <c r="H766" s="7">
        <v>725</v>
      </c>
    </row>
    <row r="767" spans="1:8" x14ac:dyDescent="0.3">
      <c r="A767">
        <v>3593</v>
      </c>
      <c r="B767" t="s">
        <v>5</v>
      </c>
      <c r="C767" t="s">
        <v>616</v>
      </c>
      <c r="D767" t="s">
        <v>2224</v>
      </c>
      <c r="E767" t="s">
        <v>8</v>
      </c>
      <c r="F767" t="s">
        <v>9</v>
      </c>
      <c r="G767" t="s">
        <v>3354</v>
      </c>
      <c r="H767" s="7">
        <v>725</v>
      </c>
    </row>
    <row r="768" spans="1:8" x14ac:dyDescent="0.3">
      <c r="A768">
        <v>3601</v>
      </c>
      <c r="B768" t="s">
        <v>5</v>
      </c>
      <c r="C768" t="s">
        <v>795</v>
      </c>
      <c r="D768" t="s">
        <v>1819</v>
      </c>
      <c r="E768" t="s">
        <v>8</v>
      </c>
      <c r="F768" t="s">
        <v>9</v>
      </c>
      <c r="G768" t="s">
        <v>4677</v>
      </c>
      <c r="H768" s="7">
        <v>725</v>
      </c>
    </row>
    <row r="769" spans="1:8" x14ac:dyDescent="0.3">
      <c r="A769">
        <v>3602</v>
      </c>
      <c r="B769" t="s">
        <v>2973</v>
      </c>
      <c r="C769" t="s">
        <v>93</v>
      </c>
      <c r="D769" t="s">
        <v>4062</v>
      </c>
      <c r="E769" t="s">
        <v>27</v>
      </c>
      <c r="F769" t="s">
        <v>1657</v>
      </c>
      <c r="G769" t="s">
        <v>5320</v>
      </c>
      <c r="H769" s="7">
        <v>6902</v>
      </c>
    </row>
    <row r="770" spans="1:8" x14ac:dyDescent="0.3">
      <c r="A770">
        <v>3604</v>
      </c>
      <c r="B770" t="s">
        <v>2129</v>
      </c>
      <c r="C770" t="s">
        <v>589</v>
      </c>
      <c r="D770" t="s">
        <v>2169</v>
      </c>
      <c r="E770" t="s">
        <v>95</v>
      </c>
      <c r="F770" t="s">
        <v>21</v>
      </c>
      <c r="G770" t="s">
        <v>5594</v>
      </c>
      <c r="H770" s="7">
        <v>92833</v>
      </c>
    </row>
    <row r="771" spans="1:8" x14ac:dyDescent="0.3">
      <c r="A771">
        <v>3609</v>
      </c>
      <c r="B771" t="s">
        <v>2501</v>
      </c>
      <c r="C771" t="s">
        <v>251</v>
      </c>
      <c r="D771" t="s">
        <v>2678</v>
      </c>
      <c r="E771" t="s">
        <v>27</v>
      </c>
      <c r="F771" t="s">
        <v>448</v>
      </c>
      <c r="G771" t="s">
        <v>5010</v>
      </c>
      <c r="H771" s="7">
        <v>33024</v>
      </c>
    </row>
    <row r="772" spans="1:8" x14ac:dyDescent="0.3">
      <c r="A772">
        <v>3610</v>
      </c>
      <c r="B772" t="s">
        <v>384</v>
      </c>
      <c r="C772" t="s">
        <v>2067</v>
      </c>
      <c r="D772" t="s">
        <v>107</v>
      </c>
      <c r="E772" t="s">
        <v>8</v>
      </c>
      <c r="F772" t="s">
        <v>283</v>
      </c>
      <c r="G772" t="s">
        <v>5443</v>
      </c>
      <c r="H772" s="7">
        <v>22554</v>
      </c>
    </row>
    <row r="773" spans="1:8" x14ac:dyDescent="0.3">
      <c r="A773">
        <v>3627</v>
      </c>
      <c r="B773" t="s">
        <v>5</v>
      </c>
      <c r="C773" t="s">
        <v>93</v>
      </c>
      <c r="D773" t="s">
        <v>107</v>
      </c>
      <c r="E773" t="s">
        <v>27</v>
      </c>
      <c r="F773" t="s">
        <v>9</v>
      </c>
      <c r="G773" t="s">
        <v>2088</v>
      </c>
      <c r="H773" s="7">
        <v>725</v>
      </c>
    </row>
    <row r="774" spans="1:8" x14ac:dyDescent="0.3">
      <c r="A774">
        <v>3635</v>
      </c>
      <c r="B774" t="s">
        <v>18</v>
      </c>
      <c r="C774" t="s">
        <v>971</v>
      </c>
      <c r="D774" t="s">
        <v>804</v>
      </c>
      <c r="E774" t="s">
        <v>8</v>
      </c>
      <c r="F774" t="s">
        <v>21</v>
      </c>
      <c r="G774" t="s">
        <v>3206</v>
      </c>
      <c r="H774" s="7">
        <v>95112</v>
      </c>
    </row>
    <row r="775" spans="1:8" x14ac:dyDescent="0.3">
      <c r="A775">
        <v>3649</v>
      </c>
      <c r="B775" t="s">
        <v>1100</v>
      </c>
      <c r="C775" t="s">
        <v>564</v>
      </c>
      <c r="D775" t="s">
        <v>992</v>
      </c>
      <c r="E775" t="s">
        <v>27</v>
      </c>
      <c r="F775" t="s">
        <v>21</v>
      </c>
      <c r="G775" t="s">
        <v>1624</v>
      </c>
      <c r="H775" s="7">
        <v>94587</v>
      </c>
    </row>
    <row r="776" spans="1:8" x14ac:dyDescent="0.3">
      <c r="A776">
        <v>3652</v>
      </c>
      <c r="B776" t="s">
        <v>5</v>
      </c>
      <c r="C776" t="s">
        <v>1642</v>
      </c>
      <c r="D776" t="s">
        <v>2205</v>
      </c>
      <c r="E776" t="s">
        <v>95</v>
      </c>
      <c r="F776" t="s">
        <v>9</v>
      </c>
      <c r="G776" t="s">
        <v>3810</v>
      </c>
      <c r="H776" s="7">
        <v>725</v>
      </c>
    </row>
    <row r="777" spans="1:8" x14ac:dyDescent="0.3">
      <c r="A777">
        <v>3660</v>
      </c>
      <c r="B777" t="s">
        <v>111</v>
      </c>
      <c r="C777" t="s">
        <v>1391</v>
      </c>
      <c r="D777" t="s">
        <v>107</v>
      </c>
      <c r="E777" t="s">
        <v>8</v>
      </c>
      <c r="F777" t="s">
        <v>114</v>
      </c>
      <c r="G777" t="s">
        <v>3392</v>
      </c>
      <c r="H777" s="7">
        <v>78840</v>
      </c>
    </row>
    <row r="778" spans="1:8" x14ac:dyDescent="0.3">
      <c r="A778">
        <v>3666</v>
      </c>
      <c r="B778" t="s">
        <v>1243</v>
      </c>
      <c r="C778" t="s">
        <v>93</v>
      </c>
      <c r="D778" t="s">
        <v>107</v>
      </c>
      <c r="E778" t="s">
        <v>27</v>
      </c>
      <c r="F778" t="s">
        <v>308</v>
      </c>
      <c r="G778" t="s">
        <v>2230</v>
      </c>
      <c r="H778" s="7">
        <v>8540</v>
      </c>
    </row>
    <row r="779" spans="1:8" x14ac:dyDescent="0.3">
      <c r="A779">
        <v>3678</v>
      </c>
      <c r="B779" t="s">
        <v>495</v>
      </c>
      <c r="C779" t="s">
        <v>671</v>
      </c>
      <c r="D779" t="s">
        <v>2560</v>
      </c>
      <c r="E779" t="s">
        <v>8</v>
      </c>
      <c r="F779" t="s">
        <v>88</v>
      </c>
      <c r="G779" t="s">
        <v>2561</v>
      </c>
      <c r="H779" s="7">
        <v>11226</v>
      </c>
    </row>
    <row r="780" spans="1:8" x14ac:dyDescent="0.3">
      <c r="A780">
        <v>3681</v>
      </c>
      <c r="B780" t="s">
        <v>5</v>
      </c>
      <c r="C780" t="s">
        <v>2216</v>
      </c>
      <c r="D780" t="s">
        <v>413</v>
      </c>
      <c r="E780" t="s">
        <v>27</v>
      </c>
      <c r="F780" t="s">
        <v>9</v>
      </c>
      <c r="G780" t="s">
        <v>115</v>
      </c>
      <c r="H780" s="7">
        <v>725</v>
      </c>
    </row>
    <row r="781" spans="1:8" x14ac:dyDescent="0.3">
      <c r="A781">
        <v>3685</v>
      </c>
      <c r="B781" t="s">
        <v>1276</v>
      </c>
      <c r="C781" t="s">
        <v>93</v>
      </c>
      <c r="D781" t="s">
        <v>802</v>
      </c>
      <c r="E781" t="s">
        <v>8</v>
      </c>
      <c r="F781" t="s">
        <v>341</v>
      </c>
      <c r="G781" t="s">
        <v>1868</v>
      </c>
      <c r="H781" s="7">
        <v>27502</v>
      </c>
    </row>
    <row r="782" spans="1:8" x14ac:dyDescent="0.3">
      <c r="A782">
        <v>3688</v>
      </c>
      <c r="B782" t="s">
        <v>5</v>
      </c>
      <c r="C782" t="s">
        <v>3232</v>
      </c>
      <c r="D782" t="s">
        <v>107</v>
      </c>
      <c r="E782" t="s">
        <v>27</v>
      </c>
      <c r="F782" t="s">
        <v>9</v>
      </c>
      <c r="G782" t="s">
        <v>2947</v>
      </c>
      <c r="H782" s="7">
        <v>725</v>
      </c>
    </row>
    <row r="783" spans="1:8" x14ac:dyDescent="0.3">
      <c r="A783">
        <v>3690</v>
      </c>
      <c r="B783" t="s">
        <v>995</v>
      </c>
      <c r="C783" t="s">
        <v>868</v>
      </c>
      <c r="D783" t="s">
        <v>2003</v>
      </c>
      <c r="E783" t="s">
        <v>27</v>
      </c>
      <c r="F783" t="s">
        <v>283</v>
      </c>
      <c r="G783" t="s">
        <v>4945</v>
      </c>
      <c r="H783" s="7">
        <v>23455</v>
      </c>
    </row>
    <row r="784" spans="1:8" x14ac:dyDescent="0.3">
      <c r="A784">
        <v>3691</v>
      </c>
      <c r="B784" t="s">
        <v>5</v>
      </c>
      <c r="C784" t="s">
        <v>93</v>
      </c>
      <c r="D784" t="s">
        <v>1880</v>
      </c>
      <c r="E784" t="s">
        <v>8</v>
      </c>
      <c r="F784" t="s">
        <v>9</v>
      </c>
      <c r="G784" t="s">
        <v>571</v>
      </c>
      <c r="H784" s="7">
        <v>725</v>
      </c>
    </row>
    <row r="785" spans="1:8" x14ac:dyDescent="0.3">
      <c r="A785">
        <v>3695</v>
      </c>
      <c r="B785" t="s">
        <v>443</v>
      </c>
      <c r="C785" t="s">
        <v>444</v>
      </c>
      <c r="D785" t="s">
        <v>445</v>
      </c>
      <c r="E785" t="s">
        <v>27</v>
      </c>
      <c r="F785" t="s">
        <v>108</v>
      </c>
      <c r="G785" t="s">
        <v>446</v>
      </c>
      <c r="H785" s="7">
        <v>97223</v>
      </c>
    </row>
    <row r="786" spans="1:8" x14ac:dyDescent="0.3">
      <c r="A786">
        <v>3698</v>
      </c>
      <c r="B786" t="s">
        <v>5</v>
      </c>
      <c r="C786" t="s">
        <v>417</v>
      </c>
      <c r="D786" t="s">
        <v>107</v>
      </c>
      <c r="E786" t="s">
        <v>8</v>
      </c>
      <c r="F786" t="s">
        <v>9</v>
      </c>
      <c r="G786" t="s">
        <v>4820</v>
      </c>
      <c r="H786" s="7">
        <v>725</v>
      </c>
    </row>
    <row r="787" spans="1:8" x14ac:dyDescent="0.3">
      <c r="A787">
        <v>3704</v>
      </c>
      <c r="B787" t="s">
        <v>821</v>
      </c>
      <c r="C787" t="s">
        <v>93</v>
      </c>
      <c r="D787" t="s">
        <v>107</v>
      </c>
      <c r="E787" t="s">
        <v>8</v>
      </c>
      <c r="F787" t="s">
        <v>190</v>
      </c>
      <c r="G787" t="s">
        <v>517</v>
      </c>
      <c r="H787" s="7">
        <v>85224</v>
      </c>
    </row>
    <row r="788" spans="1:8" x14ac:dyDescent="0.3">
      <c r="A788">
        <v>3706</v>
      </c>
      <c r="B788" t="s">
        <v>343</v>
      </c>
      <c r="C788" t="s">
        <v>1169</v>
      </c>
      <c r="D788" t="s">
        <v>3393</v>
      </c>
      <c r="E788" t="s">
        <v>27</v>
      </c>
      <c r="F788" t="s">
        <v>248</v>
      </c>
      <c r="G788" t="s">
        <v>4602</v>
      </c>
      <c r="H788" s="7">
        <v>43230</v>
      </c>
    </row>
    <row r="789" spans="1:8" x14ac:dyDescent="0.3">
      <c r="A789">
        <v>3724</v>
      </c>
      <c r="B789" t="s">
        <v>633</v>
      </c>
      <c r="C789" t="s">
        <v>738</v>
      </c>
      <c r="D789" t="s">
        <v>2415</v>
      </c>
      <c r="E789" t="s">
        <v>8</v>
      </c>
      <c r="F789" t="s">
        <v>140</v>
      </c>
      <c r="G789" t="s">
        <v>1906</v>
      </c>
      <c r="H789" s="7">
        <v>30135</v>
      </c>
    </row>
    <row r="790" spans="1:8" x14ac:dyDescent="0.3">
      <c r="A790">
        <v>3727</v>
      </c>
      <c r="B790" t="s">
        <v>5</v>
      </c>
      <c r="C790" t="s">
        <v>2452</v>
      </c>
      <c r="D790" t="s">
        <v>4774</v>
      </c>
      <c r="E790" t="s">
        <v>8</v>
      </c>
      <c r="F790" t="s">
        <v>9</v>
      </c>
      <c r="G790" t="s">
        <v>2959</v>
      </c>
      <c r="H790" s="7">
        <v>725</v>
      </c>
    </row>
    <row r="791" spans="1:8" x14ac:dyDescent="0.3">
      <c r="A791">
        <v>3735</v>
      </c>
      <c r="B791" t="s">
        <v>2082</v>
      </c>
      <c r="C791" t="s">
        <v>93</v>
      </c>
      <c r="D791" t="s">
        <v>2224</v>
      </c>
      <c r="E791" t="s">
        <v>27</v>
      </c>
      <c r="F791" t="s">
        <v>21</v>
      </c>
      <c r="G791" t="s">
        <v>5216</v>
      </c>
      <c r="H791" s="7">
        <v>92243</v>
      </c>
    </row>
    <row r="792" spans="1:8" x14ac:dyDescent="0.3">
      <c r="A792">
        <v>3745</v>
      </c>
      <c r="B792" t="s">
        <v>5</v>
      </c>
      <c r="C792" t="s">
        <v>1068</v>
      </c>
      <c r="D792" t="s">
        <v>107</v>
      </c>
      <c r="E792" t="s">
        <v>8</v>
      </c>
      <c r="F792" t="s">
        <v>9</v>
      </c>
      <c r="G792" t="s">
        <v>1415</v>
      </c>
      <c r="H792" s="7">
        <v>725</v>
      </c>
    </row>
    <row r="793" spans="1:8" x14ac:dyDescent="0.3">
      <c r="A793">
        <v>3747</v>
      </c>
      <c r="B793" t="s">
        <v>5</v>
      </c>
      <c r="C793" t="s">
        <v>93</v>
      </c>
      <c r="D793" t="s">
        <v>3195</v>
      </c>
      <c r="E793" t="s">
        <v>8</v>
      </c>
      <c r="F793" t="s">
        <v>9</v>
      </c>
      <c r="G793" t="s">
        <v>3196</v>
      </c>
      <c r="H793" s="7">
        <v>725</v>
      </c>
    </row>
    <row r="794" spans="1:8" x14ac:dyDescent="0.3">
      <c r="A794">
        <v>3748</v>
      </c>
      <c r="B794" t="s">
        <v>2210</v>
      </c>
      <c r="C794" t="s">
        <v>2567</v>
      </c>
      <c r="D794" t="s">
        <v>107</v>
      </c>
      <c r="E794" t="s">
        <v>8</v>
      </c>
      <c r="F794" t="s">
        <v>21</v>
      </c>
      <c r="G794" t="s">
        <v>4688</v>
      </c>
      <c r="H794" s="7">
        <v>92630</v>
      </c>
    </row>
    <row r="795" spans="1:8" x14ac:dyDescent="0.3">
      <c r="A795">
        <v>3755</v>
      </c>
      <c r="B795" t="s">
        <v>174</v>
      </c>
      <c r="C795" t="s">
        <v>631</v>
      </c>
      <c r="D795" t="s">
        <v>107</v>
      </c>
      <c r="E795" t="s">
        <v>27</v>
      </c>
      <c r="F795" t="s">
        <v>21</v>
      </c>
      <c r="G795" t="s">
        <v>632</v>
      </c>
      <c r="H795" s="7">
        <v>90063</v>
      </c>
    </row>
    <row r="796" spans="1:8" x14ac:dyDescent="0.3">
      <c r="A796">
        <v>3756</v>
      </c>
      <c r="B796" t="s">
        <v>5</v>
      </c>
      <c r="C796" t="s">
        <v>93</v>
      </c>
      <c r="D796" t="s">
        <v>802</v>
      </c>
      <c r="E796" t="s">
        <v>27</v>
      </c>
      <c r="F796" t="s">
        <v>9</v>
      </c>
      <c r="G796" t="s">
        <v>803</v>
      </c>
      <c r="H796" s="7">
        <v>725</v>
      </c>
    </row>
    <row r="797" spans="1:8" x14ac:dyDescent="0.3">
      <c r="A797">
        <v>3762</v>
      </c>
      <c r="B797" t="s">
        <v>759</v>
      </c>
      <c r="C797" t="s">
        <v>535</v>
      </c>
      <c r="D797" t="s">
        <v>107</v>
      </c>
      <c r="E797" t="s">
        <v>8</v>
      </c>
      <c r="F797" t="s">
        <v>308</v>
      </c>
      <c r="G797" t="s">
        <v>760</v>
      </c>
      <c r="H797" s="7">
        <v>7093</v>
      </c>
    </row>
    <row r="798" spans="1:8" x14ac:dyDescent="0.3">
      <c r="A798">
        <v>3772</v>
      </c>
      <c r="B798" t="s">
        <v>495</v>
      </c>
      <c r="C798" t="s">
        <v>93</v>
      </c>
      <c r="D798" t="s">
        <v>107</v>
      </c>
      <c r="E798" t="s">
        <v>8</v>
      </c>
      <c r="F798" t="s">
        <v>88</v>
      </c>
      <c r="G798" t="s">
        <v>4978</v>
      </c>
      <c r="H798" s="7">
        <v>11229</v>
      </c>
    </row>
    <row r="799" spans="1:8" x14ac:dyDescent="0.3">
      <c r="A799">
        <v>3776</v>
      </c>
      <c r="B799" t="s">
        <v>5</v>
      </c>
      <c r="C799" t="s">
        <v>477</v>
      </c>
      <c r="D799" t="s">
        <v>1453</v>
      </c>
      <c r="E799" t="s">
        <v>27</v>
      </c>
      <c r="F799" t="s">
        <v>9</v>
      </c>
      <c r="G799" t="s">
        <v>1769</v>
      </c>
      <c r="H799" s="7">
        <v>725</v>
      </c>
    </row>
    <row r="800" spans="1:8" x14ac:dyDescent="0.3">
      <c r="A800">
        <v>3783</v>
      </c>
      <c r="B800" t="s">
        <v>1139</v>
      </c>
      <c r="C800" t="s">
        <v>167</v>
      </c>
      <c r="D800" t="s">
        <v>107</v>
      </c>
      <c r="E800" t="s">
        <v>8</v>
      </c>
      <c r="F800" t="s">
        <v>114</v>
      </c>
      <c r="G800" t="s">
        <v>1662</v>
      </c>
      <c r="H800" s="7">
        <v>79927</v>
      </c>
    </row>
    <row r="801" spans="1:8" x14ac:dyDescent="0.3">
      <c r="A801">
        <v>3792</v>
      </c>
      <c r="B801" t="s">
        <v>195</v>
      </c>
      <c r="C801" t="s">
        <v>1536</v>
      </c>
      <c r="D801" t="s">
        <v>3797</v>
      </c>
      <c r="E801" t="s">
        <v>95</v>
      </c>
      <c r="F801" t="s">
        <v>21</v>
      </c>
      <c r="G801" t="s">
        <v>2804</v>
      </c>
      <c r="H801" s="7">
        <v>92843</v>
      </c>
    </row>
    <row r="802" spans="1:8" x14ac:dyDescent="0.3">
      <c r="A802">
        <v>3794</v>
      </c>
      <c r="B802" t="s">
        <v>1896</v>
      </c>
      <c r="C802" t="s">
        <v>882</v>
      </c>
      <c r="D802" t="s">
        <v>107</v>
      </c>
      <c r="E802" t="s">
        <v>95</v>
      </c>
      <c r="F802" t="s">
        <v>1657</v>
      </c>
      <c r="G802" t="s">
        <v>2716</v>
      </c>
      <c r="H802" s="7">
        <v>6040</v>
      </c>
    </row>
    <row r="803" spans="1:8" x14ac:dyDescent="0.3">
      <c r="A803">
        <v>3796</v>
      </c>
      <c r="B803" t="s">
        <v>810</v>
      </c>
      <c r="C803" t="s">
        <v>93</v>
      </c>
      <c r="D803" t="s">
        <v>1746</v>
      </c>
      <c r="E803" t="s">
        <v>95</v>
      </c>
      <c r="F803" t="s">
        <v>448</v>
      </c>
      <c r="G803" t="s">
        <v>5529</v>
      </c>
      <c r="H803" s="7">
        <v>33068</v>
      </c>
    </row>
    <row r="804" spans="1:8" x14ac:dyDescent="0.3">
      <c r="A804">
        <v>3803</v>
      </c>
      <c r="B804" t="s">
        <v>1793</v>
      </c>
      <c r="C804" t="s">
        <v>93</v>
      </c>
      <c r="D804" t="s">
        <v>565</v>
      </c>
      <c r="E804" t="s">
        <v>8</v>
      </c>
      <c r="F804" t="s">
        <v>21</v>
      </c>
      <c r="G804" t="s">
        <v>3007</v>
      </c>
      <c r="H804" s="7">
        <v>94109</v>
      </c>
    </row>
    <row r="805" spans="1:8" x14ac:dyDescent="0.3">
      <c r="A805">
        <v>3810</v>
      </c>
      <c r="B805" t="s">
        <v>5</v>
      </c>
      <c r="C805" t="s">
        <v>795</v>
      </c>
      <c r="D805" t="s">
        <v>3538</v>
      </c>
      <c r="E805" t="s">
        <v>8</v>
      </c>
      <c r="F805" t="s">
        <v>9</v>
      </c>
      <c r="G805" t="s">
        <v>5258</v>
      </c>
      <c r="H805" s="7">
        <v>725</v>
      </c>
    </row>
    <row r="806" spans="1:8" x14ac:dyDescent="0.3">
      <c r="A806">
        <v>3813</v>
      </c>
      <c r="B806" t="s">
        <v>495</v>
      </c>
      <c r="C806" t="s">
        <v>564</v>
      </c>
      <c r="D806" t="s">
        <v>107</v>
      </c>
      <c r="E806" t="s">
        <v>8</v>
      </c>
      <c r="F806" t="s">
        <v>88</v>
      </c>
      <c r="G806" t="s">
        <v>3003</v>
      </c>
      <c r="H806" s="7">
        <v>11201</v>
      </c>
    </row>
    <row r="807" spans="1:8" x14ac:dyDescent="0.3">
      <c r="A807">
        <v>3816</v>
      </c>
      <c r="B807" t="s">
        <v>5</v>
      </c>
      <c r="C807" t="s">
        <v>1406</v>
      </c>
      <c r="D807" t="s">
        <v>107</v>
      </c>
      <c r="E807" t="s">
        <v>27</v>
      </c>
      <c r="F807" t="s">
        <v>9</v>
      </c>
      <c r="G807" t="s">
        <v>2941</v>
      </c>
      <c r="H807" s="7">
        <v>725</v>
      </c>
    </row>
    <row r="808" spans="1:8" x14ac:dyDescent="0.3">
      <c r="A808">
        <v>3818</v>
      </c>
      <c r="B808" t="s">
        <v>1293</v>
      </c>
      <c r="C808" t="s">
        <v>1294</v>
      </c>
      <c r="D808" t="s">
        <v>1295</v>
      </c>
      <c r="E808" t="s">
        <v>8</v>
      </c>
      <c r="F808" t="s">
        <v>190</v>
      </c>
      <c r="G808" t="s">
        <v>1296</v>
      </c>
      <c r="H808" s="7">
        <v>85283</v>
      </c>
    </row>
    <row r="809" spans="1:8" x14ac:dyDescent="0.3">
      <c r="A809">
        <v>3825</v>
      </c>
      <c r="B809" t="s">
        <v>695</v>
      </c>
      <c r="C809" t="s">
        <v>93</v>
      </c>
      <c r="D809" t="s">
        <v>122</v>
      </c>
      <c r="E809" t="s">
        <v>8</v>
      </c>
      <c r="F809" t="s">
        <v>242</v>
      </c>
      <c r="G809" t="s">
        <v>698</v>
      </c>
      <c r="H809" s="7">
        <v>20906</v>
      </c>
    </row>
    <row r="810" spans="1:8" x14ac:dyDescent="0.3">
      <c r="A810">
        <v>3826</v>
      </c>
      <c r="B810" t="s">
        <v>823</v>
      </c>
      <c r="C810" t="s">
        <v>711</v>
      </c>
      <c r="D810" t="s">
        <v>437</v>
      </c>
      <c r="E810" t="s">
        <v>8</v>
      </c>
      <c r="F810" t="s">
        <v>283</v>
      </c>
      <c r="G810" t="s">
        <v>2588</v>
      </c>
      <c r="H810" s="7">
        <v>23223</v>
      </c>
    </row>
    <row r="811" spans="1:8" x14ac:dyDescent="0.3">
      <c r="A811">
        <v>3830</v>
      </c>
      <c r="B811" t="s">
        <v>5</v>
      </c>
      <c r="C811" t="s">
        <v>1951</v>
      </c>
      <c r="D811" t="s">
        <v>107</v>
      </c>
      <c r="E811" t="s">
        <v>27</v>
      </c>
      <c r="F811" t="s">
        <v>9</v>
      </c>
      <c r="G811" t="s">
        <v>2077</v>
      </c>
      <c r="H811" s="7">
        <v>725</v>
      </c>
    </row>
    <row r="812" spans="1:8" x14ac:dyDescent="0.3">
      <c r="A812">
        <v>3833</v>
      </c>
      <c r="B812" t="s">
        <v>1563</v>
      </c>
      <c r="C812" t="s">
        <v>112</v>
      </c>
      <c r="D812" t="s">
        <v>107</v>
      </c>
      <c r="E812" t="s">
        <v>8</v>
      </c>
      <c r="F812" t="s">
        <v>729</v>
      </c>
      <c r="G812" t="s">
        <v>3258</v>
      </c>
      <c r="H812" s="7">
        <v>80631</v>
      </c>
    </row>
    <row r="813" spans="1:8" x14ac:dyDescent="0.3">
      <c r="A813">
        <v>3834</v>
      </c>
      <c r="B813" t="s">
        <v>5</v>
      </c>
      <c r="C813" t="s">
        <v>2740</v>
      </c>
      <c r="D813" t="s">
        <v>4769</v>
      </c>
      <c r="E813" t="s">
        <v>27</v>
      </c>
      <c r="F813" t="s">
        <v>9</v>
      </c>
      <c r="G813" t="s">
        <v>4025</v>
      </c>
      <c r="H813" s="7">
        <v>725</v>
      </c>
    </row>
    <row r="814" spans="1:8" x14ac:dyDescent="0.3">
      <c r="A814">
        <v>3835</v>
      </c>
      <c r="B814" t="s">
        <v>3057</v>
      </c>
      <c r="C814" t="s">
        <v>93</v>
      </c>
      <c r="D814" t="s">
        <v>107</v>
      </c>
      <c r="E814" t="s">
        <v>95</v>
      </c>
      <c r="F814" t="s">
        <v>21</v>
      </c>
      <c r="G814" t="s">
        <v>4788</v>
      </c>
      <c r="H814" s="7">
        <v>94538</v>
      </c>
    </row>
    <row r="815" spans="1:8" x14ac:dyDescent="0.3">
      <c r="A815">
        <v>3837</v>
      </c>
      <c r="B815" t="s">
        <v>723</v>
      </c>
      <c r="C815" t="s">
        <v>93</v>
      </c>
      <c r="D815" t="s">
        <v>107</v>
      </c>
      <c r="E815" t="s">
        <v>8</v>
      </c>
      <c r="F815" t="s">
        <v>729</v>
      </c>
      <c r="G815" t="s">
        <v>1733</v>
      </c>
      <c r="H815" s="7">
        <v>80010</v>
      </c>
    </row>
    <row r="816" spans="1:8" x14ac:dyDescent="0.3">
      <c r="A816">
        <v>3845</v>
      </c>
      <c r="B816" t="s">
        <v>5</v>
      </c>
      <c r="C816" t="s">
        <v>93</v>
      </c>
      <c r="D816" t="s">
        <v>107</v>
      </c>
      <c r="E816" t="s">
        <v>27</v>
      </c>
      <c r="F816" t="s">
        <v>9</v>
      </c>
      <c r="G816" t="s">
        <v>1613</v>
      </c>
      <c r="H816" s="7">
        <v>725</v>
      </c>
    </row>
    <row r="817" spans="1:8" x14ac:dyDescent="0.3">
      <c r="A817">
        <v>3849</v>
      </c>
      <c r="B817" t="s">
        <v>5</v>
      </c>
      <c r="C817" t="s">
        <v>1546</v>
      </c>
      <c r="D817" t="s">
        <v>597</v>
      </c>
      <c r="E817" t="s">
        <v>27</v>
      </c>
      <c r="F817" t="s">
        <v>9</v>
      </c>
      <c r="G817" t="s">
        <v>4337</v>
      </c>
      <c r="H817" s="7">
        <v>725</v>
      </c>
    </row>
    <row r="818" spans="1:8" x14ac:dyDescent="0.3">
      <c r="A818">
        <v>3850</v>
      </c>
      <c r="B818" t="s">
        <v>1139</v>
      </c>
      <c r="C818" t="s">
        <v>616</v>
      </c>
      <c r="D818" t="s">
        <v>685</v>
      </c>
      <c r="E818" t="s">
        <v>27</v>
      </c>
      <c r="F818" t="s">
        <v>114</v>
      </c>
      <c r="G818" t="s">
        <v>4721</v>
      </c>
      <c r="H818" s="7">
        <v>79927</v>
      </c>
    </row>
    <row r="819" spans="1:8" x14ac:dyDescent="0.3">
      <c r="A819">
        <v>3853</v>
      </c>
      <c r="B819" t="s">
        <v>702</v>
      </c>
      <c r="C819" t="s">
        <v>631</v>
      </c>
      <c r="D819" t="s">
        <v>107</v>
      </c>
      <c r="E819" t="s">
        <v>27</v>
      </c>
      <c r="F819" t="s">
        <v>88</v>
      </c>
      <c r="G819" t="s">
        <v>703</v>
      </c>
      <c r="H819" s="7">
        <v>11419</v>
      </c>
    </row>
    <row r="820" spans="1:8" x14ac:dyDescent="0.3">
      <c r="A820">
        <v>3855</v>
      </c>
      <c r="B820" t="s">
        <v>368</v>
      </c>
      <c r="C820" t="s">
        <v>895</v>
      </c>
      <c r="D820" t="s">
        <v>107</v>
      </c>
      <c r="E820" t="s">
        <v>8</v>
      </c>
      <c r="F820" t="s">
        <v>88</v>
      </c>
      <c r="G820" t="s">
        <v>4980</v>
      </c>
      <c r="H820" s="7">
        <v>10023</v>
      </c>
    </row>
    <row r="821" spans="1:8" x14ac:dyDescent="0.3">
      <c r="A821">
        <v>3865</v>
      </c>
      <c r="B821" t="s">
        <v>5</v>
      </c>
      <c r="C821" t="s">
        <v>727</v>
      </c>
      <c r="D821" t="s">
        <v>2883</v>
      </c>
      <c r="E821" t="s">
        <v>8</v>
      </c>
      <c r="F821" t="s">
        <v>9</v>
      </c>
      <c r="G821" t="s">
        <v>3765</v>
      </c>
      <c r="H821" s="7">
        <v>725</v>
      </c>
    </row>
    <row r="822" spans="1:8" x14ac:dyDescent="0.3">
      <c r="A822">
        <v>3867</v>
      </c>
      <c r="B822" t="s">
        <v>5</v>
      </c>
      <c r="C822" t="s">
        <v>93</v>
      </c>
      <c r="D822" t="s">
        <v>1622</v>
      </c>
      <c r="E822" t="s">
        <v>8</v>
      </c>
      <c r="F822" t="s">
        <v>9</v>
      </c>
      <c r="G822" t="s">
        <v>4766</v>
      </c>
      <c r="H822" s="7">
        <v>725</v>
      </c>
    </row>
    <row r="823" spans="1:8" x14ac:dyDescent="0.3">
      <c r="A823">
        <v>3872</v>
      </c>
      <c r="B823" t="s">
        <v>5</v>
      </c>
      <c r="C823" t="s">
        <v>1853</v>
      </c>
      <c r="D823" t="s">
        <v>107</v>
      </c>
      <c r="E823" t="s">
        <v>8</v>
      </c>
      <c r="F823" t="s">
        <v>9</v>
      </c>
      <c r="G823" t="s">
        <v>1056</v>
      </c>
      <c r="H823" s="7">
        <v>725</v>
      </c>
    </row>
    <row r="824" spans="1:8" x14ac:dyDescent="0.3">
      <c r="A824">
        <v>3876</v>
      </c>
      <c r="B824" t="s">
        <v>1892</v>
      </c>
      <c r="C824" t="s">
        <v>93</v>
      </c>
      <c r="D824" t="s">
        <v>4062</v>
      </c>
      <c r="E824" t="s">
        <v>8</v>
      </c>
      <c r="F824" t="s">
        <v>55</v>
      </c>
      <c r="G824" t="s">
        <v>1894</v>
      </c>
      <c r="H824" s="7">
        <v>61761</v>
      </c>
    </row>
    <row r="825" spans="1:8" x14ac:dyDescent="0.3">
      <c r="A825">
        <v>3877</v>
      </c>
      <c r="B825" t="s">
        <v>5</v>
      </c>
      <c r="C825" t="s">
        <v>417</v>
      </c>
      <c r="D825" t="s">
        <v>1996</v>
      </c>
      <c r="E825" t="s">
        <v>27</v>
      </c>
      <c r="F825" t="s">
        <v>9</v>
      </c>
      <c r="G825" t="s">
        <v>1997</v>
      </c>
      <c r="H825" s="7">
        <v>725</v>
      </c>
    </row>
    <row r="826" spans="1:8" x14ac:dyDescent="0.3">
      <c r="A826">
        <v>3881</v>
      </c>
      <c r="B826" t="s">
        <v>5</v>
      </c>
      <c r="C826" t="s">
        <v>711</v>
      </c>
      <c r="D826" t="s">
        <v>574</v>
      </c>
      <c r="E826" t="s">
        <v>27</v>
      </c>
      <c r="F826" t="s">
        <v>9</v>
      </c>
      <c r="G826" t="s">
        <v>3466</v>
      </c>
      <c r="H826" s="7">
        <v>725</v>
      </c>
    </row>
    <row r="827" spans="1:8" x14ac:dyDescent="0.3">
      <c r="A827">
        <v>3886</v>
      </c>
      <c r="B827" t="s">
        <v>5</v>
      </c>
      <c r="C827" t="s">
        <v>785</v>
      </c>
      <c r="D827" t="s">
        <v>107</v>
      </c>
      <c r="E827" t="s">
        <v>8</v>
      </c>
      <c r="F827" t="s">
        <v>9</v>
      </c>
      <c r="G827" t="s">
        <v>1459</v>
      </c>
      <c r="H827" s="7">
        <v>725</v>
      </c>
    </row>
    <row r="828" spans="1:8" x14ac:dyDescent="0.3">
      <c r="A828">
        <v>3889</v>
      </c>
      <c r="B828" t="s">
        <v>5</v>
      </c>
      <c r="C828" t="s">
        <v>93</v>
      </c>
      <c r="D828" t="s">
        <v>107</v>
      </c>
      <c r="E828" t="s">
        <v>8</v>
      </c>
      <c r="F828" t="s">
        <v>9</v>
      </c>
      <c r="G828" t="s">
        <v>3545</v>
      </c>
      <c r="H828" s="7">
        <v>725</v>
      </c>
    </row>
    <row r="829" spans="1:8" x14ac:dyDescent="0.3">
      <c r="A829">
        <v>3891</v>
      </c>
      <c r="B829" t="s">
        <v>5</v>
      </c>
      <c r="C829" t="s">
        <v>93</v>
      </c>
      <c r="D829" t="s">
        <v>879</v>
      </c>
      <c r="E829" t="s">
        <v>8</v>
      </c>
      <c r="F829" t="s">
        <v>9</v>
      </c>
      <c r="G829" t="s">
        <v>4760</v>
      </c>
      <c r="H829" s="7">
        <v>725</v>
      </c>
    </row>
    <row r="830" spans="1:8" x14ac:dyDescent="0.3">
      <c r="A830">
        <v>3892</v>
      </c>
      <c r="B830" t="s">
        <v>2303</v>
      </c>
      <c r="C830" t="s">
        <v>4007</v>
      </c>
      <c r="D830" t="s">
        <v>107</v>
      </c>
      <c r="E830" t="s">
        <v>27</v>
      </c>
      <c r="F830" t="s">
        <v>55</v>
      </c>
      <c r="G830" t="s">
        <v>3769</v>
      </c>
      <c r="H830" s="7">
        <v>60085</v>
      </c>
    </row>
    <row r="831" spans="1:8" x14ac:dyDescent="0.3">
      <c r="A831">
        <v>3893</v>
      </c>
      <c r="B831" t="s">
        <v>174</v>
      </c>
      <c r="C831" t="s">
        <v>93</v>
      </c>
      <c r="D831" t="s">
        <v>2293</v>
      </c>
      <c r="E831" t="s">
        <v>95</v>
      </c>
      <c r="F831" t="s">
        <v>21</v>
      </c>
      <c r="G831" t="s">
        <v>509</v>
      </c>
      <c r="H831" s="7">
        <v>90047</v>
      </c>
    </row>
    <row r="832" spans="1:8" x14ac:dyDescent="0.3">
      <c r="A832">
        <v>3894</v>
      </c>
      <c r="B832" t="s">
        <v>5</v>
      </c>
      <c r="C832" t="s">
        <v>573</v>
      </c>
      <c r="D832" t="s">
        <v>107</v>
      </c>
      <c r="E832" t="s">
        <v>95</v>
      </c>
      <c r="F832" t="s">
        <v>9</v>
      </c>
      <c r="G832" t="s">
        <v>4839</v>
      </c>
      <c r="H832" s="7">
        <v>725</v>
      </c>
    </row>
    <row r="833" spans="1:8" x14ac:dyDescent="0.3">
      <c r="A833">
        <v>3895</v>
      </c>
      <c r="B833" t="s">
        <v>495</v>
      </c>
      <c r="C833" t="s">
        <v>93</v>
      </c>
      <c r="D833" t="s">
        <v>2591</v>
      </c>
      <c r="E833" t="s">
        <v>8</v>
      </c>
      <c r="F833" t="s">
        <v>88</v>
      </c>
      <c r="G833" t="s">
        <v>2592</v>
      </c>
      <c r="H833" s="7">
        <v>11208</v>
      </c>
    </row>
    <row r="834" spans="1:8" x14ac:dyDescent="0.3">
      <c r="A834">
        <v>3898</v>
      </c>
      <c r="B834" t="s">
        <v>2139</v>
      </c>
      <c r="C834" t="s">
        <v>223</v>
      </c>
      <c r="D834" t="s">
        <v>875</v>
      </c>
      <c r="E834" t="s">
        <v>8</v>
      </c>
      <c r="F834" t="s">
        <v>2142</v>
      </c>
      <c r="G834" t="s">
        <v>2675</v>
      </c>
      <c r="H834" s="7">
        <v>25401</v>
      </c>
    </row>
    <row r="835" spans="1:8" x14ac:dyDescent="0.3">
      <c r="A835">
        <v>3903</v>
      </c>
      <c r="B835" t="s">
        <v>2170</v>
      </c>
      <c r="C835" t="s">
        <v>499</v>
      </c>
      <c r="D835" t="s">
        <v>2171</v>
      </c>
      <c r="E835" t="s">
        <v>27</v>
      </c>
      <c r="F835" t="s">
        <v>248</v>
      </c>
      <c r="G835" t="s">
        <v>2172</v>
      </c>
      <c r="H835" s="7">
        <v>44118</v>
      </c>
    </row>
    <row r="836" spans="1:8" x14ac:dyDescent="0.3">
      <c r="A836">
        <v>3908</v>
      </c>
      <c r="B836" t="s">
        <v>2243</v>
      </c>
      <c r="C836" t="s">
        <v>589</v>
      </c>
      <c r="D836" t="s">
        <v>107</v>
      </c>
      <c r="E836" t="s">
        <v>27</v>
      </c>
      <c r="F836" t="s">
        <v>308</v>
      </c>
      <c r="G836" t="s">
        <v>4955</v>
      </c>
      <c r="H836" s="7">
        <v>8701</v>
      </c>
    </row>
    <row r="837" spans="1:8" x14ac:dyDescent="0.3">
      <c r="A837">
        <v>3914</v>
      </c>
      <c r="B837" t="s">
        <v>1896</v>
      </c>
      <c r="C837" t="s">
        <v>93</v>
      </c>
      <c r="D837" t="s">
        <v>2575</v>
      </c>
      <c r="E837" t="s">
        <v>8</v>
      </c>
      <c r="F837" t="s">
        <v>1657</v>
      </c>
      <c r="G837" t="s">
        <v>1898</v>
      </c>
      <c r="H837" s="7">
        <v>6040</v>
      </c>
    </row>
    <row r="838" spans="1:8" x14ac:dyDescent="0.3">
      <c r="A838">
        <v>3921</v>
      </c>
      <c r="B838" t="s">
        <v>1108</v>
      </c>
      <c r="C838" t="s">
        <v>93</v>
      </c>
      <c r="D838" t="s">
        <v>578</v>
      </c>
      <c r="E838" t="s">
        <v>8</v>
      </c>
      <c r="F838" t="s">
        <v>381</v>
      </c>
      <c r="G838" t="s">
        <v>3060</v>
      </c>
      <c r="H838" s="7">
        <v>48823</v>
      </c>
    </row>
    <row r="839" spans="1:8" x14ac:dyDescent="0.3">
      <c r="A839">
        <v>3929</v>
      </c>
      <c r="B839" t="s">
        <v>3202</v>
      </c>
      <c r="C839" t="s">
        <v>2713</v>
      </c>
      <c r="D839" t="s">
        <v>424</v>
      </c>
      <c r="E839" t="s">
        <v>95</v>
      </c>
      <c r="F839" t="s">
        <v>36</v>
      </c>
      <c r="G839" t="s">
        <v>3738</v>
      </c>
      <c r="H839" s="7">
        <v>1844</v>
      </c>
    </row>
    <row r="840" spans="1:8" x14ac:dyDescent="0.3">
      <c r="A840">
        <v>3932</v>
      </c>
      <c r="B840" t="s">
        <v>1971</v>
      </c>
      <c r="C840" t="s">
        <v>436</v>
      </c>
      <c r="D840" t="s">
        <v>107</v>
      </c>
      <c r="E840" t="s">
        <v>8</v>
      </c>
      <c r="F840" t="s">
        <v>341</v>
      </c>
      <c r="G840" t="s">
        <v>4361</v>
      </c>
      <c r="H840" s="7">
        <v>27203</v>
      </c>
    </row>
    <row r="841" spans="1:8" x14ac:dyDescent="0.3">
      <c r="A841">
        <v>3942</v>
      </c>
      <c r="B841" t="s">
        <v>174</v>
      </c>
      <c r="C841" t="s">
        <v>520</v>
      </c>
      <c r="D841" t="s">
        <v>107</v>
      </c>
      <c r="E841" t="s">
        <v>8</v>
      </c>
      <c r="F841" t="s">
        <v>21</v>
      </c>
      <c r="G841" t="s">
        <v>3186</v>
      </c>
      <c r="H841" s="7">
        <v>90003</v>
      </c>
    </row>
    <row r="842" spans="1:8" x14ac:dyDescent="0.3">
      <c r="A842">
        <v>3943</v>
      </c>
      <c r="B842" t="s">
        <v>1166</v>
      </c>
      <c r="C842" t="s">
        <v>93</v>
      </c>
      <c r="D842" t="s">
        <v>2065</v>
      </c>
      <c r="E842" t="s">
        <v>95</v>
      </c>
      <c r="F842" t="s">
        <v>36</v>
      </c>
      <c r="G842" t="s">
        <v>2058</v>
      </c>
      <c r="H842" s="7">
        <v>1841</v>
      </c>
    </row>
    <row r="843" spans="1:8" x14ac:dyDescent="0.3">
      <c r="A843">
        <v>3946</v>
      </c>
      <c r="B843" t="s">
        <v>5</v>
      </c>
      <c r="C843" t="s">
        <v>1714</v>
      </c>
      <c r="D843" t="s">
        <v>3377</v>
      </c>
      <c r="E843" t="s">
        <v>27</v>
      </c>
      <c r="F843" t="s">
        <v>9</v>
      </c>
      <c r="G843" t="s">
        <v>5353</v>
      </c>
      <c r="H843" s="7">
        <v>725</v>
      </c>
    </row>
    <row r="844" spans="1:8" x14ac:dyDescent="0.3">
      <c r="A844">
        <v>3950</v>
      </c>
      <c r="B844" t="s">
        <v>1777</v>
      </c>
      <c r="C844" t="s">
        <v>417</v>
      </c>
      <c r="D844" t="s">
        <v>3065</v>
      </c>
      <c r="E844" t="s">
        <v>95</v>
      </c>
      <c r="F844" t="s">
        <v>77</v>
      </c>
      <c r="G844" t="s">
        <v>5230</v>
      </c>
      <c r="H844" s="7">
        <v>17402</v>
      </c>
    </row>
    <row r="845" spans="1:8" x14ac:dyDescent="0.3">
      <c r="A845">
        <v>3951</v>
      </c>
      <c r="B845" t="s">
        <v>5</v>
      </c>
      <c r="C845" t="s">
        <v>223</v>
      </c>
      <c r="D845" t="s">
        <v>107</v>
      </c>
      <c r="E845" t="s">
        <v>8</v>
      </c>
      <c r="F845" t="s">
        <v>9</v>
      </c>
      <c r="G845" t="s">
        <v>2727</v>
      </c>
      <c r="H845" s="7">
        <v>725</v>
      </c>
    </row>
    <row r="846" spans="1:8" x14ac:dyDescent="0.3">
      <c r="A846">
        <v>3961</v>
      </c>
      <c r="B846" t="s">
        <v>821</v>
      </c>
      <c r="C846" t="s">
        <v>785</v>
      </c>
      <c r="D846" t="s">
        <v>2899</v>
      </c>
      <c r="E846" t="s">
        <v>8</v>
      </c>
      <c r="F846" t="s">
        <v>190</v>
      </c>
      <c r="G846" t="s">
        <v>4126</v>
      </c>
      <c r="H846" s="7">
        <v>85224</v>
      </c>
    </row>
    <row r="847" spans="1:8" x14ac:dyDescent="0.3">
      <c r="A847">
        <v>3962</v>
      </c>
      <c r="B847" t="s">
        <v>5</v>
      </c>
      <c r="C847" t="s">
        <v>889</v>
      </c>
      <c r="D847" t="s">
        <v>107</v>
      </c>
      <c r="E847" t="s">
        <v>27</v>
      </c>
      <c r="F847" t="s">
        <v>9</v>
      </c>
      <c r="G847" t="s">
        <v>5268</v>
      </c>
      <c r="H847" s="7">
        <v>725</v>
      </c>
    </row>
    <row r="848" spans="1:8" x14ac:dyDescent="0.3">
      <c r="A848">
        <v>3963</v>
      </c>
      <c r="B848" t="s">
        <v>5</v>
      </c>
      <c r="C848" t="s">
        <v>93</v>
      </c>
      <c r="D848" t="s">
        <v>816</v>
      </c>
      <c r="E848" t="s">
        <v>27</v>
      </c>
      <c r="F848" t="s">
        <v>9</v>
      </c>
      <c r="G848" t="s">
        <v>5077</v>
      </c>
      <c r="H848" s="7">
        <v>725</v>
      </c>
    </row>
    <row r="849" spans="1:8" x14ac:dyDescent="0.3">
      <c r="A849">
        <v>3964</v>
      </c>
      <c r="B849" t="s">
        <v>495</v>
      </c>
      <c r="C849" t="s">
        <v>2871</v>
      </c>
      <c r="D849" t="s">
        <v>107</v>
      </c>
      <c r="E849" t="s">
        <v>8</v>
      </c>
      <c r="F849" t="s">
        <v>88</v>
      </c>
      <c r="G849" t="s">
        <v>3472</v>
      </c>
      <c r="H849" s="7">
        <v>11238</v>
      </c>
    </row>
    <row r="850" spans="1:8" x14ac:dyDescent="0.3">
      <c r="A850">
        <v>3965</v>
      </c>
      <c r="B850" t="s">
        <v>5</v>
      </c>
      <c r="C850" t="s">
        <v>93</v>
      </c>
      <c r="D850" t="s">
        <v>462</v>
      </c>
      <c r="E850" t="s">
        <v>8</v>
      </c>
      <c r="F850" t="s">
        <v>9</v>
      </c>
      <c r="G850" t="s">
        <v>1426</v>
      </c>
      <c r="H850" s="7">
        <v>725</v>
      </c>
    </row>
    <row r="851" spans="1:8" x14ac:dyDescent="0.3">
      <c r="A851">
        <v>3968</v>
      </c>
      <c r="B851" t="s">
        <v>5</v>
      </c>
      <c r="C851" t="s">
        <v>971</v>
      </c>
      <c r="D851" t="s">
        <v>2186</v>
      </c>
      <c r="E851" t="s">
        <v>8</v>
      </c>
      <c r="F851" t="s">
        <v>9</v>
      </c>
      <c r="G851" t="s">
        <v>5256</v>
      </c>
      <c r="H851" s="7">
        <v>725</v>
      </c>
    </row>
    <row r="852" spans="1:8" x14ac:dyDescent="0.3">
      <c r="A852">
        <v>3974</v>
      </c>
      <c r="B852" t="s">
        <v>1685</v>
      </c>
      <c r="C852" t="s">
        <v>93</v>
      </c>
      <c r="D852" t="s">
        <v>107</v>
      </c>
      <c r="E852" t="s">
        <v>8</v>
      </c>
      <c r="F852" t="s">
        <v>1195</v>
      </c>
      <c r="G852" t="s">
        <v>5441</v>
      </c>
      <c r="H852" s="7">
        <v>98115</v>
      </c>
    </row>
    <row r="853" spans="1:8" x14ac:dyDescent="0.3">
      <c r="A853">
        <v>3978</v>
      </c>
      <c r="B853" t="s">
        <v>3694</v>
      </c>
      <c r="C853" t="s">
        <v>2693</v>
      </c>
      <c r="D853" t="s">
        <v>704</v>
      </c>
      <c r="E853" t="s">
        <v>8</v>
      </c>
      <c r="F853" t="s">
        <v>21</v>
      </c>
      <c r="G853" t="s">
        <v>3695</v>
      </c>
      <c r="H853" s="7">
        <v>91789</v>
      </c>
    </row>
    <row r="854" spans="1:8" x14ac:dyDescent="0.3">
      <c r="A854">
        <v>3992</v>
      </c>
      <c r="B854" t="s">
        <v>5</v>
      </c>
      <c r="C854" t="s">
        <v>1231</v>
      </c>
      <c r="D854" t="s">
        <v>107</v>
      </c>
      <c r="E854" t="s">
        <v>27</v>
      </c>
      <c r="F854" t="s">
        <v>9</v>
      </c>
      <c r="G854" t="s">
        <v>1566</v>
      </c>
      <c r="H854" s="7">
        <v>725</v>
      </c>
    </row>
    <row r="855" spans="1:8" x14ac:dyDescent="0.3">
      <c r="A855">
        <v>3993</v>
      </c>
      <c r="B855" t="s">
        <v>471</v>
      </c>
      <c r="C855" t="s">
        <v>93</v>
      </c>
      <c r="D855" t="s">
        <v>472</v>
      </c>
      <c r="E855" t="s">
        <v>27</v>
      </c>
      <c r="F855" t="s">
        <v>448</v>
      </c>
      <c r="G855" t="s">
        <v>473</v>
      </c>
      <c r="H855" s="7">
        <v>33594</v>
      </c>
    </row>
    <row r="856" spans="1:8" x14ac:dyDescent="0.3">
      <c r="A856">
        <v>3997</v>
      </c>
      <c r="B856" t="s">
        <v>495</v>
      </c>
      <c r="C856" t="s">
        <v>1317</v>
      </c>
      <c r="D856" t="s">
        <v>403</v>
      </c>
      <c r="E856" t="s">
        <v>27</v>
      </c>
      <c r="F856" t="s">
        <v>88</v>
      </c>
      <c r="G856" t="s">
        <v>3966</v>
      </c>
      <c r="H856" s="7">
        <v>11218</v>
      </c>
    </row>
    <row r="857" spans="1:8" x14ac:dyDescent="0.3">
      <c r="A857">
        <v>3999</v>
      </c>
      <c r="B857" t="s">
        <v>142</v>
      </c>
      <c r="C857" t="s">
        <v>1153</v>
      </c>
      <c r="D857" t="s">
        <v>1890</v>
      </c>
      <c r="E857" t="s">
        <v>27</v>
      </c>
      <c r="F857" t="s">
        <v>88</v>
      </c>
      <c r="G857" t="s">
        <v>4531</v>
      </c>
      <c r="H857" s="7">
        <v>10472</v>
      </c>
    </row>
    <row r="858" spans="1:8" x14ac:dyDescent="0.3">
      <c r="A858">
        <v>4003</v>
      </c>
      <c r="B858" t="s">
        <v>5</v>
      </c>
      <c r="C858" t="s">
        <v>776</v>
      </c>
      <c r="D858" t="s">
        <v>1450</v>
      </c>
      <c r="E858" t="s">
        <v>8</v>
      </c>
      <c r="F858" t="s">
        <v>9</v>
      </c>
      <c r="G858" t="s">
        <v>873</v>
      </c>
      <c r="H858" s="7">
        <v>725</v>
      </c>
    </row>
    <row r="859" spans="1:8" x14ac:dyDescent="0.3">
      <c r="A859">
        <v>4006</v>
      </c>
      <c r="B859" t="s">
        <v>2188</v>
      </c>
      <c r="C859" t="s">
        <v>93</v>
      </c>
      <c r="D859" t="s">
        <v>107</v>
      </c>
      <c r="E859" t="s">
        <v>27</v>
      </c>
      <c r="F859" t="s">
        <v>308</v>
      </c>
      <c r="G859" t="s">
        <v>5215</v>
      </c>
      <c r="H859" s="7">
        <v>8021</v>
      </c>
    </row>
    <row r="860" spans="1:8" x14ac:dyDescent="0.3">
      <c r="A860">
        <v>4009</v>
      </c>
      <c r="B860" t="s">
        <v>626</v>
      </c>
      <c r="C860" t="s">
        <v>93</v>
      </c>
      <c r="D860" t="s">
        <v>1012</v>
      </c>
      <c r="E860" t="s">
        <v>8</v>
      </c>
      <c r="F860" t="s">
        <v>55</v>
      </c>
      <c r="G860" t="s">
        <v>5548</v>
      </c>
      <c r="H860" s="7">
        <v>60120</v>
      </c>
    </row>
    <row r="861" spans="1:8" x14ac:dyDescent="0.3">
      <c r="A861">
        <v>4012</v>
      </c>
      <c r="B861" t="s">
        <v>503</v>
      </c>
      <c r="C861" t="s">
        <v>93</v>
      </c>
      <c r="D861" t="s">
        <v>107</v>
      </c>
      <c r="E861" t="s">
        <v>27</v>
      </c>
      <c r="F861" t="s">
        <v>140</v>
      </c>
      <c r="G861" t="s">
        <v>504</v>
      </c>
      <c r="H861" s="7">
        <v>30075</v>
      </c>
    </row>
    <row r="862" spans="1:8" x14ac:dyDescent="0.3">
      <c r="A862">
        <v>4014</v>
      </c>
      <c r="B862" t="s">
        <v>508</v>
      </c>
      <c r="C862" t="s">
        <v>93</v>
      </c>
      <c r="D862" t="s">
        <v>107</v>
      </c>
      <c r="E862" t="s">
        <v>8</v>
      </c>
      <c r="F862" t="s">
        <v>114</v>
      </c>
      <c r="G862" t="s">
        <v>1196</v>
      </c>
      <c r="H862" s="7">
        <v>75217</v>
      </c>
    </row>
    <row r="863" spans="1:8" x14ac:dyDescent="0.3">
      <c r="A863">
        <v>4016</v>
      </c>
      <c r="B863" t="s">
        <v>5</v>
      </c>
      <c r="C863" t="s">
        <v>93</v>
      </c>
      <c r="D863" t="s">
        <v>107</v>
      </c>
      <c r="E863" t="s">
        <v>8</v>
      </c>
      <c r="F863" t="s">
        <v>9</v>
      </c>
      <c r="G863" t="s">
        <v>3808</v>
      </c>
      <c r="H863" s="7">
        <v>725</v>
      </c>
    </row>
    <row r="864" spans="1:8" x14ac:dyDescent="0.3">
      <c r="A864">
        <v>4019</v>
      </c>
      <c r="B864" t="s">
        <v>5</v>
      </c>
      <c r="C864" t="s">
        <v>93</v>
      </c>
      <c r="D864" t="s">
        <v>1413</v>
      </c>
      <c r="E864" t="s">
        <v>8</v>
      </c>
      <c r="F864" t="s">
        <v>9</v>
      </c>
      <c r="G864" t="s">
        <v>1414</v>
      </c>
      <c r="H864" s="7">
        <v>725</v>
      </c>
    </row>
    <row r="865" spans="1:8" x14ac:dyDescent="0.3">
      <c r="A865">
        <v>4020</v>
      </c>
      <c r="B865" t="s">
        <v>368</v>
      </c>
      <c r="C865" t="s">
        <v>1112</v>
      </c>
      <c r="D865" t="s">
        <v>107</v>
      </c>
      <c r="E865" t="s">
        <v>8</v>
      </c>
      <c r="F865" t="s">
        <v>88</v>
      </c>
      <c r="G865" t="s">
        <v>2104</v>
      </c>
      <c r="H865" s="7">
        <v>10021</v>
      </c>
    </row>
    <row r="866" spans="1:8" x14ac:dyDescent="0.3">
      <c r="A866">
        <v>4022</v>
      </c>
      <c r="B866" t="s">
        <v>2158</v>
      </c>
      <c r="C866" t="s">
        <v>93</v>
      </c>
      <c r="D866" t="s">
        <v>2159</v>
      </c>
      <c r="E866" t="s">
        <v>8</v>
      </c>
      <c r="F866" t="s">
        <v>114</v>
      </c>
      <c r="G866" t="s">
        <v>2160</v>
      </c>
      <c r="H866" s="7">
        <v>75040</v>
      </c>
    </row>
    <row r="867" spans="1:8" x14ac:dyDescent="0.3">
      <c r="A867">
        <v>4026</v>
      </c>
      <c r="B867" t="s">
        <v>5</v>
      </c>
      <c r="C867" t="s">
        <v>93</v>
      </c>
      <c r="D867" t="s">
        <v>107</v>
      </c>
      <c r="E867" t="s">
        <v>27</v>
      </c>
      <c r="F867" t="s">
        <v>9</v>
      </c>
      <c r="G867" t="s">
        <v>960</v>
      </c>
      <c r="H867" s="7">
        <v>725</v>
      </c>
    </row>
    <row r="868" spans="1:8" x14ac:dyDescent="0.3">
      <c r="A868">
        <v>4027</v>
      </c>
      <c r="B868" t="s">
        <v>1793</v>
      </c>
      <c r="C868" t="s">
        <v>112</v>
      </c>
      <c r="D868" t="s">
        <v>2817</v>
      </c>
      <c r="E868" t="s">
        <v>27</v>
      </c>
      <c r="F868" t="s">
        <v>21</v>
      </c>
      <c r="G868" t="s">
        <v>2818</v>
      </c>
      <c r="H868" s="7">
        <v>94122</v>
      </c>
    </row>
    <row r="869" spans="1:8" x14ac:dyDescent="0.3">
      <c r="A869">
        <v>4029</v>
      </c>
      <c r="B869" t="s">
        <v>281</v>
      </c>
      <c r="C869" t="s">
        <v>93</v>
      </c>
      <c r="D869" t="s">
        <v>282</v>
      </c>
      <c r="E869" t="s">
        <v>27</v>
      </c>
      <c r="F869" t="s">
        <v>283</v>
      </c>
      <c r="G869" t="s">
        <v>284</v>
      </c>
      <c r="H869" s="7">
        <v>22193</v>
      </c>
    </row>
    <row r="870" spans="1:8" x14ac:dyDescent="0.3">
      <c r="A870">
        <v>4033</v>
      </c>
      <c r="B870" t="s">
        <v>5</v>
      </c>
      <c r="C870" t="s">
        <v>623</v>
      </c>
      <c r="D870" t="s">
        <v>704</v>
      </c>
      <c r="E870" t="s">
        <v>8</v>
      </c>
      <c r="F870" t="s">
        <v>9</v>
      </c>
      <c r="G870" t="s">
        <v>4264</v>
      </c>
      <c r="H870" s="7">
        <v>725</v>
      </c>
    </row>
    <row r="871" spans="1:8" x14ac:dyDescent="0.3">
      <c r="A871">
        <v>4035</v>
      </c>
      <c r="B871" t="s">
        <v>508</v>
      </c>
      <c r="C871" t="s">
        <v>93</v>
      </c>
      <c r="D871" t="s">
        <v>2132</v>
      </c>
      <c r="E871" t="s">
        <v>8</v>
      </c>
      <c r="F871" t="s">
        <v>114</v>
      </c>
      <c r="G871" t="s">
        <v>5378</v>
      </c>
      <c r="H871" s="7">
        <v>75240</v>
      </c>
    </row>
    <row r="872" spans="1:8" x14ac:dyDescent="0.3">
      <c r="A872">
        <v>4038</v>
      </c>
      <c r="B872" t="s">
        <v>2303</v>
      </c>
      <c r="C872" t="s">
        <v>93</v>
      </c>
      <c r="D872" t="s">
        <v>107</v>
      </c>
      <c r="E872" t="s">
        <v>8</v>
      </c>
      <c r="F872" t="s">
        <v>55</v>
      </c>
      <c r="G872" t="s">
        <v>2304</v>
      </c>
      <c r="H872" s="7">
        <v>60085</v>
      </c>
    </row>
    <row r="873" spans="1:8" x14ac:dyDescent="0.3">
      <c r="A873">
        <v>4040</v>
      </c>
      <c r="B873" t="s">
        <v>1227</v>
      </c>
      <c r="C873" t="s">
        <v>1326</v>
      </c>
      <c r="D873" t="s">
        <v>2293</v>
      </c>
      <c r="E873" t="s">
        <v>27</v>
      </c>
      <c r="F873" t="s">
        <v>381</v>
      </c>
      <c r="G873" t="s">
        <v>5118</v>
      </c>
      <c r="H873" s="7">
        <v>48066</v>
      </c>
    </row>
    <row r="874" spans="1:8" x14ac:dyDescent="0.3">
      <c r="A874">
        <v>4044</v>
      </c>
      <c r="B874" t="s">
        <v>1006</v>
      </c>
      <c r="C874" t="s">
        <v>1007</v>
      </c>
      <c r="D874" t="s">
        <v>107</v>
      </c>
      <c r="E874" t="s">
        <v>8</v>
      </c>
      <c r="F874" t="s">
        <v>114</v>
      </c>
      <c r="G874" t="s">
        <v>1008</v>
      </c>
      <c r="H874" s="7">
        <v>75023</v>
      </c>
    </row>
    <row r="875" spans="1:8" x14ac:dyDescent="0.3">
      <c r="A875">
        <v>4053</v>
      </c>
      <c r="B875" t="s">
        <v>5</v>
      </c>
      <c r="C875" t="s">
        <v>411</v>
      </c>
      <c r="D875" t="s">
        <v>1854</v>
      </c>
      <c r="E875" t="s">
        <v>27</v>
      </c>
      <c r="F875" t="s">
        <v>9</v>
      </c>
      <c r="G875" t="s">
        <v>4664</v>
      </c>
      <c r="H875" s="7">
        <v>725</v>
      </c>
    </row>
    <row r="876" spans="1:8" x14ac:dyDescent="0.3">
      <c r="A876">
        <v>4064</v>
      </c>
      <c r="B876" t="s">
        <v>2181</v>
      </c>
      <c r="C876" t="s">
        <v>1705</v>
      </c>
      <c r="D876" t="s">
        <v>107</v>
      </c>
      <c r="E876" t="s">
        <v>8</v>
      </c>
      <c r="F876" t="s">
        <v>986</v>
      </c>
      <c r="G876" t="s">
        <v>2184</v>
      </c>
      <c r="H876" s="7">
        <v>2860</v>
      </c>
    </row>
    <row r="877" spans="1:8" x14ac:dyDescent="0.3">
      <c r="A877">
        <v>4066</v>
      </c>
      <c r="B877" t="s">
        <v>142</v>
      </c>
      <c r="C877" t="s">
        <v>1200</v>
      </c>
      <c r="D877" t="s">
        <v>1029</v>
      </c>
      <c r="E877" t="s">
        <v>8</v>
      </c>
      <c r="F877" t="s">
        <v>88</v>
      </c>
      <c r="G877" t="s">
        <v>2586</v>
      </c>
      <c r="H877" s="7">
        <v>10473</v>
      </c>
    </row>
    <row r="878" spans="1:8" x14ac:dyDescent="0.3">
      <c r="A878">
        <v>4068</v>
      </c>
      <c r="B878" t="s">
        <v>5</v>
      </c>
      <c r="C878" t="s">
        <v>577</v>
      </c>
      <c r="D878" t="s">
        <v>974</v>
      </c>
      <c r="E878" t="s">
        <v>8</v>
      </c>
      <c r="F878" t="s">
        <v>9</v>
      </c>
      <c r="G878" t="s">
        <v>5050</v>
      </c>
      <c r="H878" s="7">
        <v>725</v>
      </c>
    </row>
    <row r="879" spans="1:8" x14ac:dyDescent="0.3">
      <c r="A879">
        <v>4081</v>
      </c>
      <c r="B879" t="s">
        <v>508</v>
      </c>
      <c r="C879" t="s">
        <v>527</v>
      </c>
      <c r="D879" t="s">
        <v>1873</v>
      </c>
      <c r="E879" t="s">
        <v>8</v>
      </c>
      <c r="F879" t="s">
        <v>114</v>
      </c>
      <c r="G879" t="s">
        <v>1874</v>
      </c>
      <c r="H879" s="7">
        <v>75228</v>
      </c>
    </row>
    <row r="880" spans="1:8" x14ac:dyDescent="0.3">
      <c r="A880">
        <v>4083</v>
      </c>
      <c r="B880" t="s">
        <v>1618</v>
      </c>
      <c r="C880" t="s">
        <v>2917</v>
      </c>
      <c r="D880" t="s">
        <v>107</v>
      </c>
      <c r="E880" t="s">
        <v>27</v>
      </c>
      <c r="F880" t="s">
        <v>381</v>
      </c>
      <c r="G880" t="s">
        <v>4612</v>
      </c>
      <c r="H880" s="7">
        <v>48192</v>
      </c>
    </row>
    <row r="881" spans="1:8" x14ac:dyDescent="0.3">
      <c r="A881">
        <v>4086</v>
      </c>
      <c r="B881" t="s">
        <v>5</v>
      </c>
      <c r="C881" t="s">
        <v>251</v>
      </c>
      <c r="D881" t="s">
        <v>107</v>
      </c>
      <c r="E881" t="s">
        <v>27</v>
      </c>
      <c r="F881" t="s">
        <v>9</v>
      </c>
      <c r="G881" t="s">
        <v>2001</v>
      </c>
      <c r="H881" s="7">
        <v>725</v>
      </c>
    </row>
    <row r="882" spans="1:8" x14ac:dyDescent="0.3">
      <c r="A882">
        <v>4087</v>
      </c>
      <c r="B882" t="s">
        <v>174</v>
      </c>
      <c r="C882" t="s">
        <v>93</v>
      </c>
      <c r="D882" t="s">
        <v>1291</v>
      </c>
      <c r="E882" t="s">
        <v>95</v>
      </c>
      <c r="F882" t="s">
        <v>21</v>
      </c>
      <c r="G882" t="s">
        <v>5528</v>
      </c>
      <c r="H882" s="7">
        <v>90027</v>
      </c>
    </row>
    <row r="883" spans="1:8" x14ac:dyDescent="0.3">
      <c r="A883">
        <v>4089</v>
      </c>
      <c r="B883" t="s">
        <v>5</v>
      </c>
      <c r="C883" t="s">
        <v>1321</v>
      </c>
      <c r="D883" t="s">
        <v>2410</v>
      </c>
      <c r="E883" t="s">
        <v>27</v>
      </c>
      <c r="F883" t="s">
        <v>9</v>
      </c>
      <c r="G883" t="s">
        <v>1339</v>
      </c>
      <c r="H883" s="7">
        <v>725</v>
      </c>
    </row>
    <row r="884" spans="1:8" x14ac:dyDescent="0.3">
      <c r="A884">
        <v>4090</v>
      </c>
      <c r="B884" t="s">
        <v>495</v>
      </c>
      <c r="C884" t="s">
        <v>93</v>
      </c>
      <c r="D884" t="s">
        <v>3443</v>
      </c>
      <c r="E884" t="s">
        <v>8</v>
      </c>
      <c r="F884" t="s">
        <v>88</v>
      </c>
      <c r="G884" t="s">
        <v>4643</v>
      </c>
      <c r="H884" s="7">
        <v>11210</v>
      </c>
    </row>
    <row r="885" spans="1:8" x14ac:dyDescent="0.3">
      <c r="A885">
        <v>4093</v>
      </c>
      <c r="B885" t="s">
        <v>4794</v>
      </c>
      <c r="C885" t="s">
        <v>93</v>
      </c>
      <c r="D885" t="s">
        <v>2186</v>
      </c>
      <c r="E885" t="s">
        <v>8</v>
      </c>
      <c r="F885" t="s">
        <v>36</v>
      </c>
      <c r="G885" t="s">
        <v>5000</v>
      </c>
      <c r="H885" s="7">
        <v>2301</v>
      </c>
    </row>
    <row r="886" spans="1:8" x14ac:dyDescent="0.3">
      <c r="A886">
        <v>4099</v>
      </c>
      <c r="B886" t="s">
        <v>2474</v>
      </c>
      <c r="C886" t="s">
        <v>436</v>
      </c>
      <c r="D886" t="s">
        <v>107</v>
      </c>
      <c r="E886" t="s">
        <v>95</v>
      </c>
      <c r="F886" t="s">
        <v>88</v>
      </c>
      <c r="G886" t="s">
        <v>2476</v>
      </c>
      <c r="H886" s="7">
        <v>11354</v>
      </c>
    </row>
    <row r="887" spans="1:8" x14ac:dyDescent="0.3">
      <c r="A887">
        <v>4101</v>
      </c>
      <c r="B887" t="s">
        <v>737</v>
      </c>
      <c r="C887" t="s">
        <v>738</v>
      </c>
      <c r="D887" t="s">
        <v>739</v>
      </c>
      <c r="E887" t="s">
        <v>8</v>
      </c>
      <c r="F887" t="s">
        <v>88</v>
      </c>
      <c r="G887" t="s">
        <v>740</v>
      </c>
      <c r="H887" s="7">
        <v>10701</v>
      </c>
    </row>
    <row r="888" spans="1:8" x14ac:dyDescent="0.3">
      <c r="A888">
        <v>4105</v>
      </c>
      <c r="B888" t="s">
        <v>5</v>
      </c>
      <c r="C888" t="s">
        <v>93</v>
      </c>
      <c r="D888" t="s">
        <v>107</v>
      </c>
      <c r="E888" t="s">
        <v>8</v>
      </c>
      <c r="F888" t="s">
        <v>9</v>
      </c>
      <c r="G888" t="s">
        <v>3360</v>
      </c>
      <c r="H888" s="7">
        <v>725</v>
      </c>
    </row>
    <row r="889" spans="1:8" x14ac:dyDescent="0.3">
      <c r="A889">
        <v>4107</v>
      </c>
      <c r="B889" t="s">
        <v>1298</v>
      </c>
      <c r="C889" t="s">
        <v>1299</v>
      </c>
      <c r="D889" t="s">
        <v>1300</v>
      </c>
      <c r="E889" t="s">
        <v>8</v>
      </c>
      <c r="F889" t="s">
        <v>153</v>
      </c>
      <c r="G889" t="s">
        <v>1301</v>
      </c>
      <c r="H889" s="7">
        <v>84015</v>
      </c>
    </row>
    <row r="890" spans="1:8" x14ac:dyDescent="0.3">
      <c r="A890">
        <v>4109</v>
      </c>
      <c r="B890" t="s">
        <v>239</v>
      </c>
      <c r="C890" t="s">
        <v>556</v>
      </c>
      <c r="D890" t="s">
        <v>1410</v>
      </c>
      <c r="E890" t="s">
        <v>95</v>
      </c>
      <c r="F890" t="s">
        <v>242</v>
      </c>
      <c r="G890" t="s">
        <v>2530</v>
      </c>
      <c r="H890" s="7">
        <v>21218</v>
      </c>
    </row>
    <row r="891" spans="1:8" x14ac:dyDescent="0.3">
      <c r="A891">
        <v>4111</v>
      </c>
      <c r="B891" t="s">
        <v>5</v>
      </c>
      <c r="C891" t="s">
        <v>93</v>
      </c>
      <c r="D891" t="s">
        <v>107</v>
      </c>
      <c r="E891" t="s">
        <v>95</v>
      </c>
      <c r="F891" t="s">
        <v>9</v>
      </c>
      <c r="G891" t="s">
        <v>4391</v>
      </c>
      <c r="H891" s="7">
        <v>725</v>
      </c>
    </row>
    <row r="892" spans="1:8" x14ac:dyDescent="0.3">
      <c r="A892">
        <v>4118</v>
      </c>
      <c r="B892" t="s">
        <v>5</v>
      </c>
      <c r="C892" t="s">
        <v>93</v>
      </c>
      <c r="D892" t="s">
        <v>4587</v>
      </c>
      <c r="E892" t="s">
        <v>27</v>
      </c>
      <c r="F892" t="s">
        <v>9</v>
      </c>
      <c r="G892" t="s">
        <v>1435</v>
      </c>
      <c r="H892" s="7">
        <v>725</v>
      </c>
    </row>
    <row r="893" spans="1:8" x14ac:dyDescent="0.3">
      <c r="A893">
        <v>4120</v>
      </c>
      <c r="B893" t="s">
        <v>1029</v>
      </c>
      <c r="C893" t="s">
        <v>93</v>
      </c>
      <c r="D893" t="s">
        <v>1106</v>
      </c>
      <c r="E893" t="s">
        <v>27</v>
      </c>
      <c r="F893" t="s">
        <v>158</v>
      </c>
      <c r="G893" t="s">
        <v>1107</v>
      </c>
      <c r="H893" s="7">
        <v>38018</v>
      </c>
    </row>
    <row r="894" spans="1:8" x14ac:dyDescent="0.3">
      <c r="A894">
        <v>4123</v>
      </c>
      <c r="B894" t="s">
        <v>1243</v>
      </c>
      <c r="C894" t="s">
        <v>454</v>
      </c>
      <c r="D894" t="s">
        <v>1961</v>
      </c>
      <c r="E894" t="s">
        <v>8</v>
      </c>
      <c r="F894" t="s">
        <v>308</v>
      </c>
      <c r="G894" t="s">
        <v>1962</v>
      </c>
      <c r="H894" s="7">
        <v>8540</v>
      </c>
    </row>
    <row r="895" spans="1:8" x14ac:dyDescent="0.3">
      <c r="A895">
        <v>4125</v>
      </c>
      <c r="B895" t="s">
        <v>1694</v>
      </c>
      <c r="C895" t="s">
        <v>93</v>
      </c>
      <c r="D895" t="s">
        <v>107</v>
      </c>
      <c r="E895" t="s">
        <v>8</v>
      </c>
      <c r="F895" t="s">
        <v>1696</v>
      </c>
      <c r="G895" t="s">
        <v>1816</v>
      </c>
      <c r="H895" s="7">
        <v>83642</v>
      </c>
    </row>
    <row r="896" spans="1:8" x14ac:dyDescent="0.3">
      <c r="A896">
        <v>4136</v>
      </c>
      <c r="B896" t="s">
        <v>5</v>
      </c>
      <c r="C896" t="s">
        <v>417</v>
      </c>
      <c r="D896" t="s">
        <v>3624</v>
      </c>
      <c r="E896" t="s">
        <v>8</v>
      </c>
      <c r="F896" t="s">
        <v>9</v>
      </c>
      <c r="G896" t="s">
        <v>4036</v>
      </c>
      <c r="H896" s="7">
        <v>725</v>
      </c>
    </row>
    <row r="897" spans="1:8" x14ac:dyDescent="0.3">
      <c r="A897">
        <v>4137</v>
      </c>
      <c r="B897" t="s">
        <v>865</v>
      </c>
      <c r="C897" t="s">
        <v>762</v>
      </c>
      <c r="D897" t="s">
        <v>1075</v>
      </c>
      <c r="E897" t="s">
        <v>8</v>
      </c>
      <c r="F897" t="s">
        <v>190</v>
      </c>
      <c r="G897" t="s">
        <v>4795</v>
      </c>
      <c r="H897" s="7">
        <v>85706</v>
      </c>
    </row>
    <row r="898" spans="1:8" x14ac:dyDescent="0.3">
      <c r="A898">
        <v>4140</v>
      </c>
      <c r="B898" t="s">
        <v>396</v>
      </c>
      <c r="C898" t="s">
        <v>1482</v>
      </c>
      <c r="D898" t="s">
        <v>107</v>
      </c>
      <c r="E898" t="s">
        <v>27</v>
      </c>
      <c r="F898" t="s">
        <v>248</v>
      </c>
      <c r="G898" t="s">
        <v>2229</v>
      </c>
      <c r="H898" s="7">
        <v>45011</v>
      </c>
    </row>
    <row r="899" spans="1:8" x14ac:dyDescent="0.3">
      <c r="A899">
        <v>4150</v>
      </c>
      <c r="B899" t="s">
        <v>3406</v>
      </c>
      <c r="C899" t="s">
        <v>2067</v>
      </c>
      <c r="D899" t="s">
        <v>1308</v>
      </c>
      <c r="E899" t="s">
        <v>8</v>
      </c>
      <c r="F899" t="s">
        <v>21</v>
      </c>
      <c r="G899" t="s">
        <v>1209</v>
      </c>
      <c r="H899" s="7">
        <v>93638</v>
      </c>
    </row>
    <row r="900" spans="1:8" x14ac:dyDescent="0.3">
      <c r="A900">
        <v>4151</v>
      </c>
      <c r="B900" t="s">
        <v>5</v>
      </c>
      <c r="C900" t="s">
        <v>93</v>
      </c>
      <c r="D900" t="s">
        <v>107</v>
      </c>
      <c r="E900" t="s">
        <v>8</v>
      </c>
      <c r="F900" t="s">
        <v>9</v>
      </c>
      <c r="G900" t="s">
        <v>4042</v>
      </c>
      <c r="H900" s="7">
        <v>725</v>
      </c>
    </row>
    <row r="901" spans="1:8" x14ac:dyDescent="0.3">
      <c r="A901">
        <v>4153</v>
      </c>
      <c r="B901" t="s">
        <v>287</v>
      </c>
      <c r="C901" t="s">
        <v>1188</v>
      </c>
      <c r="D901" t="s">
        <v>1189</v>
      </c>
      <c r="E901" t="s">
        <v>8</v>
      </c>
      <c r="F901" t="s">
        <v>114</v>
      </c>
      <c r="G901" t="s">
        <v>1190</v>
      </c>
      <c r="H901" s="7">
        <v>77478</v>
      </c>
    </row>
    <row r="902" spans="1:8" x14ac:dyDescent="0.3">
      <c r="A902">
        <v>4157</v>
      </c>
      <c r="B902" t="s">
        <v>195</v>
      </c>
      <c r="C902" t="s">
        <v>913</v>
      </c>
      <c r="D902" t="s">
        <v>2199</v>
      </c>
      <c r="E902" t="s">
        <v>27</v>
      </c>
      <c r="F902" t="s">
        <v>21</v>
      </c>
      <c r="G902" t="s">
        <v>4389</v>
      </c>
      <c r="H902" s="7">
        <v>92840</v>
      </c>
    </row>
    <row r="903" spans="1:8" x14ac:dyDescent="0.3">
      <c r="A903">
        <v>4159</v>
      </c>
      <c r="B903" t="s">
        <v>1688</v>
      </c>
      <c r="C903" t="s">
        <v>93</v>
      </c>
      <c r="D903" t="s">
        <v>1946</v>
      </c>
      <c r="E903" t="s">
        <v>8</v>
      </c>
      <c r="F903" t="s">
        <v>114</v>
      </c>
      <c r="G903" t="s">
        <v>1947</v>
      </c>
      <c r="H903" s="7">
        <v>78040</v>
      </c>
    </row>
    <row r="904" spans="1:8" x14ac:dyDescent="0.3">
      <c r="A904">
        <v>4164</v>
      </c>
      <c r="B904" t="s">
        <v>457</v>
      </c>
      <c r="C904" t="s">
        <v>93</v>
      </c>
      <c r="D904" t="s">
        <v>107</v>
      </c>
      <c r="E904" t="s">
        <v>8</v>
      </c>
      <c r="F904" t="s">
        <v>21</v>
      </c>
      <c r="G904" t="s">
        <v>498</v>
      </c>
      <c r="H904" s="7">
        <v>91402</v>
      </c>
    </row>
    <row r="905" spans="1:8" x14ac:dyDescent="0.3">
      <c r="A905">
        <v>4166</v>
      </c>
      <c r="B905" t="s">
        <v>5</v>
      </c>
      <c r="C905" t="s">
        <v>407</v>
      </c>
      <c r="D905" t="s">
        <v>2348</v>
      </c>
      <c r="E905" t="s">
        <v>8</v>
      </c>
      <c r="F905" t="s">
        <v>9</v>
      </c>
      <c r="G905" t="s">
        <v>4449</v>
      </c>
      <c r="H905" s="7">
        <v>725</v>
      </c>
    </row>
    <row r="906" spans="1:8" x14ac:dyDescent="0.3">
      <c r="A906">
        <v>4176</v>
      </c>
      <c r="B906" t="s">
        <v>5</v>
      </c>
      <c r="C906" t="s">
        <v>93</v>
      </c>
      <c r="D906" t="s">
        <v>602</v>
      </c>
      <c r="E906" t="s">
        <v>8</v>
      </c>
      <c r="F906" t="s">
        <v>9</v>
      </c>
      <c r="G906" t="s">
        <v>4495</v>
      </c>
      <c r="H906" s="7">
        <v>725</v>
      </c>
    </row>
    <row r="907" spans="1:8" x14ac:dyDescent="0.3">
      <c r="A907">
        <v>4177</v>
      </c>
      <c r="B907" t="s">
        <v>665</v>
      </c>
      <c r="C907" t="s">
        <v>577</v>
      </c>
      <c r="D907" t="s">
        <v>107</v>
      </c>
      <c r="E907" t="s">
        <v>27</v>
      </c>
      <c r="F907" t="s">
        <v>283</v>
      </c>
      <c r="G907" t="s">
        <v>2647</v>
      </c>
      <c r="H907" s="7">
        <v>23322</v>
      </c>
    </row>
    <row r="908" spans="1:8" x14ac:dyDescent="0.3">
      <c r="A908">
        <v>4187</v>
      </c>
      <c r="B908" t="s">
        <v>474</v>
      </c>
      <c r="C908" t="s">
        <v>1738</v>
      </c>
      <c r="D908" t="s">
        <v>3893</v>
      </c>
      <c r="E908" t="s">
        <v>8</v>
      </c>
      <c r="F908" t="s">
        <v>140</v>
      </c>
      <c r="G908" t="s">
        <v>1935</v>
      </c>
      <c r="H908" s="7">
        <v>30907</v>
      </c>
    </row>
    <row r="909" spans="1:8" x14ac:dyDescent="0.3">
      <c r="A909">
        <v>4190</v>
      </c>
      <c r="B909" t="s">
        <v>984</v>
      </c>
      <c r="C909" t="s">
        <v>93</v>
      </c>
      <c r="D909" t="s">
        <v>985</v>
      </c>
      <c r="E909" t="s">
        <v>8</v>
      </c>
      <c r="F909" t="s">
        <v>986</v>
      </c>
      <c r="G909" t="s">
        <v>987</v>
      </c>
      <c r="H909" s="7">
        <v>2895</v>
      </c>
    </row>
    <row r="910" spans="1:8" x14ac:dyDescent="0.3">
      <c r="A910">
        <v>4196</v>
      </c>
      <c r="B910" t="s">
        <v>1194</v>
      </c>
      <c r="C910" t="s">
        <v>93</v>
      </c>
      <c r="D910" t="s">
        <v>345</v>
      </c>
      <c r="E910" t="s">
        <v>8</v>
      </c>
      <c r="F910" t="s">
        <v>1195</v>
      </c>
      <c r="G910" t="s">
        <v>1196</v>
      </c>
      <c r="H910" s="7">
        <v>98037</v>
      </c>
    </row>
    <row r="911" spans="1:8" x14ac:dyDescent="0.3">
      <c r="A911">
        <v>4203</v>
      </c>
      <c r="B911" t="s">
        <v>443</v>
      </c>
      <c r="C911" t="s">
        <v>799</v>
      </c>
      <c r="D911" t="s">
        <v>3903</v>
      </c>
      <c r="E911" t="s">
        <v>8</v>
      </c>
      <c r="F911" t="s">
        <v>108</v>
      </c>
      <c r="G911" t="s">
        <v>4424</v>
      </c>
      <c r="H911" s="7">
        <v>97229</v>
      </c>
    </row>
    <row r="912" spans="1:8" x14ac:dyDescent="0.3">
      <c r="A912">
        <v>4207</v>
      </c>
      <c r="B912" t="s">
        <v>5</v>
      </c>
      <c r="C912" t="s">
        <v>577</v>
      </c>
      <c r="D912" t="s">
        <v>7</v>
      </c>
      <c r="E912" t="s">
        <v>8</v>
      </c>
      <c r="F912" t="s">
        <v>9</v>
      </c>
      <c r="G912" t="s">
        <v>3601</v>
      </c>
      <c r="H912" s="7">
        <v>725</v>
      </c>
    </row>
    <row r="913" spans="1:8" x14ac:dyDescent="0.3">
      <c r="A913">
        <v>4212</v>
      </c>
      <c r="B913" t="s">
        <v>1123</v>
      </c>
      <c r="C913" t="s">
        <v>112</v>
      </c>
      <c r="D913" t="s">
        <v>1151</v>
      </c>
      <c r="E913" t="s">
        <v>8</v>
      </c>
      <c r="F913" t="s">
        <v>21</v>
      </c>
      <c r="G913" t="s">
        <v>1019</v>
      </c>
      <c r="H913" s="7">
        <v>93722</v>
      </c>
    </row>
    <row r="914" spans="1:8" x14ac:dyDescent="0.3">
      <c r="A914">
        <v>4216</v>
      </c>
      <c r="B914" t="s">
        <v>508</v>
      </c>
      <c r="C914" t="s">
        <v>223</v>
      </c>
      <c r="D914" t="s">
        <v>107</v>
      </c>
      <c r="E914" t="s">
        <v>27</v>
      </c>
      <c r="F914" t="s">
        <v>114</v>
      </c>
      <c r="G914" t="s">
        <v>2784</v>
      </c>
      <c r="H914" s="7">
        <v>75287</v>
      </c>
    </row>
    <row r="915" spans="1:8" x14ac:dyDescent="0.3">
      <c r="A915">
        <v>4220</v>
      </c>
      <c r="B915" t="s">
        <v>5</v>
      </c>
      <c r="C915" t="s">
        <v>93</v>
      </c>
      <c r="D915" t="s">
        <v>598</v>
      </c>
      <c r="E915" t="s">
        <v>8</v>
      </c>
      <c r="F915" t="s">
        <v>9</v>
      </c>
      <c r="G915" t="s">
        <v>4221</v>
      </c>
      <c r="H915" s="7">
        <v>725</v>
      </c>
    </row>
    <row r="916" spans="1:8" x14ac:dyDescent="0.3">
      <c r="A916">
        <v>4225</v>
      </c>
      <c r="B916" t="s">
        <v>174</v>
      </c>
      <c r="C916" t="s">
        <v>895</v>
      </c>
      <c r="D916" t="s">
        <v>1258</v>
      </c>
      <c r="E916" t="s">
        <v>27</v>
      </c>
      <c r="F916" t="s">
        <v>21</v>
      </c>
      <c r="G916" t="s">
        <v>1259</v>
      </c>
      <c r="H916" s="7">
        <v>90022</v>
      </c>
    </row>
    <row r="917" spans="1:8" x14ac:dyDescent="0.3">
      <c r="A917">
        <v>4226</v>
      </c>
      <c r="B917" t="s">
        <v>447</v>
      </c>
      <c r="C917" t="s">
        <v>407</v>
      </c>
      <c r="D917" t="s">
        <v>107</v>
      </c>
      <c r="E917" t="s">
        <v>27</v>
      </c>
      <c r="F917" t="s">
        <v>448</v>
      </c>
      <c r="G917" t="s">
        <v>449</v>
      </c>
      <c r="H917" s="7">
        <v>33010</v>
      </c>
    </row>
    <row r="918" spans="1:8" x14ac:dyDescent="0.3">
      <c r="A918">
        <v>4232</v>
      </c>
      <c r="B918" t="s">
        <v>5</v>
      </c>
      <c r="C918" t="s">
        <v>93</v>
      </c>
      <c r="D918" t="s">
        <v>649</v>
      </c>
      <c r="E918" t="s">
        <v>95</v>
      </c>
      <c r="F918" t="s">
        <v>9</v>
      </c>
      <c r="G918" t="s">
        <v>501</v>
      </c>
      <c r="H918" s="7">
        <v>725</v>
      </c>
    </row>
    <row r="919" spans="1:8" x14ac:dyDescent="0.3">
      <c r="A919">
        <v>4234</v>
      </c>
      <c r="B919" t="s">
        <v>137</v>
      </c>
      <c r="C919" t="s">
        <v>1406</v>
      </c>
      <c r="D919" t="s">
        <v>2093</v>
      </c>
      <c r="E919" t="s">
        <v>8</v>
      </c>
      <c r="F919" t="s">
        <v>140</v>
      </c>
      <c r="G919" t="s">
        <v>2094</v>
      </c>
      <c r="H919" s="7">
        <v>30047</v>
      </c>
    </row>
    <row r="920" spans="1:8" x14ac:dyDescent="0.3">
      <c r="A920">
        <v>4243</v>
      </c>
      <c r="B920" t="s">
        <v>5</v>
      </c>
      <c r="C920" t="s">
        <v>93</v>
      </c>
      <c r="D920" t="s">
        <v>107</v>
      </c>
      <c r="E920" t="s">
        <v>8</v>
      </c>
      <c r="F920" t="s">
        <v>9</v>
      </c>
      <c r="G920" t="s">
        <v>1342</v>
      </c>
      <c r="H920" s="7">
        <v>725</v>
      </c>
    </row>
    <row r="921" spans="1:8" x14ac:dyDescent="0.3">
      <c r="A921">
        <v>4247</v>
      </c>
      <c r="B921" t="s">
        <v>4146</v>
      </c>
      <c r="C921" t="s">
        <v>268</v>
      </c>
      <c r="D921" t="s">
        <v>2656</v>
      </c>
      <c r="E921" t="s">
        <v>8</v>
      </c>
      <c r="F921" t="s">
        <v>21</v>
      </c>
      <c r="G921" t="s">
        <v>4210</v>
      </c>
      <c r="H921" s="7">
        <v>91709</v>
      </c>
    </row>
    <row r="922" spans="1:8" x14ac:dyDescent="0.3">
      <c r="A922">
        <v>4250</v>
      </c>
      <c r="B922" t="s">
        <v>508</v>
      </c>
      <c r="C922" t="s">
        <v>1735</v>
      </c>
      <c r="D922" t="s">
        <v>107</v>
      </c>
      <c r="E922" t="s">
        <v>27</v>
      </c>
      <c r="F922" t="s">
        <v>114</v>
      </c>
      <c r="G922" t="s">
        <v>4208</v>
      </c>
      <c r="H922" s="7">
        <v>75240</v>
      </c>
    </row>
    <row r="923" spans="1:8" x14ac:dyDescent="0.3">
      <c r="A923">
        <v>4252</v>
      </c>
      <c r="B923" t="s">
        <v>2874</v>
      </c>
      <c r="C923" t="s">
        <v>1241</v>
      </c>
      <c r="D923" t="s">
        <v>455</v>
      </c>
      <c r="E923" t="s">
        <v>8</v>
      </c>
      <c r="F923" t="s">
        <v>248</v>
      </c>
      <c r="G923" t="s">
        <v>3015</v>
      </c>
      <c r="H923" s="7">
        <v>45044</v>
      </c>
    </row>
    <row r="924" spans="1:8" x14ac:dyDescent="0.3">
      <c r="A924">
        <v>4256</v>
      </c>
      <c r="B924" t="s">
        <v>142</v>
      </c>
      <c r="C924" t="s">
        <v>93</v>
      </c>
      <c r="D924" t="s">
        <v>307</v>
      </c>
      <c r="E924" t="s">
        <v>8</v>
      </c>
      <c r="F924" t="s">
        <v>88</v>
      </c>
      <c r="G924" t="s">
        <v>3029</v>
      </c>
      <c r="H924" s="7">
        <v>10466</v>
      </c>
    </row>
    <row r="925" spans="1:8" x14ac:dyDescent="0.3">
      <c r="A925">
        <v>4259</v>
      </c>
      <c r="B925" t="s">
        <v>5</v>
      </c>
      <c r="C925" t="s">
        <v>597</v>
      </c>
      <c r="D925" t="s">
        <v>2770</v>
      </c>
      <c r="E925" t="s">
        <v>95</v>
      </c>
      <c r="F925" t="s">
        <v>9</v>
      </c>
      <c r="G925" t="s">
        <v>2771</v>
      </c>
      <c r="H925" s="7">
        <v>725</v>
      </c>
    </row>
    <row r="926" spans="1:8" x14ac:dyDescent="0.3">
      <c r="A926">
        <v>4264</v>
      </c>
      <c r="B926" t="s">
        <v>254</v>
      </c>
      <c r="C926" t="s">
        <v>738</v>
      </c>
      <c r="D926" t="s">
        <v>2617</v>
      </c>
      <c r="E926" t="s">
        <v>95</v>
      </c>
      <c r="F926" t="s">
        <v>55</v>
      </c>
      <c r="G926" t="s">
        <v>4186</v>
      </c>
      <c r="H926" s="7">
        <v>60651</v>
      </c>
    </row>
    <row r="927" spans="1:8" x14ac:dyDescent="0.3">
      <c r="A927">
        <v>4266</v>
      </c>
      <c r="B927" t="s">
        <v>1313</v>
      </c>
      <c r="C927" t="s">
        <v>93</v>
      </c>
      <c r="D927" t="s">
        <v>1825</v>
      </c>
      <c r="E927" t="s">
        <v>27</v>
      </c>
      <c r="F927" t="s">
        <v>448</v>
      </c>
      <c r="G927" t="s">
        <v>10</v>
      </c>
      <c r="H927" s="7">
        <v>33165</v>
      </c>
    </row>
    <row r="928" spans="1:8" x14ac:dyDescent="0.3">
      <c r="A928">
        <v>4267</v>
      </c>
      <c r="B928" t="s">
        <v>2645</v>
      </c>
      <c r="C928" t="s">
        <v>1169</v>
      </c>
      <c r="D928" t="s">
        <v>3347</v>
      </c>
      <c r="E928" t="s">
        <v>95</v>
      </c>
      <c r="F928" t="s">
        <v>248</v>
      </c>
      <c r="G928" t="s">
        <v>714</v>
      </c>
      <c r="H928" s="7">
        <v>45140</v>
      </c>
    </row>
    <row r="929" spans="1:8" x14ac:dyDescent="0.3">
      <c r="A929">
        <v>4268</v>
      </c>
      <c r="B929" t="s">
        <v>5</v>
      </c>
      <c r="C929" t="s">
        <v>397</v>
      </c>
      <c r="D929" t="s">
        <v>428</v>
      </c>
      <c r="E929" t="s">
        <v>95</v>
      </c>
      <c r="F929" t="s">
        <v>9</v>
      </c>
      <c r="G929" t="s">
        <v>3555</v>
      </c>
      <c r="H929" s="7">
        <v>725</v>
      </c>
    </row>
    <row r="930" spans="1:8" x14ac:dyDescent="0.3">
      <c r="A930">
        <v>4272</v>
      </c>
      <c r="B930" t="s">
        <v>174</v>
      </c>
      <c r="C930" t="s">
        <v>93</v>
      </c>
      <c r="D930" t="s">
        <v>2199</v>
      </c>
      <c r="E930" t="s">
        <v>95</v>
      </c>
      <c r="F930" t="s">
        <v>21</v>
      </c>
      <c r="G930" t="s">
        <v>4185</v>
      </c>
      <c r="H930" s="7">
        <v>90001</v>
      </c>
    </row>
    <row r="931" spans="1:8" x14ac:dyDescent="0.3">
      <c r="A931">
        <v>4273</v>
      </c>
      <c r="B931" t="s">
        <v>865</v>
      </c>
      <c r="C931" t="s">
        <v>1987</v>
      </c>
      <c r="D931" t="s">
        <v>4040</v>
      </c>
      <c r="E931" t="s">
        <v>95</v>
      </c>
      <c r="F931" t="s">
        <v>190</v>
      </c>
      <c r="G931" t="s">
        <v>3606</v>
      </c>
      <c r="H931" s="7">
        <v>85713</v>
      </c>
    </row>
    <row r="932" spans="1:8" x14ac:dyDescent="0.3">
      <c r="A932">
        <v>4275</v>
      </c>
      <c r="B932" t="s">
        <v>3671</v>
      </c>
      <c r="C932" t="s">
        <v>2697</v>
      </c>
      <c r="D932" t="s">
        <v>578</v>
      </c>
      <c r="E932" t="s">
        <v>95</v>
      </c>
      <c r="F932" t="s">
        <v>134</v>
      </c>
      <c r="G932" t="s">
        <v>3672</v>
      </c>
      <c r="H932" s="7">
        <v>96797</v>
      </c>
    </row>
    <row r="933" spans="1:8" x14ac:dyDescent="0.3">
      <c r="A933">
        <v>4279</v>
      </c>
      <c r="B933" t="s">
        <v>5</v>
      </c>
      <c r="C933" t="s">
        <v>1794</v>
      </c>
      <c r="D933" t="s">
        <v>3084</v>
      </c>
      <c r="E933" t="s">
        <v>8</v>
      </c>
      <c r="F933" t="s">
        <v>9</v>
      </c>
      <c r="G933" t="s">
        <v>817</v>
      </c>
      <c r="H933" s="7">
        <v>725</v>
      </c>
    </row>
    <row r="934" spans="1:8" x14ac:dyDescent="0.3">
      <c r="A934">
        <v>4280</v>
      </c>
      <c r="B934" t="s">
        <v>2447</v>
      </c>
      <c r="C934" t="s">
        <v>93</v>
      </c>
      <c r="D934" t="s">
        <v>3484</v>
      </c>
      <c r="E934" t="s">
        <v>8</v>
      </c>
      <c r="F934" t="s">
        <v>9</v>
      </c>
      <c r="G934" t="s">
        <v>836</v>
      </c>
      <c r="H934" s="7">
        <v>612</v>
      </c>
    </row>
    <row r="935" spans="1:8" x14ac:dyDescent="0.3">
      <c r="A935">
        <v>4295</v>
      </c>
      <c r="B935" t="s">
        <v>368</v>
      </c>
      <c r="C935" t="s">
        <v>727</v>
      </c>
      <c r="D935" t="s">
        <v>107</v>
      </c>
      <c r="E935" t="s">
        <v>8</v>
      </c>
      <c r="F935" t="s">
        <v>88</v>
      </c>
      <c r="G935" t="s">
        <v>3005</v>
      </c>
      <c r="H935" s="7">
        <v>10029</v>
      </c>
    </row>
    <row r="936" spans="1:8" x14ac:dyDescent="0.3">
      <c r="A936">
        <v>4307</v>
      </c>
      <c r="B936" t="s">
        <v>5</v>
      </c>
      <c r="C936" t="s">
        <v>93</v>
      </c>
      <c r="D936" t="s">
        <v>4422</v>
      </c>
      <c r="E936" t="s">
        <v>8</v>
      </c>
      <c r="F936" t="s">
        <v>9</v>
      </c>
      <c r="G936" t="s">
        <v>312</v>
      </c>
      <c r="H936" s="7">
        <v>725</v>
      </c>
    </row>
    <row r="937" spans="1:8" x14ac:dyDescent="0.3">
      <c r="A937">
        <v>4311</v>
      </c>
      <c r="B937" t="s">
        <v>5</v>
      </c>
      <c r="C937" t="s">
        <v>167</v>
      </c>
      <c r="D937" t="s">
        <v>739</v>
      </c>
      <c r="E937" t="s">
        <v>95</v>
      </c>
      <c r="F937" t="s">
        <v>9</v>
      </c>
      <c r="G937" t="s">
        <v>884</v>
      </c>
      <c r="H937" s="7">
        <v>725</v>
      </c>
    </row>
    <row r="938" spans="1:8" x14ac:dyDescent="0.3">
      <c r="A938">
        <v>4313</v>
      </c>
      <c r="B938" t="s">
        <v>5</v>
      </c>
      <c r="C938" t="s">
        <v>1317</v>
      </c>
      <c r="D938" t="s">
        <v>3969</v>
      </c>
      <c r="E938" t="s">
        <v>27</v>
      </c>
      <c r="F938" t="s">
        <v>9</v>
      </c>
      <c r="G938" t="s">
        <v>364</v>
      </c>
      <c r="H938" s="7">
        <v>725</v>
      </c>
    </row>
    <row r="939" spans="1:8" x14ac:dyDescent="0.3">
      <c r="A939">
        <v>4315</v>
      </c>
      <c r="B939" t="s">
        <v>5</v>
      </c>
      <c r="C939" t="s">
        <v>93</v>
      </c>
      <c r="D939" t="s">
        <v>107</v>
      </c>
      <c r="E939" t="s">
        <v>27</v>
      </c>
      <c r="F939" t="s">
        <v>9</v>
      </c>
      <c r="G939" t="s">
        <v>5492</v>
      </c>
      <c r="H939" s="7">
        <v>725</v>
      </c>
    </row>
    <row r="940" spans="1:8" x14ac:dyDescent="0.3">
      <c r="A940">
        <v>4318</v>
      </c>
      <c r="B940" t="s">
        <v>638</v>
      </c>
      <c r="C940" t="s">
        <v>93</v>
      </c>
      <c r="D940" t="s">
        <v>781</v>
      </c>
      <c r="E940" t="s">
        <v>27</v>
      </c>
      <c r="F940" t="s">
        <v>114</v>
      </c>
      <c r="G940" t="s">
        <v>782</v>
      </c>
      <c r="H940" s="7">
        <v>78586</v>
      </c>
    </row>
    <row r="941" spans="1:8" x14ac:dyDescent="0.3">
      <c r="A941">
        <v>4323</v>
      </c>
      <c r="B941" t="s">
        <v>215</v>
      </c>
      <c r="C941" t="s">
        <v>1039</v>
      </c>
      <c r="D941" t="s">
        <v>107</v>
      </c>
      <c r="E941" t="s">
        <v>8</v>
      </c>
      <c r="F941" t="s">
        <v>190</v>
      </c>
      <c r="G941" t="s">
        <v>218</v>
      </c>
      <c r="H941" s="7">
        <v>85204</v>
      </c>
    </row>
    <row r="942" spans="1:8" x14ac:dyDescent="0.3">
      <c r="A942">
        <v>4327</v>
      </c>
      <c r="B942" t="s">
        <v>5</v>
      </c>
      <c r="C942" t="s">
        <v>1153</v>
      </c>
      <c r="D942" t="s">
        <v>322</v>
      </c>
      <c r="E942" t="s">
        <v>8</v>
      </c>
      <c r="F942" t="s">
        <v>9</v>
      </c>
      <c r="G942" t="s">
        <v>4002</v>
      </c>
      <c r="H942" s="7">
        <v>725</v>
      </c>
    </row>
    <row r="943" spans="1:8" x14ac:dyDescent="0.3">
      <c r="A943">
        <v>4334</v>
      </c>
      <c r="B943" t="s">
        <v>338</v>
      </c>
      <c r="C943" t="s">
        <v>556</v>
      </c>
      <c r="D943" t="s">
        <v>964</v>
      </c>
      <c r="E943" t="s">
        <v>8</v>
      </c>
      <c r="F943" t="s">
        <v>341</v>
      </c>
      <c r="G943" t="s">
        <v>342</v>
      </c>
      <c r="H943" s="7">
        <v>28645</v>
      </c>
    </row>
    <row r="944" spans="1:8" x14ac:dyDescent="0.3">
      <c r="A944">
        <v>4346</v>
      </c>
      <c r="B944" t="s">
        <v>5</v>
      </c>
      <c r="C944" t="s">
        <v>251</v>
      </c>
      <c r="D944" t="s">
        <v>107</v>
      </c>
      <c r="E944" t="s">
        <v>8</v>
      </c>
      <c r="F944" t="s">
        <v>9</v>
      </c>
      <c r="G944" t="s">
        <v>3168</v>
      </c>
      <c r="H944" s="7">
        <v>725</v>
      </c>
    </row>
    <row r="945" spans="1:8" x14ac:dyDescent="0.3">
      <c r="A945">
        <v>4349</v>
      </c>
      <c r="B945" t="s">
        <v>976</v>
      </c>
      <c r="C945" t="s">
        <v>696</v>
      </c>
      <c r="D945" t="s">
        <v>1291</v>
      </c>
      <c r="E945" t="s">
        <v>95</v>
      </c>
      <c r="F945" t="s">
        <v>153</v>
      </c>
      <c r="G945" t="s">
        <v>3117</v>
      </c>
      <c r="H945" s="7">
        <v>84118</v>
      </c>
    </row>
    <row r="946" spans="1:8" x14ac:dyDescent="0.3">
      <c r="A946">
        <v>4353</v>
      </c>
      <c r="B946" t="s">
        <v>2188</v>
      </c>
      <c r="C946" t="s">
        <v>93</v>
      </c>
      <c r="D946" t="s">
        <v>559</v>
      </c>
      <c r="E946" t="s">
        <v>8</v>
      </c>
      <c r="F946" t="s">
        <v>308</v>
      </c>
      <c r="G946" t="s">
        <v>3025</v>
      </c>
      <c r="H946" s="7">
        <v>8021</v>
      </c>
    </row>
    <row r="947" spans="1:8" x14ac:dyDescent="0.3">
      <c r="A947">
        <v>4354</v>
      </c>
      <c r="B947" t="s">
        <v>5</v>
      </c>
      <c r="C947" t="s">
        <v>499</v>
      </c>
      <c r="D947" t="s">
        <v>4248</v>
      </c>
      <c r="E947" t="s">
        <v>95</v>
      </c>
      <c r="F947" t="s">
        <v>9</v>
      </c>
      <c r="G947" t="s">
        <v>201</v>
      </c>
      <c r="H947" s="7">
        <v>725</v>
      </c>
    </row>
    <row r="948" spans="1:8" x14ac:dyDescent="0.3">
      <c r="A948">
        <v>4359</v>
      </c>
      <c r="B948" t="s">
        <v>495</v>
      </c>
      <c r="C948" t="s">
        <v>1714</v>
      </c>
      <c r="D948" t="s">
        <v>107</v>
      </c>
      <c r="E948" t="s">
        <v>8</v>
      </c>
      <c r="F948" t="s">
        <v>88</v>
      </c>
      <c r="G948" t="s">
        <v>2775</v>
      </c>
      <c r="H948" s="7">
        <v>11218</v>
      </c>
    </row>
    <row r="949" spans="1:8" x14ac:dyDescent="0.3">
      <c r="A949">
        <v>4361</v>
      </c>
      <c r="B949" t="s">
        <v>5</v>
      </c>
      <c r="C949" t="s">
        <v>1191</v>
      </c>
      <c r="D949" t="s">
        <v>107</v>
      </c>
      <c r="E949" t="s">
        <v>27</v>
      </c>
      <c r="F949" t="s">
        <v>9</v>
      </c>
      <c r="G949" t="s">
        <v>3989</v>
      </c>
      <c r="H949" s="7">
        <v>725</v>
      </c>
    </row>
    <row r="950" spans="1:8" x14ac:dyDescent="0.3">
      <c r="A950">
        <v>4364</v>
      </c>
      <c r="B950" t="s">
        <v>174</v>
      </c>
      <c r="C950" t="s">
        <v>1321</v>
      </c>
      <c r="D950" t="s">
        <v>264</v>
      </c>
      <c r="E950" t="s">
        <v>8</v>
      </c>
      <c r="F950" t="s">
        <v>21</v>
      </c>
      <c r="G950" t="s">
        <v>1322</v>
      </c>
      <c r="H950" s="7">
        <v>90042</v>
      </c>
    </row>
    <row r="951" spans="1:8" x14ac:dyDescent="0.3">
      <c r="A951">
        <v>4367</v>
      </c>
      <c r="B951" t="s">
        <v>3984</v>
      </c>
      <c r="C951" t="s">
        <v>643</v>
      </c>
      <c r="D951" t="s">
        <v>924</v>
      </c>
      <c r="E951" t="s">
        <v>95</v>
      </c>
      <c r="F951" t="s">
        <v>172</v>
      </c>
      <c r="G951" t="s">
        <v>3985</v>
      </c>
      <c r="H951" s="7">
        <v>65807</v>
      </c>
    </row>
    <row r="952" spans="1:8" x14ac:dyDescent="0.3">
      <c r="A952">
        <v>4369</v>
      </c>
      <c r="B952" t="s">
        <v>179</v>
      </c>
      <c r="C952" t="s">
        <v>67</v>
      </c>
      <c r="D952" t="s">
        <v>1304</v>
      </c>
      <c r="E952" t="s">
        <v>8</v>
      </c>
      <c r="F952" t="s">
        <v>21</v>
      </c>
      <c r="G952" t="s">
        <v>182</v>
      </c>
      <c r="H952" s="7">
        <v>95014</v>
      </c>
    </row>
    <row r="953" spans="1:8" x14ac:dyDescent="0.3">
      <c r="A953">
        <v>4373</v>
      </c>
      <c r="B953" t="s">
        <v>163</v>
      </c>
      <c r="C953" t="s">
        <v>1070</v>
      </c>
      <c r="D953" t="s">
        <v>2345</v>
      </c>
      <c r="E953" t="s">
        <v>8</v>
      </c>
      <c r="F953" t="s">
        <v>88</v>
      </c>
      <c r="G953" t="s">
        <v>166</v>
      </c>
      <c r="H953" s="7">
        <v>14094</v>
      </c>
    </row>
    <row r="954" spans="1:8" x14ac:dyDescent="0.3">
      <c r="A954">
        <v>4375</v>
      </c>
      <c r="B954" t="s">
        <v>2170</v>
      </c>
      <c r="C954" t="s">
        <v>520</v>
      </c>
      <c r="D954" t="s">
        <v>3388</v>
      </c>
      <c r="E954" t="s">
        <v>95</v>
      </c>
      <c r="F954" t="s">
        <v>248</v>
      </c>
      <c r="G954" t="s">
        <v>3725</v>
      </c>
      <c r="H954" s="7">
        <v>44102</v>
      </c>
    </row>
    <row r="955" spans="1:8" x14ac:dyDescent="0.3">
      <c r="A955">
        <v>4380</v>
      </c>
      <c r="B955" t="s">
        <v>5</v>
      </c>
      <c r="C955" t="s">
        <v>93</v>
      </c>
      <c r="D955" t="s">
        <v>860</v>
      </c>
      <c r="E955" t="s">
        <v>27</v>
      </c>
      <c r="F955" t="s">
        <v>9</v>
      </c>
      <c r="G955" t="s">
        <v>3175</v>
      </c>
      <c r="H955" s="7">
        <v>725</v>
      </c>
    </row>
    <row r="956" spans="1:8" x14ac:dyDescent="0.3">
      <c r="A956">
        <v>4385</v>
      </c>
      <c r="B956" t="s">
        <v>5</v>
      </c>
      <c r="C956" t="s">
        <v>93</v>
      </c>
      <c r="D956" t="s">
        <v>107</v>
      </c>
      <c r="E956" t="s">
        <v>8</v>
      </c>
      <c r="F956" t="s">
        <v>9</v>
      </c>
      <c r="G956" t="s">
        <v>3978</v>
      </c>
      <c r="H956" s="7">
        <v>725</v>
      </c>
    </row>
    <row r="957" spans="1:8" x14ac:dyDescent="0.3">
      <c r="A957">
        <v>4393</v>
      </c>
      <c r="B957" t="s">
        <v>155</v>
      </c>
      <c r="C957" t="s">
        <v>1191</v>
      </c>
      <c r="D957" t="s">
        <v>4053</v>
      </c>
      <c r="E957" t="s">
        <v>8</v>
      </c>
      <c r="F957" t="s">
        <v>158</v>
      </c>
      <c r="G957" t="s">
        <v>159</v>
      </c>
      <c r="H957" s="7">
        <v>38401</v>
      </c>
    </row>
    <row r="958" spans="1:8" x14ac:dyDescent="0.3">
      <c r="A958">
        <v>4399</v>
      </c>
      <c r="B958" t="s">
        <v>995</v>
      </c>
      <c r="C958" t="s">
        <v>491</v>
      </c>
      <c r="D958" t="s">
        <v>107</v>
      </c>
      <c r="E958" t="s">
        <v>8</v>
      </c>
      <c r="F958" t="s">
        <v>283</v>
      </c>
      <c r="G958" t="s">
        <v>1821</v>
      </c>
      <c r="H958" s="7">
        <v>23455</v>
      </c>
    </row>
    <row r="959" spans="1:8" x14ac:dyDescent="0.3">
      <c r="A959">
        <v>4406</v>
      </c>
      <c r="B959" t="s">
        <v>5</v>
      </c>
      <c r="C959" t="s">
        <v>93</v>
      </c>
      <c r="D959" t="s">
        <v>107</v>
      </c>
      <c r="E959" t="s">
        <v>27</v>
      </c>
      <c r="F959" t="s">
        <v>9</v>
      </c>
      <c r="G959" t="s">
        <v>2967</v>
      </c>
      <c r="H959" s="7">
        <v>725</v>
      </c>
    </row>
    <row r="960" spans="1:8" x14ac:dyDescent="0.3">
      <c r="A960">
        <v>4409</v>
      </c>
      <c r="B960" t="s">
        <v>195</v>
      </c>
      <c r="C960" t="s">
        <v>93</v>
      </c>
      <c r="D960" t="s">
        <v>1093</v>
      </c>
      <c r="E960" t="s">
        <v>8</v>
      </c>
      <c r="F960" t="s">
        <v>21</v>
      </c>
      <c r="G960" t="s">
        <v>3974</v>
      </c>
      <c r="H960" s="7">
        <v>92840</v>
      </c>
    </row>
    <row r="961" spans="1:8" x14ac:dyDescent="0.3">
      <c r="A961">
        <v>4416</v>
      </c>
      <c r="B961" t="s">
        <v>508</v>
      </c>
      <c r="C961" t="s">
        <v>488</v>
      </c>
      <c r="D961" t="s">
        <v>1964</v>
      </c>
      <c r="E961" t="s">
        <v>95</v>
      </c>
      <c r="F961" t="s">
        <v>114</v>
      </c>
      <c r="G961" t="s">
        <v>3874</v>
      </c>
      <c r="H961" s="7">
        <v>75211</v>
      </c>
    </row>
    <row r="962" spans="1:8" x14ac:dyDescent="0.3">
      <c r="A962">
        <v>4420</v>
      </c>
      <c r="B962" t="s">
        <v>5</v>
      </c>
      <c r="C962" t="s">
        <v>1241</v>
      </c>
      <c r="D962" t="s">
        <v>311</v>
      </c>
      <c r="E962" t="s">
        <v>95</v>
      </c>
      <c r="F962" t="s">
        <v>9</v>
      </c>
      <c r="G962" t="s">
        <v>3872</v>
      </c>
      <c r="H962" s="7">
        <v>725</v>
      </c>
    </row>
    <row r="963" spans="1:8" x14ac:dyDescent="0.3">
      <c r="A963">
        <v>4429</v>
      </c>
      <c r="B963" t="s">
        <v>508</v>
      </c>
      <c r="C963" t="s">
        <v>913</v>
      </c>
      <c r="D963" t="s">
        <v>1591</v>
      </c>
      <c r="E963" t="s">
        <v>27</v>
      </c>
      <c r="F963" t="s">
        <v>114</v>
      </c>
      <c r="G963" t="s">
        <v>3715</v>
      </c>
      <c r="H963" s="7">
        <v>75220</v>
      </c>
    </row>
    <row r="964" spans="1:8" x14ac:dyDescent="0.3">
      <c r="A964">
        <v>4432</v>
      </c>
      <c r="B964" t="s">
        <v>66</v>
      </c>
      <c r="C964" t="s">
        <v>1026</v>
      </c>
      <c r="D964" t="s">
        <v>3221</v>
      </c>
      <c r="E964" t="s">
        <v>8</v>
      </c>
      <c r="F964" t="s">
        <v>55</v>
      </c>
      <c r="G964" t="s">
        <v>69</v>
      </c>
      <c r="H964" s="7">
        <v>60187</v>
      </c>
    </row>
    <row r="965" spans="1:8" x14ac:dyDescent="0.3">
      <c r="A965">
        <v>4435</v>
      </c>
      <c r="B965" t="s">
        <v>1227</v>
      </c>
      <c r="C965" t="s">
        <v>623</v>
      </c>
      <c r="D965" t="s">
        <v>1228</v>
      </c>
      <c r="E965" t="s">
        <v>27</v>
      </c>
      <c r="F965" t="s">
        <v>381</v>
      </c>
      <c r="G965" t="s">
        <v>1229</v>
      </c>
      <c r="H965" s="7">
        <v>48066</v>
      </c>
    </row>
    <row r="966" spans="1:8" x14ac:dyDescent="0.3">
      <c r="A966">
        <v>4443</v>
      </c>
      <c r="B966" t="s">
        <v>59</v>
      </c>
      <c r="C966" t="s">
        <v>1326</v>
      </c>
      <c r="D966" t="s">
        <v>107</v>
      </c>
      <c r="E966" t="s">
        <v>27</v>
      </c>
      <c r="F966" t="s">
        <v>21</v>
      </c>
      <c r="G966" t="s">
        <v>62</v>
      </c>
      <c r="H966" s="7">
        <v>90813</v>
      </c>
    </row>
    <row r="967" spans="1:8" x14ac:dyDescent="0.3">
      <c r="A967">
        <v>4445</v>
      </c>
      <c r="B967" t="s">
        <v>5</v>
      </c>
      <c r="C967" t="s">
        <v>93</v>
      </c>
      <c r="D967" t="s">
        <v>2067</v>
      </c>
      <c r="E967" t="s">
        <v>27</v>
      </c>
      <c r="F967" t="s">
        <v>9</v>
      </c>
      <c r="G967" t="s">
        <v>50</v>
      </c>
      <c r="H967" s="7">
        <v>725</v>
      </c>
    </row>
    <row r="968" spans="1:8" x14ac:dyDescent="0.3">
      <c r="A968">
        <v>4446</v>
      </c>
      <c r="B968" t="s">
        <v>42</v>
      </c>
      <c r="C968" t="s">
        <v>106</v>
      </c>
      <c r="D968" t="s">
        <v>1315</v>
      </c>
      <c r="E968" t="s">
        <v>27</v>
      </c>
      <c r="F968" t="s">
        <v>21</v>
      </c>
      <c r="G968" t="s">
        <v>45</v>
      </c>
      <c r="H968" s="7">
        <v>90723</v>
      </c>
    </row>
    <row r="969" spans="1:8" x14ac:dyDescent="0.3">
      <c r="A969">
        <v>4448</v>
      </c>
      <c r="B969" t="s">
        <v>5</v>
      </c>
      <c r="C969" t="s">
        <v>776</v>
      </c>
      <c r="D969" t="s">
        <v>1277</v>
      </c>
      <c r="E969" t="s">
        <v>8</v>
      </c>
      <c r="F969" t="s">
        <v>9</v>
      </c>
      <c r="G969" t="s">
        <v>41</v>
      </c>
      <c r="H969" s="7">
        <v>725</v>
      </c>
    </row>
    <row r="970" spans="1:8" x14ac:dyDescent="0.3">
      <c r="A970">
        <v>4450</v>
      </c>
      <c r="B970" t="s">
        <v>5</v>
      </c>
      <c r="C970" t="s">
        <v>93</v>
      </c>
      <c r="D970" t="s">
        <v>122</v>
      </c>
      <c r="E970" t="s">
        <v>27</v>
      </c>
      <c r="F970" t="s">
        <v>9</v>
      </c>
      <c r="G970" t="s">
        <v>28</v>
      </c>
      <c r="H970" s="7">
        <v>725</v>
      </c>
    </row>
    <row r="971" spans="1:8" x14ac:dyDescent="0.3">
      <c r="A971">
        <v>4451</v>
      </c>
      <c r="B971" t="s">
        <v>451</v>
      </c>
      <c r="C971" t="s">
        <v>776</v>
      </c>
      <c r="D971" t="s">
        <v>107</v>
      </c>
      <c r="E971" t="s">
        <v>8</v>
      </c>
      <c r="F971" t="s">
        <v>21</v>
      </c>
      <c r="G971" t="s">
        <v>3861</v>
      </c>
      <c r="H971" s="7">
        <v>93905</v>
      </c>
    </row>
    <row r="972" spans="1:8" x14ac:dyDescent="0.3">
      <c r="A972">
        <v>4469</v>
      </c>
      <c r="B972" t="s">
        <v>5</v>
      </c>
      <c r="C972" t="s">
        <v>397</v>
      </c>
      <c r="D972" t="s">
        <v>3280</v>
      </c>
      <c r="E972" t="s">
        <v>27</v>
      </c>
      <c r="F972" t="s">
        <v>9</v>
      </c>
      <c r="G972" t="s">
        <v>3281</v>
      </c>
      <c r="H972" s="7">
        <v>725</v>
      </c>
    </row>
    <row r="973" spans="1:8" x14ac:dyDescent="0.3">
      <c r="A973">
        <v>4473</v>
      </c>
      <c r="B973" t="s">
        <v>2101</v>
      </c>
      <c r="C973" t="s">
        <v>1144</v>
      </c>
      <c r="D973" t="s">
        <v>2067</v>
      </c>
      <c r="E973" t="s">
        <v>8</v>
      </c>
      <c r="F973" t="s">
        <v>77</v>
      </c>
      <c r="G973" t="s">
        <v>2102</v>
      </c>
      <c r="H973" s="7">
        <v>19382</v>
      </c>
    </row>
    <row r="974" spans="1:8" x14ac:dyDescent="0.3">
      <c r="A974">
        <v>4484</v>
      </c>
      <c r="B974" t="s">
        <v>1913</v>
      </c>
      <c r="C974" t="s">
        <v>1504</v>
      </c>
      <c r="D974" t="s">
        <v>107</v>
      </c>
      <c r="E974" t="s">
        <v>8</v>
      </c>
      <c r="F974" t="s">
        <v>140</v>
      </c>
      <c r="G974" t="s">
        <v>1914</v>
      </c>
      <c r="H974" s="7">
        <v>30127</v>
      </c>
    </row>
    <row r="975" spans="1:8" x14ac:dyDescent="0.3">
      <c r="A975">
        <v>4492</v>
      </c>
      <c r="B975" t="s">
        <v>1166</v>
      </c>
      <c r="C975" t="s">
        <v>1851</v>
      </c>
      <c r="D975" t="s">
        <v>1396</v>
      </c>
      <c r="E975" t="s">
        <v>8</v>
      </c>
      <c r="F975" t="s">
        <v>36</v>
      </c>
      <c r="G975" t="s">
        <v>2903</v>
      </c>
      <c r="H975" s="7">
        <v>1841</v>
      </c>
    </row>
    <row r="976" spans="1:8" x14ac:dyDescent="0.3">
      <c r="A976">
        <v>4496</v>
      </c>
      <c r="B976" t="s">
        <v>997</v>
      </c>
      <c r="C976" t="s">
        <v>776</v>
      </c>
      <c r="D976" t="s">
        <v>697</v>
      </c>
      <c r="E976" t="s">
        <v>8</v>
      </c>
      <c r="F976" t="s">
        <v>308</v>
      </c>
      <c r="G976" t="s">
        <v>4968</v>
      </c>
      <c r="H976" s="7">
        <v>7104</v>
      </c>
    </row>
    <row r="977" spans="1:8" x14ac:dyDescent="0.3">
      <c r="A977">
        <v>4497</v>
      </c>
      <c r="B977" t="s">
        <v>5</v>
      </c>
      <c r="C977" t="s">
        <v>977</v>
      </c>
      <c r="D977" t="s">
        <v>107</v>
      </c>
      <c r="E977" t="s">
        <v>95</v>
      </c>
      <c r="F977" t="s">
        <v>9</v>
      </c>
      <c r="G977" t="s">
        <v>2367</v>
      </c>
      <c r="H977" s="7">
        <v>725</v>
      </c>
    </row>
    <row r="978" spans="1:8" x14ac:dyDescent="0.3">
      <c r="A978">
        <v>4500</v>
      </c>
      <c r="B978" t="s">
        <v>2361</v>
      </c>
      <c r="C978" t="s">
        <v>1738</v>
      </c>
      <c r="D978" t="s">
        <v>2407</v>
      </c>
      <c r="E978" t="s">
        <v>27</v>
      </c>
      <c r="F978" t="s">
        <v>114</v>
      </c>
      <c r="G978" t="s">
        <v>2029</v>
      </c>
      <c r="H978" s="7">
        <v>78539</v>
      </c>
    </row>
    <row r="979" spans="1:8" x14ac:dyDescent="0.3">
      <c r="A979">
        <v>4502</v>
      </c>
      <c r="B979" t="s">
        <v>5</v>
      </c>
      <c r="C979" t="s">
        <v>397</v>
      </c>
      <c r="D979" t="s">
        <v>107</v>
      </c>
      <c r="E979" t="s">
        <v>27</v>
      </c>
      <c r="F979" t="s">
        <v>9</v>
      </c>
      <c r="G979" t="s">
        <v>5367</v>
      </c>
      <c r="H979" s="7">
        <v>725</v>
      </c>
    </row>
    <row r="980" spans="1:8" x14ac:dyDescent="0.3">
      <c r="A980">
        <v>4506</v>
      </c>
      <c r="B980" t="s">
        <v>995</v>
      </c>
      <c r="C980" t="s">
        <v>223</v>
      </c>
      <c r="D980" t="s">
        <v>1975</v>
      </c>
      <c r="E980" t="s">
        <v>8</v>
      </c>
      <c r="F980" t="s">
        <v>283</v>
      </c>
      <c r="G980" t="s">
        <v>1976</v>
      </c>
      <c r="H980" s="7">
        <v>23464</v>
      </c>
    </row>
    <row r="981" spans="1:8" x14ac:dyDescent="0.3">
      <c r="A981">
        <v>4511</v>
      </c>
      <c r="B981" t="s">
        <v>5</v>
      </c>
      <c r="C981" t="s">
        <v>93</v>
      </c>
      <c r="D981" t="s">
        <v>107</v>
      </c>
      <c r="E981" t="s">
        <v>8</v>
      </c>
      <c r="F981" t="s">
        <v>9</v>
      </c>
      <c r="G981" t="s">
        <v>3462</v>
      </c>
      <c r="H981" s="7">
        <v>725</v>
      </c>
    </row>
    <row r="982" spans="1:8" x14ac:dyDescent="0.3">
      <c r="A982">
        <v>4520</v>
      </c>
      <c r="B982" t="s">
        <v>254</v>
      </c>
      <c r="C982" t="s">
        <v>93</v>
      </c>
      <c r="D982" t="s">
        <v>2234</v>
      </c>
      <c r="E982" t="s">
        <v>95</v>
      </c>
      <c r="F982" t="s">
        <v>55</v>
      </c>
      <c r="G982" t="s">
        <v>1849</v>
      </c>
      <c r="H982" s="7">
        <v>60621</v>
      </c>
    </row>
    <row r="983" spans="1:8" x14ac:dyDescent="0.3">
      <c r="A983">
        <v>4522</v>
      </c>
      <c r="B983" t="s">
        <v>1520</v>
      </c>
      <c r="C983" t="s">
        <v>93</v>
      </c>
      <c r="D983" t="s">
        <v>532</v>
      </c>
      <c r="E983" t="s">
        <v>95</v>
      </c>
      <c r="F983" t="s">
        <v>381</v>
      </c>
      <c r="G983" t="s">
        <v>3700</v>
      </c>
      <c r="H983" s="7">
        <v>49509</v>
      </c>
    </row>
    <row r="984" spans="1:8" x14ac:dyDescent="0.3">
      <c r="A984">
        <v>4531</v>
      </c>
      <c r="B984" t="s">
        <v>1688</v>
      </c>
      <c r="C984" t="s">
        <v>1536</v>
      </c>
      <c r="D984" t="s">
        <v>1410</v>
      </c>
      <c r="E984" t="s">
        <v>8</v>
      </c>
      <c r="F984" t="s">
        <v>114</v>
      </c>
      <c r="G984" t="s">
        <v>3036</v>
      </c>
      <c r="H984" s="7">
        <v>78046</v>
      </c>
    </row>
    <row r="985" spans="1:8" x14ac:dyDescent="0.3">
      <c r="A985">
        <v>4537</v>
      </c>
      <c r="B985" t="s">
        <v>710</v>
      </c>
      <c r="C985" t="s">
        <v>223</v>
      </c>
      <c r="D985" t="s">
        <v>1030</v>
      </c>
      <c r="E985" t="s">
        <v>95</v>
      </c>
      <c r="F985" t="s">
        <v>448</v>
      </c>
      <c r="G985" t="s">
        <v>3706</v>
      </c>
      <c r="H985" s="7">
        <v>33311</v>
      </c>
    </row>
    <row r="986" spans="1:8" x14ac:dyDescent="0.3">
      <c r="A986">
        <v>4548</v>
      </c>
      <c r="B986" t="s">
        <v>447</v>
      </c>
      <c r="C986" t="s">
        <v>397</v>
      </c>
      <c r="D986" t="s">
        <v>107</v>
      </c>
      <c r="E986" t="s">
        <v>8</v>
      </c>
      <c r="F986" t="s">
        <v>448</v>
      </c>
      <c r="G986" t="s">
        <v>3601</v>
      </c>
      <c r="H986" s="7">
        <v>33016</v>
      </c>
    </row>
    <row r="987" spans="1:8" x14ac:dyDescent="0.3">
      <c r="A987">
        <v>4557</v>
      </c>
      <c r="B987" t="s">
        <v>5</v>
      </c>
      <c r="C987" t="s">
        <v>1191</v>
      </c>
      <c r="D987" t="s">
        <v>559</v>
      </c>
      <c r="E987" t="s">
        <v>8</v>
      </c>
      <c r="F987" t="s">
        <v>9</v>
      </c>
      <c r="G987" t="s">
        <v>2663</v>
      </c>
      <c r="H987" s="7">
        <v>725</v>
      </c>
    </row>
    <row r="988" spans="1:8" x14ac:dyDescent="0.3">
      <c r="A988">
        <v>4558</v>
      </c>
      <c r="B988" t="s">
        <v>1793</v>
      </c>
      <c r="C988" t="s">
        <v>1824</v>
      </c>
      <c r="D988" t="s">
        <v>107</v>
      </c>
      <c r="E988" t="s">
        <v>8</v>
      </c>
      <c r="F988" t="s">
        <v>21</v>
      </c>
      <c r="G988" t="s">
        <v>2691</v>
      </c>
      <c r="H988" s="7">
        <v>94122</v>
      </c>
    </row>
    <row r="989" spans="1:8" x14ac:dyDescent="0.3">
      <c r="A989">
        <v>4559</v>
      </c>
      <c r="B989" t="s">
        <v>865</v>
      </c>
      <c r="C989" t="s">
        <v>1317</v>
      </c>
      <c r="D989" t="s">
        <v>260</v>
      </c>
      <c r="E989" t="s">
        <v>8</v>
      </c>
      <c r="F989" t="s">
        <v>190</v>
      </c>
      <c r="G989" t="s">
        <v>4310</v>
      </c>
      <c r="H989" s="7">
        <v>85710</v>
      </c>
    </row>
    <row r="990" spans="1:8" x14ac:dyDescent="0.3">
      <c r="A990">
        <v>4560</v>
      </c>
      <c r="B990" t="s">
        <v>5</v>
      </c>
      <c r="C990" t="s">
        <v>93</v>
      </c>
      <c r="D990" t="s">
        <v>107</v>
      </c>
      <c r="E990" t="s">
        <v>95</v>
      </c>
      <c r="F990" t="s">
        <v>9</v>
      </c>
      <c r="G990" t="s">
        <v>526</v>
      </c>
      <c r="H990" s="7">
        <v>725</v>
      </c>
    </row>
    <row r="991" spans="1:8" x14ac:dyDescent="0.3">
      <c r="A991">
        <v>4561</v>
      </c>
      <c r="B991" t="s">
        <v>1002</v>
      </c>
      <c r="C991" t="s">
        <v>556</v>
      </c>
      <c r="D991" t="s">
        <v>422</v>
      </c>
      <c r="E991" t="s">
        <v>8</v>
      </c>
      <c r="F991" t="s">
        <v>1003</v>
      </c>
      <c r="G991" t="s">
        <v>1004</v>
      </c>
      <c r="H991" s="7">
        <v>72401</v>
      </c>
    </row>
    <row r="992" spans="1:8" x14ac:dyDescent="0.3">
      <c r="A992">
        <v>4565</v>
      </c>
      <c r="B992" t="s">
        <v>5</v>
      </c>
      <c r="C992" t="s">
        <v>421</v>
      </c>
      <c r="D992" t="s">
        <v>422</v>
      </c>
      <c r="E992" t="s">
        <v>8</v>
      </c>
      <c r="F992" t="s">
        <v>9</v>
      </c>
      <c r="G992" t="s">
        <v>423</v>
      </c>
      <c r="H992" s="7">
        <v>725</v>
      </c>
    </row>
    <row r="993" spans="1:8" x14ac:dyDescent="0.3">
      <c r="A993">
        <v>4569</v>
      </c>
      <c r="B993" t="s">
        <v>5</v>
      </c>
      <c r="C993" t="s">
        <v>891</v>
      </c>
      <c r="D993" t="s">
        <v>107</v>
      </c>
      <c r="E993" t="s">
        <v>8</v>
      </c>
      <c r="F993" t="s">
        <v>9</v>
      </c>
      <c r="G993" t="s">
        <v>4860</v>
      </c>
      <c r="H993" s="7">
        <v>725</v>
      </c>
    </row>
    <row r="994" spans="1:8" x14ac:dyDescent="0.3">
      <c r="A994">
        <v>4580</v>
      </c>
      <c r="B994" t="s">
        <v>2866</v>
      </c>
      <c r="C994" t="s">
        <v>891</v>
      </c>
      <c r="D994" t="s">
        <v>107</v>
      </c>
      <c r="E994" t="s">
        <v>8</v>
      </c>
      <c r="F994" t="s">
        <v>88</v>
      </c>
      <c r="G994" t="s">
        <v>2867</v>
      </c>
      <c r="H994" s="7">
        <v>11103</v>
      </c>
    </row>
    <row r="995" spans="1:8" x14ac:dyDescent="0.3">
      <c r="A995">
        <v>4582</v>
      </c>
      <c r="B995" t="s">
        <v>789</v>
      </c>
      <c r="C995" t="s">
        <v>785</v>
      </c>
      <c r="D995" t="s">
        <v>4595</v>
      </c>
      <c r="E995" t="s">
        <v>8</v>
      </c>
      <c r="F995" t="s">
        <v>21</v>
      </c>
      <c r="G995" t="s">
        <v>5237</v>
      </c>
      <c r="H995" s="7">
        <v>92801</v>
      </c>
    </row>
    <row r="996" spans="1:8" x14ac:dyDescent="0.3">
      <c r="A996">
        <v>4587</v>
      </c>
      <c r="B996" t="s">
        <v>5</v>
      </c>
      <c r="C996" t="s">
        <v>3108</v>
      </c>
      <c r="D996" t="s">
        <v>107</v>
      </c>
      <c r="E996" t="s">
        <v>8</v>
      </c>
      <c r="F996" t="s">
        <v>9</v>
      </c>
      <c r="G996" t="s">
        <v>5400</v>
      </c>
      <c r="H996" s="7">
        <v>725</v>
      </c>
    </row>
    <row r="997" spans="1:8" x14ac:dyDescent="0.3">
      <c r="A997">
        <v>4593</v>
      </c>
      <c r="B997" t="s">
        <v>1664</v>
      </c>
      <c r="C997" t="s">
        <v>3108</v>
      </c>
      <c r="D997" t="s">
        <v>1582</v>
      </c>
      <c r="E997" t="s">
        <v>95</v>
      </c>
      <c r="F997" t="s">
        <v>172</v>
      </c>
      <c r="G997" t="s">
        <v>3109</v>
      </c>
      <c r="H997" s="7">
        <v>63033</v>
      </c>
    </row>
    <row r="998" spans="1:8" x14ac:dyDescent="0.3">
      <c r="A998">
        <v>4596</v>
      </c>
      <c r="B998" t="s">
        <v>1615</v>
      </c>
      <c r="C998" t="s">
        <v>93</v>
      </c>
      <c r="D998" t="s">
        <v>3958</v>
      </c>
      <c r="E998" t="s">
        <v>8</v>
      </c>
      <c r="F998" t="s">
        <v>1195</v>
      </c>
      <c r="G998" t="s">
        <v>3959</v>
      </c>
      <c r="H998" s="7">
        <v>98023</v>
      </c>
    </row>
    <row r="999" spans="1:8" x14ac:dyDescent="0.3">
      <c r="A999">
        <v>4599</v>
      </c>
      <c r="B999" t="s">
        <v>997</v>
      </c>
      <c r="C999" t="s">
        <v>93</v>
      </c>
      <c r="D999" t="s">
        <v>107</v>
      </c>
      <c r="E999" t="s">
        <v>8</v>
      </c>
      <c r="F999" t="s">
        <v>308</v>
      </c>
      <c r="G999" t="s">
        <v>998</v>
      </c>
      <c r="H999" s="7">
        <v>7104</v>
      </c>
    </row>
    <row r="1000" spans="1:8" x14ac:dyDescent="0.3">
      <c r="A1000">
        <v>4603</v>
      </c>
      <c r="B1000" t="s">
        <v>5</v>
      </c>
      <c r="C1000" t="s">
        <v>2750</v>
      </c>
      <c r="D1000" t="s">
        <v>1890</v>
      </c>
      <c r="E1000" t="s">
        <v>27</v>
      </c>
      <c r="F1000" t="s">
        <v>9</v>
      </c>
      <c r="G1000" t="s">
        <v>5249</v>
      </c>
      <c r="H1000" s="7">
        <v>725</v>
      </c>
    </row>
    <row r="1001" spans="1:8" x14ac:dyDescent="0.3">
      <c r="A1001">
        <v>4607</v>
      </c>
      <c r="B1001" t="s">
        <v>179</v>
      </c>
      <c r="C1001" t="s">
        <v>520</v>
      </c>
      <c r="D1001" t="s">
        <v>3154</v>
      </c>
      <c r="E1001" t="s">
        <v>27</v>
      </c>
      <c r="F1001" t="s">
        <v>21</v>
      </c>
      <c r="G1001" t="s">
        <v>4577</v>
      </c>
      <c r="H1001" s="7">
        <v>95014</v>
      </c>
    </row>
    <row r="1002" spans="1:8" x14ac:dyDescent="0.3">
      <c r="A1002">
        <v>4613</v>
      </c>
      <c r="B1002" t="s">
        <v>823</v>
      </c>
      <c r="C1002" t="s">
        <v>1169</v>
      </c>
      <c r="D1002" t="s">
        <v>1873</v>
      </c>
      <c r="E1002" t="s">
        <v>95</v>
      </c>
      <c r="F1002" t="s">
        <v>114</v>
      </c>
      <c r="G1002" t="s">
        <v>3724</v>
      </c>
      <c r="H1002" s="7">
        <v>77469</v>
      </c>
    </row>
    <row r="1003" spans="1:8" x14ac:dyDescent="0.3">
      <c r="A1003">
        <v>4619</v>
      </c>
      <c r="B1003" t="s">
        <v>823</v>
      </c>
      <c r="C1003" t="s">
        <v>93</v>
      </c>
      <c r="D1003" t="s">
        <v>685</v>
      </c>
      <c r="E1003" t="s">
        <v>8</v>
      </c>
      <c r="F1003" t="s">
        <v>114</v>
      </c>
      <c r="G1003" t="s">
        <v>4754</v>
      </c>
      <c r="H1003" s="7">
        <v>77469</v>
      </c>
    </row>
    <row r="1004" spans="1:8" x14ac:dyDescent="0.3">
      <c r="A1004">
        <v>4620</v>
      </c>
      <c r="B1004" t="s">
        <v>5</v>
      </c>
      <c r="C1004" t="s">
        <v>160</v>
      </c>
      <c r="D1004" t="s">
        <v>2364</v>
      </c>
      <c r="E1004" t="s">
        <v>8</v>
      </c>
      <c r="F1004" t="s">
        <v>9</v>
      </c>
      <c r="G1004" t="s">
        <v>4409</v>
      </c>
      <c r="H1004" s="7">
        <v>725</v>
      </c>
    </row>
    <row r="1005" spans="1:8" x14ac:dyDescent="0.3">
      <c r="A1005">
        <v>4623</v>
      </c>
      <c r="B1005" t="s">
        <v>2447</v>
      </c>
      <c r="C1005" t="s">
        <v>727</v>
      </c>
      <c r="D1005" t="s">
        <v>107</v>
      </c>
      <c r="E1005" t="s">
        <v>8</v>
      </c>
      <c r="F1005" t="s">
        <v>9</v>
      </c>
      <c r="G1005" t="s">
        <v>2448</v>
      </c>
      <c r="H1005" s="7">
        <v>612</v>
      </c>
    </row>
    <row r="1006" spans="1:8" x14ac:dyDescent="0.3">
      <c r="A1006">
        <v>4626</v>
      </c>
      <c r="B1006" t="s">
        <v>5</v>
      </c>
      <c r="C1006" t="s">
        <v>785</v>
      </c>
      <c r="D1006" t="s">
        <v>127</v>
      </c>
      <c r="E1006" t="s">
        <v>27</v>
      </c>
      <c r="F1006" t="s">
        <v>9</v>
      </c>
      <c r="G1006" t="s">
        <v>1608</v>
      </c>
      <c r="H1006" s="7">
        <v>725</v>
      </c>
    </row>
    <row r="1007" spans="1:8" x14ac:dyDescent="0.3">
      <c r="A1007">
        <v>4629</v>
      </c>
      <c r="B1007" t="s">
        <v>5</v>
      </c>
      <c r="C1007" t="s">
        <v>1068</v>
      </c>
      <c r="D1007" t="s">
        <v>1746</v>
      </c>
      <c r="E1007" t="s">
        <v>8</v>
      </c>
      <c r="F1007" t="s">
        <v>9</v>
      </c>
      <c r="G1007" t="s">
        <v>5666</v>
      </c>
      <c r="H1007" s="7">
        <v>725</v>
      </c>
    </row>
    <row r="1008" spans="1:8" x14ac:dyDescent="0.3">
      <c r="A1008">
        <v>4634</v>
      </c>
      <c r="B1008" t="s">
        <v>117</v>
      </c>
      <c r="C1008" t="s">
        <v>3924</v>
      </c>
      <c r="D1008" t="s">
        <v>322</v>
      </c>
      <c r="E1008" t="s">
        <v>95</v>
      </c>
      <c r="F1008" t="s">
        <v>21</v>
      </c>
      <c r="G1008" t="s">
        <v>5627</v>
      </c>
      <c r="H1008" s="7">
        <v>92117</v>
      </c>
    </row>
    <row r="1009" spans="1:8" x14ac:dyDescent="0.3">
      <c r="A1009">
        <v>4649</v>
      </c>
      <c r="B1009" t="s">
        <v>1041</v>
      </c>
      <c r="C1009" t="s">
        <v>1200</v>
      </c>
      <c r="D1009" t="s">
        <v>1425</v>
      </c>
      <c r="E1009" t="s">
        <v>8</v>
      </c>
      <c r="F1009" t="s">
        <v>1042</v>
      </c>
      <c r="G1009" t="s">
        <v>4789</v>
      </c>
      <c r="H1009" s="7">
        <v>29445</v>
      </c>
    </row>
    <row r="1010" spans="1:8" x14ac:dyDescent="0.3">
      <c r="A1010">
        <v>4650</v>
      </c>
      <c r="B1010" t="s">
        <v>4136</v>
      </c>
      <c r="C1010" t="s">
        <v>93</v>
      </c>
      <c r="D1010" t="s">
        <v>107</v>
      </c>
      <c r="E1010" t="s">
        <v>8</v>
      </c>
      <c r="F1010" t="s">
        <v>77</v>
      </c>
      <c r="G1010" t="s">
        <v>4573</v>
      </c>
      <c r="H1010" s="7">
        <v>17331</v>
      </c>
    </row>
    <row r="1011" spans="1:8" x14ac:dyDescent="0.3">
      <c r="A1011">
        <v>4663</v>
      </c>
      <c r="B1011" t="s">
        <v>343</v>
      </c>
      <c r="C1011" t="s">
        <v>1080</v>
      </c>
      <c r="D1011" t="s">
        <v>107</v>
      </c>
      <c r="E1011" t="s">
        <v>27</v>
      </c>
      <c r="F1011" t="s">
        <v>140</v>
      </c>
      <c r="G1011" t="s">
        <v>4741</v>
      </c>
      <c r="H1011" s="7">
        <v>31907</v>
      </c>
    </row>
    <row r="1012" spans="1:8" x14ac:dyDescent="0.3">
      <c r="A1012">
        <v>4664</v>
      </c>
      <c r="B1012" t="s">
        <v>5</v>
      </c>
      <c r="C1012" t="s">
        <v>93</v>
      </c>
      <c r="D1012" t="s">
        <v>1628</v>
      </c>
      <c r="E1012" t="s">
        <v>8</v>
      </c>
      <c r="F1012" t="s">
        <v>9</v>
      </c>
      <c r="G1012" t="s">
        <v>5062</v>
      </c>
      <c r="H1012" s="7">
        <v>725</v>
      </c>
    </row>
    <row r="1013" spans="1:8" x14ac:dyDescent="0.3">
      <c r="A1013">
        <v>4666</v>
      </c>
      <c r="B1013" t="s">
        <v>897</v>
      </c>
      <c r="C1013" t="s">
        <v>93</v>
      </c>
      <c r="D1013" t="s">
        <v>107</v>
      </c>
      <c r="E1013" t="s">
        <v>27</v>
      </c>
      <c r="F1013" t="s">
        <v>9</v>
      </c>
      <c r="G1013" t="s">
        <v>3939</v>
      </c>
      <c r="H1013" s="7">
        <v>674</v>
      </c>
    </row>
    <row r="1014" spans="1:8" x14ac:dyDescent="0.3">
      <c r="A1014">
        <v>4670</v>
      </c>
      <c r="B1014" t="s">
        <v>5</v>
      </c>
      <c r="C1014" t="s">
        <v>1735</v>
      </c>
      <c r="D1014" t="s">
        <v>1736</v>
      </c>
      <c r="E1014" t="s">
        <v>95</v>
      </c>
      <c r="F1014" t="s">
        <v>9</v>
      </c>
      <c r="G1014" t="s">
        <v>1737</v>
      </c>
      <c r="H1014" s="7">
        <v>725</v>
      </c>
    </row>
    <row r="1015" spans="1:8" x14ac:dyDescent="0.3">
      <c r="A1015">
        <v>4673</v>
      </c>
      <c r="B1015" t="s">
        <v>5</v>
      </c>
      <c r="C1015" t="s">
        <v>719</v>
      </c>
      <c r="D1015" t="s">
        <v>2994</v>
      </c>
      <c r="E1015" t="s">
        <v>95</v>
      </c>
      <c r="F1015" t="s">
        <v>9</v>
      </c>
      <c r="G1015" t="s">
        <v>3886</v>
      </c>
      <c r="H1015" s="7">
        <v>725</v>
      </c>
    </row>
    <row r="1016" spans="1:8" x14ac:dyDescent="0.3">
      <c r="A1016">
        <v>4680</v>
      </c>
      <c r="B1016" t="s">
        <v>74</v>
      </c>
      <c r="C1016" t="s">
        <v>1504</v>
      </c>
      <c r="D1016" t="s">
        <v>3274</v>
      </c>
      <c r="E1016" t="s">
        <v>27</v>
      </c>
      <c r="F1016" t="s">
        <v>77</v>
      </c>
      <c r="G1016" t="s">
        <v>5371</v>
      </c>
      <c r="H1016" s="7">
        <v>17013</v>
      </c>
    </row>
    <row r="1017" spans="1:8" x14ac:dyDescent="0.3">
      <c r="A1017">
        <v>4697</v>
      </c>
      <c r="B1017" t="s">
        <v>5</v>
      </c>
      <c r="C1017" t="s">
        <v>2047</v>
      </c>
      <c r="D1017" t="s">
        <v>4043</v>
      </c>
      <c r="E1017" t="s">
        <v>8</v>
      </c>
      <c r="F1017" t="s">
        <v>9</v>
      </c>
      <c r="G1017" t="s">
        <v>4044</v>
      </c>
      <c r="H1017" s="7">
        <v>725</v>
      </c>
    </row>
    <row r="1018" spans="1:8" x14ac:dyDescent="0.3">
      <c r="A1018">
        <v>4699</v>
      </c>
      <c r="B1018" t="s">
        <v>5</v>
      </c>
      <c r="C1018" t="s">
        <v>1951</v>
      </c>
      <c r="D1018" t="s">
        <v>107</v>
      </c>
      <c r="E1018" t="s">
        <v>27</v>
      </c>
      <c r="F1018" t="s">
        <v>9</v>
      </c>
      <c r="G1018" t="s">
        <v>5341</v>
      </c>
      <c r="H1018" s="7">
        <v>725</v>
      </c>
    </row>
    <row r="1019" spans="1:8" x14ac:dyDescent="0.3">
      <c r="A1019">
        <v>4704</v>
      </c>
      <c r="B1019" t="s">
        <v>1179</v>
      </c>
      <c r="C1019" t="s">
        <v>366</v>
      </c>
      <c r="D1019" t="s">
        <v>251</v>
      </c>
      <c r="E1019" t="s">
        <v>8</v>
      </c>
      <c r="F1019" t="s">
        <v>88</v>
      </c>
      <c r="G1019" t="s">
        <v>1180</v>
      </c>
      <c r="H1019" s="7">
        <v>11520</v>
      </c>
    </row>
    <row r="1020" spans="1:8" x14ac:dyDescent="0.3">
      <c r="A1020">
        <v>4709</v>
      </c>
      <c r="B1020" t="s">
        <v>5</v>
      </c>
      <c r="C1020" t="s">
        <v>1738</v>
      </c>
      <c r="D1020" t="s">
        <v>1812</v>
      </c>
      <c r="E1020" t="s">
        <v>8</v>
      </c>
      <c r="F1020" t="s">
        <v>9</v>
      </c>
      <c r="G1020" t="s">
        <v>5532</v>
      </c>
      <c r="H1020" s="7">
        <v>725</v>
      </c>
    </row>
    <row r="1021" spans="1:8" x14ac:dyDescent="0.3">
      <c r="A1021">
        <v>4712</v>
      </c>
      <c r="B1021" t="s">
        <v>5</v>
      </c>
      <c r="C1021" t="s">
        <v>230</v>
      </c>
      <c r="D1021" t="s">
        <v>1904</v>
      </c>
      <c r="E1021" t="s">
        <v>8</v>
      </c>
      <c r="F1021" t="s">
        <v>9</v>
      </c>
      <c r="G1021" t="s">
        <v>5286</v>
      </c>
      <c r="H1021" s="7">
        <v>725</v>
      </c>
    </row>
    <row r="1022" spans="1:8" x14ac:dyDescent="0.3">
      <c r="A1022">
        <v>4721</v>
      </c>
      <c r="B1022" t="s">
        <v>254</v>
      </c>
      <c r="C1022" t="s">
        <v>556</v>
      </c>
      <c r="D1022" t="s">
        <v>2317</v>
      </c>
      <c r="E1022" t="s">
        <v>8</v>
      </c>
      <c r="F1022" t="s">
        <v>55</v>
      </c>
      <c r="G1022" t="s">
        <v>2318</v>
      </c>
      <c r="H1022" s="7">
        <v>60629</v>
      </c>
    </row>
    <row r="1023" spans="1:8" x14ac:dyDescent="0.3">
      <c r="A1023">
        <v>4726</v>
      </c>
      <c r="B1023" t="s">
        <v>5</v>
      </c>
      <c r="C1023" t="s">
        <v>93</v>
      </c>
      <c r="D1023" t="s">
        <v>107</v>
      </c>
      <c r="E1023" t="s">
        <v>27</v>
      </c>
      <c r="F1023" t="s">
        <v>9</v>
      </c>
      <c r="G1023" t="s">
        <v>4555</v>
      </c>
      <c r="H1023" s="7">
        <v>725</v>
      </c>
    </row>
    <row r="1024" spans="1:8" x14ac:dyDescent="0.3">
      <c r="A1024">
        <v>4728</v>
      </c>
      <c r="B1024" t="s">
        <v>5</v>
      </c>
      <c r="C1024" t="s">
        <v>93</v>
      </c>
      <c r="D1024" t="s">
        <v>107</v>
      </c>
      <c r="E1024" t="s">
        <v>8</v>
      </c>
      <c r="F1024" t="s">
        <v>9</v>
      </c>
      <c r="G1024" t="s">
        <v>3546</v>
      </c>
      <c r="H1024" s="7">
        <v>725</v>
      </c>
    </row>
    <row r="1025" spans="1:8" x14ac:dyDescent="0.3">
      <c r="A1025">
        <v>4732</v>
      </c>
      <c r="B1025" t="s">
        <v>1645</v>
      </c>
      <c r="C1025" t="s">
        <v>93</v>
      </c>
      <c r="D1025" t="s">
        <v>1646</v>
      </c>
      <c r="E1025" t="s">
        <v>27</v>
      </c>
      <c r="F1025" t="s">
        <v>190</v>
      </c>
      <c r="G1025" t="s">
        <v>1647</v>
      </c>
      <c r="H1025" s="7">
        <v>85301</v>
      </c>
    </row>
    <row r="1026" spans="1:8" x14ac:dyDescent="0.3">
      <c r="A1026">
        <v>4734</v>
      </c>
      <c r="B1026" t="s">
        <v>174</v>
      </c>
      <c r="C1026" t="s">
        <v>1034</v>
      </c>
      <c r="D1026" t="s">
        <v>574</v>
      </c>
      <c r="E1026" t="s">
        <v>8</v>
      </c>
      <c r="F1026" t="s">
        <v>21</v>
      </c>
      <c r="G1026" t="s">
        <v>1115</v>
      </c>
      <c r="H1026" s="7">
        <v>90027</v>
      </c>
    </row>
    <row r="1027" spans="1:8" x14ac:dyDescent="0.3">
      <c r="A1027">
        <v>4738</v>
      </c>
      <c r="B1027" t="s">
        <v>254</v>
      </c>
      <c r="C1027" t="s">
        <v>597</v>
      </c>
      <c r="D1027" t="s">
        <v>107</v>
      </c>
      <c r="E1027" t="s">
        <v>8</v>
      </c>
      <c r="F1027" t="s">
        <v>55</v>
      </c>
      <c r="G1027" t="s">
        <v>5429</v>
      </c>
      <c r="H1027" s="7">
        <v>60630</v>
      </c>
    </row>
    <row r="1028" spans="1:8" x14ac:dyDescent="0.3">
      <c r="A1028">
        <v>4741</v>
      </c>
      <c r="B1028" t="s">
        <v>5</v>
      </c>
      <c r="C1028" t="s">
        <v>93</v>
      </c>
      <c r="D1028" t="s">
        <v>107</v>
      </c>
      <c r="E1028" t="s">
        <v>95</v>
      </c>
      <c r="F1028" t="s">
        <v>9</v>
      </c>
      <c r="G1028" t="s">
        <v>3875</v>
      </c>
      <c r="H1028" s="7">
        <v>725</v>
      </c>
    </row>
    <row r="1029" spans="1:8" x14ac:dyDescent="0.3">
      <c r="A1029">
        <v>4751</v>
      </c>
      <c r="B1029" t="s">
        <v>5</v>
      </c>
      <c r="C1029" t="s">
        <v>1482</v>
      </c>
      <c r="D1029" t="s">
        <v>1483</v>
      </c>
      <c r="E1029" t="s">
        <v>8</v>
      </c>
      <c r="F1029" t="s">
        <v>9</v>
      </c>
      <c r="G1029" t="s">
        <v>1484</v>
      </c>
      <c r="H1029" s="7">
        <v>725</v>
      </c>
    </row>
    <row r="1030" spans="1:8" x14ac:dyDescent="0.3">
      <c r="A1030">
        <v>4756</v>
      </c>
      <c r="B1030" t="s">
        <v>495</v>
      </c>
      <c r="C1030" t="s">
        <v>93</v>
      </c>
      <c r="D1030" t="s">
        <v>778</v>
      </c>
      <c r="E1030" t="s">
        <v>27</v>
      </c>
      <c r="F1030" t="s">
        <v>88</v>
      </c>
      <c r="G1030" t="s">
        <v>779</v>
      </c>
      <c r="H1030" s="7">
        <v>11229</v>
      </c>
    </row>
    <row r="1031" spans="1:8" x14ac:dyDescent="0.3">
      <c r="A1031">
        <v>4761</v>
      </c>
      <c r="B1031" t="s">
        <v>5</v>
      </c>
      <c r="C1031" t="s">
        <v>93</v>
      </c>
      <c r="D1031" t="s">
        <v>1886</v>
      </c>
      <c r="E1031" t="s">
        <v>8</v>
      </c>
      <c r="F1031" t="s">
        <v>9</v>
      </c>
      <c r="G1031" t="s">
        <v>5292</v>
      </c>
      <c r="H1031" s="7">
        <v>725</v>
      </c>
    </row>
    <row r="1032" spans="1:8" x14ac:dyDescent="0.3">
      <c r="A1032">
        <v>4768</v>
      </c>
      <c r="B1032" t="s">
        <v>5</v>
      </c>
      <c r="C1032" t="s">
        <v>2713</v>
      </c>
      <c r="D1032" t="s">
        <v>3532</v>
      </c>
      <c r="E1032" t="s">
        <v>95</v>
      </c>
      <c r="F1032" t="s">
        <v>9</v>
      </c>
      <c r="G1032" t="s">
        <v>3533</v>
      </c>
      <c r="H1032" s="7">
        <v>725</v>
      </c>
    </row>
    <row r="1033" spans="1:8" x14ac:dyDescent="0.3">
      <c r="A1033">
        <v>4772</v>
      </c>
      <c r="B1033" t="s">
        <v>85</v>
      </c>
      <c r="C1033" t="s">
        <v>112</v>
      </c>
      <c r="D1033" t="s">
        <v>2596</v>
      </c>
      <c r="E1033" t="s">
        <v>27</v>
      </c>
      <c r="F1033" t="s">
        <v>88</v>
      </c>
      <c r="G1033" t="s">
        <v>4430</v>
      </c>
      <c r="H1033" s="7">
        <v>14609</v>
      </c>
    </row>
    <row r="1034" spans="1:8" x14ac:dyDescent="0.3">
      <c r="A1034">
        <v>4773</v>
      </c>
      <c r="B1034" t="s">
        <v>5</v>
      </c>
      <c r="C1034" t="s">
        <v>564</v>
      </c>
      <c r="D1034" t="s">
        <v>107</v>
      </c>
      <c r="E1034" t="s">
        <v>27</v>
      </c>
      <c r="F1034" t="s">
        <v>9</v>
      </c>
      <c r="G1034" t="s">
        <v>5047</v>
      </c>
      <c r="H1034" s="7">
        <v>725</v>
      </c>
    </row>
    <row r="1035" spans="1:8" x14ac:dyDescent="0.3">
      <c r="A1035">
        <v>4775</v>
      </c>
      <c r="B1035" t="s">
        <v>5</v>
      </c>
      <c r="C1035" t="s">
        <v>1987</v>
      </c>
      <c r="D1035" t="s">
        <v>1258</v>
      </c>
      <c r="E1035" t="s">
        <v>8</v>
      </c>
      <c r="F1035" t="s">
        <v>9</v>
      </c>
      <c r="G1035" t="s">
        <v>4325</v>
      </c>
      <c r="H1035" s="7">
        <v>725</v>
      </c>
    </row>
    <row r="1036" spans="1:8" x14ac:dyDescent="0.3">
      <c r="A1036">
        <v>4783</v>
      </c>
      <c r="B1036" t="s">
        <v>702</v>
      </c>
      <c r="C1036" t="s">
        <v>977</v>
      </c>
      <c r="D1036" t="s">
        <v>107</v>
      </c>
      <c r="E1036" t="s">
        <v>8</v>
      </c>
      <c r="F1036" t="s">
        <v>88</v>
      </c>
      <c r="G1036" t="s">
        <v>4266</v>
      </c>
      <c r="H1036" s="7">
        <v>11419</v>
      </c>
    </row>
    <row r="1037" spans="1:8" x14ac:dyDescent="0.3">
      <c r="A1037">
        <v>4794</v>
      </c>
      <c r="B1037" t="s">
        <v>707</v>
      </c>
      <c r="C1037" t="s">
        <v>882</v>
      </c>
      <c r="D1037" t="s">
        <v>1954</v>
      </c>
      <c r="E1037" t="s">
        <v>8</v>
      </c>
      <c r="F1037" t="s">
        <v>21</v>
      </c>
      <c r="G1037" t="s">
        <v>1955</v>
      </c>
      <c r="H1037" s="7">
        <v>93063</v>
      </c>
    </row>
    <row r="1038" spans="1:8" x14ac:dyDescent="0.3">
      <c r="A1038">
        <v>4795</v>
      </c>
      <c r="B1038" t="s">
        <v>1875</v>
      </c>
      <c r="C1038" t="s">
        <v>93</v>
      </c>
      <c r="D1038" t="s">
        <v>107</v>
      </c>
      <c r="E1038" t="s">
        <v>8</v>
      </c>
      <c r="F1038" t="s">
        <v>1876</v>
      </c>
      <c r="G1038" t="s">
        <v>1877</v>
      </c>
      <c r="H1038" s="7">
        <v>58103</v>
      </c>
    </row>
    <row r="1039" spans="1:8" x14ac:dyDescent="0.3">
      <c r="A1039">
        <v>4796</v>
      </c>
      <c r="B1039" t="s">
        <v>5</v>
      </c>
      <c r="C1039" t="s">
        <v>3797</v>
      </c>
      <c r="D1039" t="s">
        <v>2690</v>
      </c>
      <c r="E1039" t="s">
        <v>8</v>
      </c>
      <c r="F1039" t="s">
        <v>9</v>
      </c>
      <c r="G1039" t="s">
        <v>3798</v>
      </c>
      <c r="H1039" s="7">
        <v>725</v>
      </c>
    </row>
    <row r="1040" spans="1:8" x14ac:dyDescent="0.3">
      <c r="A1040">
        <v>4797</v>
      </c>
      <c r="B1040" t="s">
        <v>2627</v>
      </c>
      <c r="C1040" t="s">
        <v>2767</v>
      </c>
      <c r="D1040" t="s">
        <v>1931</v>
      </c>
      <c r="E1040" t="s">
        <v>8</v>
      </c>
      <c r="F1040" t="s">
        <v>21</v>
      </c>
      <c r="G1040" t="s">
        <v>5493</v>
      </c>
      <c r="H1040" s="7">
        <v>91767</v>
      </c>
    </row>
    <row r="1041" spans="1:8" x14ac:dyDescent="0.3">
      <c r="A1041">
        <v>4825</v>
      </c>
      <c r="B1041" t="s">
        <v>2106</v>
      </c>
      <c r="C1041" t="s">
        <v>1794</v>
      </c>
      <c r="D1041" t="s">
        <v>1925</v>
      </c>
      <c r="E1041" t="s">
        <v>27</v>
      </c>
      <c r="F1041" t="s">
        <v>21</v>
      </c>
      <c r="G1041" t="s">
        <v>3832</v>
      </c>
      <c r="H1041" s="7">
        <v>92503</v>
      </c>
    </row>
    <row r="1042" spans="1:8" x14ac:dyDescent="0.3">
      <c r="A1042">
        <v>4826</v>
      </c>
      <c r="B1042" t="s">
        <v>699</v>
      </c>
      <c r="C1042" t="s">
        <v>762</v>
      </c>
      <c r="D1042" t="s">
        <v>107</v>
      </c>
      <c r="E1042" t="s">
        <v>27</v>
      </c>
      <c r="F1042" t="s">
        <v>114</v>
      </c>
      <c r="G1042" t="s">
        <v>4006</v>
      </c>
      <c r="H1042" s="7">
        <v>77015</v>
      </c>
    </row>
    <row r="1043" spans="1:8" x14ac:dyDescent="0.3">
      <c r="A1043">
        <v>4830</v>
      </c>
      <c r="B1043" t="s">
        <v>656</v>
      </c>
      <c r="C1043" t="s">
        <v>366</v>
      </c>
      <c r="D1043" t="s">
        <v>413</v>
      </c>
      <c r="E1043" t="s">
        <v>27</v>
      </c>
      <c r="F1043" t="s">
        <v>77</v>
      </c>
      <c r="G1043" t="s">
        <v>709</v>
      </c>
      <c r="H1043" s="7">
        <v>19131</v>
      </c>
    </row>
    <row r="1044" spans="1:8" x14ac:dyDescent="0.3">
      <c r="A1044">
        <v>4833</v>
      </c>
      <c r="B1044" t="s">
        <v>5</v>
      </c>
      <c r="C1044" t="s">
        <v>93</v>
      </c>
      <c r="D1044" t="s">
        <v>107</v>
      </c>
      <c r="E1044" t="s">
        <v>8</v>
      </c>
      <c r="F1044" t="s">
        <v>9</v>
      </c>
      <c r="G1044" t="s">
        <v>1390</v>
      </c>
      <c r="H1044" s="7">
        <v>725</v>
      </c>
    </row>
    <row r="1045" spans="1:8" x14ac:dyDescent="0.3">
      <c r="A1045">
        <v>4834</v>
      </c>
      <c r="B1045" t="s">
        <v>1899</v>
      </c>
      <c r="C1045" t="s">
        <v>977</v>
      </c>
      <c r="D1045" t="s">
        <v>825</v>
      </c>
      <c r="E1045" t="s">
        <v>27</v>
      </c>
      <c r="F1045" t="s">
        <v>381</v>
      </c>
      <c r="G1045" t="s">
        <v>5274</v>
      </c>
      <c r="H1045" s="7">
        <v>48219</v>
      </c>
    </row>
    <row r="1046" spans="1:8" x14ac:dyDescent="0.3">
      <c r="A1046">
        <v>4839</v>
      </c>
      <c r="B1046" t="s">
        <v>1143</v>
      </c>
      <c r="C1046" t="s">
        <v>1169</v>
      </c>
      <c r="D1046" t="s">
        <v>107</v>
      </c>
      <c r="E1046" t="s">
        <v>8</v>
      </c>
      <c r="F1046" t="s">
        <v>1145</v>
      </c>
      <c r="G1046" t="s">
        <v>3992</v>
      </c>
      <c r="H1046" s="7">
        <v>53215</v>
      </c>
    </row>
    <row r="1047" spans="1:8" x14ac:dyDescent="0.3">
      <c r="A1047">
        <v>4854</v>
      </c>
      <c r="B1047" t="s">
        <v>495</v>
      </c>
      <c r="C1047" t="s">
        <v>766</v>
      </c>
      <c r="D1047" t="s">
        <v>3156</v>
      </c>
      <c r="E1047" t="s">
        <v>8</v>
      </c>
      <c r="F1047" t="s">
        <v>88</v>
      </c>
      <c r="G1047" t="s">
        <v>5150</v>
      </c>
      <c r="H1047" s="7">
        <v>11230</v>
      </c>
    </row>
    <row r="1048" spans="1:8" x14ac:dyDescent="0.3">
      <c r="A1048">
        <v>4861</v>
      </c>
      <c r="B1048" t="s">
        <v>5</v>
      </c>
      <c r="C1048" t="s">
        <v>411</v>
      </c>
      <c r="D1048" t="s">
        <v>107</v>
      </c>
      <c r="E1048" t="s">
        <v>27</v>
      </c>
      <c r="F1048" t="s">
        <v>9</v>
      </c>
      <c r="G1048" t="s">
        <v>5616</v>
      </c>
      <c r="H1048" s="7">
        <v>725</v>
      </c>
    </row>
    <row r="1049" spans="1:8" x14ac:dyDescent="0.3">
      <c r="A1049">
        <v>4864</v>
      </c>
      <c r="B1049" t="s">
        <v>1123</v>
      </c>
      <c r="C1049" t="s">
        <v>488</v>
      </c>
      <c r="D1049" t="s">
        <v>4203</v>
      </c>
      <c r="E1049" t="s">
        <v>8</v>
      </c>
      <c r="F1049" t="s">
        <v>21</v>
      </c>
      <c r="G1049" t="s">
        <v>5451</v>
      </c>
      <c r="H1049" s="7">
        <v>93722</v>
      </c>
    </row>
    <row r="1050" spans="1:8" x14ac:dyDescent="0.3">
      <c r="A1050">
        <v>4867</v>
      </c>
      <c r="B1050" t="s">
        <v>5</v>
      </c>
      <c r="C1050" t="s">
        <v>93</v>
      </c>
      <c r="D1050" t="s">
        <v>107</v>
      </c>
      <c r="E1050" t="s">
        <v>8</v>
      </c>
      <c r="F1050" t="s">
        <v>9</v>
      </c>
      <c r="G1050" t="s">
        <v>4046</v>
      </c>
      <c r="H1050" s="7">
        <v>725</v>
      </c>
    </row>
    <row r="1051" spans="1:8" x14ac:dyDescent="0.3">
      <c r="A1051">
        <v>4870</v>
      </c>
      <c r="B1051" t="s">
        <v>2878</v>
      </c>
      <c r="C1051" t="s">
        <v>1851</v>
      </c>
      <c r="D1051" t="s">
        <v>403</v>
      </c>
      <c r="E1051" t="s">
        <v>27</v>
      </c>
      <c r="F1051" t="s">
        <v>140</v>
      </c>
      <c r="G1051" t="s">
        <v>4932</v>
      </c>
      <c r="H1051" s="7">
        <v>30032</v>
      </c>
    </row>
    <row r="1052" spans="1:8" x14ac:dyDescent="0.3">
      <c r="A1052">
        <v>4872</v>
      </c>
      <c r="B1052" t="s">
        <v>495</v>
      </c>
      <c r="C1052" t="s">
        <v>93</v>
      </c>
      <c r="D1052" t="s">
        <v>107</v>
      </c>
      <c r="E1052" t="s">
        <v>8</v>
      </c>
      <c r="F1052" t="s">
        <v>88</v>
      </c>
      <c r="G1052" t="s">
        <v>2997</v>
      </c>
      <c r="H1052" s="7">
        <v>11221</v>
      </c>
    </row>
    <row r="1053" spans="1:8" x14ac:dyDescent="0.3">
      <c r="A1053">
        <v>4875</v>
      </c>
      <c r="B1053" t="s">
        <v>5</v>
      </c>
      <c r="C1053" t="s">
        <v>2216</v>
      </c>
      <c r="D1053" t="s">
        <v>3347</v>
      </c>
      <c r="E1053" t="s">
        <v>8</v>
      </c>
      <c r="F1053" t="s">
        <v>9</v>
      </c>
      <c r="G1053" t="s">
        <v>3420</v>
      </c>
      <c r="H1053" s="7">
        <v>725</v>
      </c>
    </row>
    <row r="1054" spans="1:8" x14ac:dyDescent="0.3">
      <c r="A1054">
        <v>4884</v>
      </c>
      <c r="B1054" t="s">
        <v>5</v>
      </c>
      <c r="C1054" t="s">
        <v>93</v>
      </c>
      <c r="D1054" t="s">
        <v>3274</v>
      </c>
      <c r="E1054" t="s">
        <v>8</v>
      </c>
      <c r="F1054" t="s">
        <v>9</v>
      </c>
      <c r="G1054" t="s">
        <v>5629</v>
      </c>
      <c r="H1054" s="7">
        <v>725</v>
      </c>
    </row>
    <row r="1055" spans="1:8" x14ac:dyDescent="0.3">
      <c r="A1055">
        <v>4898</v>
      </c>
      <c r="B1055" t="s">
        <v>5208</v>
      </c>
      <c r="C1055" t="s">
        <v>776</v>
      </c>
      <c r="D1055" t="s">
        <v>2760</v>
      </c>
      <c r="E1055" t="s">
        <v>27</v>
      </c>
      <c r="F1055" t="s">
        <v>36</v>
      </c>
      <c r="G1055" t="s">
        <v>5209</v>
      </c>
      <c r="H1055" s="7">
        <v>2148</v>
      </c>
    </row>
    <row r="1056" spans="1:8" x14ac:dyDescent="0.3">
      <c r="A1056">
        <v>4900</v>
      </c>
      <c r="B1056" t="s">
        <v>1313</v>
      </c>
      <c r="C1056" t="s">
        <v>251</v>
      </c>
      <c r="D1056" t="s">
        <v>363</v>
      </c>
      <c r="E1056" t="s">
        <v>8</v>
      </c>
      <c r="F1056" t="s">
        <v>448</v>
      </c>
      <c r="G1056" t="s">
        <v>1314</v>
      </c>
      <c r="H1056" s="7">
        <v>33157</v>
      </c>
    </row>
    <row r="1057" spans="1:8" x14ac:dyDescent="0.3">
      <c r="A1057">
        <v>4903</v>
      </c>
      <c r="B1057" t="s">
        <v>695</v>
      </c>
      <c r="C1057" t="s">
        <v>93</v>
      </c>
      <c r="D1057" t="s">
        <v>1192</v>
      </c>
      <c r="E1057" t="s">
        <v>95</v>
      </c>
      <c r="F1057" t="s">
        <v>242</v>
      </c>
      <c r="G1057" t="s">
        <v>3719</v>
      </c>
      <c r="H1057" s="7">
        <v>20904</v>
      </c>
    </row>
    <row r="1058" spans="1:8" x14ac:dyDescent="0.3">
      <c r="A1058">
        <v>4905</v>
      </c>
      <c r="B1058" t="s">
        <v>5</v>
      </c>
      <c r="C1058" t="s">
        <v>93</v>
      </c>
      <c r="D1058" t="s">
        <v>2883</v>
      </c>
      <c r="E1058" t="s">
        <v>95</v>
      </c>
      <c r="F1058" t="s">
        <v>9</v>
      </c>
      <c r="G1058" t="s">
        <v>3537</v>
      </c>
      <c r="H1058" s="7">
        <v>725</v>
      </c>
    </row>
    <row r="1059" spans="1:8" x14ac:dyDescent="0.3">
      <c r="A1059">
        <v>4906</v>
      </c>
      <c r="B1059" t="s">
        <v>18</v>
      </c>
      <c r="C1059" t="s">
        <v>491</v>
      </c>
      <c r="D1059" t="s">
        <v>107</v>
      </c>
      <c r="E1059" t="s">
        <v>95</v>
      </c>
      <c r="F1059" t="s">
        <v>21</v>
      </c>
      <c r="G1059" t="s">
        <v>3060</v>
      </c>
      <c r="H1059" s="7">
        <v>95124</v>
      </c>
    </row>
    <row r="1060" spans="1:8" x14ac:dyDescent="0.3">
      <c r="A1060">
        <v>4907</v>
      </c>
      <c r="B1060" t="s">
        <v>5</v>
      </c>
      <c r="C1060" t="s">
        <v>2713</v>
      </c>
      <c r="D1060" t="s">
        <v>860</v>
      </c>
      <c r="E1060" t="s">
        <v>8</v>
      </c>
      <c r="F1060" t="s">
        <v>9</v>
      </c>
      <c r="G1060" t="s">
        <v>2714</v>
      </c>
      <c r="H1060" s="7">
        <v>725</v>
      </c>
    </row>
    <row r="1061" spans="1:8" x14ac:dyDescent="0.3">
      <c r="A1061">
        <v>4918</v>
      </c>
      <c r="B1061" t="s">
        <v>3172</v>
      </c>
      <c r="C1061" t="s">
        <v>93</v>
      </c>
      <c r="D1061" t="s">
        <v>394</v>
      </c>
      <c r="E1061" t="s">
        <v>8</v>
      </c>
      <c r="F1061" t="s">
        <v>341</v>
      </c>
      <c r="G1061" t="s">
        <v>5515</v>
      </c>
      <c r="H1061" s="7">
        <v>28601</v>
      </c>
    </row>
    <row r="1062" spans="1:8" x14ac:dyDescent="0.3">
      <c r="A1062">
        <v>4920</v>
      </c>
      <c r="B1062" t="s">
        <v>5</v>
      </c>
      <c r="C1062" t="s">
        <v>1504</v>
      </c>
      <c r="D1062" t="s">
        <v>4270</v>
      </c>
      <c r="E1062" t="s">
        <v>8</v>
      </c>
      <c r="F1062" t="s">
        <v>9</v>
      </c>
      <c r="G1062" t="s">
        <v>5589</v>
      </c>
      <c r="H1062" s="7">
        <v>725</v>
      </c>
    </row>
    <row r="1063" spans="1:8" x14ac:dyDescent="0.3">
      <c r="A1063">
        <v>4925</v>
      </c>
      <c r="B1063" t="s">
        <v>1100</v>
      </c>
      <c r="C1063" t="s">
        <v>882</v>
      </c>
      <c r="D1063" t="s">
        <v>1101</v>
      </c>
      <c r="E1063" t="s">
        <v>27</v>
      </c>
      <c r="F1063" t="s">
        <v>308</v>
      </c>
      <c r="G1063" t="s">
        <v>1102</v>
      </c>
      <c r="H1063" s="7">
        <v>7087</v>
      </c>
    </row>
    <row r="1064" spans="1:8" x14ac:dyDescent="0.3">
      <c r="A1064">
        <v>4929</v>
      </c>
      <c r="B1064" t="s">
        <v>5</v>
      </c>
      <c r="C1064" t="s">
        <v>2452</v>
      </c>
      <c r="D1064" t="s">
        <v>978</v>
      </c>
      <c r="E1064" t="s">
        <v>8</v>
      </c>
      <c r="F1064" t="s">
        <v>9</v>
      </c>
      <c r="G1064" t="s">
        <v>2776</v>
      </c>
      <c r="H1064" s="7">
        <v>725</v>
      </c>
    </row>
    <row r="1065" spans="1:8" x14ac:dyDescent="0.3">
      <c r="A1065">
        <v>4932</v>
      </c>
      <c r="B1065" t="s">
        <v>5</v>
      </c>
      <c r="C1065" t="s">
        <v>1401</v>
      </c>
      <c r="D1065" t="s">
        <v>1402</v>
      </c>
      <c r="E1065" t="s">
        <v>8</v>
      </c>
      <c r="F1065" t="s">
        <v>9</v>
      </c>
      <c r="G1065" t="s">
        <v>1403</v>
      </c>
      <c r="H1065" s="7">
        <v>725</v>
      </c>
    </row>
    <row r="1066" spans="1:8" x14ac:dyDescent="0.3">
      <c r="A1066">
        <v>4936</v>
      </c>
      <c r="B1066" t="s">
        <v>5</v>
      </c>
      <c r="C1066" t="s">
        <v>889</v>
      </c>
      <c r="D1066" t="s">
        <v>107</v>
      </c>
      <c r="E1066" t="s">
        <v>95</v>
      </c>
      <c r="F1066" t="s">
        <v>9</v>
      </c>
      <c r="G1066" t="s">
        <v>890</v>
      </c>
      <c r="H1066" s="7">
        <v>725</v>
      </c>
    </row>
    <row r="1067" spans="1:8" x14ac:dyDescent="0.3">
      <c r="A1067">
        <v>4937</v>
      </c>
      <c r="B1067" t="s">
        <v>1742</v>
      </c>
      <c r="C1067" t="s">
        <v>93</v>
      </c>
      <c r="D1067" t="s">
        <v>1743</v>
      </c>
      <c r="E1067" t="s">
        <v>8</v>
      </c>
      <c r="F1067" t="s">
        <v>21</v>
      </c>
      <c r="G1067" t="s">
        <v>1744</v>
      </c>
      <c r="H1067" s="7">
        <v>91706</v>
      </c>
    </row>
    <row r="1068" spans="1:8" x14ac:dyDescent="0.3">
      <c r="A1068">
        <v>4943</v>
      </c>
      <c r="B1068" t="s">
        <v>5</v>
      </c>
      <c r="C1068" t="s">
        <v>1080</v>
      </c>
      <c r="D1068" t="s">
        <v>2723</v>
      </c>
      <c r="E1068" t="s">
        <v>8</v>
      </c>
      <c r="F1068" t="s">
        <v>9</v>
      </c>
      <c r="G1068" t="s">
        <v>1707</v>
      </c>
      <c r="H1068" s="7">
        <v>725</v>
      </c>
    </row>
    <row r="1069" spans="1:8" x14ac:dyDescent="0.3">
      <c r="A1069">
        <v>4945</v>
      </c>
      <c r="B1069" t="s">
        <v>267</v>
      </c>
      <c r="C1069" t="s">
        <v>93</v>
      </c>
      <c r="D1069" t="s">
        <v>1009</v>
      </c>
      <c r="E1069" t="s">
        <v>8</v>
      </c>
      <c r="F1069" t="s">
        <v>114</v>
      </c>
      <c r="G1069" t="s">
        <v>1010</v>
      </c>
      <c r="H1069" s="7">
        <v>78520</v>
      </c>
    </row>
    <row r="1070" spans="1:8" x14ac:dyDescent="0.3">
      <c r="A1070">
        <v>4960</v>
      </c>
      <c r="B1070" t="s">
        <v>4080</v>
      </c>
      <c r="C1070" t="s">
        <v>93</v>
      </c>
      <c r="D1070" t="s">
        <v>107</v>
      </c>
      <c r="E1070" t="s">
        <v>8</v>
      </c>
      <c r="F1070" t="s">
        <v>108</v>
      </c>
      <c r="G1070" t="s">
        <v>4091</v>
      </c>
      <c r="H1070" s="7">
        <v>97470</v>
      </c>
    </row>
    <row r="1071" spans="1:8" x14ac:dyDescent="0.3">
      <c r="A1071">
        <v>4961</v>
      </c>
      <c r="B1071" t="s">
        <v>619</v>
      </c>
      <c r="C1071" t="s">
        <v>1172</v>
      </c>
      <c r="D1071" t="s">
        <v>53</v>
      </c>
      <c r="E1071" t="s">
        <v>95</v>
      </c>
      <c r="F1071" t="s">
        <v>448</v>
      </c>
      <c r="G1071" t="s">
        <v>5502</v>
      </c>
      <c r="H1071" s="7">
        <v>33055</v>
      </c>
    </row>
    <row r="1072" spans="1:8" x14ac:dyDescent="0.3">
      <c r="A1072">
        <v>4963</v>
      </c>
      <c r="B1072" t="s">
        <v>267</v>
      </c>
      <c r="C1072" t="s">
        <v>93</v>
      </c>
      <c r="D1072" t="s">
        <v>107</v>
      </c>
      <c r="E1072" t="s">
        <v>8</v>
      </c>
      <c r="F1072" t="s">
        <v>114</v>
      </c>
      <c r="G1072" t="s">
        <v>2360</v>
      </c>
      <c r="H1072" s="7">
        <v>78521</v>
      </c>
    </row>
    <row r="1073" spans="1:8" x14ac:dyDescent="0.3">
      <c r="A1073">
        <v>4973</v>
      </c>
      <c r="B1073" t="s">
        <v>5</v>
      </c>
      <c r="C1073" t="s">
        <v>751</v>
      </c>
      <c r="D1073" t="s">
        <v>1396</v>
      </c>
      <c r="E1073" t="s">
        <v>8</v>
      </c>
      <c r="F1073" t="s">
        <v>9</v>
      </c>
      <c r="G1073" t="s">
        <v>2309</v>
      </c>
      <c r="H1073" s="7">
        <v>725</v>
      </c>
    </row>
    <row r="1074" spans="1:8" x14ac:dyDescent="0.3">
      <c r="A1074">
        <v>4975</v>
      </c>
      <c r="B1074" t="s">
        <v>5</v>
      </c>
      <c r="C1074" t="s">
        <v>1981</v>
      </c>
      <c r="D1074" t="s">
        <v>1870</v>
      </c>
      <c r="E1074" t="s">
        <v>8</v>
      </c>
      <c r="F1074" t="s">
        <v>9</v>
      </c>
      <c r="G1074" t="s">
        <v>4744</v>
      </c>
      <c r="H1074" s="7">
        <v>725</v>
      </c>
    </row>
    <row r="1075" spans="1:8" x14ac:dyDescent="0.3">
      <c r="A1075">
        <v>4986</v>
      </c>
      <c r="B1075" t="s">
        <v>2870</v>
      </c>
      <c r="C1075" t="s">
        <v>407</v>
      </c>
      <c r="D1075" t="s">
        <v>1628</v>
      </c>
      <c r="E1075" t="s">
        <v>27</v>
      </c>
      <c r="F1075" t="s">
        <v>21</v>
      </c>
      <c r="G1075" t="s">
        <v>4408</v>
      </c>
      <c r="H1075" s="7">
        <v>92707</v>
      </c>
    </row>
    <row r="1076" spans="1:8" x14ac:dyDescent="0.3">
      <c r="A1076">
        <v>4988</v>
      </c>
      <c r="B1076" t="s">
        <v>733</v>
      </c>
      <c r="C1076" t="s">
        <v>738</v>
      </c>
      <c r="D1076" t="s">
        <v>1646</v>
      </c>
      <c r="E1076" t="s">
        <v>27</v>
      </c>
      <c r="F1076" t="s">
        <v>735</v>
      </c>
      <c r="G1076" t="s">
        <v>5020</v>
      </c>
      <c r="H1076" s="7">
        <v>20009</v>
      </c>
    </row>
    <row r="1077" spans="1:8" x14ac:dyDescent="0.3">
      <c r="A1077">
        <v>4996</v>
      </c>
      <c r="B1077" t="s">
        <v>4394</v>
      </c>
      <c r="C1077" t="s">
        <v>1144</v>
      </c>
      <c r="D1077" t="s">
        <v>152</v>
      </c>
      <c r="E1077" t="s">
        <v>8</v>
      </c>
      <c r="F1077" t="s">
        <v>1249</v>
      </c>
      <c r="G1077" t="s">
        <v>5012</v>
      </c>
      <c r="H1077" s="7">
        <v>66062</v>
      </c>
    </row>
    <row r="1078" spans="1:8" x14ac:dyDescent="0.3">
      <c r="A1078">
        <v>4997</v>
      </c>
      <c r="B1078" t="s">
        <v>471</v>
      </c>
      <c r="C1078" t="s">
        <v>762</v>
      </c>
      <c r="D1078" t="s">
        <v>1862</v>
      </c>
      <c r="E1078" t="s">
        <v>8</v>
      </c>
      <c r="F1078" t="s">
        <v>448</v>
      </c>
      <c r="G1078" t="s">
        <v>1863</v>
      </c>
      <c r="H1078" s="7">
        <v>33594</v>
      </c>
    </row>
    <row r="1079" spans="1:8" x14ac:dyDescent="0.3">
      <c r="A1079">
        <v>4998</v>
      </c>
      <c r="B1079" t="s">
        <v>5</v>
      </c>
      <c r="C1079" t="s">
        <v>93</v>
      </c>
      <c r="D1079" t="s">
        <v>107</v>
      </c>
      <c r="E1079" t="s">
        <v>8</v>
      </c>
      <c r="F1079" t="s">
        <v>9</v>
      </c>
      <c r="G1079" t="s">
        <v>4054</v>
      </c>
      <c r="H1079" s="7">
        <v>725</v>
      </c>
    </row>
    <row r="1080" spans="1:8" x14ac:dyDescent="0.3">
      <c r="A1080">
        <v>5001</v>
      </c>
      <c r="B1080" t="s">
        <v>5</v>
      </c>
      <c r="C1080" t="s">
        <v>1642</v>
      </c>
      <c r="D1080" t="s">
        <v>2470</v>
      </c>
      <c r="E1080" t="s">
        <v>8</v>
      </c>
      <c r="F1080" t="s">
        <v>9</v>
      </c>
      <c r="G1080" t="s">
        <v>4335</v>
      </c>
      <c r="H1080" s="7">
        <v>725</v>
      </c>
    </row>
    <row r="1081" spans="1:8" x14ac:dyDescent="0.3">
      <c r="A1081">
        <v>5003</v>
      </c>
      <c r="B1081" t="s">
        <v>1130</v>
      </c>
      <c r="C1081" t="s">
        <v>93</v>
      </c>
      <c r="D1081" t="s">
        <v>589</v>
      </c>
      <c r="E1081" t="s">
        <v>8</v>
      </c>
      <c r="F1081" t="s">
        <v>21</v>
      </c>
      <c r="G1081" t="s">
        <v>1131</v>
      </c>
      <c r="H1081" s="7">
        <v>92677</v>
      </c>
    </row>
    <row r="1082" spans="1:8" x14ac:dyDescent="0.3">
      <c r="A1082">
        <v>5013</v>
      </c>
      <c r="B1082" t="s">
        <v>4295</v>
      </c>
      <c r="C1082" t="s">
        <v>93</v>
      </c>
      <c r="D1082" t="s">
        <v>3347</v>
      </c>
      <c r="E1082" t="s">
        <v>8</v>
      </c>
      <c r="F1082" t="s">
        <v>248</v>
      </c>
      <c r="G1082" t="s">
        <v>4993</v>
      </c>
      <c r="H1082" s="7">
        <v>43068</v>
      </c>
    </row>
    <row r="1083" spans="1:8" x14ac:dyDescent="0.3">
      <c r="A1083">
        <v>5017</v>
      </c>
      <c r="B1083" t="s">
        <v>508</v>
      </c>
      <c r="C1083" t="s">
        <v>663</v>
      </c>
      <c r="D1083" t="s">
        <v>107</v>
      </c>
      <c r="E1083" t="s">
        <v>27</v>
      </c>
      <c r="F1083" t="s">
        <v>114</v>
      </c>
      <c r="G1083" t="s">
        <v>4720</v>
      </c>
      <c r="H1083" s="7">
        <v>75216</v>
      </c>
    </row>
    <row r="1084" spans="1:8" x14ac:dyDescent="0.3">
      <c r="A1084">
        <v>5019</v>
      </c>
      <c r="B1084" t="s">
        <v>5</v>
      </c>
      <c r="C1084" t="s">
        <v>93</v>
      </c>
      <c r="D1084" t="s">
        <v>107</v>
      </c>
      <c r="E1084" t="s">
        <v>27</v>
      </c>
      <c r="F1084" t="s">
        <v>9</v>
      </c>
      <c r="G1084" t="s">
        <v>1983</v>
      </c>
      <c r="H1084" s="7">
        <v>725</v>
      </c>
    </row>
    <row r="1085" spans="1:8" x14ac:dyDescent="0.3">
      <c r="A1085">
        <v>5023</v>
      </c>
      <c r="B1085" t="s">
        <v>5</v>
      </c>
      <c r="C1085" t="s">
        <v>93</v>
      </c>
      <c r="D1085" t="s">
        <v>107</v>
      </c>
      <c r="E1085" t="s">
        <v>8</v>
      </c>
      <c r="F1085" t="s">
        <v>9</v>
      </c>
      <c r="G1085" t="s">
        <v>4327</v>
      </c>
      <c r="H1085" s="7">
        <v>725</v>
      </c>
    </row>
    <row r="1086" spans="1:8" x14ac:dyDescent="0.3">
      <c r="A1086">
        <v>5024</v>
      </c>
      <c r="B1086" t="s">
        <v>2474</v>
      </c>
      <c r="C1086" t="s">
        <v>597</v>
      </c>
      <c r="D1086" t="s">
        <v>3116</v>
      </c>
      <c r="E1086" t="s">
        <v>27</v>
      </c>
      <c r="F1086" t="s">
        <v>88</v>
      </c>
      <c r="G1086" t="s">
        <v>5111</v>
      </c>
      <c r="H1086" s="7">
        <v>11355</v>
      </c>
    </row>
    <row r="1087" spans="1:8" x14ac:dyDescent="0.3">
      <c r="A1087">
        <v>5033</v>
      </c>
      <c r="B1087" t="s">
        <v>379</v>
      </c>
      <c r="C1087" t="s">
        <v>93</v>
      </c>
      <c r="D1087" t="s">
        <v>107</v>
      </c>
      <c r="E1087" t="s">
        <v>27</v>
      </c>
      <c r="F1087" t="s">
        <v>381</v>
      </c>
      <c r="G1087" t="s">
        <v>4371</v>
      </c>
      <c r="H1087" s="7">
        <v>48187</v>
      </c>
    </row>
    <row r="1088" spans="1:8" x14ac:dyDescent="0.3">
      <c r="A1088">
        <v>5040</v>
      </c>
      <c r="B1088" t="s">
        <v>5</v>
      </c>
      <c r="C1088" t="s">
        <v>2750</v>
      </c>
      <c r="D1088" t="s">
        <v>2924</v>
      </c>
      <c r="E1088" t="s">
        <v>27</v>
      </c>
      <c r="F1088" t="s">
        <v>9</v>
      </c>
      <c r="G1088" t="s">
        <v>2925</v>
      </c>
      <c r="H1088" s="7">
        <v>725</v>
      </c>
    </row>
    <row r="1089" spans="1:8" x14ac:dyDescent="0.3">
      <c r="A1089">
        <v>5044</v>
      </c>
      <c r="B1089" t="s">
        <v>5</v>
      </c>
      <c r="C1089" t="s">
        <v>577</v>
      </c>
      <c r="D1089" t="s">
        <v>1284</v>
      </c>
      <c r="E1089" t="s">
        <v>27</v>
      </c>
      <c r="F1089" t="s">
        <v>9</v>
      </c>
      <c r="G1089" t="s">
        <v>1607</v>
      </c>
      <c r="H1089" s="7">
        <v>725</v>
      </c>
    </row>
    <row r="1090" spans="1:8" x14ac:dyDescent="0.3">
      <c r="A1090">
        <v>5046</v>
      </c>
      <c r="B1090" t="s">
        <v>2866</v>
      </c>
      <c r="C1090" t="s">
        <v>93</v>
      </c>
      <c r="D1090" t="s">
        <v>107</v>
      </c>
      <c r="E1090" t="s">
        <v>8</v>
      </c>
      <c r="F1090" t="s">
        <v>88</v>
      </c>
      <c r="G1090" t="s">
        <v>4725</v>
      </c>
      <c r="H1090" s="7">
        <v>11103</v>
      </c>
    </row>
    <row r="1091" spans="1:8" x14ac:dyDescent="0.3">
      <c r="A1091">
        <v>5047</v>
      </c>
      <c r="B1091" t="s">
        <v>5</v>
      </c>
      <c r="C1091" t="s">
        <v>977</v>
      </c>
      <c r="D1091" t="s">
        <v>315</v>
      </c>
      <c r="E1091" t="s">
        <v>27</v>
      </c>
      <c r="F1091" t="s">
        <v>9</v>
      </c>
      <c r="G1091" t="s">
        <v>4537</v>
      </c>
      <c r="H1091" s="7">
        <v>725</v>
      </c>
    </row>
    <row r="1092" spans="1:8" x14ac:dyDescent="0.3">
      <c r="A1092">
        <v>5052</v>
      </c>
      <c r="B1092" t="s">
        <v>2915</v>
      </c>
      <c r="C1092" t="s">
        <v>1299</v>
      </c>
      <c r="D1092" t="s">
        <v>3084</v>
      </c>
      <c r="E1092" t="s">
        <v>95</v>
      </c>
      <c r="F1092" t="s">
        <v>108</v>
      </c>
      <c r="G1092" t="s">
        <v>2491</v>
      </c>
      <c r="H1092" s="7">
        <v>97045</v>
      </c>
    </row>
    <row r="1093" spans="1:8" x14ac:dyDescent="0.3">
      <c r="A1093">
        <v>5062</v>
      </c>
      <c r="B1093" t="s">
        <v>2223</v>
      </c>
      <c r="C1093" t="s">
        <v>886</v>
      </c>
      <c r="D1093" t="s">
        <v>1954</v>
      </c>
      <c r="E1093" t="s">
        <v>95</v>
      </c>
      <c r="F1093" t="s">
        <v>21</v>
      </c>
      <c r="G1093" t="s">
        <v>3682</v>
      </c>
      <c r="H1093" s="7">
        <v>91733</v>
      </c>
    </row>
    <row r="1094" spans="1:8" x14ac:dyDescent="0.3">
      <c r="A1094">
        <v>5073</v>
      </c>
      <c r="B1094" t="s">
        <v>1621</v>
      </c>
      <c r="C1094" t="s">
        <v>93</v>
      </c>
      <c r="D1094" t="s">
        <v>1622</v>
      </c>
      <c r="E1094" t="s">
        <v>27</v>
      </c>
      <c r="F1094" t="s">
        <v>21</v>
      </c>
      <c r="G1094" t="s">
        <v>1623</v>
      </c>
      <c r="H1094" s="7">
        <v>92064</v>
      </c>
    </row>
    <row r="1095" spans="1:8" x14ac:dyDescent="0.3">
      <c r="A1095">
        <v>5074</v>
      </c>
      <c r="B1095" t="s">
        <v>5</v>
      </c>
      <c r="C1095" t="s">
        <v>755</v>
      </c>
      <c r="D1095" t="s">
        <v>107</v>
      </c>
      <c r="E1095" t="s">
        <v>8</v>
      </c>
      <c r="F1095" t="s">
        <v>9</v>
      </c>
      <c r="G1095" t="s">
        <v>4064</v>
      </c>
      <c r="H1095" s="7">
        <v>725</v>
      </c>
    </row>
    <row r="1096" spans="1:8" x14ac:dyDescent="0.3">
      <c r="A1096">
        <v>5086</v>
      </c>
      <c r="B1096" t="s">
        <v>3523</v>
      </c>
      <c r="C1096" t="s">
        <v>93</v>
      </c>
      <c r="D1096" t="s">
        <v>964</v>
      </c>
      <c r="E1096" t="s">
        <v>95</v>
      </c>
      <c r="F1096" t="s">
        <v>9</v>
      </c>
      <c r="G1096" t="s">
        <v>2734</v>
      </c>
      <c r="H1096" s="7">
        <v>685</v>
      </c>
    </row>
    <row r="1097" spans="1:8" x14ac:dyDescent="0.3">
      <c r="A1097">
        <v>5099</v>
      </c>
      <c r="B1097" t="s">
        <v>723</v>
      </c>
      <c r="C1097" t="s">
        <v>93</v>
      </c>
      <c r="D1097" t="s">
        <v>2998</v>
      </c>
      <c r="E1097" t="s">
        <v>27</v>
      </c>
      <c r="F1097" t="s">
        <v>55</v>
      </c>
      <c r="G1097" t="s">
        <v>4432</v>
      </c>
      <c r="H1097" s="7">
        <v>60505</v>
      </c>
    </row>
    <row r="1098" spans="1:8" x14ac:dyDescent="0.3">
      <c r="A1098">
        <v>5101</v>
      </c>
      <c r="B1098" t="s">
        <v>5</v>
      </c>
      <c r="C1098" t="s">
        <v>93</v>
      </c>
      <c r="D1098" t="s">
        <v>1568</v>
      </c>
      <c r="E1098" t="s">
        <v>8</v>
      </c>
      <c r="F1098" t="s">
        <v>9</v>
      </c>
      <c r="G1098" t="s">
        <v>4764</v>
      </c>
      <c r="H1098" s="7">
        <v>725</v>
      </c>
    </row>
    <row r="1099" spans="1:8" x14ac:dyDescent="0.3">
      <c r="A1099">
        <v>5103</v>
      </c>
      <c r="B1099" t="s">
        <v>707</v>
      </c>
      <c r="C1099" t="s">
        <v>93</v>
      </c>
      <c r="D1099" t="s">
        <v>1746</v>
      </c>
      <c r="E1099" t="s">
        <v>8</v>
      </c>
      <c r="F1099" t="s">
        <v>21</v>
      </c>
      <c r="G1099" t="s">
        <v>4409</v>
      </c>
      <c r="H1099" s="7">
        <v>93065</v>
      </c>
    </row>
    <row r="1100" spans="1:8" x14ac:dyDescent="0.3">
      <c r="A1100">
        <v>5104</v>
      </c>
      <c r="B1100" t="s">
        <v>759</v>
      </c>
      <c r="C1100" t="s">
        <v>787</v>
      </c>
      <c r="D1100" t="s">
        <v>506</v>
      </c>
      <c r="E1100" t="s">
        <v>27</v>
      </c>
      <c r="F1100" t="s">
        <v>308</v>
      </c>
      <c r="G1100" t="s">
        <v>788</v>
      </c>
      <c r="H1100" s="7">
        <v>7093</v>
      </c>
    </row>
    <row r="1101" spans="1:8" x14ac:dyDescent="0.3">
      <c r="A1101">
        <v>5105</v>
      </c>
      <c r="B1101" t="s">
        <v>1774</v>
      </c>
      <c r="C1101" t="s">
        <v>93</v>
      </c>
      <c r="D1101" t="s">
        <v>107</v>
      </c>
      <c r="E1101" t="s">
        <v>8</v>
      </c>
      <c r="F1101" t="s">
        <v>21</v>
      </c>
      <c r="G1101" t="s">
        <v>1775</v>
      </c>
      <c r="H1101" s="7">
        <v>91801</v>
      </c>
    </row>
    <row r="1102" spans="1:8" x14ac:dyDescent="0.3">
      <c r="A1102">
        <v>5111</v>
      </c>
      <c r="B1102" t="s">
        <v>495</v>
      </c>
      <c r="C1102" t="s">
        <v>458</v>
      </c>
      <c r="D1102" t="s">
        <v>5426</v>
      </c>
      <c r="E1102" t="s">
        <v>95</v>
      </c>
      <c r="F1102" t="s">
        <v>88</v>
      </c>
      <c r="G1102" t="s">
        <v>4515</v>
      </c>
      <c r="H1102" s="7">
        <v>11208</v>
      </c>
    </row>
    <row r="1103" spans="1:8" x14ac:dyDescent="0.3">
      <c r="A1103">
        <v>5125</v>
      </c>
      <c r="B1103" t="s">
        <v>5</v>
      </c>
      <c r="C1103" t="s">
        <v>93</v>
      </c>
      <c r="D1103" t="s">
        <v>825</v>
      </c>
      <c r="E1103" t="s">
        <v>8</v>
      </c>
      <c r="F1103" t="s">
        <v>9</v>
      </c>
      <c r="G1103" t="s">
        <v>4500</v>
      </c>
      <c r="H1103" s="7">
        <v>725</v>
      </c>
    </row>
    <row r="1104" spans="1:8" x14ac:dyDescent="0.3">
      <c r="A1104">
        <v>5132</v>
      </c>
      <c r="B1104" t="s">
        <v>5</v>
      </c>
      <c r="C1104" t="s">
        <v>411</v>
      </c>
      <c r="D1104" t="s">
        <v>107</v>
      </c>
      <c r="E1104" t="s">
        <v>8</v>
      </c>
      <c r="F1104" t="s">
        <v>9</v>
      </c>
      <c r="G1104" t="s">
        <v>4303</v>
      </c>
      <c r="H1104" s="7">
        <v>725</v>
      </c>
    </row>
    <row r="1105" spans="1:8" x14ac:dyDescent="0.3">
      <c r="A1105">
        <v>5134</v>
      </c>
      <c r="B1105" t="s">
        <v>5</v>
      </c>
      <c r="C1105" t="s">
        <v>93</v>
      </c>
      <c r="D1105" t="s">
        <v>107</v>
      </c>
      <c r="E1105" t="s">
        <v>27</v>
      </c>
      <c r="F1105" t="s">
        <v>9</v>
      </c>
      <c r="G1105" t="s">
        <v>4538</v>
      </c>
      <c r="H1105" s="7">
        <v>725</v>
      </c>
    </row>
    <row r="1106" spans="1:8" x14ac:dyDescent="0.3">
      <c r="A1106">
        <v>5146</v>
      </c>
      <c r="B1106" t="s">
        <v>2870</v>
      </c>
      <c r="C1106" t="s">
        <v>2871</v>
      </c>
      <c r="D1106" t="s">
        <v>1591</v>
      </c>
      <c r="E1106" t="s">
        <v>8</v>
      </c>
      <c r="F1106" t="s">
        <v>21</v>
      </c>
      <c r="G1106" t="s">
        <v>2872</v>
      </c>
      <c r="H1106" s="7">
        <v>92707</v>
      </c>
    </row>
    <row r="1107" spans="1:8" x14ac:dyDescent="0.3">
      <c r="A1107">
        <v>5148</v>
      </c>
      <c r="B1107" t="s">
        <v>1230</v>
      </c>
      <c r="C1107" t="s">
        <v>1231</v>
      </c>
      <c r="D1107" t="s">
        <v>107</v>
      </c>
      <c r="E1107" t="s">
        <v>27</v>
      </c>
      <c r="F1107" t="s">
        <v>248</v>
      </c>
      <c r="G1107" t="s">
        <v>1232</v>
      </c>
      <c r="H1107" s="7">
        <v>45840</v>
      </c>
    </row>
    <row r="1108" spans="1:8" x14ac:dyDescent="0.3">
      <c r="A1108">
        <v>5150</v>
      </c>
      <c r="B1108" t="s">
        <v>461</v>
      </c>
      <c r="C1108" t="s">
        <v>93</v>
      </c>
      <c r="D1108" t="s">
        <v>107</v>
      </c>
      <c r="E1108" t="s">
        <v>95</v>
      </c>
      <c r="F1108" t="s">
        <v>341</v>
      </c>
      <c r="G1108" t="s">
        <v>4390</v>
      </c>
      <c r="H1108" s="7">
        <v>27606</v>
      </c>
    </row>
    <row r="1109" spans="1:8" x14ac:dyDescent="0.3">
      <c r="A1109">
        <v>5151</v>
      </c>
      <c r="B1109" t="s">
        <v>5</v>
      </c>
      <c r="C1109" t="s">
        <v>1153</v>
      </c>
      <c r="D1109" t="s">
        <v>589</v>
      </c>
      <c r="E1109" t="s">
        <v>8</v>
      </c>
      <c r="F1109" t="s">
        <v>9</v>
      </c>
      <c r="G1109" t="s">
        <v>4750</v>
      </c>
      <c r="H1109" s="7">
        <v>725</v>
      </c>
    </row>
    <row r="1110" spans="1:8" x14ac:dyDescent="0.3">
      <c r="A1110">
        <v>5152</v>
      </c>
      <c r="B1110" t="s">
        <v>3153</v>
      </c>
      <c r="C1110" t="s">
        <v>93</v>
      </c>
      <c r="D1110" t="s">
        <v>1961</v>
      </c>
      <c r="E1110" t="s">
        <v>8</v>
      </c>
      <c r="F1110" t="s">
        <v>21</v>
      </c>
      <c r="G1110" t="s">
        <v>4985</v>
      </c>
      <c r="H1110" s="7">
        <v>91732</v>
      </c>
    </row>
    <row r="1111" spans="1:8" x14ac:dyDescent="0.3">
      <c r="A1111">
        <v>5157</v>
      </c>
      <c r="B1111" t="s">
        <v>5</v>
      </c>
      <c r="C1111" t="s">
        <v>93</v>
      </c>
      <c r="D1111" t="s">
        <v>2953</v>
      </c>
      <c r="E1111" t="s">
        <v>27</v>
      </c>
      <c r="F1111" t="s">
        <v>9</v>
      </c>
      <c r="G1111" t="s">
        <v>4597</v>
      </c>
      <c r="H1111" s="7">
        <v>725</v>
      </c>
    </row>
    <row r="1112" spans="1:8" x14ac:dyDescent="0.3">
      <c r="A1112">
        <v>5163</v>
      </c>
      <c r="B1112" t="s">
        <v>1749</v>
      </c>
      <c r="C1112" t="s">
        <v>711</v>
      </c>
      <c r="D1112" t="s">
        <v>1750</v>
      </c>
      <c r="E1112" t="s">
        <v>8</v>
      </c>
      <c r="F1112" t="s">
        <v>55</v>
      </c>
      <c r="G1112" t="s">
        <v>1751</v>
      </c>
      <c r="H1112" s="7">
        <v>60067</v>
      </c>
    </row>
    <row r="1113" spans="1:8" x14ac:dyDescent="0.3">
      <c r="A1113">
        <v>5167</v>
      </c>
      <c r="B1113" t="s">
        <v>5</v>
      </c>
      <c r="C1113" t="s">
        <v>3197</v>
      </c>
      <c r="D1113" t="s">
        <v>451</v>
      </c>
      <c r="E1113" t="s">
        <v>8</v>
      </c>
      <c r="F1113" t="s">
        <v>9</v>
      </c>
      <c r="G1113" t="s">
        <v>5252</v>
      </c>
      <c r="H1113" s="7">
        <v>725</v>
      </c>
    </row>
    <row r="1114" spans="1:8" x14ac:dyDescent="0.3">
      <c r="A1114">
        <v>5171</v>
      </c>
      <c r="B1114" t="s">
        <v>435</v>
      </c>
      <c r="C1114" t="s">
        <v>67</v>
      </c>
      <c r="D1114" t="s">
        <v>1388</v>
      </c>
      <c r="E1114" t="s">
        <v>8</v>
      </c>
      <c r="F1114" t="s">
        <v>172</v>
      </c>
      <c r="G1114" t="s">
        <v>3159</v>
      </c>
      <c r="H1114" s="7">
        <v>63116</v>
      </c>
    </row>
    <row r="1115" spans="1:8" x14ac:dyDescent="0.3">
      <c r="A1115">
        <v>5172</v>
      </c>
      <c r="B1115" t="s">
        <v>5</v>
      </c>
      <c r="C1115" t="s">
        <v>1642</v>
      </c>
      <c r="D1115" t="s">
        <v>3407</v>
      </c>
      <c r="E1115" t="s">
        <v>8</v>
      </c>
      <c r="F1115" t="s">
        <v>9</v>
      </c>
      <c r="G1115" t="s">
        <v>5625</v>
      </c>
      <c r="H1115" s="7">
        <v>725</v>
      </c>
    </row>
    <row r="1116" spans="1:8" x14ac:dyDescent="0.3">
      <c r="A1116">
        <v>5177</v>
      </c>
      <c r="B1116" t="s">
        <v>3016</v>
      </c>
      <c r="C1116" t="s">
        <v>2674</v>
      </c>
      <c r="D1116" t="s">
        <v>2942</v>
      </c>
      <c r="E1116" t="s">
        <v>95</v>
      </c>
      <c r="F1116" t="s">
        <v>21</v>
      </c>
      <c r="G1116" t="s">
        <v>792</v>
      </c>
      <c r="H1116" s="7">
        <v>92024</v>
      </c>
    </row>
    <row r="1117" spans="1:8" x14ac:dyDescent="0.3">
      <c r="A1117">
        <v>5179</v>
      </c>
      <c r="B1117" t="s">
        <v>2226</v>
      </c>
      <c r="C1117" t="s">
        <v>112</v>
      </c>
      <c r="D1117" t="s">
        <v>107</v>
      </c>
      <c r="E1117" t="s">
        <v>8</v>
      </c>
      <c r="F1117" t="s">
        <v>77</v>
      </c>
      <c r="G1117" t="s">
        <v>3447</v>
      </c>
      <c r="H1117" s="7">
        <v>15642</v>
      </c>
    </row>
    <row r="1118" spans="1:8" x14ac:dyDescent="0.3">
      <c r="A1118">
        <v>5182</v>
      </c>
      <c r="B1118" t="s">
        <v>5</v>
      </c>
      <c r="C1118" t="s">
        <v>597</v>
      </c>
      <c r="D1118" t="s">
        <v>598</v>
      </c>
      <c r="E1118" t="s">
        <v>27</v>
      </c>
      <c r="F1118" t="s">
        <v>9</v>
      </c>
      <c r="G1118" t="s">
        <v>599</v>
      </c>
      <c r="H1118" s="7">
        <v>725</v>
      </c>
    </row>
    <row r="1119" spans="1:8" x14ac:dyDescent="0.3">
      <c r="A1119">
        <v>5188</v>
      </c>
      <c r="B1119" t="s">
        <v>5278</v>
      </c>
      <c r="C1119" t="s">
        <v>1317</v>
      </c>
      <c r="D1119" t="s">
        <v>139</v>
      </c>
      <c r="E1119" t="s">
        <v>95</v>
      </c>
      <c r="F1119" t="s">
        <v>9</v>
      </c>
      <c r="G1119" t="s">
        <v>5470</v>
      </c>
      <c r="H1119" s="7">
        <v>949</v>
      </c>
    </row>
    <row r="1120" spans="1:8" x14ac:dyDescent="0.3">
      <c r="A1120">
        <v>5190</v>
      </c>
      <c r="B1120" t="s">
        <v>2874</v>
      </c>
      <c r="C1120" t="s">
        <v>93</v>
      </c>
      <c r="D1120" t="s">
        <v>107</v>
      </c>
      <c r="E1120" t="s">
        <v>95</v>
      </c>
      <c r="F1120" t="s">
        <v>1657</v>
      </c>
      <c r="G1120" t="s">
        <v>5399</v>
      </c>
      <c r="H1120" s="7">
        <v>6457</v>
      </c>
    </row>
    <row r="1121" spans="1:8" x14ac:dyDescent="0.3">
      <c r="A1121">
        <v>5191</v>
      </c>
      <c r="B1121" t="s">
        <v>5</v>
      </c>
      <c r="C1121" t="s">
        <v>454</v>
      </c>
      <c r="D1121" t="s">
        <v>1282</v>
      </c>
      <c r="E1121" t="s">
        <v>95</v>
      </c>
      <c r="F1121" t="s">
        <v>9</v>
      </c>
      <c r="G1121" t="s">
        <v>3999</v>
      </c>
      <c r="H1121" s="7">
        <v>725</v>
      </c>
    </row>
    <row r="1122" spans="1:8" x14ac:dyDescent="0.3">
      <c r="A1122">
        <v>5196</v>
      </c>
      <c r="B1122" t="s">
        <v>2577</v>
      </c>
      <c r="C1122" t="s">
        <v>93</v>
      </c>
      <c r="D1122" t="s">
        <v>107</v>
      </c>
      <c r="E1122" t="s">
        <v>8</v>
      </c>
      <c r="F1122" t="s">
        <v>21</v>
      </c>
      <c r="G1122" t="s">
        <v>3904</v>
      </c>
      <c r="H1122" s="7">
        <v>94080</v>
      </c>
    </row>
    <row r="1123" spans="1:8" x14ac:dyDescent="0.3">
      <c r="A1123">
        <v>5199</v>
      </c>
      <c r="B1123" t="s">
        <v>5</v>
      </c>
      <c r="C1123" t="s">
        <v>711</v>
      </c>
      <c r="D1123" t="s">
        <v>985</v>
      </c>
      <c r="E1123" t="s">
        <v>8</v>
      </c>
      <c r="F1123" t="s">
        <v>9</v>
      </c>
      <c r="G1123" t="s">
        <v>373</v>
      </c>
      <c r="H1123" s="7">
        <v>725</v>
      </c>
    </row>
    <row r="1124" spans="1:8" x14ac:dyDescent="0.3">
      <c r="A1124">
        <v>5201</v>
      </c>
      <c r="B1124" t="s">
        <v>5</v>
      </c>
      <c r="C1124" t="s">
        <v>738</v>
      </c>
      <c r="D1124" t="s">
        <v>2317</v>
      </c>
      <c r="E1124" t="s">
        <v>27</v>
      </c>
      <c r="F1124" t="s">
        <v>9</v>
      </c>
      <c r="G1124" t="s">
        <v>2726</v>
      </c>
      <c r="H1124" s="7">
        <v>725</v>
      </c>
    </row>
    <row r="1125" spans="1:8" x14ac:dyDescent="0.3">
      <c r="A1125">
        <v>5206</v>
      </c>
      <c r="B1125" t="s">
        <v>117</v>
      </c>
      <c r="C1125" t="s">
        <v>93</v>
      </c>
      <c r="D1125" t="s">
        <v>3960</v>
      </c>
      <c r="E1125" t="s">
        <v>8</v>
      </c>
      <c r="F1125" t="s">
        <v>21</v>
      </c>
      <c r="G1125" t="s">
        <v>3961</v>
      </c>
      <c r="H1125" s="7">
        <v>92113</v>
      </c>
    </row>
    <row r="1126" spans="1:8" x14ac:dyDescent="0.3">
      <c r="A1126">
        <v>5213</v>
      </c>
      <c r="B1126" t="s">
        <v>4924</v>
      </c>
      <c r="C1126" t="s">
        <v>2917</v>
      </c>
      <c r="D1126" t="s">
        <v>1081</v>
      </c>
      <c r="E1126" t="s">
        <v>27</v>
      </c>
      <c r="F1126" t="s">
        <v>21</v>
      </c>
      <c r="G1126" t="s">
        <v>4659</v>
      </c>
      <c r="H1126" s="7">
        <v>90280</v>
      </c>
    </row>
    <row r="1127" spans="1:8" x14ac:dyDescent="0.3">
      <c r="A1127">
        <v>5217</v>
      </c>
      <c r="B1127" t="s">
        <v>3404</v>
      </c>
      <c r="C1127" t="s">
        <v>1191</v>
      </c>
      <c r="D1127" t="s">
        <v>107</v>
      </c>
      <c r="E1127" t="s">
        <v>95</v>
      </c>
      <c r="F1127" t="s">
        <v>21</v>
      </c>
      <c r="G1127" t="s">
        <v>3405</v>
      </c>
      <c r="H1127" s="7">
        <v>94550</v>
      </c>
    </row>
    <row r="1128" spans="1:8" x14ac:dyDescent="0.3">
      <c r="A1128">
        <v>5222</v>
      </c>
      <c r="B1128" t="s">
        <v>435</v>
      </c>
      <c r="C1128" t="s">
        <v>436</v>
      </c>
      <c r="D1128" t="s">
        <v>437</v>
      </c>
      <c r="E1128" t="s">
        <v>27</v>
      </c>
      <c r="F1128" t="s">
        <v>172</v>
      </c>
      <c r="G1128" t="s">
        <v>438</v>
      </c>
      <c r="H1128" s="7">
        <v>63136</v>
      </c>
    </row>
    <row r="1129" spans="1:8" x14ac:dyDescent="0.3">
      <c r="A1129">
        <v>5230</v>
      </c>
      <c r="B1129" t="s">
        <v>2870</v>
      </c>
      <c r="C1129" t="s">
        <v>1109</v>
      </c>
      <c r="D1129" t="s">
        <v>107</v>
      </c>
      <c r="E1129" t="s">
        <v>8</v>
      </c>
      <c r="F1129" t="s">
        <v>21</v>
      </c>
      <c r="G1129" t="s">
        <v>3452</v>
      </c>
      <c r="H1129" s="7">
        <v>92704</v>
      </c>
    </row>
    <row r="1130" spans="1:8" x14ac:dyDescent="0.3">
      <c r="A1130">
        <v>5231</v>
      </c>
      <c r="B1130" t="s">
        <v>2915</v>
      </c>
      <c r="C1130" t="s">
        <v>93</v>
      </c>
      <c r="D1130" t="s">
        <v>848</v>
      </c>
      <c r="E1130" t="s">
        <v>8</v>
      </c>
      <c r="F1130" t="s">
        <v>108</v>
      </c>
      <c r="G1130" t="s">
        <v>2916</v>
      </c>
      <c r="H1130" s="7">
        <v>97045</v>
      </c>
    </row>
    <row r="1131" spans="1:8" x14ac:dyDescent="0.3">
      <c r="A1131">
        <v>5233</v>
      </c>
      <c r="B1131" t="s">
        <v>699</v>
      </c>
      <c r="C1131" t="s">
        <v>93</v>
      </c>
      <c r="D1131" t="s">
        <v>936</v>
      </c>
      <c r="E1131" t="s">
        <v>8</v>
      </c>
      <c r="F1131" t="s">
        <v>114</v>
      </c>
      <c r="G1131" t="s">
        <v>4481</v>
      </c>
      <c r="H1131" s="7">
        <v>77081</v>
      </c>
    </row>
    <row r="1132" spans="1:8" x14ac:dyDescent="0.3">
      <c r="A1132">
        <v>5243</v>
      </c>
      <c r="B1132" t="s">
        <v>5</v>
      </c>
      <c r="C1132" t="s">
        <v>93</v>
      </c>
      <c r="D1132" t="s">
        <v>107</v>
      </c>
      <c r="E1132" t="s">
        <v>8</v>
      </c>
      <c r="F1132" t="s">
        <v>9</v>
      </c>
      <c r="G1132" t="s">
        <v>4056</v>
      </c>
      <c r="H1132" s="7">
        <v>725</v>
      </c>
    </row>
    <row r="1133" spans="1:8" x14ac:dyDescent="0.3">
      <c r="A1133">
        <v>5255</v>
      </c>
      <c r="B1133" t="s">
        <v>995</v>
      </c>
      <c r="C1133" t="s">
        <v>93</v>
      </c>
      <c r="D1133" t="s">
        <v>3802</v>
      </c>
      <c r="E1133" t="s">
        <v>95</v>
      </c>
      <c r="F1133" t="s">
        <v>283</v>
      </c>
      <c r="G1133" t="s">
        <v>5571</v>
      </c>
      <c r="H1133" s="7">
        <v>23455</v>
      </c>
    </row>
    <row r="1134" spans="1:8" x14ac:dyDescent="0.3">
      <c r="A1134">
        <v>5256</v>
      </c>
      <c r="B1134" t="s">
        <v>5</v>
      </c>
      <c r="C1134" t="s">
        <v>2301</v>
      </c>
      <c r="D1134" t="s">
        <v>107</v>
      </c>
      <c r="E1134" t="s">
        <v>95</v>
      </c>
      <c r="F1134" t="s">
        <v>9</v>
      </c>
      <c r="G1134" t="s">
        <v>2302</v>
      </c>
      <c r="H1134" s="7">
        <v>725</v>
      </c>
    </row>
    <row r="1135" spans="1:8" x14ac:dyDescent="0.3">
      <c r="A1135">
        <v>5263</v>
      </c>
      <c r="B1135" t="s">
        <v>18</v>
      </c>
      <c r="C1135" t="s">
        <v>573</v>
      </c>
      <c r="D1135" t="s">
        <v>842</v>
      </c>
      <c r="E1135" t="s">
        <v>27</v>
      </c>
      <c r="F1135" t="s">
        <v>21</v>
      </c>
      <c r="G1135" t="s">
        <v>2333</v>
      </c>
      <c r="H1135" s="7">
        <v>95112</v>
      </c>
    </row>
    <row r="1136" spans="1:8" x14ac:dyDescent="0.3">
      <c r="A1136">
        <v>5278</v>
      </c>
      <c r="B1136" t="s">
        <v>3944</v>
      </c>
      <c r="C1136" t="s">
        <v>506</v>
      </c>
      <c r="D1136" t="s">
        <v>3637</v>
      </c>
      <c r="E1136" t="s">
        <v>27</v>
      </c>
      <c r="F1136" t="s">
        <v>21</v>
      </c>
      <c r="G1136" t="s">
        <v>4802</v>
      </c>
      <c r="H1136" s="7">
        <v>92683</v>
      </c>
    </row>
    <row r="1137" spans="1:8" x14ac:dyDescent="0.3">
      <c r="A1137">
        <v>5281</v>
      </c>
      <c r="B1137" t="s">
        <v>254</v>
      </c>
      <c r="C1137" t="s">
        <v>251</v>
      </c>
      <c r="D1137" t="s">
        <v>107</v>
      </c>
      <c r="E1137" t="s">
        <v>95</v>
      </c>
      <c r="F1137" t="s">
        <v>55</v>
      </c>
      <c r="G1137" t="s">
        <v>4351</v>
      </c>
      <c r="H1137" s="7">
        <v>60619</v>
      </c>
    </row>
    <row r="1138" spans="1:8" x14ac:dyDescent="0.3">
      <c r="A1138">
        <v>5282</v>
      </c>
      <c r="B1138" t="s">
        <v>1535</v>
      </c>
      <c r="C1138" t="s">
        <v>1536</v>
      </c>
      <c r="D1138" t="s">
        <v>1304</v>
      </c>
      <c r="E1138" t="s">
        <v>27</v>
      </c>
      <c r="F1138" t="s">
        <v>140</v>
      </c>
      <c r="G1138" t="s">
        <v>1537</v>
      </c>
      <c r="H1138" s="7">
        <v>30044</v>
      </c>
    </row>
    <row r="1139" spans="1:8" x14ac:dyDescent="0.3">
      <c r="A1139">
        <v>5290</v>
      </c>
      <c r="B1139" t="s">
        <v>5</v>
      </c>
      <c r="C1139" t="s">
        <v>93</v>
      </c>
      <c r="D1139" t="s">
        <v>107</v>
      </c>
      <c r="E1139" t="s">
        <v>8</v>
      </c>
      <c r="F1139" t="s">
        <v>9</v>
      </c>
      <c r="G1139" t="s">
        <v>3971</v>
      </c>
      <c r="H1139" s="7">
        <v>725</v>
      </c>
    </row>
    <row r="1140" spans="1:8" x14ac:dyDescent="0.3">
      <c r="A1140">
        <v>5292</v>
      </c>
      <c r="B1140" t="s">
        <v>5</v>
      </c>
      <c r="C1140" t="s">
        <v>93</v>
      </c>
      <c r="D1140" t="s">
        <v>1189</v>
      </c>
      <c r="E1140" t="s">
        <v>8</v>
      </c>
      <c r="F1140" t="s">
        <v>9</v>
      </c>
      <c r="G1140" t="s">
        <v>4271</v>
      </c>
      <c r="H1140" s="7">
        <v>725</v>
      </c>
    </row>
    <row r="1141" spans="1:8" x14ac:dyDescent="0.3">
      <c r="A1141">
        <v>5293</v>
      </c>
      <c r="B1141" t="s">
        <v>1538</v>
      </c>
      <c r="C1141" t="s">
        <v>738</v>
      </c>
      <c r="D1141" t="s">
        <v>485</v>
      </c>
      <c r="E1141" t="s">
        <v>8</v>
      </c>
      <c r="F1141" t="s">
        <v>21</v>
      </c>
      <c r="G1141" t="s">
        <v>5418</v>
      </c>
      <c r="H1141" s="7">
        <v>95823</v>
      </c>
    </row>
    <row r="1142" spans="1:8" x14ac:dyDescent="0.3">
      <c r="A1142">
        <v>5309</v>
      </c>
      <c r="B1142" t="s">
        <v>3136</v>
      </c>
      <c r="C1142" t="s">
        <v>727</v>
      </c>
      <c r="D1142" t="s">
        <v>302</v>
      </c>
      <c r="E1142" t="s">
        <v>95</v>
      </c>
      <c r="F1142" t="s">
        <v>140</v>
      </c>
      <c r="G1142" t="s">
        <v>3137</v>
      </c>
      <c r="H1142" s="7">
        <v>30080</v>
      </c>
    </row>
    <row r="1143" spans="1:8" x14ac:dyDescent="0.3">
      <c r="A1143">
        <v>5316</v>
      </c>
      <c r="B1143" t="s">
        <v>665</v>
      </c>
      <c r="C1143" t="s">
        <v>93</v>
      </c>
      <c r="D1143" t="s">
        <v>2251</v>
      </c>
      <c r="E1143" t="s">
        <v>27</v>
      </c>
      <c r="F1143" t="s">
        <v>283</v>
      </c>
      <c r="G1143" t="s">
        <v>1491</v>
      </c>
      <c r="H1143" s="7">
        <v>23320</v>
      </c>
    </row>
    <row r="1144" spans="1:8" x14ac:dyDescent="0.3">
      <c r="A1144">
        <v>5321</v>
      </c>
      <c r="B1144" t="s">
        <v>5</v>
      </c>
      <c r="C1144" t="s">
        <v>112</v>
      </c>
      <c r="D1144" t="s">
        <v>2956</v>
      </c>
      <c r="E1144" t="s">
        <v>27</v>
      </c>
      <c r="F1144" t="s">
        <v>9</v>
      </c>
      <c r="G1144" t="s">
        <v>2957</v>
      </c>
      <c r="H1144" s="7">
        <v>725</v>
      </c>
    </row>
    <row r="1145" spans="1:8" x14ac:dyDescent="0.3">
      <c r="A1145">
        <v>5324</v>
      </c>
      <c r="B1145" t="s">
        <v>699</v>
      </c>
      <c r="C1145" t="s">
        <v>93</v>
      </c>
      <c r="D1145" t="s">
        <v>2961</v>
      </c>
      <c r="E1145" t="s">
        <v>8</v>
      </c>
      <c r="F1145" t="s">
        <v>114</v>
      </c>
      <c r="G1145" t="s">
        <v>3257</v>
      </c>
      <c r="H1145" s="7">
        <v>77015</v>
      </c>
    </row>
    <row r="1146" spans="1:8" x14ac:dyDescent="0.3">
      <c r="A1146">
        <v>5325</v>
      </c>
      <c r="B1146" t="s">
        <v>5</v>
      </c>
      <c r="C1146" t="s">
        <v>1200</v>
      </c>
      <c r="D1146" t="s">
        <v>107</v>
      </c>
      <c r="E1146" t="s">
        <v>8</v>
      </c>
      <c r="F1146" t="s">
        <v>9</v>
      </c>
      <c r="G1146" t="s">
        <v>2611</v>
      </c>
      <c r="H1146" s="7">
        <v>725</v>
      </c>
    </row>
    <row r="1147" spans="1:8" x14ac:dyDescent="0.3">
      <c r="A1147">
        <v>5330</v>
      </c>
      <c r="B1147" t="s">
        <v>2299</v>
      </c>
      <c r="C1147" t="s">
        <v>93</v>
      </c>
      <c r="D1147" t="s">
        <v>107</v>
      </c>
      <c r="E1147" t="s">
        <v>8</v>
      </c>
      <c r="F1147" t="s">
        <v>140</v>
      </c>
      <c r="G1147" t="s">
        <v>2720</v>
      </c>
      <c r="H1147" s="7">
        <v>30349</v>
      </c>
    </row>
    <row r="1148" spans="1:8" x14ac:dyDescent="0.3">
      <c r="A1148">
        <v>5332</v>
      </c>
      <c r="B1148" t="s">
        <v>5</v>
      </c>
      <c r="C1148" t="s">
        <v>93</v>
      </c>
      <c r="D1148" t="s">
        <v>107</v>
      </c>
      <c r="E1148" t="s">
        <v>27</v>
      </c>
      <c r="F1148" t="s">
        <v>9</v>
      </c>
      <c r="G1148" t="s">
        <v>1601</v>
      </c>
      <c r="H1148" s="7">
        <v>725</v>
      </c>
    </row>
    <row r="1149" spans="1:8" x14ac:dyDescent="0.3">
      <c r="A1149">
        <v>5340</v>
      </c>
      <c r="B1149" t="s">
        <v>1168</v>
      </c>
      <c r="C1149" t="s">
        <v>948</v>
      </c>
      <c r="D1149" t="s">
        <v>2224</v>
      </c>
      <c r="E1149" t="s">
        <v>95</v>
      </c>
      <c r="F1149" t="s">
        <v>21</v>
      </c>
      <c r="G1149" t="s">
        <v>2157</v>
      </c>
      <c r="H1149" s="7">
        <v>90250</v>
      </c>
    </row>
    <row r="1150" spans="1:8" x14ac:dyDescent="0.3">
      <c r="A1150">
        <v>5341</v>
      </c>
      <c r="B1150" t="s">
        <v>495</v>
      </c>
      <c r="C1150" t="s">
        <v>93</v>
      </c>
      <c r="D1150" t="s">
        <v>3377</v>
      </c>
      <c r="E1150" t="s">
        <v>95</v>
      </c>
      <c r="F1150" t="s">
        <v>88</v>
      </c>
      <c r="G1150" t="s">
        <v>2291</v>
      </c>
      <c r="H1150" s="7">
        <v>11230</v>
      </c>
    </row>
    <row r="1151" spans="1:8" x14ac:dyDescent="0.3">
      <c r="A1151">
        <v>5342</v>
      </c>
      <c r="B1151" t="s">
        <v>18</v>
      </c>
      <c r="C1151" t="s">
        <v>1422</v>
      </c>
      <c r="D1151" t="s">
        <v>3543</v>
      </c>
      <c r="E1151" t="s">
        <v>95</v>
      </c>
      <c r="F1151" t="s">
        <v>21</v>
      </c>
      <c r="G1151" t="s">
        <v>2620</v>
      </c>
      <c r="H1151" s="7">
        <v>95111</v>
      </c>
    </row>
    <row r="1152" spans="1:8" x14ac:dyDescent="0.3">
      <c r="A1152">
        <v>5343</v>
      </c>
      <c r="B1152" t="s">
        <v>2119</v>
      </c>
      <c r="C1152" t="s">
        <v>93</v>
      </c>
      <c r="D1152" t="s">
        <v>107</v>
      </c>
      <c r="E1152" t="s">
        <v>95</v>
      </c>
      <c r="F1152" t="s">
        <v>55</v>
      </c>
      <c r="G1152" t="s">
        <v>5567</v>
      </c>
      <c r="H1152" s="7">
        <v>60453</v>
      </c>
    </row>
    <row r="1153" spans="1:8" x14ac:dyDescent="0.3">
      <c r="A1153">
        <v>5345</v>
      </c>
      <c r="B1153" t="s">
        <v>2516</v>
      </c>
      <c r="C1153" t="s">
        <v>93</v>
      </c>
      <c r="D1153" t="s">
        <v>985</v>
      </c>
      <c r="E1153" t="s">
        <v>95</v>
      </c>
      <c r="F1153" t="s">
        <v>88</v>
      </c>
      <c r="G1153" t="s">
        <v>2517</v>
      </c>
      <c r="H1153" s="7">
        <v>12550</v>
      </c>
    </row>
    <row r="1154" spans="1:8" x14ac:dyDescent="0.3">
      <c r="A1154">
        <v>5347</v>
      </c>
      <c r="B1154" t="s">
        <v>281</v>
      </c>
      <c r="C1154" t="s">
        <v>957</v>
      </c>
      <c r="D1154" t="s">
        <v>107</v>
      </c>
      <c r="E1154" t="s">
        <v>8</v>
      </c>
      <c r="F1154" t="s">
        <v>283</v>
      </c>
      <c r="G1154" t="s">
        <v>4634</v>
      </c>
      <c r="H1154" s="7">
        <v>22193</v>
      </c>
    </row>
    <row r="1155" spans="1:8" x14ac:dyDescent="0.3">
      <c r="A1155">
        <v>5348</v>
      </c>
      <c r="B1155" t="s">
        <v>174</v>
      </c>
      <c r="C1155" t="s">
        <v>93</v>
      </c>
      <c r="D1155" t="s">
        <v>574</v>
      </c>
      <c r="E1155" t="s">
        <v>27</v>
      </c>
      <c r="F1155" t="s">
        <v>21</v>
      </c>
      <c r="G1155" t="s">
        <v>2500</v>
      </c>
      <c r="H1155" s="7">
        <v>90032</v>
      </c>
    </row>
    <row r="1156" spans="1:8" x14ac:dyDescent="0.3">
      <c r="A1156">
        <v>5355</v>
      </c>
      <c r="B1156" t="s">
        <v>359</v>
      </c>
      <c r="C1156" t="s">
        <v>1070</v>
      </c>
      <c r="D1156" t="s">
        <v>2562</v>
      </c>
      <c r="E1156" t="s">
        <v>8</v>
      </c>
      <c r="F1156" t="s">
        <v>341</v>
      </c>
      <c r="G1156" t="s">
        <v>2563</v>
      </c>
      <c r="H1156" s="7">
        <v>28205</v>
      </c>
    </row>
    <row r="1157" spans="1:8" x14ac:dyDescent="0.3">
      <c r="A1157">
        <v>5361</v>
      </c>
      <c r="B1157" t="s">
        <v>5</v>
      </c>
      <c r="C1157" t="s">
        <v>417</v>
      </c>
      <c r="D1157" t="s">
        <v>418</v>
      </c>
      <c r="E1157" t="s">
        <v>8</v>
      </c>
      <c r="F1157" t="s">
        <v>9</v>
      </c>
      <c r="G1157" t="s">
        <v>419</v>
      </c>
      <c r="H1157" s="7">
        <v>725</v>
      </c>
    </row>
    <row r="1158" spans="1:8" x14ac:dyDescent="0.3">
      <c r="A1158">
        <v>5363</v>
      </c>
      <c r="B1158" t="s">
        <v>1351</v>
      </c>
      <c r="C1158" t="s">
        <v>93</v>
      </c>
      <c r="D1158" t="s">
        <v>107</v>
      </c>
      <c r="E1158" t="s">
        <v>8</v>
      </c>
      <c r="F1158" t="s">
        <v>381</v>
      </c>
      <c r="G1158" t="s">
        <v>3444</v>
      </c>
      <c r="H1158" s="7">
        <v>49201</v>
      </c>
    </row>
    <row r="1159" spans="1:8" x14ac:dyDescent="0.3">
      <c r="A1159">
        <v>5368</v>
      </c>
      <c r="B1159" t="s">
        <v>495</v>
      </c>
      <c r="C1159" t="s">
        <v>1401</v>
      </c>
      <c r="D1159" t="s">
        <v>107</v>
      </c>
      <c r="E1159" t="s">
        <v>95</v>
      </c>
      <c r="F1159" t="s">
        <v>88</v>
      </c>
      <c r="G1159" t="s">
        <v>5631</v>
      </c>
      <c r="H1159" s="7">
        <v>11235</v>
      </c>
    </row>
    <row r="1160" spans="1:8" x14ac:dyDescent="0.3">
      <c r="A1160">
        <v>5371</v>
      </c>
      <c r="B1160" t="s">
        <v>5</v>
      </c>
      <c r="C1160" t="s">
        <v>1788</v>
      </c>
      <c r="D1160" t="s">
        <v>1812</v>
      </c>
      <c r="E1160" t="s">
        <v>27</v>
      </c>
      <c r="F1160" t="s">
        <v>9</v>
      </c>
      <c r="G1160" t="s">
        <v>4872</v>
      </c>
      <c r="H1160" s="7">
        <v>725</v>
      </c>
    </row>
    <row r="1161" spans="1:8" x14ac:dyDescent="0.3">
      <c r="A1161">
        <v>5372</v>
      </c>
      <c r="B1161" t="s">
        <v>474</v>
      </c>
      <c r="C1161" t="s">
        <v>93</v>
      </c>
      <c r="D1161" t="s">
        <v>107</v>
      </c>
      <c r="E1161" t="s">
        <v>95</v>
      </c>
      <c r="F1161" t="s">
        <v>140</v>
      </c>
      <c r="G1161" t="s">
        <v>3576</v>
      </c>
      <c r="H1161" s="7">
        <v>30906</v>
      </c>
    </row>
    <row r="1162" spans="1:8" x14ac:dyDescent="0.3">
      <c r="A1162">
        <v>5373</v>
      </c>
      <c r="B1162" t="s">
        <v>699</v>
      </c>
      <c r="C1162" t="s">
        <v>711</v>
      </c>
      <c r="D1162" t="s">
        <v>4916</v>
      </c>
      <c r="E1162" t="s">
        <v>27</v>
      </c>
      <c r="F1162" t="s">
        <v>114</v>
      </c>
      <c r="G1162" t="s">
        <v>4059</v>
      </c>
      <c r="H1162" s="7">
        <v>77015</v>
      </c>
    </row>
    <row r="1163" spans="1:8" x14ac:dyDescent="0.3">
      <c r="A1163">
        <v>5382</v>
      </c>
      <c r="B1163" t="s">
        <v>5</v>
      </c>
      <c r="C1163" t="s">
        <v>93</v>
      </c>
      <c r="D1163" t="s">
        <v>107</v>
      </c>
      <c r="E1163" t="s">
        <v>95</v>
      </c>
      <c r="F1163" t="s">
        <v>9</v>
      </c>
      <c r="G1163" t="s">
        <v>3565</v>
      </c>
      <c r="H1163" s="7">
        <v>725</v>
      </c>
    </row>
    <row r="1164" spans="1:8" x14ac:dyDescent="0.3">
      <c r="A1164">
        <v>5384</v>
      </c>
      <c r="B1164" t="s">
        <v>699</v>
      </c>
      <c r="C1164" t="s">
        <v>444</v>
      </c>
      <c r="D1164" t="s">
        <v>107</v>
      </c>
      <c r="E1164" t="s">
        <v>27</v>
      </c>
      <c r="F1164" t="s">
        <v>114</v>
      </c>
      <c r="G1164" t="s">
        <v>3928</v>
      </c>
      <c r="H1164" s="7">
        <v>77015</v>
      </c>
    </row>
    <row r="1165" spans="1:8" x14ac:dyDescent="0.3">
      <c r="A1165">
        <v>5388</v>
      </c>
      <c r="B1165" t="s">
        <v>1253</v>
      </c>
      <c r="C1165" t="s">
        <v>1191</v>
      </c>
      <c r="D1165" t="s">
        <v>1169</v>
      </c>
      <c r="E1165" t="s">
        <v>27</v>
      </c>
      <c r="F1165" t="s">
        <v>158</v>
      </c>
      <c r="G1165" t="s">
        <v>1254</v>
      </c>
      <c r="H1165" s="7">
        <v>37075</v>
      </c>
    </row>
    <row r="1166" spans="1:8" x14ac:dyDescent="0.3">
      <c r="A1166">
        <v>5389</v>
      </c>
      <c r="B1166" t="s">
        <v>5</v>
      </c>
      <c r="C1166" t="s">
        <v>93</v>
      </c>
      <c r="D1166" t="s">
        <v>107</v>
      </c>
      <c r="E1166" t="s">
        <v>27</v>
      </c>
      <c r="F1166" t="s">
        <v>9</v>
      </c>
      <c r="G1166" t="s">
        <v>1610</v>
      </c>
      <c r="H1166" s="7">
        <v>725</v>
      </c>
    </row>
    <row r="1167" spans="1:8" x14ac:dyDescent="0.3">
      <c r="A1167">
        <v>5402</v>
      </c>
      <c r="B1167" t="s">
        <v>710</v>
      </c>
      <c r="C1167" t="s">
        <v>488</v>
      </c>
      <c r="D1167" t="s">
        <v>1333</v>
      </c>
      <c r="E1167" t="s">
        <v>8</v>
      </c>
      <c r="F1167" t="s">
        <v>448</v>
      </c>
      <c r="G1167" t="s">
        <v>3076</v>
      </c>
      <c r="H1167" s="7">
        <v>33312</v>
      </c>
    </row>
    <row r="1168" spans="1:8" x14ac:dyDescent="0.3">
      <c r="A1168">
        <v>5403</v>
      </c>
      <c r="B1168" t="s">
        <v>343</v>
      </c>
      <c r="C1168" t="s">
        <v>93</v>
      </c>
      <c r="D1168" t="s">
        <v>107</v>
      </c>
      <c r="E1168" t="s">
        <v>8</v>
      </c>
      <c r="F1168" t="s">
        <v>248</v>
      </c>
      <c r="G1168" t="s">
        <v>1312</v>
      </c>
      <c r="H1168" s="7">
        <v>43207</v>
      </c>
    </row>
    <row r="1169" spans="1:8" x14ac:dyDescent="0.3">
      <c r="A1169">
        <v>5405</v>
      </c>
      <c r="B1169" t="s">
        <v>254</v>
      </c>
      <c r="C1169" t="s">
        <v>1103</v>
      </c>
      <c r="D1169" t="s">
        <v>428</v>
      </c>
      <c r="E1169" t="s">
        <v>8</v>
      </c>
      <c r="F1169" t="s">
        <v>55</v>
      </c>
      <c r="G1169" t="s">
        <v>4742</v>
      </c>
      <c r="H1169" s="7">
        <v>60619</v>
      </c>
    </row>
    <row r="1170" spans="1:8" x14ac:dyDescent="0.3">
      <c r="A1170">
        <v>5414</v>
      </c>
      <c r="B1170" t="s">
        <v>5</v>
      </c>
      <c r="C1170" t="s">
        <v>2025</v>
      </c>
      <c r="D1170" t="s">
        <v>2937</v>
      </c>
      <c r="E1170" t="s">
        <v>27</v>
      </c>
      <c r="F1170" t="s">
        <v>9</v>
      </c>
      <c r="G1170" t="s">
        <v>4914</v>
      </c>
      <c r="H1170" s="7">
        <v>725</v>
      </c>
    </row>
    <row r="1171" spans="1:8" x14ac:dyDescent="0.3">
      <c r="A1171">
        <v>5415</v>
      </c>
      <c r="B1171" t="s">
        <v>3077</v>
      </c>
      <c r="C1171" t="s">
        <v>93</v>
      </c>
      <c r="D1171" t="s">
        <v>107</v>
      </c>
      <c r="E1171" t="s">
        <v>95</v>
      </c>
      <c r="F1171" t="s">
        <v>190</v>
      </c>
      <c r="G1171" t="s">
        <v>4444</v>
      </c>
      <c r="H1171" s="7">
        <v>85364</v>
      </c>
    </row>
    <row r="1172" spans="1:8" x14ac:dyDescent="0.3">
      <c r="A1172">
        <v>5418</v>
      </c>
      <c r="B1172" t="s">
        <v>1782</v>
      </c>
      <c r="C1172" t="s">
        <v>93</v>
      </c>
      <c r="D1172" t="s">
        <v>762</v>
      </c>
      <c r="E1172" t="s">
        <v>8</v>
      </c>
      <c r="F1172" t="s">
        <v>140</v>
      </c>
      <c r="G1172" t="s">
        <v>4071</v>
      </c>
      <c r="H1172" s="7">
        <v>30066</v>
      </c>
    </row>
    <row r="1173" spans="1:8" x14ac:dyDescent="0.3">
      <c r="A1173">
        <v>5424</v>
      </c>
      <c r="B1173" t="s">
        <v>1132</v>
      </c>
      <c r="C1173" t="s">
        <v>93</v>
      </c>
      <c r="D1173" t="s">
        <v>1673</v>
      </c>
      <c r="E1173" t="s">
        <v>95</v>
      </c>
      <c r="F1173" t="s">
        <v>21</v>
      </c>
      <c r="G1173" t="s">
        <v>5424</v>
      </c>
      <c r="H1173" s="7">
        <v>92083</v>
      </c>
    </row>
    <row r="1174" spans="1:8" x14ac:dyDescent="0.3">
      <c r="A1174">
        <v>5426</v>
      </c>
      <c r="B1174" t="s">
        <v>2325</v>
      </c>
      <c r="C1174" t="s">
        <v>93</v>
      </c>
      <c r="D1174" t="s">
        <v>107</v>
      </c>
      <c r="E1174" t="s">
        <v>95</v>
      </c>
      <c r="F1174" t="s">
        <v>21</v>
      </c>
      <c r="G1174" t="s">
        <v>3369</v>
      </c>
      <c r="H1174" s="7">
        <v>94509</v>
      </c>
    </row>
    <row r="1175" spans="1:8" x14ac:dyDescent="0.3">
      <c r="A1175">
        <v>5427</v>
      </c>
      <c r="B1175" t="s">
        <v>2810</v>
      </c>
      <c r="C1175" t="s">
        <v>2917</v>
      </c>
      <c r="D1175" t="s">
        <v>2384</v>
      </c>
      <c r="E1175" t="s">
        <v>95</v>
      </c>
      <c r="F1175" t="s">
        <v>381</v>
      </c>
      <c r="G1175" t="s">
        <v>2598</v>
      </c>
      <c r="H1175" s="7">
        <v>48103</v>
      </c>
    </row>
    <row r="1176" spans="1:8" x14ac:dyDescent="0.3">
      <c r="A1176">
        <v>5428</v>
      </c>
      <c r="B1176" t="s">
        <v>2536</v>
      </c>
      <c r="C1176" t="s">
        <v>93</v>
      </c>
      <c r="D1176" t="s">
        <v>107</v>
      </c>
      <c r="E1176" t="s">
        <v>27</v>
      </c>
      <c r="F1176" t="s">
        <v>1145</v>
      </c>
      <c r="G1176" t="s">
        <v>5456</v>
      </c>
      <c r="H1176" s="7">
        <v>54601</v>
      </c>
    </row>
    <row r="1177" spans="1:8" x14ac:dyDescent="0.3">
      <c r="A1177">
        <v>5446</v>
      </c>
      <c r="B1177" t="s">
        <v>633</v>
      </c>
      <c r="C1177" t="s">
        <v>93</v>
      </c>
      <c r="D1177" t="s">
        <v>107</v>
      </c>
      <c r="E1177" t="s">
        <v>27</v>
      </c>
      <c r="F1177" t="s">
        <v>140</v>
      </c>
      <c r="G1177" t="s">
        <v>634</v>
      </c>
      <c r="H1177" s="7">
        <v>30135</v>
      </c>
    </row>
    <row r="1178" spans="1:8" x14ac:dyDescent="0.3">
      <c r="A1178">
        <v>5447</v>
      </c>
      <c r="B1178" t="s">
        <v>5</v>
      </c>
      <c r="C1178" t="s">
        <v>251</v>
      </c>
      <c r="D1178" t="s">
        <v>4245</v>
      </c>
      <c r="E1178" t="s">
        <v>95</v>
      </c>
      <c r="F1178" t="s">
        <v>9</v>
      </c>
      <c r="G1178" t="s">
        <v>4246</v>
      </c>
      <c r="H1178" s="7">
        <v>725</v>
      </c>
    </row>
    <row r="1179" spans="1:8" x14ac:dyDescent="0.3">
      <c r="A1179">
        <v>5451</v>
      </c>
      <c r="B1179" t="s">
        <v>254</v>
      </c>
      <c r="C1179" t="s">
        <v>719</v>
      </c>
      <c r="D1179" t="s">
        <v>1189</v>
      </c>
      <c r="E1179" t="s">
        <v>95</v>
      </c>
      <c r="F1179" t="s">
        <v>55</v>
      </c>
      <c r="G1179" t="s">
        <v>5411</v>
      </c>
      <c r="H1179" s="7">
        <v>60632</v>
      </c>
    </row>
    <row r="1180" spans="1:8" x14ac:dyDescent="0.3">
      <c r="A1180">
        <v>5452</v>
      </c>
      <c r="B1180" t="s">
        <v>4307</v>
      </c>
      <c r="C1180" t="s">
        <v>93</v>
      </c>
      <c r="D1180" t="s">
        <v>3441</v>
      </c>
      <c r="E1180" t="s">
        <v>95</v>
      </c>
      <c r="F1180" t="s">
        <v>21</v>
      </c>
      <c r="G1180" t="s">
        <v>5661</v>
      </c>
      <c r="H1180" s="7">
        <v>95060</v>
      </c>
    </row>
    <row r="1181" spans="1:8" x14ac:dyDescent="0.3">
      <c r="A1181">
        <v>5454</v>
      </c>
      <c r="B1181" t="s">
        <v>2337</v>
      </c>
      <c r="C1181" t="s">
        <v>93</v>
      </c>
      <c r="D1181" t="s">
        <v>107</v>
      </c>
      <c r="E1181" t="s">
        <v>95</v>
      </c>
      <c r="F1181" t="s">
        <v>153</v>
      </c>
      <c r="G1181" t="s">
        <v>3190</v>
      </c>
      <c r="H1181" s="7">
        <v>84404</v>
      </c>
    </row>
    <row r="1182" spans="1:8" x14ac:dyDescent="0.3">
      <c r="A1182">
        <v>5459</v>
      </c>
      <c r="B1182" t="s">
        <v>5</v>
      </c>
      <c r="C1182" t="s">
        <v>93</v>
      </c>
      <c r="D1182" t="s">
        <v>2054</v>
      </c>
      <c r="E1182" t="s">
        <v>8</v>
      </c>
      <c r="F1182" t="s">
        <v>9</v>
      </c>
      <c r="G1182" t="s">
        <v>1721</v>
      </c>
      <c r="H1182" s="7">
        <v>725</v>
      </c>
    </row>
    <row r="1183" spans="1:8" x14ac:dyDescent="0.3">
      <c r="A1183">
        <v>5460</v>
      </c>
      <c r="B1183" t="s">
        <v>699</v>
      </c>
      <c r="C1183" t="s">
        <v>499</v>
      </c>
      <c r="D1183" t="s">
        <v>107</v>
      </c>
      <c r="E1183" t="s">
        <v>95</v>
      </c>
      <c r="F1183" t="s">
        <v>114</v>
      </c>
      <c r="G1183" t="s">
        <v>5239</v>
      </c>
      <c r="H1183" s="7">
        <v>77093</v>
      </c>
    </row>
    <row r="1184" spans="1:8" x14ac:dyDescent="0.3">
      <c r="A1184">
        <v>5466</v>
      </c>
      <c r="B1184" t="s">
        <v>5</v>
      </c>
      <c r="C1184" t="s">
        <v>2057</v>
      </c>
      <c r="D1184" t="s">
        <v>1189</v>
      </c>
      <c r="E1184" t="s">
        <v>27</v>
      </c>
      <c r="F1184" t="s">
        <v>9</v>
      </c>
      <c r="G1184" t="s">
        <v>2063</v>
      </c>
      <c r="H1184" s="7">
        <v>725</v>
      </c>
    </row>
    <row r="1185" spans="1:8" x14ac:dyDescent="0.3">
      <c r="A1185">
        <v>5469</v>
      </c>
      <c r="B1185" t="s">
        <v>3938</v>
      </c>
      <c r="C1185" t="s">
        <v>93</v>
      </c>
      <c r="D1185" t="s">
        <v>863</v>
      </c>
      <c r="E1185" t="s">
        <v>8</v>
      </c>
      <c r="F1185" t="s">
        <v>88</v>
      </c>
      <c r="G1185" t="s">
        <v>4020</v>
      </c>
      <c r="H1185" s="7">
        <v>11691</v>
      </c>
    </row>
    <row r="1186" spans="1:8" x14ac:dyDescent="0.3">
      <c r="A1186">
        <v>5471</v>
      </c>
      <c r="B1186" t="s">
        <v>1293</v>
      </c>
      <c r="C1186" t="s">
        <v>886</v>
      </c>
      <c r="D1186" t="s">
        <v>107</v>
      </c>
      <c r="E1186" t="s">
        <v>27</v>
      </c>
      <c r="F1186" t="s">
        <v>190</v>
      </c>
      <c r="G1186" t="s">
        <v>4611</v>
      </c>
      <c r="H1186" s="7">
        <v>85281</v>
      </c>
    </row>
    <row r="1187" spans="1:8" x14ac:dyDescent="0.3">
      <c r="A1187">
        <v>5474</v>
      </c>
      <c r="B1187" t="s">
        <v>3122</v>
      </c>
      <c r="C1187" t="s">
        <v>93</v>
      </c>
      <c r="D1187" t="s">
        <v>1284</v>
      </c>
      <c r="E1187" t="s">
        <v>8</v>
      </c>
      <c r="F1187" t="s">
        <v>1145</v>
      </c>
      <c r="G1187" t="s">
        <v>3916</v>
      </c>
      <c r="H1187" s="7">
        <v>54935</v>
      </c>
    </row>
    <row r="1188" spans="1:8" x14ac:dyDescent="0.3">
      <c r="A1188">
        <v>5475</v>
      </c>
      <c r="B1188" t="s">
        <v>5</v>
      </c>
      <c r="C1188" t="s">
        <v>790</v>
      </c>
      <c r="D1188" t="s">
        <v>107</v>
      </c>
      <c r="E1188" t="s">
        <v>27</v>
      </c>
      <c r="F1188" t="s">
        <v>9</v>
      </c>
      <c r="G1188" t="s">
        <v>2075</v>
      </c>
      <c r="H1188" s="7">
        <v>725</v>
      </c>
    </row>
    <row r="1189" spans="1:8" x14ac:dyDescent="0.3">
      <c r="A1189">
        <v>5482</v>
      </c>
      <c r="B1189" t="s">
        <v>5</v>
      </c>
      <c r="C1189" t="s">
        <v>3108</v>
      </c>
      <c r="D1189" t="s">
        <v>1559</v>
      </c>
      <c r="E1189" t="s">
        <v>95</v>
      </c>
      <c r="F1189" t="s">
        <v>9</v>
      </c>
      <c r="G1189" t="s">
        <v>5572</v>
      </c>
      <c r="H1189" s="7">
        <v>725</v>
      </c>
    </row>
    <row r="1190" spans="1:8" x14ac:dyDescent="0.3">
      <c r="A1190">
        <v>5483</v>
      </c>
      <c r="B1190" t="s">
        <v>2625</v>
      </c>
      <c r="C1190" t="s">
        <v>93</v>
      </c>
      <c r="D1190" t="s">
        <v>107</v>
      </c>
      <c r="E1190" t="s">
        <v>8</v>
      </c>
      <c r="F1190" t="s">
        <v>158</v>
      </c>
      <c r="G1190" t="s">
        <v>4951</v>
      </c>
      <c r="H1190" s="7">
        <v>37130</v>
      </c>
    </row>
    <row r="1191" spans="1:8" x14ac:dyDescent="0.3">
      <c r="A1191">
        <v>5486</v>
      </c>
      <c r="B1191" t="s">
        <v>5</v>
      </c>
      <c r="C1191" t="s">
        <v>93</v>
      </c>
      <c r="D1191" t="s">
        <v>107</v>
      </c>
      <c r="E1191" t="s">
        <v>95</v>
      </c>
      <c r="F1191" t="s">
        <v>9</v>
      </c>
      <c r="G1191" t="s">
        <v>893</v>
      </c>
      <c r="H1191" s="7">
        <v>725</v>
      </c>
    </row>
    <row r="1192" spans="1:8" x14ac:dyDescent="0.3">
      <c r="A1192">
        <v>5488</v>
      </c>
      <c r="B1192" t="s">
        <v>2290</v>
      </c>
      <c r="C1192" t="s">
        <v>93</v>
      </c>
      <c r="D1192" t="s">
        <v>1277</v>
      </c>
      <c r="E1192" t="s">
        <v>27</v>
      </c>
      <c r="F1192" t="s">
        <v>21</v>
      </c>
      <c r="G1192" t="s">
        <v>2790</v>
      </c>
      <c r="H1192" s="7">
        <v>91764</v>
      </c>
    </row>
    <row r="1193" spans="1:8" x14ac:dyDescent="0.3">
      <c r="A1193">
        <v>5504</v>
      </c>
      <c r="B1193" t="s">
        <v>5</v>
      </c>
      <c r="C1193" t="s">
        <v>93</v>
      </c>
      <c r="D1193" t="s">
        <v>968</v>
      </c>
      <c r="E1193" t="s">
        <v>8</v>
      </c>
      <c r="F1193" t="s">
        <v>9</v>
      </c>
      <c r="G1193" t="s">
        <v>4489</v>
      </c>
      <c r="H1193" s="7">
        <v>725</v>
      </c>
    </row>
    <row r="1194" spans="1:8" x14ac:dyDescent="0.3">
      <c r="A1194">
        <v>5507</v>
      </c>
      <c r="B1194" t="s">
        <v>2996</v>
      </c>
      <c r="C1194" t="s">
        <v>2057</v>
      </c>
      <c r="D1194" t="s">
        <v>597</v>
      </c>
      <c r="E1194" t="s">
        <v>27</v>
      </c>
      <c r="F1194" t="s">
        <v>77</v>
      </c>
      <c r="G1194" t="s">
        <v>4729</v>
      </c>
      <c r="H1194" s="7">
        <v>17201</v>
      </c>
    </row>
    <row r="1195" spans="1:8" x14ac:dyDescent="0.3">
      <c r="A1195">
        <v>5513</v>
      </c>
      <c r="B1195" t="s">
        <v>5</v>
      </c>
      <c r="C1195" t="s">
        <v>93</v>
      </c>
      <c r="D1195" t="s">
        <v>107</v>
      </c>
      <c r="E1195" t="s">
        <v>27</v>
      </c>
      <c r="F1195" t="s">
        <v>9</v>
      </c>
      <c r="G1195" t="s">
        <v>4532</v>
      </c>
      <c r="H1195" s="7">
        <v>725</v>
      </c>
    </row>
    <row r="1196" spans="1:8" x14ac:dyDescent="0.3">
      <c r="A1196">
        <v>5514</v>
      </c>
      <c r="B1196" t="s">
        <v>2594</v>
      </c>
      <c r="C1196" t="s">
        <v>577</v>
      </c>
      <c r="D1196" t="s">
        <v>739</v>
      </c>
      <c r="E1196" t="s">
        <v>8</v>
      </c>
      <c r="F1196" t="s">
        <v>55</v>
      </c>
      <c r="G1196" t="s">
        <v>2595</v>
      </c>
      <c r="H1196" s="7">
        <v>60016</v>
      </c>
    </row>
    <row r="1197" spans="1:8" x14ac:dyDescent="0.3">
      <c r="A1197">
        <v>5517</v>
      </c>
      <c r="B1197" t="s">
        <v>1210</v>
      </c>
      <c r="C1197" t="s">
        <v>93</v>
      </c>
      <c r="D1197" t="s">
        <v>3048</v>
      </c>
      <c r="E1197" t="s">
        <v>95</v>
      </c>
      <c r="F1197" t="s">
        <v>308</v>
      </c>
      <c r="G1197" t="s">
        <v>5671</v>
      </c>
      <c r="H1197" s="7">
        <v>7003</v>
      </c>
    </row>
    <row r="1198" spans="1:8" x14ac:dyDescent="0.3">
      <c r="A1198">
        <v>5519</v>
      </c>
      <c r="B1198" t="s">
        <v>5</v>
      </c>
      <c r="C1198" t="s">
        <v>967</v>
      </c>
      <c r="D1198" t="s">
        <v>521</v>
      </c>
      <c r="E1198" t="s">
        <v>27</v>
      </c>
      <c r="F1198" t="s">
        <v>9</v>
      </c>
      <c r="G1198" t="s">
        <v>2076</v>
      </c>
      <c r="H1198" s="7">
        <v>725</v>
      </c>
    </row>
    <row r="1199" spans="1:8" x14ac:dyDescent="0.3">
      <c r="A1199">
        <v>5530</v>
      </c>
      <c r="B1199" t="s">
        <v>5</v>
      </c>
      <c r="C1199" t="s">
        <v>886</v>
      </c>
      <c r="D1199" t="s">
        <v>264</v>
      </c>
      <c r="E1199" t="s">
        <v>27</v>
      </c>
      <c r="F1199" t="s">
        <v>9</v>
      </c>
      <c r="G1199" t="s">
        <v>2056</v>
      </c>
      <c r="H1199" s="7">
        <v>725</v>
      </c>
    </row>
    <row r="1200" spans="1:8" x14ac:dyDescent="0.3">
      <c r="A1200">
        <v>5538</v>
      </c>
      <c r="B1200" t="s">
        <v>3404</v>
      </c>
      <c r="C1200" t="s">
        <v>1853</v>
      </c>
      <c r="D1200" t="s">
        <v>107</v>
      </c>
      <c r="E1200" t="s">
        <v>27</v>
      </c>
      <c r="F1200" t="s">
        <v>21</v>
      </c>
      <c r="G1200" t="s">
        <v>4610</v>
      </c>
      <c r="H1200" s="7">
        <v>94550</v>
      </c>
    </row>
    <row r="1201" spans="1:8" x14ac:dyDescent="0.3">
      <c r="A1201">
        <v>5539</v>
      </c>
      <c r="B1201" t="s">
        <v>2290</v>
      </c>
      <c r="C1201" t="s">
        <v>93</v>
      </c>
      <c r="D1201" t="s">
        <v>860</v>
      </c>
      <c r="E1201" t="s">
        <v>8</v>
      </c>
      <c r="F1201" t="s">
        <v>21</v>
      </c>
      <c r="G1201" t="s">
        <v>4883</v>
      </c>
      <c r="H1201" s="7">
        <v>91764</v>
      </c>
    </row>
    <row r="1202" spans="1:8" x14ac:dyDescent="0.3">
      <c r="A1202">
        <v>5541</v>
      </c>
      <c r="B1202" t="s">
        <v>699</v>
      </c>
      <c r="C1202" t="s">
        <v>3764</v>
      </c>
      <c r="D1202" t="s">
        <v>4248</v>
      </c>
      <c r="E1202" t="s">
        <v>95</v>
      </c>
      <c r="F1202" t="s">
        <v>114</v>
      </c>
      <c r="G1202" t="s">
        <v>5091</v>
      </c>
      <c r="H1202" s="7">
        <v>77015</v>
      </c>
    </row>
    <row r="1203" spans="1:8" x14ac:dyDescent="0.3">
      <c r="A1203">
        <v>5543</v>
      </c>
      <c r="B1203" t="s">
        <v>3938</v>
      </c>
      <c r="C1203" t="s">
        <v>711</v>
      </c>
      <c r="D1203" t="s">
        <v>523</v>
      </c>
      <c r="E1203" t="s">
        <v>27</v>
      </c>
      <c r="F1203" t="s">
        <v>88</v>
      </c>
      <c r="G1203" t="s">
        <v>4458</v>
      </c>
      <c r="H1203" s="7">
        <v>11691</v>
      </c>
    </row>
    <row r="1204" spans="1:8" x14ac:dyDescent="0.3">
      <c r="A1204">
        <v>5556</v>
      </c>
      <c r="B1204" t="s">
        <v>5</v>
      </c>
      <c r="C1204" t="s">
        <v>491</v>
      </c>
      <c r="D1204" t="s">
        <v>3958</v>
      </c>
      <c r="E1204" t="s">
        <v>8</v>
      </c>
      <c r="F1204" t="s">
        <v>9</v>
      </c>
      <c r="G1204" t="s">
        <v>4513</v>
      </c>
      <c r="H1204" s="7">
        <v>725</v>
      </c>
    </row>
    <row r="1205" spans="1:8" x14ac:dyDescent="0.3">
      <c r="A1205">
        <v>5570</v>
      </c>
      <c r="B1205" t="s">
        <v>622</v>
      </c>
      <c r="C1205" t="s">
        <v>93</v>
      </c>
      <c r="D1205" t="s">
        <v>107</v>
      </c>
      <c r="E1205" t="s">
        <v>27</v>
      </c>
      <c r="F1205" t="s">
        <v>21</v>
      </c>
      <c r="G1205" t="s">
        <v>3164</v>
      </c>
      <c r="H1205" s="7">
        <v>92691</v>
      </c>
    </row>
    <row r="1206" spans="1:8" x14ac:dyDescent="0.3">
      <c r="A1206">
        <v>5573</v>
      </c>
      <c r="B1206" t="s">
        <v>2170</v>
      </c>
      <c r="C1206" t="s">
        <v>2067</v>
      </c>
      <c r="D1206" t="s">
        <v>1106</v>
      </c>
      <c r="E1206" t="s">
        <v>27</v>
      </c>
      <c r="F1206" t="s">
        <v>248</v>
      </c>
      <c r="G1206" t="s">
        <v>2491</v>
      </c>
      <c r="H1206" s="7">
        <v>44105</v>
      </c>
    </row>
    <row r="1207" spans="1:8" x14ac:dyDescent="0.3">
      <c r="A1207">
        <v>5576</v>
      </c>
      <c r="B1207" t="s">
        <v>5</v>
      </c>
      <c r="C1207" t="s">
        <v>671</v>
      </c>
      <c r="D1207" t="s">
        <v>3084</v>
      </c>
      <c r="E1207" t="s">
        <v>95</v>
      </c>
      <c r="F1207" t="s">
        <v>9</v>
      </c>
      <c r="G1207" t="s">
        <v>3654</v>
      </c>
      <c r="H1207" s="7">
        <v>725</v>
      </c>
    </row>
    <row r="1208" spans="1:8" x14ac:dyDescent="0.3">
      <c r="A1208">
        <v>5579</v>
      </c>
      <c r="B1208" t="s">
        <v>626</v>
      </c>
      <c r="C1208" t="s">
        <v>93</v>
      </c>
      <c r="D1208" t="s">
        <v>3701</v>
      </c>
      <c r="E1208" t="s">
        <v>95</v>
      </c>
      <c r="F1208" t="s">
        <v>55</v>
      </c>
      <c r="G1208" t="s">
        <v>2850</v>
      </c>
      <c r="H1208" s="7">
        <v>60123</v>
      </c>
    </row>
    <row r="1209" spans="1:8" x14ac:dyDescent="0.3">
      <c r="A1209">
        <v>5580</v>
      </c>
      <c r="B1209" t="s">
        <v>1309</v>
      </c>
      <c r="C1209" t="s">
        <v>2047</v>
      </c>
      <c r="D1209" t="s">
        <v>107</v>
      </c>
      <c r="E1209" t="s">
        <v>95</v>
      </c>
      <c r="F1209" t="s">
        <v>21</v>
      </c>
      <c r="G1209" t="s">
        <v>4073</v>
      </c>
      <c r="H1209" s="7">
        <v>92557</v>
      </c>
    </row>
    <row r="1210" spans="1:8" x14ac:dyDescent="0.3">
      <c r="A1210">
        <v>5582</v>
      </c>
      <c r="B1210" t="s">
        <v>254</v>
      </c>
      <c r="C1210" t="s">
        <v>1504</v>
      </c>
      <c r="D1210" t="s">
        <v>1204</v>
      </c>
      <c r="E1210" t="s">
        <v>27</v>
      </c>
      <c r="F1210" t="s">
        <v>55</v>
      </c>
      <c r="G1210" t="s">
        <v>987</v>
      </c>
      <c r="H1210" s="7">
        <v>60616</v>
      </c>
    </row>
    <row r="1211" spans="1:8" x14ac:dyDescent="0.3">
      <c r="A1211">
        <v>5585</v>
      </c>
      <c r="B1211" t="s">
        <v>1309</v>
      </c>
      <c r="C1211" t="s">
        <v>93</v>
      </c>
      <c r="D1211" t="s">
        <v>574</v>
      </c>
      <c r="E1211" t="s">
        <v>8</v>
      </c>
      <c r="F1211" t="s">
        <v>21</v>
      </c>
      <c r="G1211" t="s">
        <v>4622</v>
      </c>
      <c r="H1211" s="7">
        <v>92553</v>
      </c>
    </row>
    <row r="1212" spans="1:8" x14ac:dyDescent="0.3">
      <c r="A1212">
        <v>5589</v>
      </c>
      <c r="B1212" t="s">
        <v>2645</v>
      </c>
      <c r="C1212" t="s">
        <v>93</v>
      </c>
      <c r="D1212" t="s">
        <v>107</v>
      </c>
      <c r="E1212" t="s">
        <v>8</v>
      </c>
      <c r="F1212" t="s">
        <v>248</v>
      </c>
      <c r="G1212" t="s">
        <v>4235</v>
      </c>
      <c r="H1212" s="7">
        <v>45140</v>
      </c>
    </row>
    <row r="1213" spans="1:8" x14ac:dyDescent="0.3">
      <c r="A1213">
        <v>5608</v>
      </c>
      <c r="B1213" t="s">
        <v>368</v>
      </c>
      <c r="C1213" t="s">
        <v>251</v>
      </c>
      <c r="D1213" t="s">
        <v>107</v>
      </c>
      <c r="E1213" t="s">
        <v>8</v>
      </c>
      <c r="F1213" t="s">
        <v>88</v>
      </c>
      <c r="G1213" t="s">
        <v>1849</v>
      </c>
      <c r="H1213" s="7">
        <v>10031</v>
      </c>
    </row>
    <row r="1214" spans="1:8" x14ac:dyDescent="0.3">
      <c r="A1214">
        <v>5612</v>
      </c>
      <c r="B1214" t="s">
        <v>5</v>
      </c>
      <c r="C1214" t="s">
        <v>93</v>
      </c>
      <c r="D1214" t="s">
        <v>793</v>
      </c>
      <c r="E1214" t="s">
        <v>27</v>
      </c>
      <c r="F1214" t="s">
        <v>9</v>
      </c>
      <c r="G1214" t="s">
        <v>794</v>
      </c>
      <c r="H1214" s="7">
        <v>725</v>
      </c>
    </row>
    <row r="1215" spans="1:8" x14ac:dyDescent="0.3">
      <c r="A1215">
        <v>5618</v>
      </c>
      <c r="B1215" t="s">
        <v>5</v>
      </c>
      <c r="C1215" t="s">
        <v>1294</v>
      </c>
      <c r="D1215" t="s">
        <v>2700</v>
      </c>
      <c r="E1215" t="s">
        <v>27</v>
      </c>
      <c r="F1215" t="s">
        <v>9</v>
      </c>
      <c r="G1215" t="s">
        <v>2701</v>
      </c>
      <c r="H1215" s="7">
        <v>725</v>
      </c>
    </row>
    <row r="1216" spans="1:8" x14ac:dyDescent="0.3">
      <c r="A1216">
        <v>5622</v>
      </c>
      <c r="B1216" t="s">
        <v>5</v>
      </c>
      <c r="C1216" t="s">
        <v>555</v>
      </c>
      <c r="D1216" t="s">
        <v>1699</v>
      </c>
      <c r="E1216" t="s">
        <v>95</v>
      </c>
      <c r="F1216" t="s">
        <v>9</v>
      </c>
      <c r="G1216" t="s">
        <v>1729</v>
      </c>
      <c r="H1216" s="7">
        <v>725</v>
      </c>
    </row>
    <row r="1217" spans="1:8" x14ac:dyDescent="0.3">
      <c r="A1217">
        <v>5632</v>
      </c>
      <c r="B1217" t="s">
        <v>3699</v>
      </c>
      <c r="C1217" t="s">
        <v>462</v>
      </c>
      <c r="D1217" t="s">
        <v>2690</v>
      </c>
      <c r="E1217" t="s">
        <v>95</v>
      </c>
      <c r="F1217" t="s">
        <v>308</v>
      </c>
      <c r="G1217" t="s">
        <v>2391</v>
      </c>
      <c r="H1217" s="7">
        <v>7083</v>
      </c>
    </row>
    <row r="1218" spans="1:8" x14ac:dyDescent="0.3">
      <c r="A1218">
        <v>5636</v>
      </c>
      <c r="B1218" t="s">
        <v>343</v>
      </c>
      <c r="C1218" t="s">
        <v>1103</v>
      </c>
      <c r="D1218" t="s">
        <v>107</v>
      </c>
      <c r="E1218" t="s">
        <v>27</v>
      </c>
      <c r="F1218" t="s">
        <v>140</v>
      </c>
      <c r="G1218" t="s">
        <v>2641</v>
      </c>
      <c r="H1218" s="7">
        <v>31907</v>
      </c>
    </row>
    <row r="1219" spans="1:8" x14ac:dyDescent="0.3">
      <c r="A1219">
        <v>5638</v>
      </c>
      <c r="B1219" t="s">
        <v>5</v>
      </c>
      <c r="C1219" t="s">
        <v>2953</v>
      </c>
      <c r="D1219" t="s">
        <v>107</v>
      </c>
      <c r="E1219" t="s">
        <v>27</v>
      </c>
      <c r="F1219" t="s">
        <v>9</v>
      </c>
      <c r="G1219" t="s">
        <v>4891</v>
      </c>
      <c r="H1219" s="7">
        <v>725</v>
      </c>
    </row>
    <row r="1220" spans="1:8" x14ac:dyDescent="0.3">
      <c r="A1220">
        <v>5639</v>
      </c>
      <c r="B1220" t="s">
        <v>1092</v>
      </c>
      <c r="C1220" t="s">
        <v>93</v>
      </c>
      <c r="D1220" t="s">
        <v>1093</v>
      </c>
      <c r="E1220" t="s">
        <v>27</v>
      </c>
      <c r="F1220" t="s">
        <v>448</v>
      </c>
      <c r="G1220" t="s">
        <v>1094</v>
      </c>
      <c r="H1220" s="7">
        <v>33624</v>
      </c>
    </row>
    <row r="1221" spans="1:8" x14ac:dyDescent="0.3">
      <c r="A1221">
        <v>5644</v>
      </c>
      <c r="B1221" t="s">
        <v>5</v>
      </c>
      <c r="C1221" t="s">
        <v>2057</v>
      </c>
      <c r="D1221" t="s">
        <v>380</v>
      </c>
      <c r="E1221" t="s">
        <v>8</v>
      </c>
      <c r="F1221" t="s">
        <v>9</v>
      </c>
      <c r="G1221" t="s">
        <v>3446</v>
      </c>
      <c r="H1221" s="7">
        <v>725</v>
      </c>
    </row>
    <row r="1222" spans="1:8" x14ac:dyDescent="0.3">
      <c r="A1222">
        <v>5647</v>
      </c>
      <c r="B1222" t="s">
        <v>5</v>
      </c>
      <c r="C1222" t="s">
        <v>93</v>
      </c>
      <c r="D1222" t="s">
        <v>906</v>
      </c>
      <c r="E1222" t="s">
        <v>27</v>
      </c>
      <c r="F1222" t="s">
        <v>9</v>
      </c>
      <c r="G1222" t="s">
        <v>5357</v>
      </c>
      <c r="H1222" s="7">
        <v>725</v>
      </c>
    </row>
    <row r="1223" spans="1:8" x14ac:dyDescent="0.3">
      <c r="A1223">
        <v>5669</v>
      </c>
      <c r="B1223" t="s">
        <v>683</v>
      </c>
      <c r="C1223" t="s">
        <v>93</v>
      </c>
      <c r="D1223" t="s">
        <v>107</v>
      </c>
      <c r="E1223" t="s">
        <v>8</v>
      </c>
      <c r="F1223" t="s">
        <v>21</v>
      </c>
      <c r="G1223" t="s">
        <v>4352</v>
      </c>
      <c r="H1223" s="7">
        <v>90703</v>
      </c>
    </row>
    <row r="1224" spans="1:8" x14ac:dyDescent="0.3">
      <c r="A1224">
        <v>5670</v>
      </c>
      <c r="B1224" t="s">
        <v>5</v>
      </c>
      <c r="C1224" t="s">
        <v>1604</v>
      </c>
      <c r="D1224" t="s">
        <v>1736</v>
      </c>
      <c r="E1224" t="s">
        <v>8</v>
      </c>
      <c r="F1224" t="s">
        <v>9</v>
      </c>
      <c r="G1224" t="s">
        <v>3421</v>
      </c>
      <c r="H1224" s="7">
        <v>725</v>
      </c>
    </row>
    <row r="1225" spans="1:8" x14ac:dyDescent="0.3">
      <c r="A1225">
        <v>5672</v>
      </c>
      <c r="B1225" t="s">
        <v>821</v>
      </c>
      <c r="C1225" t="s">
        <v>93</v>
      </c>
      <c r="D1225" t="s">
        <v>107</v>
      </c>
      <c r="E1225" t="s">
        <v>95</v>
      </c>
      <c r="F1225" t="s">
        <v>190</v>
      </c>
      <c r="G1225" t="s">
        <v>1583</v>
      </c>
      <c r="H1225" s="7">
        <v>85225</v>
      </c>
    </row>
    <row r="1226" spans="1:8" x14ac:dyDescent="0.3">
      <c r="A1226">
        <v>5674</v>
      </c>
      <c r="B1226" t="s">
        <v>3716</v>
      </c>
      <c r="C1226" t="s">
        <v>3142</v>
      </c>
      <c r="D1226" t="s">
        <v>1228</v>
      </c>
      <c r="E1226" t="s">
        <v>27</v>
      </c>
      <c r="F1226" t="s">
        <v>134</v>
      </c>
      <c r="G1226" t="s">
        <v>4149</v>
      </c>
      <c r="H1226" s="7">
        <v>96706</v>
      </c>
    </row>
    <row r="1227" spans="1:8" x14ac:dyDescent="0.3">
      <c r="A1227">
        <v>5679</v>
      </c>
      <c r="B1227" t="s">
        <v>3936</v>
      </c>
      <c r="C1227" t="s">
        <v>93</v>
      </c>
      <c r="D1227" t="s">
        <v>1192</v>
      </c>
      <c r="E1227" t="s">
        <v>95</v>
      </c>
      <c r="F1227" t="s">
        <v>36</v>
      </c>
      <c r="G1227" t="s">
        <v>3798</v>
      </c>
      <c r="H1227" s="7">
        <v>2360</v>
      </c>
    </row>
    <row r="1228" spans="1:8" x14ac:dyDescent="0.3">
      <c r="A1228">
        <v>5680</v>
      </c>
      <c r="B1228" t="s">
        <v>2627</v>
      </c>
      <c r="C1228" t="s">
        <v>766</v>
      </c>
      <c r="D1228" t="s">
        <v>3154</v>
      </c>
      <c r="E1228" t="s">
        <v>95</v>
      </c>
      <c r="F1228" t="s">
        <v>21</v>
      </c>
      <c r="G1228" t="s">
        <v>5064</v>
      </c>
      <c r="H1228" s="7">
        <v>91767</v>
      </c>
    </row>
    <row r="1229" spans="1:8" x14ac:dyDescent="0.3">
      <c r="A1229">
        <v>5683</v>
      </c>
      <c r="B1229" t="s">
        <v>2170</v>
      </c>
      <c r="C1229" t="s">
        <v>1604</v>
      </c>
      <c r="D1229" t="s">
        <v>107</v>
      </c>
      <c r="E1229" t="s">
        <v>95</v>
      </c>
      <c r="F1229" t="s">
        <v>248</v>
      </c>
      <c r="G1229" t="s">
        <v>2316</v>
      </c>
      <c r="H1229" s="7">
        <v>44118</v>
      </c>
    </row>
    <row r="1230" spans="1:8" x14ac:dyDescent="0.3">
      <c r="A1230">
        <v>5686</v>
      </c>
      <c r="B1230" t="s">
        <v>85</v>
      </c>
      <c r="C1230" t="s">
        <v>93</v>
      </c>
      <c r="D1230" t="s">
        <v>251</v>
      </c>
      <c r="E1230" t="s">
        <v>8</v>
      </c>
      <c r="F1230" t="s">
        <v>88</v>
      </c>
      <c r="G1230" t="s">
        <v>5436</v>
      </c>
      <c r="H1230" s="7">
        <v>14609</v>
      </c>
    </row>
    <row r="1231" spans="1:8" x14ac:dyDescent="0.3">
      <c r="A1231">
        <v>5696</v>
      </c>
      <c r="B1231" t="s">
        <v>656</v>
      </c>
      <c r="C1231" t="s">
        <v>93</v>
      </c>
      <c r="D1231" t="s">
        <v>1743</v>
      </c>
      <c r="E1231" t="s">
        <v>27</v>
      </c>
      <c r="F1231" t="s">
        <v>77</v>
      </c>
      <c r="G1231" t="s">
        <v>5106</v>
      </c>
      <c r="H1231" s="7">
        <v>19131</v>
      </c>
    </row>
    <row r="1232" spans="1:8" x14ac:dyDescent="0.3">
      <c r="A1232">
        <v>5709</v>
      </c>
      <c r="B1232" t="s">
        <v>246</v>
      </c>
      <c r="C1232" t="s">
        <v>977</v>
      </c>
      <c r="D1232" t="s">
        <v>1304</v>
      </c>
      <c r="E1232" t="s">
        <v>8</v>
      </c>
      <c r="F1232" t="s">
        <v>248</v>
      </c>
      <c r="G1232" t="s">
        <v>4699</v>
      </c>
      <c r="H1232" s="7">
        <v>44136</v>
      </c>
    </row>
    <row r="1233" spans="1:8" x14ac:dyDescent="0.3">
      <c r="A1233">
        <v>5710</v>
      </c>
      <c r="B1233" t="s">
        <v>5</v>
      </c>
      <c r="C1233" t="s">
        <v>93</v>
      </c>
      <c r="D1233" t="s">
        <v>1264</v>
      </c>
      <c r="E1233" t="s">
        <v>27</v>
      </c>
      <c r="F1233" t="s">
        <v>9</v>
      </c>
      <c r="G1233" t="s">
        <v>1611</v>
      </c>
      <c r="H1233" s="7">
        <v>725</v>
      </c>
    </row>
    <row r="1234" spans="1:8" x14ac:dyDescent="0.3">
      <c r="A1234">
        <v>5718</v>
      </c>
      <c r="B1234" t="s">
        <v>5</v>
      </c>
      <c r="C1234" t="s">
        <v>4151</v>
      </c>
      <c r="D1234" t="s">
        <v>3269</v>
      </c>
      <c r="E1234" t="s">
        <v>8</v>
      </c>
      <c r="F1234" t="s">
        <v>9</v>
      </c>
      <c r="G1234" t="s">
        <v>4433</v>
      </c>
      <c r="H1234" s="7">
        <v>725</v>
      </c>
    </row>
    <row r="1235" spans="1:8" x14ac:dyDescent="0.3">
      <c r="A1235">
        <v>5721</v>
      </c>
      <c r="B1235" t="s">
        <v>4386</v>
      </c>
      <c r="C1235" t="s">
        <v>1391</v>
      </c>
      <c r="D1235" t="s">
        <v>746</v>
      </c>
      <c r="E1235" t="s">
        <v>8</v>
      </c>
      <c r="F1235" t="s">
        <v>381</v>
      </c>
      <c r="G1235" t="s">
        <v>5165</v>
      </c>
      <c r="H1235" s="7">
        <v>48185</v>
      </c>
    </row>
    <row r="1236" spans="1:8" x14ac:dyDescent="0.3">
      <c r="A1236">
        <v>5734</v>
      </c>
      <c r="B1236" t="s">
        <v>710</v>
      </c>
      <c r="C1236" t="s">
        <v>93</v>
      </c>
      <c r="D1236" t="s">
        <v>778</v>
      </c>
      <c r="E1236" t="s">
        <v>27</v>
      </c>
      <c r="F1236" t="s">
        <v>448</v>
      </c>
      <c r="G1236" t="s">
        <v>4864</v>
      </c>
      <c r="H1236" s="7">
        <v>33312</v>
      </c>
    </row>
    <row r="1237" spans="1:8" x14ac:dyDescent="0.3">
      <c r="A1237">
        <v>5749</v>
      </c>
      <c r="B1237" t="s">
        <v>699</v>
      </c>
      <c r="C1237" t="s">
        <v>93</v>
      </c>
      <c r="D1237" t="s">
        <v>107</v>
      </c>
      <c r="E1237" t="s">
        <v>8</v>
      </c>
      <c r="F1237" t="s">
        <v>114</v>
      </c>
      <c r="G1237" t="s">
        <v>3383</v>
      </c>
      <c r="H1237" s="7">
        <v>77084</v>
      </c>
    </row>
    <row r="1238" spans="1:8" x14ac:dyDescent="0.3">
      <c r="A1238">
        <v>5750</v>
      </c>
      <c r="B1238" t="s">
        <v>3471</v>
      </c>
      <c r="C1238" t="s">
        <v>1422</v>
      </c>
      <c r="D1238" t="s">
        <v>968</v>
      </c>
      <c r="E1238" t="s">
        <v>8</v>
      </c>
      <c r="F1238" t="s">
        <v>88</v>
      </c>
      <c r="G1238" t="s">
        <v>5416</v>
      </c>
      <c r="H1238" s="7">
        <v>14580</v>
      </c>
    </row>
    <row r="1239" spans="1:8" x14ac:dyDescent="0.3">
      <c r="A1239">
        <v>5753</v>
      </c>
      <c r="B1239" t="s">
        <v>5</v>
      </c>
      <c r="C1239" t="s">
        <v>93</v>
      </c>
      <c r="D1239" t="s">
        <v>3609</v>
      </c>
      <c r="E1239" t="s">
        <v>8</v>
      </c>
      <c r="F1239" t="s">
        <v>9</v>
      </c>
      <c r="G1239" t="s">
        <v>3610</v>
      </c>
      <c r="H1239" s="7">
        <v>725</v>
      </c>
    </row>
    <row r="1240" spans="1:8" x14ac:dyDescent="0.3">
      <c r="A1240">
        <v>5758</v>
      </c>
      <c r="B1240" t="s">
        <v>1036</v>
      </c>
      <c r="C1240" t="s">
        <v>2067</v>
      </c>
      <c r="D1240" t="s">
        <v>1304</v>
      </c>
      <c r="E1240" t="s">
        <v>8</v>
      </c>
      <c r="F1240" t="s">
        <v>21</v>
      </c>
      <c r="G1240" t="s">
        <v>2598</v>
      </c>
      <c r="H1240" s="7">
        <v>92647</v>
      </c>
    </row>
    <row r="1241" spans="1:8" x14ac:dyDescent="0.3">
      <c r="A1241">
        <v>5761</v>
      </c>
      <c r="B1241" t="s">
        <v>5</v>
      </c>
      <c r="C1241" t="s">
        <v>93</v>
      </c>
      <c r="D1241" t="s">
        <v>107</v>
      </c>
      <c r="E1241" t="s">
        <v>8</v>
      </c>
      <c r="F1241" t="s">
        <v>9</v>
      </c>
      <c r="G1241" t="s">
        <v>4735</v>
      </c>
      <c r="H1241" s="7">
        <v>725</v>
      </c>
    </row>
    <row r="1242" spans="1:8" x14ac:dyDescent="0.3">
      <c r="A1242">
        <v>5765</v>
      </c>
      <c r="B1242" t="s">
        <v>3685</v>
      </c>
      <c r="C1242" t="s">
        <v>236</v>
      </c>
      <c r="D1242" t="s">
        <v>107</v>
      </c>
      <c r="E1242" t="s">
        <v>95</v>
      </c>
      <c r="F1242" t="s">
        <v>248</v>
      </c>
      <c r="G1242" t="s">
        <v>3686</v>
      </c>
      <c r="H1242" s="7">
        <v>44077</v>
      </c>
    </row>
    <row r="1243" spans="1:8" x14ac:dyDescent="0.3">
      <c r="A1243">
        <v>5773</v>
      </c>
      <c r="B1243" t="s">
        <v>2541</v>
      </c>
      <c r="C1243" t="s">
        <v>93</v>
      </c>
      <c r="D1243" t="s">
        <v>2760</v>
      </c>
      <c r="E1243" t="s">
        <v>8</v>
      </c>
      <c r="F1243" t="s">
        <v>448</v>
      </c>
      <c r="G1243" t="s">
        <v>1758</v>
      </c>
      <c r="H1243" s="7">
        <v>32225</v>
      </c>
    </row>
    <row r="1244" spans="1:8" x14ac:dyDescent="0.3">
      <c r="A1244">
        <v>5777</v>
      </c>
      <c r="B1244" t="s">
        <v>5</v>
      </c>
      <c r="C1244" t="s">
        <v>93</v>
      </c>
      <c r="D1244" t="s">
        <v>360</v>
      </c>
      <c r="E1244" t="s">
        <v>8</v>
      </c>
      <c r="F1244" t="s">
        <v>9</v>
      </c>
      <c r="G1244" t="s">
        <v>920</v>
      </c>
      <c r="H1244" s="7">
        <v>725</v>
      </c>
    </row>
    <row r="1245" spans="1:8" x14ac:dyDescent="0.3">
      <c r="A1245">
        <v>5778</v>
      </c>
      <c r="B1245" t="s">
        <v>961</v>
      </c>
      <c r="C1245" t="s">
        <v>436</v>
      </c>
      <c r="D1245" t="s">
        <v>107</v>
      </c>
      <c r="E1245" t="s">
        <v>8</v>
      </c>
      <c r="F1245" t="s">
        <v>114</v>
      </c>
      <c r="G1245" t="s">
        <v>962</v>
      </c>
      <c r="H1245" s="7">
        <v>78852</v>
      </c>
    </row>
    <row r="1246" spans="1:8" x14ac:dyDescent="0.3">
      <c r="A1246">
        <v>5780</v>
      </c>
      <c r="B1246" t="s">
        <v>142</v>
      </c>
      <c r="C1246" t="s">
        <v>93</v>
      </c>
      <c r="D1246" t="s">
        <v>107</v>
      </c>
      <c r="E1246" t="s">
        <v>8</v>
      </c>
      <c r="F1246" t="s">
        <v>88</v>
      </c>
      <c r="G1246" t="s">
        <v>4546</v>
      </c>
      <c r="H1246" s="7">
        <v>10460</v>
      </c>
    </row>
    <row r="1247" spans="1:8" x14ac:dyDescent="0.3">
      <c r="A1247">
        <v>5782</v>
      </c>
      <c r="B1247" t="s">
        <v>5</v>
      </c>
      <c r="C1247" t="s">
        <v>93</v>
      </c>
      <c r="D1247" t="s">
        <v>2332</v>
      </c>
      <c r="E1247" t="s">
        <v>8</v>
      </c>
      <c r="F1247" t="s">
        <v>9</v>
      </c>
      <c r="G1247" t="s">
        <v>4124</v>
      </c>
      <c r="H1247" s="7">
        <v>725</v>
      </c>
    </row>
    <row r="1248" spans="1:8" x14ac:dyDescent="0.3">
      <c r="A1248">
        <v>5783</v>
      </c>
      <c r="B1248" t="s">
        <v>748</v>
      </c>
      <c r="C1248" t="s">
        <v>1303</v>
      </c>
      <c r="D1248" t="s">
        <v>107</v>
      </c>
      <c r="E1248" t="s">
        <v>8</v>
      </c>
      <c r="F1248" t="s">
        <v>749</v>
      </c>
      <c r="G1248" t="s">
        <v>2073</v>
      </c>
      <c r="H1248" s="7">
        <v>46227</v>
      </c>
    </row>
    <row r="1249" spans="1:8" x14ac:dyDescent="0.3">
      <c r="A1249">
        <v>5808</v>
      </c>
      <c r="B1249" t="s">
        <v>2352</v>
      </c>
      <c r="C1249" t="s">
        <v>2713</v>
      </c>
      <c r="D1249" t="s">
        <v>107</v>
      </c>
      <c r="E1249" t="s">
        <v>95</v>
      </c>
      <c r="F1249" t="s">
        <v>729</v>
      </c>
      <c r="G1249" t="s">
        <v>5545</v>
      </c>
      <c r="H1249" s="7">
        <v>80231</v>
      </c>
    </row>
    <row r="1250" spans="1:8" x14ac:dyDescent="0.3">
      <c r="A1250">
        <v>5817</v>
      </c>
      <c r="B1250" t="s">
        <v>5</v>
      </c>
      <c r="C1250" t="s">
        <v>93</v>
      </c>
      <c r="D1250" t="s">
        <v>2038</v>
      </c>
      <c r="E1250" t="s">
        <v>27</v>
      </c>
      <c r="F1250" t="s">
        <v>9</v>
      </c>
      <c r="G1250" t="s">
        <v>2039</v>
      </c>
      <c r="H1250" s="7">
        <v>725</v>
      </c>
    </row>
    <row r="1251" spans="1:8" x14ac:dyDescent="0.3">
      <c r="A1251">
        <v>5831</v>
      </c>
      <c r="B1251" t="s">
        <v>1882</v>
      </c>
      <c r="C1251" t="s">
        <v>711</v>
      </c>
      <c r="D1251" t="s">
        <v>107</v>
      </c>
      <c r="E1251" t="s">
        <v>8</v>
      </c>
      <c r="F1251" t="s">
        <v>21</v>
      </c>
      <c r="G1251" t="s">
        <v>3510</v>
      </c>
      <c r="H1251" s="7">
        <v>92345</v>
      </c>
    </row>
    <row r="1252" spans="1:8" x14ac:dyDescent="0.3">
      <c r="A1252">
        <v>5832</v>
      </c>
      <c r="B1252" t="s">
        <v>239</v>
      </c>
      <c r="C1252" t="s">
        <v>1824</v>
      </c>
      <c r="D1252" t="s">
        <v>556</v>
      </c>
      <c r="E1252" t="s">
        <v>8</v>
      </c>
      <c r="F1252" t="s">
        <v>242</v>
      </c>
      <c r="G1252" t="s">
        <v>4703</v>
      </c>
      <c r="H1252" s="7">
        <v>21215</v>
      </c>
    </row>
    <row r="1253" spans="1:8" x14ac:dyDescent="0.3">
      <c r="A1253">
        <v>5839</v>
      </c>
      <c r="B1253" t="s">
        <v>105</v>
      </c>
      <c r="C1253" t="s">
        <v>1191</v>
      </c>
      <c r="D1253" t="s">
        <v>1291</v>
      </c>
      <c r="E1253" t="s">
        <v>8</v>
      </c>
      <c r="F1253" t="s">
        <v>108</v>
      </c>
      <c r="G1253" t="s">
        <v>1267</v>
      </c>
      <c r="H1253" s="7">
        <v>97701</v>
      </c>
    </row>
    <row r="1254" spans="1:8" x14ac:dyDescent="0.3">
      <c r="A1254">
        <v>5840</v>
      </c>
      <c r="B1254" t="s">
        <v>174</v>
      </c>
      <c r="C1254" t="s">
        <v>1070</v>
      </c>
      <c r="D1254" t="s">
        <v>2410</v>
      </c>
      <c r="E1254" t="s">
        <v>95</v>
      </c>
      <c r="F1254" t="s">
        <v>21</v>
      </c>
      <c r="G1254" t="s">
        <v>3179</v>
      </c>
      <c r="H1254" s="7">
        <v>90024</v>
      </c>
    </row>
    <row r="1255" spans="1:8" x14ac:dyDescent="0.3">
      <c r="A1255">
        <v>5841</v>
      </c>
      <c r="B1255" t="s">
        <v>5</v>
      </c>
      <c r="C1255" t="s">
        <v>93</v>
      </c>
      <c r="D1255" t="s">
        <v>107</v>
      </c>
      <c r="E1255" t="s">
        <v>8</v>
      </c>
      <c r="F1255" t="s">
        <v>9</v>
      </c>
      <c r="G1255" t="s">
        <v>943</v>
      </c>
      <c r="H1255" s="7">
        <v>725</v>
      </c>
    </row>
    <row r="1256" spans="1:8" x14ac:dyDescent="0.3">
      <c r="A1256">
        <v>5846</v>
      </c>
      <c r="B1256" t="s">
        <v>5</v>
      </c>
      <c r="C1256" t="s">
        <v>2917</v>
      </c>
      <c r="D1256" t="s">
        <v>107</v>
      </c>
      <c r="E1256" t="s">
        <v>27</v>
      </c>
      <c r="F1256" t="s">
        <v>9</v>
      </c>
      <c r="G1256" t="s">
        <v>5369</v>
      </c>
      <c r="H1256" s="7">
        <v>725</v>
      </c>
    </row>
    <row r="1257" spans="1:8" x14ac:dyDescent="0.3">
      <c r="A1257">
        <v>5849</v>
      </c>
      <c r="B1257" t="s">
        <v>435</v>
      </c>
      <c r="C1257" t="s">
        <v>93</v>
      </c>
      <c r="D1257" t="s">
        <v>2175</v>
      </c>
      <c r="E1257" t="s">
        <v>95</v>
      </c>
      <c r="F1257" t="s">
        <v>172</v>
      </c>
      <c r="G1257" t="s">
        <v>3831</v>
      </c>
      <c r="H1257" s="7">
        <v>63129</v>
      </c>
    </row>
    <row r="1258" spans="1:8" x14ac:dyDescent="0.3">
      <c r="A1258">
        <v>5851</v>
      </c>
      <c r="B1258" t="s">
        <v>495</v>
      </c>
      <c r="C1258" t="s">
        <v>506</v>
      </c>
      <c r="D1258" t="s">
        <v>107</v>
      </c>
      <c r="E1258" t="s">
        <v>8</v>
      </c>
      <c r="F1258" t="s">
        <v>88</v>
      </c>
      <c r="G1258" t="s">
        <v>5192</v>
      </c>
      <c r="H1258" s="7">
        <v>11206</v>
      </c>
    </row>
    <row r="1259" spans="1:8" x14ac:dyDescent="0.3">
      <c r="A1259">
        <v>5857</v>
      </c>
      <c r="B1259" t="s">
        <v>5</v>
      </c>
      <c r="C1259" t="s">
        <v>93</v>
      </c>
      <c r="D1259" t="s">
        <v>724</v>
      </c>
      <c r="E1259" t="s">
        <v>8</v>
      </c>
      <c r="F1259" t="s">
        <v>9</v>
      </c>
      <c r="G1259" t="s">
        <v>3544</v>
      </c>
      <c r="H1259" s="7">
        <v>725</v>
      </c>
    </row>
    <row r="1260" spans="1:8" x14ac:dyDescent="0.3">
      <c r="A1260">
        <v>5859</v>
      </c>
      <c r="B1260" t="s">
        <v>440</v>
      </c>
      <c r="C1260" t="s">
        <v>555</v>
      </c>
      <c r="D1260" t="s">
        <v>574</v>
      </c>
      <c r="E1260" t="s">
        <v>27</v>
      </c>
      <c r="F1260" t="s">
        <v>114</v>
      </c>
      <c r="G1260" t="s">
        <v>775</v>
      </c>
      <c r="H1260" s="7">
        <v>78207</v>
      </c>
    </row>
    <row r="1261" spans="1:8" x14ac:dyDescent="0.3">
      <c r="A1261">
        <v>5862</v>
      </c>
      <c r="B1261" t="s">
        <v>5</v>
      </c>
      <c r="C1261" t="s">
        <v>1191</v>
      </c>
      <c r="D1261" t="s">
        <v>1225</v>
      </c>
      <c r="E1261" t="s">
        <v>27</v>
      </c>
      <c r="F1261" t="s">
        <v>9</v>
      </c>
      <c r="G1261" t="s">
        <v>5486</v>
      </c>
      <c r="H1261" s="7">
        <v>725</v>
      </c>
    </row>
    <row r="1262" spans="1:8" x14ac:dyDescent="0.3">
      <c r="A1262">
        <v>5865</v>
      </c>
      <c r="B1262" t="s">
        <v>5</v>
      </c>
      <c r="C1262" t="s">
        <v>1191</v>
      </c>
      <c r="D1262" t="s">
        <v>3443</v>
      </c>
      <c r="E1262" t="s">
        <v>8</v>
      </c>
      <c r="F1262" t="s">
        <v>9</v>
      </c>
      <c r="G1262" t="s">
        <v>4520</v>
      </c>
      <c r="H1262" s="7">
        <v>725</v>
      </c>
    </row>
    <row r="1263" spans="1:8" x14ac:dyDescent="0.3">
      <c r="A1263">
        <v>5869</v>
      </c>
      <c r="B1263" t="s">
        <v>1006</v>
      </c>
      <c r="C1263" t="s">
        <v>93</v>
      </c>
      <c r="D1263" t="s">
        <v>107</v>
      </c>
      <c r="E1263" t="s">
        <v>95</v>
      </c>
      <c r="F1263" t="s">
        <v>114</v>
      </c>
      <c r="G1263" t="s">
        <v>4500</v>
      </c>
      <c r="H1263" s="7">
        <v>75023</v>
      </c>
    </row>
    <row r="1264" spans="1:8" x14ac:dyDescent="0.3">
      <c r="A1264">
        <v>5872</v>
      </c>
      <c r="B1264" t="s">
        <v>984</v>
      </c>
      <c r="C1264" t="s">
        <v>93</v>
      </c>
      <c r="D1264" t="s">
        <v>107</v>
      </c>
      <c r="E1264" t="s">
        <v>95</v>
      </c>
      <c r="F1264" t="s">
        <v>986</v>
      </c>
      <c r="G1264" t="s">
        <v>5164</v>
      </c>
      <c r="H1264" s="7">
        <v>2895</v>
      </c>
    </row>
    <row r="1265" spans="1:8" x14ac:dyDescent="0.3">
      <c r="A1265">
        <v>5876</v>
      </c>
      <c r="B1265" t="s">
        <v>250</v>
      </c>
      <c r="C1265" t="s">
        <v>787</v>
      </c>
      <c r="D1265" t="s">
        <v>107</v>
      </c>
      <c r="E1265" t="s">
        <v>27</v>
      </c>
      <c r="F1265" t="s">
        <v>21</v>
      </c>
      <c r="G1265" t="s">
        <v>1260</v>
      </c>
      <c r="H1265" s="7">
        <v>92627</v>
      </c>
    </row>
    <row r="1266" spans="1:8" x14ac:dyDescent="0.3">
      <c r="A1266">
        <v>5878</v>
      </c>
      <c r="B1266" t="s">
        <v>5</v>
      </c>
      <c r="C1266" t="s">
        <v>1735</v>
      </c>
      <c r="D1266" t="s">
        <v>107</v>
      </c>
      <c r="E1266" t="s">
        <v>8</v>
      </c>
      <c r="F1266" t="s">
        <v>9</v>
      </c>
      <c r="G1266" t="s">
        <v>5550</v>
      </c>
      <c r="H1266" s="7">
        <v>725</v>
      </c>
    </row>
    <row r="1267" spans="1:8" x14ac:dyDescent="0.3">
      <c r="A1267">
        <v>5879</v>
      </c>
      <c r="B1267" t="s">
        <v>495</v>
      </c>
      <c r="C1267" t="s">
        <v>93</v>
      </c>
      <c r="D1267" t="s">
        <v>2169</v>
      </c>
      <c r="E1267" t="s">
        <v>95</v>
      </c>
      <c r="F1267" t="s">
        <v>88</v>
      </c>
      <c r="G1267" t="s">
        <v>5448</v>
      </c>
      <c r="H1267" s="7">
        <v>11236</v>
      </c>
    </row>
    <row r="1268" spans="1:8" x14ac:dyDescent="0.3">
      <c r="A1268">
        <v>5886</v>
      </c>
      <c r="B1268" t="s">
        <v>1669</v>
      </c>
      <c r="C1268" t="s">
        <v>1642</v>
      </c>
      <c r="D1268" t="s">
        <v>107</v>
      </c>
      <c r="E1268" t="s">
        <v>8</v>
      </c>
      <c r="F1268" t="s">
        <v>283</v>
      </c>
      <c r="G1268" t="s">
        <v>2116</v>
      </c>
      <c r="H1268" s="7">
        <v>23666</v>
      </c>
    </row>
    <row r="1269" spans="1:8" x14ac:dyDescent="0.3">
      <c r="A1269">
        <v>5890</v>
      </c>
      <c r="B1269" t="s">
        <v>5</v>
      </c>
      <c r="C1269" t="s">
        <v>93</v>
      </c>
      <c r="D1269" t="s">
        <v>2656</v>
      </c>
      <c r="E1269" t="s">
        <v>95</v>
      </c>
      <c r="F1269" t="s">
        <v>9</v>
      </c>
      <c r="G1269" t="s">
        <v>2685</v>
      </c>
      <c r="H1269" s="7">
        <v>725</v>
      </c>
    </row>
    <row r="1270" spans="1:8" x14ac:dyDescent="0.3">
      <c r="A1270">
        <v>5891</v>
      </c>
      <c r="B1270" t="s">
        <v>862</v>
      </c>
      <c r="C1270" t="s">
        <v>1317</v>
      </c>
      <c r="D1270" t="s">
        <v>2657</v>
      </c>
      <c r="E1270" t="s">
        <v>27</v>
      </c>
      <c r="F1270" t="s">
        <v>478</v>
      </c>
      <c r="G1270" t="s">
        <v>2658</v>
      </c>
      <c r="H1270" s="7">
        <v>89103</v>
      </c>
    </row>
    <row r="1271" spans="1:8" x14ac:dyDescent="0.3">
      <c r="A1271">
        <v>5898</v>
      </c>
      <c r="B1271" t="s">
        <v>5</v>
      </c>
      <c r="C1271" t="s">
        <v>2750</v>
      </c>
      <c r="D1271" t="s">
        <v>2670</v>
      </c>
      <c r="E1271" t="s">
        <v>8</v>
      </c>
      <c r="F1271" t="s">
        <v>9</v>
      </c>
      <c r="G1271" t="s">
        <v>4030</v>
      </c>
      <c r="H1271" s="7">
        <v>725</v>
      </c>
    </row>
    <row r="1272" spans="1:8" x14ac:dyDescent="0.3">
      <c r="A1272">
        <v>5904</v>
      </c>
      <c r="B1272" t="s">
        <v>5</v>
      </c>
      <c r="C1272" t="s">
        <v>971</v>
      </c>
      <c r="D1272" t="s">
        <v>4383</v>
      </c>
      <c r="E1272" t="s">
        <v>8</v>
      </c>
      <c r="F1272" t="s">
        <v>9</v>
      </c>
      <c r="G1272" t="s">
        <v>5301</v>
      </c>
      <c r="H1272" s="7">
        <v>725</v>
      </c>
    </row>
    <row r="1273" spans="1:8" x14ac:dyDescent="0.3">
      <c r="A1273">
        <v>5906</v>
      </c>
      <c r="B1273" t="s">
        <v>2401</v>
      </c>
      <c r="C1273" t="s">
        <v>601</v>
      </c>
      <c r="D1273" t="s">
        <v>264</v>
      </c>
      <c r="E1273" t="s">
        <v>8</v>
      </c>
      <c r="F1273" t="s">
        <v>9</v>
      </c>
      <c r="G1273" t="s">
        <v>2685</v>
      </c>
      <c r="H1273" s="7">
        <v>729</v>
      </c>
    </row>
    <row r="1274" spans="1:8" x14ac:dyDescent="0.3">
      <c r="A1274">
        <v>5914</v>
      </c>
      <c r="B1274" t="s">
        <v>254</v>
      </c>
      <c r="C1274" t="s">
        <v>230</v>
      </c>
      <c r="D1274" t="s">
        <v>107</v>
      </c>
      <c r="E1274" t="s">
        <v>8</v>
      </c>
      <c r="F1274" t="s">
        <v>55</v>
      </c>
      <c r="G1274" t="s">
        <v>1319</v>
      </c>
      <c r="H1274" s="7">
        <v>60629</v>
      </c>
    </row>
    <row r="1275" spans="1:8" x14ac:dyDescent="0.3">
      <c r="A1275">
        <v>5917</v>
      </c>
      <c r="B1275" t="s">
        <v>2730</v>
      </c>
      <c r="C1275" t="s">
        <v>1169</v>
      </c>
      <c r="D1275" t="s">
        <v>107</v>
      </c>
      <c r="E1275" t="s">
        <v>27</v>
      </c>
      <c r="F1275" t="s">
        <v>55</v>
      </c>
      <c r="G1275" t="s">
        <v>2731</v>
      </c>
      <c r="H1275" s="7">
        <v>60050</v>
      </c>
    </row>
    <row r="1276" spans="1:8" x14ac:dyDescent="0.3">
      <c r="A1276">
        <v>5930</v>
      </c>
      <c r="B1276" t="s">
        <v>5</v>
      </c>
      <c r="C1276" t="s">
        <v>913</v>
      </c>
      <c r="D1276" t="s">
        <v>107</v>
      </c>
      <c r="E1276" t="s">
        <v>27</v>
      </c>
      <c r="F1276" t="s">
        <v>9</v>
      </c>
      <c r="G1276" t="s">
        <v>5471</v>
      </c>
      <c r="H1276" s="7">
        <v>725</v>
      </c>
    </row>
    <row r="1277" spans="1:8" x14ac:dyDescent="0.3">
      <c r="A1277">
        <v>5947</v>
      </c>
      <c r="B1277" t="s">
        <v>769</v>
      </c>
      <c r="C1277" t="s">
        <v>799</v>
      </c>
      <c r="D1277" t="s">
        <v>4514</v>
      </c>
      <c r="E1277" t="s">
        <v>8</v>
      </c>
      <c r="F1277" t="s">
        <v>190</v>
      </c>
      <c r="G1277" t="s">
        <v>4619</v>
      </c>
      <c r="H1277" s="7">
        <v>85040</v>
      </c>
    </row>
    <row r="1278" spans="1:8" x14ac:dyDescent="0.3">
      <c r="A1278">
        <v>5951</v>
      </c>
      <c r="B1278" t="s">
        <v>769</v>
      </c>
      <c r="C1278" t="s">
        <v>2567</v>
      </c>
      <c r="D1278" t="s">
        <v>1943</v>
      </c>
      <c r="E1278" t="s">
        <v>8</v>
      </c>
      <c r="F1278" t="s">
        <v>190</v>
      </c>
      <c r="G1278" t="s">
        <v>2568</v>
      </c>
      <c r="H1278" s="7">
        <v>85032</v>
      </c>
    </row>
    <row r="1279" spans="1:8" x14ac:dyDescent="0.3">
      <c r="A1279">
        <v>5952</v>
      </c>
      <c r="B1279" t="s">
        <v>1298</v>
      </c>
      <c r="C1279" t="s">
        <v>1011</v>
      </c>
      <c r="D1279" t="s">
        <v>107</v>
      </c>
      <c r="E1279" t="s">
        <v>8</v>
      </c>
      <c r="F1279" t="s">
        <v>153</v>
      </c>
      <c r="G1279" t="s">
        <v>2672</v>
      </c>
      <c r="H1279" s="7">
        <v>84015</v>
      </c>
    </row>
    <row r="1280" spans="1:8" x14ac:dyDescent="0.3">
      <c r="A1280">
        <v>5960</v>
      </c>
      <c r="B1280" t="s">
        <v>4349</v>
      </c>
      <c r="C1280" t="s">
        <v>1317</v>
      </c>
      <c r="D1280" t="s">
        <v>107</v>
      </c>
      <c r="E1280" t="s">
        <v>27</v>
      </c>
      <c r="F1280" t="s">
        <v>114</v>
      </c>
      <c r="G1280" t="s">
        <v>4937</v>
      </c>
      <c r="H1280" s="7">
        <v>78664</v>
      </c>
    </row>
    <row r="1281" spans="1:8" x14ac:dyDescent="0.3">
      <c r="A1281">
        <v>5963</v>
      </c>
      <c r="B1281" t="s">
        <v>4299</v>
      </c>
      <c r="C1281" t="s">
        <v>3764</v>
      </c>
      <c r="D1281" t="s">
        <v>107</v>
      </c>
      <c r="E1281" t="s">
        <v>95</v>
      </c>
      <c r="F1281" t="s">
        <v>21</v>
      </c>
      <c r="G1281" t="s">
        <v>4259</v>
      </c>
      <c r="H1281" s="7">
        <v>95758</v>
      </c>
    </row>
    <row r="1282" spans="1:8" x14ac:dyDescent="0.3">
      <c r="A1282">
        <v>5968</v>
      </c>
      <c r="B1282" t="s">
        <v>2284</v>
      </c>
      <c r="C1282" t="s">
        <v>967</v>
      </c>
      <c r="D1282" t="s">
        <v>107</v>
      </c>
      <c r="E1282" t="s">
        <v>8</v>
      </c>
      <c r="F1282" t="s">
        <v>21</v>
      </c>
      <c r="G1282" t="s">
        <v>2307</v>
      </c>
      <c r="H1282" s="7">
        <v>95008</v>
      </c>
    </row>
    <row r="1283" spans="1:8" x14ac:dyDescent="0.3">
      <c r="A1283">
        <v>5974</v>
      </c>
      <c r="B1283" t="s">
        <v>1325</v>
      </c>
      <c r="C1283" t="s">
        <v>1326</v>
      </c>
      <c r="D1283" t="s">
        <v>955</v>
      </c>
      <c r="E1283" t="s">
        <v>8</v>
      </c>
      <c r="F1283" t="s">
        <v>114</v>
      </c>
      <c r="G1283" t="s">
        <v>1327</v>
      </c>
      <c r="H1283" s="7">
        <v>78501</v>
      </c>
    </row>
    <row r="1284" spans="1:8" x14ac:dyDescent="0.3">
      <c r="A1284">
        <v>5982</v>
      </c>
      <c r="B1284" t="s">
        <v>5</v>
      </c>
      <c r="C1284" t="s">
        <v>1735</v>
      </c>
      <c r="D1284" t="s">
        <v>107</v>
      </c>
      <c r="E1284" t="s">
        <v>27</v>
      </c>
      <c r="F1284" t="s">
        <v>9</v>
      </c>
      <c r="G1284" t="s">
        <v>5349</v>
      </c>
      <c r="H1284" s="7">
        <v>725</v>
      </c>
    </row>
    <row r="1285" spans="1:8" x14ac:dyDescent="0.3">
      <c r="A1285">
        <v>5984</v>
      </c>
      <c r="B1285" t="s">
        <v>508</v>
      </c>
      <c r="C1285" t="s">
        <v>2452</v>
      </c>
      <c r="D1285" t="s">
        <v>3388</v>
      </c>
      <c r="E1285" t="s">
        <v>8</v>
      </c>
      <c r="F1285" t="s">
        <v>114</v>
      </c>
      <c r="G1285" t="s">
        <v>2378</v>
      </c>
      <c r="H1285" s="7">
        <v>75216</v>
      </c>
    </row>
    <row r="1286" spans="1:8" x14ac:dyDescent="0.3">
      <c r="A1286">
        <v>5987</v>
      </c>
      <c r="B1286" t="s">
        <v>699</v>
      </c>
      <c r="C1286" t="s">
        <v>93</v>
      </c>
      <c r="D1286" t="s">
        <v>107</v>
      </c>
      <c r="E1286" t="s">
        <v>8</v>
      </c>
      <c r="F1286" t="s">
        <v>114</v>
      </c>
      <c r="G1286" t="s">
        <v>2535</v>
      </c>
      <c r="H1286" s="7">
        <v>77015</v>
      </c>
    </row>
    <row r="1287" spans="1:8" x14ac:dyDescent="0.3">
      <c r="A1287">
        <v>6003</v>
      </c>
      <c r="B1287" t="s">
        <v>3172</v>
      </c>
      <c r="C1287" t="s">
        <v>93</v>
      </c>
      <c r="D1287" t="s">
        <v>107</v>
      </c>
      <c r="E1287" t="s">
        <v>8</v>
      </c>
      <c r="F1287" t="s">
        <v>341</v>
      </c>
      <c r="G1287" t="s">
        <v>1959</v>
      </c>
      <c r="H1287" s="7">
        <v>28601</v>
      </c>
    </row>
    <row r="1288" spans="1:8" x14ac:dyDescent="0.3">
      <c r="A1288">
        <v>6005</v>
      </c>
      <c r="B1288" t="s">
        <v>4289</v>
      </c>
      <c r="C1288" t="s">
        <v>2750</v>
      </c>
      <c r="D1288" t="s">
        <v>589</v>
      </c>
      <c r="E1288" t="s">
        <v>8</v>
      </c>
      <c r="F1288" t="s">
        <v>21</v>
      </c>
      <c r="G1288" t="s">
        <v>4290</v>
      </c>
      <c r="H1288" s="7">
        <v>92392</v>
      </c>
    </row>
    <row r="1289" spans="1:8" x14ac:dyDescent="0.3">
      <c r="A1289">
        <v>6006</v>
      </c>
      <c r="B1289" t="s">
        <v>40</v>
      </c>
      <c r="C1289" t="s">
        <v>93</v>
      </c>
      <c r="D1289" t="s">
        <v>107</v>
      </c>
      <c r="E1289" t="s">
        <v>8</v>
      </c>
      <c r="F1289" t="s">
        <v>77</v>
      </c>
      <c r="G1289" t="s">
        <v>4233</v>
      </c>
      <c r="H1289" s="7">
        <v>17602</v>
      </c>
    </row>
    <row r="1290" spans="1:8" x14ac:dyDescent="0.3">
      <c r="A1290">
        <v>6008</v>
      </c>
      <c r="B1290" t="s">
        <v>600</v>
      </c>
      <c r="C1290" t="s">
        <v>93</v>
      </c>
      <c r="D1290" t="s">
        <v>4194</v>
      </c>
      <c r="E1290" t="s">
        <v>8</v>
      </c>
      <c r="F1290" t="s">
        <v>9</v>
      </c>
      <c r="G1290" t="s">
        <v>5404</v>
      </c>
      <c r="H1290" s="7">
        <v>693</v>
      </c>
    </row>
    <row r="1291" spans="1:8" x14ac:dyDescent="0.3">
      <c r="A1291">
        <v>6012</v>
      </c>
      <c r="B1291" t="s">
        <v>495</v>
      </c>
      <c r="C1291" t="s">
        <v>93</v>
      </c>
      <c r="D1291" t="s">
        <v>1679</v>
      </c>
      <c r="E1291" t="s">
        <v>27</v>
      </c>
      <c r="F1291" t="s">
        <v>88</v>
      </c>
      <c r="G1291" t="s">
        <v>1286</v>
      </c>
      <c r="H1291" s="7">
        <v>11237</v>
      </c>
    </row>
    <row r="1292" spans="1:8" x14ac:dyDescent="0.3">
      <c r="A1292">
        <v>6016</v>
      </c>
      <c r="B1292" t="s">
        <v>5</v>
      </c>
      <c r="C1292" t="s">
        <v>93</v>
      </c>
      <c r="D1292" t="s">
        <v>107</v>
      </c>
      <c r="E1292" t="s">
        <v>95</v>
      </c>
      <c r="F1292" t="s">
        <v>9</v>
      </c>
      <c r="G1292" t="s">
        <v>1733</v>
      </c>
      <c r="H1292" s="7">
        <v>725</v>
      </c>
    </row>
    <row r="1293" spans="1:8" x14ac:dyDescent="0.3">
      <c r="A1293">
        <v>6020</v>
      </c>
      <c r="B1293" t="s">
        <v>5</v>
      </c>
      <c r="C1293" t="s">
        <v>93</v>
      </c>
      <c r="D1293" t="s">
        <v>107</v>
      </c>
      <c r="E1293" t="s">
        <v>8</v>
      </c>
      <c r="F1293" t="s">
        <v>9</v>
      </c>
      <c r="G1293" t="s">
        <v>5051</v>
      </c>
      <c r="H1293" s="7">
        <v>725</v>
      </c>
    </row>
    <row r="1294" spans="1:8" x14ac:dyDescent="0.3">
      <c r="A1294">
        <v>6025</v>
      </c>
      <c r="B1294" t="s">
        <v>5</v>
      </c>
      <c r="C1294" t="s">
        <v>93</v>
      </c>
      <c r="D1294" t="s">
        <v>107</v>
      </c>
      <c r="E1294" t="s">
        <v>27</v>
      </c>
      <c r="F1294" t="s">
        <v>9</v>
      </c>
      <c r="G1294" t="s">
        <v>3465</v>
      </c>
      <c r="H1294" s="7">
        <v>725</v>
      </c>
    </row>
    <row r="1295" spans="1:8" x14ac:dyDescent="0.3">
      <c r="A1295">
        <v>6033</v>
      </c>
      <c r="B1295" t="s">
        <v>254</v>
      </c>
      <c r="C1295" t="s">
        <v>93</v>
      </c>
      <c r="D1295" t="s">
        <v>4117</v>
      </c>
      <c r="E1295" t="s">
        <v>8</v>
      </c>
      <c r="F1295" t="s">
        <v>55</v>
      </c>
      <c r="G1295" t="s">
        <v>4698</v>
      </c>
      <c r="H1295" s="7">
        <v>60620</v>
      </c>
    </row>
    <row r="1296" spans="1:8" x14ac:dyDescent="0.3">
      <c r="A1296">
        <v>6039</v>
      </c>
      <c r="B1296" t="s">
        <v>5</v>
      </c>
      <c r="C1296" t="s">
        <v>859</v>
      </c>
      <c r="D1296" t="s">
        <v>1113</v>
      </c>
      <c r="E1296" t="s">
        <v>8</v>
      </c>
      <c r="F1296" t="s">
        <v>9</v>
      </c>
      <c r="G1296" t="s">
        <v>5679</v>
      </c>
      <c r="H1296" s="7">
        <v>725</v>
      </c>
    </row>
    <row r="1297" spans="1:8" x14ac:dyDescent="0.3">
      <c r="A1297">
        <v>6040</v>
      </c>
      <c r="B1297" t="s">
        <v>4494</v>
      </c>
      <c r="C1297" t="s">
        <v>93</v>
      </c>
      <c r="D1297" t="s">
        <v>107</v>
      </c>
      <c r="E1297" t="s">
        <v>8</v>
      </c>
      <c r="F1297" t="s">
        <v>9</v>
      </c>
      <c r="G1297" t="s">
        <v>1131</v>
      </c>
      <c r="H1297" s="7">
        <v>976</v>
      </c>
    </row>
    <row r="1298" spans="1:8" x14ac:dyDescent="0.3">
      <c r="A1298">
        <v>6046</v>
      </c>
      <c r="B1298" t="s">
        <v>4631</v>
      </c>
      <c r="C1298" t="s">
        <v>1482</v>
      </c>
      <c r="D1298" t="s">
        <v>4284</v>
      </c>
      <c r="E1298" t="s">
        <v>27</v>
      </c>
      <c r="F1298" t="s">
        <v>114</v>
      </c>
      <c r="G1298" t="s">
        <v>5011</v>
      </c>
      <c r="H1298" s="7">
        <v>76201</v>
      </c>
    </row>
    <row r="1299" spans="1:8" x14ac:dyDescent="0.3">
      <c r="A1299">
        <v>6047</v>
      </c>
      <c r="B1299" t="s">
        <v>195</v>
      </c>
      <c r="C1299" t="s">
        <v>93</v>
      </c>
      <c r="D1299" t="s">
        <v>107</v>
      </c>
      <c r="E1299" t="s">
        <v>8</v>
      </c>
      <c r="F1299" t="s">
        <v>21</v>
      </c>
      <c r="G1299" t="s">
        <v>323</v>
      </c>
      <c r="H1299" s="7">
        <v>92843</v>
      </c>
    </row>
    <row r="1300" spans="1:8" x14ac:dyDescent="0.3">
      <c r="A1300">
        <v>6048</v>
      </c>
      <c r="B1300" t="s">
        <v>5</v>
      </c>
      <c r="C1300" t="s">
        <v>93</v>
      </c>
      <c r="D1300" t="s">
        <v>4297</v>
      </c>
      <c r="E1300" t="s">
        <v>27</v>
      </c>
      <c r="F1300" t="s">
        <v>9</v>
      </c>
      <c r="G1300" t="s">
        <v>473</v>
      </c>
      <c r="H1300" s="7">
        <v>725</v>
      </c>
    </row>
    <row r="1301" spans="1:8" x14ac:dyDescent="0.3">
      <c r="A1301">
        <v>6051</v>
      </c>
      <c r="B1301" t="s">
        <v>3716</v>
      </c>
      <c r="C1301" t="s">
        <v>724</v>
      </c>
      <c r="D1301" t="s">
        <v>697</v>
      </c>
      <c r="E1301" t="s">
        <v>27</v>
      </c>
      <c r="F1301" t="s">
        <v>134</v>
      </c>
      <c r="G1301" t="s">
        <v>4941</v>
      </c>
      <c r="H1301" s="7">
        <v>96706</v>
      </c>
    </row>
    <row r="1302" spans="1:8" x14ac:dyDescent="0.3">
      <c r="A1302">
        <v>6056</v>
      </c>
      <c r="B1302" t="s">
        <v>995</v>
      </c>
      <c r="C1302" t="s">
        <v>1103</v>
      </c>
      <c r="D1302" t="s">
        <v>1870</v>
      </c>
      <c r="E1302" t="s">
        <v>8</v>
      </c>
      <c r="F1302" t="s">
        <v>283</v>
      </c>
      <c r="G1302" t="s">
        <v>4357</v>
      </c>
      <c r="H1302" s="7">
        <v>23464</v>
      </c>
    </row>
    <row r="1303" spans="1:8" x14ac:dyDescent="0.3">
      <c r="A1303">
        <v>6060</v>
      </c>
      <c r="B1303" t="s">
        <v>117</v>
      </c>
      <c r="C1303" t="s">
        <v>223</v>
      </c>
      <c r="D1303" t="s">
        <v>107</v>
      </c>
      <c r="E1303" t="s">
        <v>8</v>
      </c>
      <c r="F1303" t="s">
        <v>21</v>
      </c>
      <c r="G1303" t="s">
        <v>3053</v>
      </c>
      <c r="H1303" s="7">
        <v>92129</v>
      </c>
    </row>
    <row r="1304" spans="1:8" x14ac:dyDescent="0.3">
      <c r="A1304">
        <v>6063</v>
      </c>
      <c r="B1304" t="s">
        <v>5</v>
      </c>
      <c r="C1304" t="s">
        <v>4039</v>
      </c>
      <c r="D1304" t="s">
        <v>1629</v>
      </c>
      <c r="E1304" t="s">
        <v>95</v>
      </c>
      <c r="F1304" t="s">
        <v>9</v>
      </c>
      <c r="G1304" t="s">
        <v>4492</v>
      </c>
      <c r="H1304" s="7">
        <v>725</v>
      </c>
    </row>
    <row r="1305" spans="1:8" x14ac:dyDescent="0.3">
      <c r="A1305">
        <v>6071</v>
      </c>
      <c r="B1305" t="s">
        <v>368</v>
      </c>
      <c r="C1305" t="s">
        <v>93</v>
      </c>
      <c r="D1305" t="s">
        <v>1037</v>
      </c>
      <c r="E1305" t="s">
        <v>27</v>
      </c>
      <c r="F1305" t="s">
        <v>88</v>
      </c>
      <c r="G1305" t="s">
        <v>2262</v>
      </c>
      <c r="H1305" s="7">
        <v>10031</v>
      </c>
    </row>
    <row r="1306" spans="1:8" x14ac:dyDescent="0.3">
      <c r="A1306">
        <v>6074</v>
      </c>
      <c r="B1306" t="s">
        <v>254</v>
      </c>
      <c r="C1306" t="s">
        <v>643</v>
      </c>
      <c r="D1306" t="s">
        <v>107</v>
      </c>
      <c r="E1306" t="s">
        <v>8</v>
      </c>
      <c r="F1306" t="s">
        <v>55</v>
      </c>
      <c r="G1306" t="s">
        <v>2703</v>
      </c>
      <c r="H1306" s="7">
        <v>60629</v>
      </c>
    </row>
    <row r="1307" spans="1:8" x14ac:dyDescent="0.3">
      <c r="A1307">
        <v>6080</v>
      </c>
      <c r="B1307" t="s">
        <v>5</v>
      </c>
      <c r="C1307" t="s">
        <v>93</v>
      </c>
      <c r="D1307" t="s">
        <v>107</v>
      </c>
      <c r="E1307" t="s">
        <v>8</v>
      </c>
      <c r="F1307" t="s">
        <v>9</v>
      </c>
      <c r="G1307" t="s">
        <v>4853</v>
      </c>
      <c r="H1307" s="7">
        <v>725</v>
      </c>
    </row>
    <row r="1308" spans="1:8" x14ac:dyDescent="0.3">
      <c r="A1308">
        <v>6082</v>
      </c>
      <c r="B1308" t="s">
        <v>995</v>
      </c>
      <c r="C1308" t="s">
        <v>93</v>
      </c>
      <c r="D1308" t="s">
        <v>107</v>
      </c>
      <c r="E1308" t="s">
        <v>27</v>
      </c>
      <c r="F1308" t="s">
        <v>283</v>
      </c>
      <c r="G1308" t="s">
        <v>4724</v>
      </c>
      <c r="H1308" s="7">
        <v>23454</v>
      </c>
    </row>
    <row r="1309" spans="1:8" x14ac:dyDescent="0.3">
      <c r="A1309">
        <v>6086</v>
      </c>
      <c r="B1309" t="s">
        <v>810</v>
      </c>
      <c r="C1309" t="s">
        <v>93</v>
      </c>
      <c r="D1309" t="s">
        <v>1790</v>
      </c>
      <c r="E1309" t="s">
        <v>8</v>
      </c>
      <c r="F1309" t="s">
        <v>448</v>
      </c>
      <c r="G1309" t="s">
        <v>1791</v>
      </c>
      <c r="H1309" s="7">
        <v>33064</v>
      </c>
    </row>
    <row r="1310" spans="1:8" x14ac:dyDescent="0.3">
      <c r="A1310">
        <v>6100</v>
      </c>
      <c r="B1310" t="s">
        <v>1036</v>
      </c>
      <c r="C1310" t="s">
        <v>1767</v>
      </c>
      <c r="D1310" t="s">
        <v>954</v>
      </c>
      <c r="E1310" t="s">
        <v>27</v>
      </c>
      <c r="F1310" t="s">
        <v>21</v>
      </c>
      <c r="G1310" t="s">
        <v>1768</v>
      </c>
      <c r="H1310" s="7">
        <v>92646</v>
      </c>
    </row>
    <row r="1311" spans="1:8" x14ac:dyDescent="0.3">
      <c r="A1311">
        <v>6106</v>
      </c>
      <c r="B1311" t="s">
        <v>5</v>
      </c>
      <c r="C1311" t="s">
        <v>1080</v>
      </c>
      <c r="D1311" t="s">
        <v>1081</v>
      </c>
      <c r="E1311" t="s">
        <v>95</v>
      </c>
      <c r="F1311" t="s">
        <v>9</v>
      </c>
      <c r="G1311" t="s">
        <v>1082</v>
      </c>
      <c r="H1311" s="7">
        <v>725</v>
      </c>
    </row>
    <row r="1312" spans="1:8" x14ac:dyDescent="0.3">
      <c r="A1312">
        <v>6109</v>
      </c>
      <c r="B1312" t="s">
        <v>5</v>
      </c>
      <c r="C1312" t="s">
        <v>3456</v>
      </c>
      <c r="D1312" t="s">
        <v>307</v>
      </c>
      <c r="E1312" t="s">
        <v>8</v>
      </c>
      <c r="F1312" t="s">
        <v>9</v>
      </c>
      <c r="G1312" t="s">
        <v>3457</v>
      </c>
      <c r="H1312" s="7">
        <v>725</v>
      </c>
    </row>
    <row r="1313" spans="1:8" x14ac:dyDescent="0.3">
      <c r="A1313">
        <v>6111</v>
      </c>
      <c r="B1313" t="s">
        <v>2689</v>
      </c>
      <c r="C1313" t="s">
        <v>106</v>
      </c>
      <c r="D1313" t="s">
        <v>2690</v>
      </c>
      <c r="E1313" t="s">
        <v>95</v>
      </c>
      <c r="F1313" t="s">
        <v>158</v>
      </c>
      <c r="G1313" t="s">
        <v>2691</v>
      </c>
      <c r="H1313" s="7">
        <v>37042</v>
      </c>
    </row>
    <row r="1314" spans="1:8" x14ac:dyDescent="0.3">
      <c r="A1314">
        <v>6115</v>
      </c>
      <c r="B1314" t="s">
        <v>5</v>
      </c>
      <c r="C1314" t="s">
        <v>93</v>
      </c>
      <c r="D1314" t="s">
        <v>107</v>
      </c>
      <c r="E1314" t="s">
        <v>95</v>
      </c>
      <c r="F1314" t="s">
        <v>9</v>
      </c>
      <c r="G1314" t="s">
        <v>4435</v>
      </c>
      <c r="H1314" s="7">
        <v>725</v>
      </c>
    </row>
    <row r="1315" spans="1:8" x14ac:dyDescent="0.3">
      <c r="A1315">
        <v>6119</v>
      </c>
      <c r="B1315" t="s">
        <v>5</v>
      </c>
      <c r="C1315" t="s">
        <v>2697</v>
      </c>
      <c r="D1315" t="s">
        <v>1547</v>
      </c>
      <c r="E1315" t="s">
        <v>95</v>
      </c>
      <c r="F1315" t="s">
        <v>9</v>
      </c>
      <c r="G1315" t="s">
        <v>3537</v>
      </c>
      <c r="H1315" s="7">
        <v>725</v>
      </c>
    </row>
    <row r="1316" spans="1:8" x14ac:dyDescent="0.3">
      <c r="A1316">
        <v>6123</v>
      </c>
      <c r="B1316" t="s">
        <v>1777</v>
      </c>
      <c r="C1316" t="s">
        <v>93</v>
      </c>
      <c r="D1316" t="s">
        <v>264</v>
      </c>
      <c r="E1316" t="s">
        <v>8</v>
      </c>
      <c r="F1316" t="s">
        <v>77</v>
      </c>
      <c r="G1316" t="s">
        <v>4086</v>
      </c>
      <c r="H1316" s="7">
        <v>17404</v>
      </c>
    </row>
    <row r="1317" spans="1:8" x14ac:dyDescent="0.3">
      <c r="A1317">
        <v>6125</v>
      </c>
      <c r="B1317" t="s">
        <v>5</v>
      </c>
      <c r="C1317" t="s">
        <v>1713</v>
      </c>
      <c r="D1317" t="s">
        <v>2031</v>
      </c>
      <c r="E1317" t="s">
        <v>27</v>
      </c>
      <c r="F1317" t="s">
        <v>9</v>
      </c>
      <c r="G1317" t="s">
        <v>4556</v>
      </c>
      <c r="H1317" s="7">
        <v>725</v>
      </c>
    </row>
    <row r="1318" spans="1:8" x14ac:dyDescent="0.3">
      <c r="A1318">
        <v>6131</v>
      </c>
      <c r="B1318" t="s">
        <v>5</v>
      </c>
      <c r="C1318" t="s">
        <v>93</v>
      </c>
      <c r="D1318" t="s">
        <v>2364</v>
      </c>
      <c r="E1318" t="s">
        <v>95</v>
      </c>
      <c r="F1318" t="s">
        <v>9</v>
      </c>
      <c r="G1318" t="s">
        <v>3177</v>
      </c>
      <c r="H1318" s="7">
        <v>725</v>
      </c>
    </row>
    <row r="1319" spans="1:8" x14ac:dyDescent="0.3">
      <c r="A1319">
        <v>6147</v>
      </c>
      <c r="B1319" t="s">
        <v>5</v>
      </c>
      <c r="C1319" t="s">
        <v>643</v>
      </c>
      <c r="D1319" t="s">
        <v>107</v>
      </c>
      <c r="E1319" t="s">
        <v>8</v>
      </c>
      <c r="F1319" t="s">
        <v>9</v>
      </c>
      <c r="G1319" t="s">
        <v>4126</v>
      </c>
      <c r="H1319" s="7">
        <v>725</v>
      </c>
    </row>
    <row r="1320" spans="1:8" x14ac:dyDescent="0.3">
      <c r="A1320">
        <v>6154</v>
      </c>
      <c r="B1320" t="s">
        <v>1313</v>
      </c>
      <c r="C1320" t="s">
        <v>520</v>
      </c>
      <c r="D1320" t="s">
        <v>2994</v>
      </c>
      <c r="E1320" t="s">
        <v>27</v>
      </c>
      <c r="F1320" t="s">
        <v>448</v>
      </c>
      <c r="G1320" t="s">
        <v>3877</v>
      </c>
      <c r="H1320" s="7">
        <v>33155</v>
      </c>
    </row>
    <row r="1321" spans="1:8" x14ac:dyDescent="0.3">
      <c r="A1321">
        <v>6163</v>
      </c>
      <c r="B1321" t="s">
        <v>18</v>
      </c>
      <c r="C1321" t="s">
        <v>93</v>
      </c>
      <c r="D1321" t="s">
        <v>107</v>
      </c>
      <c r="E1321" t="s">
        <v>95</v>
      </c>
      <c r="F1321" t="s">
        <v>21</v>
      </c>
      <c r="G1321" t="s">
        <v>2704</v>
      </c>
      <c r="H1321" s="7">
        <v>95125</v>
      </c>
    </row>
    <row r="1322" spans="1:8" x14ac:dyDescent="0.3">
      <c r="A1322">
        <v>6167</v>
      </c>
      <c r="B1322" t="s">
        <v>5</v>
      </c>
      <c r="C1322" t="s">
        <v>1299</v>
      </c>
      <c r="D1322" t="s">
        <v>1333</v>
      </c>
      <c r="E1322" t="s">
        <v>8</v>
      </c>
      <c r="F1322" t="s">
        <v>9</v>
      </c>
      <c r="G1322" t="s">
        <v>5081</v>
      </c>
      <c r="H1322" s="7">
        <v>725</v>
      </c>
    </row>
    <row r="1323" spans="1:8" x14ac:dyDescent="0.3">
      <c r="A1323">
        <v>6178</v>
      </c>
      <c r="B1323" t="s">
        <v>40</v>
      </c>
      <c r="C1323" t="s">
        <v>93</v>
      </c>
      <c r="D1323" t="s">
        <v>107</v>
      </c>
      <c r="E1323" t="s">
        <v>27</v>
      </c>
      <c r="F1323" t="s">
        <v>1042</v>
      </c>
      <c r="G1323" t="s">
        <v>2621</v>
      </c>
      <c r="H1323" s="7">
        <v>29720</v>
      </c>
    </row>
    <row r="1324" spans="1:8" x14ac:dyDescent="0.3">
      <c r="A1324">
        <v>6180</v>
      </c>
      <c r="B1324" t="s">
        <v>299</v>
      </c>
      <c r="C1324" t="s">
        <v>93</v>
      </c>
      <c r="D1324" t="s">
        <v>107</v>
      </c>
      <c r="E1324" t="s">
        <v>27</v>
      </c>
      <c r="F1324" t="s">
        <v>114</v>
      </c>
      <c r="G1324" t="s">
        <v>300</v>
      </c>
      <c r="H1324" s="7">
        <v>76180</v>
      </c>
    </row>
    <row r="1325" spans="1:8" x14ac:dyDescent="0.3">
      <c r="A1325">
        <v>6182</v>
      </c>
      <c r="B1325" t="s">
        <v>142</v>
      </c>
      <c r="C1325" t="s">
        <v>1851</v>
      </c>
      <c r="D1325" t="s">
        <v>107</v>
      </c>
      <c r="E1325" t="s">
        <v>27</v>
      </c>
      <c r="F1325" t="s">
        <v>88</v>
      </c>
      <c r="G1325" t="s">
        <v>4051</v>
      </c>
      <c r="H1325" s="7">
        <v>10472</v>
      </c>
    </row>
    <row r="1326" spans="1:8" x14ac:dyDescent="0.3">
      <c r="A1326">
        <v>6186</v>
      </c>
      <c r="B1326" t="s">
        <v>142</v>
      </c>
      <c r="C1326" t="s">
        <v>2053</v>
      </c>
      <c r="D1326" t="s">
        <v>1273</v>
      </c>
      <c r="E1326" t="s">
        <v>27</v>
      </c>
      <c r="F1326" t="s">
        <v>88</v>
      </c>
      <c r="G1326" t="s">
        <v>4878</v>
      </c>
      <c r="H1326" s="7">
        <v>10462</v>
      </c>
    </row>
    <row r="1327" spans="1:8" x14ac:dyDescent="0.3">
      <c r="A1327">
        <v>6187</v>
      </c>
      <c r="B1327" t="s">
        <v>296</v>
      </c>
      <c r="C1327" t="s">
        <v>93</v>
      </c>
      <c r="D1327" t="s">
        <v>297</v>
      </c>
      <c r="E1327" t="s">
        <v>27</v>
      </c>
      <c r="F1327" t="s">
        <v>21</v>
      </c>
      <c r="G1327" t="s">
        <v>298</v>
      </c>
      <c r="H1327" s="7">
        <v>91790</v>
      </c>
    </row>
    <row r="1328" spans="1:8" x14ac:dyDescent="0.3">
      <c r="A1328">
        <v>6189</v>
      </c>
      <c r="B1328" t="s">
        <v>59</v>
      </c>
      <c r="C1328" t="s">
        <v>93</v>
      </c>
      <c r="D1328" t="s">
        <v>107</v>
      </c>
      <c r="E1328" t="s">
        <v>27</v>
      </c>
      <c r="F1328" t="s">
        <v>21</v>
      </c>
      <c r="G1328" t="s">
        <v>3531</v>
      </c>
      <c r="H1328" s="7">
        <v>90804</v>
      </c>
    </row>
    <row r="1329" spans="1:8" x14ac:dyDescent="0.3">
      <c r="A1329">
        <v>6193</v>
      </c>
      <c r="B1329" t="s">
        <v>999</v>
      </c>
      <c r="C1329" t="s">
        <v>93</v>
      </c>
      <c r="D1329" t="s">
        <v>1000</v>
      </c>
      <c r="E1329" t="s">
        <v>8</v>
      </c>
      <c r="F1329" t="s">
        <v>36</v>
      </c>
      <c r="G1329" t="s">
        <v>1001</v>
      </c>
      <c r="H1329" s="7">
        <v>2169</v>
      </c>
    </row>
    <row r="1330" spans="1:8" x14ac:dyDescent="0.3">
      <c r="A1330">
        <v>6200</v>
      </c>
      <c r="B1330" t="s">
        <v>1685</v>
      </c>
      <c r="C1330" t="s">
        <v>2567</v>
      </c>
      <c r="D1330" t="s">
        <v>3381</v>
      </c>
      <c r="E1330" t="s">
        <v>8</v>
      </c>
      <c r="F1330" t="s">
        <v>1195</v>
      </c>
      <c r="G1330" t="s">
        <v>3382</v>
      </c>
      <c r="H1330" s="7">
        <v>98115</v>
      </c>
    </row>
    <row r="1331" spans="1:8" x14ac:dyDescent="0.3">
      <c r="A1331">
        <v>6202</v>
      </c>
      <c r="B1331" t="s">
        <v>1290</v>
      </c>
      <c r="C1331" t="s">
        <v>93</v>
      </c>
      <c r="D1331" t="s">
        <v>1291</v>
      </c>
      <c r="E1331" t="s">
        <v>8</v>
      </c>
      <c r="F1331" t="s">
        <v>88</v>
      </c>
      <c r="G1331" t="s">
        <v>1292</v>
      </c>
      <c r="H1331" s="7">
        <v>14221</v>
      </c>
    </row>
    <row r="1332" spans="1:8" x14ac:dyDescent="0.3">
      <c r="A1332">
        <v>6217</v>
      </c>
      <c r="B1332" t="s">
        <v>846</v>
      </c>
      <c r="C1332" t="s">
        <v>1391</v>
      </c>
      <c r="D1332" t="s">
        <v>1757</v>
      </c>
      <c r="E1332" t="s">
        <v>8</v>
      </c>
      <c r="F1332" t="s">
        <v>77</v>
      </c>
      <c r="G1332" t="s">
        <v>3957</v>
      </c>
      <c r="H1332" s="7">
        <v>19067</v>
      </c>
    </row>
    <row r="1333" spans="1:8" x14ac:dyDescent="0.3">
      <c r="A1333">
        <v>6219</v>
      </c>
      <c r="B1333" t="s">
        <v>5</v>
      </c>
      <c r="C1333" t="s">
        <v>1987</v>
      </c>
      <c r="D1333" t="s">
        <v>54</v>
      </c>
      <c r="E1333" t="s">
        <v>8</v>
      </c>
      <c r="F1333" t="s">
        <v>9</v>
      </c>
      <c r="G1333" t="s">
        <v>464</v>
      </c>
      <c r="H1333" s="7">
        <v>725</v>
      </c>
    </row>
    <row r="1334" spans="1:8" x14ac:dyDescent="0.3">
      <c r="A1334">
        <v>6220</v>
      </c>
      <c r="B1334" t="s">
        <v>1160</v>
      </c>
      <c r="C1334" t="s">
        <v>93</v>
      </c>
      <c r="D1334" t="s">
        <v>107</v>
      </c>
      <c r="E1334" t="s">
        <v>8</v>
      </c>
      <c r="F1334" t="s">
        <v>88</v>
      </c>
      <c r="G1334" t="s">
        <v>1161</v>
      </c>
      <c r="H1334" s="7">
        <v>14850</v>
      </c>
    </row>
    <row r="1335" spans="1:8" x14ac:dyDescent="0.3">
      <c r="A1335">
        <v>6221</v>
      </c>
      <c r="B1335" t="s">
        <v>18</v>
      </c>
      <c r="C1335" t="s">
        <v>564</v>
      </c>
      <c r="D1335" t="s">
        <v>1677</v>
      </c>
      <c r="E1335" t="s">
        <v>27</v>
      </c>
      <c r="F1335" t="s">
        <v>21</v>
      </c>
      <c r="G1335" t="s">
        <v>1678</v>
      </c>
      <c r="H1335" s="7">
        <v>95127</v>
      </c>
    </row>
    <row r="1336" spans="1:8" x14ac:dyDescent="0.3">
      <c r="A1336">
        <v>6223</v>
      </c>
      <c r="B1336" t="s">
        <v>343</v>
      </c>
      <c r="C1336" t="s">
        <v>160</v>
      </c>
      <c r="D1336" t="s">
        <v>193</v>
      </c>
      <c r="E1336" t="s">
        <v>27</v>
      </c>
      <c r="F1336" t="s">
        <v>248</v>
      </c>
      <c r="G1336" t="s">
        <v>3394</v>
      </c>
      <c r="H1336" s="7">
        <v>43230</v>
      </c>
    </row>
    <row r="1337" spans="1:8" x14ac:dyDescent="0.3">
      <c r="A1337">
        <v>6226</v>
      </c>
      <c r="B1337" t="s">
        <v>4092</v>
      </c>
      <c r="C1337" t="s">
        <v>417</v>
      </c>
      <c r="D1337" t="s">
        <v>413</v>
      </c>
      <c r="E1337" t="s">
        <v>27</v>
      </c>
      <c r="F1337" t="s">
        <v>114</v>
      </c>
      <c r="G1337" t="s">
        <v>5645</v>
      </c>
      <c r="H1337" s="7">
        <v>78596</v>
      </c>
    </row>
    <row r="1338" spans="1:8" x14ac:dyDescent="0.3">
      <c r="A1338">
        <v>6227</v>
      </c>
      <c r="B1338" t="s">
        <v>4381</v>
      </c>
      <c r="C1338" t="s">
        <v>1191</v>
      </c>
      <c r="D1338" t="s">
        <v>241</v>
      </c>
      <c r="E1338" t="s">
        <v>27</v>
      </c>
      <c r="F1338" t="s">
        <v>308</v>
      </c>
      <c r="G1338" t="s">
        <v>4411</v>
      </c>
      <c r="H1338" s="7">
        <v>8901</v>
      </c>
    </row>
    <row r="1339" spans="1:8" x14ac:dyDescent="0.3">
      <c r="A1339">
        <v>6229</v>
      </c>
      <c r="B1339" t="s">
        <v>823</v>
      </c>
      <c r="C1339" t="s">
        <v>93</v>
      </c>
      <c r="D1339" t="s">
        <v>107</v>
      </c>
      <c r="E1339" t="s">
        <v>27</v>
      </c>
      <c r="F1339" t="s">
        <v>749</v>
      </c>
      <c r="G1339" t="s">
        <v>2520</v>
      </c>
      <c r="H1339" s="7">
        <v>47374</v>
      </c>
    </row>
    <row r="1340" spans="1:8" x14ac:dyDescent="0.3">
      <c r="A1340">
        <v>6230</v>
      </c>
      <c r="B1340" t="s">
        <v>5</v>
      </c>
      <c r="C1340" t="s">
        <v>1026</v>
      </c>
      <c r="D1340" t="s">
        <v>365</v>
      </c>
      <c r="E1340" t="s">
        <v>27</v>
      </c>
      <c r="F1340" t="s">
        <v>9</v>
      </c>
      <c r="G1340" t="s">
        <v>4009</v>
      </c>
      <c r="H1340" s="7">
        <v>725</v>
      </c>
    </row>
    <row r="1341" spans="1:8" x14ac:dyDescent="0.3">
      <c r="A1341">
        <v>6239</v>
      </c>
      <c r="B1341" t="s">
        <v>2040</v>
      </c>
      <c r="C1341" t="s">
        <v>755</v>
      </c>
      <c r="D1341" t="s">
        <v>2041</v>
      </c>
      <c r="E1341" t="s">
        <v>27</v>
      </c>
      <c r="F1341" t="s">
        <v>9</v>
      </c>
      <c r="G1341" t="s">
        <v>2042</v>
      </c>
      <c r="H1341" s="7">
        <v>795</v>
      </c>
    </row>
    <row r="1342" spans="1:8" x14ac:dyDescent="0.3">
      <c r="A1342">
        <v>6242</v>
      </c>
      <c r="B1342" t="s">
        <v>5</v>
      </c>
      <c r="C1342" t="s">
        <v>1191</v>
      </c>
      <c r="D1342" t="s">
        <v>107</v>
      </c>
      <c r="E1342" t="s">
        <v>27</v>
      </c>
      <c r="F1342" t="s">
        <v>9</v>
      </c>
      <c r="G1342" t="s">
        <v>2972</v>
      </c>
      <c r="H1342" s="7">
        <v>725</v>
      </c>
    </row>
    <row r="1343" spans="1:8" x14ac:dyDescent="0.3">
      <c r="A1343">
        <v>6244</v>
      </c>
      <c r="B1343" t="s">
        <v>970</v>
      </c>
      <c r="C1343" t="s">
        <v>93</v>
      </c>
      <c r="D1343" t="s">
        <v>107</v>
      </c>
      <c r="E1343" t="s">
        <v>95</v>
      </c>
      <c r="F1343" t="s">
        <v>448</v>
      </c>
      <c r="G1343" t="s">
        <v>2764</v>
      </c>
      <c r="H1343" s="7">
        <v>32822</v>
      </c>
    </row>
    <row r="1344" spans="1:8" x14ac:dyDescent="0.3">
      <c r="A1344">
        <v>6251</v>
      </c>
      <c r="B1344" t="s">
        <v>3406</v>
      </c>
      <c r="C1344" t="s">
        <v>93</v>
      </c>
      <c r="D1344" t="s">
        <v>3349</v>
      </c>
      <c r="E1344" t="s">
        <v>8</v>
      </c>
      <c r="F1344" t="s">
        <v>21</v>
      </c>
      <c r="G1344" t="s">
        <v>2334</v>
      </c>
      <c r="H1344" s="7">
        <v>93638</v>
      </c>
    </row>
    <row r="1345" spans="1:8" x14ac:dyDescent="0.3">
      <c r="A1345">
        <v>6255</v>
      </c>
      <c r="B1345" t="s">
        <v>5</v>
      </c>
      <c r="C1345" t="s">
        <v>1767</v>
      </c>
      <c r="D1345" t="s">
        <v>107</v>
      </c>
      <c r="E1345" t="s">
        <v>8</v>
      </c>
      <c r="F1345" t="s">
        <v>9</v>
      </c>
      <c r="G1345" t="s">
        <v>4258</v>
      </c>
      <c r="H1345" s="7">
        <v>725</v>
      </c>
    </row>
    <row r="1346" spans="1:8" x14ac:dyDescent="0.3">
      <c r="A1346">
        <v>6260</v>
      </c>
      <c r="B1346" t="s">
        <v>5</v>
      </c>
      <c r="C1346" t="s">
        <v>93</v>
      </c>
      <c r="D1346" t="s">
        <v>1183</v>
      </c>
      <c r="E1346" t="s">
        <v>27</v>
      </c>
      <c r="F1346" t="s">
        <v>9</v>
      </c>
      <c r="G1346" t="s">
        <v>4850</v>
      </c>
      <c r="H1346" s="7">
        <v>725</v>
      </c>
    </row>
    <row r="1347" spans="1:8" x14ac:dyDescent="0.3">
      <c r="A1347">
        <v>6268</v>
      </c>
      <c r="B1347" t="s">
        <v>5</v>
      </c>
      <c r="C1347" t="s">
        <v>93</v>
      </c>
      <c r="D1347" t="s">
        <v>237</v>
      </c>
      <c r="E1347" t="s">
        <v>95</v>
      </c>
      <c r="F1347" t="s">
        <v>9</v>
      </c>
      <c r="G1347" t="s">
        <v>4224</v>
      </c>
      <c r="H1347" s="7">
        <v>725</v>
      </c>
    </row>
    <row r="1348" spans="1:8" x14ac:dyDescent="0.3">
      <c r="A1348">
        <v>6273</v>
      </c>
      <c r="B1348" t="s">
        <v>5</v>
      </c>
      <c r="C1348" t="s">
        <v>1039</v>
      </c>
      <c r="D1348" t="s">
        <v>107</v>
      </c>
      <c r="E1348" t="s">
        <v>27</v>
      </c>
      <c r="F1348" t="s">
        <v>9</v>
      </c>
      <c r="G1348" t="s">
        <v>4897</v>
      </c>
      <c r="H1348" s="7">
        <v>725</v>
      </c>
    </row>
    <row r="1349" spans="1:8" x14ac:dyDescent="0.3">
      <c r="A1349">
        <v>6280</v>
      </c>
      <c r="B1349" t="s">
        <v>5</v>
      </c>
      <c r="C1349" t="s">
        <v>93</v>
      </c>
      <c r="D1349" t="s">
        <v>639</v>
      </c>
      <c r="E1349" t="s">
        <v>95</v>
      </c>
      <c r="F1349" t="s">
        <v>9</v>
      </c>
      <c r="G1349" t="s">
        <v>4227</v>
      </c>
      <c r="H1349" s="7">
        <v>725</v>
      </c>
    </row>
    <row r="1350" spans="1:8" x14ac:dyDescent="0.3">
      <c r="A1350">
        <v>6284</v>
      </c>
      <c r="B1350" t="s">
        <v>5</v>
      </c>
      <c r="C1350" t="s">
        <v>93</v>
      </c>
      <c r="D1350" t="s">
        <v>107</v>
      </c>
      <c r="E1350" t="s">
        <v>8</v>
      </c>
      <c r="F1350" t="s">
        <v>9</v>
      </c>
      <c r="G1350" t="s">
        <v>3268</v>
      </c>
      <c r="H1350" s="7">
        <v>725</v>
      </c>
    </row>
    <row r="1351" spans="1:8" x14ac:dyDescent="0.3">
      <c r="A1351">
        <v>6285</v>
      </c>
      <c r="B1351" t="s">
        <v>495</v>
      </c>
      <c r="C1351" t="s">
        <v>93</v>
      </c>
      <c r="D1351" t="s">
        <v>1264</v>
      </c>
      <c r="E1351" t="s">
        <v>8</v>
      </c>
      <c r="F1351" t="s">
        <v>88</v>
      </c>
      <c r="G1351" t="s">
        <v>2103</v>
      </c>
      <c r="H1351" s="7">
        <v>11201</v>
      </c>
    </row>
    <row r="1352" spans="1:8" x14ac:dyDescent="0.3">
      <c r="A1352">
        <v>6286</v>
      </c>
      <c r="B1352" t="s">
        <v>5</v>
      </c>
      <c r="C1352" t="s">
        <v>2053</v>
      </c>
      <c r="D1352" t="s">
        <v>3975</v>
      </c>
      <c r="E1352" t="s">
        <v>8</v>
      </c>
      <c r="F1352" t="s">
        <v>9</v>
      </c>
      <c r="G1352" t="s">
        <v>3384</v>
      </c>
      <c r="H1352" s="7">
        <v>725</v>
      </c>
    </row>
    <row r="1353" spans="1:8" x14ac:dyDescent="0.3">
      <c r="A1353">
        <v>6288</v>
      </c>
      <c r="B1353" t="s">
        <v>1899</v>
      </c>
      <c r="C1353" t="s">
        <v>971</v>
      </c>
      <c r="D1353" t="s">
        <v>1304</v>
      </c>
      <c r="E1353" t="s">
        <v>8</v>
      </c>
      <c r="F1353" t="s">
        <v>381</v>
      </c>
      <c r="G1353" t="s">
        <v>4683</v>
      </c>
      <c r="H1353" s="7">
        <v>48221</v>
      </c>
    </row>
    <row r="1354" spans="1:8" x14ac:dyDescent="0.3">
      <c r="A1354">
        <v>6294</v>
      </c>
      <c r="B1354" t="s">
        <v>5</v>
      </c>
      <c r="C1354" t="s">
        <v>597</v>
      </c>
      <c r="D1354" t="s">
        <v>107</v>
      </c>
      <c r="E1354" t="s">
        <v>8</v>
      </c>
      <c r="F1354" t="s">
        <v>9</v>
      </c>
      <c r="G1354" t="s">
        <v>3144</v>
      </c>
      <c r="H1354" s="7">
        <v>725</v>
      </c>
    </row>
    <row r="1355" spans="1:8" x14ac:dyDescent="0.3">
      <c r="A1355">
        <v>6295</v>
      </c>
      <c r="B1355" t="s">
        <v>495</v>
      </c>
      <c r="C1355" t="s">
        <v>727</v>
      </c>
      <c r="D1355" t="s">
        <v>964</v>
      </c>
      <c r="E1355" t="s">
        <v>8</v>
      </c>
      <c r="F1355" t="s">
        <v>88</v>
      </c>
      <c r="G1355" t="s">
        <v>965</v>
      </c>
      <c r="H1355" s="7">
        <v>11207</v>
      </c>
    </row>
    <row r="1356" spans="1:8" x14ac:dyDescent="0.3">
      <c r="A1356">
        <v>6296</v>
      </c>
      <c r="B1356" t="s">
        <v>1833</v>
      </c>
      <c r="C1356" t="s">
        <v>93</v>
      </c>
      <c r="D1356" t="s">
        <v>107</v>
      </c>
      <c r="E1356" t="s">
        <v>8</v>
      </c>
      <c r="F1356" t="s">
        <v>21</v>
      </c>
      <c r="G1356" t="s">
        <v>4963</v>
      </c>
      <c r="H1356" s="7">
        <v>93306</v>
      </c>
    </row>
    <row r="1357" spans="1:8" x14ac:dyDescent="0.3">
      <c r="A1357">
        <v>6297</v>
      </c>
      <c r="B1357" t="s">
        <v>5</v>
      </c>
      <c r="C1357" t="s">
        <v>711</v>
      </c>
      <c r="D1357" t="s">
        <v>2591</v>
      </c>
      <c r="E1357" t="s">
        <v>8</v>
      </c>
      <c r="F1357" t="s">
        <v>9</v>
      </c>
      <c r="G1357" t="s">
        <v>3149</v>
      </c>
      <c r="H1357" s="7">
        <v>725</v>
      </c>
    </row>
    <row r="1358" spans="1:8" x14ac:dyDescent="0.3">
      <c r="A1358">
        <v>6299</v>
      </c>
      <c r="B1358" t="s">
        <v>2627</v>
      </c>
      <c r="C1358" t="s">
        <v>491</v>
      </c>
      <c r="D1358" t="s">
        <v>1812</v>
      </c>
      <c r="E1358" t="s">
        <v>27</v>
      </c>
      <c r="F1358" t="s">
        <v>21</v>
      </c>
      <c r="G1358" t="s">
        <v>4726</v>
      </c>
      <c r="H1358" s="7">
        <v>91767</v>
      </c>
    </row>
    <row r="1359" spans="1:8" x14ac:dyDescent="0.3">
      <c r="A1359">
        <v>6302</v>
      </c>
      <c r="B1359" t="s">
        <v>5</v>
      </c>
      <c r="C1359" t="s">
        <v>616</v>
      </c>
      <c r="D1359" t="s">
        <v>942</v>
      </c>
      <c r="E1359" t="s">
        <v>27</v>
      </c>
      <c r="F1359" t="s">
        <v>9</v>
      </c>
      <c r="G1359" t="s">
        <v>943</v>
      </c>
      <c r="H1359" s="7">
        <v>725</v>
      </c>
    </row>
    <row r="1360" spans="1:8" x14ac:dyDescent="0.3">
      <c r="A1360">
        <v>6303</v>
      </c>
      <c r="B1360" t="s">
        <v>626</v>
      </c>
      <c r="C1360" t="s">
        <v>93</v>
      </c>
      <c r="D1360" t="s">
        <v>107</v>
      </c>
      <c r="E1360" t="s">
        <v>27</v>
      </c>
      <c r="F1360" t="s">
        <v>55</v>
      </c>
      <c r="G1360" t="s">
        <v>627</v>
      </c>
      <c r="H1360" s="7">
        <v>60120</v>
      </c>
    </row>
    <row r="1361" spans="1:8" x14ac:dyDescent="0.3">
      <c r="A1361">
        <v>6308</v>
      </c>
      <c r="B1361" t="s">
        <v>1036</v>
      </c>
      <c r="C1361" t="s">
        <v>93</v>
      </c>
      <c r="D1361" t="s">
        <v>1037</v>
      </c>
      <c r="E1361" t="s">
        <v>8</v>
      </c>
      <c r="F1361" t="s">
        <v>21</v>
      </c>
      <c r="G1361" t="s">
        <v>1038</v>
      </c>
      <c r="H1361" s="7">
        <v>92647</v>
      </c>
    </row>
    <row r="1362" spans="1:8" x14ac:dyDescent="0.3">
      <c r="A1362">
        <v>6314</v>
      </c>
      <c r="B1362" t="s">
        <v>600</v>
      </c>
      <c r="C1362" t="s">
        <v>437</v>
      </c>
      <c r="D1362" t="s">
        <v>1291</v>
      </c>
      <c r="E1362" t="s">
        <v>95</v>
      </c>
      <c r="F1362" t="s">
        <v>9</v>
      </c>
      <c r="G1362" t="s">
        <v>5395</v>
      </c>
      <c r="H1362" s="7">
        <v>693</v>
      </c>
    </row>
    <row r="1363" spans="1:8" x14ac:dyDescent="0.3">
      <c r="A1363">
        <v>6316</v>
      </c>
      <c r="B1363" t="s">
        <v>5</v>
      </c>
      <c r="C1363" t="s">
        <v>889</v>
      </c>
      <c r="D1363" t="s">
        <v>107</v>
      </c>
      <c r="E1363" t="s">
        <v>95</v>
      </c>
      <c r="F1363" t="s">
        <v>9</v>
      </c>
      <c r="G1363" t="s">
        <v>3585</v>
      </c>
      <c r="H1363" s="7">
        <v>725</v>
      </c>
    </row>
    <row r="1364" spans="1:8" x14ac:dyDescent="0.3">
      <c r="A1364">
        <v>6325</v>
      </c>
      <c r="B1364" t="s">
        <v>4421</v>
      </c>
      <c r="C1364" t="s">
        <v>1294</v>
      </c>
      <c r="D1364" t="s">
        <v>107</v>
      </c>
      <c r="E1364" t="s">
        <v>8</v>
      </c>
      <c r="F1364" t="s">
        <v>248</v>
      </c>
      <c r="G1364" t="s">
        <v>3865</v>
      </c>
      <c r="H1364" s="7">
        <v>43701</v>
      </c>
    </row>
    <row r="1365" spans="1:8" x14ac:dyDescent="0.3">
      <c r="A1365">
        <v>6330</v>
      </c>
      <c r="B1365" t="s">
        <v>2993</v>
      </c>
      <c r="C1365" t="s">
        <v>93</v>
      </c>
      <c r="D1365" t="s">
        <v>2994</v>
      </c>
      <c r="E1365" t="s">
        <v>8</v>
      </c>
      <c r="F1365" t="s">
        <v>242</v>
      </c>
      <c r="G1365" t="s">
        <v>2995</v>
      </c>
      <c r="H1365" s="7">
        <v>21122</v>
      </c>
    </row>
    <row r="1366" spans="1:8" x14ac:dyDescent="0.3">
      <c r="A1366">
        <v>6332</v>
      </c>
      <c r="B1366" t="s">
        <v>296</v>
      </c>
      <c r="C1366" t="s">
        <v>93</v>
      </c>
      <c r="D1366" t="s">
        <v>3797</v>
      </c>
      <c r="E1366" t="s">
        <v>8</v>
      </c>
      <c r="F1366" t="s">
        <v>21</v>
      </c>
      <c r="G1366" t="s">
        <v>5494</v>
      </c>
      <c r="H1366" s="7">
        <v>91790</v>
      </c>
    </row>
    <row r="1367" spans="1:8" x14ac:dyDescent="0.3">
      <c r="A1367">
        <v>6337</v>
      </c>
      <c r="B1367" t="s">
        <v>957</v>
      </c>
      <c r="C1367" t="s">
        <v>93</v>
      </c>
      <c r="D1367" t="s">
        <v>107</v>
      </c>
      <c r="E1367" t="s">
        <v>8</v>
      </c>
      <c r="F1367" t="s">
        <v>1145</v>
      </c>
      <c r="G1367" t="s">
        <v>4956</v>
      </c>
      <c r="H1367" s="7">
        <v>53704</v>
      </c>
    </row>
    <row r="1368" spans="1:8" x14ac:dyDescent="0.3">
      <c r="A1368">
        <v>6345</v>
      </c>
      <c r="B1368" t="s">
        <v>593</v>
      </c>
      <c r="C1368" t="s">
        <v>1191</v>
      </c>
      <c r="D1368" t="s">
        <v>825</v>
      </c>
      <c r="E1368" t="s">
        <v>27</v>
      </c>
      <c r="F1368" t="s">
        <v>9</v>
      </c>
      <c r="G1368" t="s">
        <v>2027</v>
      </c>
      <c r="H1368" s="7">
        <v>745</v>
      </c>
    </row>
    <row r="1369" spans="1:8" x14ac:dyDescent="0.3">
      <c r="A1369">
        <v>6348</v>
      </c>
      <c r="B1369" t="s">
        <v>5</v>
      </c>
      <c r="C1369" t="s">
        <v>93</v>
      </c>
      <c r="D1369" t="s">
        <v>1720</v>
      </c>
      <c r="E1369" t="s">
        <v>95</v>
      </c>
      <c r="F1369" t="s">
        <v>9</v>
      </c>
      <c r="G1369" t="s">
        <v>1721</v>
      </c>
      <c r="H1369" s="7">
        <v>725</v>
      </c>
    </row>
    <row r="1370" spans="1:8" x14ac:dyDescent="0.3">
      <c r="A1370">
        <v>6350</v>
      </c>
      <c r="B1370" t="s">
        <v>5</v>
      </c>
      <c r="C1370" t="s">
        <v>93</v>
      </c>
      <c r="D1370" t="s">
        <v>574</v>
      </c>
      <c r="E1370" t="s">
        <v>95</v>
      </c>
      <c r="F1370" t="s">
        <v>9</v>
      </c>
      <c r="G1370" t="s">
        <v>3520</v>
      </c>
      <c r="H1370" s="7">
        <v>725</v>
      </c>
    </row>
    <row r="1371" spans="1:8" x14ac:dyDescent="0.3">
      <c r="A1371">
        <v>6358</v>
      </c>
      <c r="B1371" t="s">
        <v>5</v>
      </c>
      <c r="C1371" t="s">
        <v>93</v>
      </c>
      <c r="D1371" t="s">
        <v>2666</v>
      </c>
      <c r="E1371" t="s">
        <v>95</v>
      </c>
      <c r="F1371" t="s">
        <v>9</v>
      </c>
      <c r="G1371" t="s">
        <v>2667</v>
      </c>
      <c r="H1371" s="7">
        <v>725</v>
      </c>
    </row>
    <row r="1372" spans="1:8" x14ac:dyDescent="0.3">
      <c r="A1372">
        <v>6359</v>
      </c>
      <c r="B1372" t="s">
        <v>2270</v>
      </c>
      <c r="C1372" t="s">
        <v>3126</v>
      </c>
      <c r="D1372" t="s">
        <v>107</v>
      </c>
      <c r="E1372" t="s">
        <v>95</v>
      </c>
      <c r="F1372" t="s">
        <v>55</v>
      </c>
      <c r="G1372" t="s">
        <v>3127</v>
      </c>
      <c r="H1372" s="7">
        <v>60188</v>
      </c>
    </row>
    <row r="1373" spans="1:8" x14ac:dyDescent="0.3">
      <c r="A1373">
        <v>6364</v>
      </c>
      <c r="B1373" t="s">
        <v>851</v>
      </c>
      <c r="C1373" t="s">
        <v>841</v>
      </c>
      <c r="D1373" t="s">
        <v>852</v>
      </c>
      <c r="E1373" t="s">
        <v>8</v>
      </c>
      <c r="F1373" t="s">
        <v>21</v>
      </c>
      <c r="G1373" t="s">
        <v>853</v>
      </c>
      <c r="H1373" s="7">
        <v>92410</v>
      </c>
    </row>
    <row r="1374" spans="1:8" x14ac:dyDescent="0.3">
      <c r="A1374">
        <v>6365</v>
      </c>
      <c r="B1374" t="s">
        <v>5</v>
      </c>
      <c r="C1374" t="s">
        <v>93</v>
      </c>
      <c r="D1374" t="s">
        <v>107</v>
      </c>
      <c r="E1374" t="s">
        <v>8</v>
      </c>
      <c r="F1374" t="s">
        <v>9</v>
      </c>
      <c r="G1374" t="s">
        <v>899</v>
      </c>
      <c r="H1374" s="7">
        <v>725</v>
      </c>
    </row>
    <row r="1375" spans="1:8" x14ac:dyDescent="0.3">
      <c r="A1375">
        <v>6371</v>
      </c>
      <c r="B1375" t="s">
        <v>5</v>
      </c>
      <c r="C1375" t="s">
        <v>93</v>
      </c>
      <c r="D1375" t="s">
        <v>3195</v>
      </c>
      <c r="E1375" t="s">
        <v>95</v>
      </c>
      <c r="F1375" t="s">
        <v>9</v>
      </c>
      <c r="G1375" t="s">
        <v>5407</v>
      </c>
      <c r="H1375" s="7">
        <v>725</v>
      </c>
    </row>
    <row r="1376" spans="1:8" x14ac:dyDescent="0.3">
      <c r="A1376">
        <v>6372</v>
      </c>
      <c r="B1376" t="s">
        <v>1698</v>
      </c>
      <c r="C1376" t="s">
        <v>366</v>
      </c>
      <c r="D1376" t="s">
        <v>107</v>
      </c>
      <c r="E1376" t="s">
        <v>8</v>
      </c>
      <c r="F1376" t="s">
        <v>88</v>
      </c>
      <c r="G1376" t="s">
        <v>3223</v>
      </c>
      <c r="H1376" s="7">
        <v>11377</v>
      </c>
    </row>
    <row r="1377" spans="1:8" x14ac:dyDescent="0.3">
      <c r="A1377">
        <v>6373</v>
      </c>
      <c r="B1377" t="s">
        <v>4413</v>
      </c>
      <c r="C1377" t="s">
        <v>93</v>
      </c>
      <c r="D1377" t="s">
        <v>403</v>
      </c>
      <c r="E1377" t="s">
        <v>27</v>
      </c>
      <c r="F1377" t="s">
        <v>1514</v>
      </c>
      <c r="G1377" t="s">
        <v>5132</v>
      </c>
      <c r="H1377" s="7">
        <v>40601</v>
      </c>
    </row>
    <row r="1378" spans="1:8" x14ac:dyDescent="0.3">
      <c r="A1378">
        <v>6378</v>
      </c>
      <c r="B1378" t="s">
        <v>723</v>
      </c>
      <c r="C1378" t="s">
        <v>1039</v>
      </c>
      <c r="D1378" t="s">
        <v>2345</v>
      </c>
      <c r="E1378" t="s">
        <v>95</v>
      </c>
      <c r="F1378" t="s">
        <v>55</v>
      </c>
      <c r="G1378" t="s">
        <v>3776</v>
      </c>
      <c r="H1378" s="7">
        <v>60506</v>
      </c>
    </row>
    <row r="1379" spans="1:8" x14ac:dyDescent="0.3">
      <c r="A1379">
        <v>6387</v>
      </c>
      <c r="B1379" t="s">
        <v>638</v>
      </c>
      <c r="C1379" t="s">
        <v>417</v>
      </c>
      <c r="D1379" t="s">
        <v>2670</v>
      </c>
      <c r="E1379" t="s">
        <v>8</v>
      </c>
      <c r="F1379" t="s">
        <v>114</v>
      </c>
      <c r="G1379" t="s">
        <v>4886</v>
      </c>
      <c r="H1379" s="7">
        <v>78586</v>
      </c>
    </row>
    <row r="1380" spans="1:8" x14ac:dyDescent="0.3">
      <c r="A1380">
        <v>6388</v>
      </c>
      <c r="B1380" t="s">
        <v>5</v>
      </c>
      <c r="C1380" t="s">
        <v>1788</v>
      </c>
      <c r="D1380" t="s">
        <v>107</v>
      </c>
      <c r="E1380" t="s">
        <v>8</v>
      </c>
      <c r="F1380" t="s">
        <v>9</v>
      </c>
      <c r="G1380" t="s">
        <v>4277</v>
      </c>
      <c r="H1380" s="7">
        <v>725</v>
      </c>
    </row>
    <row r="1381" spans="1:8" x14ac:dyDescent="0.3">
      <c r="A1381">
        <v>6391</v>
      </c>
      <c r="B1381" t="s">
        <v>4678</v>
      </c>
      <c r="C1381" t="s">
        <v>93</v>
      </c>
      <c r="D1381" t="s">
        <v>107</v>
      </c>
      <c r="E1381" t="s">
        <v>8</v>
      </c>
      <c r="F1381" t="s">
        <v>88</v>
      </c>
      <c r="G1381" t="s">
        <v>5235</v>
      </c>
      <c r="H1381" s="7">
        <v>11372</v>
      </c>
    </row>
    <row r="1382" spans="1:8" x14ac:dyDescent="0.3">
      <c r="A1382">
        <v>6401</v>
      </c>
      <c r="B1382" t="s">
        <v>5</v>
      </c>
      <c r="C1382" t="s">
        <v>67</v>
      </c>
      <c r="D1382" t="s">
        <v>107</v>
      </c>
      <c r="E1382" t="s">
        <v>8</v>
      </c>
      <c r="F1382" t="s">
        <v>9</v>
      </c>
      <c r="G1382" t="s">
        <v>5564</v>
      </c>
      <c r="H1382" s="7">
        <v>725</v>
      </c>
    </row>
    <row r="1383" spans="1:8" x14ac:dyDescent="0.3">
      <c r="A1383">
        <v>6404</v>
      </c>
      <c r="B1383" t="s">
        <v>1508</v>
      </c>
      <c r="C1383" t="s">
        <v>745</v>
      </c>
      <c r="D1383" t="s">
        <v>107</v>
      </c>
      <c r="E1383" t="s">
        <v>95</v>
      </c>
      <c r="F1383" t="s">
        <v>21</v>
      </c>
      <c r="G1383" t="s">
        <v>3429</v>
      </c>
      <c r="H1383" s="7">
        <v>90620</v>
      </c>
    </row>
    <row r="1384" spans="1:8" x14ac:dyDescent="0.3">
      <c r="A1384">
        <v>6418</v>
      </c>
      <c r="B1384" t="s">
        <v>5</v>
      </c>
      <c r="C1384" t="s">
        <v>1710</v>
      </c>
      <c r="D1384" t="s">
        <v>3156</v>
      </c>
      <c r="E1384" t="s">
        <v>8</v>
      </c>
      <c r="F1384" t="s">
        <v>9</v>
      </c>
      <c r="G1384" t="s">
        <v>5303</v>
      </c>
      <c r="H1384" s="7">
        <v>725</v>
      </c>
    </row>
    <row r="1385" spans="1:8" x14ac:dyDescent="0.3">
      <c r="A1385">
        <v>6426</v>
      </c>
      <c r="B1385" t="s">
        <v>5</v>
      </c>
      <c r="C1385" t="s">
        <v>93</v>
      </c>
      <c r="D1385" t="s">
        <v>4251</v>
      </c>
      <c r="E1385" t="s">
        <v>95</v>
      </c>
      <c r="F1385" t="s">
        <v>9</v>
      </c>
      <c r="G1385" t="s">
        <v>1222</v>
      </c>
      <c r="H1385" s="7">
        <v>725</v>
      </c>
    </row>
    <row r="1386" spans="1:8" x14ac:dyDescent="0.3">
      <c r="A1386">
        <v>6430</v>
      </c>
      <c r="B1386" t="s">
        <v>5</v>
      </c>
      <c r="C1386" t="s">
        <v>93</v>
      </c>
      <c r="D1386" t="s">
        <v>1351</v>
      </c>
      <c r="E1386" t="s">
        <v>8</v>
      </c>
      <c r="F1386" t="s">
        <v>9</v>
      </c>
      <c r="G1386" t="s">
        <v>1352</v>
      </c>
      <c r="H1386" s="7">
        <v>725</v>
      </c>
    </row>
    <row r="1387" spans="1:8" x14ac:dyDescent="0.3">
      <c r="A1387">
        <v>6448</v>
      </c>
      <c r="B1387" t="s">
        <v>5</v>
      </c>
      <c r="C1387" t="s">
        <v>93</v>
      </c>
      <c r="D1387" t="s">
        <v>1166</v>
      </c>
      <c r="E1387" t="s">
        <v>27</v>
      </c>
      <c r="F1387" t="s">
        <v>9</v>
      </c>
      <c r="G1387" t="s">
        <v>2932</v>
      </c>
      <c r="H1387" s="7">
        <v>725</v>
      </c>
    </row>
    <row r="1388" spans="1:8" x14ac:dyDescent="0.3">
      <c r="A1388">
        <v>6450</v>
      </c>
      <c r="B1388" t="s">
        <v>1123</v>
      </c>
      <c r="C1388" t="s">
        <v>93</v>
      </c>
      <c r="D1388" t="s">
        <v>107</v>
      </c>
      <c r="E1388" t="s">
        <v>8</v>
      </c>
      <c r="F1388" t="s">
        <v>21</v>
      </c>
      <c r="G1388" t="s">
        <v>1124</v>
      </c>
      <c r="H1388" s="7">
        <v>93727</v>
      </c>
    </row>
    <row r="1389" spans="1:8" x14ac:dyDescent="0.3">
      <c r="A1389">
        <v>6464</v>
      </c>
      <c r="B1389" t="s">
        <v>5</v>
      </c>
      <c r="C1389" t="s">
        <v>719</v>
      </c>
      <c r="D1389" t="s">
        <v>2461</v>
      </c>
      <c r="E1389" t="s">
        <v>8</v>
      </c>
      <c r="F1389" t="s">
        <v>9</v>
      </c>
      <c r="G1389" t="s">
        <v>2462</v>
      </c>
      <c r="H1389" s="7">
        <v>725</v>
      </c>
    </row>
    <row r="1390" spans="1:8" x14ac:dyDescent="0.3">
      <c r="A1390">
        <v>6466</v>
      </c>
      <c r="B1390" t="s">
        <v>5</v>
      </c>
      <c r="C1390" t="s">
        <v>1241</v>
      </c>
      <c r="D1390" t="s">
        <v>3084</v>
      </c>
      <c r="E1390" t="s">
        <v>8</v>
      </c>
      <c r="F1390" t="s">
        <v>9</v>
      </c>
      <c r="G1390" t="s">
        <v>3323</v>
      </c>
      <c r="H1390" s="7">
        <v>725</v>
      </c>
    </row>
    <row r="1391" spans="1:8" x14ac:dyDescent="0.3">
      <c r="A1391">
        <v>6471</v>
      </c>
      <c r="B1391" t="s">
        <v>5</v>
      </c>
      <c r="C1391" t="s">
        <v>93</v>
      </c>
      <c r="D1391" t="s">
        <v>639</v>
      </c>
      <c r="E1391" t="s">
        <v>8</v>
      </c>
      <c r="F1391" t="s">
        <v>9</v>
      </c>
      <c r="G1391" t="s">
        <v>3353</v>
      </c>
      <c r="H1391" s="7">
        <v>725</v>
      </c>
    </row>
    <row r="1392" spans="1:8" x14ac:dyDescent="0.3">
      <c r="A1392">
        <v>6473</v>
      </c>
      <c r="B1392" t="s">
        <v>59</v>
      </c>
      <c r="C1392" t="s">
        <v>93</v>
      </c>
      <c r="D1392" t="s">
        <v>1946</v>
      </c>
      <c r="E1392" t="s">
        <v>8</v>
      </c>
      <c r="F1392" t="s">
        <v>21</v>
      </c>
      <c r="G1392" t="s">
        <v>4066</v>
      </c>
      <c r="H1392" s="7">
        <v>90806</v>
      </c>
    </row>
    <row r="1393" spans="1:8" x14ac:dyDescent="0.3">
      <c r="A1393">
        <v>6474</v>
      </c>
      <c r="B1393" t="s">
        <v>5</v>
      </c>
      <c r="C1393" t="s">
        <v>957</v>
      </c>
      <c r="D1393" t="s">
        <v>107</v>
      </c>
      <c r="E1393" t="s">
        <v>27</v>
      </c>
      <c r="F1393" t="s">
        <v>9</v>
      </c>
      <c r="G1393" t="s">
        <v>3317</v>
      </c>
      <c r="H1393" s="7">
        <v>725</v>
      </c>
    </row>
    <row r="1394" spans="1:8" x14ac:dyDescent="0.3">
      <c r="A1394">
        <v>6476</v>
      </c>
      <c r="B1394" t="s">
        <v>733</v>
      </c>
      <c r="C1394" t="s">
        <v>734</v>
      </c>
      <c r="D1394" t="s">
        <v>107</v>
      </c>
      <c r="E1394" t="s">
        <v>8</v>
      </c>
      <c r="F1394" t="s">
        <v>735</v>
      </c>
      <c r="G1394" t="s">
        <v>736</v>
      </c>
      <c r="H1394" s="7">
        <v>20002</v>
      </c>
    </row>
    <row r="1395" spans="1:8" x14ac:dyDescent="0.3">
      <c r="A1395">
        <v>6490</v>
      </c>
      <c r="B1395" t="s">
        <v>661</v>
      </c>
      <c r="C1395" t="s">
        <v>1642</v>
      </c>
      <c r="D1395" t="s">
        <v>107</v>
      </c>
      <c r="E1395" t="s">
        <v>95</v>
      </c>
      <c r="F1395" t="s">
        <v>153</v>
      </c>
      <c r="G1395" t="s">
        <v>4798</v>
      </c>
      <c r="H1395" s="7">
        <v>84084</v>
      </c>
    </row>
    <row r="1396" spans="1:8" x14ac:dyDescent="0.3">
      <c r="A1396">
        <v>6491</v>
      </c>
      <c r="B1396" t="s">
        <v>5</v>
      </c>
      <c r="C1396" t="s">
        <v>1468</v>
      </c>
      <c r="D1396" t="s">
        <v>2757</v>
      </c>
      <c r="E1396" t="s">
        <v>95</v>
      </c>
      <c r="F1396" t="s">
        <v>9</v>
      </c>
      <c r="G1396" t="s">
        <v>3513</v>
      </c>
      <c r="H1396" s="7">
        <v>725</v>
      </c>
    </row>
    <row r="1397" spans="1:8" x14ac:dyDescent="0.3">
      <c r="A1397">
        <v>6501</v>
      </c>
      <c r="B1397" t="s">
        <v>840</v>
      </c>
      <c r="C1397" t="s">
        <v>93</v>
      </c>
      <c r="D1397" t="s">
        <v>107</v>
      </c>
      <c r="E1397" t="s">
        <v>8</v>
      </c>
      <c r="F1397" t="s">
        <v>248</v>
      </c>
      <c r="G1397" t="s">
        <v>2157</v>
      </c>
      <c r="H1397" s="7">
        <v>45014</v>
      </c>
    </row>
    <row r="1398" spans="1:8" x14ac:dyDescent="0.3">
      <c r="A1398">
        <v>6503</v>
      </c>
      <c r="B1398" t="s">
        <v>250</v>
      </c>
      <c r="C1398" t="s">
        <v>1186</v>
      </c>
      <c r="D1398" t="s">
        <v>107</v>
      </c>
      <c r="E1398" t="s">
        <v>27</v>
      </c>
      <c r="F1398" t="s">
        <v>21</v>
      </c>
      <c r="G1398" t="s">
        <v>4857</v>
      </c>
      <c r="H1398" s="7">
        <v>92626</v>
      </c>
    </row>
    <row r="1399" spans="1:8" x14ac:dyDescent="0.3">
      <c r="A1399">
        <v>6517</v>
      </c>
      <c r="B1399" t="s">
        <v>5</v>
      </c>
      <c r="C1399" t="s">
        <v>477</v>
      </c>
      <c r="D1399" t="s">
        <v>4279</v>
      </c>
      <c r="E1399" t="s">
        <v>8</v>
      </c>
      <c r="F1399" t="s">
        <v>9</v>
      </c>
      <c r="G1399" t="s">
        <v>3201</v>
      </c>
      <c r="H1399" s="7">
        <v>725</v>
      </c>
    </row>
    <row r="1400" spans="1:8" x14ac:dyDescent="0.3">
      <c r="A1400">
        <v>6518</v>
      </c>
      <c r="B1400" t="s">
        <v>1158</v>
      </c>
      <c r="C1400" t="s">
        <v>93</v>
      </c>
      <c r="D1400" t="s">
        <v>107</v>
      </c>
      <c r="E1400" t="s">
        <v>8</v>
      </c>
      <c r="F1400" t="s">
        <v>381</v>
      </c>
      <c r="G1400" t="s">
        <v>1159</v>
      </c>
      <c r="H1400" s="7">
        <v>48093</v>
      </c>
    </row>
    <row r="1401" spans="1:8" x14ac:dyDescent="0.3">
      <c r="A1401">
        <v>6527</v>
      </c>
      <c r="B1401" t="s">
        <v>18</v>
      </c>
      <c r="C1401" t="s">
        <v>1070</v>
      </c>
      <c r="D1401" t="s">
        <v>4415</v>
      </c>
      <c r="E1401" t="s">
        <v>8</v>
      </c>
      <c r="F1401" t="s">
        <v>21</v>
      </c>
      <c r="G1401" t="s">
        <v>5361</v>
      </c>
      <c r="H1401" s="7">
        <v>95112</v>
      </c>
    </row>
    <row r="1402" spans="1:8" x14ac:dyDescent="0.3">
      <c r="A1402">
        <v>6533</v>
      </c>
      <c r="B1402" t="s">
        <v>5</v>
      </c>
      <c r="C1402" t="s">
        <v>2002</v>
      </c>
      <c r="D1402" t="s">
        <v>2115</v>
      </c>
      <c r="E1402" t="s">
        <v>95</v>
      </c>
      <c r="F1402" t="s">
        <v>9</v>
      </c>
      <c r="G1402" t="s">
        <v>4826</v>
      </c>
      <c r="H1402" s="7">
        <v>725</v>
      </c>
    </row>
    <row r="1403" spans="1:8" x14ac:dyDescent="0.3">
      <c r="A1403">
        <v>6534</v>
      </c>
      <c r="B1403" t="s">
        <v>4426</v>
      </c>
      <c r="C1403" t="s">
        <v>93</v>
      </c>
      <c r="D1403" t="s">
        <v>107</v>
      </c>
      <c r="E1403" t="s">
        <v>8</v>
      </c>
      <c r="F1403" t="s">
        <v>248</v>
      </c>
      <c r="G1403" t="s">
        <v>5516</v>
      </c>
      <c r="H1403" s="7">
        <v>44646</v>
      </c>
    </row>
    <row r="1404" spans="1:8" x14ac:dyDescent="0.3">
      <c r="A1404">
        <v>6537</v>
      </c>
      <c r="B1404" t="s">
        <v>622</v>
      </c>
      <c r="C1404" t="s">
        <v>1241</v>
      </c>
      <c r="D1404" t="s">
        <v>860</v>
      </c>
      <c r="E1404" t="s">
        <v>27</v>
      </c>
      <c r="F1404" t="s">
        <v>21</v>
      </c>
      <c r="G1404" t="s">
        <v>1242</v>
      </c>
      <c r="H1404" s="7">
        <v>92691</v>
      </c>
    </row>
    <row r="1405" spans="1:8" x14ac:dyDescent="0.3">
      <c r="A1405">
        <v>6540</v>
      </c>
      <c r="B1405" t="s">
        <v>769</v>
      </c>
      <c r="C1405" t="s">
        <v>417</v>
      </c>
      <c r="D1405" t="s">
        <v>2374</v>
      </c>
      <c r="E1405" t="s">
        <v>8</v>
      </c>
      <c r="F1405" t="s">
        <v>190</v>
      </c>
      <c r="G1405" t="s">
        <v>3957</v>
      </c>
      <c r="H1405" s="7">
        <v>85032</v>
      </c>
    </row>
    <row r="1406" spans="1:8" x14ac:dyDescent="0.3">
      <c r="A1406">
        <v>6541</v>
      </c>
      <c r="B1406" t="s">
        <v>2095</v>
      </c>
      <c r="C1406" t="s">
        <v>1241</v>
      </c>
      <c r="D1406" t="s">
        <v>107</v>
      </c>
      <c r="E1406" t="s">
        <v>8</v>
      </c>
      <c r="F1406" t="s">
        <v>88</v>
      </c>
      <c r="G1406" t="s">
        <v>3174</v>
      </c>
      <c r="H1406" s="7">
        <v>11717</v>
      </c>
    </row>
    <row r="1407" spans="1:8" x14ac:dyDescent="0.3">
      <c r="A1407">
        <v>6542</v>
      </c>
      <c r="B1407" t="s">
        <v>4670</v>
      </c>
      <c r="C1407" t="s">
        <v>106</v>
      </c>
      <c r="D1407" t="s">
        <v>924</v>
      </c>
      <c r="E1407" t="s">
        <v>8</v>
      </c>
      <c r="F1407" t="s">
        <v>448</v>
      </c>
      <c r="G1407" t="s">
        <v>5200</v>
      </c>
      <c r="H1407" s="7">
        <v>32703</v>
      </c>
    </row>
    <row r="1408" spans="1:8" x14ac:dyDescent="0.3">
      <c r="A1408">
        <v>6543</v>
      </c>
      <c r="B1408" t="s">
        <v>5</v>
      </c>
      <c r="C1408" t="s">
        <v>589</v>
      </c>
      <c r="D1408" t="s">
        <v>107</v>
      </c>
      <c r="E1408" t="s">
        <v>8</v>
      </c>
      <c r="F1408" t="s">
        <v>9</v>
      </c>
      <c r="G1408" t="s">
        <v>2749</v>
      </c>
      <c r="H1408" s="7">
        <v>725</v>
      </c>
    </row>
    <row r="1409" spans="1:8" x14ac:dyDescent="0.3">
      <c r="A1409">
        <v>6547</v>
      </c>
      <c r="B1409" t="s">
        <v>5</v>
      </c>
      <c r="C1409" t="s">
        <v>1175</v>
      </c>
      <c r="D1409" t="s">
        <v>107</v>
      </c>
      <c r="E1409" t="s">
        <v>8</v>
      </c>
      <c r="F1409" t="s">
        <v>9</v>
      </c>
      <c r="G1409" t="s">
        <v>3463</v>
      </c>
      <c r="H1409" s="7">
        <v>725</v>
      </c>
    </row>
    <row r="1410" spans="1:8" x14ac:dyDescent="0.3">
      <c r="A1410">
        <v>6549</v>
      </c>
      <c r="B1410" t="s">
        <v>5</v>
      </c>
      <c r="C1410" t="s">
        <v>841</v>
      </c>
      <c r="D1410" t="s">
        <v>951</v>
      </c>
      <c r="E1410" t="s">
        <v>8</v>
      </c>
      <c r="F1410" t="s">
        <v>9</v>
      </c>
      <c r="G1410" t="s">
        <v>4992</v>
      </c>
      <c r="H1410" s="7">
        <v>725</v>
      </c>
    </row>
    <row r="1411" spans="1:8" x14ac:dyDescent="0.3">
      <c r="A1411">
        <v>6561</v>
      </c>
      <c r="B1411" t="s">
        <v>638</v>
      </c>
      <c r="C1411" t="s">
        <v>332</v>
      </c>
      <c r="D1411" t="s">
        <v>639</v>
      </c>
      <c r="E1411" t="s">
        <v>27</v>
      </c>
      <c r="F1411" t="s">
        <v>114</v>
      </c>
      <c r="G1411" t="s">
        <v>640</v>
      </c>
      <c r="H1411" s="7">
        <v>78586</v>
      </c>
    </row>
    <row r="1412" spans="1:8" x14ac:dyDescent="0.3">
      <c r="A1412">
        <v>6565</v>
      </c>
      <c r="B1412" t="s">
        <v>1913</v>
      </c>
      <c r="C1412" t="s">
        <v>251</v>
      </c>
      <c r="D1412" t="s">
        <v>107</v>
      </c>
      <c r="E1412" t="s">
        <v>95</v>
      </c>
      <c r="F1412" t="s">
        <v>140</v>
      </c>
      <c r="G1412" t="s">
        <v>4913</v>
      </c>
      <c r="H1412" s="7">
        <v>30127</v>
      </c>
    </row>
    <row r="1413" spans="1:8" x14ac:dyDescent="0.3">
      <c r="A1413">
        <v>6566</v>
      </c>
      <c r="B1413" t="s">
        <v>5</v>
      </c>
      <c r="C1413" t="s">
        <v>1191</v>
      </c>
      <c r="D1413" t="s">
        <v>2862</v>
      </c>
      <c r="E1413" t="s">
        <v>27</v>
      </c>
      <c r="F1413" t="s">
        <v>9</v>
      </c>
      <c r="G1413" t="s">
        <v>5021</v>
      </c>
      <c r="H1413" s="7">
        <v>725</v>
      </c>
    </row>
    <row r="1414" spans="1:8" x14ac:dyDescent="0.3">
      <c r="A1414">
        <v>6567</v>
      </c>
      <c r="B1414" t="s">
        <v>4292</v>
      </c>
      <c r="C1414" t="s">
        <v>2441</v>
      </c>
      <c r="D1414" t="s">
        <v>107</v>
      </c>
      <c r="E1414" t="s">
        <v>8</v>
      </c>
      <c r="F1414" t="s">
        <v>21</v>
      </c>
      <c r="G1414" t="s">
        <v>3894</v>
      </c>
      <c r="H1414" s="7">
        <v>92336</v>
      </c>
    </row>
    <row r="1415" spans="1:8" x14ac:dyDescent="0.3">
      <c r="A1415">
        <v>6579</v>
      </c>
      <c r="B1415" t="s">
        <v>5</v>
      </c>
      <c r="C1415" t="s">
        <v>93</v>
      </c>
      <c r="D1415" t="s">
        <v>1506</v>
      </c>
      <c r="E1415" t="s">
        <v>8</v>
      </c>
      <c r="F1415" t="s">
        <v>9</v>
      </c>
      <c r="G1415" t="s">
        <v>5156</v>
      </c>
      <c r="H1415" s="7">
        <v>725</v>
      </c>
    </row>
    <row r="1416" spans="1:8" x14ac:dyDescent="0.3">
      <c r="A1416">
        <v>6585</v>
      </c>
      <c r="B1416" t="s">
        <v>117</v>
      </c>
      <c r="C1416" t="s">
        <v>564</v>
      </c>
      <c r="D1416" t="s">
        <v>1854</v>
      </c>
      <c r="E1416" t="s">
        <v>8</v>
      </c>
      <c r="F1416" t="s">
        <v>21</v>
      </c>
      <c r="G1416" t="s">
        <v>4661</v>
      </c>
      <c r="H1416" s="7">
        <v>92129</v>
      </c>
    </row>
    <row r="1417" spans="1:8" x14ac:dyDescent="0.3">
      <c r="A1417">
        <v>6586</v>
      </c>
      <c r="B1417" t="s">
        <v>5</v>
      </c>
      <c r="C1417" t="s">
        <v>93</v>
      </c>
      <c r="D1417" t="s">
        <v>3548</v>
      </c>
      <c r="E1417" t="s">
        <v>8</v>
      </c>
      <c r="F1417" t="s">
        <v>9</v>
      </c>
      <c r="G1417" t="s">
        <v>3549</v>
      </c>
      <c r="H1417" s="7">
        <v>725</v>
      </c>
    </row>
    <row r="1418" spans="1:8" x14ac:dyDescent="0.3">
      <c r="A1418">
        <v>6597</v>
      </c>
      <c r="B1418" t="s">
        <v>66</v>
      </c>
      <c r="C1418" t="s">
        <v>167</v>
      </c>
      <c r="D1418" t="s">
        <v>107</v>
      </c>
      <c r="E1418" t="s">
        <v>27</v>
      </c>
      <c r="F1418" t="s">
        <v>55</v>
      </c>
      <c r="G1418" t="s">
        <v>2777</v>
      </c>
      <c r="H1418" s="7">
        <v>60187</v>
      </c>
    </row>
    <row r="1419" spans="1:8" x14ac:dyDescent="0.3">
      <c r="A1419">
        <v>6606</v>
      </c>
      <c r="B1419" t="s">
        <v>2865</v>
      </c>
      <c r="C1419" t="s">
        <v>454</v>
      </c>
      <c r="D1419" t="s">
        <v>107</v>
      </c>
      <c r="E1419" t="s">
        <v>95</v>
      </c>
      <c r="F1419" t="s">
        <v>21</v>
      </c>
      <c r="G1419" t="s">
        <v>3278</v>
      </c>
      <c r="H1419" s="7">
        <v>93550</v>
      </c>
    </row>
    <row r="1420" spans="1:8" x14ac:dyDescent="0.3">
      <c r="A1420">
        <v>6607</v>
      </c>
      <c r="B1420" t="s">
        <v>5</v>
      </c>
      <c r="C1420" t="s">
        <v>67</v>
      </c>
      <c r="D1420" t="s">
        <v>1628</v>
      </c>
      <c r="E1420" t="s">
        <v>95</v>
      </c>
      <c r="F1420" t="s">
        <v>9</v>
      </c>
      <c r="G1420" t="s">
        <v>4763</v>
      </c>
      <c r="H1420" s="7">
        <v>725</v>
      </c>
    </row>
    <row r="1421" spans="1:8" x14ac:dyDescent="0.3">
      <c r="A1421">
        <v>6611</v>
      </c>
      <c r="B1421" t="s">
        <v>5</v>
      </c>
      <c r="C1421" t="s">
        <v>532</v>
      </c>
      <c r="D1421" t="s">
        <v>107</v>
      </c>
      <c r="E1421" t="s">
        <v>95</v>
      </c>
      <c r="F1421" t="s">
        <v>9</v>
      </c>
      <c r="G1421" t="s">
        <v>533</v>
      </c>
      <c r="H1421" s="7">
        <v>725</v>
      </c>
    </row>
    <row r="1422" spans="1:8" x14ac:dyDescent="0.3">
      <c r="A1422">
        <v>6617</v>
      </c>
      <c r="B1422" t="s">
        <v>5</v>
      </c>
      <c r="C1422" t="s">
        <v>93</v>
      </c>
      <c r="D1422" t="s">
        <v>567</v>
      </c>
      <c r="E1422" t="s">
        <v>8</v>
      </c>
      <c r="F1422" t="s">
        <v>9</v>
      </c>
      <c r="G1422" t="s">
        <v>568</v>
      </c>
      <c r="H1422" s="7">
        <v>725</v>
      </c>
    </row>
    <row r="1423" spans="1:8" x14ac:dyDescent="0.3">
      <c r="A1423">
        <v>6634</v>
      </c>
      <c r="B1423" t="s">
        <v>4540</v>
      </c>
      <c r="C1423" t="s">
        <v>93</v>
      </c>
      <c r="D1423" t="s">
        <v>107</v>
      </c>
      <c r="E1423" t="s">
        <v>27</v>
      </c>
      <c r="F1423" t="s">
        <v>9</v>
      </c>
      <c r="G1423" t="s">
        <v>4541</v>
      </c>
      <c r="H1423" s="7">
        <v>953</v>
      </c>
    </row>
    <row r="1424" spans="1:8" x14ac:dyDescent="0.3">
      <c r="A1424">
        <v>6635</v>
      </c>
      <c r="B1424" t="s">
        <v>174</v>
      </c>
      <c r="C1424" t="s">
        <v>1510</v>
      </c>
      <c r="D1424" t="s">
        <v>2205</v>
      </c>
      <c r="E1424" t="s">
        <v>27</v>
      </c>
      <c r="F1424" t="s">
        <v>21</v>
      </c>
      <c r="G1424" t="s">
        <v>2206</v>
      </c>
      <c r="H1424" s="7">
        <v>90057</v>
      </c>
    </row>
    <row r="1425" spans="1:8" x14ac:dyDescent="0.3">
      <c r="A1425">
        <v>6636</v>
      </c>
      <c r="B1425" t="s">
        <v>5</v>
      </c>
      <c r="C1425" t="s">
        <v>93</v>
      </c>
      <c r="D1425" t="s">
        <v>107</v>
      </c>
      <c r="E1425" t="s">
        <v>95</v>
      </c>
      <c r="F1425" t="s">
        <v>9</v>
      </c>
      <c r="G1425" t="s">
        <v>4225</v>
      </c>
      <c r="H1425" s="7">
        <v>725</v>
      </c>
    </row>
    <row r="1426" spans="1:8" x14ac:dyDescent="0.3">
      <c r="A1426">
        <v>6637</v>
      </c>
      <c r="B1426" t="s">
        <v>1116</v>
      </c>
      <c r="C1426" t="s">
        <v>799</v>
      </c>
      <c r="D1426" t="s">
        <v>1213</v>
      </c>
      <c r="E1426" t="s">
        <v>8</v>
      </c>
      <c r="F1426" t="s">
        <v>1118</v>
      </c>
      <c r="G1426" t="s">
        <v>1214</v>
      </c>
      <c r="H1426" s="7">
        <v>55124</v>
      </c>
    </row>
    <row r="1427" spans="1:8" x14ac:dyDescent="0.3">
      <c r="A1427">
        <v>6645</v>
      </c>
      <c r="B1427" t="s">
        <v>5</v>
      </c>
      <c r="C1427" t="s">
        <v>3456</v>
      </c>
      <c r="D1427" t="s">
        <v>107</v>
      </c>
      <c r="E1427" t="s">
        <v>8</v>
      </c>
      <c r="F1427" t="s">
        <v>9</v>
      </c>
      <c r="G1427" t="s">
        <v>4454</v>
      </c>
      <c r="H1427" s="7">
        <v>725</v>
      </c>
    </row>
    <row r="1428" spans="1:8" x14ac:dyDescent="0.3">
      <c r="A1428">
        <v>6648</v>
      </c>
      <c r="B1428" t="s">
        <v>600</v>
      </c>
      <c r="C1428" t="s">
        <v>601</v>
      </c>
      <c r="D1428" t="s">
        <v>602</v>
      </c>
      <c r="E1428" t="s">
        <v>27</v>
      </c>
      <c r="F1428" t="s">
        <v>9</v>
      </c>
      <c r="G1428" t="s">
        <v>603</v>
      </c>
      <c r="H1428" s="7">
        <v>693</v>
      </c>
    </row>
    <row r="1429" spans="1:8" x14ac:dyDescent="0.3">
      <c r="A1429">
        <v>6654</v>
      </c>
      <c r="B1429" t="s">
        <v>1553</v>
      </c>
      <c r="C1429" t="s">
        <v>93</v>
      </c>
      <c r="D1429" t="s">
        <v>704</v>
      </c>
      <c r="E1429" t="s">
        <v>8</v>
      </c>
      <c r="F1429" t="s">
        <v>114</v>
      </c>
      <c r="G1429" t="s">
        <v>3897</v>
      </c>
      <c r="H1429" s="7">
        <v>75060</v>
      </c>
    </row>
    <row r="1430" spans="1:8" x14ac:dyDescent="0.3">
      <c r="A1430">
        <v>6657</v>
      </c>
      <c r="B1430" t="s">
        <v>117</v>
      </c>
      <c r="C1430" t="s">
        <v>751</v>
      </c>
      <c r="D1430" t="s">
        <v>752</v>
      </c>
      <c r="E1430" t="s">
        <v>8</v>
      </c>
      <c r="F1430" t="s">
        <v>21</v>
      </c>
      <c r="G1430" t="s">
        <v>753</v>
      </c>
      <c r="H1430" s="7">
        <v>92104</v>
      </c>
    </row>
    <row r="1431" spans="1:8" x14ac:dyDescent="0.3">
      <c r="A1431">
        <v>6671</v>
      </c>
      <c r="B1431" t="s">
        <v>5</v>
      </c>
      <c r="C1431" t="s">
        <v>2053</v>
      </c>
      <c r="D1431" t="s">
        <v>2054</v>
      </c>
      <c r="E1431" t="s">
        <v>27</v>
      </c>
      <c r="F1431" t="s">
        <v>9</v>
      </c>
      <c r="G1431" t="s">
        <v>2055</v>
      </c>
      <c r="H1431" s="7">
        <v>725</v>
      </c>
    </row>
    <row r="1432" spans="1:8" x14ac:dyDescent="0.3">
      <c r="A1432">
        <v>6673</v>
      </c>
      <c r="B1432" t="s">
        <v>5</v>
      </c>
      <c r="C1432" t="s">
        <v>1718</v>
      </c>
      <c r="D1432" t="s">
        <v>107</v>
      </c>
      <c r="E1432" t="s">
        <v>8</v>
      </c>
      <c r="F1432" t="s">
        <v>9</v>
      </c>
      <c r="G1432" t="s">
        <v>5595</v>
      </c>
      <c r="H1432" s="7">
        <v>725</v>
      </c>
    </row>
    <row r="1433" spans="1:8" x14ac:dyDescent="0.3">
      <c r="A1433">
        <v>6675</v>
      </c>
      <c r="B1433" t="s">
        <v>5</v>
      </c>
      <c r="C1433" t="s">
        <v>93</v>
      </c>
      <c r="D1433" t="s">
        <v>107</v>
      </c>
      <c r="E1433" t="s">
        <v>95</v>
      </c>
      <c r="F1433" t="s">
        <v>9</v>
      </c>
      <c r="G1433" t="s">
        <v>5039</v>
      </c>
      <c r="H1433" s="7">
        <v>725</v>
      </c>
    </row>
    <row r="1434" spans="1:8" x14ac:dyDescent="0.3">
      <c r="A1434">
        <v>6676</v>
      </c>
      <c r="B1434" t="s">
        <v>1143</v>
      </c>
      <c r="C1434" t="s">
        <v>1303</v>
      </c>
      <c r="D1434" t="s">
        <v>1973</v>
      </c>
      <c r="E1434" t="s">
        <v>8</v>
      </c>
      <c r="F1434" t="s">
        <v>1145</v>
      </c>
      <c r="G1434" t="s">
        <v>5513</v>
      </c>
      <c r="H1434" s="7">
        <v>53215</v>
      </c>
    </row>
    <row r="1435" spans="1:8" x14ac:dyDescent="0.3">
      <c r="A1435">
        <v>6681</v>
      </c>
      <c r="B1435" t="s">
        <v>5</v>
      </c>
      <c r="C1435" t="s">
        <v>93</v>
      </c>
      <c r="D1435" t="s">
        <v>2183</v>
      </c>
      <c r="E1435" t="s">
        <v>27</v>
      </c>
      <c r="F1435" t="s">
        <v>9</v>
      </c>
      <c r="G1435" t="s">
        <v>3979</v>
      </c>
      <c r="H1435" s="7">
        <v>725</v>
      </c>
    </row>
    <row r="1436" spans="1:8" x14ac:dyDescent="0.3">
      <c r="A1436">
        <v>6686</v>
      </c>
      <c r="B1436" t="s">
        <v>1116</v>
      </c>
      <c r="C1436" t="s">
        <v>93</v>
      </c>
      <c r="D1436" t="s">
        <v>2284</v>
      </c>
      <c r="E1436" t="s">
        <v>8</v>
      </c>
      <c r="F1436" t="s">
        <v>1118</v>
      </c>
      <c r="G1436" t="s">
        <v>4485</v>
      </c>
      <c r="H1436" s="7">
        <v>55104</v>
      </c>
    </row>
    <row r="1437" spans="1:8" x14ac:dyDescent="0.3">
      <c r="A1437">
        <v>6691</v>
      </c>
      <c r="B1437" t="s">
        <v>1313</v>
      </c>
      <c r="C1437" t="s">
        <v>417</v>
      </c>
      <c r="D1437" t="s">
        <v>107</v>
      </c>
      <c r="E1437" t="s">
        <v>95</v>
      </c>
      <c r="F1437" t="s">
        <v>448</v>
      </c>
      <c r="G1437" t="s">
        <v>3732</v>
      </c>
      <c r="H1437" s="7">
        <v>33125</v>
      </c>
    </row>
    <row r="1438" spans="1:8" x14ac:dyDescent="0.3">
      <c r="A1438">
        <v>6692</v>
      </c>
      <c r="B1438" t="s">
        <v>5</v>
      </c>
      <c r="C1438" t="s">
        <v>1241</v>
      </c>
      <c r="D1438" t="s">
        <v>1351</v>
      </c>
      <c r="E1438" t="s">
        <v>95</v>
      </c>
      <c r="F1438" t="s">
        <v>9</v>
      </c>
      <c r="G1438" t="s">
        <v>4488</v>
      </c>
      <c r="H1438" s="7">
        <v>725</v>
      </c>
    </row>
    <row r="1439" spans="1:8" x14ac:dyDescent="0.3">
      <c r="A1439">
        <v>6694</v>
      </c>
      <c r="B1439" t="s">
        <v>5</v>
      </c>
      <c r="C1439" t="s">
        <v>417</v>
      </c>
      <c r="D1439" t="s">
        <v>2929</v>
      </c>
      <c r="E1439" t="s">
        <v>27</v>
      </c>
      <c r="F1439" t="s">
        <v>9</v>
      </c>
      <c r="G1439" t="s">
        <v>2930</v>
      </c>
      <c r="H1439" s="7">
        <v>725</v>
      </c>
    </row>
    <row r="1440" spans="1:8" x14ac:dyDescent="0.3">
      <c r="A1440">
        <v>6696</v>
      </c>
      <c r="B1440" t="s">
        <v>2651</v>
      </c>
      <c r="C1440" t="s">
        <v>93</v>
      </c>
      <c r="D1440" t="s">
        <v>2093</v>
      </c>
      <c r="E1440" t="s">
        <v>27</v>
      </c>
      <c r="F1440" t="s">
        <v>140</v>
      </c>
      <c r="G1440" t="s">
        <v>2652</v>
      </c>
      <c r="H1440" s="7">
        <v>30022</v>
      </c>
    </row>
    <row r="1441" spans="1:8" x14ac:dyDescent="0.3">
      <c r="A1441">
        <v>6697</v>
      </c>
      <c r="B1441" t="s">
        <v>74</v>
      </c>
      <c r="C1441" t="s">
        <v>1951</v>
      </c>
      <c r="D1441" t="s">
        <v>107</v>
      </c>
      <c r="E1441" t="s">
        <v>95</v>
      </c>
      <c r="F1441" t="s">
        <v>77</v>
      </c>
      <c r="G1441" t="s">
        <v>3684</v>
      </c>
      <c r="H1441" s="7">
        <v>17013</v>
      </c>
    </row>
    <row r="1442" spans="1:8" x14ac:dyDescent="0.3">
      <c r="A1442">
        <v>6701</v>
      </c>
      <c r="B1442" t="s">
        <v>691</v>
      </c>
      <c r="C1442" t="s">
        <v>93</v>
      </c>
      <c r="D1442" t="s">
        <v>617</v>
      </c>
      <c r="E1442" t="s">
        <v>8</v>
      </c>
      <c r="F1442" t="s">
        <v>88</v>
      </c>
      <c r="G1442" t="s">
        <v>1878</v>
      </c>
      <c r="H1442" s="7">
        <v>13760</v>
      </c>
    </row>
    <row r="1443" spans="1:8" x14ac:dyDescent="0.3">
      <c r="A1443">
        <v>6707</v>
      </c>
      <c r="B1443" t="s">
        <v>2212</v>
      </c>
      <c r="C1443" t="s">
        <v>1231</v>
      </c>
      <c r="D1443" t="s">
        <v>107</v>
      </c>
      <c r="E1443" t="s">
        <v>27</v>
      </c>
      <c r="F1443" t="s">
        <v>283</v>
      </c>
      <c r="G1443" t="s">
        <v>2213</v>
      </c>
      <c r="H1443" s="7">
        <v>23503</v>
      </c>
    </row>
    <row r="1444" spans="1:8" x14ac:dyDescent="0.3">
      <c r="A1444">
        <v>6708</v>
      </c>
      <c r="B1444" t="s">
        <v>995</v>
      </c>
      <c r="C1444" t="s">
        <v>93</v>
      </c>
      <c r="D1444" t="s">
        <v>1577</v>
      </c>
      <c r="E1444" t="s">
        <v>27</v>
      </c>
      <c r="F1444" t="s">
        <v>283</v>
      </c>
      <c r="G1444" t="s">
        <v>1578</v>
      </c>
      <c r="H1444" s="7">
        <v>23455</v>
      </c>
    </row>
    <row r="1445" spans="1:8" x14ac:dyDescent="0.3">
      <c r="A1445">
        <v>6714</v>
      </c>
      <c r="B1445" t="s">
        <v>3136</v>
      </c>
      <c r="C1445" t="s">
        <v>616</v>
      </c>
      <c r="D1445" t="s">
        <v>107</v>
      </c>
      <c r="E1445" t="s">
        <v>8</v>
      </c>
      <c r="F1445" t="s">
        <v>140</v>
      </c>
      <c r="G1445" t="s">
        <v>3859</v>
      </c>
      <c r="H1445" s="7">
        <v>30080</v>
      </c>
    </row>
    <row r="1446" spans="1:8" x14ac:dyDescent="0.3">
      <c r="A1446">
        <v>6726</v>
      </c>
      <c r="B1446" t="s">
        <v>5</v>
      </c>
      <c r="C1446" t="s">
        <v>2216</v>
      </c>
      <c r="D1446" t="s">
        <v>1333</v>
      </c>
      <c r="E1446" t="s">
        <v>27</v>
      </c>
      <c r="F1446" t="s">
        <v>9</v>
      </c>
      <c r="G1446" t="s">
        <v>4559</v>
      </c>
      <c r="H1446" s="7">
        <v>725</v>
      </c>
    </row>
    <row r="1447" spans="1:8" x14ac:dyDescent="0.3">
      <c r="A1447">
        <v>6728</v>
      </c>
      <c r="B1447" t="s">
        <v>5</v>
      </c>
      <c r="C1447" t="s">
        <v>1406</v>
      </c>
      <c r="D1447" t="s">
        <v>107</v>
      </c>
      <c r="E1447" t="s">
        <v>27</v>
      </c>
      <c r="F1447" t="s">
        <v>9</v>
      </c>
      <c r="G1447" t="s">
        <v>5618</v>
      </c>
      <c r="H1447" s="7">
        <v>725</v>
      </c>
    </row>
    <row r="1448" spans="1:8" x14ac:dyDescent="0.3">
      <c r="A1448">
        <v>6730</v>
      </c>
      <c r="B1448" t="s">
        <v>5</v>
      </c>
      <c r="C1448" t="s">
        <v>93</v>
      </c>
      <c r="D1448" t="s">
        <v>3486</v>
      </c>
      <c r="E1448" t="s">
        <v>27</v>
      </c>
      <c r="F1448" t="s">
        <v>9</v>
      </c>
      <c r="G1448" t="s">
        <v>3937</v>
      </c>
      <c r="H1448" s="7">
        <v>725</v>
      </c>
    </row>
    <row r="1449" spans="1:8" x14ac:dyDescent="0.3">
      <c r="A1449">
        <v>6731</v>
      </c>
      <c r="B1449" t="s">
        <v>3414</v>
      </c>
      <c r="C1449" t="s">
        <v>1546</v>
      </c>
      <c r="D1449" t="s">
        <v>107</v>
      </c>
      <c r="E1449" t="s">
        <v>27</v>
      </c>
      <c r="F1449" t="s">
        <v>21</v>
      </c>
      <c r="G1449" t="s">
        <v>3415</v>
      </c>
      <c r="H1449" s="7">
        <v>90650</v>
      </c>
    </row>
    <row r="1450" spans="1:8" x14ac:dyDescent="0.3">
      <c r="A1450">
        <v>6736</v>
      </c>
      <c r="B1450" t="s">
        <v>117</v>
      </c>
      <c r="C1450" t="s">
        <v>2469</v>
      </c>
      <c r="D1450" t="s">
        <v>3292</v>
      </c>
      <c r="E1450" t="s">
        <v>27</v>
      </c>
      <c r="F1450" t="s">
        <v>21</v>
      </c>
      <c r="G1450" t="s">
        <v>4402</v>
      </c>
      <c r="H1450" s="7">
        <v>92129</v>
      </c>
    </row>
    <row r="1451" spans="1:8" x14ac:dyDescent="0.3">
      <c r="A1451">
        <v>6738</v>
      </c>
      <c r="B1451" t="s">
        <v>5</v>
      </c>
      <c r="C1451" t="s">
        <v>93</v>
      </c>
      <c r="D1451" t="s">
        <v>842</v>
      </c>
      <c r="E1451" t="s">
        <v>8</v>
      </c>
      <c r="F1451" t="s">
        <v>9</v>
      </c>
      <c r="G1451" t="s">
        <v>2763</v>
      </c>
      <c r="H1451" s="7">
        <v>725</v>
      </c>
    </row>
    <row r="1452" spans="1:8" x14ac:dyDescent="0.3">
      <c r="A1452">
        <v>6746</v>
      </c>
      <c r="B1452" t="s">
        <v>5</v>
      </c>
      <c r="C1452" t="s">
        <v>3108</v>
      </c>
      <c r="D1452" t="s">
        <v>1284</v>
      </c>
      <c r="E1452" t="s">
        <v>95</v>
      </c>
      <c r="F1452" t="s">
        <v>9</v>
      </c>
      <c r="G1452" t="s">
        <v>2704</v>
      </c>
      <c r="H1452" s="7">
        <v>725</v>
      </c>
    </row>
    <row r="1453" spans="1:8" x14ac:dyDescent="0.3">
      <c r="A1453">
        <v>6750</v>
      </c>
      <c r="B1453" t="s">
        <v>5</v>
      </c>
      <c r="C1453" t="s">
        <v>751</v>
      </c>
      <c r="D1453" t="s">
        <v>107</v>
      </c>
      <c r="E1453" t="s">
        <v>8</v>
      </c>
      <c r="F1453" t="s">
        <v>9</v>
      </c>
      <c r="G1453" t="s">
        <v>5253</v>
      </c>
      <c r="H1453" s="7">
        <v>725</v>
      </c>
    </row>
    <row r="1454" spans="1:8" x14ac:dyDescent="0.3">
      <c r="A1454">
        <v>6754</v>
      </c>
      <c r="B1454" t="s">
        <v>5</v>
      </c>
      <c r="C1454" t="s">
        <v>1032</v>
      </c>
      <c r="D1454" t="s">
        <v>107</v>
      </c>
      <c r="E1454" t="s">
        <v>95</v>
      </c>
      <c r="F1454" t="s">
        <v>9</v>
      </c>
      <c r="G1454" t="s">
        <v>4293</v>
      </c>
      <c r="H1454" s="7">
        <v>725</v>
      </c>
    </row>
    <row r="1455" spans="1:8" x14ac:dyDescent="0.3">
      <c r="A1455">
        <v>6756</v>
      </c>
      <c r="B1455" t="s">
        <v>4656</v>
      </c>
      <c r="C1455" t="s">
        <v>2260</v>
      </c>
      <c r="D1455" t="s">
        <v>107</v>
      </c>
      <c r="E1455" t="s">
        <v>95</v>
      </c>
      <c r="F1455" t="s">
        <v>629</v>
      </c>
      <c r="G1455" t="s">
        <v>2412</v>
      </c>
      <c r="H1455" s="7">
        <v>70003</v>
      </c>
    </row>
    <row r="1456" spans="1:8" x14ac:dyDescent="0.3">
      <c r="A1456">
        <v>6757</v>
      </c>
      <c r="B1456" t="s">
        <v>5</v>
      </c>
      <c r="C1456" t="s">
        <v>93</v>
      </c>
      <c r="D1456" t="s">
        <v>1750</v>
      </c>
      <c r="E1456" t="s">
        <v>8</v>
      </c>
      <c r="F1456" t="s">
        <v>9</v>
      </c>
      <c r="G1456" t="s">
        <v>3900</v>
      </c>
      <c r="H1456" s="7">
        <v>725</v>
      </c>
    </row>
    <row r="1457" spans="1:8" x14ac:dyDescent="0.3">
      <c r="A1457">
        <v>6759</v>
      </c>
      <c r="B1457" t="s">
        <v>5</v>
      </c>
      <c r="C1457" t="s">
        <v>700</v>
      </c>
      <c r="D1457" t="s">
        <v>107</v>
      </c>
      <c r="E1457" t="s">
        <v>8</v>
      </c>
      <c r="F1457" t="s">
        <v>9</v>
      </c>
      <c r="G1457" t="s">
        <v>1765</v>
      </c>
      <c r="H1457" s="7">
        <v>725</v>
      </c>
    </row>
    <row r="1458" spans="1:8" x14ac:dyDescent="0.3">
      <c r="A1458">
        <v>6760</v>
      </c>
      <c r="B1458" t="s">
        <v>2886</v>
      </c>
      <c r="C1458" t="s">
        <v>1188</v>
      </c>
      <c r="D1458" t="s">
        <v>739</v>
      </c>
      <c r="E1458" t="s">
        <v>8</v>
      </c>
      <c r="F1458" t="s">
        <v>21</v>
      </c>
      <c r="G1458" t="s">
        <v>3317</v>
      </c>
      <c r="H1458" s="7">
        <v>92054</v>
      </c>
    </row>
    <row r="1459" spans="1:8" x14ac:dyDescent="0.3">
      <c r="A1459">
        <v>6762</v>
      </c>
      <c r="B1459" t="s">
        <v>5</v>
      </c>
      <c r="C1459" t="s">
        <v>93</v>
      </c>
      <c r="D1459" t="s">
        <v>107</v>
      </c>
      <c r="E1459" t="s">
        <v>95</v>
      </c>
      <c r="F1459" t="s">
        <v>9</v>
      </c>
      <c r="G1459" t="s">
        <v>4837</v>
      </c>
      <c r="H1459" s="7">
        <v>725</v>
      </c>
    </row>
    <row r="1460" spans="1:8" x14ac:dyDescent="0.3">
      <c r="A1460">
        <v>6764</v>
      </c>
      <c r="B1460" t="s">
        <v>5</v>
      </c>
      <c r="C1460" t="s">
        <v>556</v>
      </c>
      <c r="D1460" t="s">
        <v>107</v>
      </c>
      <c r="E1460" t="s">
        <v>95</v>
      </c>
      <c r="F1460" t="s">
        <v>9</v>
      </c>
      <c r="G1460" t="s">
        <v>5391</v>
      </c>
      <c r="H1460" s="7">
        <v>725</v>
      </c>
    </row>
    <row r="1461" spans="1:8" x14ac:dyDescent="0.3">
      <c r="A1461">
        <v>6765</v>
      </c>
      <c r="B1461" t="s">
        <v>695</v>
      </c>
      <c r="C1461" t="s">
        <v>868</v>
      </c>
      <c r="D1461" t="s">
        <v>1333</v>
      </c>
      <c r="E1461" t="s">
        <v>95</v>
      </c>
      <c r="F1461" t="s">
        <v>242</v>
      </c>
      <c r="G1461" t="s">
        <v>3762</v>
      </c>
      <c r="H1461" s="7">
        <v>20906</v>
      </c>
    </row>
    <row r="1462" spans="1:8" x14ac:dyDescent="0.3">
      <c r="A1462">
        <v>6777</v>
      </c>
      <c r="B1462" t="s">
        <v>1279</v>
      </c>
      <c r="C1462" t="s">
        <v>2740</v>
      </c>
      <c r="D1462" t="s">
        <v>4040</v>
      </c>
      <c r="E1462" t="s">
        <v>8</v>
      </c>
      <c r="F1462" t="s">
        <v>242</v>
      </c>
      <c r="G1462" t="s">
        <v>5189</v>
      </c>
      <c r="H1462" s="7">
        <v>21502</v>
      </c>
    </row>
    <row r="1463" spans="1:8" x14ac:dyDescent="0.3">
      <c r="A1463">
        <v>6780</v>
      </c>
      <c r="B1463" t="s">
        <v>40</v>
      </c>
      <c r="C1463" t="s">
        <v>1211</v>
      </c>
      <c r="D1463" t="s">
        <v>1651</v>
      </c>
      <c r="E1463" t="s">
        <v>27</v>
      </c>
      <c r="F1463" t="s">
        <v>1042</v>
      </c>
      <c r="G1463" t="s">
        <v>300</v>
      </c>
      <c r="H1463" s="7">
        <v>29720</v>
      </c>
    </row>
    <row r="1464" spans="1:8" x14ac:dyDescent="0.3">
      <c r="A1464">
        <v>6784</v>
      </c>
      <c r="B1464" t="s">
        <v>4727</v>
      </c>
      <c r="C1464" t="s">
        <v>785</v>
      </c>
      <c r="D1464" t="s">
        <v>241</v>
      </c>
      <c r="E1464" t="s">
        <v>27</v>
      </c>
      <c r="F1464" t="s">
        <v>172</v>
      </c>
      <c r="G1464" t="s">
        <v>4523</v>
      </c>
      <c r="H1464" s="7">
        <v>63366</v>
      </c>
    </row>
    <row r="1465" spans="1:8" x14ac:dyDescent="0.3">
      <c r="A1465">
        <v>6786</v>
      </c>
      <c r="B1465" t="s">
        <v>18</v>
      </c>
      <c r="C1465" t="s">
        <v>112</v>
      </c>
      <c r="D1465" t="s">
        <v>107</v>
      </c>
      <c r="E1465" t="s">
        <v>27</v>
      </c>
      <c r="F1465" t="s">
        <v>21</v>
      </c>
      <c r="G1465" t="s">
        <v>3551</v>
      </c>
      <c r="H1465" s="7">
        <v>95112</v>
      </c>
    </row>
    <row r="1466" spans="1:8" x14ac:dyDescent="0.3">
      <c r="A1466">
        <v>6788</v>
      </c>
      <c r="B1466" t="s">
        <v>2210</v>
      </c>
      <c r="C1466" t="s">
        <v>93</v>
      </c>
      <c r="D1466" t="s">
        <v>578</v>
      </c>
      <c r="E1466" t="s">
        <v>27</v>
      </c>
      <c r="F1466" t="s">
        <v>21</v>
      </c>
      <c r="G1466" t="s">
        <v>2211</v>
      </c>
      <c r="H1466" s="7">
        <v>92630</v>
      </c>
    </row>
    <row r="1467" spans="1:8" x14ac:dyDescent="0.3">
      <c r="A1467">
        <v>6791</v>
      </c>
      <c r="B1467" t="s">
        <v>970</v>
      </c>
      <c r="C1467" t="s">
        <v>4151</v>
      </c>
      <c r="D1467" t="s">
        <v>3807</v>
      </c>
      <c r="E1467" t="s">
        <v>8</v>
      </c>
      <c r="F1467" t="s">
        <v>448</v>
      </c>
      <c r="G1467" t="s">
        <v>4440</v>
      </c>
      <c r="H1467" s="7">
        <v>32808</v>
      </c>
    </row>
    <row r="1468" spans="1:8" x14ac:dyDescent="0.3">
      <c r="A1468">
        <v>6792</v>
      </c>
      <c r="B1468" t="s">
        <v>5</v>
      </c>
      <c r="C1468" t="s">
        <v>93</v>
      </c>
      <c r="D1468" t="s">
        <v>107</v>
      </c>
      <c r="E1468" t="s">
        <v>8</v>
      </c>
      <c r="F1468" t="s">
        <v>9</v>
      </c>
      <c r="G1468" t="s">
        <v>2460</v>
      </c>
      <c r="H1468" s="7">
        <v>725</v>
      </c>
    </row>
    <row r="1469" spans="1:8" x14ac:dyDescent="0.3">
      <c r="A1469">
        <v>6795</v>
      </c>
      <c r="B1469" t="s">
        <v>204</v>
      </c>
      <c r="C1469" t="s">
        <v>93</v>
      </c>
      <c r="D1469" t="s">
        <v>2332</v>
      </c>
      <c r="E1469" t="s">
        <v>8</v>
      </c>
      <c r="F1469" t="s">
        <v>21</v>
      </c>
      <c r="G1469" t="s">
        <v>5146</v>
      </c>
      <c r="H1469" s="7">
        <v>91344</v>
      </c>
    </row>
    <row r="1470" spans="1:8" x14ac:dyDescent="0.3">
      <c r="A1470">
        <v>6803</v>
      </c>
      <c r="B1470" t="s">
        <v>3390</v>
      </c>
      <c r="C1470" t="s">
        <v>1317</v>
      </c>
      <c r="D1470" t="s">
        <v>107</v>
      </c>
      <c r="E1470" t="s">
        <v>95</v>
      </c>
      <c r="F1470" t="s">
        <v>1514</v>
      </c>
      <c r="G1470" t="s">
        <v>3552</v>
      </c>
      <c r="H1470" s="7">
        <v>40214</v>
      </c>
    </row>
    <row r="1471" spans="1:8" x14ac:dyDescent="0.3">
      <c r="A1471">
        <v>6804</v>
      </c>
      <c r="B1471" t="s">
        <v>5</v>
      </c>
      <c r="C1471" t="s">
        <v>700</v>
      </c>
      <c r="D1471" t="s">
        <v>2666</v>
      </c>
      <c r="E1471" t="s">
        <v>95</v>
      </c>
      <c r="F1471" t="s">
        <v>9</v>
      </c>
      <c r="G1471" t="s">
        <v>5226</v>
      </c>
      <c r="H1471" s="7">
        <v>725</v>
      </c>
    </row>
    <row r="1472" spans="1:8" x14ac:dyDescent="0.3">
      <c r="A1472">
        <v>6813</v>
      </c>
      <c r="B1472" t="s">
        <v>5</v>
      </c>
      <c r="C1472" t="s">
        <v>2441</v>
      </c>
      <c r="D1472" t="s">
        <v>1890</v>
      </c>
      <c r="E1472" t="s">
        <v>27</v>
      </c>
      <c r="F1472" t="s">
        <v>9</v>
      </c>
      <c r="G1472" t="s">
        <v>5479</v>
      </c>
      <c r="H1472" s="7">
        <v>725</v>
      </c>
    </row>
    <row r="1473" spans="1:8" x14ac:dyDescent="0.3">
      <c r="A1473">
        <v>6821</v>
      </c>
      <c r="B1473" t="s">
        <v>174</v>
      </c>
      <c r="C1473" t="s">
        <v>532</v>
      </c>
      <c r="D1473" t="s">
        <v>860</v>
      </c>
      <c r="E1473" t="s">
        <v>95</v>
      </c>
      <c r="F1473" t="s">
        <v>21</v>
      </c>
      <c r="G1473" t="s">
        <v>3829</v>
      </c>
      <c r="H1473" s="7">
        <v>90043</v>
      </c>
    </row>
    <row r="1474" spans="1:8" x14ac:dyDescent="0.3">
      <c r="A1474">
        <v>6829</v>
      </c>
      <c r="B1474" t="s">
        <v>5</v>
      </c>
      <c r="C1474" t="s">
        <v>93</v>
      </c>
      <c r="D1474" t="s">
        <v>2041</v>
      </c>
      <c r="E1474" t="s">
        <v>8</v>
      </c>
      <c r="F1474" t="s">
        <v>9</v>
      </c>
      <c r="G1474" t="s">
        <v>5086</v>
      </c>
      <c r="H1474" s="7">
        <v>725</v>
      </c>
    </row>
    <row r="1475" spans="1:8" x14ac:dyDescent="0.3">
      <c r="A1475">
        <v>6831</v>
      </c>
      <c r="B1475" t="s">
        <v>761</v>
      </c>
      <c r="C1475" t="s">
        <v>93</v>
      </c>
      <c r="D1475" t="s">
        <v>1798</v>
      </c>
      <c r="E1475" t="s">
        <v>8</v>
      </c>
      <c r="F1475" t="s">
        <v>21</v>
      </c>
      <c r="G1475" t="s">
        <v>1503</v>
      </c>
      <c r="H1475" s="7">
        <v>95350</v>
      </c>
    </row>
    <row r="1476" spans="1:8" x14ac:dyDescent="0.3">
      <c r="A1476">
        <v>6846</v>
      </c>
      <c r="B1476" t="s">
        <v>435</v>
      </c>
      <c r="C1476" t="s">
        <v>1207</v>
      </c>
      <c r="D1476" t="s">
        <v>1170</v>
      </c>
      <c r="E1476" t="s">
        <v>8</v>
      </c>
      <c r="F1476" t="s">
        <v>172</v>
      </c>
      <c r="G1476" t="s">
        <v>1208</v>
      </c>
      <c r="H1476" s="7">
        <v>63123</v>
      </c>
    </row>
    <row r="1477" spans="1:8" x14ac:dyDescent="0.3">
      <c r="A1477">
        <v>6848</v>
      </c>
      <c r="B1477" t="s">
        <v>769</v>
      </c>
      <c r="C1477" t="s">
        <v>1299</v>
      </c>
      <c r="D1477" t="s">
        <v>1940</v>
      </c>
      <c r="E1477" t="s">
        <v>8</v>
      </c>
      <c r="F1477" t="s">
        <v>190</v>
      </c>
      <c r="G1477" t="s">
        <v>1941</v>
      </c>
      <c r="H1477" s="7">
        <v>85032</v>
      </c>
    </row>
    <row r="1478" spans="1:8" x14ac:dyDescent="0.3">
      <c r="A1478">
        <v>6854</v>
      </c>
      <c r="B1478" t="s">
        <v>5</v>
      </c>
      <c r="C1478" t="s">
        <v>93</v>
      </c>
      <c r="D1478" t="s">
        <v>4251</v>
      </c>
      <c r="E1478" t="s">
        <v>8</v>
      </c>
      <c r="F1478" t="s">
        <v>9</v>
      </c>
      <c r="G1478" t="s">
        <v>3871</v>
      </c>
      <c r="H1478" s="7">
        <v>725</v>
      </c>
    </row>
    <row r="1479" spans="1:8" x14ac:dyDescent="0.3">
      <c r="A1479">
        <v>6855</v>
      </c>
      <c r="B1479" t="s">
        <v>656</v>
      </c>
      <c r="C1479" t="s">
        <v>3197</v>
      </c>
      <c r="D1479" t="s">
        <v>485</v>
      </c>
      <c r="E1479" t="s">
        <v>27</v>
      </c>
      <c r="F1479" t="s">
        <v>77</v>
      </c>
      <c r="G1479" t="s">
        <v>4105</v>
      </c>
      <c r="H1479" s="7">
        <v>19143</v>
      </c>
    </row>
    <row r="1480" spans="1:8" x14ac:dyDescent="0.3">
      <c r="A1480">
        <v>6857</v>
      </c>
      <c r="B1480" t="s">
        <v>5</v>
      </c>
      <c r="C1480" t="s">
        <v>556</v>
      </c>
      <c r="D1480" t="s">
        <v>2939</v>
      </c>
      <c r="E1480" t="s">
        <v>27</v>
      </c>
      <c r="F1480" t="s">
        <v>9</v>
      </c>
      <c r="G1480" t="s">
        <v>2940</v>
      </c>
      <c r="H1480" s="7">
        <v>725</v>
      </c>
    </row>
    <row r="1481" spans="1:8" x14ac:dyDescent="0.3">
      <c r="A1481">
        <v>6860</v>
      </c>
      <c r="B1481" t="s">
        <v>1096</v>
      </c>
      <c r="C1481" t="s">
        <v>776</v>
      </c>
      <c r="D1481" t="s">
        <v>1474</v>
      </c>
      <c r="E1481" t="s">
        <v>8</v>
      </c>
      <c r="F1481" t="s">
        <v>242</v>
      </c>
      <c r="G1481" t="s">
        <v>3558</v>
      </c>
      <c r="H1481" s="7">
        <v>20854</v>
      </c>
    </row>
    <row r="1482" spans="1:8" x14ac:dyDescent="0.3">
      <c r="A1482">
        <v>6867</v>
      </c>
      <c r="B1482" t="s">
        <v>2687</v>
      </c>
      <c r="C1482" t="s">
        <v>93</v>
      </c>
      <c r="D1482" t="s">
        <v>1304</v>
      </c>
      <c r="E1482" t="s">
        <v>8</v>
      </c>
      <c r="F1482" t="s">
        <v>55</v>
      </c>
      <c r="G1482" t="s">
        <v>2688</v>
      </c>
      <c r="H1482" s="7">
        <v>60804</v>
      </c>
    </row>
    <row r="1483" spans="1:8" x14ac:dyDescent="0.3">
      <c r="A1483">
        <v>6868</v>
      </c>
      <c r="B1483" t="s">
        <v>1899</v>
      </c>
      <c r="C1483" t="s">
        <v>3764</v>
      </c>
      <c r="D1483" t="s">
        <v>4598</v>
      </c>
      <c r="E1483" t="s">
        <v>27</v>
      </c>
      <c r="F1483" t="s">
        <v>381</v>
      </c>
      <c r="G1483" t="s">
        <v>3861</v>
      </c>
      <c r="H1483" s="7">
        <v>48227</v>
      </c>
    </row>
    <row r="1484" spans="1:8" x14ac:dyDescent="0.3">
      <c r="A1484">
        <v>6871</v>
      </c>
      <c r="B1484" t="s">
        <v>5</v>
      </c>
      <c r="C1484" t="s">
        <v>724</v>
      </c>
      <c r="D1484" t="s">
        <v>879</v>
      </c>
      <c r="E1484" t="s">
        <v>95</v>
      </c>
      <c r="F1484" t="s">
        <v>9</v>
      </c>
      <c r="G1484" t="s">
        <v>880</v>
      </c>
      <c r="H1484" s="7">
        <v>725</v>
      </c>
    </row>
    <row r="1485" spans="1:8" x14ac:dyDescent="0.3">
      <c r="A1485">
        <v>6888</v>
      </c>
      <c r="B1485" t="s">
        <v>18</v>
      </c>
      <c r="C1485" t="s">
        <v>106</v>
      </c>
      <c r="D1485" t="s">
        <v>481</v>
      </c>
      <c r="E1485" t="s">
        <v>27</v>
      </c>
      <c r="F1485" t="s">
        <v>21</v>
      </c>
      <c r="G1485" t="s">
        <v>1701</v>
      </c>
      <c r="H1485" s="7">
        <v>95122</v>
      </c>
    </row>
    <row r="1486" spans="1:8" x14ac:dyDescent="0.3">
      <c r="A1486">
        <v>6897</v>
      </c>
      <c r="B1486" t="s">
        <v>343</v>
      </c>
      <c r="C1486" t="s">
        <v>93</v>
      </c>
      <c r="D1486" t="s">
        <v>1673</v>
      </c>
      <c r="E1486" t="s">
        <v>27</v>
      </c>
      <c r="F1486" t="s">
        <v>140</v>
      </c>
      <c r="G1486" t="s">
        <v>2367</v>
      </c>
      <c r="H1486" s="7">
        <v>31907</v>
      </c>
    </row>
    <row r="1487" spans="1:8" x14ac:dyDescent="0.3">
      <c r="A1487">
        <v>6901</v>
      </c>
      <c r="B1487" t="s">
        <v>2158</v>
      </c>
      <c r="C1487" t="s">
        <v>93</v>
      </c>
      <c r="D1487" t="s">
        <v>3166</v>
      </c>
      <c r="E1487" t="s">
        <v>8</v>
      </c>
      <c r="F1487" t="s">
        <v>114</v>
      </c>
      <c r="G1487" t="s">
        <v>2568</v>
      </c>
      <c r="H1487" s="7">
        <v>75043</v>
      </c>
    </row>
    <row r="1488" spans="1:8" x14ac:dyDescent="0.3">
      <c r="A1488">
        <v>6903</v>
      </c>
      <c r="B1488" t="s">
        <v>368</v>
      </c>
      <c r="C1488" t="s">
        <v>589</v>
      </c>
      <c r="D1488" t="s">
        <v>1081</v>
      </c>
      <c r="E1488" t="s">
        <v>8</v>
      </c>
      <c r="F1488" t="s">
        <v>88</v>
      </c>
      <c r="G1488" t="s">
        <v>3483</v>
      </c>
      <c r="H1488" s="7">
        <v>10021</v>
      </c>
    </row>
    <row r="1489" spans="1:8" x14ac:dyDescent="0.3">
      <c r="A1489">
        <v>6906</v>
      </c>
      <c r="B1489" t="s">
        <v>508</v>
      </c>
      <c r="C1489" t="s">
        <v>411</v>
      </c>
      <c r="D1489" t="s">
        <v>4245</v>
      </c>
      <c r="E1489" t="s">
        <v>8</v>
      </c>
      <c r="F1489" t="s">
        <v>114</v>
      </c>
      <c r="G1489" t="s">
        <v>4310</v>
      </c>
      <c r="H1489" s="7">
        <v>75217</v>
      </c>
    </row>
    <row r="1490" spans="1:8" x14ac:dyDescent="0.3">
      <c r="A1490">
        <v>6912</v>
      </c>
      <c r="B1490" t="s">
        <v>92</v>
      </c>
      <c r="C1490" t="s">
        <v>1117</v>
      </c>
      <c r="D1490" t="s">
        <v>107</v>
      </c>
      <c r="E1490" t="s">
        <v>27</v>
      </c>
      <c r="F1490" t="s">
        <v>9</v>
      </c>
      <c r="G1490" t="s">
        <v>1984</v>
      </c>
      <c r="H1490" s="7">
        <v>957</v>
      </c>
    </row>
    <row r="1491" spans="1:8" x14ac:dyDescent="0.3">
      <c r="A1491">
        <v>6917</v>
      </c>
      <c r="B1491" t="s">
        <v>2492</v>
      </c>
      <c r="C1491" t="s">
        <v>93</v>
      </c>
      <c r="D1491" t="s">
        <v>3661</v>
      </c>
      <c r="E1491" t="s">
        <v>95</v>
      </c>
      <c r="F1491" t="s">
        <v>1145</v>
      </c>
      <c r="G1491" t="s">
        <v>5621</v>
      </c>
      <c r="H1491" s="7">
        <v>53511</v>
      </c>
    </row>
    <row r="1492" spans="1:8" x14ac:dyDescent="0.3">
      <c r="A1492">
        <v>6919</v>
      </c>
      <c r="B1492" t="s">
        <v>4345</v>
      </c>
      <c r="C1492" t="s">
        <v>2953</v>
      </c>
      <c r="D1492" t="s">
        <v>863</v>
      </c>
      <c r="E1492" t="s">
        <v>8</v>
      </c>
      <c r="F1492" t="s">
        <v>21</v>
      </c>
      <c r="G1492" t="s">
        <v>4877</v>
      </c>
      <c r="H1492" s="7">
        <v>94806</v>
      </c>
    </row>
    <row r="1493" spans="1:8" x14ac:dyDescent="0.3">
      <c r="A1493">
        <v>6921</v>
      </c>
      <c r="B1493" t="s">
        <v>5</v>
      </c>
      <c r="C1493" t="s">
        <v>1422</v>
      </c>
      <c r="D1493" t="s">
        <v>384</v>
      </c>
      <c r="E1493" t="s">
        <v>8</v>
      </c>
      <c r="F1493" t="s">
        <v>9</v>
      </c>
      <c r="G1493" t="s">
        <v>1423</v>
      </c>
      <c r="H1493" s="7">
        <v>725</v>
      </c>
    </row>
    <row r="1494" spans="1:8" x14ac:dyDescent="0.3">
      <c r="A1494">
        <v>6924</v>
      </c>
      <c r="B1494" t="s">
        <v>5</v>
      </c>
      <c r="C1494" t="s">
        <v>93</v>
      </c>
      <c r="D1494" t="s">
        <v>3349</v>
      </c>
      <c r="E1494" t="s">
        <v>8</v>
      </c>
      <c r="F1494" t="s">
        <v>9</v>
      </c>
      <c r="G1494" t="s">
        <v>5346</v>
      </c>
      <c r="H1494" s="7">
        <v>725</v>
      </c>
    </row>
    <row r="1495" spans="1:8" x14ac:dyDescent="0.3">
      <c r="A1495">
        <v>6940</v>
      </c>
      <c r="B1495" t="s">
        <v>3016</v>
      </c>
      <c r="C1495" t="s">
        <v>93</v>
      </c>
      <c r="D1495" t="s">
        <v>107</v>
      </c>
      <c r="E1495" t="s">
        <v>8</v>
      </c>
      <c r="F1495" t="s">
        <v>21</v>
      </c>
      <c r="G1495" t="s">
        <v>3017</v>
      </c>
      <c r="H1495" s="7">
        <v>92024</v>
      </c>
    </row>
    <row r="1496" spans="1:8" x14ac:dyDescent="0.3">
      <c r="A1496">
        <v>6942</v>
      </c>
      <c r="B1496" t="s">
        <v>59</v>
      </c>
      <c r="C1496" t="s">
        <v>2067</v>
      </c>
      <c r="D1496" t="s">
        <v>924</v>
      </c>
      <c r="E1496" t="s">
        <v>95</v>
      </c>
      <c r="F1496" t="s">
        <v>21</v>
      </c>
      <c r="G1496" t="s">
        <v>2217</v>
      </c>
      <c r="H1496" s="7">
        <v>90805</v>
      </c>
    </row>
    <row r="1497" spans="1:8" x14ac:dyDescent="0.3">
      <c r="A1497">
        <v>6949</v>
      </c>
      <c r="B1497" t="s">
        <v>5</v>
      </c>
      <c r="C1497" t="s">
        <v>891</v>
      </c>
      <c r="D1497" t="s">
        <v>2003</v>
      </c>
      <c r="E1497" t="s">
        <v>95</v>
      </c>
      <c r="F1497" t="s">
        <v>9</v>
      </c>
      <c r="G1497" t="s">
        <v>4841</v>
      </c>
      <c r="H1497" s="7">
        <v>725</v>
      </c>
    </row>
    <row r="1498" spans="1:8" x14ac:dyDescent="0.3">
      <c r="A1498">
        <v>6950</v>
      </c>
      <c r="B1498" t="s">
        <v>628</v>
      </c>
      <c r="C1498" t="s">
        <v>230</v>
      </c>
      <c r="D1498" t="s">
        <v>107</v>
      </c>
      <c r="E1498" t="s">
        <v>27</v>
      </c>
      <c r="F1498" t="s">
        <v>629</v>
      </c>
      <c r="G1498" t="s">
        <v>630</v>
      </c>
      <c r="H1498" s="7">
        <v>70072</v>
      </c>
    </row>
    <row r="1499" spans="1:8" x14ac:dyDescent="0.3">
      <c r="A1499">
        <v>6951</v>
      </c>
      <c r="B1499" t="s">
        <v>2791</v>
      </c>
      <c r="C1499" t="s">
        <v>93</v>
      </c>
      <c r="D1499" t="s">
        <v>1291</v>
      </c>
      <c r="E1499" t="s">
        <v>27</v>
      </c>
      <c r="F1499" t="s">
        <v>308</v>
      </c>
      <c r="G1499" t="s">
        <v>2792</v>
      </c>
      <c r="H1499" s="7">
        <v>8816</v>
      </c>
    </row>
    <row r="1500" spans="1:8" x14ac:dyDescent="0.3">
      <c r="A1500">
        <v>6956</v>
      </c>
      <c r="B1500" t="s">
        <v>263</v>
      </c>
      <c r="C1500" t="s">
        <v>93</v>
      </c>
      <c r="D1500" t="s">
        <v>264</v>
      </c>
      <c r="E1500" t="s">
        <v>27</v>
      </c>
      <c r="F1500" t="s">
        <v>55</v>
      </c>
      <c r="G1500" t="s">
        <v>265</v>
      </c>
      <c r="H1500" s="7">
        <v>60435</v>
      </c>
    </row>
    <row r="1501" spans="1:8" x14ac:dyDescent="0.3">
      <c r="A1501">
        <v>6960</v>
      </c>
      <c r="B1501" t="s">
        <v>5</v>
      </c>
      <c r="C1501" t="s">
        <v>93</v>
      </c>
      <c r="D1501" t="s">
        <v>107</v>
      </c>
      <c r="E1501" t="s">
        <v>8</v>
      </c>
      <c r="F1501" t="s">
        <v>9</v>
      </c>
      <c r="G1501" t="s">
        <v>5306</v>
      </c>
      <c r="H1501" s="7">
        <v>725</v>
      </c>
    </row>
    <row r="1502" spans="1:8" x14ac:dyDescent="0.3">
      <c r="A1502">
        <v>6961</v>
      </c>
      <c r="B1502" t="s">
        <v>250</v>
      </c>
      <c r="C1502" t="s">
        <v>251</v>
      </c>
      <c r="D1502" t="s">
        <v>165</v>
      </c>
      <c r="E1502" t="s">
        <v>27</v>
      </c>
      <c r="F1502" t="s">
        <v>21</v>
      </c>
      <c r="G1502" t="s">
        <v>252</v>
      </c>
      <c r="H1502" s="7">
        <v>92627</v>
      </c>
    </row>
    <row r="1503" spans="1:8" x14ac:dyDescent="0.3">
      <c r="A1503">
        <v>6968</v>
      </c>
      <c r="B1503" t="s">
        <v>358</v>
      </c>
      <c r="C1503" t="s">
        <v>93</v>
      </c>
      <c r="D1503" t="s">
        <v>1251</v>
      </c>
      <c r="E1503" t="s">
        <v>27</v>
      </c>
      <c r="F1503" t="s">
        <v>248</v>
      </c>
      <c r="G1503" t="s">
        <v>1252</v>
      </c>
      <c r="H1503" s="7">
        <v>44035</v>
      </c>
    </row>
    <row r="1504" spans="1:8" x14ac:dyDescent="0.3">
      <c r="A1504">
        <v>6970</v>
      </c>
      <c r="B1504" t="s">
        <v>246</v>
      </c>
      <c r="C1504" t="s">
        <v>2025</v>
      </c>
      <c r="D1504" t="s">
        <v>1506</v>
      </c>
      <c r="E1504" t="s">
        <v>27</v>
      </c>
      <c r="F1504" t="s">
        <v>248</v>
      </c>
      <c r="G1504" t="s">
        <v>3399</v>
      </c>
      <c r="H1504" s="7">
        <v>44136</v>
      </c>
    </row>
    <row r="1505" spans="1:8" x14ac:dyDescent="0.3">
      <c r="A1505">
        <v>6977</v>
      </c>
      <c r="B1505" t="s">
        <v>5</v>
      </c>
      <c r="C1505" t="s">
        <v>93</v>
      </c>
      <c r="D1505" t="s">
        <v>3282</v>
      </c>
      <c r="E1505" t="s">
        <v>8</v>
      </c>
      <c r="F1505" t="s">
        <v>9</v>
      </c>
      <c r="G1505" t="s">
        <v>4962</v>
      </c>
      <c r="H1505" s="7">
        <v>725</v>
      </c>
    </row>
    <row r="1506" spans="1:8" x14ac:dyDescent="0.3">
      <c r="A1506">
        <v>6978</v>
      </c>
      <c r="B1506" t="s">
        <v>174</v>
      </c>
      <c r="C1506" t="s">
        <v>93</v>
      </c>
      <c r="D1506" t="s">
        <v>1216</v>
      </c>
      <c r="E1506" t="s">
        <v>8</v>
      </c>
      <c r="F1506" t="s">
        <v>21</v>
      </c>
      <c r="G1506" t="s">
        <v>2554</v>
      </c>
      <c r="H1506" s="7">
        <v>90044</v>
      </c>
    </row>
    <row r="1507" spans="1:8" x14ac:dyDescent="0.3">
      <c r="A1507">
        <v>6993</v>
      </c>
      <c r="B1507" t="s">
        <v>1833</v>
      </c>
      <c r="C1507" t="s">
        <v>93</v>
      </c>
      <c r="D1507" t="s">
        <v>2431</v>
      </c>
      <c r="E1507" t="s">
        <v>95</v>
      </c>
      <c r="F1507" t="s">
        <v>21</v>
      </c>
      <c r="G1507" t="s">
        <v>5660</v>
      </c>
      <c r="H1507" s="7">
        <v>93304</v>
      </c>
    </row>
    <row r="1508" spans="1:8" x14ac:dyDescent="0.3">
      <c r="A1508">
        <v>7000</v>
      </c>
      <c r="B1508" t="s">
        <v>748</v>
      </c>
      <c r="C1508" t="s">
        <v>477</v>
      </c>
      <c r="D1508" t="s">
        <v>107</v>
      </c>
      <c r="E1508" t="s">
        <v>8</v>
      </c>
      <c r="F1508" t="s">
        <v>749</v>
      </c>
      <c r="G1508" t="s">
        <v>750</v>
      </c>
      <c r="H1508" s="7">
        <v>46226</v>
      </c>
    </row>
    <row r="1509" spans="1:8" x14ac:dyDescent="0.3">
      <c r="A1509">
        <v>7005</v>
      </c>
      <c r="B1509" t="s">
        <v>5</v>
      </c>
      <c r="C1509" t="s">
        <v>251</v>
      </c>
      <c r="D1509" t="s">
        <v>1248</v>
      </c>
      <c r="E1509" t="s">
        <v>8</v>
      </c>
      <c r="F1509" t="s">
        <v>9</v>
      </c>
      <c r="G1509" t="s">
        <v>3778</v>
      </c>
      <c r="H1509" s="7">
        <v>725</v>
      </c>
    </row>
    <row r="1510" spans="1:8" x14ac:dyDescent="0.3">
      <c r="A1510">
        <v>7007</v>
      </c>
      <c r="B1510" t="s">
        <v>5</v>
      </c>
      <c r="C1510" t="s">
        <v>93</v>
      </c>
      <c r="D1510" t="s">
        <v>82</v>
      </c>
      <c r="E1510" t="s">
        <v>8</v>
      </c>
      <c r="F1510" t="s">
        <v>9</v>
      </c>
      <c r="G1510" t="s">
        <v>3806</v>
      </c>
      <c r="H1510" s="7">
        <v>725</v>
      </c>
    </row>
    <row r="1511" spans="1:8" x14ac:dyDescent="0.3">
      <c r="A1511">
        <v>7022</v>
      </c>
      <c r="B1511" t="s">
        <v>1313</v>
      </c>
      <c r="C1511" t="s">
        <v>93</v>
      </c>
      <c r="D1511" t="s">
        <v>107</v>
      </c>
      <c r="E1511" t="s">
        <v>27</v>
      </c>
      <c r="F1511" t="s">
        <v>448</v>
      </c>
      <c r="G1511" t="s">
        <v>1522</v>
      </c>
      <c r="H1511" s="7">
        <v>33161</v>
      </c>
    </row>
    <row r="1512" spans="1:8" x14ac:dyDescent="0.3">
      <c r="A1512">
        <v>7030</v>
      </c>
      <c r="B1512" t="s">
        <v>2651</v>
      </c>
      <c r="C1512" t="s">
        <v>93</v>
      </c>
      <c r="D1512" t="s">
        <v>4967</v>
      </c>
      <c r="E1512" t="s">
        <v>8</v>
      </c>
      <c r="F1512" t="s">
        <v>140</v>
      </c>
      <c r="G1512" t="s">
        <v>4856</v>
      </c>
      <c r="H1512" s="7">
        <v>30022</v>
      </c>
    </row>
    <row r="1513" spans="1:8" x14ac:dyDescent="0.3">
      <c r="A1513">
        <v>7033</v>
      </c>
      <c r="B1513" t="s">
        <v>1223</v>
      </c>
      <c r="C1513" t="s">
        <v>112</v>
      </c>
      <c r="D1513" t="s">
        <v>1555</v>
      </c>
      <c r="E1513" t="s">
        <v>27</v>
      </c>
      <c r="F1513" t="s">
        <v>283</v>
      </c>
      <c r="G1513" t="s">
        <v>4187</v>
      </c>
      <c r="H1513" s="7">
        <v>23233</v>
      </c>
    </row>
    <row r="1514" spans="1:8" x14ac:dyDescent="0.3">
      <c r="A1514">
        <v>7035</v>
      </c>
      <c r="B1514" t="s">
        <v>5</v>
      </c>
      <c r="C1514" t="s">
        <v>93</v>
      </c>
      <c r="D1514" t="s">
        <v>1012</v>
      </c>
      <c r="E1514" t="s">
        <v>27</v>
      </c>
      <c r="F1514" t="s">
        <v>9</v>
      </c>
      <c r="G1514" t="s">
        <v>2013</v>
      </c>
      <c r="H1514" s="7">
        <v>725</v>
      </c>
    </row>
    <row r="1515" spans="1:8" x14ac:dyDescent="0.3">
      <c r="A1515">
        <v>7042</v>
      </c>
      <c r="B1515" t="s">
        <v>5</v>
      </c>
      <c r="C1515" t="s">
        <v>93</v>
      </c>
      <c r="D1515" t="s">
        <v>852</v>
      </c>
      <c r="E1515" t="s">
        <v>95</v>
      </c>
      <c r="F1515" t="s">
        <v>9</v>
      </c>
      <c r="G1515" t="s">
        <v>2391</v>
      </c>
      <c r="H1515" s="7">
        <v>725</v>
      </c>
    </row>
    <row r="1516" spans="1:8" x14ac:dyDescent="0.3">
      <c r="A1516">
        <v>7043</v>
      </c>
      <c r="B1516" t="s">
        <v>495</v>
      </c>
      <c r="C1516" t="s">
        <v>2301</v>
      </c>
      <c r="D1516" t="s">
        <v>107</v>
      </c>
      <c r="E1516" t="s">
        <v>8</v>
      </c>
      <c r="F1516" t="s">
        <v>88</v>
      </c>
      <c r="G1516" t="s">
        <v>2532</v>
      </c>
      <c r="H1516" s="7">
        <v>11236</v>
      </c>
    </row>
    <row r="1517" spans="1:8" x14ac:dyDescent="0.3">
      <c r="A1517">
        <v>7045</v>
      </c>
      <c r="B1517" t="s">
        <v>5</v>
      </c>
      <c r="C1517" t="s">
        <v>2025</v>
      </c>
      <c r="D1517" t="s">
        <v>107</v>
      </c>
      <c r="E1517" t="s">
        <v>8</v>
      </c>
      <c r="F1517" t="s">
        <v>9</v>
      </c>
      <c r="G1517" t="s">
        <v>3970</v>
      </c>
      <c r="H1517" s="7">
        <v>725</v>
      </c>
    </row>
    <row r="1518" spans="1:8" x14ac:dyDescent="0.3">
      <c r="A1518">
        <v>7048</v>
      </c>
      <c r="B1518" t="s">
        <v>976</v>
      </c>
      <c r="C1518" t="s">
        <v>93</v>
      </c>
      <c r="D1518" t="s">
        <v>107</v>
      </c>
      <c r="E1518" t="s">
        <v>95</v>
      </c>
      <c r="F1518" t="s">
        <v>153</v>
      </c>
      <c r="G1518" t="s">
        <v>5599</v>
      </c>
      <c r="H1518" s="7">
        <v>84119</v>
      </c>
    </row>
    <row r="1519" spans="1:8" x14ac:dyDescent="0.3">
      <c r="A1519">
        <v>7049</v>
      </c>
      <c r="B1519" t="s">
        <v>5</v>
      </c>
      <c r="C1519" t="s">
        <v>1172</v>
      </c>
      <c r="D1519" t="s">
        <v>3224</v>
      </c>
      <c r="E1519" t="s">
        <v>27</v>
      </c>
      <c r="F1519" t="s">
        <v>9</v>
      </c>
      <c r="G1519" t="s">
        <v>2432</v>
      </c>
      <c r="H1519" s="7">
        <v>725</v>
      </c>
    </row>
    <row r="1520" spans="1:8" x14ac:dyDescent="0.3">
      <c r="A1520">
        <v>7054</v>
      </c>
      <c r="B1520" t="s">
        <v>5</v>
      </c>
      <c r="C1520" t="s">
        <v>236</v>
      </c>
      <c r="D1520" t="s">
        <v>340</v>
      </c>
      <c r="E1520" t="s">
        <v>8</v>
      </c>
      <c r="F1520" t="s">
        <v>9</v>
      </c>
      <c r="G1520" t="s">
        <v>4536</v>
      </c>
      <c r="H1520" s="7">
        <v>725</v>
      </c>
    </row>
    <row r="1521" spans="1:8" x14ac:dyDescent="0.3">
      <c r="A1521">
        <v>7057</v>
      </c>
      <c r="B1521" t="s">
        <v>210</v>
      </c>
      <c r="C1521" t="s">
        <v>1824</v>
      </c>
      <c r="D1521" t="s">
        <v>107</v>
      </c>
      <c r="E1521" t="s">
        <v>8</v>
      </c>
      <c r="F1521" t="s">
        <v>21</v>
      </c>
      <c r="G1521" t="s">
        <v>3547</v>
      </c>
      <c r="H1521" s="7">
        <v>90745</v>
      </c>
    </row>
    <row r="1522" spans="1:8" x14ac:dyDescent="0.3">
      <c r="A1522">
        <v>7058</v>
      </c>
      <c r="B1522" t="s">
        <v>5</v>
      </c>
      <c r="C1522" t="s">
        <v>841</v>
      </c>
      <c r="D1522" t="s">
        <v>1113</v>
      </c>
      <c r="E1522" t="s">
        <v>8</v>
      </c>
      <c r="F1522" t="s">
        <v>9</v>
      </c>
      <c r="G1522" t="s">
        <v>1208</v>
      </c>
      <c r="H1522" s="7">
        <v>725</v>
      </c>
    </row>
    <row r="1523" spans="1:8" x14ac:dyDescent="0.3">
      <c r="A1523">
        <v>7066</v>
      </c>
      <c r="B1523" t="s">
        <v>1123</v>
      </c>
      <c r="C1523" t="s">
        <v>1788</v>
      </c>
      <c r="D1523" t="s">
        <v>2511</v>
      </c>
      <c r="E1523" t="s">
        <v>8</v>
      </c>
      <c r="F1523" t="s">
        <v>21</v>
      </c>
      <c r="G1523" t="s">
        <v>4618</v>
      </c>
      <c r="H1523" s="7">
        <v>93702</v>
      </c>
    </row>
    <row r="1524" spans="1:8" x14ac:dyDescent="0.3">
      <c r="A1524">
        <v>7075</v>
      </c>
      <c r="B1524" t="s">
        <v>18</v>
      </c>
      <c r="C1524" t="s">
        <v>94</v>
      </c>
      <c r="D1524" t="s">
        <v>107</v>
      </c>
      <c r="E1524" t="s">
        <v>95</v>
      </c>
      <c r="F1524" t="s">
        <v>21</v>
      </c>
      <c r="G1524" t="s">
        <v>5397</v>
      </c>
      <c r="H1524" s="7">
        <v>95112</v>
      </c>
    </row>
    <row r="1525" spans="1:8" x14ac:dyDescent="0.3">
      <c r="A1525">
        <v>7076</v>
      </c>
      <c r="B1525" t="s">
        <v>3750</v>
      </c>
      <c r="C1525" t="s">
        <v>93</v>
      </c>
      <c r="D1525" t="s">
        <v>3441</v>
      </c>
      <c r="E1525" t="s">
        <v>95</v>
      </c>
      <c r="F1525" t="s">
        <v>21</v>
      </c>
      <c r="G1525" t="s">
        <v>4147</v>
      </c>
      <c r="H1525" s="7">
        <v>93611</v>
      </c>
    </row>
    <row r="1526" spans="1:8" x14ac:dyDescent="0.3">
      <c r="A1526">
        <v>7079</v>
      </c>
      <c r="B1526" t="s">
        <v>1782</v>
      </c>
      <c r="C1526" t="s">
        <v>700</v>
      </c>
      <c r="D1526" t="s">
        <v>597</v>
      </c>
      <c r="E1526" t="s">
        <v>95</v>
      </c>
      <c r="F1526" t="s">
        <v>140</v>
      </c>
      <c r="G1526" t="s">
        <v>5608</v>
      </c>
      <c r="H1526" s="7">
        <v>30066</v>
      </c>
    </row>
    <row r="1527" spans="1:8" x14ac:dyDescent="0.3">
      <c r="A1527">
        <v>7084</v>
      </c>
      <c r="B1527" t="s">
        <v>3930</v>
      </c>
      <c r="C1527" t="s">
        <v>1824</v>
      </c>
      <c r="D1527" t="s">
        <v>107</v>
      </c>
      <c r="E1527" t="s">
        <v>95</v>
      </c>
      <c r="F1527" t="s">
        <v>21</v>
      </c>
      <c r="G1527" t="s">
        <v>4599</v>
      </c>
      <c r="H1527" s="7">
        <v>93257</v>
      </c>
    </row>
    <row r="1528" spans="1:8" x14ac:dyDescent="0.3">
      <c r="A1528">
        <v>7095</v>
      </c>
      <c r="B1528" t="s">
        <v>5</v>
      </c>
      <c r="C1528" t="s">
        <v>2713</v>
      </c>
      <c r="D1528" t="s">
        <v>3468</v>
      </c>
      <c r="E1528" t="s">
        <v>8</v>
      </c>
      <c r="F1528" t="s">
        <v>9</v>
      </c>
      <c r="G1528" t="s">
        <v>3227</v>
      </c>
      <c r="H1528" s="7">
        <v>725</v>
      </c>
    </row>
    <row r="1529" spans="1:8" x14ac:dyDescent="0.3">
      <c r="A1529">
        <v>7097</v>
      </c>
      <c r="B1529" t="s">
        <v>5</v>
      </c>
      <c r="C1529" t="s">
        <v>1103</v>
      </c>
      <c r="D1529" t="s">
        <v>53</v>
      </c>
      <c r="E1529" t="s">
        <v>8</v>
      </c>
      <c r="F1529" t="s">
        <v>9</v>
      </c>
      <c r="G1529" t="s">
        <v>3380</v>
      </c>
      <c r="H1529" s="7">
        <v>725</v>
      </c>
    </row>
    <row r="1530" spans="1:8" x14ac:dyDescent="0.3">
      <c r="A1530">
        <v>7105</v>
      </c>
      <c r="B1530" t="s">
        <v>1139</v>
      </c>
      <c r="C1530" t="s">
        <v>1112</v>
      </c>
      <c r="D1530" t="s">
        <v>107</v>
      </c>
      <c r="E1530" t="s">
        <v>95</v>
      </c>
      <c r="F1530" t="s">
        <v>114</v>
      </c>
      <c r="G1530" t="s">
        <v>3766</v>
      </c>
      <c r="H1530" s="7">
        <v>79927</v>
      </c>
    </row>
    <row r="1531" spans="1:8" x14ac:dyDescent="0.3">
      <c r="A1531">
        <v>7110</v>
      </c>
      <c r="B1531" t="s">
        <v>673</v>
      </c>
      <c r="C1531" t="s">
        <v>597</v>
      </c>
      <c r="D1531" t="s">
        <v>1156</v>
      </c>
      <c r="E1531" t="s">
        <v>8</v>
      </c>
      <c r="F1531" t="s">
        <v>108</v>
      </c>
      <c r="G1531" t="s">
        <v>1157</v>
      </c>
      <c r="H1531" s="7">
        <v>97007</v>
      </c>
    </row>
    <row r="1532" spans="1:8" x14ac:dyDescent="0.3">
      <c r="A1532">
        <v>7124</v>
      </c>
      <c r="B1532" t="s">
        <v>5</v>
      </c>
      <c r="C1532" t="s">
        <v>1391</v>
      </c>
      <c r="D1532" t="s">
        <v>441</v>
      </c>
      <c r="E1532" t="s">
        <v>8</v>
      </c>
      <c r="F1532" t="s">
        <v>9</v>
      </c>
      <c r="G1532" t="s">
        <v>1419</v>
      </c>
      <c r="H1532" s="7">
        <v>725</v>
      </c>
    </row>
    <row r="1533" spans="1:8" x14ac:dyDescent="0.3">
      <c r="A1533">
        <v>7133</v>
      </c>
      <c r="B1533" t="s">
        <v>1116</v>
      </c>
      <c r="C1533" t="s">
        <v>1117</v>
      </c>
      <c r="D1533" t="s">
        <v>107</v>
      </c>
      <c r="E1533" t="s">
        <v>8</v>
      </c>
      <c r="F1533" t="s">
        <v>1118</v>
      </c>
      <c r="G1533" t="s">
        <v>1119</v>
      </c>
      <c r="H1533" s="7">
        <v>55112</v>
      </c>
    </row>
    <row r="1534" spans="1:8" x14ac:dyDescent="0.3">
      <c r="A1534">
        <v>7135</v>
      </c>
      <c r="B1534" t="s">
        <v>281</v>
      </c>
      <c r="C1534" t="s">
        <v>573</v>
      </c>
      <c r="D1534" t="s">
        <v>161</v>
      </c>
      <c r="E1534" t="s">
        <v>8</v>
      </c>
      <c r="F1534" t="s">
        <v>283</v>
      </c>
      <c r="G1534" t="s">
        <v>1458</v>
      </c>
      <c r="H1534" s="7">
        <v>22193</v>
      </c>
    </row>
    <row r="1535" spans="1:8" x14ac:dyDescent="0.3">
      <c r="A1535">
        <v>7137</v>
      </c>
      <c r="B1535" t="s">
        <v>392</v>
      </c>
      <c r="C1535" t="s">
        <v>597</v>
      </c>
      <c r="D1535" t="s">
        <v>2840</v>
      </c>
      <c r="E1535" t="s">
        <v>8</v>
      </c>
      <c r="F1535" t="s">
        <v>21</v>
      </c>
      <c r="G1535" t="s">
        <v>1765</v>
      </c>
      <c r="H1535" s="7">
        <v>94015</v>
      </c>
    </row>
    <row r="1536" spans="1:8" x14ac:dyDescent="0.3">
      <c r="A1536">
        <v>7140</v>
      </c>
      <c r="B1536" t="s">
        <v>18</v>
      </c>
      <c r="C1536" t="s">
        <v>1321</v>
      </c>
      <c r="D1536" t="s">
        <v>264</v>
      </c>
      <c r="E1536" t="s">
        <v>27</v>
      </c>
      <c r="F1536" t="s">
        <v>21</v>
      </c>
      <c r="G1536" t="s">
        <v>4282</v>
      </c>
      <c r="H1536" s="7">
        <v>95124</v>
      </c>
    </row>
    <row r="1537" spans="1:8" x14ac:dyDescent="0.3">
      <c r="A1537">
        <v>7146</v>
      </c>
      <c r="B1537" t="s">
        <v>5</v>
      </c>
      <c r="C1537" t="s">
        <v>1718</v>
      </c>
      <c r="D1537" t="s">
        <v>1785</v>
      </c>
      <c r="E1537" t="s">
        <v>8</v>
      </c>
      <c r="F1537" t="s">
        <v>9</v>
      </c>
      <c r="G1537" t="s">
        <v>3912</v>
      </c>
      <c r="H1537" s="7">
        <v>725</v>
      </c>
    </row>
    <row r="1538" spans="1:8" x14ac:dyDescent="0.3">
      <c r="A1538">
        <v>7149</v>
      </c>
      <c r="B1538" t="s">
        <v>2170</v>
      </c>
      <c r="C1538" t="s">
        <v>4007</v>
      </c>
      <c r="D1538" t="s">
        <v>2728</v>
      </c>
      <c r="E1538" t="s">
        <v>27</v>
      </c>
      <c r="F1538" t="s">
        <v>248</v>
      </c>
      <c r="G1538" t="s">
        <v>533</v>
      </c>
      <c r="H1538" s="7">
        <v>44130</v>
      </c>
    </row>
    <row r="1539" spans="1:8" x14ac:dyDescent="0.3">
      <c r="A1539">
        <v>7162</v>
      </c>
      <c r="B1539" t="s">
        <v>495</v>
      </c>
      <c r="C1539" t="s">
        <v>1080</v>
      </c>
      <c r="D1539" t="s">
        <v>107</v>
      </c>
      <c r="E1539" t="s">
        <v>27</v>
      </c>
      <c r="F1539" t="s">
        <v>88</v>
      </c>
      <c r="G1539" t="s">
        <v>4949</v>
      </c>
      <c r="H1539" s="7">
        <v>11219</v>
      </c>
    </row>
    <row r="1540" spans="1:8" x14ac:dyDescent="0.3">
      <c r="A1540">
        <v>7170</v>
      </c>
      <c r="B1540" t="s">
        <v>117</v>
      </c>
      <c r="C1540" t="s">
        <v>1510</v>
      </c>
      <c r="D1540" t="s">
        <v>1304</v>
      </c>
      <c r="E1540" t="s">
        <v>8</v>
      </c>
      <c r="F1540" t="s">
        <v>21</v>
      </c>
      <c r="G1540" t="s">
        <v>3219</v>
      </c>
      <c r="H1540" s="7">
        <v>92115</v>
      </c>
    </row>
    <row r="1541" spans="1:8" x14ac:dyDescent="0.3">
      <c r="A1541">
        <v>7173</v>
      </c>
      <c r="B1541" t="s">
        <v>854</v>
      </c>
      <c r="C1541" t="s">
        <v>93</v>
      </c>
      <c r="D1541" t="s">
        <v>855</v>
      </c>
      <c r="E1541" t="s">
        <v>8</v>
      </c>
      <c r="F1541" t="s">
        <v>108</v>
      </c>
      <c r="G1541" t="s">
        <v>856</v>
      </c>
      <c r="H1541" s="7">
        <v>97303</v>
      </c>
    </row>
    <row r="1542" spans="1:8" x14ac:dyDescent="0.3">
      <c r="A1542">
        <v>7180</v>
      </c>
      <c r="B1542" t="s">
        <v>1020</v>
      </c>
      <c r="C1542" t="s">
        <v>93</v>
      </c>
      <c r="D1542" t="s">
        <v>1021</v>
      </c>
      <c r="E1542" t="s">
        <v>8</v>
      </c>
      <c r="F1542" t="s">
        <v>21</v>
      </c>
      <c r="G1542" t="s">
        <v>1022</v>
      </c>
      <c r="H1542" s="7">
        <v>91331</v>
      </c>
    </row>
    <row r="1543" spans="1:8" x14ac:dyDescent="0.3">
      <c r="A1543">
        <v>7182</v>
      </c>
      <c r="B1543" t="s">
        <v>5</v>
      </c>
      <c r="C1543" t="s">
        <v>93</v>
      </c>
      <c r="D1543" t="s">
        <v>3116</v>
      </c>
      <c r="E1543" t="s">
        <v>8</v>
      </c>
      <c r="F1543" t="s">
        <v>9</v>
      </c>
      <c r="G1543" t="s">
        <v>4851</v>
      </c>
      <c r="H1543" s="7">
        <v>725</v>
      </c>
    </row>
    <row r="1544" spans="1:8" x14ac:dyDescent="0.3">
      <c r="A1544">
        <v>7186</v>
      </c>
      <c r="B1544" t="s">
        <v>5</v>
      </c>
      <c r="C1544" t="s">
        <v>93</v>
      </c>
      <c r="D1544" t="s">
        <v>1629</v>
      </c>
      <c r="E1544" t="s">
        <v>8</v>
      </c>
      <c r="F1544" t="s">
        <v>9</v>
      </c>
      <c r="G1544" t="s">
        <v>3169</v>
      </c>
      <c r="H1544" s="7">
        <v>725</v>
      </c>
    </row>
    <row r="1545" spans="1:8" x14ac:dyDescent="0.3">
      <c r="A1545">
        <v>7192</v>
      </c>
      <c r="B1545" t="s">
        <v>1279</v>
      </c>
      <c r="C1545" t="s">
        <v>93</v>
      </c>
      <c r="D1545" t="s">
        <v>1280</v>
      </c>
      <c r="E1545" t="s">
        <v>8</v>
      </c>
      <c r="F1545" t="s">
        <v>242</v>
      </c>
      <c r="G1545" t="s">
        <v>1281</v>
      </c>
      <c r="H1545" s="7">
        <v>21502</v>
      </c>
    </row>
    <row r="1546" spans="1:8" x14ac:dyDescent="0.3">
      <c r="A1546">
        <v>7196</v>
      </c>
      <c r="B1546" t="s">
        <v>5</v>
      </c>
      <c r="C1546" t="s">
        <v>841</v>
      </c>
      <c r="D1546" t="s">
        <v>4940</v>
      </c>
      <c r="E1546" t="s">
        <v>27</v>
      </c>
      <c r="F1546" t="s">
        <v>9</v>
      </c>
      <c r="G1546" t="s">
        <v>5476</v>
      </c>
      <c r="H1546" s="7">
        <v>725</v>
      </c>
    </row>
    <row r="1547" spans="1:8" x14ac:dyDescent="0.3">
      <c r="A1547">
        <v>7199</v>
      </c>
      <c r="B1547" t="s">
        <v>1313</v>
      </c>
      <c r="C1547" t="s">
        <v>251</v>
      </c>
      <c r="D1547" t="s">
        <v>4319</v>
      </c>
      <c r="E1547" t="s">
        <v>8</v>
      </c>
      <c r="F1547" t="s">
        <v>448</v>
      </c>
      <c r="G1547" t="s">
        <v>5294</v>
      </c>
      <c r="H1547" s="7">
        <v>33162</v>
      </c>
    </row>
    <row r="1548" spans="1:8" x14ac:dyDescent="0.3">
      <c r="A1548">
        <v>7200</v>
      </c>
      <c r="B1548" t="s">
        <v>5</v>
      </c>
      <c r="C1548" t="s">
        <v>407</v>
      </c>
      <c r="D1548" t="s">
        <v>107</v>
      </c>
      <c r="E1548" t="s">
        <v>8</v>
      </c>
      <c r="F1548" t="s">
        <v>9</v>
      </c>
      <c r="G1548" t="s">
        <v>408</v>
      </c>
      <c r="H1548" s="7">
        <v>725</v>
      </c>
    </row>
    <row r="1549" spans="1:8" x14ac:dyDescent="0.3">
      <c r="A1549">
        <v>7202</v>
      </c>
      <c r="B1549" t="s">
        <v>5</v>
      </c>
      <c r="C1549" t="s">
        <v>1032</v>
      </c>
      <c r="D1549" t="s">
        <v>107</v>
      </c>
      <c r="E1549" t="s">
        <v>8</v>
      </c>
      <c r="F1549" t="s">
        <v>9</v>
      </c>
      <c r="G1549" t="s">
        <v>4041</v>
      </c>
      <c r="H1549" s="7">
        <v>725</v>
      </c>
    </row>
    <row r="1550" spans="1:8" x14ac:dyDescent="0.3">
      <c r="A1550">
        <v>7211</v>
      </c>
      <c r="B1550" t="s">
        <v>3433</v>
      </c>
      <c r="C1550" t="s">
        <v>1188</v>
      </c>
      <c r="D1550" t="s">
        <v>107</v>
      </c>
      <c r="E1550" t="s">
        <v>27</v>
      </c>
      <c r="F1550" t="s">
        <v>729</v>
      </c>
      <c r="G1550" t="s">
        <v>3825</v>
      </c>
      <c r="H1550" s="7">
        <v>80126</v>
      </c>
    </row>
    <row r="1551" spans="1:8" x14ac:dyDescent="0.3">
      <c r="A1551">
        <v>7214</v>
      </c>
      <c r="B1551" t="s">
        <v>3008</v>
      </c>
      <c r="C1551" t="s">
        <v>93</v>
      </c>
      <c r="D1551" t="s">
        <v>107</v>
      </c>
      <c r="E1551" t="s">
        <v>27</v>
      </c>
      <c r="F1551" t="s">
        <v>158</v>
      </c>
      <c r="G1551" t="s">
        <v>4953</v>
      </c>
      <c r="H1551" s="7">
        <v>38116</v>
      </c>
    </row>
    <row r="1552" spans="1:8" x14ac:dyDescent="0.3">
      <c r="A1552">
        <v>7215</v>
      </c>
      <c r="B1552" t="s">
        <v>5</v>
      </c>
      <c r="C1552" t="s">
        <v>711</v>
      </c>
      <c r="D1552" t="s">
        <v>2566</v>
      </c>
      <c r="E1552" t="s">
        <v>8</v>
      </c>
      <c r="F1552" t="s">
        <v>9</v>
      </c>
      <c r="G1552" t="s">
        <v>4509</v>
      </c>
      <c r="H1552" s="7">
        <v>725</v>
      </c>
    </row>
    <row r="1553" spans="1:8" x14ac:dyDescent="0.3">
      <c r="A1553">
        <v>7216</v>
      </c>
      <c r="B1553" t="s">
        <v>1493</v>
      </c>
      <c r="C1553" t="s">
        <v>93</v>
      </c>
      <c r="D1553" t="s">
        <v>4359</v>
      </c>
      <c r="E1553" t="s">
        <v>8</v>
      </c>
      <c r="F1553" t="s">
        <v>21</v>
      </c>
      <c r="G1553" t="s">
        <v>4360</v>
      </c>
      <c r="H1553" s="7">
        <v>92346</v>
      </c>
    </row>
    <row r="1554" spans="1:8" x14ac:dyDescent="0.3">
      <c r="A1554">
        <v>7217</v>
      </c>
      <c r="B1554" t="s">
        <v>5</v>
      </c>
      <c r="C1554" t="s">
        <v>2057</v>
      </c>
      <c r="D1554" t="s">
        <v>107</v>
      </c>
      <c r="E1554" t="s">
        <v>27</v>
      </c>
      <c r="F1554" t="s">
        <v>9</v>
      </c>
      <c r="G1554" t="s">
        <v>2058</v>
      </c>
      <c r="H1554" s="7">
        <v>725</v>
      </c>
    </row>
    <row r="1555" spans="1:8" x14ac:dyDescent="0.3">
      <c r="A1555">
        <v>7222</v>
      </c>
      <c r="B1555" t="s">
        <v>3458</v>
      </c>
      <c r="C1555" t="s">
        <v>1738</v>
      </c>
      <c r="D1555" t="s">
        <v>193</v>
      </c>
      <c r="E1555" t="s">
        <v>8</v>
      </c>
      <c r="F1555" t="s">
        <v>21</v>
      </c>
      <c r="G1555" t="s">
        <v>3459</v>
      </c>
      <c r="H1555" s="7">
        <v>93436</v>
      </c>
    </row>
    <row r="1556" spans="1:8" x14ac:dyDescent="0.3">
      <c r="A1556">
        <v>7225</v>
      </c>
      <c r="B1556" t="s">
        <v>1313</v>
      </c>
      <c r="C1556" t="s">
        <v>93</v>
      </c>
      <c r="D1556" t="s">
        <v>3443</v>
      </c>
      <c r="E1556" t="s">
        <v>95</v>
      </c>
      <c r="F1556" t="s">
        <v>448</v>
      </c>
      <c r="G1556" t="s">
        <v>5664</v>
      </c>
      <c r="H1556" s="7">
        <v>33147</v>
      </c>
    </row>
    <row r="1557" spans="1:8" x14ac:dyDescent="0.3">
      <c r="A1557">
        <v>7226</v>
      </c>
      <c r="B1557" t="s">
        <v>3438</v>
      </c>
      <c r="C1557" t="s">
        <v>2025</v>
      </c>
      <c r="D1557" t="s">
        <v>107</v>
      </c>
      <c r="E1557" t="s">
        <v>95</v>
      </c>
      <c r="F1557" t="s">
        <v>749</v>
      </c>
      <c r="G1557" t="s">
        <v>3439</v>
      </c>
      <c r="H1557" s="7">
        <v>46360</v>
      </c>
    </row>
    <row r="1558" spans="1:8" x14ac:dyDescent="0.3">
      <c r="A1558">
        <v>7227</v>
      </c>
      <c r="B1558" t="s">
        <v>5</v>
      </c>
      <c r="C1558" t="s">
        <v>93</v>
      </c>
      <c r="D1558" t="s">
        <v>974</v>
      </c>
      <c r="E1558" t="s">
        <v>8</v>
      </c>
      <c r="F1558" t="s">
        <v>9</v>
      </c>
      <c r="G1558" t="s">
        <v>1155</v>
      </c>
      <c r="H1558" s="7">
        <v>725</v>
      </c>
    </row>
    <row r="1559" spans="1:8" x14ac:dyDescent="0.3">
      <c r="A1559">
        <v>7244</v>
      </c>
      <c r="B1559" t="s">
        <v>677</v>
      </c>
      <c r="C1559" t="s">
        <v>1713</v>
      </c>
      <c r="D1559" t="s">
        <v>733</v>
      </c>
      <c r="E1559" t="s">
        <v>95</v>
      </c>
      <c r="F1559" t="s">
        <v>114</v>
      </c>
      <c r="G1559" t="s">
        <v>4902</v>
      </c>
      <c r="H1559" s="7">
        <v>77840</v>
      </c>
    </row>
    <row r="1560" spans="1:8" x14ac:dyDescent="0.3">
      <c r="A1560">
        <v>7252</v>
      </c>
      <c r="B1560" t="s">
        <v>5315</v>
      </c>
      <c r="C1560" t="s">
        <v>93</v>
      </c>
      <c r="D1560" t="s">
        <v>107</v>
      </c>
      <c r="E1560" t="s">
        <v>8</v>
      </c>
      <c r="F1560" t="s">
        <v>308</v>
      </c>
      <c r="G1560" t="s">
        <v>3631</v>
      </c>
      <c r="H1560" s="7">
        <v>7728</v>
      </c>
    </row>
    <row r="1561" spans="1:8" x14ac:dyDescent="0.3">
      <c r="A1561">
        <v>7260</v>
      </c>
      <c r="B1561" t="s">
        <v>5</v>
      </c>
      <c r="C1561" t="s">
        <v>1714</v>
      </c>
      <c r="D1561" t="s">
        <v>113</v>
      </c>
      <c r="E1561" t="s">
        <v>27</v>
      </c>
      <c r="F1561" t="s">
        <v>9</v>
      </c>
      <c r="G1561" t="s">
        <v>3286</v>
      </c>
      <c r="H1561" s="7">
        <v>725</v>
      </c>
    </row>
    <row r="1562" spans="1:8" x14ac:dyDescent="0.3">
      <c r="A1562">
        <v>7268</v>
      </c>
      <c r="B1562" t="s">
        <v>1746</v>
      </c>
      <c r="C1562" t="s">
        <v>93</v>
      </c>
      <c r="D1562" t="s">
        <v>2890</v>
      </c>
      <c r="E1562" t="s">
        <v>27</v>
      </c>
      <c r="F1562" t="s">
        <v>21</v>
      </c>
      <c r="G1562" t="s">
        <v>1968</v>
      </c>
      <c r="H1562" s="7">
        <v>95616</v>
      </c>
    </row>
    <row r="1563" spans="1:8" x14ac:dyDescent="0.3">
      <c r="A1563">
        <v>7270</v>
      </c>
      <c r="B1563" t="s">
        <v>5</v>
      </c>
      <c r="C1563" t="s">
        <v>93</v>
      </c>
      <c r="D1563" t="s">
        <v>107</v>
      </c>
      <c r="E1563" t="s">
        <v>8</v>
      </c>
      <c r="F1563" t="s">
        <v>9</v>
      </c>
      <c r="G1563" t="s">
        <v>433</v>
      </c>
      <c r="H1563" s="7">
        <v>725</v>
      </c>
    </row>
    <row r="1564" spans="1:8" x14ac:dyDescent="0.3">
      <c r="A1564">
        <v>7273</v>
      </c>
      <c r="B1564" t="s">
        <v>92</v>
      </c>
      <c r="C1564" t="s">
        <v>93</v>
      </c>
      <c r="D1564" t="s">
        <v>107</v>
      </c>
      <c r="E1564" t="s">
        <v>8</v>
      </c>
      <c r="F1564" t="s">
        <v>9</v>
      </c>
      <c r="G1564" t="s">
        <v>4058</v>
      </c>
      <c r="H1564" s="7">
        <v>957</v>
      </c>
    </row>
    <row r="1565" spans="1:8" x14ac:dyDescent="0.3">
      <c r="A1565">
        <v>7274</v>
      </c>
      <c r="B1565" t="s">
        <v>5</v>
      </c>
      <c r="C1565" t="s">
        <v>577</v>
      </c>
      <c r="D1565" t="s">
        <v>578</v>
      </c>
      <c r="E1565" t="s">
        <v>8</v>
      </c>
      <c r="F1565" t="s">
        <v>9</v>
      </c>
      <c r="G1565" t="s">
        <v>579</v>
      </c>
      <c r="H1565" s="7">
        <v>725</v>
      </c>
    </row>
    <row r="1566" spans="1:8" x14ac:dyDescent="0.3">
      <c r="A1566">
        <v>7275</v>
      </c>
      <c r="B1566" t="s">
        <v>2977</v>
      </c>
      <c r="C1566" t="s">
        <v>93</v>
      </c>
      <c r="D1566" t="s">
        <v>3079</v>
      </c>
      <c r="E1566" t="s">
        <v>27</v>
      </c>
      <c r="F1566" t="s">
        <v>2978</v>
      </c>
      <c r="G1566" t="s">
        <v>5270</v>
      </c>
      <c r="H1566" s="7">
        <v>59102</v>
      </c>
    </row>
    <row r="1567" spans="1:8" x14ac:dyDescent="0.3">
      <c r="A1567">
        <v>7282</v>
      </c>
      <c r="B1567" t="s">
        <v>2276</v>
      </c>
      <c r="C1567" t="s">
        <v>1824</v>
      </c>
      <c r="D1567" t="s">
        <v>127</v>
      </c>
      <c r="E1567" t="s">
        <v>27</v>
      </c>
      <c r="F1567" t="s">
        <v>21</v>
      </c>
      <c r="G1567" t="s">
        <v>2277</v>
      </c>
      <c r="H1567" s="7">
        <v>93230</v>
      </c>
    </row>
    <row r="1568" spans="1:8" x14ac:dyDescent="0.3">
      <c r="A1568">
        <v>7285</v>
      </c>
      <c r="B1568" t="s">
        <v>5</v>
      </c>
      <c r="C1568" t="s">
        <v>2047</v>
      </c>
      <c r="D1568" t="s">
        <v>3377</v>
      </c>
      <c r="E1568" t="s">
        <v>8</v>
      </c>
      <c r="F1568" t="s">
        <v>9</v>
      </c>
      <c r="G1568" t="s">
        <v>5247</v>
      </c>
      <c r="H1568" s="7">
        <v>725</v>
      </c>
    </row>
    <row r="1569" spans="1:8" x14ac:dyDescent="0.3">
      <c r="A1569">
        <v>7289</v>
      </c>
      <c r="B1569" t="s">
        <v>174</v>
      </c>
      <c r="C1569" t="s">
        <v>787</v>
      </c>
      <c r="D1569" t="s">
        <v>107</v>
      </c>
      <c r="E1569" t="s">
        <v>8</v>
      </c>
      <c r="F1569" t="s">
        <v>21</v>
      </c>
      <c r="G1569" t="s">
        <v>4547</v>
      </c>
      <c r="H1569" s="7">
        <v>90007</v>
      </c>
    </row>
    <row r="1570" spans="1:8" x14ac:dyDescent="0.3">
      <c r="A1570">
        <v>7292</v>
      </c>
      <c r="B1570" t="s">
        <v>5</v>
      </c>
      <c r="C1570" t="s">
        <v>2124</v>
      </c>
      <c r="D1570" t="s">
        <v>974</v>
      </c>
      <c r="E1570" t="s">
        <v>8</v>
      </c>
      <c r="F1570" t="s">
        <v>9</v>
      </c>
      <c r="G1570" t="s">
        <v>5308</v>
      </c>
      <c r="H1570" s="7">
        <v>725</v>
      </c>
    </row>
    <row r="1571" spans="1:8" x14ac:dyDescent="0.3">
      <c r="A1571">
        <v>7293</v>
      </c>
      <c r="B1571" t="s">
        <v>40</v>
      </c>
      <c r="C1571" t="s">
        <v>93</v>
      </c>
      <c r="D1571" t="s">
        <v>1333</v>
      </c>
      <c r="E1571" t="s">
        <v>8</v>
      </c>
      <c r="F1571" t="s">
        <v>1042</v>
      </c>
      <c r="G1571" t="s">
        <v>4654</v>
      </c>
      <c r="H1571" s="7">
        <v>29720</v>
      </c>
    </row>
    <row r="1572" spans="1:8" x14ac:dyDescent="0.3">
      <c r="A1572">
        <v>7295</v>
      </c>
      <c r="B1572" t="s">
        <v>3822</v>
      </c>
      <c r="C1572" t="s">
        <v>93</v>
      </c>
      <c r="D1572" t="s">
        <v>107</v>
      </c>
      <c r="E1572" t="s">
        <v>95</v>
      </c>
      <c r="F1572" t="s">
        <v>21</v>
      </c>
      <c r="G1572" t="s">
        <v>2784</v>
      </c>
      <c r="H1572" s="7">
        <v>91786</v>
      </c>
    </row>
    <row r="1573" spans="1:8" x14ac:dyDescent="0.3">
      <c r="A1573">
        <v>7297</v>
      </c>
      <c r="B1573" t="s">
        <v>772</v>
      </c>
      <c r="C1573" t="s">
        <v>4151</v>
      </c>
      <c r="D1573" t="s">
        <v>107</v>
      </c>
      <c r="E1573" t="s">
        <v>8</v>
      </c>
      <c r="F1573" t="s">
        <v>21</v>
      </c>
      <c r="G1573" t="s">
        <v>4464</v>
      </c>
      <c r="H1573" s="7">
        <v>95608</v>
      </c>
    </row>
    <row r="1574" spans="1:8" x14ac:dyDescent="0.3">
      <c r="A1574">
        <v>7300</v>
      </c>
      <c r="B1574" t="s">
        <v>4075</v>
      </c>
      <c r="C1574" t="s">
        <v>889</v>
      </c>
      <c r="D1574" t="s">
        <v>1867</v>
      </c>
      <c r="E1574" t="s">
        <v>8</v>
      </c>
      <c r="F1574" t="s">
        <v>36</v>
      </c>
      <c r="G1574" t="s">
        <v>5507</v>
      </c>
      <c r="H1574" s="7">
        <v>2740</v>
      </c>
    </row>
    <row r="1575" spans="1:8" x14ac:dyDescent="0.3">
      <c r="A1575">
        <v>7302</v>
      </c>
      <c r="B1575" t="s">
        <v>495</v>
      </c>
      <c r="C1575" t="s">
        <v>1112</v>
      </c>
      <c r="D1575" t="s">
        <v>1808</v>
      </c>
      <c r="E1575" t="s">
        <v>27</v>
      </c>
      <c r="F1575" t="s">
        <v>88</v>
      </c>
      <c r="G1575" t="s">
        <v>3830</v>
      </c>
      <c r="H1575" s="7">
        <v>11208</v>
      </c>
    </row>
    <row r="1576" spans="1:8" x14ac:dyDescent="0.3">
      <c r="A1576">
        <v>7304</v>
      </c>
      <c r="B1576" t="s">
        <v>5</v>
      </c>
      <c r="C1576" t="s">
        <v>1951</v>
      </c>
      <c r="D1576" t="s">
        <v>1018</v>
      </c>
      <c r="E1576" t="s">
        <v>8</v>
      </c>
      <c r="F1576" t="s">
        <v>9</v>
      </c>
      <c r="G1576" t="s">
        <v>4784</v>
      </c>
      <c r="H1576" s="7">
        <v>725</v>
      </c>
    </row>
    <row r="1577" spans="1:8" x14ac:dyDescent="0.3">
      <c r="A1577">
        <v>7305</v>
      </c>
      <c r="B1577" t="s">
        <v>495</v>
      </c>
      <c r="C1577" t="s">
        <v>1191</v>
      </c>
      <c r="D1577" t="s">
        <v>107</v>
      </c>
      <c r="E1577" t="s">
        <v>27</v>
      </c>
      <c r="F1577" t="s">
        <v>88</v>
      </c>
      <c r="G1577" t="s">
        <v>1505</v>
      </c>
      <c r="H1577" s="7">
        <v>11212</v>
      </c>
    </row>
    <row r="1578" spans="1:8" x14ac:dyDescent="0.3">
      <c r="A1578">
        <v>7314</v>
      </c>
      <c r="B1578" t="s">
        <v>5</v>
      </c>
      <c r="C1578" t="s">
        <v>1468</v>
      </c>
      <c r="D1578" t="s">
        <v>945</v>
      </c>
      <c r="E1578" t="s">
        <v>8</v>
      </c>
      <c r="F1578" t="s">
        <v>9</v>
      </c>
      <c r="G1578" t="s">
        <v>3792</v>
      </c>
      <c r="H1578" s="7">
        <v>725</v>
      </c>
    </row>
    <row r="1579" spans="1:8" x14ac:dyDescent="0.3">
      <c r="A1579">
        <v>7315</v>
      </c>
      <c r="B1579" t="s">
        <v>626</v>
      </c>
      <c r="C1579" t="s">
        <v>93</v>
      </c>
      <c r="D1579" t="s">
        <v>107</v>
      </c>
      <c r="E1579" t="s">
        <v>95</v>
      </c>
      <c r="F1579" t="s">
        <v>55</v>
      </c>
      <c r="G1579" t="s">
        <v>792</v>
      </c>
      <c r="H1579" s="7">
        <v>60123</v>
      </c>
    </row>
    <row r="1580" spans="1:8" x14ac:dyDescent="0.3">
      <c r="A1580">
        <v>7327</v>
      </c>
      <c r="B1580" t="s">
        <v>970</v>
      </c>
      <c r="C1580" t="s">
        <v>3887</v>
      </c>
      <c r="D1580" t="s">
        <v>972</v>
      </c>
      <c r="E1580" t="s">
        <v>8</v>
      </c>
      <c r="F1580" t="s">
        <v>448</v>
      </c>
      <c r="G1580" t="s">
        <v>4135</v>
      </c>
      <c r="H1580" s="7">
        <v>32822</v>
      </c>
    </row>
    <row r="1581" spans="1:8" x14ac:dyDescent="0.3">
      <c r="A1581">
        <v>7332</v>
      </c>
      <c r="B1581" t="s">
        <v>3122</v>
      </c>
      <c r="C1581" t="s">
        <v>93</v>
      </c>
      <c r="D1581" t="s">
        <v>4719</v>
      </c>
      <c r="E1581" t="s">
        <v>27</v>
      </c>
      <c r="F1581" t="s">
        <v>1145</v>
      </c>
      <c r="G1581" t="s">
        <v>5525</v>
      </c>
      <c r="H1581" s="7">
        <v>54935</v>
      </c>
    </row>
    <row r="1582" spans="1:8" x14ac:dyDescent="0.3">
      <c r="A1582">
        <v>7333</v>
      </c>
      <c r="B1582" t="s">
        <v>1213</v>
      </c>
      <c r="C1582" t="s">
        <v>882</v>
      </c>
      <c r="D1582" t="s">
        <v>107</v>
      </c>
      <c r="E1582" t="s">
        <v>8</v>
      </c>
      <c r="F1582" t="s">
        <v>114</v>
      </c>
      <c r="G1582" t="s">
        <v>1960</v>
      </c>
      <c r="H1582" s="7">
        <v>75080</v>
      </c>
    </row>
    <row r="1583" spans="1:8" x14ac:dyDescent="0.3">
      <c r="A1583">
        <v>7338</v>
      </c>
      <c r="B1583" t="s">
        <v>4468</v>
      </c>
      <c r="C1583" t="s">
        <v>236</v>
      </c>
      <c r="D1583" t="s">
        <v>2285</v>
      </c>
      <c r="E1583" t="s">
        <v>27</v>
      </c>
      <c r="F1583" t="s">
        <v>21</v>
      </c>
      <c r="G1583" t="s">
        <v>1341</v>
      </c>
      <c r="H1583" s="7">
        <v>92071</v>
      </c>
    </row>
    <row r="1584" spans="1:8" x14ac:dyDescent="0.3">
      <c r="A1584">
        <v>7340</v>
      </c>
      <c r="B1584" t="s">
        <v>174</v>
      </c>
      <c r="C1584" t="s">
        <v>891</v>
      </c>
      <c r="D1584" t="s">
        <v>842</v>
      </c>
      <c r="E1584" t="s">
        <v>27</v>
      </c>
      <c r="F1584" t="s">
        <v>21</v>
      </c>
      <c r="G1584" t="s">
        <v>4736</v>
      </c>
      <c r="H1584" s="7">
        <v>90016</v>
      </c>
    </row>
    <row r="1585" spans="1:8" x14ac:dyDescent="0.3">
      <c r="A1585">
        <v>7341</v>
      </c>
      <c r="B1585" t="s">
        <v>5</v>
      </c>
      <c r="C1585" t="s">
        <v>1824</v>
      </c>
      <c r="D1585" t="s">
        <v>2364</v>
      </c>
      <c r="E1585" t="s">
        <v>8</v>
      </c>
      <c r="F1585" t="s">
        <v>9</v>
      </c>
      <c r="G1585" t="s">
        <v>3611</v>
      </c>
      <c r="H1585" s="7">
        <v>725</v>
      </c>
    </row>
    <row r="1586" spans="1:8" x14ac:dyDescent="0.3">
      <c r="A1586">
        <v>7349</v>
      </c>
      <c r="B1586" t="s">
        <v>5</v>
      </c>
      <c r="C1586" t="s">
        <v>106</v>
      </c>
      <c r="D1586" t="s">
        <v>403</v>
      </c>
      <c r="E1586" t="s">
        <v>27</v>
      </c>
      <c r="F1586" t="s">
        <v>9</v>
      </c>
      <c r="G1586" t="s">
        <v>2601</v>
      </c>
      <c r="H1586" s="7">
        <v>725</v>
      </c>
    </row>
    <row r="1587" spans="1:8" x14ac:dyDescent="0.3">
      <c r="A1587">
        <v>7350</v>
      </c>
      <c r="B1587" t="s">
        <v>976</v>
      </c>
      <c r="C1587" t="s">
        <v>795</v>
      </c>
      <c r="D1587" t="s">
        <v>107</v>
      </c>
      <c r="E1587" t="s">
        <v>27</v>
      </c>
      <c r="F1587" t="s">
        <v>153</v>
      </c>
      <c r="G1587" t="s">
        <v>5372</v>
      </c>
      <c r="H1587" s="7">
        <v>84119</v>
      </c>
    </row>
    <row r="1588" spans="1:8" x14ac:dyDescent="0.3">
      <c r="A1588">
        <v>7352</v>
      </c>
      <c r="B1588" t="s">
        <v>789</v>
      </c>
      <c r="C1588" t="s">
        <v>790</v>
      </c>
      <c r="D1588" t="s">
        <v>107</v>
      </c>
      <c r="E1588" t="s">
        <v>8</v>
      </c>
      <c r="F1588" t="s">
        <v>21</v>
      </c>
      <c r="G1588" t="s">
        <v>791</v>
      </c>
      <c r="H1588" s="7">
        <v>92802</v>
      </c>
    </row>
    <row r="1589" spans="1:8" x14ac:dyDescent="0.3">
      <c r="A1589">
        <v>7362</v>
      </c>
      <c r="B1589" t="s">
        <v>2243</v>
      </c>
      <c r="C1589" t="s">
        <v>230</v>
      </c>
      <c r="D1589" t="s">
        <v>107</v>
      </c>
      <c r="E1589" t="s">
        <v>8</v>
      </c>
      <c r="F1589" t="s">
        <v>248</v>
      </c>
      <c r="G1589" t="s">
        <v>4965</v>
      </c>
      <c r="H1589" s="7">
        <v>44107</v>
      </c>
    </row>
    <row r="1590" spans="1:8" x14ac:dyDescent="0.3">
      <c r="A1590">
        <v>7364</v>
      </c>
      <c r="B1590" t="s">
        <v>5</v>
      </c>
      <c r="C1590" t="s">
        <v>2452</v>
      </c>
      <c r="D1590" t="s">
        <v>107</v>
      </c>
      <c r="E1590" t="s">
        <v>8</v>
      </c>
      <c r="F1590" t="s">
        <v>9</v>
      </c>
      <c r="G1590" t="s">
        <v>1456</v>
      </c>
      <c r="H1590" s="7">
        <v>725</v>
      </c>
    </row>
    <row r="1591" spans="1:8" x14ac:dyDescent="0.3">
      <c r="A1591">
        <v>7368</v>
      </c>
      <c r="B1591" t="s">
        <v>443</v>
      </c>
      <c r="C1591" t="s">
        <v>1103</v>
      </c>
      <c r="D1591" t="s">
        <v>2183</v>
      </c>
      <c r="E1591" t="s">
        <v>95</v>
      </c>
      <c r="F1591" t="s">
        <v>108</v>
      </c>
      <c r="G1591" t="s">
        <v>3101</v>
      </c>
      <c r="H1591" s="7">
        <v>97229</v>
      </c>
    </row>
    <row r="1592" spans="1:8" x14ac:dyDescent="0.3">
      <c r="A1592">
        <v>7371</v>
      </c>
      <c r="B1592" t="s">
        <v>5</v>
      </c>
      <c r="C1592" t="s">
        <v>288</v>
      </c>
      <c r="D1592" t="s">
        <v>107</v>
      </c>
      <c r="E1592" t="s">
        <v>27</v>
      </c>
      <c r="F1592" t="s">
        <v>9</v>
      </c>
      <c r="G1592" t="s">
        <v>3271</v>
      </c>
      <c r="H1592" s="7">
        <v>725</v>
      </c>
    </row>
    <row r="1593" spans="1:8" x14ac:dyDescent="0.3">
      <c r="A1593">
        <v>7378</v>
      </c>
      <c r="B1593" t="s">
        <v>2504</v>
      </c>
      <c r="C1593" t="s">
        <v>93</v>
      </c>
      <c r="D1593" t="s">
        <v>3026</v>
      </c>
      <c r="E1593" t="s">
        <v>8</v>
      </c>
      <c r="F1593" t="s">
        <v>21</v>
      </c>
      <c r="G1593" t="s">
        <v>5061</v>
      </c>
      <c r="H1593" s="7">
        <v>90660</v>
      </c>
    </row>
    <row r="1594" spans="1:8" x14ac:dyDescent="0.3">
      <c r="A1594">
        <v>7382</v>
      </c>
      <c r="B1594" t="s">
        <v>254</v>
      </c>
      <c r="C1594" t="s">
        <v>1406</v>
      </c>
      <c r="D1594" t="s">
        <v>107</v>
      </c>
      <c r="E1594" t="s">
        <v>8</v>
      </c>
      <c r="F1594" t="s">
        <v>55</v>
      </c>
      <c r="G1594" t="s">
        <v>4666</v>
      </c>
      <c r="H1594" s="7">
        <v>60624</v>
      </c>
    </row>
    <row r="1595" spans="1:8" x14ac:dyDescent="0.3">
      <c r="A1595">
        <v>7383</v>
      </c>
      <c r="B1595" t="s">
        <v>723</v>
      </c>
      <c r="C1595" t="s">
        <v>971</v>
      </c>
      <c r="D1595" t="s">
        <v>733</v>
      </c>
      <c r="E1595" t="s">
        <v>8</v>
      </c>
      <c r="F1595" t="s">
        <v>55</v>
      </c>
      <c r="G1595" t="s">
        <v>4662</v>
      </c>
      <c r="H1595" s="7">
        <v>60504</v>
      </c>
    </row>
    <row r="1596" spans="1:8" x14ac:dyDescent="0.3">
      <c r="A1596">
        <v>7394</v>
      </c>
      <c r="B1596" t="s">
        <v>2496</v>
      </c>
      <c r="C1596" t="s">
        <v>1026</v>
      </c>
      <c r="D1596" t="s">
        <v>2010</v>
      </c>
      <c r="E1596" t="s">
        <v>95</v>
      </c>
      <c r="F1596" t="s">
        <v>1195</v>
      </c>
      <c r="G1596" t="s">
        <v>2649</v>
      </c>
      <c r="H1596" s="7">
        <v>98226</v>
      </c>
    </row>
    <row r="1597" spans="1:8" x14ac:dyDescent="0.3">
      <c r="A1597">
        <v>7395</v>
      </c>
      <c r="B1597" t="s">
        <v>2791</v>
      </c>
      <c r="C1597" t="s">
        <v>1333</v>
      </c>
      <c r="D1597" t="s">
        <v>1479</v>
      </c>
      <c r="E1597" t="s">
        <v>27</v>
      </c>
      <c r="F1597" t="s">
        <v>308</v>
      </c>
      <c r="G1597" t="s">
        <v>3652</v>
      </c>
      <c r="H1597" s="7">
        <v>8816</v>
      </c>
    </row>
    <row r="1598" spans="1:8" x14ac:dyDescent="0.3">
      <c r="A1598">
        <v>7403</v>
      </c>
      <c r="B1598" t="s">
        <v>131</v>
      </c>
      <c r="C1598" t="s">
        <v>1109</v>
      </c>
      <c r="D1598" t="s">
        <v>107</v>
      </c>
      <c r="E1598" t="s">
        <v>8</v>
      </c>
      <c r="F1598" t="s">
        <v>134</v>
      </c>
      <c r="G1598" t="s">
        <v>4999</v>
      </c>
      <c r="H1598" s="7">
        <v>96822</v>
      </c>
    </row>
    <row r="1599" spans="1:8" x14ac:dyDescent="0.3">
      <c r="A1599">
        <v>7414</v>
      </c>
      <c r="B1599" t="s">
        <v>1688</v>
      </c>
      <c r="C1599" t="s">
        <v>1406</v>
      </c>
      <c r="D1599" t="s">
        <v>107</v>
      </c>
      <c r="E1599" t="s">
        <v>8</v>
      </c>
      <c r="F1599" t="s">
        <v>114</v>
      </c>
      <c r="G1599" t="s">
        <v>4974</v>
      </c>
      <c r="H1599" s="7">
        <v>78040</v>
      </c>
    </row>
    <row r="1600" spans="1:8" x14ac:dyDescent="0.3">
      <c r="A1600">
        <v>7428</v>
      </c>
      <c r="B1600" t="s">
        <v>5</v>
      </c>
      <c r="C1600" t="s">
        <v>93</v>
      </c>
      <c r="D1600" t="s">
        <v>1727</v>
      </c>
      <c r="E1600" t="s">
        <v>95</v>
      </c>
      <c r="F1600" t="s">
        <v>9</v>
      </c>
      <c r="G1600" t="s">
        <v>1728</v>
      </c>
      <c r="H1600" s="7">
        <v>725</v>
      </c>
    </row>
    <row r="1601" spans="1:8" x14ac:dyDescent="0.3">
      <c r="A1601">
        <v>7434</v>
      </c>
      <c r="B1601" t="s">
        <v>1029</v>
      </c>
      <c r="C1601" t="s">
        <v>93</v>
      </c>
      <c r="D1601" t="s">
        <v>1030</v>
      </c>
      <c r="E1601" t="s">
        <v>8</v>
      </c>
      <c r="F1601" t="s">
        <v>158</v>
      </c>
      <c r="G1601" t="s">
        <v>1031</v>
      </c>
      <c r="H1601" s="7">
        <v>38018</v>
      </c>
    </row>
    <row r="1602" spans="1:8" x14ac:dyDescent="0.3">
      <c r="A1602">
        <v>7436</v>
      </c>
      <c r="B1602" t="s">
        <v>840</v>
      </c>
      <c r="C1602" t="s">
        <v>841</v>
      </c>
      <c r="D1602" t="s">
        <v>842</v>
      </c>
      <c r="E1602" t="s">
        <v>8</v>
      </c>
      <c r="F1602" t="s">
        <v>21</v>
      </c>
      <c r="G1602" t="s">
        <v>843</v>
      </c>
      <c r="H1602" s="7">
        <v>94533</v>
      </c>
    </row>
    <row r="1603" spans="1:8" x14ac:dyDescent="0.3">
      <c r="A1603">
        <v>7441</v>
      </c>
      <c r="B1603" t="s">
        <v>263</v>
      </c>
      <c r="C1603" t="s">
        <v>577</v>
      </c>
      <c r="D1603" t="s">
        <v>107</v>
      </c>
      <c r="E1603" t="s">
        <v>8</v>
      </c>
      <c r="F1603" t="s">
        <v>55</v>
      </c>
      <c r="G1603" t="s">
        <v>4779</v>
      </c>
      <c r="H1603" s="7">
        <v>60435</v>
      </c>
    </row>
    <row r="1604" spans="1:8" x14ac:dyDescent="0.3">
      <c r="A1604">
        <v>7451</v>
      </c>
      <c r="B1604" t="s">
        <v>1025</v>
      </c>
      <c r="C1604" t="s">
        <v>1735</v>
      </c>
      <c r="D1604" t="s">
        <v>107</v>
      </c>
      <c r="E1604" t="s">
        <v>27</v>
      </c>
      <c r="F1604" t="s">
        <v>55</v>
      </c>
      <c r="G1604" t="s">
        <v>3745</v>
      </c>
      <c r="H1604" s="7">
        <v>61265</v>
      </c>
    </row>
    <row r="1605" spans="1:8" x14ac:dyDescent="0.3">
      <c r="A1605">
        <v>7454</v>
      </c>
      <c r="B1605" t="s">
        <v>296</v>
      </c>
      <c r="C1605" t="s">
        <v>564</v>
      </c>
      <c r="D1605" t="s">
        <v>53</v>
      </c>
      <c r="E1605" t="s">
        <v>27</v>
      </c>
      <c r="F1605" t="s">
        <v>21</v>
      </c>
      <c r="G1605" t="s">
        <v>3963</v>
      </c>
      <c r="H1605" s="7">
        <v>91790</v>
      </c>
    </row>
    <row r="1606" spans="1:8" x14ac:dyDescent="0.3">
      <c r="A1606">
        <v>7458</v>
      </c>
      <c r="B1606" t="s">
        <v>5</v>
      </c>
      <c r="C1606" t="s">
        <v>4151</v>
      </c>
      <c r="D1606" t="s">
        <v>1291</v>
      </c>
      <c r="E1606" t="s">
        <v>8</v>
      </c>
      <c r="F1606" t="s">
        <v>9</v>
      </c>
      <c r="G1606" t="s">
        <v>5257</v>
      </c>
      <c r="H1606" s="7">
        <v>725</v>
      </c>
    </row>
    <row r="1607" spans="1:8" x14ac:dyDescent="0.3">
      <c r="A1607">
        <v>7463</v>
      </c>
      <c r="B1607" t="s">
        <v>5</v>
      </c>
      <c r="C1607" t="s">
        <v>93</v>
      </c>
      <c r="D1607" t="s">
        <v>107</v>
      </c>
      <c r="E1607" t="s">
        <v>8</v>
      </c>
      <c r="F1607" t="s">
        <v>9</v>
      </c>
      <c r="G1607" t="s">
        <v>5670</v>
      </c>
      <c r="H1607" s="7">
        <v>725</v>
      </c>
    </row>
    <row r="1608" spans="1:8" x14ac:dyDescent="0.3">
      <c r="A1608">
        <v>7464</v>
      </c>
      <c r="B1608" t="s">
        <v>1523</v>
      </c>
      <c r="C1608" t="s">
        <v>93</v>
      </c>
      <c r="D1608" t="s">
        <v>3110</v>
      </c>
      <c r="E1608" t="s">
        <v>8</v>
      </c>
      <c r="F1608" t="s">
        <v>21</v>
      </c>
      <c r="G1608" t="s">
        <v>4093</v>
      </c>
      <c r="H1608" s="7">
        <v>90201</v>
      </c>
    </row>
    <row r="1609" spans="1:8" x14ac:dyDescent="0.3">
      <c r="A1609">
        <v>7465</v>
      </c>
      <c r="B1609" t="s">
        <v>1635</v>
      </c>
      <c r="C1609" t="s">
        <v>564</v>
      </c>
      <c r="D1609" t="s">
        <v>107</v>
      </c>
      <c r="E1609" t="s">
        <v>8</v>
      </c>
      <c r="F1609" t="s">
        <v>1177</v>
      </c>
      <c r="G1609" t="s">
        <v>2772</v>
      </c>
      <c r="H1609" s="7">
        <v>87120</v>
      </c>
    </row>
    <row r="1610" spans="1:8" x14ac:dyDescent="0.3">
      <c r="A1610">
        <v>7470</v>
      </c>
      <c r="B1610" t="s">
        <v>970</v>
      </c>
      <c r="C1610" t="s">
        <v>971</v>
      </c>
      <c r="D1610" t="s">
        <v>972</v>
      </c>
      <c r="E1610" t="s">
        <v>8</v>
      </c>
      <c r="F1610" t="s">
        <v>448</v>
      </c>
      <c r="G1610" t="s">
        <v>973</v>
      </c>
      <c r="H1610" s="7">
        <v>32808</v>
      </c>
    </row>
    <row r="1611" spans="1:8" x14ac:dyDescent="0.3">
      <c r="A1611">
        <v>7477</v>
      </c>
      <c r="B1611" t="s">
        <v>5</v>
      </c>
      <c r="C1611" t="s">
        <v>93</v>
      </c>
      <c r="D1611" t="s">
        <v>1862</v>
      </c>
      <c r="E1611" t="s">
        <v>27</v>
      </c>
      <c r="F1611" t="s">
        <v>9</v>
      </c>
      <c r="G1611" t="s">
        <v>5617</v>
      </c>
      <c r="H1611" s="7">
        <v>725</v>
      </c>
    </row>
    <row r="1612" spans="1:8" x14ac:dyDescent="0.3">
      <c r="A1612">
        <v>7478</v>
      </c>
      <c r="B1612" t="s">
        <v>1290</v>
      </c>
      <c r="C1612" t="s">
        <v>1068</v>
      </c>
      <c r="D1612" t="s">
        <v>2263</v>
      </c>
      <c r="E1612" t="s">
        <v>27</v>
      </c>
      <c r="F1612" t="s">
        <v>88</v>
      </c>
      <c r="G1612" t="s">
        <v>2264</v>
      </c>
      <c r="H1612" s="7">
        <v>14221</v>
      </c>
    </row>
    <row r="1613" spans="1:8" x14ac:dyDescent="0.3">
      <c r="A1613">
        <v>7481</v>
      </c>
      <c r="B1613" t="s">
        <v>5</v>
      </c>
      <c r="C1613" t="s">
        <v>499</v>
      </c>
      <c r="D1613" t="s">
        <v>500</v>
      </c>
      <c r="E1613" t="s">
        <v>27</v>
      </c>
      <c r="F1613" t="s">
        <v>9</v>
      </c>
      <c r="G1613" t="s">
        <v>501</v>
      </c>
      <c r="H1613" s="7">
        <v>725</v>
      </c>
    </row>
    <row r="1614" spans="1:8" x14ac:dyDescent="0.3">
      <c r="A1614">
        <v>7489</v>
      </c>
      <c r="B1614" t="s">
        <v>5</v>
      </c>
      <c r="C1614" t="s">
        <v>1034</v>
      </c>
      <c r="D1614" t="s">
        <v>4769</v>
      </c>
      <c r="E1614" t="s">
        <v>27</v>
      </c>
      <c r="F1614" t="s">
        <v>9</v>
      </c>
      <c r="G1614" t="s">
        <v>1932</v>
      </c>
      <c r="H1614" s="7">
        <v>725</v>
      </c>
    </row>
    <row r="1615" spans="1:8" x14ac:dyDescent="0.3">
      <c r="A1615">
        <v>7502</v>
      </c>
      <c r="B1615" t="s">
        <v>5</v>
      </c>
      <c r="C1615" t="s">
        <v>1207</v>
      </c>
      <c r="D1615" t="s">
        <v>107</v>
      </c>
      <c r="E1615" t="s">
        <v>8</v>
      </c>
      <c r="F1615" t="s">
        <v>9</v>
      </c>
      <c r="G1615" t="s">
        <v>4338</v>
      </c>
      <c r="H1615" s="7">
        <v>725</v>
      </c>
    </row>
    <row r="1616" spans="1:8" x14ac:dyDescent="0.3">
      <c r="A1616">
        <v>7506</v>
      </c>
      <c r="B1616" t="s">
        <v>5</v>
      </c>
      <c r="C1616" t="s">
        <v>3887</v>
      </c>
      <c r="D1616" t="s">
        <v>107</v>
      </c>
      <c r="E1616" t="s">
        <v>8</v>
      </c>
      <c r="F1616" t="s">
        <v>9</v>
      </c>
      <c r="G1616" t="s">
        <v>4608</v>
      </c>
      <c r="H1616" s="7">
        <v>725</v>
      </c>
    </row>
    <row r="1617" spans="1:8" x14ac:dyDescent="0.3">
      <c r="A1617">
        <v>7511</v>
      </c>
      <c r="B1617" t="s">
        <v>1313</v>
      </c>
      <c r="C1617" t="s">
        <v>93</v>
      </c>
      <c r="D1617" t="s">
        <v>3245</v>
      </c>
      <c r="E1617" t="s">
        <v>8</v>
      </c>
      <c r="F1617" t="s">
        <v>448</v>
      </c>
      <c r="G1617" t="s">
        <v>3246</v>
      </c>
      <c r="H1617" s="7">
        <v>33176</v>
      </c>
    </row>
    <row r="1618" spans="1:8" x14ac:dyDescent="0.3">
      <c r="A1618">
        <v>7512</v>
      </c>
      <c r="B1618" t="s">
        <v>5</v>
      </c>
      <c r="C1618" t="s">
        <v>1241</v>
      </c>
      <c r="D1618" t="s">
        <v>107</v>
      </c>
      <c r="E1618" t="s">
        <v>8</v>
      </c>
      <c r="F1618" t="s">
        <v>9</v>
      </c>
      <c r="G1618" t="s">
        <v>3131</v>
      </c>
      <c r="H1618" s="7">
        <v>725</v>
      </c>
    </row>
    <row r="1619" spans="1:8" x14ac:dyDescent="0.3">
      <c r="A1619">
        <v>7515</v>
      </c>
      <c r="B1619" t="s">
        <v>1139</v>
      </c>
      <c r="C1619" t="s">
        <v>93</v>
      </c>
      <c r="D1619" t="s">
        <v>107</v>
      </c>
      <c r="E1619" t="s">
        <v>95</v>
      </c>
      <c r="F1619" t="s">
        <v>114</v>
      </c>
      <c r="G1619" t="s">
        <v>5050</v>
      </c>
      <c r="H1619" s="7">
        <v>79936</v>
      </c>
    </row>
    <row r="1620" spans="1:8" x14ac:dyDescent="0.3">
      <c r="A1620">
        <v>7516</v>
      </c>
      <c r="B1620" t="s">
        <v>1194</v>
      </c>
      <c r="C1620" t="s">
        <v>967</v>
      </c>
      <c r="D1620" t="s">
        <v>2364</v>
      </c>
      <c r="E1620" t="s">
        <v>8</v>
      </c>
      <c r="F1620" t="s">
        <v>1195</v>
      </c>
      <c r="G1620" t="s">
        <v>5506</v>
      </c>
      <c r="H1620" s="7">
        <v>98037</v>
      </c>
    </row>
    <row r="1621" spans="1:8" x14ac:dyDescent="0.3">
      <c r="A1621">
        <v>7519</v>
      </c>
      <c r="B1621" t="s">
        <v>5</v>
      </c>
      <c r="C1621" t="s">
        <v>799</v>
      </c>
      <c r="D1621" t="s">
        <v>2180</v>
      </c>
      <c r="E1621" t="s">
        <v>95</v>
      </c>
      <c r="F1621" t="s">
        <v>9</v>
      </c>
      <c r="G1621" t="s">
        <v>3436</v>
      </c>
      <c r="H1621" s="7">
        <v>725</v>
      </c>
    </row>
    <row r="1622" spans="1:8" x14ac:dyDescent="0.3">
      <c r="A1622">
        <v>7528</v>
      </c>
      <c r="B1622" t="s">
        <v>495</v>
      </c>
      <c r="C1622" t="s">
        <v>93</v>
      </c>
      <c r="D1622" t="s">
        <v>1528</v>
      </c>
      <c r="E1622" t="s">
        <v>27</v>
      </c>
      <c r="F1622" t="s">
        <v>88</v>
      </c>
      <c r="G1622" t="s">
        <v>1529</v>
      </c>
      <c r="H1622" s="7">
        <v>11209</v>
      </c>
    </row>
    <row r="1623" spans="1:8" x14ac:dyDescent="0.3">
      <c r="A1623">
        <v>7537</v>
      </c>
      <c r="B1623" t="s">
        <v>440</v>
      </c>
      <c r="C1623" t="s">
        <v>1007</v>
      </c>
      <c r="D1623" t="s">
        <v>1176</v>
      </c>
      <c r="E1623" t="s">
        <v>8</v>
      </c>
      <c r="F1623" t="s">
        <v>114</v>
      </c>
      <c r="G1623" t="s">
        <v>3922</v>
      </c>
      <c r="H1623" s="7">
        <v>78201</v>
      </c>
    </row>
    <row r="1624" spans="1:8" x14ac:dyDescent="0.3">
      <c r="A1624">
        <v>7538</v>
      </c>
      <c r="B1624" t="s">
        <v>5</v>
      </c>
      <c r="C1624" t="s">
        <v>93</v>
      </c>
      <c r="D1624" t="s">
        <v>441</v>
      </c>
      <c r="E1624" t="s">
        <v>8</v>
      </c>
      <c r="F1624" t="s">
        <v>9</v>
      </c>
      <c r="G1624" t="s">
        <v>4859</v>
      </c>
      <c r="H1624" s="7">
        <v>725</v>
      </c>
    </row>
    <row r="1625" spans="1:8" x14ac:dyDescent="0.3">
      <c r="A1625">
        <v>7539</v>
      </c>
      <c r="B1625" t="s">
        <v>2314</v>
      </c>
      <c r="C1625" t="s">
        <v>2124</v>
      </c>
      <c r="D1625" t="s">
        <v>3958</v>
      </c>
      <c r="E1625" t="s">
        <v>8</v>
      </c>
      <c r="F1625" t="s">
        <v>21</v>
      </c>
      <c r="G1625" t="s">
        <v>4003</v>
      </c>
      <c r="H1625" s="7">
        <v>91351</v>
      </c>
    </row>
    <row r="1626" spans="1:8" x14ac:dyDescent="0.3">
      <c r="A1626">
        <v>7542</v>
      </c>
      <c r="B1626" t="s">
        <v>1290</v>
      </c>
      <c r="C1626" t="s">
        <v>93</v>
      </c>
      <c r="D1626" t="s">
        <v>1444</v>
      </c>
      <c r="E1626" t="s">
        <v>27</v>
      </c>
      <c r="F1626" t="s">
        <v>88</v>
      </c>
      <c r="G1626" t="s">
        <v>4005</v>
      </c>
      <c r="H1626" s="7">
        <v>14221</v>
      </c>
    </row>
    <row r="1627" spans="1:8" x14ac:dyDescent="0.3">
      <c r="A1627">
        <v>7547</v>
      </c>
      <c r="B1627" t="s">
        <v>5</v>
      </c>
      <c r="C1627" t="s">
        <v>1070</v>
      </c>
      <c r="D1627" t="s">
        <v>2666</v>
      </c>
      <c r="E1627" t="s">
        <v>8</v>
      </c>
      <c r="F1627" t="s">
        <v>9</v>
      </c>
      <c r="G1627" t="s">
        <v>3379</v>
      </c>
      <c r="H1627" s="7">
        <v>725</v>
      </c>
    </row>
    <row r="1628" spans="1:8" x14ac:dyDescent="0.3">
      <c r="A1628">
        <v>7548</v>
      </c>
      <c r="B1628" t="s">
        <v>2501</v>
      </c>
      <c r="C1628" t="s">
        <v>93</v>
      </c>
      <c r="D1628" t="s">
        <v>107</v>
      </c>
      <c r="E1628" t="s">
        <v>8</v>
      </c>
      <c r="F1628" t="s">
        <v>448</v>
      </c>
      <c r="G1628" t="s">
        <v>3031</v>
      </c>
      <c r="H1628" s="7">
        <v>33025</v>
      </c>
    </row>
    <row r="1629" spans="1:8" x14ac:dyDescent="0.3">
      <c r="A1629">
        <v>7550</v>
      </c>
      <c r="B1629" t="s">
        <v>5</v>
      </c>
      <c r="C1629" t="s">
        <v>93</v>
      </c>
      <c r="D1629" t="s">
        <v>107</v>
      </c>
      <c r="E1629" t="s">
        <v>8</v>
      </c>
      <c r="F1629" t="s">
        <v>9</v>
      </c>
      <c r="G1629" t="s">
        <v>1356</v>
      </c>
      <c r="H1629" s="7">
        <v>725</v>
      </c>
    </row>
    <row r="1630" spans="1:8" x14ac:dyDescent="0.3">
      <c r="A1630">
        <v>7560</v>
      </c>
      <c r="B1630" t="s">
        <v>5</v>
      </c>
      <c r="C1630" t="s">
        <v>93</v>
      </c>
      <c r="D1630" t="s">
        <v>1453</v>
      </c>
      <c r="E1630" t="s">
        <v>8</v>
      </c>
      <c r="F1630" t="s">
        <v>9</v>
      </c>
      <c r="G1630" t="s">
        <v>4590</v>
      </c>
      <c r="H1630" s="7">
        <v>725</v>
      </c>
    </row>
    <row r="1631" spans="1:8" x14ac:dyDescent="0.3">
      <c r="A1631">
        <v>7561</v>
      </c>
      <c r="B1631" t="s">
        <v>865</v>
      </c>
      <c r="C1631" t="s">
        <v>93</v>
      </c>
      <c r="D1631" t="s">
        <v>107</v>
      </c>
      <c r="E1631" t="s">
        <v>8</v>
      </c>
      <c r="F1631" t="s">
        <v>190</v>
      </c>
      <c r="G1631" t="s">
        <v>3941</v>
      </c>
      <c r="H1631" s="7">
        <v>85713</v>
      </c>
    </row>
    <row r="1632" spans="1:8" x14ac:dyDescent="0.3">
      <c r="A1632">
        <v>7566</v>
      </c>
      <c r="B1632" t="s">
        <v>5</v>
      </c>
      <c r="C1632" t="s">
        <v>93</v>
      </c>
      <c r="D1632" t="s">
        <v>107</v>
      </c>
      <c r="E1632" t="s">
        <v>8</v>
      </c>
      <c r="F1632" t="s">
        <v>9</v>
      </c>
      <c r="G1632" t="s">
        <v>1467</v>
      </c>
      <c r="H1632" s="7">
        <v>725</v>
      </c>
    </row>
    <row r="1633" spans="1:8" x14ac:dyDescent="0.3">
      <c r="A1633">
        <v>7572</v>
      </c>
      <c r="B1633" t="s">
        <v>5</v>
      </c>
      <c r="C1633" t="s">
        <v>93</v>
      </c>
      <c r="D1633" t="s">
        <v>107</v>
      </c>
      <c r="E1633" t="s">
        <v>8</v>
      </c>
      <c r="F1633" t="s">
        <v>9</v>
      </c>
      <c r="G1633" t="s">
        <v>1464</v>
      </c>
      <c r="H1633" s="7">
        <v>725</v>
      </c>
    </row>
    <row r="1634" spans="1:8" x14ac:dyDescent="0.3">
      <c r="A1634">
        <v>7578</v>
      </c>
      <c r="B1634" t="s">
        <v>810</v>
      </c>
      <c r="C1634" t="s">
        <v>2317</v>
      </c>
      <c r="D1634" t="s">
        <v>1805</v>
      </c>
      <c r="E1634" t="s">
        <v>95</v>
      </c>
      <c r="F1634" t="s">
        <v>448</v>
      </c>
      <c r="G1634" t="s">
        <v>3430</v>
      </c>
      <c r="H1634" s="7">
        <v>33065</v>
      </c>
    </row>
    <row r="1635" spans="1:8" x14ac:dyDescent="0.3">
      <c r="A1635">
        <v>7579</v>
      </c>
      <c r="B1635" t="s">
        <v>769</v>
      </c>
      <c r="C1635" t="s">
        <v>93</v>
      </c>
      <c r="D1635" t="s">
        <v>107</v>
      </c>
      <c r="E1635" t="s">
        <v>8</v>
      </c>
      <c r="F1635" t="s">
        <v>190</v>
      </c>
      <c r="G1635" t="s">
        <v>2709</v>
      </c>
      <c r="H1635" s="7">
        <v>85022</v>
      </c>
    </row>
    <row r="1636" spans="1:8" x14ac:dyDescent="0.3">
      <c r="A1636">
        <v>7580</v>
      </c>
      <c r="B1636" t="s">
        <v>5</v>
      </c>
      <c r="C1636" t="s">
        <v>776</v>
      </c>
      <c r="D1636" t="s">
        <v>189</v>
      </c>
      <c r="E1636" t="s">
        <v>8</v>
      </c>
      <c r="F1636" t="s">
        <v>9</v>
      </c>
      <c r="G1636" t="s">
        <v>4428</v>
      </c>
      <c r="H1636" s="7">
        <v>725</v>
      </c>
    </row>
    <row r="1637" spans="1:8" x14ac:dyDescent="0.3">
      <c r="A1637">
        <v>7582</v>
      </c>
      <c r="B1637" t="s">
        <v>5</v>
      </c>
      <c r="C1637" t="s">
        <v>1381</v>
      </c>
      <c r="D1637" t="s">
        <v>3425</v>
      </c>
      <c r="E1637" t="s">
        <v>8</v>
      </c>
      <c r="F1637" t="s">
        <v>9</v>
      </c>
      <c r="G1637" t="s">
        <v>3426</v>
      </c>
      <c r="H1637" s="7">
        <v>725</v>
      </c>
    </row>
    <row r="1638" spans="1:8" x14ac:dyDescent="0.3">
      <c r="A1638">
        <v>7585</v>
      </c>
      <c r="B1638" t="s">
        <v>5</v>
      </c>
      <c r="C1638" t="s">
        <v>1112</v>
      </c>
      <c r="D1638" t="s">
        <v>2169</v>
      </c>
      <c r="E1638" t="s">
        <v>8</v>
      </c>
      <c r="F1638" t="s">
        <v>9</v>
      </c>
      <c r="G1638" t="s">
        <v>5031</v>
      </c>
      <c r="H1638" s="7">
        <v>725</v>
      </c>
    </row>
    <row r="1639" spans="1:8" x14ac:dyDescent="0.3">
      <c r="A1639">
        <v>7589</v>
      </c>
      <c r="B1639" t="s">
        <v>5</v>
      </c>
      <c r="C1639" t="s">
        <v>93</v>
      </c>
      <c r="D1639" t="s">
        <v>107</v>
      </c>
      <c r="E1639" t="s">
        <v>95</v>
      </c>
      <c r="F1639" t="s">
        <v>9</v>
      </c>
      <c r="G1639" t="s">
        <v>4298</v>
      </c>
      <c r="H1639" s="7">
        <v>725</v>
      </c>
    </row>
    <row r="1640" spans="1:8" x14ac:dyDescent="0.3">
      <c r="A1640">
        <v>7595</v>
      </c>
      <c r="B1640" t="s">
        <v>2226</v>
      </c>
      <c r="C1640" t="s">
        <v>93</v>
      </c>
      <c r="D1640" t="s">
        <v>3084</v>
      </c>
      <c r="E1640" t="s">
        <v>95</v>
      </c>
      <c r="F1640" t="s">
        <v>77</v>
      </c>
      <c r="G1640" t="s">
        <v>1611</v>
      </c>
      <c r="H1640" s="7">
        <v>15642</v>
      </c>
    </row>
    <row r="1641" spans="1:8" x14ac:dyDescent="0.3">
      <c r="A1641">
        <v>7600</v>
      </c>
      <c r="B1641" t="s">
        <v>4088</v>
      </c>
      <c r="C1641" t="s">
        <v>93</v>
      </c>
      <c r="D1641" t="s">
        <v>2035</v>
      </c>
      <c r="E1641" t="s">
        <v>8</v>
      </c>
      <c r="F1641" t="s">
        <v>21</v>
      </c>
      <c r="G1641" t="s">
        <v>2595</v>
      </c>
      <c r="H1641" s="7">
        <v>91745</v>
      </c>
    </row>
    <row r="1642" spans="1:8" x14ac:dyDescent="0.3">
      <c r="A1642">
        <v>7601</v>
      </c>
      <c r="B1642" t="s">
        <v>5</v>
      </c>
      <c r="C1642" t="s">
        <v>93</v>
      </c>
      <c r="D1642" t="s">
        <v>107</v>
      </c>
      <c r="E1642" t="s">
        <v>27</v>
      </c>
      <c r="F1642" t="s">
        <v>9</v>
      </c>
      <c r="G1642" t="s">
        <v>1423</v>
      </c>
      <c r="H1642" s="7">
        <v>725</v>
      </c>
    </row>
    <row r="1643" spans="1:8" x14ac:dyDescent="0.3">
      <c r="A1643">
        <v>7602</v>
      </c>
      <c r="B1643" t="s">
        <v>784</v>
      </c>
      <c r="C1643" t="s">
        <v>785</v>
      </c>
      <c r="D1643" t="s">
        <v>165</v>
      </c>
      <c r="E1643" t="s">
        <v>27</v>
      </c>
      <c r="F1643" t="s">
        <v>114</v>
      </c>
      <c r="G1643" t="s">
        <v>786</v>
      </c>
      <c r="H1643" s="7">
        <v>78550</v>
      </c>
    </row>
    <row r="1644" spans="1:8" x14ac:dyDescent="0.3">
      <c r="A1644">
        <v>7603</v>
      </c>
      <c r="B1644" t="s">
        <v>5</v>
      </c>
      <c r="C1644" t="s">
        <v>787</v>
      </c>
      <c r="D1644" t="s">
        <v>107</v>
      </c>
      <c r="E1644" t="s">
        <v>95</v>
      </c>
      <c r="F1644" t="s">
        <v>9</v>
      </c>
      <c r="G1644" t="s">
        <v>4027</v>
      </c>
      <c r="H1644" s="7">
        <v>725</v>
      </c>
    </row>
    <row r="1645" spans="1:8" x14ac:dyDescent="0.3">
      <c r="A1645">
        <v>7613</v>
      </c>
      <c r="B1645" t="s">
        <v>2627</v>
      </c>
      <c r="C1645" t="s">
        <v>251</v>
      </c>
      <c r="D1645" t="s">
        <v>107</v>
      </c>
      <c r="E1645" t="s">
        <v>27</v>
      </c>
      <c r="F1645" t="s">
        <v>21</v>
      </c>
      <c r="G1645" t="s">
        <v>2638</v>
      </c>
      <c r="H1645" s="7">
        <v>91767</v>
      </c>
    </row>
    <row r="1646" spans="1:8" x14ac:dyDescent="0.3">
      <c r="A1646">
        <v>7623</v>
      </c>
      <c r="B1646" t="s">
        <v>440</v>
      </c>
      <c r="C1646" t="s">
        <v>700</v>
      </c>
      <c r="D1646" t="s">
        <v>107</v>
      </c>
      <c r="E1646" t="s">
        <v>8</v>
      </c>
      <c r="F1646" t="s">
        <v>114</v>
      </c>
      <c r="G1646" t="s">
        <v>4637</v>
      </c>
      <c r="H1646" s="7">
        <v>78250</v>
      </c>
    </row>
    <row r="1647" spans="1:8" x14ac:dyDescent="0.3">
      <c r="A1647">
        <v>7625</v>
      </c>
      <c r="B1647" t="s">
        <v>1899</v>
      </c>
      <c r="C1647" t="s">
        <v>2619</v>
      </c>
      <c r="D1647" t="s">
        <v>107</v>
      </c>
      <c r="E1647" t="s">
        <v>8</v>
      </c>
      <c r="F1647" t="s">
        <v>381</v>
      </c>
      <c r="G1647" t="s">
        <v>4544</v>
      </c>
      <c r="H1647" s="7">
        <v>48238</v>
      </c>
    </row>
    <row r="1648" spans="1:8" x14ac:dyDescent="0.3">
      <c r="A1648">
        <v>7627</v>
      </c>
      <c r="B1648" t="s">
        <v>1777</v>
      </c>
      <c r="C1648" t="s">
        <v>1468</v>
      </c>
      <c r="D1648" t="s">
        <v>212</v>
      </c>
      <c r="E1648" t="s">
        <v>95</v>
      </c>
      <c r="F1648" t="s">
        <v>77</v>
      </c>
      <c r="G1648" t="s">
        <v>1778</v>
      </c>
      <c r="H1648" s="7">
        <v>17404</v>
      </c>
    </row>
    <row r="1649" spans="1:8" x14ac:dyDescent="0.3">
      <c r="A1649">
        <v>7628</v>
      </c>
      <c r="B1649" t="s">
        <v>1772</v>
      </c>
      <c r="C1649" t="s">
        <v>93</v>
      </c>
      <c r="D1649" t="s">
        <v>107</v>
      </c>
      <c r="E1649" t="s">
        <v>27</v>
      </c>
      <c r="F1649" t="s">
        <v>9</v>
      </c>
      <c r="G1649" t="s">
        <v>5620</v>
      </c>
      <c r="H1649" s="7">
        <v>784</v>
      </c>
    </row>
    <row r="1650" spans="1:8" x14ac:dyDescent="0.3">
      <c r="A1650">
        <v>7629</v>
      </c>
      <c r="B1650" t="s">
        <v>5</v>
      </c>
      <c r="C1650" t="s">
        <v>1718</v>
      </c>
      <c r="D1650" t="s">
        <v>796</v>
      </c>
      <c r="E1650" t="s">
        <v>95</v>
      </c>
      <c r="F1650" t="s">
        <v>9</v>
      </c>
      <c r="G1650" t="s">
        <v>224</v>
      </c>
      <c r="H1650" s="7">
        <v>725</v>
      </c>
    </row>
    <row r="1651" spans="1:8" x14ac:dyDescent="0.3">
      <c r="A1651">
        <v>7630</v>
      </c>
      <c r="B1651" t="s">
        <v>4152</v>
      </c>
      <c r="C1651" t="s">
        <v>4039</v>
      </c>
      <c r="D1651" t="s">
        <v>107</v>
      </c>
      <c r="E1651" t="s">
        <v>27</v>
      </c>
      <c r="F1651" t="s">
        <v>629</v>
      </c>
      <c r="G1651" t="s">
        <v>4894</v>
      </c>
      <c r="H1651" s="7">
        <v>70570</v>
      </c>
    </row>
    <row r="1652" spans="1:8" x14ac:dyDescent="0.3">
      <c r="A1652">
        <v>7632</v>
      </c>
      <c r="B1652" t="s">
        <v>440</v>
      </c>
      <c r="C1652" t="s">
        <v>93</v>
      </c>
      <c r="D1652" t="s">
        <v>2566</v>
      </c>
      <c r="E1652" t="s">
        <v>95</v>
      </c>
      <c r="F1652" t="s">
        <v>114</v>
      </c>
      <c r="G1652" t="s">
        <v>4520</v>
      </c>
      <c r="H1652" s="7">
        <v>78227</v>
      </c>
    </row>
    <row r="1653" spans="1:8" x14ac:dyDescent="0.3">
      <c r="A1653">
        <v>7633</v>
      </c>
      <c r="B1653" t="s">
        <v>5</v>
      </c>
      <c r="C1653" t="s">
        <v>2750</v>
      </c>
      <c r="D1653" t="s">
        <v>107</v>
      </c>
      <c r="E1653" t="s">
        <v>95</v>
      </c>
      <c r="F1653" t="s">
        <v>9</v>
      </c>
      <c r="G1653" t="s">
        <v>2751</v>
      </c>
      <c r="H1653" s="7">
        <v>725</v>
      </c>
    </row>
    <row r="1654" spans="1:8" x14ac:dyDescent="0.3">
      <c r="A1654">
        <v>7634</v>
      </c>
      <c r="B1654" t="s">
        <v>1246</v>
      </c>
      <c r="C1654" t="s">
        <v>1851</v>
      </c>
      <c r="D1654" t="s">
        <v>1936</v>
      </c>
      <c r="E1654" t="s">
        <v>8</v>
      </c>
      <c r="F1654" t="s">
        <v>1249</v>
      </c>
      <c r="G1654" t="s">
        <v>1937</v>
      </c>
      <c r="H1654" s="7">
        <v>67212</v>
      </c>
    </row>
    <row r="1655" spans="1:8" x14ac:dyDescent="0.3">
      <c r="A1655">
        <v>7639</v>
      </c>
      <c r="B1655" t="s">
        <v>343</v>
      </c>
      <c r="C1655" t="s">
        <v>1103</v>
      </c>
      <c r="D1655" t="s">
        <v>574</v>
      </c>
      <c r="E1655" t="s">
        <v>8</v>
      </c>
      <c r="F1655" t="s">
        <v>248</v>
      </c>
      <c r="G1655" t="s">
        <v>4968</v>
      </c>
      <c r="H1655" s="7">
        <v>43228</v>
      </c>
    </row>
    <row r="1656" spans="1:8" x14ac:dyDescent="0.3">
      <c r="A1656">
        <v>7640</v>
      </c>
      <c r="B1656" t="s">
        <v>5</v>
      </c>
      <c r="C1656" t="s">
        <v>93</v>
      </c>
      <c r="D1656" t="s">
        <v>1189</v>
      </c>
      <c r="E1656" t="s">
        <v>8</v>
      </c>
      <c r="F1656" t="s">
        <v>9</v>
      </c>
      <c r="G1656" t="s">
        <v>3410</v>
      </c>
      <c r="H1656" s="7">
        <v>725</v>
      </c>
    </row>
    <row r="1657" spans="1:8" x14ac:dyDescent="0.3">
      <c r="A1657">
        <v>7650</v>
      </c>
      <c r="B1657" t="s">
        <v>719</v>
      </c>
      <c r="C1657" t="s">
        <v>93</v>
      </c>
      <c r="D1657" t="s">
        <v>107</v>
      </c>
      <c r="E1657" t="s">
        <v>8</v>
      </c>
      <c r="F1657" t="s">
        <v>308</v>
      </c>
      <c r="G1657" t="s">
        <v>3882</v>
      </c>
      <c r="H1657" s="7">
        <v>7470</v>
      </c>
    </row>
    <row r="1658" spans="1:8" x14ac:dyDescent="0.3">
      <c r="A1658">
        <v>7655</v>
      </c>
      <c r="B1658" t="s">
        <v>5</v>
      </c>
      <c r="C1658" t="s">
        <v>93</v>
      </c>
      <c r="D1658" t="s">
        <v>107</v>
      </c>
      <c r="E1658" t="s">
        <v>27</v>
      </c>
      <c r="F1658" t="s">
        <v>9</v>
      </c>
      <c r="G1658" t="s">
        <v>4179</v>
      </c>
      <c r="H1658" s="7">
        <v>725</v>
      </c>
    </row>
    <row r="1659" spans="1:8" x14ac:dyDescent="0.3">
      <c r="A1659">
        <v>7658</v>
      </c>
      <c r="B1659" t="s">
        <v>5</v>
      </c>
      <c r="C1659" t="s">
        <v>93</v>
      </c>
      <c r="D1659" t="s">
        <v>107</v>
      </c>
      <c r="E1659" t="s">
        <v>27</v>
      </c>
      <c r="F1659" t="s">
        <v>9</v>
      </c>
      <c r="G1659" t="s">
        <v>2306</v>
      </c>
      <c r="H1659" s="7">
        <v>725</v>
      </c>
    </row>
    <row r="1660" spans="1:8" x14ac:dyDescent="0.3">
      <c r="A1660">
        <v>7667</v>
      </c>
      <c r="B1660" t="s">
        <v>5</v>
      </c>
      <c r="C1660" t="s">
        <v>366</v>
      </c>
      <c r="D1660" t="s">
        <v>20</v>
      </c>
      <c r="E1660" t="s">
        <v>27</v>
      </c>
      <c r="F1660" t="s">
        <v>9</v>
      </c>
      <c r="G1660" t="s">
        <v>3272</v>
      </c>
      <c r="H1660" s="7">
        <v>725</v>
      </c>
    </row>
    <row r="1661" spans="1:8" x14ac:dyDescent="0.3">
      <c r="A1661">
        <v>7670</v>
      </c>
      <c r="B1661" t="s">
        <v>699</v>
      </c>
      <c r="C1661" t="s">
        <v>268</v>
      </c>
      <c r="D1661" t="s">
        <v>107</v>
      </c>
      <c r="E1661" t="s">
        <v>27</v>
      </c>
      <c r="F1661" t="s">
        <v>114</v>
      </c>
      <c r="G1661" t="s">
        <v>2624</v>
      </c>
      <c r="H1661" s="7">
        <v>77055</v>
      </c>
    </row>
    <row r="1662" spans="1:8" x14ac:dyDescent="0.3">
      <c r="A1662">
        <v>7680</v>
      </c>
      <c r="B1662" t="s">
        <v>1179</v>
      </c>
      <c r="C1662" t="s">
        <v>2697</v>
      </c>
      <c r="D1662" t="s">
        <v>2698</v>
      </c>
      <c r="E1662" t="s">
        <v>8</v>
      </c>
      <c r="F1662" t="s">
        <v>88</v>
      </c>
      <c r="G1662" t="s">
        <v>2699</v>
      </c>
      <c r="H1662" s="7">
        <v>11520</v>
      </c>
    </row>
    <row r="1663" spans="1:8" x14ac:dyDescent="0.3">
      <c r="A1663">
        <v>7684</v>
      </c>
      <c r="B1663" t="s">
        <v>2095</v>
      </c>
      <c r="C1663" t="s">
        <v>436</v>
      </c>
      <c r="D1663" t="s">
        <v>1450</v>
      </c>
      <c r="E1663" t="s">
        <v>8</v>
      </c>
      <c r="F1663" t="s">
        <v>88</v>
      </c>
      <c r="G1663" t="s">
        <v>2096</v>
      </c>
      <c r="H1663" s="7">
        <v>11717</v>
      </c>
    </row>
    <row r="1664" spans="1:8" x14ac:dyDescent="0.3">
      <c r="A1664">
        <v>7685</v>
      </c>
      <c r="B1664" t="s">
        <v>5</v>
      </c>
      <c r="C1664" t="s">
        <v>93</v>
      </c>
      <c r="D1664" t="s">
        <v>1663</v>
      </c>
      <c r="E1664" t="s">
        <v>8</v>
      </c>
      <c r="F1664" t="s">
        <v>9</v>
      </c>
      <c r="G1664" t="s">
        <v>4096</v>
      </c>
      <c r="H1664" s="7">
        <v>725</v>
      </c>
    </row>
    <row r="1665" spans="1:8" x14ac:dyDescent="0.3">
      <c r="A1665">
        <v>7688</v>
      </c>
      <c r="B1665" t="s">
        <v>3694</v>
      </c>
      <c r="C1665" t="s">
        <v>499</v>
      </c>
      <c r="D1665" t="s">
        <v>107</v>
      </c>
      <c r="E1665" t="s">
        <v>8</v>
      </c>
      <c r="F1665" t="s">
        <v>21</v>
      </c>
      <c r="G1665" t="s">
        <v>4613</v>
      </c>
      <c r="H1665" s="7">
        <v>91789</v>
      </c>
    </row>
    <row r="1666" spans="1:8" x14ac:dyDescent="0.3">
      <c r="A1666">
        <v>7690</v>
      </c>
      <c r="B1666" t="s">
        <v>174</v>
      </c>
      <c r="C1666" t="s">
        <v>251</v>
      </c>
      <c r="D1666" t="s">
        <v>107</v>
      </c>
      <c r="E1666" t="s">
        <v>8</v>
      </c>
      <c r="F1666" t="s">
        <v>21</v>
      </c>
      <c r="G1666" t="s">
        <v>5463</v>
      </c>
      <c r="H1666" s="7">
        <v>90018</v>
      </c>
    </row>
    <row r="1667" spans="1:8" x14ac:dyDescent="0.3">
      <c r="A1667">
        <v>7696</v>
      </c>
      <c r="B1667" t="s">
        <v>5</v>
      </c>
      <c r="C1667" t="s">
        <v>417</v>
      </c>
      <c r="D1667" t="s">
        <v>3040</v>
      </c>
      <c r="E1667" t="s">
        <v>27</v>
      </c>
      <c r="F1667" t="s">
        <v>9</v>
      </c>
      <c r="G1667" t="s">
        <v>4430</v>
      </c>
      <c r="H1667" s="7">
        <v>725</v>
      </c>
    </row>
    <row r="1668" spans="1:8" x14ac:dyDescent="0.3">
      <c r="A1668">
        <v>7698</v>
      </c>
      <c r="B1668" t="s">
        <v>691</v>
      </c>
      <c r="C1668" t="s">
        <v>93</v>
      </c>
      <c r="D1668" t="s">
        <v>107</v>
      </c>
      <c r="E1668" t="s">
        <v>27</v>
      </c>
      <c r="F1668" t="s">
        <v>88</v>
      </c>
      <c r="G1668" t="s">
        <v>4841</v>
      </c>
      <c r="H1668" s="7">
        <v>13760</v>
      </c>
    </row>
    <row r="1669" spans="1:8" x14ac:dyDescent="0.3">
      <c r="A1669">
        <v>7699</v>
      </c>
      <c r="B1669" t="s">
        <v>5</v>
      </c>
      <c r="C1669" t="s">
        <v>4039</v>
      </c>
      <c r="D1669" t="s">
        <v>1936</v>
      </c>
      <c r="E1669" t="s">
        <v>8</v>
      </c>
      <c r="F1669" t="s">
        <v>9</v>
      </c>
      <c r="G1669" t="s">
        <v>2202</v>
      </c>
      <c r="H1669" s="7">
        <v>725</v>
      </c>
    </row>
    <row r="1670" spans="1:8" x14ac:dyDescent="0.3">
      <c r="A1670">
        <v>7700</v>
      </c>
      <c r="B1670" t="s">
        <v>2878</v>
      </c>
      <c r="C1670" t="s">
        <v>93</v>
      </c>
      <c r="D1670" t="s">
        <v>107</v>
      </c>
      <c r="E1670" t="s">
        <v>8</v>
      </c>
      <c r="F1670" t="s">
        <v>140</v>
      </c>
      <c r="G1670" t="s">
        <v>2879</v>
      </c>
      <c r="H1670" s="7">
        <v>30034</v>
      </c>
    </row>
    <row r="1671" spans="1:8" x14ac:dyDescent="0.3">
      <c r="A1671">
        <v>7703</v>
      </c>
      <c r="B1671" t="s">
        <v>2664</v>
      </c>
      <c r="C1671" t="s">
        <v>93</v>
      </c>
      <c r="D1671" t="s">
        <v>1886</v>
      </c>
      <c r="E1671" t="s">
        <v>8</v>
      </c>
      <c r="F1671" t="s">
        <v>21</v>
      </c>
      <c r="G1671" t="s">
        <v>2665</v>
      </c>
      <c r="H1671" s="7">
        <v>95670</v>
      </c>
    </row>
    <row r="1672" spans="1:8" x14ac:dyDescent="0.3">
      <c r="A1672">
        <v>7704</v>
      </c>
      <c r="B1672" t="s">
        <v>5</v>
      </c>
      <c r="C1672" t="s">
        <v>417</v>
      </c>
      <c r="D1672" t="s">
        <v>107</v>
      </c>
      <c r="E1672" t="s">
        <v>27</v>
      </c>
      <c r="F1672" t="s">
        <v>9</v>
      </c>
      <c r="G1672" t="s">
        <v>4878</v>
      </c>
      <c r="H1672" s="7">
        <v>725</v>
      </c>
    </row>
    <row r="1673" spans="1:8" x14ac:dyDescent="0.3">
      <c r="A1673">
        <v>7711</v>
      </c>
      <c r="B1673" t="s">
        <v>5</v>
      </c>
      <c r="C1673" t="s">
        <v>93</v>
      </c>
      <c r="D1673" t="s">
        <v>1964</v>
      </c>
      <c r="E1673" t="s">
        <v>8</v>
      </c>
      <c r="F1673" t="s">
        <v>9</v>
      </c>
      <c r="G1673" t="s">
        <v>3603</v>
      </c>
      <c r="H1673" s="7">
        <v>725</v>
      </c>
    </row>
    <row r="1674" spans="1:8" x14ac:dyDescent="0.3">
      <c r="A1674">
        <v>7712</v>
      </c>
      <c r="B1674" t="s">
        <v>4575</v>
      </c>
      <c r="C1674" t="s">
        <v>1103</v>
      </c>
      <c r="D1674" t="s">
        <v>107</v>
      </c>
      <c r="E1674" t="s">
        <v>8</v>
      </c>
      <c r="F1674" t="s">
        <v>88</v>
      </c>
      <c r="G1674" t="s">
        <v>3917</v>
      </c>
      <c r="H1674" s="7">
        <v>11385</v>
      </c>
    </row>
    <row r="1675" spans="1:8" x14ac:dyDescent="0.3">
      <c r="A1675">
        <v>7716</v>
      </c>
      <c r="B1675" t="s">
        <v>5</v>
      </c>
      <c r="C1675" t="s">
        <v>1191</v>
      </c>
      <c r="D1675" t="s">
        <v>3443</v>
      </c>
      <c r="E1675" t="s">
        <v>95</v>
      </c>
      <c r="F1675" t="s">
        <v>9</v>
      </c>
      <c r="G1675" t="s">
        <v>3444</v>
      </c>
      <c r="H1675" s="7">
        <v>725</v>
      </c>
    </row>
    <row r="1676" spans="1:8" x14ac:dyDescent="0.3">
      <c r="A1676">
        <v>7721</v>
      </c>
      <c r="B1676" t="s">
        <v>1793</v>
      </c>
      <c r="C1676" t="s">
        <v>93</v>
      </c>
      <c r="D1676" t="s">
        <v>1582</v>
      </c>
      <c r="E1676" t="s">
        <v>8</v>
      </c>
      <c r="F1676" t="s">
        <v>21</v>
      </c>
      <c r="G1676" t="s">
        <v>4983</v>
      </c>
      <c r="H1676" s="7">
        <v>94122</v>
      </c>
    </row>
    <row r="1677" spans="1:8" x14ac:dyDescent="0.3">
      <c r="A1677">
        <v>7727</v>
      </c>
      <c r="B1677" t="s">
        <v>631</v>
      </c>
      <c r="C1677" t="s">
        <v>436</v>
      </c>
      <c r="D1677" t="s">
        <v>107</v>
      </c>
      <c r="E1677" t="s">
        <v>8</v>
      </c>
      <c r="F1677" t="s">
        <v>108</v>
      </c>
      <c r="G1677" t="s">
        <v>2585</v>
      </c>
      <c r="H1677" s="7">
        <v>97405</v>
      </c>
    </row>
    <row r="1678" spans="1:8" x14ac:dyDescent="0.3">
      <c r="A1678">
        <v>7728</v>
      </c>
      <c r="B1678" t="s">
        <v>5</v>
      </c>
      <c r="C1678" t="s">
        <v>93</v>
      </c>
      <c r="D1678" t="s">
        <v>2284</v>
      </c>
      <c r="E1678" t="s">
        <v>8</v>
      </c>
      <c r="F1678" t="s">
        <v>9</v>
      </c>
      <c r="G1678" t="s">
        <v>5246</v>
      </c>
      <c r="H1678" s="7">
        <v>725</v>
      </c>
    </row>
    <row r="1679" spans="1:8" x14ac:dyDescent="0.3">
      <c r="A1679">
        <v>7733</v>
      </c>
      <c r="B1679" t="s">
        <v>2276</v>
      </c>
      <c r="C1679" t="s">
        <v>93</v>
      </c>
      <c r="D1679" t="s">
        <v>1189</v>
      </c>
      <c r="E1679" t="s">
        <v>27</v>
      </c>
      <c r="F1679" t="s">
        <v>21</v>
      </c>
      <c r="G1679" t="s">
        <v>4403</v>
      </c>
      <c r="H1679" s="7">
        <v>93230</v>
      </c>
    </row>
    <row r="1680" spans="1:8" x14ac:dyDescent="0.3">
      <c r="A1680">
        <v>7742</v>
      </c>
      <c r="B1680" t="s">
        <v>4289</v>
      </c>
      <c r="C1680" t="s">
        <v>93</v>
      </c>
      <c r="D1680" t="s">
        <v>3876</v>
      </c>
      <c r="E1680" t="s">
        <v>95</v>
      </c>
      <c r="F1680" t="s">
        <v>21</v>
      </c>
      <c r="G1680" t="s">
        <v>5565</v>
      </c>
      <c r="H1680" s="7">
        <v>92392</v>
      </c>
    </row>
    <row r="1681" spans="1:8" x14ac:dyDescent="0.3">
      <c r="A1681">
        <v>7747</v>
      </c>
      <c r="B1681" t="s">
        <v>5</v>
      </c>
      <c r="C1681" t="s">
        <v>93</v>
      </c>
      <c r="D1681" t="s">
        <v>1719</v>
      </c>
      <c r="E1681" t="s">
        <v>8</v>
      </c>
      <c r="F1681" t="s">
        <v>9</v>
      </c>
      <c r="G1681" t="s">
        <v>2439</v>
      </c>
      <c r="H1681" s="7">
        <v>725</v>
      </c>
    </row>
    <row r="1682" spans="1:8" x14ac:dyDescent="0.3">
      <c r="A1682">
        <v>7749</v>
      </c>
      <c r="B1682" t="s">
        <v>5</v>
      </c>
      <c r="C1682" t="s">
        <v>895</v>
      </c>
      <c r="D1682" t="s">
        <v>2043</v>
      </c>
      <c r="E1682" t="s">
        <v>8</v>
      </c>
      <c r="F1682" t="s">
        <v>9</v>
      </c>
      <c r="G1682" t="s">
        <v>2009</v>
      </c>
      <c r="H1682" s="7">
        <v>725</v>
      </c>
    </row>
    <row r="1683" spans="1:8" x14ac:dyDescent="0.3">
      <c r="A1683">
        <v>7750</v>
      </c>
      <c r="B1683" t="s">
        <v>142</v>
      </c>
      <c r="C1683" t="s">
        <v>1673</v>
      </c>
      <c r="D1683" t="s">
        <v>1384</v>
      </c>
      <c r="E1683" t="s">
        <v>95</v>
      </c>
      <c r="F1683" t="s">
        <v>88</v>
      </c>
      <c r="G1683" t="s">
        <v>3702</v>
      </c>
      <c r="H1683" s="7">
        <v>10467</v>
      </c>
    </row>
    <row r="1684" spans="1:8" x14ac:dyDescent="0.3">
      <c r="A1684">
        <v>7779</v>
      </c>
      <c r="B1684" t="s">
        <v>5</v>
      </c>
      <c r="C1684" t="s">
        <v>1317</v>
      </c>
      <c r="D1684" t="s">
        <v>1510</v>
      </c>
      <c r="E1684" t="s">
        <v>27</v>
      </c>
      <c r="F1684" t="s">
        <v>9</v>
      </c>
      <c r="G1684" t="s">
        <v>4535</v>
      </c>
      <c r="H1684" s="7">
        <v>725</v>
      </c>
    </row>
    <row r="1685" spans="1:8" x14ac:dyDescent="0.3">
      <c r="A1685">
        <v>7787</v>
      </c>
      <c r="B1685" t="s">
        <v>1493</v>
      </c>
      <c r="C1685" t="s">
        <v>112</v>
      </c>
      <c r="D1685" t="s">
        <v>2937</v>
      </c>
      <c r="E1685" t="s">
        <v>8</v>
      </c>
      <c r="F1685" t="s">
        <v>21</v>
      </c>
      <c r="G1685" t="s">
        <v>3015</v>
      </c>
      <c r="H1685" s="7">
        <v>92346</v>
      </c>
    </row>
    <row r="1686" spans="1:8" x14ac:dyDescent="0.3">
      <c r="A1686">
        <v>7790</v>
      </c>
      <c r="B1686" t="s">
        <v>2129</v>
      </c>
      <c r="C1686" t="s">
        <v>2216</v>
      </c>
      <c r="D1686" t="s">
        <v>667</v>
      </c>
      <c r="E1686" t="s">
        <v>27</v>
      </c>
      <c r="F1686" t="s">
        <v>21</v>
      </c>
      <c r="G1686" t="s">
        <v>2217</v>
      </c>
      <c r="H1686" s="7">
        <v>92833</v>
      </c>
    </row>
    <row r="1687" spans="1:8" x14ac:dyDescent="0.3">
      <c r="A1687">
        <v>7800</v>
      </c>
      <c r="B1687" t="s">
        <v>142</v>
      </c>
      <c r="C1687" t="s">
        <v>93</v>
      </c>
      <c r="D1687" t="s">
        <v>936</v>
      </c>
      <c r="E1687" t="s">
        <v>8</v>
      </c>
      <c r="F1687" t="s">
        <v>88</v>
      </c>
      <c r="G1687" t="s">
        <v>1917</v>
      </c>
      <c r="H1687" s="7">
        <v>10463</v>
      </c>
    </row>
    <row r="1688" spans="1:8" x14ac:dyDescent="0.3">
      <c r="A1688">
        <v>7802</v>
      </c>
      <c r="B1688" t="s">
        <v>5</v>
      </c>
      <c r="C1688" t="s">
        <v>93</v>
      </c>
      <c r="D1688" t="s">
        <v>1353</v>
      </c>
      <c r="E1688" t="s">
        <v>8</v>
      </c>
      <c r="F1688" t="s">
        <v>9</v>
      </c>
      <c r="G1688" t="s">
        <v>1354</v>
      </c>
      <c r="H1688" s="7">
        <v>725</v>
      </c>
    </row>
    <row r="1689" spans="1:8" x14ac:dyDescent="0.3">
      <c r="A1689">
        <v>7808</v>
      </c>
      <c r="B1689" t="s">
        <v>1006</v>
      </c>
      <c r="C1689" t="s">
        <v>93</v>
      </c>
      <c r="D1689" t="s">
        <v>122</v>
      </c>
      <c r="E1689" t="s">
        <v>95</v>
      </c>
      <c r="F1689" t="s">
        <v>114</v>
      </c>
      <c r="G1689" t="s">
        <v>4286</v>
      </c>
      <c r="H1689" s="7">
        <v>75093</v>
      </c>
    </row>
    <row r="1690" spans="1:8" x14ac:dyDescent="0.3">
      <c r="A1690">
        <v>7821</v>
      </c>
      <c r="B1690" t="s">
        <v>5</v>
      </c>
      <c r="C1690" t="s">
        <v>1422</v>
      </c>
      <c r="D1690" t="s">
        <v>107</v>
      </c>
      <c r="E1690" t="s">
        <v>27</v>
      </c>
      <c r="F1690" t="s">
        <v>9</v>
      </c>
      <c r="G1690" t="s">
        <v>5207</v>
      </c>
      <c r="H1690" s="7">
        <v>725</v>
      </c>
    </row>
    <row r="1691" spans="1:8" x14ac:dyDescent="0.3">
      <c r="A1691">
        <v>7825</v>
      </c>
      <c r="B1691" t="s">
        <v>117</v>
      </c>
      <c r="C1691" t="s">
        <v>1070</v>
      </c>
      <c r="D1691" t="s">
        <v>4578</v>
      </c>
      <c r="E1691" t="s">
        <v>27</v>
      </c>
      <c r="F1691" t="s">
        <v>21</v>
      </c>
      <c r="G1691" t="s">
        <v>4579</v>
      </c>
      <c r="H1691" s="7">
        <v>92126</v>
      </c>
    </row>
    <row r="1692" spans="1:8" x14ac:dyDescent="0.3">
      <c r="A1692">
        <v>7828</v>
      </c>
      <c r="B1692" t="s">
        <v>2119</v>
      </c>
      <c r="C1692" t="s">
        <v>93</v>
      </c>
      <c r="D1692" t="s">
        <v>2656</v>
      </c>
      <c r="E1692" t="s">
        <v>8</v>
      </c>
      <c r="F1692" t="s">
        <v>55</v>
      </c>
      <c r="G1692" t="s">
        <v>4796</v>
      </c>
      <c r="H1692" s="7">
        <v>60453</v>
      </c>
    </row>
    <row r="1693" spans="1:8" x14ac:dyDescent="0.3">
      <c r="A1693">
        <v>7829</v>
      </c>
      <c r="B1693" t="s">
        <v>1756</v>
      </c>
      <c r="C1693" t="s">
        <v>506</v>
      </c>
      <c r="D1693" t="s">
        <v>107</v>
      </c>
      <c r="E1693" t="s">
        <v>8</v>
      </c>
      <c r="F1693" t="s">
        <v>1657</v>
      </c>
      <c r="G1693" t="s">
        <v>4645</v>
      </c>
      <c r="H1693" s="7">
        <v>6460</v>
      </c>
    </row>
    <row r="1694" spans="1:8" x14ac:dyDescent="0.3">
      <c r="A1694">
        <v>7837</v>
      </c>
      <c r="B1694" t="s">
        <v>631</v>
      </c>
      <c r="C1694" t="s">
        <v>597</v>
      </c>
      <c r="D1694" t="s">
        <v>107</v>
      </c>
      <c r="E1694" t="s">
        <v>8</v>
      </c>
      <c r="F1694" t="s">
        <v>108</v>
      </c>
      <c r="G1694" t="s">
        <v>5438</v>
      </c>
      <c r="H1694" s="7">
        <v>97405</v>
      </c>
    </row>
    <row r="1695" spans="1:8" x14ac:dyDescent="0.3">
      <c r="A1695">
        <v>7838</v>
      </c>
      <c r="B1695" t="s">
        <v>5</v>
      </c>
      <c r="C1695" t="s">
        <v>1317</v>
      </c>
      <c r="D1695" t="s">
        <v>1291</v>
      </c>
      <c r="E1695" t="s">
        <v>8</v>
      </c>
      <c r="F1695" t="s">
        <v>9</v>
      </c>
      <c r="G1695" t="s">
        <v>4047</v>
      </c>
      <c r="H1695" s="7">
        <v>725</v>
      </c>
    </row>
    <row r="1696" spans="1:8" x14ac:dyDescent="0.3">
      <c r="A1696">
        <v>7841</v>
      </c>
      <c r="B1696" t="s">
        <v>495</v>
      </c>
      <c r="C1696" t="s">
        <v>776</v>
      </c>
      <c r="D1696" t="s">
        <v>1266</v>
      </c>
      <c r="E1696" t="s">
        <v>27</v>
      </c>
      <c r="F1696" t="s">
        <v>88</v>
      </c>
      <c r="G1696" t="s">
        <v>1267</v>
      </c>
      <c r="H1696" s="7">
        <v>11229</v>
      </c>
    </row>
    <row r="1697" spans="1:8" x14ac:dyDescent="0.3">
      <c r="A1697">
        <v>7842</v>
      </c>
      <c r="B1697" t="s">
        <v>2625</v>
      </c>
      <c r="C1697" t="s">
        <v>1175</v>
      </c>
      <c r="D1697" t="s">
        <v>107</v>
      </c>
      <c r="E1697" t="s">
        <v>27</v>
      </c>
      <c r="F1697" t="s">
        <v>158</v>
      </c>
      <c r="G1697" t="s">
        <v>2626</v>
      </c>
      <c r="H1697" s="7">
        <v>37130</v>
      </c>
    </row>
    <row r="1698" spans="1:8" x14ac:dyDescent="0.3">
      <c r="A1698">
        <v>7852</v>
      </c>
      <c r="B1698" t="s">
        <v>1793</v>
      </c>
      <c r="C1698" t="s">
        <v>93</v>
      </c>
      <c r="D1698" t="s">
        <v>322</v>
      </c>
      <c r="E1698" t="s">
        <v>8</v>
      </c>
      <c r="F1698" t="s">
        <v>21</v>
      </c>
      <c r="G1698" t="s">
        <v>1918</v>
      </c>
      <c r="H1698" s="7">
        <v>94109</v>
      </c>
    </row>
    <row r="1699" spans="1:8" x14ac:dyDescent="0.3">
      <c r="A1699">
        <v>7854</v>
      </c>
      <c r="B1699" t="s">
        <v>254</v>
      </c>
      <c r="C1699" t="s">
        <v>93</v>
      </c>
      <c r="D1699" t="s">
        <v>578</v>
      </c>
      <c r="E1699" t="s">
        <v>8</v>
      </c>
      <c r="F1699" t="s">
        <v>55</v>
      </c>
      <c r="G1699" t="s">
        <v>1147</v>
      </c>
      <c r="H1699" s="7">
        <v>60629</v>
      </c>
    </row>
    <row r="1700" spans="1:8" x14ac:dyDescent="0.3">
      <c r="A1700">
        <v>7858</v>
      </c>
      <c r="B1700" t="s">
        <v>1313</v>
      </c>
      <c r="C1700" t="s">
        <v>93</v>
      </c>
      <c r="D1700" t="s">
        <v>107</v>
      </c>
      <c r="E1700" t="s">
        <v>8</v>
      </c>
      <c r="F1700" t="s">
        <v>448</v>
      </c>
      <c r="G1700" t="s">
        <v>4150</v>
      </c>
      <c r="H1700" s="7">
        <v>33155</v>
      </c>
    </row>
    <row r="1701" spans="1:8" x14ac:dyDescent="0.3">
      <c r="A1701">
        <v>7862</v>
      </c>
      <c r="B1701" t="s">
        <v>5</v>
      </c>
      <c r="C1701" t="s">
        <v>93</v>
      </c>
      <c r="D1701" t="s">
        <v>107</v>
      </c>
      <c r="E1701" t="s">
        <v>95</v>
      </c>
      <c r="F1701" t="s">
        <v>9</v>
      </c>
      <c r="G1701" t="s">
        <v>3522</v>
      </c>
      <c r="H1701" s="7">
        <v>725</v>
      </c>
    </row>
    <row r="1702" spans="1:8" x14ac:dyDescent="0.3">
      <c r="A1702">
        <v>7865</v>
      </c>
      <c r="B1702" t="s">
        <v>368</v>
      </c>
      <c r="C1702" t="s">
        <v>93</v>
      </c>
      <c r="D1702" t="s">
        <v>445</v>
      </c>
      <c r="E1702" t="s">
        <v>95</v>
      </c>
      <c r="F1702" t="s">
        <v>88</v>
      </c>
      <c r="G1702" t="s">
        <v>3721</v>
      </c>
      <c r="H1702" s="7">
        <v>10028</v>
      </c>
    </row>
    <row r="1703" spans="1:8" x14ac:dyDescent="0.3">
      <c r="A1703">
        <v>7866</v>
      </c>
      <c r="B1703" t="s">
        <v>5</v>
      </c>
      <c r="C1703" t="s">
        <v>535</v>
      </c>
      <c r="D1703" t="s">
        <v>107</v>
      </c>
      <c r="E1703" t="s">
        <v>95</v>
      </c>
      <c r="F1703" t="s">
        <v>9</v>
      </c>
      <c r="G1703" t="s">
        <v>536</v>
      </c>
      <c r="H1703" s="7">
        <v>725</v>
      </c>
    </row>
    <row r="1704" spans="1:8" x14ac:dyDescent="0.3">
      <c r="A1704">
        <v>7876</v>
      </c>
      <c r="B1704" t="s">
        <v>5</v>
      </c>
      <c r="C1704" t="s">
        <v>2750</v>
      </c>
      <c r="D1704" t="s">
        <v>1757</v>
      </c>
      <c r="E1704" t="s">
        <v>8</v>
      </c>
      <c r="F1704" t="s">
        <v>9</v>
      </c>
      <c r="G1704" t="s">
        <v>4021</v>
      </c>
      <c r="H1704" s="7">
        <v>725</v>
      </c>
    </row>
    <row r="1705" spans="1:8" x14ac:dyDescent="0.3">
      <c r="A1705">
        <v>7879</v>
      </c>
      <c r="B1705" t="s">
        <v>723</v>
      </c>
      <c r="C1705" t="s">
        <v>738</v>
      </c>
      <c r="D1705" t="s">
        <v>1964</v>
      </c>
      <c r="E1705" t="s">
        <v>27</v>
      </c>
      <c r="F1705" t="s">
        <v>729</v>
      </c>
      <c r="G1705" t="s">
        <v>4700</v>
      </c>
      <c r="H1705" s="7">
        <v>80010</v>
      </c>
    </row>
    <row r="1706" spans="1:8" x14ac:dyDescent="0.3">
      <c r="A1706">
        <v>7887</v>
      </c>
      <c r="B1706" t="s">
        <v>2645</v>
      </c>
      <c r="C1706" t="s">
        <v>93</v>
      </c>
      <c r="D1706" t="s">
        <v>1616</v>
      </c>
      <c r="E1706" t="s">
        <v>27</v>
      </c>
      <c r="F1706" t="s">
        <v>248</v>
      </c>
      <c r="G1706" t="s">
        <v>4148</v>
      </c>
      <c r="H1706" s="7">
        <v>45140</v>
      </c>
    </row>
    <row r="1707" spans="1:8" x14ac:dyDescent="0.3">
      <c r="A1707">
        <v>7896</v>
      </c>
      <c r="B1707" t="s">
        <v>354</v>
      </c>
      <c r="C1707" t="s">
        <v>1241</v>
      </c>
      <c r="D1707" t="s">
        <v>107</v>
      </c>
      <c r="E1707" t="s">
        <v>8</v>
      </c>
      <c r="F1707" t="s">
        <v>88</v>
      </c>
      <c r="G1707" t="s">
        <v>1569</v>
      </c>
      <c r="H1707" s="7">
        <v>11757</v>
      </c>
    </row>
    <row r="1708" spans="1:8" x14ac:dyDescent="0.3">
      <c r="A1708">
        <v>7898</v>
      </c>
      <c r="B1708" t="s">
        <v>5</v>
      </c>
      <c r="C1708" t="s">
        <v>93</v>
      </c>
      <c r="D1708" t="s">
        <v>107</v>
      </c>
      <c r="E1708" t="s">
        <v>27</v>
      </c>
      <c r="F1708" t="s">
        <v>9</v>
      </c>
      <c r="G1708" t="s">
        <v>1960</v>
      </c>
      <c r="H1708" s="7">
        <v>725</v>
      </c>
    </row>
    <row r="1709" spans="1:8" x14ac:dyDescent="0.3">
      <c r="A1709">
        <v>7901</v>
      </c>
      <c r="B1709" t="s">
        <v>5</v>
      </c>
      <c r="C1709" t="s">
        <v>1011</v>
      </c>
      <c r="D1709" t="s">
        <v>1016</v>
      </c>
      <c r="E1709" t="s">
        <v>8</v>
      </c>
      <c r="F1709" t="s">
        <v>9</v>
      </c>
      <c r="G1709" t="s">
        <v>4140</v>
      </c>
      <c r="H1709" s="7">
        <v>725</v>
      </c>
    </row>
    <row r="1710" spans="1:8" x14ac:dyDescent="0.3">
      <c r="A1710">
        <v>7902</v>
      </c>
      <c r="B1710" t="s">
        <v>1139</v>
      </c>
      <c r="C1710" t="s">
        <v>93</v>
      </c>
      <c r="D1710" t="s">
        <v>107</v>
      </c>
      <c r="E1710" t="s">
        <v>8</v>
      </c>
      <c r="F1710" t="s">
        <v>114</v>
      </c>
      <c r="G1710" t="s">
        <v>3081</v>
      </c>
      <c r="H1710" s="7">
        <v>79927</v>
      </c>
    </row>
    <row r="1711" spans="1:8" x14ac:dyDescent="0.3">
      <c r="A1711">
        <v>7910</v>
      </c>
      <c r="B1711" t="s">
        <v>1029</v>
      </c>
      <c r="C1711" t="s">
        <v>93</v>
      </c>
      <c r="D1711" t="s">
        <v>2857</v>
      </c>
      <c r="E1711" t="s">
        <v>8</v>
      </c>
      <c r="F1711" t="s">
        <v>158</v>
      </c>
      <c r="G1711" t="s">
        <v>2858</v>
      </c>
      <c r="H1711" s="7">
        <v>38018</v>
      </c>
    </row>
    <row r="1712" spans="1:8" x14ac:dyDescent="0.3">
      <c r="A1712">
        <v>7913</v>
      </c>
      <c r="B1712" t="s">
        <v>5</v>
      </c>
      <c r="C1712" t="s">
        <v>2053</v>
      </c>
      <c r="D1712" t="s">
        <v>1825</v>
      </c>
      <c r="E1712" t="s">
        <v>8</v>
      </c>
      <c r="F1712" t="s">
        <v>9</v>
      </c>
      <c r="G1712" t="s">
        <v>4180</v>
      </c>
      <c r="H1712" s="7">
        <v>725</v>
      </c>
    </row>
    <row r="1713" spans="1:8" x14ac:dyDescent="0.3">
      <c r="A1713">
        <v>7915</v>
      </c>
      <c r="B1713" t="s">
        <v>5</v>
      </c>
      <c r="C1713" t="s">
        <v>1172</v>
      </c>
      <c r="D1713" t="s">
        <v>2231</v>
      </c>
      <c r="E1713" t="s">
        <v>8</v>
      </c>
      <c r="F1713" t="s">
        <v>9</v>
      </c>
      <c r="G1713" t="s">
        <v>5262</v>
      </c>
      <c r="H1713" s="7">
        <v>725</v>
      </c>
    </row>
    <row r="1714" spans="1:8" x14ac:dyDescent="0.3">
      <c r="A1714">
        <v>7922</v>
      </c>
      <c r="B1714" t="s">
        <v>2212</v>
      </c>
      <c r="C1714" t="s">
        <v>1824</v>
      </c>
      <c r="D1714" t="s">
        <v>107</v>
      </c>
      <c r="E1714" t="s">
        <v>95</v>
      </c>
      <c r="F1714" t="s">
        <v>283</v>
      </c>
      <c r="G1714" t="s">
        <v>3141</v>
      </c>
      <c r="H1714" s="7">
        <v>23503</v>
      </c>
    </row>
    <row r="1715" spans="1:8" x14ac:dyDescent="0.3">
      <c r="A1715">
        <v>7928</v>
      </c>
      <c r="B1715" t="s">
        <v>1553</v>
      </c>
      <c r="C1715" t="s">
        <v>957</v>
      </c>
      <c r="D1715" t="s">
        <v>107</v>
      </c>
      <c r="E1715" t="s">
        <v>8</v>
      </c>
      <c r="F1715" t="s">
        <v>114</v>
      </c>
      <c r="G1715" t="s">
        <v>2859</v>
      </c>
      <c r="H1715" s="7">
        <v>75061</v>
      </c>
    </row>
    <row r="1716" spans="1:8" x14ac:dyDescent="0.3">
      <c r="A1716">
        <v>7929</v>
      </c>
      <c r="B1716" t="s">
        <v>5</v>
      </c>
      <c r="C1716" t="s">
        <v>93</v>
      </c>
      <c r="D1716" t="s">
        <v>2950</v>
      </c>
      <c r="E1716" t="s">
        <v>27</v>
      </c>
      <c r="F1716" t="s">
        <v>9</v>
      </c>
      <c r="G1716" t="s">
        <v>118</v>
      </c>
      <c r="H1716" s="7">
        <v>725</v>
      </c>
    </row>
    <row r="1717" spans="1:8" x14ac:dyDescent="0.3">
      <c r="A1717">
        <v>7931</v>
      </c>
      <c r="B1717" t="s">
        <v>259</v>
      </c>
      <c r="C1717" t="s">
        <v>93</v>
      </c>
      <c r="D1717" t="s">
        <v>260</v>
      </c>
      <c r="E1717" t="s">
        <v>27</v>
      </c>
      <c r="F1717" t="s">
        <v>242</v>
      </c>
      <c r="G1717" t="s">
        <v>261</v>
      </c>
      <c r="H1717" s="7">
        <v>21061</v>
      </c>
    </row>
    <row r="1718" spans="1:8" x14ac:dyDescent="0.3">
      <c r="A1718">
        <v>7939</v>
      </c>
      <c r="B1718" t="s">
        <v>1550</v>
      </c>
      <c r="C1718" t="s">
        <v>3887</v>
      </c>
      <c r="D1718" t="s">
        <v>107</v>
      </c>
      <c r="E1718" t="s">
        <v>8</v>
      </c>
      <c r="F1718" t="s">
        <v>88</v>
      </c>
      <c r="G1718" t="s">
        <v>5415</v>
      </c>
      <c r="H1718" s="7">
        <v>11420</v>
      </c>
    </row>
    <row r="1719" spans="1:8" x14ac:dyDescent="0.3">
      <c r="A1719">
        <v>7940</v>
      </c>
      <c r="B1719" t="s">
        <v>5</v>
      </c>
      <c r="C1719" t="s">
        <v>93</v>
      </c>
      <c r="D1719" t="s">
        <v>1460</v>
      </c>
      <c r="E1719" t="s">
        <v>8</v>
      </c>
      <c r="F1719" t="s">
        <v>9</v>
      </c>
      <c r="G1719" t="s">
        <v>65</v>
      </c>
      <c r="H1719" s="7">
        <v>725</v>
      </c>
    </row>
    <row r="1720" spans="1:8" x14ac:dyDescent="0.3">
      <c r="A1720">
        <v>7952</v>
      </c>
      <c r="B1720" t="s">
        <v>631</v>
      </c>
      <c r="C1720" t="s">
        <v>847</v>
      </c>
      <c r="D1720" t="s">
        <v>107</v>
      </c>
      <c r="E1720" t="s">
        <v>8</v>
      </c>
      <c r="F1720" t="s">
        <v>108</v>
      </c>
      <c r="G1720" t="s">
        <v>2584</v>
      </c>
      <c r="H1720" s="7">
        <v>97402</v>
      </c>
    </row>
    <row r="1721" spans="1:8" x14ac:dyDescent="0.3">
      <c r="A1721">
        <v>7954</v>
      </c>
      <c r="B1721" t="s">
        <v>1777</v>
      </c>
      <c r="C1721" t="s">
        <v>643</v>
      </c>
      <c r="D1721" t="s">
        <v>107</v>
      </c>
      <c r="E1721" t="s">
        <v>8</v>
      </c>
      <c r="F1721" t="s">
        <v>77</v>
      </c>
      <c r="G1721" t="s">
        <v>2848</v>
      </c>
      <c r="H1721" s="7">
        <v>17404</v>
      </c>
    </row>
    <row r="1722" spans="1:8" x14ac:dyDescent="0.3">
      <c r="A1722">
        <v>7960</v>
      </c>
      <c r="B1722" t="s">
        <v>5</v>
      </c>
      <c r="C1722" t="s">
        <v>3142</v>
      </c>
      <c r="D1722" t="s">
        <v>597</v>
      </c>
      <c r="E1722" t="s">
        <v>27</v>
      </c>
      <c r="F1722" t="s">
        <v>9</v>
      </c>
      <c r="G1722" t="s">
        <v>4443</v>
      </c>
      <c r="H1722" s="7">
        <v>725</v>
      </c>
    </row>
    <row r="1723" spans="1:8" x14ac:dyDescent="0.3">
      <c r="A1723">
        <v>7963</v>
      </c>
      <c r="B1723" t="s">
        <v>368</v>
      </c>
      <c r="C1723" t="s">
        <v>93</v>
      </c>
      <c r="D1723" t="s">
        <v>1640</v>
      </c>
      <c r="E1723" t="s">
        <v>27</v>
      </c>
      <c r="F1723" t="s">
        <v>88</v>
      </c>
      <c r="G1723" t="s">
        <v>1641</v>
      </c>
      <c r="H1723" s="7">
        <v>10040</v>
      </c>
    </row>
    <row r="1724" spans="1:8" x14ac:dyDescent="0.3">
      <c r="A1724">
        <v>7971</v>
      </c>
      <c r="B1724" t="s">
        <v>3234</v>
      </c>
      <c r="C1724" t="s">
        <v>1951</v>
      </c>
      <c r="D1724" t="s">
        <v>107</v>
      </c>
      <c r="E1724" t="s">
        <v>8</v>
      </c>
      <c r="F1724" t="s">
        <v>283</v>
      </c>
      <c r="G1724" t="s">
        <v>3235</v>
      </c>
      <c r="H1724" s="7">
        <v>22003</v>
      </c>
    </row>
    <row r="1725" spans="1:8" x14ac:dyDescent="0.3">
      <c r="A1725">
        <v>7974</v>
      </c>
      <c r="B1725" t="s">
        <v>239</v>
      </c>
      <c r="C1725" t="s">
        <v>93</v>
      </c>
      <c r="D1725" t="s">
        <v>1496</v>
      </c>
      <c r="E1725" t="s">
        <v>8</v>
      </c>
      <c r="F1725" t="s">
        <v>242</v>
      </c>
      <c r="G1725" t="s">
        <v>4069</v>
      </c>
      <c r="H1725" s="7">
        <v>21215</v>
      </c>
    </row>
    <row r="1726" spans="1:8" x14ac:dyDescent="0.3">
      <c r="A1726">
        <v>7979</v>
      </c>
      <c r="B1726" t="s">
        <v>1139</v>
      </c>
      <c r="C1726" t="s">
        <v>93</v>
      </c>
      <c r="D1726" t="s">
        <v>107</v>
      </c>
      <c r="E1726" t="s">
        <v>8</v>
      </c>
      <c r="F1726" t="s">
        <v>114</v>
      </c>
      <c r="G1726" t="s">
        <v>4659</v>
      </c>
      <c r="H1726" s="7">
        <v>79907</v>
      </c>
    </row>
    <row r="1727" spans="1:8" x14ac:dyDescent="0.3">
      <c r="A1727">
        <v>7980</v>
      </c>
      <c r="B1727" t="s">
        <v>4656</v>
      </c>
      <c r="C1727" t="s">
        <v>1824</v>
      </c>
      <c r="D1727" t="s">
        <v>1106</v>
      </c>
      <c r="E1727" t="s">
        <v>8</v>
      </c>
      <c r="F1727" t="s">
        <v>629</v>
      </c>
      <c r="G1727" t="s">
        <v>4702</v>
      </c>
      <c r="H1727" s="7">
        <v>70003</v>
      </c>
    </row>
    <row r="1728" spans="1:8" x14ac:dyDescent="0.3">
      <c r="A1728">
        <v>7982</v>
      </c>
      <c r="B1728" t="s">
        <v>254</v>
      </c>
      <c r="C1728" t="s">
        <v>555</v>
      </c>
      <c r="D1728" t="s">
        <v>1699</v>
      </c>
      <c r="E1728" t="s">
        <v>27</v>
      </c>
      <c r="F1728" t="s">
        <v>55</v>
      </c>
      <c r="G1728" t="s">
        <v>4175</v>
      </c>
      <c r="H1728" s="7">
        <v>60641</v>
      </c>
    </row>
    <row r="1729" spans="1:8" x14ac:dyDescent="0.3">
      <c r="A1729">
        <v>7985</v>
      </c>
      <c r="B1729" t="s">
        <v>5</v>
      </c>
      <c r="C1729" t="s">
        <v>2740</v>
      </c>
      <c r="D1729" t="s">
        <v>107</v>
      </c>
      <c r="E1729" t="s">
        <v>27</v>
      </c>
      <c r="F1729" t="s">
        <v>9</v>
      </c>
      <c r="G1729" t="s">
        <v>2921</v>
      </c>
      <c r="H1729" s="7">
        <v>725</v>
      </c>
    </row>
    <row r="1730" spans="1:8" x14ac:dyDescent="0.3">
      <c r="A1730">
        <v>7986</v>
      </c>
      <c r="B1730" t="s">
        <v>254</v>
      </c>
      <c r="C1730" t="s">
        <v>93</v>
      </c>
      <c r="D1730" t="s">
        <v>4250</v>
      </c>
      <c r="E1730" t="s">
        <v>95</v>
      </c>
      <c r="F1730" t="s">
        <v>55</v>
      </c>
      <c r="G1730" t="s">
        <v>4444</v>
      </c>
      <c r="H1730" s="7">
        <v>60609</v>
      </c>
    </row>
    <row r="1731" spans="1:8" x14ac:dyDescent="0.3">
      <c r="A1731">
        <v>7989</v>
      </c>
      <c r="B1731" t="s">
        <v>474</v>
      </c>
      <c r="C1731" t="s">
        <v>454</v>
      </c>
      <c r="D1731" t="s">
        <v>462</v>
      </c>
      <c r="E1731" t="s">
        <v>8</v>
      </c>
      <c r="F1731" t="s">
        <v>140</v>
      </c>
      <c r="G1731" t="s">
        <v>742</v>
      </c>
      <c r="H1731" s="7">
        <v>30907</v>
      </c>
    </row>
    <row r="1732" spans="1:8" x14ac:dyDescent="0.3">
      <c r="A1732">
        <v>7996</v>
      </c>
      <c r="B1732" t="s">
        <v>1096</v>
      </c>
      <c r="C1732" t="s">
        <v>93</v>
      </c>
      <c r="D1732" t="s">
        <v>1097</v>
      </c>
      <c r="E1732" t="s">
        <v>27</v>
      </c>
      <c r="F1732" t="s">
        <v>242</v>
      </c>
      <c r="G1732" t="s">
        <v>1098</v>
      </c>
      <c r="H1732" s="7">
        <v>20854</v>
      </c>
    </row>
    <row r="1733" spans="1:8" x14ac:dyDescent="0.3">
      <c r="A1733">
        <v>7999</v>
      </c>
      <c r="B1733" t="s">
        <v>1449</v>
      </c>
      <c r="C1733" t="s">
        <v>223</v>
      </c>
      <c r="D1733" t="s">
        <v>1506</v>
      </c>
      <c r="E1733" t="s">
        <v>27</v>
      </c>
      <c r="F1733" t="s">
        <v>21</v>
      </c>
      <c r="G1733" t="s">
        <v>1507</v>
      </c>
      <c r="H1733" s="7">
        <v>90220</v>
      </c>
    </row>
    <row r="1734" spans="1:8" x14ac:dyDescent="0.3">
      <c r="A1734">
        <v>8001</v>
      </c>
      <c r="B1734" t="s">
        <v>699</v>
      </c>
      <c r="C1734" t="s">
        <v>93</v>
      </c>
      <c r="D1734" t="s">
        <v>107</v>
      </c>
      <c r="E1734" t="s">
        <v>95</v>
      </c>
      <c r="F1734" t="s">
        <v>114</v>
      </c>
      <c r="G1734" t="s">
        <v>5549</v>
      </c>
      <c r="H1734" s="7">
        <v>77088</v>
      </c>
    </row>
    <row r="1735" spans="1:8" x14ac:dyDescent="0.3">
      <c r="A1735">
        <v>8003</v>
      </c>
      <c r="B1735" t="s">
        <v>1139</v>
      </c>
      <c r="C1735" t="s">
        <v>1981</v>
      </c>
      <c r="D1735" t="s">
        <v>152</v>
      </c>
      <c r="E1735" t="s">
        <v>8</v>
      </c>
      <c r="F1735" t="s">
        <v>114</v>
      </c>
      <c r="G1735" t="s">
        <v>4641</v>
      </c>
      <c r="H1735" s="7">
        <v>79912</v>
      </c>
    </row>
    <row r="1736" spans="1:8" x14ac:dyDescent="0.3">
      <c r="A1736">
        <v>8005</v>
      </c>
      <c r="B1736" t="s">
        <v>495</v>
      </c>
      <c r="C1736" t="s">
        <v>112</v>
      </c>
      <c r="D1736" t="s">
        <v>731</v>
      </c>
      <c r="E1736" t="s">
        <v>8</v>
      </c>
      <c r="F1736" t="s">
        <v>88</v>
      </c>
      <c r="G1736" t="s">
        <v>732</v>
      </c>
      <c r="H1736" s="7">
        <v>11230</v>
      </c>
    </row>
    <row r="1737" spans="1:8" x14ac:dyDescent="0.3">
      <c r="A1737">
        <v>8011</v>
      </c>
      <c r="B1737" t="s">
        <v>5</v>
      </c>
      <c r="C1737" t="s">
        <v>93</v>
      </c>
      <c r="D1737" t="s">
        <v>101</v>
      </c>
      <c r="E1737" t="s">
        <v>95</v>
      </c>
      <c r="F1737" t="s">
        <v>9</v>
      </c>
      <c r="G1737" t="s">
        <v>102</v>
      </c>
      <c r="H1737" s="7">
        <v>725</v>
      </c>
    </row>
    <row r="1738" spans="1:8" x14ac:dyDescent="0.3">
      <c r="A1738">
        <v>8012</v>
      </c>
      <c r="B1738" t="s">
        <v>1779</v>
      </c>
      <c r="C1738" t="s">
        <v>724</v>
      </c>
      <c r="D1738" t="s">
        <v>107</v>
      </c>
      <c r="E1738" t="s">
        <v>95</v>
      </c>
      <c r="F1738" t="s">
        <v>21</v>
      </c>
      <c r="G1738" t="s">
        <v>1780</v>
      </c>
      <c r="H1738" s="7">
        <v>94541</v>
      </c>
    </row>
    <row r="1739" spans="1:8" x14ac:dyDescent="0.3">
      <c r="A1739">
        <v>8013</v>
      </c>
      <c r="B1739" t="s">
        <v>3122</v>
      </c>
      <c r="C1739" t="s">
        <v>93</v>
      </c>
      <c r="D1739" t="s">
        <v>2278</v>
      </c>
      <c r="E1739" t="s">
        <v>95</v>
      </c>
      <c r="F1739" t="s">
        <v>1145</v>
      </c>
      <c r="G1739" t="s">
        <v>3123</v>
      </c>
      <c r="H1739" s="7">
        <v>54935</v>
      </c>
    </row>
    <row r="1740" spans="1:8" x14ac:dyDescent="0.3">
      <c r="A1740">
        <v>8016</v>
      </c>
      <c r="B1740" t="s">
        <v>210</v>
      </c>
      <c r="C1740" t="s">
        <v>711</v>
      </c>
      <c r="D1740" t="s">
        <v>107</v>
      </c>
      <c r="E1740" t="s">
        <v>8</v>
      </c>
      <c r="F1740" t="s">
        <v>21</v>
      </c>
      <c r="G1740" t="s">
        <v>966</v>
      </c>
      <c r="H1740" s="7">
        <v>90745</v>
      </c>
    </row>
    <row r="1741" spans="1:8" x14ac:dyDescent="0.3">
      <c r="A1741">
        <v>8024</v>
      </c>
      <c r="B1741" t="s">
        <v>5</v>
      </c>
      <c r="C1741" t="s">
        <v>444</v>
      </c>
      <c r="D1741" t="s">
        <v>107</v>
      </c>
      <c r="E1741" t="s">
        <v>8</v>
      </c>
      <c r="F1741" t="s">
        <v>9</v>
      </c>
      <c r="G1741" t="s">
        <v>1463</v>
      </c>
      <c r="H1741" s="7">
        <v>725</v>
      </c>
    </row>
    <row r="1742" spans="1:8" x14ac:dyDescent="0.3">
      <c r="A1742">
        <v>8027</v>
      </c>
      <c r="B1742" t="s">
        <v>5</v>
      </c>
      <c r="C1742" t="s">
        <v>251</v>
      </c>
      <c r="D1742" t="s">
        <v>107</v>
      </c>
      <c r="E1742" t="s">
        <v>95</v>
      </c>
      <c r="F1742" t="s">
        <v>9</v>
      </c>
      <c r="G1742" t="s">
        <v>531</v>
      </c>
      <c r="H1742" s="7">
        <v>725</v>
      </c>
    </row>
    <row r="1743" spans="1:8" x14ac:dyDescent="0.3">
      <c r="A1743">
        <v>8029</v>
      </c>
      <c r="B1743" t="s">
        <v>5</v>
      </c>
      <c r="C1743" t="s">
        <v>2697</v>
      </c>
      <c r="D1743" t="s">
        <v>107</v>
      </c>
      <c r="E1743" t="s">
        <v>27</v>
      </c>
      <c r="F1743" t="s">
        <v>9</v>
      </c>
      <c r="G1743" t="s">
        <v>3191</v>
      </c>
      <c r="H1743" s="7">
        <v>725</v>
      </c>
    </row>
    <row r="1744" spans="1:8" x14ac:dyDescent="0.3">
      <c r="A1744">
        <v>8046</v>
      </c>
      <c r="B1744" t="s">
        <v>5</v>
      </c>
      <c r="C1744" t="s">
        <v>93</v>
      </c>
      <c r="D1744" t="s">
        <v>5029</v>
      </c>
      <c r="E1744" t="s">
        <v>95</v>
      </c>
      <c r="F1744" t="s">
        <v>9</v>
      </c>
      <c r="G1744" t="s">
        <v>4400</v>
      </c>
      <c r="H1744" s="7">
        <v>725</v>
      </c>
    </row>
    <row r="1745" spans="1:8" x14ac:dyDescent="0.3">
      <c r="A1745">
        <v>8057</v>
      </c>
      <c r="B1745" t="s">
        <v>5</v>
      </c>
      <c r="C1745" t="s">
        <v>1853</v>
      </c>
      <c r="D1745" t="s">
        <v>107</v>
      </c>
      <c r="E1745" t="s">
        <v>8</v>
      </c>
      <c r="F1745" t="s">
        <v>9</v>
      </c>
      <c r="G1745" t="s">
        <v>5058</v>
      </c>
      <c r="H1745" s="7">
        <v>725</v>
      </c>
    </row>
    <row r="1746" spans="1:8" x14ac:dyDescent="0.3">
      <c r="A1746">
        <v>8060</v>
      </c>
      <c r="B1746" t="s">
        <v>254</v>
      </c>
      <c r="C1746" t="s">
        <v>913</v>
      </c>
      <c r="D1746" t="s">
        <v>3741</v>
      </c>
      <c r="E1746" t="s">
        <v>8</v>
      </c>
      <c r="F1746" t="s">
        <v>55</v>
      </c>
      <c r="G1746" t="s">
        <v>4694</v>
      </c>
      <c r="H1746" s="7">
        <v>60657</v>
      </c>
    </row>
    <row r="1747" spans="1:8" x14ac:dyDescent="0.3">
      <c r="A1747">
        <v>8072</v>
      </c>
      <c r="B1747" t="s">
        <v>5</v>
      </c>
      <c r="C1747" t="s">
        <v>93</v>
      </c>
      <c r="D1747" t="s">
        <v>1743</v>
      </c>
      <c r="E1747" t="s">
        <v>95</v>
      </c>
      <c r="F1747" t="s">
        <v>9</v>
      </c>
      <c r="G1747" t="s">
        <v>1791</v>
      </c>
      <c r="H1747" s="7">
        <v>725</v>
      </c>
    </row>
    <row r="1748" spans="1:8" x14ac:dyDescent="0.3">
      <c r="A1748">
        <v>8079</v>
      </c>
      <c r="B1748" t="s">
        <v>271</v>
      </c>
      <c r="C1748" t="s">
        <v>93</v>
      </c>
      <c r="D1748" t="s">
        <v>1670</v>
      </c>
      <c r="E1748" t="s">
        <v>27</v>
      </c>
      <c r="F1748" t="s">
        <v>88</v>
      </c>
      <c r="G1748" t="s">
        <v>676</v>
      </c>
      <c r="H1748" s="7">
        <v>10977</v>
      </c>
    </row>
    <row r="1749" spans="1:8" x14ac:dyDescent="0.3">
      <c r="A1749">
        <v>8081</v>
      </c>
      <c r="B1749" t="s">
        <v>18</v>
      </c>
      <c r="C1749" t="s">
        <v>93</v>
      </c>
      <c r="D1749" t="s">
        <v>365</v>
      </c>
      <c r="E1749" t="s">
        <v>95</v>
      </c>
      <c r="F1749" t="s">
        <v>21</v>
      </c>
      <c r="G1749" t="s">
        <v>3714</v>
      </c>
      <c r="H1749" s="7">
        <v>95123</v>
      </c>
    </row>
    <row r="1750" spans="1:8" x14ac:dyDescent="0.3">
      <c r="A1750">
        <v>8082</v>
      </c>
      <c r="B1750" t="s">
        <v>5</v>
      </c>
      <c r="C1750" t="s">
        <v>1851</v>
      </c>
      <c r="D1750" t="s">
        <v>107</v>
      </c>
      <c r="E1750" t="s">
        <v>8</v>
      </c>
      <c r="F1750" t="s">
        <v>9</v>
      </c>
      <c r="G1750" t="s">
        <v>4046</v>
      </c>
      <c r="H1750" s="7">
        <v>725</v>
      </c>
    </row>
    <row r="1751" spans="1:8" x14ac:dyDescent="0.3">
      <c r="A1751">
        <v>8084</v>
      </c>
      <c r="B1751" t="s">
        <v>699</v>
      </c>
      <c r="C1751" t="s">
        <v>93</v>
      </c>
      <c r="D1751" t="s">
        <v>107</v>
      </c>
      <c r="E1751" t="s">
        <v>8</v>
      </c>
      <c r="F1751" t="s">
        <v>114</v>
      </c>
      <c r="G1751" t="s">
        <v>4640</v>
      </c>
      <c r="H1751" s="7">
        <v>77036</v>
      </c>
    </row>
    <row r="1752" spans="1:8" x14ac:dyDescent="0.3">
      <c r="A1752">
        <v>8090</v>
      </c>
      <c r="B1752" t="s">
        <v>2689</v>
      </c>
      <c r="C1752" t="s">
        <v>93</v>
      </c>
      <c r="D1752" t="s">
        <v>985</v>
      </c>
      <c r="E1752" t="s">
        <v>27</v>
      </c>
      <c r="F1752" t="s">
        <v>158</v>
      </c>
      <c r="G1752" t="s">
        <v>4925</v>
      </c>
      <c r="H1752" s="7">
        <v>37042</v>
      </c>
    </row>
    <row r="1753" spans="1:8" x14ac:dyDescent="0.3">
      <c r="A1753">
        <v>8092</v>
      </c>
      <c r="B1753" t="s">
        <v>2226</v>
      </c>
      <c r="C1753" t="s">
        <v>93</v>
      </c>
      <c r="D1753" t="s">
        <v>107</v>
      </c>
      <c r="E1753" t="s">
        <v>8</v>
      </c>
      <c r="F1753" t="s">
        <v>77</v>
      </c>
      <c r="G1753" t="s">
        <v>5644</v>
      </c>
      <c r="H1753" s="7">
        <v>15642</v>
      </c>
    </row>
    <row r="1754" spans="1:8" x14ac:dyDescent="0.3">
      <c r="A1754">
        <v>8099</v>
      </c>
      <c r="B1754" t="s">
        <v>495</v>
      </c>
      <c r="C1754" t="s">
        <v>1169</v>
      </c>
      <c r="D1754" t="s">
        <v>2723</v>
      </c>
      <c r="E1754" t="s">
        <v>95</v>
      </c>
      <c r="F1754" t="s">
        <v>88</v>
      </c>
      <c r="G1754" t="s">
        <v>2724</v>
      </c>
      <c r="H1754" s="7">
        <v>11234</v>
      </c>
    </row>
    <row r="1755" spans="1:8" x14ac:dyDescent="0.3">
      <c r="A1755">
        <v>8108</v>
      </c>
      <c r="B1755" t="s">
        <v>174</v>
      </c>
      <c r="C1755" t="s">
        <v>1039</v>
      </c>
      <c r="D1755" t="s">
        <v>567</v>
      </c>
      <c r="E1755" t="s">
        <v>8</v>
      </c>
      <c r="F1755" t="s">
        <v>21</v>
      </c>
      <c r="G1755" t="s">
        <v>5380</v>
      </c>
      <c r="H1755" s="7">
        <v>90007</v>
      </c>
    </row>
    <row r="1756" spans="1:8" x14ac:dyDescent="0.3">
      <c r="A1756">
        <v>8111</v>
      </c>
      <c r="B1756" t="s">
        <v>810</v>
      </c>
      <c r="C1756" t="s">
        <v>1738</v>
      </c>
      <c r="D1756" t="s">
        <v>3423</v>
      </c>
      <c r="E1756" t="s">
        <v>95</v>
      </c>
      <c r="F1756" t="s">
        <v>448</v>
      </c>
      <c r="G1756" t="s">
        <v>5592</v>
      </c>
      <c r="H1756" s="7">
        <v>33064</v>
      </c>
    </row>
    <row r="1757" spans="1:8" x14ac:dyDescent="0.3">
      <c r="A1757">
        <v>8113</v>
      </c>
      <c r="B1757" t="s">
        <v>1135</v>
      </c>
      <c r="C1757" t="s">
        <v>1211</v>
      </c>
      <c r="D1757" t="s">
        <v>307</v>
      </c>
      <c r="E1757" t="s">
        <v>8</v>
      </c>
      <c r="F1757" t="s">
        <v>36</v>
      </c>
      <c r="G1757" t="s">
        <v>1726</v>
      </c>
      <c r="H1757" s="7">
        <v>1201</v>
      </c>
    </row>
    <row r="1758" spans="1:8" x14ac:dyDescent="0.3">
      <c r="A1758">
        <v>8120</v>
      </c>
      <c r="B1758" t="s">
        <v>2645</v>
      </c>
      <c r="C1758" t="s">
        <v>520</v>
      </c>
      <c r="D1758" t="s">
        <v>1636</v>
      </c>
      <c r="E1758" t="s">
        <v>8</v>
      </c>
      <c r="F1758" t="s">
        <v>248</v>
      </c>
      <c r="G1758" t="s">
        <v>3889</v>
      </c>
      <c r="H1758" s="7">
        <v>45140</v>
      </c>
    </row>
    <row r="1759" spans="1:8" x14ac:dyDescent="0.3">
      <c r="A1759">
        <v>8129</v>
      </c>
      <c r="B1759" t="s">
        <v>5</v>
      </c>
      <c r="C1759" t="s">
        <v>1738</v>
      </c>
      <c r="D1759" t="s">
        <v>663</v>
      </c>
      <c r="E1759" t="s">
        <v>95</v>
      </c>
      <c r="F1759" t="s">
        <v>9</v>
      </c>
      <c r="G1759" t="s">
        <v>1739</v>
      </c>
      <c r="H1759" s="7">
        <v>725</v>
      </c>
    </row>
    <row r="1760" spans="1:8" x14ac:dyDescent="0.3">
      <c r="A1760">
        <v>8136</v>
      </c>
      <c r="B1760" t="s">
        <v>169</v>
      </c>
      <c r="C1760" t="s">
        <v>891</v>
      </c>
      <c r="D1760" t="s">
        <v>107</v>
      </c>
      <c r="E1760" t="s">
        <v>95</v>
      </c>
      <c r="F1760" t="s">
        <v>172</v>
      </c>
      <c r="G1760" t="s">
        <v>3128</v>
      </c>
      <c r="H1760" s="7">
        <v>63301</v>
      </c>
    </row>
    <row r="1761" spans="1:8" x14ac:dyDescent="0.3">
      <c r="A1761">
        <v>8143</v>
      </c>
      <c r="B1761" t="s">
        <v>5</v>
      </c>
      <c r="C1761" t="s">
        <v>785</v>
      </c>
      <c r="D1761" t="s">
        <v>107</v>
      </c>
      <c r="E1761" t="s">
        <v>8</v>
      </c>
      <c r="F1761" t="s">
        <v>9</v>
      </c>
      <c r="G1761" t="s">
        <v>5578</v>
      </c>
      <c r="H1761" s="7">
        <v>725</v>
      </c>
    </row>
    <row r="1762" spans="1:8" x14ac:dyDescent="0.3">
      <c r="A1762">
        <v>8147</v>
      </c>
      <c r="B1762" t="s">
        <v>4926</v>
      </c>
      <c r="C1762" t="s">
        <v>93</v>
      </c>
      <c r="D1762" t="s">
        <v>2186</v>
      </c>
      <c r="E1762" t="s">
        <v>8</v>
      </c>
      <c r="F1762" t="s">
        <v>381</v>
      </c>
      <c r="G1762" t="s">
        <v>4957</v>
      </c>
      <c r="H1762" s="7">
        <v>49442</v>
      </c>
    </row>
    <row r="1763" spans="1:8" x14ac:dyDescent="0.3">
      <c r="A1763">
        <v>8156</v>
      </c>
      <c r="B1763" t="s">
        <v>174</v>
      </c>
      <c r="C1763" t="s">
        <v>1103</v>
      </c>
      <c r="D1763" t="s">
        <v>107</v>
      </c>
      <c r="E1763" t="s">
        <v>27</v>
      </c>
      <c r="F1763" t="s">
        <v>21</v>
      </c>
      <c r="G1763" t="s">
        <v>1104</v>
      </c>
      <c r="H1763" s="7">
        <v>90044</v>
      </c>
    </row>
    <row r="1764" spans="1:8" x14ac:dyDescent="0.3">
      <c r="A1764">
        <v>8157</v>
      </c>
      <c r="B1764" t="s">
        <v>897</v>
      </c>
      <c r="C1764" t="s">
        <v>93</v>
      </c>
      <c r="D1764" t="s">
        <v>3034</v>
      </c>
      <c r="E1764" t="s">
        <v>27</v>
      </c>
      <c r="F1764" t="s">
        <v>9</v>
      </c>
      <c r="G1764" t="s">
        <v>3301</v>
      </c>
      <c r="H1764" s="7">
        <v>674</v>
      </c>
    </row>
    <row r="1765" spans="1:8" x14ac:dyDescent="0.3">
      <c r="A1765">
        <v>8161</v>
      </c>
      <c r="B1765" t="s">
        <v>5</v>
      </c>
      <c r="C1765" t="s">
        <v>397</v>
      </c>
      <c r="D1765" t="s">
        <v>3110</v>
      </c>
      <c r="E1765" t="s">
        <v>27</v>
      </c>
      <c r="F1765" t="s">
        <v>9</v>
      </c>
      <c r="G1765" t="s">
        <v>3268</v>
      </c>
      <c r="H1765" s="7">
        <v>725</v>
      </c>
    </row>
    <row r="1766" spans="1:8" x14ac:dyDescent="0.3">
      <c r="A1766">
        <v>8166</v>
      </c>
      <c r="B1766" t="s">
        <v>723</v>
      </c>
      <c r="C1766" t="s">
        <v>711</v>
      </c>
      <c r="D1766" t="s">
        <v>107</v>
      </c>
      <c r="E1766" t="s">
        <v>95</v>
      </c>
      <c r="F1766" t="s">
        <v>55</v>
      </c>
      <c r="G1766" t="s">
        <v>2780</v>
      </c>
      <c r="H1766" s="7">
        <v>60504</v>
      </c>
    </row>
    <row r="1767" spans="1:8" x14ac:dyDescent="0.3">
      <c r="A1767">
        <v>8168</v>
      </c>
      <c r="B1767" t="s">
        <v>5</v>
      </c>
      <c r="C1767" t="s">
        <v>1169</v>
      </c>
      <c r="D1767" t="s">
        <v>107</v>
      </c>
      <c r="E1767" t="s">
        <v>8</v>
      </c>
      <c r="F1767" t="s">
        <v>9</v>
      </c>
      <c r="G1767" t="s">
        <v>5177</v>
      </c>
      <c r="H1767" s="7">
        <v>725</v>
      </c>
    </row>
    <row r="1768" spans="1:8" x14ac:dyDescent="0.3">
      <c r="A1768">
        <v>8170</v>
      </c>
      <c r="B1768" t="s">
        <v>1256</v>
      </c>
      <c r="C1768" t="s">
        <v>1604</v>
      </c>
      <c r="D1768" t="s">
        <v>107</v>
      </c>
      <c r="E1768" t="s">
        <v>8</v>
      </c>
      <c r="F1768" t="s">
        <v>478</v>
      </c>
      <c r="G1768" t="s">
        <v>1769</v>
      </c>
      <c r="H1768" s="7">
        <v>89014</v>
      </c>
    </row>
    <row r="1769" spans="1:8" x14ac:dyDescent="0.3">
      <c r="A1769">
        <v>8179</v>
      </c>
      <c r="B1769" t="s">
        <v>5</v>
      </c>
      <c r="C1769" t="s">
        <v>882</v>
      </c>
      <c r="D1769" t="s">
        <v>360</v>
      </c>
      <c r="E1769" t="s">
        <v>95</v>
      </c>
      <c r="F1769" t="s">
        <v>9</v>
      </c>
      <c r="G1769" t="s">
        <v>883</v>
      </c>
      <c r="H1769" s="7">
        <v>725</v>
      </c>
    </row>
    <row r="1770" spans="1:8" x14ac:dyDescent="0.3">
      <c r="A1770">
        <v>8180</v>
      </c>
      <c r="B1770" t="s">
        <v>495</v>
      </c>
      <c r="C1770" t="s">
        <v>167</v>
      </c>
      <c r="D1770" t="s">
        <v>107</v>
      </c>
      <c r="E1770" t="s">
        <v>95</v>
      </c>
      <c r="F1770" t="s">
        <v>88</v>
      </c>
      <c r="G1770" t="s">
        <v>5398</v>
      </c>
      <c r="H1770" s="7">
        <v>11223</v>
      </c>
    </row>
    <row r="1771" spans="1:8" x14ac:dyDescent="0.3">
      <c r="A1771">
        <v>8184</v>
      </c>
      <c r="B1771" t="s">
        <v>495</v>
      </c>
      <c r="C1771" t="s">
        <v>93</v>
      </c>
      <c r="D1771" t="s">
        <v>107</v>
      </c>
      <c r="E1771" t="s">
        <v>27</v>
      </c>
      <c r="F1771" t="s">
        <v>88</v>
      </c>
      <c r="G1771" t="s">
        <v>496</v>
      </c>
      <c r="H1771" s="7">
        <v>11229</v>
      </c>
    </row>
    <row r="1772" spans="1:8" x14ac:dyDescent="0.3">
      <c r="A1772">
        <v>8185</v>
      </c>
      <c r="B1772" t="s">
        <v>3255</v>
      </c>
      <c r="C1772" t="s">
        <v>555</v>
      </c>
      <c r="D1772" t="s">
        <v>1964</v>
      </c>
      <c r="E1772" t="s">
        <v>95</v>
      </c>
      <c r="F1772" t="s">
        <v>21</v>
      </c>
      <c r="G1772" t="s">
        <v>5574</v>
      </c>
      <c r="H1772" s="7">
        <v>95630</v>
      </c>
    </row>
    <row r="1773" spans="1:8" x14ac:dyDescent="0.3">
      <c r="A1773">
        <v>8199</v>
      </c>
      <c r="B1773" t="s">
        <v>5</v>
      </c>
      <c r="C1773" t="s">
        <v>1951</v>
      </c>
      <c r="D1773" t="s">
        <v>107</v>
      </c>
      <c r="E1773" t="s">
        <v>8</v>
      </c>
      <c r="F1773" t="s">
        <v>9</v>
      </c>
      <c r="G1773" t="s">
        <v>5225</v>
      </c>
      <c r="H1773" s="7">
        <v>725</v>
      </c>
    </row>
    <row r="1774" spans="1:8" x14ac:dyDescent="0.3">
      <c r="A1774">
        <v>8206</v>
      </c>
      <c r="B1774" t="s">
        <v>1779</v>
      </c>
      <c r="C1774" t="s">
        <v>93</v>
      </c>
      <c r="D1774" t="s">
        <v>107</v>
      </c>
      <c r="E1774" t="s">
        <v>8</v>
      </c>
      <c r="F1774" t="s">
        <v>21</v>
      </c>
      <c r="G1774" t="s">
        <v>3192</v>
      </c>
      <c r="H1774" s="7">
        <v>94541</v>
      </c>
    </row>
    <row r="1775" spans="1:8" x14ac:dyDescent="0.3">
      <c r="A1775">
        <v>8216</v>
      </c>
      <c r="B1775" t="s">
        <v>5</v>
      </c>
      <c r="C1775" t="s">
        <v>577</v>
      </c>
      <c r="D1775" t="s">
        <v>1303</v>
      </c>
      <c r="E1775" t="s">
        <v>27</v>
      </c>
      <c r="F1775" t="s">
        <v>9</v>
      </c>
      <c r="G1775" t="s">
        <v>3287</v>
      </c>
      <c r="H1775" s="7">
        <v>725</v>
      </c>
    </row>
    <row r="1776" spans="1:8" x14ac:dyDescent="0.3">
      <c r="A1776">
        <v>8221</v>
      </c>
      <c r="B1776" t="s">
        <v>2718</v>
      </c>
      <c r="C1776" t="s">
        <v>2452</v>
      </c>
      <c r="D1776" t="s">
        <v>2719</v>
      </c>
      <c r="E1776" t="s">
        <v>95</v>
      </c>
      <c r="F1776" t="s">
        <v>114</v>
      </c>
      <c r="G1776" t="s">
        <v>1027</v>
      </c>
      <c r="H1776" s="7">
        <v>78130</v>
      </c>
    </row>
    <row r="1777" spans="1:8" x14ac:dyDescent="0.3">
      <c r="A1777">
        <v>8222</v>
      </c>
      <c r="B1777" t="s">
        <v>5</v>
      </c>
      <c r="C1777" t="s">
        <v>488</v>
      </c>
      <c r="D1777" t="s">
        <v>107</v>
      </c>
      <c r="E1777" t="s">
        <v>8</v>
      </c>
      <c r="F1777" t="s">
        <v>9</v>
      </c>
      <c r="G1777" t="s">
        <v>5128</v>
      </c>
      <c r="H1777" s="7">
        <v>725</v>
      </c>
    </row>
    <row r="1778" spans="1:8" x14ac:dyDescent="0.3">
      <c r="A1778">
        <v>8228</v>
      </c>
      <c r="B1778" t="s">
        <v>1516</v>
      </c>
      <c r="C1778" t="s">
        <v>724</v>
      </c>
      <c r="D1778" t="s">
        <v>578</v>
      </c>
      <c r="E1778" t="s">
        <v>27</v>
      </c>
      <c r="F1778" t="s">
        <v>308</v>
      </c>
      <c r="G1778" t="s">
        <v>5387</v>
      </c>
      <c r="H1778" s="7">
        <v>7960</v>
      </c>
    </row>
    <row r="1779" spans="1:8" x14ac:dyDescent="0.3">
      <c r="A1779">
        <v>8229</v>
      </c>
      <c r="B1779" t="s">
        <v>5</v>
      </c>
      <c r="C1779" t="s">
        <v>93</v>
      </c>
      <c r="D1779" t="s">
        <v>176</v>
      </c>
      <c r="E1779" t="s">
        <v>27</v>
      </c>
      <c r="F1779" t="s">
        <v>9</v>
      </c>
      <c r="G1779" t="s">
        <v>2928</v>
      </c>
      <c r="H1779" s="7">
        <v>725</v>
      </c>
    </row>
    <row r="1780" spans="1:8" x14ac:dyDescent="0.3">
      <c r="A1780">
        <v>8248</v>
      </c>
      <c r="B1780" t="s">
        <v>1618</v>
      </c>
      <c r="C1780" t="s">
        <v>623</v>
      </c>
      <c r="D1780" t="s">
        <v>2180</v>
      </c>
      <c r="E1780" t="s">
        <v>95</v>
      </c>
      <c r="F1780" t="s">
        <v>381</v>
      </c>
      <c r="G1780" t="s">
        <v>4593</v>
      </c>
      <c r="H1780" s="7">
        <v>48192</v>
      </c>
    </row>
    <row r="1781" spans="1:8" x14ac:dyDescent="0.3">
      <c r="A1781">
        <v>8249</v>
      </c>
      <c r="B1781" t="s">
        <v>5</v>
      </c>
      <c r="C1781" t="s">
        <v>93</v>
      </c>
      <c r="D1781" t="s">
        <v>3903</v>
      </c>
      <c r="E1781" t="s">
        <v>8</v>
      </c>
      <c r="F1781" t="s">
        <v>9</v>
      </c>
      <c r="G1781" t="s">
        <v>5586</v>
      </c>
      <c r="H1781" s="7">
        <v>725</v>
      </c>
    </row>
    <row r="1782" spans="1:8" x14ac:dyDescent="0.3">
      <c r="A1782">
        <v>8262</v>
      </c>
      <c r="B1782" t="s">
        <v>388</v>
      </c>
      <c r="C1782" t="s">
        <v>623</v>
      </c>
      <c r="D1782" t="s">
        <v>189</v>
      </c>
      <c r="E1782" t="s">
        <v>27</v>
      </c>
      <c r="F1782" t="s">
        <v>308</v>
      </c>
      <c r="G1782" t="s">
        <v>1542</v>
      </c>
      <c r="H1782" s="7">
        <v>7052</v>
      </c>
    </row>
    <row r="1783" spans="1:8" x14ac:dyDescent="0.3">
      <c r="A1783">
        <v>8264</v>
      </c>
      <c r="B1783" t="s">
        <v>2687</v>
      </c>
      <c r="C1783" t="s">
        <v>112</v>
      </c>
      <c r="D1783" t="s">
        <v>1333</v>
      </c>
      <c r="E1783" t="s">
        <v>27</v>
      </c>
      <c r="F1783" t="s">
        <v>55</v>
      </c>
      <c r="G1783" t="s">
        <v>3178</v>
      </c>
      <c r="H1783" s="7">
        <v>60804</v>
      </c>
    </row>
    <row r="1784" spans="1:8" x14ac:dyDescent="0.3">
      <c r="A1784">
        <v>8265</v>
      </c>
      <c r="B1784" t="s">
        <v>5</v>
      </c>
      <c r="C1784" t="s">
        <v>1951</v>
      </c>
      <c r="D1784" t="s">
        <v>107</v>
      </c>
      <c r="E1784" t="s">
        <v>27</v>
      </c>
      <c r="F1784" t="s">
        <v>9</v>
      </c>
      <c r="G1784" t="s">
        <v>3447</v>
      </c>
      <c r="H1784" s="7">
        <v>725</v>
      </c>
    </row>
    <row r="1785" spans="1:8" x14ac:dyDescent="0.3">
      <c r="A1785">
        <v>8266</v>
      </c>
      <c r="B1785" t="s">
        <v>1779</v>
      </c>
      <c r="C1785" t="s">
        <v>93</v>
      </c>
      <c r="D1785" t="s">
        <v>2961</v>
      </c>
      <c r="E1785" t="s">
        <v>27</v>
      </c>
      <c r="F1785" t="s">
        <v>21</v>
      </c>
      <c r="G1785" t="s">
        <v>5056</v>
      </c>
      <c r="H1785" s="7">
        <v>94541</v>
      </c>
    </row>
    <row r="1786" spans="1:8" x14ac:dyDescent="0.3">
      <c r="A1786">
        <v>8268</v>
      </c>
      <c r="B1786" t="s">
        <v>5</v>
      </c>
      <c r="C1786" t="s">
        <v>1207</v>
      </c>
      <c r="D1786" t="s">
        <v>2165</v>
      </c>
      <c r="E1786" t="s">
        <v>27</v>
      </c>
      <c r="F1786" t="s">
        <v>9</v>
      </c>
      <c r="G1786" t="s">
        <v>2775</v>
      </c>
      <c r="H1786" s="7">
        <v>725</v>
      </c>
    </row>
    <row r="1787" spans="1:8" x14ac:dyDescent="0.3">
      <c r="A1787">
        <v>8273</v>
      </c>
      <c r="B1787" t="s">
        <v>858</v>
      </c>
      <c r="C1787" t="s">
        <v>859</v>
      </c>
      <c r="D1787" t="s">
        <v>860</v>
      </c>
      <c r="E1787" t="s">
        <v>8</v>
      </c>
      <c r="F1787" t="s">
        <v>629</v>
      </c>
      <c r="G1787" t="s">
        <v>861</v>
      </c>
      <c r="H1787" s="7">
        <v>70122</v>
      </c>
    </row>
    <row r="1788" spans="1:8" x14ac:dyDescent="0.3">
      <c r="A1788">
        <v>8275</v>
      </c>
      <c r="B1788" t="s">
        <v>457</v>
      </c>
      <c r="C1788" t="s">
        <v>458</v>
      </c>
      <c r="D1788" t="s">
        <v>107</v>
      </c>
      <c r="E1788" t="s">
        <v>27</v>
      </c>
      <c r="F1788" t="s">
        <v>21</v>
      </c>
      <c r="G1788" t="s">
        <v>459</v>
      </c>
      <c r="H1788" s="7">
        <v>91402</v>
      </c>
    </row>
    <row r="1789" spans="1:8" x14ac:dyDescent="0.3">
      <c r="A1789">
        <v>8281</v>
      </c>
      <c r="B1789" t="s">
        <v>1833</v>
      </c>
      <c r="C1789" t="s">
        <v>1422</v>
      </c>
      <c r="D1789" t="s">
        <v>107</v>
      </c>
      <c r="E1789" t="s">
        <v>27</v>
      </c>
      <c r="F1789" t="s">
        <v>21</v>
      </c>
      <c r="G1789" t="s">
        <v>4419</v>
      </c>
      <c r="H1789" s="7">
        <v>93306</v>
      </c>
    </row>
    <row r="1790" spans="1:8" x14ac:dyDescent="0.3">
      <c r="A1790">
        <v>8282</v>
      </c>
      <c r="B1790" t="s">
        <v>5</v>
      </c>
      <c r="C1790" t="s">
        <v>93</v>
      </c>
      <c r="D1790" t="s">
        <v>1936</v>
      </c>
      <c r="E1790" t="s">
        <v>27</v>
      </c>
      <c r="F1790" t="s">
        <v>9</v>
      </c>
      <c r="G1790" t="s">
        <v>2597</v>
      </c>
      <c r="H1790" s="7">
        <v>725</v>
      </c>
    </row>
    <row r="1791" spans="1:8" x14ac:dyDescent="0.3">
      <c r="A1791">
        <v>8284</v>
      </c>
      <c r="B1791" t="s">
        <v>5</v>
      </c>
      <c r="C1791" t="s">
        <v>971</v>
      </c>
      <c r="D1791" t="s">
        <v>2369</v>
      </c>
      <c r="E1791" t="s">
        <v>8</v>
      </c>
      <c r="F1791" t="s">
        <v>9</v>
      </c>
      <c r="G1791" t="s">
        <v>2711</v>
      </c>
      <c r="H1791" s="7">
        <v>725</v>
      </c>
    </row>
    <row r="1792" spans="1:8" x14ac:dyDescent="0.3">
      <c r="A1792">
        <v>8288</v>
      </c>
      <c r="B1792" t="s">
        <v>5</v>
      </c>
      <c r="C1792" t="s">
        <v>1710</v>
      </c>
      <c r="D1792" t="s">
        <v>2706</v>
      </c>
      <c r="E1792" t="s">
        <v>8</v>
      </c>
      <c r="F1792" t="s">
        <v>9</v>
      </c>
      <c r="G1792" t="s">
        <v>4229</v>
      </c>
      <c r="H1792" s="7">
        <v>725</v>
      </c>
    </row>
    <row r="1793" spans="1:8" x14ac:dyDescent="0.3">
      <c r="A1793">
        <v>8291</v>
      </c>
      <c r="B1793" t="s">
        <v>5</v>
      </c>
      <c r="C1793" t="s">
        <v>93</v>
      </c>
      <c r="D1793" t="s">
        <v>282</v>
      </c>
      <c r="E1793" t="s">
        <v>27</v>
      </c>
      <c r="F1793" t="s">
        <v>9</v>
      </c>
      <c r="G1793" t="s">
        <v>2458</v>
      </c>
      <c r="H1793" s="7">
        <v>725</v>
      </c>
    </row>
    <row r="1794" spans="1:8" x14ac:dyDescent="0.3">
      <c r="A1794">
        <v>8292</v>
      </c>
      <c r="B1794" t="s">
        <v>1787</v>
      </c>
      <c r="C1794" t="s">
        <v>1788</v>
      </c>
      <c r="D1794" t="s">
        <v>107</v>
      </c>
      <c r="E1794" t="s">
        <v>8</v>
      </c>
      <c r="F1794" t="s">
        <v>21</v>
      </c>
      <c r="G1794" t="s">
        <v>1789</v>
      </c>
      <c r="H1794" s="7">
        <v>90638</v>
      </c>
    </row>
    <row r="1795" spans="1:8" x14ac:dyDescent="0.3">
      <c r="A1795">
        <v>8299</v>
      </c>
      <c r="B1795" t="s">
        <v>5</v>
      </c>
      <c r="C1795" t="s">
        <v>1211</v>
      </c>
      <c r="D1795" t="s">
        <v>107</v>
      </c>
      <c r="E1795" t="s">
        <v>95</v>
      </c>
      <c r="F1795" t="s">
        <v>9</v>
      </c>
      <c r="G1795" t="s">
        <v>3417</v>
      </c>
      <c r="H1795" s="7">
        <v>725</v>
      </c>
    </row>
    <row r="1796" spans="1:8" x14ac:dyDescent="0.3">
      <c r="A1796">
        <v>8300</v>
      </c>
      <c r="B1796" t="s">
        <v>2870</v>
      </c>
      <c r="C1796" t="s">
        <v>93</v>
      </c>
      <c r="D1796" t="s">
        <v>848</v>
      </c>
      <c r="E1796" t="s">
        <v>8</v>
      </c>
      <c r="F1796" t="s">
        <v>21</v>
      </c>
      <c r="G1796" t="s">
        <v>5173</v>
      </c>
      <c r="H1796" s="7">
        <v>92703</v>
      </c>
    </row>
    <row r="1797" spans="1:8" x14ac:dyDescent="0.3">
      <c r="A1797">
        <v>8305</v>
      </c>
      <c r="B1797" t="s">
        <v>1351</v>
      </c>
      <c r="C1797" t="s">
        <v>112</v>
      </c>
      <c r="D1797" t="s">
        <v>107</v>
      </c>
      <c r="E1797" t="s">
        <v>8</v>
      </c>
      <c r="F1797" t="s">
        <v>381</v>
      </c>
      <c r="G1797" t="s">
        <v>5001</v>
      </c>
      <c r="H1797" s="7">
        <v>49201</v>
      </c>
    </row>
    <row r="1798" spans="1:8" x14ac:dyDescent="0.3">
      <c r="A1798">
        <v>8316</v>
      </c>
      <c r="B1798" t="s">
        <v>474</v>
      </c>
      <c r="C1798" t="s">
        <v>891</v>
      </c>
      <c r="D1798" t="s">
        <v>107</v>
      </c>
      <c r="E1798" t="s">
        <v>95</v>
      </c>
      <c r="F1798" t="s">
        <v>140</v>
      </c>
      <c r="G1798" t="s">
        <v>3670</v>
      </c>
      <c r="H1798" s="7">
        <v>30906</v>
      </c>
    </row>
    <row r="1799" spans="1:8" x14ac:dyDescent="0.3">
      <c r="A1799">
        <v>8320</v>
      </c>
      <c r="B1799" t="s">
        <v>5</v>
      </c>
      <c r="C1799" t="s">
        <v>251</v>
      </c>
      <c r="D1799" t="s">
        <v>107</v>
      </c>
      <c r="E1799" t="s">
        <v>8</v>
      </c>
      <c r="F1799" t="s">
        <v>9</v>
      </c>
      <c r="G1799" t="s">
        <v>2279</v>
      </c>
      <c r="H1799" s="7">
        <v>725</v>
      </c>
    </row>
    <row r="1800" spans="1:8" x14ac:dyDescent="0.3">
      <c r="A1800">
        <v>8324</v>
      </c>
      <c r="B1800" t="s">
        <v>4924</v>
      </c>
      <c r="C1800" t="s">
        <v>223</v>
      </c>
      <c r="D1800" t="s">
        <v>4732</v>
      </c>
      <c r="E1800" t="s">
        <v>8</v>
      </c>
      <c r="F1800" t="s">
        <v>21</v>
      </c>
      <c r="G1800" t="s">
        <v>4972</v>
      </c>
      <c r="H1800" s="7">
        <v>90280</v>
      </c>
    </row>
    <row r="1801" spans="1:8" x14ac:dyDescent="0.3">
      <c r="A1801">
        <v>8327</v>
      </c>
      <c r="B1801" t="s">
        <v>5</v>
      </c>
      <c r="C1801" t="s">
        <v>93</v>
      </c>
      <c r="D1801" t="s">
        <v>1080</v>
      </c>
      <c r="E1801" t="s">
        <v>27</v>
      </c>
      <c r="F1801" t="s">
        <v>9</v>
      </c>
      <c r="G1801" t="s">
        <v>4848</v>
      </c>
      <c r="H1801" s="7">
        <v>725</v>
      </c>
    </row>
    <row r="1802" spans="1:8" x14ac:dyDescent="0.3">
      <c r="A1802">
        <v>8332</v>
      </c>
      <c r="B1802" t="s">
        <v>2276</v>
      </c>
      <c r="C1802" t="s">
        <v>1468</v>
      </c>
      <c r="D1802" t="s">
        <v>107</v>
      </c>
      <c r="E1802" t="s">
        <v>95</v>
      </c>
      <c r="F1802" t="s">
        <v>21</v>
      </c>
      <c r="G1802" t="s">
        <v>5401</v>
      </c>
      <c r="H1802" s="7">
        <v>93230</v>
      </c>
    </row>
    <row r="1803" spans="1:8" x14ac:dyDescent="0.3">
      <c r="A1803">
        <v>8336</v>
      </c>
      <c r="B1803" t="s">
        <v>1882</v>
      </c>
      <c r="C1803" t="s">
        <v>93</v>
      </c>
      <c r="D1803" t="s">
        <v>107</v>
      </c>
      <c r="E1803" t="s">
        <v>27</v>
      </c>
      <c r="F1803" t="s">
        <v>21</v>
      </c>
      <c r="G1803" t="s">
        <v>1102</v>
      </c>
      <c r="H1803" s="7">
        <v>92345</v>
      </c>
    </row>
    <row r="1804" spans="1:8" x14ac:dyDescent="0.3">
      <c r="A1804">
        <v>8339</v>
      </c>
      <c r="B1804" t="s">
        <v>1774</v>
      </c>
      <c r="C1804" t="s">
        <v>491</v>
      </c>
      <c r="D1804" t="s">
        <v>107</v>
      </c>
      <c r="E1804" t="s">
        <v>8</v>
      </c>
      <c r="F1804" t="s">
        <v>21</v>
      </c>
      <c r="G1804" t="s">
        <v>2587</v>
      </c>
      <c r="H1804" s="7">
        <v>91801</v>
      </c>
    </row>
    <row r="1805" spans="1:8" x14ac:dyDescent="0.3">
      <c r="A1805">
        <v>8346</v>
      </c>
      <c r="B1805" t="s">
        <v>5</v>
      </c>
      <c r="C1805" t="s">
        <v>93</v>
      </c>
      <c r="D1805" t="s">
        <v>1258</v>
      </c>
      <c r="E1805" t="s">
        <v>27</v>
      </c>
      <c r="F1805" t="s">
        <v>9</v>
      </c>
      <c r="G1805" t="s">
        <v>1122</v>
      </c>
      <c r="H1805" s="7">
        <v>725</v>
      </c>
    </row>
    <row r="1806" spans="1:8" x14ac:dyDescent="0.3">
      <c r="A1806">
        <v>8351</v>
      </c>
      <c r="B1806" t="s">
        <v>5</v>
      </c>
      <c r="C1806" t="s">
        <v>251</v>
      </c>
      <c r="D1806" t="s">
        <v>107</v>
      </c>
      <c r="E1806" t="s">
        <v>8</v>
      </c>
      <c r="F1806" t="s">
        <v>9</v>
      </c>
      <c r="G1806" t="s">
        <v>3378</v>
      </c>
      <c r="H1806" s="7">
        <v>725</v>
      </c>
    </row>
    <row r="1807" spans="1:8" x14ac:dyDescent="0.3">
      <c r="A1807">
        <v>8352</v>
      </c>
      <c r="B1807" t="s">
        <v>117</v>
      </c>
      <c r="C1807" t="s">
        <v>1034</v>
      </c>
      <c r="D1807" t="s">
        <v>1757</v>
      </c>
      <c r="E1807" t="s">
        <v>8</v>
      </c>
      <c r="F1807" t="s">
        <v>21</v>
      </c>
      <c r="G1807" t="s">
        <v>4964</v>
      </c>
      <c r="H1807" s="7">
        <v>92115</v>
      </c>
    </row>
    <row r="1808" spans="1:8" x14ac:dyDescent="0.3">
      <c r="A1808">
        <v>8358</v>
      </c>
      <c r="B1808" t="s">
        <v>117</v>
      </c>
      <c r="C1808" t="s">
        <v>93</v>
      </c>
      <c r="D1808" t="s">
        <v>107</v>
      </c>
      <c r="E1808" t="s">
        <v>27</v>
      </c>
      <c r="F1808" t="s">
        <v>21</v>
      </c>
      <c r="G1808" t="s">
        <v>118</v>
      </c>
      <c r="H1808" s="7">
        <v>92105</v>
      </c>
    </row>
    <row r="1809" spans="1:8" x14ac:dyDescent="0.3">
      <c r="A1809">
        <v>8361</v>
      </c>
      <c r="B1809" t="s">
        <v>2290</v>
      </c>
      <c r="C1809" t="s">
        <v>93</v>
      </c>
      <c r="D1809" t="s">
        <v>800</v>
      </c>
      <c r="E1809" t="s">
        <v>27</v>
      </c>
      <c r="F1809" t="s">
        <v>21</v>
      </c>
      <c r="G1809" t="s">
        <v>5105</v>
      </c>
      <c r="H1809" s="7">
        <v>91762</v>
      </c>
    </row>
    <row r="1810" spans="1:8" x14ac:dyDescent="0.3">
      <c r="A1810">
        <v>8362</v>
      </c>
      <c r="B1810" t="s">
        <v>1669</v>
      </c>
      <c r="C1810" t="s">
        <v>1642</v>
      </c>
      <c r="D1810" t="s">
        <v>1670</v>
      </c>
      <c r="E1810" t="s">
        <v>27</v>
      </c>
      <c r="F1810" t="s">
        <v>283</v>
      </c>
      <c r="G1810" t="s">
        <v>1671</v>
      </c>
      <c r="H1810" s="7">
        <v>23666</v>
      </c>
    </row>
    <row r="1811" spans="1:8" x14ac:dyDescent="0.3">
      <c r="A1811">
        <v>8369</v>
      </c>
      <c r="B1811" t="s">
        <v>195</v>
      </c>
      <c r="C1811" t="s">
        <v>288</v>
      </c>
      <c r="D1811" t="s">
        <v>1219</v>
      </c>
      <c r="E1811" t="s">
        <v>27</v>
      </c>
      <c r="F1811" t="s">
        <v>21</v>
      </c>
      <c r="G1811" t="s">
        <v>2218</v>
      </c>
      <c r="H1811" s="7">
        <v>92843</v>
      </c>
    </row>
    <row r="1812" spans="1:8" x14ac:dyDescent="0.3">
      <c r="A1812">
        <v>8377</v>
      </c>
      <c r="B1812" t="s">
        <v>1553</v>
      </c>
      <c r="C1812" t="s">
        <v>1794</v>
      </c>
      <c r="D1812" t="s">
        <v>2281</v>
      </c>
      <c r="E1812" t="s">
        <v>8</v>
      </c>
      <c r="F1812" t="s">
        <v>114</v>
      </c>
      <c r="G1812" t="s">
        <v>3185</v>
      </c>
      <c r="H1812" s="7">
        <v>75060</v>
      </c>
    </row>
    <row r="1813" spans="1:8" x14ac:dyDescent="0.3">
      <c r="A1813">
        <v>8380</v>
      </c>
      <c r="B1813" t="s">
        <v>5</v>
      </c>
      <c r="C1813" t="s">
        <v>868</v>
      </c>
      <c r="D1813" t="s">
        <v>107</v>
      </c>
      <c r="E1813" t="s">
        <v>95</v>
      </c>
      <c r="F1813" t="s">
        <v>9</v>
      </c>
      <c r="G1813" t="s">
        <v>869</v>
      </c>
      <c r="H1813" s="7">
        <v>725</v>
      </c>
    </row>
    <row r="1814" spans="1:8" x14ac:dyDescent="0.3">
      <c r="A1814">
        <v>8381</v>
      </c>
      <c r="B1814" t="s">
        <v>163</v>
      </c>
      <c r="C1814" t="s">
        <v>93</v>
      </c>
      <c r="D1814" t="s">
        <v>264</v>
      </c>
      <c r="E1814" t="s">
        <v>95</v>
      </c>
      <c r="F1814" t="s">
        <v>55</v>
      </c>
      <c r="G1814" t="s">
        <v>3162</v>
      </c>
      <c r="H1814" s="7">
        <v>60441</v>
      </c>
    </row>
    <row r="1815" spans="1:8" x14ac:dyDescent="0.3">
      <c r="A1815">
        <v>8385</v>
      </c>
      <c r="B1815" t="s">
        <v>3202</v>
      </c>
      <c r="C1815" t="s">
        <v>1172</v>
      </c>
      <c r="D1815" t="s">
        <v>1166</v>
      </c>
      <c r="E1815" t="s">
        <v>8</v>
      </c>
      <c r="F1815" t="s">
        <v>36</v>
      </c>
      <c r="G1815" t="s">
        <v>3203</v>
      </c>
      <c r="H1815" s="7">
        <v>1844</v>
      </c>
    </row>
    <row r="1816" spans="1:8" x14ac:dyDescent="0.3">
      <c r="A1816">
        <v>8386</v>
      </c>
      <c r="B1816" t="s">
        <v>5</v>
      </c>
      <c r="C1816" t="s">
        <v>93</v>
      </c>
      <c r="D1816" t="s">
        <v>107</v>
      </c>
      <c r="E1816" t="s">
        <v>8</v>
      </c>
      <c r="F1816" t="s">
        <v>9</v>
      </c>
      <c r="G1816" t="s">
        <v>1124</v>
      </c>
      <c r="H1816" s="7">
        <v>725</v>
      </c>
    </row>
    <row r="1817" spans="1:8" x14ac:dyDescent="0.3">
      <c r="A1817">
        <v>8393</v>
      </c>
      <c r="B1817" t="s">
        <v>823</v>
      </c>
      <c r="C1817" t="s">
        <v>93</v>
      </c>
      <c r="D1817" t="s">
        <v>107</v>
      </c>
      <c r="E1817" t="s">
        <v>8</v>
      </c>
      <c r="F1817" t="s">
        <v>283</v>
      </c>
      <c r="G1817" t="s">
        <v>4776</v>
      </c>
      <c r="H1817" s="7">
        <v>23223</v>
      </c>
    </row>
    <row r="1818" spans="1:8" x14ac:dyDescent="0.3">
      <c r="A1818">
        <v>8394</v>
      </c>
      <c r="B1818" t="s">
        <v>5</v>
      </c>
      <c r="C1818" t="s">
        <v>2953</v>
      </c>
      <c r="D1818" t="s">
        <v>2954</v>
      </c>
      <c r="E1818" t="s">
        <v>27</v>
      </c>
      <c r="F1818" t="s">
        <v>9</v>
      </c>
      <c r="G1818" t="s">
        <v>2955</v>
      </c>
      <c r="H1818" s="7">
        <v>725</v>
      </c>
    </row>
    <row r="1819" spans="1:8" x14ac:dyDescent="0.3">
      <c r="A1819">
        <v>8397</v>
      </c>
      <c r="B1819" t="s">
        <v>5</v>
      </c>
      <c r="C1819" t="s">
        <v>477</v>
      </c>
      <c r="D1819" t="s">
        <v>107</v>
      </c>
      <c r="E1819" t="s">
        <v>8</v>
      </c>
      <c r="F1819" t="s">
        <v>9</v>
      </c>
      <c r="G1819" t="s">
        <v>2473</v>
      </c>
      <c r="H1819" s="7">
        <v>725</v>
      </c>
    </row>
    <row r="1820" spans="1:8" x14ac:dyDescent="0.3">
      <c r="A1820">
        <v>8399</v>
      </c>
      <c r="B1820" t="s">
        <v>5</v>
      </c>
      <c r="C1820" t="s">
        <v>696</v>
      </c>
      <c r="D1820" t="s">
        <v>1251</v>
      </c>
      <c r="E1820" t="s">
        <v>8</v>
      </c>
      <c r="F1820" t="s">
        <v>9</v>
      </c>
      <c r="G1820" t="s">
        <v>3367</v>
      </c>
      <c r="H1820" s="7">
        <v>725</v>
      </c>
    </row>
    <row r="1821" spans="1:8" x14ac:dyDescent="0.3">
      <c r="A1821">
        <v>8405</v>
      </c>
      <c r="B1821" t="s">
        <v>3913</v>
      </c>
      <c r="C1821" t="s">
        <v>1007</v>
      </c>
      <c r="D1821" t="s">
        <v>3423</v>
      </c>
      <c r="E1821" t="s">
        <v>27</v>
      </c>
      <c r="F1821" t="s">
        <v>242</v>
      </c>
      <c r="G1821" t="s">
        <v>3112</v>
      </c>
      <c r="H1821" s="7">
        <v>20744</v>
      </c>
    </row>
    <row r="1822" spans="1:8" x14ac:dyDescent="0.3">
      <c r="A1822">
        <v>8407</v>
      </c>
      <c r="B1822" t="s">
        <v>5</v>
      </c>
      <c r="C1822" t="s">
        <v>93</v>
      </c>
      <c r="D1822" t="s">
        <v>3876</v>
      </c>
      <c r="E1822" t="s">
        <v>8</v>
      </c>
      <c r="F1822" t="s">
        <v>9</v>
      </c>
      <c r="G1822" t="s">
        <v>5255</v>
      </c>
      <c r="H1822" s="7">
        <v>725</v>
      </c>
    </row>
    <row r="1823" spans="1:8" x14ac:dyDescent="0.3">
      <c r="A1823">
        <v>8412</v>
      </c>
      <c r="B1823" t="s">
        <v>210</v>
      </c>
      <c r="C1823" t="s">
        <v>2674</v>
      </c>
      <c r="D1823" t="s">
        <v>3048</v>
      </c>
      <c r="E1823" t="s">
        <v>95</v>
      </c>
      <c r="F1823" t="s">
        <v>21</v>
      </c>
      <c r="G1823" t="s">
        <v>4747</v>
      </c>
      <c r="H1823" s="7">
        <v>90745</v>
      </c>
    </row>
    <row r="1824" spans="1:8" x14ac:dyDescent="0.3">
      <c r="A1824">
        <v>8413</v>
      </c>
      <c r="B1824" t="s">
        <v>5</v>
      </c>
      <c r="C1824" t="s">
        <v>93</v>
      </c>
      <c r="D1824" t="s">
        <v>107</v>
      </c>
      <c r="E1824" t="s">
        <v>8</v>
      </c>
      <c r="F1824" t="s">
        <v>9</v>
      </c>
      <c r="G1824" t="s">
        <v>4946</v>
      </c>
      <c r="H1824" s="7">
        <v>725</v>
      </c>
    </row>
    <row r="1825" spans="1:8" x14ac:dyDescent="0.3">
      <c r="A1825">
        <v>8417</v>
      </c>
      <c r="B1825" t="s">
        <v>699</v>
      </c>
      <c r="C1825" t="s">
        <v>93</v>
      </c>
      <c r="D1825" t="s">
        <v>107</v>
      </c>
      <c r="E1825" t="s">
        <v>27</v>
      </c>
      <c r="F1825" t="s">
        <v>114</v>
      </c>
      <c r="G1825" t="s">
        <v>1620</v>
      </c>
      <c r="H1825" s="7">
        <v>77072</v>
      </c>
    </row>
    <row r="1826" spans="1:8" x14ac:dyDescent="0.3">
      <c r="A1826">
        <v>8418</v>
      </c>
      <c r="B1826" t="s">
        <v>5</v>
      </c>
      <c r="C1826" t="s">
        <v>1714</v>
      </c>
      <c r="D1826" t="s">
        <v>1018</v>
      </c>
      <c r="E1826" t="s">
        <v>95</v>
      </c>
      <c r="F1826" t="s">
        <v>9</v>
      </c>
      <c r="G1826" t="s">
        <v>1715</v>
      </c>
      <c r="H1826" s="7">
        <v>725</v>
      </c>
    </row>
    <row r="1827" spans="1:8" x14ac:dyDescent="0.3">
      <c r="A1827">
        <v>8419</v>
      </c>
      <c r="B1827" t="s">
        <v>723</v>
      </c>
      <c r="C1827" t="s">
        <v>93</v>
      </c>
      <c r="D1827" t="s">
        <v>4160</v>
      </c>
      <c r="E1827" t="s">
        <v>8</v>
      </c>
      <c r="F1827" t="s">
        <v>729</v>
      </c>
      <c r="G1827" t="s">
        <v>2346</v>
      </c>
      <c r="H1827" s="7">
        <v>80013</v>
      </c>
    </row>
    <row r="1828" spans="1:8" x14ac:dyDescent="0.3">
      <c r="A1828">
        <v>8423</v>
      </c>
      <c r="B1828" t="s">
        <v>4924</v>
      </c>
      <c r="C1828" t="s">
        <v>93</v>
      </c>
      <c r="D1828" t="s">
        <v>256</v>
      </c>
      <c r="E1828" t="s">
        <v>8</v>
      </c>
      <c r="F1828" t="s">
        <v>21</v>
      </c>
      <c r="G1828" t="s">
        <v>3785</v>
      </c>
      <c r="H1828" s="7">
        <v>90280</v>
      </c>
    </row>
    <row r="1829" spans="1:8" x14ac:dyDescent="0.3">
      <c r="A1829">
        <v>8429</v>
      </c>
      <c r="B1829" t="s">
        <v>2170</v>
      </c>
      <c r="C1829" t="s">
        <v>93</v>
      </c>
      <c r="D1829" t="s">
        <v>3156</v>
      </c>
      <c r="E1829" t="s">
        <v>8</v>
      </c>
      <c r="F1829" t="s">
        <v>248</v>
      </c>
      <c r="G1829" t="s">
        <v>3157</v>
      </c>
      <c r="H1829" s="7">
        <v>44118</v>
      </c>
    </row>
    <row r="1830" spans="1:8" x14ac:dyDescent="0.3">
      <c r="A1830">
        <v>8436</v>
      </c>
      <c r="B1830" t="s">
        <v>5</v>
      </c>
      <c r="C1830" t="s">
        <v>93</v>
      </c>
      <c r="D1830" t="s">
        <v>800</v>
      </c>
      <c r="E1830" t="s">
        <v>8</v>
      </c>
      <c r="F1830" t="s">
        <v>9</v>
      </c>
      <c r="G1830" t="s">
        <v>630</v>
      </c>
      <c r="H1830" s="7">
        <v>725</v>
      </c>
    </row>
    <row r="1831" spans="1:8" x14ac:dyDescent="0.3">
      <c r="A1831">
        <v>8441</v>
      </c>
      <c r="B1831" t="s">
        <v>1023</v>
      </c>
      <c r="C1831" t="s">
        <v>93</v>
      </c>
      <c r="D1831" t="s">
        <v>87</v>
      </c>
      <c r="E1831" t="s">
        <v>8</v>
      </c>
      <c r="F1831" t="s">
        <v>21</v>
      </c>
      <c r="G1831" t="s">
        <v>2347</v>
      </c>
      <c r="H1831" s="7">
        <v>91605</v>
      </c>
    </row>
    <row r="1832" spans="1:8" x14ac:dyDescent="0.3">
      <c r="A1832">
        <v>8444</v>
      </c>
      <c r="B1832" t="s">
        <v>2501</v>
      </c>
      <c r="C1832" t="s">
        <v>407</v>
      </c>
      <c r="D1832" t="s">
        <v>1743</v>
      </c>
      <c r="E1832" t="s">
        <v>8</v>
      </c>
      <c r="F1832" t="s">
        <v>448</v>
      </c>
      <c r="G1832" t="s">
        <v>2873</v>
      </c>
      <c r="H1832" s="7">
        <v>33024</v>
      </c>
    </row>
    <row r="1833" spans="1:8" x14ac:dyDescent="0.3">
      <c r="A1833">
        <v>8448</v>
      </c>
      <c r="B1833" t="s">
        <v>368</v>
      </c>
      <c r="C1833" t="s">
        <v>967</v>
      </c>
      <c r="D1833" t="s">
        <v>968</v>
      </c>
      <c r="E1833" t="s">
        <v>8</v>
      </c>
      <c r="F1833" t="s">
        <v>88</v>
      </c>
      <c r="G1833" t="s">
        <v>969</v>
      </c>
      <c r="H1833" s="7">
        <v>10009</v>
      </c>
    </row>
    <row r="1834" spans="1:8" x14ac:dyDescent="0.3">
      <c r="A1834">
        <v>8456</v>
      </c>
      <c r="B1834" t="s">
        <v>5</v>
      </c>
      <c r="C1834" t="s">
        <v>93</v>
      </c>
      <c r="D1834" t="s">
        <v>107</v>
      </c>
      <c r="E1834" t="s">
        <v>8</v>
      </c>
      <c r="F1834" t="s">
        <v>9</v>
      </c>
      <c r="G1834" t="s">
        <v>3899</v>
      </c>
      <c r="H1834" s="7">
        <v>725</v>
      </c>
    </row>
    <row r="1835" spans="1:8" x14ac:dyDescent="0.3">
      <c r="A1835">
        <v>8459</v>
      </c>
      <c r="B1835" t="s">
        <v>5</v>
      </c>
      <c r="C1835" t="s">
        <v>93</v>
      </c>
      <c r="D1835" t="s">
        <v>3074</v>
      </c>
      <c r="E1835" t="s">
        <v>95</v>
      </c>
      <c r="F1835" t="s">
        <v>9</v>
      </c>
      <c r="G1835" t="s">
        <v>3140</v>
      </c>
      <c r="H1835" s="7">
        <v>725</v>
      </c>
    </row>
    <row r="1836" spans="1:8" x14ac:dyDescent="0.3">
      <c r="A1836">
        <v>8460</v>
      </c>
      <c r="B1836" t="s">
        <v>947</v>
      </c>
      <c r="C1836" t="s">
        <v>948</v>
      </c>
      <c r="D1836" t="s">
        <v>107</v>
      </c>
      <c r="E1836" t="s">
        <v>27</v>
      </c>
      <c r="F1836" t="s">
        <v>9</v>
      </c>
      <c r="G1836" t="s">
        <v>949</v>
      </c>
      <c r="H1836" s="7">
        <v>603</v>
      </c>
    </row>
    <row r="1837" spans="1:8" x14ac:dyDescent="0.3">
      <c r="A1837">
        <v>8461</v>
      </c>
      <c r="B1837" t="s">
        <v>710</v>
      </c>
      <c r="C1837" t="s">
        <v>93</v>
      </c>
      <c r="D1837" t="s">
        <v>2120</v>
      </c>
      <c r="E1837" t="s">
        <v>95</v>
      </c>
      <c r="F1837" t="s">
        <v>448</v>
      </c>
      <c r="G1837" t="s">
        <v>10</v>
      </c>
      <c r="H1837" s="7">
        <v>33324</v>
      </c>
    </row>
    <row r="1838" spans="1:8" x14ac:dyDescent="0.3">
      <c r="A1838">
        <v>8462</v>
      </c>
      <c r="B1838" t="s">
        <v>5</v>
      </c>
      <c r="C1838" t="s">
        <v>2025</v>
      </c>
      <c r="D1838" t="s">
        <v>107</v>
      </c>
      <c r="E1838" t="s">
        <v>95</v>
      </c>
      <c r="F1838" t="s">
        <v>9</v>
      </c>
      <c r="G1838" t="s">
        <v>3895</v>
      </c>
      <c r="H1838" s="7">
        <v>725</v>
      </c>
    </row>
    <row r="1839" spans="1:8" x14ac:dyDescent="0.3">
      <c r="A1839">
        <v>8466</v>
      </c>
      <c r="B1839" t="s">
        <v>4646</v>
      </c>
      <c r="C1839" t="s">
        <v>93</v>
      </c>
      <c r="D1839" t="s">
        <v>107</v>
      </c>
      <c r="E1839" t="s">
        <v>95</v>
      </c>
      <c r="F1839" t="s">
        <v>55</v>
      </c>
      <c r="G1839" t="s">
        <v>4948</v>
      </c>
      <c r="H1839" s="7">
        <v>60103</v>
      </c>
    </row>
    <row r="1840" spans="1:8" x14ac:dyDescent="0.3">
      <c r="A1840">
        <v>8470</v>
      </c>
      <c r="B1840" t="s">
        <v>1938</v>
      </c>
      <c r="C1840" t="s">
        <v>268</v>
      </c>
      <c r="D1840" t="s">
        <v>380</v>
      </c>
      <c r="E1840" t="s">
        <v>8</v>
      </c>
      <c r="F1840" t="s">
        <v>21</v>
      </c>
      <c r="G1840" t="s">
        <v>1939</v>
      </c>
      <c r="H1840" s="7">
        <v>92026</v>
      </c>
    </row>
    <row r="1841" spans="1:8" x14ac:dyDescent="0.3">
      <c r="A1841">
        <v>8476</v>
      </c>
      <c r="B1841" t="s">
        <v>174</v>
      </c>
      <c r="C1841" t="s">
        <v>93</v>
      </c>
      <c r="D1841" t="s">
        <v>107</v>
      </c>
      <c r="E1841" t="s">
        <v>8</v>
      </c>
      <c r="F1841" t="s">
        <v>21</v>
      </c>
      <c r="G1841" t="s">
        <v>3208</v>
      </c>
      <c r="H1841" s="7">
        <v>90057</v>
      </c>
    </row>
    <row r="1842" spans="1:8" x14ac:dyDescent="0.3">
      <c r="A1842">
        <v>8481</v>
      </c>
      <c r="B1842" t="s">
        <v>5</v>
      </c>
      <c r="C1842" t="s">
        <v>93</v>
      </c>
      <c r="D1842" t="s">
        <v>107</v>
      </c>
      <c r="E1842" t="s">
        <v>8</v>
      </c>
      <c r="F1842" t="s">
        <v>9</v>
      </c>
      <c r="G1842" t="s">
        <v>571</v>
      </c>
      <c r="H1842" s="7">
        <v>725</v>
      </c>
    </row>
    <row r="1843" spans="1:8" x14ac:dyDescent="0.3">
      <c r="A1843">
        <v>8487</v>
      </c>
      <c r="B1843" t="s">
        <v>5</v>
      </c>
      <c r="C1843" t="s">
        <v>2619</v>
      </c>
      <c r="D1843" t="s">
        <v>107</v>
      </c>
      <c r="E1843" t="s">
        <v>8</v>
      </c>
      <c r="F1843" t="s">
        <v>9</v>
      </c>
      <c r="G1843" t="s">
        <v>3669</v>
      </c>
      <c r="H1843" s="7">
        <v>725</v>
      </c>
    </row>
    <row r="1844" spans="1:8" x14ac:dyDescent="0.3">
      <c r="A1844">
        <v>8496</v>
      </c>
      <c r="B1844" t="s">
        <v>1550</v>
      </c>
      <c r="C1844" t="s">
        <v>597</v>
      </c>
      <c r="D1844" t="s">
        <v>2120</v>
      </c>
      <c r="E1844" t="s">
        <v>8</v>
      </c>
      <c r="F1844" t="s">
        <v>88</v>
      </c>
      <c r="G1844" t="s">
        <v>5155</v>
      </c>
      <c r="H1844" s="7">
        <v>11420</v>
      </c>
    </row>
    <row r="1845" spans="1:8" x14ac:dyDescent="0.3">
      <c r="A1845">
        <v>8499</v>
      </c>
      <c r="B1845" t="s">
        <v>5</v>
      </c>
      <c r="C1845" t="s">
        <v>1112</v>
      </c>
      <c r="D1845" t="s">
        <v>107</v>
      </c>
      <c r="E1845" t="s">
        <v>27</v>
      </c>
      <c r="F1845" t="s">
        <v>9</v>
      </c>
      <c r="G1845" t="s">
        <v>2184</v>
      </c>
      <c r="H1845" s="7">
        <v>725</v>
      </c>
    </row>
    <row r="1846" spans="1:8" x14ac:dyDescent="0.3">
      <c r="A1846">
        <v>8506</v>
      </c>
      <c r="B1846" t="s">
        <v>5</v>
      </c>
      <c r="C1846" t="s">
        <v>454</v>
      </c>
      <c r="D1846" t="s">
        <v>107</v>
      </c>
      <c r="E1846" t="s">
        <v>8</v>
      </c>
      <c r="F1846" t="s">
        <v>9</v>
      </c>
      <c r="G1846" t="s">
        <v>5090</v>
      </c>
      <c r="H1846" s="7">
        <v>725</v>
      </c>
    </row>
    <row r="1847" spans="1:8" x14ac:dyDescent="0.3">
      <c r="A1847">
        <v>8507</v>
      </c>
      <c r="B1847" t="s">
        <v>277</v>
      </c>
      <c r="C1847" t="s">
        <v>1504</v>
      </c>
      <c r="D1847" t="s">
        <v>2145</v>
      </c>
      <c r="E1847" t="s">
        <v>27</v>
      </c>
      <c r="F1847" t="s">
        <v>21</v>
      </c>
      <c r="G1847" t="s">
        <v>4418</v>
      </c>
      <c r="H1847" s="7">
        <v>95035</v>
      </c>
    </row>
    <row r="1848" spans="1:8" x14ac:dyDescent="0.3">
      <c r="A1848">
        <v>8518</v>
      </c>
      <c r="B1848" t="s">
        <v>5</v>
      </c>
      <c r="C1848" t="s">
        <v>93</v>
      </c>
      <c r="D1848" t="s">
        <v>2224</v>
      </c>
      <c r="E1848" t="s">
        <v>27</v>
      </c>
      <c r="F1848" t="s">
        <v>9</v>
      </c>
      <c r="G1848" t="s">
        <v>2613</v>
      </c>
      <c r="H1848" s="7">
        <v>725</v>
      </c>
    </row>
    <row r="1849" spans="1:8" x14ac:dyDescent="0.3">
      <c r="A1849">
        <v>8519</v>
      </c>
      <c r="B1849" t="s">
        <v>3919</v>
      </c>
      <c r="C1849" t="s">
        <v>1851</v>
      </c>
      <c r="D1849" t="s">
        <v>223</v>
      </c>
      <c r="E1849" t="s">
        <v>8</v>
      </c>
      <c r="F1849" t="s">
        <v>55</v>
      </c>
      <c r="G1849" t="s">
        <v>3920</v>
      </c>
      <c r="H1849" s="7">
        <v>62040</v>
      </c>
    </row>
    <row r="1850" spans="1:8" x14ac:dyDescent="0.3">
      <c r="A1850">
        <v>8523</v>
      </c>
      <c r="B1850" t="s">
        <v>1174</v>
      </c>
      <c r="C1850" t="s">
        <v>1175</v>
      </c>
      <c r="D1850" t="s">
        <v>1176</v>
      </c>
      <c r="E1850" t="s">
        <v>8</v>
      </c>
      <c r="F1850" t="s">
        <v>1177</v>
      </c>
      <c r="G1850" t="s">
        <v>1178</v>
      </c>
      <c r="H1850" s="7">
        <v>88005</v>
      </c>
    </row>
    <row r="1851" spans="1:8" x14ac:dyDescent="0.3">
      <c r="A1851">
        <v>8526</v>
      </c>
      <c r="B1851" t="s">
        <v>5</v>
      </c>
      <c r="C1851" t="s">
        <v>251</v>
      </c>
      <c r="D1851" t="s">
        <v>985</v>
      </c>
      <c r="E1851" t="s">
        <v>27</v>
      </c>
      <c r="F1851" t="s">
        <v>9</v>
      </c>
      <c r="G1851" t="s">
        <v>3260</v>
      </c>
      <c r="H1851" s="7">
        <v>725</v>
      </c>
    </row>
    <row r="1852" spans="1:8" x14ac:dyDescent="0.3">
      <c r="A1852">
        <v>8538</v>
      </c>
      <c r="B1852" t="s">
        <v>1688</v>
      </c>
      <c r="C1852" t="s">
        <v>93</v>
      </c>
      <c r="D1852" t="s">
        <v>1689</v>
      </c>
      <c r="E1852" t="s">
        <v>27</v>
      </c>
      <c r="F1852" t="s">
        <v>114</v>
      </c>
      <c r="G1852" t="s">
        <v>1690</v>
      </c>
      <c r="H1852" s="7">
        <v>78040</v>
      </c>
    </row>
    <row r="1853" spans="1:8" x14ac:dyDescent="0.3">
      <c r="A1853">
        <v>8539</v>
      </c>
      <c r="B1853" t="s">
        <v>5</v>
      </c>
      <c r="C1853" t="s">
        <v>417</v>
      </c>
      <c r="D1853" t="s">
        <v>107</v>
      </c>
      <c r="E1853" t="s">
        <v>27</v>
      </c>
      <c r="F1853" t="s">
        <v>9</v>
      </c>
      <c r="G1853" t="s">
        <v>4550</v>
      </c>
      <c r="H1853" s="7">
        <v>725</v>
      </c>
    </row>
    <row r="1854" spans="1:8" x14ac:dyDescent="0.3">
      <c r="A1854">
        <v>8541</v>
      </c>
      <c r="B1854" t="s">
        <v>5</v>
      </c>
      <c r="C1854" t="s">
        <v>93</v>
      </c>
      <c r="D1854" t="s">
        <v>107</v>
      </c>
      <c r="E1854" t="s">
        <v>95</v>
      </c>
      <c r="F1854" t="s">
        <v>9</v>
      </c>
      <c r="G1854" t="s">
        <v>946</v>
      </c>
      <c r="H1854" s="7">
        <v>725</v>
      </c>
    </row>
    <row r="1855" spans="1:8" x14ac:dyDescent="0.3">
      <c r="A1855">
        <v>8544</v>
      </c>
      <c r="B1855" t="s">
        <v>142</v>
      </c>
      <c r="C1855" t="s">
        <v>1153</v>
      </c>
      <c r="D1855" t="s">
        <v>107</v>
      </c>
      <c r="E1855" t="s">
        <v>8</v>
      </c>
      <c r="F1855" t="s">
        <v>88</v>
      </c>
      <c r="G1855" t="s">
        <v>3241</v>
      </c>
      <c r="H1855" s="7">
        <v>10458</v>
      </c>
    </row>
    <row r="1856" spans="1:8" x14ac:dyDescent="0.3">
      <c r="A1856">
        <v>8552</v>
      </c>
      <c r="B1856" t="s">
        <v>656</v>
      </c>
      <c r="C1856" t="s">
        <v>93</v>
      </c>
      <c r="D1856" t="s">
        <v>107</v>
      </c>
      <c r="E1856" t="s">
        <v>27</v>
      </c>
      <c r="F1856" t="s">
        <v>77</v>
      </c>
      <c r="G1856" t="s">
        <v>4097</v>
      </c>
      <c r="H1856" s="7">
        <v>19144</v>
      </c>
    </row>
    <row r="1857" spans="1:8" x14ac:dyDescent="0.3">
      <c r="A1857">
        <v>8554</v>
      </c>
      <c r="B1857" t="s">
        <v>1293</v>
      </c>
      <c r="C1857" t="s">
        <v>436</v>
      </c>
      <c r="D1857" t="s">
        <v>107</v>
      </c>
      <c r="E1857" t="s">
        <v>8</v>
      </c>
      <c r="F1857" t="s">
        <v>190</v>
      </c>
      <c r="G1857" t="s">
        <v>2549</v>
      </c>
      <c r="H1857" s="7">
        <v>85281</v>
      </c>
    </row>
    <row r="1858" spans="1:8" x14ac:dyDescent="0.3">
      <c r="A1858">
        <v>8560</v>
      </c>
      <c r="B1858" t="s">
        <v>1100</v>
      </c>
      <c r="C1858" t="s">
        <v>2697</v>
      </c>
      <c r="D1858" t="s">
        <v>848</v>
      </c>
      <c r="E1858" t="s">
        <v>8</v>
      </c>
      <c r="F1858" t="s">
        <v>308</v>
      </c>
      <c r="G1858" t="s">
        <v>5177</v>
      </c>
      <c r="H1858" s="7">
        <v>7087</v>
      </c>
    </row>
    <row r="1859" spans="1:8" x14ac:dyDescent="0.3">
      <c r="A1859">
        <v>8563</v>
      </c>
      <c r="B1859" t="s">
        <v>2299</v>
      </c>
      <c r="C1859" t="s">
        <v>93</v>
      </c>
      <c r="D1859" t="s">
        <v>778</v>
      </c>
      <c r="E1859" t="s">
        <v>8</v>
      </c>
      <c r="F1859" t="s">
        <v>140</v>
      </c>
      <c r="G1859" t="s">
        <v>2300</v>
      </c>
      <c r="H1859" s="7">
        <v>30349</v>
      </c>
    </row>
    <row r="1860" spans="1:8" x14ac:dyDescent="0.3">
      <c r="A1860">
        <v>8577</v>
      </c>
      <c r="B1860" t="s">
        <v>995</v>
      </c>
      <c r="C1860" t="s">
        <v>93</v>
      </c>
      <c r="D1860" t="s">
        <v>107</v>
      </c>
      <c r="E1860" t="s">
        <v>8</v>
      </c>
      <c r="F1860" t="s">
        <v>283</v>
      </c>
      <c r="G1860" t="s">
        <v>4966</v>
      </c>
      <c r="H1860" s="7">
        <v>23455</v>
      </c>
    </row>
    <row r="1861" spans="1:8" x14ac:dyDescent="0.3">
      <c r="A1861">
        <v>8579</v>
      </c>
      <c r="B1861" t="s">
        <v>1800</v>
      </c>
      <c r="C1861" t="s">
        <v>93</v>
      </c>
      <c r="D1861" t="s">
        <v>2175</v>
      </c>
      <c r="E1861" t="s">
        <v>27</v>
      </c>
      <c r="F1861" t="s">
        <v>114</v>
      </c>
      <c r="G1861" t="s">
        <v>2176</v>
      </c>
      <c r="H1861" s="7">
        <v>76106</v>
      </c>
    </row>
    <row r="1862" spans="1:8" x14ac:dyDescent="0.3">
      <c r="A1862">
        <v>8582</v>
      </c>
      <c r="B1862" t="s">
        <v>699</v>
      </c>
      <c r="C1862" t="s">
        <v>2216</v>
      </c>
      <c r="D1862" t="s">
        <v>107</v>
      </c>
      <c r="E1862" t="s">
        <v>95</v>
      </c>
      <c r="F1862" t="s">
        <v>114</v>
      </c>
      <c r="G1862" t="s">
        <v>3021</v>
      </c>
      <c r="H1862" s="7">
        <v>77088</v>
      </c>
    </row>
    <row r="1863" spans="1:8" x14ac:dyDescent="0.3">
      <c r="A1863">
        <v>8584</v>
      </c>
      <c r="B1863" t="s">
        <v>5</v>
      </c>
      <c r="C1863" t="s">
        <v>93</v>
      </c>
      <c r="D1863" t="s">
        <v>107</v>
      </c>
      <c r="E1863" t="s">
        <v>8</v>
      </c>
      <c r="F1863" t="s">
        <v>9</v>
      </c>
      <c r="G1863" t="s">
        <v>3791</v>
      </c>
      <c r="H1863" s="7">
        <v>725</v>
      </c>
    </row>
    <row r="1864" spans="1:8" x14ac:dyDescent="0.3">
      <c r="A1864">
        <v>8586</v>
      </c>
      <c r="B1864" t="s">
        <v>5</v>
      </c>
      <c r="C1864" t="s">
        <v>93</v>
      </c>
      <c r="D1864" t="s">
        <v>340</v>
      </c>
      <c r="E1864" t="s">
        <v>27</v>
      </c>
      <c r="F1864" t="s">
        <v>9</v>
      </c>
      <c r="G1864" t="s">
        <v>3306</v>
      </c>
      <c r="H1864" s="7">
        <v>725</v>
      </c>
    </row>
    <row r="1865" spans="1:8" x14ac:dyDescent="0.3">
      <c r="A1865">
        <v>8598</v>
      </c>
      <c r="B1865" t="s">
        <v>117</v>
      </c>
      <c r="C1865" t="s">
        <v>93</v>
      </c>
      <c r="D1865" t="s">
        <v>4469</v>
      </c>
      <c r="E1865" t="s">
        <v>27</v>
      </c>
      <c r="F1865" t="s">
        <v>21</v>
      </c>
      <c r="G1865" t="s">
        <v>3780</v>
      </c>
      <c r="H1865" s="7">
        <v>92117</v>
      </c>
    </row>
    <row r="1866" spans="1:8" x14ac:dyDescent="0.3">
      <c r="A1866">
        <v>8602</v>
      </c>
      <c r="B1866" t="s">
        <v>5</v>
      </c>
      <c r="C1866" t="s">
        <v>2469</v>
      </c>
      <c r="D1866" t="s">
        <v>752</v>
      </c>
      <c r="E1866" t="s">
        <v>95</v>
      </c>
      <c r="F1866" t="s">
        <v>9</v>
      </c>
      <c r="G1866" t="s">
        <v>3638</v>
      </c>
      <c r="H1866" s="7">
        <v>725</v>
      </c>
    </row>
    <row r="1867" spans="1:8" x14ac:dyDescent="0.3">
      <c r="A1867">
        <v>8603</v>
      </c>
      <c r="B1867" t="s">
        <v>748</v>
      </c>
      <c r="C1867" t="s">
        <v>2619</v>
      </c>
      <c r="D1867" t="s">
        <v>107</v>
      </c>
      <c r="E1867" t="s">
        <v>95</v>
      </c>
      <c r="F1867" t="s">
        <v>749</v>
      </c>
      <c r="G1867" t="s">
        <v>3710</v>
      </c>
      <c r="H1867" s="7">
        <v>46227</v>
      </c>
    </row>
    <row r="1868" spans="1:8" x14ac:dyDescent="0.3">
      <c r="A1868">
        <v>8606</v>
      </c>
      <c r="B1868" t="s">
        <v>1844</v>
      </c>
      <c r="C1868" t="s">
        <v>93</v>
      </c>
      <c r="D1868" t="s">
        <v>3118</v>
      </c>
      <c r="E1868" t="s">
        <v>95</v>
      </c>
      <c r="F1868" t="s">
        <v>448</v>
      </c>
      <c r="G1868" t="s">
        <v>3119</v>
      </c>
      <c r="H1868" s="7">
        <v>32792</v>
      </c>
    </row>
    <row r="1869" spans="1:8" x14ac:dyDescent="0.3">
      <c r="A1869">
        <v>8608</v>
      </c>
      <c r="B1869" t="s">
        <v>5</v>
      </c>
      <c r="C1869" t="s">
        <v>93</v>
      </c>
      <c r="D1869" t="s">
        <v>1819</v>
      </c>
      <c r="E1869" t="s">
        <v>95</v>
      </c>
      <c r="F1869" t="s">
        <v>9</v>
      </c>
      <c r="G1869" t="s">
        <v>4230</v>
      </c>
      <c r="H1869" s="7">
        <v>725</v>
      </c>
    </row>
    <row r="1870" spans="1:8" x14ac:dyDescent="0.3">
      <c r="A1870">
        <v>8618</v>
      </c>
      <c r="B1870" t="s">
        <v>4629</v>
      </c>
      <c r="C1870" t="s">
        <v>67</v>
      </c>
      <c r="D1870" t="s">
        <v>2770</v>
      </c>
      <c r="E1870" t="s">
        <v>8</v>
      </c>
      <c r="F1870" t="s">
        <v>749</v>
      </c>
      <c r="G1870" t="s">
        <v>1906</v>
      </c>
      <c r="H1870" s="7">
        <v>47150</v>
      </c>
    </row>
    <row r="1871" spans="1:8" x14ac:dyDescent="0.3">
      <c r="A1871">
        <v>8625</v>
      </c>
      <c r="B1871" t="s">
        <v>5</v>
      </c>
      <c r="C1871" t="s">
        <v>93</v>
      </c>
      <c r="D1871" t="s">
        <v>107</v>
      </c>
      <c r="E1871" t="s">
        <v>8</v>
      </c>
      <c r="F1871" t="s">
        <v>9</v>
      </c>
      <c r="G1871" t="s">
        <v>965</v>
      </c>
      <c r="H1871" s="7">
        <v>725</v>
      </c>
    </row>
    <row r="1872" spans="1:8" x14ac:dyDescent="0.3">
      <c r="A1872">
        <v>8636</v>
      </c>
      <c r="B1872" t="s">
        <v>3915</v>
      </c>
      <c r="C1872" t="s">
        <v>3126</v>
      </c>
      <c r="D1872" t="s">
        <v>3708</v>
      </c>
      <c r="E1872" t="s">
        <v>8</v>
      </c>
      <c r="F1872" t="s">
        <v>88</v>
      </c>
      <c r="G1872" t="s">
        <v>4711</v>
      </c>
      <c r="H1872" s="7">
        <v>13440</v>
      </c>
    </row>
    <row r="1873" spans="1:8" x14ac:dyDescent="0.3">
      <c r="A1873">
        <v>8637</v>
      </c>
      <c r="B1873" t="s">
        <v>5</v>
      </c>
      <c r="C1873" t="s">
        <v>93</v>
      </c>
      <c r="D1873" t="s">
        <v>107</v>
      </c>
      <c r="E1873" t="s">
        <v>27</v>
      </c>
      <c r="F1873" t="s">
        <v>9</v>
      </c>
      <c r="G1873" t="s">
        <v>4565</v>
      </c>
      <c r="H1873" s="7">
        <v>725</v>
      </c>
    </row>
    <row r="1874" spans="1:8" x14ac:dyDescent="0.3">
      <c r="A1874">
        <v>8638</v>
      </c>
      <c r="B1874" t="s">
        <v>174</v>
      </c>
      <c r="C1874" t="s">
        <v>1303</v>
      </c>
      <c r="D1874" t="s">
        <v>2120</v>
      </c>
      <c r="E1874" t="s">
        <v>8</v>
      </c>
      <c r="F1874" t="s">
        <v>21</v>
      </c>
      <c r="G1874" t="s">
        <v>2715</v>
      </c>
      <c r="H1874" s="7">
        <v>90057</v>
      </c>
    </row>
    <row r="1875" spans="1:8" x14ac:dyDescent="0.3">
      <c r="A1875">
        <v>8660</v>
      </c>
      <c r="B1875" t="s">
        <v>5</v>
      </c>
      <c r="C1875" t="s">
        <v>93</v>
      </c>
      <c r="D1875" t="s">
        <v>107</v>
      </c>
      <c r="E1875" t="s">
        <v>95</v>
      </c>
      <c r="F1875" t="s">
        <v>9</v>
      </c>
      <c r="G1875" t="s">
        <v>511</v>
      </c>
      <c r="H1875" s="7">
        <v>725</v>
      </c>
    </row>
    <row r="1876" spans="1:8" x14ac:dyDescent="0.3">
      <c r="A1876">
        <v>8668</v>
      </c>
      <c r="B1876" t="s">
        <v>5</v>
      </c>
      <c r="C1876" t="s">
        <v>2750</v>
      </c>
      <c r="D1876" t="s">
        <v>1308</v>
      </c>
      <c r="E1876" t="s">
        <v>27</v>
      </c>
      <c r="F1876" t="s">
        <v>9</v>
      </c>
      <c r="G1876" t="s">
        <v>4558</v>
      </c>
      <c r="H1876" s="7">
        <v>725</v>
      </c>
    </row>
    <row r="1877" spans="1:8" x14ac:dyDescent="0.3">
      <c r="A1877">
        <v>8669</v>
      </c>
      <c r="B1877" t="s">
        <v>2866</v>
      </c>
      <c r="C1877" t="s">
        <v>2713</v>
      </c>
      <c r="D1877" t="s">
        <v>1216</v>
      </c>
      <c r="E1877" t="s">
        <v>8</v>
      </c>
      <c r="F1877" t="s">
        <v>88</v>
      </c>
      <c r="G1877" t="s">
        <v>4648</v>
      </c>
      <c r="H1877" s="7">
        <v>11103</v>
      </c>
    </row>
    <row r="1878" spans="1:8" x14ac:dyDescent="0.3">
      <c r="A1878">
        <v>8670</v>
      </c>
      <c r="B1878" t="s">
        <v>5</v>
      </c>
      <c r="C1878" t="s">
        <v>93</v>
      </c>
      <c r="D1878" t="s">
        <v>107</v>
      </c>
      <c r="E1878" t="s">
        <v>8</v>
      </c>
      <c r="F1878" t="s">
        <v>9</v>
      </c>
      <c r="G1878" t="s">
        <v>5296</v>
      </c>
      <c r="H1878" s="7">
        <v>725</v>
      </c>
    </row>
    <row r="1879" spans="1:8" x14ac:dyDescent="0.3">
      <c r="A1879">
        <v>8685</v>
      </c>
      <c r="B1879" t="s">
        <v>2870</v>
      </c>
      <c r="C1879" t="s">
        <v>93</v>
      </c>
      <c r="D1879" t="s">
        <v>2960</v>
      </c>
      <c r="E1879" t="s">
        <v>8</v>
      </c>
      <c r="F1879" t="s">
        <v>21</v>
      </c>
      <c r="G1879" t="s">
        <v>5453</v>
      </c>
      <c r="H1879" s="7">
        <v>92701</v>
      </c>
    </row>
    <row r="1880" spans="1:8" x14ac:dyDescent="0.3">
      <c r="A1880">
        <v>8694</v>
      </c>
      <c r="B1880" t="s">
        <v>1844</v>
      </c>
      <c r="C1880" t="s">
        <v>1718</v>
      </c>
      <c r="D1880" t="s">
        <v>107</v>
      </c>
      <c r="E1880" t="s">
        <v>27</v>
      </c>
      <c r="F1880" t="s">
        <v>448</v>
      </c>
      <c r="G1880" t="s">
        <v>2209</v>
      </c>
      <c r="H1880" s="7">
        <v>32792</v>
      </c>
    </row>
    <row r="1881" spans="1:8" x14ac:dyDescent="0.3">
      <c r="A1881">
        <v>8697</v>
      </c>
      <c r="B1881" t="s">
        <v>5</v>
      </c>
      <c r="C1881" t="s">
        <v>1401</v>
      </c>
      <c r="D1881" t="s">
        <v>107</v>
      </c>
      <c r="E1881" t="s">
        <v>95</v>
      </c>
      <c r="F1881" t="s">
        <v>9</v>
      </c>
      <c r="G1881" t="s">
        <v>1717</v>
      </c>
      <c r="H1881" s="7">
        <v>725</v>
      </c>
    </row>
    <row r="1882" spans="1:8" x14ac:dyDescent="0.3">
      <c r="A1882">
        <v>8698</v>
      </c>
      <c r="B1882" t="s">
        <v>2738</v>
      </c>
      <c r="C1882" t="s">
        <v>93</v>
      </c>
      <c r="D1882" t="s">
        <v>578</v>
      </c>
      <c r="E1882" t="s">
        <v>8</v>
      </c>
      <c r="F1882" t="s">
        <v>21</v>
      </c>
      <c r="G1882" t="s">
        <v>2739</v>
      </c>
      <c r="H1882" s="7">
        <v>93030</v>
      </c>
    </row>
    <row r="1883" spans="1:8" x14ac:dyDescent="0.3">
      <c r="A1883">
        <v>8700</v>
      </c>
      <c r="B1883" t="s">
        <v>1143</v>
      </c>
      <c r="C1883" t="s">
        <v>93</v>
      </c>
      <c r="D1883" t="s">
        <v>107</v>
      </c>
      <c r="E1883" t="s">
        <v>95</v>
      </c>
      <c r="F1883" t="s">
        <v>1145</v>
      </c>
      <c r="G1883" t="s">
        <v>3683</v>
      </c>
      <c r="H1883" s="7">
        <v>53215</v>
      </c>
    </row>
    <row r="1884" spans="1:8" x14ac:dyDescent="0.3">
      <c r="A1884">
        <v>8704</v>
      </c>
      <c r="B1884" t="s">
        <v>5</v>
      </c>
      <c r="C1884" t="s">
        <v>93</v>
      </c>
      <c r="D1884" t="s">
        <v>3337</v>
      </c>
      <c r="E1884" t="s">
        <v>8</v>
      </c>
      <c r="F1884" t="s">
        <v>9</v>
      </c>
      <c r="G1884" t="s">
        <v>3338</v>
      </c>
      <c r="H1884" s="7">
        <v>725</v>
      </c>
    </row>
    <row r="1885" spans="1:8" x14ac:dyDescent="0.3">
      <c r="A1885">
        <v>8705</v>
      </c>
      <c r="B1885" t="s">
        <v>3953</v>
      </c>
      <c r="C1885" t="s">
        <v>711</v>
      </c>
      <c r="D1885" t="s">
        <v>107</v>
      </c>
      <c r="E1885" t="s">
        <v>8</v>
      </c>
      <c r="F1885" t="s">
        <v>21</v>
      </c>
      <c r="G1885" t="s">
        <v>4758</v>
      </c>
      <c r="H1885" s="7">
        <v>95207</v>
      </c>
    </row>
    <row r="1886" spans="1:8" x14ac:dyDescent="0.3">
      <c r="A1886">
        <v>8715</v>
      </c>
      <c r="B1886" t="s">
        <v>1276</v>
      </c>
      <c r="C1886" t="s">
        <v>93</v>
      </c>
      <c r="D1886" t="s">
        <v>2278</v>
      </c>
      <c r="E1886" t="s">
        <v>27</v>
      </c>
      <c r="F1886" t="s">
        <v>341</v>
      </c>
      <c r="G1886" t="s">
        <v>2279</v>
      </c>
      <c r="H1886" s="7">
        <v>27502</v>
      </c>
    </row>
    <row r="1887" spans="1:8" x14ac:dyDescent="0.3">
      <c r="A1887">
        <v>8717</v>
      </c>
      <c r="B1887" t="s">
        <v>204</v>
      </c>
      <c r="C1887" t="s">
        <v>1399</v>
      </c>
      <c r="D1887" t="s">
        <v>842</v>
      </c>
      <c r="E1887" t="s">
        <v>95</v>
      </c>
      <c r="F1887" t="s">
        <v>21</v>
      </c>
      <c r="G1887" t="s">
        <v>2515</v>
      </c>
      <c r="H1887" s="7">
        <v>91344</v>
      </c>
    </row>
    <row r="1888" spans="1:8" x14ac:dyDescent="0.3">
      <c r="A1888">
        <v>8720</v>
      </c>
      <c r="B1888" t="s">
        <v>246</v>
      </c>
      <c r="C1888" t="s">
        <v>93</v>
      </c>
      <c r="D1888" t="s">
        <v>247</v>
      </c>
      <c r="E1888" t="s">
        <v>27</v>
      </c>
      <c r="F1888" t="s">
        <v>248</v>
      </c>
      <c r="G1888" t="s">
        <v>249</v>
      </c>
      <c r="H1888" s="7">
        <v>44136</v>
      </c>
    </row>
    <row r="1889" spans="1:8" x14ac:dyDescent="0.3">
      <c r="A1889">
        <v>8731</v>
      </c>
      <c r="B1889" t="s">
        <v>1899</v>
      </c>
      <c r="C1889" t="s">
        <v>696</v>
      </c>
      <c r="D1889" t="s">
        <v>578</v>
      </c>
      <c r="E1889" t="s">
        <v>95</v>
      </c>
      <c r="F1889" t="s">
        <v>381</v>
      </c>
      <c r="G1889" t="s">
        <v>4012</v>
      </c>
      <c r="H1889" s="7">
        <v>48224</v>
      </c>
    </row>
    <row r="1890" spans="1:8" x14ac:dyDescent="0.3">
      <c r="A1890">
        <v>8732</v>
      </c>
      <c r="B1890" t="s">
        <v>1782</v>
      </c>
      <c r="C1890" t="s">
        <v>1188</v>
      </c>
      <c r="D1890" t="s">
        <v>1862</v>
      </c>
      <c r="E1890" t="s">
        <v>8</v>
      </c>
      <c r="F1890" t="s">
        <v>140</v>
      </c>
      <c r="G1890" t="s">
        <v>4865</v>
      </c>
      <c r="H1890" s="7">
        <v>30067</v>
      </c>
    </row>
    <row r="1891" spans="1:8" x14ac:dyDescent="0.3">
      <c r="A1891">
        <v>8742</v>
      </c>
      <c r="B1891" t="s">
        <v>155</v>
      </c>
      <c r="C1891" t="s">
        <v>93</v>
      </c>
      <c r="D1891" t="s">
        <v>53</v>
      </c>
      <c r="E1891" t="s">
        <v>8</v>
      </c>
      <c r="F1891" t="s">
        <v>1042</v>
      </c>
      <c r="G1891" t="s">
        <v>2593</v>
      </c>
      <c r="H1891" s="7">
        <v>29223</v>
      </c>
    </row>
    <row r="1892" spans="1:8" x14ac:dyDescent="0.3">
      <c r="A1892">
        <v>8743</v>
      </c>
      <c r="B1892" t="s">
        <v>5</v>
      </c>
      <c r="C1892" t="s">
        <v>462</v>
      </c>
      <c r="D1892" t="s">
        <v>107</v>
      </c>
      <c r="E1892" t="s">
        <v>8</v>
      </c>
      <c r="F1892" t="s">
        <v>9</v>
      </c>
      <c r="G1892" t="s">
        <v>4033</v>
      </c>
      <c r="H1892" s="7">
        <v>725</v>
      </c>
    </row>
    <row r="1893" spans="1:8" x14ac:dyDescent="0.3">
      <c r="A1893">
        <v>8747</v>
      </c>
      <c r="B1893" t="s">
        <v>1618</v>
      </c>
      <c r="C1893" t="s">
        <v>93</v>
      </c>
      <c r="D1893" t="s">
        <v>107</v>
      </c>
      <c r="E1893" t="s">
        <v>27</v>
      </c>
      <c r="F1893" t="s">
        <v>381</v>
      </c>
      <c r="G1893" t="s">
        <v>1619</v>
      </c>
      <c r="H1893" s="7">
        <v>48192</v>
      </c>
    </row>
    <row r="1894" spans="1:8" x14ac:dyDescent="0.3">
      <c r="A1894">
        <v>8749</v>
      </c>
      <c r="B1894" t="s">
        <v>142</v>
      </c>
      <c r="C1894" t="s">
        <v>573</v>
      </c>
      <c r="D1894" t="s">
        <v>3224</v>
      </c>
      <c r="E1894" t="s">
        <v>8</v>
      </c>
      <c r="F1894" t="s">
        <v>88</v>
      </c>
      <c r="G1894" t="s">
        <v>96</v>
      </c>
      <c r="H1894" s="7">
        <v>10468</v>
      </c>
    </row>
    <row r="1895" spans="1:8" x14ac:dyDescent="0.3">
      <c r="A1895">
        <v>8750</v>
      </c>
      <c r="B1895" t="s">
        <v>1132</v>
      </c>
      <c r="C1895" t="s">
        <v>93</v>
      </c>
      <c r="D1895" t="s">
        <v>107</v>
      </c>
      <c r="E1895" t="s">
        <v>8</v>
      </c>
      <c r="F1895" t="s">
        <v>21</v>
      </c>
      <c r="G1895" t="s">
        <v>1133</v>
      </c>
      <c r="H1895" s="7">
        <v>92083</v>
      </c>
    </row>
    <row r="1896" spans="1:8" x14ac:dyDescent="0.3">
      <c r="A1896">
        <v>8754</v>
      </c>
      <c r="B1896" t="s">
        <v>702</v>
      </c>
      <c r="C1896" t="s">
        <v>1080</v>
      </c>
      <c r="D1896" t="s">
        <v>1284</v>
      </c>
      <c r="E1896" t="s">
        <v>8</v>
      </c>
      <c r="F1896" t="s">
        <v>88</v>
      </c>
      <c r="G1896" t="s">
        <v>1285</v>
      </c>
      <c r="H1896" s="7">
        <v>11419</v>
      </c>
    </row>
    <row r="1897" spans="1:8" x14ac:dyDescent="0.3">
      <c r="A1897">
        <v>8755</v>
      </c>
      <c r="B1897" t="s">
        <v>5</v>
      </c>
      <c r="C1897" t="s">
        <v>971</v>
      </c>
      <c r="D1897" t="s">
        <v>505</v>
      </c>
      <c r="E1897" t="s">
        <v>8</v>
      </c>
      <c r="F1897" t="s">
        <v>9</v>
      </c>
      <c r="G1897" t="s">
        <v>4463</v>
      </c>
      <c r="H1897" s="7">
        <v>725</v>
      </c>
    </row>
    <row r="1898" spans="1:8" x14ac:dyDescent="0.3">
      <c r="A1898">
        <v>8758</v>
      </c>
      <c r="B1898" t="s">
        <v>5</v>
      </c>
      <c r="C1898" t="s">
        <v>93</v>
      </c>
      <c r="D1898" t="s">
        <v>1465</v>
      </c>
      <c r="E1898" t="s">
        <v>8</v>
      </c>
      <c r="F1898" t="s">
        <v>9</v>
      </c>
      <c r="G1898" t="s">
        <v>1466</v>
      </c>
      <c r="H1898" s="7">
        <v>725</v>
      </c>
    </row>
    <row r="1899" spans="1:8" x14ac:dyDescent="0.3">
      <c r="A1899">
        <v>8764</v>
      </c>
      <c r="B1899" t="s">
        <v>187</v>
      </c>
      <c r="C1899" t="s">
        <v>93</v>
      </c>
      <c r="D1899" t="s">
        <v>3419</v>
      </c>
      <c r="E1899" t="s">
        <v>95</v>
      </c>
      <c r="F1899" t="s">
        <v>190</v>
      </c>
      <c r="G1899" t="s">
        <v>312</v>
      </c>
      <c r="H1899" s="7">
        <v>85345</v>
      </c>
    </row>
    <row r="1900" spans="1:8" x14ac:dyDescent="0.3">
      <c r="A1900">
        <v>8770</v>
      </c>
      <c r="B1900" t="s">
        <v>2101</v>
      </c>
      <c r="C1900" t="s">
        <v>93</v>
      </c>
      <c r="D1900" t="s">
        <v>107</v>
      </c>
      <c r="E1900" t="s">
        <v>8</v>
      </c>
      <c r="F1900" t="s">
        <v>77</v>
      </c>
      <c r="G1900" t="s">
        <v>4658</v>
      </c>
      <c r="H1900" s="7">
        <v>19382</v>
      </c>
    </row>
    <row r="1901" spans="1:8" x14ac:dyDescent="0.3">
      <c r="A1901">
        <v>8771</v>
      </c>
      <c r="B1901" t="s">
        <v>5</v>
      </c>
      <c r="C1901" t="s">
        <v>755</v>
      </c>
      <c r="D1901" t="s">
        <v>144</v>
      </c>
      <c r="E1901" t="s">
        <v>27</v>
      </c>
      <c r="F1901" t="s">
        <v>9</v>
      </c>
      <c r="G1901" t="s">
        <v>218</v>
      </c>
      <c r="H1901" s="7">
        <v>725</v>
      </c>
    </row>
    <row r="1902" spans="1:8" x14ac:dyDescent="0.3">
      <c r="A1902">
        <v>8773</v>
      </c>
      <c r="B1902" t="s">
        <v>5</v>
      </c>
      <c r="C1902" t="s">
        <v>1321</v>
      </c>
      <c r="D1902" t="s">
        <v>1370</v>
      </c>
      <c r="E1902" t="s">
        <v>8</v>
      </c>
      <c r="F1902" t="s">
        <v>9</v>
      </c>
      <c r="G1902" t="s">
        <v>5179</v>
      </c>
      <c r="H1902" s="7">
        <v>725</v>
      </c>
    </row>
    <row r="1903" spans="1:8" x14ac:dyDescent="0.3">
      <c r="A1903">
        <v>8776</v>
      </c>
      <c r="B1903" t="s">
        <v>5</v>
      </c>
      <c r="C1903" t="s">
        <v>891</v>
      </c>
      <c r="D1903" t="s">
        <v>3377</v>
      </c>
      <c r="E1903" t="s">
        <v>8</v>
      </c>
      <c r="F1903" t="s">
        <v>9</v>
      </c>
      <c r="G1903" t="s">
        <v>3378</v>
      </c>
      <c r="H1903" s="7">
        <v>725</v>
      </c>
    </row>
    <row r="1904" spans="1:8" x14ac:dyDescent="0.3">
      <c r="A1904">
        <v>8782</v>
      </c>
      <c r="B1904" t="s">
        <v>5</v>
      </c>
      <c r="C1904" t="s">
        <v>2693</v>
      </c>
      <c r="D1904" t="s">
        <v>107</v>
      </c>
      <c r="E1904" t="s">
        <v>95</v>
      </c>
      <c r="F1904" t="s">
        <v>9</v>
      </c>
      <c r="G1904" t="s">
        <v>1983</v>
      </c>
      <c r="H1904" s="7">
        <v>725</v>
      </c>
    </row>
    <row r="1905" spans="1:8" x14ac:dyDescent="0.3">
      <c r="A1905">
        <v>8784</v>
      </c>
      <c r="B1905" t="s">
        <v>5</v>
      </c>
      <c r="C1905" t="s">
        <v>2124</v>
      </c>
      <c r="D1905" t="s">
        <v>107</v>
      </c>
      <c r="E1905" t="s">
        <v>95</v>
      </c>
      <c r="F1905" t="s">
        <v>9</v>
      </c>
      <c r="G1905" t="s">
        <v>5046</v>
      </c>
      <c r="H1905" s="7">
        <v>725</v>
      </c>
    </row>
    <row r="1906" spans="1:8" x14ac:dyDescent="0.3">
      <c r="A1906">
        <v>8785</v>
      </c>
      <c r="B1906" t="s">
        <v>368</v>
      </c>
      <c r="C1906" t="s">
        <v>93</v>
      </c>
      <c r="D1906" t="s">
        <v>3609</v>
      </c>
      <c r="E1906" t="s">
        <v>95</v>
      </c>
      <c r="F1906" t="s">
        <v>88</v>
      </c>
      <c r="G1906" t="s">
        <v>5623</v>
      </c>
      <c r="H1906" s="7">
        <v>10023</v>
      </c>
    </row>
    <row r="1907" spans="1:8" x14ac:dyDescent="0.3">
      <c r="A1907">
        <v>8789</v>
      </c>
      <c r="B1907" t="s">
        <v>5</v>
      </c>
      <c r="C1907" t="s">
        <v>2025</v>
      </c>
      <c r="D1907" t="s">
        <v>725</v>
      </c>
      <c r="E1907" t="s">
        <v>8</v>
      </c>
      <c r="F1907" t="s">
        <v>9</v>
      </c>
      <c r="G1907" t="s">
        <v>3626</v>
      </c>
      <c r="H1907" s="7">
        <v>725</v>
      </c>
    </row>
    <row r="1908" spans="1:8" x14ac:dyDescent="0.3">
      <c r="A1908">
        <v>8790</v>
      </c>
      <c r="B1908" t="s">
        <v>2744</v>
      </c>
      <c r="C1908" t="s">
        <v>93</v>
      </c>
      <c r="D1908" t="s">
        <v>1616</v>
      </c>
      <c r="E1908" t="s">
        <v>8</v>
      </c>
      <c r="F1908" t="s">
        <v>308</v>
      </c>
      <c r="G1908" t="s">
        <v>4959</v>
      </c>
      <c r="H1908" s="7">
        <v>8753</v>
      </c>
    </row>
    <row r="1909" spans="1:8" x14ac:dyDescent="0.3">
      <c r="A1909">
        <v>8791</v>
      </c>
      <c r="B1909" t="s">
        <v>5</v>
      </c>
      <c r="C1909" t="s">
        <v>1032</v>
      </c>
      <c r="D1909" t="s">
        <v>1411</v>
      </c>
      <c r="E1909" t="s">
        <v>8</v>
      </c>
      <c r="F1909" t="s">
        <v>9</v>
      </c>
      <c r="G1909" t="s">
        <v>1412</v>
      </c>
      <c r="H1909" s="7">
        <v>725</v>
      </c>
    </row>
    <row r="1910" spans="1:8" x14ac:dyDescent="0.3">
      <c r="A1910">
        <v>8792</v>
      </c>
      <c r="B1910" t="s">
        <v>1779</v>
      </c>
      <c r="C1910" t="s">
        <v>93</v>
      </c>
      <c r="D1910" t="s">
        <v>107</v>
      </c>
      <c r="E1910" t="s">
        <v>8</v>
      </c>
      <c r="F1910" t="s">
        <v>21</v>
      </c>
      <c r="G1910" t="s">
        <v>4067</v>
      </c>
      <c r="H1910" s="7">
        <v>94541</v>
      </c>
    </row>
    <row r="1911" spans="1:8" x14ac:dyDescent="0.3">
      <c r="A1911">
        <v>8798</v>
      </c>
      <c r="B1911" t="s">
        <v>5</v>
      </c>
      <c r="C1911" t="s">
        <v>236</v>
      </c>
      <c r="D1911" t="s">
        <v>107</v>
      </c>
      <c r="E1911" t="s">
        <v>8</v>
      </c>
      <c r="F1911" t="s">
        <v>9</v>
      </c>
      <c r="G1911" t="s">
        <v>5098</v>
      </c>
      <c r="H1911" s="7">
        <v>725</v>
      </c>
    </row>
    <row r="1912" spans="1:8" x14ac:dyDescent="0.3">
      <c r="A1912">
        <v>8809</v>
      </c>
      <c r="B1912" t="s">
        <v>1833</v>
      </c>
      <c r="C1912" t="s">
        <v>616</v>
      </c>
      <c r="D1912" t="s">
        <v>4561</v>
      </c>
      <c r="E1912" t="s">
        <v>8</v>
      </c>
      <c r="F1912" t="s">
        <v>21</v>
      </c>
      <c r="G1912" t="s">
        <v>2192</v>
      </c>
      <c r="H1912" s="7">
        <v>93304</v>
      </c>
    </row>
    <row r="1913" spans="1:8" x14ac:dyDescent="0.3">
      <c r="A1913">
        <v>8814</v>
      </c>
      <c r="B1913" t="s">
        <v>3022</v>
      </c>
      <c r="C1913" t="s">
        <v>785</v>
      </c>
      <c r="D1913" t="s">
        <v>2531</v>
      </c>
      <c r="E1913" t="s">
        <v>8</v>
      </c>
      <c r="F1913" t="s">
        <v>21</v>
      </c>
      <c r="G1913" t="s">
        <v>3023</v>
      </c>
      <c r="H1913" s="7">
        <v>94591</v>
      </c>
    </row>
    <row r="1914" spans="1:8" x14ac:dyDescent="0.3">
      <c r="A1914">
        <v>8817</v>
      </c>
      <c r="B1914" t="s">
        <v>2099</v>
      </c>
      <c r="C1914" t="s">
        <v>93</v>
      </c>
      <c r="D1914" t="s">
        <v>107</v>
      </c>
      <c r="E1914" t="s">
        <v>95</v>
      </c>
      <c r="F1914" t="s">
        <v>21</v>
      </c>
      <c r="G1914" t="s">
        <v>5082</v>
      </c>
      <c r="H1914" s="7">
        <v>91306</v>
      </c>
    </row>
    <row r="1915" spans="1:8" x14ac:dyDescent="0.3">
      <c r="A1915">
        <v>8821</v>
      </c>
      <c r="B1915" t="s">
        <v>5</v>
      </c>
      <c r="C1915" t="s">
        <v>93</v>
      </c>
      <c r="D1915" t="s">
        <v>1730</v>
      </c>
      <c r="E1915" t="s">
        <v>95</v>
      </c>
      <c r="F1915" t="s">
        <v>9</v>
      </c>
      <c r="G1915" t="s">
        <v>1731</v>
      </c>
      <c r="H1915" s="7">
        <v>725</v>
      </c>
    </row>
    <row r="1916" spans="1:8" x14ac:dyDescent="0.3">
      <c r="A1916">
        <v>8822</v>
      </c>
      <c r="B1916" t="s">
        <v>508</v>
      </c>
      <c r="C1916" t="s">
        <v>1406</v>
      </c>
      <c r="D1916" t="s">
        <v>107</v>
      </c>
      <c r="E1916" t="s">
        <v>95</v>
      </c>
      <c r="F1916" t="s">
        <v>114</v>
      </c>
      <c r="G1916" t="s">
        <v>5626</v>
      </c>
      <c r="H1916" s="7">
        <v>75211</v>
      </c>
    </row>
    <row r="1917" spans="1:8" x14ac:dyDescent="0.3">
      <c r="A1917">
        <v>8827</v>
      </c>
      <c r="B1917" t="s">
        <v>440</v>
      </c>
      <c r="C1917" t="s">
        <v>785</v>
      </c>
      <c r="D1917" t="s">
        <v>574</v>
      </c>
      <c r="E1917" t="s">
        <v>95</v>
      </c>
      <c r="F1917" t="s">
        <v>114</v>
      </c>
      <c r="G1917" t="s">
        <v>5405</v>
      </c>
      <c r="H1917" s="7">
        <v>78240</v>
      </c>
    </row>
    <row r="1918" spans="1:8" x14ac:dyDescent="0.3">
      <c r="A1918">
        <v>8828</v>
      </c>
      <c r="B1918" t="s">
        <v>5</v>
      </c>
      <c r="C1918" t="s">
        <v>93</v>
      </c>
      <c r="D1918" t="s">
        <v>3583</v>
      </c>
      <c r="E1918" t="s">
        <v>95</v>
      </c>
      <c r="F1918" t="s">
        <v>9</v>
      </c>
      <c r="G1918" t="s">
        <v>3584</v>
      </c>
      <c r="H1918" s="7">
        <v>725</v>
      </c>
    </row>
    <row r="1919" spans="1:8" x14ac:dyDescent="0.3">
      <c r="A1919">
        <v>8834</v>
      </c>
      <c r="B1919" t="s">
        <v>707</v>
      </c>
      <c r="C1919" t="s">
        <v>1039</v>
      </c>
      <c r="D1919" t="s">
        <v>2706</v>
      </c>
      <c r="E1919" t="s">
        <v>95</v>
      </c>
      <c r="F1919" t="s">
        <v>21</v>
      </c>
      <c r="G1919" t="s">
        <v>2914</v>
      </c>
      <c r="H1919" s="7">
        <v>93065</v>
      </c>
    </row>
    <row r="1920" spans="1:8" x14ac:dyDescent="0.3">
      <c r="A1920">
        <v>8835</v>
      </c>
      <c r="B1920" t="s">
        <v>823</v>
      </c>
      <c r="C1920" t="s">
        <v>93</v>
      </c>
      <c r="D1920" t="s">
        <v>107</v>
      </c>
      <c r="E1920" t="s">
        <v>27</v>
      </c>
      <c r="F1920" t="s">
        <v>114</v>
      </c>
      <c r="G1920" t="s">
        <v>4451</v>
      </c>
      <c r="H1920" s="7">
        <v>77469</v>
      </c>
    </row>
    <row r="1921" spans="1:8" x14ac:dyDescent="0.3">
      <c r="A1921">
        <v>8838</v>
      </c>
      <c r="B1921" t="s">
        <v>5</v>
      </c>
      <c r="C1921" t="s">
        <v>2080</v>
      </c>
      <c r="D1921" t="s">
        <v>1677</v>
      </c>
      <c r="E1921" t="s">
        <v>27</v>
      </c>
      <c r="F1921" t="s">
        <v>9</v>
      </c>
      <c r="G1921" t="s">
        <v>2081</v>
      </c>
      <c r="H1921" s="7">
        <v>725</v>
      </c>
    </row>
    <row r="1922" spans="1:8" x14ac:dyDescent="0.3">
      <c r="A1922">
        <v>8844</v>
      </c>
      <c r="B1922" t="s">
        <v>5</v>
      </c>
      <c r="C1922" t="s">
        <v>93</v>
      </c>
      <c r="D1922" t="s">
        <v>567</v>
      </c>
      <c r="E1922" t="s">
        <v>27</v>
      </c>
      <c r="F1922" t="s">
        <v>9</v>
      </c>
      <c r="G1922" t="s">
        <v>4542</v>
      </c>
      <c r="H1922" s="7">
        <v>725</v>
      </c>
    </row>
    <row r="1923" spans="1:8" x14ac:dyDescent="0.3">
      <c r="A1923">
        <v>8845</v>
      </c>
      <c r="B1923" t="s">
        <v>427</v>
      </c>
      <c r="C1923" t="s">
        <v>112</v>
      </c>
      <c r="D1923" t="s">
        <v>428</v>
      </c>
      <c r="E1923" t="s">
        <v>8</v>
      </c>
      <c r="F1923" t="s">
        <v>9</v>
      </c>
      <c r="G1923" t="s">
        <v>429</v>
      </c>
      <c r="H1923" s="7">
        <v>921</v>
      </c>
    </row>
    <row r="1924" spans="1:8" x14ac:dyDescent="0.3">
      <c r="A1924">
        <v>8846</v>
      </c>
      <c r="B1924" t="s">
        <v>1966</v>
      </c>
      <c r="C1924" t="s">
        <v>597</v>
      </c>
      <c r="D1924" t="s">
        <v>107</v>
      </c>
      <c r="E1924" t="s">
        <v>8</v>
      </c>
      <c r="F1924" t="s">
        <v>21</v>
      </c>
      <c r="G1924" t="s">
        <v>5593</v>
      </c>
      <c r="H1924" s="7">
        <v>92201</v>
      </c>
    </row>
    <row r="1925" spans="1:8" x14ac:dyDescent="0.3">
      <c r="A1925">
        <v>8850</v>
      </c>
      <c r="B1925" t="s">
        <v>495</v>
      </c>
      <c r="C1925" t="s">
        <v>488</v>
      </c>
      <c r="D1925" t="s">
        <v>107</v>
      </c>
      <c r="E1925" t="s">
        <v>27</v>
      </c>
      <c r="F1925" t="s">
        <v>88</v>
      </c>
      <c r="G1925" t="s">
        <v>3687</v>
      </c>
      <c r="H1925" s="7">
        <v>11207</v>
      </c>
    </row>
    <row r="1926" spans="1:8" x14ac:dyDescent="0.3">
      <c r="A1926">
        <v>8853</v>
      </c>
      <c r="B1926" t="s">
        <v>3433</v>
      </c>
      <c r="C1926" t="s">
        <v>491</v>
      </c>
      <c r="D1926" t="s">
        <v>1411</v>
      </c>
      <c r="E1926" t="s">
        <v>8</v>
      </c>
      <c r="F1926" t="s">
        <v>729</v>
      </c>
      <c r="G1926" t="s">
        <v>3434</v>
      </c>
      <c r="H1926" s="7">
        <v>80126</v>
      </c>
    </row>
    <row r="1927" spans="1:8" x14ac:dyDescent="0.3">
      <c r="A1927">
        <v>8857</v>
      </c>
      <c r="B1927" t="s">
        <v>1168</v>
      </c>
      <c r="C1927" t="s">
        <v>971</v>
      </c>
      <c r="D1927" t="s">
        <v>4273</v>
      </c>
      <c r="E1927" t="s">
        <v>95</v>
      </c>
      <c r="F1927" t="s">
        <v>21</v>
      </c>
      <c r="G1927" t="s">
        <v>5658</v>
      </c>
      <c r="H1927" s="7">
        <v>90250</v>
      </c>
    </row>
    <row r="1928" spans="1:8" x14ac:dyDescent="0.3">
      <c r="A1928">
        <v>8858</v>
      </c>
      <c r="B1928" t="s">
        <v>174</v>
      </c>
      <c r="C1928" t="s">
        <v>93</v>
      </c>
      <c r="D1928" t="s">
        <v>107</v>
      </c>
      <c r="E1928" t="s">
        <v>8</v>
      </c>
      <c r="F1928" t="s">
        <v>21</v>
      </c>
      <c r="G1928" t="s">
        <v>3225</v>
      </c>
      <c r="H1928" s="7">
        <v>90043</v>
      </c>
    </row>
    <row r="1929" spans="1:8" x14ac:dyDescent="0.3">
      <c r="A1929">
        <v>8867</v>
      </c>
      <c r="B1929" t="s">
        <v>5</v>
      </c>
      <c r="C1929" t="s">
        <v>1172</v>
      </c>
      <c r="D1929" t="s">
        <v>3411</v>
      </c>
      <c r="E1929" t="s">
        <v>8</v>
      </c>
      <c r="F1929" t="s">
        <v>9</v>
      </c>
      <c r="G1929" t="s">
        <v>2537</v>
      </c>
      <c r="H1929" s="7">
        <v>725</v>
      </c>
    </row>
    <row r="1930" spans="1:8" x14ac:dyDescent="0.3">
      <c r="A1930">
        <v>8869</v>
      </c>
      <c r="B1930" t="s">
        <v>5</v>
      </c>
      <c r="C1930" t="s">
        <v>597</v>
      </c>
      <c r="D1930" t="s">
        <v>731</v>
      </c>
      <c r="E1930" t="s">
        <v>8</v>
      </c>
      <c r="F1930" t="s">
        <v>9</v>
      </c>
      <c r="G1930" t="s">
        <v>3590</v>
      </c>
      <c r="H1930" s="7">
        <v>725</v>
      </c>
    </row>
    <row r="1931" spans="1:8" x14ac:dyDescent="0.3">
      <c r="A1931">
        <v>8871</v>
      </c>
      <c r="B1931" t="s">
        <v>3919</v>
      </c>
      <c r="C1931" t="s">
        <v>458</v>
      </c>
      <c r="D1931" t="s">
        <v>107</v>
      </c>
      <c r="E1931" t="s">
        <v>95</v>
      </c>
      <c r="F1931" t="s">
        <v>55</v>
      </c>
      <c r="G1931" t="s">
        <v>4255</v>
      </c>
      <c r="H1931" s="7">
        <v>62040</v>
      </c>
    </row>
    <row r="1932" spans="1:8" x14ac:dyDescent="0.3">
      <c r="A1932">
        <v>8873</v>
      </c>
      <c r="B1932" t="s">
        <v>5</v>
      </c>
      <c r="C1932" t="s">
        <v>1767</v>
      </c>
      <c r="D1932" t="s">
        <v>2944</v>
      </c>
      <c r="E1932" t="s">
        <v>27</v>
      </c>
      <c r="F1932" t="s">
        <v>9</v>
      </c>
      <c r="G1932" t="s">
        <v>5581</v>
      </c>
      <c r="H1932" s="7">
        <v>725</v>
      </c>
    </row>
    <row r="1933" spans="1:8" x14ac:dyDescent="0.3">
      <c r="A1933">
        <v>8876</v>
      </c>
      <c r="B1933" t="s">
        <v>5</v>
      </c>
      <c r="C1933" t="s">
        <v>2469</v>
      </c>
      <c r="D1933" t="s">
        <v>107</v>
      </c>
      <c r="E1933" t="s">
        <v>27</v>
      </c>
      <c r="F1933" t="s">
        <v>9</v>
      </c>
      <c r="G1933" t="s">
        <v>4960</v>
      </c>
      <c r="H1933" s="7">
        <v>725</v>
      </c>
    </row>
    <row r="1934" spans="1:8" x14ac:dyDescent="0.3">
      <c r="A1934">
        <v>8879</v>
      </c>
      <c r="B1934" t="s">
        <v>4388</v>
      </c>
      <c r="C1934" t="s">
        <v>93</v>
      </c>
      <c r="D1934" t="s">
        <v>107</v>
      </c>
      <c r="E1934" t="s">
        <v>8</v>
      </c>
      <c r="F1934" t="s">
        <v>140</v>
      </c>
      <c r="G1934" t="s">
        <v>5231</v>
      </c>
      <c r="H1934" s="7">
        <v>30281</v>
      </c>
    </row>
    <row r="1935" spans="1:8" x14ac:dyDescent="0.3">
      <c r="A1935">
        <v>8883</v>
      </c>
      <c r="B1935" t="s">
        <v>5</v>
      </c>
      <c r="C1935" t="s">
        <v>1770</v>
      </c>
      <c r="D1935" t="s">
        <v>1746</v>
      </c>
      <c r="E1935" t="s">
        <v>95</v>
      </c>
      <c r="F1935" t="s">
        <v>9</v>
      </c>
      <c r="G1935" t="s">
        <v>1771</v>
      </c>
      <c r="H1935" s="7">
        <v>725</v>
      </c>
    </row>
    <row r="1936" spans="1:8" x14ac:dyDescent="0.3">
      <c r="A1936">
        <v>8884</v>
      </c>
      <c r="B1936" t="s">
        <v>656</v>
      </c>
      <c r="C1936" t="s">
        <v>167</v>
      </c>
      <c r="D1936" t="s">
        <v>2067</v>
      </c>
      <c r="E1936" t="s">
        <v>95</v>
      </c>
      <c r="F1936" t="s">
        <v>77</v>
      </c>
      <c r="G1936" t="s">
        <v>1912</v>
      </c>
      <c r="H1936" s="7">
        <v>19134</v>
      </c>
    </row>
    <row r="1937" spans="1:8" x14ac:dyDescent="0.3">
      <c r="A1937">
        <v>8890</v>
      </c>
      <c r="B1937" t="s">
        <v>1777</v>
      </c>
      <c r="C1937" t="s">
        <v>93</v>
      </c>
      <c r="D1937" t="s">
        <v>1431</v>
      </c>
      <c r="E1937" t="s">
        <v>27</v>
      </c>
      <c r="F1937" t="s">
        <v>77</v>
      </c>
      <c r="G1937" t="s">
        <v>4902</v>
      </c>
      <c r="H1937" s="7">
        <v>17404</v>
      </c>
    </row>
    <row r="1938" spans="1:8" x14ac:dyDescent="0.3">
      <c r="A1938">
        <v>8893</v>
      </c>
      <c r="B1938" t="s">
        <v>5</v>
      </c>
      <c r="C1938" t="s">
        <v>93</v>
      </c>
      <c r="D1938" t="s">
        <v>107</v>
      </c>
      <c r="E1938" t="s">
        <v>27</v>
      </c>
      <c r="F1938" t="s">
        <v>9</v>
      </c>
      <c r="G1938" t="s">
        <v>2615</v>
      </c>
      <c r="H1938" s="7">
        <v>725</v>
      </c>
    </row>
    <row r="1939" spans="1:8" x14ac:dyDescent="0.3">
      <c r="A1939">
        <v>8898</v>
      </c>
      <c r="B1939" t="s">
        <v>2918</v>
      </c>
      <c r="C1939" t="s">
        <v>93</v>
      </c>
      <c r="D1939" t="s">
        <v>107</v>
      </c>
      <c r="E1939" t="s">
        <v>95</v>
      </c>
      <c r="F1939" t="s">
        <v>21</v>
      </c>
      <c r="G1939" t="s">
        <v>3749</v>
      </c>
      <c r="H1939" s="7">
        <v>90640</v>
      </c>
    </row>
    <row r="1940" spans="1:8" x14ac:dyDescent="0.3">
      <c r="A1940">
        <v>8902</v>
      </c>
      <c r="B1940" t="s">
        <v>5</v>
      </c>
      <c r="C1940" t="s">
        <v>1391</v>
      </c>
      <c r="D1940" t="s">
        <v>403</v>
      </c>
      <c r="E1940" t="s">
        <v>8</v>
      </c>
      <c r="F1940" t="s">
        <v>9</v>
      </c>
      <c r="G1940" t="s">
        <v>2733</v>
      </c>
      <c r="H1940" s="7">
        <v>725</v>
      </c>
    </row>
    <row r="1941" spans="1:8" x14ac:dyDescent="0.3">
      <c r="A1941">
        <v>8904</v>
      </c>
      <c r="B1941" t="s">
        <v>5</v>
      </c>
      <c r="C1941" t="s">
        <v>1169</v>
      </c>
      <c r="D1941" t="s">
        <v>3282</v>
      </c>
      <c r="E1941" t="s">
        <v>8</v>
      </c>
      <c r="F1941" t="s">
        <v>9</v>
      </c>
      <c r="G1941" t="s">
        <v>3585</v>
      </c>
      <c r="H1941" s="7">
        <v>725</v>
      </c>
    </row>
    <row r="1942" spans="1:8" x14ac:dyDescent="0.3">
      <c r="A1942">
        <v>8905</v>
      </c>
      <c r="B1942" t="s">
        <v>474</v>
      </c>
      <c r="C1942" t="s">
        <v>696</v>
      </c>
      <c r="D1942" t="s">
        <v>107</v>
      </c>
      <c r="E1942" t="s">
        <v>8</v>
      </c>
      <c r="F1942" t="s">
        <v>140</v>
      </c>
      <c r="G1942" t="s">
        <v>3796</v>
      </c>
      <c r="H1942" s="7">
        <v>30907</v>
      </c>
    </row>
    <row r="1943" spans="1:8" x14ac:dyDescent="0.3">
      <c r="A1943">
        <v>8906</v>
      </c>
      <c r="B1943" t="s">
        <v>368</v>
      </c>
      <c r="C1943" t="s">
        <v>93</v>
      </c>
      <c r="D1943" t="s">
        <v>4072</v>
      </c>
      <c r="E1943" t="s">
        <v>27</v>
      </c>
      <c r="F1943" t="s">
        <v>88</v>
      </c>
      <c r="G1943" t="s">
        <v>4073</v>
      </c>
      <c r="H1943" s="7">
        <v>10028</v>
      </c>
    </row>
    <row r="1944" spans="1:8" x14ac:dyDescent="0.3">
      <c r="A1944">
        <v>8915</v>
      </c>
      <c r="B1944" t="s">
        <v>5</v>
      </c>
      <c r="C1944" t="s">
        <v>251</v>
      </c>
      <c r="D1944" t="s">
        <v>139</v>
      </c>
      <c r="E1944" t="s">
        <v>27</v>
      </c>
      <c r="F1944" t="s">
        <v>9</v>
      </c>
      <c r="G1944" t="s">
        <v>4879</v>
      </c>
      <c r="H1944" s="7">
        <v>725</v>
      </c>
    </row>
    <row r="1945" spans="1:8" x14ac:dyDescent="0.3">
      <c r="A1945">
        <v>8917</v>
      </c>
      <c r="B1945" t="s">
        <v>5</v>
      </c>
      <c r="C1945" t="s">
        <v>93</v>
      </c>
      <c r="D1945" t="s">
        <v>107</v>
      </c>
      <c r="E1945" t="s">
        <v>8</v>
      </c>
      <c r="F1945" t="s">
        <v>9</v>
      </c>
      <c r="G1945" t="s">
        <v>536</v>
      </c>
      <c r="H1945" s="7">
        <v>725</v>
      </c>
    </row>
    <row r="1946" spans="1:8" x14ac:dyDescent="0.3">
      <c r="A1946">
        <v>8924</v>
      </c>
      <c r="B1946" t="s">
        <v>5</v>
      </c>
      <c r="C1946" t="s">
        <v>1788</v>
      </c>
      <c r="D1946" t="s">
        <v>107</v>
      </c>
      <c r="E1946" t="s">
        <v>27</v>
      </c>
      <c r="F1946" t="s">
        <v>9</v>
      </c>
      <c r="G1946" t="s">
        <v>5474</v>
      </c>
      <c r="H1946" s="7">
        <v>725</v>
      </c>
    </row>
    <row r="1947" spans="1:8" x14ac:dyDescent="0.3">
      <c r="A1947">
        <v>8925</v>
      </c>
      <c r="B1947" t="s">
        <v>619</v>
      </c>
      <c r="C1947" t="s">
        <v>93</v>
      </c>
      <c r="D1947" t="s">
        <v>620</v>
      </c>
      <c r="E1947" t="s">
        <v>27</v>
      </c>
      <c r="F1947" t="s">
        <v>448</v>
      </c>
      <c r="G1947" t="s">
        <v>621</v>
      </c>
      <c r="H1947" s="7">
        <v>33055</v>
      </c>
    </row>
    <row r="1948" spans="1:8" x14ac:dyDescent="0.3">
      <c r="A1948">
        <v>8926</v>
      </c>
      <c r="B1948" t="s">
        <v>5</v>
      </c>
      <c r="C1948" t="s">
        <v>1241</v>
      </c>
      <c r="D1948" t="s">
        <v>107</v>
      </c>
      <c r="E1948" t="s">
        <v>8</v>
      </c>
      <c r="F1948" t="s">
        <v>9</v>
      </c>
      <c r="G1948" t="s">
        <v>4178</v>
      </c>
      <c r="H1948" s="7">
        <v>725</v>
      </c>
    </row>
    <row r="1949" spans="1:8" x14ac:dyDescent="0.3">
      <c r="A1949">
        <v>8927</v>
      </c>
      <c r="B1949" t="s">
        <v>1023</v>
      </c>
      <c r="C1949" t="s">
        <v>2750</v>
      </c>
      <c r="D1949" t="s">
        <v>1304</v>
      </c>
      <c r="E1949" t="s">
        <v>27</v>
      </c>
      <c r="F1949" t="s">
        <v>21</v>
      </c>
      <c r="G1949" t="s">
        <v>4374</v>
      </c>
      <c r="H1949" s="7">
        <v>91605</v>
      </c>
    </row>
    <row r="1950" spans="1:8" x14ac:dyDescent="0.3">
      <c r="A1950">
        <v>8928</v>
      </c>
      <c r="B1950" t="s">
        <v>631</v>
      </c>
      <c r="C1950" t="s">
        <v>93</v>
      </c>
      <c r="D1950" t="s">
        <v>4446</v>
      </c>
      <c r="E1950" t="s">
        <v>8</v>
      </c>
      <c r="F1950" t="s">
        <v>108</v>
      </c>
      <c r="G1950" t="s">
        <v>4447</v>
      </c>
      <c r="H1950" s="7">
        <v>97405</v>
      </c>
    </row>
    <row r="1951" spans="1:8" x14ac:dyDescent="0.3">
      <c r="A1951">
        <v>8930</v>
      </c>
      <c r="B1951" t="s">
        <v>3008</v>
      </c>
      <c r="C1951" t="s">
        <v>2067</v>
      </c>
      <c r="D1951" t="s">
        <v>1677</v>
      </c>
      <c r="E1951" t="s">
        <v>8</v>
      </c>
      <c r="F1951" t="s">
        <v>158</v>
      </c>
      <c r="G1951" t="s">
        <v>3009</v>
      </c>
      <c r="H1951" s="7">
        <v>38128</v>
      </c>
    </row>
    <row r="1952" spans="1:8" x14ac:dyDescent="0.3">
      <c r="A1952">
        <v>8944</v>
      </c>
      <c r="B1952" t="s">
        <v>174</v>
      </c>
      <c r="C1952" t="s">
        <v>93</v>
      </c>
      <c r="D1952" t="s">
        <v>107</v>
      </c>
      <c r="E1952" t="s">
        <v>95</v>
      </c>
      <c r="F1952" t="s">
        <v>21</v>
      </c>
      <c r="G1952" t="s">
        <v>3432</v>
      </c>
      <c r="H1952" s="7">
        <v>90003</v>
      </c>
    </row>
    <row r="1953" spans="1:8" x14ac:dyDescent="0.3">
      <c r="A1953">
        <v>8945</v>
      </c>
      <c r="B1953" t="s">
        <v>18</v>
      </c>
      <c r="C1953" t="s">
        <v>2216</v>
      </c>
      <c r="D1953" t="s">
        <v>2657</v>
      </c>
      <c r="E1953" t="s">
        <v>95</v>
      </c>
      <c r="F1953" t="s">
        <v>21</v>
      </c>
      <c r="G1953" t="s">
        <v>3123</v>
      </c>
      <c r="H1953" s="7">
        <v>95112</v>
      </c>
    </row>
    <row r="1954" spans="1:8" x14ac:dyDescent="0.3">
      <c r="A1954">
        <v>8949</v>
      </c>
      <c r="B1954" t="s">
        <v>5</v>
      </c>
      <c r="C1954" t="s">
        <v>93</v>
      </c>
      <c r="D1954" t="s">
        <v>1388</v>
      </c>
      <c r="E1954" t="s">
        <v>8</v>
      </c>
      <c r="F1954" t="s">
        <v>9</v>
      </c>
      <c r="G1954" t="s">
        <v>1389</v>
      </c>
      <c r="H1954" s="7">
        <v>725</v>
      </c>
    </row>
    <row r="1955" spans="1:8" x14ac:dyDescent="0.3">
      <c r="A1955">
        <v>8964</v>
      </c>
      <c r="B1955" t="s">
        <v>3390</v>
      </c>
      <c r="C1955" t="s">
        <v>93</v>
      </c>
      <c r="D1955" t="s">
        <v>1084</v>
      </c>
      <c r="E1955" t="s">
        <v>95</v>
      </c>
      <c r="F1955" t="s">
        <v>1514</v>
      </c>
      <c r="G1955" t="s">
        <v>3391</v>
      </c>
      <c r="H1955" s="7">
        <v>40214</v>
      </c>
    </row>
    <row r="1956" spans="1:8" x14ac:dyDescent="0.3">
      <c r="A1956">
        <v>8965</v>
      </c>
      <c r="B1956" t="s">
        <v>5</v>
      </c>
      <c r="C1956" t="s">
        <v>3924</v>
      </c>
      <c r="D1956" t="s">
        <v>107</v>
      </c>
      <c r="E1956" t="s">
        <v>95</v>
      </c>
      <c r="F1956" t="s">
        <v>9</v>
      </c>
      <c r="G1956" t="s">
        <v>5033</v>
      </c>
      <c r="H1956" s="7">
        <v>725</v>
      </c>
    </row>
    <row r="1957" spans="1:8" x14ac:dyDescent="0.3">
      <c r="A1957">
        <v>8969</v>
      </c>
      <c r="B1957" t="s">
        <v>815</v>
      </c>
      <c r="C1957" t="s">
        <v>2697</v>
      </c>
      <c r="D1957" t="s">
        <v>2364</v>
      </c>
      <c r="E1957" t="s">
        <v>95</v>
      </c>
      <c r="F1957" t="s">
        <v>114</v>
      </c>
      <c r="G1957" t="s">
        <v>3748</v>
      </c>
      <c r="H1957" s="7">
        <v>75006</v>
      </c>
    </row>
    <row r="1958" spans="1:8" x14ac:dyDescent="0.3">
      <c r="A1958">
        <v>8971</v>
      </c>
      <c r="B1958" t="s">
        <v>5</v>
      </c>
      <c r="C1958" t="s">
        <v>93</v>
      </c>
      <c r="D1958" t="s">
        <v>1050</v>
      </c>
      <c r="E1958" t="s">
        <v>95</v>
      </c>
      <c r="F1958" t="s">
        <v>9</v>
      </c>
      <c r="G1958" t="s">
        <v>1051</v>
      </c>
      <c r="H1958" s="7">
        <v>725</v>
      </c>
    </row>
    <row r="1959" spans="1:8" x14ac:dyDescent="0.3">
      <c r="A1959">
        <v>8976</v>
      </c>
      <c r="B1959" t="s">
        <v>5</v>
      </c>
      <c r="C1959" t="s">
        <v>532</v>
      </c>
      <c r="D1959" t="s">
        <v>107</v>
      </c>
      <c r="E1959" t="s">
        <v>8</v>
      </c>
      <c r="F1959" t="s">
        <v>9</v>
      </c>
      <c r="G1959" t="s">
        <v>4553</v>
      </c>
      <c r="H1959" s="7">
        <v>725</v>
      </c>
    </row>
    <row r="1960" spans="1:8" x14ac:dyDescent="0.3">
      <c r="A1960">
        <v>8987</v>
      </c>
      <c r="B1960" t="s">
        <v>254</v>
      </c>
      <c r="C1960" t="s">
        <v>1188</v>
      </c>
      <c r="D1960" t="s">
        <v>644</v>
      </c>
      <c r="E1960" t="s">
        <v>8</v>
      </c>
      <c r="F1960" t="s">
        <v>55</v>
      </c>
      <c r="G1960" t="s">
        <v>4996</v>
      </c>
      <c r="H1960" s="7">
        <v>60639</v>
      </c>
    </row>
    <row r="1961" spans="1:8" x14ac:dyDescent="0.3">
      <c r="A1961">
        <v>8992</v>
      </c>
      <c r="B1961" t="s">
        <v>5</v>
      </c>
      <c r="C1961" t="s">
        <v>236</v>
      </c>
      <c r="D1961" t="s">
        <v>237</v>
      </c>
      <c r="E1961" t="s">
        <v>8</v>
      </c>
      <c r="F1961" t="s">
        <v>9</v>
      </c>
      <c r="G1961" t="s">
        <v>238</v>
      </c>
      <c r="H1961" s="7">
        <v>725</v>
      </c>
    </row>
    <row r="1962" spans="1:8" x14ac:dyDescent="0.3">
      <c r="A1962">
        <v>8996</v>
      </c>
      <c r="B1962" t="s">
        <v>474</v>
      </c>
      <c r="C1962" t="s">
        <v>236</v>
      </c>
      <c r="D1962" t="s">
        <v>176</v>
      </c>
      <c r="E1962" t="s">
        <v>27</v>
      </c>
      <c r="F1962" t="s">
        <v>140</v>
      </c>
      <c r="G1962" t="s">
        <v>475</v>
      </c>
      <c r="H1962" s="7">
        <v>30907</v>
      </c>
    </row>
    <row r="1963" spans="1:8" x14ac:dyDescent="0.3">
      <c r="A1963">
        <v>8997</v>
      </c>
      <c r="B1963" t="s">
        <v>5</v>
      </c>
      <c r="C1963" t="s">
        <v>93</v>
      </c>
      <c r="D1963" t="s">
        <v>107</v>
      </c>
      <c r="E1963" t="s">
        <v>27</v>
      </c>
      <c r="F1963" t="s">
        <v>9</v>
      </c>
      <c r="G1963" t="s">
        <v>3313</v>
      </c>
      <c r="H1963" s="7">
        <v>725</v>
      </c>
    </row>
    <row r="1964" spans="1:8" x14ac:dyDescent="0.3">
      <c r="A1964">
        <v>9004</v>
      </c>
      <c r="B1964" t="s">
        <v>5</v>
      </c>
      <c r="C1964" t="s">
        <v>93</v>
      </c>
      <c r="D1964" t="s">
        <v>107</v>
      </c>
      <c r="E1964" t="s">
        <v>8</v>
      </c>
      <c r="F1964" t="s">
        <v>9</v>
      </c>
      <c r="G1964" t="s">
        <v>4510</v>
      </c>
      <c r="H1964" s="7">
        <v>725</v>
      </c>
    </row>
    <row r="1965" spans="1:8" x14ac:dyDescent="0.3">
      <c r="A1965">
        <v>9006</v>
      </c>
      <c r="B1965" t="s">
        <v>5</v>
      </c>
      <c r="C1965" t="s">
        <v>2567</v>
      </c>
      <c r="D1965" t="s">
        <v>107</v>
      </c>
      <c r="E1965" t="s">
        <v>27</v>
      </c>
      <c r="F1965" t="s">
        <v>9</v>
      </c>
      <c r="G1965" t="s">
        <v>5058</v>
      </c>
      <c r="H1965" s="7">
        <v>725</v>
      </c>
    </row>
    <row r="1966" spans="1:8" x14ac:dyDescent="0.3">
      <c r="A1966">
        <v>9011</v>
      </c>
      <c r="B1966" t="s">
        <v>5</v>
      </c>
      <c r="C1966" t="s">
        <v>93</v>
      </c>
      <c r="D1966" t="s">
        <v>107</v>
      </c>
      <c r="E1966" t="s">
        <v>95</v>
      </c>
      <c r="F1966" t="s">
        <v>9</v>
      </c>
      <c r="G1966" t="s">
        <v>757</v>
      </c>
      <c r="H1966" s="7">
        <v>725</v>
      </c>
    </row>
    <row r="1967" spans="1:8" x14ac:dyDescent="0.3">
      <c r="A1967">
        <v>9016</v>
      </c>
      <c r="B1967" t="s">
        <v>5</v>
      </c>
      <c r="C1967" t="s">
        <v>93</v>
      </c>
      <c r="D1967" t="s">
        <v>107</v>
      </c>
      <c r="E1967" t="s">
        <v>27</v>
      </c>
      <c r="F1967" t="s">
        <v>9</v>
      </c>
      <c r="G1967" t="s">
        <v>3000</v>
      </c>
      <c r="H1967" s="7">
        <v>725</v>
      </c>
    </row>
    <row r="1968" spans="1:8" x14ac:dyDescent="0.3">
      <c r="A1968">
        <v>9018</v>
      </c>
      <c r="B1968" t="s">
        <v>508</v>
      </c>
      <c r="C1968" t="s">
        <v>93</v>
      </c>
      <c r="D1968" t="s">
        <v>107</v>
      </c>
      <c r="E1968" t="s">
        <v>8</v>
      </c>
      <c r="F1968" t="s">
        <v>114</v>
      </c>
      <c r="G1968" t="s">
        <v>1005</v>
      </c>
      <c r="H1968" s="7">
        <v>75240</v>
      </c>
    </row>
    <row r="1969" spans="1:8" x14ac:dyDescent="0.3">
      <c r="A1969">
        <v>9019</v>
      </c>
      <c r="B1969" t="s">
        <v>5</v>
      </c>
      <c r="C1969" t="s">
        <v>1546</v>
      </c>
      <c r="D1969" t="s">
        <v>3400</v>
      </c>
      <c r="E1969" t="s">
        <v>8</v>
      </c>
      <c r="F1969" t="s">
        <v>9</v>
      </c>
      <c r="G1969" t="s">
        <v>3401</v>
      </c>
      <c r="H1969" s="7">
        <v>725</v>
      </c>
    </row>
    <row r="1970" spans="1:8" x14ac:dyDescent="0.3">
      <c r="A1970">
        <v>9020</v>
      </c>
      <c r="B1970" t="s">
        <v>92</v>
      </c>
      <c r="C1970" t="s">
        <v>967</v>
      </c>
      <c r="D1970" t="s">
        <v>107</v>
      </c>
      <c r="E1970" t="s">
        <v>8</v>
      </c>
      <c r="F1970" t="s">
        <v>9</v>
      </c>
      <c r="G1970" t="s">
        <v>5134</v>
      </c>
      <c r="H1970" s="7">
        <v>957</v>
      </c>
    </row>
    <row r="1971" spans="1:8" x14ac:dyDescent="0.3">
      <c r="A1971">
        <v>9023</v>
      </c>
      <c r="B1971" t="s">
        <v>2170</v>
      </c>
      <c r="C1971" t="s">
        <v>2124</v>
      </c>
      <c r="D1971" t="s">
        <v>2782</v>
      </c>
      <c r="E1971" t="s">
        <v>27</v>
      </c>
      <c r="F1971" t="s">
        <v>248</v>
      </c>
      <c r="G1971" t="s">
        <v>774</v>
      </c>
      <c r="H1971" s="7">
        <v>44130</v>
      </c>
    </row>
    <row r="1972" spans="1:8" x14ac:dyDescent="0.3">
      <c r="A1972">
        <v>9027</v>
      </c>
      <c r="B1972" t="s">
        <v>2352</v>
      </c>
      <c r="C1972" t="s">
        <v>93</v>
      </c>
      <c r="D1972" t="s">
        <v>3945</v>
      </c>
      <c r="E1972" t="s">
        <v>95</v>
      </c>
      <c r="F1972" t="s">
        <v>729</v>
      </c>
      <c r="G1972" t="s">
        <v>4448</v>
      </c>
      <c r="H1972" s="7">
        <v>80231</v>
      </c>
    </row>
    <row r="1973" spans="1:8" x14ac:dyDescent="0.3">
      <c r="A1973">
        <v>9029</v>
      </c>
      <c r="B1973" t="s">
        <v>5</v>
      </c>
      <c r="C1973" t="s">
        <v>93</v>
      </c>
      <c r="D1973" t="s">
        <v>1510</v>
      </c>
      <c r="E1973" t="s">
        <v>95</v>
      </c>
      <c r="F1973" t="s">
        <v>9</v>
      </c>
      <c r="G1973" t="s">
        <v>4024</v>
      </c>
      <c r="H1973" s="7">
        <v>725</v>
      </c>
    </row>
    <row r="1974" spans="1:8" x14ac:dyDescent="0.3">
      <c r="A1974">
        <v>9030</v>
      </c>
      <c r="B1974" t="s">
        <v>2290</v>
      </c>
      <c r="C1974" t="s">
        <v>506</v>
      </c>
      <c r="D1974" t="s">
        <v>107</v>
      </c>
      <c r="E1974" t="s">
        <v>95</v>
      </c>
      <c r="F1974" t="s">
        <v>21</v>
      </c>
      <c r="G1974" t="s">
        <v>3734</v>
      </c>
      <c r="H1974" s="7">
        <v>91761</v>
      </c>
    </row>
    <row r="1975" spans="1:8" x14ac:dyDescent="0.3">
      <c r="A1975">
        <v>9039</v>
      </c>
      <c r="B1975" t="s">
        <v>1313</v>
      </c>
      <c r="C1975" t="s">
        <v>477</v>
      </c>
      <c r="D1975" t="s">
        <v>3274</v>
      </c>
      <c r="E1975" t="s">
        <v>27</v>
      </c>
      <c r="F1975" t="s">
        <v>448</v>
      </c>
      <c r="G1975" t="s">
        <v>4570</v>
      </c>
      <c r="H1975" s="7">
        <v>33186</v>
      </c>
    </row>
    <row r="1976" spans="1:8" x14ac:dyDescent="0.3">
      <c r="A1976">
        <v>9046</v>
      </c>
      <c r="B1976" t="s">
        <v>427</v>
      </c>
      <c r="C1976" t="s">
        <v>436</v>
      </c>
      <c r="D1976" t="s">
        <v>107</v>
      </c>
      <c r="E1976" t="s">
        <v>8</v>
      </c>
      <c r="F1976" t="s">
        <v>9</v>
      </c>
      <c r="G1976" t="s">
        <v>2497</v>
      </c>
      <c r="H1976" s="7">
        <v>921</v>
      </c>
    </row>
    <row r="1977" spans="1:8" x14ac:dyDescent="0.3">
      <c r="A1977">
        <v>9048</v>
      </c>
      <c r="B1977" t="s">
        <v>3953</v>
      </c>
      <c r="C1977" t="s">
        <v>93</v>
      </c>
      <c r="D1977" t="s">
        <v>107</v>
      </c>
      <c r="E1977" t="s">
        <v>95</v>
      </c>
      <c r="F1977" t="s">
        <v>21</v>
      </c>
      <c r="G1977" t="s">
        <v>5576</v>
      </c>
      <c r="H1977" s="7">
        <v>95207</v>
      </c>
    </row>
    <row r="1978" spans="1:8" x14ac:dyDescent="0.3">
      <c r="A1978">
        <v>9056</v>
      </c>
      <c r="B1978" t="s">
        <v>2683</v>
      </c>
      <c r="C1978" t="s">
        <v>564</v>
      </c>
      <c r="D1978" t="s">
        <v>107</v>
      </c>
      <c r="E1978" t="s">
        <v>95</v>
      </c>
      <c r="F1978" t="s">
        <v>21</v>
      </c>
      <c r="G1978" t="s">
        <v>2684</v>
      </c>
      <c r="H1978" s="7">
        <v>92009</v>
      </c>
    </row>
    <row r="1979" spans="1:8" x14ac:dyDescent="0.3">
      <c r="A1979">
        <v>9057</v>
      </c>
      <c r="B1979" t="s">
        <v>5</v>
      </c>
      <c r="C1979" t="s">
        <v>2053</v>
      </c>
      <c r="D1979" t="s">
        <v>968</v>
      </c>
      <c r="E1979" t="s">
        <v>95</v>
      </c>
      <c r="F1979" t="s">
        <v>9</v>
      </c>
      <c r="G1979" t="s">
        <v>4497</v>
      </c>
      <c r="H1979" s="7">
        <v>725</v>
      </c>
    </row>
    <row r="1980" spans="1:8" x14ac:dyDescent="0.3">
      <c r="A1980">
        <v>9058</v>
      </c>
      <c r="B1980" t="s">
        <v>1950</v>
      </c>
      <c r="C1980" t="s">
        <v>93</v>
      </c>
      <c r="D1980" t="s">
        <v>2457</v>
      </c>
      <c r="E1980" t="s">
        <v>95</v>
      </c>
      <c r="F1980" t="s">
        <v>381</v>
      </c>
      <c r="G1980" t="s">
        <v>2383</v>
      </c>
      <c r="H1980" s="7">
        <v>48126</v>
      </c>
    </row>
    <row r="1981" spans="1:8" x14ac:dyDescent="0.3">
      <c r="A1981">
        <v>9059</v>
      </c>
      <c r="B1981" t="s">
        <v>5</v>
      </c>
      <c r="C1981" t="s">
        <v>223</v>
      </c>
      <c r="D1981" t="s">
        <v>1113</v>
      </c>
      <c r="E1981" t="s">
        <v>95</v>
      </c>
      <c r="F1981" t="s">
        <v>9</v>
      </c>
      <c r="G1981" t="s">
        <v>2737</v>
      </c>
      <c r="H1981" s="7">
        <v>725</v>
      </c>
    </row>
    <row r="1982" spans="1:8" x14ac:dyDescent="0.3">
      <c r="A1982">
        <v>9063</v>
      </c>
      <c r="B1982" t="s">
        <v>368</v>
      </c>
      <c r="C1982" t="s">
        <v>745</v>
      </c>
      <c r="D1982" t="s">
        <v>107</v>
      </c>
      <c r="E1982" t="s">
        <v>27</v>
      </c>
      <c r="F1982" t="s">
        <v>88</v>
      </c>
      <c r="G1982" t="s">
        <v>4543</v>
      </c>
      <c r="H1982" s="7">
        <v>10029</v>
      </c>
    </row>
    <row r="1983" spans="1:8" x14ac:dyDescent="0.3">
      <c r="A1983">
        <v>9064</v>
      </c>
      <c r="B1983" t="s">
        <v>656</v>
      </c>
      <c r="C1983" t="s">
        <v>93</v>
      </c>
      <c r="D1983" t="s">
        <v>217</v>
      </c>
      <c r="E1983" t="s">
        <v>27</v>
      </c>
      <c r="F1983" t="s">
        <v>77</v>
      </c>
      <c r="G1983" t="s">
        <v>5533</v>
      </c>
      <c r="H1983" s="7">
        <v>19111</v>
      </c>
    </row>
    <row r="1984" spans="1:8" x14ac:dyDescent="0.3">
      <c r="A1984">
        <v>9070</v>
      </c>
      <c r="B1984" t="s">
        <v>5</v>
      </c>
      <c r="C1984" t="s">
        <v>93</v>
      </c>
      <c r="D1984" t="s">
        <v>107</v>
      </c>
      <c r="E1984" t="s">
        <v>95</v>
      </c>
      <c r="F1984" t="s">
        <v>9</v>
      </c>
      <c r="G1984" t="s">
        <v>4483</v>
      </c>
      <c r="H1984" s="7">
        <v>725</v>
      </c>
    </row>
    <row r="1985" spans="1:8" x14ac:dyDescent="0.3">
      <c r="A1985">
        <v>9079</v>
      </c>
      <c r="B1985" t="s">
        <v>5</v>
      </c>
      <c r="C1985" t="s">
        <v>1705</v>
      </c>
      <c r="D1985" t="s">
        <v>1706</v>
      </c>
      <c r="E1985" t="s">
        <v>95</v>
      </c>
      <c r="F1985" t="s">
        <v>9</v>
      </c>
      <c r="G1985" t="s">
        <v>1707</v>
      </c>
      <c r="H1985" s="7">
        <v>725</v>
      </c>
    </row>
    <row r="1986" spans="1:8" x14ac:dyDescent="0.3">
      <c r="A1986">
        <v>9083</v>
      </c>
      <c r="B1986" t="s">
        <v>92</v>
      </c>
      <c r="C1986" t="s">
        <v>93</v>
      </c>
      <c r="D1986" t="s">
        <v>94</v>
      </c>
      <c r="E1986" t="s">
        <v>95</v>
      </c>
      <c r="F1986" t="s">
        <v>9</v>
      </c>
      <c r="G1986" t="s">
        <v>96</v>
      </c>
      <c r="H1986" s="7">
        <v>957</v>
      </c>
    </row>
    <row r="1987" spans="1:8" x14ac:dyDescent="0.3">
      <c r="A1987">
        <v>9086</v>
      </c>
      <c r="B1987" t="s">
        <v>656</v>
      </c>
      <c r="C1987" t="s">
        <v>623</v>
      </c>
      <c r="D1987" t="s">
        <v>778</v>
      </c>
      <c r="E1987" t="s">
        <v>8</v>
      </c>
      <c r="F1987" t="s">
        <v>77</v>
      </c>
      <c r="G1987" t="s">
        <v>4738</v>
      </c>
      <c r="H1987" s="7">
        <v>19145</v>
      </c>
    </row>
    <row r="1988" spans="1:8" x14ac:dyDescent="0.3">
      <c r="A1988">
        <v>9087</v>
      </c>
      <c r="B1988" t="s">
        <v>5</v>
      </c>
      <c r="C1988" t="s">
        <v>671</v>
      </c>
      <c r="D1988" t="s">
        <v>107</v>
      </c>
      <c r="E1988" t="s">
        <v>8</v>
      </c>
      <c r="F1988" t="s">
        <v>9</v>
      </c>
      <c r="G1988" t="s">
        <v>4862</v>
      </c>
      <c r="H1988" s="7">
        <v>725</v>
      </c>
    </row>
    <row r="1989" spans="1:8" x14ac:dyDescent="0.3">
      <c r="A1989">
        <v>9089</v>
      </c>
      <c r="B1989" t="s">
        <v>5</v>
      </c>
      <c r="C1989" t="s">
        <v>727</v>
      </c>
      <c r="D1989" t="s">
        <v>107</v>
      </c>
      <c r="E1989" t="s">
        <v>8</v>
      </c>
      <c r="F1989" t="s">
        <v>9</v>
      </c>
      <c r="G1989" t="s">
        <v>1485</v>
      </c>
      <c r="H1989" s="7">
        <v>725</v>
      </c>
    </row>
    <row r="1990" spans="1:8" x14ac:dyDescent="0.3">
      <c r="A1990">
        <v>9092</v>
      </c>
      <c r="B1990" t="s">
        <v>155</v>
      </c>
      <c r="C1990" t="s">
        <v>251</v>
      </c>
      <c r="D1990" t="s">
        <v>107</v>
      </c>
      <c r="E1990" t="s">
        <v>95</v>
      </c>
      <c r="F1990" t="s">
        <v>158</v>
      </c>
      <c r="G1990" t="s">
        <v>3753</v>
      </c>
      <c r="H1990" s="7">
        <v>38401</v>
      </c>
    </row>
    <row r="1991" spans="1:8" x14ac:dyDescent="0.3">
      <c r="A1991">
        <v>9100</v>
      </c>
      <c r="B1991" t="s">
        <v>3758</v>
      </c>
      <c r="C1991" t="s">
        <v>1032</v>
      </c>
      <c r="D1991" t="s">
        <v>107</v>
      </c>
      <c r="E1991" t="s">
        <v>8</v>
      </c>
      <c r="F1991" t="s">
        <v>21</v>
      </c>
      <c r="G1991" t="s">
        <v>4016</v>
      </c>
      <c r="H1991" s="7">
        <v>90631</v>
      </c>
    </row>
    <row r="1992" spans="1:8" x14ac:dyDescent="0.3">
      <c r="A1992">
        <v>9101</v>
      </c>
      <c r="B1992" t="s">
        <v>862</v>
      </c>
      <c r="C1992" t="s">
        <v>93</v>
      </c>
      <c r="D1992" t="s">
        <v>964</v>
      </c>
      <c r="E1992" t="s">
        <v>8</v>
      </c>
      <c r="F1992" t="s">
        <v>478</v>
      </c>
      <c r="G1992" t="s">
        <v>5142</v>
      </c>
      <c r="H1992" s="7">
        <v>89123</v>
      </c>
    </row>
    <row r="1993" spans="1:8" x14ac:dyDescent="0.3">
      <c r="A1993">
        <v>9106</v>
      </c>
      <c r="B1993" t="s">
        <v>2303</v>
      </c>
      <c r="C1993" t="s">
        <v>93</v>
      </c>
      <c r="D1993" t="s">
        <v>523</v>
      </c>
      <c r="E1993" t="s">
        <v>8</v>
      </c>
      <c r="F1993" t="s">
        <v>55</v>
      </c>
      <c r="G1993" t="s">
        <v>2559</v>
      </c>
      <c r="H1993" s="7">
        <v>60085</v>
      </c>
    </row>
    <row r="1994" spans="1:8" x14ac:dyDescent="0.3">
      <c r="A1994">
        <v>9108</v>
      </c>
      <c r="B1994" t="s">
        <v>3202</v>
      </c>
      <c r="C1994" t="s">
        <v>2047</v>
      </c>
      <c r="D1994" t="s">
        <v>107</v>
      </c>
      <c r="E1994" t="s">
        <v>8</v>
      </c>
      <c r="F1994" t="s">
        <v>36</v>
      </c>
      <c r="G1994" t="s">
        <v>3823</v>
      </c>
      <c r="H1994" s="7">
        <v>1844</v>
      </c>
    </row>
    <row r="1995" spans="1:8" x14ac:dyDescent="0.3">
      <c r="A1995">
        <v>9111</v>
      </c>
      <c r="B1995" t="s">
        <v>5</v>
      </c>
      <c r="C1995" t="s">
        <v>93</v>
      </c>
      <c r="D1995" t="s">
        <v>107</v>
      </c>
      <c r="E1995" t="s">
        <v>27</v>
      </c>
      <c r="F1995" t="s">
        <v>9</v>
      </c>
      <c r="G1995" t="s">
        <v>4813</v>
      </c>
      <c r="H1995" s="7">
        <v>725</v>
      </c>
    </row>
    <row r="1996" spans="1:8" x14ac:dyDescent="0.3">
      <c r="A1996">
        <v>9114</v>
      </c>
      <c r="B1996" t="s">
        <v>5</v>
      </c>
      <c r="C1996" t="s">
        <v>93</v>
      </c>
      <c r="D1996" t="s">
        <v>107</v>
      </c>
      <c r="E1996" t="s">
        <v>95</v>
      </c>
      <c r="F1996" t="s">
        <v>9</v>
      </c>
      <c r="G1996" t="s">
        <v>2747</v>
      </c>
      <c r="H1996" s="7">
        <v>725</v>
      </c>
    </row>
    <row r="1997" spans="1:8" x14ac:dyDescent="0.3">
      <c r="A1997">
        <v>9116</v>
      </c>
      <c r="B1997" t="s">
        <v>5</v>
      </c>
      <c r="C1997" t="s">
        <v>93</v>
      </c>
      <c r="D1997" t="s">
        <v>107</v>
      </c>
      <c r="E1997" t="s">
        <v>95</v>
      </c>
      <c r="F1997" t="s">
        <v>9</v>
      </c>
      <c r="G1997" t="s">
        <v>3518</v>
      </c>
      <c r="H1997" s="7">
        <v>725</v>
      </c>
    </row>
    <row r="1998" spans="1:8" x14ac:dyDescent="0.3">
      <c r="A1998">
        <v>9122</v>
      </c>
      <c r="B1998" t="s">
        <v>862</v>
      </c>
      <c r="C1998" t="s">
        <v>2057</v>
      </c>
      <c r="D1998" t="s">
        <v>4222</v>
      </c>
      <c r="E1998" t="s">
        <v>95</v>
      </c>
      <c r="F1998" t="s">
        <v>478</v>
      </c>
      <c r="G1998" t="s">
        <v>5242</v>
      </c>
      <c r="H1998" s="7">
        <v>89110</v>
      </c>
    </row>
    <row r="1999" spans="1:8" x14ac:dyDescent="0.3">
      <c r="A1999">
        <v>9128</v>
      </c>
      <c r="B1999" t="s">
        <v>117</v>
      </c>
      <c r="C1999" t="s">
        <v>112</v>
      </c>
      <c r="D1999" t="s">
        <v>107</v>
      </c>
      <c r="E1999" t="s">
        <v>27</v>
      </c>
      <c r="F1999" t="s">
        <v>21</v>
      </c>
      <c r="G1999" t="s">
        <v>5331</v>
      </c>
      <c r="H1999" s="7">
        <v>92129</v>
      </c>
    </row>
    <row r="2000" spans="1:8" x14ac:dyDescent="0.3">
      <c r="A2000">
        <v>9129</v>
      </c>
      <c r="B2000" t="s">
        <v>5</v>
      </c>
      <c r="C2000" t="s">
        <v>3232</v>
      </c>
      <c r="D2000" t="s">
        <v>340</v>
      </c>
      <c r="E2000" t="s">
        <v>27</v>
      </c>
      <c r="F2000" t="s">
        <v>9</v>
      </c>
      <c r="G2000" t="s">
        <v>2576</v>
      </c>
      <c r="H2000" s="7">
        <v>725</v>
      </c>
    </row>
    <row r="2001" spans="1:8" x14ac:dyDescent="0.3">
      <c r="A2001">
        <v>9138</v>
      </c>
      <c r="B2001" t="s">
        <v>5</v>
      </c>
      <c r="C2001" t="s">
        <v>1536</v>
      </c>
      <c r="D2001" t="s">
        <v>620</v>
      </c>
      <c r="E2001" t="s">
        <v>8</v>
      </c>
      <c r="F2001" t="s">
        <v>9</v>
      </c>
      <c r="G2001" t="s">
        <v>5291</v>
      </c>
      <c r="H2001" s="7">
        <v>725</v>
      </c>
    </row>
    <row r="2002" spans="1:8" x14ac:dyDescent="0.3">
      <c r="A2002">
        <v>9141</v>
      </c>
      <c r="B2002" t="s">
        <v>1833</v>
      </c>
      <c r="C2002" t="s">
        <v>555</v>
      </c>
      <c r="D2002" t="s">
        <v>127</v>
      </c>
      <c r="E2002" t="s">
        <v>27</v>
      </c>
      <c r="F2002" t="s">
        <v>21</v>
      </c>
      <c r="G2002" t="s">
        <v>5114</v>
      </c>
      <c r="H2002" s="7">
        <v>93304</v>
      </c>
    </row>
    <row r="2003" spans="1:8" x14ac:dyDescent="0.3">
      <c r="A2003">
        <v>9142</v>
      </c>
      <c r="B2003" t="s">
        <v>5</v>
      </c>
      <c r="C2003" t="s">
        <v>93</v>
      </c>
      <c r="D2003" t="s">
        <v>3247</v>
      </c>
      <c r="E2003" t="s">
        <v>27</v>
      </c>
      <c r="F2003" t="s">
        <v>9</v>
      </c>
      <c r="G2003" t="s">
        <v>4791</v>
      </c>
      <c r="H2003" s="7">
        <v>725</v>
      </c>
    </row>
    <row r="2004" spans="1:8" x14ac:dyDescent="0.3">
      <c r="A2004">
        <v>9143</v>
      </c>
      <c r="B2004" t="s">
        <v>4660</v>
      </c>
      <c r="C2004" t="s">
        <v>2953</v>
      </c>
      <c r="D2004" t="s">
        <v>107</v>
      </c>
      <c r="E2004" t="s">
        <v>95</v>
      </c>
      <c r="F2004" t="s">
        <v>2142</v>
      </c>
      <c r="G2004" t="s">
        <v>1783</v>
      </c>
      <c r="H2004" s="7">
        <v>26003</v>
      </c>
    </row>
    <row r="2005" spans="1:8" x14ac:dyDescent="0.3">
      <c r="A2005">
        <v>9151</v>
      </c>
      <c r="B2005" t="s">
        <v>1096</v>
      </c>
      <c r="C2005" t="s">
        <v>1381</v>
      </c>
      <c r="D2005" t="s">
        <v>107</v>
      </c>
      <c r="E2005" t="s">
        <v>8</v>
      </c>
      <c r="F2005" t="s">
        <v>242</v>
      </c>
      <c r="G2005" t="s">
        <v>3467</v>
      </c>
      <c r="H2005" s="7">
        <v>20854</v>
      </c>
    </row>
    <row r="2006" spans="1:8" x14ac:dyDescent="0.3">
      <c r="A2006">
        <v>9153</v>
      </c>
      <c r="B2006" t="s">
        <v>5</v>
      </c>
      <c r="C2006" t="s">
        <v>1735</v>
      </c>
      <c r="D2006" t="s">
        <v>1582</v>
      </c>
      <c r="E2006" t="s">
        <v>8</v>
      </c>
      <c r="F2006" t="s">
        <v>9</v>
      </c>
      <c r="G2006" t="s">
        <v>3297</v>
      </c>
      <c r="H2006" s="7">
        <v>725</v>
      </c>
    </row>
    <row r="2007" spans="1:8" x14ac:dyDescent="0.3">
      <c r="A2007">
        <v>9156</v>
      </c>
      <c r="B2007" t="s">
        <v>254</v>
      </c>
      <c r="C2007" t="s">
        <v>93</v>
      </c>
      <c r="D2007" t="s">
        <v>1282</v>
      </c>
      <c r="E2007" t="s">
        <v>8</v>
      </c>
      <c r="F2007" t="s">
        <v>55</v>
      </c>
      <c r="G2007" t="s">
        <v>1283</v>
      </c>
      <c r="H2007" s="7">
        <v>60620</v>
      </c>
    </row>
    <row r="2008" spans="1:8" x14ac:dyDescent="0.3">
      <c r="A2008">
        <v>9158</v>
      </c>
      <c r="B2008" t="s">
        <v>5</v>
      </c>
      <c r="C2008" t="s">
        <v>93</v>
      </c>
      <c r="D2008" t="s">
        <v>4880</v>
      </c>
      <c r="E2008" t="s">
        <v>27</v>
      </c>
      <c r="F2008" t="s">
        <v>9</v>
      </c>
      <c r="G2008" t="s">
        <v>4625</v>
      </c>
      <c r="H2008" s="7">
        <v>725</v>
      </c>
    </row>
    <row r="2009" spans="1:8" x14ac:dyDescent="0.3">
      <c r="A2009">
        <v>9162</v>
      </c>
      <c r="B2009" t="s">
        <v>615</v>
      </c>
      <c r="C2009" t="s">
        <v>616</v>
      </c>
      <c r="D2009" t="s">
        <v>617</v>
      </c>
      <c r="E2009" t="s">
        <v>27</v>
      </c>
      <c r="F2009" t="s">
        <v>21</v>
      </c>
      <c r="G2009" t="s">
        <v>618</v>
      </c>
      <c r="H2009" s="7">
        <v>95240</v>
      </c>
    </row>
    <row r="2010" spans="1:8" x14ac:dyDescent="0.3">
      <c r="A2010">
        <v>9165</v>
      </c>
      <c r="B2010" t="s">
        <v>117</v>
      </c>
      <c r="C2010" t="s">
        <v>4039</v>
      </c>
      <c r="D2010" t="s">
        <v>1880</v>
      </c>
      <c r="E2010" t="s">
        <v>8</v>
      </c>
      <c r="F2010" t="s">
        <v>21</v>
      </c>
      <c r="G2010" t="s">
        <v>4491</v>
      </c>
      <c r="H2010" s="7">
        <v>92154</v>
      </c>
    </row>
    <row r="2011" spans="1:8" x14ac:dyDescent="0.3">
      <c r="A2011">
        <v>9176</v>
      </c>
      <c r="B2011" t="s">
        <v>3471</v>
      </c>
      <c r="C2011" t="s">
        <v>859</v>
      </c>
      <c r="D2011" t="s">
        <v>107</v>
      </c>
      <c r="E2011" t="s">
        <v>27</v>
      </c>
      <c r="F2011" t="s">
        <v>88</v>
      </c>
      <c r="G2011" t="s">
        <v>5126</v>
      </c>
      <c r="H2011" s="7">
        <v>14580</v>
      </c>
    </row>
    <row r="2012" spans="1:8" x14ac:dyDescent="0.3">
      <c r="A2012">
        <v>9180</v>
      </c>
      <c r="B2012" t="s">
        <v>5</v>
      </c>
      <c r="C2012" t="s">
        <v>1406</v>
      </c>
      <c r="D2012" t="s">
        <v>1472</v>
      </c>
      <c r="E2012" t="s">
        <v>8</v>
      </c>
      <c r="F2012" t="s">
        <v>9</v>
      </c>
      <c r="G2012" t="s">
        <v>1473</v>
      </c>
      <c r="H2012" s="7">
        <v>725</v>
      </c>
    </row>
    <row r="2013" spans="1:8" x14ac:dyDescent="0.3">
      <c r="A2013">
        <v>9191</v>
      </c>
      <c r="B2013" t="s">
        <v>5</v>
      </c>
      <c r="C2013" t="s">
        <v>1770</v>
      </c>
      <c r="D2013" t="s">
        <v>107</v>
      </c>
      <c r="E2013" t="s">
        <v>95</v>
      </c>
      <c r="F2013" t="s">
        <v>9</v>
      </c>
      <c r="G2013" t="s">
        <v>4144</v>
      </c>
      <c r="H2013" s="7">
        <v>725</v>
      </c>
    </row>
    <row r="2014" spans="1:8" x14ac:dyDescent="0.3">
      <c r="A2014">
        <v>9197</v>
      </c>
      <c r="B2014" t="s">
        <v>5</v>
      </c>
      <c r="C2014" t="s">
        <v>93</v>
      </c>
      <c r="D2014" t="s">
        <v>559</v>
      </c>
      <c r="E2014" t="s">
        <v>8</v>
      </c>
      <c r="F2014" t="s">
        <v>9</v>
      </c>
      <c r="G2014" t="s">
        <v>4328</v>
      </c>
      <c r="H2014" s="7">
        <v>725</v>
      </c>
    </row>
    <row r="2015" spans="1:8" x14ac:dyDescent="0.3">
      <c r="A2015">
        <v>9206</v>
      </c>
      <c r="B2015" t="s">
        <v>2627</v>
      </c>
      <c r="C2015" t="s">
        <v>1718</v>
      </c>
      <c r="D2015" t="s">
        <v>107</v>
      </c>
      <c r="E2015" t="s">
        <v>27</v>
      </c>
      <c r="F2015" t="s">
        <v>21</v>
      </c>
      <c r="G2015" t="s">
        <v>4632</v>
      </c>
      <c r="H2015" s="7">
        <v>91767</v>
      </c>
    </row>
    <row r="2016" spans="1:8" x14ac:dyDescent="0.3">
      <c r="A2016">
        <v>9210</v>
      </c>
      <c r="B2016" t="s">
        <v>5</v>
      </c>
      <c r="C2016" t="s">
        <v>1121</v>
      </c>
      <c r="D2016" t="s">
        <v>1016</v>
      </c>
      <c r="E2016" t="s">
        <v>27</v>
      </c>
      <c r="F2016" t="s">
        <v>9</v>
      </c>
      <c r="G2016" t="s">
        <v>4341</v>
      </c>
      <c r="H2016" s="7">
        <v>725</v>
      </c>
    </row>
    <row r="2017" spans="1:8" x14ac:dyDescent="0.3">
      <c r="A2017">
        <v>9218</v>
      </c>
      <c r="B2017" t="s">
        <v>5</v>
      </c>
      <c r="C2017" t="s">
        <v>268</v>
      </c>
      <c r="D2017" t="s">
        <v>2175</v>
      </c>
      <c r="E2017" t="s">
        <v>8</v>
      </c>
      <c r="F2017" t="s">
        <v>9</v>
      </c>
      <c r="G2017" t="s">
        <v>5089</v>
      </c>
      <c r="H2017" s="7">
        <v>725</v>
      </c>
    </row>
    <row r="2018" spans="1:8" x14ac:dyDescent="0.3">
      <c r="A2018">
        <v>9222</v>
      </c>
      <c r="B2018" t="s">
        <v>3150</v>
      </c>
      <c r="C2018" t="s">
        <v>93</v>
      </c>
      <c r="D2018" t="s">
        <v>985</v>
      </c>
      <c r="E2018" t="s">
        <v>8</v>
      </c>
      <c r="F2018" t="s">
        <v>341</v>
      </c>
      <c r="G2018" t="s">
        <v>3151</v>
      </c>
      <c r="H2018" s="7">
        <v>28314</v>
      </c>
    </row>
    <row r="2019" spans="1:8" x14ac:dyDescent="0.3">
      <c r="A2019">
        <v>9226</v>
      </c>
      <c r="B2019" t="s">
        <v>5</v>
      </c>
      <c r="C2019" t="s">
        <v>1231</v>
      </c>
      <c r="D2019" t="s">
        <v>1746</v>
      </c>
      <c r="E2019" t="s">
        <v>27</v>
      </c>
      <c r="F2019" t="s">
        <v>9</v>
      </c>
      <c r="G2019" t="s">
        <v>760</v>
      </c>
      <c r="H2019" s="7">
        <v>725</v>
      </c>
    </row>
    <row r="2020" spans="1:8" x14ac:dyDescent="0.3">
      <c r="A2020">
        <v>9228</v>
      </c>
      <c r="B2020" t="s">
        <v>5</v>
      </c>
      <c r="C2020" t="s">
        <v>272</v>
      </c>
      <c r="D2020" t="s">
        <v>107</v>
      </c>
      <c r="E2020" t="s">
        <v>27</v>
      </c>
      <c r="F2020" t="s">
        <v>9</v>
      </c>
      <c r="G2020" t="s">
        <v>4691</v>
      </c>
      <c r="H2020" s="7">
        <v>725</v>
      </c>
    </row>
    <row r="2021" spans="1:8" x14ac:dyDescent="0.3">
      <c r="A2021">
        <v>9231</v>
      </c>
      <c r="B2021" t="s">
        <v>622</v>
      </c>
      <c r="C2021" t="s">
        <v>93</v>
      </c>
      <c r="D2021" t="s">
        <v>107</v>
      </c>
      <c r="E2021" t="s">
        <v>27</v>
      </c>
      <c r="F2021" t="s">
        <v>21</v>
      </c>
      <c r="G2021" t="s">
        <v>706</v>
      </c>
      <c r="H2021" s="7">
        <v>92692</v>
      </c>
    </row>
    <row r="2022" spans="1:8" x14ac:dyDescent="0.3">
      <c r="A2022">
        <v>9233</v>
      </c>
      <c r="B2022" t="s">
        <v>2594</v>
      </c>
      <c r="C2022" t="s">
        <v>2469</v>
      </c>
      <c r="D2022" t="s">
        <v>3274</v>
      </c>
      <c r="E2022" t="s">
        <v>27</v>
      </c>
      <c r="F2022" t="s">
        <v>55</v>
      </c>
      <c r="G2022" t="s">
        <v>2056</v>
      </c>
      <c r="H2022" s="7">
        <v>60016</v>
      </c>
    </row>
    <row r="2023" spans="1:8" x14ac:dyDescent="0.3">
      <c r="A2023">
        <v>9243</v>
      </c>
      <c r="B2023" t="s">
        <v>5</v>
      </c>
      <c r="C2023" t="s">
        <v>527</v>
      </c>
      <c r="D2023" t="s">
        <v>528</v>
      </c>
      <c r="E2023" t="s">
        <v>95</v>
      </c>
      <c r="F2023" t="s">
        <v>9</v>
      </c>
      <c r="G2023" t="s">
        <v>529</v>
      </c>
      <c r="H2023" s="7">
        <v>725</v>
      </c>
    </row>
    <row r="2024" spans="1:8" x14ac:dyDescent="0.3">
      <c r="A2024">
        <v>9244</v>
      </c>
      <c r="B2024" t="s">
        <v>1023</v>
      </c>
      <c r="C2024" t="s">
        <v>93</v>
      </c>
      <c r="D2024" t="s">
        <v>107</v>
      </c>
      <c r="E2024" t="s">
        <v>8</v>
      </c>
      <c r="F2024" t="s">
        <v>21</v>
      </c>
      <c r="G2024" t="s">
        <v>1024</v>
      </c>
      <c r="H2024" s="7">
        <v>91605</v>
      </c>
    </row>
    <row r="2025" spans="1:8" x14ac:dyDescent="0.3">
      <c r="A2025">
        <v>9245</v>
      </c>
      <c r="B2025" t="s">
        <v>5</v>
      </c>
      <c r="C2025" t="s">
        <v>1767</v>
      </c>
      <c r="D2025" t="s">
        <v>1192</v>
      </c>
      <c r="E2025" t="s">
        <v>8</v>
      </c>
      <c r="F2025" t="s">
        <v>9</v>
      </c>
      <c r="G2025" t="s">
        <v>5194</v>
      </c>
      <c r="H2025" s="7">
        <v>725</v>
      </c>
    </row>
    <row r="2026" spans="1:8" x14ac:dyDescent="0.3">
      <c r="A2026">
        <v>9249</v>
      </c>
      <c r="B2026" t="s">
        <v>457</v>
      </c>
      <c r="C2026" t="s">
        <v>2124</v>
      </c>
      <c r="D2026" t="s">
        <v>1577</v>
      </c>
      <c r="E2026" t="s">
        <v>8</v>
      </c>
      <c r="F2026" t="s">
        <v>21</v>
      </c>
      <c r="G2026" t="s">
        <v>2125</v>
      </c>
      <c r="H2026" s="7">
        <v>91402</v>
      </c>
    </row>
    <row r="2027" spans="1:8" x14ac:dyDescent="0.3">
      <c r="A2027">
        <v>9265</v>
      </c>
      <c r="B2027" t="s">
        <v>2371</v>
      </c>
      <c r="C2027" t="s">
        <v>1317</v>
      </c>
      <c r="D2027" t="s">
        <v>2799</v>
      </c>
      <c r="E2027" t="s">
        <v>8</v>
      </c>
      <c r="F2027" t="s">
        <v>9</v>
      </c>
      <c r="G2027" t="s">
        <v>1610</v>
      </c>
      <c r="H2027" s="7">
        <v>698</v>
      </c>
    </row>
    <row r="2028" spans="1:8" x14ac:dyDescent="0.3">
      <c r="A2028">
        <v>9271</v>
      </c>
      <c r="B2028" t="s">
        <v>1800</v>
      </c>
      <c r="C2028" t="s">
        <v>444</v>
      </c>
      <c r="D2028" t="s">
        <v>107</v>
      </c>
      <c r="E2028" t="s">
        <v>8</v>
      </c>
      <c r="F2028" t="s">
        <v>114</v>
      </c>
      <c r="G2028" t="s">
        <v>4778</v>
      </c>
      <c r="H2028" s="7">
        <v>76106</v>
      </c>
    </row>
    <row r="2029" spans="1:8" x14ac:dyDescent="0.3">
      <c r="A2029">
        <v>9289</v>
      </c>
      <c r="B2029" t="s">
        <v>131</v>
      </c>
      <c r="C2029" t="s">
        <v>160</v>
      </c>
      <c r="D2029" t="s">
        <v>107</v>
      </c>
      <c r="E2029" t="s">
        <v>8</v>
      </c>
      <c r="F2029" t="s">
        <v>134</v>
      </c>
      <c r="G2029" t="s">
        <v>5544</v>
      </c>
      <c r="H2029" s="7">
        <v>96818</v>
      </c>
    </row>
    <row r="2030" spans="1:8" x14ac:dyDescent="0.3">
      <c r="A2030">
        <v>9295</v>
      </c>
      <c r="B2030" t="s">
        <v>677</v>
      </c>
      <c r="C2030" t="s">
        <v>332</v>
      </c>
      <c r="D2030" t="s">
        <v>107</v>
      </c>
      <c r="E2030" t="s">
        <v>8</v>
      </c>
      <c r="F2030" t="s">
        <v>114</v>
      </c>
      <c r="G2030" t="s">
        <v>813</v>
      </c>
      <c r="H2030" s="7">
        <v>77840</v>
      </c>
    </row>
    <row r="2031" spans="1:8" x14ac:dyDescent="0.3">
      <c r="A2031">
        <v>9298</v>
      </c>
      <c r="B2031" t="s">
        <v>2501</v>
      </c>
      <c r="C2031" t="s">
        <v>417</v>
      </c>
      <c r="D2031" t="s">
        <v>107</v>
      </c>
      <c r="E2031" t="s">
        <v>95</v>
      </c>
      <c r="F2031" t="s">
        <v>448</v>
      </c>
      <c r="G2031" t="s">
        <v>2502</v>
      </c>
      <c r="H2031" s="7">
        <v>33021</v>
      </c>
    </row>
    <row r="2032" spans="1:8" x14ac:dyDescent="0.3">
      <c r="A2032">
        <v>9302</v>
      </c>
      <c r="B2032" t="s">
        <v>5</v>
      </c>
      <c r="C2032" t="s">
        <v>1175</v>
      </c>
      <c r="D2032" t="s">
        <v>107</v>
      </c>
      <c r="E2032" t="s">
        <v>8</v>
      </c>
      <c r="F2032" t="s">
        <v>9</v>
      </c>
      <c r="G2032" t="s">
        <v>1138</v>
      </c>
      <c r="H2032" s="7">
        <v>725</v>
      </c>
    </row>
    <row r="2033" spans="1:8" x14ac:dyDescent="0.3">
      <c r="A2033">
        <v>9304</v>
      </c>
      <c r="B2033" t="s">
        <v>5</v>
      </c>
      <c r="C2033" t="s">
        <v>2452</v>
      </c>
      <c r="D2033" t="s">
        <v>107</v>
      </c>
      <c r="E2033" t="s">
        <v>8</v>
      </c>
      <c r="F2033" t="s">
        <v>9</v>
      </c>
      <c r="G2033" t="s">
        <v>4322</v>
      </c>
      <c r="H2033" s="7">
        <v>725</v>
      </c>
    </row>
    <row r="2034" spans="1:8" x14ac:dyDescent="0.3">
      <c r="A2034">
        <v>9306</v>
      </c>
      <c r="B2034" t="s">
        <v>5</v>
      </c>
      <c r="C2034" t="s">
        <v>556</v>
      </c>
      <c r="D2034" t="s">
        <v>3543</v>
      </c>
      <c r="E2034" t="s">
        <v>27</v>
      </c>
      <c r="F2034" t="s">
        <v>9</v>
      </c>
      <c r="G2034" t="s">
        <v>5475</v>
      </c>
      <c r="H2034" s="7">
        <v>725</v>
      </c>
    </row>
    <row r="2035" spans="1:8" x14ac:dyDescent="0.3">
      <c r="A2035">
        <v>9310</v>
      </c>
      <c r="B2035" t="s">
        <v>5</v>
      </c>
      <c r="C2035" t="s">
        <v>2469</v>
      </c>
      <c r="D2035" t="s">
        <v>107</v>
      </c>
      <c r="E2035" t="s">
        <v>8</v>
      </c>
      <c r="F2035" t="s">
        <v>9</v>
      </c>
      <c r="G2035" t="s">
        <v>2752</v>
      </c>
      <c r="H2035" s="7">
        <v>725</v>
      </c>
    </row>
    <row r="2036" spans="1:8" x14ac:dyDescent="0.3">
      <c r="A2036">
        <v>9311</v>
      </c>
      <c r="B2036" t="s">
        <v>169</v>
      </c>
      <c r="C2036" t="s">
        <v>93</v>
      </c>
      <c r="D2036" t="s">
        <v>1192</v>
      </c>
      <c r="E2036" t="s">
        <v>8</v>
      </c>
      <c r="F2036" t="s">
        <v>172</v>
      </c>
      <c r="G2036" t="s">
        <v>4302</v>
      </c>
      <c r="H2036" s="7">
        <v>63301</v>
      </c>
    </row>
    <row r="2037" spans="1:8" x14ac:dyDescent="0.3">
      <c r="A2037">
        <v>9312</v>
      </c>
      <c r="B2037" t="s">
        <v>4426</v>
      </c>
      <c r="C2037" t="s">
        <v>417</v>
      </c>
      <c r="D2037" t="s">
        <v>1880</v>
      </c>
      <c r="E2037" t="s">
        <v>8</v>
      </c>
      <c r="F2037" t="s">
        <v>248</v>
      </c>
      <c r="G2037" t="s">
        <v>4100</v>
      </c>
      <c r="H2037" s="7">
        <v>44646</v>
      </c>
    </row>
    <row r="2038" spans="1:8" x14ac:dyDescent="0.3">
      <c r="A2038">
        <v>9317</v>
      </c>
      <c r="B2038" t="s">
        <v>495</v>
      </c>
      <c r="C2038" t="s">
        <v>93</v>
      </c>
      <c r="D2038" t="s">
        <v>107</v>
      </c>
      <c r="E2038" t="s">
        <v>8</v>
      </c>
      <c r="F2038" t="s">
        <v>88</v>
      </c>
      <c r="G2038" t="s">
        <v>991</v>
      </c>
      <c r="H2038" s="7">
        <v>11203</v>
      </c>
    </row>
    <row r="2039" spans="1:8" x14ac:dyDescent="0.3">
      <c r="A2039">
        <v>9325</v>
      </c>
      <c r="B2039" t="s">
        <v>5</v>
      </c>
      <c r="C2039" t="s">
        <v>93</v>
      </c>
      <c r="D2039" t="s">
        <v>1470</v>
      </c>
      <c r="E2039" t="s">
        <v>8</v>
      </c>
      <c r="F2039" t="s">
        <v>9</v>
      </c>
      <c r="G2039" t="s">
        <v>1471</v>
      </c>
      <c r="H2039" s="7">
        <v>725</v>
      </c>
    </row>
    <row r="2040" spans="1:8" x14ac:dyDescent="0.3">
      <c r="A2040">
        <v>9333</v>
      </c>
      <c r="B2040" t="s">
        <v>174</v>
      </c>
      <c r="C2040" t="s">
        <v>1112</v>
      </c>
      <c r="D2040" t="s">
        <v>1113</v>
      </c>
      <c r="E2040" t="s">
        <v>27</v>
      </c>
      <c r="F2040" t="s">
        <v>21</v>
      </c>
      <c r="G2040" t="s">
        <v>1114</v>
      </c>
      <c r="H2040" s="7">
        <v>90026</v>
      </c>
    </row>
    <row r="2041" spans="1:8" x14ac:dyDescent="0.3">
      <c r="A2041">
        <v>9335</v>
      </c>
      <c r="B2041" t="s">
        <v>5</v>
      </c>
      <c r="C2041" t="s">
        <v>776</v>
      </c>
      <c r="D2041" t="s">
        <v>107</v>
      </c>
      <c r="E2041" t="s">
        <v>8</v>
      </c>
      <c r="F2041" t="s">
        <v>9</v>
      </c>
      <c r="G2041" t="s">
        <v>5295</v>
      </c>
      <c r="H2041" s="7">
        <v>725</v>
      </c>
    </row>
    <row r="2042" spans="1:8" x14ac:dyDescent="0.3">
      <c r="A2042">
        <v>9343</v>
      </c>
      <c r="B2042" t="s">
        <v>3238</v>
      </c>
      <c r="C2042" t="s">
        <v>93</v>
      </c>
      <c r="D2042" t="s">
        <v>3239</v>
      </c>
      <c r="E2042" t="s">
        <v>8</v>
      </c>
      <c r="F2042" t="s">
        <v>1249</v>
      </c>
      <c r="G2042" t="s">
        <v>3240</v>
      </c>
      <c r="H2042" s="7">
        <v>67401</v>
      </c>
    </row>
    <row r="2043" spans="1:8" x14ac:dyDescent="0.3">
      <c r="A2043">
        <v>9348</v>
      </c>
      <c r="B2043" t="s">
        <v>1520</v>
      </c>
      <c r="C2043" t="s">
        <v>799</v>
      </c>
      <c r="D2043" t="s">
        <v>107</v>
      </c>
      <c r="E2043" t="s">
        <v>27</v>
      </c>
      <c r="F2043" t="s">
        <v>381</v>
      </c>
      <c r="G2043" t="s">
        <v>5004</v>
      </c>
      <c r="H2043" s="7">
        <v>49509</v>
      </c>
    </row>
    <row r="2044" spans="1:8" x14ac:dyDescent="0.3">
      <c r="A2044">
        <v>9352</v>
      </c>
      <c r="B2044" t="s">
        <v>2223</v>
      </c>
      <c r="C2044" t="s">
        <v>93</v>
      </c>
      <c r="D2044" t="s">
        <v>2224</v>
      </c>
      <c r="E2044" t="s">
        <v>27</v>
      </c>
      <c r="F2044" t="s">
        <v>21</v>
      </c>
      <c r="G2044" t="s">
        <v>2225</v>
      </c>
      <c r="H2044" s="7">
        <v>91733</v>
      </c>
    </row>
    <row r="2045" spans="1:8" x14ac:dyDescent="0.3">
      <c r="A2045">
        <v>9356</v>
      </c>
      <c r="B2045" t="s">
        <v>769</v>
      </c>
      <c r="C2045" t="s">
        <v>1718</v>
      </c>
      <c r="D2045" t="s">
        <v>1304</v>
      </c>
      <c r="E2045" t="s">
        <v>27</v>
      </c>
      <c r="F2045" t="s">
        <v>190</v>
      </c>
      <c r="G2045" t="s">
        <v>2274</v>
      </c>
      <c r="H2045" s="7">
        <v>85033</v>
      </c>
    </row>
    <row r="2046" spans="1:8" x14ac:dyDescent="0.3">
      <c r="A2046">
        <v>9358</v>
      </c>
      <c r="B2046" t="s">
        <v>5</v>
      </c>
      <c r="C2046" t="s">
        <v>93</v>
      </c>
      <c r="D2046" t="s">
        <v>107</v>
      </c>
      <c r="E2046" t="s">
        <v>27</v>
      </c>
      <c r="F2046" t="s">
        <v>9</v>
      </c>
      <c r="G2046" t="s">
        <v>4275</v>
      </c>
      <c r="H2046" s="7">
        <v>725</v>
      </c>
    </row>
    <row r="2047" spans="1:8" x14ac:dyDescent="0.3">
      <c r="A2047">
        <v>9364</v>
      </c>
      <c r="B2047" t="s">
        <v>2543</v>
      </c>
      <c r="C2047" t="s">
        <v>727</v>
      </c>
      <c r="D2047" t="s">
        <v>731</v>
      </c>
      <c r="E2047" t="s">
        <v>95</v>
      </c>
      <c r="F2047" t="s">
        <v>88</v>
      </c>
      <c r="G2047" t="s">
        <v>5583</v>
      </c>
      <c r="H2047" s="7">
        <v>11435</v>
      </c>
    </row>
    <row r="2048" spans="1:8" x14ac:dyDescent="0.3">
      <c r="A2048">
        <v>9367</v>
      </c>
      <c r="B2048" t="s">
        <v>638</v>
      </c>
      <c r="C2048" t="s">
        <v>1333</v>
      </c>
      <c r="D2048" t="s">
        <v>107</v>
      </c>
      <c r="E2048" t="s">
        <v>8</v>
      </c>
      <c r="F2048" t="s">
        <v>114</v>
      </c>
      <c r="G2048" t="s">
        <v>883</v>
      </c>
      <c r="H2048" s="7">
        <v>78586</v>
      </c>
    </row>
    <row r="2049" spans="1:8" x14ac:dyDescent="0.3">
      <c r="A2049">
        <v>9369</v>
      </c>
      <c r="B2049" t="s">
        <v>254</v>
      </c>
      <c r="C2049" t="s">
        <v>700</v>
      </c>
      <c r="D2049" t="s">
        <v>107</v>
      </c>
      <c r="E2049" t="s">
        <v>8</v>
      </c>
      <c r="F2049" t="s">
        <v>55</v>
      </c>
      <c r="G2049" t="s">
        <v>5464</v>
      </c>
      <c r="H2049" s="7">
        <v>60617</v>
      </c>
    </row>
    <row r="2050" spans="1:8" x14ac:dyDescent="0.3">
      <c r="A2050">
        <v>9372</v>
      </c>
      <c r="B2050" t="s">
        <v>5</v>
      </c>
      <c r="C2050" t="s">
        <v>787</v>
      </c>
      <c r="D2050" t="s">
        <v>3906</v>
      </c>
      <c r="E2050" t="s">
        <v>8</v>
      </c>
      <c r="F2050" t="s">
        <v>9</v>
      </c>
      <c r="G2050" t="s">
        <v>4518</v>
      </c>
      <c r="H2050" s="7">
        <v>725</v>
      </c>
    </row>
    <row r="2051" spans="1:8" x14ac:dyDescent="0.3">
      <c r="A2051">
        <v>9375</v>
      </c>
      <c r="B2051" t="s">
        <v>622</v>
      </c>
      <c r="C2051" t="s">
        <v>623</v>
      </c>
      <c r="D2051" t="s">
        <v>107</v>
      </c>
      <c r="E2051" t="s">
        <v>27</v>
      </c>
      <c r="F2051" t="s">
        <v>21</v>
      </c>
      <c r="G2051" t="s">
        <v>624</v>
      </c>
      <c r="H2051" s="7">
        <v>92691</v>
      </c>
    </row>
    <row r="2052" spans="1:8" x14ac:dyDescent="0.3">
      <c r="A2052">
        <v>9376</v>
      </c>
      <c r="B2052" t="s">
        <v>5</v>
      </c>
      <c r="C2052" t="s">
        <v>93</v>
      </c>
      <c r="D2052" t="s">
        <v>101</v>
      </c>
      <c r="E2052" t="s">
        <v>27</v>
      </c>
      <c r="F2052" t="s">
        <v>9</v>
      </c>
      <c r="G2052" t="s">
        <v>3273</v>
      </c>
      <c r="H2052" s="7">
        <v>725</v>
      </c>
    </row>
    <row r="2053" spans="1:8" x14ac:dyDescent="0.3">
      <c r="A2053">
        <v>9377</v>
      </c>
      <c r="B2053" t="s">
        <v>656</v>
      </c>
      <c r="C2053" t="s">
        <v>1546</v>
      </c>
      <c r="D2053" t="s">
        <v>1547</v>
      </c>
      <c r="E2053" t="s">
        <v>27</v>
      </c>
      <c r="F2053" t="s">
        <v>77</v>
      </c>
      <c r="G2053" t="s">
        <v>1548</v>
      </c>
      <c r="H2053" s="7">
        <v>19140</v>
      </c>
    </row>
    <row r="2054" spans="1:8" x14ac:dyDescent="0.3">
      <c r="A2054">
        <v>9379</v>
      </c>
      <c r="B2054" t="s">
        <v>392</v>
      </c>
      <c r="C2054" t="s">
        <v>93</v>
      </c>
      <c r="D2054" t="s">
        <v>107</v>
      </c>
      <c r="E2054" t="s">
        <v>8</v>
      </c>
      <c r="F2054" t="s">
        <v>21</v>
      </c>
      <c r="G2054" t="s">
        <v>3207</v>
      </c>
      <c r="H2054" s="7">
        <v>94014</v>
      </c>
    </row>
    <row r="2055" spans="1:8" x14ac:dyDescent="0.3">
      <c r="A2055">
        <v>9389</v>
      </c>
      <c r="B2055" t="s">
        <v>1313</v>
      </c>
      <c r="C2055" t="s">
        <v>1399</v>
      </c>
      <c r="D2055" t="s">
        <v>107</v>
      </c>
      <c r="E2055" t="s">
        <v>8</v>
      </c>
      <c r="F2055" t="s">
        <v>448</v>
      </c>
      <c r="G2055" t="s">
        <v>4445</v>
      </c>
      <c r="H2055" s="7">
        <v>33165</v>
      </c>
    </row>
    <row r="2056" spans="1:8" x14ac:dyDescent="0.3">
      <c r="A2056">
        <v>9396</v>
      </c>
      <c r="B2056" t="s">
        <v>451</v>
      </c>
      <c r="C2056" t="s">
        <v>272</v>
      </c>
      <c r="D2056" t="s">
        <v>107</v>
      </c>
      <c r="E2056" t="s">
        <v>8</v>
      </c>
      <c r="F2056" t="s">
        <v>21</v>
      </c>
      <c r="G2056" t="s">
        <v>4242</v>
      </c>
      <c r="H2056" s="7">
        <v>93905</v>
      </c>
    </row>
    <row r="2057" spans="1:8" x14ac:dyDescent="0.3">
      <c r="A2057">
        <v>9402</v>
      </c>
      <c r="B2057" t="s">
        <v>5</v>
      </c>
      <c r="C2057" t="s">
        <v>477</v>
      </c>
      <c r="D2057" t="s">
        <v>107</v>
      </c>
      <c r="E2057" t="s">
        <v>8</v>
      </c>
      <c r="F2057" t="s">
        <v>9</v>
      </c>
      <c r="G2057" t="s">
        <v>4471</v>
      </c>
      <c r="H2057" s="7">
        <v>725</v>
      </c>
    </row>
    <row r="2058" spans="1:8" x14ac:dyDescent="0.3">
      <c r="A2058">
        <v>9403</v>
      </c>
      <c r="B2058" t="s">
        <v>1850</v>
      </c>
      <c r="C2058" t="s">
        <v>93</v>
      </c>
      <c r="D2058" t="s">
        <v>3347</v>
      </c>
      <c r="E2058" t="s">
        <v>8</v>
      </c>
      <c r="F2058" t="s">
        <v>21</v>
      </c>
      <c r="G2058" t="s">
        <v>4790</v>
      </c>
      <c r="H2058" s="7">
        <v>92708</v>
      </c>
    </row>
    <row r="2059" spans="1:8" x14ac:dyDescent="0.3">
      <c r="A2059">
        <v>9405</v>
      </c>
      <c r="B2059" t="s">
        <v>1896</v>
      </c>
      <c r="C2059" t="s">
        <v>1169</v>
      </c>
      <c r="D2059" t="s">
        <v>107</v>
      </c>
      <c r="E2059" t="s">
        <v>8</v>
      </c>
      <c r="F2059" t="s">
        <v>1657</v>
      </c>
      <c r="G2059" t="s">
        <v>4722</v>
      </c>
      <c r="H2059" s="7">
        <v>6040</v>
      </c>
    </row>
    <row r="2060" spans="1:8" x14ac:dyDescent="0.3">
      <c r="A2060">
        <v>9408</v>
      </c>
      <c r="B2060" t="s">
        <v>254</v>
      </c>
      <c r="C2060" t="s">
        <v>93</v>
      </c>
      <c r="D2060" t="s">
        <v>667</v>
      </c>
      <c r="E2060" t="s">
        <v>8</v>
      </c>
      <c r="F2060" t="s">
        <v>55</v>
      </c>
      <c r="G2060" t="s">
        <v>958</v>
      </c>
      <c r="H2060" s="7">
        <v>60629</v>
      </c>
    </row>
    <row r="2061" spans="1:8" x14ac:dyDescent="0.3">
      <c r="A2061">
        <v>9409</v>
      </c>
      <c r="B2061" t="s">
        <v>3915</v>
      </c>
      <c r="C2061" t="s">
        <v>2124</v>
      </c>
      <c r="D2061" t="s">
        <v>107</v>
      </c>
      <c r="E2061" t="s">
        <v>95</v>
      </c>
      <c r="F2061" t="s">
        <v>88</v>
      </c>
      <c r="G2061" t="s">
        <v>5607</v>
      </c>
      <c r="H2061" s="7">
        <v>13440</v>
      </c>
    </row>
    <row r="2062" spans="1:8" x14ac:dyDescent="0.3">
      <c r="A2062">
        <v>9410</v>
      </c>
      <c r="B2062" t="s">
        <v>5</v>
      </c>
      <c r="C2062" t="s">
        <v>93</v>
      </c>
      <c r="D2062" t="s">
        <v>1416</v>
      </c>
      <c r="E2062" t="s">
        <v>95</v>
      </c>
      <c r="F2062" t="s">
        <v>9</v>
      </c>
      <c r="G2062" t="s">
        <v>4831</v>
      </c>
      <c r="H2062" s="7">
        <v>725</v>
      </c>
    </row>
    <row r="2063" spans="1:8" x14ac:dyDescent="0.3">
      <c r="A2063">
        <v>9418</v>
      </c>
      <c r="B2063" t="s">
        <v>5</v>
      </c>
      <c r="C2063" t="s">
        <v>790</v>
      </c>
      <c r="D2063" t="s">
        <v>3402</v>
      </c>
      <c r="E2063" t="s">
        <v>95</v>
      </c>
      <c r="F2063" t="s">
        <v>9</v>
      </c>
      <c r="G2063" t="s">
        <v>4823</v>
      </c>
      <c r="H2063" s="7">
        <v>725</v>
      </c>
    </row>
    <row r="2064" spans="1:8" x14ac:dyDescent="0.3">
      <c r="A2064">
        <v>9427</v>
      </c>
      <c r="B2064" t="s">
        <v>440</v>
      </c>
      <c r="C2064" t="s">
        <v>462</v>
      </c>
      <c r="D2064" t="s">
        <v>1315</v>
      </c>
      <c r="E2064" t="s">
        <v>8</v>
      </c>
      <c r="F2064" t="s">
        <v>114</v>
      </c>
      <c r="G2064" t="s">
        <v>1316</v>
      </c>
      <c r="H2064" s="7">
        <v>78201</v>
      </c>
    </row>
    <row r="2065" spans="1:8" x14ac:dyDescent="0.3">
      <c r="A2065">
        <v>9432</v>
      </c>
      <c r="B2065" t="s">
        <v>287</v>
      </c>
      <c r="C2065" t="s">
        <v>1103</v>
      </c>
      <c r="D2065" t="s">
        <v>107</v>
      </c>
      <c r="E2065" t="s">
        <v>27</v>
      </c>
      <c r="F2065" t="s">
        <v>114</v>
      </c>
      <c r="G2065" t="s">
        <v>1268</v>
      </c>
      <c r="H2065" s="7">
        <v>77479</v>
      </c>
    </row>
    <row r="2066" spans="1:8" x14ac:dyDescent="0.3">
      <c r="A2066">
        <v>9440</v>
      </c>
      <c r="B2066" t="s">
        <v>5</v>
      </c>
      <c r="C2066" t="s">
        <v>93</v>
      </c>
      <c r="D2066" t="s">
        <v>1357</v>
      </c>
      <c r="E2066" t="s">
        <v>8</v>
      </c>
      <c r="F2066" t="s">
        <v>9</v>
      </c>
      <c r="G2066" t="s">
        <v>1358</v>
      </c>
      <c r="H2066" s="7">
        <v>725</v>
      </c>
    </row>
    <row r="2067" spans="1:8" x14ac:dyDescent="0.3">
      <c r="A2067">
        <v>9448</v>
      </c>
      <c r="B2067" t="s">
        <v>293</v>
      </c>
      <c r="C2067" t="s">
        <v>1191</v>
      </c>
      <c r="D2067" t="s">
        <v>181</v>
      </c>
      <c r="E2067" t="s">
        <v>27</v>
      </c>
      <c r="F2067" t="s">
        <v>114</v>
      </c>
      <c r="G2067" t="s">
        <v>1008</v>
      </c>
      <c r="H2067" s="7">
        <v>75052</v>
      </c>
    </row>
    <row r="2068" spans="1:8" x14ac:dyDescent="0.3">
      <c r="A2068">
        <v>9450</v>
      </c>
      <c r="B2068" t="s">
        <v>2270</v>
      </c>
      <c r="C2068" t="s">
        <v>1714</v>
      </c>
      <c r="D2068" t="s">
        <v>2199</v>
      </c>
      <c r="E2068" t="s">
        <v>95</v>
      </c>
      <c r="F2068" t="s">
        <v>55</v>
      </c>
      <c r="G2068" t="s">
        <v>5632</v>
      </c>
      <c r="H2068" s="7">
        <v>60188</v>
      </c>
    </row>
    <row r="2069" spans="1:8" x14ac:dyDescent="0.3">
      <c r="A2069">
        <v>9451</v>
      </c>
      <c r="B2069" t="s">
        <v>5</v>
      </c>
      <c r="C2069" t="s">
        <v>93</v>
      </c>
      <c r="D2069" t="s">
        <v>107</v>
      </c>
      <c r="E2069" t="s">
        <v>95</v>
      </c>
      <c r="F2069" t="s">
        <v>9</v>
      </c>
      <c r="G2069" t="s">
        <v>2146</v>
      </c>
      <c r="H2069" s="7">
        <v>725</v>
      </c>
    </row>
    <row r="2070" spans="1:8" x14ac:dyDescent="0.3">
      <c r="A2070">
        <v>9453</v>
      </c>
      <c r="B2070" t="s">
        <v>5</v>
      </c>
      <c r="C2070" t="s">
        <v>895</v>
      </c>
      <c r="D2070" t="s">
        <v>2556</v>
      </c>
      <c r="E2070" t="s">
        <v>95</v>
      </c>
      <c r="F2070" t="s">
        <v>9</v>
      </c>
      <c r="G2070" t="s">
        <v>3529</v>
      </c>
      <c r="H2070" s="7">
        <v>725</v>
      </c>
    </row>
    <row r="2071" spans="1:8" x14ac:dyDescent="0.3">
      <c r="A2071">
        <v>9456</v>
      </c>
      <c r="B2071" t="s">
        <v>702</v>
      </c>
      <c r="C2071" t="s">
        <v>93</v>
      </c>
      <c r="D2071" t="s">
        <v>4810</v>
      </c>
      <c r="E2071" t="s">
        <v>8</v>
      </c>
      <c r="F2071" t="s">
        <v>88</v>
      </c>
      <c r="G2071" t="s">
        <v>4697</v>
      </c>
      <c r="H2071" s="7">
        <v>11419</v>
      </c>
    </row>
    <row r="2072" spans="1:8" x14ac:dyDescent="0.3">
      <c r="A2072">
        <v>9460</v>
      </c>
      <c r="B2072" t="s">
        <v>840</v>
      </c>
      <c r="C2072" t="s">
        <v>2002</v>
      </c>
      <c r="D2072" t="s">
        <v>107</v>
      </c>
      <c r="E2072" t="s">
        <v>27</v>
      </c>
      <c r="F2072" t="s">
        <v>248</v>
      </c>
      <c r="G2072" t="s">
        <v>2192</v>
      </c>
      <c r="H2072" s="7">
        <v>45014</v>
      </c>
    </row>
    <row r="2073" spans="1:8" x14ac:dyDescent="0.3">
      <c r="A2073">
        <v>9467</v>
      </c>
      <c r="B2073" t="s">
        <v>5</v>
      </c>
      <c r="C2073" t="s">
        <v>4007</v>
      </c>
      <c r="D2073" t="s">
        <v>2065</v>
      </c>
      <c r="E2073" t="s">
        <v>95</v>
      </c>
      <c r="F2073" t="s">
        <v>9</v>
      </c>
      <c r="G2073" t="s">
        <v>4008</v>
      </c>
      <c r="H2073" s="7">
        <v>725</v>
      </c>
    </row>
    <row r="2074" spans="1:8" x14ac:dyDescent="0.3">
      <c r="A2074">
        <v>9469</v>
      </c>
      <c r="B2074" t="s">
        <v>5</v>
      </c>
      <c r="C2074" t="s">
        <v>886</v>
      </c>
      <c r="D2074" t="s">
        <v>2906</v>
      </c>
      <c r="E2074" t="s">
        <v>27</v>
      </c>
      <c r="F2074" t="s">
        <v>9</v>
      </c>
      <c r="G2074" t="s">
        <v>4657</v>
      </c>
      <c r="H2074" s="7">
        <v>725</v>
      </c>
    </row>
    <row r="2075" spans="1:8" x14ac:dyDescent="0.3">
      <c r="A2075">
        <v>9473</v>
      </c>
      <c r="B2075" t="s">
        <v>5</v>
      </c>
      <c r="C2075" t="s">
        <v>738</v>
      </c>
      <c r="D2075" t="s">
        <v>107</v>
      </c>
      <c r="E2075" t="s">
        <v>8</v>
      </c>
      <c r="F2075" t="s">
        <v>9</v>
      </c>
      <c r="G2075" t="s">
        <v>3281</v>
      </c>
      <c r="H2075" s="7">
        <v>725</v>
      </c>
    </row>
    <row r="2076" spans="1:8" x14ac:dyDescent="0.3">
      <c r="A2076">
        <v>9480</v>
      </c>
      <c r="B2076" t="s">
        <v>1538</v>
      </c>
      <c r="C2076" t="s">
        <v>93</v>
      </c>
      <c r="D2076" t="s">
        <v>1829</v>
      </c>
      <c r="E2076" t="s">
        <v>8</v>
      </c>
      <c r="F2076" t="s">
        <v>21</v>
      </c>
      <c r="G2076" t="s">
        <v>1830</v>
      </c>
      <c r="H2076" s="7">
        <v>95822</v>
      </c>
    </row>
    <row r="2077" spans="1:8" x14ac:dyDescent="0.3">
      <c r="A2077">
        <v>9483</v>
      </c>
      <c r="B2077" t="s">
        <v>2915</v>
      </c>
      <c r="C2077" t="s">
        <v>1735</v>
      </c>
      <c r="D2077" t="s">
        <v>107</v>
      </c>
      <c r="E2077" t="s">
        <v>8</v>
      </c>
      <c r="F2077" t="s">
        <v>108</v>
      </c>
      <c r="G2077" t="s">
        <v>2016</v>
      </c>
      <c r="H2077" s="7">
        <v>97045</v>
      </c>
    </row>
    <row r="2078" spans="1:8" x14ac:dyDescent="0.3">
      <c r="A2078">
        <v>9484</v>
      </c>
      <c r="B2078" t="s">
        <v>5</v>
      </c>
      <c r="C2078" t="s">
        <v>93</v>
      </c>
      <c r="D2078" t="s">
        <v>837</v>
      </c>
      <c r="E2078" t="s">
        <v>8</v>
      </c>
      <c r="F2078" t="s">
        <v>9</v>
      </c>
      <c r="G2078" t="s">
        <v>4332</v>
      </c>
      <c r="H2078" s="7">
        <v>725</v>
      </c>
    </row>
    <row r="2079" spans="1:8" x14ac:dyDescent="0.3">
      <c r="A2079">
        <v>9489</v>
      </c>
      <c r="B2079" t="s">
        <v>1313</v>
      </c>
      <c r="C2079" t="s">
        <v>643</v>
      </c>
      <c r="D2079" t="s">
        <v>3320</v>
      </c>
      <c r="E2079" t="s">
        <v>27</v>
      </c>
      <c r="F2079" t="s">
        <v>448</v>
      </c>
      <c r="G2079" t="s">
        <v>5108</v>
      </c>
      <c r="H2079" s="7">
        <v>33147</v>
      </c>
    </row>
    <row r="2080" spans="1:8" x14ac:dyDescent="0.3">
      <c r="A2080">
        <v>9494</v>
      </c>
      <c r="B2080" t="s">
        <v>111</v>
      </c>
      <c r="C2080" t="s">
        <v>112</v>
      </c>
      <c r="D2080" t="s">
        <v>113</v>
      </c>
      <c r="E2080" t="s">
        <v>27</v>
      </c>
      <c r="F2080" t="s">
        <v>114</v>
      </c>
      <c r="G2080" t="s">
        <v>115</v>
      </c>
      <c r="H2080" s="7">
        <v>78840</v>
      </c>
    </row>
    <row r="2081" spans="1:8" x14ac:dyDescent="0.3">
      <c r="A2081">
        <v>9495</v>
      </c>
      <c r="B2081" t="s">
        <v>5</v>
      </c>
      <c r="C2081" t="s">
        <v>230</v>
      </c>
      <c r="D2081" t="s">
        <v>107</v>
      </c>
      <c r="E2081" t="s">
        <v>8</v>
      </c>
      <c r="F2081" t="s">
        <v>9</v>
      </c>
      <c r="G2081" t="s">
        <v>231</v>
      </c>
      <c r="H2081" s="7">
        <v>725</v>
      </c>
    </row>
    <row r="2082" spans="1:8" x14ac:dyDescent="0.3">
      <c r="A2082">
        <v>9501</v>
      </c>
      <c r="B2082" t="s">
        <v>5</v>
      </c>
      <c r="C2082" t="s">
        <v>711</v>
      </c>
      <c r="D2082" t="s">
        <v>107</v>
      </c>
      <c r="E2082" t="s">
        <v>8</v>
      </c>
      <c r="F2082" t="s">
        <v>9</v>
      </c>
      <c r="G2082" t="s">
        <v>4018</v>
      </c>
      <c r="H2082" s="7">
        <v>725</v>
      </c>
    </row>
    <row r="2083" spans="1:8" x14ac:dyDescent="0.3">
      <c r="A2083">
        <v>9502</v>
      </c>
      <c r="B2083" t="s">
        <v>1139</v>
      </c>
      <c r="C2083" t="s">
        <v>700</v>
      </c>
      <c r="D2083" t="s">
        <v>1565</v>
      </c>
      <c r="E2083" t="s">
        <v>95</v>
      </c>
      <c r="F2083" t="s">
        <v>114</v>
      </c>
      <c r="G2083" t="s">
        <v>3183</v>
      </c>
      <c r="H2083" s="7">
        <v>79924</v>
      </c>
    </row>
    <row r="2084" spans="1:8" x14ac:dyDescent="0.3">
      <c r="A2084">
        <v>9503</v>
      </c>
      <c r="B2084" t="s">
        <v>970</v>
      </c>
      <c r="C2084" t="s">
        <v>93</v>
      </c>
      <c r="D2084" t="s">
        <v>3325</v>
      </c>
      <c r="E2084" t="s">
        <v>95</v>
      </c>
      <c r="F2084" t="s">
        <v>448</v>
      </c>
      <c r="G2084" t="s">
        <v>5295</v>
      </c>
      <c r="H2084" s="7">
        <v>32822</v>
      </c>
    </row>
    <row r="2085" spans="1:8" x14ac:dyDescent="0.3">
      <c r="A2085">
        <v>9506</v>
      </c>
      <c r="B2085" t="s">
        <v>5</v>
      </c>
      <c r="C2085" t="s">
        <v>957</v>
      </c>
      <c r="D2085" t="s">
        <v>107</v>
      </c>
      <c r="E2085" t="s">
        <v>27</v>
      </c>
      <c r="F2085" t="s">
        <v>9</v>
      </c>
      <c r="G2085" t="s">
        <v>958</v>
      </c>
      <c r="H2085" s="7">
        <v>725</v>
      </c>
    </row>
    <row r="2086" spans="1:8" x14ac:dyDescent="0.3">
      <c r="A2086">
        <v>9519</v>
      </c>
      <c r="B2086" t="s">
        <v>5</v>
      </c>
      <c r="C2086" t="s">
        <v>93</v>
      </c>
      <c r="D2086" t="s">
        <v>842</v>
      </c>
      <c r="E2086" t="s">
        <v>8</v>
      </c>
      <c r="F2086" t="s">
        <v>9</v>
      </c>
      <c r="G2086" t="s">
        <v>1365</v>
      </c>
      <c r="H2086" s="7">
        <v>725</v>
      </c>
    </row>
    <row r="2087" spans="1:8" x14ac:dyDescent="0.3">
      <c r="A2087">
        <v>9520</v>
      </c>
      <c r="B2087" t="s">
        <v>4085</v>
      </c>
      <c r="C2087" t="s">
        <v>93</v>
      </c>
      <c r="D2087" t="s">
        <v>1081</v>
      </c>
      <c r="E2087" t="s">
        <v>8</v>
      </c>
      <c r="F2087" t="s">
        <v>21</v>
      </c>
      <c r="G2087" t="s">
        <v>5157</v>
      </c>
      <c r="H2087" s="7">
        <v>93277</v>
      </c>
    </row>
    <row r="2088" spans="1:8" x14ac:dyDescent="0.3">
      <c r="A2088">
        <v>9523</v>
      </c>
      <c r="B2088" t="s">
        <v>642</v>
      </c>
      <c r="C2088" t="s">
        <v>745</v>
      </c>
      <c r="D2088" t="s">
        <v>1351</v>
      </c>
      <c r="E2088" t="s">
        <v>8</v>
      </c>
      <c r="F2088" t="s">
        <v>21</v>
      </c>
      <c r="G2088" t="s">
        <v>3865</v>
      </c>
      <c r="H2088" s="7">
        <v>91352</v>
      </c>
    </row>
    <row r="2089" spans="1:8" x14ac:dyDescent="0.3">
      <c r="A2089">
        <v>9524</v>
      </c>
      <c r="B2089" t="s">
        <v>5</v>
      </c>
      <c r="C2089" t="s">
        <v>93</v>
      </c>
      <c r="D2089" t="s">
        <v>685</v>
      </c>
      <c r="E2089" t="s">
        <v>8</v>
      </c>
      <c r="F2089" t="s">
        <v>9</v>
      </c>
      <c r="G2089" t="s">
        <v>3636</v>
      </c>
      <c r="H2089" s="7">
        <v>725</v>
      </c>
    </row>
    <row r="2090" spans="1:8" x14ac:dyDescent="0.3">
      <c r="A2090">
        <v>9537</v>
      </c>
      <c r="B2090" t="s">
        <v>1108</v>
      </c>
      <c r="C2090" t="s">
        <v>1109</v>
      </c>
      <c r="D2090" t="s">
        <v>107</v>
      </c>
      <c r="E2090" t="s">
        <v>27</v>
      </c>
      <c r="F2090" t="s">
        <v>381</v>
      </c>
      <c r="G2090" t="s">
        <v>1110</v>
      </c>
      <c r="H2090" s="7">
        <v>48823</v>
      </c>
    </row>
    <row r="2091" spans="1:8" x14ac:dyDescent="0.3">
      <c r="A2091">
        <v>9544</v>
      </c>
      <c r="B2091" t="s">
        <v>5</v>
      </c>
      <c r="C2091" t="s">
        <v>1103</v>
      </c>
      <c r="D2091" t="s">
        <v>1506</v>
      </c>
      <c r="E2091" t="s">
        <v>95</v>
      </c>
      <c r="F2091" t="s">
        <v>9</v>
      </c>
      <c r="G2091" t="s">
        <v>4814</v>
      </c>
      <c r="H2091" s="7">
        <v>725</v>
      </c>
    </row>
    <row r="2092" spans="1:8" x14ac:dyDescent="0.3">
      <c r="A2092">
        <v>9548</v>
      </c>
      <c r="B2092" t="s">
        <v>2977</v>
      </c>
      <c r="C2092" t="s">
        <v>573</v>
      </c>
      <c r="D2092" t="s">
        <v>733</v>
      </c>
      <c r="E2092" t="s">
        <v>27</v>
      </c>
      <c r="F2092" t="s">
        <v>2978</v>
      </c>
      <c r="G2092" t="s">
        <v>4132</v>
      </c>
      <c r="H2092" s="7">
        <v>59102</v>
      </c>
    </row>
    <row r="2093" spans="1:8" x14ac:dyDescent="0.3">
      <c r="A2093">
        <v>9550</v>
      </c>
      <c r="B2093" t="s">
        <v>508</v>
      </c>
      <c r="C2093" t="s">
        <v>2281</v>
      </c>
      <c r="D2093" t="s">
        <v>107</v>
      </c>
      <c r="E2093" t="s">
        <v>8</v>
      </c>
      <c r="F2093" t="s">
        <v>114</v>
      </c>
      <c r="G2093" t="s">
        <v>554</v>
      </c>
      <c r="H2093" s="7">
        <v>75228</v>
      </c>
    </row>
    <row r="2094" spans="1:8" x14ac:dyDescent="0.3">
      <c r="A2094">
        <v>9552</v>
      </c>
      <c r="B2094" t="s">
        <v>862</v>
      </c>
      <c r="C2094" t="s">
        <v>491</v>
      </c>
      <c r="D2094" t="s">
        <v>4732</v>
      </c>
      <c r="E2094" t="s">
        <v>95</v>
      </c>
      <c r="F2094" t="s">
        <v>478</v>
      </c>
      <c r="G2094" t="s">
        <v>5597</v>
      </c>
      <c r="H2094" s="7">
        <v>89110</v>
      </c>
    </row>
    <row r="2095" spans="1:8" x14ac:dyDescent="0.3">
      <c r="A2095">
        <v>9558</v>
      </c>
      <c r="B2095" t="s">
        <v>5</v>
      </c>
      <c r="C2095" t="s">
        <v>727</v>
      </c>
      <c r="D2095" t="s">
        <v>2183</v>
      </c>
      <c r="E2095" t="s">
        <v>8</v>
      </c>
      <c r="F2095" t="s">
        <v>9</v>
      </c>
      <c r="G2095" t="s">
        <v>4603</v>
      </c>
      <c r="H2095" s="7">
        <v>725</v>
      </c>
    </row>
    <row r="2096" spans="1:8" x14ac:dyDescent="0.3">
      <c r="A2096">
        <v>9559</v>
      </c>
      <c r="B2096" t="s">
        <v>508</v>
      </c>
      <c r="C2096" t="s">
        <v>601</v>
      </c>
      <c r="D2096" t="s">
        <v>107</v>
      </c>
      <c r="E2096" t="s">
        <v>8</v>
      </c>
      <c r="F2096" t="s">
        <v>114</v>
      </c>
      <c r="G2096" t="s">
        <v>3006</v>
      </c>
      <c r="H2096" s="7">
        <v>75211</v>
      </c>
    </row>
    <row r="2097" spans="1:8" x14ac:dyDescent="0.3">
      <c r="A2097">
        <v>9563</v>
      </c>
      <c r="B2097" t="s">
        <v>18</v>
      </c>
      <c r="C2097" t="s">
        <v>1851</v>
      </c>
      <c r="D2097" t="s">
        <v>2231</v>
      </c>
      <c r="E2097" t="s">
        <v>27</v>
      </c>
      <c r="F2097" t="s">
        <v>21</v>
      </c>
      <c r="G2097" t="s">
        <v>1346</v>
      </c>
      <c r="H2097" s="7">
        <v>95122</v>
      </c>
    </row>
    <row r="2098" spans="1:8" x14ac:dyDescent="0.3">
      <c r="A2098">
        <v>9565</v>
      </c>
      <c r="B2098" t="s">
        <v>5</v>
      </c>
      <c r="C2098" t="s">
        <v>886</v>
      </c>
      <c r="D2098" t="s">
        <v>2162</v>
      </c>
      <c r="E2098" t="s">
        <v>27</v>
      </c>
      <c r="F2098" t="s">
        <v>9</v>
      </c>
      <c r="G2098" t="s">
        <v>4781</v>
      </c>
      <c r="H2098" s="7">
        <v>725</v>
      </c>
    </row>
    <row r="2099" spans="1:8" x14ac:dyDescent="0.3">
      <c r="A2099">
        <v>9569</v>
      </c>
      <c r="B2099" t="s">
        <v>1672</v>
      </c>
      <c r="C2099" t="s">
        <v>93</v>
      </c>
      <c r="D2099" t="s">
        <v>107</v>
      </c>
      <c r="E2099" t="s">
        <v>8</v>
      </c>
      <c r="F2099" t="s">
        <v>21</v>
      </c>
      <c r="G2099" t="s">
        <v>4981</v>
      </c>
      <c r="H2099" s="7">
        <v>94558</v>
      </c>
    </row>
    <row r="2100" spans="1:8" x14ac:dyDescent="0.3">
      <c r="A2100">
        <v>9571</v>
      </c>
      <c r="B2100" t="s">
        <v>835</v>
      </c>
      <c r="C2100" t="s">
        <v>499</v>
      </c>
      <c r="D2100" t="s">
        <v>107</v>
      </c>
      <c r="E2100" t="s">
        <v>8</v>
      </c>
      <c r="F2100" t="s">
        <v>242</v>
      </c>
      <c r="G2100" t="s">
        <v>836</v>
      </c>
      <c r="H2100" s="7">
        <v>20783</v>
      </c>
    </row>
    <row r="2101" spans="1:8" x14ac:dyDescent="0.3">
      <c r="A2101">
        <v>9574</v>
      </c>
      <c r="B2101" t="s">
        <v>5</v>
      </c>
      <c r="C2101" t="s">
        <v>93</v>
      </c>
      <c r="D2101" t="s">
        <v>107</v>
      </c>
      <c r="E2101" t="s">
        <v>8</v>
      </c>
      <c r="F2101" t="s">
        <v>9</v>
      </c>
      <c r="G2101" t="s">
        <v>2350</v>
      </c>
      <c r="H2101" s="7">
        <v>725</v>
      </c>
    </row>
    <row r="2102" spans="1:8" x14ac:dyDescent="0.3">
      <c r="A2102">
        <v>9575</v>
      </c>
      <c r="B2102" t="s">
        <v>331</v>
      </c>
      <c r="C2102" t="s">
        <v>417</v>
      </c>
      <c r="D2102" t="s">
        <v>1887</v>
      </c>
      <c r="E2102" t="s">
        <v>8</v>
      </c>
      <c r="F2102" t="s">
        <v>21</v>
      </c>
      <c r="G2102" t="s">
        <v>5234</v>
      </c>
      <c r="H2102" s="7">
        <v>91702</v>
      </c>
    </row>
    <row r="2103" spans="1:8" x14ac:dyDescent="0.3">
      <c r="A2103">
        <v>9580</v>
      </c>
      <c r="B2103" t="s">
        <v>862</v>
      </c>
      <c r="C2103" t="s">
        <v>93</v>
      </c>
      <c r="D2103" t="s">
        <v>2137</v>
      </c>
      <c r="E2103" t="s">
        <v>8</v>
      </c>
      <c r="F2103" t="s">
        <v>478</v>
      </c>
      <c r="G2103" t="s">
        <v>2138</v>
      </c>
      <c r="H2103" s="7">
        <v>89123</v>
      </c>
    </row>
    <row r="2104" spans="1:8" x14ac:dyDescent="0.3">
      <c r="A2104">
        <v>9586</v>
      </c>
      <c r="B2104" t="s">
        <v>5</v>
      </c>
      <c r="C2104" t="s">
        <v>93</v>
      </c>
      <c r="D2104" t="s">
        <v>3441</v>
      </c>
      <c r="E2104" t="s">
        <v>8</v>
      </c>
      <c r="F2104" t="s">
        <v>9</v>
      </c>
      <c r="G2104" t="s">
        <v>3442</v>
      </c>
      <c r="H2104" s="7">
        <v>725</v>
      </c>
    </row>
    <row r="2105" spans="1:8" x14ac:dyDescent="0.3">
      <c r="A2105">
        <v>9590</v>
      </c>
      <c r="B2105" t="s">
        <v>5</v>
      </c>
      <c r="C2105" t="s">
        <v>1399</v>
      </c>
      <c r="D2105" t="s">
        <v>107</v>
      </c>
      <c r="E2105" t="s">
        <v>8</v>
      </c>
      <c r="F2105" t="s">
        <v>9</v>
      </c>
      <c r="G2105" t="s">
        <v>4861</v>
      </c>
      <c r="H2105" s="7">
        <v>725</v>
      </c>
    </row>
    <row r="2106" spans="1:8" x14ac:dyDescent="0.3">
      <c r="A2106">
        <v>9593</v>
      </c>
      <c r="B2106" t="s">
        <v>5</v>
      </c>
      <c r="C2106" t="s">
        <v>589</v>
      </c>
      <c r="D2106" t="s">
        <v>2857</v>
      </c>
      <c r="E2106" t="s">
        <v>8</v>
      </c>
      <c r="F2106" t="s">
        <v>9</v>
      </c>
      <c r="G2106" t="s">
        <v>4574</v>
      </c>
      <c r="H2106" s="7">
        <v>725</v>
      </c>
    </row>
    <row r="2107" spans="1:8" x14ac:dyDescent="0.3">
      <c r="A2107">
        <v>9596</v>
      </c>
      <c r="B2107" t="s">
        <v>1938</v>
      </c>
      <c r="C2107" t="s">
        <v>93</v>
      </c>
      <c r="D2107" t="s">
        <v>107</v>
      </c>
      <c r="E2107" t="s">
        <v>8</v>
      </c>
      <c r="F2107" t="s">
        <v>21</v>
      </c>
      <c r="G2107" t="s">
        <v>5402</v>
      </c>
      <c r="H2107" s="7">
        <v>92025</v>
      </c>
    </row>
    <row r="2108" spans="1:8" x14ac:dyDescent="0.3">
      <c r="A2108">
        <v>9598</v>
      </c>
      <c r="B2108" t="s">
        <v>670</v>
      </c>
      <c r="C2108" t="s">
        <v>93</v>
      </c>
      <c r="D2108" t="s">
        <v>1840</v>
      </c>
      <c r="E2108" t="s">
        <v>95</v>
      </c>
      <c r="F2108" t="s">
        <v>55</v>
      </c>
      <c r="G2108" t="s">
        <v>5568</v>
      </c>
      <c r="H2108" s="7">
        <v>60126</v>
      </c>
    </row>
    <row r="2109" spans="1:8" x14ac:dyDescent="0.3">
      <c r="A2109">
        <v>9602</v>
      </c>
      <c r="B2109" t="s">
        <v>5</v>
      </c>
      <c r="C2109" t="s">
        <v>488</v>
      </c>
      <c r="D2109" t="s">
        <v>107</v>
      </c>
      <c r="E2109" t="s">
        <v>95</v>
      </c>
      <c r="F2109" t="s">
        <v>9</v>
      </c>
      <c r="G2109" t="s">
        <v>489</v>
      </c>
      <c r="H2109" s="7">
        <v>725</v>
      </c>
    </row>
    <row r="2110" spans="1:8" x14ac:dyDescent="0.3">
      <c r="A2110">
        <v>9610</v>
      </c>
      <c r="B2110" t="s">
        <v>40</v>
      </c>
      <c r="C2110" t="s">
        <v>2619</v>
      </c>
      <c r="D2110" t="s">
        <v>107</v>
      </c>
      <c r="E2110" t="s">
        <v>27</v>
      </c>
      <c r="F2110" t="s">
        <v>21</v>
      </c>
      <c r="G2110" t="s">
        <v>2620</v>
      </c>
      <c r="H2110" s="7">
        <v>93536</v>
      </c>
    </row>
    <row r="2111" spans="1:8" x14ac:dyDescent="0.3">
      <c r="A2111">
        <v>9612</v>
      </c>
      <c r="B2111" t="s">
        <v>5</v>
      </c>
      <c r="C2111" t="s">
        <v>1422</v>
      </c>
      <c r="D2111" t="s">
        <v>1802</v>
      </c>
      <c r="E2111" t="s">
        <v>27</v>
      </c>
      <c r="F2111" t="s">
        <v>9</v>
      </c>
      <c r="G2111" t="s">
        <v>1498</v>
      </c>
      <c r="H2111" s="7">
        <v>725</v>
      </c>
    </row>
    <row r="2112" spans="1:8" x14ac:dyDescent="0.3">
      <c r="A2112">
        <v>9614</v>
      </c>
      <c r="B2112" t="s">
        <v>2117</v>
      </c>
      <c r="C2112" t="s">
        <v>711</v>
      </c>
      <c r="D2112" t="s">
        <v>1622</v>
      </c>
      <c r="E2112" t="s">
        <v>8</v>
      </c>
      <c r="F2112" t="s">
        <v>21</v>
      </c>
      <c r="G2112" t="s">
        <v>2118</v>
      </c>
      <c r="H2112" s="7">
        <v>91770</v>
      </c>
    </row>
    <row r="2113" spans="1:8" x14ac:dyDescent="0.3">
      <c r="A2113">
        <v>9617</v>
      </c>
      <c r="B2113" t="s">
        <v>174</v>
      </c>
      <c r="C2113" t="s">
        <v>93</v>
      </c>
      <c r="D2113" t="s">
        <v>2195</v>
      </c>
      <c r="E2113" t="s">
        <v>8</v>
      </c>
      <c r="F2113" t="s">
        <v>21</v>
      </c>
      <c r="G2113" t="s">
        <v>5409</v>
      </c>
      <c r="H2113" s="7">
        <v>90034</v>
      </c>
    </row>
    <row r="2114" spans="1:8" x14ac:dyDescent="0.3">
      <c r="A2114">
        <v>9618</v>
      </c>
      <c r="B2114" t="s">
        <v>1482</v>
      </c>
      <c r="C2114" t="s">
        <v>795</v>
      </c>
      <c r="D2114" t="s">
        <v>819</v>
      </c>
      <c r="E2114" t="s">
        <v>8</v>
      </c>
      <c r="F2114" t="s">
        <v>448</v>
      </c>
      <c r="G2114" t="s">
        <v>3000</v>
      </c>
      <c r="H2114" s="7">
        <v>33511</v>
      </c>
    </row>
    <row r="2115" spans="1:8" x14ac:dyDescent="0.3">
      <c r="A2115">
        <v>9619</v>
      </c>
      <c r="B2115" t="s">
        <v>5</v>
      </c>
      <c r="C2115" t="s">
        <v>93</v>
      </c>
      <c r="D2115" t="s">
        <v>107</v>
      </c>
      <c r="E2115" t="s">
        <v>8</v>
      </c>
      <c r="F2115" t="s">
        <v>9</v>
      </c>
      <c r="G2115" t="s">
        <v>2439</v>
      </c>
      <c r="H2115" s="7">
        <v>725</v>
      </c>
    </row>
    <row r="2116" spans="1:8" x14ac:dyDescent="0.3">
      <c r="A2116">
        <v>9628</v>
      </c>
      <c r="B2116" t="s">
        <v>5</v>
      </c>
      <c r="C2116" t="s">
        <v>251</v>
      </c>
      <c r="D2116" t="s">
        <v>3154</v>
      </c>
      <c r="E2116" t="s">
        <v>8</v>
      </c>
      <c r="F2116" t="s">
        <v>9</v>
      </c>
      <c r="G2116" t="s">
        <v>3612</v>
      </c>
      <c r="H2116" s="7">
        <v>725</v>
      </c>
    </row>
    <row r="2117" spans="1:8" x14ac:dyDescent="0.3">
      <c r="A2117">
        <v>9630</v>
      </c>
      <c r="B2117" t="s">
        <v>5</v>
      </c>
      <c r="C2117" t="s">
        <v>93</v>
      </c>
      <c r="D2117" t="s">
        <v>679</v>
      </c>
      <c r="E2117" t="s">
        <v>8</v>
      </c>
      <c r="F2117" t="s">
        <v>9</v>
      </c>
      <c r="G2117" t="s">
        <v>5624</v>
      </c>
      <c r="H2117" s="7">
        <v>725</v>
      </c>
    </row>
    <row r="2118" spans="1:8" x14ac:dyDescent="0.3">
      <c r="A2118">
        <v>9639</v>
      </c>
      <c r="B2118" t="s">
        <v>1664</v>
      </c>
      <c r="C2118" t="s">
        <v>93</v>
      </c>
      <c r="D2118" t="s">
        <v>107</v>
      </c>
      <c r="E2118" t="s">
        <v>95</v>
      </c>
      <c r="F2118" t="s">
        <v>172</v>
      </c>
      <c r="G2118" t="s">
        <v>2748</v>
      </c>
      <c r="H2118" s="7">
        <v>63031</v>
      </c>
    </row>
    <row r="2119" spans="1:8" x14ac:dyDescent="0.3">
      <c r="A2119">
        <v>9646</v>
      </c>
      <c r="B2119" t="s">
        <v>1688</v>
      </c>
      <c r="C2119" t="s">
        <v>93</v>
      </c>
      <c r="D2119" t="s">
        <v>3661</v>
      </c>
      <c r="E2119" t="s">
        <v>8</v>
      </c>
      <c r="F2119" t="s">
        <v>114</v>
      </c>
      <c r="G2119" t="s">
        <v>4477</v>
      </c>
      <c r="H2119" s="7">
        <v>78040</v>
      </c>
    </row>
    <row r="2120" spans="1:8" x14ac:dyDescent="0.3">
      <c r="A2120">
        <v>9647</v>
      </c>
      <c r="B2120" t="s">
        <v>5</v>
      </c>
      <c r="C2120" t="s">
        <v>891</v>
      </c>
      <c r="D2120" t="s">
        <v>2065</v>
      </c>
      <c r="E2120" t="s">
        <v>95</v>
      </c>
      <c r="F2120" t="s">
        <v>9</v>
      </c>
      <c r="G2120" t="s">
        <v>5305</v>
      </c>
      <c r="H2120" s="7">
        <v>725</v>
      </c>
    </row>
    <row r="2121" spans="1:8" x14ac:dyDescent="0.3">
      <c r="A2121">
        <v>9648</v>
      </c>
      <c r="B2121" t="s">
        <v>215</v>
      </c>
      <c r="C2121" t="s">
        <v>93</v>
      </c>
      <c r="D2121" t="s">
        <v>679</v>
      </c>
      <c r="E2121" t="s">
        <v>95</v>
      </c>
      <c r="F2121" t="s">
        <v>190</v>
      </c>
      <c r="G2121" t="s">
        <v>5035</v>
      </c>
      <c r="H2121" s="7">
        <v>85201</v>
      </c>
    </row>
    <row r="2122" spans="1:8" x14ac:dyDescent="0.3">
      <c r="A2122">
        <v>9666</v>
      </c>
      <c r="B2122" t="s">
        <v>677</v>
      </c>
      <c r="C2122" t="s">
        <v>93</v>
      </c>
      <c r="D2122" t="s">
        <v>739</v>
      </c>
      <c r="E2122" t="s">
        <v>8</v>
      </c>
      <c r="F2122" t="s">
        <v>114</v>
      </c>
      <c r="G2122" t="s">
        <v>2161</v>
      </c>
      <c r="H2122" s="7">
        <v>77840</v>
      </c>
    </row>
    <row r="2123" spans="1:8" x14ac:dyDescent="0.3">
      <c r="A2123">
        <v>9667</v>
      </c>
      <c r="B2123" t="s">
        <v>195</v>
      </c>
      <c r="C2123" t="s">
        <v>799</v>
      </c>
      <c r="D2123" t="s">
        <v>1636</v>
      </c>
      <c r="E2123" t="s">
        <v>8</v>
      </c>
      <c r="F2123" t="s">
        <v>21</v>
      </c>
      <c r="G2123" t="s">
        <v>3707</v>
      </c>
      <c r="H2123" s="7">
        <v>92843</v>
      </c>
    </row>
    <row r="2124" spans="1:8" x14ac:dyDescent="0.3">
      <c r="A2124">
        <v>9669</v>
      </c>
      <c r="B2124" t="s">
        <v>2170</v>
      </c>
      <c r="C2124" t="s">
        <v>1321</v>
      </c>
      <c r="D2124" t="s">
        <v>107</v>
      </c>
      <c r="E2124" t="s">
        <v>8</v>
      </c>
      <c r="F2124" t="s">
        <v>248</v>
      </c>
      <c r="G2124" t="s">
        <v>5158</v>
      </c>
      <c r="H2124" s="7">
        <v>44120</v>
      </c>
    </row>
    <row r="2125" spans="1:8" x14ac:dyDescent="0.3">
      <c r="A2125">
        <v>9676</v>
      </c>
      <c r="B2125" t="s">
        <v>5</v>
      </c>
      <c r="C2125" t="s">
        <v>859</v>
      </c>
      <c r="D2125" t="s">
        <v>107</v>
      </c>
      <c r="E2125" t="s">
        <v>27</v>
      </c>
      <c r="F2125" t="s">
        <v>9</v>
      </c>
      <c r="G2125" t="s">
        <v>3821</v>
      </c>
      <c r="H2125" s="7">
        <v>725</v>
      </c>
    </row>
    <row r="2126" spans="1:8" x14ac:dyDescent="0.3">
      <c r="A2126">
        <v>9683</v>
      </c>
      <c r="B2126" t="s">
        <v>2106</v>
      </c>
      <c r="C2126" t="s">
        <v>93</v>
      </c>
      <c r="D2126" t="s">
        <v>1936</v>
      </c>
      <c r="E2126" t="s">
        <v>27</v>
      </c>
      <c r="F2126" t="s">
        <v>21</v>
      </c>
      <c r="G2126" t="s">
        <v>2247</v>
      </c>
      <c r="H2126" s="7">
        <v>92509</v>
      </c>
    </row>
    <row r="2127" spans="1:8" x14ac:dyDescent="0.3">
      <c r="A2127">
        <v>9686</v>
      </c>
      <c r="B2127" t="s">
        <v>66</v>
      </c>
      <c r="C2127" t="s">
        <v>397</v>
      </c>
      <c r="D2127" t="s">
        <v>1587</v>
      </c>
      <c r="E2127" t="s">
        <v>8</v>
      </c>
      <c r="F2127" t="s">
        <v>55</v>
      </c>
      <c r="G2127" t="s">
        <v>4692</v>
      </c>
      <c r="H2127" s="7">
        <v>60187</v>
      </c>
    </row>
    <row r="2128" spans="1:8" x14ac:dyDescent="0.3">
      <c r="A2128">
        <v>9689</v>
      </c>
      <c r="B2128" t="s">
        <v>5</v>
      </c>
      <c r="C2128" t="s">
        <v>93</v>
      </c>
      <c r="D2128" t="s">
        <v>1081</v>
      </c>
      <c r="E2128" t="s">
        <v>27</v>
      </c>
      <c r="F2128" t="s">
        <v>9</v>
      </c>
      <c r="G2128" t="s">
        <v>4548</v>
      </c>
      <c r="H2128" s="7">
        <v>725</v>
      </c>
    </row>
    <row r="2129" spans="1:8" x14ac:dyDescent="0.3">
      <c r="A2129">
        <v>9693</v>
      </c>
      <c r="B2129" t="s">
        <v>1213</v>
      </c>
      <c r="C2129" t="s">
        <v>93</v>
      </c>
      <c r="D2129" t="s">
        <v>2702</v>
      </c>
      <c r="E2129" t="s">
        <v>8</v>
      </c>
      <c r="F2129" t="s">
        <v>114</v>
      </c>
      <c r="G2129" t="s">
        <v>56</v>
      </c>
      <c r="H2129" s="7">
        <v>75080</v>
      </c>
    </row>
    <row r="2130" spans="1:8" x14ac:dyDescent="0.3">
      <c r="A2130">
        <v>9696</v>
      </c>
      <c r="B2130" t="s">
        <v>5</v>
      </c>
      <c r="C2130" t="s">
        <v>93</v>
      </c>
      <c r="D2130" t="s">
        <v>107</v>
      </c>
      <c r="E2130" t="s">
        <v>95</v>
      </c>
      <c r="F2130" t="s">
        <v>9</v>
      </c>
      <c r="G2130" t="s">
        <v>4549</v>
      </c>
      <c r="H2130" s="7">
        <v>725</v>
      </c>
    </row>
    <row r="2131" spans="1:8" x14ac:dyDescent="0.3">
      <c r="A2131">
        <v>9706</v>
      </c>
      <c r="B2131" t="s">
        <v>5</v>
      </c>
      <c r="C2131" t="s">
        <v>886</v>
      </c>
      <c r="D2131" t="s">
        <v>1873</v>
      </c>
      <c r="E2131" t="s">
        <v>95</v>
      </c>
      <c r="F2131" t="s">
        <v>9</v>
      </c>
      <c r="G2131" t="s">
        <v>634</v>
      </c>
      <c r="H2131" s="7">
        <v>725</v>
      </c>
    </row>
    <row r="2132" spans="1:8" x14ac:dyDescent="0.3">
      <c r="A2132">
        <v>9708</v>
      </c>
      <c r="B2132" t="s">
        <v>174</v>
      </c>
      <c r="C2132" t="s">
        <v>106</v>
      </c>
      <c r="D2132" t="s">
        <v>107</v>
      </c>
      <c r="E2132" t="s">
        <v>95</v>
      </c>
      <c r="F2132" t="s">
        <v>21</v>
      </c>
      <c r="G2132" t="s">
        <v>3722</v>
      </c>
      <c r="H2132" s="7">
        <v>90026</v>
      </c>
    </row>
    <row r="2133" spans="1:8" x14ac:dyDescent="0.3">
      <c r="A2133">
        <v>9713</v>
      </c>
      <c r="B2133" t="s">
        <v>493</v>
      </c>
      <c r="C2133" t="s">
        <v>93</v>
      </c>
      <c r="D2133" t="s">
        <v>107</v>
      </c>
      <c r="E2133" t="s">
        <v>95</v>
      </c>
      <c r="F2133" t="s">
        <v>55</v>
      </c>
      <c r="G2133" t="s">
        <v>494</v>
      </c>
      <c r="H2133" s="7">
        <v>60440</v>
      </c>
    </row>
    <row r="2134" spans="1:8" x14ac:dyDescent="0.3">
      <c r="A2134">
        <v>9717</v>
      </c>
      <c r="B2134" t="s">
        <v>5</v>
      </c>
      <c r="C2134" t="s">
        <v>795</v>
      </c>
      <c r="D2134" t="s">
        <v>107</v>
      </c>
      <c r="E2134" t="s">
        <v>27</v>
      </c>
      <c r="F2134" t="s">
        <v>9</v>
      </c>
      <c r="G2134" t="s">
        <v>2557</v>
      </c>
      <c r="H2134" s="7">
        <v>725</v>
      </c>
    </row>
    <row r="2135" spans="1:8" x14ac:dyDescent="0.3">
      <c r="A2135">
        <v>9719</v>
      </c>
      <c r="B2135" t="s">
        <v>3136</v>
      </c>
      <c r="C2135" t="s">
        <v>417</v>
      </c>
      <c r="D2135" t="s">
        <v>107</v>
      </c>
      <c r="E2135" t="s">
        <v>95</v>
      </c>
      <c r="F2135" t="s">
        <v>140</v>
      </c>
      <c r="G2135" t="s">
        <v>4726</v>
      </c>
      <c r="H2135" s="7">
        <v>30080</v>
      </c>
    </row>
    <row r="2136" spans="1:8" x14ac:dyDescent="0.3">
      <c r="A2136">
        <v>9727</v>
      </c>
      <c r="B2136" t="s">
        <v>254</v>
      </c>
      <c r="C2136" t="s">
        <v>93</v>
      </c>
      <c r="D2136" t="s">
        <v>2757</v>
      </c>
      <c r="E2136" t="s">
        <v>95</v>
      </c>
      <c r="F2136" t="s">
        <v>55</v>
      </c>
      <c r="G2136" t="s">
        <v>2758</v>
      </c>
      <c r="H2136" s="7">
        <v>60626</v>
      </c>
    </row>
    <row r="2137" spans="1:8" x14ac:dyDescent="0.3">
      <c r="A2137">
        <v>9739</v>
      </c>
      <c r="B2137" t="s">
        <v>5</v>
      </c>
      <c r="C2137" t="s">
        <v>913</v>
      </c>
      <c r="D2137" t="s">
        <v>4827</v>
      </c>
      <c r="E2137" t="s">
        <v>27</v>
      </c>
      <c r="F2137" t="s">
        <v>9</v>
      </c>
      <c r="G2137" t="s">
        <v>5344</v>
      </c>
      <c r="H2137" s="7">
        <v>725</v>
      </c>
    </row>
    <row r="2138" spans="1:8" x14ac:dyDescent="0.3">
      <c r="A2138">
        <v>9741</v>
      </c>
      <c r="B2138" t="s">
        <v>5</v>
      </c>
      <c r="C2138" t="s">
        <v>4039</v>
      </c>
      <c r="D2138" t="s">
        <v>800</v>
      </c>
      <c r="E2138" t="s">
        <v>27</v>
      </c>
      <c r="F2138" t="s">
        <v>9</v>
      </c>
      <c r="G2138" t="s">
        <v>4904</v>
      </c>
      <c r="H2138" s="7">
        <v>725</v>
      </c>
    </row>
    <row r="2139" spans="1:8" x14ac:dyDescent="0.3">
      <c r="A2139">
        <v>9745</v>
      </c>
      <c r="B2139" t="s">
        <v>5</v>
      </c>
      <c r="C2139" t="s">
        <v>738</v>
      </c>
      <c r="D2139" t="s">
        <v>107</v>
      </c>
      <c r="E2139" t="s">
        <v>95</v>
      </c>
      <c r="F2139" t="s">
        <v>9</v>
      </c>
      <c r="G2139" t="s">
        <v>5215</v>
      </c>
      <c r="H2139" s="7">
        <v>725</v>
      </c>
    </row>
    <row r="2140" spans="1:8" x14ac:dyDescent="0.3">
      <c r="A2140">
        <v>9748</v>
      </c>
      <c r="B2140" t="s">
        <v>1092</v>
      </c>
      <c r="C2140" t="s">
        <v>93</v>
      </c>
      <c r="D2140" t="s">
        <v>107</v>
      </c>
      <c r="E2140" t="s">
        <v>8</v>
      </c>
      <c r="F2140" t="s">
        <v>448</v>
      </c>
      <c r="G2140" t="s">
        <v>1912</v>
      </c>
      <c r="H2140" s="7">
        <v>33614</v>
      </c>
    </row>
    <row r="2141" spans="1:8" x14ac:dyDescent="0.3">
      <c r="A2141">
        <v>9749</v>
      </c>
      <c r="B2141" t="s">
        <v>5</v>
      </c>
      <c r="C2141" t="s">
        <v>3108</v>
      </c>
      <c r="D2141" t="s">
        <v>2981</v>
      </c>
      <c r="E2141" t="s">
        <v>8</v>
      </c>
      <c r="F2141" t="s">
        <v>9</v>
      </c>
      <c r="G2141" t="s">
        <v>3668</v>
      </c>
      <c r="H2141" s="7">
        <v>725</v>
      </c>
    </row>
    <row r="2142" spans="1:8" x14ac:dyDescent="0.3">
      <c r="A2142">
        <v>9750</v>
      </c>
      <c r="B2142" t="s">
        <v>1698</v>
      </c>
      <c r="C2142" t="s">
        <v>93</v>
      </c>
      <c r="D2142" t="s">
        <v>107</v>
      </c>
      <c r="E2142" t="s">
        <v>8</v>
      </c>
      <c r="F2142" t="s">
        <v>88</v>
      </c>
      <c r="G2142" t="s">
        <v>5150</v>
      </c>
      <c r="H2142" s="7">
        <v>11377</v>
      </c>
    </row>
    <row r="2143" spans="1:8" x14ac:dyDescent="0.3">
      <c r="A2143">
        <v>9758</v>
      </c>
      <c r="B2143" t="s">
        <v>5</v>
      </c>
      <c r="C2143" t="s">
        <v>93</v>
      </c>
      <c r="D2143" t="s">
        <v>574</v>
      </c>
      <c r="E2143" t="s">
        <v>27</v>
      </c>
      <c r="F2143" t="s">
        <v>9</v>
      </c>
      <c r="G2143" t="s">
        <v>4142</v>
      </c>
      <c r="H2143" s="7">
        <v>725</v>
      </c>
    </row>
    <row r="2144" spans="1:8" x14ac:dyDescent="0.3">
      <c r="A2144">
        <v>9759</v>
      </c>
      <c r="B2144" t="s">
        <v>699</v>
      </c>
      <c r="C2144" t="s">
        <v>971</v>
      </c>
      <c r="D2144" t="s">
        <v>2345</v>
      </c>
      <c r="E2144" t="s">
        <v>95</v>
      </c>
      <c r="F2144" t="s">
        <v>114</v>
      </c>
      <c r="G2144" t="s">
        <v>3124</v>
      </c>
      <c r="H2144" s="7">
        <v>77072</v>
      </c>
    </row>
    <row r="2145" spans="1:8" x14ac:dyDescent="0.3">
      <c r="A2145">
        <v>9760</v>
      </c>
      <c r="B2145" t="s">
        <v>5</v>
      </c>
      <c r="C2145" t="s">
        <v>93</v>
      </c>
      <c r="D2145" t="s">
        <v>595</v>
      </c>
      <c r="E2145" t="s">
        <v>8</v>
      </c>
      <c r="F2145" t="s">
        <v>9</v>
      </c>
      <c r="G2145" t="s">
        <v>1949</v>
      </c>
      <c r="H2145" s="7">
        <v>725</v>
      </c>
    </row>
    <row r="2146" spans="1:8" x14ac:dyDescent="0.3">
      <c r="A2146">
        <v>9771</v>
      </c>
      <c r="B2146" t="s">
        <v>995</v>
      </c>
      <c r="C2146" t="s">
        <v>93</v>
      </c>
      <c r="D2146" t="s">
        <v>589</v>
      </c>
      <c r="E2146" t="s">
        <v>8</v>
      </c>
      <c r="F2146" t="s">
        <v>283</v>
      </c>
      <c r="G2146" t="s">
        <v>996</v>
      </c>
      <c r="H2146" s="7">
        <v>23454</v>
      </c>
    </row>
    <row r="2147" spans="1:8" x14ac:dyDescent="0.3">
      <c r="A2147">
        <v>9777</v>
      </c>
      <c r="B2147" t="s">
        <v>5</v>
      </c>
      <c r="C2147" t="s">
        <v>93</v>
      </c>
      <c r="D2147" t="s">
        <v>848</v>
      </c>
      <c r="E2147" t="s">
        <v>8</v>
      </c>
      <c r="F2147" t="s">
        <v>9</v>
      </c>
      <c r="G2147" t="s">
        <v>3332</v>
      </c>
      <c r="H2147" s="7">
        <v>725</v>
      </c>
    </row>
    <row r="2148" spans="1:8" x14ac:dyDescent="0.3">
      <c r="A2148">
        <v>9790</v>
      </c>
      <c r="B2148" t="s">
        <v>4540</v>
      </c>
      <c r="C2148" t="s">
        <v>1536</v>
      </c>
      <c r="D2148" t="s">
        <v>3754</v>
      </c>
      <c r="E2148" t="s">
        <v>8</v>
      </c>
      <c r="F2148" t="s">
        <v>9</v>
      </c>
      <c r="G2148" t="s">
        <v>4077</v>
      </c>
      <c r="H2148" s="7">
        <v>953</v>
      </c>
    </row>
    <row r="2149" spans="1:8" x14ac:dyDescent="0.3">
      <c r="A2149">
        <v>9791</v>
      </c>
      <c r="B2149" t="s">
        <v>748</v>
      </c>
      <c r="C2149" t="s">
        <v>93</v>
      </c>
      <c r="D2149" t="s">
        <v>107</v>
      </c>
      <c r="E2149" t="s">
        <v>95</v>
      </c>
      <c r="F2149" t="s">
        <v>749</v>
      </c>
      <c r="G2149" t="s">
        <v>4305</v>
      </c>
      <c r="H2149" s="7">
        <v>46226</v>
      </c>
    </row>
    <row r="2150" spans="1:8" x14ac:dyDescent="0.3">
      <c r="A2150">
        <v>9794</v>
      </c>
      <c r="B2150" t="s">
        <v>5</v>
      </c>
      <c r="C2150" t="s">
        <v>2441</v>
      </c>
      <c r="D2150" t="s">
        <v>107</v>
      </c>
      <c r="E2150" t="s">
        <v>95</v>
      </c>
      <c r="F2150" t="s">
        <v>9</v>
      </c>
      <c r="G2150" t="s">
        <v>4302</v>
      </c>
      <c r="H2150" s="7">
        <v>725</v>
      </c>
    </row>
    <row r="2151" spans="1:8" x14ac:dyDescent="0.3">
      <c r="A2151">
        <v>9800</v>
      </c>
      <c r="B2151" t="s">
        <v>673</v>
      </c>
      <c r="C2151" t="s">
        <v>93</v>
      </c>
      <c r="D2151" t="s">
        <v>1315</v>
      </c>
      <c r="E2151" t="s">
        <v>27</v>
      </c>
      <c r="F2151" t="s">
        <v>108</v>
      </c>
      <c r="G2151" t="s">
        <v>4382</v>
      </c>
      <c r="H2151" s="7">
        <v>97007</v>
      </c>
    </row>
    <row r="2152" spans="1:8" x14ac:dyDescent="0.3">
      <c r="A2152">
        <v>9814</v>
      </c>
      <c r="B2152" t="s">
        <v>3915</v>
      </c>
      <c r="C2152" t="s">
        <v>1303</v>
      </c>
      <c r="D2152" t="s">
        <v>107</v>
      </c>
      <c r="E2152" t="s">
        <v>8</v>
      </c>
      <c r="F2152" t="s">
        <v>88</v>
      </c>
      <c r="G2152" t="s">
        <v>4083</v>
      </c>
      <c r="H2152" s="7">
        <v>13440</v>
      </c>
    </row>
    <row r="2153" spans="1:8" x14ac:dyDescent="0.3">
      <c r="A2153">
        <v>9817</v>
      </c>
      <c r="B2153" t="s">
        <v>174</v>
      </c>
      <c r="C2153" t="s">
        <v>1211</v>
      </c>
      <c r="D2153" t="s">
        <v>1699</v>
      </c>
      <c r="E2153" t="s">
        <v>8</v>
      </c>
      <c r="F2153" t="s">
        <v>21</v>
      </c>
      <c r="G2153" t="s">
        <v>4696</v>
      </c>
      <c r="H2153" s="7">
        <v>90047</v>
      </c>
    </row>
    <row r="2154" spans="1:8" x14ac:dyDescent="0.3">
      <c r="A2154">
        <v>9820</v>
      </c>
      <c r="B2154" t="s">
        <v>1182</v>
      </c>
      <c r="C2154" t="s">
        <v>93</v>
      </c>
      <c r="D2154" t="s">
        <v>1183</v>
      </c>
      <c r="E2154" t="s">
        <v>8</v>
      </c>
      <c r="F2154" t="s">
        <v>242</v>
      </c>
      <c r="G2154" t="s">
        <v>1047</v>
      </c>
      <c r="H2154" s="7">
        <v>20874</v>
      </c>
    </row>
    <row r="2155" spans="1:8" x14ac:dyDescent="0.3">
      <c r="A2155">
        <v>9821</v>
      </c>
      <c r="B2155" t="s">
        <v>4075</v>
      </c>
      <c r="C2155" t="s">
        <v>967</v>
      </c>
      <c r="D2155" t="s">
        <v>107</v>
      </c>
      <c r="E2155" t="s">
        <v>8</v>
      </c>
      <c r="F2155" t="s">
        <v>36</v>
      </c>
      <c r="G2155" t="s">
        <v>3193</v>
      </c>
      <c r="H2155" s="7">
        <v>2740</v>
      </c>
    </row>
    <row r="2156" spans="1:8" x14ac:dyDescent="0.3">
      <c r="A2156">
        <v>9834</v>
      </c>
      <c r="B2156" t="s">
        <v>2774</v>
      </c>
      <c r="C2156" t="s">
        <v>93</v>
      </c>
      <c r="D2156" t="s">
        <v>1388</v>
      </c>
      <c r="E2156" t="s">
        <v>8</v>
      </c>
      <c r="F2156" t="s">
        <v>21</v>
      </c>
      <c r="G2156" t="s">
        <v>1634</v>
      </c>
      <c r="H2156" s="7">
        <v>90255</v>
      </c>
    </row>
    <row r="2157" spans="1:8" x14ac:dyDescent="0.3">
      <c r="A2157">
        <v>9839</v>
      </c>
      <c r="B2157" t="s">
        <v>5</v>
      </c>
      <c r="C2157" t="s">
        <v>1032</v>
      </c>
      <c r="D2157" t="s">
        <v>3570</v>
      </c>
      <c r="E2157" t="s">
        <v>27</v>
      </c>
      <c r="F2157" t="s">
        <v>9</v>
      </c>
      <c r="G2157" t="s">
        <v>5361</v>
      </c>
      <c r="H2157" s="7">
        <v>725</v>
      </c>
    </row>
    <row r="2158" spans="1:8" x14ac:dyDescent="0.3">
      <c r="A2158">
        <v>9843</v>
      </c>
      <c r="B2158" t="s">
        <v>1779</v>
      </c>
      <c r="C2158" t="s">
        <v>1482</v>
      </c>
      <c r="D2158" t="s">
        <v>2566</v>
      </c>
      <c r="E2158" t="s">
        <v>27</v>
      </c>
      <c r="F2158" t="s">
        <v>21</v>
      </c>
      <c r="G2158" t="s">
        <v>4950</v>
      </c>
      <c r="H2158" s="7">
        <v>94541</v>
      </c>
    </row>
    <row r="2159" spans="1:8" x14ac:dyDescent="0.3">
      <c r="A2159">
        <v>9847</v>
      </c>
      <c r="B2159" t="s">
        <v>1892</v>
      </c>
      <c r="C2159" t="s">
        <v>93</v>
      </c>
      <c r="D2159" t="s">
        <v>107</v>
      </c>
      <c r="E2159" t="s">
        <v>8</v>
      </c>
      <c r="F2159" t="s">
        <v>55</v>
      </c>
      <c r="G2159" t="s">
        <v>1190</v>
      </c>
      <c r="H2159" s="7">
        <v>61761</v>
      </c>
    </row>
    <row r="2160" spans="1:8" x14ac:dyDescent="0.3">
      <c r="A2160">
        <v>9852</v>
      </c>
      <c r="B2160" t="s">
        <v>2686</v>
      </c>
      <c r="C2160" t="s">
        <v>1951</v>
      </c>
      <c r="D2160" t="s">
        <v>2251</v>
      </c>
      <c r="E2160" t="s">
        <v>8</v>
      </c>
      <c r="F2160" t="s">
        <v>248</v>
      </c>
      <c r="G2160" t="s">
        <v>777</v>
      </c>
      <c r="H2160" s="7">
        <v>45238</v>
      </c>
    </row>
    <row r="2161" spans="1:8" x14ac:dyDescent="0.3">
      <c r="A2161">
        <v>9853</v>
      </c>
      <c r="B2161" t="s">
        <v>313</v>
      </c>
      <c r="C2161" t="s">
        <v>882</v>
      </c>
      <c r="D2161" t="s">
        <v>2862</v>
      </c>
      <c r="E2161" t="s">
        <v>95</v>
      </c>
      <c r="F2161" t="s">
        <v>21</v>
      </c>
      <c r="G2161" t="s">
        <v>5098</v>
      </c>
      <c r="H2161" s="7">
        <v>92879</v>
      </c>
    </row>
    <row r="2162" spans="1:8" x14ac:dyDescent="0.3">
      <c r="A2162">
        <v>9855</v>
      </c>
      <c r="B2162" t="s">
        <v>117</v>
      </c>
      <c r="C2162" t="s">
        <v>3108</v>
      </c>
      <c r="D2162" t="s">
        <v>4251</v>
      </c>
      <c r="E2162" t="s">
        <v>8</v>
      </c>
      <c r="F2162" t="s">
        <v>21</v>
      </c>
      <c r="G2162" t="s">
        <v>5228</v>
      </c>
      <c r="H2162" s="7">
        <v>92115</v>
      </c>
    </row>
    <row r="2163" spans="1:8" x14ac:dyDescent="0.3">
      <c r="A2163">
        <v>9869</v>
      </c>
      <c r="B2163" t="s">
        <v>131</v>
      </c>
      <c r="C2163" t="s">
        <v>93</v>
      </c>
      <c r="D2163" t="s">
        <v>107</v>
      </c>
      <c r="E2163" t="s">
        <v>95</v>
      </c>
      <c r="F2163" t="s">
        <v>134</v>
      </c>
      <c r="G2163" t="s">
        <v>3112</v>
      </c>
      <c r="H2163" s="7">
        <v>96816</v>
      </c>
    </row>
    <row r="2164" spans="1:8" x14ac:dyDescent="0.3">
      <c r="A2164">
        <v>9872</v>
      </c>
      <c r="B2164" t="s">
        <v>5</v>
      </c>
      <c r="C2164" t="s">
        <v>93</v>
      </c>
      <c r="D2164" t="s">
        <v>2499</v>
      </c>
      <c r="E2164" t="s">
        <v>27</v>
      </c>
      <c r="F2164" t="s">
        <v>9</v>
      </c>
      <c r="G2164" t="s">
        <v>3304</v>
      </c>
      <c r="H2164" s="7">
        <v>725</v>
      </c>
    </row>
    <row r="2165" spans="1:8" x14ac:dyDescent="0.3">
      <c r="A2165">
        <v>9873</v>
      </c>
      <c r="B2165" t="s">
        <v>665</v>
      </c>
      <c r="C2165" t="s">
        <v>859</v>
      </c>
      <c r="D2165" t="s">
        <v>2444</v>
      </c>
      <c r="E2165" t="s">
        <v>27</v>
      </c>
      <c r="F2165" t="s">
        <v>283</v>
      </c>
      <c r="G2165" t="s">
        <v>4655</v>
      </c>
      <c r="H2165" s="7">
        <v>23322</v>
      </c>
    </row>
    <row r="2166" spans="1:8" x14ac:dyDescent="0.3">
      <c r="A2166">
        <v>9875</v>
      </c>
      <c r="B2166" t="s">
        <v>976</v>
      </c>
      <c r="C2166" t="s">
        <v>2281</v>
      </c>
      <c r="D2166" t="s">
        <v>2282</v>
      </c>
      <c r="E2166" t="s">
        <v>27</v>
      </c>
      <c r="F2166" t="s">
        <v>153</v>
      </c>
      <c r="G2166" t="s">
        <v>2283</v>
      </c>
      <c r="H2166" s="7">
        <v>84119</v>
      </c>
    </row>
    <row r="2167" spans="1:8" x14ac:dyDescent="0.3">
      <c r="A2167">
        <v>9879</v>
      </c>
      <c r="B2167" t="s">
        <v>5</v>
      </c>
      <c r="C2167" t="s">
        <v>577</v>
      </c>
      <c r="D2167" t="s">
        <v>3580</v>
      </c>
      <c r="E2167" t="s">
        <v>95</v>
      </c>
      <c r="F2167" t="s">
        <v>9</v>
      </c>
      <c r="G2167" t="s">
        <v>3581</v>
      </c>
      <c r="H2167" s="7">
        <v>725</v>
      </c>
    </row>
    <row r="2168" spans="1:8" x14ac:dyDescent="0.3">
      <c r="A2168">
        <v>9883</v>
      </c>
      <c r="B2168" t="s">
        <v>5</v>
      </c>
      <c r="C2168" t="s">
        <v>738</v>
      </c>
      <c r="D2168" t="s">
        <v>2678</v>
      </c>
      <c r="E2168" t="s">
        <v>27</v>
      </c>
      <c r="F2168" t="s">
        <v>9</v>
      </c>
      <c r="G2168" t="s">
        <v>2679</v>
      </c>
      <c r="H2168" s="7">
        <v>725</v>
      </c>
    </row>
    <row r="2169" spans="1:8" x14ac:dyDescent="0.3">
      <c r="A2169">
        <v>9886</v>
      </c>
      <c r="B2169" t="s">
        <v>2627</v>
      </c>
      <c r="C2169" t="s">
        <v>93</v>
      </c>
      <c r="D2169" t="s">
        <v>1176</v>
      </c>
      <c r="E2169" t="s">
        <v>8</v>
      </c>
      <c r="F2169" t="s">
        <v>21</v>
      </c>
      <c r="G2169" t="s">
        <v>4119</v>
      </c>
      <c r="H2169" s="7">
        <v>91766</v>
      </c>
    </row>
    <row r="2170" spans="1:8" x14ac:dyDescent="0.3">
      <c r="A2170">
        <v>9897</v>
      </c>
      <c r="B2170" t="s">
        <v>18</v>
      </c>
      <c r="C2170" t="s">
        <v>421</v>
      </c>
      <c r="D2170" t="s">
        <v>107</v>
      </c>
      <c r="E2170" t="s">
        <v>8</v>
      </c>
      <c r="F2170" t="s">
        <v>21</v>
      </c>
      <c r="G2170" t="s">
        <v>4312</v>
      </c>
      <c r="H2170" s="7">
        <v>95127</v>
      </c>
    </row>
    <row r="2171" spans="1:8" x14ac:dyDescent="0.3">
      <c r="A2171">
        <v>9900</v>
      </c>
      <c r="B2171" t="s">
        <v>5</v>
      </c>
      <c r="C2171" t="s">
        <v>2057</v>
      </c>
      <c r="D2171" t="s">
        <v>3960</v>
      </c>
      <c r="E2171" t="s">
        <v>27</v>
      </c>
      <c r="F2171" t="s">
        <v>9</v>
      </c>
      <c r="G2171" t="s">
        <v>4557</v>
      </c>
      <c r="H2171" s="7">
        <v>725</v>
      </c>
    </row>
    <row r="2172" spans="1:8" x14ac:dyDescent="0.3">
      <c r="A2172">
        <v>9902</v>
      </c>
      <c r="B2172" t="s">
        <v>1938</v>
      </c>
      <c r="C2172" t="s">
        <v>251</v>
      </c>
      <c r="D2172" t="s">
        <v>113</v>
      </c>
      <c r="E2172" t="s">
        <v>27</v>
      </c>
      <c r="F2172" t="s">
        <v>21</v>
      </c>
      <c r="G2172" t="s">
        <v>224</v>
      </c>
      <c r="H2172" s="7">
        <v>92026</v>
      </c>
    </row>
    <row r="2173" spans="1:8" x14ac:dyDescent="0.3">
      <c r="A2173">
        <v>9903</v>
      </c>
      <c r="B2173" t="s">
        <v>5</v>
      </c>
      <c r="C2173" t="s">
        <v>727</v>
      </c>
      <c r="D2173" t="s">
        <v>107</v>
      </c>
      <c r="E2173" t="s">
        <v>27</v>
      </c>
      <c r="F2173" t="s">
        <v>9</v>
      </c>
      <c r="G2173" t="s">
        <v>1347</v>
      </c>
      <c r="H2173" s="7">
        <v>725</v>
      </c>
    </row>
    <row r="2174" spans="1:8" x14ac:dyDescent="0.3">
      <c r="A2174">
        <v>9906</v>
      </c>
      <c r="B2174" t="s">
        <v>254</v>
      </c>
      <c r="C2174" t="s">
        <v>491</v>
      </c>
      <c r="D2174" t="s">
        <v>107</v>
      </c>
      <c r="E2174" t="s">
        <v>8</v>
      </c>
      <c r="F2174" t="s">
        <v>55</v>
      </c>
      <c r="G2174" t="s">
        <v>492</v>
      </c>
      <c r="H2174" s="7">
        <v>60614</v>
      </c>
    </row>
    <row r="2175" spans="1:8" x14ac:dyDescent="0.3">
      <c r="A2175">
        <v>9907</v>
      </c>
      <c r="B2175" t="s">
        <v>3165</v>
      </c>
      <c r="C2175" t="s">
        <v>1039</v>
      </c>
      <c r="D2175" t="s">
        <v>3166</v>
      </c>
      <c r="E2175" t="s">
        <v>8</v>
      </c>
      <c r="F2175" t="s">
        <v>158</v>
      </c>
      <c r="G2175" t="s">
        <v>3167</v>
      </c>
      <c r="H2175" s="7">
        <v>37211</v>
      </c>
    </row>
    <row r="2176" spans="1:8" x14ac:dyDescent="0.3">
      <c r="A2176">
        <v>9918</v>
      </c>
      <c r="B2176" t="s">
        <v>5</v>
      </c>
      <c r="C2176" t="s">
        <v>671</v>
      </c>
      <c r="D2176" t="s">
        <v>107</v>
      </c>
      <c r="E2176" t="s">
        <v>8</v>
      </c>
      <c r="F2176" t="s">
        <v>9</v>
      </c>
      <c r="G2176" t="s">
        <v>4278</v>
      </c>
      <c r="H2176" s="7">
        <v>725</v>
      </c>
    </row>
    <row r="2177" spans="1:8" x14ac:dyDescent="0.3">
      <c r="A2177">
        <v>9920</v>
      </c>
      <c r="B2177" t="s">
        <v>5</v>
      </c>
      <c r="C2177" t="s">
        <v>738</v>
      </c>
      <c r="D2177" t="s">
        <v>3616</v>
      </c>
      <c r="E2177" t="s">
        <v>8</v>
      </c>
      <c r="F2177" t="s">
        <v>9</v>
      </c>
      <c r="G2177" t="s">
        <v>3617</v>
      </c>
      <c r="H2177" s="7">
        <v>725</v>
      </c>
    </row>
    <row r="2178" spans="1:8" x14ac:dyDescent="0.3">
      <c r="A2178">
        <v>9926</v>
      </c>
      <c r="B2178" t="s">
        <v>5</v>
      </c>
      <c r="C2178" t="s">
        <v>1381</v>
      </c>
      <c r="D2178" t="s">
        <v>1382</v>
      </c>
      <c r="E2178" t="s">
        <v>8</v>
      </c>
      <c r="F2178" t="s">
        <v>9</v>
      </c>
      <c r="G2178" t="s">
        <v>1383</v>
      </c>
      <c r="H2178" s="7">
        <v>725</v>
      </c>
    </row>
    <row r="2179" spans="1:8" x14ac:dyDescent="0.3">
      <c r="A2179">
        <v>9927</v>
      </c>
      <c r="B2179" t="s">
        <v>1313</v>
      </c>
      <c r="C2179" t="s">
        <v>93</v>
      </c>
      <c r="D2179" t="s">
        <v>2461</v>
      </c>
      <c r="E2179" t="s">
        <v>8</v>
      </c>
      <c r="F2179" t="s">
        <v>448</v>
      </c>
      <c r="G2179" t="s">
        <v>3060</v>
      </c>
      <c r="H2179" s="7">
        <v>33161</v>
      </c>
    </row>
    <row r="2180" spans="1:8" x14ac:dyDescent="0.3">
      <c r="A2180">
        <v>9928</v>
      </c>
      <c r="B2180" t="s">
        <v>723</v>
      </c>
      <c r="C2180" t="s">
        <v>93</v>
      </c>
      <c r="D2180" t="s">
        <v>107</v>
      </c>
      <c r="E2180" t="s">
        <v>8</v>
      </c>
      <c r="F2180" t="s">
        <v>55</v>
      </c>
      <c r="G2180" t="s">
        <v>2569</v>
      </c>
      <c r="H2180" s="7">
        <v>60506</v>
      </c>
    </row>
    <row r="2181" spans="1:8" x14ac:dyDescent="0.3">
      <c r="A2181">
        <v>9929</v>
      </c>
      <c r="B2181" t="s">
        <v>5</v>
      </c>
      <c r="C2181" t="s">
        <v>891</v>
      </c>
      <c r="D2181" t="s">
        <v>3156</v>
      </c>
      <c r="E2181" t="s">
        <v>8</v>
      </c>
      <c r="F2181" t="s">
        <v>9</v>
      </c>
      <c r="G2181" t="s">
        <v>3801</v>
      </c>
      <c r="H2181" s="7">
        <v>725</v>
      </c>
    </row>
    <row r="2182" spans="1:8" x14ac:dyDescent="0.3">
      <c r="A2182">
        <v>9932</v>
      </c>
      <c r="B2182" t="s">
        <v>254</v>
      </c>
      <c r="C2182" t="s">
        <v>719</v>
      </c>
      <c r="D2182" t="s">
        <v>107</v>
      </c>
      <c r="E2182" t="s">
        <v>27</v>
      </c>
      <c r="F2182" t="s">
        <v>55</v>
      </c>
      <c r="G2182" t="s">
        <v>720</v>
      </c>
      <c r="H2182" s="7">
        <v>60622</v>
      </c>
    </row>
    <row r="2183" spans="1:8" x14ac:dyDescent="0.3">
      <c r="A2183">
        <v>9956</v>
      </c>
      <c r="B2183" t="s">
        <v>92</v>
      </c>
      <c r="C2183" t="s">
        <v>93</v>
      </c>
      <c r="D2183" t="s">
        <v>107</v>
      </c>
      <c r="E2183" t="s">
        <v>27</v>
      </c>
      <c r="F2183" t="s">
        <v>9</v>
      </c>
      <c r="G2183" t="s">
        <v>582</v>
      </c>
      <c r="H2183" s="7">
        <v>957</v>
      </c>
    </row>
    <row r="2184" spans="1:8" x14ac:dyDescent="0.3">
      <c r="A2184">
        <v>9961</v>
      </c>
      <c r="B2184" t="s">
        <v>210</v>
      </c>
      <c r="C2184" t="s">
        <v>1642</v>
      </c>
      <c r="D2184" t="s">
        <v>2028</v>
      </c>
      <c r="E2184" t="s">
        <v>95</v>
      </c>
      <c r="F2184" t="s">
        <v>21</v>
      </c>
      <c r="G2184" t="s">
        <v>4259</v>
      </c>
      <c r="H2184" s="7">
        <v>90745</v>
      </c>
    </row>
    <row r="2185" spans="1:8" x14ac:dyDescent="0.3">
      <c r="A2185">
        <v>9962</v>
      </c>
      <c r="B2185" t="s">
        <v>5</v>
      </c>
      <c r="C2185" t="s">
        <v>1200</v>
      </c>
      <c r="D2185" t="s">
        <v>107</v>
      </c>
      <c r="E2185" t="s">
        <v>8</v>
      </c>
      <c r="F2185" t="s">
        <v>9</v>
      </c>
      <c r="G2185" t="s">
        <v>1350</v>
      </c>
      <c r="H2185" s="7">
        <v>725</v>
      </c>
    </row>
    <row r="2186" spans="1:8" x14ac:dyDescent="0.3">
      <c r="A2186">
        <v>9963</v>
      </c>
      <c r="B2186" t="s">
        <v>267</v>
      </c>
      <c r="C2186" t="s">
        <v>762</v>
      </c>
      <c r="D2186" t="s">
        <v>4284</v>
      </c>
      <c r="E2186" t="s">
        <v>8</v>
      </c>
      <c r="F2186" t="s">
        <v>114</v>
      </c>
      <c r="G2186" t="s">
        <v>5517</v>
      </c>
      <c r="H2186" s="7">
        <v>78521</v>
      </c>
    </row>
    <row r="2187" spans="1:8" x14ac:dyDescent="0.3">
      <c r="A2187">
        <v>9971</v>
      </c>
      <c r="B2187" t="s">
        <v>1899</v>
      </c>
      <c r="C2187" t="s">
        <v>93</v>
      </c>
      <c r="D2187" t="s">
        <v>107</v>
      </c>
      <c r="E2187" t="s">
        <v>27</v>
      </c>
      <c r="F2187" t="s">
        <v>381</v>
      </c>
      <c r="G2187" t="s">
        <v>2976</v>
      </c>
      <c r="H2187" s="7">
        <v>48238</v>
      </c>
    </row>
    <row r="2188" spans="1:8" x14ac:dyDescent="0.3">
      <c r="A2188">
        <v>9973</v>
      </c>
      <c r="B2188" t="s">
        <v>835</v>
      </c>
      <c r="C2188" t="s">
        <v>895</v>
      </c>
      <c r="D2188" t="s">
        <v>972</v>
      </c>
      <c r="E2188" t="s">
        <v>27</v>
      </c>
      <c r="F2188" t="s">
        <v>242</v>
      </c>
      <c r="G2188" t="s">
        <v>2490</v>
      </c>
      <c r="H2188" s="7">
        <v>20783</v>
      </c>
    </row>
    <row r="2189" spans="1:8" x14ac:dyDescent="0.3">
      <c r="A2189">
        <v>9984</v>
      </c>
      <c r="B2189" t="s">
        <v>5</v>
      </c>
      <c r="C2189" t="s">
        <v>93</v>
      </c>
      <c r="D2189" t="s">
        <v>964</v>
      </c>
      <c r="E2189" t="s">
        <v>8</v>
      </c>
      <c r="F2189" t="s">
        <v>9</v>
      </c>
      <c r="G2189" t="s">
        <v>5195</v>
      </c>
      <c r="H2189" s="7">
        <v>725</v>
      </c>
    </row>
    <row r="2190" spans="1:8" x14ac:dyDescent="0.3">
      <c r="A2190">
        <v>9990</v>
      </c>
      <c r="B2190" t="s">
        <v>40</v>
      </c>
      <c r="C2190" t="s">
        <v>93</v>
      </c>
      <c r="D2190" t="s">
        <v>107</v>
      </c>
      <c r="E2190" t="s">
        <v>8</v>
      </c>
      <c r="F2190" t="s">
        <v>21</v>
      </c>
      <c r="G2190" t="s">
        <v>2581</v>
      </c>
      <c r="H2190" s="7">
        <v>93536</v>
      </c>
    </row>
    <row r="2191" spans="1:8" x14ac:dyDescent="0.3">
      <c r="A2191">
        <v>9999</v>
      </c>
      <c r="B2191" t="s">
        <v>1635</v>
      </c>
      <c r="C2191" t="s">
        <v>1241</v>
      </c>
      <c r="D2191" t="s">
        <v>107</v>
      </c>
      <c r="E2191" t="s">
        <v>95</v>
      </c>
      <c r="F2191" t="s">
        <v>1177</v>
      </c>
      <c r="G2191" t="s">
        <v>5668</v>
      </c>
      <c r="H2191" s="7">
        <v>87112</v>
      </c>
    </row>
    <row r="2192" spans="1:8" x14ac:dyDescent="0.3">
      <c r="A2192">
        <v>10004</v>
      </c>
      <c r="B2192" t="s">
        <v>1784</v>
      </c>
      <c r="C2192" t="s">
        <v>1068</v>
      </c>
      <c r="D2192" t="s">
        <v>107</v>
      </c>
      <c r="E2192" t="s">
        <v>27</v>
      </c>
      <c r="F2192" t="s">
        <v>381</v>
      </c>
      <c r="G2192" t="s">
        <v>5531</v>
      </c>
      <c r="H2192" s="7">
        <v>48601</v>
      </c>
    </row>
    <row r="2193" spans="1:8" x14ac:dyDescent="0.3">
      <c r="A2193">
        <v>10006</v>
      </c>
      <c r="B2193" t="s">
        <v>5</v>
      </c>
      <c r="C2193" t="s">
        <v>93</v>
      </c>
      <c r="D2193" t="s">
        <v>107</v>
      </c>
      <c r="E2193" t="s">
        <v>27</v>
      </c>
      <c r="F2193" t="s">
        <v>9</v>
      </c>
      <c r="G2193" t="s">
        <v>805</v>
      </c>
      <c r="H2193" s="7">
        <v>725</v>
      </c>
    </row>
    <row r="2194" spans="1:8" x14ac:dyDescent="0.3">
      <c r="A2194">
        <v>10017</v>
      </c>
      <c r="B2194" t="s">
        <v>1683</v>
      </c>
      <c r="C2194" t="s">
        <v>417</v>
      </c>
      <c r="D2194" t="s">
        <v>107</v>
      </c>
      <c r="E2194" t="s">
        <v>27</v>
      </c>
      <c r="F2194" t="s">
        <v>1118</v>
      </c>
      <c r="G2194" t="s">
        <v>1684</v>
      </c>
      <c r="H2194" s="7">
        <v>55337</v>
      </c>
    </row>
    <row r="2195" spans="1:8" x14ac:dyDescent="0.3">
      <c r="A2195">
        <v>10027</v>
      </c>
      <c r="B2195" t="s">
        <v>5</v>
      </c>
      <c r="C2195" t="s">
        <v>112</v>
      </c>
      <c r="D2195" t="s">
        <v>2606</v>
      </c>
      <c r="E2195" t="s">
        <v>8</v>
      </c>
      <c r="F2195" t="s">
        <v>9</v>
      </c>
      <c r="G2195" t="s">
        <v>4852</v>
      </c>
      <c r="H2195" s="7">
        <v>725</v>
      </c>
    </row>
    <row r="2196" spans="1:8" x14ac:dyDescent="0.3">
      <c r="A2196">
        <v>10034</v>
      </c>
      <c r="B2196" t="s">
        <v>5</v>
      </c>
      <c r="C2196" t="s">
        <v>454</v>
      </c>
      <c r="D2196" t="s">
        <v>107</v>
      </c>
      <c r="E2196" t="s">
        <v>8</v>
      </c>
      <c r="F2196" t="s">
        <v>9</v>
      </c>
      <c r="G2196" t="s">
        <v>1364</v>
      </c>
      <c r="H2196" s="7">
        <v>725</v>
      </c>
    </row>
    <row r="2197" spans="1:8" x14ac:dyDescent="0.3">
      <c r="A2197">
        <v>10036</v>
      </c>
      <c r="B2197" t="s">
        <v>5</v>
      </c>
      <c r="C2197" t="s">
        <v>93</v>
      </c>
      <c r="D2197" t="s">
        <v>107</v>
      </c>
      <c r="E2197" t="s">
        <v>8</v>
      </c>
      <c r="F2197" t="s">
        <v>9</v>
      </c>
      <c r="G2197" t="s">
        <v>584</v>
      </c>
      <c r="H2197" s="7">
        <v>725</v>
      </c>
    </row>
    <row r="2198" spans="1:8" x14ac:dyDescent="0.3">
      <c r="A2198">
        <v>10042</v>
      </c>
      <c r="B2198" t="s">
        <v>2314</v>
      </c>
      <c r="C2198" t="s">
        <v>444</v>
      </c>
      <c r="D2198" t="s">
        <v>1754</v>
      </c>
      <c r="E2198" t="s">
        <v>8</v>
      </c>
      <c r="F2198" t="s">
        <v>21</v>
      </c>
      <c r="G2198" t="s">
        <v>2315</v>
      </c>
      <c r="H2198" s="7">
        <v>91351</v>
      </c>
    </row>
    <row r="2199" spans="1:8" x14ac:dyDescent="0.3">
      <c r="A2199">
        <v>10053</v>
      </c>
      <c r="B2199" t="s">
        <v>5</v>
      </c>
      <c r="C2199" t="s">
        <v>411</v>
      </c>
      <c r="D2199" t="s">
        <v>107</v>
      </c>
      <c r="E2199" t="s">
        <v>8</v>
      </c>
      <c r="F2199" t="s">
        <v>9</v>
      </c>
      <c r="G2199" t="s">
        <v>412</v>
      </c>
      <c r="H2199" s="7">
        <v>725</v>
      </c>
    </row>
    <row r="2200" spans="1:8" x14ac:dyDescent="0.3">
      <c r="A2200">
        <v>10068</v>
      </c>
      <c r="B2200" t="s">
        <v>772</v>
      </c>
      <c r="C2200" t="s">
        <v>93</v>
      </c>
      <c r="D2200" t="s">
        <v>773</v>
      </c>
      <c r="E2200" t="s">
        <v>27</v>
      </c>
      <c r="F2200" t="s">
        <v>21</v>
      </c>
      <c r="G2200" t="s">
        <v>774</v>
      </c>
      <c r="H2200" s="7">
        <v>95608</v>
      </c>
    </row>
    <row r="2201" spans="1:8" x14ac:dyDescent="0.3">
      <c r="A2201">
        <v>10073</v>
      </c>
      <c r="B2201" t="s">
        <v>388</v>
      </c>
      <c r="C2201" t="s">
        <v>841</v>
      </c>
      <c r="D2201" t="s">
        <v>1176</v>
      </c>
      <c r="E2201" t="s">
        <v>8</v>
      </c>
      <c r="F2201" t="s">
        <v>308</v>
      </c>
      <c r="G2201" t="s">
        <v>2743</v>
      </c>
      <c r="H2201" s="7">
        <v>7052</v>
      </c>
    </row>
    <row r="2202" spans="1:8" x14ac:dyDescent="0.3">
      <c r="A2202">
        <v>10077</v>
      </c>
      <c r="B2202" t="s">
        <v>862</v>
      </c>
      <c r="C2202" t="s">
        <v>4039</v>
      </c>
      <c r="D2202" t="s">
        <v>107</v>
      </c>
      <c r="E2202" t="s">
        <v>27</v>
      </c>
      <c r="F2202" t="s">
        <v>478</v>
      </c>
      <c r="G2202" t="s">
        <v>4600</v>
      </c>
      <c r="H2202" s="7">
        <v>89110</v>
      </c>
    </row>
    <row r="2203" spans="1:8" x14ac:dyDescent="0.3">
      <c r="A2203">
        <v>10082</v>
      </c>
      <c r="B2203" t="s">
        <v>267</v>
      </c>
      <c r="C2203" t="s">
        <v>268</v>
      </c>
      <c r="D2203" t="s">
        <v>107</v>
      </c>
      <c r="E2203" t="s">
        <v>27</v>
      </c>
      <c r="F2203" t="s">
        <v>114</v>
      </c>
      <c r="G2203" t="s">
        <v>269</v>
      </c>
      <c r="H2203" s="7">
        <v>78520</v>
      </c>
    </row>
    <row r="2204" spans="1:8" x14ac:dyDescent="0.3">
      <c r="A2204">
        <v>10086</v>
      </c>
      <c r="B2204" t="s">
        <v>3506</v>
      </c>
      <c r="C2204" t="s">
        <v>332</v>
      </c>
      <c r="D2204" t="s">
        <v>107</v>
      </c>
      <c r="E2204" t="s">
        <v>95</v>
      </c>
      <c r="F2204" t="s">
        <v>55</v>
      </c>
      <c r="G2204" t="s">
        <v>4606</v>
      </c>
      <c r="H2204" s="7">
        <v>60477</v>
      </c>
    </row>
    <row r="2205" spans="1:8" x14ac:dyDescent="0.3">
      <c r="A2205">
        <v>10088</v>
      </c>
      <c r="B2205" t="s">
        <v>4712</v>
      </c>
      <c r="C2205" t="s">
        <v>1788</v>
      </c>
      <c r="D2205" t="s">
        <v>4040</v>
      </c>
      <c r="E2205" t="s">
        <v>27</v>
      </c>
      <c r="F2205" t="s">
        <v>248</v>
      </c>
      <c r="G2205" t="s">
        <v>4713</v>
      </c>
      <c r="H2205" s="7">
        <v>43123</v>
      </c>
    </row>
    <row r="2206" spans="1:8" x14ac:dyDescent="0.3">
      <c r="A2206">
        <v>10098</v>
      </c>
      <c r="B2206" t="s">
        <v>769</v>
      </c>
      <c r="C2206" t="s">
        <v>1112</v>
      </c>
      <c r="D2206" t="s">
        <v>1379</v>
      </c>
      <c r="E2206" t="s">
        <v>95</v>
      </c>
      <c r="F2206" t="s">
        <v>190</v>
      </c>
      <c r="G2206" t="s">
        <v>2732</v>
      </c>
      <c r="H2206" s="7">
        <v>85029</v>
      </c>
    </row>
    <row r="2207" spans="1:8" x14ac:dyDescent="0.3">
      <c r="A2207">
        <v>10102</v>
      </c>
      <c r="B2207" t="s">
        <v>5</v>
      </c>
      <c r="C2207" t="s">
        <v>700</v>
      </c>
      <c r="D2207" t="s">
        <v>107</v>
      </c>
      <c r="E2207" t="s">
        <v>8</v>
      </c>
      <c r="F2207" t="s">
        <v>9</v>
      </c>
      <c r="G2207" t="s">
        <v>922</v>
      </c>
      <c r="H2207" s="7">
        <v>725</v>
      </c>
    </row>
    <row r="2208" spans="1:8" x14ac:dyDescent="0.3">
      <c r="A2208">
        <v>10119</v>
      </c>
      <c r="B2208" t="s">
        <v>5</v>
      </c>
      <c r="C2208" t="s">
        <v>913</v>
      </c>
      <c r="D2208" t="s">
        <v>914</v>
      </c>
      <c r="E2208" t="s">
        <v>8</v>
      </c>
      <c r="F2208" t="s">
        <v>9</v>
      </c>
      <c r="G2208" t="s">
        <v>915</v>
      </c>
      <c r="H2208" s="7">
        <v>725</v>
      </c>
    </row>
    <row r="2209" spans="1:8" x14ac:dyDescent="0.3">
      <c r="A2209">
        <v>10120</v>
      </c>
      <c r="B2209" t="s">
        <v>1309</v>
      </c>
      <c r="C2209" t="s">
        <v>93</v>
      </c>
      <c r="D2209" t="s">
        <v>2395</v>
      </c>
      <c r="E2209" t="s">
        <v>95</v>
      </c>
      <c r="F2209" t="s">
        <v>21</v>
      </c>
      <c r="G2209" t="s">
        <v>2507</v>
      </c>
      <c r="H2209" s="7">
        <v>92557</v>
      </c>
    </row>
    <row r="2210" spans="1:8" x14ac:dyDescent="0.3">
      <c r="A2210">
        <v>10123</v>
      </c>
      <c r="B2210" t="s">
        <v>5</v>
      </c>
      <c r="C2210" t="s">
        <v>1070</v>
      </c>
      <c r="D2210" t="s">
        <v>1071</v>
      </c>
      <c r="E2210" t="s">
        <v>95</v>
      </c>
      <c r="F2210" t="s">
        <v>9</v>
      </c>
      <c r="G2210" t="s">
        <v>1072</v>
      </c>
      <c r="H2210" s="7">
        <v>725</v>
      </c>
    </row>
    <row r="2211" spans="1:8" x14ac:dyDescent="0.3">
      <c r="A2211">
        <v>10128</v>
      </c>
      <c r="B2211" t="s">
        <v>117</v>
      </c>
      <c r="C2211" t="s">
        <v>477</v>
      </c>
      <c r="D2211" t="s">
        <v>107</v>
      </c>
      <c r="E2211" t="s">
        <v>8</v>
      </c>
      <c r="F2211" t="s">
        <v>21</v>
      </c>
      <c r="G2211" t="s">
        <v>5123</v>
      </c>
      <c r="H2211" s="7">
        <v>92154</v>
      </c>
    </row>
    <row r="2212" spans="1:8" x14ac:dyDescent="0.3">
      <c r="A2212">
        <v>10131</v>
      </c>
      <c r="B2212" t="s">
        <v>5</v>
      </c>
      <c r="C2212" t="s">
        <v>891</v>
      </c>
      <c r="D2212" t="s">
        <v>1382</v>
      </c>
      <c r="E2212" t="s">
        <v>8</v>
      </c>
      <c r="F2212" t="s">
        <v>9</v>
      </c>
      <c r="G2212" t="s">
        <v>3553</v>
      </c>
      <c r="H2212" s="7">
        <v>725</v>
      </c>
    </row>
    <row r="2213" spans="1:8" x14ac:dyDescent="0.3">
      <c r="A2213">
        <v>10133</v>
      </c>
      <c r="B2213" t="s">
        <v>1290</v>
      </c>
      <c r="C2213" t="s">
        <v>589</v>
      </c>
      <c r="D2213" t="s">
        <v>107</v>
      </c>
      <c r="E2213" t="s">
        <v>95</v>
      </c>
      <c r="F2213" t="s">
        <v>88</v>
      </c>
      <c r="G2213" t="s">
        <v>5600</v>
      </c>
      <c r="H2213" s="7">
        <v>14221</v>
      </c>
    </row>
    <row r="2214" spans="1:8" x14ac:dyDescent="0.3">
      <c r="A2214">
        <v>10137</v>
      </c>
      <c r="B2214" t="s">
        <v>174</v>
      </c>
      <c r="C2214" t="s">
        <v>93</v>
      </c>
      <c r="D2214" t="s">
        <v>107</v>
      </c>
      <c r="E2214" t="s">
        <v>27</v>
      </c>
      <c r="F2214" t="s">
        <v>21</v>
      </c>
      <c r="G2214" t="s">
        <v>3445</v>
      </c>
      <c r="H2214" s="7">
        <v>90024</v>
      </c>
    </row>
    <row r="2215" spans="1:8" x14ac:dyDescent="0.3">
      <c r="A2215">
        <v>10142</v>
      </c>
      <c r="B2215" t="s">
        <v>683</v>
      </c>
      <c r="C2215" t="s">
        <v>1034</v>
      </c>
      <c r="D2215" t="s">
        <v>107</v>
      </c>
      <c r="E2215" t="s">
        <v>8</v>
      </c>
      <c r="F2215" t="s">
        <v>21</v>
      </c>
      <c r="G2215" t="s">
        <v>1035</v>
      </c>
      <c r="H2215" s="7">
        <v>90703</v>
      </c>
    </row>
    <row r="2216" spans="1:8" x14ac:dyDescent="0.3">
      <c r="A2216">
        <v>10146</v>
      </c>
      <c r="B2216" t="s">
        <v>789</v>
      </c>
      <c r="C2216" t="s">
        <v>564</v>
      </c>
      <c r="D2216" t="s">
        <v>107</v>
      </c>
      <c r="E2216" t="s">
        <v>8</v>
      </c>
      <c r="F2216" t="s">
        <v>21</v>
      </c>
      <c r="G2216" t="s">
        <v>1311</v>
      </c>
      <c r="H2216" s="7">
        <v>92802</v>
      </c>
    </row>
    <row r="2217" spans="1:8" x14ac:dyDescent="0.3">
      <c r="A2217">
        <v>10148</v>
      </c>
      <c r="B2217" t="s">
        <v>4381</v>
      </c>
      <c r="C2217" t="s">
        <v>112</v>
      </c>
      <c r="D2217" t="s">
        <v>212</v>
      </c>
      <c r="E2217" t="s">
        <v>27</v>
      </c>
      <c r="F2217" t="s">
        <v>308</v>
      </c>
      <c r="G2217" t="s">
        <v>4049</v>
      </c>
      <c r="H2217" s="7">
        <v>8901</v>
      </c>
    </row>
    <row r="2218" spans="1:8" x14ac:dyDescent="0.3">
      <c r="A2218">
        <v>10149</v>
      </c>
      <c r="B2218" t="s">
        <v>997</v>
      </c>
      <c r="C2218" t="s">
        <v>577</v>
      </c>
      <c r="D2218" t="s">
        <v>107</v>
      </c>
      <c r="E2218" t="s">
        <v>8</v>
      </c>
      <c r="F2218" t="s">
        <v>2654</v>
      </c>
      <c r="G2218" t="s">
        <v>579</v>
      </c>
      <c r="H2218" s="7">
        <v>19702</v>
      </c>
    </row>
    <row r="2219" spans="1:8" x14ac:dyDescent="0.3">
      <c r="A2219">
        <v>10152</v>
      </c>
      <c r="B2219" t="s">
        <v>699</v>
      </c>
      <c r="C2219" t="s">
        <v>1987</v>
      </c>
      <c r="D2219" t="s">
        <v>2942</v>
      </c>
      <c r="E2219" t="s">
        <v>27</v>
      </c>
      <c r="F2219" t="s">
        <v>114</v>
      </c>
      <c r="G2219" t="s">
        <v>489</v>
      </c>
      <c r="H2219" s="7">
        <v>77080</v>
      </c>
    </row>
    <row r="2220" spans="1:8" x14ac:dyDescent="0.3">
      <c r="A2220">
        <v>10156</v>
      </c>
      <c r="B2220" t="s">
        <v>5</v>
      </c>
      <c r="C2220" t="s">
        <v>1144</v>
      </c>
      <c r="D2220" t="s">
        <v>107</v>
      </c>
      <c r="E2220" t="s">
        <v>27</v>
      </c>
      <c r="F2220" t="s">
        <v>9</v>
      </c>
      <c r="G2220" t="s">
        <v>2061</v>
      </c>
      <c r="H2220" s="7">
        <v>725</v>
      </c>
    </row>
    <row r="2221" spans="1:8" x14ac:dyDescent="0.3">
      <c r="A2221">
        <v>10157</v>
      </c>
      <c r="B2221" t="s">
        <v>1899</v>
      </c>
      <c r="C2221" t="s">
        <v>93</v>
      </c>
      <c r="D2221" t="s">
        <v>1862</v>
      </c>
      <c r="E2221" t="s">
        <v>8</v>
      </c>
      <c r="F2221" t="s">
        <v>381</v>
      </c>
      <c r="G2221" t="s">
        <v>3119</v>
      </c>
      <c r="H2221" s="7">
        <v>48205</v>
      </c>
    </row>
    <row r="2222" spans="1:8" x14ac:dyDescent="0.3">
      <c r="A2222">
        <v>10158</v>
      </c>
      <c r="B2222" t="s">
        <v>1635</v>
      </c>
      <c r="C2222" t="s">
        <v>112</v>
      </c>
      <c r="D2222" t="s">
        <v>1384</v>
      </c>
      <c r="E2222" t="s">
        <v>8</v>
      </c>
      <c r="F2222" t="s">
        <v>1177</v>
      </c>
      <c r="G2222" t="s">
        <v>2864</v>
      </c>
      <c r="H2222" s="7">
        <v>87105</v>
      </c>
    </row>
    <row r="2223" spans="1:8" x14ac:dyDescent="0.3">
      <c r="A2223">
        <v>10165</v>
      </c>
      <c r="B2223" t="s">
        <v>1833</v>
      </c>
      <c r="C2223" t="s">
        <v>67</v>
      </c>
      <c r="D2223" t="s">
        <v>2589</v>
      </c>
      <c r="E2223" t="s">
        <v>8</v>
      </c>
      <c r="F2223" t="s">
        <v>21</v>
      </c>
      <c r="G2223" t="s">
        <v>2590</v>
      </c>
      <c r="H2223" s="7">
        <v>93308</v>
      </c>
    </row>
    <row r="2224" spans="1:8" x14ac:dyDescent="0.3">
      <c r="A2224">
        <v>10171</v>
      </c>
      <c r="B2224" t="s">
        <v>5</v>
      </c>
      <c r="C2224" t="s">
        <v>787</v>
      </c>
      <c r="D2224" t="s">
        <v>107</v>
      </c>
      <c r="E2224" t="s">
        <v>8</v>
      </c>
      <c r="F2224" t="s">
        <v>9</v>
      </c>
      <c r="G2224" t="s">
        <v>5362</v>
      </c>
      <c r="H2224" s="7">
        <v>725</v>
      </c>
    </row>
    <row r="2225" spans="1:8" x14ac:dyDescent="0.3">
      <c r="A2225">
        <v>10172</v>
      </c>
      <c r="B2225" t="s">
        <v>18</v>
      </c>
      <c r="C2225" t="s">
        <v>93</v>
      </c>
      <c r="D2225" t="s">
        <v>1345</v>
      </c>
      <c r="E2225" t="s">
        <v>27</v>
      </c>
      <c r="F2225" t="s">
        <v>21</v>
      </c>
      <c r="G2225" t="s">
        <v>2630</v>
      </c>
      <c r="H2225" s="7">
        <v>95127</v>
      </c>
    </row>
    <row r="2226" spans="1:8" x14ac:dyDescent="0.3">
      <c r="A2226">
        <v>10175</v>
      </c>
      <c r="B2226" t="s">
        <v>495</v>
      </c>
      <c r="C2226" t="s">
        <v>223</v>
      </c>
      <c r="D2226" t="s">
        <v>2043</v>
      </c>
      <c r="E2226" t="s">
        <v>95</v>
      </c>
      <c r="F2226" t="s">
        <v>88</v>
      </c>
      <c r="G2226" t="s">
        <v>5444</v>
      </c>
      <c r="H2226" s="7">
        <v>11226</v>
      </c>
    </row>
    <row r="2227" spans="1:8" x14ac:dyDescent="0.3">
      <c r="A2227">
        <v>10177</v>
      </c>
      <c r="B2227" t="s">
        <v>5</v>
      </c>
      <c r="C2227" t="s">
        <v>93</v>
      </c>
      <c r="D2227" t="s">
        <v>5048</v>
      </c>
      <c r="E2227" t="s">
        <v>8</v>
      </c>
      <c r="F2227" t="s">
        <v>9</v>
      </c>
      <c r="G2227" t="s">
        <v>3633</v>
      </c>
      <c r="H2227" s="7">
        <v>725</v>
      </c>
    </row>
    <row r="2228" spans="1:8" x14ac:dyDescent="0.3">
      <c r="A2228">
        <v>10191</v>
      </c>
      <c r="B2228" t="s">
        <v>5</v>
      </c>
      <c r="C2228" t="s">
        <v>1294</v>
      </c>
      <c r="D2228" t="s">
        <v>528</v>
      </c>
      <c r="E2228" t="s">
        <v>8</v>
      </c>
      <c r="F2228" t="s">
        <v>9</v>
      </c>
      <c r="G2228" t="s">
        <v>4854</v>
      </c>
      <c r="H2228" s="7">
        <v>725</v>
      </c>
    </row>
    <row r="2229" spans="1:8" x14ac:dyDescent="0.3">
      <c r="A2229">
        <v>10199</v>
      </c>
      <c r="B2229" t="s">
        <v>1313</v>
      </c>
      <c r="C2229" t="s">
        <v>1241</v>
      </c>
      <c r="D2229" t="s">
        <v>1431</v>
      </c>
      <c r="E2229" t="s">
        <v>27</v>
      </c>
      <c r="F2229" t="s">
        <v>448</v>
      </c>
      <c r="G2229" t="s">
        <v>5159</v>
      </c>
      <c r="H2229" s="7">
        <v>33162</v>
      </c>
    </row>
    <row r="2230" spans="1:8" x14ac:dyDescent="0.3">
      <c r="A2230">
        <v>10211</v>
      </c>
      <c r="B2230" t="s">
        <v>5</v>
      </c>
      <c r="C2230" t="s">
        <v>2441</v>
      </c>
      <c r="D2230" t="s">
        <v>107</v>
      </c>
      <c r="E2230" t="s">
        <v>27</v>
      </c>
      <c r="F2230" t="s">
        <v>9</v>
      </c>
      <c r="G2230" t="s">
        <v>2920</v>
      </c>
      <c r="H2230" s="7">
        <v>725</v>
      </c>
    </row>
    <row r="2231" spans="1:8" x14ac:dyDescent="0.3">
      <c r="A2231">
        <v>10213</v>
      </c>
      <c r="B2231" t="s">
        <v>1772</v>
      </c>
      <c r="C2231" t="s">
        <v>1172</v>
      </c>
      <c r="D2231" t="s">
        <v>212</v>
      </c>
      <c r="E2231" t="s">
        <v>8</v>
      </c>
      <c r="F2231" t="s">
        <v>9</v>
      </c>
      <c r="G2231" t="s">
        <v>1773</v>
      </c>
      <c r="H2231" s="7">
        <v>784</v>
      </c>
    </row>
    <row r="2232" spans="1:8" x14ac:dyDescent="0.3">
      <c r="A2232">
        <v>10214</v>
      </c>
      <c r="B2232" t="s">
        <v>5</v>
      </c>
      <c r="C2232" t="s">
        <v>506</v>
      </c>
      <c r="D2232" t="s">
        <v>107</v>
      </c>
      <c r="E2232" t="s">
        <v>8</v>
      </c>
      <c r="F2232" t="s">
        <v>9</v>
      </c>
      <c r="G2232" t="s">
        <v>3639</v>
      </c>
      <c r="H2232" s="7">
        <v>725</v>
      </c>
    </row>
    <row r="2233" spans="1:8" x14ac:dyDescent="0.3">
      <c r="A2233">
        <v>10215</v>
      </c>
      <c r="B2233" t="s">
        <v>427</v>
      </c>
      <c r="C2233" t="s">
        <v>927</v>
      </c>
      <c r="D2233" t="s">
        <v>968</v>
      </c>
      <c r="E2233" t="s">
        <v>8</v>
      </c>
      <c r="F2233" t="s">
        <v>9</v>
      </c>
      <c r="G2233" t="s">
        <v>4087</v>
      </c>
      <c r="H2233" s="7">
        <v>921</v>
      </c>
    </row>
    <row r="2234" spans="1:8" x14ac:dyDescent="0.3">
      <c r="A2234">
        <v>10224</v>
      </c>
      <c r="B2234" t="s">
        <v>476</v>
      </c>
      <c r="C2234" t="s">
        <v>2917</v>
      </c>
      <c r="D2234" t="s">
        <v>500</v>
      </c>
      <c r="E2234" t="s">
        <v>8</v>
      </c>
      <c r="F2234" t="s">
        <v>478</v>
      </c>
      <c r="G2234" t="s">
        <v>740</v>
      </c>
      <c r="H2234" s="7">
        <v>89030</v>
      </c>
    </row>
    <row r="2235" spans="1:8" x14ac:dyDescent="0.3">
      <c r="A2235">
        <v>10226</v>
      </c>
      <c r="B2235" t="s">
        <v>2625</v>
      </c>
      <c r="C2235" t="s">
        <v>93</v>
      </c>
      <c r="D2235" t="s">
        <v>107</v>
      </c>
      <c r="E2235" t="s">
        <v>27</v>
      </c>
      <c r="F2235" t="s">
        <v>158</v>
      </c>
      <c r="G2235" t="s">
        <v>4410</v>
      </c>
      <c r="H2235" s="7">
        <v>37130</v>
      </c>
    </row>
    <row r="2236" spans="1:8" x14ac:dyDescent="0.3">
      <c r="A2236">
        <v>10228</v>
      </c>
      <c r="B2236" t="s">
        <v>3967</v>
      </c>
      <c r="C2236" t="s">
        <v>288</v>
      </c>
      <c r="D2236" t="s">
        <v>1730</v>
      </c>
      <c r="E2236" t="s">
        <v>8</v>
      </c>
      <c r="F2236" t="s">
        <v>88</v>
      </c>
      <c r="G2236" t="s">
        <v>5347</v>
      </c>
      <c r="H2236" s="7">
        <v>11706</v>
      </c>
    </row>
    <row r="2237" spans="1:8" x14ac:dyDescent="0.3">
      <c r="A2237">
        <v>10233</v>
      </c>
      <c r="B2237" t="s">
        <v>3938</v>
      </c>
      <c r="C2237" t="s">
        <v>93</v>
      </c>
      <c r="D2237" t="s">
        <v>2364</v>
      </c>
      <c r="E2237" t="s">
        <v>27</v>
      </c>
      <c r="F2237" t="s">
        <v>88</v>
      </c>
      <c r="G2237" t="s">
        <v>4081</v>
      </c>
      <c r="H2237" s="7">
        <v>11691</v>
      </c>
    </row>
    <row r="2238" spans="1:8" x14ac:dyDescent="0.3">
      <c r="A2238">
        <v>10236</v>
      </c>
      <c r="B2238" t="s">
        <v>1793</v>
      </c>
      <c r="C2238" t="s">
        <v>444</v>
      </c>
      <c r="D2238" t="s">
        <v>107</v>
      </c>
      <c r="E2238" t="s">
        <v>27</v>
      </c>
      <c r="F2238" t="s">
        <v>21</v>
      </c>
      <c r="G2238" t="s">
        <v>2798</v>
      </c>
      <c r="H2238" s="7">
        <v>94112</v>
      </c>
    </row>
    <row r="2239" spans="1:8" x14ac:dyDescent="0.3">
      <c r="A2239">
        <v>10244</v>
      </c>
      <c r="B2239" t="s">
        <v>5</v>
      </c>
      <c r="C2239" t="s">
        <v>2750</v>
      </c>
      <c r="D2239" t="s">
        <v>2284</v>
      </c>
      <c r="E2239" t="s">
        <v>8</v>
      </c>
      <c r="F2239" t="s">
        <v>9</v>
      </c>
      <c r="G2239" t="s">
        <v>4563</v>
      </c>
      <c r="H2239" s="7">
        <v>725</v>
      </c>
    </row>
    <row r="2240" spans="1:8" x14ac:dyDescent="0.3">
      <c r="A2240">
        <v>10250</v>
      </c>
      <c r="B2240" t="s">
        <v>656</v>
      </c>
      <c r="C2240" t="s">
        <v>1121</v>
      </c>
      <c r="D2240" t="s">
        <v>107</v>
      </c>
      <c r="E2240" t="s">
        <v>8</v>
      </c>
      <c r="F2240" t="s">
        <v>77</v>
      </c>
      <c r="G2240" t="s">
        <v>1122</v>
      </c>
      <c r="H2240" s="7">
        <v>19104</v>
      </c>
    </row>
    <row r="2241" spans="1:8" x14ac:dyDescent="0.3">
      <c r="A2241">
        <v>10261</v>
      </c>
      <c r="B2241" t="s">
        <v>2543</v>
      </c>
      <c r="C2241" t="s">
        <v>3187</v>
      </c>
      <c r="D2241" t="s">
        <v>3548</v>
      </c>
      <c r="E2241" t="s">
        <v>8</v>
      </c>
      <c r="F2241" t="s">
        <v>88</v>
      </c>
      <c r="G2241" t="s">
        <v>4368</v>
      </c>
      <c r="H2241" s="7">
        <v>11432</v>
      </c>
    </row>
    <row r="2242" spans="1:8" x14ac:dyDescent="0.3">
      <c r="A2242">
        <v>10262</v>
      </c>
      <c r="B2242" t="s">
        <v>5</v>
      </c>
      <c r="C2242" t="s">
        <v>93</v>
      </c>
      <c r="D2242" t="s">
        <v>107</v>
      </c>
      <c r="E2242" t="s">
        <v>95</v>
      </c>
      <c r="F2242" t="s">
        <v>9</v>
      </c>
      <c r="G2242" t="s">
        <v>599</v>
      </c>
      <c r="H2242" s="7">
        <v>725</v>
      </c>
    </row>
    <row r="2243" spans="1:8" x14ac:dyDescent="0.3">
      <c r="A2243">
        <v>10267</v>
      </c>
      <c r="B2243" t="s">
        <v>5</v>
      </c>
      <c r="C2243" t="s">
        <v>93</v>
      </c>
      <c r="D2243" t="s">
        <v>107</v>
      </c>
      <c r="E2243" t="s">
        <v>27</v>
      </c>
      <c r="F2243" t="s">
        <v>9</v>
      </c>
      <c r="G2243" t="s">
        <v>4324</v>
      </c>
      <c r="H2243" s="7">
        <v>725</v>
      </c>
    </row>
    <row r="2244" spans="1:8" x14ac:dyDescent="0.3">
      <c r="A2244">
        <v>10269</v>
      </c>
      <c r="B2244" t="s">
        <v>5</v>
      </c>
      <c r="C2244" t="s">
        <v>93</v>
      </c>
      <c r="D2244" t="s">
        <v>804</v>
      </c>
      <c r="E2244" t="s">
        <v>8</v>
      </c>
      <c r="F2244" t="s">
        <v>9</v>
      </c>
      <c r="G2244" t="s">
        <v>805</v>
      </c>
      <c r="H2244" s="7">
        <v>725</v>
      </c>
    </row>
    <row r="2245" spans="1:8" x14ac:dyDescent="0.3">
      <c r="A2245">
        <v>10278</v>
      </c>
      <c r="B2245" t="s">
        <v>174</v>
      </c>
      <c r="C2245" t="s">
        <v>93</v>
      </c>
      <c r="D2245" t="s">
        <v>988</v>
      </c>
      <c r="E2245" t="s">
        <v>8</v>
      </c>
      <c r="F2245" t="s">
        <v>21</v>
      </c>
      <c r="G2245" t="s">
        <v>989</v>
      </c>
      <c r="H2245" s="7">
        <v>90011</v>
      </c>
    </row>
    <row r="2246" spans="1:8" x14ac:dyDescent="0.3">
      <c r="A2246">
        <v>10280</v>
      </c>
      <c r="B2246" t="s">
        <v>5</v>
      </c>
      <c r="C2246" t="s">
        <v>230</v>
      </c>
      <c r="D2246" t="s">
        <v>3239</v>
      </c>
      <c r="E2246" t="s">
        <v>27</v>
      </c>
      <c r="F2246" t="s">
        <v>9</v>
      </c>
      <c r="G2246" t="s">
        <v>3747</v>
      </c>
      <c r="H2246" s="7">
        <v>725</v>
      </c>
    </row>
    <row r="2247" spans="1:8" x14ac:dyDescent="0.3">
      <c r="A2247">
        <v>10291</v>
      </c>
      <c r="B2247" t="s">
        <v>723</v>
      </c>
      <c r="C2247" t="s">
        <v>1642</v>
      </c>
      <c r="D2247" t="s">
        <v>107</v>
      </c>
      <c r="E2247" t="s">
        <v>27</v>
      </c>
      <c r="F2247" t="s">
        <v>729</v>
      </c>
      <c r="G2247" t="s">
        <v>1643</v>
      </c>
      <c r="H2247" s="7">
        <v>80013</v>
      </c>
    </row>
    <row r="2248" spans="1:8" x14ac:dyDescent="0.3">
      <c r="A2248">
        <v>10293</v>
      </c>
      <c r="B2248" t="s">
        <v>142</v>
      </c>
      <c r="C2248" t="s">
        <v>1381</v>
      </c>
      <c r="D2248" t="s">
        <v>2067</v>
      </c>
      <c r="E2248" t="s">
        <v>8</v>
      </c>
      <c r="F2248" t="s">
        <v>88</v>
      </c>
      <c r="G2248" t="s">
        <v>1748</v>
      </c>
      <c r="H2248" s="7">
        <v>10469</v>
      </c>
    </row>
    <row r="2249" spans="1:8" x14ac:dyDescent="0.3">
      <c r="A2249">
        <v>10296</v>
      </c>
      <c r="B2249" t="s">
        <v>5</v>
      </c>
      <c r="C2249" t="s">
        <v>93</v>
      </c>
      <c r="D2249" t="s">
        <v>2457</v>
      </c>
      <c r="E2249" t="s">
        <v>27</v>
      </c>
      <c r="F2249" t="s">
        <v>9</v>
      </c>
      <c r="G2249" t="s">
        <v>5485</v>
      </c>
      <c r="H2249" s="7">
        <v>725</v>
      </c>
    </row>
    <row r="2250" spans="1:8" x14ac:dyDescent="0.3">
      <c r="A2250">
        <v>10303</v>
      </c>
      <c r="B2250" t="s">
        <v>5</v>
      </c>
      <c r="C2250" t="s">
        <v>527</v>
      </c>
      <c r="D2250" t="s">
        <v>107</v>
      </c>
      <c r="E2250" t="s">
        <v>27</v>
      </c>
      <c r="F2250" t="s">
        <v>9</v>
      </c>
      <c r="G2250" t="s">
        <v>4903</v>
      </c>
      <c r="H2250" s="7">
        <v>725</v>
      </c>
    </row>
    <row r="2251" spans="1:8" x14ac:dyDescent="0.3">
      <c r="A2251">
        <v>10308</v>
      </c>
      <c r="B2251" t="s">
        <v>5</v>
      </c>
      <c r="C2251" t="s">
        <v>93</v>
      </c>
      <c r="D2251" t="s">
        <v>107</v>
      </c>
      <c r="E2251" t="s">
        <v>8</v>
      </c>
      <c r="F2251" t="s">
        <v>9</v>
      </c>
      <c r="G2251" t="s">
        <v>1348</v>
      </c>
      <c r="H2251" s="7">
        <v>725</v>
      </c>
    </row>
    <row r="2252" spans="1:8" x14ac:dyDescent="0.3">
      <c r="A2252">
        <v>10313</v>
      </c>
      <c r="B2252" t="s">
        <v>1116</v>
      </c>
      <c r="C2252" t="s">
        <v>93</v>
      </c>
      <c r="D2252" t="s">
        <v>1568</v>
      </c>
      <c r="E2252" t="s">
        <v>27</v>
      </c>
      <c r="F2252" t="s">
        <v>1118</v>
      </c>
      <c r="G2252" t="s">
        <v>1569</v>
      </c>
      <c r="H2252" s="7">
        <v>55112</v>
      </c>
    </row>
    <row r="2253" spans="1:8" x14ac:dyDescent="0.3">
      <c r="A2253">
        <v>10324</v>
      </c>
      <c r="B2253" t="s">
        <v>635</v>
      </c>
      <c r="C2253" t="s">
        <v>93</v>
      </c>
      <c r="D2253" t="s">
        <v>107</v>
      </c>
      <c r="E2253" t="s">
        <v>27</v>
      </c>
      <c r="F2253" t="s">
        <v>448</v>
      </c>
      <c r="G2253" t="s">
        <v>4998</v>
      </c>
      <c r="H2253" s="7">
        <v>32308</v>
      </c>
    </row>
    <row r="2254" spans="1:8" x14ac:dyDescent="0.3">
      <c r="A2254">
        <v>10326</v>
      </c>
      <c r="B2254" t="s">
        <v>293</v>
      </c>
      <c r="C2254" t="s">
        <v>1767</v>
      </c>
      <c r="D2254" t="s">
        <v>107</v>
      </c>
      <c r="E2254" t="s">
        <v>8</v>
      </c>
      <c r="F2254" t="s">
        <v>114</v>
      </c>
      <c r="G2254" t="s">
        <v>5363</v>
      </c>
      <c r="H2254" s="7">
        <v>75052</v>
      </c>
    </row>
    <row r="2255" spans="1:8" x14ac:dyDescent="0.3">
      <c r="A2255">
        <v>10329</v>
      </c>
      <c r="B2255" t="s">
        <v>5</v>
      </c>
      <c r="C2255" t="s">
        <v>527</v>
      </c>
      <c r="D2255" t="s">
        <v>3351</v>
      </c>
      <c r="E2255" t="s">
        <v>8</v>
      </c>
      <c r="F2255" t="s">
        <v>9</v>
      </c>
      <c r="G2255" t="s">
        <v>3352</v>
      </c>
      <c r="H2255" s="7">
        <v>725</v>
      </c>
    </row>
    <row r="2256" spans="1:8" x14ac:dyDescent="0.3">
      <c r="A2256">
        <v>10335</v>
      </c>
      <c r="B2256" t="s">
        <v>5</v>
      </c>
      <c r="C2256" t="s">
        <v>1186</v>
      </c>
      <c r="D2256" t="s">
        <v>2326</v>
      </c>
      <c r="E2256" t="s">
        <v>8</v>
      </c>
      <c r="F2256" t="s">
        <v>9</v>
      </c>
      <c r="G2256" t="s">
        <v>4138</v>
      </c>
      <c r="H2256" s="7">
        <v>725</v>
      </c>
    </row>
    <row r="2257" spans="1:8" x14ac:dyDescent="0.3">
      <c r="A2257">
        <v>10341</v>
      </c>
      <c r="B2257" t="s">
        <v>59</v>
      </c>
      <c r="C2257" t="s">
        <v>93</v>
      </c>
      <c r="D2257" t="s">
        <v>679</v>
      </c>
      <c r="E2257" t="s">
        <v>95</v>
      </c>
      <c r="F2257" t="s">
        <v>21</v>
      </c>
      <c r="G2257" t="s">
        <v>4438</v>
      </c>
      <c r="H2257" s="7">
        <v>90805</v>
      </c>
    </row>
    <row r="2258" spans="1:8" x14ac:dyDescent="0.3">
      <c r="A2258">
        <v>10344</v>
      </c>
      <c r="B2258" t="s">
        <v>2040</v>
      </c>
      <c r="C2258" t="s">
        <v>93</v>
      </c>
      <c r="D2258" t="s">
        <v>107</v>
      </c>
      <c r="E2258" t="s">
        <v>8</v>
      </c>
      <c r="F2258" t="s">
        <v>9</v>
      </c>
      <c r="G2258" t="s">
        <v>3891</v>
      </c>
      <c r="H2258" s="7">
        <v>795</v>
      </c>
    </row>
    <row r="2259" spans="1:8" x14ac:dyDescent="0.3">
      <c r="A2259">
        <v>10345</v>
      </c>
      <c r="B2259" t="s">
        <v>823</v>
      </c>
      <c r="C2259" t="s">
        <v>454</v>
      </c>
      <c r="D2259" t="s">
        <v>4000</v>
      </c>
      <c r="E2259" t="s">
        <v>27</v>
      </c>
      <c r="F2259" t="s">
        <v>114</v>
      </c>
      <c r="G2259" t="s">
        <v>4572</v>
      </c>
      <c r="H2259" s="7">
        <v>77469</v>
      </c>
    </row>
    <row r="2260" spans="1:8" x14ac:dyDescent="0.3">
      <c r="A2260">
        <v>10355</v>
      </c>
      <c r="B2260" t="s">
        <v>1116</v>
      </c>
      <c r="C2260" t="s">
        <v>532</v>
      </c>
      <c r="D2260" t="s">
        <v>107</v>
      </c>
      <c r="E2260" t="s">
        <v>8</v>
      </c>
      <c r="F2260" t="s">
        <v>1118</v>
      </c>
      <c r="G2260" t="s">
        <v>4757</v>
      </c>
      <c r="H2260" s="7">
        <v>55104</v>
      </c>
    </row>
    <row r="2261" spans="1:8" x14ac:dyDescent="0.3">
      <c r="A2261">
        <v>10367</v>
      </c>
      <c r="B2261" t="s">
        <v>710</v>
      </c>
      <c r="C2261" t="s">
        <v>93</v>
      </c>
      <c r="D2261" t="s">
        <v>107</v>
      </c>
      <c r="E2261" t="s">
        <v>8</v>
      </c>
      <c r="F2261" t="s">
        <v>448</v>
      </c>
      <c r="G2261" t="s">
        <v>4709</v>
      </c>
      <c r="H2261" s="7">
        <v>33324</v>
      </c>
    </row>
    <row r="2262" spans="1:8" x14ac:dyDescent="0.3">
      <c r="A2262">
        <v>10369</v>
      </c>
      <c r="B2262" t="s">
        <v>865</v>
      </c>
      <c r="C2262" t="s">
        <v>360</v>
      </c>
      <c r="D2262" t="s">
        <v>107</v>
      </c>
      <c r="E2262" t="s">
        <v>95</v>
      </c>
      <c r="F2262" t="s">
        <v>190</v>
      </c>
      <c r="G2262" t="s">
        <v>5411</v>
      </c>
      <c r="H2262" s="7">
        <v>85710</v>
      </c>
    </row>
    <row r="2263" spans="1:8" x14ac:dyDescent="0.3">
      <c r="A2263">
        <v>10373</v>
      </c>
      <c r="B2263" t="s">
        <v>1482</v>
      </c>
      <c r="C2263" t="s">
        <v>93</v>
      </c>
      <c r="D2263" t="s">
        <v>1559</v>
      </c>
      <c r="E2263" t="s">
        <v>95</v>
      </c>
      <c r="F2263" t="s">
        <v>448</v>
      </c>
      <c r="G2263" t="s">
        <v>3707</v>
      </c>
      <c r="H2263" s="7">
        <v>33511</v>
      </c>
    </row>
    <row r="2264" spans="1:8" x14ac:dyDescent="0.3">
      <c r="A2264">
        <v>10379</v>
      </c>
      <c r="B2264" t="s">
        <v>1023</v>
      </c>
      <c r="C2264" t="s">
        <v>112</v>
      </c>
      <c r="D2264" t="s">
        <v>1670</v>
      </c>
      <c r="E2264" t="s">
        <v>8</v>
      </c>
      <c r="F2264" t="s">
        <v>21</v>
      </c>
      <c r="G2264" t="s">
        <v>1423</v>
      </c>
      <c r="H2264" s="7">
        <v>91606</v>
      </c>
    </row>
    <row r="2265" spans="1:8" x14ac:dyDescent="0.3">
      <c r="A2265">
        <v>10380</v>
      </c>
      <c r="B2265" t="s">
        <v>5</v>
      </c>
      <c r="C2265" t="s">
        <v>93</v>
      </c>
      <c r="D2265" t="s">
        <v>107</v>
      </c>
      <c r="E2265" t="s">
        <v>8</v>
      </c>
      <c r="F2265" t="s">
        <v>9</v>
      </c>
      <c r="G2265" t="s">
        <v>1478</v>
      </c>
      <c r="H2265" s="7">
        <v>725</v>
      </c>
    </row>
    <row r="2266" spans="1:8" x14ac:dyDescent="0.3">
      <c r="A2266">
        <v>10389</v>
      </c>
      <c r="B2266" t="s">
        <v>5</v>
      </c>
      <c r="C2266" t="s">
        <v>1303</v>
      </c>
      <c r="D2266" t="s">
        <v>1351</v>
      </c>
      <c r="E2266" t="s">
        <v>95</v>
      </c>
      <c r="F2266" t="s">
        <v>9</v>
      </c>
      <c r="G2266" t="s">
        <v>2026</v>
      </c>
      <c r="H2266" s="7">
        <v>725</v>
      </c>
    </row>
    <row r="2267" spans="1:8" x14ac:dyDescent="0.3">
      <c r="A2267">
        <v>10399</v>
      </c>
      <c r="B2267" t="s">
        <v>5</v>
      </c>
      <c r="C2267" t="s">
        <v>787</v>
      </c>
      <c r="D2267" t="s">
        <v>107</v>
      </c>
      <c r="E2267" t="s">
        <v>27</v>
      </c>
      <c r="F2267" t="s">
        <v>9</v>
      </c>
      <c r="G2267" t="s">
        <v>2699</v>
      </c>
      <c r="H2267" s="7">
        <v>725</v>
      </c>
    </row>
    <row r="2268" spans="1:8" x14ac:dyDescent="0.3">
      <c r="A2268">
        <v>10407</v>
      </c>
      <c r="B2268" t="s">
        <v>2101</v>
      </c>
      <c r="C2268" t="s">
        <v>1951</v>
      </c>
      <c r="D2268" t="s">
        <v>1238</v>
      </c>
      <c r="E2268" t="s">
        <v>27</v>
      </c>
      <c r="F2268" t="s">
        <v>77</v>
      </c>
      <c r="G2268" t="s">
        <v>4936</v>
      </c>
      <c r="H2268" s="7">
        <v>19382</v>
      </c>
    </row>
    <row r="2269" spans="1:8" x14ac:dyDescent="0.3">
      <c r="A2269">
        <v>10408</v>
      </c>
      <c r="B2269" t="s">
        <v>174</v>
      </c>
      <c r="C2269" t="s">
        <v>2697</v>
      </c>
      <c r="D2269" t="s">
        <v>107</v>
      </c>
      <c r="E2269" t="s">
        <v>8</v>
      </c>
      <c r="F2269" t="s">
        <v>21</v>
      </c>
      <c r="G2269" t="s">
        <v>3962</v>
      </c>
      <c r="H2269" s="7">
        <v>90027</v>
      </c>
    </row>
    <row r="2270" spans="1:8" x14ac:dyDescent="0.3">
      <c r="A2270">
        <v>10412</v>
      </c>
      <c r="B2270" t="s">
        <v>600</v>
      </c>
      <c r="C2270" t="s">
        <v>2260</v>
      </c>
      <c r="D2270" t="s">
        <v>928</v>
      </c>
      <c r="E2270" t="s">
        <v>8</v>
      </c>
      <c r="F2270" t="s">
        <v>9</v>
      </c>
      <c r="G2270" t="s">
        <v>4527</v>
      </c>
      <c r="H2270" s="7">
        <v>693</v>
      </c>
    </row>
    <row r="2271" spans="1:8" x14ac:dyDescent="0.3">
      <c r="A2271">
        <v>10416</v>
      </c>
      <c r="B2271" t="s">
        <v>2478</v>
      </c>
      <c r="C2271" t="s">
        <v>93</v>
      </c>
      <c r="D2271" t="s">
        <v>4068</v>
      </c>
      <c r="E2271" t="s">
        <v>8</v>
      </c>
      <c r="F2271" t="s">
        <v>242</v>
      </c>
      <c r="G2271" t="s">
        <v>4069</v>
      </c>
      <c r="H2271" s="7">
        <v>21228</v>
      </c>
    </row>
    <row r="2272" spans="1:8" x14ac:dyDescent="0.3">
      <c r="A2272">
        <v>10417</v>
      </c>
      <c r="B2272" t="s">
        <v>5</v>
      </c>
      <c r="C2272" t="s">
        <v>889</v>
      </c>
      <c r="D2272" t="s">
        <v>107</v>
      </c>
      <c r="E2272" t="s">
        <v>8</v>
      </c>
      <c r="F2272" t="s">
        <v>9</v>
      </c>
      <c r="G2272" t="s">
        <v>2494</v>
      </c>
      <c r="H2272" s="7">
        <v>725</v>
      </c>
    </row>
    <row r="2273" spans="1:8" x14ac:dyDescent="0.3">
      <c r="A2273">
        <v>10418</v>
      </c>
      <c r="B2273" t="s">
        <v>495</v>
      </c>
      <c r="C2273" t="s">
        <v>93</v>
      </c>
      <c r="D2273" t="s">
        <v>4708</v>
      </c>
      <c r="E2273" t="s">
        <v>8</v>
      </c>
      <c r="F2273" t="s">
        <v>88</v>
      </c>
      <c r="G2273" t="s">
        <v>5297</v>
      </c>
      <c r="H2273" s="7">
        <v>11209</v>
      </c>
    </row>
    <row r="2274" spans="1:8" x14ac:dyDescent="0.3">
      <c r="A2274">
        <v>10424</v>
      </c>
      <c r="B2274" t="s">
        <v>656</v>
      </c>
      <c r="C2274" t="s">
        <v>1032</v>
      </c>
      <c r="D2274" t="s">
        <v>107</v>
      </c>
      <c r="E2274" t="s">
        <v>8</v>
      </c>
      <c r="F2274" t="s">
        <v>77</v>
      </c>
      <c r="G2274" t="s">
        <v>1033</v>
      </c>
      <c r="H2274" s="7">
        <v>19149</v>
      </c>
    </row>
    <row r="2275" spans="1:8" x14ac:dyDescent="0.3">
      <c r="A2275">
        <v>10429</v>
      </c>
      <c r="B2275" t="s">
        <v>1313</v>
      </c>
      <c r="C2275" t="s">
        <v>93</v>
      </c>
      <c r="D2275" t="s">
        <v>1864</v>
      </c>
      <c r="E2275" t="s">
        <v>8</v>
      </c>
      <c r="F2275" t="s">
        <v>448</v>
      </c>
      <c r="G2275" t="s">
        <v>1865</v>
      </c>
      <c r="H2275" s="7">
        <v>33162</v>
      </c>
    </row>
    <row r="2276" spans="1:8" x14ac:dyDescent="0.3">
      <c r="A2276">
        <v>10431</v>
      </c>
      <c r="B2276" t="s">
        <v>4924</v>
      </c>
      <c r="C2276" t="s">
        <v>93</v>
      </c>
      <c r="D2276" t="s">
        <v>107</v>
      </c>
      <c r="E2276" t="s">
        <v>8</v>
      </c>
      <c r="F2276" t="s">
        <v>21</v>
      </c>
      <c r="G2276" t="s">
        <v>4243</v>
      </c>
      <c r="H2276" s="7">
        <v>90280</v>
      </c>
    </row>
    <row r="2277" spans="1:8" x14ac:dyDescent="0.3">
      <c r="A2277">
        <v>10436</v>
      </c>
      <c r="B2277" t="s">
        <v>368</v>
      </c>
      <c r="C2277" t="s">
        <v>799</v>
      </c>
      <c r="D2277" t="s">
        <v>800</v>
      </c>
      <c r="E2277" t="s">
        <v>8</v>
      </c>
      <c r="F2277" t="s">
        <v>88</v>
      </c>
      <c r="G2277" t="s">
        <v>801</v>
      </c>
      <c r="H2277" s="7">
        <v>10029</v>
      </c>
    </row>
    <row r="2278" spans="1:8" x14ac:dyDescent="0.3">
      <c r="A2278">
        <v>10441</v>
      </c>
      <c r="B2278" t="s">
        <v>5</v>
      </c>
      <c r="C2278" t="s">
        <v>1738</v>
      </c>
      <c r="D2278" t="s">
        <v>107</v>
      </c>
      <c r="E2278" t="s">
        <v>8</v>
      </c>
      <c r="F2278" t="s">
        <v>9</v>
      </c>
      <c r="G2278" t="s">
        <v>3634</v>
      </c>
      <c r="H2278" s="7">
        <v>725</v>
      </c>
    </row>
    <row r="2279" spans="1:8" x14ac:dyDescent="0.3">
      <c r="A2279">
        <v>10442</v>
      </c>
      <c r="B2279" t="s">
        <v>999</v>
      </c>
      <c r="C2279" t="s">
        <v>93</v>
      </c>
      <c r="D2279" t="s">
        <v>1699</v>
      </c>
      <c r="E2279" t="s">
        <v>8</v>
      </c>
      <c r="F2279" t="s">
        <v>55</v>
      </c>
      <c r="G2279" t="s">
        <v>1982</v>
      </c>
      <c r="H2279" s="7">
        <v>62301</v>
      </c>
    </row>
    <row r="2280" spans="1:8" x14ac:dyDescent="0.3">
      <c r="A2280">
        <v>10447</v>
      </c>
      <c r="B2280" t="s">
        <v>5</v>
      </c>
      <c r="C2280" t="s">
        <v>93</v>
      </c>
      <c r="D2280" t="s">
        <v>107</v>
      </c>
      <c r="E2280" t="s">
        <v>27</v>
      </c>
      <c r="F2280" t="s">
        <v>9</v>
      </c>
      <c r="G2280" t="s">
        <v>2079</v>
      </c>
      <c r="H2280" s="7">
        <v>725</v>
      </c>
    </row>
    <row r="2281" spans="1:8" x14ac:dyDescent="0.3">
      <c r="A2281">
        <v>10456</v>
      </c>
      <c r="B2281" t="s">
        <v>174</v>
      </c>
      <c r="C2281" t="s">
        <v>93</v>
      </c>
      <c r="D2281" t="s">
        <v>107</v>
      </c>
      <c r="E2281" t="s">
        <v>27</v>
      </c>
      <c r="F2281" t="s">
        <v>21</v>
      </c>
      <c r="G2281" t="s">
        <v>5386</v>
      </c>
      <c r="H2281" s="7">
        <v>90044</v>
      </c>
    </row>
    <row r="2282" spans="1:8" x14ac:dyDescent="0.3">
      <c r="A2282">
        <v>10459</v>
      </c>
      <c r="B2282" t="s">
        <v>1139</v>
      </c>
      <c r="C2282" t="s">
        <v>1109</v>
      </c>
      <c r="D2282" t="s">
        <v>107</v>
      </c>
      <c r="E2282" t="s">
        <v>8</v>
      </c>
      <c r="F2282" t="s">
        <v>114</v>
      </c>
      <c r="G2282" t="s">
        <v>4439</v>
      </c>
      <c r="H2282" s="7">
        <v>79924</v>
      </c>
    </row>
    <row r="2283" spans="1:8" x14ac:dyDescent="0.3">
      <c r="A2283">
        <v>10462</v>
      </c>
      <c r="B2283" t="s">
        <v>1197</v>
      </c>
      <c r="C2283" t="s">
        <v>160</v>
      </c>
      <c r="D2283" t="s">
        <v>107</v>
      </c>
      <c r="E2283" t="s">
        <v>8</v>
      </c>
      <c r="F2283" t="s">
        <v>749</v>
      </c>
      <c r="G2283" t="s">
        <v>1198</v>
      </c>
      <c r="H2283" s="7">
        <v>47906</v>
      </c>
    </row>
    <row r="2284" spans="1:8" x14ac:dyDescent="0.3">
      <c r="A2284">
        <v>10470</v>
      </c>
      <c r="B2284" t="s">
        <v>831</v>
      </c>
      <c r="C2284" t="s">
        <v>488</v>
      </c>
      <c r="D2284" t="s">
        <v>418</v>
      </c>
      <c r="E2284" t="s">
        <v>27</v>
      </c>
      <c r="F2284" t="s">
        <v>341</v>
      </c>
      <c r="G2284" t="s">
        <v>2298</v>
      </c>
      <c r="H2284" s="7">
        <v>27410</v>
      </c>
    </row>
    <row r="2285" spans="1:8" x14ac:dyDescent="0.3">
      <c r="A2285">
        <v>10475</v>
      </c>
      <c r="B2285" t="s">
        <v>5</v>
      </c>
      <c r="C2285" t="s">
        <v>93</v>
      </c>
      <c r="D2285" t="s">
        <v>107</v>
      </c>
      <c r="E2285" t="s">
        <v>8</v>
      </c>
      <c r="F2285" t="s">
        <v>9</v>
      </c>
      <c r="G2285" t="s">
        <v>5423</v>
      </c>
      <c r="H2285" s="7">
        <v>725</v>
      </c>
    </row>
    <row r="2286" spans="1:8" x14ac:dyDescent="0.3">
      <c r="A2286">
        <v>10481</v>
      </c>
      <c r="B2286" t="s">
        <v>1160</v>
      </c>
      <c r="C2286" t="s">
        <v>948</v>
      </c>
      <c r="D2286" t="s">
        <v>441</v>
      </c>
      <c r="E2286" t="s">
        <v>8</v>
      </c>
      <c r="F2286" t="s">
        <v>88</v>
      </c>
      <c r="G2286" t="s">
        <v>4630</v>
      </c>
      <c r="H2286" s="7">
        <v>14850</v>
      </c>
    </row>
    <row r="2287" spans="1:8" x14ac:dyDescent="0.3">
      <c r="A2287">
        <v>10484</v>
      </c>
      <c r="B2287" t="s">
        <v>723</v>
      </c>
      <c r="C2287" t="s">
        <v>724</v>
      </c>
      <c r="D2287" t="s">
        <v>725</v>
      </c>
      <c r="E2287" t="s">
        <v>27</v>
      </c>
      <c r="F2287" t="s">
        <v>55</v>
      </c>
      <c r="G2287" t="s">
        <v>726</v>
      </c>
      <c r="H2287" s="7">
        <v>60506</v>
      </c>
    </row>
    <row r="2288" spans="1:8" x14ac:dyDescent="0.3">
      <c r="A2288">
        <v>10493</v>
      </c>
      <c r="B2288" t="s">
        <v>254</v>
      </c>
      <c r="C2288" t="s">
        <v>2619</v>
      </c>
      <c r="D2288" t="s">
        <v>842</v>
      </c>
      <c r="E2288" t="s">
        <v>95</v>
      </c>
      <c r="F2288" t="s">
        <v>55</v>
      </c>
      <c r="G2288" t="s">
        <v>5422</v>
      </c>
      <c r="H2288" s="7">
        <v>60613</v>
      </c>
    </row>
    <row r="2289" spans="1:8" x14ac:dyDescent="0.3">
      <c r="A2289">
        <v>10495</v>
      </c>
      <c r="B2289" t="s">
        <v>5</v>
      </c>
      <c r="C2289" t="s">
        <v>2452</v>
      </c>
      <c r="D2289" t="s">
        <v>1367</v>
      </c>
      <c r="E2289" t="s">
        <v>8</v>
      </c>
      <c r="F2289" t="s">
        <v>9</v>
      </c>
      <c r="G2289" t="s">
        <v>5259</v>
      </c>
      <c r="H2289" s="7">
        <v>725</v>
      </c>
    </row>
    <row r="2290" spans="1:8" x14ac:dyDescent="0.3">
      <c r="A2290">
        <v>10496</v>
      </c>
      <c r="B2290" t="s">
        <v>1902</v>
      </c>
      <c r="C2290" t="s">
        <v>93</v>
      </c>
      <c r="D2290" t="s">
        <v>107</v>
      </c>
      <c r="E2290" t="s">
        <v>95</v>
      </c>
      <c r="F2290" t="s">
        <v>1195</v>
      </c>
      <c r="G2290" t="s">
        <v>4467</v>
      </c>
      <c r="H2290" s="7">
        <v>98632</v>
      </c>
    </row>
    <row r="2291" spans="1:8" x14ac:dyDescent="0.3">
      <c r="A2291">
        <v>10498</v>
      </c>
      <c r="B2291" t="s">
        <v>313</v>
      </c>
      <c r="C2291" t="s">
        <v>93</v>
      </c>
      <c r="D2291" t="s">
        <v>107</v>
      </c>
      <c r="E2291" t="s">
        <v>8</v>
      </c>
      <c r="F2291" t="s">
        <v>88</v>
      </c>
      <c r="G2291" t="s">
        <v>5412</v>
      </c>
      <c r="H2291" s="7">
        <v>11368</v>
      </c>
    </row>
    <row r="2292" spans="1:8" x14ac:dyDescent="0.3">
      <c r="A2292">
        <v>10500</v>
      </c>
      <c r="B2292" t="s">
        <v>5</v>
      </c>
      <c r="C2292" t="s">
        <v>93</v>
      </c>
      <c r="D2292" t="s">
        <v>107</v>
      </c>
      <c r="E2292" t="s">
        <v>8</v>
      </c>
      <c r="F2292" t="s">
        <v>9</v>
      </c>
      <c r="G2292" t="s">
        <v>3396</v>
      </c>
      <c r="H2292" s="7">
        <v>725</v>
      </c>
    </row>
    <row r="2293" spans="1:8" x14ac:dyDescent="0.3">
      <c r="A2293">
        <v>10506</v>
      </c>
      <c r="B2293" t="s">
        <v>719</v>
      </c>
      <c r="C2293" t="s">
        <v>93</v>
      </c>
      <c r="D2293" t="s">
        <v>107</v>
      </c>
      <c r="E2293" t="s">
        <v>8</v>
      </c>
      <c r="F2293" t="s">
        <v>308</v>
      </c>
      <c r="G2293" t="s">
        <v>4716</v>
      </c>
      <c r="H2293" s="7">
        <v>7470</v>
      </c>
    </row>
    <row r="2294" spans="1:8" x14ac:dyDescent="0.3">
      <c r="A2294">
        <v>10507</v>
      </c>
      <c r="B2294" t="s">
        <v>5</v>
      </c>
      <c r="C2294" t="s">
        <v>1718</v>
      </c>
      <c r="D2294" t="s">
        <v>2169</v>
      </c>
      <c r="E2294" t="s">
        <v>95</v>
      </c>
      <c r="F2294" t="s">
        <v>9</v>
      </c>
      <c r="G2294" t="s">
        <v>4834</v>
      </c>
      <c r="H2294" s="7">
        <v>725</v>
      </c>
    </row>
    <row r="2295" spans="1:8" x14ac:dyDescent="0.3">
      <c r="A2295">
        <v>10508</v>
      </c>
      <c r="B2295" t="s">
        <v>174</v>
      </c>
      <c r="C2295" t="s">
        <v>1112</v>
      </c>
      <c r="D2295" t="s">
        <v>1629</v>
      </c>
      <c r="E2295" t="s">
        <v>27</v>
      </c>
      <c r="F2295" t="s">
        <v>21</v>
      </c>
      <c r="G2295" t="s">
        <v>1630</v>
      </c>
      <c r="H2295" s="7">
        <v>90011</v>
      </c>
    </row>
    <row r="2296" spans="1:8" x14ac:dyDescent="0.3">
      <c r="A2296">
        <v>10511</v>
      </c>
      <c r="B2296" t="s">
        <v>5</v>
      </c>
      <c r="C2296" t="s">
        <v>407</v>
      </c>
      <c r="D2296" t="s">
        <v>107</v>
      </c>
      <c r="E2296" t="s">
        <v>27</v>
      </c>
      <c r="F2296" t="s">
        <v>9</v>
      </c>
      <c r="G2296" t="s">
        <v>2012</v>
      </c>
      <c r="H2296" s="7">
        <v>725</v>
      </c>
    </row>
    <row r="2297" spans="1:8" x14ac:dyDescent="0.3">
      <c r="A2297">
        <v>10520</v>
      </c>
      <c r="B2297" t="s">
        <v>3934</v>
      </c>
      <c r="C2297" t="s">
        <v>1713</v>
      </c>
      <c r="D2297" t="s">
        <v>1291</v>
      </c>
      <c r="E2297" t="s">
        <v>95</v>
      </c>
      <c r="F2297" t="s">
        <v>1195</v>
      </c>
      <c r="G2297" t="s">
        <v>4828</v>
      </c>
      <c r="H2297" s="7">
        <v>98031</v>
      </c>
    </row>
    <row r="2298" spans="1:8" x14ac:dyDescent="0.3">
      <c r="A2298">
        <v>10524</v>
      </c>
      <c r="B2298" t="s">
        <v>1971</v>
      </c>
      <c r="C2298" t="s">
        <v>1735</v>
      </c>
      <c r="D2298" t="s">
        <v>107</v>
      </c>
      <c r="E2298" t="s">
        <v>27</v>
      </c>
      <c r="F2298" t="s">
        <v>341</v>
      </c>
      <c r="G2298" t="s">
        <v>2439</v>
      </c>
      <c r="H2298" s="7">
        <v>27203</v>
      </c>
    </row>
    <row r="2299" spans="1:8" x14ac:dyDescent="0.3">
      <c r="A2299">
        <v>10526</v>
      </c>
      <c r="B2299" t="s">
        <v>2485</v>
      </c>
      <c r="C2299" t="s">
        <v>1317</v>
      </c>
      <c r="D2299" t="s">
        <v>2486</v>
      </c>
      <c r="E2299" t="s">
        <v>27</v>
      </c>
      <c r="F2299" t="s">
        <v>21</v>
      </c>
      <c r="G2299" t="s">
        <v>2487</v>
      </c>
      <c r="H2299" s="7">
        <v>95610</v>
      </c>
    </row>
    <row r="2300" spans="1:8" x14ac:dyDescent="0.3">
      <c r="A2300">
        <v>10533</v>
      </c>
      <c r="B2300" t="s">
        <v>5</v>
      </c>
      <c r="C2300" t="s">
        <v>223</v>
      </c>
      <c r="D2300" t="s">
        <v>107</v>
      </c>
      <c r="E2300" t="s">
        <v>95</v>
      </c>
      <c r="F2300" t="s">
        <v>9</v>
      </c>
      <c r="G2300" t="s">
        <v>224</v>
      </c>
      <c r="H2300" s="7">
        <v>725</v>
      </c>
    </row>
    <row r="2301" spans="1:8" x14ac:dyDescent="0.3">
      <c r="A2301">
        <v>10544</v>
      </c>
      <c r="B2301" t="s">
        <v>5</v>
      </c>
      <c r="C2301" t="s">
        <v>93</v>
      </c>
      <c r="D2301" t="s">
        <v>2429</v>
      </c>
      <c r="E2301" t="s">
        <v>95</v>
      </c>
      <c r="F2301" t="s">
        <v>9</v>
      </c>
      <c r="G2301" t="s">
        <v>3416</v>
      </c>
      <c r="H2301" s="7">
        <v>725</v>
      </c>
    </row>
    <row r="2302" spans="1:8" x14ac:dyDescent="0.3">
      <c r="A2302">
        <v>10547</v>
      </c>
      <c r="B2302" t="s">
        <v>142</v>
      </c>
      <c r="C2302" t="s">
        <v>895</v>
      </c>
      <c r="D2302" t="s">
        <v>2566</v>
      </c>
      <c r="E2302" t="s">
        <v>8</v>
      </c>
      <c r="F2302" t="s">
        <v>88</v>
      </c>
      <c r="G2302" t="s">
        <v>1912</v>
      </c>
      <c r="H2302" s="7">
        <v>10473</v>
      </c>
    </row>
    <row r="2303" spans="1:8" x14ac:dyDescent="0.3">
      <c r="A2303">
        <v>10550</v>
      </c>
      <c r="B2303" t="s">
        <v>5</v>
      </c>
      <c r="C2303" t="s">
        <v>454</v>
      </c>
      <c r="D2303" t="s">
        <v>107</v>
      </c>
      <c r="E2303" t="s">
        <v>27</v>
      </c>
      <c r="F2303" t="s">
        <v>9</v>
      </c>
      <c r="G2303" t="s">
        <v>5408</v>
      </c>
      <c r="H2303" s="7">
        <v>725</v>
      </c>
    </row>
    <row r="2304" spans="1:8" x14ac:dyDescent="0.3">
      <c r="A2304">
        <v>10561</v>
      </c>
      <c r="B2304" t="s">
        <v>3069</v>
      </c>
      <c r="C2304" t="s">
        <v>93</v>
      </c>
      <c r="D2304" t="s">
        <v>107</v>
      </c>
      <c r="E2304" t="s">
        <v>27</v>
      </c>
      <c r="F2304" t="s">
        <v>55</v>
      </c>
      <c r="G2304" t="s">
        <v>5310</v>
      </c>
      <c r="H2304" s="7">
        <v>60544</v>
      </c>
    </row>
    <row r="2305" spans="1:8" x14ac:dyDescent="0.3">
      <c r="A2305">
        <v>10566</v>
      </c>
      <c r="B2305" t="s">
        <v>174</v>
      </c>
      <c r="C2305" t="s">
        <v>417</v>
      </c>
      <c r="D2305" t="s">
        <v>4973</v>
      </c>
      <c r="E2305" t="s">
        <v>27</v>
      </c>
      <c r="F2305" t="s">
        <v>21</v>
      </c>
      <c r="G2305" t="s">
        <v>4097</v>
      </c>
      <c r="H2305" s="7">
        <v>90007</v>
      </c>
    </row>
    <row r="2306" spans="1:8" x14ac:dyDescent="0.3">
      <c r="A2306">
        <v>10567</v>
      </c>
      <c r="B2306" t="s">
        <v>5</v>
      </c>
      <c r="C2306" t="s">
        <v>1200</v>
      </c>
      <c r="D2306" t="s">
        <v>107</v>
      </c>
      <c r="E2306" t="s">
        <v>8</v>
      </c>
      <c r="F2306" t="s">
        <v>9</v>
      </c>
      <c r="G2306" t="s">
        <v>5005</v>
      </c>
      <c r="H2306" s="7">
        <v>725</v>
      </c>
    </row>
    <row r="2307" spans="1:8" x14ac:dyDescent="0.3">
      <c r="A2307">
        <v>10573</v>
      </c>
      <c r="B2307" t="s">
        <v>368</v>
      </c>
      <c r="C2307" t="s">
        <v>1391</v>
      </c>
      <c r="D2307" t="s">
        <v>1351</v>
      </c>
      <c r="E2307" t="s">
        <v>8</v>
      </c>
      <c r="F2307" t="s">
        <v>88</v>
      </c>
      <c r="G2307" t="s">
        <v>1466</v>
      </c>
      <c r="H2307" s="7">
        <v>10040</v>
      </c>
    </row>
    <row r="2308" spans="1:8" x14ac:dyDescent="0.3">
      <c r="A2308">
        <v>10575</v>
      </c>
      <c r="B2308" t="s">
        <v>2290</v>
      </c>
      <c r="C2308" t="s">
        <v>93</v>
      </c>
      <c r="D2308" t="s">
        <v>1666</v>
      </c>
      <c r="E2308" t="s">
        <v>8</v>
      </c>
      <c r="F2308" t="s">
        <v>21</v>
      </c>
      <c r="G2308" t="s">
        <v>353</v>
      </c>
      <c r="H2308" s="7">
        <v>91762</v>
      </c>
    </row>
    <row r="2309" spans="1:8" x14ac:dyDescent="0.3">
      <c r="A2309">
        <v>10578</v>
      </c>
      <c r="B2309" t="s">
        <v>5</v>
      </c>
      <c r="C2309" t="s">
        <v>755</v>
      </c>
      <c r="D2309" t="s">
        <v>107</v>
      </c>
      <c r="E2309" t="s">
        <v>8</v>
      </c>
      <c r="F2309" t="s">
        <v>9</v>
      </c>
      <c r="G2309" t="s">
        <v>5547</v>
      </c>
      <c r="H2309" s="7">
        <v>725</v>
      </c>
    </row>
    <row r="2310" spans="1:8" x14ac:dyDescent="0.3">
      <c r="A2310">
        <v>10584</v>
      </c>
      <c r="B2310" t="s">
        <v>174</v>
      </c>
      <c r="C2310" t="s">
        <v>93</v>
      </c>
      <c r="D2310" t="s">
        <v>107</v>
      </c>
      <c r="E2310" t="s">
        <v>8</v>
      </c>
      <c r="F2310" t="s">
        <v>21</v>
      </c>
      <c r="G2310" t="s">
        <v>1959</v>
      </c>
      <c r="H2310" s="7">
        <v>90007</v>
      </c>
    </row>
    <row r="2311" spans="1:8" x14ac:dyDescent="0.3">
      <c r="A2311">
        <v>10593</v>
      </c>
      <c r="B2311" t="s">
        <v>5</v>
      </c>
      <c r="C2311" t="s">
        <v>93</v>
      </c>
      <c r="D2311" t="s">
        <v>2909</v>
      </c>
      <c r="E2311" t="s">
        <v>27</v>
      </c>
      <c r="F2311" t="s">
        <v>9</v>
      </c>
      <c r="G2311" t="s">
        <v>3031</v>
      </c>
      <c r="H2311" s="7">
        <v>725</v>
      </c>
    </row>
    <row r="2312" spans="1:8" x14ac:dyDescent="0.3">
      <c r="A2312">
        <v>10598</v>
      </c>
      <c r="B2312" t="s">
        <v>5</v>
      </c>
      <c r="C2312" t="s">
        <v>1109</v>
      </c>
      <c r="D2312" t="s">
        <v>107</v>
      </c>
      <c r="E2312" t="s">
        <v>8</v>
      </c>
      <c r="F2312" t="s">
        <v>9</v>
      </c>
      <c r="G2312" t="s">
        <v>5282</v>
      </c>
      <c r="H2312" s="7">
        <v>725</v>
      </c>
    </row>
    <row r="2313" spans="1:8" x14ac:dyDescent="0.3">
      <c r="A2313">
        <v>10609</v>
      </c>
      <c r="B2313" t="s">
        <v>2290</v>
      </c>
      <c r="C2313" t="s">
        <v>93</v>
      </c>
      <c r="D2313" t="s">
        <v>107</v>
      </c>
      <c r="E2313" t="s">
        <v>27</v>
      </c>
      <c r="F2313" t="s">
        <v>21</v>
      </c>
      <c r="G2313" t="s">
        <v>2291</v>
      </c>
      <c r="H2313" s="7">
        <v>91761</v>
      </c>
    </row>
    <row r="2314" spans="1:8" x14ac:dyDescent="0.3">
      <c r="A2314">
        <v>10617</v>
      </c>
      <c r="B2314" t="s">
        <v>495</v>
      </c>
      <c r="C2314" t="s">
        <v>397</v>
      </c>
      <c r="D2314" t="s">
        <v>107</v>
      </c>
      <c r="E2314" t="s">
        <v>95</v>
      </c>
      <c r="F2314" t="s">
        <v>88</v>
      </c>
      <c r="G2314" t="s">
        <v>2677</v>
      </c>
      <c r="H2314" s="7">
        <v>11204</v>
      </c>
    </row>
    <row r="2315" spans="1:8" x14ac:dyDescent="0.3">
      <c r="A2315">
        <v>10620</v>
      </c>
      <c r="B2315" t="s">
        <v>5</v>
      </c>
      <c r="C2315" t="s">
        <v>93</v>
      </c>
      <c r="D2315" t="s">
        <v>107</v>
      </c>
      <c r="E2315" t="s">
        <v>27</v>
      </c>
      <c r="F2315" t="s">
        <v>9</v>
      </c>
      <c r="G2315" t="s">
        <v>2612</v>
      </c>
      <c r="H2315" s="7">
        <v>725</v>
      </c>
    </row>
    <row r="2316" spans="1:8" x14ac:dyDescent="0.3">
      <c r="A2316">
        <v>10622</v>
      </c>
      <c r="B2316" t="s">
        <v>5</v>
      </c>
      <c r="C2316" t="s">
        <v>93</v>
      </c>
      <c r="D2316" t="s">
        <v>1087</v>
      </c>
      <c r="E2316" t="s">
        <v>8</v>
      </c>
      <c r="F2316" t="s">
        <v>9</v>
      </c>
      <c r="G2316" t="s">
        <v>1088</v>
      </c>
      <c r="H2316" s="7">
        <v>725</v>
      </c>
    </row>
    <row r="2317" spans="1:8" x14ac:dyDescent="0.3">
      <c r="A2317">
        <v>10625</v>
      </c>
      <c r="B2317" t="s">
        <v>117</v>
      </c>
      <c r="C2317" t="s">
        <v>288</v>
      </c>
      <c r="D2317" t="s">
        <v>1746</v>
      </c>
      <c r="E2317" t="s">
        <v>8</v>
      </c>
      <c r="F2317" t="s">
        <v>21</v>
      </c>
      <c r="G2317" t="s">
        <v>1747</v>
      </c>
      <c r="H2317" s="7">
        <v>92115</v>
      </c>
    </row>
    <row r="2318" spans="1:8" x14ac:dyDescent="0.3">
      <c r="A2318">
        <v>10628</v>
      </c>
      <c r="B2318" t="s">
        <v>2290</v>
      </c>
      <c r="C2318" t="s">
        <v>93</v>
      </c>
      <c r="D2318" t="s">
        <v>2499</v>
      </c>
      <c r="E2318" t="s">
        <v>95</v>
      </c>
      <c r="F2318" t="s">
        <v>21</v>
      </c>
      <c r="G2318" t="s">
        <v>2500</v>
      </c>
      <c r="H2318" s="7">
        <v>91764</v>
      </c>
    </row>
    <row r="2319" spans="1:8" x14ac:dyDescent="0.3">
      <c r="A2319">
        <v>10635</v>
      </c>
      <c r="B2319" t="s">
        <v>5</v>
      </c>
      <c r="C2319" t="s">
        <v>696</v>
      </c>
      <c r="D2319" t="s">
        <v>1189</v>
      </c>
      <c r="E2319" t="s">
        <v>8</v>
      </c>
      <c r="F2319" t="s">
        <v>9</v>
      </c>
      <c r="G2319" t="s">
        <v>4647</v>
      </c>
      <c r="H2319" s="7">
        <v>725</v>
      </c>
    </row>
    <row r="2320" spans="1:8" x14ac:dyDescent="0.3">
      <c r="A2320">
        <v>10643</v>
      </c>
      <c r="B2320" t="s">
        <v>1938</v>
      </c>
      <c r="C2320" t="s">
        <v>407</v>
      </c>
      <c r="D2320" t="s">
        <v>1420</v>
      </c>
      <c r="E2320" t="s">
        <v>27</v>
      </c>
      <c r="F2320" t="s">
        <v>21</v>
      </c>
      <c r="G2320" t="s">
        <v>4414</v>
      </c>
      <c r="H2320" s="7">
        <v>92025</v>
      </c>
    </row>
    <row r="2321" spans="1:8" x14ac:dyDescent="0.3">
      <c r="A2321">
        <v>10646</v>
      </c>
      <c r="B2321" t="s">
        <v>5</v>
      </c>
      <c r="C2321" t="s">
        <v>93</v>
      </c>
      <c r="D2321" t="s">
        <v>107</v>
      </c>
      <c r="E2321" t="s">
        <v>8</v>
      </c>
      <c r="F2321" t="s">
        <v>9</v>
      </c>
      <c r="G2321" t="s">
        <v>2863</v>
      </c>
      <c r="H2321" s="7">
        <v>725</v>
      </c>
    </row>
    <row r="2322" spans="1:8" x14ac:dyDescent="0.3">
      <c r="A2322">
        <v>10659</v>
      </c>
      <c r="B2322" t="s">
        <v>997</v>
      </c>
      <c r="C2322" t="s">
        <v>2693</v>
      </c>
      <c r="D2322" t="s">
        <v>2862</v>
      </c>
      <c r="E2322" t="s">
        <v>8</v>
      </c>
      <c r="F2322" t="s">
        <v>308</v>
      </c>
      <c r="G2322" t="s">
        <v>4090</v>
      </c>
      <c r="H2322" s="7">
        <v>7105</v>
      </c>
    </row>
    <row r="2323" spans="1:8" x14ac:dyDescent="0.3">
      <c r="A2323">
        <v>10664</v>
      </c>
      <c r="B2323" t="s">
        <v>3857</v>
      </c>
      <c r="C2323" t="s">
        <v>93</v>
      </c>
      <c r="D2323" t="s">
        <v>1382</v>
      </c>
      <c r="E2323" t="s">
        <v>27</v>
      </c>
      <c r="F2323" t="s">
        <v>21</v>
      </c>
      <c r="G2323" t="s">
        <v>3041</v>
      </c>
      <c r="H2323" s="7">
        <v>94583</v>
      </c>
    </row>
    <row r="2324" spans="1:8" x14ac:dyDescent="0.3">
      <c r="A2324">
        <v>10670</v>
      </c>
      <c r="B2324" t="s">
        <v>5</v>
      </c>
      <c r="C2324" t="s">
        <v>93</v>
      </c>
      <c r="D2324" t="s">
        <v>107</v>
      </c>
      <c r="E2324" t="s">
        <v>8</v>
      </c>
      <c r="F2324" t="s">
        <v>9</v>
      </c>
      <c r="G2324" t="s">
        <v>3574</v>
      </c>
      <c r="H2324" s="7">
        <v>725</v>
      </c>
    </row>
    <row r="2325" spans="1:8" x14ac:dyDescent="0.3">
      <c r="A2325">
        <v>10676</v>
      </c>
      <c r="B2325" t="s">
        <v>999</v>
      </c>
      <c r="C2325" t="s">
        <v>957</v>
      </c>
      <c r="D2325" t="s">
        <v>1351</v>
      </c>
      <c r="E2325" t="s">
        <v>27</v>
      </c>
      <c r="F2325" t="s">
        <v>55</v>
      </c>
      <c r="G2325" t="s">
        <v>3014</v>
      </c>
      <c r="H2325" s="7">
        <v>62301</v>
      </c>
    </row>
    <row r="2326" spans="1:8" x14ac:dyDescent="0.3">
      <c r="A2326">
        <v>10677</v>
      </c>
      <c r="B2326" t="s">
        <v>5</v>
      </c>
      <c r="C2326" t="s">
        <v>93</v>
      </c>
      <c r="D2326" t="s">
        <v>107</v>
      </c>
      <c r="E2326" t="s">
        <v>8</v>
      </c>
      <c r="F2326" t="s">
        <v>9</v>
      </c>
      <c r="G2326" t="s">
        <v>2463</v>
      </c>
      <c r="H2326" s="7">
        <v>725</v>
      </c>
    </row>
    <row r="2327" spans="1:8" x14ac:dyDescent="0.3">
      <c r="A2327">
        <v>10679</v>
      </c>
      <c r="B2327" t="s">
        <v>5</v>
      </c>
      <c r="C2327" t="s">
        <v>93</v>
      </c>
      <c r="D2327" t="s">
        <v>107</v>
      </c>
      <c r="E2327" t="s">
        <v>95</v>
      </c>
      <c r="F2327" t="s">
        <v>9</v>
      </c>
      <c r="G2327" t="s">
        <v>2734</v>
      </c>
      <c r="H2327" s="7">
        <v>725</v>
      </c>
    </row>
    <row r="2328" spans="1:8" x14ac:dyDescent="0.3">
      <c r="A2328">
        <v>10684</v>
      </c>
      <c r="B2328" t="s">
        <v>1313</v>
      </c>
      <c r="C2328" t="s">
        <v>417</v>
      </c>
      <c r="D2328" t="s">
        <v>107</v>
      </c>
      <c r="E2328" t="s">
        <v>95</v>
      </c>
      <c r="F2328" t="s">
        <v>448</v>
      </c>
      <c r="G2328" t="s">
        <v>3718</v>
      </c>
      <c r="H2328" s="7">
        <v>33161</v>
      </c>
    </row>
    <row r="2329" spans="1:8" x14ac:dyDescent="0.3">
      <c r="A2329">
        <v>10685</v>
      </c>
      <c r="B2329" t="s">
        <v>18</v>
      </c>
      <c r="C2329" t="s">
        <v>895</v>
      </c>
      <c r="D2329" t="s">
        <v>403</v>
      </c>
      <c r="E2329" t="s">
        <v>8</v>
      </c>
      <c r="F2329" t="s">
        <v>21</v>
      </c>
      <c r="G2329" t="s">
        <v>4094</v>
      </c>
      <c r="H2329" s="7">
        <v>95116</v>
      </c>
    </row>
    <row r="2330" spans="1:8" x14ac:dyDescent="0.3">
      <c r="A2330">
        <v>10694</v>
      </c>
      <c r="B2330" t="s">
        <v>5</v>
      </c>
      <c r="C2330" t="s">
        <v>93</v>
      </c>
      <c r="D2330" t="s">
        <v>2336</v>
      </c>
      <c r="E2330" t="s">
        <v>8</v>
      </c>
      <c r="F2330" t="s">
        <v>9</v>
      </c>
      <c r="G2330" t="s">
        <v>5175</v>
      </c>
      <c r="H2330" s="7">
        <v>725</v>
      </c>
    </row>
    <row r="2331" spans="1:8" x14ac:dyDescent="0.3">
      <c r="A2331">
        <v>10701</v>
      </c>
      <c r="B2331" t="s">
        <v>1328</v>
      </c>
      <c r="C2331" t="s">
        <v>2713</v>
      </c>
      <c r="D2331" t="s">
        <v>107</v>
      </c>
      <c r="E2331" t="s">
        <v>8</v>
      </c>
      <c r="F2331" t="s">
        <v>21</v>
      </c>
      <c r="G2331" t="s">
        <v>2375</v>
      </c>
      <c r="H2331" s="7">
        <v>90262</v>
      </c>
    </row>
    <row r="2332" spans="1:8" x14ac:dyDescent="0.3">
      <c r="A2332">
        <v>10705</v>
      </c>
      <c r="B2332" t="s">
        <v>970</v>
      </c>
      <c r="C2332" t="s">
        <v>93</v>
      </c>
      <c r="D2332" t="s">
        <v>2435</v>
      </c>
      <c r="E2332" t="s">
        <v>27</v>
      </c>
      <c r="F2332" t="s">
        <v>448</v>
      </c>
      <c r="G2332" t="s">
        <v>4898</v>
      </c>
      <c r="H2332" s="7">
        <v>32808</v>
      </c>
    </row>
    <row r="2333" spans="1:8" x14ac:dyDescent="0.3">
      <c r="A2333">
        <v>10721</v>
      </c>
      <c r="B2333" t="s">
        <v>5</v>
      </c>
      <c r="C2333" t="s">
        <v>93</v>
      </c>
      <c r="D2333" t="s">
        <v>107</v>
      </c>
      <c r="E2333" t="s">
        <v>8</v>
      </c>
      <c r="F2333" t="s">
        <v>9</v>
      </c>
      <c r="G2333" t="s">
        <v>569</v>
      </c>
      <c r="H2333" s="7">
        <v>725</v>
      </c>
    </row>
    <row r="2334" spans="1:8" x14ac:dyDescent="0.3">
      <c r="A2334">
        <v>10728</v>
      </c>
      <c r="B2334" t="s">
        <v>388</v>
      </c>
      <c r="C2334" t="s">
        <v>1504</v>
      </c>
      <c r="D2334" t="s">
        <v>107</v>
      </c>
      <c r="E2334" t="s">
        <v>8</v>
      </c>
      <c r="F2334" t="s">
        <v>308</v>
      </c>
      <c r="G2334" t="s">
        <v>4903</v>
      </c>
      <c r="H2334" s="7">
        <v>7052</v>
      </c>
    </row>
    <row r="2335" spans="1:8" x14ac:dyDescent="0.3">
      <c r="A2335">
        <v>10729</v>
      </c>
      <c r="B2335" t="s">
        <v>5</v>
      </c>
      <c r="C2335" t="s">
        <v>93</v>
      </c>
      <c r="D2335" t="s">
        <v>2909</v>
      </c>
      <c r="E2335" t="s">
        <v>8</v>
      </c>
      <c r="F2335" t="s">
        <v>9</v>
      </c>
      <c r="G2335" t="s">
        <v>1403</v>
      </c>
      <c r="H2335" s="7">
        <v>725</v>
      </c>
    </row>
    <row r="2336" spans="1:8" x14ac:dyDescent="0.3">
      <c r="A2336">
        <v>10745</v>
      </c>
      <c r="B2336" t="s">
        <v>5</v>
      </c>
      <c r="C2336" t="s">
        <v>93</v>
      </c>
      <c r="D2336" t="s">
        <v>1410</v>
      </c>
      <c r="E2336" t="s">
        <v>8</v>
      </c>
      <c r="F2336" t="s">
        <v>9</v>
      </c>
      <c r="G2336" t="s">
        <v>4457</v>
      </c>
      <c r="H2336" s="7">
        <v>725</v>
      </c>
    </row>
    <row r="2337" spans="1:8" x14ac:dyDescent="0.3">
      <c r="A2337">
        <v>10746</v>
      </c>
      <c r="B2337" t="s">
        <v>1844</v>
      </c>
      <c r="C2337" t="s">
        <v>766</v>
      </c>
      <c r="D2337" t="s">
        <v>107</v>
      </c>
      <c r="E2337" t="s">
        <v>27</v>
      </c>
      <c r="F2337" t="s">
        <v>448</v>
      </c>
      <c r="G2337" t="s">
        <v>2659</v>
      </c>
      <c r="H2337" s="7">
        <v>32792</v>
      </c>
    </row>
    <row r="2338" spans="1:8" x14ac:dyDescent="0.3">
      <c r="A2338">
        <v>10753</v>
      </c>
      <c r="B2338" t="s">
        <v>5</v>
      </c>
      <c r="C2338" t="s">
        <v>724</v>
      </c>
      <c r="D2338" t="s">
        <v>165</v>
      </c>
      <c r="E2338" t="s">
        <v>8</v>
      </c>
      <c r="F2338" t="s">
        <v>9</v>
      </c>
      <c r="G2338" t="s">
        <v>1083</v>
      </c>
      <c r="H2338" s="7">
        <v>725</v>
      </c>
    </row>
    <row r="2339" spans="1:8" x14ac:dyDescent="0.3">
      <c r="A2339">
        <v>10758</v>
      </c>
      <c r="B2339" t="s">
        <v>1782</v>
      </c>
      <c r="C2339" t="s">
        <v>1039</v>
      </c>
      <c r="D2339" t="s">
        <v>2332</v>
      </c>
      <c r="E2339" t="s">
        <v>95</v>
      </c>
      <c r="F2339" t="s">
        <v>140</v>
      </c>
      <c r="G2339" t="s">
        <v>5570</v>
      </c>
      <c r="H2339" s="7">
        <v>30067</v>
      </c>
    </row>
    <row r="2340" spans="1:8" x14ac:dyDescent="0.3">
      <c r="A2340">
        <v>10759</v>
      </c>
      <c r="B2340" t="s">
        <v>5</v>
      </c>
      <c r="C2340" t="s">
        <v>462</v>
      </c>
      <c r="D2340" t="s">
        <v>107</v>
      </c>
      <c r="E2340" t="s">
        <v>95</v>
      </c>
      <c r="F2340" t="s">
        <v>9</v>
      </c>
      <c r="G2340" t="s">
        <v>3884</v>
      </c>
      <c r="H2340" s="7">
        <v>725</v>
      </c>
    </row>
    <row r="2341" spans="1:8" x14ac:dyDescent="0.3">
      <c r="A2341">
        <v>10762</v>
      </c>
      <c r="B2341" t="s">
        <v>2325</v>
      </c>
      <c r="C2341" t="s">
        <v>520</v>
      </c>
      <c r="D2341" t="s">
        <v>2245</v>
      </c>
      <c r="E2341" t="s">
        <v>8</v>
      </c>
      <c r="F2341" t="s">
        <v>158</v>
      </c>
      <c r="G2341" t="s">
        <v>3922</v>
      </c>
      <c r="H2341" s="7">
        <v>37013</v>
      </c>
    </row>
    <row r="2342" spans="1:8" x14ac:dyDescent="0.3">
      <c r="A2342">
        <v>10767</v>
      </c>
      <c r="B2342" t="s">
        <v>195</v>
      </c>
      <c r="C2342" t="s">
        <v>93</v>
      </c>
      <c r="D2342" t="s">
        <v>3204</v>
      </c>
      <c r="E2342" t="s">
        <v>8</v>
      </c>
      <c r="F2342" t="s">
        <v>21</v>
      </c>
      <c r="G2342" t="s">
        <v>3205</v>
      </c>
      <c r="H2342" s="7">
        <v>92840</v>
      </c>
    </row>
    <row r="2343" spans="1:8" x14ac:dyDescent="0.3">
      <c r="A2343">
        <v>10779</v>
      </c>
      <c r="B2343" t="s">
        <v>1143</v>
      </c>
      <c r="C2343" t="s">
        <v>1144</v>
      </c>
      <c r="D2343" t="s">
        <v>107</v>
      </c>
      <c r="E2343" t="s">
        <v>8</v>
      </c>
      <c r="F2343" t="s">
        <v>1145</v>
      </c>
      <c r="G2343" t="s">
        <v>1146</v>
      </c>
      <c r="H2343" s="7">
        <v>53215</v>
      </c>
    </row>
    <row r="2344" spans="1:8" x14ac:dyDescent="0.3">
      <c r="A2344">
        <v>10796</v>
      </c>
      <c r="B2344" t="s">
        <v>1096</v>
      </c>
      <c r="C2344" t="s">
        <v>790</v>
      </c>
      <c r="D2344" t="s">
        <v>982</v>
      </c>
      <c r="E2344" t="s">
        <v>8</v>
      </c>
      <c r="F2344" t="s">
        <v>242</v>
      </c>
      <c r="G2344" t="s">
        <v>1297</v>
      </c>
      <c r="H2344" s="7">
        <v>20854</v>
      </c>
    </row>
    <row r="2345" spans="1:8" x14ac:dyDescent="0.3">
      <c r="A2345">
        <v>10807</v>
      </c>
      <c r="B2345" t="s">
        <v>5</v>
      </c>
      <c r="C2345" t="s">
        <v>573</v>
      </c>
      <c r="D2345" t="s">
        <v>574</v>
      </c>
      <c r="E2345" t="s">
        <v>8</v>
      </c>
      <c r="F2345" t="s">
        <v>9</v>
      </c>
      <c r="G2345" t="s">
        <v>575</v>
      </c>
      <c r="H2345" s="7">
        <v>725</v>
      </c>
    </row>
    <row r="2346" spans="1:8" x14ac:dyDescent="0.3">
      <c r="A2346">
        <v>10809</v>
      </c>
      <c r="B2346" t="s">
        <v>5</v>
      </c>
      <c r="C2346" t="s">
        <v>1482</v>
      </c>
      <c r="D2346" t="s">
        <v>2268</v>
      </c>
      <c r="E2346" t="s">
        <v>95</v>
      </c>
      <c r="F2346" t="s">
        <v>9</v>
      </c>
      <c r="G2346" t="s">
        <v>4824</v>
      </c>
      <c r="H2346" s="7">
        <v>725</v>
      </c>
    </row>
    <row r="2347" spans="1:8" x14ac:dyDescent="0.3">
      <c r="A2347">
        <v>10811</v>
      </c>
      <c r="B2347" t="s">
        <v>5</v>
      </c>
      <c r="C2347" t="s">
        <v>1767</v>
      </c>
      <c r="D2347" t="s">
        <v>617</v>
      </c>
      <c r="E2347" t="s">
        <v>8</v>
      </c>
      <c r="F2347" t="s">
        <v>9</v>
      </c>
      <c r="G2347" t="s">
        <v>4063</v>
      </c>
      <c r="H2347" s="7">
        <v>725</v>
      </c>
    </row>
    <row r="2348" spans="1:8" x14ac:dyDescent="0.3">
      <c r="A2348">
        <v>10821</v>
      </c>
      <c r="B2348" t="s">
        <v>2744</v>
      </c>
      <c r="C2348" t="s">
        <v>93</v>
      </c>
      <c r="D2348" t="s">
        <v>1343</v>
      </c>
      <c r="E2348" t="s">
        <v>8</v>
      </c>
      <c r="F2348" t="s">
        <v>308</v>
      </c>
      <c r="G2348" t="s">
        <v>2745</v>
      </c>
      <c r="H2348" s="7">
        <v>8753</v>
      </c>
    </row>
    <row r="2349" spans="1:8" x14ac:dyDescent="0.3">
      <c r="A2349">
        <v>10823</v>
      </c>
      <c r="B2349" t="s">
        <v>1942</v>
      </c>
      <c r="C2349" t="s">
        <v>1112</v>
      </c>
      <c r="D2349" t="s">
        <v>1943</v>
      </c>
      <c r="E2349" t="s">
        <v>8</v>
      </c>
      <c r="F2349" t="s">
        <v>381</v>
      </c>
      <c r="G2349" t="s">
        <v>1429</v>
      </c>
      <c r="H2349" s="7">
        <v>48212</v>
      </c>
    </row>
    <row r="2350" spans="1:8" x14ac:dyDescent="0.3">
      <c r="A2350">
        <v>10825</v>
      </c>
      <c r="B2350" t="s">
        <v>2543</v>
      </c>
      <c r="C2350" t="s">
        <v>417</v>
      </c>
      <c r="D2350" t="s">
        <v>3958</v>
      </c>
      <c r="E2350" t="s">
        <v>8</v>
      </c>
      <c r="F2350" t="s">
        <v>88</v>
      </c>
      <c r="G2350" t="s">
        <v>5177</v>
      </c>
      <c r="H2350" s="7">
        <v>11435</v>
      </c>
    </row>
    <row r="2351" spans="1:8" x14ac:dyDescent="0.3">
      <c r="A2351">
        <v>10830</v>
      </c>
      <c r="B2351" t="s">
        <v>2117</v>
      </c>
      <c r="C2351" t="s">
        <v>93</v>
      </c>
      <c r="D2351" t="s">
        <v>4774</v>
      </c>
      <c r="E2351" t="s">
        <v>8</v>
      </c>
      <c r="F2351" t="s">
        <v>21</v>
      </c>
      <c r="G2351" t="s">
        <v>4775</v>
      </c>
      <c r="H2351" s="7">
        <v>91770</v>
      </c>
    </row>
    <row r="2352" spans="1:8" x14ac:dyDescent="0.3">
      <c r="A2352">
        <v>10835</v>
      </c>
      <c r="B2352" t="s">
        <v>858</v>
      </c>
      <c r="C2352" t="s">
        <v>93</v>
      </c>
      <c r="D2352" t="s">
        <v>4103</v>
      </c>
      <c r="E2352" t="s">
        <v>8</v>
      </c>
      <c r="F2352" t="s">
        <v>629</v>
      </c>
      <c r="G2352" t="s">
        <v>5147</v>
      </c>
      <c r="H2352" s="7">
        <v>70122</v>
      </c>
    </row>
    <row r="2353" spans="1:8" x14ac:dyDescent="0.3">
      <c r="A2353">
        <v>10837</v>
      </c>
      <c r="B2353" t="s">
        <v>5</v>
      </c>
      <c r="C2353" t="s">
        <v>93</v>
      </c>
      <c r="D2353" t="s">
        <v>3578</v>
      </c>
      <c r="E2353" t="s">
        <v>95</v>
      </c>
      <c r="F2353" t="s">
        <v>9</v>
      </c>
      <c r="G2353" t="s">
        <v>3579</v>
      </c>
      <c r="H2353" s="7">
        <v>725</v>
      </c>
    </row>
    <row r="2354" spans="1:8" x14ac:dyDescent="0.3">
      <c r="A2354">
        <v>10841</v>
      </c>
      <c r="B2354" t="s">
        <v>3008</v>
      </c>
      <c r="C2354" t="s">
        <v>93</v>
      </c>
      <c r="D2354" t="s">
        <v>3402</v>
      </c>
      <c r="E2354" t="s">
        <v>95</v>
      </c>
      <c r="F2354" t="s">
        <v>158</v>
      </c>
      <c r="G2354" t="s">
        <v>3403</v>
      </c>
      <c r="H2354" s="7">
        <v>38116</v>
      </c>
    </row>
    <row r="2355" spans="1:8" x14ac:dyDescent="0.3">
      <c r="A2355">
        <v>10843</v>
      </c>
      <c r="B2355" t="s">
        <v>435</v>
      </c>
      <c r="C2355" t="s">
        <v>106</v>
      </c>
      <c r="D2355" t="s">
        <v>2201</v>
      </c>
      <c r="E2355" t="s">
        <v>27</v>
      </c>
      <c r="F2355" t="s">
        <v>172</v>
      </c>
      <c r="G2355" t="s">
        <v>2202</v>
      </c>
      <c r="H2355" s="7">
        <v>63136</v>
      </c>
    </row>
    <row r="2356" spans="1:8" x14ac:dyDescent="0.3">
      <c r="A2356">
        <v>10844</v>
      </c>
      <c r="B2356" t="s">
        <v>204</v>
      </c>
      <c r="C2356" t="s">
        <v>93</v>
      </c>
      <c r="D2356" t="s">
        <v>1308</v>
      </c>
      <c r="E2356" t="s">
        <v>95</v>
      </c>
      <c r="F2356" t="s">
        <v>21</v>
      </c>
      <c r="G2356" t="s">
        <v>5585</v>
      </c>
      <c r="H2356" s="7">
        <v>91344</v>
      </c>
    </row>
    <row r="2357" spans="1:8" x14ac:dyDescent="0.3">
      <c r="A2357">
        <v>10847</v>
      </c>
      <c r="B2357" t="s">
        <v>5</v>
      </c>
      <c r="C2357" t="s">
        <v>93</v>
      </c>
      <c r="D2357" t="s">
        <v>2545</v>
      </c>
      <c r="E2357" t="s">
        <v>8</v>
      </c>
      <c r="F2357" t="s">
        <v>9</v>
      </c>
      <c r="G2357" t="s">
        <v>5242</v>
      </c>
      <c r="H2357" s="7">
        <v>725</v>
      </c>
    </row>
    <row r="2358" spans="1:8" x14ac:dyDescent="0.3">
      <c r="A2358">
        <v>10853</v>
      </c>
      <c r="B2358" t="s">
        <v>862</v>
      </c>
      <c r="C2358" t="s">
        <v>738</v>
      </c>
      <c r="D2358" t="s">
        <v>107</v>
      </c>
      <c r="E2358" t="s">
        <v>95</v>
      </c>
      <c r="F2358" t="s">
        <v>478</v>
      </c>
      <c r="G2358" t="s">
        <v>2022</v>
      </c>
      <c r="H2358" s="7">
        <v>89110</v>
      </c>
    </row>
    <row r="2359" spans="1:8" x14ac:dyDescent="0.3">
      <c r="A2359">
        <v>10856</v>
      </c>
      <c r="B2359" t="s">
        <v>2744</v>
      </c>
      <c r="C2359" t="s">
        <v>93</v>
      </c>
      <c r="D2359" t="s">
        <v>3269</v>
      </c>
      <c r="E2359" t="s">
        <v>95</v>
      </c>
      <c r="F2359" t="s">
        <v>308</v>
      </c>
      <c r="G2359" t="s">
        <v>5659</v>
      </c>
      <c r="H2359" s="7">
        <v>8753</v>
      </c>
    </row>
    <row r="2360" spans="1:8" x14ac:dyDescent="0.3">
      <c r="A2360">
        <v>10865</v>
      </c>
      <c r="B2360" t="s">
        <v>2651</v>
      </c>
      <c r="C2360" t="s">
        <v>167</v>
      </c>
      <c r="D2360" t="s">
        <v>2591</v>
      </c>
      <c r="E2360" t="s">
        <v>8</v>
      </c>
      <c r="F2360" t="s">
        <v>140</v>
      </c>
      <c r="G2360" t="s">
        <v>3158</v>
      </c>
      <c r="H2360" s="7">
        <v>30022</v>
      </c>
    </row>
    <row r="2361" spans="1:8" x14ac:dyDescent="0.3">
      <c r="A2361">
        <v>10874</v>
      </c>
      <c r="B2361" t="s">
        <v>117</v>
      </c>
      <c r="C2361" t="s">
        <v>3232</v>
      </c>
      <c r="D2361" t="s">
        <v>107</v>
      </c>
      <c r="E2361" t="s">
        <v>8</v>
      </c>
      <c r="F2361" t="s">
        <v>21</v>
      </c>
      <c r="G2361" t="s">
        <v>4969</v>
      </c>
      <c r="H2361" s="7">
        <v>92154</v>
      </c>
    </row>
    <row r="2362" spans="1:8" x14ac:dyDescent="0.3">
      <c r="A2362">
        <v>10881</v>
      </c>
      <c r="B2362" t="s">
        <v>670</v>
      </c>
      <c r="C2362" t="s">
        <v>577</v>
      </c>
      <c r="D2362" t="s">
        <v>107</v>
      </c>
      <c r="E2362" t="s">
        <v>8</v>
      </c>
      <c r="F2362" t="s">
        <v>88</v>
      </c>
      <c r="G2362" t="s">
        <v>1209</v>
      </c>
      <c r="H2362" s="7">
        <v>11373</v>
      </c>
    </row>
    <row r="2363" spans="1:8" x14ac:dyDescent="0.3">
      <c r="A2363">
        <v>10893</v>
      </c>
      <c r="B2363" t="s">
        <v>2106</v>
      </c>
      <c r="C2363" t="s">
        <v>1853</v>
      </c>
      <c r="D2363" t="s">
        <v>107</v>
      </c>
      <c r="E2363" t="s">
        <v>27</v>
      </c>
      <c r="F2363" t="s">
        <v>21</v>
      </c>
      <c r="G2363" t="s">
        <v>2797</v>
      </c>
      <c r="H2363" s="7">
        <v>92503</v>
      </c>
    </row>
    <row r="2364" spans="1:8" x14ac:dyDescent="0.3">
      <c r="A2364">
        <v>10898</v>
      </c>
      <c r="B2364" t="s">
        <v>5</v>
      </c>
      <c r="C2364" t="s">
        <v>251</v>
      </c>
      <c r="D2364" t="s">
        <v>3647</v>
      </c>
      <c r="E2364" t="s">
        <v>8</v>
      </c>
      <c r="F2364" t="s">
        <v>9</v>
      </c>
      <c r="G2364" t="s">
        <v>3648</v>
      </c>
      <c r="H2364" s="7">
        <v>725</v>
      </c>
    </row>
    <row r="2365" spans="1:8" x14ac:dyDescent="0.3">
      <c r="A2365">
        <v>10901</v>
      </c>
      <c r="B2365" t="s">
        <v>3022</v>
      </c>
      <c r="C2365" t="s">
        <v>886</v>
      </c>
      <c r="D2365" t="s">
        <v>3320</v>
      </c>
      <c r="E2365" t="s">
        <v>27</v>
      </c>
      <c r="F2365" t="s">
        <v>21</v>
      </c>
      <c r="G2365" t="s">
        <v>2790</v>
      </c>
      <c r="H2365" s="7">
        <v>94591</v>
      </c>
    </row>
    <row r="2366" spans="1:8" x14ac:dyDescent="0.3">
      <c r="A2366">
        <v>10909</v>
      </c>
      <c r="B2366" t="s">
        <v>443</v>
      </c>
      <c r="C2366" t="s">
        <v>1080</v>
      </c>
      <c r="D2366" t="s">
        <v>717</v>
      </c>
      <c r="E2366" t="s">
        <v>8</v>
      </c>
      <c r="F2366" t="s">
        <v>108</v>
      </c>
      <c r="G2366" t="s">
        <v>1524</v>
      </c>
      <c r="H2366" s="7">
        <v>97229</v>
      </c>
    </row>
    <row r="2367" spans="1:8" x14ac:dyDescent="0.3">
      <c r="A2367">
        <v>10910</v>
      </c>
      <c r="B2367" t="s">
        <v>5</v>
      </c>
      <c r="C2367" t="s">
        <v>738</v>
      </c>
      <c r="D2367" t="s">
        <v>107</v>
      </c>
      <c r="E2367" t="s">
        <v>8</v>
      </c>
      <c r="F2367" t="s">
        <v>9</v>
      </c>
      <c r="G2367" t="s">
        <v>1759</v>
      </c>
      <c r="H2367" s="7">
        <v>725</v>
      </c>
    </row>
    <row r="2368" spans="1:8" x14ac:dyDescent="0.3">
      <c r="A2368">
        <v>10921</v>
      </c>
      <c r="B2368" t="s">
        <v>1520</v>
      </c>
      <c r="C2368" t="s">
        <v>3126</v>
      </c>
      <c r="D2368" t="s">
        <v>2892</v>
      </c>
      <c r="E2368" t="s">
        <v>8</v>
      </c>
      <c r="F2368" t="s">
        <v>381</v>
      </c>
      <c r="G2368" t="s">
        <v>3201</v>
      </c>
      <c r="H2368" s="7">
        <v>49509</v>
      </c>
    </row>
    <row r="2369" spans="1:8" x14ac:dyDescent="0.3">
      <c r="A2369">
        <v>10925</v>
      </c>
      <c r="B2369" t="s">
        <v>5</v>
      </c>
      <c r="C2369" t="s">
        <v>1770</v>
      </c>
      <c r="D2369" t="s">
        <v>3013</v>
      </c>
      <c r="E2369" t="s">
        <v>8</v>
      </c>
      <c r="F2369" t="s">
        <v>9</v>
      </c>
      <c r="G2369" t="s">
        <v>1368</v>
      </c>
      <c r="H2369" s="7">
        <v>725</v>
      </c>
    </row>
    <row r="2370" spans="1:8" x14ac:dyDescent="0.3">
      <c r="A2370">
        <v>10928</v>
      </c>
      <c r="B2370" t="s">
        <v>5</v>
      </c>
      <c r="C2370" t="s">
        <v>1735</v>
      </c>
      <c r="D2370" t="s">
        <v>107</v>
      </c>
      <c r="E2370" t="s">
        <v>8</v>
      </c>
      <c r="F2370" t="s">
        <v>9</v>
      </c>
      <c r="G2370" t="s">
        <v>4267</v>
      </c>
      <c r="H2370" s="7">
        <v>725</v>
      </c>
    </row>
    <row r="2371" spans="1:8" x14ac:dyDescent="0.3">
      <c r="A2371">
        <v>10932</v>
      </c>
      <c r="B2371" t="s">
        <v>3010</v>
      </c>
      <c r="C2371" t="s">
        <v>223</v>
      </c>
      <c r="D2371" t="s">
        <v>1405</v>
      </c>
      <c r="E2371" t="s">
        <v>8</v>
      </c>
      <c r="F2371" t="s">
        <v>283</v>
      </c>
      <c r="G2371" t="s">
        <v>3011</v>
      </c>
      <c r="H2371" s="7">
        <v>22204</v>
      </c>
    </row>
    <row r="2372" spans="1:8" x14ac:dyDescent="0.3">
      <c r="A2372">
        <v>10936</v>
      </c>
      <c r="B2372" t="s">
        <v>250</v>
      </c>
      <c r="C2372" t="s">
        <v>3764</v>
      </c>
      <c r="D2372" t="s">
        <v>2522</v>
      </c>
      <c r="E2372" t="s">
        <v>95</v>
      </c>
      <c r="F2372" t="s">
        <v>21</v>
      </c>
      <c r="G2372" t="s">
        <v>3765</v>
      </c>
      <c r="H2372" s="7">
        <v>92626</v>
      </c>
    </row>
    <row r="2373" spans="1:8" x14ac:dyDescent="0.3">
      <c r="A2373">
        <v>10939</v>
      </c>
      <c r="B2373" t="s">
        <v>1669</v>
      </c>
      <c r="C2373" t="s">
        <v>1211</v>
      </c>
      <c r="D2373" t="s">
        <v>107</v>
      </c>
      <c r="E2373" t="s">
        <v>95</v>
      </c>
      <c r="F2373" t="s">
        <v>283</v>
      </c>
      <c r="G2373" t="s">
        <v>3107</v>
      </c>
      <c r="H2373" s="7">
        <v>23666</v>
      </c>
    </row>
    <row r="2374" spans="1:8" x14ac:dyDescent="0.3">
      <c r="A2374">
        <v>10949</v>
      </c>
      <c r="B2374" t="s">
        <v>163</v>
      </c>
      <c r="C2374" t="s">
        <v>3456</v>
      </c>
      <c r="D2374" t="s">
        <v>2840</v>
      </c>
      <c r="E2374" t="s">
        <v>27</v>
      </c>
      <c r="F2374" t="s">
        <v>88</v>
      </c>
      <c r="G2374" t="s">
        <v>4582</v>
      </c>
      <c r="H2374" s="7">
        <v>14094</v>
      </c>
    </row>
    <row r="2375" spans="1:8" x14ac:dyDescent="0.3">
      <c r="A2375">
        <v>10950</v>
      </c>
      <c r="B2375" t="s">
        <v>359</v>
      </c>
      <c r="C2375" t="s">
        <v>93</v>
      </c>
      <c r="D2375" t="s">
        <v>107</v>
      </c>
      <c r="E2375" t="s">
        <v>95</v>
      </c>
      <c r="F2375" t="s">
        <v>341</v>
      </c>
      <c r="G2375" t="s">
        <v>3745</v>
      </c>
      <c r="H2375" s="7">
        <v>28205</v>
      </c>
    </row>
    <row r="2376" spans="1:8" x14ac:dyDescent="0.3">
      <c r="A2376">
        <v>10951</v>
      </c>
      <c r="B2376" t="s">
        <v>5</v>
      </c>
      <c r="C2376" t="s">
        <v>601</v>
      </c>
      <c r="D2376" t="s">
        <v>955</v>
      </c>
      <c r="E2376" t="s">
        <v>27</v>
      </c>
      <c r="F2376" t="s">
        <v>9</v>
      </c>
      <c r="G2376" t="s">
        <v>956</v>
      </c>
      <c r="H2376" s="7">
        <v>725</v>
      </c>
    </row>
    <row r="2377" spans="1:8" x14ac:dyDescent="0.3">
      <c r="A2377">
        <v>10952</v>
      </c>
      <c r="B2377" t="s">
        <v>1563</v>
      </c>
      <c r="C2377" t="s">
        <v>93</v>
      </c>
      <c r="D2377" t="s">
        <v>2631</v>
      </c>
      <c r="E2377" t="s">
        <v>27</v>
      </c>
      <c r="F2377" t="s">
        <v>729</v>
      </c>
      <c r="G2377" t="s">
        <v>2632</v>
      </c>
      <c r="H2377" s="7">
        <v>80631</v>
      </c>
    </row>
    <row r="2378" spans="1:8" x14ac:dyDescent="0.3">
      <c r="A2378">
        <v>10957</v>
      </c>
      <c r="B2378" t="s">
        <v>495</v>
      </c>
      <c r="C2378" t="s">
        <v>727</v>
      </c>
      <c r="D2378" t="s">
        <v>1854</v>
      </c>
      <c r="E2378" t="s">
        <v>27</v>
      </c>
      <c r="F2378" t="s">
        <v>88</v>
      </c>
      <c r="G2378" t="s">
        <v>3413</v>
      </c>
      <c r="H2378" s="7">
        <v>11204</v>
      </c>
    </row>
    <row r="2379" spans="1:8" x14ac:dyDescent="0.3">
      <c r="A2379">
        <v>10964</v>
      </c>
      <c r="B2379" t="s">
        <v>443</v>
      </c>
      <c r="C2379" t="s">
        <v>93</v>
      </c>
      <c r="D2379" t="s">
        <v>598</v>
      </c>
      <c r="E2379" t="s">
        <v>95</v>
      </c>
      <c r="F2379" t="s">
        <v>108</v>
      </c>
      <c r="G2379" t="s">
        <v>3723</v>
      </c>
      <c r="H2379" s="7">
        <v>97229</v>
      </c>
    </row>
    <row r="2380" spans="1:8" x14ac:dyDescent="0.3">
      <c r="A2380">
        <v>10965</v>
      </c>
      <c r="B2380" t="s">
        <v>5</v>
      </c>
      <c r="C2380" t="s">
        <v>112</v>
      </c>
      <c r="D2380" t="s">
        <v>107</v>
      </c>
      <c r="E2380" t="s">
        <v>95</v>
      </c>
      <c r="F2380" t="s">
        <v>9</v>
      </c>
      <c r="G2380" t="s">
        <v>1165</v>
      </c>
      <c r="H2380" s="7">
        <v>725</v>
      </c>
    </row>
    <row r="2381" spans="1:8" x14ac:dyDescent="0.3">
      <c r="A2381">
        <v>10969</v>
      </c>
      <c r="B2381" t="s">
        <v>5</v>
      </c>
      <c r="C2381" t="s">
        <v>93</v>
      </c>
      <c r="D2381" t="s">
        <v>1154</v>
      </c>
      <c r="E2381" t="s">
        <v>8</v>
      </c>
      <c r="F2381" t="s">
        <v>9</v>
      </c>
      <c r="G2381" t="s">
        <v>3431</v>
      </c>
      <c r="H2381" s="7">
        <v>725</v>
      </c>
    </row>
    <row r="2382" spans="1:8" x14ac:dyDescent="0.3">
      <c r="A2382">
        <v>10970</v>
      </c>
      <c r="B2382" t="s">
        <v>997</v>
      </c>
      <c r="C2382" t="s">
        <v>1191</v>
      </c>
      <c r="D2382" t="s">
        <v>107</v>
      </c>
      <c r="E2382" t="s">
        <v>27</v>
      </c>
      <c r="F2382" t="s">
        <v>308</v>
      </c>
      <c r="G2382" t="s">
        <v>5112</v>
      </c>
      <c r="H2382" s="7">
        <v>7104</v>
      </c>
    </row>
    <row r="2383" spans="1:8" x14ac:dyDescent="0.3">
      <c r="A2383">
        <v>10975</v>
      </c>
      <c r="B2383" t="s">
        <v>5</v>
      </c>
      <c r="C2383" t="s">
        <v>1121</v>
      </c>
      <c r="D2383" t="s">
        <v>3370</v>
      </c>
      <c r="E2383" t="s">
        <v>8</v>
      </c>
      <c r="F2383" t="s">
        <v>9</v>
      </c>
      <c r="G2383" t="s">
        <v>3529</v>
      </c>
      <c r="H2383" s="7">
        <v>725</v>
      </c>
    </row>
    <row r="2384" spans="1:8" x14ac:dyDescent="0.3">
      <c r="A2384">
        <v>10977</v>
      </c>
      <c r="B2384" t="s">
        <v>5</v>
      </c>
      <c r="C2384" t="s">
        <v>790</v>
      </c>
      <c r="D2384" t="s">
        <v>2435</v>
      </c>
      <c r="E2384" t="s">
        <v>8</v>
      </c>
      <c r="F2384" t="s">
        <v>9</v>
      </c>
      <c r="G2384" t="s">
        <v>2436</v>
      </c>
      <c r="H2384" s="7">
        <v>725</v>
      </c>
    </row>
    <row r="2385" spans="1:8" x14ac:dyDescent="0.3">
      <c r="A2385">
        <v>10978</v>
      </c>
      <c r="B2385" t="s">
        <v>1683</v>
      </c>
      <c r="C2385" t="s">
        <v>93</v>
      </c>
      <c r="D2385" t="s">
        <v>107</v>
      </c>
      <c r="E2385" t="s">
        <v>8</v>
      </c>
      <c r="F2385" t="s">
        <v>1118</v>
      </c>
      <c r="G2385" t="s">
        <v>1956</v>
      </c>
      <c r="H2385" s="7">
        <v>55337</v>
      </c>
    </row>
    <row r="2386" spans="1:8" x14ac:dyDescent="0.3">
      <c r="A2386">
        <v>10980</v>
      </c>
      <c r="B2386" t="s">
        <v>254</v>
      </c>
      <c r="C2386" t="s">
        <v>1294</v>
      </c>
      <c r="D2386" t="s">
        <v>1428</v>
      </c>
      <c r="E2386" t="s">
        <v>27</v>
      </c>
      <c r="F2386" t="s">
        <v>55</v>
      </c>
      <c r="G2386" t="s">
        <v>4714</v>
      </c>
      <c r="H2386" s="7">
        <v>60639</v>
      </c>
    </row>
    <row r="2387" spans="1:8" x14ac:dyDescent="0.3">
      <c r="A2387">
        <v>10990</v>
      </c>
      <c r="B2387" t="s">
        <v>5</v>
      </c>
      <c r="C2387" t="s">
        <v>671</v>
      </c>
      <c r="D2387" t="s">
        <v>197</v>
      </c>
      <c r="E2387" t="s">
        <v>8</v>
      </c>
      <c r="F2387" t="s">
        <v>9</v>
      </c>
      <c r="G2387" t="s">
        <v>4529</v>
      </c>
      <c r="H2387" s="7">
        <v>725</v>
      </c>
    </row>
    <row r="2388" spans="1:8" x14ac:dyDescent="0.3">
      <c r="A2388">
        <v>10991</v>
      </c>
      <c r="B2388" t="s">
        <v>699</v>
      </c>
      <c r="C2388" t="s">
        <v>93</v>
      </c>
      <c r="D2388" t="s">
        <v>107</v>
      </c>
      <c r="E2388" t="s">
        <v>8</v>
      </c>
      <c r="F2388" t="s">
        <v>114</v>
      </c>
      <c r="G2388" t="s">
        <v>2305</v>
      </c>
      <c r="H2388" s="7">
        <v>77081</v>
      </c>
    </row>
    <row r="2389" spans="1:8" x14ac:dyDescent="0.3">
      <c r="A2389">
        <v>10994</v>
      </c>
      <c r="B2389" t="s">
        <v>3153</v>
      </c>
      <c r="C2389" t="s">
        <v>223</v>
      </c>
      <c r="D2389" t="s">
        <v>2929</v>
      </c>
      <c r="E2389" t="s">
        <v>8</v>
      </c>
      <c r="F2389" t="s">
        <v>21</v>
      </c>
      <c r="G2389" t="s">
        <v>1909</v>
      </c>
      <c r="H2389" s="7">
        <v>91732</v>
      </c>
    </row>
    <row r="2390" spans="1:8" x14ac:dyDescent="0.3">
      <c r="A2390">
        <v>10995</v>
      </c>
      <c r="B2390" t="s">
        <v>1313</v>
      </c>
      <c r="C2390" t="s">
        <v>1207</v>
      </c>
      <c r="D2390" t="s">
        <v>2486</v>
      </c>
      <c r="E2390" t="s">
        <v>27</v>
      </c>
      <c r="F2390" t="s">
        <v>448</v>
      </c>
      <c r="G2390" t="s">
        <v>5375</v>
      </c>
      <c r="H2390" s="7">
        <v>33157</v>
      </c>
    </row>
    <row r="2391" spans="1:8" x14ac:dyDescent="0.3">
      <c r="A2391">
        <v>11001</v>
      </c>
      <c r="B2391" t="s">
        <v>2259</v>
      </c>
      <c r="C2391" t="s">
        <v>2260</v>
      </c>
      <c r="D2391" t="s">
        <v>398</v>
      </c>
      <c r="E2391" t="s">
        <v>27</v>
      </c>
      <c r="F2391" t="s">
        <v>21</v>
      </c>
      <c r="G2391" t="s">
        <v>2261</v>
      </c>
      <c r="H2391" s="7">
        <v>91342</v>
      </c>
    </row>
    <row r="2392" spans="1:8" x14ac:dyDescent="0.3">
      <c r="A2392">
        <v>11013</v>
      </c>
      <c r="B2392" t="s">
        <v>656</v>
      </c>
      <c r="C2392" t="s">
        <v>564</v>
      </c>
      <c r="D2392" t="s">
        <v>992</v>
      </c>
      <c r="E2392" t="s">
        <v>95</v>
      </c>
      <c r="F2392" t="s">
        <v>77</v>
      </c>
      <c r="G2392" t="s">
        <v>3283</v>
      </c>
      <c r="H2392" s="7">
        <v>19139</v>
      </c>
    </row>
    <row r="2393" spans="1:8" x14ac:dyDescent="0.3">
      <c r="A2393">
        <v>11020</v>
      </c>
      <c r="B2393" t="s">
        <v>1615</v>
      </c>
      <c r="C2393" t="s">
        <v>766</v>
      </c>
      <c r="D2393" t="s">
        <v>107</v>
      </c>
      <c r="E2393" t="s">
        <v>8</v>
      </c>
      <c r="F2393" t="s">
        <v>1195</v>
      </c>
      <c r="G2393" t="s">
        <v>4750</v>
      </c>
      <c r="H2393" s="7">
        <v>98023</v>
      </c>
    </row>
    <row r="2394" spans="1:8" x14ac:dyDescent="0.3">
      <c r="A2394">
        <v>11021</v>
      </c>
      <c r="B2394" t="s">
        <v>5</v>
      </c>
      <c r="C2394" t="s">
        <v>2567</v>
      </c>
      <c r="D2394" t="s">
        <v>1496</v>
      </c>
      <c r="E2394" t="s">
        <v>8</v>
      </c>
      <c r="F2394" t="s">
        <v>9</v>
      </c>
      <c r="G2394" t="s">
        <v>5290</v>
      </c>
      <c r="H2394" s="7">
        <v>725</v>
      </c>
    </row>
    <row r="2395" spans="1:8" x14ac:dyDescent="0.3">
      <c r="A2395">
        <v>11022</v>
      </c>
      <c r="B2395" t="s">
        <v>142</v>
      </c>
      <c r="C2395" t="s">
        <v>160</v>
      </c>
      <c r="D2395" t="s">
        <v>611</v>
      </c>
      <c r="E2395" t="s">
        <v>27</v>
      </c>
      <c r="F2395" t="s">
        <v>88</v>
      </c>
      <c r="G2395" t="s">
        <v>4530</v>
      </c>
      <c r="H2395" s="7">
        <v>10460</v>
      </c>
    </row>
    <row r="2396" spans="1:8" x14ac:dyDescent="0.3">
      <c r="A2396">
        <v>11030</v>
      </c>
      <c r="B2396" t="s">
        <v>710</v>
      </c>
      <c r="C2396" t="s">
        <v>93</v>
      </c>
      <c r="D2396" t="s">
        <v>107</v>
      </c>
      <c r="E2396" t="s">
        <v>8</v>
      </c>
      <c r="F2396" t="s">
        <v>448</v>
      </c>
      <c r="G2396" t="s">
        <v>5495</v>
      </c>
      <c r="H2396" s="7">
        <v>33311</v>
      </c>
    </row>
    <row r="2397" spans="1:8" x14ac:dyDescent="0.3">
      <c r="A2397">
        <v>11034</v>
      </c>
      <c r="B2397" t="s">
        <v>5</v>
      </c>
      <c r="C2397" t="s">
        <v>93</v>
      </c>
      <c r="D2397" t="s">
        <v>107</v>
      </c>
      <c r="E2397" t="s">
        <v>95</v>
      </c>
      <c r="F2397" t="s">
        <v>9</v>
      </c>
      <c r="G2397" t="s">
        <v>162</v>
      </c>
      <c r="H2397" s="7">
        <v>725</v>
      </c>
    </row>
    <row r="2398" spans="1:8" x14ac:dyDescent="0.3">
      <c r="A2398">
        <v>11046</v>
      </c>
      <c r="B2398" t="s">
        <v>447</v>
      </c>
      <c r="C2398" t="s">
        <v>556</v>
      </c>
      <c r="D2398" t="s">
        <v>1921</v>
      </c>
      <c r="E2398" t="s">
        <v>8</v>
      </c>
      <c r="F2398" t="s">
        <v>448</v>
      </c>
      <c r="G2398" t="s">
        <v>920</v>
      </c>
      <c r="H2398" s="7">
        <v>33015</v>
      </c>
    </row>
    <row r="2399" spans="1:8" x14ac:dyDescent="0.3">
      <c r="A2399">
        <v>11047</v>
      </c>
      <c r="B2399" t="s">
        <v>254</v>
      </c>
      <c r="C2399" t="s">
        <v>93</v>
      </c>
      <c r="D2399" t="s">
        <v>107</v>
      </c>
      <c r="E2399" t="s">
        <v>8</v>
      </c>
      <c r="F2399" t="s">
        <v>55</v>
      </c>
      <c r="G2399" t="s">
        <v>4842</v>
      </c>
      <c r="H2399" s="7">
        <v>60624</v>
      </c>
    </row>
    <row r="2400" spans="1:8" x14ac:dyDescent="0.3">
      <c r="A2400">
        <v>11051</v>
      </c>
      <c r="B2400" t="s">
        <v>18</v>
      </c>
      <c r="C2400" t="s">
        <v>2216</v>
      </c>
      <c r="D2400" t="s">
        <v>380</v>
      </c>
      <c r="E2400" t="s">
        <v>27</v>
      </c>
      <c r="F2400" t="s">
        <v>21</v>
      </c>
      <c r="G2400" t="s">
        <v>5321</v>
      </c>
      <c r="H2400" s="7">
        <v>95112</v>
      </c>
    </row>
    <row r="2401" spans="1:8" x14ac:dyDescent="0.3">
      <c r="A2401">
        <v>11052</v>
      </c>
      <c r="B2401" t="s">
        <v>5</v>
      </c>
      <c r="C2401" t="s">
        <v>1109</v>
      </c>
      <c r="D2401" t="s">
        <v>1169</v>
      </c>
      <c r="E2401" t="s">
        <v>95</v>
      </c>
      <c r="F2401" t="s">
        <v>9</v>
      </c>
      <c r="G2401" t="s">
        <v>3514</v>
      </c>
      <c r="H2401" s="7">
        <v>725</v>
      </c>
    </row>
    <row r="2402" spans="1:8" x14ac:dyDescent="0.3">
      <c r="A2402">
        <v>11055</v>
      </c>
      <c r="B2402" t="s">
        <v>3754</v>
      </c>
      <c r="C2402" t="s">
        <v>93</v>
      </c>
      <c r="D2402" t="s">
        <v>107</v>
      </c>
      <c r="E2402" t="s">
        <v>95</v>
      </c>
      <c r="F2402" t="s">
        <v>1195</v>
      </c>
      <c r="G2402" t="s">
        <v>3755</v>
      </c>
      <c r="H2402" s="7">
        <v>98208</v>
      </c>
    </row>
    <row r="2403" spans="1:8" x14ac:dyDescent="0.3">
      <c r="A2403">
        <v>11059</v>
      </c>
      <c r="B2403" t="s">
        <v>495</v>
      </c>
      <c r="C2403" t="s">
        <v>93</v>
      </c>
      <c r="D2403" t="s">
        <v>1016</v>
      </c>
      <c r="E2403" t="s">
        <v>8</v>
      </c>
      <c r="F2403" t="s">
        <v>88</v>
      </c>
      <c r="G2403" t="s">
        <v>1017</v>
      </c>
      <c r="H2403" s="7">
        <v>11221</v>
      </c>
    </row>
    <row r="2404" spans="1:8" x14ac:dyDescent="0.3">
      <c r="A2404">
        <v>11069</v>
      </c>
      <c r="B2404" t="s">
        <v>142</v>
      </c>
      <c r="C2404" t="s">
        <v>93</v>
      </c>
      <c r="D2404" t="s">
        <v>2183</v>
      </c>
      <c r="E2404" t="s">
        <v>8</v>
      </c>
      <c r="F2404" t="s">
        <v>88</v>
      </c>
      <c r="G2404" t="s">
        <v>2269</v>
      </c>
      <c r="H2404" s="7">
        <v>10461</v>
      </c>
    </row>
    <row r="2405" spans="1:8" x14ac:dyDescent="0.3">
      <c r="A2405">
        <v>11080</v>
      </c>
      <c r="B2405" t="s">
        <v>2870</v>
      </c>
      <c r="C2405" t="s">
        <v>93</v>
      </c>
      <c r="D2405" t="s">
        <v>1382</v>
      </c>
      <c r="E2405" t="s">
        <v>8</v>
      </c>
      <c r="F2405" t="s">
        <v>21</v>
      </c>
      <c r="G2405" t="s">
        <v>5124</v>
      </c>
      <c r="H2405" s="7">
        <v>92701</v>
      </c>
    </row>
    <row r="2406" spans="1:8" x14ac:dyDescent="0.3">
      <c r="A2406">
        <v>11081</v>
      </c>
      <c r="B2406" t="s">
        <v>5</v>
      </c>
      <c r="C2406" t="s">
        <v>1951</v>
      </c>
      <c r="D2406" t="s">
        <v>107</v>
      </c>
      <c r="E2406" t="s">
        <v>27</v>
      </c>
      <c r="F2406" t="s">
        <v>9</v>
      </c>
      <c r="G2406" t="s">
        <v>3318</v>
      </c>
      <c r="H2406" s="7">
        <v>725</v>
      </c>
    </row>
    <row r="2407" spans="1:8" x14ac:dyDescent="0.3">
      <c r="A2407">
        <v>11082</v>
      </c>
      <c r="B2407" t="s">
        <v>1309</v>
      </c>
      <c r="C2407" t="s">
        <v>776</v>
      </c>
      <c r="D2407" t="s">
        <v>107</v>
      </c>
      <c r="E2407" t="s">
        <v>95</v>
      </c>
      <c r="F2407" t="s">
        <v>21</v>
      </c>
      <c r="G2407" t="s">
        <v>5662</v>
      </c>
      <c r="H2407" s="7">
        <v>92557</v>
      </c>
    </row>
    <row r="2408" spans="1:8" x14ac:dyDescent="0.3">
      <c r="A2408">
        <v>11087</v>
      </c>
      <c r="B2408" t="s">
        <v>1246</v>
      </c>
      <c r="C2408" t="s">
        <v>93</v>
      </c>
      <c r="D2408" t="s">
        <v>107</v>
      </c>
      <c r="E2408" t="s">
        <v>27</v>
      </c>
      <c r="F2408" t="s">
        <v>1249</v>
      </c>
      <c r="G2408" t="s">
        <v>4952</v>
      </c>
      <c r="H2408" s="7">
        <v>67212</v>
      </c>
    </row>
    <row r="2409" spans="1:8" x14ac:dyDescent="0.3">
      <c r="A2409">
        <v>11094</v>
      </c>
      <c r="B2409" t="s">
        <v>3106</v>
      </c>
      <c r="C2409" t="s">
        <v>795</v>
      </c>
      <c r="D2409" t="s">
        <v>197</v>
      </c>
      <c r="E2409" t="s">
        <v>95</v>
      </c>
      <c r="F2409" t="s">
        <v>114</v>
      </c>
      <c r="G2409" t="s">
        <v>2027</v>
      </c>
      <c r="H2409" s="7">
        <v>78572</v>
      </c>
    </row>
    <row r="2410" spans="1:8" x14ac:dyDescent="0.3">
      <c r="A2410">
        <v>11097</v>
      </c>
      <c r="B2410" t="s">
        <v>5</v>
      </c>
      <c r="C2410" t="s">
        <v>93</v>
      </c>
      <c r="D2410" t="s">
        <v>1754</v>
      </c>
      <c r="E2410" t="s">
        <v>8</v>
      </c>
      <c r="F2410" t="s">
        <v>9</v>
      </c>
      <c r="G2410" t="s">
        <v>1755</v>
      </c>
      <c r="H2410" s="7">
        <v>725</v>
      </c>
    </row>
    <row r="2411" spans="1:8" x14ac:dyDescent="0.3">
      <c r="A2411">
        <v>11099</v>
      </c>
      <c r="B2411" t="s">
        <v>1787</v>
      </c>
      <c r="C2411" t="s">
        <v>93</v>
      </c>
      <c r="D2411" t="s">
        <v>2251</v>
      </c>
      <c r="E2411" t="s">
        <v>27</v>
      </c>
      <c r="F2411" t="s">
        <v>21</v>
      </c>
      <c r="G2411" t="s">
        <v>2783</v>
      </c>
      <c r="H2411" s="7">
        <v>90638</v>
      </c>
    </row>
    <row r="2412" spans="1:8" x14ac:dyDescent="0.3">
      <c r="A2412">
        <v>11102</v>
      </c>
      <c r="B2412" t="s">
        <v>5</v>
      </c>
      <c r="C2412" t="s">
        <v>93</v>
      </c>
      <c r="D2412" t="s">
        <v>1351</v>
      </c>
      <c r="E2412" t="s">
        <v>8</v>
      </c>
      <c r="F2412" t="s">
        <v>9</v>
      </c>
      <c r="G2412" t="s">
        <v>2184</v>
      </c>
      <c r="H2412" s="7">
        <v>725</v>
      </c>
    </row>
    <row r="2413" spans="1:8" x14ac:dyDescent="0.3">
      <c r="A2413">
        <v>11112</v>
      </c>
      <c r="B2413" t="s">
        <v>5</v>
      </c>
      <c r="C2413" t="s">
        <v>727</v>
      </c>
      <c r="D2413" t="s">
        <v>2312</v>
      </c>
      <c r="E2413" t="s">
        <v>8</v>
      </c>
      <c r="F2413" t="s">
        <v>9</v>
      </c>
      <c r="G2413" t="s">
        <v>2313</v>
      </c>
      <c r="H2413" s="7">
        <v>725</v>
      </c>
    </row>
    <row r="2414" spans="1:8" x14ac:dyDescent="0.3">
      <c r="A2414">
        <v>11116</v>
      </c>
      <c r="B2414" t="s">
        <v>5</v>
      </c>
      <c r="C2414" t="s">
        <v>93</v>
      </c>
      <c r="D2414" t="s">
        <v>1037</v>
      </c>
      <c r="E2414" t="s">
        <v>8</v>
      </c>
      <c r="F2414" t="s">
        <v>9</v>
      </c>
      <c r="G2414" t="s">
        <v>3620</v>
      </c>
      <c r="H2414" s="7">
        <v>725</v>
      </c>
    </row>
    <row r="2415" spans="1:8" x14ac:dyDescent="0.3">
      <c r="A2415">
        <v>11122</v>
      </c>
      <c r="B2415" t="s">
        <v>1014</v>
      </c>
      <c r="C2415" t="s">
        <v>93</v>
      </c>
      <c r="D2415" t="s">
        <v>107</v>
      </c>
      <c r="E2415" t="s">
        <v>8</v>
      </c>
      <c r="F2415" t="s">
        <v>381</v>
      </c>
      <c r="G2415" t="s">
        <v>1015</v>
      </c>
      <c r="H2415" s="7">
        <v>48098</v>
      </c>
    </row>
    <row r="2416" spans="1:8" x14ac:dyDescent="0.3">
      <c r="A2416">
        <v>11123</v>
      </c>
      <c r="B2416" t="s">
        <v>5</v>
      </c>
      <c r="C2416" t="s">
        <v>1321</v>
      </c>
      <c r="D2416" t="s">
        <v>825</v>
      </c>
      <c r="E2416" t="s">
        <v>8</v>
      </c>
      <c r="F2416" t="s">
        <v>9</v>
      </c>
      <c r="G2416" t="s">
        <v>145</v>
      </c>
      <c r="H2416" s="7">
        <v>725</v>
      </c>
    </row>
    <row r="2417" spans="1:8" x14ac:dyDescent="0.3">
      <c r="A2417">
        <v>11127</v>
      </c>
      <c r="B2417" t="s">
        <v>5</v>
      </c>
      <c r="C2417" t="s">
        <v>93</v>
      </c>
      <c r="D2417" t="s">
        <v>2035</v>
      </c>
      <c r="E2417" t="s">
        <v>27</v>
      </c>
      <c r="F2417" t="s">
        <v>9</v>
      </c>
      <c r="G2417" t="s">
        <v>5359</v>
      </c>
      <c r="H2417" s="7">
        <v>725</v>
      </c>
    </row>
    <row r="2418" spans="1:8" x14ac:dyDescent="0.3">
      <c r="A2418">
        <v>11130</v>
      </c>
      <c r="B2418" t="s">
        <v>2886</v>
      </c>
      <c r="C2418" t="s">
        <v>93</v>
      </c>
      <c r="D2418" t="s">
        <v>964</v>
      </c>
      <c r="E2418" t="s">
        <v>8</v>
      </c>
      <c r="F2418" t="s">
        <v>21</v>
      </c>
      <c r="G2418" t="s">
        <v>2887</v>
      </c>
      <c r="H2418" s="7">
        <v>92054</v>
      </c>
    </row>
    <row r="2419" spans="1:8" x14ac:dyDescent="0.3">
      <c r="A2419">
        <v>11134</v>
      </c>
      <c r="B2419" t="s">
        <v>5</v>
      </c>
      <c r="C2419" t="s">
        <v>112</v>
      </c>
      <c r="D2419" t="s">
        <v>860</v>
      </c>
      <c r="E2419" t="s">
        <v>8</v>
      </c>
      <c r="F2419" t="s">
        <v>9</v>
      </c>
      <c r="G2419" t="s">
        <v>2781</v>
      </c>
      <c r="H2419" s="7">
        <v>725</v>
      </c>
    </row>
    <row r="2420" spans="1:8" x14ac:dyDescent="0.3">
      <c r="A2420">
        <v>11148</v>
      </c>
      <c r="B2420" t="s">
        <v>440</v>
      </c>
      <c r="C2420" t="s">
        <v>1853</v>
      </c>
      <c r="D2420" t="s">
        <v>2317</v>
      </c>
      <c r="E2420" t="s">
        <v>8</v>
      </c>
      <c r="F2420" t="s">
        <v>114</v>
      </c>
      <c r="G2420" t="s">
        <v>3479</v>
      </c>
      <c r="H2420" s="7">
        <v>78227</v>
      </c>
    </row>
    <row r="2421" spans="1:8" x14ac:dyDescent="0.3">
      <c r="A2421">
        <v>11153</v>
      </c>
      <c r="B2421" t="s">
        <v>5</v>
      </c>
      <c r="C2421" t="s">
        <v>785</v>
      </c>
      <c r="D2421" t="s">
        <v>144</v>
      </c>
      <c r="E2421" t="s">
        <v>8</v>
      </c>
      <c r="F2421" t="s">
        <v>9</v>
      </c>
      <c r="G2421" t="s">
        <v>4257</v>
      </c>
      <c r="H2421" s="7">
        <v>725</v>
      </c>
    </row>
    <row r="2422" spans="1:8" x14ac:dyDescent="0.3">
      <c r="A2422">
        <v>11161</v>
      </c>
      <c r="B2422" t="s">
        <v>5</v>
      </c>
      <c r="C2422" t="s">
        <v>93</v>
      </c>
      <c r="D2422" t="s">
        <v>2031</v>
      </c>
      <c r="E2422" t="s">
        <v>27</v>
      </c>
      <c r="F2422" t="s">
        <v>9</v>
      </c>
      <c r="G2422" t="s">
        <v>2032</v>
      </c>
      <c r="H2422" s="7">
        <v>725</v>
      </c>
    </row>
    <row r="2423" spans="1:8" x14ac:dyDescent="0.3">
      <c r="A2423">
        <v>11165</v>
      </c>
      <c r="B2423" t="s">
        <v>656</v>
      </c>
      <c r="C2423" t="s">
        <v>417</v>
      </c>
      <c r="D2423" t="s">
        <v>107</v>
      </c>
      <c r="E2423" t="s">
        <v>95</v>
      </c>
      <c r="F2423" t="s">
        <v>77</v>
      </c>
      <c r="G2423" t="s">
        <v>5392</v>
      </c>
      <c r="H2423" s="7">
        <v>19139</v>
      </c>
    </row>
    <row r="2424" spans="1:8" x14ac:dyDescent="0.3">
      <c r="A2424">
        <v>11168</v>
      </c>
      <c r="B2424" t="s">
        <v>3069</v>
      </c>
      <c r="C2424" t="s">
        <v>106</v>
      </c>
      <c r="D2424" t="s">
        <v>107</v>
      </c>
      <c r="E2424" t="s">
        <v>95</v>
      </c>
      <c r="F2424" t="s">
        <v>308</v>
      </c>
      <c r="G2424" t="s">
        <v>5065</v>
      </c>
      <c r="H2424" s="7">
        <v>7060</v>
      </c>
    </row>
    <row r="2425" spans="1:8" x14ac:dyDescent="0.3">
      <c r="A2425">
        <v>11171</v>
      </c>
      <c r="B2425" t="s">
        <v>5</v>
      </c>
      <c r="C2425" t="s">
        <v>491</v>
      </c>
      <c r="D2425" t="s">
        <v>176</v>
      </c>
      <c r="E2425" t="s">
        <v>8</v>
      </c>
      <c r="F2425" t="s">
        <v>9</v>
      </c>
      <c r="G2425" t="s">
        <v>5497</v>
      </c>
      <c r="H2425" s="7">
        <v>725</v>
      </c>
    </row>
    <row r="2426" spans="1:8" x14ac:dyDescent="0.3">
      <c r="A2426">
        <v>11172</v>
      </c>
      <c r="B2426" t="s">
        <v>831</v>
      </c>
      <c r="C2426" t="s">
        <v>93</v>
      </c>
      <c r="D2426" t="s">
        <v>107</v>
      </c>
      <c r="E2426" t="s">
        <v>8</v>
      </c>
      <c r="F2426" t="s">
        <v>341</v>
      </c>
      <c r="G2426" t="s">
        <v>5427</v>
      </c>
      <c r="H2426" s="7">
        <v>27406</v>
      </c>
    </row>
    <row r="2427" spans="1:8" x14ac:dyDescent="0.3">
      <c r="A2427">
        <v>11180</v>
      </c>
      <c r="B2427" t="s">
        <v>5</v>
      </c>
      <c r="C2427" t="s">
        <v>1853</v>
      </c>
      <c r="D2427" t="s">
        <v>107</v>
      </c>
      <c r="E2427" t="s">
        <v>95</v>
      </c>
      <c r="F2427" t="s">
        <v>9</v>
      </c>
      <c r="G2427" t="s">
        <v>5120</v>
      </c>
      <c r="H2427" s="7">
        <v>725</v>
      </c>
    </row>
    <row r="2428" spans="1:8" x14ac:dyDescent="0.3">
      <c r="A2428">
        <v>11182</v>
      </c>
      <c r="B2428" t="s">
        <v>5</v>
      </c>
      <c r="C2428" t="s">
        <v>1735</v>
      </c>
      <c r="D2428" t="s">
        <v>3040</v>
      </c>
      <c r="E2428" t="s">
        <v>8</v>
      </c>
      <c r="F2428" t="s">
        <v>9</v>
      </c>
      <c r="G2428" t="s">
        <v>3809</v>
      </c>
      <c r="H2428" s="7">
        <v>725</v>
      </c>
    </row>
    <row r="2429" spans="1:8" x14ac:dyDescent="0.3">
      <c r="A2429">
        <v>11183</v>
      </c>
      <c r="B2429" t="s">
        <v>427</v>
      </c>
      <c r="C2429" t="s">
        <v>93</v>
      </c>
      <c r="D2429" t="s">
        <v>107</v>
      </c>
      <c r="E2429" t="s">
        <v>27</v>
      </c>
      <c r="F2429" t="s">
        <v>9</v>
      </c>
      <c r="G2429" t="s">
        <v>1998</v>
      </c>
      <c r="H2429" s="7">
        <v>921</v>
      </c>
    </row>
    <row r="2430" spans="1:8" x14ac:dyDescent="0.3">
      <c r="A2430">
        <v>11205</v>
      </c>
      <c r="B2430" t="s">
        <v>1313</v>
      </c>
      <c r="C2430" t="s">
        <v>93</v>
      </c>
      <c r="D2430" t="s">
        <v>2251</v>
      </c>
      <c r="E2430" t="s">
        <v>27</v>
      </c>
      <c r="F2430" t="s">
        <v>448</v>
      </c>
      <c r="G2430" t="s">
        <v>2252</v>
      </c>
      <c r="H2430" s="7">
        <v>33125</v>
      </c>
    </row>
    <row r="2431" spans="1:8" x14ac:dyDescent="0.3">
      <c r="A2431">
        <v>11209</v>
      </c>
      <c r="B2431" t="s">
        <v>999</v>
      </c>
      <c r="C2431" t="s">
        <v>1231</v>
      </c>
      <c r="D2431" t="s">
        <v>4347</v>
      </c>
      <c r="E2431" t="s">
        <v>8</v>
      </c>
      <c r="F2431" t="s">
        <v>55</v>
      </c>
      <c r="G2431" t="s">
        <v>5656</v>
      </c>
      <c r="H2431" s="7">
        <v>62301</v>
      </c>
    </row>
    <row r="2432" spans="1:8" x14ac:dyDescent="0.3">
      <c r="A2432">
        <v>11212</v>
      </c>
      <c r="B2432" t="s">
        <v>1833</v>
      </c>
      <c r="C2432" t="s">
        <v>597</v>
      </c>
      <c r="D2432" t="s">
        <v>107</v>
      </c>
      <c r="E2432" t="s">
        <v>8</v>
      </c>
      <c r="F2432" t="s">
        <v>21</v>
      </c>
      <c r="G2432" t="s">
        <v>4358</v>
      </c>
      <c r="H2432" s="7">
        <v>93304</v>
      </c>
    </row>
    <row r="2433" spans="1:8" x14ac:dyDescent="0.3">
      <c r="A2433">
        <v>11216</v>
      </c>
      <c r="B2433" t="s">
        <v>5</v>
      </c>
      <c r="C2433" t="s">
        <v>93</v>
      </c>
      <c r="D2433" t="s">
        <v>598</v>
      </c>
      <c r="E2433" t="s">
        <v>95</v>
      </c>
      <c r="F2433" t="s">
        <v>9</v>
      </c>
      <c r="G2433" t="s">
        <v>2665</v>
      </c>
      <c r="H2433" s="7">
        <v>725</v>
      </c>
    </row>
    <row r="2434" spans="1:8" x14ac:dyDescent="0.3">
      <c r="A2434">
        <v>11225</v>
      </c>
      <c r="B2434" t="s">
        <v>5</v>
      </c>
      <c r="C2434" t="s">
        <v>223</v>
      </c>
      <c r="D2434" t="s">
        <v>3034</v>
      </c>
      <c r="E2434" t="s">
        <v>8</v>
      </c>
      <c r="F2434" t="s">
        <v>9</v>
      </c>
      <c r="G2434" t="s">
        <v>3602</v>
      </c>
      <c r="H2434" s="7">
        <v>725</v>
      </c>
    </row>
    <row r="2435" spans="1:8" x14ac:dyDescent="0.3">
      <c r="A2435">
        <v>11230</v>
      </c>
      <c r="B2435" t="s">
        <v>5</v>
      </c>
      <c r="C2435" t="s">
        <v>913</v>
      </c>
      <c r="D2435" t="s">
        <v>739</v>
      </c>
      <c r="E2435" t="s">
        <v>8</v>
      </c>
      <c r="F2435" t="s">
        <v>9</v>
      </c>
      <c r="G2435" t="s">
        <v>3173</v>
      </c>
      <c r="H2435" s="7">
        <v>725</v>
      </c>
    </row>
    <row r="2436" spans="1:8" x14ac:dyDescent="0.3">
      <c r="A2436">
        <v>11232</v>
      </c>
      <c r="B2436" t="s">
        <v>635</v>
      </c>
      <c r="C2436" t="s">
        <v>2740</v>
      </c>
      <c r="D2436" t="s">
        <v>107</v>
      </c>
      <c r="E2436" t="s">
        <v>8</v>
      </c>
      <c r="F2436" t="s">
        <v>448</v>
      </c>
      <c r="G2436" t="s">
        <v>3259</v>
      </c>
      <c r="H2436" s="7">
        <v>32308</v>
      </c>
    </row>
    <row r="2437" spans="1:8" x14ac:dyDescent="0.3">
      <c r="A2437">
        <v>11238</v>
      </c>
      <c r="B2437" t="s">
        <v>1253</v>
      </c>
      <c r="C2437" t="s">
        <v>93</v>
      </c>
      <c r="D2437" t="s">
        <v>1288</v>
      </c>
      <c r="E2437" t="s">
        <v>8</v>
      </c>
      <c r="F2437" t="s">
        <v>158</v>
      </c>
      <c r="G2437" t="s">
        <v>1289</v>
      </c>
      <c r="H2437" s="7">
        <v>37075</v>
      </c>
    </row>
    <row r="2438" spans="1:8" x14ac:dyDescent="0.3">
      <c r="A2438">
        <v>11242</v>
      </c>
      <c r="B2438" t="s">
        <v>1520</v>
      </c>
      <c r="C2438" t="s">
        <v>1482</v>
      </c>
      <c r="D2438" t="s">
        <v>3773</v>
      </c>
      <c r="E2438" t="s">
        <v>95</v>
      </c>
      <c r="F2438" t="s">
        <v>381</v>
      </c>
      <c r="G2438" t="s">
        <v>3774</v>
      </c>
      <c r="H2438" s="7">
        <v>49509</v>
      </c>
    </row>
    <row r="2439" spans="1:8" x14ac:dyDescent="0.3">
      <c r="A2439">
        <v>11251</v>
      </c>
      <c r="B2439" t="s">
        <v>392</v>
      </c>
      <c r="C2439" t="s">
        <v>1851</v>
      </c>
      <c r="D2439" t="s">
        <v>107</v>
      </c>
      <c r="E2439" t="s">
        <v>8</v>
      </c>
      <c r="F2439" t="s">
        <v>21</v>
      </c>
      <c r="G2439" t="s">
        <v>5232</v>
      </c>
      <c r="H2439" s="7">
        <v>94015</v>
      </c>
    </row>
    <row r="2440" spans="1:8" x14ac:dyDescent="0.3">
      <c r="A2440">
        <v>11257</v>
      </c>
      <c r="B2440" t="s">
        <v>3255</v>
      </c>
      <c r="C2440" t="s">
        <v>1186</v>
      </c>
      <c r="D2440" t="s">
        <v>2657</v>
      </c>
      <c r="E2440" t="s">
        <v>8</v>
      </c>
      <c r="F2440" t="s">
        <v>21</v>
      </c>
      <c r="G2440" t="s">
        <v>3256</v>
      </c>
      <c r="H2440" s="7">
        <v>95630</v>
      </c>
    </row>
    <row r="2441" spans="1:8" x14ac:dyDescent="0.3">
      <c r="A2441">
        <v>11263</v>
      </c>
      <c r="B2441" t="s">
        <v>1615</v>
      </c>
      <c r="C2441" t="s">
        <v>93</v>
      </c>
      <c r="D2441" t="s">
        <v>1616</v>
      </c>
      <c r="E2441" t="s">
        <v>27</v>
      </c>
      <c r="F2441" t="s">
        <v>1195</v>
      </c>
      <c r="G2441" t="s">
        <v>1617</v>
      </c>
      <c r="H2441" s="7">
        <v>98023</v>
      </c>
    </row>
    <row r="2442" spans="1:8" x14ac:dyDescent="0.3">
      <c r="A2442">
        <v>11268</v>
      </c>
      <c r="B2442" t="s">
        <v>1581</v>
      </c>
      <c r="C2442" t="s">
        <v>106</v>
      </c>
      <c r="D2442" t="s">
        <v>1582</v>
      </c>
      <c r="E2442" t="s">
        <v>27</v>
      </c>
      <c r="F2442" t="s">
        <v>729</v>
      </c>
      <c r="G2442" t="s">
        <v>1583</v>
      </c>
      <c r="H2442" s="7">
        <v>80906</v>
      </c>
    </row>
    <row r="2443" spans="1:8" x14ac:dyDescent="0.3">
      <c r="A2443">
        <v>11273</v>
      </c>
      <c r="B2443" t="s">
        <v>5</v>
      </c>
      <c r="C2443" t="s">
        <v>93</v>
      </c>
      <c r="D2443" t="s">
        <v>122</v>
      </c>
      <c r="E2443" t="s">
        <v>8</v>
      </c>
      <c r="F2443" t="s">
        <v>9</v>
      </c>
      <c r="G2443" t="s">
        <v>2459</v>
      </c>
      <c r="H2443" s="7">
        <v>725</v>
      </c>
    </row>
    <row r="2444" spans="1:8" x14ac:dyDescent="0.3">
      <c r="A2444">
        <v>11275</v>
      </c>
      <c r="B2444" t="s">
        <v>3471</v>
      </c>
      <c r="C2444" t="s">
        <v>889</v>
      </c>
      <c r="D2444" t="s">
        <v>133</v>
      </c>
      <c r="E2444" t="s">
        <v>8</v>
      </c>
      <c r="F2444" t="s">
        <v>88</v>
      </c>
      <c r="G2444" t="s">
        <v>4669</v>
      </c>
      <c r="H2444" s="7">
        <v>14580</v>
      </c>
    </row>
    <row r="2445" spans="1:8" x14ac:dyDescent="0.3">
      <c r="A2445">
        <v>11281</v>
      </c>
      <c r="B2445" t="s">
        <v>5</v>
      </c>
      <c r="C2445" t="s">
        <v>2452</v>
      </c>
      <c r="D2445" t="s">
        <v>107</v>
      </c>
      <c r="E2445" t="s">
        <v>95</v>
      </c>
      <c r="F2445" t="s">
        <v>9</v>
      </c>
      <c r="G2445" t="s">
        <v>3536</v>
      </c>
      <c r="H2445" s="7">
        <v>725</v>
      </c>
    </row>
    <row r="2446" spans="1:8" x14ac:dyDescent="0.3">
      <c r="A2446">
        <v>11285</v>
      </c>
      <c r="B2446" t="s">
        <v>5</v>
      </c>
      <c r="C2446" t="s">
        <v>2281</v>
      </c>
      <c r="D2446" t="s">
        <v>107</v>
      </c>
      <c r="E2446" t="s">
        <v>27</v>
      </c>
      <c r="F2446" t="s">
        <v>9</v>
      </c>
      <c r="G2446" t="s">
        <v>2927</v>
      </c>
      <c r="H2446" s="7">
        <v>725</v>
      </c>
    </row>
    <row r="2447" spans="1:8" x14ac:dyDescent="0.3">
      <c r="A2447">
        <v>11293</v>
      </c>
      <c r="B2447" t="s">
        <v>2996</v>
      </c>
      <c r="C2447" t="s">
        <v>977</v>
      </c>
      <c r="D2447" t="s">
        <v>107</v>
      </c>
      <c r="E2447" t="s">
        <v>8</v>
      </c>
      <c r="F2447" t="s">
        <v>77</v>
      </c>
      <c r="G2447" t="s">
        <v>2882</v>
      </c>
      <c r="H2447" s="7">
        <v>17201</v>
      </c>
    </row>
    <row r="2448" spans="1:8" x14ac:dyDescent="0.3">
      <c r="A2448">
        <v>11300</v>
      </c>
      <c r="B2448" t="s">
        <v>142</v>
      </c>
      <c r="C2448" t="s">
        <v>93</v>
      </c>
      <c r="D2448" t="s">
        <v>1016</v>
      </c>
      <c r="E2448" t="s">
        <v>95</v>
      </c>
      <c r="F2448" t="s">
        <v>88</v>
      </c>
      <c r="G2448" t="s">
        <v>3888</v>
      </c>
      <c r="H2448" s="7">
        <v>10453</v>
      </c>
    </row>
    <row r="2449" spans="1:8" x14ac:dyDescent="0.3">
      <c r="A2449">
        <v>11311</v>
      </c>
      <c r="B2449" t="s">
        <v>254</v>
      </c>
      <c r="C2449" t="s">
        <v>734</v>
      </c>
      <c r="D2449" t="s">
        <v>1170</v>
      </c>
      <c r="E2449" t="s">
        <v>95</v>
      </c>
      <c r="F2449" t="s">
        <v>55</v>
      </c>
      <c r="G2449" t="s">
        <v>2773</v>
      </c>
      <c r="H2449" s="7">
        <v>60617</v>
      </c>
    </row>
    <row r="2450" spans="1:8" x14ac:dyDescent="0.3">
      <c r="A2450">
        <v>11316</v>
      </c>
      <c r="B2450" t="s">
        <v>5</v>
      </c>
      <c r="C2450" t="s">
        <v>2124</v>
      </c>
      <c r="D2450" t="s">
        <v>2317</v>
      </c>
      <c r="E2450" t="s">
        <v>95</v>
      </c>
      <c r="F2450" t="s">
        <v>9</v>
      </c>
      <c r="G2450" t="s">
        <v>5027</v>
      </c>
      <c r="H2450" s="7">
        <v>725</v>
      </c>
    </row>
    <row r="2451" spans="1:8" x14ac:dyDescent="0.3">
      <c r="A2451">
        <v>11318</v>
      </c>
      <c r="B2451" t="s">
        <v>5</v>
      </c>
      <c r="C2451" t="s">
        <v>93</v>
      </c>
      <c r="D2451" t="s">
        <v>366</v>
      </c>
      <c r="E2451" t="s">
        <v>8</v>
      </c>
      <c r="F2451" t="s">
        <v>9</v>
      </c>
      <c r="G2451" t="s">
        <v>2449</v>
      </c>
      <c r="H2451" s="7">
        <v>725</v>
      </c>
    </row>
    <row r="2452" spans="1:8" x14ac:dyDescent="0.3">
      <c r="A2452">
        <v>11324</v>
      </c>
      <c r="B2452" t="s">
        <v>508</v>
      </c>
      <c r="C2452" t="s">
        <v>1121</v>
      </c>
      <c r="D2452" t="s">
        <v>1670</v>
      </c>
      <c r="E2452" t="s">
        <v>95</v>
      </c>
      <c r="F2452" t="s">
        <v>114</v>
      </c>
      <c r="G2452" t="s">
        <v>5180</v>
      </c>
      <c r="H2452" s="7">
        <v>75220</v>
      </c>
    </row>
    <row r="2453" spans="1:8" x14ac:dyDescent="0.3">
      <c r="A2453">
        <v>11325</v>
      </c>
      <c r="B2453" t="s">
        <v>5</v>
      </c>
      <c r="C2453" t="s">
        <v>93</v>
      </c>
      <c r="D2453" t="s">
        <v>107</v>
      </c>
      <c r="E2453" t="s">
        <v>8</v>
      </c>
      <c r="F2453" t="s">
        <v>9</v>
      </c>
      <c r="G2453" t="s">
        <v>5383</v>
      </c>
      <c r="H2453" s="7">
        <v>725</v>
      </c>
    </row>
    <row r="2454" spans="1:8" x14ac:dyDescent="0.3">
      <c r="A2454">
        <v>11336</v>
      </c>
      <c r="B2454" t="s">
        <v>359</v>
      </c>
      <c r="C2454" t="s">
        <v>927</v>
      </c>
      <c r="D2454" t="s">
        <v>1388</v>
      </c>
      <c r="E2454" t="s">
        <v>27</v>
      </c>
      <c r="F2454" t="s">
        <v>341</v>
      </c>
      <c r="G2454" t="s">
        <v>5073</v>
      </c>
      <c r="H2454" s="7">
        <v>28205</v>
      </c>
    </row>
    <row r="2455" spans="1:8" x14ac:dyDescent="0.3">
      <c r="A2455">
        <v>11343</v>
      </c>
      <c r="B2455" t="s">
        <v>2676</v>
      </c>
      <c r="C2455" t="s">
        <v>734</v>
      </c>
      <c r="D2455" t="s">
        <v>107</v>
      </c>
      <c r="E2455" t="s">
        <v>8</v>
      </c>
      <c r="F2455" t="s">
        <v>448</v>
      </c>
      <c r="G2455" t="s">
        <v>2677</v>
      </c>
      <c r="H2455" s="7">
        <v>32073</v>
      </c>
    </row>
    <row r="2456" spans="1:8" x14ac:dyDescent="0.3">
      <c r="A2456">
        <v>11348</v>
      </c>
      <c r="B2456" t="s">
        <v>3919</v>
      </c>
      <c r="C2456" t="s">
        <v>1032</v>
      </c>
      <c r="D2456" t="s">
        <v>3661</v>
      </c>
      <c r="E2456" t="s">
        <v>8</v>
      </c>
      <c r="F2456" t="s">
        <v>55</v>
      </c>
      <c r="G2456" t="s">
        <v>4123</v>
      </c>
      <c r="H2456" s="7">
        <v>62040</v>
      </c>
    </row>
    <row r="2457" spans="1:8" x14ac:dyDescent="0.3">
      <c r="A2457">
        <v>11350</v>
      </c>
      <c r="B2457" t="s">
        <v>1950</v>
      </c>
      <c r="C2457" t="s">
        <v>868</v>
      </c>
      <c r="D2457" t="s">
        <v>4197</v>
      </c>
      <c r="E2457" t="s">
        <v>8</v>
      </c>
      <c r="F2457" t="s">
        <v>381</v>
      </c>
      <c r="G2457" t="s">
        <v>3326</v>
      </c>
      <c r="H2457" s="7">
        <v>48126</v>
      </c>
    </row>
    <row r="2458" spans="1:8" x14ac:dyDescent="0.3">
      <c r="A2458">
        <v>11354</v>
      </c>
      <c r="B2458" t="s">
        <v>5</v>
      </c>
      <c r="C2458" t="s">
        <v>927</v>
      </c>
      <c r="D2458" t="s">
        <v>928</v>
      </c>
      <c r="E2458" t="s">
        <v>27</v>
      </c>
      <c r="F2458" t="s">
        <v>9</v>
      </c>
      <c r="G2458" t="s">
        <v>929</v>
      </c>
      <c r="H2458" s="7">
        <v>725</v>
      </c>
    </row>
    <row r="2459" spans="1:8" x14ac:dyDescent="0.3">
      <c r="A2459">
        <v>11358</v>
      </c>
      <c r="B2459" t="s">
        <v>976</v>
      </c>
      <c r="C2459" t="s">
        <v>977</v>
      </c>
      <c r="D2459" t="s">
        <v>978</v>
      </c>
      <c r="E2459" t="s">
        <v>8</v>
      </c>
      <c r="F2459" t="s">
        <v>153</v>
      </c>
      <c r="G2459" t="s">
        <v>979</v>
      </c>
      <c r="H2459" s="7">
        <v>84118</v>
      </c>
    </row>
    <row r="2460" spans="1:8" x14ac:dyDescent="0.3">
      <c r="A2460">
        <v>11366</v>
      </c>
      <c r="B2460" t="s">
        <v>174</v>
      </c>
      <c r="C2460" t="s">
        <v>971</v>
      </c>
      <c r="D2460" t="s">
        <v>955</v>
      </c>
      <c r="E2460" t="s">
        <v>95</v>
      </c>
      <c r="F2460" t="s">
        <v>21</v>
      </c>
      <c r="G2460" t="s">
        <v>5663</v>
      </c>
      <c r="H2460" s="7">
        <v>90007</v>
      </c>
    </row>
    <row r="2461" spans="1:8" x14ac:dyDescent="0.3">
      <c r="A2461">
        <v>11367</v>
      </c>
      <c r="B2461" t="s">
        <v>5</v>
      </c>
      <c r="C2461" t="s">
        <v>93</v>
      </c>
      <c r="D2461" t="s">
        <v>107</v>
      </c>
      <c r="E2461" t="s">
        <v>8</v>
      </c>
      <c r="F2461" t="s">
        <v>9</v>
      </c>
      <c r="G2461" t="s">
        <v>4227</v>
      </c>
      <c r="H2461" s="7">
        <v>725</v>
      </c>
    </row>
    <row r="2462" spans="1:8" x14ac:dyDescent="0.3">
      <c r="A2462">
        <v>11368</v>
      </c>
      <c r="B2462" t="s">
        <v>1302</v>
      </c>
      <c r="C2462" t="s">
        <v>1303</v>
      </c>
      <c r="D2462" t="s">
        <v>1304</v>
      </c>
      <c r="E2462" t="s">
        <v>8</v>
      </c>
      <c r="F2462" t="s">
        <v>88</v>
      </c>
      <c r="G2462" t="s">
        <v>1305</v>
      </c>
      <c r="H2462" s="7">
        <v>11746</v>
      </c>
    </row>
    <row r="2463" spans="1:8" x14ac:dyDescent="0.3">
      <c r="A2463">
        <v>11373</v>
      </c>
      <c r="B2463" t="s">
        <v>5</v>
      </c>
      <c r="C2463" t="s">
        <v>1951</v>
      </c>
      <c r="D2463" t="s">
        <v>654</v>
      </c>
      <c r="E2463" t="s">
        <v>8</v>
      </c>
      <c r="F2463" t="s">
        <v>9</v>
      </c>
      <c r="G2463" t="s">
        <v>2761</v>
      </c>
      <c r="H2463" s="7">
        <v>725</v>
      </c>
    </row>
    <row r="2464" spans="1:8" x14ac:dyDescent="0.3">
      <c r="A2464">
        <v>11376</v>
      </c>
      <c r="B2464" t="s">
        <v>699</v>
      </c>
      <c r="C2464" t="s">
        <v>891</v>
      </c>
      <c r="D2464" t="s">
        <v>2255</v>
      </c>
      <c r="E2464" t="s">
        <v>95</v>
      </c>
      <c r="F2464" t="s">
        <v>114</v>
      </c>
      <c r="G2464" t="s">
        <v>323</v>
      </c>
      <c r="H2464" s="7">
        <v>77093</v>
      </c>
    </row>
    <row r="2465" spans="1:8" x14ac:dyDescent="0.3">
      <c r="A2465">
        <v>11378</v>
      </c>
      <c r="B2465" t="s">
        <v>789</v>
      </c>
      <c r="C2465" t="s">
        <v>93</v>
      </c>
      <c r="D2465" t="s">
        <v>1093</v>
      </c>
      <c r="E2465" t="s">
        <v>8</v>
      </c>
      <c r="F2465" t="s">
        <v>21</v>
      </c>
      <c r="G2465" t="s">
        <v>1206</v>
      </c>
      <c r="H2465" s="7">
        <v>92804</v>
      </c>
    </row>
    <row r="2466" spans="1:8" x14ac:dyDescent="0.3">
      <c r="A2466">
        <v>11380</v>
      </c>
      <c r="B2466" t="s">
        <v>5</v>
      </c>
      <c r="C2466" t="s">
        <v>332</v>
      </c>
      <c r="D2466" t="s">
        <v>107</v>
      </c>
      <c r="E2466" t="s">
        <v>8</v>
      </c>
      <c r="F2466" t="s">
        <v>9</v>
      </c>
      <c r="G2466" t="s">
        <v>3790</v>
      </c>
      <c r="H2466" s="7">
        <v>725</v>
      </c>
    </row>
    <row r="2467" spans="1:8" x14ac:dyDescent="0.3">
      <c r="A2467">
        <v>11382</v>
      </c>
      <c r="B2467" t="s">
        <v>1036</v>
      </c>
      <c r="C2467" t="s">
        <v>491</v>
      </c>
      <c r="D2467" t="s">
        <v>1873</v>
      </c>
      <c r="E2467" t="s">
        <v>27</v>
      </c>
      <c r="F2467" t="s">
        <v>21</v>
      </c>
      <c r="G2467" t="s">
        <v>4176</v>
      </c>
      <c r="H2467" s="7">
        <v>92647</v>
      </c>
    </row>
    <row r="2468" spans="1:8" x14ac:dyDescent="0.3">
      <c r="A2468">
        <v>11383</v>
      </c>
      <c r="B2468" t="s">
        <v>5</v>
      </c>
      <c r="C2468" t="s">
        <v>454</v>
      </c>
      <c r="D2468" t="s">
        <v>107</v>
      </c>
      <c r="E2468" t="s">
        <v>8</v>
      </c>
      <c r="F2468" t="s">
        <v>9</v>
      </c>
      <c r="G2468" t="s">
        <v>3814</v>
      </c>
      <c r="H2468" s="7">
        <v>725</v>
      </c>
    </row>
    <row r="2469" spans="1:8" x14ac:dyDescent="0.3">
      <c r="A2469">
        <v>11384</v>
      </c>
      <c r="B2469" t="s">
        <v>2089</v>
      </c>
      <c r="C2469" t="s">
        <v>1770</v>
      </c>
      <c r="D2469" t="s">
        <v>1351</v>
      </c>
      <c r="E2469" t="s">
        <v>95</v>
      </c>
      <c r="F2469" t="s">
        <v>21</v>
      </c>
      <c r="G2469" t="s">
        <v>3176</v>
      </c>
      <c r="H2469" s="7">
        <v>95687</v>
      </c>
    </row>
    <row r="2470" spans="1:8" x14ac:dyDescent="0.3">
      <c r="A2470">
        <v>11396</v>
      </c>
      <c r="B2470" t="s">
        <v>396</v>
      </c>
      <c r="C2470" t="s">
        <v>454</v>
      </c>
      <c r="D2470" t="s">
        <v>107</v>
      </c>
      <c r="E2470" t="s">
        <v>8</v>
      </c>
      <c r="F2470" t="s">
        <v>248</v>
      </c>
      <c r="G2470" t="s">
        <v>2151</v>
      </c>
      <c r="H2470" s="7">
        <v>45013</v>
      </c>
    </row>
    <row r="2471" spans="1:8" x14ac:dyDescent="0.3">
      <c r="A2471">
        <v>11397</v>
      </c>
      <c r="B2471" t="s">
        <v>635</v>
      </c>
      <c r="C2471" t="s">
        <v>93</v>
      </c>
      <c r="D2471" t="s">
        <v>2998</v>
      </c>
      <c r="E2471" t="s">
        <v>8</v>
      </c>
      <c r="F2471" t="s">
        <v>448</v>
      </c>
      <c r="G2471" t="s">
        <v>2999</v>
      </c>
      <c r="H2471" s="7">
        <v>32308</v>
      </c>
    </row>
    <row r="2472" spans="1:8" x14ac:dyDescent="0.3">
      <c r="A2472">
        <v>11400</v>
      </c>
      <c r="B2472" t="s">
        <v>1800</v>
      </c>
      <c r="C2472" t="s">
        <v>2619</v>
      </c>
      <c r="D2472" t="s">
        <v>811</v>
      </c>
      <c r="E2472" t="s">
        <v>95</v>
      </c>
      <c r="F2472" t="s">
        <v>114</v>
      </c>
      <c r="G2472" t="s">
        <v>3775</v>
      </c>
      <c r="H2472" s="7">
        <v>76116</v>
      </c>
    </row>
    <row r="2473" spans="1:8" x14ac:dyDescent="0.3">
      <c r="A2473">
        <v>11402</v>
      </c>
      <c r="B2473" t="s">
        <v>997</v>
      </c>
      <c r="C2473" t="s">
        <v>1112</v>
      </c>
      <c r="D2473" t="s">
        <v>1740</v>
      </c>
      <c r="E2473" t="s">
        <v>95</v>
      </c>
      <c r="F2473" t="s">
        <v>2654</v>
      </c>
      <c r="G2473" t="s">
        <v>1574</v>
      </c>
      <c r="H2473" s="7">
        <v>19711</v>
      </c>
    </row>
    <row r="2474" spans="1:8" x14ac:dyDescent="0.3">
      <c r="A2474">
        <v>11404</v>
      </c>
      <c r="B2474" t="s">
        <v>5</v>
      </c>
      <c r="C2474" t="s">
        <v>2025</v>
      </c>
      <c r="D2474" t="s">
        <v>2008</v>
      </c>
      <c r="E2474" t="s">
        <v>27</v>
      </c>
      <c r="F2474" t="s">
        <v>9</v>
      </c>
      <c r="G2474" t="s">
        <v>2026</v>
      </c>
      <c r="H2474" s="7">
        <v>725</v>
      </c>
    </row>
    <row r="2475" spans="1:8" x14ac:dyDescent="0.3">
      <c r="A2475">
        <v>11406</v>
      </c>
      <c r="B2475" t="s">
        <v>1635</v>
      </c>
      <c r="C2475" t="s">
        <v>251</v>
      </c>
      <c r="D2475" t="s">
        <v>1636</v>
      </c>
      <c r="E2475" t="s">
        <v>27</v>
      </c>
      <c r="F2475" t="s">
        <v>1177</v>
      </c>
      <c r="G2475" t="s">
        <v>1637</v>
      </c>
      <c r="H2475" s="7">
        <v>87111</v>
      </c>
    </row>
    <row r="2476" spans="1:8" x14ac:dyDescent="0.3">
      <c r="A2476">
        <v>11414</v>
      </c>
      <c r="B2476" t="s">
        <v>5</v>
      </c>
      <c r="C2476" t="s">
        <v>93</v>
      </c>
      <c r="D2476" t="s">
        <v>398</v>
      </c>
      <c r="E2476" t="s">
        <v>27</v>
      </c>
      <c r="F2476" t="s">
        <v>9</v>
      </c>
      <c r="G2476" t="s">
        <v>5345</v>
      </c>
      <c r="H2476" s="7">
        <v>725</v>
      </c>
    </row>
    <row r="2477" spans="1:8" x14ac:dyDescent="0.3">
      <c r="A2477">
        <v>11418</v>
      </c>
      <c r="B2477" t="s">
        <v>5</v>
      </c>
      <c r="C2477" t="s">
        <v>93</v>
      </c>
      <c r="D2477" t="s">
        <v>107</v>
      </c>
      <c r="E2477" t="s">
        <v>8</v>
      </c>
      <c r="F2477" t="s">
        <v>9</v>
      </c>
      <c r="G2477" t="s">
        <v>4685</v>
      </c>
      <c r="H2477" s="7">
        <v>725</v>
      </c>
    </row>
    <row r="2478" spans="1:8" x14ac:dyDescent="0.3">
      <c r="A2478">
        <v>11422</v>
      </c>
      <c r="B2478" t="s">
        <v>1309</v>
      </c>
      <c r="C2478" t="s">
        <v>93</v>
      </c>
      <c r="D2478" t="s">
        <v>413</v>
      </c>
      <c r="E2478" t="s">
        <v>95</v>
      </c>
      <c r="F2478" t="s">
        <v>21</v>
      </c>
      <c r="G2478" t="s">
        <v>3133</v>
      </c>
      <c r="H2478" s="7">
        <v>92557</v>
      </c>
    </row>
    <row r="2479" spans="1:8" x14ac:dyDescent="0.3">
      <c r="A2479">
        <v>11423</v>
      </c>
      <c r="B2479" t="s">
        <v>5</v>
      </c>
      <c r="C2479" t="s">
        <v>1536</v>
      </c>
      <c r="D2479" t="s">
        <v>484</v>
      </c>
      <c r="E2479" t="s">
        <v>95</v>
      </c>
      <c r="F2479" t="s">
        <v>9</v>
      </c>
      <c r="G2479" t="s">
        <v>3586</v>
      </c>
      <c r="H2479" s="7">
        <v>725</v>
      </c>
    </row>
    <row r="2480" spans="1:8" x14ac:dyDescent="0.3">
      <c r="A2480">
        <v>11426</v>
      </c>
      <c r="B2480" t="s">
        <v>5</v>
      </c>
      <c r="C2480" t="s">
        <v>93</v>
      </c>
      <c r="D2480" t="s">
        <v>107</v>
      </c>
      <c r="E2480" t="s">
        <v>8</v>
      </c>
      <c r="F2480" t="s">
        <v>9</v>
      </c>
      <c r="G2480" t="s">
        <v>1347</v>
      </c>
      <c r="H2480" s="7">
        <v>725</v>
      </c>
    </row>
    <row r="2481" spans="1:8" x14ac:dyDescent="0.3">
      <c r="A2481">
        <v>11427</v>
      </c>
      <c r="B2481" t="s">
        <v>2774</v>
      </c>
      <c r="C2481" t="s">
        <v>967</v>
      </c>
      <c r="D2481" t="s">
        <v>2169</v>
      </c>
      <c r="E2481" t="s">
        <v>27</v>
      </c>
      <c r="F2481" t="s">
        <v>21</v>
      </c>
      <c r="G2481" t="s">
        <v>4675</v>
      </c>
      <c r="H2481" s="7">
        <v>90255</v>
      </c>
    </row>
    <row r="2482" spans="1:8" x14ac:dyDescent="0.3">
      <c r="A2482">
        <v>11436</v>
      </c>
      <c r="B2482" t="s">
        <v>5</v>
      </c>
      <c r="C2482" t="s">
        <v>93</v>
      </c>
      <c r="D2482" t="s">
        <v>3910</v>
      </c>
      <c r="E2482" t="s">
        <v>8</v>
      </c>
      <c r="F2482" t="s">
        <v>9</v>
      </c>
      <c r="G2482" t="s">
        <v>5014</v>
      </c>
      <c r="H2482" s="7">
        <v>725</v>
      </c>
    </row>
    <row r="2483" spans="1:8" x14ac:dyDescent="0.3">
      <c r="A2483">
        <v>11438</v>
      </c>
      <c r="B2483" t="s">
        <v>5</v>
      </c>
      <c r="C2483" t="s">
        <v>93</v>
      </c>
      <c r="D2483" t="s">
        <v>1345</v>
      </c>
      <c r="E2483" t="s">
        <v>8</v>
      </c>
      <c r="F2483" t="s">
        <v>9</v>
      </c>
      <c r="G2483" t="s">
        <v>1346</v>
      </c>
      <c r="H2483" s="7">
        <v>725</v>
      </c>
    </row>
    <row r="2484" spans="1:8" x14ac:dyDescent="0.3">
      <c r="A2484">
        <v>11442</v>
      </c>
      <c r="B2484" t="s">
        <v>5</v>
      </c>
      <c r="C2484" t="s">
        <v>1399</v>
      </c>
      <c r="D2484" t="s">
        <v>2746</v>
      </c>
      <c r="E2484" t="s">
        <v>8</v>
      </c>
      <c r="F2484" t="s">
        <v>9</v>
      </c>
      <c r="G2484" t="s">
        <v>2747</v>
      </c>
      <c r="H2484" s="7">
        <v>725</v>
      </c>
    </row>
    <row r="2485" spans="1:8" x14ac:dyDescent="0.3">
      <c r="A2485">
        <v>11444</v>
      </c>
      <c r="B2485" t="s">
        <v>117</v>
      </c>
      <c r="C2485" t="s">
        <v>1188</v>
      </c>
      <c r="D2485" t="s">
        <v>2002</v>
      </c>
      <c r="E2485" t="s">
        <v>27</v>
      </c>
      <c r="F2485" t="s">
        <v>21</v>
      </c>
      <c r="G2485" t="s">
        <v>4752</v>
      </c>
      <c r="H2485" s="7">
        <v>92109</v>
      </c>
    </row>
    <row r="2486" spans="1:8" x14ac:dyDescent="0.3">
      <c r="A2486">
        <v>11447</v>
      </c>
      <c r="B2486" t="s">
        <v>2492</v>
      </c>
      <c r="C2486" t="s">
        <v>1039</v>
      </c>
      <c r="D2486" t="s">
        <v>107</v>
      </c>
      <c r="E2486" t="s">
        <v>27</v>
      </c>
      <c r="F2486" t="s">
        <v>1145</v>
      </c>
      <c r="G2486" t="s">
        <v>4373</v>
      </c>
      <c r="H2486" s="7">
        <v>53511</v>
      </c>
    </row>
    <row r="2487" spans="1:8" x14ac:dyDescent="0.3">
      <c r="A2487">
        <v>11450</v>
      </c>
      <c r="B2487" t="s">
        <v>1688</v>
      </c>
      <c r="C2487" t="s">
        <v>886</v>
      </c>
      <c r="D2487" t="s">
        <v>685</v>
      </c>
      <c r="E2487" t="s">
        <v>8</v>
      </c>
      <c r="F2487" t="s">
        <v>114</v>
      </c>
      <c r="G2487" t="s">
        <v>4385</v>
      </c>
      <c r="H2487" s="7">
        <v>78040</v>
      </c>
    </row>
    <row r="2488" spans="1:8" x14ac:dyDescent="0.3">
      <c r="A2488">
        <v>11452</v>
      </c>
      <c r="B2488" t="s">
        <v>2501</v>
      </c>
      <c r="C2488" t="s">
        <v>1188</v>
      </c>
      <c r="D2488" t="s">
        <v>4517</v>
      </c>
      <c r="E2488" t="s">
        <v>95</v>
      </c>
      <c r="F2488" t="s">
        <v>448</v>
      </c>
      <c r="G2488" t="s">
        <v>4592</v>
      </c>
      <c r="H2488" s="7">
        <v>33023</v>
      </c>
    </row>
    <row r="2489" spans="1:8" x14ac:dyDescent="0.3">
      <c r="A2489">
        <v>11454</v>
      </c>
      <c r="B2489" t="s">
        <v>710</v>
      </c>
      <c r="C2489" t="s">
        <v>3142</v>
      </c>
      <c r="D2489" t="s">
        <v>1282</v>
      </c>
      <c r="E2489" t="s">
        <v>95</v>
      </c>
      <c r="F2489" t="s">
        <v>448</v>
      </c>
      <c r="G2489" t="s">
        <v>3143</v>
      </c>
      <c r="H2489" s="7">
        <v>33324</v>
      </c>
    </row>
    <row r="2490" spans="1:8" x14ac:dyDescent="0.3">
      <c r="A2490">
        <v>11455</v>
      </c>
      <c r="B2490" t="s">
        <v>5</v>
      </c>
      <c r="C2490" t="s">
        <v>93</v>
      </c>
      <c r="D2490" t="s">
        <v>1864</v>
      </c>
      <c r="E2490" t="s">
        <v>8</v>
      </c>
      <c r="F2490" t="s">
        <v>9</v>
      </c>
      <c r="G2490" t="s">
        <v>4048</v>
      </c>
      <c r="H2490" s="7">
        <v>725</v>
      </c>
    </row>
    <row r="2491" spans="1:8" x14ac:dyDescent="0.3">
      <c r="A2491">
        <v>11459</v>
      </c>
      <c r="B2491" t="s">
        <v>2870</v>
      </c>
      <c r="C2491" t="s">
        <v>93</v>
      </c>
      <c r="D2491" t="s">
        <v>107</v>
      </c>
      <c r="E2491" t="s">
        <v>8</v>
      </c>
      <c r="F2491" t="s">
        <v>21</v>
      </c>
      <c r="G2491" t="s">
        <v>1047</v>
      </c>
      <c r="H2491" s="7">
        <v>92703</v>
      </c>
    </row>
    <row r="2492" spans="1:8" x14ac:dyDescent="0.3">
      <c r="A2492">
        <v>11465</v>
      </c>
      <c r="B2492" t="s">
        <v>1100</v>
      </c>
      <c r="C2492" t="s">
        <v>93</v>
      </c>
      <c r="D2492" t="s">
        <v>107</v>
      </c>
      <c r="E2492" t="s">
        <v>95</v>
      </c>
      <c r="F2492" t="s">
        <v>21</v>
      </c>
      <c r="G2492" t="s">
        <v>5312</v>
      </c>
      <c r="H2492" s="7">
        <v>94587</v>
      </c>
    </row>
    <row r="2493" spans="1:8" x14ac:dyDescent="0.3">
      <c r="A2493">
        <v>11472</v>
      </c>
      <c r="B2493" t="s">
        <v>5</v>
      </c>
      <c r="C2493" t="s">
        <v>948</v>
      </c>
      <c r="D2493" t="s">
        <v>819</v>
      </c>
      <c r="E2493" t="s">
        <v>27</v>
      </c>
      <c r="F2493" t="s">
        <v>9</v>
      </c>
      <c r="G2493" t="s">
        <v>4069</v>
      </c>
      <c r="H2493" s="7">
        <v>725</v>
      </c>
    </row>
    <row r="2494" spans="1:8" x14ac:dyDescent="0.3">
      <c r="A2494">
        <v>11475</v>
      </c>
      <c r="B2494" t="s">
        <v>699</v>
      </c>
      <c r="C2494" t="s">
        <v>93</v>
      </c>
      <c r="D2494" t="s">
        <v>2153</v>
      </c>
      <c r="E2494" t="s">
        <v>95</v>
      </c>
      <c r="F2494" t="s">
        <v>114</v>
      </c>
      <c r="G2494" t="s">
        <v>4089</v>
      </c>
      <c r="H2494" s="7">
        <v>77083</v>
      </c>
    </row>
    <row r="2495" spans="1:8" x14ac:dyDescent="0.3">
      <c r="A2495">
        <v>11488</v>
      </c>
      <c r="B2495" t="s">
        <v>854</v>
      </c>
      <c r="C2495" t="s">
        <v>93</v>
      </c>
      <c r="D2495" t="s">
        <v>1093</v>
      </c>
      <c r="E2495" t="s">
        <v>27</v>
      </c>
      <c r="F2495" t="s">
        <v>108</v>
      </c>
      <c r="G2495" t="s">
        <v>5021</v>
      </c>
      <c r="H2495" s="7">
        <v>97303</v>
      </c>
    </row>
    <row r="2496" spans="1:8" x14ac:dyDescent="0.3">
      <c r="A2496">
        <v>11489</v>
      </c>
      <c r="B2496" t="s">
        <v>254</v>
      </c>
      <c r="C2496" t="s">
        <v>1406</v>
      </c>
      <c r="D2496" t="s">
        <v>852</v>
      </c>
      <c r="E2496" t="s">
        <v>27</v>
      </c>
      <c r="F2496" t="s">
        <v>55</v>
      </c>
      <c r="G2496" t="s">
        <v>536</v>
      </c>
      <c r="H2496" s="7">
        <v>60613</v>
      </c>
    </row>
    <row r="2497" spans="1:8" x14ac:dyDescent="0.3">
      <c r="A2497">
        <v>11491</v>
      </c>
      <c r="B2497" t="s">
        <v>995</v>
      </c>
      <c r="C2497" t="s">
        <v>1191</v>
      </c>
      <c r="D2497" t="s">
        <v>107</v>
      </c>
      <c r="E2497" t="s">
        <v>95</v>
      </c>
      <c r="F2497" t="s">
        <v>283</v>
      </c>
      <c r="G2497" t="s">
        <v>5598</v>
      </c>
      <c r="H2497" s="7">
        <v>23454</v>
      </c>
    </row>
    <row r="2498" spans="1:8" x14ac:dyDescent="0.3">
      <c r="A2498">
        <v>11495</v>
      </c>
      <c r="B2498" t="s">
        <v>254</v>
      </c>
      <c r="C2498" t="s">
        <v>93</v>
      </c>
      <c r="D2498" t="s">
        <v>107</v>
      </c>
      <c r="E2498" t="s">
        <v>8</v>
      </c>
      <c r="F2498" t="s">
        <v>55</v>
      </c>
      <c r="G2498" t="s">
        <v>4935</v>
      </c>
      <c r="H2498" s="7">
        <v>60613</v>
      </c>
    </row>
    <row r="2499" spans="1:8" x14ac:dyDescent="0.3">
      <c r="A2499">
        <v>11502</v>
      </c>
      <c r="B2499" t="s">
        <v>5</v>
      </c>
      <c r="C2499" t="s">
        <v>93</v>
      </c>
      <c r="D2499" t="s">
        <v>781</v>
      </c>
      <c r="E2499" t="s">
        <v>8</v>
      </c>
      <c r="F2499" t="s">
        <v>9</v>
      </c>
      <c r="G2499" t="s">
        <v>4280</v>
      </c>
      <c r="H2499" s="7">
        <v>725</v>
      </c>
    </row>
    <row r="2500" spans="1:8" x14ac:dyDescent="0.3">
      <c r="A2500">
        <v>11503</v>
      </c>
      <c r="B2500" t="s">
        <v>1784</v>
      </c>
      <c r="C2500" t="s">
        <v>535</v>
      </c>
      <c r="D2500" t="s">
        <v>1785</v>
      </c>
      <c r="E2500" t="s">
        <v>27</v>
      </c>
      <c r="F2500" t="s">
        <v>381</v>
      </c>
      <c r="G2500" t="s">
        <v>1786</v>
      </c>
      <c r="H2500" s="7">
        <v>48601</v>
      </c>
    </row>
    <row r="2501" spans="1:8" x14ac:dyDescent="0.3">
      <c r="A2501">
        <v>11514</v>
      </c>
      <c r="B2501" t="s">
        <v>635</v>
      </c>
      <c r="C2501" t="s">
        <v>977</v>
      </c>
      <c r="D2501" t="s">
        <v>3630</v>
      </c>
      <c r="E2501" t="s">
        <v>95</v>
      </c>
      <c r="F2501" t="s">
        <v>448</v>
      </c>
      <c r="G2501" t="s">
        <v>5552</v>
      </c>
      <c r="H2501" s="7">
        <v>32308</v>
      </c>
    </row>
    <row r="2502" spans="1:8" x14ac:dyDescent="0.3">
      <c r="A2502">
        <v>11516</v>
      </c>
      <c r="B2502" t="s">
        <v>2270</v>
      </c>
      <c r="C2502" t="s">
        <v>787</v>
      </c>
      <c r="D2502" t="s">
        <v>107</v>
      </c>
      <c r="E2502" t="s">
        <v>8</v>
      </c>
      <c r="F2502" t="s">
        <v>55</v>
      </c>
      <c r="G2502" t="s">
        <v>3117</v>
      </c>
      <c r="H2502" s="7">
        <v>60188</v>
      </c>
    </row>
    <row r="2503" spans="1:8" x14ac:dyDescent="0.3">
      <c r="A2503">
        <v>11519</v>
      </c>
      <c r="B2503" t="s">
        <v>837</v>
      </c>
      <c r="C2503" t="s">
        <v>755</v>
      </c>
      <c r="D2503" t="s">
        <v>107</v>
      </c>
      <c r="E2503" t="s">
        <v>8</v>
      </c>
      <c r="F2503" t="s">
        <v>381</v>
      </c>
      <c r="G2503" t="s">
        <v>838</v>
      </c>
      <c r="H2503" s="7">
        <v>48843</v>
      </c>
    </row>
    <row r="2504" spans="1:8" x14ac:dyDescent="0.3">
      <c r="A2504">
        <v>11522</v>
      </c>
      <c r="B2504" t="s">
        <v>897</v>
      </c>
      <c r="C2504" t="s">
        <v>762</v>
      </c>
      <c r="D2504" t="s">
        <v>107</v>
      </c>
      <c r="E2504" t="s">
        <v>95</v>
      </c>
      <c r="F2504" t="s">
        <v>9</v>
      </c>
      <c r="G2504" t="s">
        <v>898</v>
      </c>
      <c r="H2504" s="7">
        <v>674</v>
      </c>
    </row>
    <row r="2505" spans="1:8" x14ac:dyDescent="0.3">
      <c r="A2505">
        <v>11525</v>
      </c>
      <c r="B2505" t="s">
        <v>495</v>
      </c>
      <c r="C2505" t="s">
        <v>93</v>
      </c>
      <c r="D2505" t="s">
        <v>1291</v>
      </c>
      <c r="E2505" t="s">
        <v>8</v>
      </c>
      <c r="F2505" t="s">
        <v>88</v>
      </c>
      <c r="G2505" t="s">
        <v>3260</v>
      </c>
      <c r="H2505" s="7">
        <v>11209</v>
      </c>
    </row>
    <row r="2506" spans="1:8" x14ac:dyDescent="0.3">
      <c r="A2506">
        <v>11528</v>
      </c>
      <c r="B2506" t="s">
        <v>259</v>
      </c>
      <c r="C2506" t="s">
        <v>1188</v>
      </c>
      <c r="D2506" t="s">
        <v>1264</v>
      </c>
      <c r="E2506" t="s">
        <v>95</v>
      </c>
      <c r="F2506" t="s">
        <v>242</v>
      </c>
      <c r="G2506" t="s">
        <v>3323</v>
      </c>
      <c r="H2506" s="7">
        <v>21061</v>
      </c>
    </row>
    <row r="2507" spans="1:8" x14ac:dyDescent="0.3">
      <c r="A2507">
        <v>11534</v>
      </c>
      <c r="B2507" t="s">
        <v>5</v>
      </c>
      <c r="C2507" t="s">
        <v>93</v>
      </c>
      <c r="D2507" t="s">
        <v>53</v>
      </c>
      <c r="E2507" t="s">
        <v>8</v>
      </c>
      <c r="F2507" t="s">
        <v>9</v>
      </c>
      <c r="G2507" t="s">
        <v>4512</v>
      </c>
      <c r="H2507" s="7">
        <v>725</v>
      </c>
    </row>
    <row r="2508" spans="1:8" x14ac:dyDescent="0.3">
      <c r="A2508">
        <v>11535</v>
      </c>
      <c r="B2508" t="s">
        <v>1652</v>
      </c>
      <c r="C2508" t="s">
        <v>1406</v>
      </c>
      <c r="D2508" t="s">
        <v>4931</v>
      </c>
      <c r="E2508" t="s">
        <v>8</v>
      </c>
      <c r="F2508" t="s">
        <v>381</v>
      </c>
      <c r="G2508" t="s">
        <v>4991</v>
      </c>
      <c r="H2508" s="7">
        <v>48197</v>
      </c>
    </row>
    <row r="2509" spans="1:8" x14ac:dyDescent="0.3">
      <c r="A2509">
        <v>11542</v>
      </c>
      <c r="B2509" t="s">
        <v>5</v>
      </c>
      <c r="C2509" t="s">
        <v>93</v>
      </c>
      <c r="D2509" t="s">
        <v>951</v>
      </c>
      <c r="E2509" t="s">
        <v>27</v>
      </c>
      <c r="F2509" t="s">
        <v>9</v>
      </c>
      <c r="G2509" t="s">
        <v>952</v>
      </c>
      <c r="H2509" s="7">
        <v>725</v>
      </c>
    </row>
    <row r="2510" spans="1:8" x14ac:dyDescent="0.3">
      <c r="A2510">
        <v>11545</v>
      </c>
      <c r="B2510" t="s">
        <v>5</v>
      </c>
      <c r="C2510" t="s">
        <v>93</v>
      </c>
      <c r="D2510" t="s">
        <v>675</v>
      </c>
      <c r="E2510" t="s">
        <v>8</v>
      </c>
      <c r="F2510" t="s">
        <v>9</v>
      </c>
      <c r="G2510" t="s">
        <v>5121</v>
      </c>
      <c r="H2510" s="7">
        <v>725</v>
      </c>
    </row>
    <row r="2511" spans="1:8" x14ac:dyDescent="0.3">
      <c r="A2511">
        <v>11546</v>
      </c>
      <c r="B2511" t="s">
        <v>3238</v>
      </c>
      <c r="C2511" t="s">
        <v>93</v>
      </c>
      <c r="D2511" t="s">
        <v>3736</v>
      </c>
      <c r="E2511" t="s">
        <v>27</v>
      </c>
      <c r="F2511" t="s">
        <v>1249</v>
      </c>
      <c r="G2511" t="s">
        <v>5204</v>
      </c>
      <c r="H2511" s="7">
        <v>67401</v>
      </c>
    </row>
    <row r="2512" spans="1:8" x14ac:dyDescent="0.3">
      <c r="A2512">
        <v>11547</v>
      </c>
      <c r="B2512" t="s">
        <v>1938</v>
      </c>
      <c r="C2512" t="s">
        <v>1153</v>
      </c>
      <c r="D2512" t="s">
        <v>107</v>
      </c>
      <c r="E2512" t="s">
        <v>8</v>
      </c>
      <c r="F2512" t="s">
        <v>21</v>
      </c>
      <c r="G2512" t="s">
        <v>387</v>
      </c>
      <c r="H2512" s="7">
        <v>92025</v>
      </c>
    </row>
    <row r="2513" spans="1:8" x14ac:dyDescent="0.3">
      <c r="A2513">
        <v>11564</v>
      </c>
      <c r="B2513" t="s">
        <v>5</v>
      </c>
      <c r="C2513" t="s">
        <v>93</v>
      </c>
      <c r="D2513" t="s">
        <v>1699</v>
      </c>
      <c r="E2513" t="s">
        <v>27</v>
      </c>
      <c r="F2513" t="s">
        <v>9</v>
      </c>
      <c r="G2513" t="s">
        <v>5347</v>
      </c>
      <c r="H2513" s="7">
        <v>725</v>
      </c>
    </row>
    <row r="2514" spans="1:8" x14ac:dyDescent="0.3">
      <c r="A2514">
        <v>11565</v>
      </c>
      <c r="B2514" t="s">
        <v>784</v>
      </c>
      <c r="C2514" t="s">
        <v>795</v>
      </c>
      <c r="D2514" t="s">
        <v>796</v>
      </c>
      <c r="E2514" t="s">
        <v>8</v>
      </c>
      <c r="F2514" t="s">
        <v>114</v>
      </c>
      <c r="G2514" t="s">
        <v>797</v>
      </c>
      <c r="H2514" s="7">
        <v>78550</v>
      </c>
    </row>
    <row r="2515" spans="1:8" x14ac:dyDescent="0.3">
      <c r="A2515">
        <v>11580</v>
      </c>
      <c r="B2515" t="s">
        <v>5</v>
      </c>
      <c r="C2515" t="s">
        <v>106</v>
      </c>
      <c r="D2515" t="s">
        <v>107</v>
      </c>
      <c r="E2515" t="s">
        <v>27</v>
      </c>
      <c r="F2515" t="s">
        <v>9</v>
      </c>
      <c r="G2515" t="s">
        <v>5040</v>
      </c>
      <c r="H2515" s="7">
        <v>725</v>
      </c>
    </row>
    <row r="2516" spans="1:8" x14ac:dyDescent="0.3">
      <c r="A2516">
        <v>11584</v>
      </c>
      <c r="B2516" t="s">
        <v>5</v>
      </c>
      <c r="C2516" t="s">
        <v>2441</v>
      </c>
      <c r="D2516" t="s">
        <v>3799</v>
      </c>
      <c r="E2516" t="s">
        <v>8</v>
      </c>
      <c r="F2516" t="s">
        <v>9</v>
      </c>
      <c r="G2516" t="s">
        <v>3800</v>
      </c>
      <c r="H2516" s="7">
        <v>725</v>
      </c>
    </row>
    <row r="2517" spans="1:8" x14ac:dyDescent="0.3">
      <c r="A2517">
        <v>11589</v>
      </c>
      <c r="B2517" t="s">
        <v>3934</v>
      </c>
      <c r="C2517" t="s">
        <v>93</v>
      </c>
      <c r="D2517" t="s">
        <v>264</v>
      </c>
      <c r="E2517" t="s">
        <v>8</v>
      </c>
      <c r="F2517" t="s">
        <v>1195</v>
      </c>
      <c r="G2517" t="s">
        <v>4486</v>
      </c>
      <c r="H2517" s="7">
        <v>98031</v>
      </c>
    </row>
    <row r="2518" spans="1:8" x14ac:dyDescent="0.3">
      <c r="A2518">
        <v>11593</v>
      </c>
      <c r="B2518" t="s">
        <v>5</v>
      </c>
      <c r="C2518" t="s">
        <v>67</v>
      </c>
      <c r="D2518" t="s">
        <v>1719</v>
      </c>
      <c r="E2518" t="s">
        <v>8</v>
      </c>
      <c r="F2518" t="s">
        <v>9</v>
      </c>
      <c r="G2518" t="s">
        <v>1760</v>
      </c>
      <c r="H2518" s="7">
        <v>725</v>
      </c>
    </row>
    <row r="2519" spans="1:8" x14ac:dyDescent="0.3">
      <c r="A2519">
        <v>11601</v>
      </c>
      <c r="B2519" t="s">
        <v>1645</v>
      </c>
      <c r="C2519" t="s">
        <v>488</v>
      </c>
      <c r="D2519" t="s">
        <v>4740</v>
      </c>
      <c r="E2519" t="s">
        <v>8</v>
      </c>
      <c r="F2519" t="s">
        <v>190</v>
      </c>
      <c r="G2519" t="s">
        <v>5279</v>
      </c>
      <c r="H2519" s="7">
        <v>85301</v>
      </c>
    </row>
    <row r="2520" spans="1:8" x14ac:dyDescent="0.3">
      <c r="A2520">
        <v>11606</v>
      </c>
      <c r="B2520" t="s">
        <v>1276</v>
      </c>
      <c r="C2520" t="s">
        <v>93</v>
      </c>
      <c r="D2520" t="s">
        <v>1277</v>
      </c>
      <c r="E2520" t="s">
        <v>8</v>
      </c>
      <c r="F2520" t="s">
        <v>341</v>
      </c>
      <c r="G2520" t="s">
        <v>1278</v>
      </c>
      <c r="H2520" s="7">
        <v>27502</v>
      </c>
    </row>
    <row r="2521" spans="1:8" x14ac:dyDescent="0.3">
      <c r="A2521">
        <v>11611</v>
      </c>
      <c r="B2521" t="s">
        <v>4656</v>
      </c>
      <c r="C2521" t="s">
        <v>1317</v>
      </c>
      <c r="D2521" t="s">
        <v>1221</v>
      </c>
      <c r="E2521" t="s">
        <v>27</v>
      </c>
      <c r="F2521" t="s">
        <v>629</v>
      </c>
      <c r="G2521" t="s">
        <v>4921</v>
      </c>
      <c r="H2521" s="7">
        <v>70003</v>
      </c>
    </row>
    <row r="2522" spans="1:8" x14ac:dyDescent="0.3">
      <c r="A2522">
        <v>11622</v>
      </c>
      <c r="B2522" t="s">
        <v>5</v>
      </c>
      <c r="C2522" t="s">
        <v>93</v>
      </c>
      <c r="D2522" t="s">
        <v>107</v>
      </c>
      <c r="E2522" t="s">
        <v>8</v>
      </c>
      <c r="F2522" t="s">
        <v>9</v>
      </c>
      <c r="G2522" t="s">
        <v>2221</v>
      </c>
      <c r="H2522" s="7">
        <v>725</v>
      </c>
    </row>
    <row r="2523" spans="1:8" x14ac:dyDescent="0.3">
      <c r="A2523">
        <v>11628</v>
      </c>
      <c r="B2523" t="s">
        <v>862</v>
      </c>
      <c r="C2523" t="s">
        <v>1824</v>
      </c>
      <c r="D2523" t="s">
        <v>1825</v>
      </c>
      <c r="E2523" t="s">
        <v>8</v>
      </c>
      <c r="F2523" t="s">
        <v>478</v>
      </c>
      <c r="G2523" t="s">
        <v>1826</v>
      </c>
      <c r="H2523" s="7">
        <v>89119</v>
      </c>
    </row>
    <row r="2524" spans="1:8" x14ac:dyDescent="0.3">
      <c r="A2524">
        <v>11629</v>
      </c>
      <c r="B2524" t="s">
        <v>5</v>
      </c>
      <c r="C2524" t="s">
        <v>106</v>
      </c>
      <c r="D2524" t="s">
        <v>107</v>
      </c>
      <c r="E2524" t="s">
        <v>8</v>
      </c>
      <c r="F2524" t="s">
        <v>9</v>
      </c>
      <c r="G2524" t="s">
        <v>5276</v>
      </c>
      <c r="H2524" s="7">
        <v>725</v>
      </c>
    </row>
    <row r="2525" spans="1:8" x14ac:dyDescent="0.3">
      <c r="A2525">
        <v>11636</v>
      </c>
      <c r="B2525" t="s">
        <v>254</v>
      </c>
      <c r="C2525" t="s">
        <v>2002</v>
      </c>
      <c r="D2525" t="s">
        <v>1661</v>
      </c>
      <c r="E2525" t="s">
        <v>8</v>
      </c>
      <c r="F2525" t="s">
        <v>55</v>
      </c>
      <c r="G2525" t="s">
        <v>2745</v>
      </c>
      <c r="H2525" s="7">
        <v>60637</v>
      </c>
    </row>
    <row r="2526" spans="1:8" x14ac:dyDescent="0.3">
      <c r="A2526">
        <v>11638</v>
      </c>
      <c r="B2526" t="s">
        <v>2095</v>
      </c>
      <c r="C2526" t="s">
        <v>397</v>
      </c>
      <c r="D2526" t="s">
        <v>2155</v>
      </c>
      <c r="E2526" t="s">
        <v>8</v>
      </c>
      <c r="F2526" t="s">
        <v>88</v>
      </c>
      <c r="G2526" t="s">
        <v>2156</v>
      </c>
      <c r="H2526" s="7">
        <v>11717</v>
      </c>
    </row>
    <row r="2527" spans="1:8" x14ac:dyDescent="0.3">
      <c r="A2527">
        <v>11641</v>
      </c>
      <c r="B2527" t="s">
        <v>984</v>
      </c>
      <c r="C2527" t="s">
        <v>93</v>
      </c>
      <c r="D2527" t="s">
        <v>54</v>
      </c>
      <c r="E2527" t="s">
        <v>8</v>
      </c>
      <c r="F2527" t="s">
        <v>986</v>
      </c>
      <c r="G2527" t="s">
        <v>4365</v>
      </c>
      <c r="H2527" s="7">
        <v>2895</v>
      </c>
    </row>
    <row r="2528" spans="1:8" x14ac:dyDescent="0.3">
      <c r="A2528">
        <v>11643</v>
      </c>
      <c r="B2528" t="s">
        <v>2386</v>
      </c>
      <c r="C2528" t="s">
        <v>1080</v>
      </c>
      <c r="D2528" t="s">
        <v>1204</v>
      </c>
      <c r="E2528" t="s">
        <v>8</v>
      </c>
      <c r="F2528" t="s">
        <v>36</v>
      </c>
      <c r="G2528" t="s">
        <v>3054</v>
      </c>
      <c r="H2528" s="7">
        <v>2124</v>
      </c>
    </row>
    <row r="2529" spans="1:8" x14ac:dyDescent="0.3">
      <c r="A2529">
        <v>11644</v>
      </c>
      <c r="B2529" t="s">
        <v>5</v>
      </c>
      <c r="C2529" t="s">
        <v>1705</v>
      </c>
      <c r="D2529" t="s">
        <v>107</v>
      </c>
      <c r="E2529" t="s">
        <v>8</v>
      </c>
      <c r="F2529" t="s">
        <v>9</v>
      </c>
      <c r="G2529" t="s">
        <v>5546</v>
      </c>
      <c r="H2529" s="7">
        <v>725</v>
      </c>
    </row>
    <row r="2530" spans="1:8" x14ac:dyDescent="0.3">
      <c r="A2530">
        <v>11653</v>
      </c>
      <c r="B2530" t="s">
        <v>5</v>
      </c>
      <c r="C2530" t="s">
        <v>1951</v>
      </c>
      <c r="D2530" t="s">
        <v>739</v>
      </c>
      <c r="E2530" t="s">
        <v>8</v>
      </c>
      <c r="F2530" t="s">
        <v>9</v>
      </c>
      <c r="G2530" t="s">
        <v>2794</v>
      </c>
      <c r="H2530" s="7">
        <v>725</v>
      </c>
    </row>
    <row r="2531" spans="1:8" x14ac:dyDescent="0.3">
      <c r="A2531">
        <v>11658</v>
      </c>
      <c r="B2531" t="s">
        <v>443</v>
      </c>
      <c r="C2531" t="s">
        <v>93</v>
      </c>
      <c r="D2531" t="s">
        <v>574</v>
      </c>
      <c r="E2531" t="s">
        <v>8</v>
      </c>
      <c r="F2531" t="s">
        <v>108</v>
      </c>
      <c r="G2531" t="s">
        <v>4355</v>
      </c>
      <c r="H2531" s="7">
        <v>97223</v>
      </c>
    </row>
    <row r="2532" spans="1:8" x14ac:dyDescent="0.3">
      <c r="A2532">
        <v>11660</v>
      </c>
      <c r="B2532" t="s">
        <v>1538</v>
      </c>
      <c r="C2532" t="s">
        <v>93</v>
      </c>
      <c r="D2532" t="s">
        <v>649</v>
      </c>
      <c r="E2532" t="s">
        <v>8</v>
      </c>
      <c r="F2532" t="s">
        <v>21</v>
      </c>
      <c r="G2532" t="s">
        <v>2555</v>
      </c>
      <c r="H2532" s="7">
        <v>95828</v>
      </c>
    </row>
    <row r="2533" spans="1:8" x14ac:dyDescent="0.3">
      <c r="A2533">
        <v>11662</v>
      </c>
      <c r="B2533" t="s">
        <v>5</v>
      </c>
      <c r="C2533" t="s">
        <v>93</v>
      </c>
      <c r="D2533" t="s">
        <v>107</v>
      </c>
      <c r="E2533" t="s">
        <v>95</v>
      </c>
      <c r="F2533" t="s">
        <v>9</v>
      </c>
      <c r="G2533" t="s">
        <v>1077</v>
      </c>
      <c r="H2533" s="7">
        <v>725</v>
      </c>
    </row>
    <row r="2534" spans="1:8" x14ac:dyDescent="0.3">
      <c r="A2534">
        <v>11663</v>
      </c>
      <c r="B2534" t="s">
        <v>3008</v>
      </c>
      <c r="C2534" t="s">
        <v>2750</v>
      </c>
      <c r="D2534" t="s">
        <v>101</v>
      </c>
      <c r="E2534" t="s">
        <v>95</v>
      </c>
      <c r="F2534" t="s">
        <v>158</v>
      </c>
      <c r="G2534" t="s">
        <v>3215</v>
      </c>
      <c r="H2534" s="7">
        <v>38116</v>
      </c>
    </row>
    <row r="2535" spans="1:8" x14ac:dyDescent="0.3">
      <c r="A2535">
        <v>11670</v>
      </c>
      <c r="B2535" t="s">
        <v>5</v>
      </c>
      <c r="C2535" t="s">
        <v>3126</v>
      </c>
      <c r="D2535" t="s">
        <v>20</v>
      </c>
      <c r="E2535" t="s">
        <v>8</v>
      </c>
      <c r="F2535" t="s">
        <v>9</v>
      </c>
      <c r="G2535" t="s">
        <v>5622</v>
      </c>
      <c r="H2535" s="7">
        <v>725</v>
      </c>
    </row>
    <row r="2536" spans="1:8" x14ac:dyDescent="0.3">
      <c r="A2536">
        <v>11674</v>
      </c>
      <c r="B2536" t="s">
        <v>5</v>
      </c>
      <c r="C2536" t="s">
        <v>616</v>
      </c>
      <c r="D2536" t="s">
        <v>1303</v>
      </c>
      <c r="E2536" t="s">
        <v>8</v>
      </c>
      <c r="F2536" t="s">
        <v>9</v>
      </c>
      <c r="G2536" t="s">
        <v>4276</v>
      </c>
      <c r="H2536" s="7">
        <v>725</v>
      </c>
    </row>
    <row r="2537" spans="1:8" x14ac:dyDescent="0.3">
      <c r="A2537">
        <v>11678</v>
      </c>
      <c r="B2537" t="s">
        <v>5</v>
      </c>
      <c r="C2537" t="s">
        <v>1710</v>
      </c>
      <c r="D2537" t="s">
        <v>107</v>
      </c>
      <c r="E2537" t="s">
        <v>95</v>
      </c>
      <c r="F2537" t="s">
        <v>9</v>
      </c>
      <c r="G2537" t="s">
        <v>1709</v>
      </c>
      <c r="H2537" s="7">
        <v>725</v>
      </c>
    </row>
    <row r="2538" spans="1:8" x14ac:dyDescent="0.3">
      <c r="A2538">
        <v>11684</v>
      </c>
      <c r="B2538" t="s">
        <v>2836</v>
      </c>
      <c r="C2538" t="s">
        <v>2740</v>
      </c>
      <c r="D2538" t="s">
        <v>107</v>
      </c>
      <c r="E2538" t="s">
        <v>8</v>
      </c>
      <c r="F2538" t="s">
        <v>88</v>
      </c>
      <c r="G2538" t="s">
        <v>4990</v>
      </c>
      <c r="H2538" s="7">
        <v>11374</v>
      </c>
    </row>
    <row r="2539" spans="1:8" x14ac:dyDescent="0.3">
      <c r="A2539">
        <v>11689</v>
      </c>
      <c r="B2539" t="s">
        <v>5</v>
      </c>
      <c r="C2539" t="s">
        <v>1321</v>
      </c>
      <c r="D2539" t="s">
        <v>964</v>
      </c>
      <c r="E2539" t="s">
        <v>8</v>
      </c>
      <c r="F2539" t="s">
        <v>9</v>
      </c>
      <c r="G2539" t="s">
        <v>4089</v>
      </c>
      <c r="H2539" s="7">
        <v>725</v>
      </c>
    </row>
    <row r="2540" spans="1:8" x14ac:dyDescent="0.3">
      <c r="A2540">
        <v>11695</v>
      </c>
      <c r="B2540" t="s">
        <v>254</v>
      </c>
      <c r="C2540" t="s">
        <v>2047</v>
      </c>
      <c r="D2540" t="s">
        <v>910</v>
      </c>
      <c r="E2540" t="s">
        <v>27</v>
      </c>
      <c r="F2540" t="s">
        <v>55</v>
      </c>
      <c r="G2540" t="s">
        <v>5013</v>
      </c>
      <c r="H2540" s="7">
        <v>60629</v>
      </c>
    </row>
    <row r="2541" spans="1:8" x14ac:dyDescent="0.3">
      <c r="A2541">
        <v>11703</v>
      </c>
      <c r="B2541" t="s">
        <v>5</v>
      </c>
      <c r="C2541" t="s">
        <v>93</v>
      </c>
      <c r="D2541" t="s">
        <v>1961</v>
      </c>
      <c r="E2541" t="s">
        <v>8</v>
      </c>
      <c r="F2541" t="s">
        <v>9</v>
      </c>
      <c r="G2541" t="s">
        <v>2933</v>
      </c>
      <c r="H2541" s="7">
        <v>725</v>
      </c>
    </row>
    <row r="2542" spans="1:8" x14ac:dyDescent="0.3">
      <c r="A2542">
        <v>11705</v>
      </c>
      <c r="B2542" t="s">
        <v>5</v>
      </c>
      <c r="C2542" t="s">
        <v>1642</v>
      </c>
      <c r="D2542" t="s">
        <v>122</v>
      </c>
      <c r="E2542" t="s">
        <v>8</v>
      </c>
      <c r="F2542" t="s">
        <v>9</v>
      </c>
      <c r="G2542" t="s">
        <v>2437</v>
      </c>
      <c r="H2542" s="7">
        <v>725</v>
      </c>
    </row>
    <row r="2543" spans="1:8" x14ac:dyDescent="0.3">
      <c r="A2543">
        <v>11716</v>
      </c>
      <c r="B2543" t="s">
        <v>2830</v>
      </c>
      <c r="C2543" t="s">
        <v>112</v>
      </c>
      <c r="D2543" t="s">
        <v>413</v>
      </c>
      <c r="E2543" t="s">
        <v>8</v>
      </c>
      <c r="F2543" t="s">
        <v>153</v>
      </c>
      <c r="G2543" t="s">
        <v>4621</v>
      </c>
      <c r="H2543" s="7">
        <v>84010</v>
      </c>
    </row>
    <row r="2544" spans="1:8" x14ac:dyDescent="0.3">
      <c r="A2544">
        <v>11723</v>
      </c>
      <c r="B2544" t="s">
        <v>765</v>
      </c>
      <c r="C2544" t="s">
        <v>766</v>
      </c>
      <c r="D2544" t="s">
        <v>107</v>
      </c>
      <c r="E2544" t="s">
        <v>27</v>
      </c>
      <c r="F2544" t="s">
        <v>308</v>
      </c>
      <c r="G2544" t="s">
        <v>767</v>
      </c>
      <c r="H2544" s="7">
        <v>8302</v>
      </c>
    </row>
    <row r="2545" spans="1:8" x14ac:dyDescent="0.3">
      <c r="A2545">
        <v>11725</v>
      </c>
      <c r="B2545" t="s">
        <v>313</v>
      </c>
      <c r="C2545" t="s">
        <v>454</v>
      </c>
      <c r="D2545" t="s">
        <v>455</v>
      </c>
      <c r="E2545" t="s">
        <v>27</v>
      </c>
      <c r="F2545" t="s">
        <v>21</v>
      </c>
      <c r="G2545" t="s">
        <v>456</v>
      </c>
      <c r="H2545" s="7">
        <v>92882</v>
      </c>
    </row>
    <row r="2546" spans="1:8" x14ac:dyDescent="0.3">
      <c r="A2546">
        <v>11742</v>
      </c>
      <c r="B2546" t="s">
        <v>3523</v>
      </c>
      <c r="C2546" t="s">
        <v>1294</v>
      </c>
      <c r="D2546" t="s">
        <v>951</v>
      </c>
      <c r="E2546" t="s">
        <v>8</v>
      </c>
      <c r="F2546" t="s">
        <v>9</v>
      </c>
      <c r="G2546" t="s">
        <v>5070</v>
      </c>
      <c r="H2546" s="7">
        <v>685</v>
      </c>
    </row>
    <row r="2547" spans="1:8" x14ac:dyDescent="0.3">
      <c r="A2547">
        <v>11751</v>
      </c>
      <c r="B2547" t="s">
        <v>5</v>
      </c>
      <c r="C2547" t="s">
        <v>93</v>
      </c>
      <c r="D2547" t="s">
        <v>107</v>
      </c>
      <c r="E2547" t="s">
        <v>8</v>
      </c>
      <c r="F2547" t="s">
        <v>9</v>
      </c>
      <c r="G2547" t="s">
        <v>2443</v>
      </c>
      <c r="H2547" s="7">
        <v>725</v>
      </c>
    </row>
    <row r="2548" spans="1:8" x14ac:dyDescent="0.3">
      <c r="A2548">
        <v>11754</v>
      </c>
      <c r="B2548" t="s">
        <v>379</v>
      </c>
      <c r="C2548" t="s">
        <v>1381</v>
      </c>
      <c r="D2548" t="s">
        <v>107</v>
      </c>
      <c r="E2548" t="s">
        <v>27</v>
      </c>
      <c r="F2548" t="s">
        <v>381</v>
      </c>
      <c r="G2548" t="s">
        <v>5537</v>
      </c>
      <c r="H2548" s="7">
        <v>48187</v>
      </c>
    </row>
    <row r="2549" spans="1:8" x14ac:dyDescent="0.3">
      <c r="A2549">
        <v>11758</v>
      </c>
      <c r="B2549" t="s">
        <v>2795</v>
      </c>
      <c r="C2549" t="s">
        <v>1401</v>
      </c>
      <c r="D2549" t="s">
        <v>107</v>
      </c>
      <c r="E2549" t="s">
        <v>8</v>
      </c>
      <c r="F2549" t="s">
        <v>77</v>
      </c>
      <c r="G2549" t="s">
        <v>3384</v>
      </c>
      <c r="H2549" s="7">
        <v>19020</v>
      </c>
    </row>
    <row r="2550" spans="1:8" x14ac:dyDescent="0.3">
      <c r="A2550">
        <v>11762</v>
      </c>
      <c r="B2550" t="s">
        <v>1092</v>
      </c>
      <c r="C2550" t="s">
        <v>93</v>
      </c>
      <c r="D2550" t="s">
        <v>1711</v>
      </c>
      <c r="E2550" t="s">
        <v>8</v>
      </c>
      <c r="F2550" t="s">
        <v>448</v>
      </c>
      <c r="G2550" t="s">
        <v>5508</v>
      </c>
      <c r="H2550" s="7">
        <v>33614</v>
      </c>
    </row>
    <row r="2551" spans="1:8" x14ac:dyDescent="0.3">
      <c r="A2551">
        <v>11766</v>
      </c>
      <c r="B2551" t="s">
        <v>5</v>
      </c>
      <c r="C2551" t="s">
        <v>93</v>
      </c>
      <c r="D2551" t="s">
        <v>2255</v>
      </c>
      <c r="E2551" t="s">
        <v>8</v>
      </c>
      <c r="F2551" t="s">
        <v>9</v>
      </c>
      <c r="G2551" t="s">
        <v>3418</v>
      </c>
      <c r="H2551" s="7">
        <v>725</v>
      </c>
    </row>
    <row r="2552" spans="1:8" x14ac:dyDescent="0.3">
      <c r="A2552">
        <v>11769</v>
      </c>
      <c r="B2552" t="s">
        <v>5</v>
      </c>
      <c r="C2552" t="s">
        <v>93</v>
      </c>
      <c r="D2552" t="s">
        <v>1777</v>
      </c>
      <c r="E2552" t="s">
        <v>8</v>
      </c>
      <c r="F2552" t="s">
        <v>9</v>
      </c>
      <c r="G2552" t="s">
        <v>4731</v>
      </c>
      <c r="H2552" s="7">
        <v>725</v>
      </c>
    </row>
    <row r="2553" spans="1:8" x14ac:dyDescent="0.3">
      <c r="A2553">
        <v>11773</v>
      </c>
      <c r="B2553" t="s">
        <v>5</v>
      </c>
      <c r="C2553" t="s">
        <v>589</v>
      </c>
      <c r="D2553" t="s">
        <v>1597</v>
      </c>
      <c r="E2553" t="s">
        <v>27</v>
      </c>
      <c r="F2553" t="s">
        <v>9</v>
      </c>
      <c r="G2553" t="s">
        <v>1598</v>
      </c>
      <c r="H2553" s="7">
        <v>725</v>
      </c>
    </row>
    <row r="2554" spans="1:8" x14ac:dyDescent="0.3">
      <c r="A2554">
        <v>11777</v>
      </c>
      <c r="B2554" t="s">
        <v>503</v>
      </c>
      <c r="C2554" t="s">
        <v>1175</v>
      </c>
      <c r="D2554" t="s">
        <v>3998</v>
      </c>
      <c r="E2554" t="s">
        <v>8</v>
      </c>
      <c r="F2554" t="s">
        <v>1177</v>
      </c>
      <c r="G2554" t="s">
        <v>5140</v>
      </c>
      <c r="H2554" s="7">
        <v>88201</v>
      </c>
    </row>
    <row r="2555" spans="1:8" x14ac:dyDescent="0.3">
      <c r="A2555">
        <v>11795</v>
      </c>
      <c r="B2555" t="s">
        <v>656</v>
      </c>
      <c r="C2555" t="s">
        <v>631</v>
      </c>
      <c r="D2555" t="s">
        <v>2224</v>
      </c>
      <c r="E2555" t="s">
        <v>95</v>
      </c>
      <c r="F2555" t="s">
        <v>77</v>
      </c>
      <c r="G2555" t="s">
        <v>5681</v>
      </c>
      <c r="H2555" s="7">
        <v>19148</v>
      </c>
    </row>
    <row r="2556" spans="1:8" x14ac:dyDescent="0.3">
      <c r="A2556">
        <v>11802</v>
      </c>
      <c r="B2556" t="s">
        <v>5</v>
      </c>
      <c r="C2556" t="s">
        <v>93</v>
      </c>
      <c r="D2556" t="s">
        <v>1097</v>
      </c>
      <c r="E2556" t="s">
        <v>27</v>
      </c>
      <c r="F2556" t="s">
        <v>9</v>
      </c>
      <c r="G2556" t="s">
        <v>5615</v>
      </c>
      <c r="H2556" s="7">
        <v>725</v>
      </c>
    </row>
    <row r="2557" spans="1:8" x14ac:dyDescent="0.3">
      <c r="A2557">
        <v>11804</v>
      </c>
      <c r="B2557" t="s">
        <v>5</v>
      </c>
      <c r="C2557" t="s">
        <v>93</v>
      </c>
      <c r="D2557" t="s">
        <v>1084</v>
      </c>
      <c r="E2557" t="s">
        <v>8</v>
      </c>
      <c r="F2557" t="s">
        <v>9</v>
      </c>
      <c r="G2557" t="s">
        <v>5665</v>
      </c>
      <c r="H2557" s="7">
        <v>725</v>
      </c>
    </row>
    <row r="2558" spans="1:8" x14ac:dyDescent="0.3">
      <c r="A2558">
        <v>11809</v>
      </c>
      <c r="B2558" t="s">
        <v>1486</v>
      </c>
      <c r="C2558" t="s">
        <v>799</v>
      </c>
      <c r="D2558" t="s">
        <v>107</v>
      </c>
      <c r="E2558" t="s">
        <v>8</v>
      </c>
      <c r="F2558" t="s">
        <v>308</v>
      </c>
      <c r="G2558" t="s">
        <v>5462</v>
      </c>
      <c r="H2558" s="7">
        <v>7307</v>
      </c>
    </row>
    <row r="2559" spans="1:8" x14ac:dyDescent="0.3">
      <c r="A2559">
        <v>11823</v>
      </c>
      <c r="B2559" t="s">
        <v>4166</v>
      </c>
      <c r="C2559" t="s">
        <v>93</v>
      </c>
      <c r="D2559" t="s">
        <v>4732</v>
      </c>
      <c r="E2559" t="s">
        <v>27</v>
      </c>
      <c r="F2559" t="s">
        <v>729</v>
      </c>
      <c r="G2559" t="s">
        <v>4733</v>
      </c>
      <c r="H2559" s="7">
        <v>80110</v>
      </c>
    </row>
    <row r="2560" spans="1:8" x14ac:dyDescent="0.3">
      <c r="A2560">
        <v>11827</v>
      </c>
      <c r="B2560" t="s">
        <v>2501</v>
      </c>
      <c r="C2560" t="s">
        <v>93</v>
      </c>
      <c r="D2560" t="s">
        <v>107</v>
      </c>
      <c r="E2560" t="s">
        <v>8</v>
      </c>
      <c r="F2560" t="s">
        <v>448</v>
      </c>
      <c r="G2560" t="s">
        <v>3124</v>
      </c>
      <c r="H2560" s="7">
        <v>33021</v>
      </c>
    </row>
    <row r="2561" spans="1:8" x14ac:dyDescent="0.3">
      <c r="A2561">
        <v>11829</v>
      </c>
      <c r="B2561" t="s">
        <v>5</v>
      </c>
      <c r="C2561" t="s">
        <v>1039</v>
      </c>
      <c r="D2561" t="s">
        <v>107</v>
      </c>
      <c r="E2561" t="s">
        <v>27</v>
      </c>
      <c r="F2561" t="s">
        <v>9</v>
      </c>
      <c r="G2561" t="s">
        <v>2949</v>
      </c>
      <c r="H2561" s="7">
        <v>725</v>
      </c>
    </row>
    <row r="2562" spans="1:8" x14ac:dyDescent="0.3">
      <c r="A2562">
        <v>11830</v>
      </c>
      <c r="B2562" t="s">
        <v>2504</v>
      </c>
      <c r="C2562" t="s">
        <v>93</v>
      </c>
      <c r="D2562" t="s">
        <v>2929</v>
      </c>
      <c r="E2562" t="s">
        <v>27</v>
      </c>
      <c r="F2562" t="s">
        <v>21</v>
      </c>
      <c r="G2562" t="s">
        <v>3394</v>
      </c>
      <c r="H2562" s="7">
        <v>90660</v>
      </c>
    </row>
    <row r="2563" spans="1:8" x14ac:dyDescent="0.3">
      <c r="A2563">
        <v>11831</v>
      </c>
      <c r="B2563" t="s">
        <v>476</v>
      </c>
      <c r="C2563" t="s">
        <v>1011</v>
      </c>
      <c r="D2563" t="s">
        <v>107</v>
      </c>
      <c r="E2563" t="s">
        <v>27</v>
      </c>
      <c r="F2563" t="s">
        <v>478</v>
      </c>
      <c r="G2563" t="s">
        <v>5487</v>
      </c>
      <c r="H2563" s="7">
        <v>89030</v>
      </c>
    </row>
    <row r="2564" spans="1:8" x14ac:dyDescent="0.3">
      <c r="A2564">
        <v>11841</v>
      </c>
      <c r="B2564" t="s">
        <v>40</v>
      </c>
      <c r="C2564" t="s">
        <v>1045</v>
      </c>
      <c r="D2564" t="s">
        <v>1081</v>
      </c>
      <c r="E2564" t="s">
        <v>95</v>
      </c>
      <c r="F2564" t="s">
        <v>1042</v>
      </c>
      <c r="G2564" t="s">
        <v>2495</v>
      </c>
      <c r="H2564" s="7">
        <v>29720</v>
      </c>
    </row>
    <row r="2565" spans="1:8" x14ac:dyDescent="0.3">
      <c r="A2565">
        <v>11848</v>
      </c>
      <c r="B2565" t="s">
        <v>5</v>
      </c>
      <c r="C2565" t="s">
        <v>755</v>
      </c>
      <c r="D2565" t="s">
        <v>107</v>
      </c>
      <c r="E2565" t="s">
        <v>95</v>
      </c>
      <c r="F2565" t="s">
        <v>9</v>
      </c>
      <c r="G2565" t="s">
        <v>3521</v>
      </c>
      <c r="H2565" s="7">
        <v>725</v>
      </c>
    </row>
    <row r="2566" spans="1:8" x14ac:dyDescent="0.3">
      <c r="A2566">
        <v>11849</v>
      </c>
      <c r="B2566" t="s">
        <v>2496</v>
      </c>
      <c r="C2566" t="s">
        <v>93</v>
      </c>
      <c r="D2566" t="s">
        <v>1183</v>
      </c>
      <c r="E2566" t="s">
        <v>95</v>
      </c>
      <c r="F2566" t="s">
        <v>1195</v>
      </c>
      <c r="G2566" t="s">
        <v>2497</v>
      </c>
      <c r="H2566" s="7">
        <v>98226</v>
      </c>
    </row>
    <row r="2567" spans="1:8" x14ac:dyDescent="0.3">
      <c r="A2567">
        <v>11851</v>
      </c>
      <c r="B2567" t="s">
        <v>1772</v>
      </c>
      <c r="C2567" t="s">
        <v>93</v>
      </c>
      <c r="D2567" t="s">
        <v>1992</v>
      </c>
      <c r="E2567" t="s">
        <v>27</v>
      </c>
      <c r="F2567" t="s">
        <v>9</v>
      </c>
      <c r="G2567" t="s">
        <v>3296</v>
      </c>
      <c r="H2567" s="7">
        <v>784</v>
      </c>
    </row>
    <row r="2568" spans="1:8" x14ac:dyDescent="0.3">
      <c r="A2568">
        <v>11857</v>
      </c>
      <c r="B2568" t="s">
        <v>5</v>
      </c>
      <c r="C2568" t="s">
        <v>3232</v>
      </c>
      <c r="D2568" t="s">
        <v>3274</v>
      </c>
      <c r="E2568" t="s">
        <v>27</v>
      </c>
      <c r="F2568" t="s">
        <v>9</v>
      </c>
      <c r="G2568" t="s">
        <v>3275</v>
      </c>
      <c r="H2568" s="7">
        <v>725</v>
      </c>
    </row>
    <row r="2569" spans="1:8" x14ac:dyDescent="0.3">
      <c r="A2569">
        <v>11867</v>
      </c>
      <c r="B2569" t="s">
        <v>4106</v>
      </c>
      <c r="C2569" t="s">
        <v>491</v>
      </c>
      <c r="D2569" t="s">
        <v>122</v>
      </c>
      <c r="E2569" t="s">
        <v>8</v>
      </c>
      <c r="F2569" t="s">
        <v>21</v>
      </c>
      <c r="G2569" t="s">
        <v>5233</v>
      </c>
      <c r="H2569" s="7">
        <v>91710</v>
      </c>
    </row>
    <row r="2570" spans="1:8" x14ac:dyDescent="0.3">
      <c r="A2570">
        <v>11869</v>
      </c>
      <c r="B2570" t="s">
        <v>5</v>
      </c>
      <c r="C2570" t="s">
        <v>597</v>
      </c>
      <c r="D2570" t="s">
        <v>107</v>
      </c>
      <c r="E2570" t="s">
        <v>27</v>
      </c>
      <c r="F2570" t="s">
        <v>9</v>
      </c>
      <c r="G2570" t="s">
        <v>5187</v>
      </c>
      <c r="H2570" s="7">
        <v>725</v>
      </c>
    </row>
    <row r="2571" spans="1:8" x14ac:dyDescent="0.3">
      <c r="A2571">
        <v>11877</v>
      </c>
      <c r="B2571" t="s">
        <v>1793</v>
      </c>
      <c r="C2571" t="s">
        <v>2441</v>
      </c>
      <c r="D2571" t="s">
        <v>3883</v>
      </c>
      <c r="E2571" t="s">
        <v>95</v>
      </c>
      <c r="F2571" t="s">
        <v>21</v>
      </c>
      <c r="G2571" t="s">
        <v>907</v>
      </c>
      <c r="H2571" s="7">
        <v>94122</v>
      </c>
    </row>
    <row r="2572" spans="1:8" x14ac:dyDescent="0.3">
      <c r="A2572">
        <v>11882</v>
      </c>
      <c r="B2572" t="s">
        <v>1309</v>
      </c>
      <c r="C2572" t="s">
        <v>93</v>
      </c>
      <c r="D2572" t="s">
        <v>107</v>
      </c>
      <c r="E2572" t="s">
        <v>27</v>
      </c>
      <c r="F2572" t="s">
        <v>21</v>
      </c>
      <c r="G2572" t="s">
        <v>4158</v>
      </c>
      <c r="H2572" s="7">
        <v>92553</v>
      </c>
    </row>
    <row r="2573" spans="1:8" x14ac:dyDescent="0.3">
      <c r="A2573">
        <v>11892</v>
      </c>
      <c r="B2573" t="s">
        <v>615</v>
      </c>
      <c r="C2573" t="s">
        <v>1200</v>
      </c>
      <c r="D2573" t="s">
        <v>974</v>
      </c>
      <c r="E2573" t="s">
        <v>27</v>
      </c>
      <c r="F2573" t="s">
        <v>21</v>
      </c>
      <c r="G2573" t="s">
        <v>4112</v>
      </c>
      <c r="H2573" s="7">
        <v>95240</v>
      </c>
    </row>
    <row r="2574" spans="1:8" x14ac:dyDescent="0.3">
      <c r="A2574">
        <v>11898</v>
      </c>
      <c r="B2574" t="s">
        <v>1221</v>
      </c>
      <c r="C2574" t="s">
        <v>790</v>
      </c>
      <c r="D2574" t="s">
        <v>107</v>
      </c>
      <c r="E2574" t="s">
        <v>27</v>
      </c>
      <c r="F2574" t="s">
        <v>341</v>
      </c>
      <c r="G2574" t="s">
        <v>1222</v>
      </c>
      <c r="H2574" s="7">
        <v>27330</v>
      </c>
    </row>
    <row r="2575" spans="1:8" x14ac:dyDescent="0.3">
      <c r="A2575">
        <v>11901</v>
      </c>
      <c r="B2575" t="s">
        <v>435</v>
      </c>
      <c r="C2575" t="s">
        <v>93</v>
      </c>
      <c r="D2575" t="s">
        <v>107</v>
      </c>
      <c r="E2575" t="s">
        <v>8</v>
      </c>
      <c r="F2575" t="s">
        <v>172</v>
      </c>
      <c r="G2575" t="s">
        <v>2708</v>
      </c>
      <c r="H2575" s="7">
        <v>63116</v>
      </c>
    </row>
    <row r="2576" spans="1:8" x14ac:dyDescent="0.3">
      <c r="A2576">
        <v>11907</v>
      </c>
      <c r="B2576" t="s">
        <v>997</v>
      </c>
      <c r="C2576" t="s">
        <v>1007</v>
      </c>
      <c r="D2576" t="s">
        <v>3816</v>
      </c>
      <c r="E2576" t="s">
        <v>8</v>
      </c>
      <c r="F2576" t="s">
        <v>308</v>
      </c>
      <c r="G2576" t="s">
        <v>4162</v>
      </c>
      <c r="H2576" s="7">
        <v>7105</v>
      </c>
    </row>
    <row r="2577" spans="1:8" x14ac:dyDescent="0.3">
      <c r="A2577">
        <v>11919</v>
      </c>
      <c r="B2577" t="s">
        <v>368</v>
      </c>
      <c r="C2577" t="s">
        <v>3187</v>
      </c>
      <c r="D2577" t="s">
        <v>107</v>
      </c>
      <c r="E2577" t="s">
        <v>95</v>
      </c>
      <c r="F2577" t="s">
        <v>88</v>
      </c>
      <c r="G2577" t="s">
        <v>4336</v>
      </c>
      <c r="H2577" s="7">
        <v>10011</v>
      </c>
    </row>
    <row r="2578" spans="1:8" x14ac:dyDescent="0.3">
      <c r="A2578">
        <v>11920</v>
      </c>
      <c r="B2578" t="s">
        <v>5</v>
      </c>
      <c r="C2578" t="s">
        <v>93</v>
      </c>
      <c r="D2578" t="s">
        <v>264</v>
      </c>
      <c r="E2578" t="s">
        <v>27</v>
      </c>
      <c r="F2578" t="s">
        <v>9</v>
      </c>
      <c r="G2578" t="s">
        <v>4855</v>
      </c>
      <c r="H2578" s="7">
        <v>725</v>
      </c>
    </row>
    <row r="2579" spans="1:8" x14ac:dyDescent="0.3">
      <c r="A2579">
        <v>11926</v>
      </c>
      <c r="B2579" t="s">
        <v>1116</v>
      </c>
      <c r="C2579" t="s">
        <v>1153</v>
      </c>
      <c r="D2579" t="s">
        <v>107</v>
      </c>
      <c r="E2579" t="s">
        <v>27</v>
      </c>
      <c r="F2579" t="s">
        <v>1118</v>
      </c>
      <c r="G2579" t="s">
        <v>5129</v>
      </c>
      <c r="H2579" s="7">
        <v>55104</v>
      </c>
    </row>
    <row r="2580" spans="1:8" x14ac:dyDescent="0.3">
      <c r="A2580">
        <v>11937</v>
      </c>
      <c r="B2580" t="s">
        <v>723</v>
      </c>
      <c r="C2580" t="s">
        <v>223</v>
      </c>
      <c r="D2580" t="s">
        <v>2109</v>
      </c>
      <c r="E2580" t="s">
        <v>8</v>
      </c>
      <c r="F2580" t="s">
        <v>729</v>
      </c>
      <c r="G2580" t="s">
        <v>2110</v>
      </c>
      <c r="H2580" s="7">
        <v>80010</v>
      </c>
    </row>
    <row r="2581" spans="1:8" x14ac:dyDescent="0.3">
      <c r="A2581">
        <v>11941</v>
      </c>
      <c r="B2581" t="s">
        <v>2721</v>
      </c>
      <c r="C2581" t="s">
        <v>2441</v>
      </c>
      <c r="D2581" t="s">
        <v>1345</v>
      </c>
      <c r="E2581" t="s">
        <v>8</v>
      </c>
      <c r="F2581" t="s">
        <v>9</v>
      </c>
      <c r="G2581" t="s">
        <v>2722</v>
      </c>
      <c r="H2581" s="7">
        <v>736</v>
      </c>
    </row>
    <row r="2582" spans="1:8" x14ac:dyDescent="0.3">
      <c r="A2582">
        <v>11945</v>
      </c>
      <c r="B2582" t="s">
        <v>131</v>
      </c>
      <c r="C2582" t="s">
        <v>93</v>
      </c>
      <c r="D2582" t="s">
        <v>107</v>
      </c>
      <c r="E2582" t="s">
        <v>8</v>
      </c>
      <c r="F2582" t="s">
        <v>134</v>
      </c>
      <c r="G2582" t="s">
        <v>4129</v>
      </c>
      <c r="H2582" s="7">
        <v>96822</v>
      </c>
    </row>
    <row r="2583" spans="1:8" x14ac:dyDescent="0.3">
      <c r="A2583">
        <v>11954</v>
      </c>
      <c r="B2583" t="s">
        <v>1746</v>
      </c>
      <c r="C2583" t="s">
        <v>93</v>
      </c>
      <c r="D2583" t="s">
        <v>107</v>
      </c>
      <c r="E2583" t="s">
        <v>27</v>
      </c>
      <c r="F2583" t="s">
        <v>21</v>
      </c>
      <c r="G2583" t="s">
        <v>4569</v>
      </c>
      <c r="H2583" s="7">
        <v>95616</v>
      </c>
    </row>
    <row r="2584" spans="1:8" x14ac:dyDescent="0.3">
      <c r="A2584">
        <v>11955</v>
      </c>
      <c r="B2584" t="s">
        <v>1950</v>
      </c>
      <c r="C2584" t="s">
        <v>1951</v>
      </c>
      <c r="D2584" t="s">
        <v>107</v>
      </c>
      <c r="E2584" t="s">
        <v>8</v>
      </c>
      <c r="F2584" t="s">
        <v>381</v>
      </c>
      <c r="G2584" t="s">
        <v>1952</v>
      </c>
      <c r="H2584" s="7">
        <v>48126</v>
      </c>
    </row>
    <row r="2585" spans="1:8" x14ac:dyDescent="0.3">
      <c r="A2585">
        <v>11958</v>
      </c>
      <c r="B2585" t="s">
        <v>5</v>
      </c>
      <c r="C2585" t="s">
        <v>2693</v>
      </c>
      <c r="D2585" t="s">
        <v>107</v>
      </c>
      <c r="E2585" t="s">
        <v>27</v>
      </c>
      <c r="F2585" t="s">
        <v>9</v>
      </c>
      <c r="G2585" t="s">
        <v>4070</v>
      </c>
      <c r="H2585" s="7">
        <v>725</v>
      </c>
    </row>
    <row r="2586" spans="1:8" x14ac:dyDescent="0.3">
      <c r="A2586">
        <v>11967</v>
      </c>
      <c r="B2586" t="s">
        <v>392</v>
      </c>
      <c r="C2586" t="s">
        <v>93</v>
      </c>
      <c r="D2586" t="s">
        <v>4061</v>
      </c>
      <c r="E2586" t="s">
        <v>8</v>
      </c>
      <c r="F2586" t="s">
        <v>21</v>
      </c>
      <c r="G2586" t="s">
        <v>4693</v>
      </c>
      <c r="H2586" s="7">
        <v>94015</v>
      </c>
    </row>
    <row r="2587" spans="1:8" x14ac:dyDescent="0.3">
      <c r="A2587">
        <v>11970</v>
      </c>
      <c r="B2587" t="s">
        <v>5</v>
      </c>
      <c r="C2587" t="s">
        <v>700</v>
      </c>
      <c r="D2587" t="s">
        <v>3921</v>
      </c>
      <c r="E2587" t="s">
        <v>27</v>
      </c>
      <c r="F2587" t="s">
        <v>9</v>
      </c>
      <c r="G2587" t="s">
        <v>4905</v>
      </c>
      <c r="H2587" s="7">
        <v>725</v>
      </c>
    </row>
    <row r="2588" spans="1:8" x14ac:dyDescent="0.3">
      <c r="A2588">
        <v>11972</v>
      </c>
      <c r="B2588" t="s">
        <v>647</v>
      </c>
      <c r="C2588" t="s">
        <v>366</v>
      </c>
      <c r="D2588" t="s">
        <v>107</v>
      </c>
      <c r="E2588" t="s">
        <v>27</v>
      </c>
      <c r="F2588" t="s">
        <v>308</v>
      </c>
      <c r="G2588" t="s">
        <v>4737</v>
      </c>
      <c r="H2588" s="7">
        <v>8854</v>
      </c>
    </row>
    <row r="2589" spans="1:8" x14ac:dyDescent="0.3">
      <c r="A2589">
        <v>11987</v>
      </c>
      <c r="B2589" t="s">
        <v>3216</v>
      </c>
      <c r="C2589" t="s">
        <v>93</v>
      </c>
      <c r="D2589" t="s">
        <v>1367</v>
      </c>
      <c r="E2589" t="s">
        <v>8</v>
      </c>
      <c r="F2589" t="s">
        <v>140</v>
      </c>
      <c r="G2589" t="s">
        <v>3028</v>
      </c>
      <c r="H2589" s="7">
        <v>30093</v>
      </c>
    </row>
    <row r="2590" spans="1:8" x14ac:dyDescent="0.3">
      <c r="A2590">
        <v>11989</v>
      </c>
      <c r="B2590" t="s">
        <v>5</v>
      </c>
      <c r="C2590" t="s">
        <v>93</v>
      </c>
      <c r="D2590" t="s">
        <v>1854</v>
      </c>
      <c r="E2590" t="s">
        <v>8</v>
      </c>
      <c r="F2590" t="s">
        <v>9</v>
      </c>
      <c r="G2590" t="s">
        <v>3182</v>
      </c>
      <c r="H2590" s="7">
        <v>725</v>
      </c>
    </row>
    <row r="2591" spans="1:8" x14ac:dyDescent="0.3">
      <c r="A2591">
        <v>12013</v>
      </c>
      <c r="B2591" t="s">
        <v>392</v>
      </c>
      <c r="C2591" t="s">
        <v>407</v>
      </c>
      <c r="D2591" t="s">
        <v>1587</v>
      </c>
      <c r="E2591" t="s">
        <v>8</v>
      </c>
      <c r="F2591" t="s">
        <v>21</v>
      </c>
      <c r="G2591" t="s">
        <v>3222</v>
      </c>
      <c r="H2591" s="7">
        <v>94015</v>
      </c>
    </row>
    <row r="2592" spans="1:8" x14ac:dyDescent="0.3">
      <c r="A2592">
        <v>12022</v>
      </c>
      <c r="B2592" t="s">
        <v>1313</v>
      </c>
      <c r="C2592" t="s">
        <v>93</v>
      </c>
      <c r="D2592" t="s">
        <v>107</v>
      </c>
      <c r="E2592" t="s">
        <v>8</v>
      </c>
      <c r="F2592" t="s">
        <v>448</v>
      </c>
      <c r="G2592" t="s">
        <v>5198</v>
      </c>
      <c r="H2592" s="7">
        <v>33176</v>
      </c>
    </row>
    <row r="2593" spans="1:8" x14ac:dyDescent="0.3">
      <c r="A2593">
        <v>12025</v>
      </c>
      <c r="B2593" t="s">
        <v>117</v>
      </c>
      <c r="C2593" t="s">
        <v>577</v>
      </c>
      <c r="D2593" t="s">
        <v>2639</v>
      </c>
      <c r="E2593" t="s">
        <v>95</v>
      </c>
      <c r="F2593" t="s">
        <v>21</v>
      </c>
      <c r="G2593" t="s">
        <v>836</v>
      </c>
      <c r="H2593" s="7">
        <v>92111</v>
      </c>
    </row>
    <row r="2594" spans="1:8" x14ac:dyDescent="0.3">
      <c r="A2594">
        <v>12027</v>
      </c>
      <c r="B2594" t="s">
        <v>1523</v>
      </c>
      <c r="C2594" t="s">
        <v>93</v>
      </c>
      <c r="D2594" t="s">
        <v>2010</v>
      </c>
      <c r="E2594" t="s">
        <v>8</v>
      </c>
      <c r="F2594" t="s">
        <v>21</v>
      </c>
      <c r="G2594" t="s">
        <v>5154</v>
      </c>
      <c r="H2594" s="7">
        <v>90201</v>
      </c>
    </row>
    <row r="2595" spans="1:8" x14ac:dyDescent="0.3">
      <c r="A2595">
        <v>12028</v>
      </c>
      <c r="B2595" t="s">
        <v>997</v>
      </c>
      <c r="C2595" t="s">
        <v>1039</v>
      </c>
      <c r="D2595" t="s">
        <v>107</v>
      </c>
      <c r="E2595" t="s">
        <v>95</v>
      </c>
      <c r="F2595" t="s">
        <v>308</v>
      </c>
      <c r="G2595" t="s">
        <v>3737</v>
      </c>
      <c r="H2595" s="7">
        <v>7104</v>
      </c>
    </row>
    <row r="2596" spans="1:8" x14ac:dyDescent="0.3">
      <c r="A2596">
        <v>12031</v>
      </c>
      <c r="B2596" t="s">
        <v>5</v>
      </c>
      <c r="C2596" t="s">
        <v>1169</v>
      </c>
      <c r="D2596" t="s">
        <v>4888</v>
      </c>
      <c r="E2596" t="s">
        <v>27</v>
      </c>
      <c r="F2596" t="s">
        <v>9</v>
      </c>
      <c r="G2596" t="s">
        <v>4889</v>
      </c>
      <c r="H2596" s="7">
        <v>725</v>
      </c>
    </row>
    <row r="2597" spans="1:8" x14ac:dyDescent="0.3">
      <c r="A2597">
        <v>12034</v>
      </c>
      <c r="B2597" t="s">
        <v>707</v>
      </c>
      <c r="C2597" t="s">
        <v>93</v>
      </c>
      <c r="D2597" t="s">
        <v>107</v>
      </c>
      <c r="E2597" t="s">
        <v>27</v>
      </c>
      <c r="F2597" t="s">
        <v>21</v>
      </c>
      <c r="G2597" t="s">
        <v>708</v>
      </c>
      <c r="H2597" s="7">
        <v>93063</v>
      </c>
    </row>
    <row r="2598" spans="1:8" x14ac:dyDescent="0.3">
      <c r="A2598">
        <v>12035</v>
      </c>
      <c r="B2598" t="s">
        <v>5</v>
      </c>
      <c r="C2598" t="s">
        <v>1951</v>
      </c>
      <c r="D2598" t="s">
        <v>260</v>
      </c>
      <c r="E2598" t="s">
        <v>8</v>
      </c>
      <c r="F2598" t="s">
        <v>9</v>
      </c>
      <c r="G2598" t="s">
        <v>2190</v>
      </c>
      <c r="H2598" s="7">
        <v>725</v>
      </c>
    </row>
    <row r="2599" spans="1:8" x14ac:dyDescent="0.3">
      <c r="A2599">
        <v>12038</v>
      </c>
      <c r="B2599" t="s">
        <v>710</v>
      </c>
      <c r="C2599" t="s">
        <v>711</v>
      </c>
      <c r="D2599" t="s">
        <v>107</v>
      </c>
      <c r="E2599" t="s">
        <v>27</v>
      </c>
      <c r="F2599" t="s">
        <v>448</v>
      </c>
      <c r="G2599" t="s">
        <v>712</v>
      </c>
      <c r="H2599" s="7">
        <v>33312</v>
      </c>
    </row>
    <row r="2600" spans="1:8" x14ac:dyDescent="0.3">
      <c r="A2600">
        <v>12053</v>
      </c>
      <c r="B2600" t="s">
        <v>59</v>
      </c>
      <c r="C2600" t="s">
        <v>719</v>
      </c>
      <c r="D2600" t="s">
        <v>1996</v>
      </c>
      <c r="E2600" t="s">
        <v>27</v>
      </c>
      <c r="F2600" t="s">
        <v>21</v>
      </c>
      <c r="G2600" t="s">
        <v>899</v>
      </c>
      <c r="H2600" s="7">
        <v>90805</v>
      </c>
    </row>
    <row r="2601" spans="1:8" x14ac:dyDescent="0.3">
      <c r="A2601">
        <v>12056</v>
      </c>
      <c r="B2601" t="s">
        <v>5</v>
      </c>
      <c r="C2601" t="s">
        <v>1011</v>
      </c>
      <c r="D2601" t="s">
        <v>951</v>
      </c>
      <c r="E2601" t="s">
        <v>95</v>
      </c>
      <c r="F2601" t="s">
        <v>9</v>
      </c>
      <c r="G2601" t="s">
        <v>4493</v>
      </c>
      <c r="H2601" s="7">
        <v>725</v>
      </c>
    </row>
    <row r="2602" spans="1:8" x14ac:dyDescent="0.3">
      <c r="A2602">
        <v>12058</v>
      </c>
      <c r="B2602" t="s">
        <v>733</v>
      </c>
      <c r="C2602" t="s">
        <v>93</v>
      </c>
      <c r="D2602" t="s">
        <v>107</v>
      </c>
      <c r="E2602" t="s">
        <v>95</v>
      </c>
      <c r="F2602" t="s">
        <v>735</v>
      </c>
      <c r="G2602" t="s">
        <v>4861</v>
      </c>
      <c r="H2602" s="7">
        <v>20002</v>
      </c>
    </row>
    <row r="2603" spans="1:8" x14ac:dyDescent="0.3">
      <c r="A2603">
        <v>12065</v>
      </c>
      <c r="B2603" t="s">
        <v>254</v>
      </c>
      <c r="C2603" t="s">
        <v>93</v>
      </c>
      <c r="D2603" t="s">
        <v>3468</v>
      </c>
      <c r="E2603" t="s">
        <v>8</v>
      </c>
      <c r="F2603" t="s">
        <v>55</v>
      </c>
      <c r="G2603" t="s">
        <v>4701</v>
      </c>
      <c r="H2603" s="7">
        <v>60628</v>
      </c>
    </row>
    <row r="2604" spans="1:8" x14ac:dyDescent="0.3">
      <c r="A2604">
        <v>12067</v>
      </c>
      <c r="B2604" t="s">
        <v>1203</v>
      </c>
      <c r="C2604" t="s">
        <v>93</v>
      </c>
      <c r="D2604" t="s">
        <v>2591</v>
      </c>
      <c r="E2604" t="s">
        <v>95</v>
      </c>
      <c r="F2604" t="s">
        <v>21</v>
      </c>
      <c r="G2604" t="s">
        <v>3148</v>
      </c>
      <c r="H2604" s="7">
        <v>91748</v>
      </c>
    </row>
    <row r="2605" spans="1:8" x14ac:dyDescent="0.3">
      <c r="A2605">
        <v>12072</v>
      </c>
      <c r="B2605" t="s">
        <v>2352</v>
      </c>
      <c r="C2605" t="s">
        <v>93</v>
      </c>
      <c r="D2605" t="s">
        <v>2010</v>
      </c>
      <c r="E2605" t="s">
        <v>8</v>
      </c>
      <c r="F2605" t="s">
        <v>729</v>
      </c>
      <c r="G2605" t="s">
        <v>3194</v>
      </c>
      <c r="H2605" s="7">
        <v>80231</v>
      </c>
    </row>
    <row r="2606" spans="1:8" x14ac:dyDescent="0.3">
      <c r="A2606">
        <v>12080</v>
      </c>
      <c r="B2606" t="s">
        <v>239</v>
      </c>
      <c r="C2606" t="s">
        <v>93</v>
      </c>
      <c r="D2606" t="s">
        <v>4586</v>
      </c>
      <c r="E2606" t="s">
        <v>8</v>
      </c>
      <c r="F2606" t="s">
        <v>242</v>
      </c>
      <c r="G2606" t="s">
        <v>5136</v>
      </c>
      <c r="H2606" s="7">
        <v>21215</v>
      </c>
    </row>
    <row r="2607" spans="1:8" x14ac:dyDescent="0.3">
      <c r="A2607">
        <v>12082</v>
      </c>
      <c r="B2607" t="s">
        <v>5</v>
      </c>
      <c r="C2607" t="s">
        <v>520</v>
      </c>
      <c r="D2607" t="s">
        <v>1386</v>
      </c>
      <c r="E2607" t="s">
        <v>8</v>
      </c>
      <c r="F2607" t="s">
        <v>9</v>
      </c>
      <c r="G2607" t="s">
        <v>1387</v>
      </c>
      <c r="H2607" s="7">
        <v>725</v>
      </c>
    </row>
    <row r="2608" spans="1:8" x14ac:dyDescent="0.3">
      <c r="A2608">
        <v>12091</v>
      </c>
      <c r="B2608" t="s">
        <v>1092</v>
      </c>
      <c r="C2608" t="s">
        <v>1853</v>
      </c>
      <c r="D2608" t="s">
        <v>1854</v>
      </c>
      <c r="E2608" t="s">
        <v>8</v>
      </c>
      <c r="F2608" t="s">
        <v>448</v>
      </c>
      <c r="G2608" t="s">
        <v>1855</v>
      </c>
      <c r="H2608" s="7">
        <v>33624</v>
      </c>
    </row>
    <row r="2609" spans="1:8" x14ac:dyDescent="0.3">
      <c r="A2609">
        <v>12097</v>
      </c>
      <c r="B2609" t="s">
        <v>18</v>
      </c>
      <c r="C2609" t="s">
        <v>93</v>
      </c>
      <c r="D2609" t="s">
        <v>1304</v>
      </c>
      <c r="E2609" t="s">
        <v>8</v>
      </c>
      <c r="F2609" t="s">
        <v>21</v>
      </c>
      <c r="G2609" t="s">
        <v>4986</v>
      </c>
      <c r="H2609" s="7">
        <v>95125</v>
      </c>
    </row>
    <row r="2610" spans="1:8" x14ac:dyDescent="0.3">
      <c r="A2610">
        <v>12107</v>
      </c>
      <c r="B2610" t="s">
        <v>5</v>
      </c>
      <c r="C2610" t="s">
        <v>1735</v>
      </c>
      <c r="D2610" t="s">
        <v>2961</v>
      </c>
      <c r="E2610" t="s">
        <v>8</v>
      </c>
      <c r="F2610" t="s">
        <v>9</v>
      </c>
      <c r="G2610" t="s">
        <v>1114</v>
      </c>
      <c r="H2610" s="7">
        <v>725</v>
      </c>
    </row>
    <row r="2611" spans="1:8" x14ac:dyDescent="0.3">
      <c r="A2611">
        <v>12108</v>
      </c>
      <c r="B2611" t="s">
        <v>1571</v>
      </c>
      <c r="C2611" t="s">
        <v>1504</v>
      </c>
      <c r="D2611" t="s">
        <v>1798</v>
      </c>
      <c r="E2611" t="s">
        <v>8</v>
      </c>
      <c r="F2611" t="s">
        <v>248</v>
      </c>
      <c r="G2611" t="s">
        <v>3879</v>
      </c>
      <c r="H2611" s="7">
        <v>43026</v>
      </c>
    </row>
    <row r="2612" spans="1:8" x14ac:dyDescent="0.3">
      <c r="A2612">
        <v>12109</v>
      </c>
      <c r="B2612" t="s">
        <v>622</v>
      </c>
      <c r="C2612" t="s">
        <v>93</v>
      </c>
      <c r="D2612" t="s">
        <v>1012</v>
      </c>
      <c r="E2612" t="s">
        <v>8</v>
      </c>
      <c r="F2612" t="s">
        <v>21</v>
      </c>
      <c r="G2612" t="s">
        <v>5178</v>
      </c>
      <c r="H2612" s="7">
        <v>92692</v>
      </c>
    </row>
    <row r="2613" spans="1:8" x14ac:dyDescent="0.3">
      <c r="A2613">
        <v>12116</v>
      </c>
      <c r="B2613" t="s">
        <v>1197</v>
      </c>
      <c r="C2613" t="s">
        <v>93</v>
      </c>
      <c r="D2613" t="s">
        <v>1474</v>
      </c>
      <c r="E2613" t="s">
        <v>8</v>
      </c>
      <c r="F2613" t="s">
        <v>749</v>
      </c>
      <c r="G2613" t="s">
        <v>4749</v>
      </c>
      <c r="H2613" s="7">
        <v>47906</v>
      </c>
    </row>
    <row r="2614" spans="1:8" x14ac:dyDescent="0.3">
      <c r="A2614">
        <v>12120</v>
      </c>
      <c r="B2614" t="s">
        <v>810</v>
      </c>
      <c r="C2614" t="s">
        <v>1851</v>
      </c>
      <c r="D2614" t="s">
        <v>107</v>
      </c>
      <c r="E2614" t="s">
        <v>8</v>
      </c>
      <c r="F2614" t="s">
        <v>448</v>
      </c>
      <c r="G2614" t="s">
        <v>4682</v>
      </c>
      <c r="H2614" s="7">
        <v>33065</v>
      </c>
    </row>
    <row r="2615" spans="1:8" x14ac:dyDescent="0.3">
      <c r="A2615">
        <v>12140</v>
      </c>
      <c r="B2615" t="s">
        <v>5</v>
      </c>
      <c r="C2615" t="s">
        <v>927</v>
      </c>
      <c r="D2615" t="s">
        <v>107</v>
      </c>
      <c r="E2615" t="s">
        <v>8</v>
      </c>
      <c r="F2615" t="s">
        <v>9</v>
      </c>
      <c r="G2615" t="s">
        <v>5248</v>
      </c>
      <c r="H2615" s="7">
        <v>725</v>
      </c>
    </row>
    <row r="2616" spans="1:8" x14ac:dyDescent="0.3">
      <c r="A2616">
        <v>12148</v>
      </c>
      <c r="B2616" t="s">
        <v>1293</v>
      </c>
      <c r="C2616" t="s">
        <v>1070</v>
      </c>
      <c r="D2616" t="s">
        <v>2169</v>
      </c>
      <c r="E2616" t="s">
        <v>27</v>
      </c>
      <c r="F2616" t="s">
        <v>190</v>
      </c>
      <c r="G2616" t="s">
        <v>2222</v>
      </c>
      <c r="H2616" s="7">
        <v>85283</v>
      </c>
    </row>
    <row r="2617" spans="1:8" x14ac:dyDescent="0.3">
      <c r="A2617">
        <v>12154</v>
      </c>
      <c r="B2617" t="s">
        <v>5</v>
      </c>
      <c r="C2617" t="s">
        <v>787</v>
      </c>
      <c r="D2617" t="s">
        <v>1961</v>
      </c>
      <c r="E2617" t="s">
        <v>8</v>
      </c>
      <c r="F2617" t="s">
        <v>9</v>
      </c>
      <c r="G2617" t="s">
        <v>2472</v>
      </c>
      <c r="H2617" s="7">
        <v>725</v>
      </c>
    </row>
    <row r="2618" spans="1:8" x14ac:dyDescent="0.3">
      <c r="A2618">
        <v>12158</v>
      </c>
      <c r="B2618" t="s">
        <v>5</v>
      </c>
      <c r="C2618" t="s">
        <v>93</v>
      </c>
      <c r="D2618" t="s">
        <v>107</v>
      </c>
      <c r="E2618" t="s">
        <v>8</v>
      </c>
      <c r="F2618" t="s">
        <v>9</v>
      </c>
      <c r="G2618" t="s">
        <v>3163</v>
      </c>
      <c r="H2618" s="7">
        <v>725</v>
      </c>
    </row>
    <row r="2619" spans="1:8" x14ac:dyDescent="0.3">
      <c r="A2619">
        <v>12172</v>
      </c>
      <c r="B2619" t="s">
        <v>723</v>
      </c>
      <c r="C2619" t="s">
        <v>913</v>
      </c>
      <c r="D2619" t="s">
        <v>107</v>
      </c>
      <c r="E2619" t="s">
        <v>95</v>
      </c>
      <c r="F2619" t="s">
        <v>729</v>
      </c>
      <c r="G2619" t="s">
        <v>3709</v>
      </c>
      <c r="H2619" s="7">
        <v>80015</v>
      </c>
    </row>
    <row r="2620" spans="1:8" x14ac:dyDescent="0.3">
      <c r="A2620">
        <v>12176</v>
      </c>
      <c r="B2620" t="s">
        <v>5</v>
      </c>
      <c r="C2620" t="s">
        <v>93</v>
      </c>
      <c r="D2620" t="s">
        <v>2169</v>
      </c>
      <c r="E2620" t="s">
        <v>8</v>
      </c>
      <c r="F2620" t="s">
        <v>9</v>
      </c>
      <c r="G2620" t="s">
        <v>3605</v>
      </c>
      <c r="H2620" s="7">
        <v>725</v>
      </c>
    </row>
    <row r="2621" spans="1:8" x14ac:dyDescent="0.3">
      <c r="A2621">
        <v>12183</v>
      </c>
      <c r="B2621" t="s">
        <v>5</v>
      </c>
      <c r="C2621" t="s">
        <v>2047</v>
      </c>
      <c r="D2621" t="s">
        <v>107</v>
      </c>
      <c r="E2621" t="s">
        <v>27</v>
      </c>
      <c r="F2621" t="s">
        <v>9</v>
      </c>
      <c r="G2621" t="s">
        <v>4461</v>
      </c>
      <c r="H2621" s="7">
        <v>725</v>
      </c>
    </row>
    <row r="2622" spans="1:8" x14ac:dyDescent="0.3">
      <c r="A2622">
        <v>12191</v>
      </c>
      <c r="B2622" t="s">
        <v>5</v>
      </c>
      <c r="C2622" t="s">
        <v>223</v>
      </c>
      <c r="D2622" t="s">
        <v>1189</v>
      </c>
      <c r="E2622" t="s">
        <v>8</v>
      </c>
      <c r="F2622" t="s">
        <v>9</v>
      </c>
      <c r="G2622" t="s">
        <v>1745</v>
      </c>
      <c r="H2622" s="7">
        <v>725</v>
      </c>
    </row>
    <row r="2623" spans="1:8" x14ac:dyDescent="0.3">
      <c r="A2623">
        <v>12192</v>
      </c>
      <c r="B2623" t="s">
        <v>117</v>
      </c>
      <c r="C2623" t="s">
        <v>93</v>
      </c>
      <c r="D2623" t="s">
        <v>3630</v>
      </c>
      <c r="E2623" t="s">
        <v>8</v>
      </c>
      <c r="F2623" t="s">
        <v>21</v>
      </c>
      <c r="G2623" t="s">
        <v>4265</v>
      </c>
      <c r="H2623" s="7">
        <v>92114</v>
      </c>
    </row>
    <row r="2624" spans="1:8" x14ac:dyDescent="0.3">
      <c r="A2624">
        <v>12194</v>
      </c>
      <c r="B2624" t="s">
        <v>254</v>
      </c>
      <c r="C2624" t="s">
        <v>696</v>
      </c>
      <c r="D2624" t="s">
        <v>107</v>
      </c>
      <c r="E2624" t="s">
        <v>8</v>
      </c>
      <c r="F2624" t="s">
        <v>55</v>
      </c>
      <c r="G2624" t="s">
        <v>5141</v>
      </c>
      <c r="H2624" s="7">
        <v>60621</v>
      </c>
    </row>
    <row r="2625" spans="1:8" x14ac:dyDescent="0.3">
      <c r="A2625">
        <v>12196</v>
      </c>
      <c r="B2625" t="s">
        <v>2687</v>
      </c>
      <c r="C2625" t="s">
        <v>93</v>
      </c>
      <c r="D2625" t="s">
        <v>107</v>
      </c>
      <c r="E2625" t="s">
        <v>27</v>
      </c>
      <c r="F2625" t="s">
        <v>55</v>
      </c>
      <c r="G2625" t="s">
        <v>4982</v>
      </c>
      <c r="H2625" s="7">
        <v>60804</v>
      </c>
    </row>
    <row r="2626" spans="1:8" x14ac:dyDescent="0.3">
      <c r="A2626">
        <v>12199</v>
      </c>
      <c r="B2626" t="s">
        <v>5</v>
      </c>
      <c r="C2626" t="s">
        <v>93</v>
      </c>
      <c r="D2626" t="s">
        <v>107</v>
      </c>
      <c r="E2626" t="s">
        <v>8</v>
      </c>
      <c r="F2626" t="s">
        <v>9</v>
      </c>
      <c r="G2626" t="s">
        <v>5251</v>
      </c>
      <c r="H2626" s="7">
        <v>725</v>
      </c>
    </row>
    <row r="2627" spans="1:8" x14ac:dyDescent="0.3">
      <c r="A2627">
        <v>12200</v>
      </c>
      <c r="B2627" t="s">
        <v>117</v>
      </c>
      <c r="C2627" t="s">
        <v>1211</v>
      </c>
      <c r="D2627" t="s">
        <v>1291</v>
      </c>
      <c r="E2627" t="s">
        <v>8</v>
      </c>
      <c r="F2627" t="s">
        <v>21</v>
      </c>
      <c r="G2627" t="s">
        <v>5076</v>
      </c>
      <c r="H2627" s="7">
        <v>92105</v>
      </c>
    </row>
    <row r="2628" spans="1:8" x14ac:dyDescent="0.3">
      <c r="A2628">
        <v>12202</v>
      </c>
      <c r="B2628" t="s">
        <v>656</v>
      </c>
      <c r="C2628" t="s">
        <v>230</v>
      </c>
      <c r="D2628" t="s">
        <v>107</v>
      </c>
      <c r="E2628" t="s">
        <v>95</v>
      </c>
      <c r="F2628" t="s">
        <v>77</v>
      </c>
      <c r="G2628" t="s">
        <v>5107</v>
      </c>
      <c r="H2628" s="7">
        <v>19104</v>
      </c>
    </row>
    <row r="2629" spans="1:8" x14ac:dyDescent="0.3">
      <c r="A2629">
        <v>12206</v>
      </c>
      <c r="B2629" t="s">
        <v>368</v>
      </c>
      <c r="C2629" t="s">
        <v>93</v>
      </c>
      <c r="D2629" t="s">
        <v>1351</v>
      </c>
      <c r="E2629" t="s">
        <v>27</v>
      </c>
      <c r="F2629" t="s">
        <v>88</v>
      </c>
      <c r="G2629" t="s">
        <v>4615</v>
      </c>
      <c r="H2629" s="7">
        <v>10003</v>
      </c>
    </row>
    <row r="2630" spans="1:8" x14ac:dyDescent="0.3">
      <c r="A2630">
        <v>12207</v>
      </c>
      <c r="B2630" t="s">
        <v>601</v>
      </c>
      <c r="C2630" t="s">
        <v>847</v>
      </c>
      <c r="D2630" t="s">
        <v>107</v>
      </c>
      <c r="E2630" t="s">
        <v>27</v>
      </c>
      <c r="F2630" t="s">
        <v>114</v>
      </c>
      <c r="G2630" t="s">
        <v>2203</v>
      </c>
      <c r="H2630" s="7">
        <v>78745</v>
      </c>
    </row>
    <row r="2631" spans="1:8" x14ac:dyDescent="0.3">
      <c r="A2631">
        <v>12210</v>
      </c>
      <c r="B2631" t="s">
        <v>626</v>
      </c>
      <c r="C2631" t="s">
        <v>93</v>
      </c>
      <c r="D2631" t="s">
        <v>107</v>
      </c>
      <c r="E2631" t="s">
        <v>95</v>
      </c>
      <c r="F2631" t="s">
        <v>55</v>
      </c>
      <c r="G2631" t="s">
        <v>5569</v>
      </c>
      <c r="H2631" s="7">
        <v>60120</v>
      </c>
    </row>
    <row r="2632" spans="1:8" x14ac:dyDescent="0.3">
      <c r="A2632">
        <v>12211</v>
      </c>
      <c r="B2632" t="s">
        <v>5</v>
      </c>
      <c r="C2632" t="s">
        <v>1191</v>
      </c>
      <c r="D2632" t="s">
        <v>2054</v>
      </c>
      <c r="E2632" t="s">
        <v>8</v>
      </c>
      <c r="F2632" t="s">
        <v>9</v>
      </c>
      <c r="G2632" t="s">
        <v>3373</v>
      </c>
      <c r="H2632" s="7">
        <v>725</v>
      </c>
    </row>
    <row r="2633" spans="1:8" x14ac:dyDescent="0.3">
      <c r="A2633">
        <v>12212</v>
      </c>
      <c r="B2633" t="s">
        <v>368</v>
      </c>
      <c r="C2633" t="s">
        <v>1714</v>
      </c>
      <c r="D2633" t="s">
        <v>2183</v>
      </c>
      <c r="E2633" t="s">
        <v>8</v>
      </c>
      <c r="F2633" t="s">
        <v>88</v>
      </c>
      <c r="G2633" t="s">
        <v>2992</v>
      </c>
      <c r="H2633" s="7">
        <v>10023</v>
      </c>
    </row>
    <row r="2634" spans="1:8" x14ac:dyDescent="0.3">
      <c r="A2634">
        <v>12215</v>
      </c>
      <c r="B2634" t="s">
        <v>5</v>
      </c>
      <c r="C2634" t="s">
        <v>93</v>
      </c>
      <c r="D2634" t="s">
        <v>107</v>
      </c>
      <c r="E2634" t="s">
        <v>8</v>
      </c>
      <c r="F2634" t="s">
        <v>9</v>
      </c>
      <c r="G2634" t="s">
        <v>5083</v>
      </c>
      <c r="H2634" s="7">
        <v>725</v>
      </c>
    </row>
    <row r="2635" spans="1:8" x14ac:dyDescent="0.3">
      <c r="A2635">
        <v>12218</v>
      </c>
      <c r="B2635" t="s">
        <v>2243</v>
      </c>
      <c r="C2635" t="s">
        <v>4039</v>
      </c>
      <c r="D2635" t="s">
        <v>107</v>
      </c>
      <c r="E2635" t="s">
        <v>8</v>
      </c>
      <c r="F2635" t="s">
        <v>248</v>
      </c>
      <c r="G2635" t="s">
        <v>4348</v>
      </c>
      <c r="H2635" s="7">
        <v>44107</v>
      </c>
    </row>
    <row r="2636" spans="1:8" x14ac:dyDescent="0.3">
      <c r="A2636">
        <v>12221</v>
      </c>
      <c r="B2636" t="s">
        <v>5</v>
      </c>
      <c r="C2636" t="s">
        <v>2917</v>
      </c>
      <c r="D2636" t="s">
        <v>1284</v>
      </c>
      <c r="E2636" t="s">
        <v>95</v>
      </c>
      <c r="F2636" t="s">
        <v>9</v>
      </c>
      <c r="G2636" t="s">
        <v>4013</v>
      </c>
      <c r="H2636" s="7">
        <v>725</v>
      </c>
    </row>
    <row r="2637" spans="1:8" x14ac:dyDescent="0.3">
      <c r="A2637">
        <v>12222</v>
      </c>
      <c r="B2637" t="s">
        <v>1618</v>
      </c>
      <c r="C2637" t="s">
        <v>93</v>
      </c>
      <c r="D2637" t="s">
        <v>107</v>
      </c>
      <c r="E2637" t="s">
        <v>95</v>
      </c>
      <c r="F2637" t="s">
        <v>381</v>
      </c>
      <c r="G2637" t="s">
        <v>4249</v>
      </c>
      <c r="H2637" s="7">
        <v>48192</v>
      </c>
    </row>
    <row r="2638" spans="1:8" x14ac:dyDescent="0.3">
      <c r="A2638">
        <v>12233</v>
      </c>
      <c r="B2638" t="s">
        <v>254</v>
      </c>
      <c r="C2638" t="s">
        <v>755</v>
      </c>
      <c r="D2638" t="s">
        <v>756</v>
      </c>
      <c r="E2638" t="s">
        <v>8</v>
      </c>
      <c r="F2638" t="s">
        <v>55</v>
      </c>
      <c r="G2638" t="s">
        <v>757</v>
      </c>
      <c r="H2638" s="7">
        <v>60660</v>
      </c>
    </row>
    <row r="2639" spans="1:8" x14ac:dyDescent="0.3">
      <c r="A2639">
        <v>12234</v>
      </c>
      <c r="B2639" t="s">
        <v>5</v>
      </c>
      <c r="C2639" t="s">
        <v>93</v>
      </c>
      <c r="D2639" t="s">
        <v>333</v>
      </c>
      <c r="E2639" t="s">
        <v>27</v>
      </c>
      <c r="F2639" t="s">
        <v>9</v>
      </c>
      <c r="G2639" t="s">
        <v>2045</v>
      </c>
      <c r="H2639" s="7">
        <v>725</v>
      </c>
    </row>
    <row r="2640" spans="1:8" x14ac:dyDescent="0.3">
      <c r="A2640">
        <v>12237</v>
      </c>
      <c r="B2640" t="s">
        <v>810</v>
      </c>
      <c r="C2640" t="s">
        <v>93</v>
      </c>
      <c r="D2640" t="s">
        <v>811</v>
      </c>
      <c r="E2640" t="s">
        <v>8</v>
      </c>
      <c r="F2640" t="s">
        <v>448</v>
      </c>
      <c r="G2640" t="s">
        <v>812</v>
      </c>
      <c r="H2640" s="7">
        <v>33064</v>
      </c>
    </row>
    <row r="2641" spans="1:8" x14ac:dyDescent="0.3">
      <c r="A2641">
        <v>12242</v>
      </c>
      <c r="B2641" t="s">
        <v>5</v>
      </c>
      <c r="C2641" t="s">
        <v>597</v>
      </c>
      <c r="D2641" t="s">
        <v>107</v>
      </c>
      <c r="E2641" t="s">
        <v>95</v>
      </c>
      <c r="F2641" t="s">
        <v>9</v>
      </c>
      <c r="G2641" t="s">
        <v>5042</v>
      </c>
      <c r="H2641" s="7">
        <v>725</v>
      </c>
    </row>
    <row r="2642" spans="1:8" x14ac:dyDescent="0.3">
      <c r="A2642">
        <v>12243</v>
      </c>
      <c r="B2642" t="s">
        <v>495</v>
      </c>
      <c r="C2642" t="s">
        <v>1735</v>
      </c>
      <c r="D2642" t="s">
        <v>644</v>
      </c>
      <c r="E2642" t="s">
        <v>8</v>
      </c>
      <c r="F2642" t="s">
        <v>88</v>
      </c>
      <c r="G2642" t="s">
        <v>2256</v>
      </c>
      <c r="H2642" s="7">
        <v>11201</v>
      </c>
    </row>
    <row r="2643" spans="1:8" x14ac:dyDescent="0.3">
      <c r="A2643">
        <v>12245</v>
      </c>
      <c r="B2643" t="s">
        <v>789</v>
      </c>
      <c r="C2643" t="s">
        <v>93</v>
      </c>
      <c r="D2643" t="s">
        <v>107</v>
      </c>
      <c r="E2643" t="s">
        <v>8</v>
      </c>
      <c r="F2643" t="s">
        <v>21</v>
      </c>
      <c r="G2643" t="s">
        <v>4346</v>
      </c>
      <c r="H2643" s="7">
        <v>92804</v>
      </c>
    </row>
    <row r="2644" spans="1:8" x14ac:dyDescent="0.3">
      <c r="A2644">
        <v>12248</v>
      </c>
      <c r="B2644" t="s">
        <v>117</v>
      </c>
      <c r="C2644" t="s">
        <v>93</v>
      </c>
      <c r="D2644" t="s">
        <v>403</v>
      </c>
      <c r="E2644" t="s">
        <v>8</v>
      </c>
      <c r="F2644" t="s">
        <v>21</v>
      </c>
      <c r="G2644" t="s">
        <v>5139</v>
      </c>
      <c r="H2644" s="7">
        <v>92126</v>
      </c>
    </row>
    <row r="2645" spans="1:8" x14ac:dyDescent="0.3">
      <c r="A2645">
        <v>12258</v>
      </c>
      <c r="B2645" t="s">
        <v>5</v>
      </c>
      <c r="C2645" t="s">
        <v>787</v>
      </c>
      <c r="D2645" t="s">
        <v>107</v>
      </c>
      <c r="E2645" t="s">
        <v>8</v>
      </c>
      <c r="F2645" t="s">
        <v>9</v>
      </c>
      <c r="G2645" t="s">
        <v>2696</v>
      </c>
      <c r="H2645" s="7">
        <v>725</v>
      </c>
    </row>
    <row r="2646" spans="1:8" x14ac:dyDescent="0.3">
      <c r="A2646">
        <v>12259</v>
      </c>
      <c r="B2646" t="s">
        <v>4636</v>
      </c>
      <c r="C2646" t="s">
        <v>93</v>
      </c>
      <c r="D2646" t="s">
        <v>776</v>
      </c>
      <c r="E2646" t="s">
        <v>95</v>
      </c>
      <c r="F2646" t="s">
        <v>242</v>
      </c>
      <c r="G2646" t="s">
        <v>5513</v>
      </c>
      <c r="H2646" s="7">
        <v>21222</v>
      </c>
    </row>
    <row r="2647" spans="1:8" x14ac:dyDescent="0.3">
      <c r="A2647">
        <v>12279</v>
      </c>
      <c r="B2647" t="s">
        <v>5</v>
      </c>
      <c r="C2647" t="s">
        <v>93</v>
      </c>
      <c r="D2647" t="s">
        <v>208</v>
      </c>
      <c r="E2647" t="s">
        <v>8</v>
      </c>
      <c r="F2647" t="s">
        <v>9</v>
      </c>
      <c r="G2647" t="s">
        <v>2773</v>
      </c>
      <c r="H2647" s="7">
        <v>725</v>
      </c>
    </row>
    <row r="2648" spans="1:8" x14ac:dyDescent="0.3">
      <c r="A2648">
        <v>12280</v>
      </c>
      <c r="B2648" t="s">
        <v>635</v>
      </c>
      <c r="C2648" t="s">
        <v>417</v>
      </c>
      <c r="D2648" t="s">
        <v>107</v>
      </c>
      <c r="E2648" t="s">
        <v>8</v>
      </c>
      <c r="F2648" t="s">
        <v>448</v>
      </c>
      <c r="G2648" t="s">
        <v>4300</v>
      </c>
      <c r="H2648" s="7">
        <v>32308</v>
      </c>
    </row>
    <row r="2649" spans="1:8" x14ac:dyDescent="0.3">
      <c r="A2649">
        <v>12283</v>
      </c>
      <c r="B2649" t="s">
        <v>427</v>
      </c>
      <c r="C2649" t="s">
        <v>1422</v>
      </c>
      <c r="D2649" t="s">
        <v>796</v>
      </c>
      <c r="E2649" t="s">
        <v>8</v>
      </c>
      <c r="F2649" t="s">
        <v>9</v>
      </c>
      <c r="G2649" t="s">
        <v>2743</v>
      </c>
      <c r="H2649" s="7">
        <v>921</v>
      </c>
    </row>
    <row r="2650" spans="1:8" x14ac:dyDescent="0.3">
      <c r="A2650">
        <v>12290</v>
      </c>
      <c r="B2650" t="s">
        <v>2778</v>
      </c>
      <c r="C2650" t="s">
        <v>93</v>
      </c>
      <c r="D2650" t="s">
        <v>2341</v>
      </c>
      <c r="E2650" t="s">
        <v>8</v>
      </c>
      <c r="F2650" t="s">
        <v>1657</v>
      </c>
      <c r="G2650" t="s">
        <v>2779</v>
      </c>
      <c r="H2650" s="7">
        <v>6082</v>
      </c>
    </row>
    <row r="2651" spans="1:8" x14ac:dyDescent="0.3">
      <c r="A2651">
        <v>12295</v>
      </c>
      <c r="B2651" t="s">
        <v>5</v>
      </c>
      <c r="C2651" t="s">
        <v>93</v>
      </c>
      <c r="D2651" t="s">
        <v>2799</v>
      </c>
      <c r="E2651" t="s">
        <v>27</v>
      </c>
      <c r="F2651" t="s">
        <v>9</v>
      </c>
      <c r="G2651" t="s">
        <v>3314</v>
      </c>
      <c r="H2651" s="7">
        <v>725</v>
      </c>
    </row>
    <row r="2652" spans="1:8" x14ac:dyDescent="0.3">
      <c r="A2652">
        <v>12301</v>
      </c>
      <c r="B2652" t="s">
        <v>5</v>
      </c>
      <c r="C2652" t="s">
        <v>417</v>
      </c>
      <c r="D2652" t="s">
        <v>107</v>
      </c>
      <c r="E2652" t="s">
        <v>8</v>
      </c>
      <c r="F2652" t="s">
        <v>9</v>
      </c>
      <c r="G2652" t="s">
        <v>2446</v>
      </c>
      <c r="H2652" s="7">
        <v>725</v>
      </c>
    </row>
    <row r="2653" spans="1:8" x14ac:dyDescent="0.3">
      <c r="A2653">
        <v>12305</v>
      </c>
      <c r="B2653" t="s">
        <v>5</v>
      </c>
      <c r="C2653" t="s">
        <v>520</v>
      </c>
      <c r="D2653" t="s">
        <v>333</v>
      </c>
      <c r="E2653" t="s">
        <v>8</v>
      </c>
      <c r="F2653" t="s">
        <v>9</v>
      </c>
      <c r="G2653" t="s">
        <v>1394</v>
      </c>
      <c r="H2653" s="7">
        <v>725</v>
      </c>
    </row>
    <row r="2654" spans="1:8" x14ac:dyDescent="0.3">
      <c r="A2654">
        <v>12308</v>
      </c>
      <c r="B2654" t="s">
        <v>254</v>
      </c>
      <c r="C2654" t="s">
        <v>776</v>
      </c>
      <c r="D2654" t="s">
        <v>107</v>
      </c>
      <c r="E2654" t="s">
        <v>8</v>
      </c>
      <c r="F2654" t="s">
        <v>55</v>
      </c>
      <c r="G2654" t="s">
        <v>2094</v>
      </c>
      <c r="H2654" s="7">
        <v>60644</v>
      </c>
    </row>
    <row r="2655" spans="1:8" x14ac:dyDescent="0.3">
      <c r="A2655">
        <v>12314</v>
      </c>
      <c r="B2655" t="s">
        <v>5</v>
      </c>
      <c r="C2655" t="s">
        <v>1468</v>
      </c>
      <c r="D2655" t="s">
        <v>107</v>
      </c>
      <c r="E2655" t="s">
        <v>8</v>
      </c>
      <c r="F2655" t="s">
        <v>9</v>
      </c>
      <c r="G2655" t="s">
        <v>1469</v>
      </c>
      <c r="H2655" s="7">
        <v>725</v>
      </c>
    </row>
    <row r="2656" spans="1:8" x14ac:dyDescent="0.3">
      <c r="A2656">
        <v>12316</v>
      </c>
      <c r="B2656" t="s">
        <v>254</v>
      </c>
      <c r="C2656" t="s">
        <v>1117</v>
      </c>
      <c r="D2656" t="s">
        <v>1264</v>
      </c>
      <c r="E2656" t="s">
        <v>8</v>
      </c>
      <c r="F2656" t="s">
        <v>55</v>
      </c>
      <c r="G2656" t="s">
        <v>2673</v>
      </c>
      <c r="H2656" s="7">
        <v>60615</v>
      </c>
    </row>
    <row r="2657" spans="1:8" x14ac:dyDescent="0.3">
      <c r="A2657">
        <v>12318</v>
      </c>
      <c r="B2657" t="s">
        <v>1116</v>
      </c>
      <c r="C2657" t="s">
        <v>93</v>
      </c>
      <c r="D2657" t="s">
        <v>107</v>
      </c>
      <c r="E2657" t="s">
        <v>8</v>
      </c>
      <c r="F2657" t="s">
        <v>1118</v>
      </c>
      <c r="G2657" t="s">
        <v>4762</v>
      </c>
      <c r="H2657" s="7">
        <v>55106</v>
      </c>
    </row>
    <row r="2658" spans="1:8" x14ac:dyDescent="0.3">
      <c r="A2658">
        <v>12321</v>
      </c>
      <c r="B2658" t="s">
        <v>2993</v>
      </c>
      <c r="C2658" t="s">
        <v>2025</v>
      </c>
      <c r="D2658" t="s">
        <v>2937</v>
      </c>
      <c r="E2658" t="s">
        <v>8</v>
      </c>
      <c r="F2658" t="s">
        <v>242</v>
      </c>
      <c r="G2658" t="s">
        <v>4812</v>
      </c>
      <c r="H2658" s="7">
        <v>21122</v>
      </c>
    </row>
    <row r="2659" spans="1:8" x14ac:dyDescent="0.3">
      <c r="A2659">
        <v>12324</v>
      </c>
      <c r="B2659" t="s">
        <v>5</v>
      </c>
      <c r="C2659" t="s">
        <v>397</v>
      </c>
      <c r="D2659" t="s">
        <v>1336</v>
      </c>
      <c r="E2659" t="s">
        <v>95</v>
      </c>
      <c r="F2659" t="s">
        <v>9</v>
      </c>
      <c r="G2659" t="s">
        <v>3560</v>
      </c>
      <c r="H2659" s="7">
        <v>725</v>
      </c>
    </row>
    <row r="2660" spans="1:8" x14ac:dyDescent="0.3">
      <c r="A2660">
        <v>12330</v>
      </c>
      <c r="B2660" t="s">
        <v>761</v>
      </c>
      <c r="C2660" t="s">
        <v>93</v>
      </c>
      <c r="D2660" t="s">
        <v>762</v>
      </c>
      <c r="E2660" t="s">
        <v>8</v>
      </c>
      <c r="F2660" t="s">
        <v>21</v>
      </c>
      <c r="G2660" t="s">
        <v>763</v>
      </c>
      <c r="H2660" s="7">
        <v>95351</v>
      </c>
    </row>
    <row r="2661" spans="1:8" x14ac:dyDescent="0.3">
      <c r="A2661">
        <v>12335</v>
      </c>
      <c r="B2661" t="s">
        <v>1307</v>
      </c>
      <c r="C2661" t="s">
        <v>93</v>
      </c>
      <c r="D2661" t="s">
        <v>1308</v>
      </c>
      <c r="E2661" t="s">
        <v>8</v>
      </c>
      <c r="F2661" t="s">
        <v>158</v>
      </c>
      <c r="G2661" t="s">
        <v>1167</v>
      </c>
      <c r="H2661" s="7">
        <v>37922</v>
      </c>
    </row>
    <row r="2662" spans="1:8" x14ac:dyDescent="0.3">
      <c r="A2662">
        <v>12342</v>
      </c>
      <c r="B2662" t="s">
        <v>5</v>
      </c>
      <c r="C2662" t="s">
        <v>93</v>
      </c>
      <c r="D2662" t="s">
        <v>1831</v>
      </c>
      <c r="E2662" t="s">
        <v>8</v>
      </c>
      <c r="F2662" t="s">
        <v>9</v>
      </c>
      <c r="G2662" t="s">
        <v>4501</v>
      </c>
      <c r="H2662" s="7">
        <v>725</v>
      </c>
    </row>
    <row r="2663" spans="1:8" x14ac:dyDescent="0.3">
      <c r="A2663">
        <v>12346</v>
      </c>
      <c r="B2663" t="s">
        <v>2754</v>
      </c>
      <c r="C2663" t="s">
        <v>93</v>
      </c>
      <c r="D2663" t="s">
        <v>107</v>
      </c>
      <c r="E2663" t="s">
        <v>95</v>
      </c>
      <c r="F2663" t="s">
        <v>21</v>
      </c>
      <c r="G2663" t="s">
        <v>3132</v>
      </c>
      <c r="H2663" s="7">
        <v>95051</v>
      </c>
    </row>
    <row r="2664" spans="1:8" x14ac:dyDescent="0.3">
      <c r="A2664">
        <v>12349</v>
      </c>
      <c r="B2664" t="s">
        <v>5</v>
      </c>
      <c r="C2664" t="s">
        <v>93</v>
      </c>
      <c r="D2664" t="s">
        <v>340</v>
      </c>
      <c r="E2664" t="s">
        <v>8</v>
      </c>
      <c r="F2664" t="s">
        <v>9</v>
      </c>
      <c r="G2664" t="s">
        <v>5577</v>
      </c>
      <c r="H2664" s="7">
        <v>725</v>
      </c>
    </row>
    <row r="2665" spans="1:8" x14ac:dyDescent="0.3">
      <c r="A2665">
        <v>12351</v>
      </c>
      <c r="B2665" t="s">
        <v>1512</v>
      </c>
      <c r="C2665" t="s">
        <v>847</v>
      </c>
      <c r="D2665" t="s">
        <v>428</v>
      </c>
      <c r="E2665" t="s">
        <v>27</v>
      </c>
      <c r="F2665" t="s">
        <v>1514</v>
      </c>
      <c r="G2665" t="s">
        <v>1644</v>
      </c>
      <c r="H2665" s="7">
        <v>42101</v>
      </c>
    </row>
    <row r="2666" spans="1:8" x14ac:dyDescent="0.3">
      <c r="A2666">
        <v>12361</v>
      </c>
      <c r="B2666" t="s">
        <v>5</v>
      </c>
      <c r="C2666" t="s">
        <v>2452</v>
      </c>
      <c r="D2666" t="s">
        <v>2453</v>
      </c>
      <c r="E2666" t="s">
        <v>8</v>
      </c>
      <c r="F2666" t="s">
        <v>9</v>
      </c>
      <c r="G2666" t="s">
        <v>2454</v>
      </c>
      <c r="H2666" s="7">
        <v>725</v>
      </c>
    </row>
    <row r="2667" spans="1:8" x14ac:dyDescent="0.3">
      <c r="A2667">
        <v>12362</v>
      </c>
      <c r="B2667" t="s">
        <v>865</v>
      </c>
      <c r="C2667" t="s">
        <v>93</v>
      </c>
      <c r="D2667" t="s">
        <v>107</v>
      </c>
      <c r="E2667" t="s">
        <v>8</v>
      </c>
      <c r="F2667" t="s">
        <v>190</v>
      </c>
      <c r="G2667" t="s">
        <v>866</v>
      </c>
      <c r="H2667" s="7">
        <v>85705</v>
      </c>
    </row>
    <row r="2668" spans="1:8" x14ac:dyDescent="0.3">
      <c r="A2668">
        <v>12365</v>
      </c>
      <c r="B2668" t="s">
        <v>5</v>
      </c>
      <c r="C2668" t="s">
        <v>93</v>
      </c>
      <c r="D2668" t="s">
        <v>3460</v>
      </c>
      <c r="E2668" t="s">
        <v>95</v>
      </c>
      <c r="F2668" t="s">
        <v>9</v>
      </c>
      <c r="G2668" t="s">
        <v>3461</v>
      </c>
      <c r="H2668" s="7">
        <v>725</v>
      </c>
    </row>
    <row r="2669" spans="1:8" x14ac:dyDescent="0.3">
      <c r="A2669">
        <v>12380</v>
      </c>
      <c r="B2669" t="s">
        <v>1223</v>
      </c>
      <c r="C2669" t="s">
        <v>272</v>
      </c>
      <c r="D2669" t="s">
        <v>1496</v>
      </c>
      <c r="E2669" t="s">
        <v>27</v>
      </c>
      <c r="F2669" t="s">
        <v>283</v>
      </c>
      <c r="G2669" t="s">
        <v>1497</v>
      </c>
      <c r="H2669" s="7">
        <v>23233</v>
      </c>
    </row>
    <row r="2670" spans="1:8" x14ac:dyDescent="0.3">
      <c r="A2670">
        <v>12382</v>
      </c>
      <c r="B2670" t="s">
        <v>5</v>
      </c>
      <c r="C2670" t="s">
        <v>1824</v>
      </c>
      <c r="D2670" t="s">
        <v>107</v>
      </c>
      <c r="E2670" t="s">
        <v>8</v>
      </c>
      <c r="F2670" t="s">
        <v>9</v>
      </c>
      <c r="G2670" t="s">
        <v>4045</v>
      </c>
      <c r="H2670" s="7">
        <v>725</v>
      </c>
    </row>
    <row r="2671" spans="1:8" x14ac:dyDescent="0.3">
      <c r="A2671">
        <v>12383</v>
      </c>
      <c r="B2671" t="s">
        <v>1323</v>
      </c>
      <c r="C2671" t="s">
        <v>663</v>
      </c>
      <c r="D2671" t="s">
        <v>2909</v>
      </c>
      <c r="E2671" t="s">
        <v>8</v>
      </c>
      <c r="F2671" t="s">
        <v>88</v>
      </c>
      <c r="G2671" t="s">
        <v>3918</v>
      </c>
      <c r="H2671" s="7">
        <v>14120</v>
      </c>
    </row>
    <row r="2672" spans="1:8" x14ac:dyDescent="0.3">
      <c r="A2672">
        <v>12391</v>
      </c>
      <c r="B2672" t="s">
        <v>5</v>
      </c>
      <c r="C2672" t="s">
        <v>436</v>
      </c>
      <c r="D2672" t="s">
        <v>2224</v>
      </c>
      <c r="E2672" t="s">
        <v>95</v>
      </c>
      <c r="F2672" t="s">
        <v>9</v>
      </c>
      <c r="G2672" t="s">
        <v>5149</v>
      </c>
      <c r="H2672" s="7">
        <v>725</v>
      </c>
    </row>
    <row r="2673" spans="1:8" x14ac:dyDescent="0.3">
      <c r="A2673">
        <v>12394</v>
      </c>
      <c r="B2673" t="s">
        <v>5</v>
      </c>
      <c r="C2673" t="s">
        <v>1321</v>
      </c>
      <c r="D2673" t="s">
        <v>1251</v>
      </c>
      <c r="E2673" t="s">
        <v>95</v>
      </c>
      <c r="F2673" t="s">
        <v>9</v>
      </c>
      <c r="G2673" t="s">
        <v>3535</v>
      </c>
      <c r="H2673" s="7">
        <v>725</v>
      </c>
    </row>
    <row r="2674" spans="1:8" x14ac:dyDescent="0.3">
      <c r="A2674">
        <v>12396</v>
      </c>
      <c r="B2674" t="s">
        <v>5</v>
      </c>
      <c r="C2674" t="s">
        <v>1604</v>
      </c>
      <c r="D2674" t="s">
        <v>380</v>
      </c>
      <c r="E2674" t="s">
        <v>27</v>
      </c>
      <c r="F2674" t="s">
        <v>9</v>
      </c>
      <c r="G2674" t="s">
        <v>1605</v>
      </c>
      <c r="H2674" s="7">
        <v>725</v>
      </c>
    </row>
    <row r="2675" spans="1:8" x14ac:dyDescent="0.3">
      <c r="A2675">
        <v>12413</v>
      </c>
      <c r="B2675" t="s">
        <v>5</v>
      </c>
      <c r="C2675" t="s">
        <v>895</v>
      </c>
      <c r="D2675" t="s">
        <v>107</v>
      </c>
      <c r="E2675" t="s">
        <v>8</v>
      </c>
      <c r="F2675" t="s">
        <v>9</v>
      </c>
      <c r="G2675" t="s">
        <v>4797</v>
      </c>
      <c r="H2675" s="7">
        <v>725</v>
      </c>
    </row>
    <row r="2676" spans="1:8" x14ac:dyDescent="0.3">
      <c r="A2676">
        <v>12414</v>
      </c>
      <c r="B2676" t="s">
        <v>254</v>
      </c>
      <c r="C2676" t="s">
        <v>93</v>
      </c>
      <c r="D2676" t="s">
        <v>3975</v>
      </c>
      <c r="E2676" t="s">
        <v>8</v>
      </c>
      <c r="F2676" t="s">
        <v>55</v>
      </c>
      <c r="G2676" t="s">
        <v>4728</v>
      </c>
      <c r="H2676" s="7">
        <v>60615</v>
      </c>
    </row>
    <row r="2677" spans="1:8" x14ac:dyDescent="0.3">
      <c r="A2677">
        <v>12424</v>
      </c>
      <c r="B2677" t="s">
        <v>117</v>
      </c>
      <c r="C2677" t="s">
        <v>3232</v>
      </c>
      <c r="D2677" t="s">
        <v>2909</v>
      </c>
      <c r="E2677" t="s">
        <v>8</v>
      </c>
      <c r="F2677" t="s">
        <v>21</v>
      </c>
      <c r="G2677" t="s">
        <v>3233</v>
      </c>
      <c r="H2677" s="7">
        <v>92111</v>
      </c>
    </row>
    <row r="2678" spans="1:8" x14ac:dyDescent="0.3">
      <c r="A2678">
        <v>12425</v>
      </c>
      <c r="B2678" t="s">
        <v>5</v>
      </c>
      <c r="C2678" t="s">
        <v>93</v>
      </c>
      <c r="D2678" t="s">
        <v>107</v>
      </c>
      <c r="E2678" t="s">
        <v>8</v>
      </c>
      <c r="F2678" t="s">
        <v>9</v>
      </c>
      <c r="G2678" t="s">
        <v>4593</v>
      </c>
      <c r="H2678" s="7">
        <v>725</v>
      </c>
    </row>
    <row r="2679" spans="1:8" x14ac:dyDescent="0.3">
      <c r="A2679">
        <v>12427</v>
      </c>
      <c r="B2679" t="s">
        <v>1006</v>
      </c>
      <c r="C2679" t="s">
        <v>93</v>
      </c>
      <c r="D2679" t="s">
        <v>107</v>
      </c>
      <c r="E2679" t="s">
        <v>27</v>
      </c>
      <c r="F2679" t="s">
        <v>114</v>
      </c>
      <c r="G2679" t="s">
        <v>5109</v>
      </c>
      <c r="H2679" s="7">
        <v>75093</v>
      </c>
    </row>
    <row r="2680" spans="1:8" x14ac:dyDescent="0.3">
      <c r="A2680">
        <v>12428</v>
      </c>
      <c r="B2680" t="s">
        <v>5</v>
      </c>
      <c r="C2680" t="s">
        <v>2441</v>
      </c>
      <c r="D2680" t="s">
        <v>3616</v>
      </c>
      <c r="E2680" t="s">
        <v>27</v>
      </c>
      <c r="F2680" t="s">
        <v>9</v>
      </c>
      <c r="G2680" t="s">
        <v>5449</v>
      </c>
      <c r="H2680" s="7">
        <v>725</v>
      </c>
    </row>
    <row r="2681" spans="1:8" x14ac:dyDescent="0.3">
      <c r="A2681">
        <v>12435</v>
      </c>
      <c r="B2681" t="s">
        <v>4782</v>
      </c>
      <c r="C2681" t="s">
        <v>766</v>
      </c>
      <c r="D2681" t="s">
        <v>2062</v>
      </c>
      <c r="E2681" t="s">
        <v>95</v>
      </c>
      <c r="F2681" t="s">
        <v>1042</v>
      </c>
      <c r="G2681" t="s">
        <v>4995</v>
      </c>
      <c r="H2681" s="7">
        <v>29483</v>
      </c>
    </row>
    <row r="2682" spans="1:8" x14ac:dyDescent="0.3">
      <c r="A2682">
        <v>12440</v>
      </c>
      <c r="B2682" t="s">
        <v>4459</v>
      </c>
      <c r="C2682" t="s">
        <v>5327</v>
      </c>
      <c r="D2682" t="s">
        <v>5328</v>
      </c>
      <c r="E2682" t="s">
        <v>27</v>
      </c>
      <c r="F2682" t="s">
        <v>21</v>
      </c>
      <c r="G2682" t="s">
        <v>5329</v>
      </c>
      <c r="H2682" s="7">
        <v>92069</v>
      </c>
    </row>
    <row r="2683" spans="1:8" x14ac:dyDescent="0.3">
      <c r="A2683">
        <v>12446</v>
      </c>
      <c r="B2683" t="s">
        <v>384</v>
      </c>
      <c r="C2683" t="s">
        <v>666</v>
      </c>
      <c r="D2683" t="s">
        <v>1757</v>
      </c>
      <c r="E2683" t="s">
        <v>8</v>
      </c>
      <c r="F2683" t="s">
        <v>283</v>
      </c>
      <c r="G2683" t="s">
        <v>4137</v>
      </c>
      <c r="H2683" s="7">
        <v>22554</v>
      </c>
    </row>
    <row r="2684" spans="1:8" x14ac:dyDescent="0.3">
      <c r="A2684">
        <v>12480</v>
      </c>
      <c r="B2684" t="s">
        <v>1672</v>
      </c>
      <c r="C2684" t="s">
        <v>5229</v>
      </c>
      <c r="D2684" t="s">
        <v>3292</v>
      </c>
      <c r="E2684" t="s">
        <v>8</v>
      </c>
      <c r="F2684" t="s">
        <v>21</v>
      </c>
      <c r="G2684" t="s">
        <v>5612</v>
      </c>
      <c r="H2684" s="7">
        <v>94558</v>
      </c>
    </row>
    <row r="2685" spans="1:8" x14ac:dyDescent="0.3">
      <c r="A2685">
        <v>12482</v>
      </c>
      <c r="B2685" t="s">
        <v>1179</v>
      </c>
      <c r="C2685" t="s">
        <v>4392</v>
      </c>
      <c r="D2685" t="s">
        <v>2719</v>
      </c>
      <c r="E2685" t="s">
        <v>27</v>
      </c>
      <c r="F2685" t="s">
        <v>88</v>
      </c>
      <c r="G2685" t="s">
        <v>5523</v>
      </c>
      <c r="H2685" s="7">
        <v>11520</v>
      </c>
    </row>
    <row r="2686" spans="1:8" x14ac:dyDescent="0.3">
      <c r="A2686">
        <v>12486</v>
      </c>
      <c r="B2686" t="s">
        <v>851</v>
      </c>
      <c r="C2686" t="s">
        <v>515</v>
      </c>
      <c r="D2686" t="s">
        <v>2384</v>
      </c>
      <c r="E2686" t="s">
        <v>27</v>
      </c>
      <c r="F2686" t="s">
        <v>21</v>
      </c>
      <c r="G2686" t="s">
        <v>5314</v>
      </c>
      <c r="H2686" s="7">
        <v>92410</v>
      </c>
    </row>
    <row r="2687" spans="1:8" x14ac:dyDescent="0.3">
      <c r="A2687">
        <v>12491</v>
      </c>
      <c r="B2687" t="s">
        <v>769</v>
      </c>
      <c r="C2687" t="s">
        <v>5085</v>
      </c>
      <c r="D2687" t="s">
        <v>3933</v>
      </c>
      <c r="E2687" t="s">
        <v>8</v>
      </c>
      <c r="F2687" t="s">
        <v>190</v>
      </c>
      <c r="G2687" t="s">
        <v>5640</v>
      </c>
      <c r="H2687" s="7">
        <v>85029</v>
      </c>
    </row>
    <row r="2688" spans="1:8" x14ac:dyDescent="0.3">
      <c r="A2688">
        <v>12498</v>
      </c>
      <c r="B2688" t="s">
        <v>495</v>
      </c>
      <c r="C2688" t="s">
        <v>126</v>
      </c>
      <c r="D2688" t="s">
        <v>144</v>
      </c>
      <c r="E2688" t="s">
        <v>8</v>
      </c>
      <c r="F2688" t="s">
        <v>88</v>
      </c>
      <c r="G2688" t="s">
        <v>4883</v>
      </c>
      <c r="H2688" s="7">
        <v>11223</v>
      </c>
    </row>
    <row r="2689" spans="1:8" x14ac:dyDescent="0.3">
      <c r="A2689">
        <v>12501</v>
      </c>
      <c r="B2689" t="s">
        <v>1243</v>
      </c>
      <c r="C2689" t="s">
        <v>196</v>
      </c>
      <c r="D2689" t="s">
        <v>982</v>
      </c>
      <c r="E2689" t="s">
        <v>27</v>
      </c>
      <c r="F2689" t="s">
        <v>308</v>
      </c>
      <c r="G2689" t="s">
        <v>820</v>
      </c>
      <c r="H2689" s="7">
        <v>8540</v>
      </c>
    </row>
    <row r="2690" spans="1:8" x14ac:dyDescent="0.3">
      <c r="A2690">
        <v>12509</v>
      </c>
      <c r="B2690" t="s">
        <v>5</v>
      </c>
      <c r="C2690" t="s">
        <v>2936</v>
      </c>
      <c r="D2690" t="s">
        <v>1228</v>
      </c>
      <c r="E2690" t="s">
        <v>27</v>
      </c>
      <c r="F2690" t="s">
        <v>9</v>
      </c>
      <c r="G2690" t="s">
        <v>5026</v>
      </c>
      <c r="H2690" s="7">
        <v>725</v>
      </c>
    </row>
    <row r="2691" spans="1:8" x14ac:dyDescent="0.3">
      <c r="A2691">
        <v>12510</v>
      </c>
      <c r="B2691" t="s">
        <v>2541</v>
      </c>
      <c r="C2691" t="s">
        <v>3771</v>
      </c>
      <c r="D2691" t="s">
        <v>837</v>
      </c>
      <c r="E2691" t="s">
        <v>27</v>
      </c>
      <c r="F2691" t="s">
        <v>341</v>
      </c>
      <c r="G2691" t="s">
        <v>5376</v>
      </c>
      <c r="H2691" s="7">
        <v>28540</v>
      </c>
    </row>
    <row r="2692" spans="1:8" x14ac:dyDescent="0.3">
      <c r="A2692">
        <v>12512</v>
      </c>
      <c r="B2692" t="s">
        <v>174</v>
      </c>
      <c r="C2692" t="s">
        <v>3311</v>
      </c>
      <c r="D2692" t="s">
        <v>778</v>
      </c>
      <c r="E2692" t="s">
        <v>8</v>
      </c>
      <c r="F2692" t="s">
        <v>21</v>
      </c>
      <c r="G2692" t="s">
        <v>1193</v>
      </c>
      <c r="H2692" s="7">
        <v>90016</v>
      </c>
    </row>
    <row r="2693" spans="1:8" x14ac:dyDescent="0.3">
      <c r="A2693">
        <v>12515</v>
      </c>
      <c r="B2693" t="s">
        <v>1307</v>
      </c>
      <c r="C2693" t="s">
        <v>3704</v>
      </c>
      <c r="D2693" t="s">
        <v>4431</v>
      </c>
      <c r="E2693" t="s">
        <v>27</v>
      </c>
      <c r="F2693" t="s">
        <v>158</v>
      </c>
      <c r="G2693" t="s">
        <v>2347</v>
      </c>
      <c r="H2693" s="7">
        <v>37922</v>
      </c>
    </row>
    <row r="2694" spans="1:8" x14ac:dyDescent="0.3">
      <c r="A2694">
        <v>12528</v>
      </c>
      <c r="B2694" t="s">
        <v>5</v>
      </c>
      <c r="C2694" t="s">
        <v>3496</v>
      </c>
      <c r="D2694" t="s">
        <v>4598</v>
      </c>
      <c r="E2694" t="s">
        <v>8</v>
      </c>
      <c r="F2694" t="s">
        <v>9</v>
      </c>
      <c r="G2694" t="s">
        <v>5677</v>
      </c>
      <c r="H2694" s="7">
        <v>725</v>
      </c>
    </row>
    <row r="2695" spans="1:8" x14ac:dyDescent="0.3">
      <c r="A2695">
        <v>12531</v>
      </c>
      <c r="B2695" t="s">
        <v>835</v>
      </c>
      <c r="C2695" t="s">
        <v>598</v>
      </c>
      <c r="D2695" t="s">
        <v>1213</v>
      </c>
      <c r="E2695" t="s">
        <v>27</v>
      </c>
      <c r="F2695" t="s">
        <v>242</v>
      </c>
      <c r="G2695" t="s">
        <v>5162</v>
      </c>
      <c r="H2695" s="7">
        <v>20783</v>
      </c>
    </row>
    <row r="2696" spans="1:8" x14ac:dyDescent="0.3">
      <c r="A2696">
        <v>12534</v>
      </c>
      <c r="B2696" t="s">
        <v>5</v>
      </c>
      <c r="C2696" t="s">
        <v>1735</v>
      </c>
      <c r="D2696" t="s">
        <v>2281</v>
      </c>
      <c r="E2696" t="s">
        <v>27</v>
      </c>
      <c r="F2696" t="s">
        <v>9</v>
      </c>
      <c r="G2696" t="s">
        <v>3911</v>
      </c>
      <c r="H2696" s="7">
        <v>725</v>
      </c>
    </row>
    <row r="2697" spans="1:8" x14ac:dyDescent="0.3">
      <c r="A2697">
        <v>12542</v>
      </c>
      <c r="B2697" t="s">
        <v>1672</v>
      </c>
      <c r="C2697" t="s">
        <v>1457</v>
      </c>
      <c r="D2697" t="s">
        <v>2566</v>
      </c>
      <c r="E2697" t="s">
        <v>8</v>
      </c>
      <c r="F2697" t="s">
        <v>21</v>
      </c>
      <c r="G2697" t="s">
        <v>5512</v>
      </c>
      <c r="H2697" s="7">
        <v>94558</v>
      </c>
    </row>
    <row r="2698" spans="1:8" x14ac:dyDescent="0.3">
      <c r="A2698">
        <v>12552</v>
      </c>
      <c r="B2698" t="s">
        <v>5</v>
      </c>
      <c r="C2698" t="s">
        <v>2381</v>
      </c>
      <c r="D2698" t="s">
        <v>4103</v>
      </c>
      <c r="E2698" t="s">
        <v>27</v>
      </c>
      <c r="F2698" t="s">
        <v>9</v>
      </c>
      <c r="G2698" t="s">
        <v>4487</v>
      </c>
      <c r="H2698" s="7">
        <v>725</v>
      </c>
    </row>
    <row r="2699" spans="1:8" x14ac:dyDescent="0.3">
      <c r="A2699">
        <v>12564</v>
      </c>
      <c r="B2699" t="s">
        <v>474</v>
      </c>
      <c r="C2699" t="s">
        <v>1244</v>
      </c>
      <c r="D2699" t="s">
        <v>336</v>
      </c>
      <c r="E2699" t="s">
        <v>8</v>
      </c>
      <c r="F2699" t="s">
        <v>140</v>
      </c>
      <c r="G2699" t="s">
        <v>5430</v>
      </c>
      <c r="H2699" s="7">
        <v>30906</v>
      </c>
    </row>
    <row r="2700" spans="1:8" x14ac:dyDescent="0.3">
      <c r="A2700">
        <v>12570</v>
      </c>
      <c r="B2700" t="s">
        <v>495</v>
      </c>
      <c r="C2700" t="s">
        <v>3608</v>
      </c>
      <c r="D2700" t="s">
        <v>1225</v>
      </c>
      <c r="E2700" t="s">
        <v>95</v>
      </c>
      <c r="F2700" t="s">
        <v>88</v>
      </c>
      <c r="G2700" t="s">
        <v>4287</v>
      </c>
      <c r="H2700" s="7">
        <v>11224</v>
      </c>
    </row>
    <row r="2701" spans="1:8" x14ac:dyDescent="0.3">
      <c r="A2701">
        <v>12581</v>
      </c>
      <c r="B2701" t="s">
        <v>4772</v>
      </c>
      <c r="C2701" t="s">
        <v>1564</v>
      </c>
      <c r="D2701" t="s">
        <v>1573</v>
      </c>
      <c r="E2701" t="s">
        <v>8</v>
      </c>
      <c r="F2701" t="s">
        <v>248</v>
      </c>
      <c r="G2701" t="s">
        <v>5641</v>
      </c>
      <c r="H2701" s="7">
        <v>45424</v>
      </c>
    </row>
    <row r="2702" spans="1:8" x14ac:dyDescent="0.3">
      <c r="A2702">
        <v>12621</v>
      </c>
      <c r="B2702" t="s">
        <v>3390</v>
      </c>
      <c r="C2702" t="s">
        <v>2521</v>
      </c>
      <c r="D2702" t="s">
        <v>5203</v>
      </c>
      <c r="E2702" t="s">
        <v>8</v>
      </c>
      <c r="F2702" t="s">
        <v>1514</v>
      </c>
      <c r="G2702" t="s">
        <v>5639</v>
      </c>
      <c r="H2702" s="7">
        <v>40214</v>
      </c>
    </row>
    <row r="2703" spans="1:8" x14ac:dyDescent="0.3">
      <c r="A2703">
        <v>12622</v>
      </c>
      <c r="B2703" t="s">
        <v>5</v>
      </c>
      <c r="C2703" t="s">
        <v>520</v>
      </c>
      <c r="D2703" t="s">
        <v>1169</v>
      </c>
      <c r="E2703" t="s">
        <v>8</v>
      </c>
      <c r="F2703" t="s">
        <v>9</v>
      </c>
      <c r="G2703" t="s">
        <v>5678</v>
      </c>
      <c r="H2703" s="7">
        <v>725</v>
      </c>
    </row>
    <row r="2704" spans="1:8" x14ac:dyDescent="0.3">
      <c r="A2704">
        <v>12630</v>
      </c>
      <c r="B2704" t="s">
        <v>5</v>
      </c>
      <c r="C2704" t="s">
        <v>2815</v>
      </c>
      <c r="D2704" t="s">
        <v>3983</v>
      </c>
      <c r="E2704" t="s">
        <v>8</v>
      </c>
      <c r="F2704" t="s">
        <v>9</v>
      </c>
      <c r="G2704" t="s">
        <v>4448</v>
      </c>
      <c r="H2704" s="7">
        <v>725</v>
      </c>
    </row>
    <row r="2705" spans="1:8" x14ac:dyDescent="0.3">
      <c r="A2705">
        <v>12633</v>
      </c>
      <c r="B2705" t="s">
        <v>5</v>
      </c>
      <c r="C2705" t="s">
        <v>766</v>
      </c>
      <c r="D2705" t="s">
        <v>1410</v>
      </c>
      <c r="E2705" t="s">
        <v>8</v>
      </c>
      <c r="F2705" t="s">
        <v>9</v>
      </c>
      <c r="G2705" t="s">
        <v>4316</v>
      </c>
      <c r="H2705" s="7">
        <v>725</v>
      </c>
    </row>
    <row r="2706" spans="1:8" x14ac:dyDescent="0.3">
      <c r="A2706">
        <v>12637</v>
      </c>
      <c r="B2706" t="s">
        <v>2541</v>
      </c>
      <c r="C2706" t="s">
        <v>2244</v>
      </c>
      <c r="D2706" t="s">
        <v>76</v>
      </c>
      <c r="E2706" t="s">
        <v>8</v>
      </c>
      <c r="F2706" t="s">
        <v>448</v>
      </c>
      <c r="G2706" t="s">
        <v>5650</v>
      </c>
      <c r="H2706" s="7">
        <v>32244</v>
      </c>
    </row>
    <row r="2707" spans="1:8" x14ac:dyDescent="0.3">
      <c r="A2707">
        <v>12649</v>
      </c>
      <c r="B2707" t="s">
        <v>2778</v>
      </c>
      <c r="C2707" t="s">
        <v>1074</v>
      </c>
      <c r="D2707" t="s">
        <v>165</v>
      </c>
      <c r="E2707" t="s">
        <v>8</v>
      </c>
      <c r="F2707" t="s">
        <v>1657</v>
      </c>
      <c r="G2707" t="s">
        <v>5611</v>
      </c>
      <c r="H2707" s="7">
        <v>6082</v>
      </c>
    </row>
    <row r="2708" spans="1:8" x14ac:dyDescent="0.3">
      <c r="A2708">
        <v>12651</v>
      </c>
      <c r="B2708" t="s">
        <v>2474</v>
      </c>
      <c r="C2708" t="s">
        <v>4817</v>
      </c>
      <c r="D2708" t="s">
        <v>578</v>
      </c>
      <c r="E2708" t="s">
        <v>8</v>
      </c>
      <c r="F2708" t="s">
        <v>88</v>
      </c>
      <c r="G2708" t="s">
        <v>4545</v>
      </c>
      <c r="H2708" s="7">
        <v>11354</v>
      </c>
    </row>
    <row r="2709" spans="1:8" x14ac:dyDescent="0.3">
      <c r="A2709">
        <v>12655</v>
      </c>
      <c r="B2709" t="s">
        <v>2352</v>
      </c>
      <c r="C2709" t="s">
        <v>1842</v>
      </c>
      <c r="D2709" t="s">
        <v>4901</v>
      </c>
      <c r="E2709" t="s">
        <v>27</v>
      </c>
      <c r="F2709" t="s">
        <v>729</v>
      </c>
      <c r="G2709" t="s">
        <v>4858</v>
      </c>
      <c r="H2709" s="7">
        <v>80219</v>
      </c>
    </row>
    <row r="2710" spans="1:8" x14ac:dyDescent="0.3">
      <c r="A2710">
        <v>12667</v>
      </c>
      <c r="B2710" t="s">
        <v>1520</v>
      </c>
      <c r="C2710" t="s">
        <v>2235</v>
      </c>
      <c r="D2710" t="s">
        <v>315</v>
      </c>
      <c r="E2710" t="s">
        <v>8</v>
      </c>
      <c r="F2710" t="s">
        <v>381</v>
      </c>
      <c r="G2710" t="s">
        <v>5222</v>
      </c>
      <c r="H2710" s="7">
        <v>49509</v>
      </c>
    </row>
    <row r="2711" spans="1:8" x14ac:dyDescent="0.3">
      <c r="A2711">
        <v>12676</v>
      </c>
      <c r="B2711" t="s">
        <v>5</v>
      </c>
      <c r="C2711" t="s">
        <v>4596</v>
      </c>
      <c r="D2711" t="s">
        <v>875</v>
      </c>
      <c r="E2711" t="s">
        <v>95</v>
      </c>
      <c r="F2711" t="s">
        <v>9</v>
      </c>
      <c r="G2711" t="s">
        <v>5682</v>
      </c>
      <c r="H2711" s="7">
        <v>725</v>
      </c>
    </row>
    <row r="2712" spans="1:8" x14ac:dyDescent="0.3">
      <c r="A2712">
        <v>12678</v>
      </c>
      <c r="B2712" t="s">
        <v>1270</v>
      </c>
      <c r="C2712" t="s">
        <v>183</v>
      </c>
      <c r="D2712" t="s">
        <v>1333</v>
      </c>
      <c r="E2712" t="s">
        <v>95</v>
      </c>
      <c r="F2712" t="s">
        <v>134</v>
      </c>
      <c r="G2712" t="s">
        <v>1271</v>
      </c>
      <c r="H2712" s="7">
        <v>96789</v>
      </c>
    </row>
    <row r="2713" spans="1:8" x14ac:dyDescent="0.3">
      <c r="A2713">
        <v>12689</v>
      </c>
      <c r="B2713" t="s">
        <v>5</v>
      </c>
      <c r="C2713" t="s">
        <v>2114</v>
      </c>
      <c r="D2713" t="s">
        <v>581</v>
      </c>
      <c r="E2713" t="s">
        <v>27</v>
      </c>
      <c r="F2713" t="s">
        <v>9</v>
      </c>
      <c r="G2713" t="s">
        <v>5482</v>
      </c>
      <c r="H2713" s="7">
        <v>725</v>
      </c>
    </row>
    <row r="2714" spans="1:8" x14ac:dyDescent="0.3">
      <c r="A2714">
        <v>12690</v>
      </c>
      <c r="B2714" t="s">
        <v>440</v>
      </c>
      <c r="C2714" t="s">
        <v>389</v>
      </c>
      <c r="D2714" t="s">
        <v>2043</v>
      </c>
      <c r="E2714" t="s">
        <v>8</v>
      </c>
      <c r="F2714" t="s">
        <v>114</v>
      </c>
      <c r="G2714" t="s">
        <v>1202</v>
      </c>
      <c r="H2714" s="7">
        <v>78223</v>
      </c>
    </row>
    <row r="2715" spans="1:8" x14ac:dyDescent="0.3">
      <c r="A2715">
        <v>12693</v>
      </c>
      <c r="B2715" t="s">
        <v>351</v>
      </c>
      <c r="C2715" t="s">
        <v>2402</v>
      </c>
      <c r="D2715" t="s">
        <v>5381</v>
      </c>
      <c r="E2715" t="s">
        <v>8</v>
      </c>
      <c r="F2715" t="s">
        <v>9</v>
      </c>
      <c r="G2715" t="s">
        <v>128</v>
      </c>
      <c r="H2715" s="7">
        <v>791</v>
      </c>
    </row>
    <row r="2716" spans="1:8" x14ac:dyDescent="0.3">
      <c r="A2716">
        <v>12699</v>
      </c>
      <c r="B2716" t="s">
        <v>5</v>
      </c>
      <c r="C2716" t="s">
        <v>3113</v>
      </c>
      <c r="D2716" t="s">
        <v>5048</v>
      </c>
      <c r="E2716" t="s">
        <v>27</v>
      </c>
      <c r="F2716" t="s">
        <v>9</v>
      </c>
      <c r="G2716" t="s">
        <v>5481</v>
      </c>
      <c r="H2716" s="7">
        <v>725</v>
      </c>
    </row>
    <row r="2717" spans="1:8" x14ac:dyDescent="0.3">
      <c r="A2717">
        <v>12713</v>
      </c>
      <c r="B2717" t="s">
        <v>5</v>
      </c>
      <c r="C2717" t="s">
        <v>2477</v>
      </c>
      <c r="D2717" t="s">
        <v>796</v>
      </c>
      <c r="E2717" t="s">
        <v>95</v>
      </c>
      <c r="F2717" t="s">
        <v>9</v>
      </c>
      <c r="G2717" t="s">
        <v>4238</v>
      </c>
      <c r="H2717" s="7">
        <v>725</v>
      </c>
    </row>
    <row r="2718" spans="1:8" x14ac:dyDescent="0.3">
      <c r="A2718">
        <v>12729</v>
      </c>
      <c r="B2718" t="s">
        <v>5</v>
      </c>
      <c r="C2718" t="s">
        <v>1317</v>
      </c>
      <c r="D2718" t="s">
        <v>1785</v>
      </c>
      <c r="E2718" t="s">
        <v>8</v>
      </c>
      <c r="F2718" t="s">
        <v>9</v>
      </c>
      <c r="G2718" t="s">
        <v>5686</v>
      </c>
      <c r="H2718" s="7">
        <v>725</v>
      </c>
    </row>
    <row r="2719" spans="1:8" x14ac:dyDescent="0.3">
      <c r="A2719">
        <v>12733</v>
      </c>
      <c r="B2719" t="s">
        <v>5</v>
      </c>
      <c r="C2719" t="s">
        <v>484</v>
      </c>
      <c r="D2719" t="s">
        <v>4415</v>
      </c>
      <c r="E2719" t="s">
        <v>95</v>
      </c>
      <c r="F2719" t="s">
        <v>9</v>
      </c>
      <c r="G2719" t="s">
        <v>5683</v>
      </c>
      <c r="H2719" s="7">
        <v>725</v>
      </c>
    </row>
    <row r="2720" spans="1:8" x14ac:dyDescent="0.3">
      <c r="A2720">
        <v>12742</v>
      </c>
      <c r="B2720" t="s">
        <v>769</v>
      </c>
      <c r="C2720" t="s">
        <v>4217</v>
      </c>
      <c r="D2720" t="s">
        <v>3407</v>
      </c>
      <c r="E2720" t="s">
        <v>8</v>
      </c>
      <c r="F2720" t="s">
        <v>190</v>
      </c>
      <c r="G2720" t="s">
        <v>4156</v>
      </c>
      <c r="H2720" s="7">
        <v>85032</v>
      </c>
    </row>
    <row r="2721" spans="1:8" x14ac:dyDescent="0.3">
      <c r="A2721">
        <v>12750</v>
      </c>
      <c r="B2721" t="s">
        <v>1143</v>
      </c>
      <c r="C2721" t="s">
        <v>5520</v>
      </c>
      <c r="D2721" t="s">
        <v>390</v>
      </c>
      <c r="E2721" t="s">
        <v>27</v>
      </c>
      <c r="F2721" t="s">
        <v>1145</v>
      </c>
      <c r="G2721" t="s">
        <v>5521</v>
      </c>
      <c r="H2721" s="7">
        <v>53215</v>
      </c>
    </row>
    <row r="2722" spans="1:8" x14ac:dyDescent="0.3">
      <c r="A2722">
        <v>12763</v>
      </c>
      <c r="B2722" t="s">
        <v>815</v>
      </c>
      <c r="C2722" t="s">
        <v>2713</v>
      </c>
      <c r="D2722" t="s">
        <v>2656</v>
      </c>
      <c r="E2722" t="s">
        <v>8</v>
      </c>
      <c r="F2722" t="s">
        <v>114</v>
      </c>
      <c r="G2722" t="s">
        <v>5610</v>
      </c>
      <c r="H2722" s="7">
        <v>75007</v>
      </c>
    </row>
    <row r="2723" spans="1:8" x14ac:dyDescent="0.3">
      <c r="A2723">
        <v>12772</v>
      </c>
      <c r="B2723" t="s">
        <v>368</v>
      </c>
      <c r="C2723" t="s">
        <v>2017</v>
      </c>
      <c r="D2723" t="s">
        <v>5029</v>
      </c>
      <c r="E2723" t="s">
        <v>27</v>
      </c>
      <c r="F2723" t="s">
        <v>88</v>
      </c>
      <c r="G2723" t="s">
        <v>5325</v>
      </c>
      <c r="H2723" s="7">
        <v>10029</v>
      </c>
    </row>
    <row r="2724" spans="1:8" x14ac:dyDescent="0.3">
      <c r="A2724">
        <v>12805</v>
      </c>
      <c r="B2724" t="s">
        <v>254</v>
      </c>
      <c r="C2724" t="s">
        <v>3330</v>
      </c>
      <c r="D2724" t="s">
        <v>441</v>
      </c>
      <c r="E2724" t="s">
        <v>8</v>
      </c>
      <c r="F2724" t="s">
        <v>55</v>
      </c>
      <c r="G2724" t="s">
        <v>4748</v>
      </c>
      <c r="H2724" s="7">
        <v>60624</v>
      </c>
    </row>
    <row r="2725" spans="1:8" x14ac:dyDescent="0.3">
      <c r="A2725">
        <v>12811</v>
      </c>
      <c r="B2725" t="s">
        <v>508</v>
      </c>
      <c r="C2725" t="s">
        <v>2070</v>
      </c>
      <c r="D2725" t="s">
        <v>82</v>
      </c>
      <c r="E2725" t="s">
        <v>27</v>
      </c>
      <c r="F2725" t="s">
        <v>114</v>
      </c>
      <c r="G2725" t="s">
        <v>5496</v>
      </c>
      <c r="H2725" s="7">
        <v>75220</v>
      </c>
    </row>
    <row r="2726" spans="1:8" x14ac:dyDescent="0.3">
      <c r="A2726">
        <v>12814</v>
      </c>
      <c r="B2726" t="s">
        <v>503</v>
      </c>
      <c r="C2726" t="s">
        <v>515</v>
      </c>
      <c r="D2726" t="s">
        <v>366</v>
      </c>
      <c r="E2726" t="s">
        <v>27</v>
      </c>
      <c r="F2726" t="s">
        <v>140</v>
      </c>
      <c r="G2726" t="s">
        <v>4541</v>
      </c>
      <c r="H2726" s="7">
        <v>30075</v>
      </c>
    </row>
    <row r="2727" spans="1:8" x14ac:dyDescent="0.3">
      <c r="A2727">
        <v>12817</v>
      </c>
      <c r="B2727" t="s">
        <v>840</v>
      </c>
      <c r="C2727" t="s">
        <v>1404</v>
      </c>
      <c r="D2727" t="s">
        <v>3034</v>
      </c>
      <c r="E2727" t="s">
        <v>27</v>
      </c>
      <c r="F2727" t="s">
        <v>248</v>
      </c>
      <c r="G2727" t="s">
        <v>4870</v>
      </c>
      <c r="H2727" s="7">
        <v>45014</v>
      </c>
    </row>
    <row r="2728" spans="1:8" x14ac:dyDescent="0.3">
      <c r="A2728">
        <v>12824</v>
      </c>
      <c r="B2728" t="s">
        <v>174</v>
      </c>
      <c r="C2728" t="s">
        <v>2424</v>
      </c>
      <c r="D2728" t="s">
        <v>4203</v>
      </c>
      <c r="E2728" t="s">
        <v>8</v>
      </c>
      <c r="F2728" t="s">
        <v>21</v>
      </c>
      <c r="G2728" t="s">
        <v>1923</v>
      </c>
      <c r="H2728" s="7">
        <v>90046</v>
      </c>
    </row>
    <row r="2729" spans="1:8" x14ac:dyDescent="0.3">
      <c r="A2729">
        <v>12827</v>
      </c>
      <c r="B2729" t="s">
        <v>1784</v>
      </c>
      <c r="C2729" t="s">
        <v>4177</v>
      </c>
      <c r="D2729" t="s">
        <v>1340</v>
      </c>
      <c r="E2729" t="s">
        <v>8</v>
      </c>
      <c r="F2729" t="s">
        <v>381</v>
      </c>
      <c r="G2729" t="s">
        <v>4707</v>
      </c>
      <c r="H2729" s="7">
        <v>48601</v>
      </c>
    </row>
    <row r="2730" spans="1:8" x14ac:dyDescent="0.3">
      <c r="A2730">
        <v>12842</v>
      </c>
      <c r="B2730" t="s">
        <v>1971</v>
      </c>
      <c r="C2730" t="s">
        <v>2191</v>
      </c>
      <c r="D2730" t="s">
        <v>4827</v>
      </c>
      <c r="E2730" t="s">
        <v>8</v>
      </c>
      <c r="F2730" t="s">
        <v>341</v>
      </c>
      <c r="G2730" t="s">
        <v>5674</v>
      </c>
      <c r="H2730" s="7">
        <v>27203</v>
      </c>
    </row>
    <row r="2731" spans="1:8" x14ac:dyDescent="0.3">
      <c r="A2731">
        <v>12852</v>
      </c>
      <c r="B2731" t="s">
        <v>5</v>
      </c>
      <c r="C2731" t="s">
        <v>216</v>
      </c>
      <c r="D2731" t="s">
        <v>3033</v>
      </c>
      <c r="E2731" t="s">
        <v>8</v>
      </c>
      <c r="F2731" t="s">
        <v>9</v>
      </c>
      <c r="G2731" t="s">
        <v>5680</v>
      </c>
      <c r="H2731" s="7">
        <v>725</v>
      </c>
    </row>
    <row r="2732" spans="1:8" x14ac:dyDescent="0.3">
      <c r="A2732">
        <v>12857</v>
      </c>
      <c r="B2732" t="s">
        <v>3857</v>
      </c>
      <c r="C2732" t="s">
        <v>2353</v>
      </c>
      <c r="D2732" t="s">
        <v>4103</v>
      </c>
      <c r="E2732" t="s">
        <v>8</v>
      </c>
      <c r="F2732" t="s">
        <v>21</v>
      </c>
      <c r="G2732" t="s">
        <v>4966</v>
      </c>
      <c r="H2732" s="7">
        <v>94583</v>
      </c>
    </row>
    <row r="2733" spans="1:8" x14ac:dyDescent="0.3">
      <c r="A2733">
        <v>12860</v>
      </c>
      <c r="B2733" t="s">
        <v>74</v>
      </c>
      <c r="C2733" t="s">
        <v>1136</v>
      </c>
      <c r="D2733" t="s">
        <v>1873</v>
      </c>
      <c r="E2733" t="s">
        <v>27</v>
      </c>
      <c r="F2733" t="s">
        <v>77</v>
      </c>
      <c r="G2733" t="s">
        <v>5377</v>
      </c>
      <c r="H2733" s="7">
        <v>17013</v>
      </c>
    </row>
    <row r="2734" spans="1:8" x14ac:dyDescent="0.3">
      <c r="A2734">
        <v>12875</v>
      </c>
      <c r="B2734" t="s">
        <v>5</v>
      </c>
      <c r="C2734" t="s">
        <v>3368</v>
      </c>
      <c r="D2734" t="s">
        <v>1169</v>
      </c>
      <c r="E2734" t="s">
        <v>8</v>
      </c>
      <c r="F2734" t="s">
        <v>9</v>
      </c>
      <c r="G2734" t="s">
        <v>5103</v>
      </c>
      <c r="H2734" s="7">
        <v>725</v>
      </c>
    </row>
    <row r="2735" spans="1:8" x14ac:dyDescent="0.3">
      <c r="A2735">
        <v>12878</v>
      </c>
      <c r="B2735" t="s">
        <v>1910</v>
      </c>
      <c r="C2735" t="s">
        <v>1788</v>
      </c>
      <c r="D2735" t="s">
        <v>4216</v>
      </c>
      <c r="E2735" t="s">
        <v>95</v>
      </c>
      <c r="F2735" t="s">
        <v>77</v>
      </c>
      <c r="G2735" t="s">
        <v>5605</v>
      </c>
      <c r="H2735" s="7">
        <v>18103</v>
      </c>
    </row>
    <row r="2736" spans="1:8" x14ac:dyDescent="0.3">
      <c r="A2736">
        <v>12887</v>
      </c>
      <c r="B2736" t="s">
        <v>1971</v>
      </c>
      <c r="C2736" t="s">
        <v>183</v>
      </c>
      <c r="D2736" t="s">
        <v>1483</v>
      </c>
      <c r="E2736" t="s">
        <v>27</v>
      </c>
      <c r="F2736" t="s">
        <v>341</v>
      </c>
      <c r="G2736" t="s">
        <v>5590</v>
      </c>
      <c r="H2736" s="7">
        <v>27203</v>
      </c>
    </row>
    <row r="2737" spans="1:8" x14ac:dyDescent="0.3">
      <c r="A2737">
        <v>12899</v>
      </c>
      <c r="B2737" t="s">
        <v>5</v>
      </c>
      <c r="C2737" t="s">
        <v>175</v>
      </c>
      <c r="D2737" t="s">
        <v>1829</v>
      </c>
      <c r="E2737" t="s">
        <v>8</v>
      </c>
      <c r="F2737" t="s">
        <v>9</v>
      </c>
      <c r="G2737" t="s">
        <v>5687</v>
      </c>
      <c r="H2737" s="7">
        <v>725</v>
      </c>
    </row>
    <row r="2738" spans="1:8" x14ac:dyDescent="0.3">
      <c r="A2738">
        <v>12927</v>
      </c>
      <c r="B2738" t="s">
        <v>1256</v>
      </c>
      <c r="C2738" t="s">
        <v>121</v>
      </c>
      <c r="D2738" t="s">
        <v>2165</v>
      </c>
      <c r="E2738" t="s">
        <v>27</v>
      </c>
      <c r="F2738" t="s">
        <v>478</v>
      </c>
      <c r="G2738" t="s">
        <v>5524</v>
      </c>
      <c r="H2738" s="7">
        <v>89014</v>
      </c>
    </row>
    <row r="2739" spans="1:8" x14ac:dyDescent="0.3">
      <c r="A2739">
        <v>12928</v>
      </c>
      <c r="B2739" t="s">
        <v>92</v>
      </c>
      <c r="C2739" t="s">
        <v>944</v>
      </c>
      <c r="D2739" t="s">
        <v>44</v>
      </c>
      <c r="E2739" t="s">
        <v>27</v>
      </c>
      <c r="F2739" t="s">
        <v>9</v>
      </c>
      <c r="G2739" t="s">
        <v>5484</v>
      </c>
      <c r="H2739" s="7">
        <v>957</v>
      </c>
    </row>
    <row r="2740" spans="1:8" x14ac:dyDescent="0.3">
      <c r="A2740">
        <v>12930</v>
      </c>
      <c r="B2740" t="s">
        <v>1563</v>
      </c>
      <c r="C2740" t="s">
        <v>138</v>
      </c>
      <c r="D2740" t="s">
        <v>3050</v>
      </c>
      <c r="E2740" t="s">
        <v>8</v>
      </c>
      <c r="F2740" t="s">
        <v>729</v>
      </c>
      <c r="G2740" t="s">
        <v>5642</v>
      </c>
      <c r="H2740" s="7">
        <v>80631</v>
      </c>
    </row>
    <row r="2741" spans="1:8" x14ac:dyDescent="0.3">
      <c r="A2741">
        <v>12946</v>
      </c>
      <c r="B2741" t="s">
        <v>447</v>
      </c>
      <c r="C2741" t="s">
        <v>86</v>
      </c>
      <c r="D2741" t="s">
        <v>2765</v>
      </c>
      <c r="E2741" t="s">
        <v>27</v>
      </c>
      <c r="F2741" t="s">
        <v>448</v>
      </c>
      <c r="G2741" t="s">
        <v>5648</v>
      </c>
      <c r="H2741" s="7">
        <v>33010</v>
      </c>
    </row>
    <row r="2742" spans="1:8" x14ac:dyDescent="0.3">
      <c r="A2742">
        <v>12947</v>
      </c>
      <c r="B2742" t="s">
        <v>5</v>
      </c>
      <c r="C2742" t="s">
        <v>81</v>
      </c>
      <c r="D2742" t="s">
        <v>2285</v>
      </c>
      <c r="E2742" t="s">
        <v>27</v>
      </c>
      <c r="F2742" t="s">
        <v>9</v>
      </c>
      <c r="G2742" t="s">
        <v>5483</v>
      </c>
      <c r="H2742" s="7">
        <v>725</v>
      </c>
    </row>
    <row r="2743" spans="1:8" x14ac:dyDescent="0.3">
      <c r="A2743">
        <v>12966</v>
      </c>
      <c r="B2743" t="s">
        <v>997</v>
      </c>
      <c r="C2743" t="s">
        <v>1404</v>
      </c>
      <c r="D2743" t="s">
        <v>2255</v>
      </c>
      <c r="E2743" t="s">
        <v>95</v>
      </c>
      <c r="F2743" t="s">
        <v>308</v>
      </c>
      <c r="G2743" t="s">
        <v>5685</v>
      </c>
      <c r="H2743" s="7">
        <v>7104</v>
      </c>
    </row>
    <row r="2744" spans="1:8" x14ac:dyDescent="0.3">
      <c r="A2744">
        <v>12977</v>
      </c>
      <c r="B2744" t="s">
        <v>1328</v>
      </c>
      <c r="C2744" t="s">
        <v>39</v>
      </c>
      <c r="D2744" t="s">
        <v>1052</v>
      </c>
      <c r="E2744" t="s">
        <v>27</v>
      </c>
      <c r="F2744" t="s">
        <v>21</v>
      </c>
      <c r="G2744" t="s">
        <v>5206</v>
      </c>
      <c r="H2744" s="7">
        <v>90262</v>
      </c>
    </row>
    <row r="2745" spans="1:8" x14ac:dyDescent="0.3">
      <c r="A2745">
        <v>12982</v>
      </c>
      <c r="B2745" t="s">
        <v>1298</v>
      </c>
      <c r="C2745" t="s">
        <v>3858</v>
      </c>
      <c r="D2745" t="s">
        <v>3349</v>
      </c>
      <c r="E2745" t="s">
        <v>8</v>
      </c>
      <c r="F2745" t="s">
        <v>153</v>
      </c>
      <c r="G2745" t="s">
        <v>5446</v>
      </c>
      <c r="H2745" s="7">
        <v>84015</v>
      </c>
    </row>
    <row r="2746" spans="1:8" x14ac:dyDescent="0.3">
      <c r="A2746">
        <v>12986</v>
      </c>
      <c r="B2746" t="s">
        <v>40</v>
      </c>
      <c r="C2746" t="s">
        <v>3099</v>
      </c>
      <c r="D2746" t="s">
        <v>3471</v>
      </c>
      <c r="E2746" t="s">
        <v>95</v>
      </c>
      <c r="F2746" t="s">
        <v>77</v>
      </c>
      <c r="G2746" t="s">
        <v>5238</v>
      </c>
      <c r="H2746" s="7">
        <v>17601</v>
      </c>
    </row>
    <row r="2747" spans="1:8" x14ac:dyDescent="0.3">
      <c r="A2747">
        <v>13020</v>
      </c>
      <c r="B2747" t="s">
        <v>5</v>
      </c>
      <c r="C2747" t="s">
        <v>2271</v>
      </c>
      <c r="D2747" t="s">
        <v>3443</v>
      </c>
      <c r="E2747" t="s">
        <v>27</v>
      </c>
      <c r="F2747" t="s">
        <v>9</v>
      </c>
      <c r="G2747" t="s">
        <v>5587</v>
      </c>
      <c r="H2747" s="7">
        <v>725</v>
      </c>
    </row>
    <row r="2748" spans="1:8" x14ac:dyDescent="0.3">
      <c r="A2748">
        <v>13025</v>
      </c>
      <c r="B2748" t="s">
        <v>2738</v>
      </c>
      <c r="C2748" t="s">
        <v>1457</v>
      </c>
      <c r="D2748" t="s">
        <v>2414</v>
      </c>
      <c r="E2748" t="s">
        <v>8</v>
      </c>
      <c r="F2748" t="s">
        <v>21</v>
      </c>
      <c r="G2748" t="s">
        <v>2962</v>
      </c>
      <c r="H2748" s="7">
        <v>93033</v>
      </c>
    </row>
    <row r="2749" spans="1:8" x14ac:dyDescent="0.3">
      <c r="A2749">
        <v>13039</v>
      </c>
      <c r="B2749" t="s">
        <v>1123</v>
      </c>
      <c r="C2749" t="s">
        <v>1930</v>
      </c>
      <c r="D2749" t="s">
        <v>1720</v>
      </c>
      <c r="E2749" t="s">
        <v>27</v>
      </c>
      <c r="F2749" t="s">
        <v>21</v>
      </c>
      <c r="G2749" t="s">
        <v>4420</v>
      </c>
      <c r="H2749" s="7">
        <v>93722</v>
      </c>
    </row>
    <row r="2750" spans="1:8" x14ac:dyDescent="0.3">
      <c r="A2750">
        <v>13061</v>
      </c>
      <c r="B2750" t="s">
        <v>5</v>
      </c>
      <c r="C2750" t="s">
        <v>3490</v>
      </c>
      <c r="D2750" t="s">
        <v>3598</v>
      </c>
      <c r="E2750" t="s">
        <v>8</v>
      </c>
      <c r="F2750" t="s">
        <v>9</v>
      </c>
      <c r="G2750" t="s">
        <v>4746</v>
      </c>
      <c r="H2750" s="7">
        <v>725</v>
      </c>
    </row>
    <row r="2751" spans="1:8" x14ac:dyDescent="0.3">
      <c r="A2751">
        <v>13067</v>
      </c>
      <c r="B2751" t="s">
        <v>495</v>
      </c>
      <c r="C2751" t="s">
        <v>2020</v>
      </c>
      <c r="D2751" t="s">
        <v>3050</v>
      </c>
      <c r="E2751" t="s">
        <v>8</v>
      </c>
      <c r="F2751" t="s">
        <v>88</v>
      </c>
      <c r="G2751" t="s">
        <v>5566</v>
      </c>
      <c r="H2751" s="7">
        <v>11209</v>
      </c>
    </row>
    <row r="2752" spans="1:8" x14ac:dyDescent="0.3">
      <c r="A2752">
        <v>13072</v>
      </c>
      <c r="B2752" t="s">
        <v>59</v>
      </c>
      <c r="C2752" t="s">
        <v>1866</v>
      </c>
      <c r="D2752" t="s">
        <v>1827</v>
      </c>
      <c r="E2752" t="s">
        <v>95</v>
      </c>
      <c r="F2752" t="s">
        <v>21</v>
      </c>
      <c r="G2752" t="s">
        <v>3794</v>
      </c>
      <c r="H2752" s="7">
        <v>90806</v>
      </c>
    </row>
    <row r="2753" spans="1:8" x14ac:dyDescent="0.3">
      <c r="A2753">
        <v>13074</v>
      </c>
      <c r="B2753" t="s">
        <v>765</v>
      </c>
      <c r="C2753" t="s">
        <v>1963</v>
      </c>
      <c r="D2753" t="s">
        <v>2539</v>
      </c>
      <c r="E2753" t="s">
        <v>8</v>
      </c>
      <c r="F2753" t="s">
        <v>308</v>
      </c>
      <c r="G2753" t="s">
        <v>4301</v>
      </c>
      <c r="H2753" s="7">
        <v>8302</v>
      </c>
    </row>
    <row r="2754" spans="1:8" x14ac:dyDescent="0.3">
      <c r="A2754">
        <v>13077</v>
      </c>
      <c r="B2754" t="s">
        <v>3069</v>
      </c>
      <c r="C2754" t="s">
        <v>1045</v>
      </c>
      <c r="D2754" t="s">
        <v>1951</v>
      </c>
      <c r="E2754" t="s">
        <v>95</v>
      </c>
      <c r="F2754" t="s">
        <v>308</v>
      </c>
      <c r="G2754" t="s">
        <v>3071</v>
      </c>
      <c r="H2754" s="7">
        <v>7060</v>
      </c>
    </row>
    <row r="2755" spans="1:8" x14ac:dyDescent="0.3">
      <c r="A2755">
        <v>13112</v>
      </c>
      <c r="B2755" t="s">
        <v>5</v>
      </c>
      <c r="C2755" t="s">
        <v>4239</v>
      </c>
      <c r="D2755" t="s">
        <v>954</v>
      </c>
      <c r="E2755" t="s">
        <v>95</v>
      </c>
      <c r="F2755" t="s">
        <v>9</v>
      </c>
      <c r="G2755" t="s">
        <v>4240</v>
      </c>
      <c r="H2755" s="7">
        <v>725</v>
      </c>
    </row>
    <row r="2756" spans="1:8" x14ac:dyDescent="0.3">
      <c r="A2756">
        <v>13117</v>
      </c>
      <c r="B2756" t="s">
        <v>5</v>
      </c>
      <c r="C2756" t="s">
        <v>3242</v>
      </c>
      <c r="D2756" t="s">
        <v>4605</v>
      </c>
      <c r="E2756" t="s">
        <v>27</v>
      </c>
      <c r="F2756" t="s">
        <v>9</v>
      </c>
      <c r="G2756" t="s">
        <v>5060</v>
      </c>
      <c r="H2756" s="7">
        <v>725</v>
      </c>
    </row>
    <row r="2757" spans="1:8" x14ac:dyDescent="0.3">
      <c r="A2757">
        <v>13134</v>
      </c>
      <c r="B2757" t="s">
        <v>5</v>
      </c>
      <c r="C2757" t="s">
        <v>1546</v>
      </c>
      <c r="D2757" t="s">
        <v>2059</v>
      </c>
      <c r="E2757" t="s">
        <v>8</v>
      </c>
      <c r="F2757" t="s">
        <v>9</v>
      </c>
      <c r="G2757" t="s">
        <v>2052</v>
      </c>
      <c r="H2757" s="7">
        <v>725</v>
      </c>
    </row>
    <row r="2758" spans="1:8" x14ac:dyDescent="0.3">
      <c r="A2758">
        <v>13137</v>
      </c>
      <c r="B2758" t="s">
        <v>3045</v>
      </c>
      <c r="C2758" t="s">
        <v>71</v>
      </c>
      <c r="D2758" t="s">
        <v>1528</v>
      </c>
      <c r="E2758" t="s">
        <v>8</v>
      </c>
      <c r="F2758" t="s">
        <v>21</v>
      </c>
      <c r="G2758" t="s">
        <v>5669</v>
      </c>
      <c r="H2758" s="7">
        <v>95023</v>
      </c>
    </row>
    <row r="2759" spans="1:8" x14ac:dyDescent="0.3">
      <c r="A2759">
        <v>13143</v>
      </c>
      <c r="B2759" t="s">
        <v>5</v>
      </c>
      <c r="C2759" t="s">
        <v>3556</v>
      </c>
      <c r="D2759" t="s">
        <v>322</v>
      </c>
      <c r="E2759" t="s">
        <v>8</v>
      </c>
      <c r="F2759" t="s">
        <v>9</v>
      </c>
      <c r="G2759" t="s">
        <v>2616</v>
      </c>
      <c r="H2759" s="7">
        <v>725</v>
      </c>
    </row>
    <row r="2760" spans="1:8" x14ac:dyDescent="0.3">
      <c r="A2760">
        <v>13147</v>
      </c>
      <c r="B2760" t="s">
        <v>5</v>
      </c>
      <c r="C2760" t="s">
        <v>1065</v>
      </c>
      <c r="D2760" t="s">
        <v>2666</v>
      </c>
      <c r="E2760" t="s">
        <v>8</v>
      </c>
      <c r="F2760" t="s">
        <v>9</v>
      </c>
      <c r="G2760" t="s">
        <v>5684</v>
      </c>
      <c r="H2760" s="7">
        <v>725</v>
      </c>
    </row>
    <row r="2761" spans="1:8" x14ac:dyDescent="0.3">
      <c r="A2761">
        <v>13161</v>
      </c>
      <c r="B2761" t="s">
        <v>851</v>
      </c>
      <c r="C2761" t="s">
        <v>2194</v>
      </c>
      <c r="D2761" t="s">
        <v>1330</v>
      </c>
      <c r="E2761" t="s">
        <v>27</v>
      </c>
      <c r="F2761" t="s">
        <v>21</v>
      </c>
      <c r="G2761" t="s">
        <v>1965</v>
      </c>
      <c r="H2761" s="7">
        <v>92404</v>
      </c>
    </row>
    <row r="2762" spans="1:8" x14ac:dyDescent="0.3">
      <c r="A2762">
        <v>13169</v>
      </c>
      <c r="B2762" t="s">
        <v>1859</v>
      </c>
      <c r="C2762" t="s">
        <v>2338</v>
      </c>
      <c r="D2762" t="s">
        <v>3388</v>
      </c>
      <c r="E2762" t="s">
        <v>95</v>
      </c>
      <c r="F2762" t="s">
        <v>114</v>
      </c>
      <c r="G2762" t="s">
        <v>4684</v>
      </c>
      <c r="H2762" s="7">
        <v>79109</v>
      </c>
    </row>
    <row r="2763" spans="1:8" x14ac:dyDescent="0.3">
      <c r="A2763">
        <v>13184</v>
      </c>
      <c r="B2763" t="s">
        <v>111</v>
      </c>
      <c r="C2763" t="s">
        <v>1837</v>
      </c>
      <c r="D2763" t="s">
        <v>4065</v>
      </c>
      <c r="E2763" t="s">
        <v>8</v>
      </c>
      <c r="F2763" t="s">
        <v>114</v>
      </c>
      <c r="G2763" t="s">
        <v>5465</v>
      </c>
      <c r="H2763" s="7">
        <v>78840</v>
      </c>
    </row>
    <row r="2764" spans="1:8" x14ac:dyDescent="0.3">
      <c r="A2764">
        <v>13195</v>
      </c>
      <c r="B2764" t="s">
        <v>1978</v>
      </c>
      <c r="C2764" t="s">
        <v>1905</v>
      </c>
      <c r="D2764" t="s">
        <v>2231</v>
      </c>
      <c r="E2764" t="s">
        <v>8</v>
      </c>
      <c r="F2764" t="s">
        <v>1979</v>
      </c>
      <c r="G2764" t="s">
        <v>5643</v>
      </c>
      <c r="H2764" s="7">
        <v>73505</v>
      </c>
    </row>
    <row r="2765" spans="1:8" x14ac:dyDescent="0.3">
      <c r="A2765">
        <v>13203</v>
      </c>
      <c r="B2765" t="s">
        <v>5</v>
      </c>
      <c r="C2765" t="s">
        <v>3674</v>
      </c>
      <c r="D2765" t="s">
        <v>3224</v>
      </c>
      <c r="E2765" t="s">
        <v>27</v>
      </c>
      <c r="F2765" t="s">
        <v>9</v>
      </c>
      <c r="G2765" t="s">
        <v>5144</v>
      </c>
      <c r="H2765" s="7">
        <v>725</v>
      </c>
    </row>
    <row r="2766" spans="1:8" x14ac:dyDescent="0.3">
      <c r="A2766">
        <v>13234</v>
      </c>
      <c r="B2766" t="s">
        <v>821</v>
      </c>
      <c r="C2766" t="s">
        <v>4380</v>
      </c>
      <c r="D2766" t="s">
        <v>2690</v>
      </c>
      <c r="E2766" t="s">
        <v>8</v>
      </c>
      <c r="F2766" t="s">
        <v>190</v>
      </c>
      <c r="G2766" t="s">
        <v>5466</v>
      </c>
      <c r="H2766" s="7">
        <v>85225</v>
      </c>
    </row>
    <row r="2767" spans="1:8" x14ac:dyDescent="0.3">
      <c r="A2767">
        <v>13236</v>
      </c>
      <c r="B2767" t="s">
        <v>5</v>
      </c>
      <c r="C2767" t="s">
        <v>2014</v>
      </c>
      <c r="D2767" t="s">
        <v>2407</v>
      </c>
      <c r="E2767" t="s">
        <v>95</v>
      </c>
      <c r="F2767" t="s">
        <v>9</v>
      </c>
      <c r="G2767" t="s">
        <v>3527</v>
      </c>
      <c r="H2767" s="7">
        <v>725</v>
      </c>
    </row>
    <row r="2768" spans="1:8" x14ac:dyDescent="0.3">
      <c r="A2768">
        <v>13238</v>
      </c>
      <c r="B2768" t="s">
        <v>5</v>
      </c>
      <c r="C2768" t="s">
        <v>1691</v>
      </c>
      <c r="D2768" t="s">
        <v>132</v>
      </c>
      <c r="E2768" t="s">
        <v>95</v>
      </c>
      <c r="F2768" t="s">
        <v>9</v>
      </c>
      <c r="G2768" t="s">
        <v>4241</v>
      </c>
      <c r="H2768" s="7">
        <v>725</v>
      </c>
    </row>
    <row r="2769" spans="1:8" x14ac:dyDescent="0.3">
      <c r="A2769">
        <v>13245</v>
      </c>
      <c r="B2769" t="s">
        <v>5</v>
      </c>
      <c r="C2769" t="s">
        <v>1369</v>
      </c>
      <c r="D2769" t="s">
        <v>1156</v>
      </c>
      <c r="E2769" t="s">
        <v>27</v>
      </c>
      <c r="F2769" t="s">
        <v>9</v>
      </c>
      <c r="G2769" t="s">
        <v>5653</v>
      </c>
      <c r="H2769" s="7">
        <v>725</v>
      </c>
    </row>
    <row r="2770" spans="1:8" x14ac:dyDescent="0.3">
      <c r="A2770">
        <v>13248</v>
      </c>
      <c r="B2770" t="s">
        <v>142</v>
      </c>
      <c r="C2770" t="s">
        <v>3120</v>
      </c>
      <c r="D2770" t="s">
        <v>1785</v>
      </c>
      <c r="E2770" t="s">
        <v>8</v>
      </c>
      <c r="F2770" t="s">
        <v>88</v>
      </c>
      <c r="G2770" t="s">
        <v>4989</v>
      </c>
      <c r="H2770" s="7">
        <v>10462</v>
      </c>
    </row>
    <row r="2771" spans="1:8" x14ac:dyDescent="0.3">
      <c r="A2771">
        <v>13250</v>
      </c>
      <c r="B2771" t="s">
        <v>254</v>
      </c>
      <c r="C2771" t="s">
        <v>3209</v>
      </c>
      <c r="D2771" t="s">
        <v>3239</v>
      </c>
      <c r="E2771" t="s">
        <v>27</v>
      </c>
      <c r="F2771" t="s">
        <v>55</v>
      </c>
      <c r="G2771" t="s">
        <v>5270</v>
      </c>
      <c r="H2771" s="7">
        <v>60621</v>
      </c>
    </row>
    <row r="2772" spans="1:8" x14ac:dyDescent="0.3">
      <c r="A2772">
        <v>13258</v>
      </c>
      <c r="B2772" t="s">
        <v>1203</v>
      </c>
      <c r="C2772" t="s">
        <v>653</v>
      </c>
      <c r="D2772" t="s">
        <v>2186</v>
      </c>
      <c r="E2772" t="s">
        <v>27</v>
      </c>
      <c r="F2772" t="s">
        <v>21</v>
      </c>
      <c r="G2772" t="s">
        <v>5210</v>
      </c>
      <c r="H2772" s="7">
        <v>91748</v>
      </c>
    </row>
    <row r="2773" spans="1:8" x14ac:dyDescent="0.3">
      <c r="A2773">
        <v>13262</v>
      </c>
      <c r="B2773" t="s">
        <v>5</v>
      </c>
      <c r="C2773" t="s">
        <v>967</v>
      </c>
      <c r="D2773" t="s">
        <v>819</v>
      </c>
      <c r="E2773" t="s">
        <v>27</v>
      </c>
      <c r="F2773" t="s">
        <v>9</v>
      </c>
      <c r="G2773" t="s">
        <v>5652</v>
      </c>
      <c r="H2773" s="7">
        <v>725</v>
      </c>
    </row>
    <row r="2774" spans="1:8" x14ac:dyDescent="0.3">
      <c r="A2774">
        <v>13272</v>
      </c>
      <c r="B2774" t="s">
        <v>1950</v>
      </c>
      <c r="C2774" t="s">
        <v>339</v>
      </c>
      <c r="D2774" t="s">
        <v>1827</v>
      </c>
      <c r="E2774" t="s">
        <v>95</v>
      </c>
      <c r="F2774" t="s">
        <v>381</v>
      </c>
      <c r="G2774" t="s">
        <v>3715</v>
      </c>
      <c r="H2774" s="7">
        <v>48126</v>
      </c>
    </row>
    <row r="2775" spans="1:8" x14ac:dyDescent="0.3">
      <c r="A2775">
        <v>13280</v>
      </c>
      <c r="B2775" t="s">
        <v>862</v>
      </c>
      <c r="C2775" t="s">
        <v>3062</v>
      </c>
      <c r="D2775" t="s">
        <v>1544</v>
      </c>
      <c r="E2775" t="s">
        <v>27</v>
      </c>
      <c r="F2775" t="s">
        <v>478</v>
      </c>
      <c r="G2775" t="s">
        <v>5647</v>
      </c>
      <c r="H2775" s="7">
        <v>89101</v>
      </c>
    </row>
    <row r="2776" spans="1:8" x14ac:dyDescent="0.3">
      <c r="A2776">
        <v>13298</v>
      </c>
      <c r="B2776" t="s">
        <v>440</v>
      </c>
      <c r="C2776" t="s">
        <v>1140</v>
      </c>
      <c r="D2776" t="s">
        <v>4203</v>
      </c>
      <c r="E2776" t="s">
        <v>8</v>
      </c>
      <c r="F2776" t="s">
        <v>114</v>
      </c>
      <c r="G2776" t="s">
        <v>5637</v>
      </c>
      <c r="H2776" s="7">
        <v>78223</v>
      </c>
    </row>
    <row r="2777" spans="1:8" x14ac:dyDescent="0.3">
      <c r="A2777">
        <v>13308</v>
      </c>
      <c r="B2777" t="s">
        <v>5</v>
      </c>
      <c r="C2777" t="s">
        <v>5085</v>
      </c>
      <c r="D2777" t="s">
        <v>390</v>
      </c>
      <c r="E2777" t="s">
        <v>8</v>
      </c>
      <c r="F2777" t="s">
        <v>9</v>
      </c>
      <c r="G2777" t="s">
        <v>3911</v>
      </c>
      <c r="H2777" s="7">
        <v>725</v>
      </c>
    </row>
    <row r="2778" spans="1:8" x14ac:dyDescent="0.3">
      <c r="A2778">
        <v>13312</v>
      </c>
      <c r="B2778" t="s">
        <v>723</v>
      </c>
      <c r="C2778" t="s">
        <v>684</v>
      </c>
      <c r="D2778" t="s">
        <v>468</v>
      </c>
      <c r="E2778" t="s">
        <v>8</v>
      </c>
      <c r="F2778" t="s">
        <v>729</v>
      </c>
      <c r="G2778" t="s">
        <v>5468</v>
      </c>
      <c r="H2778" s="7">
        <v>80012</v>
      </c>
    </row>
    <row r="2779" spans="1:8" x14ac:dyDescent="0.3">
      <c r="A2779">
        <v>13317</v>
      </c>
      <c r="B2779" t="s">
        <v>3008</v>
      </c>
      <c r="C2779" t="s">
        <v>3042</v>
      </c>
      <c r="D2779" t="s">
        <v>4155</v>
      </c>
      <c r="E2779" t="s">
        <v>27</v>
      </c>
      <c r="F2779" t="s">
        <v>158</v>
      </c>
      <c r="G2779" t="s">
        <v>1737</v>
      </c>
      <c r="H2779" s="7">
        <v>38118</v>
      </c>
    </row>
    <row r="2780" spans="1:8" x14ac:dyDescent="0.3">
      <c r="A2780">
        <v>13325</v>
      </c>
      <c r="B2780" t="s">
        <v>4459</v>
      </c>
      <c r="C2780" t="s">
        <v>1045</v>
      </c>
      <c r="D2780" t="s">
        <v>644</v>
      </c>
      <c r="E2780" t="s">
        <v>8</v>
      </c>
      <c r="F2780" t="s">
        <v>21</v>
      </c>
      <c r="G2780" t="s">
        <v>5636</v>
      </c>
      <c r="H2780" s="7">
        <v>92069</v>
      </c>
    </row>
    <row r="2781" spans="1:8" x14ac:dyDescent="0.3">
      <c r="A2781">
        <v>13334</v>
      </c>
      <c r="B2781" t="s">
        <v>1092</v>
      </c>
      <c r="C2781" t="s">
        <v>318</v>
      </c>
      <c r="D2781" t="s">
        <v>1204</v>
      </c>
      <c r="E2781" t="s">
        <v>8</v>
      </c>
      <c r="F2781" t="s">
        <v>448</v>
      </c>
      <c r="G2781" t="s">
        <v>4704</v>
      </c>
      <c r="H2781" s="7">
        <v>33624</v>
      </c>
    </row>
    <row r="2782" spans="1:8" x14ac:dyDescent="0.3">
      <c r="A2782">
        <v>13350</v>
      </c>
      <c r="B2782" t="s">
        <v>142</v>
      </c>
      <c r="C2782" t="s">
        <v>3480</v>
      </c>
      <c r="D2782" t="s">
        <v>3154</v>
      </c>
      <c r="E2782" t="s">
        <v>27</v>
      </c>
      <c r="F2782" t="s">
        <v>88</v>
      </c>
      <c r="G2782" t="s">
        <v>4673</v>
      </c>
      <c r="H2782" s="7">
        <v>10458</v>
      </c>
    </row>
    <row r="2783" spans="1:8" x14ac:dyDescent="0.3">
      <c r="A2783">
        <v>13363</v>
      </c>
      <c r="B2783" t="s">
        <v>5</v>
      </c>
      <c r="C2783" t="s">
        <v>1244</v>
      </c>
      <c r="D2783" t="s">
        <v>2403</v>
      </c>
      <c r="E2783" t="s">
        <v>8</v>
      </c>
      <c r="F2783" t="s">
        <v>9</v>
      </c>
      <c r="G2783" t="s">
        <v>3901</v>
      </c>
      <c r="H2783" s="7">
        <v>725</v>
      </c>
    </row>
    <row r="2784" spans="1:8" x14ac:dyDescent="0.3">
      <c r="A2784">
        <v>13373</v>
      </c>
      <c r="B2784" t="s">
        <v>5</v>
      </c>
      <c r="C2784" t="s">
        <v>2582</v>
      </c>
      <c r="D2784" t="s">
        <v>3799</v>
      </c>
      <c r="E2784" t="s">
        <v>8</v>
      </c>
      <c r="F2784" t="s">
        <v>9</v>
      </c>
      <c r="G2784" t="s">
        <v>4721</v>
      </c>
      <c r="H2784" s="7">
        <v>725</v>
      </c>
    </row>
    <row r="2785" spans="1:8" x14ac:dyDescent="0.3">
      <c r="A2785">
        <v>13378</v>
      </c>
      <c r="B2785" t="s">
        <v>5</v>
      </c>
      <c r="C2785" t="s">
        <v>2133</v>
      </c>
      <c r="D2785" t="s">
        <v>4893</v>
      </c>
      <c r="E2785" t="s">
        <v>8</v>
      </c>
      <c r="F2785" t="s">
        <v>9</v>
      </c>
      <c r="G2785" t="s">
        <v>5067</v>
      </c>
      <c r="H2785" s="7">
        <v>725</v>
      </c>
    </row>
    <row r="2786" spans="1:8" x14ac:dyDescent="0.3">
      <c r="A2786">
        <v>13395</v>
      </c>
      <c r="B2786" t="s">
        <v>1293</v>
      </c>
      <c r="C2786" t="s">
        <v>2271</v>
      </c>
      <c r="D2786" t="s">
        <v>3768</v>
      </c>
      <c r="E2786" t="s">
        <v>8</v>
      </c>
      <c r="F2786" t="s">
        <v>190</v>
      </c>
      <c r="G2786" t="s">
        <v>4188</v>
      </c>
      <c r="H2786" s="7">
        <v>85283</v>
      </c>
    </row>
    <row r="2787" spans="1:8" x14ac:dyDescent="0.3">
      <c r="A2787">
        <v>13396</v>
      </c>
      <c r="B2787" t="s">
        <v>4075</v>
      </c>
      <c r="C2787" t="s">
        <v>2194</v>
      </c>
      <c r="D2787" t="s">
        <v>4309</v>
      </c>
      <c r="E2787" t="s">
        <v>8</v>
      </c>
      <c r="F2787" t="s">
        <v>36</v>
      </c>
      <c r="G2787" t="s">
        <v>5467</v>
      </c>
      <c r="H2787" s="7">
        <v>2740</v>
      </c>
    </row>
    <row r="2788" spans="1:8" x14ac:dyDescent="0.3">
      <c r="A2788">
        <v>13399</v>
      </c>
      <c r="B2788" t="s">
        <v>2744</v>
      </c>
      <c r="C2788" t="s">
        <v>1121</v>
      </c>
      <c r="D2788" t="s">
        <v>3934</v>
      </c>
      <c r="E2788" t="s">
        <v>8</v>
      </c>
      <c r="F2788" t="s">
        <v>308</v>
      </c>
      <c r="G2788" t="s">
        <v>5635</v>
      </c>
      <c r="H2788" s="7">
        <v>8753</v>
      </c>
    </row>
    <row r="2789" spans="1:8" x14ac:dyDescent="0.3">
      <c r="A2789">
        <v>13404</v>
      </c>
      <c r="B2789" t="s">
        <v>2170</v>
      </c>
      <c r="C2789" t="s">
        <v>2936</v>
      </c>
      <c r="D2789" t="s">
        <v>1933</v>
      </c>
      <c r="E2789" t="s">
        <v>8</v>
      </c>
      <c r="F2789" t="s">
        <v>248</v>
      </c>
      <c r="G2789" t="s">
        <v>5638</v>
      </c>
      <c r="H2789" s="7">
        <v>44130</v>
      </c>
    </row>
    <row r="2790" spans="1:8" x14ac:dyDescent="0.3">
      <c r="A2790">
        <v>13422</v>
      </c>
      <c r="B2790" t="s">
        <v>5</v>
      </c>
      <c r="C2790" t="s">
        <v>938</v>
      </c>
      <c r="D2790" t="s">
        <v>3532</v>
      </c>
      <c r="E2790" t="s">
        <v>8</v>
      </c>
      <c r="F2790" t="s">
        <v>9</v>
      </c>
      <c r="G2790" t="s">
        <v>5072</v>
      </c>
      <c r="H2790" s="7">
        <v>725</v>
      </c>
    </row>
    <row r="2791" spans="1:8" x14ac:dyDescent="0.3">
      <c r="A2791">
        <v>13428</v>
      </c>
      <c r="B2791" t="s">
        <v>368</v>
      </c>
      <c r="C2791" t="s">
        <v>5085</v>
      </c>
      <c r="D2791" t="s">
        <v>1264</v>
      </c>
      <c r="E2791" t="s">
        <v>8</v>
      </c>
      <c r="F2791" t="s">
        <v>88</v>
      </c>
      <c r="G2791" t="s">
        <v>4293</v>
      </c>
      <c r="H2791" s="7">
        <v>10016</v>
      </c>
    </row>
    <row r="2792" spans="1:8" x14ac:dyDescent="0.3">
      <c r="A2792">
        <v>13429</v>
      </c>
      <c r="B2792" t="s">
        <v>840</v>
      </c>
      <c r="C2792" t="s">
        <v>1395</v>
      </c>
      <c r="D2792" t="s">
        <v>1510</v>
      </c>
      <c r="E2792" t="s">
        <v>8</v>
      </c>
      <c r="F2792" t="s">
        <v>248</v>
      </c>
      <c r="G2792" t="s">
        <v>4102</v>
      </c>
      <c r="H2792" s="7">
        <v>45014</v>
      </c>
    </row>
    <row r="2793" spans="1:8" x14ac:dyDescent="0.3">
      <c r="A2793">
        <v>13433</v>
      </c>
      <c r="B2793" t="s">
        <v>5</v>
      </c>
      <c r="C2793" t="s">
        <v>1144</v>
      </c>
      <c r="D2793" t="s">
        <v>3628</v>
      </c>
      <c r="E2793" t="s">
        <v>8</v>
      </c>
      <c r="F2793" t="s">
        <v>9</v>
      </c>
      <c r="G2793" t="s">
        <v>5261</v>
      </c>
      <c r="H2793" s="7">
        <v>725</v>
      </c>
    </row>
    <row r="2794" spans="1:8" x14ac:dyDescent="0.3">
      <c r="A2794">
        <v>13434</v>
      </c>
      <c r="B2794" t="s">
        <v>789</v>
      </c>
      <c r="C2794" t="s">
        <v>2837</v>
      </c>
      <c r="D2794" t="s">
        <v>773</v>
      </c>
      <c r="E2794" t="s">
        <v>95</v>
      </c>
      <c r="F2794" t="s">
        <v>21</v>
      </c>
      <c r="G2794" t="s">
        <v>4997</v>
      </c>
      <c r="H2794" s="7">
        <v>92805</v>
      </c>
    </row>
    <row r="2795" spans="1:8" x14ac:dyDescent="0.3">
      <c r="A2795">
        <v>13438</v>
      </c>
      <c r="B2795" t="s">
        <v>277</v>
      </c>
      <c r="C2795" t="s">
        <v>912</v>
      </c>
      <c r="D2795" t="s">
        <v>1992</v>
      </c>
      <c r="E2795" t="s">
        <v>27</v>
      </c>
      <c r="F2795" t="s">
        <v>21</v>
      </c>
      <c r="G2795" t="s">
        <v>5543</v>
      </c>
      <c r="H2795" s="7">
        <v>95035</v>
      </c>
    </row>
    <row r="2796" spans="1:8" x14ac:dyDescent="0.3">
      <c r="A2796">
        <v>13443</v>
      </c>
      <c r="B2796" t="s">
        <v>5</v>
      </c>
      <c r="C2796" t="s">
        <v>4029</v>
      </c>
      <c r="D2796" t="s">
        <v>1746</v>
      </c>
      <c r="E2796" t="s">
        <v>27</v>
      </c>
      <c r="F2796" t="s">
        <v>9</v>
      </c>
      <c r="G2796" t="s">
        <v>4337</v>
      </c>
      <c r="H2796" s="7">
        <v>725</v>
      </c>
    </row>
    <row r="2797" spans="1:8" x14ac:dyDescent="0.3">
      <c r="A2797">
        <v>13450</v>
      </c>
      <c r="B2797" t="s">
        <v>2543</v>
      </c>
      <c r="C2797" t="s">
        <v>1842</v>
      </c>
      <c r="D2797" t="s">
        <v>127</v>
      </c>
      <c r="E2797" t="s">
        <v>8</v>
      </c>
      <c r="F2797" t="s">
        <v>88</v>
      </c>
      <c r="G2797" t="s">
        <v>2546</v>
      </c>
      <c r="H2797" s="7">
        <v>11435</v>
      </c>
    </row>
    <row r="2798" spans="1:8" x14ac:dyDescent="0.3">
      <c r="A2798">
        <v>13452</v>
      </c>
      <c r="B2798" t="s">
        <v>5</v>
      </c>
      <c r="C2798" t="s">
        <v>1409</v>
      </c>
      <c r="D2798" t="s">
        <v>955</v>
      </c>
      <c r="E2798" t="s">
        <v>8</v>
      </c>
      <c r="F2798" t="s">
        <v>9</v>
      </c>
      <c r="G2798" t="s">
        <v>5342</v>
      </c>
      <c r="H2798" s="7">
        <v>725</v>
      </c>
    </row>
    <row r="2799" spans="1:8" x14ac:dyDescent="0.3">
      <c r="A2799">
        <v>13470</v>
      </c>
      <c r="B2799" t="s">
        <v>4787</v>
      </c>
      <c r="C2799" t="s">
        <v>1502</v>
      </c>
      <c r="D2799" t="s">
        <v>360</v>
      </c>
      <c r="E2799" t="s">
        <v>8</v>
      </c>
      <c r="F2799" t="s">
        <v>21</v>
      </c>
      <c r="G2799" t="s">
        <v>1843</v>
      </c>
      <c r="H2799" s="7">
        <v>95340</v>
      </c>
    </row>
    <row r="2800" spans="1:8" x14ac:dyDescent="0.3">
      <c r="A2800">
        <v>13483</v>
      </c>
      <c r="B2800" t="s">
        <v>5</v>
      </c>
      <c r="C2800" t="s">
        <v>3492</v>
      </c>
      <c r="D2800" t="s">
        <v>3929</v>
      </c>
      <c r="E2800" t="s">
        <v>8</v>
      </c>
      <c r="F2800" t="s">
        <v>9</v>
      </c>
      <c r="G2800" t="s">
        <v>5277</v>
      </c>
      <c r="H2800" s="7">
        <v>725</v>
      </c>
    </row>
    <row r="2801" spans="1:8" x14ac:dyDescent="0.3">
      <c r="A2801">
        <v>13485</v>
      </c>
      <c r="B2801" t="s">
        <v>733</v>
      </c>
      <c r="C2801" t="s">
        <v>1659</v>
      </c>
      <c r="D2801" t="s">
        <v>2767</v>
      </c>
      <c r="E2801" t="s">
        <v>8</v>
      </c>
      <c r="F2801" t="s">
        <v>735</v>
      </c>
      <c r="G2801" t="s">
        <v>3631</v>
      </c>
      <c r="H2801" s="7">
        <v>20009</v>
      </c>
    </row>
    <row r="2802" spans="1:8" x14ac:dyDescent="0.3">
      <c r="A2802">
        <v>13490</v>
      </c>
      <c r="B2802" t="s">
        <v>254</v>
      </c>
      <c r="C2802" t="s">
        <v>1427</v>
      </c>
      <c r="D2802" t="s">
        <v>3084</v>
      </c>
      <c r="E2802" t="s">
        <v>8</v>
      </c>
      <c r="F2802" t="s">
        <v>55</v>
      </c>
      <c r="G2802" t="s">
        <v>2694</v>
      </c>
      <c r="H2802" s="7">
        <v>60630</v>
      </c>
    </row>
    <row r="2803" spans="1:8" x14ac:dyDescent="0.3">
      <c r="A2803">
        <v>13513</v>
      </c>
      <c r="B2803" t="s">
        <v>5</v>
      </c>
      <c r="C2803" t="s">
        <v>4181</v>
      </c>
      <c r="D2803" t="s">
        <v>3708</v>
      </c>
      <c r="E2803" t="s">
        <v>8</v>
      </c>
      <c r="F2803" t="s">
        <v>9</v>
      </c>
      <c r="G2803" t="s">
        <v>4759</v>
      </c>
      <c r="H2803" s="7">
        <v>725</v>
      </c>
    </row>
    <row r="2804" spans="1:8" x14ac:dyDescent="0.3">
      <c r="A2804">
        <v>13523</v>
      </c>
      <c r="B2804" t="s">
        <v>1213</v>
      </c>
      <c r="C2804" t="s">
        <v>3020</v>
      </c>
      <c r="D2804" t="s">
        <v>842</v>
      </c>
      <c r="E2804" t="s">
        <v>8</v>
      </c>
      <c r="F2804" t="s">
        <v>114</v>
      </c>
      <c r="G2804" t="s">
        <v>1828</v>
      </c>
      <c r="H2804" s="7">
        <v>75080</v>
      </c>
    </row>
    <row r="2805" spans="1:8" x14ac:dyDescent="0.3">
      <c r="A2805">
        <v>13525</v>
      </c>
      <c r="B2805" t="s">
        <v>461</v>
      </c>
      <c r="C2805" t="s">
        <v>1446</v>
      </c>
      <c r="D2805" t="s">
        <v>2838</v>
      </c>
      <c r="E2805" t="s">
        <v>27</v>
      </c>
      <c r="F2805" t="s">
        <v>341</v>
      </c>
      <c r="G2805" t="s">
        <v>3476</v>
      </c>
      <c r="H2805" s="7">
        <v>27606</v>
      </c>
    </row>
    <row r="2806" spans="1:8" x14ac:dyDescent="0.3">
      <c r="A2806">
        <v>13549</v>
      </c>
      <c r="B2806" t="s">
        <v>5</v>
      </c>
      <c r="C2806" t="s">
        <v>1893</v>
      </c>
      <c r="D2806" t="s">
        <v>4193</v>
      </c>
      <c r="E2806" t="s">
        <v>8</v>
      </c>
      <c r="F2806" t="s">
        <v>9</v>
      </c>
      <c r="G2806" t="s">
        <v>4294</v>
      </c>
      <c r="H2806" s="7">
        <v>725</v>
      </c>
    </row>
    <row r="2807" spans="1:8" x14ac:dyDescent="0.3">
      <c r="A2807">
        <v>13552</v>
      </c>
      <c r="B2807" t="s">
        <v>1158</v>
      </c>
      <c r="C2807" t="s">
        <v>4399</v>
      </c>
      <c r="D2807" t="s">
        <v>3942</v>
      </c>
      <c r="E2807" t="s">
        <v>8</v>
      </c>
      <c r="F2807" t="s">
        <v>381</v>
      </c>
      <c r="G2807" t="s">
        <v>3675</v>
      </c>
      <c r="H2807" s="7">
        <v>48093</v>
      </c>
    </row>
    <row r="2808" spans="1:8" x14ac:dyDescent="0.3">
      <c r="A2808">
        <v>13562</v>
      </c>
      <c r="B2808" t="s">
        <v>368</v>
      </c>
      <c r="C2808" t="s">
        <v>5176</v>
      </c>
      <c r="D2808" t="s">
        <v>451</v>
      </c>
      <c r="E2808" t="s">
        <v>27</v>
      </c>
      <c r="F2808" t="s">
        <v>88</v>
      </c>
      <c r="G2808" t="s">
        <v>4121</v>
      </c>
      <c r="H2808" s="7">
        <v>10002</v>
      </c>
    </row>
    <row r="2809" spans="1:8" x14ac:dyDescent="0.3">
      <c r="A2809">
        <v>13564</v>
      </c>
      <c r="B2809" t="s">
        <v>5</v>
      </c>
      <c r="C2809" t="s">
        <v>842</v>
      </c>
      <c r="D2809" t="s">
        <v>2183</v>
      </c>
      <c r="E2809" t="s">
        <v>8</v>
      </c>
      <c r="F2809" t="s">
        <v>9</v>
      </c>
      <c r="G2809" t="s">
        <v>2046</v>
      </c>
      <c r="H2809" s="7">
        <v>725</v>
      </c>
    </row>
    <row r="2810" spans="1:8" x14ac:dyDescent="0.3">
      <c r="A2810">
        <v>13575</v>
      </c>
      <c r="B2810" t="s">
        <v>5</v>
      </c>
      <c r="C2810" t="s">
        <v>1048</v>
      </c>
      <c r="D2810" t="s">
        <v>567</v>
      </c>
      <c r="E2810" t="s">
        <v>27</v>
      </c>
      <c r="F2810" t="s">
        <v>9</v>
      </c>
      <c r="G2810" t="s">
        <v>2037</v>
      </c>
      <c r="H2810" s="7">
        <v>725</v>
      </c>
    </row>
    <row r="2811" spans="1:8" x14ac:dyDescent="0.3">
      <c r="A2811">
        <v>13580</v>
      </c>
      <c r="B2811" t="s">
        <v>495</v>
      </c>
      <c r="C2811" t="s">
        <v>2529</v>
      </c>
      <c r="D2811" t="s">
        <v>1284</v>
      </c>
      <c r="E2811" t="s">
        <v>8</v>
      </c>
      <c r="F2811" t="s">
        <v>88</v>
      </c>
      <c r="G2811" t="s">
        <v>4159</v>
      </c>
      <c r="H2811" s="7">
        <v>11203</v>
      </c>
    </row>
    <row r="2812" spans="1:8" x14ac:dyDescent="0.3">
      <c r="A2812">
        <v>13590</v>
      </c>
      <c r="B2812" t="s">
        <v>5</v>
      </c>
      <c r="C2812" t="s">
        <v>1513</v>
      </c>
      <c r="D2812" t="s">
        <v>2857</v>
      </c>
      <c r="E2812" t="s">
        <v>95</v>
      </c>
      <c r="F2812" t="s">
        <v>9</v>
      </c>
      <c r="G2812" t="s">
        <v>560</v>
      </c>
      <c r="H2812" s="7">
        <v>725</v>
      </c>
    </row>
    <row r="2813" spans="1:8" x14ac:dyDescent="0.3">
      <c r="A2813">
        <v>13593</v>
      </c>
      <c r="B2813" t="s">
        <v>1571</v>
      </c>
      <c r="C2813" t="s">
        <v>1532</v>
      </c>
      <c r="D2813" t="s">
        <v>1719</v>
      </c>
      <c r="E2813" t="s">
        <v>8</v>
      </c>
      <c r="F2813" t="s">
        <v>248</v>
      </c>
      <c r="G2813" t="s">
        <v>1945</v>
      </c>
      <c r="H2813" s="7">
        <v>43026</v>
      </c>
    </row>
    <row r="2814" spans="1:8" x14ac:dyDescent="0.3">
      <c r="A2814">
        <v>13613</v>
      </c>
      <c r="B2814" t="s">
        <v>3938</v>
      </c>
      <c r="C2814" t="s">
        <v>1659</v>
      </c>
      <c r="D2814" t="s">
        <v>816</v>
      </c>
      <c r="E2814" t="s">
        <v>8</v>
      </c>
      <c r="F2814" t="s">
        <v>88</v>
      </c>
      <c r="G2814" t="s">
        <v>4511</v>
      </c>
      <c r="H2814" s="7">
        <v>11691</v>
      </c>
    </row>
    <row r="2815" spans="1:8" x14ac:dyDescent="0.3">
      <c r="A2815">
        <v>13626</v>
      </c>
      <c r="B2815" t="s">
        <v>5</v>
      </c>
      <c r="C2815" t="s">
        <v>4202</v>
      </c>
      <c r="D2815" t="s">
        <v>1416</v>
      </c>
      <c r="E2815" t="s">
        <v>27</v>
      </c>
      <c r="F2815" t="s">
        <v>9</v>
      </c>
      <c r="G2815" t="s">
        <v>5473</v>
      </c>
      <c r="H2815" s="7">
        <v>725</v>
      </c>
    </row>
    <row r="2816" spans="1:8" x14ac:dyDescent="0.3">
      <c r="A2816">
        <v>13644</v>
      </c>
      <c r="B2816" t="s">
        <v>5</v>
      </c>
      <c r="C2816" t="s">
        <v>696</v>
      </c>
      <c r="D2816" t="s">
        <v>2054</v>
      </c>
      <c r="E2816" t="s">
        <v>27</v>
      </c>
      <c r="F2816" t="s">
        <v>9</v>
      </c>
      <c r="G2816" t="s">
        <v>5373</v>
      </c>
      <c r="H2816" s="7">
        <v>725</v>
      </c>
    </row>
    <row r="2817" spans="1:8" x14ac:dyDescent="0.3">
      <c r="A2817">
        <v>13645</v>
      </c>
      <c r="B2817" t="s">
        <v>4459</v>
      </c>
      <c r="C2817" t="s">
        <v>3062</v>
      </c>
      <c r="D2817" t="s">
        <v>3040</v>
      </c>
      <c r="E2817" t="s">
        <v>27</v>
      </c>
      <c r="F2817" t="s">
        <v>114</v>
      </c>
      <c r="G2817" t="s">
        <v>4746</v>
      </c>
      <c r="H2817" s="7">
        <v>78666</v>
      </c>
    </row>
    <row r="2818" spans="1:8" x14ac:dyDescent="0.3">
      <c r="A2818">
        <v>13659</v>
      </c>
      <c r="B2818" t="s">
        <v>142</v>
      </c>
      <c r="C2818" t="s">
        <v>1590</v>
      </c>
      <c r="D2818" t="s">
        <v>773</v>
      </c>
      <c r="E2818" t="s">
        <v>8</v>
      </c>
      <c r="F2818" t="s">
        <v>88</v>
      </c>
      <c r="G2818" t="s">
        <v>517</v>
      </c>
      <c r="H2818" s="7">
        <v>10469</v>
      </c>
    </row>
    <row r="2819" spans="1:8" x14ac:dyDescent="0.3">
      <c r="A2819">
        <v>13671</v>
      </c>
      <c r="B2819" t="s">
        <v>840</v>
      </c>
      <c r="C2819" t="s">
        <v>2832</v>
      </c>
      <c r="D2819" t="s">
        <v>914</v>
      </c>
      <c r="E2819" t="s">
        <v>95</v>
      </c>
      <c r="F2819" t="s">
        <v>21</v>
      </c>
      <c r="G2819" t="s">
        <v>3418</v>
      </c>
      <c r="H2819" s="7">
        <v>94533</v>
      </c>
    </row>
    <row r="2820" spans="1:8" x14ac:dyDescent="0.3">
      <c r="A2820">
        <v>13680</v>
      </c>
      <c r="B2820" t="s">
        <v>3122</v>
      </c>
      <c r="C2820" t="s">
        <v>2253</v>
      </c>
      <c r="D2820" t="s">
        <v>4705</v>
      </c>
      <c r="E2820" t="s">
        <v>27</v>
      </c>
      <c r="F2820" t="s">
        <v>1145</v>
      </c>
      <c r="G2820" t="s">
        <v>4384</v>
      </c>
      <c r="H2820" s="7">
        <v>54935</v>
      </c>
    </row>
    <row r="2821" spans="1:8" x14ac:dyDescent="0.3">
      <c r="A2821">
        <v>13685</v>
      </c>
      <c r="B2821" t="s">
        <v>440</v>
      </c>
      <c r="C2821" t="s">
        <v>1224</v>
      </c>
      <c r="D2821" t="s">
        <v>1873</v>
      </c>
      <c r="E2821" t="s">
        <v>8</v>
      </c>
      <c r="F2821" t="s">
        <v>114</v>
      </c>
      <c r="G2821" t="s">
        <v>4366</v>
      </c>
      <c r="H2821" s="7">
        <v>78207</v>
      </c>
    </row>
    <row r="2822" spans="1:8" x14ac:dyDescent="0.3">
      <c r="A2822">
        <v>13692</v>
      </c>
      <c r="B2822" t="s">
        <v>296</v>
      </c>
      <c r="C2822" t="s">
        <v>2574</v>
      </c>
      <c r="D2822" t="s">
        <v>2639</v>
      </c>
      <c r="E2822" t="s">
        <v>8</v>
      </c>
      <c r="F2822" t="s">
        <v>21</v>
      </c>
      <c r="G2822" t="s">
        <v>5518</v>
      </c>
      <c r="H2822" s="7">
        <v>91790</v>
      </c>
    </row>
    <row r="2823" spans="1:8" x14ac:dyDescent="0.3">
      <c r="A2823">
        <v>13693</v>
      </c>
      <c r="B2823" t="s">
        <v>5</v>
      </c>
      <c r="C2823" t="s">
        <v>43</v>
      </c>
      <c r="D2823" t="s">
        <v>4160</v>
      </c>
      <c r="E2823" t="s">
        <v>95</v>
      </c>
      <c r="F2823" t="s">
        <v>9</v>
      </c>
      <c r="G2823" t="s">
        <v>1049</v>
      </c>
      <c r="H2823" s="7">
        <v>725</v>
      </c>
    </row>
    <row r="2824" spans="1:8" x14ac:dyDescent="0.3">
      <c r="A2824">
        <v>13707</v>
      </c>
      <c r="B2824" t="s">
        <v>707</v>
      </c>
      <c r="C2824" t="s">
        <v>4214</v>
      </c>
      <c r="D2824" t="s">
        <v>3388</v>
      </c>
      <c r="E2824" t="s">
        <v>8</v>
      </c>
      <c r="F2824" t="s">
        <v>21</v>
      </c>
      <c r="G2824" t="s">
        <v>3512</v>
      </c>
      <c r="H2824" s="7">
        <v>93065</v>
      </c>
    </row>
    <row r="2825" spans="1:8" x14ac:dyDescent="0.3">
      <c r="A2825">
        <v>13713</v>
      </c>
      <c r="B2825" t="s">
        <v>2492</v>
      </c>
      <c r="C2825" t="s">
        <v>389</v>
      </c>
      <c r="D2825" t="s">
        <v>4197</v>
      </c>
      <c r="E2825" t="s">
        <v>27</v>
      </c>
      <c r="F2825" t="s">
        <v>1145</v>
      </c>
      <c r="G2825" t="s">
        <v>2493</v>
      </c>
      <c r="H2825" s="7">
        <v>53511</v>
      </c>
    </row>
    <row r="2826" spans="1:8" x14ac:dyDescent="0.3">
      <c r="A2826">
        <v>13714</v>
      </c>
      <c r="B2826" t="s">
        <v>440</v>
      </c>
      <c r="C2826" t="s">
        <v>3042</v>
      </c>
      <c r="D2826" t="s">
        <v>5224</v>
      </c>
      <c r="E2826" t="s">
        <v>95</v>
      </c>
      <c r="F2826" t="s">
        <v>114</v>
      </c>
      <c r="G2826" t="s">
        <v>4975</v>
      </c>
      <c r="H2826" s="7">
        <v>78240</v>
      </c>
    </row>
    <row r="2827" spans="1:8" x14ac:dyDescent="0.3">
      <c r="A2827">
        <v>13720</v>
      </c>
      <c r="B2827" t="s">
        <v>4146</v>
      </c>
      <c r="C2827" t="s">
        <v>4209</v>
      </c>
      <c r="D2827" t="s">
        <v>2700</v>
      </c>
      <c r="E2827" t="s">
        <v>27</v>
      </c>
      <c r="F2827" t="s">
        <v>21</v>
      </c>
      <c r="G2827" t="s">
        <v>5143</v>
      </c>
      <c r="H2827" s="7">
        <v>91709</v>
      </c>
    </row>
    <row r="2828" spans="1:8" x14ac:dyDescent="0.3">
      <c r="A2828">
        <v>13723</v>
      </c>
      <c r="B2828" t="s">
        <v>3202</v>
      </c>
      <c r="C2828" t="s">
        <v>121</v>
      </c>
      <c r="D2828" t="s">
        <v>2560</v>
      </c>
      <c r="E2828" t="s">
        <v>27</v>
      </c>
      <c r="F2828" t="s">
        <v>36</v>
      </c>
      <c r="G2828" t="s">
        <v>4342</v>
      </c>
      <c r="H2828" s="7">
        <v>1844</v>
      </c>
    </row>
    <row r="2829" spans="1:8" x14ac:dyDescent="0.3">
      <c r="A2829">
        <v>13725</v>
      </c>
      <c r="B2829" t="s">
        <v>995</v>
      </c>
      <c r="C2829" t="s">
        <v>1869</v>
      </c>
      <c r="D2829" t="s">
        <v>968</v>
      </c>
      <c r="E2829" t="s">
        <v>8</v>
      </c>
      <c r="F2829" t="s">
        <v>283</v>
      </c>
      <c r="G2829" t="s">
        <v>504</v>
      </c>
      <c r="H2829" s="7">
        <v>23454</v>
      </c>
    </row>
    <row r="2830" spans="1:8" x14ac:dyDescent="0.3">
      <c r="A2830">
        <v>13729</v>
      </c>
      <c r="B2830" t="s">
        <v>3202</v>
      </c>
      <c r="C2830" t="s">
        <v>2837</v>
      </c>
      <c r="D2830" t="s">
        <v>1677</v>
      </c>
      <c r="E2830" t="s">
        <v>8</v>
      </c>
      <c r="F2830" t="s">
        <v>36</v>
      </c>
      <c r="G2830" t="s">
        <v>4101</v>
      </c>
      <c r="H2830" s="7">
        <v>1844</v>
      </c>
    </row>
    <row r="2831" spans="1:8" x14ac:dyDescent="0.3">
      <c r="A2831">
        <v>13731</v>
      </c>
      <c r="B2831" t="s">
        <v>2099</v>
      </c>
      <c r="C2831" t="s">
        <v>385</v>
      </c>
      <c r="D2831" t="s">
        <v>2183</v>
      </c>
      <c r="E2831" t="s">
        <v>8</v>
      </c>
      <c r="F2831" t="s">
        <v>21</v>
      </c>
      <c r="G2831" t="s">
        <v>4651</v>
      </c>
      <c r="H2831" s="7">
        <v>91306</v>
      </c>
    </row>
    <row r="2832" spans="1:8" x14ac:dyDescent="0.3">
      <c r="A2832">
        <v>13738</v>
      </c>
      <c r="B2832" t="s">
        <v>5</v>
      </c>
      <c r="C2832" t="s">
        <v>4205</v>
      </c>
      <c r="D2832" t="s">
        <v>2220</v>
      </c>
      <c r="E2832" t="s">
        <v>8</v>
      </c>
      <c r="F2832" t="s">
        <v>9</v>
      </c>
      <c r="G2832" t="s">
        <v>4354</v>
      </c>
      <c r="H2832" s="7">
        <v>725</v>
      </c>
    </row>
    <row r="2833" spans="1:8" x14ac:dyDescent="0.3">
      <c r="A2833">
        <v>13746</v>
      </c>
      <c r="B2833" t="s">
        <v>748</v>
      </c>
      <c r="C2833" t="s">
        <v>318</v>
      </c>
      <c r="D2833" t="s">
        <v>1340</v>
      </c>
      <c r="E2833" t="s">
        <v>8</v>
      </c>
      <c r="F2833" t="s">
        <v>749</v>
      </c>
      <c r="G2833" t="s">
        <v>4942</v>
      </c>
      <c r="H2833" s="7">
        <v>46227</v>
      </c>
    </row>
    <row r="2834" spans="1:8" x14ac:dyDescent="0.3">
      <c r="A2834">
        <v>13752</v>
      </c>
      <c r="B2834" t="s">
        <v>699</v>
      </c>
      <c r="C2834" t="s">
        <v>2946</v>
      </c>
      <c r="D2834" t="s">
        <v>3863</v>
      </c>
      <c r="E2834" t="s">
        <v>8</v>
      </c>
      <c r="F2834" t="s">
        <v>114</v>
      </c>
      <c r="G2834" t="s">
        <v>5125</v>
      </c>
      <c r="H2834" s="7">
        <v>77084</v>
      </c>
    </row>
    <row r="2835" spans="1:8" x14ac:dyDescent="0.3">
      <c r="A2835">
        <v>13754</v>
      </c>
      <c r="B2835" t="s">
        <v>3488</v>
      </c>
      <c r="C2835" t="s">
        <v>4200</v>
      </c>
      <c r="D2835" t="s">
        <v>2650</v>
      </c>
      <c r="E2835" t="s">
        <v>8</v>
      </c>
      <c r="F2835" t="s">
        <v>308</v>
      </c>
      <c r="G2835" t="s">
        <v>5614</v>
      </c>
      <c r="H2835" s="7">
        <v>8861</v>
      </c>
    </row>
    <row r="2836" spans="1:8" x14ac:dyDescent="0.3">
      <c r="A2836">
        <v>13764</v>
      </c>
      <c r="B2836" t="s">
        <v>719</v>
      </c>
      <c r="C2836" t="s">
        <v>2527</v>
      </c>
      <c r="D2836" t="s">
        <v>3665</v>
      </c>
      <c r="E2836" t="s">
        <v>27</v>
      </c>
      <c r="F2836" t="s">
        <v>308</v>
      </c>
      <c r="G2836" t="s">
        <v>2204</v>
      </c>
      <c r="H2836" s="7">
        <v>7470</v>
      </c>
    </row>
    <row r="2837" spans="1:8" x14ac:dyDescent="0.3">
      <c r="A2837">
        <v>13770</v>
      </c>
      <c r="B2837" t="s">
        <v>5</v>
      </c>
      <c r="C2837" t="s">
        <v>1801</v>
      </c>
      <c r="D2837" t="s">
        <v>1686</v>
      </c>
      <c r="E2837" t="s">
        <v>95</v>
      </c>
      <c r="F2837" t="s">
        <v>9</v>
      </c>
      <c r="G2837" t="s">
        <v>5298</v>
      </c>
      <c r="H2837" s="7">
        <v>725</v>
      </c>
    </row>
    <row r="2838" spans="1:8" x14ac:dyDescent="0.3">
      <c r="A2838">
        <v>13780</v>
      </c>
      <c r="B2838" t="s">
        <v>5</v>
      </c>
      <c r="C2838" t="s">
        <v>3530</v>
      </c>
      <c r="D2838" t="s">
        <v>2048</v>
      </c>
      <c r="E2838" t="s">
        <v>27</v>
      </c>
      <c r="F2838" t="s">
        <v>9</v>
      </c>
      <c r="G2838" t="s">
        <v>5382</v>
      </c>
      <c r="H2838" s="7">
        <v>725</v>
      </c>
    </row>
    <row r="2839" spans="1:8" x14ac:dyDescent="0.3">
      <c r="A2839">
        <v>13791</v>
      </c>
      <c r="B2839" t="s">
        <v>5</v>
      </c>
      <c r="C2839" t="s">
        <v>5553</v>
      </c>
      <c r="D2839" t="s">
        <v>2464</v>
      </c>
      <c r="E2839" t="s">
        <v>27</v>
      </c>
      <c r="F2839" t="s">
        <v>9</v>
      </c>
      <c r="G2839" t="s">
        <v>4761</v>
      </c>
      <c r="H2839" s="7">
        <v>725</v>
      </c>
    </row>
    <row r="2840" spans="1:8" x14ac:dyDescent="0.3">
      <c r="A2840">
        <v>13804</v>
      </c>
      <c r="B2840" t="s">
        <v>1313</v>
      </c>
      <c r="C2840" t="s">
        <v>1703</v>
      </c>
      <c r="D2840" t="s">
        <v>4218</v>
      </c>
      <c r="E2840" t="s">
        <v>8</v>
      </c>
      <c r="F2840" t="s">
        <v>448</v>
      </c>
      <c r="G2840" t="s">
        <v>4809</v>
      </c>
      <c r="H2840" s="7">
        <v>33175</v>
      </c>
    </row>
    <row r="2841" spans="1:8" x14ac:dyDescent="0.3">
      <c r="A2841">
        <v>13805</v>
      </c>
      <c r="B2841" t="s">
        <v>5</v>
      </c>
      <c r="C2841" t="s">
        <v>5074</v>
      </c>
      <c r="D2841" t="s">
        <v>1951</v>
      </c>
      <c r="E2841" t="s">
        <v>8</v>
      </c>
      <c r="F2841" t="s">
        <v>9</v>
      </c>
      <c r="G2841" t="s">
        <v>4865</v>
      </c>
      <c r="H2841" s="7">
        <v>725</v>
      </c>
    </row>
    <row r="2842" spans="1:8" x14ac:dyDescent="0.3">
      <c r="A2842">
        <v>13814</v>
      </c>
      <c r="B2842" t="s">
        <v>2284</v>
      </c>
      <c r="C2842" t="s">
        <v>5170</v>
      </c>
      <c r="D2842" t="s">
        <v>4197</v>
      </c>
      <c r="E2842" t="s">
        <v>27</v>
      </c>
      <c r="F2842" t="s">
        <v>21</v>
      </c>
      <c r="G2842" t="s">
        <v>4715</v>
      </c>
      <c r="H2842" s="7">
        <v>95008</v>
      </c>
    </row>
    <row r="2843" spans="1:8" x14ac:dyDescent="0.3">
      <c r="A2843">
        <v>13850</v>
      </c>
      <c r="B2843" t="s">
        <v>2738</v>
      </c>
      <c r="C2843" t="s">
        <v>2185</v>
      </c>
      <c r="D2843" t="s">
        <v>5337</v>
      </c>
      <c r="E2843" t="s">
        <v>8</v>
      </c>
      <c r="F2843" t="s">
        <v>21</v>
      </c>
      <c r="G2843" t="s">
        <v>5579</v>
      </c>
      <c r="H2843" s="7">
        <v>93033</v>
      </c>
    </row>
    <row r="2844" spans="1:8" x14ac:dyDescent="0.3">
      <c r="A2844">
        <v>13852</v>
      </c>
      <c r="B2844" t="s">
        <v>2299</v>
      </c>
      <c r="C2844" t="s">
        <v>1543</v>
      </c>
      <c r="D2844" t="s">
        <v>3929</v>
      </c>
      <c r="E2844" t="s">
        <v>8</v>
      </c>
      <c r="F2844" t="s">
        <v>140</v>
      </c>
      <c r="G2844" t="s">
        <v>5130</v>
      </c>
      <c r="H2844" s="7">
        <v>30349</v>
      </c>
    </row>
    <row r="2845" spans="1:8" x14ac:dyDescent="0.3">
      <c r="A2845">
        <v>13857</v>
      </c>
      <c r="B2845" t="s">
        <v>5</v>
      </c>
      <c r="C2845" t="s">
        <v>2417</v>
      </c>
      <c r="D2845" t="s">
        <v>1506</v>
      </c>
      <c r="E2845" t="s">
        <v>8</v>
      </c>
      <c r="F2845" t="s">
        <v>9</v>
      </c>
      <c r="G2845" t="s">
        <v>5080</v>
      </c>
      <c r="H2845" s="7">
        <v>725</v>
      </c>
    </row>
    <row r="2846" spans="1:8" x14ac:dyDescent="0.3">
      <c r="A2846">
        <v>13864</v>
      </c>
      <c r="B2846" t="s">
        <v>4413</v>
      </c>
      <c r="C2846" t="s">
        <v>3038</v>
      </c>
      <c r="D2846" t="s">
        <v>1434</v>
      </c>
      <c r="E2846" t="s">
        <v>95</v>
      </c>
      <c r="F2846" t="s">
        <v>1514</v>
      </c>
      <c r="G2846" t="s">
        <v>3729</v>
      </c>
      <c r="H2846" s="7">
        <v>40601</v>
      </c>
    </row>
    <row r="2847" spans="1:8" x14ac:dyDescent="0.3">
      <c r="A2847">
        <v>13875</v>
      </c>
      <c r="B2847" t="s">
        <v>5</v>
      </c>
      <c r="C2847" t="s">
        <v>1272</v>
      </c>
      <c r="D2847" t="s">
        <v>1288</v>
      </c>
      <c r="E2847" t="s">
        <v>27</v>
      </c>
      <c r="F2847" t="s">
        <v>9</v>
      </c>
      <c r="G2847" t="s">
        <v>5087</v>
      </c>
      <c r="H2847" s="7">
        <v>725</v>
      </c>
    </row>
    <row r="2848" spans="1:8" x14ac:dyDescent="0.3">
      <c r="A2848">
        <v>13882</v>
      </c>
      <c r="B2848" t="s">
        <v>3008</v>
      </c>
      <c r="C2848" t="s">
        <v>2005</v>
      </c>
      <c r="D2848" t="s">
        <v>4133</v>
      </c>
      <c r="E2848" t="s">
        <v>95</v>
      </c>
      <c r="F2848" t="s">
        <v>158</v>
      </c>
      <c r="G2848" t="s">
        <v>4052</v>
      </c>
      <c r="H2848" s="7">
        <v>38118</v>
      </c>
    </row>
    <row r="2849" spans="1:8" x14ac:dyDescent="0.3">
      <c r="A2849">
        <v>13890</v>
      </c>
      <c r="B2849" t="s">
        <v>5006</v>
      </c>
      <c r="C2849" t="s">
        <v>2402</v>
      </c>
      <c r="D2849" t="s">
        <v>445</v>
      </c>
      <c r="E2849" t="s">
        <v>8</v>
      </c>
      <c r="F2849" t="s">
        <v>21</v>
      </c>
      <c r="G2849" t="s">
        <v>5039</v>
      </c>
      <c r="H2849" s="7">
        <v>94303</v>
      </c>
    </row>
    <row r="2850" spans="1:8" x14ac:dyDescent="0.3">
      <c r="A2850">
        <v>13893</v>
      </c>
      <c r="B2850" t="s">
        <v>5</v>
      </c>
      <c r="C2850" t="s">
        <v>824</v>
      </c>
      <c r="D2850" t="s">
        <v>916</v>
      </c>
      <c r="E2850" t="s">
        <v>8</v>
      </c>
      <c r="F2850" t="s">
        <v>9</v>
      </c>
      <c r="G2850" t="s">
        <v>5038</v>
      </c>
      <c r="H2850" s="7">
        <v>725</v>
      </c>
    </row>
    <row r="2851" spans="1:8" x14ac:dyDescent="0.3">
      <c r="A2851">
        <v>13901</v>
      </c>
      <c r="B2851" t="s">
        <v>719</v>
      </c>
      <c r="C2851" t="s">
        <v>1801</v>
      </c>
      <c r="D2851" t="s">
        <v>4197</v>
      </c>
      <c r="E2851" t="s">
        <v>8</v>
      </c>
      <c r="F2851" t="s">
        <v>308</v>
      </c>
      <c r="G2851" t="s">
        <v>4489</v>
      </c>
      <c r="H2851" s="7">
        <v>7470</v>
      </c>
    </row>
    <row r="2852" spans="1:8" x14ac:dyDescent="0.3">
      <c r="A2852">
        <v>13904</v>
      </c>
      <c r="B2852" t="s">
        <v>5</v>
      </c>
      <c r="C2852" t="s">
        <v>411</v>
      </c>
      <c r="D2852" t="s">
        <v>40</v>
      </c>
      <c r="E2852" t="s">
        <v>8</v>
      </c>
      <c r="F2852" t="s">
        <v>9</v>
      </c>
      <c r="G2852" t="s">
        <v>115</v>
      </c>
      <c r="H2852" s="7">
        <v>725</v>
      </c>
    </row>
    <row r="2853" spans="1:8" x14ac:dyDescent="0.3">
      <c r="A2853">
        <v>13910</v>
      </c>
      <c r="B2853" t="s">
        <v>277</v>
      </c>
      <c r="C2853" t="s">
        <v>953</v>
      </c>
      <c r="D2853" t="s">
        <v>445</v>
      </c>
      <c r="E2853" t="s">
        <v>27</v>
      </c>
      <c r="F2853" t="s">
        <v>21</v>
      </c>
      <c r="G2853" t="s">
        <v>4976</v>
      </c>
      <c r="H2853" s="7">
        <v>95035</v>
      </c>
    </row>
    <row r="2854" spans="1:8" x14ac:dyDescent="0.3">
      <c r="A2854">
        <v>13912</v>
      </c>
      <c r="B2854" t="s">
        <v>3716</v>
      </c>
      <c r="C2854" t="s">
        <v>3858</v>
      </c>
      <c r="D2854" t="s">
        <v>2003</v>
      </c>
      <c r="E2854" t="s">
        <v>27</v>
      </c>
      <c r="F2854" t="s">
        <v>134</v>
      </c>
      <c r="G2854" t="s">
        <v>2111</v>
      </c>
      <c r="H2854" s="7">
        <v>96706</v>
      </c>
    </row>
    <row r="2855" spans="1:8" x14ac:dyDescent="0.3">
      <c r="A2855">
        <v>13931</v>
      </c>
      <c r="B2855" t="s">
        <v>5</v>
      </c>
      <c r="C2855" t="s">
        <v>549</v>
      </c>
      <c r="D2855" t="s">
        <v>3934</v>
      </c>
      <c r="E2855" t="s">
        <v>8</v>
      </c>
      <c r="F2855" t="s">
        <v>9</v>
      </c>
      <c r="G2855" t="s">
        <v>2439</v>
      </c>
      <c r="H2855" s="7">
        <v>725</v>
      </c>
    </row>
    <row r="2856" spans="1:8" x14ac:dyDescent="0.3">
      <c r="A2856">
        <v>13934</v>
      </c>
      <c r="B2856" t="s">
        <v>699</v>
      </c>
      <c r="C2856" t="s">
        <v>1704</v>
      </c>
      <c r="D2856" t="s">
        <v>1055</v>
      </c>
      <c r="E2856" t="s">
        <v>95</v>
      </c>
      <c r="F2856" t="s">
        <v>114</v>
      </c>
      <c r="G2856" t="s">
        <v>4247</v>
      </c>
      <c r="H2856" s="7">
        <v>77084</v>
      </c>
    </row>
    <row r="2857" spans="1:8" x14ac:dyDescent="0.3">
      <c r="A2857">
        <v>13940</v>
      </c>
      <c r="B2857" t="s">
        <v>5</v>
      </c>
      <c r="C2857" t="s">
        <v>2642</v>
      </c>
      <c r="D2857" t="s">
        <v>3425</v>
      </c>
      <c r="E2857" t="s">
        <v>95</v>
      </c>
      <c r="F2857" t="s">
        <v>9</v>
      </c>
      <c r="G2857" t="s">
        <v>4506</v>
      </c>
      <c r="H2857" s="7">
        <v>725</v>
      </c>
    </row>
    <row r="2858" spans="1:8" x14ac:dyDescent="0.3">
      <c r="A2858">
        <v>13977</v>
      </c>
      <c r="B2858" t="s">
        <v>5</v>
      </c>
      <c r="C2858" t="s">
        <v>1897</v>
      </c>
      <c r="D2858" t="s">
        <v>2180</v>
      </c>
      <c r="E2858" t="s">
        <v>8</v>
      </c>
      <c r="F2858" t="s">
        <v>9</v>
      </c>
      <c r="G2858" t="s">
        <v>5280</v>
      </c>
      <c r="H2858" s="7">
        <v>725</v>
      </c>
    </row>
    <row r="2859" spans="1:8" x14ac:dyDescent="0.3">
      <c r="A2859">
        <v>13990</v>
      </c>
      <c r="B2859" t="s">
        <v>5</v>
      </c>
      <c r="C2859" t="s">
        <v>1592</v>
      </c>
      <c r="D2859" t="s">
        <v>4260</v>
      </c>
      <c r="E2859" t="s">
        <v>8</v>
      </c>
      <c r="F2859" t="s">
        <v>9</v>
      </c>
      <c r="G2859" t="s">
        <v>4261</v>
      </c>
      <c r="H2859" s="7">
        <v>725</v>
      </c>
    </row>
    <row r="2860" spans="1:8" x14ac:dyDescent="0.3">
      <c r="A2860">
        <v>14002</v>
      </c>
      <c r="B2860" t="s">
        <v>5</v>
      </c>
      <c r="C2860" t="s">
        <v>2424</v>
      </c>
      <c r="D2860" t="s">
        <v>1812</v>
      </c>
      <c r="E2860" t="s">
        <v>27</v>
      </c>
      <c r="F2860" t="s">
        <v>9</v>
      </c>
      <c r="G2860" t="s">
        <v>1285</v>
      </c>
      <c r="H2860" s="7">
        <v>725</v>
      </c>
    </row>
    <row r="2861" spans="1:8" x14ac:dyDescent="0.3">
      <c r="A2861">
        <v>14004</v>
      </c>
      <c r="B2861" t="s">
        <v>5</v>
      </c>
      <c r="C2861" t="s">
        <v>872</v>
      </c>
      <c r="D2861" t="s">
        <v>241</v>
      </c>
      <c r="E2861" t="s">
        <v>27</v>
      </c>
      <c r="F2861" t="s">
        <v>9</v>
      </c>
      <c r="G2861" t="s">
        <v>4026</v>
      </c>
      <c r="H2861" s="7">
        <v>725</v>
      </c>
    </row>
    <row r="2862" spans="1:8" x14ac:dyDescent="0.3">
      <c r="A2862">
        <v>14005</v>
      </c>
      <c r="B2862" t="s">
        <v>117</v>
      </c>
      <c r="C2862" t="s">
        <v>2945</v>
      </c>
      <c r="D2862" t="s">
        <v>1867</v>
      </c>
      <c r="E2862" t="s">
        <v>95</v>
      </c>
      <c r="F2862" t="s">
        <v>21</v>
      </c>
      <c r="G2862" t="s">
        <v>5551</v>
      </c>
      <c r="H2862" s="7">
        <v>92115</v>
      </c>
    </row>
    <row r="2863" spans="1:8" x14ac:dyDescent="0.3">
      <c r="A2863">
        <v>14007</v>
      </c>
      <c r="B2863" t="s">
        <v>5</v>
      </c>
      <c r="C2863" t="s">
        <v>4393</v>
      </c>
      <c r="D2863" t="s">
        <v>3370</v>
      </c>
      <c r="E2863" t="s">
        <v>95</v>
      </c>
      <c r="F2863" t="s">
        <v>9</v>
      </c>
      <c r="G2863" t="s">
        <v>4352</v>
      </c>
      <c r="H2863" s="7">
        <v>725</v>
      </c>
    </row>
    <row r="2864" spans="1:8" x14ac:dyDescent="0.3">
      <c r="A2864">
        <v>14010</v>
      </c>
      <c r="B2864" t="s">
        <v>1313</v>
      </c>
      <c r="C2864" t="s">
        <v>3508</v>
      </c>
      <c r="D2864" t="s">
        <v>4587</v>
      </c>
      <c r="E2864" t="s">
        <v>8</v>
      </c>
      <c r="F2864" t="s">
        <v>448</v>
      </c>
      <c r="G2864" t="s">
        <v>5134</v>
      </c>
      <c r="H2864" s="7">
        <v>33126</v>
      </c>
    </row>
    <row r="2865" spans="1:8" x14ac:dyDescent="0.3">
      <c r="A2865">
        <v>14018</v>
      </c>
      <c r="B2865" t="s">
        <v>5</v>
      </c>
      <c r="C2865" t="s">
        <v>1665</v>
      </c>
      <c r="D2865" t="s">
        <v>2272</v>
      </c>
      <c r="E2865" t="s">
        <v>95</v>
      </c>
      <c r="F2865" t="s">
        <v>9</v>
      </c>
      <c r="G2865" t="s">
        <v>1347</v>
      </c>
      <c r="H2865" s="7">
        <v>725</v>
      </c>
    </row>
    <row r="2866" spans="1:8" x14ac:dyDescent="0.3">
      <c r="A2866">
        <v>14033</v>
      </c>
      <c r="B2866" t="s">
        <v>3216</v>
      </c>
      <c r="C2866" t="s">
        <v>657</v>
      </c>
      <c r="D2866" t="s">
        <v>717</v>
      </c>
      <c r="E2866" t="s">
        <v>27</v>
      </c>
      <c r="F2866" t="s">
        <v>140</v>
      </c>
      <c r="G2866" t="s">
        <v>2932</v>
      </c>
      <c r="H2866" s="7">
        <v>30093</v>
      </c>
    </row>
    <row r="2867" spans="1:8" x14ac:dyDescent="0.3">
      <c r="A2867">
        <v>14045</v>
      </c>
      <c r="B2867" t="s">
        <v>5</v>
      </c>
      <c r="C2867" t="s">
        <v>2408</v>
      </c>
      <c r="D2867" t="s">
        <v>3096</v>
      </c>
      <c r="E2867" t="s">
        <v>27</v>
      </c>
      <c r="F2867" t="s">
        <v>9</v>
      </c>
      <c r="G2867" t="s">
        <v>4390</v>
      </c>
      <c r="H2867" s="7">
        <v>725</v>
      </c>
    </row>
    <row r="2868" spans="1:8" x14ac:dyDescent="0.3">
      <c r="A2868">
        <v>14048</v>
      </c>
      <c r="B2868" t="s">
        <v>4153</v>
      </c>
      <c r="C2868" t="s">
        <v>2633</v>
      </c>
      <c r="D2868" t="s">
        <v>4216</v>
      </c>
      <c r="E2868" t="s">
        <v>8</v>
      </c>
      <c r="F2868" t="s">
        <v>134</v>
      </c>
      <c r="G2868" t="s">
        <v>4825</v>
      </c>
      <c r="H2868" s="7">
        <v>96734</v>
      </c>
    </row>
    <row r="2869" spans="1:8" x14ac:dyDescent="0.3">
      <c r="A2869">
        <v>14068</v>
      </c>
      <c r="B2869" t="s">
        <v>2485</v>
      </c>
      <c r="C2869" t="s">
        <v>106</v>
      </c>
      <c r="D2869" t="s">
        <v>2475</v>
      </c>
      <c r="E2869" t="s">
        <v>8</v>
      </c>
      <c r="F2869" t="s">
        <v>21</v>
      </c>
      <c r="G2869" t="s">
        <v>5447</v>
      </c>
      <c r="H2869" s="7">
        <v>95610</v>
      </c>
    </row>
    <row r="2870" spans="1:8" x14ac:dyDescent="0.3">
      <c r="A2870">
        <v>14070</v>
      </c>
      <c r="B2870" t="s">
        <v>846</v>
      </c>
      <c r="C2870" t="s">
        <v>362</v>
      </c>
      <c r="D2870" t="s">
        <v>1831</v>
      </c>
      <c r="E2870" t="s">
        <v>8</v>
      </c>
      <c r="F2870" t="s">
        <v>77</v>
      </c>
      <c r="G2870" t="s">
        <v>4329</v>
      </c>
      <c r="H2870" s="7">
        <v>19067</v>
      </c>
    </row>
    <row r="2871" spans="1:8" x14ac:dyDescent="0.3">
      <c r="A2871">
        <v>14071</v>
      </c>
      <c r="B2871" t="s">
        <v>5</v>
      </c>
      <c r="C2871" t="s">
        <v>1502</v>
      </c>
      <c r="D2871" t="s">
        <v>2115</v>
      </c>
      <c r="E2871" t="s">
        <v>8</v>
      </c>
      <c r="F2871" t="s">
        <v>9</v>
      </c>
      <c r="G2871" t="s">
        <v>135</v>
      </c>
      <c r="H2871" s="7">
        <v>725</v>
      </c>
    </row>
    <row r="2872" spans="1:8" x14ac:dyDescent="0.3">
      <c r="A2872">
        <v>14072</v>
      </c>
      <c r="B2872" t="s">
        <v>3913</v>
      </c>
      <c r="C2872" t="s">
        <v>1814</v>
      </c>
      <c r="D2872" t="s">
        <v>1646</v>
      </c>
      <c r="E2872" t="s">
        <v>8</v>
      </c>
      <c r="F2872" t="s">
        <v>242</v>
      </c>
      <c r="G2872" t="s">
        <v>3914</v>
      </c>
      <c r="H2872" s="7">
        <v>20744</v>
      </c>
    </row>
    <row r="2873" spans="1:8" x14ac:dyDescent="0.3">
      <c r="A2873">
        <v>14073</v>
      </c>
      <c r="B2873" t="s">
        <v>5</v>
      </c>
      <c r="C2873" t="s">
        <v>2521</v>
      </c>
      <c r="D2873" t="s">
        <v>210</v>
      </c>
      <c r="E2873" t="s">
        <v>8</v>
      </c>
      <c r="F2873" t="s">
        <v>9</v>
      </c>
      <c r="G2873" t="s">
        <v>5343</v>
      </c>
      <c r="H2873" s="7">
        <v>725</v>
      </c>
    </row>
    <row r="2874" spans="1:8" x14ac:dyDescent="0.3">
      <c r="A2874">
        <v>14084</v>
      </c>
      <c r="B2874" t="s">
        <v>683</v>
      </c>
      <c r="C2874" t="s">
        <v>2989</v>
      </c>
      <c r="D2874" t="s">
        <v>4893</v>
      </c>
      <c r="E2874" t="s">
        <v>8</v>
      </c>
      <c r="F2874" t="s">
        <v>21</v>
      </c>
      <c r="G2874" t="s">
        <v>911</v>
      </c>
      <c r="H2874" s="7">
        <v>90703</v>
      </c>
    </row>
    <row r="2875" spans="1:8" x14ac:dyDescent="0.3">
      <c r="A2875">
        <v>14086</v>
      </c>
      <c r="B2875" t="s">
        <v>1243</v>
      </c>
      <c r="C2875" t="s">
        <v>2479</v>
      </c>
      <c r="D2875" t="s">
        <v>3902</v>
      </c>
      <c r="E2875" t="s">
        <v>95</v>
      </c>
      <c r="F2875" t="s">
        <v>308</v>
      </c>
      <c r="G2875" t="s">
        <v>4171</v>
      </c>
      <c r="H2875" s="7">
        <v>8540</v>
      </c>
    </row>
    <row r="2876" spans="1:8" x14ac:dyDescent="0.3">
      <c r="A2876">
        <v>14109</v>
      </c>
      <c r="B2876" t="s">
        <v>5</v>
      </c>
      <c r="C2876" t="s">
        <v>2244</v>
      </c>
      <c r="D2876" t="s">
        <v>3969</v>
      </c>
      <c r="E2876" t="s">
        <v>8</v>
      </c>
      <c r="F2876" t="s">
        <v>9</v>
      </c>
      <c r="G2876" t="s">
        <v>2599</v>
      </c>
      <c r="H2876" s="7">
        <v>725</v>
      </c>
    </row>
    <row r="2877" spans="1:8" x14ac:dyDescent="0.3">
      <c r="A2877">
        <v>14116</v>
      </c>
      <c r="B2877" t="s">
        <v>1210</v>
      </c>
      <c r="C2877" t="s">
        <v>5085</v>
      </c>
      <c r="D2877" t="s">
        <v>1565</v>
      </c>
      <c r="E2877" t="s">
        <v>27</v>
      </c>
      <c r="F2877" t="s">
        <v>308</v>
      </c>
      <c r="G2877" t="s">
        <v>4718</v>
      </c>
      <c r="H2877" s="7">
        <v>7003</v>
      </c>
    </row>
    <row r="2878" spans="1:8" x14ac:dyDescent="0.3">
      <c r="A2878">
        <v>14117</v>
      </c>
      <c r="B2878" t="s">
        <v>5</v>
      </c>
      <c r="C2878" t="s">
        <v>3357</v>
      </c>
      <c r="D2878" t="s">
        <v>4591</v>
      </c>
      <c r="E2878" t="s">
        <v>8</v>
      </c>
      <c r="F2878" t="s">
        <v>9</v>
      </c>
      <c r="G2878" t="s">
        <v>5071</v>
      </c>
      <c r="H2878" s="7">
        <v>725</v>
      </c>
    </row>
    <row r="2879" spans="1:8" x14ac:dyDescent="0.3">
      <c r="A2879">
        <v>14125</v>
      </c>
      <c r="B2879" t="s">
        <v>1014</v>
      </c>
      <c r="C2879" t="s">
        <v>841</v>
      </c>
      <c r="D2879" t="s">
        <v>1248</v>
      </c>
      <c r="E2879" t="s">
        <v>8</v>
      </c>
      <c r="F2879" t="s">
        <v>88</v>
      </c>
      <c r="G2879" t="s">
        <v>1335</v>
      </c>
      <c r="H2879" s="7">
        <v>12180</v>
      </c>
    </row>
    <row r="2880" spans="1:8" x14ac:dyDescent="0.3">
      <c r="A2880">
        <v>14126</v>
      </c>
      <c r="B2880" t="s">
        <v>493</v>
      </c>
      <c r="C2880" t="s">
        <v>2287</v>
      </c>
      <c r="D2880" t="s">
        <v>2109</v>
      </c>
      <c r="E2880" t="s">
        <v>8</v>
      </c>
      <c r="F2880" t="s">
        <v>55</v>
      </c>
      <c r="G2880" t="s">
        <v>4564</v>
      </c>
      <c r="H2880" s="7">
        <v>60440</v>
      </c>
    </row>
    <row r="2881" spans="1:8" x14ac:dyDescent="0.3">
      <c r="A2881">
        <v>14127</v>
      </c>
      <c r="B2881" t="s">
        <v>5</v>
      </c>
      <c r="C2881" t="s">
        <v>1842</v>
      </c>
      <c r="D2881" t="s">
        <v>2880</v>
      </c>
      <c r="E2881" t="s">
        <v>8</v>
      </c>
      <c r="F2881" t="s">
        <v>9</v>
      </c>
      <c r="G2881" t="s">
        <v>5580</v>
      </c>
      <c r="H2881" s="7">
        <v>725</v>
      </c>
    </row>
    <row r="2882" spans="1:8" x14ac:dyDescent="0.3">
      <c r="A2882">
        <v>14129</v>
      </c>
      <c r="B2882" t="s">
        <v>2478</v>
      </c>
      <c r="C2882" t="s">
        <v>3265</v>
      </c>
      <c r="D2882" t="s">
        <v>157</v>
      </c>
      <c r="E2882" t="s">
        <v>8</v>
      </c>
      <c r="F2882" t="s">
        <v>242</v>
      </c>
      <c r="G2882" t="s">
        <v>5211</v>
      </c>
      <c r="H2882" s="7">
        <v>21228</v>
      </c>
    </row>
    <row r="2883" spans="1:8" x14ac:dyDescent="0.3">
      <c r="A2883">
        <v>14130</v>
      </c>
      <c r="B2883" t="s">
        <v>5</v>
      </c>
      <c r="C2883" t="s">
        <v>2876</v>
      </c>
      <c r="D2883" t="s">
        <v>2015</v>
      </c>
      <c r="E2883" t="s">
        <v>8</v>
      </c>
      <c r="F2883" t="s">
        <v>9</v>
      </c>
      <c r="G2883" t="s">
        <v>5655</v>
      </c>
      <c r="H2883" s="7">
        <v>725</v>
      </c>
    </row>
    <row r="2884" spans="1:8" x14ac:dyDescent="0.3">
      <c r="A2884">
        <v>14140</v>
      </c>
      <c r="B2884" t="s">
        <v>5</v>
      </c>
      <c r="C2884" t="s">
        <v>909</v>
      </c>
      <c r="D2884" t="s">
        <v>3969</v>
      </c>
      <c r="E2884" t="s">
        <v>8</v>
      </c>
      <c r="F2884" t="s">
        <v>9</v>
      </c>
      <c r="G2884" t="s">
        <v>5053</v>
      </c>
      <c r="H2884" s="7">
        <v>725</v>
      </c>
    </row>
    <row r="2885" spans="1:8" x14ac:dyDescent="0.3">
      <c r="A2885">
        <v>14143</v>
      </c>
      <c r="B2885" t="s">
        <v>3199</v>
      </c>
      <c r="C2885" t="s">
        <v>727</v>
      </c>
      <c r="D2885" t="s">
        <v>2817</v>
      </c>
      <c r="E2885" t="s">
        <v>27</v>
      </c>
      <c r="F2885" t="s">
        <v>134</v>
      </c>
      <c r="G2885" t="s">
        <v>3200</v>
      </c>
      <c r="H2885" s="7">
        <v>96744</v>
      </c>
    </row>
    <row r="2886" spans="1:8" x14ac:dyDescent="0.3">
      <c r="A2886">
        <v>14145</v>
      </c>
      <c r="B2886" t="s">
        <v>4386</v>
      </c>
      <c r="C2886" t="s">
        <v>2036</v>
      </c>
      <c r="D2886" t="s">
        <v>5220</v>
      </c>
      <c r="E2886" t="s">
        <v>27</v>
      </c>
      <c r="F2886" t="s">
        <v>381</v>
      </c>
      <c r="G2886" t="s">
        <v>4944</v>
      </c>
      <c r="H2886" s="7">
        <v>48185</v>
      </c>
    </row>
    <row r="2887" spans="1:8" x14ac:dyDescent="0.3">
      <c r="A2887">
        <v>14150</v>
      </c>
      <c r="B2887" t="s">
        <v>1839</v>
      </c>
      <c r="C2887" t="s">
        <v>183</v>
      </c>
      <c r="D2887" t="s">
        <v>3691</v>
      </c>
      <c r="E2887" t="s">
        <v>27</v>
      </c>
      <c r="F2887" t="s">
        <v>55</v>
      </c>
      <c r="G2887" t="s">
        <v>3161</v>
      </c>
      <c r="H2887" s="7">
        <v>60014</v>
      </c>
    </row>
    <row r="2888" spans="1:8" x14ac:dyDescent="0.3">
      <c r="A2888">
        <v>14163</v>
      </c>
      <c r="B2888" t="s">
        <v>2543</v>
      </c>
      <c r="C2888" t="s">
        <v>3330</v>
      </c>
      <c r="D2888" t="s">
        <v>2023</v>
      </c>
      <c r="E2888" t="s">
        <v>8</v>
      </c>
      <c r="F2888" t="s">
        <v>88</v>
      </c>
      <c r="G2888" t="s">
        <v>5117</v>
      </c>
      <c r="H2888" s="7">
        <v>11434</v>
      </c>
    </row>
    <row r="2889" spans="1:8" x14ac:dyDescent="0.3">
      <c r="A2889">
        <v>14170</v>
      </c>
      <c r="B2889" t="s">
        <v>5</v>
      </c>
      <c r="C2889" t="s">
        <v>1317</v>
      </c>
      <c r="D2889" t="s">
        <v>4236</v>
      </c>
      <c r="E2889" t="s">
        <v>95</v>
      </c>
      <c r="F2889" t="s">
        <v>9</v>
      </c>
      <c r="G2889" t="s">
        <v>4237</v>
      </c>
      <c r="H2889" s="7">
        <v>725</v>
      </c>
    </row>
    <row r="2890" spans="1:8" x14ac:dyDescent="0.3">
      <c r="A2890">
        <v>14182</v>
      </c>
      <c r="B2890" t="s">
        <v>5</v>
      </c>
      <c r="C2890" t="s">
        <v>938</v>
      </c>
      <c r="D2890" t="s">
        <v>1527</v>
      </c>
      <c r="E2890" t="s">
        <v>95</v>
      </c>
      <c r="F2890" t="s">
        <v>9</v>
      </c>
      <c r="G2890" t="s">
        <v>5389</v>
      </c>
      <c r="H2890" s="7">
        <v>725</v>
      </c>
    </row>
    <row r="2891" spans="1:8" x14ac:dyDescent="0.3">
      <c r="A2891">
        <v>14188</v>
      </c>
      <c r="B2891" t="s">
        <v>351</v>
      </c>
      <c r="C2891" t="s">
        <v>4805</v>
      </c>
      <c r="D2891" t="s">
        <v>1084</v>
      </c>
      <c r="E2891" t="s">
        <v>27</v>
      </c>
      <c r="F2891" t="s">
        <v>9</v>
      </c>
      <c r="G2891" t="s">
        <v>3029</v>
      </c>
      <c r="H2891" s="7">
        <v>791</v>
      </c>
    </row>
    <row r="2892" spans="1:8" x14ac:dyDescent="0.3">
      <c r="A2892">
        <v>14189</v>
      </c>
      <c r="B2892" t="s">
        <v>2983</v>
      </c>
      <c r="C2892" t="s">
        <v>1244</v>
      </c>
      <c r="D2892" t="s">
        <v>654</v>
      </c>
      <c r="E2892" t="s">
        <v>27</v>
      </c>
      <c r="F2892" t="s">
        <v>55</v>
      </c>
      <c r="G2892" t="s">
        <v>4313</v>
      </c>
      <c r="H2892" s="7">
        <v>61554</v>
      </c>
    </row>
    <row r="2893" spans="1:8" x14ac:dyDescent="0.3">
      <c r="A2893">
        <v>14196</v>
      </c>
      <c r="B2893" t="s">
        <v>5</v>
      </c>
      <c r="C2893" t="s">
        <v>4201</v>
      </c>
      <c r="D2893" t="s">
        <v>2374</v>
      </c>
      <c r="E2893" t="s">
        <v>27</v>
      </c>
      <c r="F2893" t="s">
        <v>9</v>
      </c>
      <c r="G2893" t="s">
        <v>5405</v>
      </c>
      <c r="H2893" s="7">
        <v>725</v>
      </c>
    </row>
    <row r="2894" spans="1:8" x14ac:dyDescent="0.3">
      <c r="A2894">
        <v>14203</v>
      </c>
      <c r="B2894" t="s">
        <v>5</v>
      </c>
      <c r="C2894" t="s">
        <v>1060</v>
      </c>
      <c r="D2894" t="s">
        <v>4586</v>
      </c>
      <c r="E2894" t="s">
        <v>95</v>
      </c>
      <c r="F2894" t="s">
        <v>9</v>
      </c>
      <c r="G2894" t="s">
        <v>1254</v>
      </c>
      <c r="H2894" s="7">
        <v>725</v>
      </c>
    </row>
    <row r="2895" spans="1:8" x14ac:dyDescent="0.3">
      <c r="A2895">
        <v>14207</v>
      </c>
      <c r="B2895" t="s">
        <v>765</v>
      </c>
      <c r="C2895" t="s">
        <v>4029</v>
      </c>
      <c r="D2895" t="s">
        <v>1555</v>
      </c>
      <c r="E2895" t="s">
        <v>95</v>
      </c>
      <c r="F2895" t="s">
        <v>308</v>
      </c>
      <c r="G2895" t="s">
        <v>4793</v>
      </c>
      <c r="H2895" s="7">
        <v>8302</v>
      </c>
    </row>
    <row r="2896" spans="1:8" x14ac:dyDescent="0.3">
      <c r="A2896">
        <v>14213</v>
      </c>
      <c r="B2896" t="s">
        <v>2762</v>
      </c>
      <c r="C2896" t="s">
        <v>2807</v>
      </c>
      <c r="D2896" t="s">
        <v>1396</v>
      </c>
      <c r="E2896" t="s">
        <v>27</v>
      </c>
      <c r="F2896" t="s">
        <v>114</v>
      </c>
      <c r="G2896" t="s">
        <v>5221</v>
      </c>
      <c r="H2896" s="7">
        <v>77520</v>
      </c>
    </row>
    <row r="2897" spans="1:8" x14ac:dyDescent="0.3">
      <c r="A2897">
        <v>14220</v>
      </c>
      <c r="B2897" t="s">
        <v>733</v>
      </c>
      <c r="C2897" t="s">
        <v>1691</v>
      </c>
      <c r="D2897" t="s">
        <v>5285</v>
      </c>
      <c r="E2897" t="s">
        <v>8</v>
      </c>
      <c r="F2897" t="s">
        <v>735</v>
      </c>
      <c r="G2897" t="s">
        <v>5634</v>
      </c>
      <c r="H2897" s="7">
        <v>20019</v>
      </c>
    </row>
    <row r="2898" spans="1:8" x14ac:dyDescent="0.3">
      <c r="A2898">
        <v>14232</v>
      </c>
      <c r="B2898" t="s">
        <v>239</v>
      </c>
      <c r="C2898" t="s">
        <v>2793</v>
      </c>
      <c r="D2898" t="s">
        <v>193</v>
      </c>
      <c r="E2898" t="s">
        <v>8</v>
      </c>
      <c r="F2898" t="s">
        <v>242</v>
      </c>
      <c r="G2898" t="s">
        <v>5095</v>
      </c>
      <c r="H2898" s="7">
        <v>21224</v>
      </c>
    </row>
    <row r="2899" spans="1:8" x14ac:dyDescent="0.3">
      <c r="A2899">
        <v>14234</v>
      </c>
      <c r="B2899" t="s">
        <v>5</v>
      </c>
      <c r="C2899" t="s">
        <v>3862</v>
      </c>
      <c r="D2899" t="s">
        <v>107</v>
      </c>
      <c r="E2899" t="s">
        <v>8</v>
      </c>
      <c r="F2899" t="s">
        <v>9</v>
      </c>
      <c r="G2899" t="s">
        <v>2881</v>
      </c>
      <c r="H2899" s="7">
        <v>725</v>
      </c>
    </row>
    <row r="2900" spans="1:8" x14ac:dyDescent="0.3">
      <c r="A2900">
        <v>14239</v>
      </c>
      <c r="B2900" t="s">
        <v>4807</v>
      </c>
      <c r="C2900" t="s">
        <v>3793</v>
      </c>
      <c r="D2900" t="s">
        <v>3975</v>
      </c>
      <c r="E2900" t="s">
        <v>8</v>
      </c>
      <c r="F2900" t="s">
        <v>1657</v>
      </c>
      <c r="G2900" t="s">
        <v>5309</v>
      </c>
      <c r="H2900" s="7">
        <v>6516</v>
      </c>
    </row>
    <row r="2901" spans="1:8" x14ac:dyDescent="0.3">
      <c r="A2901">
        <v>14250</v>
      </c>
      <c r="B2901" t="s">
        <v>997</v>
      </c>
      <c r="C2901" t="s">
        <v>255</v>
      </c>
      <c r="D2901" t="s">
        <v>2170</v>
      </c>
      <c r="E2901" t="s">
        <v>27</v>
      </c>
      <c r="F2901" t="s">
        <v>2654</v>
      </c>
      <c r="G2901" t="s">
        <v>5541</v>
      </c>
      <c r="H2901" s="7">
        <v>19702</v>
      </c>
    </row>
    <row r="2902" spans="1:8" x14ac:dyDescent="0.3">
      <c r="A2902">
        <v>14277</v>
      </c>
      <c r="B2902" t="s">
        <v>2170</v>
      </c>
      <c r="C2902" t="s">
        <v>3330</v>
      </c>
      <c r="D2902" t="s">
        <v>2215</v>
      </c>
      <c r="E2902" t="s">
        <v>27</v>
      </c>
      <c r="F2902" t="s">
        <v>248</v>
      </c>
      <c r="G2902" t="s">
        <v>4145</v>
      </c>
      <c r="H2902" s="7">
        <v>44118</v>
      </c>
    </row>
    <row r="2903" spans="1:8" x14ac:dyDescent="0.3">
      <c r="A2903">
        <v>14290</v>
      </c>
      <c r="B2903" t="s">
        <v>3255</v>
      </c>
      <c r="C2903" t="s">
        <v>1140</v>
      </c>
      <c r="D2903" t="s">
        <v>623</v>
      </c>
      <c r="E2903" t="s">
        <v>95</v>
      </c>
      <c r="F2903" t="s">
        <v>21</v>
      </c>
      <c r="G2903" t="s">
        <v>4674</v>
      </c>
      <c r="H2903" s="7">
        <v>95630</v>
      </c>
    </row>
    <row r="2904" spans="1:8" x14ac:dyDescent="0.3">
      <c r="A2904">
        <v>14293</v>
      </c>
      <c r="B2904" t="s">
        <v>3523</v>
      </c>
      <c r="C2904" t="s">
        <v>2070</v>
      </c>
      <c r="D2904" t="s">
        <v>3214</v>
      </c>
      <c r="E2904" t="s">
        <v>27</v>
      </c>
      <c r="F2904" t="s">
        <v>9</v>
      </c>
      <c r="G2904" t="s">
        <v>3886</v>
      </c>
      <c r="H2904" s="7">
        <v>685</v>
      </c>
    </row>
    <row r="2905" spans="1:8" x14ac:dyDescent="0.3">
      <c r="A2905">
        <v>14304</v>
      </c>
      <c r="B2905" t="s">
        <v>3938</v>
      </c>
      <c r="C2905" t="s">
        <v>3099</v>
      </c>
      <c r="D2905" t="s">
        <v>2091</v>
      </c>
      <c r="E2905" t="s">
        <v>27</v>
      </c>
      <c r="F2905" t="s">
        <v>88</v>
      </c>
      <c r="G2905" t="s">
        <v>3939</v>
      </c>
      <c r="H2905" s="7">
        <v>11691</v>
      </c>
    </row>
    <row r="2906" spans="1:8" x14ac:dyDescent="0.3">
      <c r="A2906">
        <v>14340</v>
      </c>
      <c r="B2906" t="s">
        <v>5</v>
      </c>
      <c r="C2906" t="s">
        <v>1564</v>
      </c>
      <c r="D2906" t="s">
        <v>365</v>
      </c>
      <c r="E2906" t="s">
        <v>8</v>
      </c>
      <c r="F2906" t="s">
        <v>9</v>
      </c>
      <c r="G2906" t="s">
        <v>4020</v>
      </c>
      <c r="H2906" s="7">
        <v>725</v>
      </c>
    </row>
    <row r="2907" spans="1:8" x14ac:dyDescent="0.3">
      <c r="A2907">
        <v>14349</v>
      </c>
      <c r="B2907" t="s">
        <v>392</v>
      </c>
      <c r="C2907" t="s">
        <v>1359</v>
      </c>
      <c r="D2907" t="s">
        <v>2470</v>
      </c>
      <c r="E2907" t="s">
        <v>8</v>
      </c>
      <c r="F2907" t="s">
        <v>21</v>
      </c>
      <c r="G2907" t="s">
        <v>5385</v>
      </c>
      <c r="H2907" s="7">
        <v>94015</v>
      </c>
    </row>
    <row r="2908" spans="1:8" x14ac:dyDescent="0.3">
      <c r="A2908">
        <v>14353</v>
      </c>
      <c r="B2908" t="s">
        <v>1309</v>
      </c>
      <c r="C2908" t="s">
        <v>2164</v>
      </c>
      <c r="D2908" t="s">
        <v>1752</v>
      </c>
      <c r="E2908" t="s">
        <v>95</v>
      </c>
      <c r="F2908" t="s">
        <v>21</v>
      </c>
      <c r="G2908" t="s">
        <v>5017</v>
      </c>
      <c r="H2908" s="7">
        <v>92553</v>
      </c>
    </row>
    <row r="2909" spans="1:8" x14ac:dyDescent="0.3">
      <c r="A2909">
        <v>14354</v>
      </c>
      <c r="B2909" t="s">
        <v>4468</v>
      </c>
      <c r="C2909" t="s">
        <v>3779</v>
      </c>
      <c r="D2909" t="s">
        <v>3903</v>
      </c>
      <c r="E2909" t="s">
        <v>27</v>
      </c>
      <c r="F2909" t="s">
        <v>21</v>
      </c>
      <c r="G2909" t="s">
        <v>4071</v>
      </c>
      <c r="H2909" s="7">
        <v>92071</v>
      </c>
    </row>
    <row r="2910" spans="1:8" x14ac:dyDescent="0.3">
      <c r="A2910">
        <v>14356</v>
      </c>
      <c r="B2910" t="s">
        <v>5</v>
      </c>
      <c r="C2910" t="s">
        <v>196</v>
      </c>
      <c r="D2910" t="s">
        <v>1465</v>
      </c>
      <c r="E2910" t="s">
        <v>27</v>
      </c>
      <c r="F2910" t="s">
        <v>9</v>
      </c>
      <c r="G2910" t="s">
        <v>522</v>
      </c>
      <c r="H2910" s="7">
        <v>725</v>
      </c>
    </row>
    <row r="2911" spans="1:8" x14ac:dyDescent="0.3">
      <c r="A2911">
        <v>14357</v>
      </c>
      <c r="B2911" t="s">
        <v>4165</v>
      </c>
      <c r="C2911" t="s">
        <v>192</v>
      </c>
      <c r="D2911" t="s">
        <v>4653</v>
      </c>
      <c r="E2911" t="s">
        <v>27</v>
      </c>
      <c r="F2911" t="s">
        <v>729</v>
      </c>
      <c r="G2911" t="s">
        <v>4429</v>
      </c>
      <c r="H2911" s="7">
        <v>80501</v>
      </c>
    </row>
    <row r="2912" spans="1:8" x14ac:dyDescent="0.3">
      <c r="A2912">
        <v>14359</v>
      </c>
      <c r="B2912" t="s">
        <v>5</v>
      </c>
      <c r="C2912" t="s">
        <v>183</v>
      </c>
      <c r="D2912" t="s">
        <v>1219</v>
      </c>
      <c r="E2912" t="s">
        <v>8</v>
      </c>
      <c r="F2912" t="s">
        <v>9</v>
      </c>
      <c r="G2912" t="s">
        <v>4057</v>
      </c>
      <c r="H2912" s="7">
        <v>725</v>
      </c>
    </row>
    <row r="2913" spans="1:8" x14ac:dyDescent="0.3">
      <c r="A2913">
        <v>14362</v>
      </c>
      <c r="B2913" t="s">
        <v>174</v>
      </c>
      <c r="C2913" t="s">
        <v>3129</v>
      </c>
      <c r="D2913" t="s">
        <v>617</v>
      </c>
      <c r="E2913" t="s">
        <v>8</v>
      </c>
      <c r="F2913" t="s">
        <v>21</v>
      </c>
      <c r="G2913" t="s">
        <v>1748</v>
      </c>
      <c r="H2913" s="7">
        <v>90003</v>
      </c>
    </row>
    <row r="2914" spans="1:8" x14ac:dyDescent="0.3">
      <c r="A2914">
        <v>14371</v>
      </c>
      <c r="B2914" t="s">
        <v>2651</v>
      </c>
      <c r="C2914" t="s">
        <v>175</v>
      </c>
      <c r="D2914" t="s">
        <v>852</v>
      </c>
      <c r="E2914" t="s">
        <v>8</v>
      </c>
      <c r="F2914" t="s">
        <v>140</v>
      </c>
      <c r="G2914" t="s">
        <v>4840</v>
      </c>
      <c r="H2914" s="7">
        <v>30022</v>
      </c>
    </row>
    <row r="2915" spans="1:8" x14ac:dyDescent="0.3">
      <c r="A2915">
        <v>14382</v>
      </c>
      <c r="B2915" t="s">
        <v>5</v>
      </c>
      <c r="C2915" t="s">
        <v>3980</v>
      </c>
      <c r="D2915" t="s">
        <v>914</v>
      </c>
      <c r="E2915" t="s">
        <v>27</v>
      </c>
      <c r="F2915" t="s">
        <v>9</v>
      </c>
      <c r="G2915" t="s">
        <v>4516</v>
      </c>
      <c r="H2915" s="7">
        <v>725</v>
      </c>
    </row>
    <row r="2916" spans="1:8" x14ac:dyDescent="0.3">
      <c r="A2916">
        <v>14389</v>
      </c>
      <c r="B2916" t="s">
        <v>1096</v>
      </c>
      <c r="C2916" t="s">
        <v>1032</v>
      </c>
      <c r="D2916" t="s">
        <v>5381</v>
      </c>
      <c r="E2916" t="s">
        <v>8</v>
      </c>
      <c r="F2916" t="s">
        <v>242</v>
      </c>
      <c r="G2916" t="s">
        <v>5336</v>
      </c>
      <c r="H2916" s="7">
        <v>20854</v>
      </c>
    </row>
    <row r="2917" spans="1:8" x14ac:dyDescent="0.3">
      <c r="A2917">
        <v>14414</v>
      </c>
      <c r="B2917" t="s">
        <v>174</v>
      </c>
      <c r="C2917" t="s">
        <v>2363</v>
      </c>
      <c r="D2917" t="s">
        <v>1730</v>
      </c>
      <c r="E2917" t="s">
        <v>8</v>
      </c>
      <c r="F2917" t="s">
        <v>21</v>
      </c>
      <c r="G2917" t="s">
        <v>2535</v>
      </c>
      <c r="H2917" s="7">
        <v>90033</v>
      </c>
    </row>
    <row r="2918" spans="1:8" x14ac:dyDescent="0.3">
      <c r="A2918">
        <v>14419</v>
      </c>
      <c r="B2918" t="s">
        <v>5</v>
      </c>
      <c r="C2918" t="s">
        <v>81</v>
      </c>
      <c r="D2918" t="s">
        <v>842</v>
      </c>
      <c r="E2918" t="s">
        <v>27</v>
      </c>
      <c r="F2918" t="s">
        <v>9</v>
      </c>
      <c r="G2918" t="s">
        <v>5243</v>
      </c>
      <c r="H2918" s="7">
        <v>725</v>
      </c>
    </row>
    <row r="2919" spans="1:8" x14ac:dyDescent="0.3">
      <c r="A2919">
        <v>14426</v>
      </c>
      <c r="B2919" t="s">
        <v>1293</v>
      </c>
      <c r="C2919" t="s">
        <v>3120</v>
      </c>
      <c r="D2919" t="s">
        <v>1340</v>
      </c>
      <c r="E2919" t="s">
        <v>27</v>
      </c>
      <c r="F2919" t="s">
        <v>190</v>
      </c>
      <c r="G2919" t="s">
        <v>4753</v>
      </c>
      <c r="H2919" s="7">
        <v>85282</v>
      </c>
    </row>
    <row r="2920" spans="1:8" x14ac:dyDescent="0.3">
      <c r="A2920">
        <v>14431</v>
      </c>
      <c r="B2920" t="s">
        <v>5</v>
      </c>
      <c r="C2920" t="s">
        <v>2020</v>
      </c>
      <c r="D2920" t="s">
        <v>4330</v>
      </c>
      <c r="E2920" t="s">
        <v>8</v>
      </c>
      <c r="F2920" t="s">
        <v>9</v>
      </c>
      <c r="G2920" t="s">
        <v>4398</v>
      </c>
      <c r="H2920" s="7">
        <v>725</v>
      </c>
    </row>
    <row r="2921" spans="1:8" x14ac:dyDescent="0.3">
      <c r="A2921">
        <v>14438</v>
      </c>
      <c r="B2921" t="s">
        <v>5</v>
      </c>
      <c r="C2921" t="s">
        <v>1404</v>
      </c>
      <c r="D2921" t="s">
        <v>144</v>
      </c>
      <c r="E2921" t="s">
        <v>27</v>
      </c>
      <c r="F2921" t="s">
        <v>9</v>
      </c>
      <c r="G2921" t="s">
        <v>5069</v>
      </c>
      <c r="H2921" s="7">
        <v>725</v>
      </c>
    </row>
    <row r="2922" spans="1:8" x14ac:dyDescent="0.3">
      <c r="A2922">
        <v>14439</v>
      </c>
      <c r="B2922" t="s">
        <v>40</v>
      </c>
      <c r="C2922" t="s">
        <v>2876</v>
      </c>
      <c r="D2922" t="s">
        <v>1595</v>
      </c>
      <c r="E2922" t="s">
        <v>27</v>
      </c>
      <c r="F2922" t="s">
        <v>77</v>
      </c>
      <c r="G2922" t="s">
        <v>1019</v>
      </c>
      <c r="H2922" s="7">
        <v>17603</v>
      </c>
    </row>
    <row r="2923" spans="1:8" x14ac:dyDescent="0.3">
      <c r="A2923">
        <v>14442</v>
      </c>
      <c r="B2923" t="s">
        <v>3146</v>
      </c>
      <c r="C2923" t="s">
        <v>3864</v>
      </c>
      <c r="D2923" t="s">
        <v>4260</v>
      </c>
      <c r="E2923" t="s">
        <v>95</v>
      </c>
      <c r="F2923" t="s">
        <v>1979</v>
      </c>
      <c r="G2923" t="s">
        <v>3147</v>
      </c>
      <c r="H2923" s="7">
        <v>74012</v>
      </c>
    </row>
    <row r="2924" spans="1:8" x14ac:dyDescent="0.3">
      <c r="A2924">
        <v>14443</v>
      </c>
      <c r="B2924" t="s">
        <v>1158</v>
      </c>
      <c r="C2924" t="s">
        <v>63</v>
      </c>
      <c r="D2924" t="s">
        <v>336</v>
      </c>
      <c r="E2924" t="s">
        <v>95</v>
      </c>
      <c r="F2924" t="s">
        <v>381</v>
      </c>
      <c r="G2924" t="s">
        <v>5045</v>
      </c>
      <c r="H2924" s="7">
        <v>48093</v>
      </c>
    </row>
    <row r="2925" spans="1:8" x14ac:dyDescent="0.3">
      <c r="A2925">
        <v>14456</v>
      </c>
      <c r="B2925" t="s">
        <v>5</v>
      </c>
      <c r="C2925" t="s">
        <v>1440</v>
      </c>
      <c r="D2925" t="s">
        <v>2457</v>
      </c>
      <c r="E2925" t="s">
        <v>27</v>
      </c>
      <c r="F2925" t="s">
        <v>9</v>
      </c>
      <c r="G2925" t="s">
        <v>5366</v>
      </c>
      <c r="H2925" s="7">
        <v>725</v>
      </c>
    </row>
    <row r="2926" spans="1:8" x14ac:dyDescent="0.3">
      <c r="A2926">
        <v>14462</v>
      </c>
      <c r="B2926" t="s">
        <v>1581</v>
      </c>
      <c r="C2926" t="s">
        <v>19</v>
      </c>
      <c r="D2926" t="s">
        <v>1925</v>
      </c>
      <c r="E2926" t="s">
        <v>8</v>
      </c>
      <c r="F2926" t="s">
        <v>729</v>
      </c>
      <c r="G2926" t="s">
        <v>4917</v>
      </c>
      <c r="H2926" s="7">
        <v>80906</v>
      </c>
    </row>
    <row r="2927" spans="1:8" x14ac:dyDescent="0.3">
      <c r="A2927">
        <v>14470</v>
      </c>
      <c r="B2927" t="s">
        <v>710</v>
      </c>
      <c r="C2927" t="s">
        <v>3308</v>
      </c>
      <c r="D2927" t="s">
        <v>573</v>
      </c>
      <c r="E2927" t="s">
        <v>8</v>
      </c>
      <c r="F2927" t="s">
        <v>448</v>
      </c>
      <c r="G2927" t="s">
        <v>4915</v>
      </c>
      <c r="H2927" s="7">
        <v>33313</v>
      </c>
    </row>
    <row r="2928" spans="1:8" x14ac:dyDescent="0.3">
      <c r="A2928">
        <v>14474</v>
      </c>
      <c r="B2928" t="s">
        <v>5</v>
      </c>
      <c r="C2928" t="s">
        <v>1065</v>
      </c>
      <c r="D2928" t="s">
        <v>5609</v>
      </c>
      <c r="E2928" t="s">
        <v>95</v>
      </c>
      <c r="F2928" t="s">
        <v>9</v>
      </c>
      <c r="G2928" t="s">
        <v>4505</v>
      </c>
      <c r="H2928" s="7">
        <v>725</v>
      </c>
    </row>
    <row r="2929" spans="1:8" x14ac:dyDescent="0.3">
      <c r="A2929">
        <v>14475</v>
      </c>
      <c r="B2929" t="s">
        <v>2095</v>
      </c>
      <c r="C2929" t="s">
        <v>2965</v>
      </c>
      <c r="D2929" t="s">
        <v>2838</v>
      </c>
      <c r="E2929" t="s">
        <v>8</v>
      </c>
      <c r="F2929" t="s">
        <v>88</v>
      </c>
      <c r="G2929" t="s">
        <v>4971</v>
      </c>
      <c r="H2929" s="7">
        <v>11717</v>
      </c>
    </row>
    <row r="2930" spans="1:8" x14ac:dyDescent="0.3">
      <c r="A2930">
        <v>14479</v>
      </c>
      <c r="B2930" t="s">
        <v>3026</v>
      </c>
      <c r="C2930" t="s">
        <v>2483</v>
      </c>
      <c r="D2930" t="s">
        <v>3757</v>
      </c>
      <c r="E2930" t="s">
        <v>27</v>
      </c>
      <c r="F2930" t="s">
        <v>248</v>
      </c>
      <c r="G2930" t="s">
        <v>1611</v>
      </c>
      <c r="H2930" s="7">
        <v>44256</v>
      </c>
    </row>
    <row r="2931" spans="1:8" x14ac:dyDescent="0.3">
      <c r="A2931">
        <v>14484</v>
      </c>
      <c r="B2931" t="s">
        <v>831</v>
      </c>
      <c r="C2931" t="s">
        <v>999</v>
      </c>
      <c r="D2931" t="s">
        <v>2293</v>
      </c>
      <c r="E2931" t="s">
        <v>8</v>
      </c>
      <c r="F2931" t="s">
        <v>341</v>
      </c>
      <c r="G2931" t="s">
        <v>832</v>
      </c>
      <c r="H2931" s="7">
        <v>27410</v>
      </c>
    </row>
    <row r="2932" spans="1:8" x14ac:dyDescent="0.3">
      <c r="A2932">
        <v>14495</v>
      </c>
      <c r="B2932" t="s">
        <v>2645</v>
      </c>
      <c r="C2932" t="s">
        <v>3333</v>
      </c>
      <c r="D2932" t="s">
        <v>1438</v>
      </c>
      <c r="E2932" t="s">
        <v>8</v>
      </c>
      <c r="F2932" t="s">
        <v>248</v>
      </c>
      <c r="G2932" t="s">
        <v>3233</v>
      </c>
      <c r="H2932" s="7">
        <v>45140</v>
      </c>
    </row>
    <row r="2933" spans="1:8" x14ac:dyDescent="0.3">
      <c r="A2933">
        <v>14498</v>
      </c>
      <c r="B2933" t="s">
        <v>5</v>
      </c>
      <c r="C2933" t="s">
        <v>2366</v>
      </c>
      <c r="D2933" t="s">
        <v>1483</v>
      </c>
      <c r="E2933" t="s">
        <v>8</v>
      </c>
      <c r="F2933" t="s">
        <v>9</v>
      </c>
      <c r="G2933" t="s">
        <v>4333</v>
      </c>
      <c r="H2933" s="7">
        <v>725</v>
      </c>
    </row>
    <row r="2934" spans="1:8" x14ac:dyDescent="0.3">
      <c r="A2934">
        <v>14499</v>
      </c>
      <c r="B2934" t="s">
        <v>427</v>
      </c>
      <c r="C2934" t="s">
        <v>2363</v>
      </c>
      <c r="D2934" t="s">
        <v>189</v>
      </c>
      <c r="E2934" t="s">
        <v>8</v>
      </c>
      <c r="F2934" t="s">
        <v>9</v>
      </c>
      <c r="G2934" t="s">
        <v>3638</v>
      </c>
      <c r="H2934" s="7">
        <v>921</v>
      </c>
    </row>
    <row r="2935" spans="1:8" x14ac:dyDescent="0.3">
      <c r="A2935">
        <v>14500</v>
      </c>
      <c r="B2935" t="s">
        <v>508</v>
      </c>
      <c r="C2935" t="s">
        <v>71</v>
      </c>
      <c r="D2935" t="s">
        <v>3337</v>
      </c>
      <c r="E2935" t="s">
        <v>8</v>
      </c>
      <c r="F2935" t="s">
        <v>114</v>
      </c>
      <c r="G2935" t="s">
        <v>2240</v>
      </c>
      <c r="H2935" s="7">
        <v>75216</v>
      </c>
    </row>
    <row r="2936" spans="1:8" x14ac:dyDescent="0.3">
      <c r="A2936">
        <v>14508</v>
      </c>
      <c r="B2936" t="s">
        <v>5</v>
      </c>
      <c r="C2936" t="s">
        <v>278</v>
      </c>
      <c r="D2936" t="s">
        <v>2169</v>
      </c>
      <c r="E2936" t="s">
        <v>8</v>
      </c>
      <c r="F2936" t="s">
        <v>9</v>
      </c>
      <c r="G2936" t="s">
        <v>2951</v>
      </c>
      <c r="H2936" s="7">
        <v>725</v>
      </c>
    </row>
    <row r="2937" spans="1:8" x14ac:dyDescent="0.3">
      <c r="A2937">
        <v>14516</v>
      </c>
      <c r="B2937" t="s">
        <v>5</v>
      </c>
      <c r="C2937" t="s">
        <v>2413</v>
      </c>
      <c r="D2937" t="s">
        <v>2199</v>
      </c>
      <c r="E2937" t="s">
        <v>8</v>
      </c>
      <c r="F2937" t="s">
        <v>9</v>
      </c>
      <c r="G2937" t="s">
        <v>3145</v>
      </c>
      <c r="H2937" s="7">
        <v>725</v>
      </c>
    </row>
    <row r="2938" spans="1:8" x14ac:dyDescent="0.3">
      <c r="A2938">
        <v>14518</v>
      </c>
      <c r="B2938" t="s">
        <v>3216</v>
      </c>
      <c r="C2938" t="s">
        <v>1572</v>
      </c>
      <c r="D2938" t="s">
        <v>4595</v>
      </c>
      <c r="E2938" t="s">
        <v>8</v>
      </c>
      <c r="F2938" t="s">
        <v>140</v>
      </c>
      <c r="G2938" t="s">
        <v>4401</v>
      </c>
      <c r="H2938" s="7">
        <v>30093</v>
      </c>
    </row>
    <row r="2939" spans="1:8" x14ac:dyDescent="0.3">
      <c r="A2939">
        <v>14535</v>
      </c>
      <c r="B2939" t="s">
        <v>5</v>
      </c>
      <c r="C2939" t="s">
        <v>1665</v>
      </c>
      <c r="D2939" t="s">
        <v>982</v>
      </c>
      <c r="E2939" t="s">
        <v>8</v>
      </c>
      <c r="F2939" t="s">
        <v>9</v>
      </c>
      <c r="G2939" t="s">
        <v>5254</v>
      </c>
      <c r="H2939" s="7">
        <v>725</v>
      </c>
    </row>
    <row r="2940" spans="1:8" x14ac:dyDescent="0.3">
      <c r="A2940">
        <v>14545</v>
      </c>
      <c r="B2940" t="s">
        <v>5</v>
      </c>
      <c r="C2940" t="s">
        <v>86</v>
      </c>
      <c r="D2940" t="s">
        <v>4665</v>
      </c>
      <c r="E2940" t="s">
        <v>27</v>
      </c>
      <c r="F2940" t="s">
        <v>9</v>
      </c>
      <c r="G2940" t="s">
        <v>5131</v>
      </c>
      <c r="H2940" s="7">
        <v>725</v>
      </c>
    </row>
    <row r="2941" spans="1:8" x14ac:dyDescent="0.3">
      <c r="A2941">
        <v>14549</v>
      </c>
      <c r="B2941" t="s">
        <v>978</v>
      </c>
      <c r="C2941" t="s">
        <v>1045</v>
      </c>
      <c r="D2941" t="s">
        <v>2934</v>
      </c>
      <c r="E2941" t="s">
        <v>95</v>
      </c>
      <c r="F2941" t="s">
        <v>55</v>
      </c>
      <c r="G2941" t="s">
        <v>5016</v>
      </c>
      <c r="H2941" s="7">
        <v>60426</v>
      </c>
    </row>
    <row r="2942" spans="1:8" x14ac:dyDescent="0.3">
      <c r="A2942">
        <v>14556</v>
      </c>
      <c r="B2942" t="s">
        <v>495</v>
      </c>
      <c r="C2942" t="s">
        <v>3991</v>
      </c>
      <c r="D2942" t="s">
        <v>4901</v>
      </c>
      <c r="E2942" t="s">
        <v>8</v>
      </c>
      <c r="F2942" t="s">
        <v>88</v>
      </c>
      <c r="G2942" t="s">
        <v>4484</v>
      </c>
      <c r="H2942" s="7">
        <v>11214</v>
      </c>
    </row>
    <row r="2943" spans="1:8" x14ac:dyDescent="0.3">
      <c r="A2943">
        <v>14557</v>
      </c>
      <c r="B2943" t="s">
        <v>995</v>
      </c>
      <c r="C2943" t="s">
        <v>4526</v>
      </c>
      <c r="D2943" t="s">
        <v>462</v>
      </c>
      <c r="E2943" t="s">
        <v>8</v>
      </c>
      <c r="F2943" t="s">
        <v>283</v>
      </c>
      <c r="G2943" t="s">
        <v>5414</v>
      </c>
      <c r="H2943" s="7">
        <v>23456</v>
      </c>
    </row>
    <row r="2944" spans="1:8" x14ac:dyDescent="0.3">
      <c r="A2944">
        <v>14561</v>
      </c>
      <c r="B2944" t="s">
        <v>105</v>
      </c>
      <c r="C2944" t="s">
        <v>696</v>
      </c>
      <c r="D2944" t="s">
        <v>2453</v>
      </c>
      <c r="E2944" t="s">
        <v>27</v>
      </c>
      <c r="F2944" t="s">
        <v>108</v>
      </c>
      <c r="G2944" t="s">
        <v>4332</v>
      </c>
      <c r="H2944" s="7">
        <v>97701</v>
      </c>
    </row>
    <row r="2945" spans="1:8" x14ac:dyDescent="0.3">
      <c r="A2945">
        <v>14574</v>
      </c>
      <c r="B2945" t="s">
        <v>5</v>
      </c>
      <c r="C2945" t="s">
        <v>2067</v>
      </c>
      <c r="D2945" t="s">
        <v>189</v>
      </c>
      <c r="E2945" t="s">
        <v>8</v>
      </c>
      <c r="F2945" t="s">
        <v>9</v>
      </c>
      <c r="G2945" t="s">
        <v>96</v>
      </c>
      <c r="H2945" s="7">
        <v>725</v>
      </c>
    </row>
    <row r="2946" spans="1:8" x14ac:dyDescent="0.3">
      <c r="A2946">
        <v>14582</v>
      </c>
      <c r="B2946" t="s">
        <v>5</v>
      </c>
      <c r="C2946" t="s">
        <v>3220</v>
      </c>
      <c r="D2946" t="s">
        <v>1058</v>
      </c>
      <c r="E2946" t="s">
        <v>95</v>
      </c>
      <c r="F2946" t="s">
        <v>9</v>
      </c>
      <c r="G2946" t="s">
        <v>5350</v>
      </c>
      <c r="H2946" s="7">
        <v>725</v>
      </c>
    </row>
    <row r="2947" spans="1:8" x14ac:dyDescent="0.3">
      <c r="A2947">
        <v>14607</v>
      </c>
      <c r="B2947" t="s">
        <v>5</v>
      </c>
      <c r="C2947" t="s">
        <v>967</v>
      </c>
      <c r="D2947" t="s">
        <v>1812</v>
      </c>
      <c r="E2947" t="s">
        <v>27</v>
      </c>
      <c r="F2947" t="s">
        <v>9</v>
      </c>
      <c r="G2947" t="s">
        <v>1491</v>
      </c>
      <c r="H2947" s="7">
        <v>725</v>
      </c>
    </row>
    <row r="2948" spans="1:8" x14ac:dyDescent="0.3">
      <c r="A2948">
        <v>14612</v>
      </c>
      <c r="B2948" t="s">
        <v>5</v>
      </c>
      <c r="C2948" t="s">
        <v>5559</v>
      </c>
      <c r="D2948" t="s">
        <v>3988</v>
      </c>
      <c r="E2948" t="s">
        <v>27</v>
      </c>
      <c r="F2948" t="s">
        <v>9</v>
      </c>
      <c r="G2948" t="s">
        <v>5390</v>
      </c>
      <c r="H2948" s="7">
        <v>725</v>
      </c>
    </row>
    <row r="2949" spans="1:8" x14ac:dyDescent="0.3">
      <c r="A2949">
        <v>14625</v>
      </c>
      <c r="B2949" t="s">
        <v>670</v>
      </c>
      <c r="C2949" t="s">
        <v>909</v>
      </c>
      <c r="D2949" t="s">
        <v>251</v>
      </c>
      <c r="E2949" t="s">
        <v>95</v>
      </c>
      <c r="F2949" t="s">
        <v>55</v>
      </c>
      <c r="G2949" t="s">
        <v>4154</v>
      </c>
      <c r="H2949" s="7">
        <v>60126</v>
      </c>
    </row>
    <row r="2950" spans="1:8" x14ac:dyDescent="0.3">
      <c r="A2950">
        <v>14636</v>
      </c>
      <c r="B2950" t="s">
        <v>1800</v>
      </c>
      <c r="C2950" t="s">
        <v>5360</v>
      </c>
      <c r="D2950" t="s">
        <v>4973</v>
      </c>
      <c r="E2950" t="s">
        <v>95</v>
      </c>
      <c r="F2950" t="s">
        <v>114</v>
      </c>
      <c r="G2950" t="s">
        <v>3965</v>
      </c>
      <c r="H2950" s="7">
        <v>76116</v>
      </c>
    </row>
    <row r="2951" spans="1:8" x14ac:dyDescent="0.3">
      <c r="A2951">
        <v>14658</v>
      </c>
      <c r="B2951" t="s">
        <v>5</v>
      </c>
      <c r="C2951" t="s">
        <v>4211</v>
      </c>
      <c r="D2951" t="s">
        <v>3680</v>
      </c>
      <c r="E2951" t="s">
        <v>8</v>
      </c>
      <c r="F2951" t="s">
        <v>9</v>
      </c>
      <c r="G2951" t="s">
        <v>2009</v>
      </c>
      <c r="H2951" s="7">
        <v>725</v>
      </c>
    </row>
    <row r="2952" spans="1:8" x14ac:dyDescent="0.3">
      <c r="A2952">
        <v>14668</v>
      </c>
      <c r="B2952" t="s">
        <v>3390</v>
      </c>
      <c r="C2952" t="s">
        <v>2945</v>
      </c>
      <c r="D2952" t="s">
        <v>5265</v>
      </c>
      <c r="E2952" t="s">
        <v>95</v>
      </c>
      <c r="F2952" t="s">
        <v>1514</v>
      </c>
      <c r="G2952" t="s">
        <v>4533</v>
      </c>
      <c r="H2952" s="7">
        <v>40214</v>
      </c>
    </row>
    <row r="2953" spans="1:8" x14ac:dyDescent="0.3">
      <c r="A2953">
        <v>14669</v>
      </c>
      <c r="B2953" t="s">
        <v>5</v>
      </c>
      <c r="C2953" t="s">
        <v>196</v>
      </c>
      <c r="D2953" t="s">
        <v>3797</v>
      </c>
      <c r="E2953" t="s">
        <v>8</v>
      </c>
      <c r="F2953" t="s">
        <v>9</v>
      </c>
      <c r="G2953" t="s">
        <v>2900</v>
      </c>
      <c r="H2953" s="7">
        <v>725</v>
      </c>
    </row>
    <row r="2954" spans="1:8" x14ac:dyDescent="0.3">
      <c r="A2954">
        <v>14687</v>
      </c>
      <c r="B2954" t="s">
        <v>5</v>
      </c>
      <c r="C2954" t="s">
        <v>2328</v>
      </c>
      <c r="D2954" t="s">
        <v>2051</v>
      </c>
      <c r="E2954" t="s">
        <v>8</v>
      </c>
      <c r="F2954" t="s">
        <v>9</v>
      </c>
      <c r="G2954" t="s">
        <v>154</v>
      </c>
      <c r="H2954" s="7">
        <v>725</v>
      </c>
    </row>
    <row r="2955" spans="1:8" x14ac:dyDescent="0.3">
      <c r="A2955">
        <v>14692</v>
      </c>
      <c r="B2955" t="s">
        <v>18</v>
      </c>
      <c r="C2955" t="s">
        <v>1074</v>
      </c>
      <c r="D2955" t="s">
        <v>1686</v>
      </c>
      <c r="E2955" t="s">
        <v>8</v>
      </c>
      <c r="F2955" t="s">
        <v>21</v>
      </c>
      <c r="G2955" t="s">
        <v>4141</v>
      </c>
      <c r="H2955" s="7">
        <v>95122</v>
      </c>
    </row>
    <row r="2956" spans="1:8" x14ac:dyDescent="0.3">
      <c r="A2956">
        <v>14711</v>
      </c>
      <c r="B2956" t="s">
        <v>5</v>
      </c>
      <c r="C2956" t="s">
        <v>2801</v>
      </c>
      <c r="D2956" t="s">
        <v>3647</v>
      </c>
      <c r="E2956" t="s">
        <v>8</v>
      </c>
      <c r="F2956" t="s">
        <v>9</v>
      </c>
      <c r="G2956" t="s">
        <v>5304</v>
      </c>
      <c r="H2956" s="7">
        <v>725</v>
      </c>
    </row>
    <row r="2957" spans="1:8" x14ac:dyDescent="0.3">
      <c r="A2957">
        <v>14714</v>
      </c>
      <c r="B2957" t="s">
        <v>4295</v>
      </c>
      <c r="C2957" t="s">
        <v>868</v>
      </c>
      <c r="D2957" t="s">
        <v>1544</v>
      </c>
      <c r="E2957" t="s">
        <v>8</v>
      </c>
      <c r="F2957" t="s">
        <v>248</v>
      </c>
      <c r="G2957" t="s">
        <v>4296</v>
      </c>
      <c r="H2957" s="7">
        <v>43068</v>
      </c>
    </row>
    <row r="2958" spans="1:8" x14ac:dyDescent="0.3">
      <c r="A2958">
        <v>14727</v>
      </c>
      <c r="B2958" t="s">
        <v>5</v>
      </c>
      <c r="C2958" t="s">
        <v>2477</v>
      </c>
      <c r="D2958" t="s">
        <v>3325</v>
      </c>
      <c r="E2958" t="s">
        <v>8</v>
      </c>
      <c r="F2958" t="s">
        <v>9</v>
      </c>
      <c r="G2958" t="s">
        <v>3009</v>
      </c>
      <c r="H2958" s="7">
        <v>725</v>
      </c>
    </row>
    <row r="2959" spans="1:8" x14ac:dyDescent="0.3">
      <c r="A2959">
        <v>14730</v>
      </c>
      <c r="B2959" t="s">
        <v>117</v>
      </c>
      <c r="C2959" t="s">
        <v>653</v>
      </c>
      <c r="D2959" t="s">
        <v>3583</v>
      </c>
      <c r="E2959" t="s">
        <v>8</v>
      </c>
      <c r="F2959" t="s">
        <v>21</v>
      </c>
      <c r="G2959" t="s">
        <v>5172</v>
      </c>
      <c r="H2959" s="7">
        <v>92154</v>
      </c>
    </row>
    <row r="2960" spans="1:8" x14ac:dyDescent="0.3">
      <c r="A2960">
        <v>14733</v>
      </c>
      <c r="B2960" t="s">
        <v>59</v>
      </c>
      <c r="C2960" t="s">
        <v>5553</v>
      </c>
      <c r="D2960" t="s">
        <v>413</v>
      </c>
      <c r="E2960" t="s">
        <v>95</v>
      </c>
      <c r="F2960" t="s">
        <v>21</v>
      </c>
      <c r="G2960" t="s">
        <v>4032</v>
      </c>
      <c r="H2960" s="7">
        <v>90804</v>
      </c>
    </row>
    <row r="2961" spans="1:8" x14ac:dyDescent="0.3">
      <c r="A2961">
        <v>14747</v>
      </c>
      <c r="B2961" t="s">
        <v>789</v>
      </c>
      <c r="C2961" t="s">
        <v>4202</v>
      </c>
      <c r="D2961" t="s">
        <v>667</v>
      </c>
      <c r="E2961" t="s">
        <v>27</v>
      </c>
      <c r="F2961" t="s">
        <v>21</v>
      </c>
      <c r="G2961" t="s">
        <v>2849</v>
      </c>
      <c r="H2961" s="7">
        <v>92802</v>
      </c>
    </row>
    <row r="2962" spans="1:8" x14ac:dyDescent="0.3">
      <c r="A2962">
        <v>14761</v>
      </c>
      <c r="B2962" t="s">
        <v>2325</v>
      </c>
      <c r="C2962" t="s">
        <v>4614</v>
      </c>
      <c r="D2962" t="s">
        <v>345</v>
      </c>
      <c r="E2962" t="s">
        <v>8</v>
      </c>
      <c r="F2962" t="s">
        <v>21</v>
      </c>
      <c r="G2962" t="s">
        <v>5318</v>
      </c>
      <c r="H2962" s="7">
        <v>94509</v>
      </c>
    </row>
    <row r="2963" spans="1:8" x14ac:dyDescent="0.3">
      <c r="A2963">
        <v>14767</v>
      </c>
      <c r="B2963" t="s">
        <v>3523</v>
      </c>
      <c r="C2963" t="s">
        <v>3055</v>
      </c>
      <c r="D2963" t="s">
        <v>1706</v>
      </c>
      <c r="E2963" t="s">
        <v>8</v>
      </c>
      <c r="F2963" t="s">
        <v>9</v>
      </c>
      <c r="G2963" t="s">
        <v>3627</v>
      </c>
      <c r="H2963" s="7">
        <v>685</v>
      </c>
    </row>
    <row r="2964" spans="1:8" x14ac:dyDescent="0.3">
      <c r="A2964">
        <v>14768</v>
      </c>
      <c r="B2964" t="s">
        <v>5</v>
      </c>
      <c r="C2964" t="s">
        <v>696</v>
      </c>
      <c r="D2964" t="s">
        <v>3110</v>
      </c>
      <c r="E2964" t="s">
        <v>8</v>
      </c>
      <c r="F2964" t="s">
        <v>9</v>
      </c>
      <c r="G2964" t="s">
        <v>4272</v>
      </c>
      <c r="H2964" s="7">
        <v>725</v>
      </c>
    </row>
    <row r="2965" spans="1:8" x14ac:dyDescent="0.3">
      <c r="A2965">
        <v>14773</v>
      </c>
      <c r="B2965" t="s">
        <v>1139</v>
      </c>
      <c r="C2965" t="s">
        <v>2946</v>
      </c>
      <c r="D2965" t="s">
        <v>2059</v>
      </c>
      <c r="E2965" t="s">
        <v>27</v>
      </c>
      <c r="F2965" t="s">
        <v>114</v>
      </c>
      <c r="G2965" t="s">
        <v>4162</v>
      </c>
      <c r="H2965" s="7">
        <v>79924</v>
      </c>
    </row>
    <row r="2966" spans="1:8" x14ac:dyDescent="0.3">
      <c r="A2966">
        <v>14777</v>
      </c>
      <c r="B2966" t="s">
        <v>5</v>
      </c>
      <c r="C2966" t="s">
        <v>2236</v>
      </c>
      <c r="D2966" t="s">
        <v>340</v>
      </c>
      <c r="E2966" t="s">
        <v>8</v>
      </c>
      <c r="F2966" t="s">
        <v>9</v>
      </c>
      <c r="G2966" t="s">
        <v>4896</v>
      </c>
      <c r="H2966" s="7">
        <v>725</v>
      </c>
    </row>
    <row r="2967" spans="1:8" x14ac:dyDescent="0.3">
      <c r="A2967">
        <v>14786</v>
      </c>
      <c r="B2967" t="s">
        <v>4807</v>
      </c>
      <c r="C2967" t="s">
        <v>5214</v>
      </c>
      <c r="D2967" t="s">
        <v>2087</v>
      </c>
      <c r="E2967" t="s">
        <v>27</v>
      </c>
      <c r="F2967" t="s">
        <v>1657</v>
      </c>
      <c r="G2967" t="s">
        <v>2197</v>
      </c>
      <c r="H2967" s="7">
        <v>6516</v>
      </c>
    </row>
    <row r="2968" spans="1:8" x14ac:dyDescent="0.3">
      <c r="A2968">
        <v>14799</v>
      </c>
      <c r="B2968" t="s">
        <v>5</v>
      </c>
      <c r="C2968" t="s">
        <v>938</v>
      </c>
      <c r="D2968" t="s">
        <v>968</v>
      </c>
      <c r="E2968" t="s">
        <v>8</v>
      </c>
      <c r="F2968" t="s">
        <v>9</v>
      </c>
      <c r="G2968" t="s">
        <v>946</v>
      </c>
      <c r="H2968" s="7">
        <v>725</v>
      </c>
    </row>
    <row r="2969" spans="1:8" x14ac:dyDescent="0.3">
      <c r="A2969">
        <v>14815</v>
      </c>
      <c r="B2969" t="s">
        <v>5</v>
      </c>
      <c r="C2969" t="s">
        <v>515</v>
      </c>
      <c r="D2969" t="s">
        <v>3902</v>
      </c>
      <c r="E2969" t="s">
        <v>27</v>
      </c>
      <c r="F2969" t="s">
        <v>9</v>
      </c>
      <c r="G2969" t="s">
        <v>4256</v>
      </c>
      <c r="H2969" s="7">
        <v>725</v>
      </c>
    </row>
    <row r="2970" spans="1:8" x14ac:dyDescent="0.3">
      <c r="A2970">
        <v>14816</v>
      </c>
      <c r="B2970" t="s">
        <v>3984</v>
      </c>
      <c r="C2970" t="s">
        <v>1592</v>
      </c>
      <c r="D2970" t="s">
        <v>1475</v>
      </c>
      <c r="E2970" t="s">
        <v>27</v>
      </c>
      <c r="F2970" t="s">
        <v>172</v>
      </c>
      <c r="G2970" t="s">
        <v>5603</v>
      </c>
      <c r="H2970" s="7">
        <v>65807</v>
      </c>
    </row>
    <row r="2971" spans="1:8" x14ac:dyDescent="0.3">
      <c r="A2971">
        <v>14825</v>
      </c>
      <c r="B2971" t="s">
        <v>3008</v>
      </c>
      <c r="C2971" t="s">
        <v>2090</v>
      </c>
      <c r="D2971" t="s">
        <v>4362</v>
      </c>
      <c r="E2971" t="s">
        <v>8</v>
      </c>
      <c r="F2971" t="s">
        <v>158</v>
      </c>
      <c r="G2971" t="s">
        <v>3121</v>
      </c>
      <c r="H2971" s="7">
        <v>38111</v>
      </c>
    </row>
    <row r="2972" spans="1:8" x14ac:dyDescent="0.3">
      <c r="A2972">
        <v>14837</v>
      </c>
      <c r="B2972" t="s">
        <v>1100</v>
      </c>
      <c r="C2972" t="s">
        <v>5364</v>
      </c>
      <c r="D2972" t="s">
        <v>2384</v>
      </c>
      <c r="E2972" t="s">
        <v>8</v>
      </c>
      <c r="F2972" t="s">
        <v>21</v>
      </c>
      <c r="G2972" t="s">
        <v>4624</v>
      </c>
      <c r="H2972" s="7">
        <v>94587</v>
      </c>
    </row>
    <row r="2973" spans="1:8" x14ac:dyDescent="0.3">
      <c r="A2973">
        <v>14864</v>
      </c>
      <c r="B2973" t="s">
        <v>772</v>
      </c>
      <c r="C2973" t="s">
        <v>2895</v>
      </c>
      <c r="D2973" t="s">
        <v>4628</v>
      </c>
      <c r="E2973" t="s">
        <v>27</v>
      </c>
      <c r="F2973" t="s">
        <v>21</v>
      </c>
      <c r="G2973" t="s">
        <v>3977</v>
      </c>
      <c r="H2973" s="7">
        <v>95608</v>
      </c>
    </row>
    <row r="2974" spans="1:8" x14ac:dyDescent="0.3">
      <c r="A2974">
        <v>14868</v>
      </c>
      <c r="B2974" t="s">
        <v>1635</v>
      </c>
      <c r="C2974" t="s">
        <v>2194</v>
      </c>
      <c r="D2974" t="s">
        <v>2698</v>
      </c>
      <c r="E2974" t="s">
        <v>8</v>
      </c>
      <c r="F2974" t="s">
        <v>1177</v>
      </c>
      <c r="G2974" t="s">
        <v>5489</v>
      </c>
      <c r="H2974" s="7">
        <v>87120</v>
      </c>
    </row>
    <row r="2975" spans="1:8" x14ac:dyDescent="0.3">
      <c r="A2975">
        <v>14870</v>
      </c>
      <c r="B2975" t="s">
        <v>3150</v>
      </c>
      <c r="C2975" t="s">
        <v>1156</v>
      </c>
      <c r="E2975" t="s">
        <v>8</v>
      </c>
      <c r="F2975" t="s">
        <v>341</v>
      </c>
      <c r="G2975" t="s">
        <v>3713</v>
      </c>
      <c r="H2975" s="7">
        <v>28314</v>
      </c>
    </row>
    <row r="2976" spans="1:8" x14ac:dyDescent="0.3">
      <c r="A2976">
        <v>14875</v>
      </c>
      <c r="B2976" t="s">
        <v>5</v>
      </c>
      <c r="C2976" t="s">
        <v>2740</v>
      </c>
      <c r="D2976" t="s">
        <v>7</v>
      </c>
      <c r="E2976" t="s">
        <v>27</v>
      </c>
      <c r="F2976" t="s">
        <v>9</v>
      </c>
      <c r="G2976" t="s">
        <v>4022</v>
      </c>
      <c r="H2976" s="7">
        <v>725</v>
      </c>
    </row>
    <row r="2977" spans="1:8" x14ac:dyDescent="0.3">
      <c r="A2977">
        <v>14878</v>
      </c>
      <c r="B2977" t="s">
        <v>5</v>
      </c>
      <c r="C2977" t="s">
        <v>3608</v>
      </c>
      <c r="D2977" t="s">
        <v>2855</v>
      </c>
      <c r="E2977" t="s">
        <v>95</v>
      </c>
      <c r="F2977" t="s">
        <v>9</v>
      </c>
      <c r="G2977" t="s">
        <v>4539</v>
      </c>
      <c r="H2977" s="7">
        <v>725</v>
      </c>
    </row>
    <row r="2978" spans="1:8" x14ac:dyDescent="0.3">
      <c r="A2978">
        <v>14884</v>
      </c>
      <c r="B2978" t="s">
        <v>313</v>
      </c>
      <c r="C2978" t="s">
        <v>1653</v>
      </c>
      <c r="D2978" t="s">
        <v>1750</v>
      </c>
      <c r="E2978" t="s">
        <v>8</v>
      </c>
      <c r="F2978" t="s">
        <v>88</v>
      </c>
      <c r="G2978" t="s">
        <v>5534</v>
      </c>
      <c r="H2978" s="7">
        <v>11368</v>
      </c>
    </row>
    <row r="2979" spans="1:8" x14ac:dyDescent="0.3">
      <c r="A2979">
        <v>14893</v>
      </c>
      <c r="B2979" t="s">
        <v>5</v>
      </c>
      <c r="C2979" t="s">
        <v>1488</v>
      </c>
      <c r="D2979" t="s">
        <v>2015</v>
      </c>
      <c r="E2979" t="s">
        <v>95</v>
      </c>
      <c r="F2979" t="s">
        <v>9</v>
      </c>
      <c r="G2979" t="s">
        <v>1760</v>
      </c>
      <c r="H2979" s="7">
        <v>725</v>
      </c>
    </row>
    <row r="2980" spans="1:8" x14ac:dyDescent="0.3">
      <c r="A2980">
        <v>14903</v>
      </c>
      <c r="B2980" t="s">
        <v>699</v>
      </c>
      <c r="C2980" t="s">
        <v>1893</v>
      </c>
      <c r="D2980" t="s">
        <v>2336</v>
      </c>
      <c r="E2980" t="s">
        <v>8</v>
      </c>
      <c r="F2980" t="s">
        <v>114</v>
      </c>
      <c r="G2980" t="s">
        <v>4474</v>
      </c>
      <c r="H2980" s="7">
        <v>77083</v>
      </c>
    </row>
    <row r="2981" spans="1:8" x14ac:dyDescent="0.3">
      <c r="A2981">
        <v>14913</v>
      </c>
      <c r="B2981" t="s">
        <v>5</v>
      </c>
      <c r="C2981" t="s">
        <v>3346</v>
      </c>
      <c r="D2981" t="s">
        <v>4499</v>
      </c>
      <c r="E2981" t="s">
        <v>8</v>
      </c>
      <c r="F2981" t="s">
        <v>9</v>
      </c>
      <c r="G2981" t="s">
        <v>1466</v>
      </c>
      <c r="H2981" s="7">
        <v>725</v>
      </c>
    </row>
    <row r="2982" spans="1:8" x14ac:dyDescent="0.3">
      <c r="A2982">
        <v>14923</v>
      </c>
      <c r="B2982" t="s">
        <v>1174</v>
      </c>
      <c r="C2982" t="s">
        <v>2064</v>
      </c>
      <c r="D2982" t="s">
        <v>1528</v>
      </c>
      <c r="E2982" t="s">
        <v>8</v>
      </c>
      <c r="F2982" t="s">
        <v>1177</v>
      </c>
      <c r="G2982" t="s">
        <v>4356</v>
      </c>
      <c r="H2982" s="7">
        <v>88005</v>
      </c>
    </row>
    <row r="2983" spans="1:8" x14ac:dyDescent="0.3">
      <c r="A2983">
        <v>14931</v>
      </c>
      <c r="B2983" t="s">
        <v>3471</v>
      </c>
      <c r="C2983" t="s">
        <v>2149</v>
      </c>
      <c r="D2983" t="s">
        <v>2481</v>
      </c>
      <c r="E2983" t="s">
        <v>95</v>
      </c>
      <c r="F2983" t="s">
        <v>88</v>
      </c>
      <c r="G2983" t="s">
        <v>4353</v>
      </c>
      <c r="H2983" s="7">
        <v>14580</v>
      </c>
    </row>
    <row r="2984" spans="1:8" x14ac:dyDescent="0.3">
      <c r="A2984">
        <v>14935</v>
      </c>
      <c r="B2984" t="s">
        <v>5</v>
      </c>
      <c r="C2984" t="s">
        <v>1502</v>
      </c>
      <c r="D2984" t="s">
        <v>1727</v>
      </c>
      <c r="E2984" t="s">
        <v>8</v>
      </c>
      <c r="F2984" t="s">
        <v>9</v>
      </c>
      <c r="G2984" t="s">
        <v>3817</v>
      </c>
      <c r="H2984" s="7">
        <v>725</v>
      </c>
    </row>
    <row r="2985" spans="1:8" x14ac:dyDescent="0.3">
      <c r="A2985">
        <v>14939</v>
      </c>
      <c r="B2985" t="s">
        <v>2314</v>
      </c>
      <c r="C2985" t="s">
        <v>1446</v>
      </c>
      <c r="D2985" t="s">
        <v>4973</v>
      </c>
      <c r="E2985" t="s">
        <v>8</v>
      </c>
      <c r="F2985" t="s">
        <v>21</v>
      </c>
      <c r="G2985" t="s">
        <v>634</v>
      </c>
      <c r="H2985" s="7">
        <v>91351</v>
      </c>
    </row>
    <row r="2986" spans="1:8" x14ac:dyDescent="0.3">
      <c r="A2986">
        <v>14944</v>
      </c>
      <c r="B2986" t="s">
        <v>2810</v>
      </c>
      <c r="C2986" t="s">
        <v>164</v>
      </c>
      <c r="D2986" t="s">
        <v>2954</v>
      </c>
      <c r="E2986" t="s">
        <v>8</v>
      </c>
      <c r="F2986" t="s">
        <v>381</v>
      </c>
      <c r="G2986" t="s">
        <v>4988</v>
      </c>
      <c r="H2986" s="7">
        <v>48103</v>
      </c>
    </row>
    <row r="2987" spans="1:8" x14ac:dyDescent="0.3">
      <c r="A2987">
        <v>14950</v>
      </c>
      <c r="B2987" t="s">
        <v>5</v>
      </c>
      <c r="C2987" t="s">
        <v>1659</v>
      </c>
      <c r="D2987" t="s">
        <v>3110</v>
      </c>
      <c r="E2987" t="s">
        <v>8</v>
      </c>
      <c r="F2987" t="s">
        <v>9</v>
      </c>
      <c r="G2987" t="s">
        <v>3639</v>
      </c>
      <c r="H2987" s="7">
        <v>725</v>
      </c>
    </row>
    <row r="2988" spans="1:8" x14ac:dyDescent="0.3">
      <c r="A2988">
        <v>14966</v>
      </c>
      <c r="B2988" t="s">
        <v>33</v>
      </c>
      <c r="C2988" t="s">
        <v>1404</v>
      </c>
      <c r="D2988" t="s">
        <v>2028</v>
      </c>
      <c r="E2988" t="s">
        <v>8</v>
      </c>
      <c r="F2988" t="s">
        <v>36</v>
      </c>
      <c r="G2988" t="s">
        <v>3009</v>
      </c>
      <c r="H2988" s="7">
        <v>1960</v>
      </c>
    </row>
    <row r="2989" spans="1:8" x14ac:dyDescent="0.3">
      <c r="A2989">
        <v>14967</v>
      </c>
      <c r="B2989" t="s">
        <v>5</v>
      </c>
      <c r="C2989" t="s">
        <v>3793</v>
      </c>
      <c r="D2989" t="s">
        <v>2944</v>
      </c>
      <c r="E2989" t="s">
        <v>27</v>
      </c>
      <c r="F2989" t="s">
        <v>9</v>
      </c>
      <c r="G2989" t="s">
        <v>3326</v>
      </c>
      <c r="H2989" s="7">
        <v>725</v>
      </c>
    </row>
    <row r="2990" spans="1:8" x14ac:dyDescent="0.3">
      <c r="A2990">
        <v>14969</v>
      </c>
      <c r="B2990" t="s">
        <v>5</v>
      </c>
      <c r="C2990" t="s">
        <v>1224</v>
      </c>
      <c r="D2990" t="s">
        <v>237</v>
      </c>
      <c r="E2990" t="s">
        <v>27</v>
      </c>
      <c r="F2990" t="s">
        <v>9</v>
      </c>
      <c r="G2990" t="s">
        <v>5491</v>
      </c>
      <c r="H2990" s="7">
        <v>725</v>
      </c>
    </row>
    <row r="2991" spans="1:8" x14ac:dyDescent="0.3">
      <c r="A2991">
        <v>14979</v>
      </c>
      <c r="B2991" t="s">
        <v>1293</v>
      </c>
      <c r="C2991" t="s">
        <v>3001</v>
      </c>
      <c r="D2991" t="s">
        <v>1973</v>
      </c>
      <c r="E2991" t="s">
        <v>8</v>
      </c>
      <c r="F2991" t="s">
        <v>190</v>
      </c>
      <c r="G2991" t="s">
        <v>4585</v>
      </c>
      <c r="H2991" s="7">
        <v>85282</v>
      </c>
    </row>
    <row r="2992" spans="1:8" x14ac:dyDescent="0.3">
      <c r="A2992">
        <v>14985</v>
      </c>
      <c r="B2992" t="s">
        <v>5</v>
      </c>
      <c r="C2992" t="s">
        <v>325</v>
      </c>
      <c r="D2992" t="s">
        <v>3583</v>
      </c>
      <c r="E2992" t="s">
        <v>8</v>
      </c>
      <c r="F2992" t="s">
        <v>9</v>
      </c>
      <c r="G2992" t="s">
        <v>5293</v>
      </c>
      <c r="H2992" s="7">
        <v>725</v>
      </c>
    </row>
    <row r="2993" spans="1:8" x14ac:dyDescent="0.3">
      <c r="A2993">
        <v>14986</v>
      </c>
      <c r="B2993" t="s">
        <v>626</v>
      </c>
      <c r="C2993" t="s">
        <v>318</v>
      </c>
      <c r="D2993" t="s">
        <v>4113</v>
      </c>
      <c r="E2993" t="s">
        <v>8</v>
      </c>
      <c r="F2993" t="s">
        <v>55</v>
      </c>
      <c r="G2993" t="s">
        <v>4127</v>
      </c>
      <c r="H2993" s="7">
        <v>60123</v>
      </c>
    </row>
    <row r="2994" spans="1:8" x14ac:dyDescent="0.3">
      <c r="A2994">
        <v>15000</v>
      </c>
      <c r="B2994" t="s">
        <v>1859</v>
      </c>
      <c r="C2994" t="s">
        <v>5236</v>
      </c>
      <c r="D2994" t="s">
        <v>2010</v>
      </c>
      <c r="E2994" t="s">
        <v>8</v>
      </c>
      <c r="F2994" t="s">
        <v>114</v>
      </c>
      <c r="G2994" t="s">
        <v>5110</v>
      </c>
      <c r="H2994" s="7">
        <v>79109</v>
      </c>
    </row>
    <row r="2995" spans="1:8" x14ac:dyDescent="0.3">
      <c r="A2995">
        <v>15008</v>
      </c>
      <c r="B2995" t="s">
        <v>5</v>
      </c>
      <c r="C2995" t="s">
        <v>385</v>
      </c>
      <c r="D2995" t="s">
        <v>2374</v>
      </c>
      <c r="E2995" t="s">
        <v>8</v>
      </c>
      <c r="F2995" t="s">
        <v>9</v>
      </c>
      <c r="G2995" t="s">
        <v>757</v>
      </c>
      <c r="H2995" s="7">
        <v>725</v>
      </c>
    </row>
    <row r="2996" spans="1:8" x14ac:dyDescent="0.3">
      <c r="A2996">
        <v>15012</v>
      </c>
      <c r="B2996" t="s">
        <v>5</v>
      </c>
      <c r="C2996" t="s">
        <v>3740</v>
      </c>
      <c r="D2996" t="s">
        <v>800</v>
      </c>
      <c r="E2996" t="s">
        <v>95</v>
      </c>
      <c r="F2996" t="s">
        <v>9</v>
      </c>
      <c r="G2996" t="s">
        <v>5054</v>
      </c>
      <c r="H2996" s="7">
        <v>725</v>
      </c>
    </row>
    <row r="2997" spans="1:8" x14ac:dyDescent="0.3">
      <c r="A2997">
        <v>15016</v>
      </c>
      <c r="B2997" t="s">
        <v>5</v>
      </c>
      <c r="C2997" t="s">
        <v>3265</v>
      </c>
      <c r="D2997" t="s">
        <v>4330</v>
      </c>
      <c r="E2997" t="s">
        <v>27</v>
      </c>
      <c r="F2997" t="s">
        <v>9</v>
      </c>
      <c r="G2997" t="s">
        <v>4816</v>
      </c>
      <c r="H2997" s="7">
        <v>725</v>
      </c>
    </row>
    <row r="2998" spans="1:8" x14ac:dyDescent="0.3">
      <c r="A2998">
        <v>15024</v>
      </c>
      <c r="B2998" t="s">
        <v>5</v>
      </c>
      <c r="C2998" t="s">
        <v>3315</v>
      </c>
      <c r="D2998" t="s">
        <v>4270</v>
      </c>
      <c r="E2998" t="s">
        <v>8</v>
      </c>
      <c r="F2998" t="s">
        <v>9</v>
      </c>
      <c r="G2998" t="s">
        <v>3626</v>
      </c>
      <c r="H2998" s="7">
        <v>725</v>
      </c>
    </row>
    <row r="2999" spans="1:8" x14ac:dyDescent="0.3">
      <c r="A2999">
        <v>15034</v>
      </c>
      <c r="B2999" t="s">
        <v>5</v>
      </c>
      <c r="C2999" t="s">
        <v>2020</v>
      </c>
      <c r="D2999" t="s">
        <v>3247</v>
      </c>
      <c r="E2999" t="s">
        <v>8</v>
      </c>
      <c r="F2999" t="s">
        <v>9</v>
      </c>
      <c r="G2999" t="s">
        <v>2437</v>
      </c>
      <c r="H2999" s="7">
        <v>725</v>
      </c>
    </row>
    <row r="3000" spans="1:8" x14ac:dyDescent="0.3">
      <c r="A3000">
        <v>15047</v>
      </c>
      <c r="B3000" t="s">
        <v>702</v>
      </c>
      <c r="C3000" t="s">
        <v>2399</v>
      </c>
      <c r="D3000" t="s">
        <v>4732</v>
      </c>
      <c r="E3000" t="s">
        <v>95</v>
      </c>
      <c r="F3000" t="s">
        <v>88</v>
      </c>
      <c r="G3000" t="s">
        <v>1838</v>
      </c>
      <c r="H3000" s="7">
        <v>11419</v>
      </c>
    </row>
    <row r="3001" spans="1:8" x14ac:dyDescent="0.3">
      <c r="A3001">
        <v>15071</v>
      </c>
      <c r="B3001" t="s">
        <v>2762</v>
      </c>
      <c r="C3001" t="s">
        <v>1837</v>
      </c>
      <c r="D3001" t="s">
        <v>2631</v>
      </c>
      <c r="E3001" t="s">
        <v>27</v>
      </c>
      <c r="F3001" t="s">
        <v>114</v>
      </c>
      <c r="G3001" t="s">
        <v>5002</v>
      </c>
      <c r="H3001" s="7">
        <v>77520</v>
      </c>
    </row>
    <row r="3002" spans="1:8" x14ac:dyDescent="0.3">
      <c r="A3002">
        <v>15076</v>
      </c>
      <c r="B3002" t="s">
        <v>5</v>
      </c>
      <c r="C3002" t="s">
        <v>4262</v>
      </c>
      <c r="D3002" t="s">
        <v>5048</v>
      </c>
      <c r="E3002" t="s">
        <v>95</v>
      </c>
      <c r="F3002" t="s">
        <v>9</v>
      </c>
      <c r="G3002" t="s">
        <v>2373</v>
      </c>
      <c r="H3002" s="7">
        <v>725</v>
      </c>
    </row>
    <row r="3003" spans="1:8" x14ac:dyDescent="0.3">
      <c r="A3003">
        <v>15082</v>
      </c>
      <c r="B3003" t="s">
        <v>1263</v>
      </c>
      <c r="C3003" t="s">
        <v>549</v>
      </c>
      <c r="D3003" t="s">
        <v>101</v>
      </c>
      <c r="E3003" t="s">
        <v>8</v>
      </c>
      <c r="F3003" t="s">
        <v>21</v>
      </c>
      <c r="G3003" t="s">
        <v>4023</v>
      </c>
      <c r="H3003" s="7">
        <v>92021</v>
      </c>
    </row>
    <row r="3004" spans="1:8" x14ac:dyDescent="0.3">
      <c r="A3004">
        <v>15088</v>
      </c>
      <c r="B3004" t="s">
        <v>5</v>
      </c>
      <c r="C3004" t="s">
        <v>2083</v>
      </c>
      <c r="D3004" t="s">
        <v>4107</v>
      </c>
      <c r="E3004" t="s">
        <v>27</v>
      </c>
      <c r="F3004" t="s">
        <v>9</v>
      </c>
      <c r="G3004" t="s">
        <v>4266</v>
      </c>
      <c r="H3004" s="7">
        <v>725</v>
      </c>
    </row>
    <row r="3005" spans="1:8" x14ac:dyDescent="0.3">
      <c r="A3005">
        <v>15096</v>
      </c>
      <c r="B3005" t="s">
        <v>5</v>
      </c>
      <c r="C3005" t="s">
        <v>5360</v>
      </c>
      <c r="D3005" t="s">
        <v>1055</v>
      </c>
      <c r="E3005" t="s">
        <v>8</v>
      </c>
      <c r="F3005" t="s">
        <v>9</v>
      </c>
      <c r="G3005" t="s">
        <v>3208</v>
      </c>
      <c r="H3005" s="7">
        <v>725</v>
      </c>
    </row>
    <row r="3006" spans="1:8" x14ac:dyDescent="0.3">
      <c r="A3006">
        <v>15101</v>
      </c>
      <c r="B3006" t="s">
        <v>4494</v>
      </c>
      <c r="C3006" t="s">
        <v>666</v>
      </c>
      <c r="D3006" t="s">
        <v>2954</v>
      </c>
      <c r="E3006" t="s">
        <v>95</v>
      </c>
      <c r="F3006" t="s">
        <v>9</v>
      </c>
      <c r="G3006" t="s">
        <v>4609</v>
      </c>
      <c r="H3006" s="7">
        <v>976</v>
      </c>
    </row>
    <row r="3007" spans="1:8" x14ac:dyDescent="0.3">
      <c r="A3007">
        <v>15108</v>
      </c>
      <c r="B3007" t="s">
        <v>5</v>
      </c>
      <c r="C3007" t="s">
        <v>2547</v>
      </c>
      <c r="D3007" t="s">
        <v>2566</v>
      </c>
      <c r="E3007" t="s">
        <v>27</v>
      </c>
      <c r="F3007" t="s">
        <v>9</v>
      </c>
      <c r="G3007" t="s">
        <v>5675</v>
      </c>
      <c r="H3007" s="7">
        <v>725</v>
      </c>
    </row>
    <row r="3008" spans="1:8" x14ac:dyDescent="0.3">
      <c r="A3008">
        <v>15112</v>
      </c>
      <c r="B3008" t="s">
        <v>2795</v>
      </c>
      <c r="C3008" t="s">
        <v>1231</v>
      </c>
      <c r="D3008" t="s">
        <v>1016</v>
      </c>
      <c r="E3008" t="s">
        <v>8</v>
      </c>
      <c r="F3008" t="s">
        <v>77</v>
      </c>
      <c r="G3008" t="s">
        <v>2796</v>
      </c>
      <c r="H3008" s="7">
        <v>19020</v>
      </c>
    </row>
    <row r="3009" spans="1:8" x14ac:dyDescent="0.3">
      <c r="A3009">
        <v>15115</v>
      </c>
      <c r="B3009" t="s">
        <v>267</v>
      </c>
      <c r="C3009" t="s">
        <v>5480</v>
      </c>
      <c r="D3009" t="s">
        <v>3795</v>
      </c>
      <c r="E3009" t="s">
        <v>8</v>
      </c>
      <c r="F3009" t="s">
        <v>114</v>
      </c>
      <c r="G3009" t="s">
        <v>5166</v>
      </c>
      <c r="H3009" s="7">
        <v>78520</v>
      </c>
    </row>
    <row r="3010" spans="1:8" x14ac:dyDescent="0.3">
      <c r="A3010">
        <v>15123</v>
      </c>
      <c r="B3010" t="s">
        <v>495</v>
      </c>
      <c r="C3010" t="s">
        <v>484</v>
      </c>
      <c r="D3010" t="s">
        <v>4281</v>
      </c>
      <c r="E3010" t="s">
        <v>8</v>
      </c>
      <c r="F3010" t="s">
        <v>88</v>
      </c>
      <c r="G3010" t="s">
        <v>209</v>
      </c>
      <c r="H3010" s="7">
        <v>11226</v>
      </c>
    </row>
    <row r="3011" spans="1:8" x14ac:dyDescent="0.3">
      <c r="A3011">
        <v>15129</v>
      </c>
      <c r="B3011" t="s">
        <v>5</v>
      </c>
      <c r="C3011" t="s">
        <v>5455</v>
      </c>
      <c r="D3011" t="s">
        <v>1827</v>
      </c>
      <c r="E3011" t="s">
        <v>27</v>
      </c>
      <c r="F3011" t="s">
        <v>9</v>
      </c>
      <c r="G3011" t="s">
        <v>5240</v>
      </c>
      <c r="H3011" s="7">
        <v>725</v>
      </c>
    </row>
    <row r="3012" spans="1:8" x14ac:dyDescent="0.3">
      <c r="A3012">
        <v>15143</v>
      </c>
      <c r="B3012" t="s">
        <v>254</v>
      </c>
      <c r="C3012" t="s">
        <v>3086</v>
      </c>
      <c r="D3012" t="s">
        <v>336</v>
      </c>
      <c r="E3012" t="s">
        <v>8</v>
      </c>
      <c r="F3012" t="s">
        <v>55</v>
      </c>
      <c r="G3012" t="s">
        <v>965</v>
      </c>
      <c r="H3012" s="7">
        <v>60626</v>
      </c>
    </row>
    <row r="3013" spans="1:8" x14ac:dyDescent="0.3">
      <c r="A3013">
        <v>15149</v>
      </c>
      <c r="B3013" t="s">
        <v>5</v>
      </c>
      <c r="C3013" t="s">
        <v>1532</v>
      </c>
      <c r="D3013" t="s">
        <v>2475</v>
      </c>
      <c r="E3013" t="s">
        <v>8</v>
      </c>
      <c r="F3013" t="s">
        <v>9</v>
      </c>
      <c r="G3013" t="s">
        <v>3271</v>
      </c>
      <c r="H3013" s="7">
        <v>725</v>
      </c>
    </row>
    <row r="3014" spans="1:8" x14ac:dyDescent="0.3">
      <c r="A3014">
        <v>15155</v>
      </c>
      <c r="B3014" t="s">
        <v>2865</v>
      </c>
      <c r="C3014" t="s">
        <v>397</v>
      </c>
      <c r="D3014" t="s">
        <v>804</v>
      </c>
      <c r="E3014" t="s">
        <v>27</v>
      </c>
      <c r="F3014" t="s">
        <v>21</v>
      </c>
      <c r="G3014" t="s">
        <v>2412</v>
      </c>
      <c r="H3014" s="7">
        <v>93550</v>
      </c>
    </row>
    <row r="3015" spans="1:8" x14ac:dyDescent="0.3">
      <c r="A3015">
        <v>15168</v>
      </c>
      <c r="B3015" t="s">
        <v>254</v>
      </c>
      <c r="C3015" t="s">
        <v>1509</v>
      </c>
      <c r="D3015" t="s">
        <v>1225</v>
      </c>
      <c r="E3015" t="s">
        <v>95</v>
      </c>
      <c r="F3015" t="s">
        <v>55</v>
      </c>
      <c r="G3015" t="s">
        <v>2600</v>
      </c>
      <c r="H3015" s="7">
        <v>60623</v>
      </c>
    </row>
    <row r="3016" spans="1:8" x14ac:dyDescent="0.3">
      <c r="A3016">
        <v>15180</v>
      </c>
      <c r="B3016" t="s">
        <v>1888</v>
      </c>
      <c r="C3016" t="s">
        <v>1866</v>
      </c>
      <c r="D3016" t="s">
        <v>1527</v>
      </c>
      <c r="E3016" t="s">
        <v>8</v>
      </c>
      <c r="F3016" t="s">
        <v>55</v>
      </c>
      <c r="G3016" t="s">
        <v>1908</v>
      </c>
      <c r="H3016" s="7">
        <v>60102</v>
      </c>
    </row>
    <row r="3017" spans="1:8" x14ac:dyDescent="0.3">
      <c r="A3017">
        <v>15181</v>
      </c>
      <c r="B3017" t="s">
        <v>5</v>
      </c>
      <c r="C3017" t="s">
        <v>1406</v>
      </c>
      <c r="D3017" t="s">
        <v>1450</v>
      </c>
      <c r="E3017" t="s">
        <v>8</v>
      </c>
      <c r="F3017" t="s">
        <v>9</v>
      </c>
      <c r="G3017" t="s">
        <v>1451</v>
      </c>
      <c r="H3017" s="7">
        <v>725</v>
      </c>
    </row>
    <row r="3018" spans="1:8" x14ac:dyDescent="0.3">
      <c r="A3018">
        <v>15189</v>
      </c>
      <c r="B3018" t="s">
        <v>5</v>
      </c>
      <c r="C3018" t="s">
        <v>3608</v>
      </c>
      <c r="D3018" t="s">
        <v>2840</v>
      </c>
      <c r="E3018" t="s">
        <v>8</v>
      </c>
      <c r="F3018" t="s">
        <v>9</v>
      </c>
      <c r="G3018" t="s">
        <v>896</v>
      </c>
      <c r="H3018" s="7">
        <v>725</v>
      </c>
    </row>
    <row r="3019" spans="1:8" x14ac:dyDescent="0.3">
      <c r="A3019">
        <v>15195</v>
      </c>
      <c r="B3019" t="s">
        <v>5</v>
      </c>
      <c r="C3019" t="s">
        <v>3346</v>
      </c>
      <c r="D3019" t="s">
        <v>2345</v>
      </c>
      <c r="E3019" t="s">
        <v>27</v>
      </c>
      <c r="F3019" t="s">
        <v>9</v>
      </c>
      <c r="G3019" t="s">
        <v>4601</v>
      </c>
      <c r="H3019" s="7">
        <v>725</v>
      </c>
    </row>
    <row r="3020" spans="1:8" x14ac:dyDescent="0.3">
      <c r="A3020">
        <v>15204</v>
      </c>
      <c r="B3020" t="s">
        <v>5</v>
      </c>
      <c r="C3020" t="s">
        <v>716</v>
      </c>
      <c r="D3020" t="s">
        <v>1593</v>
      </c>
      <c r="E3020" t="s">
        <v>27</v>
      </c>
      <c r="F3020" t="s">
        <v>9</v>
      </c>
      <c r="G3020" t="s">
        <v>2069</v>
      </c>
      <c r="H3020" s="7">
        <v>725</v>
      </c>
    </row>
    <row r="3021" spans="1:8" x14ac:dyDescent="0.3">
      <c r="A3021">
        <v>15205</v>
      </c>
      <c r="B3021" t="s">
        <v>131</v>
      </c>
      <c r="C3021" t="s">
        <v>2430</v>
      </c>
      <c r="D3021" t="s">
        <v>992</v>
      </c>
      <c r="E3021" t="s">
        <v>95</v>
      </c>
      <c r="F3021" t="s">
        <v>134</v>
      </c>
      <c r="G3021" t="s">
        <v>3692</v>
      </c>
      <c r="H3021" s="7">
        <v>96817</v>
      </c>
    </row>
    <row r="3022" spans="1:8" x14ac:dyDescent="0.3">
      <c r="A3022">
        <v>15206</v>
      </c>
      <c r="B3022" t="s">
        <v>3057</v>
      </c>
      <c r="C3022" t="s">
        <v>1457</v>
      </c>
      <c r="D3022" t="s">
        <v>1066</v>
      </c>
      <c r="E3022" t="s">
        <v>95</v>
      </c>
      <c r="F3022" t="s">
        <v>21</v>
      </c>
      <c r="G3022" t="s">
        <v>3728</v>
      </c>
      <c r="H3022" s="7">
        <v>94539</v>
      </c>
    </row>
    <row r="3023" spans="1:8" x14ac:dyDescent="0.3">
      <c r="A3023">
        <v>15207</v>
      </c>
      <c r="B3023" t="s">
        <v>5</v>
      </c>
      <c r="C3023" t="s">
        <v>1710</v>
      </c>
      <c r="D3023" t="s">
        <v>1711</v>
      </c>
      <c r="E3023" t="s">
        <v>95</v>
      </c>
      <c r="F3023" t="s">
        <v>9</v>
      </c>
      <c r="G3023" t="s">
        <v>1712</v>
      </c>
      <c r="H3023" s="7">
        <v>725</v>
      </c>
    </row>
    <row r="3024" spans="1:8" x14ac:dyDescent="0.3">
      <c r="A3024">
        <v>15208</v>
      </c>
      <c r="B3024" t="s">
        <v>851</v>
      </c>
      <c r="C3024" t="s">
        <v>207</v>
      </c>
      <c r="D3024" t="s">
        <v>3726</v>
      </c>
      <c r="E3024" t="s">
        <v>95</v>
      </c>
      <c r="F3024" t="s">
        <v>21</v>
      </c>
      <c r="G3024" t="s">
        <v>3727</v>
      </c>
      <c r="H3024" s="7">
        <v>92410</v>
      </c>
    </row>
    <row r="3025" spans="1:8" x14ac:dyDescent="0.3">
      <c r="A3025">
        <v>15209</v>
      </c>
      <c r="B3025" t="s">
        <v>5</v>
      </c>
      <c r="C3025" t="s">
        <v>151</v>
      </c>
      <c r="D3025" t="s">
        <v>1063</v>
      </c>
      <c r="E3025" t="s">
        <v>95</v>
      </c>
      <c r="F3025" t="s">
        <v>9</v>
      </c>
      <c r="G3025" t="s">
        <v>1064</v>
      </c>
      <c r="H3025" s="7">
        <v>725</v>
      </c>
    </row>
    <row r="3026" spans="1:8" x14ac:dyDescent="0.3">
      <c r="A3026">
        <v>15211</v>
      </c>
      <c r="B3026" t="s">
        <v>5</v>
      </c>
      <c r="C3026" t="s">
        <v>318</v>
      </c>
      <c r="D3026" t="s">
        <v>2944</v>
      </c>
      <c r="E3026" t="s">
        <v>27</v>
      </c>
      <c r="F3026" t="s">
        <v>9</v>
      </c>
      <c r="G3026" t="s">
        <v>2434</v>
      </c>
      <c r="H3026" s="7">
        <v>725</v>
      </c>
    </row>
    <row r="3027" spans="1:8" x14ac:dyDescent="0.3">
      <c r="A3027">
        <v>15212</v>
      </c>
      <c r="B3027" t="s">
        <v>862</v>
      </c>
      <c r="C3027" t="s">
        <v>4202</v>
      </c>
      <c r="D3027" t="s">
        <v>4586</v>
      </c>
      <c r="E3027" t="s">
        <v>27</v>
      </c>
      <c r="F3027" t="s">
        <v>478</v>
      </c>
      <c r="G3027" t="s">
        <v>2204</v>
      </c>
      <c r="H3027" s="7">
        <v>89103</v>
      </c>
    </row>
    <row r="3028" spans="1:8" x14ac:dyDescent="0.3">
      <c r="A3028">
        <v>15215</v>
      </c>
      <c r="B3028" t="s">
        <v>3943</v>
      </c>
      <c r="C3028" t="s">
        <v>2253</v>
      </c>
      <c r="D3028" t="s">
        <v>1176</v>
      </c>
      <c r="E3028" t="s">
        <v>8</v>
      </c>
      <c r="F3028" t="s">
        <v>248</v>
      </c>
      <c r="G3028" t="s">
        <v>4792</v>
      </c>
      <c r="H3028" s="7">
        <v>44060</v>
      </c>
    </row>
    <row r="3029" spans="1:8" x14ac:dyDescent="0.3">
      <c r="A3029">
        <v>15223</v>
      </c>
      <c r="B3029" t="s">
        <v>254</v>
      </c>
      <c r="C3029" t="s">
        <v>3236</v>
      </c>
      <c r="D3029" t="s">
        <v>1777</v>
      </c>
      <c r="E3029" t="s">
        <v>8</v>
      </c>
      <c r="F3029" t="s">
        <v>55</v>
      </c>
      <c r="G3029" t="s">
        <v>3237</v>
      </c>
      <c r="H3029" s="7">
        <v>60630</v>
      </c>
    </row>
    <row r="3030" spans="1:8" x14ac:dyDescent="0.3">
      <c r="A3030">
        <v>15224</v>
      </c>
      <c r="B3030" t="s">
        <v>862</v>
      </c>
      <c r="C3030" t="s">
        <v>3355</v>
      </c>
      <c r="D3030" t="s">
        <v>3736</v>
      </c>
      <c r="E3030" t="s">
        <v>95</v>
      </c>
      <c r="F3030" t="s">
        <v>478</v>
      </c>
      <c r="G3030" t="s">
        <v>2888</v>
      </c>
      <c r="H3030" s="7">
        <v>89103</v>
      </c>
    </row>
    <row r="3031" spans="1:8" x14ac:dyDescent="0.3">
      <c r="A3031">
        <v>15226</v>
      </c>
      <c r="B3031" t="s">
        <v>2870</v>
      </c>
      <c r="C3031" t="s">
        <v>374</v>
      </c>
      <c r="D3031" t="s">
        <v>2010</v>
      </c>
      <c r="E3031" t="s">
        <v>8</v>
      </c>
      <c r="F3031" t="s">
        <v>21</v>
      </c>
      <c r="G3031" t="s">
        <v>4314</v>
      </c>
      <c r="H3031" s="7">
        <v>92705</v>
      </c>
    </row>
    <row r="3032" spans="1:8" x14ac:dyDescent="0.3">
      <c r="A3032">
        <v>15236</v>
      </c>
      <c r="B3032" t="s">
        <v>1899</v>
      </c>
      <c r="C3032" t="s">
        <v>1359</v>
      </c>
      <c r="D3032" t="s">
        <v>2278</v>
      </c>
      <c r="E3032" t="s">
        <v>27</v>
      </c>
      <c r="F3032" t="s">
        <v>381</v>
      </c>
      <c r="G3032" t="s">
        <v>4263</v>
      </c>
      <c r="H3032" s="7">
        <v>48221</v>
      </c>
    </row>
    <row r="3033" spans="1:8" x14ac:dyDescent="0.3">
      <c r="A3033">
        <v>15243</v>
      </c>
      <c r="B3033" t="s">
        <v>495</v>
      </c>
      <c r="C3033" t="s">
        <v>1247</v>
      </c>
      <c r="D3033" t="s">
        <v>3863</v>
      </c>
      <c r="E3033" t="s">
        <v>8</v>
      </c>
      <c r="F3033" t="s">
        <v>88</v>
      </c>
      <c r="G3033" t="s">
        <v>5582</v>
      </c>
      <c r="H3033" s="7">
        <v>11206</v>
      </c>
    </row>
    <row r="3034" spans="1:8" x14ac:dyDescent="0.3">
      <c r="A3034">
        <v>15246</v>
      </c>
      <c r="B3034" t="s">
        <v>5</v>
      </c>
      <c r="C3034" t="s">
        <v>4195</v>
      </c>
      <c r="D3034" t="s">
        <v>3425</v>
      </c>
      <c r="E3034" t="s">
        <v>8</v>
      </c>
      <c r="F3034" t="s">
        <v>9</v>
      </c>
      <c r="G3034" t="s">
        <v>4334</v>
      </c>
      <c r="H3034" s="7">
        <v>725</v>
      </c>
    </row>
    <row r="3035" spans="1:8" x14ac:dyDescent="0.3">
      <c r="A3035">
        <v>15250</v>
      </c>
      <c r="B3035" t="s">
        <v>254</v>
      </c>
      <c r="C3035" t="s">
        <v>306</v>
      </c>
      <c r="D3035" t="s">
        <v>3486</v>
      </c>
      <c r="E3035" t="s">
        <v>8</v>
      </c>
      <c r="F3035" t="s">
        <v>55</v>
      </c>
      <c r="G3035" t="s">
        <v>3487</v>
      </c>
      <c r="H3035" s="7">
        <v>60614</v>
      </c>
    </row>
    <row r="3036" spans="1:8" x14ac:dyDescent="0.3">
      <c r="A3036">
        <v>15251</v>
      </c>
      <c r="B3036" t="s">
        <v>2243</v>
      </c>
      <c r="C3036" t="s">
        <v>2244</v>
      </c>
      <c r="D3036" t="s">
        <v>2245</v>
      </c>
      <c r="E3036" t="s">
        <v>27</v>
      </c>
      <c r="F3036" t="s">
        <v>308</v>
      </c>
      <c r="G3036" t="s">
        <v>2246</v>
      </c>
      <c r="H3036" s="7">
        <v>8701</v>
      </c>
    </row>
    <row r="3037" spans="1:8" x14ac:dyDescent="0.3">
      <c r="A3037">
        <v>15256</v>
      </c>
      <c r="B3037" t="s">
        <v>254</v>
      </c>
      <c r="C3037" t="s">
        <v>3095</v>
      </c>
      <c r="D3037" t="s">
        <v>1987</v>
      </c>
      <c r="E3037" t="s">
        <v>27</v>
      </c>
      <c r="F3037" t="s">
        <v>55</v>
      </c>
      <c r="G3037" t="s">
        <v>5196</v>
      </c>
      <c r="H3037" s="7">
        <v>60617</v>
      </c>
    </row>
    <row r="3038" spans="1:8" x14ac:dyDescent="0.3">
      <c r="A3038">
        <v>15264</v>
      </c>
      <c r="B3038" t="s">
        <v>1850</v>
      </c>
      <c r="C3038" t="s">
        <v>359</v>
      </c>
      <c r="D3038" t="s">
        <v>914</v>
      </c>
      <c r="E3038" t="s">
        <v>8</v>
      </c>
      <c r="F3038" t="s">
        <v>21</v>
      </c>
      <c r="G3038" t="s">
        <v>4017</v>
      </c>
      <c r="H3038" s="7">
        <v>92708</v>
      </c>
    </row>
    <row r="3039" spans="1:8" x14ac:dyDescent="0.3">
      <c r="A3039">
        <v>15267</v>
      </c>
      <c r="B3039" t="s">
        <v>174</v>
      </c>
      <c r="C3039" t="s">
        <v>352</v>
      </c>
      <c r="D3039" t="s">
        <v>2799</v>
      </c>
      <c r="E3039" t="s">
        <v>27</v>
      </c>
      <c r="F3039" t="s">
        <v>21</v>
      </c>
      <c r="G3039" t="s">
        <v>2800</v>
      </c>
      <c r="H3039" s="7">
        <v>90063</v>
      </c>
    </row>
    <row r="3040" spans="1:8" x14ac:dyDescent="0.3">
      <c r="A3040">
        <v>15269</v>
      </c>
      <c r="B3040" t="s">
        <v>5</v>
      </c>
      <c r="C3040" t="s">
        <v>344</v>
      </c>
      <c r="D3040" t="s">
        <v>860</v>
      </c>
      <c r="E3040" t="s">
        <v>27</v>
      </c>
      <c r="F3040" t="s">
        <v>9</v>
      </c>
      <c r="G3040" t="s">
        <v>2611</v>
      </c>
      <c r="H3040" s="7">
        <v>725</v>
      </c>
    </row>
    <row r="3041" spans="1:8" x14ac:dyDescent="0.3">
      <c r="A3041">
        <v>15270</v>
      </c>
      <c r="B3041" t="s">
        <v>2635</v>
      </c>
      <c r="C3041" t="s">
        <v>339</v>
      </c>
      <c r="D3041" t="s">
        <v>550</v>
      </c>
      <c r="E3041" t="s">
        <v>27</v>
      </c>
      <c r="F3041" t="s">
        <v>140</v>
      </c>
      <c r="G3041" t="s">
        <v>2636</v>
      </c>
      <c r="H3041" s="7">
        <v>30096</v>
      </c>
    </row>
    <row r="3042" spans="1:8" x14ac:dyDescent="0.3">
      <c r="A3042">
        <v>15271</v>
      </c>
      <c r="B3042" t="s">
        <v>5</v>
      </c>
      <c r="C3042" t="s">
        <v>335</v>
      </c>
      <c r="D3042" t="s">
        <v>2631</v>
      </c>
      <c r="E3042" t="s">
        <v>8</v>
      </c>
      <c r="F3042" t="s">
        <v>9</v>
      </c>
      <c r="G3042" t="s">
        <v>3135</v>
      </c>
      <c r="H3042" s="7">
        <v>725</v>
      </c>
    </row>
    <row r="3043" spans="1:8" x14ac:dyDescent="0.3">
      <c r="A3043">
        <v>15272</v>
      </c>
      <c r="B3043" t="s">
        <v>1586</v>
      </c>
      <c r="C3043" t="s">
        <v>332</v>
      </c>
      <c r="D3043" t="s">
        <v>1587</v>
      </c>
      <c r="E3043" t="s">
        <v>27</v>
      </c>
      <c r="F3043" t="s">
        <v>341</v>
      </c>
      <c r="G3043" t="s">
        <v>1588</v>
      </c>
      <c r="H3043" s="7">
        <v>27514</v>
      </c>
    </row>
    <row r="3044" spans="1:8" x14ac:dyDescent="0.3">
      <c r="A3044">
        <v>15284</v>
      </c>
      <c r="B3044" t="s">
        <v>5</v>
      </c>
      <c r="C3044" t="s">
        <v>5553</v>
      </c>
      <c r="D3044" t="s">
        <v>3573</v>
      </c>
      <c r="E3044" t="s">
        <v>8</v>
      </c>
      <c r="F3044" t="s">
        <v>9</v>
      </c>
      <c r="G3044" t="s">
        <v>3440</v>
      </c>
      <c r="H3044" s="7">
        <v>725</v>
      </c>
    </row>
    <row r="3045" spans="1:8" x14ac:dyDescent="0.3">
      <c r="A3045">
        <v>15286</v>
      </c>
      <c r="B3045" t="s">
        <v>368</v>
      </c>
      <c r="C3045" t="s">
        <v>188</v>
      </c>
      <c r="D3045" t="s">
        <v>4821</v>
      </c>
      <c r="E3045" t="s">
        <v>8</v>
      </c>
      <c r="F3045" t="s">
        <v>88</v>
      </c>
      <c r="G3045" t="s">
        <v>1467</v>
      </c>
      <c r="H3045" s="7">
        <v>10128</v>
      </c>
    </row>
    <row r="3046" spans="1:8" x14ac:dyDescent="0.3">
      <c r="A3046">
        <v>15294</v>
      </c>
      <c r="B3046" t="s">
        <v>5</v>
      </c>
      <c r="C3046" t="s">
        <v>1112</v>
      </c>
      <c r="D3046" t="s">
        <v>319</v>
      </c>
      <c r="E3046" t="s">
        <v>8</v>
      </c>
      <c r="F3046" t="s">
        <v>9</v>
      </c>
      <c r="G3046" t="s">
        <v>2451</v>
      </c>
      <c r="H3046" s="7">
        <v>725</v>
      </c>
    </row>
    <row r="3047" spans="1:8" x14ac:dyDescent="0.3">
      <c r="A3047">
        <v>15296</v>
      </c>
      <c r="B3047" t="s">
        <v>5</v>
      </c>
      <c r="C3047" t="s">
        <v>332</v>
      </c>
      <c r="D3047" t="s">
        <v>3802</v>
      </c>
      <c r="E3047" t="s">
        <v>8</v>
      </c>
      <c r="F3047" t="s">
        <v>9</v>
      </c>
      <c r="G3047" t="s">
        <v>1146</v>
      </c>
      <c r="H3047" s="7">
        <v>725</v>
      </c>
    </row>
    <row r="3048" spans="1:8" x14ac:dyDescent="0.3">
      <c r="A3048">
        <v>15297</v>
      </c>
      <c r="B3048" t="s">
        <v>131</v>
      </c>
      <c r="C3048" t="s">
        <v>1703</v>
      </c>
      <c r="D3048" t="s">
        <v>3079</v>
      </c>
      <c r="E3048" t="s">
        <v>8</v>
      </c>
      <c r="F3048" t="s">
        <v>134</v>
      </c>
      <c r="G3048" t="s">
        <v>3080</v>
      </c>
      <c r="H3048" s="7">
        <v>96816</v>
      </c>
    </row>
    <row r="3049" spans="1:8" x14ac:dyDescent="0.3">
      <c r="A3049">
        <v>15313</v>
      </c>
      <c r="B3049" t="s">
        <v>2744</v>
      </c>
      <c r="C3049" t="s">
        <v>2140</v>
      </c>
      <c r="D3049" t="s">
        <v>2038</v>
      </c>
      <c r="E3049" t="s">
        <v>95</v>
      </c>
      <c r="F3049" t="s">
        <v>308</v>
      </c>
      <c r="G3049" t="s">
        <v>3111</v>
      </c>
      <c r="H3049" s="7">
        <v>8753</v>
      </c>
    </row>
    <row r="3050" spans="1:8" x14ac:dyDescent="0.3">
      <c r="A3050">
        <v>15320</v>
      </c>
      <c r="B3050" t="s">
        <v>5</v>
      </c>
      <c r="C3050" t="s">
        <v>5498</v>
      </c>
      <c r="D3050" t="s">
        <v>4472</v>
      </c>
      <c r="E3050" t="s">
        <v>8</v>
      </c>
      <c r="F3050" t="s">
        <v>9</v>
      </c>
      <c r="G3050" t="s">
        <v>3654</v>
      </c>
      <c r="H3050" s="7">
        <v>725</v>
      </c>
    </row>
    <row r="3051" spans="1:8" x14ac:dyDescent="0.3">
      <c r="A3051">
        <v>15332</v>
      </c>
      <c r="B3051" t="s">
        <v>5</v>
      </c>
      <c r="C3051" t="s">
        <v>2338</v>
      </c>
      <c r="D3051" t="s">
        <v>2746</v>
      </c>
      <c r="E3051" t="s">
        <v>27</v>
      </c>
      <c r="F3051" t="s">
        <v>9</v>
      </c>
      <c r="G3051" t="s">
        <v>4560</v>
      </c>
      <c r="H3051" s="7">
        <v>725</v>
      </c>
    </row>
    <row r="3052" spans="1:8" x14ac:dyDescent="0.3">
      <c r="A3052">
        <v>15335</v>
      </c>
      <c r="B3052" t="s">
        <v>131</v>
      </c>
      <c r="C3052" t="s">
        <v>1546</v>
      </c>
      <c r="D3052" t="s">
        <v>2112</v>
      </c>
      <c r="E3052" t="s">
        <v>8</v>
      </c>
      <c r="F3052" t="s">
        <v>134</v>
      </c>
      <c r="G3052" t="s">
        <v>2113</v>
      </c>
      <c r="H3052" s="7">
        <v>96822</v>
      </c>
    </row>
    <row r="3053" spans="1:8" x14ac:dyDescent="0.3">
      <c r="A3053">
        <v>15343</v>
      </c>
      <c r="B3053" t="s">
        <v>5</v>
      </c>
      <c r="C3053" t="s">
        <v>2185</v>
      </c>
      <c r="D3053" t="s">
        <v>3637</v>
      </c>
      <c r="E3053" t="s">
        <v>8</v>
      </c>
      <c r="F3053" t="s">
        <v>9</v>
      </c>
      <c r="G3053" t="s">
        <v>1393</v>
      </c>
      <c r="H3053" s="7">
        <v>725</v>
      </c>
    </row>
    <row r="3054" spans="1:8" x14ac:dyDescent="0.3">
      <c r="A3054">
        <v>15349</v>
      </c>
      <c r="B3054" t="s">
        <v>1174</v>
      </c>
      <c r="C3054" t="s">
        <v>2420</v>
      </c>
      <c r="D3054" t="s">
        <v>297</v>
      </c>
      <c r="E3054" t="s">
        <v>8</v>
      </c>
      <c r="F3054" t="s">
        <v>1177</v>
      </c>
      <c r="G3054" t="s">
        <v>5403</v>
      </c>
      <c r="H3054" s="7">
        <v>88005</v>
      </c>
    </row>
    <row r="3055" spans="1:8" x14ac:dyDescent="0.3">
      <c r="A3055">
        <v>15352</v>
      </c>
      <c r="B3055" t="s">
        <v>5</v>
      </c>
      <c r="C3055" t="s">
        <v>1665</v>
      </c>
      <c r="D3055" t="s">
        <v>3773</v>
      </c>
      <c r="E3055" t="s">
        <v>8</v>
      </c>
      <c r="F3055" t="s">
        <v>9</v>
      </c>
      <c r="G3055" t="s">
        <v>4014</v>
      </c>
      <c r="H3055" s="7">
        <v>725</v>
      </c>
    </row>
    <row r="3056" spans="1:8" x14ac:dyDescent="0.3">
      <c r="A3056">
        <v>15353</v>
      </c>
      <c r="B3056" t="s">
        <v>18</v>
      </c>
      <c r="C3056" t="s">
        <v>2567</v>
      </c>
      <c r="D3056" t="s">
        <v>4804</v>
      </c>
      <c r="E3056" t="s">
        <v>8</v>
      </c>
      <c r="F3056" t="s">
        <v>21</v>
      </c>
      <c r="G3056" t="s">
        <v>3037</v>
      </c>
      <c r="H3056" s="7">
        <v>95125</v>
      </c>
    </row>
    <row r="3057" spans="1:8" x14ac:dyDescent="0.3">
      <c r="A3057">
        <v>15354</v>
      </c>
      <c r="B3057" t="s">
        <v>5</v>
      </c>
      <c r="C3057" t="s">
        <v>3704</v>
      </c>
      <c r="D3057" t="s">
        <v>4055</v>
      </c>
      <c r="E3057" t="s">
        <v>8</v>
      </c>
      <c r="F3057" t="s">
        <v>9</v>
      </c>
      <c r="G3057" t="s">
        <v>4028</v>
      </c>
      <c r="H3057" s="7">
        <v>725</v>
      </c>
    </row>
    <row r="3058" spans="1:8" x14ac:dyDescent="0.3">
      <c r="A3058">
        <v>15355</v>
      </c>
      <c r="B3058" t="s">
        <v>461</v>
      </c>
      <c r="C3058" t="s">
        <v>192</v>
      </c>
      <c r="D3058" t="s">
        <v>4284</v>
      </c>
      <c r="E3058" t="s">
        <v>8</v>
      </c>
      <c r="F3058" t="s">
        <v>341</v>
      </c>
      <c r="G3058" t="s">
        <v>464</v>
      </c>
      <c r="H3058" s="7">
        <v>27610</v>
      </c>
    </row>
    <row r="3059" spans="1:8" x14ac:dyDescent="0.3">
      <c r="A3059">
        <v>15356</v>
      </c>
      <c r="B3059" t="s">
        <v>5</v>
      </c>
      <c r="C3059" t="s">
        <v>374</v>
      </c>
      <c r="D3059" t="s">
        <v>491</v>
      </c>
      <c r="E3059" t="s">
        <v>8</v>
      </c>
      <c r="F3059" t="s">
        <v>9</v>
      </c>
      <c r="G3059" t="s">
        <v>3633</v>
      </c>
      <c r="H3059" s="7">
        <v>725</v>
      </c>
    </row>
    <row r="3060" spans="1:8" x14ac:dyDescent="0.3">
      <c r="A3060">
        <v>15357</v>
      </c>
      <c r="B3060" t="s">
        <v>254</v>
      </c>
      <c r="C3060" t="s">
        <v>3038</v>
      </c>
      <c r="D3060" t="s">
        <v>2990</v>
      </c>
      <c r="E3060" t="s">
        <v>8</v>
      </c>
      <c r="F3060" t="s">
        <v>55</v>
      </c>
      <c r="G3060" t="s">
        <v>3039</v>
      </c>
      <c r="H3060" s="7">
        <v>60624</v>
      </c>
    </row>
    <row r="3061" spans="1:8" x14ac:dyDescent="0.3">
      <c r="A3061">
        <v>15365</v>
      </c>
      <c r="B3061" t="s">
        <v>5</v>
      </c>
      <c r="C3061" t="s">
        <v>3276</v>
      </c>
      <c r="D3061" t="s">
        <v>165</v>
      </c>
      <c r="E3061" t="s">
        <v>95</v>
      </c>
      <c r="F3061" t="s">
        <v>9</v>
      </c>
      <c r="G3061" t="s">
        <v>5057</v>
      </c>
      <c r="H3061" s="7">
        <v>725</v>
      </c>
    </row>
    <row r="3062" spans="1:8" x14ac:dyDescent="0.3">
      <c r="A3062">
        <v>15367</v>
      </c>
      <c r="B3062" t="s">
        <v>2718</v>
      </c>
      <c r="C3062" t="s">
        <v>1054</v>
      </c>
      <c r="D3062" t="s">
        <v>4395</v>
      </c>
      <c r="E3062" t="s">
        <v>27</v>
      </c>
      <c r="F3062" t="s">
        <v>114</v>
      </c>
      <c r="G3062" t="s">
        <v>4396</v>
      </c>
      <c r="H3062" s="7">
        <v>78130</v>
      </c>
    </row>
    <row r="3063" spans="1:8" x14ac:dyDescent="0.3">
      <c r="A3063">
        <v>15370</v>
      </c>
      <c r="B3063" t="s">
        <v>5</v>
      </c>
      <c r="C3063" t="s">
        <v>1564</v>
      </c>
      <c r="D3063" t="s">
        <v>2392</v>
      </c>
      <c r="E3063" t="s">
        <v>8</v>
      </c>
      <c r="F3063" t="s">
        <v>9</v>
      </c>
      <c r="G3063" t="s">
        <v>5365</v>
      </c>
      <c r="H3063" s="7">
        <v>725</v>
      </c>
    </row>
    <row r="3064" spans="1:8" x14ac:dyDescent="0.3">
      <c r="A3064">
        <v>15373</v>
      </c>
      <c r="B3064" t="s">
        <v>5</v>
      </c>
      <c r="C3064" t="s">
        <v>1409</v>
      </c>
      <c r="D3064" t="s">
        <v>1410</v>
      </c>
      <c r="E3064" t="s">
        <v>8</v>
      </c>
      <c r="F3064" t="s">
        <v>9</v>
      </c>
      <c r="G3064" t="s">
        <v>1133</v>
      </c>
      <c r="H3064" s="7">
        <v>725</v>
      </c>
    </row>
    <row r="3065" spans="1:8" x14ac:dyDescent="0.3">
      <c r="A3065">
        <v>15375</v>
      </c>
      <c r="B3065" t="s">
        <v>846</v>
      </c>
      <c r="C3065" t="s">
        <v>2005</v>
      </c>
      <c r="D3065" t="s">
        <v>336</v>
      </c>
      <c r="E3065" t="s">
        <v>27</v>
      </c>
      <c r="F3065" t="s">
        <v>77</v>
      </c>
      <c r="G3065" t="s">
        <v>1257</v>
      </c>
      <c r="H3065" s="7">
        <v>19067</v>
      </c>
    </row>
    <row r="3066" spans="1:8" x14ac:dyDescent="0.3">
      <c r="A3066">
        <v>15376</v>
      </c>
      <c r="B3066" t="s">
        <v>5</v>
      </c>
      <c r="C3066" t="s">
        <v>1446</v>
      </c>
      <c r="D3066" t="s">
        <v>1944</v>
      </c>
      <c r="E3066" t="s">
        <v>8</v>
      </c>
      <c r="F3066" t="s">
        <v>9</v>
      </c>
      <c r="G3066" t="s">
        <v>2640</v>
      </c>
      <c r="H3066" s="7">
        <v>725</v>
      </c>
    </row>
    <row r="3067" spans="1:8" x14ac:dyDescent="0.3">
      <c r="A3067">
        <v>15379</v>
      </c>
      <c r="B3067" t="s">
        <v>976</v>
      </c>
      <c r="C3067" t="s">
        <v>2408</v>
      </c>
      <c r="D3067" t="s">
        <v>1402</v>
      </c>
      <c r="E3067" t="s">
        <v>8</v>
      </c>
      <c r="F3067" t="s">
        <v>153</v>
      </c>
      <c r="G3067" t="s">
        <v>2856</v>
      </c>
      <c r="H3067" s="7">
        <v>84118</v>
      </c>
    </row>
    <row r="3068" spans="1:8" x14ac:dyDescent="0.3">
      <c r="A3068">
        <v>15382</v>
      </c>
      <c r="B3068" t="s">
        <v>5</v>
      </c>
      <c r="C3068" t="s">
        <v>2405</v>
      </c>
      <c r="D3068" t="s">
        <v>2560</v>
      </c>
      <c r="E3068" t="s">
        <v>8</v>
      </c>
      <c r="F3068" t="s">
        <v>9</v>
      </c>
      <c r="G3068" t="s">
        <v>5202</v>
      </c>
      <c r="H3068" s="7">
        <v>725</v>
      </c>
    </row>
    <row r="3069" spans="1:8" x14ac:dyDescent="0.3">
      <c r="A3069">
        <v>15391</v>
      </c>
      <c r="B3069" t="s">
        <v>5</v>
      </c>
      <c r="C3069" t="s">
        <v>3302</v>
      </c>
      <c r="D3069" t="s">
        <v>1862</v>
      </c>
      <c r="E3069" t="s">
        <v>27</v>
      </c>
      <c r="F3069" t="s">
        <v>9</v>
      </c>
      <c r="G3069" t="s">
        <v>3303</v>
      </c>
      <c r="H3069" s="7">
        <v>725</v>
      </c>
    </row>
    <row r="3070" spans="1:8" x14ac:dyDescent="0.3">
      <c r="A3070">
        <v>15392</v>
      </c>
      <c r="B3070" t="s">
        <v>495</v>
      </c>
      <c r="C3070" t="s">
        <v>874</v>
      </c>
      <c r="D3070" t="s">
        <v>848</v>
      </c>
      <c r="E3070" t="s">
        <v>8</v>
      </c>
      <c r="F3070" t="s">
        <v>88</v>
      </c>
      <c r="G3070" t="s">
        <v>3041</v>
      </c>
      <c r="H3070" s="7">
        <v>11235</v>
      </c>
    </row>
    <row r="3071" spans="1:8" x14ac:dyDescent="0.3">
      <c r="A3071">
        <v>15399</v>
      </c>
      <c r="B3071" t="s">
        <v>174</v>
      </c>
      <c r="C3071" t="s">
        <v>3496</v>
      </c>
      <c r="D3071" t="s">
        <v>3905</v>
      </c>
      <c r="E3071" t="s">
        <v>8</v>
      </c>
      <c r="F3071" t="s">
        <v>21</v>
      </c>
      <c r="G3071" t="s">
        <v>3495</v>
      </c>
      <c r="H3071" s="7">
        <v>90042</v>
      </c>
    </row>
    <row r="3072" spans="1:8" x14ac:dyDescent="0.3">
      <c r="A3072">
        <v>15402</v>
      </c>
      <c r="B3072" t="s">
        <v>3047</v>
      </c>
      <c r="C3072" t="s">
        <v>2633</v>
      </c>
      <c r="D3072" t="s">
        <v>3048</v>
      </c>
      <c r="E3072" t="s">
        <v>8</v>
      </c>
      <c r="F3072" t="s">
        <v>114</v>
      </c>
      <c r="G3072" t="s">
        <v>3049</v>
      </c>
      <c r="H3072" s="7">
        <v>75067</v>
      </c>
    </row>
    <row r="3073" spans="1:8" x14ac:dyDescent="0.3">
      <c r="A3073">
        <v>15405</v>
      </c>
      <c r="B3073" t="s">
        <v>2687</v>
      </c>
      <c r="C3073" t="s">
        <v>3858</v>
      </c>
      <c r="D3073" t="s">
        <v>4035</v>
      </c>
      <c r="E3073" t="s">
        <v>8</v>
      </c>
      <c r="F3073" t="s">
        <v>55</v>
      </c>
      <c r="G3073" t="s">
        <v>3607</v>
      </c>
      <c r="H3073" s="7">
        <v>60804</v>
      </c>
    </row>
    <row r="3074" spans="1:8" x14ac:dyDescent="0.3">
      <c r="A3074">
        <v>15410</v>
      </c>
      <c r="B3074" t="s">
        <v>254</v>
      </c>
      <c r="C3074" t="s">
        <v>662</v>
      </c>
      <c r="D3074" t="s">
        <v>1379</v>
      </c>
      <c r="E3074" t="s">
        <v>8</v>
      </c>
      <c r="F3074" t="s">
        <v>55</v>
      </c>
      <c r="G3074" t="s">
        <v>2111</v>
      </c>
      <c r="H3074" s="7">
        <v>60643</v>
      </c>
    </row>
    <row r="3075" spans="1:8" x14ac:dyDescent="0.3">
      <c r="A3075">
        <v>15411</v>
      </c>
      <c r="B3075" t="s">
        <v>1293</v>
      </c>
      <c r="C3075" t="s">
        <v>666</v>
      </c>
      <c r="D3075" t="s">
        <v>3013</v>
      </c>
      <c r="E3075" t="s">
        <v>8</v>
      </c>
      <c r="F3075" t="s">
        <v>190</v>
      </c>
      <c r="G3075" t="s">
        <v>3213</v>
      </c>
      <c r="H3075" s="7">
        <v>85282</v>
      </c>
    </row>
    <row r="3076" spans="1:8" x14ac:dyDescent="0.3">
      <c r="A3076">
        <v>15415</v>
      </c>
      <c r="B3076" t="s">
        <v>5</v>
      </c>
      <c r="C3076" t="s">
        <v>5500</v>
      </c>
      <c r="D3076" t="s">
        <v>1777</v>
      </c>
      <c r="E3076" t="s">
        <v>8</v>
      </c>
      <c r="F3076" t="s">
        <v>9</v>
      </c>
      <c r="G3076" t="s">
        <v>3371</v>
      </c>
      <c r="H3076" s="7">
        <v>725</v>
      </c>
    </row>
    <row r="3077" spans="1:8" x14ac:dyDescent="0.3">
      <c r="A3077">
        <v>15424</v>
      </c>
      <c r="B3077" t="s">
        <v>3255</v>
      </c>
      <c r="C3077" t="s">
        <v>549</v>
      </c>
      <c r="D3077" t="s">
        <v>1192</v>
      </c>
      <c r="E3077" t="s">
        <v>95</v>
      </c>
      <c r="F3077" t="s">
        <v>21</v>
      </c>
      <c r="G3077" t="s">
        <v>3703</v>
      </c>
      <c r="H3077" s="7">
        <v>95630</v>
      </c>
    </row>
    <row r="3078" spans="1:8" x14ac:dyDescent="0.3">
      <c r="A3078">
        <v>15425</v>
      </c>
      <c r="B3078" t="s">
        <v>5</v>
      </c>
      <c r="C3078" t="s">
        <v>71</v>
      </c>
      <c r="D3078" t="s">
        <v>795</v>
      </c>
      <c r="E3078" t="s">
        <v>27</v>
      </c>
      <c r="F3078" t="s">
        <v>9</v>
      </c>
      <c r="G3078" t="s">
        <v>3285</v>
      </c>
      <c r="H3078" s="7">
        <v>725</v>
      </c>
    </row>
    <row r="3079" spans="1:8" x14ac:dyDescent="0.3">
      <c r="A3079">
        <v>15426</v>
      </c>
      <c r="B3079" t="s">
        <v>174</v>
      </c>
      <c r="C3079" t="s">
        <v>467</v>
      </c>
      <c r="D3079" t="s">
        <v>468</v>
      </c>
      <c r="E3079" t="s">
        <v>27</v>
      </c>
      <c r="F3079" t="s">
        <v>21</v>
      </c>
      <c r="G3079" t="s">
        <v>469</v>
      </c>
      <c r="H3079" s="7">
        <v>90002</v>
      </c>
    </row>
    <row r="3080" spans="1:8" x14ac:dyDescent="0.3">
      <c r="A3080">
        <v>15428</v>
      </c>
      <c r="B3080" t="s">
        <v>997</v>
      </c>
      <c r="C3080" t="s">
        <v>1334</v>
      </c>
      <c r="D3080" t="s">
        <v>2410</v>
      </c>
      <c r="E3080" t="s">
        <v>27</v>
      </c>
      <c r="F3080" t="s">
        <v>248</v>
      </c>
      <c r="G3080" t="s">
        <v>2813</v>
      </c>
      <c r="H3080" s="7">
        <v>43055</v>
      </c>
    </row>
    <row r="3081" spans="1:8" x14ac:dyDescent="0.3">
      <c r="A3081">
        <v>15429</v>
      </c>
      <c r="B3081" t="s">
        <v>2299</v>
      </c>
      <c r="C3081" t="s">
        <v>1889</v>
      </c>
      <c r="D3081" t="s">
        <v>2486</v>
      </c>
      <c r="E3081" t="s">
        <v>95</v>
      </c>
      <c r="F3081" t="s">
        <v>140</v>
      </c>
      <c r="G3081" t="s">
        <v>5530</v>
      </c>
      <c r="H3081" s="7">
        <v>30349</v>
      </c>
    </row>
    <row r="3082" spans="1:8" x14ac:dyDescent="0.3">
      <c r="A3082">
        <v>15432</v>
      </c>
      <c r="B3082" t="s">
        <v>5</v>
      </c>
      <c r="C3082" t="s">
        <v>4805</v>
      </c>
      <c r="D3082" t="s">
        <v>939</v>
      </c>
      <c r="E3082" t="s">
        <v>27</v>
      </c>
      <c r="F3082" t="s">
        <v>9</v>
      </c>
      <c r="G3082" t="s">
        <v>4875</v>
      </c>
      <c r="H3082" s="7">
        <v>725</v>
      </c>
    </row>
    <row r="3083" spans="1:8" x14ac:dyDescent="0.3">
      <c r="A3083">
        <v>15433</v>
      </c>
      <c r="B3083" t="s">
        <v>759</v>
      </c>
      <c r="C3083" t="s">
        <v>2642</v>
      </c>
      <c r="D3083" t="s">
        <v>1300</v>
      </c>
      <c r="E3083" t="s">
        <v>8</v>
      </c>
      <c r="F3083" t="s">
        <v>308</v>
      </c>
      <c r="G3083" t="s">
        <v>1110</v>
      </c>
      <c r="H3083" s="7">
        <v>7093</v>
      </c>
    </row>
    <row r="3084" spans="1:8" x14ac:dyDescent="0.3">
      <c r="A3084">
        <v>15437</v>
      </c>
      <c r="B3084" t="s">
        <v>1449</v>
      </c>
      <c r="C3084" t="s">
        <v>1991</v>
      </c>
      <c r="D3084" t="s">
        <v>5283</v>
      </c>
      <c r="E3084" t="s">
        <v>8</v>
      </c>
      <c r="F3084" t="s">
        <v>21</v>
      </c>
      <c r="G3084" t="s">
        <v>4927</v>
      </c>
      <c r="H3084" s="7">
        <v>90221</v>
      </c>
    </row>
    <row r="3085" spans="1:8" x14ac:dyDescent="0.3">
      <c r="A3085">
        <v>15448</v>
      </c>
      <c r="B3085" t="s">
        <v>5</v>
      </c>
      <c r="C3085" t="s">
        <v>1404</v>
      </c>
      <c r="D3085" t="s">
        <v>1405</v>
      </c>
      <c r="E3085" t="s">
        <v>8</v>
      </c>
      <c r="F3085" t="s">
        <v>9</v>
      </c>
      <c r="G3085" t="s">
        <v>399</v>
      </c>
      <c r="H3085" s="7">
        <v>725</v>
      </c>
    </row>
    <row r="3086" spans="1:8" x14ac:dyDescent="0.3">
      <c r="A3086">
        <v>15450</v>
      </c>
      <c r="B3086" t="s">
        <v>5</v>
      </c>
      <c r="C3086" t="s">
        <v>48</v>
      </c>
      <c r="D3086" t="s">
        <v>2960</v>
      </c>
      <c r="E3086" t="s">
        <v>8</v>
      </c>
      <c r="F3086" t="s">
        <v>9</v>
      </c>
      <c r="G3086" t="s">
        <v>5160</v>
      </c>
      <c r="H3086" s="7">
        <v>725</v>
      </c>
    </row>
    <row r="3087" spans="1:8" x14ac:dyDescent="0.3">
      <c r="A3087">
        <v>15455</v>
      </c>
      <c r="B3087" t="s">
        <v>1516</v>
      </c>
      <c r="C3087" t="s">
        <v>1572</v>
      </c>
      <c r="D3087" t="s">
        <v>595</v>
      </c>
      <c r="E3087" t="s">
        <v>8</v>
      </c>
      <c r="F3087" t="s">
        <v>308</v>
      </c>
      <c r="G3087" t="s">
        <v>2786</v>
      </c>
      <c r="H3087" s="7">
        <v>7960</v>
      </c>
    </row>
    <row r="3088" spans="1:8" x14ac:dyDescent="0.3">
      <c r="A3088">
        <v>15464</v>
      </c>
      <c r="B3088" t="s">
        <v>476</v>
      </c>
      <c r="C3088" t="s">
        <v>1572</v>
      </c>
      <c r="D3088" t="s">
        <v>1256</v>
      </c>
      <c r="E3088" t="s">
        <v>8</v>
      </c>
      <c r="F3088" t="s">
        <v>478</v>
      </c>
      <c r="G3088" t="s">
        <v>83</v>
      </c>
      <c r="H3088" s="7">
        <v>89030</v>
      </c>
    </row>
    <row r="3089" spans="1:8" x14ac:dyDescent="0.3">
      <c r="A3089">
        <v>15467</v>
      </c>
      <c r="B3089" t="s">
        <v>495</v>
      </c>
      <c r="C3089" t="s">
        <v>1592</v>
      </c>
      <c r="D3089" t="s">
        <v>2132</v>
      </c>
      <c r="E3089" t="s">
        <v>95</v>
      </c>
      <c r="F3089" t="s">
        <v>88</v>
      </c>
      <c r="G3089" t="s">
        <v>2503</v>
      </c>
      <c r="H3089" s="7">
        <v>11214</v>
      </c>
    </row>
    <row r="3090" spans="1:8" x14ac:dyDescent="0.3">
      <c r="A3090">
        <v>15468</v>
      </c>
      <c r="B3090" t="s">
        <v>2541</v>
      </c>
      <c r="C3090" t="s">
        <v>1788</v>
      </c>
      <c r="D3090" t="s">
        <v>2617</v>
      </c>
      <c r="E3090" t="s">
        <v>27</v>
      </c>
      <c r="F3090" t="s">
        <v>341</v>
      </c>
      <c r="G3090" t="s">
        <v>2637</v>
      </c>
      <c r="H3090" s="7">
        <v>28540</v>
      </c>
    </row>
    <row r="3091" spans="1:8" x14ac:dyDescent="0.3">
      <c r="A3091">
        <v>15474</v>
      </c>
      <c r="B3091" t="s">
        <v>5</v>
      </c>
      <c r="C3091" t="s">
        <v>2936</v>
      </c>
      <c r="D3091" t="s">
        <v>2937</v>
      </c>
      <c r="E3091" t="s">
        <v>27</v>
      </c>
      <c r="F3091" t="s">
        <v>9</v>
      </c>
      <c r="G3091" t="s">
        <v>2938</v>
      </c>
      <c r="H3091" s="7">
        <v>725</v>
      </c>
    </row>
    <row r="3092" spans="1:8" x14ac:dyDescent="0.3">
      <c r="A3092">
        <v>15475</v>
      </c>
      <c r="B3092" t="s">
        <v>1162</v>
      </c>
      <c r="C3092" t="s">
        <v>3771</v>
      </c>
      <c r="D3092" t="s">
        <v>2934</v>
      </c>
      <c r="E3092" t="s">
        <v>27</v>
      </c>
      <c r="F3092" t="s">
        <v>21</v>
      </c>
      <c r="G3092" t="s">
        <v>1926</v>
      </c>
      <c r="H3092" s="7">
        <v>94087</v>
      </c>
    </row>
    <row r="3093" spans="1:8" x14ac:dyDescent="0.3">
      <c r="A3093">
        <v>15489</v>
      </c>
      <c r="B3093" t="s">
        <v>3934</v>
      </c>
      <c r="C3093" t="s">
        <v>385</v>
      </c>
      <c r="D3093" t="s">
        <v>4397</v>
      </c>
      <c r="E3093" t="s">
        <v>27</v>
      </c>
      <c r="F3093" t="s">
        <v>1195</v>
      </c>
      <c r="G3093" t="s">
        <v>4398</v>
      </c>
      <c r="H3093" s="7">
        <v>98031</v>
      </c>
    </row>
    <row r="3094" spans="1:8" x14ac:dyDescent="0.3">
      <c r="A3094">
        <v>15512</v>
      </c>
      <c r="B3094" t="s">
        <v>5</v>
      </c>
      <c r="C3094" t="s">
        <v>3816</v>
      </c>
      <c r="D3094" t="s">
        <v>825</v>
      </c>
      <c r="E3094" t="s">
        <v>95</v>
      </c>
      <c r="F3094" t="s">
        <v>9</v>
      </c>
      <c r="G3094" t="s">
        <v>4907</v>
      </c>
      <c r="H3094" s="7">
        <v>725</v>
      </c>
    </row>
    <row r="3095" spans="1:8" x14ac:dyDescent="0.3">
      <c r="A3095">
        <v>15521</v>
      </c>
      <c r="B3095" t="s">
        <v>2170</v>
      </c>
      <c r="C3095" t="s">
        <v>71</v>
      </c>
      <c r="D3095" t="s">
        <v>1407</v>
      </c>
      <c r="E3095" t="s">
        <v>27</v>
      </c>
      <c r="F3095" t="s">
        <v>248</v>
      </c>
      <c r="G3095" t="s">
        <v>2785</v>
      </c>
      <c r="H3095" s="7">
        <v>44102</v>
      </c>
    </row>
    <row r="3096" spans="1:8" x14ac:dyDescent="0.3">
      <c r="A3096">
        <v>15534</v>
      </c>
      <c r="B3096" t="s">
        <v>2516</v>
      </c>
      <c r="C3096" t="s">
        <v>2232</v>
      </c>
      <c r="D3096" t="s">
        <v>2656</v>
      </c>
      <c r="E3096" t="s">
        <v>27</v>
      </c>
      <c r="F3096" t="s">
        <v>88</v>
      </c>
      <c r="G3096" t="s">
        <v>1492</v>
      </c>
      <c r="H3096" s="7">
        <v>12550</v>
      </c>
    </row>
    <row r="3097" spans="1:8" x14ac:dyDescent="0.3">
      <c r="A3097">
        <v>15535</v>
      </c>
      <c r="B3097" t="s">
        <v>5</v>
      </c>
      <c r="C3097" t="s">
        <v>3608</v>
      </c>
      <c r="D3097" t="s">
        <v>428</v>
      </c>
      <c r="E3097" t="s">
        <v>8</v>
      </c>
      <c r="F3097" t="s">
        <v>9</v>
      </c>
      <c r="G3097" t="s">
        <v>1507</v>
      </c>
      <c r="H3097" s="7">
        <v>725</v>
      </c>
    </row>
    <row r="3098" spans="1:8" x14ac:dyDescent="0.3">
      <c r="A3098">
        <v>15542</v>
      </c>
      <c r="B3098" t="s">
        <v>1174</v>
      </c>
      <c r="C3098" t="s">
        <v>1810</v>
      </c>
      <c r="D3098" t="s">
        <v>795</v>
      </c>
      <c r="E3098" t="s">
        <v>8</v>
      </c>
      <c r="F3098" t="s">
        <v>1177</v>
      </c>
      <c r="G3098" t="s">
        <v>4866</v>
      </c>
      <c r="H3098" s="7">
        <v>88005</v>
      </c>
    </row>
    <row r="3099" spans="1:8" x14ac:dyDescent="0.3">
      <c r="A3099">
        <v>15545</v>
      </c>
      <c r="B3099" t="s">
        <v>1800</v>
      </c>
      <c r="C3099" t="s">
        <v>957</v>
      </c>
      <c r="D3099" t="s">
        <v>3050</v>
      </c>
      <c r="E3099" t="s">
        <v>8</v>
      </c>
      <c r="F3099" t="s">
        <v>114</v>
      </c>
      <c r="G3099" t="s">
        <v>3051</v>
      </c>
      <c r="H3099" s="7">
        <v>76133</v>
      </c>
    </row>
    <row r="3100" spans="1:8" x14ac:dyDescent="0.3">
      <c r="A3100">
        <v>15546</v>
      </c>
      <c r="B3100" t="s">
        <v>2226</v>
      </c>
      <c r="C3100" t="s">
        <v>1564</v>
      </c>
      <c r="D3100" t="s">
        <v>53</v>
      </c>
      <c r="E3100" t="s">
        <v>27</v>
      </c>
      <c r="F3100" t="s">
        <v>77</v>
      </c>
      <c r="G3100" t="s">
        <v>2227</v>
      </c>
      <c r="H3100" s="7">
        <v>15642</v>
      </c>
    </row>
    <row r="3101" spans="1:8" x14ac:dyDescent="0.3">
      <c r="A3101">
        <v>15547</v>
      </c>
      <c r="B3101" t="s">
        <v>5</v>
      </c>
      <c r="C3101" t="s">
        <v>2605</v>
      </c>
      <c r="D3101" t="s">
        <v>2606</v>
      </c>
      <c r="E3101" t="s">
        <v>27</v>
      </c>
      <c r="F3101" t="s">
        <v>9</v>
      </c>
      <c r="G3101" t="s">
        <v>2607</v>
      </c>
      <c r="H3101" s="7">
        <v>725</v>
      </c>
    </row>
    <row r="3102" spans="1:8" x14ac:dyDescent="0.3">
      <c r="A3102">
        <v>15548</v>
      </c>
      <c r="B3102" t="s">
        <v>1143</v>
      </c>
      <c r="C3102" t="s">
        <v>1476</v>
      </c>
      <c r="D3102" t="s">
        <v>1405</v>
      </c>
      <c r="E3102" t="s">
        <v>27</v>
      </c>
      <c r="F3102" t="s">
        <v>1145</v>
      </c>
      <c r="G3102" t="s">
        <v>5181</v>
      </c>
      <c r="H3102" s="7">
        <v>53209</v>
      </c>
    </row>
    <row r="3103" spans="1:8" x14ac:dyDescent="0.3">
      <c r="A3103">
        <v>15549</v>
      </c>
      <c r="B3103" t="s">
        <v>5</v>
      </c>
      <c r="C3103" t="s">
        <v>687</v>
      </c>
      <c r="D3103" t="s">
        <v>2167</v>
      </c>
      <c r="E3103" t="s">
        <v>27</v>
      </c>
      <c r="F3103" t="s">
        <v>9</v>
      </c>
      <c r="G3103" t="s">
        <v>3293</v>
      </c>
      <c r="H3103" s="7">
        <v>725</v>
      </c>
    </row>
    <row r="3104" spans="1:8" x14ac:dyDescent="0.3">
      <c r="A3104">
        <v>15553</v>
      </c>
      <c r="B3104" t="s">
        <v>1203</v>
      </c>
      <c r="C3104" t="s">
        <v>3344</v>
      </c>
      <c r="D3104" t="s">
        <v>2614</v>
      </c>
      <c r="E3104" t="s">
        <v>8</v>
      </c>
      <c r="F3104" t="s">
        <v>21</v>
      </c>
      <c r="G3104" t="s">
        <v>5185</v>
      </c>
      <c r="H3104" s="7">
        <v>91748</v>
      </c>
    </row>
    <row r="3105" spans="1:8" x14ac:dyDescent="0.3">
      <c r="A3105">
        <v>15560</v>
      </c>
      <c r="B3105" t="s">
        <v>1179</v>
      </c>
      <c r="C3105" t="s">
        <v>1148</v>
      </c>
      <c r="D3105" t="s">
        <v>3033</v>
      </c>
      <c r="E3105" t="s">
        <v>27</v>
      </c>
      <c r="F3105" t="s">
        <v>88</v>
      </c>
      <c r="G3105" t="s">
        <v>4138</v>
      </c>
      <c r="H3105" s="7">
        <v>11520</v>
      </c>
    </row>
    <row r="3106" spans="1:8" x14ac:dyDescent="0.3">
      <c r="A3106">
        <v>15563</v>
      </c>
      <c r="B3106" t="s">
        <v>5</v>
      </c>
      <c r="C3106" t="s">
        <v>362</v>
      </c>
      <c r="D3106" t="s">
        <v>1169</v>
      </c>
      <c r="E3106" t="s">
        <v>27</v>
      </c>
      <c r="F3106" t="s">
        <v>9</v>
      </c>
      <c r="G3106" t="s">
        <v>330</v>
      </c>
      <c r="H3106" s="7">
        <v>725</v>
      </c>
    </row>
    <row r="3107" spans="1:8" x14ac:dyDescent="0.3">
      <c r="A3107">
        <v>15564</v>
      </c>
      <c r="B3107" t="s">
        <v>1501</v>
      </c>
      <c r="C3107" t="s">
        <v>1502</v>
      </c>
      <c r="D3107" t="s">
        <v>1256</v>
      </c>
      <c r="E3107" t="s">
        <v>27</v>
      </c>
      <c r="F3107" t="s">
        <v>308</v>
      </c>
      <c r="G3107" t="s">
        <v>1503</v>
      </c>
      <c r="H3107" s="7">
        <v>8817</v>
      </c>
    </row>
    <row r="3108" spans="1:8" x14ac:dyDescent="0.3">
      <c r="A3108">
        <v>15570</v>
      </c>
      <c r="B3108" t="s">
        <v>5</v>
      </c>
      <c r="C3108" t="s">
        <v>895</v>
      </c>
      <c r="D3108" t="s">
        <v>2010</v>
      </c>
      <c r="E3108" t="s">
        <v>8</v>
      </c>
      <c r="F3108" t="s">
        <v>9</v>
      </c>
      <c r="G3108" t="s">
        <v>3305</v>
      </c>
      <c r="H3108" s="7">
        <v>725</v>
      </c>
    </row>
    <row r="3109" spans="1:8" x14ac:dyDescent="0.3">
      <c r="A3109">
        <v>15573</v>
      </c>
      <c r="B3109" t="s">
        <v>2738</v>
      </c>
      <c r="C3109" t="s">
        <v>2135</v>
      </c>
      <c r="D3109" t="s">
        <v>2880</v>
      </c>
      <c r="E3109" t="s">
        <v>8</v>
      </c>
      <c r="F3109" t="s">
        <v>21</v>
      </c>
      <c r="G3109" t="s">
        <v>2881</v>
      </c>
      <c r="H3109" s="7">
        <v>93033</v>
      </c>
    </row>
    <row r="3110" spans="1:8" x14ac:dyDescent="0.3">
      <c r="A3110">
        <v>15577</v>
      </c>
      <c r="B3110" t="s">
        <v>4130</v>
      </c>
      <c r="C3110" t="s">
        <v>2989</v>
      </c>
      <c r="D3110" t="s">
        <v>3976</v>
      </c>
      <c r="E3110" t="s">
        <v>8</v>
      </c>
      <c r="F3110" t="s">
        <v>88</v>
      </c>
      <c r="G3110" t="s">
        <v>4131</v>
      </c>
      <c r="H3110" s="7">
        <v>11758</v>
      </c>
    </row>
    <row r="3111" spans="1:8" x14ac:dyDescent="0.3">
      <c r="A3111">
        <v>15578</v>
      </c>
      <c r="B3111" t="s">
        <v>5</v>
      </c>
      <c r="C3111" t="s">
        <v>5503</v>
      </c>
      <c r="D3111" t="s">
        <v>1544</v>
      </c>
      <c r="E3111" t="s">
        <v>8</v>
      </c>
      <c r="F3111" t="s">
        <v>9</v>
      </c>
      <c r="G3111" t="s">
        <v>4326</v>
      </c>
      <c r="H3111" s="7">
        <v>725</v>
      </c>
    </row>
    <row r="3112" spans="1:8" x14ac:dyDescent="0.3">
      <c r="A3112">
        <v>15588</v>
      </c>
      <c r="B3112" t="s">
        <v>5</v>
      </c>
      <c r="C3112" t="s">
        <v>874</v>
      </c>
      <c r="D3112" t="s">
        <v>2051</v>
      </c>
      <c r="E3112" t="s">
        <v>8</v>
      </c>
      <c r="F3112" t="s">
        <v>9</v>
      </c>
      <c r="G3112" t="s">
        <v>3786</v>
      </c>
      <c r="H3112" s="7">
        <v>725</v>
      </c>
    </row>
    <row r="3113" spans="1:8" x14ac:dyDescent="0.3">
      <c r="A3113">
        <v>15589</v>
      </c>
      <c r="B3113" t="s">
        <v>293</v>
      </c>
      <c r="C3113" t="s">
        <v>3093</v>
      </c>
      <c r="D3113" t="s">
        <v>4397</v>
      </c>
      <c r="E3113" t="s">
        <v>8</v>
      </c>
      <c r="F3113" t="s">
        <v>114</v>
      </c>
      <c r="G3113" t="s">
        <v>294</v>
      </c>
      <c r="H3113" s="7">
        <v>75052</v>
      </c>
    </row>
    <row r="3114" spans="1:8" x14ac:dyDescent="0.3">
      <c r="A3114">
        <v>15590</v>
      </c>
      <c r="B3114" t="s">
        <v>254</v>
      </c>
      <c r="C3114" t="s">
        <v>3104</v>
      </c>
      <c r="D3114" t="s">
        <v>4387</v>
      </c>
      <c r="E3114" t="s">
        <v>8</v>
      </c>
      <c r="F3114" t="s">
        <v>55</v>
      </c>
      <c r="G3114" t="s">
        <v>5184</v>
      </c>
      <c r="H3114" s="7">
        <v>60643</v>
      </c>
    </row>
    <row r="3115" spans="1:8" x14ac:dyDescent="0.3">
      <c r="A3115">
        <v>15592</v>
      </c>
      <c r="B3115" t="s">
        <v>995</v>
      </c>
      <c r="C3115" t="s">
        <v>2127</v>
      </c>
      <c r="D3115" t="s">
        <v>3863</v>
      </c>
      <c r="E3115" t="s">
        <v>8</v>
      </c>
      <c r="F3115" t="s">
        <v>283</v>
      </c>
      <c r="G3115" t="s">
        <v>5379</v>
      </c>
      <c r="H3115" s="7">
        <v>23454</v>
      </c>
    </row>
    <row r="3116" spans="1:8" x14ac:dyDescent="0.3">
      <c r="A3116">
        <v>15595</v>
      </c>
      <c r="B3116" t="s">
        <v>2170</v>
      </c>
      <c r="C3116" t="s">
        <v>2815</v>
      </c>
      <c r="D3116" t="s">
        <v>398</v>
      </c>
      <c r="E3116" t="s">
        <v>27</v>
      </c>
      <c r="F3116" t="s">
        <v>248</v>
      </c>
      <c r="G3116" t="s">
        <v>2816</v>
      </c>
      <c r="H3116" s="7">
        <v>44118</v>
      </c>
    </row>
    <row r="3117" spans="1:8" x14ac:dyDescent="0.3">
      <c r="A3117">
        <v>15596</v>
      </c>
      <c r="B3117" t="s">
        <v>5</v>
      </c>
      <c r="C3117" t="s">
        <v>2253</v>
      </c>
      <c r="D3117" t="s">
        <v>251</v>
      </c>
      <c r="E3117" t="s">
        <v>27</v>
      </c>
      <c r="F3117" t="s">
        <v>9</v>
      </c>
      <c r="G3117" t="s">
        <v>3261</v>
      </c>
      <c r="H3117" s="7">
        <v>725</v>
      </c>
    </row>
    <row r="3118" spans="1:8" x14ac:dyDescent="0.3">
      <c r="A3118">
        <v>15601</v>
      </c>
      <c r="B3118" t="s">
        <v>5</v>
      </c>
      <c r="C3118" t="s">
        <v>2049</v>
      </c>
      <c r="D3118" t="s">
        <v>2050</v>
      </c>
      <c r="E3118" t="s">
        <v>27</v>
      </c>
      <c r="F3118" t="s">
        <v>9</v>
      </c>
      <c r="G3118" t="s">
        <v>224</v>
      </c>
      <c r="H3118" s="7">
        <v>725</v>
      </c>
    </row>
    <row r="3119" spans="1:8" x14ac:dyDescent="0.3">
      <c r="A3119">
        <v>15623</v>
      </c>
      <c r="B3119" t="s">
        <v>1486</v>
      </c>
      <c r="C3119" t="s">
        <v>2876</v>
      </c>
      <c r="D3119" t="s">
        <v>2821</v>
      </c>
      <c r="E3119" t="s">
        <v>8</v>
      </c>
      <c r="F3119" t="s">
        <v>308</v>
      </c>
      <c r="G3119" t="s">
        <v>2759</v>
      </c>
      <c r="H3119" s="7">
        <v>7305</v>
      </c>
    </row>
    <row r="3120" spans="1:8" x14ac:dyDescent="0.3">
      <c r="A3120">
        <v>15624</v>
      </c>
      <c r="B3120" t="s">
        <v>5</v>
      </c>
      <c r="C3120" t="s">
        <v>953</v>
      </c>
      <c r="D3120" t="s">
        <v>954</v>
      </c>
      <c r="E3120" t="s">
        <v>27</v>
      </c>
      <c r="F3120" t="s">
        <v>9</v>
      </c>
      <c r="G3120" t="s">
        <v>563</v>
      </c>
      <c r="H3120" s="7">
        <v>725</v>
      </c>
    </row>
    <row r="3121" spans="1:8" x14ac:dyDescent="0.3">
      <c r="A3121">
        <v>15627</v>
      </c>
      <c r="B3121" t="s">
        <v>5</v>
      </c>
      <c r="C3121" t="s">
        <v>1999</v>
      </c>
      <c r="D3121" t="s">
        <v>3072</v>
      </c>
      <c r="E3121" t="s">
        <v>8</v>
      </c>
      <c r="F3121" t="s">
        <v>9</v>
      </c>
      <c r="G3121" t="s">
        <v>5263</v>
      </c>
      <c r="H3121" s="7">
        <v>725</v>
      </c>
    </row>
    <row r="3122" spans="1:8" x14ac:dyDescent="0.3">
      <c r="A3122">
        <v>15628</v>
      </c>
      <c r="B3122" t="s">
        <v>457</v>
      </c>
      <c r="C3122" t="s">
        <v>738</v>
      </c>
      <c r="D3122" t="s">
        <v>3349</v>
      </c>
      <c r="E3122" t="s">
        <v>8</v>
      </c>
      <c r="F3122" t="s">
        <v>21</v>
      </c>
      <c r="G3122" t="s">
        <v>5003</v>
      </c>
      <c r="H3122" s="7">
        <v>91402</v>
      </c>
    </row>
    <row r="3123" spans="1:8" x14ac:dyDescent="0.3">
      <c r="A3123">
        <v>15639</v>
      </c>
      <c r="B3123" t="s">
        <v>2836</v>
      </c>
      <c r="C3123" t="s">
        <v>3499</v>
      </c>
      <c r="D3123" t="s">
        <v>3500</v>
      </c>
      <c r="E3123" t="s">
        <v>8</v>
      </c>
      <c r="F3123" t="s">
        <v>88</v>
      </c>
      <c r="G3123" t="s">
        <v>2839</v>
      </c>
      <c r="H3123" s="7">
        <v>11374</v>
      </c>
    </row>
    <row r="3124" spans="1:8" x14ac:dyDescent="0.3">
      <c r="A3124">
        <v>15642</v>
      </c>
      <c r="B3124" t="s">
        <v>1323</v>
      </c>
      <c r="C3124" t="s">
        <v>362</v>
      </c>
      <c r="D3124" t="s">
        <v>1192</v>
      </c>
      <c r="E3124" t="s">
        <v>8</v>
      </c>
      <c r="F3124" t="s">
        <v>88</v>
      </c>
      <c r="G3124" t="s">
        <v>1324</v>
      </c>
      <c r="H3124" s="7">
        <v>14120</v>
      </c>
    </row>
    <row r="3125" spans="1:8" x14ac:dyDescent="0.3">
      <c r="A3125">
        <v>15643</v>
      </c>
      <c r="B3125" t="s">
        <v>5</v>
      </c>
      <c r="C3125" t="s">
        <v>183</v>
      </c>
      <c r="D3125" t="s">
        <v>2006</v>
      </c>
      <c r="E3125" t="s">
        <v>8</v>
      </c>
      <c r="F3125" t="s">
        <v>9</v>
      </c>
      <c r="G3125" t="s">
        <v>3761</v>
      </c>
      <c r="H3125" s="7">
        <v>725</v>
      </c>
    </row>
    <row r="3126" spans="1:8" x14ac:dyDescent="0.3">
      <c r="A3126">
        <v>15649</v>
      </c>
      <c r="B3126" t="s">
        <v>2983</v>
      </c>
      <c r="C3126" t="s">
        <v>4589</v>
      </c>
      <c r="D3126" t="s">
        <v>1831</v>
      </c>
      <c r="E3126" t="s">
        <v>27</v>
      </c>
      <c r="F3126" t="s">
        <v>55</v>
      </c>
      <c r="G3126" t="s">
        <v>5505</v>
      </c>
      <c r="H3126" s="7">
        <v>61554</v>
      </c>
    </row>
    <row r="3127" spans="1:8" x14ac:dyDescent="0.3">
      <c r="A3127">
        <v>15654</v>
      </c>
      <c r="B3127" t="s">
        <v>1928</v>
      </c>
      <c r="C3127" t="s">
        <v>2114</v>
      </c>
      <c r="D3127" t="s">
        <v>2115</v>
      </c>
      <c r="E3127" t="s">
        <v>8</v>
      </c>
      <c r="F3127" t="s">
        <v>88</v>
      </c>
      <c r="G3127" t="s">
        <v>1929</v>
      </c>
      <c r="H3127" s="7">
        <v>10306</v>
      </c>
    </row>
    <row r="3128" spans="1:8" x14ac:dyDescent="0.3">
      <c r="A3128">
        <v>15661</v>
      </c>
      <c r="B3128" t="s">
        <v>2810</v>
      </c>
      <c r="C3128" t="s">
        <v>3711</v>
      </c>
      <c r="D3128" t="s">
        <v>2051</v>
      </c>
      <c r="E3128" t="s">
        <v>27</v>
      </c>
      <c r="F3128" t="s">
        <v>381</v>
      </c>
      <c r="G3128" t="s">
        <v>4017</v>
      </c>
      <c r="H3128" s="7">
        <v>48103</v>
      </c>
    </row>
    <row r="3129" spans="1:8" x14ac:dyDescent="0.3">
      <c r="A3129">
        <v>15666</v>
      </c>
      <c r="B3129" t="s">
        <v>5</v>
      </c>
      <c r="C3129" t="s">
        <v>5340</v>
      </c>
      <c r="D3129" t="s">
        <v>2120</v>
      </c>
      <c r="E3129" t="s">
        <v>8</v>
      </c>
      <c r="F3129" t="s">
        <v>9</v>
      </c>
      <c r="G3129" t="s">
        <v>414</v>
      </c>
      <c r="H3129" s="7">
        <v>725</v>
      </c>
    </row>
    <row r="3130" spans="1:8" x14ac:dyDescent="0.3">
      <c r="A3130">
        <v>15667</v>
      </c>
      <c r="B3130" t="s">
        <v>1236</v>
      </c>
      <c r="C3130" t="s">
        <v>4588</v>
      </c>
      <c r="D3130" t="s">
        <v>506</v>
      </c>
      <c r="E3130" t="s">
        <v>8</v>
      </c>
      <c r="F3130" t="s">
        <v>77</v>
      </c>
      <c r="G3130" t="s">
        <v>1239</v>
      </c>
      <c r="H3130" s="7">
        <v>17055</v>
      </c>
    </row>
    <row r="3131" spans="1:8" x14ac:dyDescent="0.3">
      <c r="A3131">
        <v>15670</v>
      </c>
      <c r="B3131" t="s">
        <v>1139</v>
      </c>
      <c r="C3131" t="s">
        <v>2564</v>
      </c>
      <c r="D3131" t="s">
        <v>2255</v>
      </c>
      <c r="E3131" t="s">
        <v>8</v>
      </c>
      <c r="F3131" t="s">
        <v>114</v>
      </c>
      <c r="G3131" t="s">
        <v>2565</v>
      </c>
      <c r="H3131" s="7">
        <v>79907</v>
      </c>
    </row>
    <row r="3132" spans="1:8" x14ac:dyDescent="0.3">
      <c r="A3132">
        <v>15671</v>
      </c>
      <c r="B3132" t="s">
        <v>5</v>
      </c>
      <c r="C3132" t="s">
        <v>2608</v>
      </c>
      <c r="D3132" t="s">
        <v>1345</v>
      </c>
      <c r="E3132" t="s">
        <v>8</v>
      </c>
      <c r="F3132" t="s">
        <v>9</v>
      </c>
      <c r="G3132" t="s">
        <v>3336</v>
      </c>
      <c r="H3132" s="7">
        <v>725</v>
      </c>
    </row>
    <row r="3133" spans="1:8" x14ac:dyDescent="0.3">
      <c r="A3133">
        <v>15672</v>
      </c>
      <c r="B3133" t="s">
        <v>3045</v>
      </c>
      <c r="C3133" t="s">
        <v>716</v>
      </c>
      <c r="D3133" t="s">
        <v>3046</v>
      </c>
      <c r="E3133" t="s">
        <v>8</v>
      </c>
      <c r="F3133" t="s">
        <v>21</v>
      </c>
      <c r="G3133" t="s">
        <v>2045</v>
      </c>
      <c r="H3133" s="7">
        <v>95023</v>
      </c>
    </row>
    <row r="3134" spans="1:8" x14ac:dyDescent="0.3">
      <c r="A3134">
        <v>15676</v>
      </c>
      <c r="B3134" t="s">
        <v>661</v>
      </c>
      <c r="C3134" t="s">
        <v>2572</v>
      </c>
      <c r="D3134" t="s">
        <v>94</v>
      </c>
      <c r="E3134" t="s">
        <v>27</v>
      </c>
      <c r="F3134" t="s">
        <v>153</v>
      </c>
      <c r="G3134" t="s">
        <v>2814</v>
      </c>
      <c r="H3134" s="7">
        <v>84084</v>
      </c>
    </row>
    <row r="3135" spans="1:8" x14ac:dyDescent="0.3">
      <c r="A3135">
        <v>15677</v>
      </c>
      <c r="B3135" t="s">
        <v>5</v>
      </c>
      <c r="C3135" t="s">
        <v>1805</v>
      </c>
      <c r="D3135" t="s">
        <v>127</v>
      </c>
      <c r="E3135" t="s">
        <v>27</v>
      </c>
      <c r="F3135" t="s">
        <v>9</v>
      </c>
      <c r="G3135" t="s">
        <v>2933</v>
      </c>
      <c r="H3135" s="7">
        <v>725</v>
      </c>
    </row>
    <row r="3136" spans="1:8" x14ac:dyDescent="0.3">
      <c r="A3136">
        <v>15678</v>
      </c>
      <c r="B3136" t="s">
        <v>1263</v>
      </c>
      <c r="C3136" t="s">
        <v>2477</v>
      </c>
      <c r="D3136" t="s">
        <v>1093</v>
      </c>
      <c r="E3136" t="s">
        <v>27</v>
      </c>
      <c r="F3136" t="s">
        <v>21</v>
      </c>
      <c r="G3136" t="s">
        <v>1265</v>
      </c>
      <c r="H3136" s="7">
        <v>92021</v>
      </c>
    </row>
    <row r="3137" spans="1:8" x14ac:dyDescent="0.3">
      <c r="A3137">
        <v>15679</v>
      </c>
      <c r="B3137" t="s">
        <v>396</v>
      </c>
      <c r="C3137" t="s">
        <v>1930</v>
      </c>
      <c r="D3137" t="s">
        <v>1183</v>
      </c>
      <c r="E3137" t="s">
        <v>27</v>
      </c>
      <c r="F3137" t="s">
        <v>248</v>
      </c>
      <c r="G3137" t="s">
        <v>2803</v>
      </c>
      <c r="H3137" s="7">
        <v>45011</v>
      </c>
    </row>
    <row r="3138" spans="1:8" x14ac:dyDescent="0.3">
      <c r="A3138">
        <v>15685</v>
      </c>
      <c r="B3138" t="s">
        <v>5</v>
      </c>
      <c r="C3138" t="s">
        <v>1032</v>
      </c>
      <c r="D3138" t="s">
        <v>4922</v>
      </c>
      <c r="E3138" t="s">
        <v>8</v>
      </c>
      <c r="F3138" t="s">
        <v>9</v>
      </c>
      <c r="G3138" t="s">
        <v>1623</v>
      </c>
      <c r="H3138" s="7">
        <v>725</v>
      </c>
    </row>
    <row r="3139" spans="1:8" x14ac:dyDescent="0.3">
      <c r="A3139">
        <v>15694</v>
      </c>
      <c r="B3139" t="s">
        <v>5</v>
      </c>
      <c r="C3139" t="s">
        <v>1317</v>
      </c>
      <c r="D3139" t="s">
        <v>113</v>
      </c>
      <c r="E3139" t="s">
        <v>95</v>
      </c>
      <c r="F3139" t="s">
        <v>9</v>
      </c>
      <c r="G3139" t="s">
        <v>3587</v>
      </c>
      <c r="H3139" s="7">
        <v>725</v>
      </c>
    </row>
    <row r="3140" spans="1:8" x14ac:dyDescent="0.3">
      <c r="A3140">
        <v>15695</v>
      </c>
      <c r="B3140" t="s">
        <v>368</v>
      </c>
      <c r="C3140" t="s">
        <v>2140</v>
      </c>
      <c r="D3140" t="s">
        <v>1191</v>
      </c>
      <c r="E3140" t="s">
        <v>95</v>
      </c>
      <c r="F3140" t="s">
        <v>88</v>
      </c>
      <c r="G3140" t="s">
        <v>2506</v>
      </c>
      <c r="H3140" s="7">
        <v>10025</v>
      </c>
    </row>
    <row r="3141" spans="1:8" x14ac:dyDescent="0.3">
      <c r="A3141">
        <v>15696</v>
      </c>
      <c r="B3141" t="s">
        <v>5</v>
      </c>
      <c r="C3141" t="s">
        <v>1060</v>
      </c>
      <c r="D3141" t="s">
        <v>1061</v>
      </c>
      <c r="E3141" t="s">
        <v>95</v>
      </c>
      <c r="F3141" t="s">
        <v>9</v>
      </c>
      <c r="G3141" t="s">
        <v>1062</v>
      </c>
      <c r="H3141" s="7">
        <v>725</v>
      </c>
    </row>
    <row r="3142" spans="1:8" x14ac:dyDescent="0.3">
      <c r="A3142">
        <v>15697</v>
      </c>
      <c r="B3142" t="s">
        <v>2089</v>
      </c>
      <c r="C3142" t="s">
        <v>2090</v>
      </c>
      <c r="D3142" t="s">
        <v>2091</v>
      </c>
      <c r="E3142" t="s">
        <v>8</v>
      </c>
      <c r="F3142" t="s">
        <v>21</v>
      </c>
      <c r="G3142" t="s">
        <v>2092</v>
      </c>
      <c r="H3142" s="7">
        <v>95687</v>
      </c>
    </row>
    <row r="3143" spans="1:8" x14ac:dyDescent="0.3">
      <c r="A3143">
        <v>15698</v>
      </c>
      <c r="B3143" t="s">
        <v>723</v>
      </c>
      <c r="C3143" t="s">
        <v>484</v>
      </c>
      <c r="D3143" t="s">
        <v>2531</v>
      </c>
      <c r="E3143" t="s">
        <v>8</v>
      </c>
      <c r="F3143" t="s">
        <v>55</v>
      </c>
      <c r="G3143" t="s">
        <v>2200</v>
      </c>
      <c r="H3143" s="7">
        <v>60504</v>
      </c>
    </row>
    <row r="3144" spans="1:8" x14ac:dyDescent="0.3">
      <c r="A3144">
        <v>15706</v>
      </c>
      <c r="B3144" t="s">
        <v>1531</v>
      </c>
      <c r="C3144" t="s">
        <v>2807</v>
      </c>
      <c r="D3144" t="s">
        <v>802</v>
      </c>
      <c r="E3144" t="s">
        <v>8</v>
      </c>
      <c r="F3144" t="s">
        <v>21</v>
      </c>
      <c r="G3144" t="s">
        <v>1534</v>
      </c>
      <c r="H3144" s="7">
        <v>91950</v>
      </c>
    </row>
    <row r="3145" spans="1:8" x14ac:dyDescent="0.3">
      <c r="A3145">
        <v>15709</v>
      </c>
      <c r="B3145" t="s">
        <v>1162</v>
      </c>
      <c r="C3145" t="s">
        <v>5332</v>
      </c>
      <c r="D3145" t="s">
        <v>1221</v>
      </c>
      <c r="E3145" t="s">
        <v>8</v>
      </c>
      <c r="F3145" t="s">
        <v>21</v>
      </c>
      <c r="G3145" t="s">
        <v>5435</v>
      </c>
      <c r="H3145" s="7">
        <v>94086</v>
      </c>
    </row>
    <row r="3146" spans="1:8" x14ac:dyDescent="0.3">
      <c r="A3146">
        <v>15711</v>
      </c>
      <c r="B3146" t="s">
        <v>3057</v>
      </c>
      <c r="C3146" t="s">
        <v>2179</v>
      </c>
      <c r="D3146" t="s">
        <v>3072</v>
      </c>
      <c r="E3146" t="s">
        <v>8</v>
      </c>
      <c r="F3146" t="s">
        <v>21</v>
      </c>
      <c r="G3146" t="s">
        <v>3073</v>
      </c>
      <c r="H3146" s="7">
        <v>94539</v>
      </c>
    </row>
    <row r="3147" spans="1:8" x14ac:dyDescent="0.3">
      <c r="A3147">
        <v>15712</v>
      </c>
      <c r="B3147" t="s">
        <v>40</v>
      </c>
      <c r="C3147" t="s">
        <v>1814</v>
      </c>
      <c r="D3147" t="s">
        <v>345</v>
      </c>
      <c r="E3147" t="s">
        <v>8</v>
      </c>
      <c r="F3147" t="s">
        <v>77</v>
      </c>
      <c r="G3147" t="s">
        <v>1815</v>
      </c>
      <c r="H3147" s="7">
        <v>17602</v>
      </c>
    </row>
    <row r="3148" spans="1:8" x14ac:dyDescent="0.3">
      <c r="A3148">
        <v>15713</v>
      </c>
      <c r="B3148" t="s">
        <v>5</v>
      </c>
      <c r="C3148" t="s">
        <v>1691</v>
      </c>
      <c r="D3148" t="s">
        <v>739</v>
      </c>
      <c r="E3148" t="s">
        <v>27</v>
      </c>
      <c r="F3148" t="s">
        <v>9</v>
      </c>
      <c r="G3148" t="s">
        <v>2922</v>
      </c>
      <c r="H3148" s="7">
        <v>725</v>
      </c>
    </row>
    <row r="3149" spans="1:8" x14ac:dyDescent="0.3">
      <c r="A3149">
        <v>15720</v>
      </c>
      <c r="B3149" t="s">
        <v>5</v>
      </c>
      <c r="C3149" t="s">
        <v>207</v>
      </c>
      <c r="D3149" t="s">
        <v>1343</v>
      </c>
      <c r="E3149" t="s">
        <v>8</v>
      </c>
      <c r="F3149" t="s">
        <v>9</v>
      </c>
      <c r="G3149" t="s">
        <v>1344</v>
      </c>
      <c r="H3149" s="7">
        <v>725</v>
      </c>
    </row>
    <row r="3150" spans="1:8" x14ac:dyDescent="0.3">
      <c r="A3150">
        <v>15730</v>
      </c>
      <c r="B3150" t="s">
        <v>5</v>
      </c>
      <c r="C3150" t="s">
        <v>48</v>
      </c>
      <c r="D3150" t="s">
        <v>1922</v>
      </c>
      <c r="E3150" t="s">
        <v>8</v>
      </c>
      <c r="F3150" t="s">
        <v>9</v>
      </c>
      <c r="G3150" t="s">
        <v>3632</v>
      </c>
      <c r="H3150" s="7">
        <v>725</v>
      </c>
    </row>
    <row r="3151" spans="1:8" x14ac:dyDescent="0.3">
      <c r="A3151">
        <v>15731</v>
      </c>
      <c r="B3151" t="s">
        <v>174</v>
      </c>
      <c r="C3151" t="s">
        <v>2396</v>
      </c>
      <c r="D3151" t="s">
        <v>1825</v>
      </c>
      <c r="E3151" t="s">
        <v>8</v>
      </c>
      <c r="F3151" t="s">
        <v>21</v>
      </c>
      <c r="G3151" t="s">
        <v>4717</v>
      </c>
      <c r="H3151" s="7">
        <v>90024</v>
      </c>
    </row>
    <row r="3152" spans="1:8" x14ac:dyDescent="0.3">
      <c r="A3152">
        <v>15752</v>
      </c>
      <c r="B3152" t="s">
        <v>5</v>
      </c>
      <c r="C3152" t="s">
        <v>1068</v>
      </c>
      <c r="D3152" t="s">
        <v>2969</v>
      </c>
      <c r="E3152" t="s">
        <v>95</v>
      </c>
      <c r="F3152" t="s">
        <v>9</v>
      </c>
      <c r="G3152" t="s">
        <v>4490</v>
      </c>
      <c r="H3152" s="7">
        <v>725</v>
      </c>
    </row>
    <row r="3153" spans="1:8" x14ac:dyDescent="0.3">
      <c r="A3153">
        <v>15754</v>
      </c>
      <c r="B3153" t="s">
        <v>5</v>
      </c>
      <c r="C3153" t="s">
        <v>211</v>
      </c>
      <c r="D3153" t="s">
        <v>2137</v>
      </c>
      <c r="E3153" t="s">
        <v>8</v>
      </c>
      <c r="F3153" t="s">
        <v>9</v>
      </c>
      <c r="G3153" t="s">
        <v>4525</v>
      </c>
      <c r="H3153" s="7">
        <v>725</v>
      </c>
    </row>
    <row r="3154" spans="1:8" x14ac:dyDescent="0.3">
      <c r="A3154">
        <v>15763</v>
      </c>
      <c r="B3154" t="s">
        <v>5</v>
      </c>
      <c r="C3154" t="s">
        <v>1186</v>
      </c>
      <c r="D3154" t="s">
        <v>1506</v>
      </c>
      <c r="E3154" t="s">
        <v>8</v>
      </c>
      <c r="F3154" t="s">
        <v>9</v>
      </c>
      <c r="G3154" t="s">
        <v>3205</v>
      </c>
      <c r="H3154" s="7">
        <v>725</v>
      </c>
    </row>
    <row r="3155" spans="1:8" x14ac:dyDescent="0.3">
      <c r="A3155">
        <v>15776</v>
      </c>
      <c r="B3155" t="s">
        <v>1586</v>
      </c>
      <c r="C3155" t="s">
        <v>2070</v>
      </c>
      <c r="D3155" t="s">
        <v>2650</v>
      </c>
      <c r="E3155" t="s">
        <v>27</v>
      </c>
      <c r="F3155" t="s">
        <v>341</v>
      </c>
      <c r="G3155" t="s">
        <v>834</v>
      </c>
      <c r="H3155" s="7">
        <v>27514</v>
      </c>
    </row>
    <row r="3156" spans="1:8" x14ac:dyDescent="0.3">
      <c r="A3156">
        <v>15777</v>
      </c>
      <c r="B3156" t="s">
        <v>5</v>
      </c>
      <c r="C3156" t="s">
        <v>1963</v>
      </c>
      <c r="D3156" t="s">
        <v>1221</v>
      </c>
      <c r="E3156" t="s">
        <v>27</v>
      </c>
      <c r="F3156" t="s">
        <v>9</v>
      </c>
      <c r="G3156" t="s">
        <v>3284</v>
      </c>
      <c r="H3156" s="7">
        <v>725</v>
      </c>
    </row>
    <row r="3157" spans="1:8" x14ac:dyDescent="0.3">
      <c r="A3157">
        <v>15778</v>
      </c>
      <c r="B3157" t="s">
        <v>593</v>
      </c>
      <c r="C3157" t="s">
        <v>594</v>
      </c>
      <c r="D3157" t="s">
        <v>595</v>
      </c>
      <c r="E3157" t="s">
        <v>27</v>
      </c>
      <c r="F3157" t="s">
        <v>9</v>
      </c>
      <c r="G3157" t="s">
        <v>596</v>
      </c>
      <c r="H3157" s="7">
        <v>745</v>
      </c>
    </row>
    <row r="3158" spans="1:8" x14ac:dyDescent="0.3">
      <c r="A3158">
        <v>15779</v>
      </c>
      <c r="B3158" t="s">
        <v>5</v>
      </c>
      <c r="C3158" t="s">
        <v>515</v>
      </c>
      <c r="D3158" t="s">
        <v>516</v>
      </c>
      <c r="E3158" t="s">
        <v>95</v>
      </c>
      <c r="F3158" t="s">
        <v>9</v>
      </c>
      <c r="G3158" t="s">
        <v>517</v>
      </c>
      <c r="H3158" s="7">
        <v>725</v>
      </c>
    </row>
    <row r="3159" spans="1:8" x14ac:dyDescent="0.3">
      <c r="A3159">
        <v>15780</v>
      </c>
      <c r="B3159" t="s">
        <v>995</v>
      </c>
      <c r="C3159" t="s">
        <v>63</v>
      </c>
      <c r="D3159" t="s">
        <v>2481</v>
      </c>
      <c r="E3159" t="s">
        <v>27</v>
      </c>
      <c r="F3159" t="s">
        <v>283</v>
      </c>
      <c r="G3159" t="s">
        <v>2482</v>
      </c>
      <c r="H3159" s="7">
        <v>23455</v>
      </c>
    </row>
    <row r="3160" spans="1:8" x14ac:dyDescent="0.3">
      <c r="A3160">
        <v>15781</v>
      </c>
      <c r="B3160" t="s">
        <v>5</v>
      </c>
      <c r="C3160" t="s">
        <v>1443</v>
      </c>
      <c r="D3160" t="s">
        <v>1016</v>
      </c>
      <c r="E3160" t="s">
        <v>27</v>
      </c>
      <c r="F3160" t="s">
        <v>9</v>
      </c>
      <c r="G3160" t="s">
        <v>1994</v>
      </c>
      <c r="H3160" s="7">
        <v>725</v>
      </c>
    </row>
    <row r="3161" spans="1:8" x14ac:dyDescent="0.3">
      <c r="A3161">
        <v>15782</v>
      </c>
      <c r="B3161" t="s">
        <v>2447</v>
      </c>
      <c r="C3161" t="s">
        <v>1404</v>
      </c>
      <c r="D3161" t="s">
        <v>3328</v>
      </c>
      <c r="E3161" t="s">
        <v>8</v>
      </c>
      <c r="F3161" t="s">
        <v>9</v>
      </c>
      <c r="G3161" t="s">
        <v>3329</v>
      </c>
      <c r="H3161" s="7">
        <v>612</v>
      </c>
    </row>
    <row r="3162" spans="1:8" x14ac:dyDescent="0.3">
      <c r="A3162">
        <v>15783</v>
      </c>
      <c r="B3162" t="s">
        <v>1139</v>
      </c>
      <c r="C3162" t="s">
        <v>1140</v>
      </c>
      <c r="D3162" t="s">
        <v>1141</v>
      </c>
      <c r="E3162" t="s">
        <v>8</v>
      </c>
      <c r="F3162" t="s">
        <v>114</v>
      </c>
      <c r="G3162" t="s">
        <v>1142</v>
      </c>
      <c r="H3162" s="7">
        <v>79912</v>
      </c>
    </row>
    <row r="3163" spans="1:8" x14ac:dyDescent="0.3">
      <c r="A3163">
        <v>15784</v>
      </c>
      <c r="B3163" t="s">
        <v>5</v>
      </c>
      <c r="C3163" t="s">
        <v>318</v>
      </c>
      <c r="D3163" t="s">
        <v>1201</v>
      </c>
      <c r="E3163" t="s">
        <v>27</v>
      </c>
      <c r="F3163" t="s">
        <v>9</v>
      </c>
      <c r="G3163" t="s">
        <v>3295</v>
      </c>
      <c r="H3163" s="7">
        <v>725</v>
      </c>
    </row>
    <row r="3164" spans="1:8" x14ac:dyDescent="0.3">
      <c r="A3164">
        <v>15785</v>
      </c>
      <c r="B3164" t="s">
        <v>117</v>
      </c>
      <c r="C3164" t="s">
        <v>314</v>
      </c>
      <c r="D3164" t="s">
        <v>1812</v>
      </c>
      <c r="E3164" t="s">
        <v>8</v>
      </c>
      <c r="F3164" t="s">
        <v>21</v>
      </c>
      <c r="G3164" t="s">
        <v>1813</v>
      </c>
      <c r="H3164" s="7">
        <v>92117</v>
      </c>
    </row>
    <row r="3165" spans="1:8" x14ac:dyDescent="0.3">
      <c r="A3165">
        <v>15786</v>
      </c>
      <c r="B3165" t="s">
        <v>2645</v>
      </c>
      <c r="C3165" t="s">
        <v>2070</v>
      </c>
      <c r="D3165" t="s">
        <v>1213</v>
      </c>
      <c r="E3165" t="s">
        <v>8</v>
      </c>
      <c r="F3165" t="s">
        <v>248</v>
      </c>
      <c r="G3165" t="s">
        <v>2842</v>
      </c>
      <c r="H3165" s="7">
        <v>45140</v>
      </c>
    </row>
    <row r="3166" spans="1:8" x14ac:dyDescent="0.3">
      <c r="A3166">
        <v>15794</v>
      </c>
      <c r="B3166" t="s">
        <v>5</v>
      </c>
      <c r="C3166" t="s">
        <v>352</v>
      </c>
      <c r="D3166" t="s">
        <v>1805</v>
      </c>
      <c r="E3166" t="s">
        <v>95</v>
      </c>
      <c r="F3166" t="s">
        <v>9</v>
      </c>
      <c r="G3166" t="s">
        <v>4830</v>
      </c>
      <c r="H3166" s="7">
        <v>725</v>
      </c>
    </row>
    <row r="3167" spans="1:8" x14ac:dyDescent="0.3">
      <c r="A3167">
        <v>15796</v>
      </c>
      <c r="B3167" t="s">
        <v>5</v>
      </c>
      <c r="C3167" t="s">
        <v>477</v>
      </c>
      <c r="D3167" t="s">
        <v>1340</v>
      </c>
      <c r="E3167" t="s">
        <v>8</v>
      </c>
      <c r="F3167" t="s">
        <v>9</v>
      </c>
      <c r="G3167" t="s">
        <v>1341</v>
      </c>
      <c r="H3167" s="7">
        <v>725</v>
      </c>
    </row>
    <row r="3168" spans="1:8" x14ac:dyDescent="0.3">
      <c r="A3168">
        <v>15797</v>
      </c>
      <c r="B3168" t="s">
        <v>117</v>
      </c>
      <c r="C3168" t="s">
        <v>3099</v>
      </c>
      <c r="D3168" t="s">
        <v>2529</v>
      </c>
      <c r="E3168" t="s">
        <v>95</v>
      </c>
      <c r="F3168" t="s">
        <v>21</v>
      </c>
      <c r="G3168" t="s">
        <v>3100</v>
      </c>
      <c r="H3168" s="7">
        <v>92105</v>
      </c>
    </row>
    <row r="3169" spans="1:8" x14ac:dyDescent="0.3">
      <c r="A3169">
        <v>15798</v>
      </c>
      <c r="B3169" t="s">
        <v>2352</v>
      </c>
      <c r="C3169" t="s">
        <v>2253</v>
      </c>
      <c r="D3169" t="s">
        <v>2397</v>
      </c>
      <c r="E3169" t="s">
        <v>95</v>
      </c>
      <c r="F3169" t="s">
        <v>729</v>
      </c>
      <c r="G3169" t="s">
        <v>922</v>
      </c>
      <c r="H3169" s="7">
        <v>80219</v>
      </c>
    </row>
    <row r="3170" spans="1:8" x14ac:dyDescent="0.3">
      <c r="A3170">
        <v>15806</v>
      </c>
      <c r="B3170" t="s">
        <v>447</v>
      </c>
      <c r="C3170" t="s">
        <v>1680</v>
      </c>
      <c r="D3170" t="s">
        <v>1825</v>
      </c>
      <c r="E3170" t="s">
        <v>27</v>
      </c>
      <c r="F3170" t="s">
        <v>448</v>
      </c>
      <c r="G3170" t="s">
        <v>2146</v>
      </c>
      <c r="H3170" s="7">
        <v>33016</v>
      </c>
    </row>
    <row r="3171" spans="1:8" x14ac:dyDescent="0.3">
      <c r="A3171">
        <v>15807</v>
      </c>
      <c r="B3171" t="s">
        <v>5</v>
      </c>
      <c r="C3171" t="s">
        <v>2191</v>
      </c>
      <c r="D3171" t="s">
        <v>2128</v>
      </c>
      <c r="E3171" t="s">
        <v>27</v>
      </c>
      <c r="F3171" t="s">
        <v>9</v>
      </c>
      <c r="G3171" t="s">
        <v>3294</v>
      </c>
      <c r="H3171" s="7">
        <v>725</v>
      </c>
    </row>
    <row r="3172" spans="1:8" x14ac:dyDescent="0.3">
      <c r="A3172">
        <v>15809</v>
      </c>
      <c r="B3172" t="s">
        <v>5</v>
      </c>
      <c r="C3172" t="s">
        <v>938</v>
      </c>
      <c r="D3172" t="s">
        <v>939</v>
      </c>
      <c r="E3172" t="s">
        <v>27</v>
      </c>
      <c r="F3172" t="s">
        <v>9</v>
      </c>
      <c r="G3172" t="s">
        <v>940</v>
      </c>
      <c r="H3172" s="7">
        <v>725</v>
      </c>
    </row>
    <row r="3173" spans="1:8" x14ac:dyDescent="0.3">
      <c r="A3173">
        <v>15810</v>
      </c>
      <c r="B3173" t="s">
        <v>254</v>
      </c>
      <c r="C3173" t="s">
        <v>2483</v>
      </c>
      <c r="D3173" t="s">
        <v>2481</v>
      </c>
      <c r="E3173" t="s">
        <v>27</v>
      </c>
      <c r="F3173" t="s">
        <v>55</v>
      </c>
      <c r="G3173" t="s">
        <v>2484</v>
      </c>
      <c r="H3173" s="7">
        <v>60610</v>
      </c>
    </row>
    <row r="3174" spans="1:8" x14ac:dyDescent="0.3">
      <c r="A3174">
        <v>15813</v>
      </c>
      <c r="B3174" t="s">
        <v>155</v>
      </c>
      <c r="C3174" t="s">
        <v>1163</v>
      </c>
      <c r="D3174" t="s">
        <v>1808</v>
      </c>
      <c r="E3174" t="s">
        <v>8</v>
      </c>
      <c r="F3174" t="s">
        <v>1042</v>
      </c>
      <c r="G3174" t="s">
        <v>740</v>
      </c>
      <c r="H3174" s="7">
        <v>29223</v>
      </c>
    </row>
    <row r="3175" spans="1:8" x14ac:dyDescent="0.3">
      <c r="A3175">
        <v>15814</v>
      </c>
      <c r="B3175" t="s">
        <v>5</v>
      </c>
      <c r="C3175" t="s">
        <v>1186</v>
      </c>
      <c r="D3175" t="s">
        <v>1812</v>
      </c>
      <c r="E3175" t="s">
        <v>27</v>
      </c>
      <c r="F3175" t="s">
        <v>9</v>
      </c>
      <c r="G3175" t="s">
        <v>1995</v>
      </c>
      <c r="H3175" s="7">
        <v>725</v>
      </c>
    </row>
    <row r="3176" spans="1:8" x14ac:dyDescent="0.3">
      <c r="A3176">
        <v>15815</v>
      </c>
      <c r="B3176" t="s">
        <v>1100</v>
      </c>
      <c r="C3176" t="s">
        <v>219</v>
      </c>
      <c r="D3176" t="s">
        <v>1216</v>
      </c>
      <c r="E3176" t="s">
        <v>27</v>
      </c>
      <c r="F3176" t="s">
        <v>308</v>
      </c>
      <c r="G3176" t="s">
        <v>1217</v>
      </c>
      <c r="H3176" s="7">
        <v>7087</v>
      </c>
    </row>
    <row r="3177" spans="1:8" x14ac:dyDescent="0.3">
      <c r="A3177">
        <v>15816</v>
      </c>
      <c r="B3177" t="s">
        <v>1899</v>
      </c>
      <c r="C3177" t="s">
        <v>211</v>
      </c>
      <c r="D3177" t="s">
        <v>264</v>
      </c>
      <c r="E3177" t="s">
        <v>95</v>
      </c>
      <c r="F3177" t="s">
        <v>381</v>
      </c>
      <c r="G3177" t="s">
        <v>3098</v>
      </c>
      <c r="H3177" s="7">
        <v>48224</v>
      </c>
    </row>
    <row r="3178" spans="1:8" x14ac:dyDescent="0.3">
      <c r="A3178">
        <v>15817</v>
      </c>
      <c r="B3178" t="s">
        <v>443</v>
      </c>
      <c r="C3178" t="s">
        <v>216</v>
      </c>
      <c r="D3178" t="s">
        <v>1544</v>
      </c>
      <c r="E3178" t="s">
        <v>8</v>
      </c>
      <c r="F3178" t="s">
        <v>108</v>
      </c>
      <c r="G3178" t="s">
        <v>3473</v>
      </c>
      <c r="H3178" s="7">
        <v>97206</v>
      </c>
    </row>
    <row r="3179" spans="1:8" x14ac:dyDescent="0.3">
      <c r="A3179">
        <v>15818</v>
      </c>
      <c r="B3179" t="s">
        <v>5</v>
      </c>
      <c r="C3179" t="s">
        <v>211</v>
      </c>
      <c r="D3179" t="s">
        <v>2614</v>
      </c>
      <c r="E3179" t="s">
        <v>27</v>
      </c>
      <c r="F3179" t="s">
        <v>9</v>
      </c>
      <c r="G3179" t="s">
        <v>887</v>
      </c>
      <c r="H3179" s="7">
        <v>725</v>
      </c>
    </row>
    <row r="3180" spans="1:8" x14ac:dyDescent="0.3">
      <c r="A3180">
        <v>15823</v>
      </c>
      <c r="B3180" t="s">
        <v>5</v>
      </c>
      <c r="C3180" t="s">
        <v>2014</v>
      </c>
      <c r="D3180" t="s">
        <v>3768</v>
      </c>
      <c r="E3180" t="s">
        <v>27</v>
      </c>
      <c r="F3180" t="s">
        <v>9</v>
      </c>
      <c r="G3180" t="s">
        <v>5488</v>
      </c>
      <c r="H3180" s="7">
        <v>725</v>
      </c>
    </row>
    <row r="3181" spans="1:8" x14ac:dyDescent="0.3">
      <c r="A3181">
        <v>15825</v>
      </c>
      <c r="B3181" t="s">
        <v>1135</v>
      </c>
      <c r="C3181" t="s">
        <v>1136</v>
      </c>
      <c r="D3181" t="s">
        <v>1137</v>
      </c>
      <c r="E3181" t="s">
        <v>8</v>
      </c>
      <c r="F3181" t="s">
        <v>36</v>
      </c>
      <c r="G3181" t="s">
        <v>1138</v>
      </c>
      <c r="H3181" s="7">
        <v>1201</v>
      </c>
    </row>
    <row r="3182" spans="1:8" x14ac:dyDescent="0.3">
      <c r="A3182">
        <v>15826</v>
      </c>
      <c r="B3182" t="s">
        <v>5</v>
      </c>
      <c r="C3182" t="s">
        <v>2034</v>
      </c>
      <c r="D3182" t="s">
        <v>3614</v>
      </c>
      <c r="E3182" t="s">
        <v>8</v>
      </c>
      <c r="F3182" t="s">
        <v>9</v>
      </c>
      <c r="G3182" t="s">
        <v>3615</v>
      </c>
      <c r="H3182" s="7">
        <v>725</v>
      </c>
    </row>
    <row r="3183" spans="1:8" x14ac:dyDescent="0.3">
      <c r="A3183">
        <v>15827</v>
      </c>
      <c r="B3183" t="s">
        <v>210</v>
      </c>
      <c r="C3183" t="s">
        <v>678</v>
      </c>
      <c r="D3183" t="s">
        <v>819</v>
      </c>
      <c r="E3183" t="s">
        <v>8</v>
      </c>
      <c r="F3183" t="s">
        <v>21</v>
      </c>
      <c r="G3183" t="s">
        <v>820</v>
      </c>
      <c r="H3183" s="7">
        <v>90745</v>
      </c>
    </row>
    <row r="3184" spans="1:8" x14ac:dyDescent="0.3">
      <c r="A3184">
        <v>15833</v>
      </c>
      <c r="B3184" t="s">
        <v>5</v>
      </c>
      <c r="C3184" t="s">
        <v>1564</v>
      </c>
      <c r="D3184" t="s">
        <v>1453</v>
      </c>
      <c r="E3184" t="s">
        <v>27</v>
      </c>
      <c r="F3184" t="s">
        <v>9</v>
      </c>
      <c r="G3184" t="s">
        <v>5273</v>
      </c>
      <c r="H3184" s="7">
        <v>725</v>
      </c>
    </row>
    <row r="3185" spans="1:8" x14ac:dyDescent="0.3">
      <c r="A3185">
        <v>15835</v>
      </c>
      <c r="B3185" t="s">
        <v>5</v>
      </c>
      <c r="C3185" t="s">
        <v>3004</v>
      </c>
      <c r="D3185" t="s">
        <v>2266</v>
      </c>
      <c r="E3185" t="s">
        <v>27</v>
      </c>
      <c r="F3185" t="s">
        <v>9</v>
      </c>
      <c r="G3185" t="s">
        <v>4528</v>
      </c>
      <c r="H3185" s="7">
        <v>725</v>
      </c>
    </row>
    <row r="3186" spans="1:8" x14ac:dyDescent="0.3">
      <c r="A3186">
        <v>15845</v>
      </c>
      <c r="B3186" t="s">
        <v>656</v>
      </c>
      <c r="C3186" t="s">
        <v>2985</v>
      </c>
      <c r="D3186" t="s">
        <v>1506</v>
      </c>
      <c r="E3186" t="s">
        <v>95</v>
      </c>
      <c r="F3186" t="s">
        <v>77</v>
      </c>
      <c r="G3186" t="s">
        <v>2154</v>
      </c>
      <c r="H3186" s="7">
        <v>19148</v>
      </c>
    </row>
    <row r="3187" spans="1:8" x14ac:dyDescent="0.3">
      <c r="A3187">
        <v>15849</v>
      </c>
      <c r="B3187" t="s">
        <v>3406</v>
      </c>
      <c r="C3187" t="s">
        <v>196</v>
      </c>
      <c r="D3187" t="s">
        <v>1591</v>
      </c>
      <c r="E3187" t="s">
        <v>27</v>
      </c>
      <c r="F3187" t="s">
        <v>21</v>
      </c>
      <c r="G3187" t="s">
        <v>3408</v>
      </c>
      <c r="H3187" s="7">
        <v>93638</v>
      </c>
    </row>
    <row r="3188" spans="1:8" x14ac:dyDescent="0.3">
      <c r="A3188">
        <v>15853</v>
      </c>
      <c r="B3188" t="s">
        <v>254</v>
      </c>
      <c r="C3188" t="s">
        <v>2513</v>
      </c>
      <c r="D3188" t="s">
        <v>40</v>
      </c>
      <c r="E3188" t="s">
        <v>95</v>
      </c>
      <c r="F3188" t="s">
        <v>55</v>
      </c>
      <c r="G3188" t="s">
        <v>2514</v>
      </c>
      <c r="H3188" s="7">
        <v>60645</v>
      </c>
    </row>
    <row r="3189" spans="1:8" x14ac:dyDescent="0.3">
      <c r="A3189">
        <v>15854</v>
      </c>
      <c r="B3189" t="s">
        <v>5</v>
      </c>
      <c r="C3189" t="s">
        <v>1807</v>
      </c>
      <c r="D3189" t="s">
        <v>1315</v>
      </c>
      <c r="E3189" t="s">
        <v>95</v>
      </c>
      <c r="F3189" t="s">
        <v>9</v>
      </c>
      <c r="G3189" t="s">
        <v>1209</v>
      </c>
      <c r="H3189" s="7">
        <v>725</v>
      </c>
    </row>
    <row r="3190" spans="1:8" x14ac:dyDescent="0.3">
      <c r="A3190">
        <v>15855</v>
      </c>
      <c r="B3190" t="s">
        <v>2474</v>
      </c>
      <c r="C3190" t="s">
        <v>3129</v>
      </c>
      <c r="D3190" t="s">
        <v>2639</v>
      </c>
      <c r="E3190" t="s">
        <v>95</v>
      </c>
      <c r="F3190" t="s">
        <v>88</v>
      </c>
      <c r="G3190" t="s">
        <v>3696</v>
      </c>
      <c r="H3190" s="7">
        <v>11355</v>
      </c>
    </row>
    <row r="3191" spans="1:8" x14ac:dyDescent="0.3">
      <c r="A3191">
        <v>15856</v>
      </c>
      <c r="B3191" t="s">
        <v>2478</v>
      </c>
      <c r="C3191" t="s">
        <v>2479</v>
      </c>
      <c r="D3191" t="s">
        <v>2427</v>
      </c>
      <c r="E3191" t="s">
        <v>27</v>
      </c>
      <c r="F3191" t="s">
        <v>242</v>
      </c>
      <c r="G3191" t="s">
        <v>2480</v>
      </c>
      <c r="H3191" s="7">
        <v>21228</v>
      </c>
    </row>
    <row r="3192" spans="1:8" x14ac:dyDescent="0.3">
      <c r="A3192">
        <v>15859</v>
      </c>
      <c r="B3192" t="s">
        <v>5</v>
      </c>
      <c r="C3192" t="s">
        <v>662</v>
      </c>
      <c r="D3192" t="s">
        <v>87</v>
      </c>
      <c r="E3192" t="s">
        <v>27</v>
      </c>
      <c r="F3192" t="s">
        <v>9</v>
      </c>
      <c r="G3192" t="s">
        <v>3305</v>
      </c>
      <c r="H3192" s="7">
        <v>725</v>
      </c>
    </row>
    <row r="3193" spans="1:8" x14ac:dyDescent="0.3">
      <c r="A3193">
        <v>15860</v>
      </c>
      <c r="B3193" t="s">
        <v>2188</v>
      </c>
      <c r="C3193" t="s">
        <v>2189</v>
      </c>
      <c r="D3193" t="s">
        <v>936</v>
      </c>
      <c r="E3193" t="s">
        <v>27</v>
      </c>
      <c r="F3193" t="s">
        <v>308</v>
      </c>
      <c r="G3193" t="s">
        <v>2190</v>
      </c>
      <c r="H3193" s="7">
        <v>8021</v>
      </c>
    </row>
    <row r="3194" spans="1:8" x14ac:dyDescent="0.3">
      <c r="A3194">
        <v>15861</v>
      </c>
      <c r="B3194" t="s">
        <v>5</v>
      </c>
      <c r="C3194" t="s">
        <v>874</v>
      </c>
      <c r="D3194" t="s">
        <v>1388</v>
      </c>
      <c r="E3194" t="s">
        <v>27</v>
      </c>
      <c r="F3194" t="s">
        <v>9</v>
      </c>
      <c r="G3194" t="s">
        <v>2641</v>
      </c>
      <c r="H3194" s="7">
        <v>725</v>
      </c>
    </row>
    <row r="3195" spans="1:8" x14ac:dyDescent="0.3">
      <c r="A3195">
        <v>15862</v>
      </c>
      <c r="B3195" t="s">
        <v>710</v>
      </c>
      <c r="C3195" t="s">
        <v>2185</v>
      </c>
      <c r="D3195" t="s">
        <v>2186</v>
      </c>
      <c r="E3195" t="s">
        <v>27</v>
      </c>
      <c r="F3195" t="s">
        <v>448</v>
      </c>
      <c r="G3195" t="s">
        <v>2187</v>
      </c>
      <c r="H3195" s="7">
        <v>33312</v>
      </c>
    </row>
    <row r="3196" spans="1:8" x14ac:dyDescent="0.3">
      <c r="A3196">
        <v>15870</v>
      </c>
      <c r="B3196" t="s">
        <v>831</v>
      </c>
      <c r="C3196" t="s">
        <v>1488</v>
      </c>
      <c r="D3196" t="s">
        <v>2170</v>
      </c>
      <c r="E3196" t="s">
        <v>27</v>
      </c>
      <c r="F3196" t="s">
        <v>341</v>
      </c>
      <c r="G3196" t="s">
        <v>5023</v>
      </c>
      <c r="H3196" s="7">
        <v>27406</v>
      </c>
    </row>
    <row r="3197" spans="1:8" x14ac:dyDescent="0.3">
      <c r="A3197">
        <v>15880</v>
      </c>
      <c r="B3197" t="s">
        <v>174</v>
      </c>
      <c r="C3197" t="s">
        <v>2430</v>
      </c>
      <c r="D3197" t="s">
        <v>2008</v>
      </c>
      <c r="E3197" t="s">
        <v>8</v>
      </c>
      <c r="F3197" t="s">
        <v>21</v>
      </c>
      <c r="G3197" t="s">
        <v>4288</v>
      </c>
      <c r="H3197" s="7">
        <v>90027</v>
      </c>
    </row>
    <row r="3198" spans="1:8" x14ac:dyDescent="0.3">
      <c r="A3198">
        <v>15892</v>
      </c>
      <c r="B3198" t="s">
        <v>5</v>
      </c>
      <c r="C3198" t="s">
        <v>121</v>
      </c>
      <c r="D3198" t="s">
        <v>2169</v>
      </c>
      <c r="E3198" t="s">
        <v>8</v>
      </c>
      <c r="F3198" t="s">
        <v>9</v>
      </c>
      <c r="G3198" t="s">
        <v>2966</v>
      </c>
      <c r="H3198" s="7">
        <v>725</v>
      </c>
    </row>
    <row r="3199" spans="1:8" x14ac:dyDescent="0.3">
      <c r="A3199">
        <v>15926</v>
      </c>
      <c r="B3199" t="s">
        <v>5</v>
      </c>
      <c r="C3199" t="s">
        <v>67</v>
      </c>
      <c r="D3199" t="s">
        <v>3726</v>
      </c>
      <c r="E3199" t="s">
        <v>8</v>
      </c>
      <c r="F3199" t="s">
        <v>9</v>
      </c>
      <c r="G3199" t="s">
        <v>1952</v>
      </c>
      <c r="H3199" s="7">
        <v>725</v>
      </c>
    </row>
    <row r="3200" spans="1:8" x14ac:dyDescent="0.3">
      <c r="A3200">
        <v>15930</v>
      </c>
      <c r="B3200" t="s">
        <v>2918</v>
      </c>
      <c r="C3200" t="s">
        <v>1103</v>
      </c>
      <c r="D3200" t="s">
        <v>2051</v>
      </c>
      <c r="E3200" t="s">
        <v>95</v>
      </c>
      <c r="F3200" t="s">
        <v>21</v>
      </c>
      <c r="G3200" t="s">
        <v>3021</v>
      </c>
      <c r="H3200" s="7">
        <v>90640</v>
      </c>
    </row>
    <row r="3201" spans="1:8" x14ac:dyDescent="0.3">
      <c r="A3201">
        <v>15935</v>
      </c>
      <c r="B3201" t="s">
        <v>5278</v>
      </c>
      <c r="C3201" t="s">
        <v>3864</v>
      </c>
      <c r="D3201" t="s">
        <v>1854</v>
      </c>
      <c r="E3201" t="s">
        <v>8</v>
      </c>
      <c r="F3201" t="s">
        <v>9</v>
      </c>
      <c r="G3201" t="s">
        <v>5279</v>
      </c>
      <c r="H3201" s="7">
        <v>949</v>
      </c>
    </row>
    <row r="3202" spans="1:8" x14ac:dyDescent="0.3">
      <c r="A3202">
        <v>15945</v>
      </c>
      <c r="B3202" t="s">
        <v>5</v>
      </c>
      <c r="C3202" t="s">
        <v>1999</v>
      </c>
      <c r="D3202" t="s">
        <v>1204</v>
      </c>
      <c r="E3202" t="s">
        <v>27</v>
      </c>
      <c r="F3202" t="s">
        <v>9</v>
      </c>
      <c r="G3202" t="s">
        <v>4476</v>
      </c>
      <c r="H3202" s="7">
        <v>725</v>
      </c>
    </row>
    <row r="3203" spans="1:8" x14ac:dyDescent="0.3">
      <c r="A3203">
        <v>15949</v>
      </c>
      <c r="B3203" t="s">
        <v>5</v>
      </c>
      <c r="C3203" t="s">
        <v>1440</v>
      </c>
      <c r="D3203" t="s">
        <v>1030</v>
      </c>
      <c r="E3203" t="s">
        <v>8</v>
      </c>
      <c r="F3203" t="s">
        <v>9</v>
      </c>
      <c r="G3203" t="s">
        <v>3783</v>
      </c>
      <c r="H3203" s="7">
        <v>725</v>
      </c>
    </row>
    <row r="3204" spans="1:8" x14ac:dyDescent="0.3">
      <c r="A3204">
        <v>15950</v>
      </c>
      <c r="B3204" t="s">
        <v>3229</v>
      </c>
      <c r="C3204" t="s">
        <v>3230</v>
      </c>
      <c r="D3204" t="s">
        <v>1812</v>
      </c>
      <c r="E3204" t="s">
        <v>8</v>
      </c>
      <c r="F3204" t="s">
        <v>1657</v>
      </c>
      <c r="G3204" t="s">
        <v>3231</v>
      </c>
      <c r="H3204" s="7">
        <v>6810</v>
      </c>
    </row>
    <row r="3205" spans="1:8" x14ac:dyDescent="0.3">
      <c r="A3205">
        <v>15951</v>
      </c>
      <c r="B3205" t="s">
        <v>710</v>
      </c>
      <c r="C3205" t="s">
        <v>3099</v>
      </c>
      <c r="D3205" t="s">
        <v>601</v>
      </c>
      <c r="E3205" t="s">
        <v>8</v>
      </c>
      <c r="F3205" t="s">
        <v>448</v>
      </c>
      <c r="G3205" t="s">
        <v>3244</v>
      </c>
      <c r="H3205" s="7">
        <v>33324</v>
      </c>
    </row>
    <row r="3206" spans="1:8" x14ac:dyDescent="0.3">
      <c r="A3206">
        <v>15952</v>
      </c>
      <c r="B3206" t="s">
        <v>5</v>
      </c>
      <c r="C3206" t="s">
        <v>1068</v>
      </c>
      <c r="D3206" t="s">
        <v>860</v>
      </c>
      <c r="E3206" t="s">
        <v>95</v>
      </c>
      <c r="F3206" t="s">
        <v>9</v>
      </c>
      <c r="G3206" t="s">
        <v>1069</v>
      </c>
      <c r="H3206" s="7">
        <v>725</v>
      </c>
    </row>
    <row r="3207" spans="1:8" x14ac:dyDescent="0.3">
      <c r="A3207">
        <v>15953</v>
      </c>
      <c r="B3207" t="s">
        <v>647</v>
      </c>
      <c r="C3207" t="s">
        <v>3480</v>
      </c>
      <c r="D3207" t="s">
        <v>3481</v>
      </c>
      <c r="E3207" t="s">
        <v>8</v>
      </c>
      <c r="F3207" t="s">
        <v>308</v>
      </c>
      <c r="G3207" t="s">
        <v>3482</v>
      </c>
      <c r="H3207" s="7">
        <v>8854</v>
      </c>
    </row>
    <row r="3208" spans="1:8" x14ac:dyDescent="0.3">
      <c r="A3208">
        <v>15954</v>
      </c>
      <c r="B3208" t="s">
        <v>3750</v>
      </c>
      <c r="C3208" t="s">
        <v>3751</v>
      </c>
      <c r="D3208" t="s">
        <v>601</v>
      </c>
      <c r="E3208" t="s">
        <v>95</v>
      </c>
      <c r="F3208" t="s">
        <v>21</v>
      </c>
      <c r="G3208" t="s">
        <v>3752</v>
      </c>
      <c r="H3208" s="7">
        <v>93611</v>
      </c>
    </row>
    <row r="3209" spans="1:8" x14ac:dyDescent="0.3">
      <c r="A3209">
        <v>15955</v>
      </c>
      <c r="B3209" t="s">
        <v>440</v>
      </c>
      <c r="C3209" t="s">
        <v>19</v>
      </c>
      <c r="D3209" t="s">
        <v>441</v>
      </c>
      <c r="E3209" t="s">
        <v>27</v>
      </c>
      <c r="F3209" t="s">
        <v>114</v>
      </c>
      <c r="G3209" t="s">
        <v>442</v>
      </c>
      <c r="H3209" s="7">
        <v>78240</v>
      </c>
    </row>
    <row r="3210" spans="1:8" x14ac:dyDescent="0.3">
      <c r="A3210">
        <v>15959</v>
      </c>
      <c r="B3210" t="s">
        <v>710</v>
      </c>
      <c r="C3210" t="s">
        <v>199</v>
      </c>
      <c r="D3210" t="s">
        <v>372</v>
      </c>
      <c r="E3210" t="s">
        <v>8</v>
      </c>
      <c r="F3210" t="s">
        <v>448</v>
      </c>
      <c r="G3210" t="s">
        <v>4317</v>
      </c>
      <c r="H3210" s="7">
        <v>33311</v>
      </c>
    </row>
    <row r="3211" spans="1:8" x14ac:dyDescent="0.3">
      <c r="A3211">
        <v>15960</v>
      </c>
      <c r="B3211" t="s">
        <v>1535</v>
      </c>
      <c r="C3211" t="s">
        <v>1057</v>
      </c>
      <c r="D3211" t="s">
        <v>4196</v>
      </c>
      <c r="E3211" t="s">
        <v>8</v>
      </c>
      <c r="F3211" t="s">
        <v>140</v>
      </c>
      <c r="G3211" t="s">
        <v>5657</v>
      </c>
      <c r="H3211" s="7">
        <v>30043</v>
      </c>
    </row>
    <row r="3212" spans="1:8" x14ac:dyDescent="0.3">
      <c r="A3212">
        <v>15962</v>
      </c>
      <c r="B3212" t="s">
        <v>5</v>
      </c>
      <c r="C3212" t="s">
        <v>1572</v>
      </c>
      <c r="D3212" t="s">
        <v>3795</v>
      </c>
      <c r="E3212" t="s">
        <v>8</v>
      </c>
      <c r="F3212" t="s">
        <v>9</v>
      </c>
      <c r="G3212" t="s">
        <v>2959</v>
      </c>
      <c r="H3212" s="7">
        <v>725</v>
      </c>
    </row>
    <row r="3213" spans="1:8" x14ac:dyDescent="0.3">
      <c r="A3213">
        <v>15973</v>
      </c>
      <c r="B3213" t="s">
        <v>1631</v>
      </c>
      <c r="C3213" t="s">
        <v>1632</v>
      </c>
      <c r="D3213" t="s">
        <v>1633</v>
      </c>
      <c r="E3213" t="s">
        <v>27</v>
      </c>
      <c r="F3213" t="s">
        <v>21</v>
      </c>
      <c r="G3213" t="s">
        <v>1634</v>
      </c>
      <c r="H3213" s="7">
        <v>91941</v>
      </c>
    </row>
    <row r="3214" spans="1:8" x14ac:dyDescent="0.3">
      <c r="A3214">
        <v>15974</v>
      </c>
      <c r="B3214" t="s">
        <v>5</v>
      </c>
      <c r="C3214" t="s">
        <v>2964</v>
      </c>
      <c r="D3214" t="s">
        <v>2388</v>
      </c>
      <c r="E3214" t="s">
        <v>27</v>
      </c>
      <c r="F3214" t="s">
        <v>9</v>
      </c>
      <c r="G3214" t="s">
        <v>2618</v>
      </c>
      <c r="H3214" s="7">
        <v>725</v>
      </c>
    </row>
    <row r="3215" spans="1:8" x14ac:dyDescent="0.3">
      <c r="A3215">
        <v>15975</v>
      </c>
      <c r="B3215" t="s">
        <v>733</v>
      </c>
      <c r="C3215" t="s">
        <v>2280</v>
      </c>
      <c r="D3215" t="s">
        <v>35</v>
      </c>
      <c r="E3215" t="s">
        <v>27</v>
      </c>
      <c r="F3215" t="s">
        <v>735</v>
      </c>
      <c r="G3215" t="s">
        <v>1977</v>
      </c>
      <c r="H3215" s="7">
        <v>20011</v>
      </c>
    </row>
    <row r="3216" spans="1:8" x14ac:dyDescent="0.3">
      <c r="A3216">
        <v>15978</v>
      </c>
      <c r="B3216" t="s">
        <v>5</v>
      </c>
      <c r="C3216" t="s">
        <v>5213</v>
      </c>
      <c r="D3216" t="s">
        <v>1379</v>
      </c>
      <c r="E3216" t="s">
        <v>95</v>
      </c>
      <c r="F3216" t="s">
        <v>9</v>
      </c>
      <c r="G3216" t="s">
        <v>5092</v>
      </c>
      <c r="H3216" s="7">
        <v>725</v>
      </c>
    </row>
    <row r="3217" spans="1:8" x14ac:dyDescent="0.3">
      <c r="A3217">
        <v>15981</v>
      </c>
      <c r="B3217" t="s">
        <v>85</v>
      </c>
      <c r="C3217" t="s">
        <v>2413</v>
      </c>
      <c r="D3217" t="s">
        <v>1012</v>
      </c>
      <c r="E3217" t="s">
        <v>95</v>
      </c>
      <c r="F3217" t="s">
        <v>88</v>
      </c>
      <c r="G3217" t="s">
        <v>2498</v>
      </c>
      <c r="H3217" s="7">
        <v>14609</v>
      </c>
    </row>
    <row r="3218" spans="1:8" x14ac:dyDescent="0.3">
      <c r="A3218">
        <v>15982</v>
      </c>
      <c r="B3218" t="s">
        <v>5</v>
      </c>
      <c r="C3218" t="s">
        <v>2417</v>
      </c>
      <c r="D3218" t="s">
        <v>1204</v>
      </c>
      <c r="E3218" t="s">
        <v>95</v>
      </c>
      <c r="F3218" t="s">
        <v>9</v>
      </c>
      <c r="G3218" t="s">
        <v>3528</v>
      </c>
      <c r="H3218" s="7">
        <v>725</v>
      </c>
    </row>
    <row r="3219" spans="1:8" x14ac:dyDescent="0.3">
      <c r="A3219">
        <v>15983</v>
      </c>
      <c r="B3219" t="s">
        <v>2577</v>
      </c>
      <c r="C3219" t="s">
        <v>716</v>
      </c>
      <c r="D3219" t="s">
        <v>2348</v>
      </c>
      <c r="E3219" t="s">
        <v>8</v>
      </c>
      <c r="F3219" t="s">
        <v>21</v>
      </c>
      <c r="G3219" t="s">
        <v>2578</v>
      </c>
      <c r="H3219" s="7">
        <v>94080</v>
      </c>
    </row>
    <row r="3220" spans="1:8" x14ac:dyDescent="0.3">
      <c r="A3220">
        <v>15984</v>
      </c>
      <c r="B3220" t="s">
        <v>117</v>
      </c>
      <c r="C3220" t="s">
        <v>1244</v>
      </c>
      <c r="D3220" t="s">
        <v>2826</v>
      </c>
      <c r="E3220" t="s">
        <v>8</v>
      </c>
      <c r="F3220" t="s">
        <v>21</v>
      </c>
      <c r="G3220" t="s">
        <v>2827</v>
      </c>
      <c r="H3220" s="7">
        <v>92104</v>
      </c>
    </row>
    <row r="3221" spans="1:8" x14ac:dyDescent="0.3">
      <c r="A3221">
        <v>16000</v>
      </c>
      <c r="B3221" t="s">
        <v>476</v>
      </c>
      <c r="C3221" t="s">
        <v>558</v>
      </c>
      <c r="D3221" t="s">
        <v>1058</v>
      </c>
      <c r="E3221" t="s">
        <v>27</v>
      </c>
      <c r="F3221" t="s">
        <v>478</v>
      </c>
      <c r="G3221" t="s">
        <v>4223</v>
      </c>
      <c r="H3221" s="7">
        <v>89030</v>
      </c>
    </row>
    <row r="3222" spans="1:8" x14ac:dyDescent="0.3">
      <c r="A3222">
        <v>16004</v>
      </c>
      <c r="B3222" t="s">
        <v>5</v>
      </c>
      <c r="C3222" t="s">
        <v>1930</v>
      </c>
      <c r="D3222" t="s">
        <v>2969</v>
      </c>
      <c r="E3222" t="s">
        <v>27</v>
      </c>
      <c r="F3222" t="s">
        <v>9</v>
      </c>
      <c r="G3222" t="s">
        <v>3307</v>
      </c>
      <c r="H3222" s="7">
        <v>725</v>
      </c>
    </row>
    <row r="3223" spans="1:8" x14ac:dyDescent="0.3">
      <c r="A3223">
        <v>16007</v>
      </c>
      <c r="B3223" t="s">
        <v>784</v>
      </c>
      <c r="C3223" t="s">
        <v>2602</v>
      </c>
      <c r="D3223" t="s">
        <v>3787</v>
      </c>
      <c r="E3223" t="s">
        <v>95</v>
      </c>
      <c r="F3223" t="s">
        <v>114</v>
      </c>
      <c r="G3223" t="s">
        <v>5145</v>
      </c>
      <c r="H3223" s="7">
        <v>78550</v>
      </c>
    </row>
    <row r="3224" spans="1:8" x14ac:dyDescent="0.3">
      <c r="A3224">
        <v>16008</v>
      </c>
      <c r="B3224" t="s">
        <v>2536</v>
      </c>
      <c r="C3224" t="s">
        <v>2254</v>
      </c>
      <c r="D3224" t="s">
        <v>282</v>
      </c>
      <c r="E3224" t="s">
        <v>8</v>
      </c>
      <c r="F3224" t="s">
        <v>1145</v>
      </c>
      <c r="G3224" t="s">
        <v>2537</v>
      </c>
      <c r="H3224" s="7">
        <v>54601</v>
      </c>
    </row>
    <row r="3225" spans="1:8" x14ac:dyDescent="0.3">
      <c r="A3225">
        <v>16010</v>
      </c>
      <c r="B3225" t="s">
        <v>976</v>
      </c>
      <c r="C3225" t="s">
        <v>1153</v>
      </c>
      <c r="D3225" t="s">
        <v>1479</v>
      </c>
      <c r="E3225" t="s">
        <v>27</v>
      </c>
      <c r="F3225" t="s">
        <v>153</v>
      </c>
      <c r="G3225" t="s">
        <v>4594</v>
      </c>
      <c r="H3225" s="7">
        <v>84119</v>
      </c>
    </row>
    <row r="3226" spans="1:8" x14ac:dyDescent="0.3">
      <c r="A3226">
        <v>16013</v>
      </c>
      <c r="B3226" t="s">
        <v>254</v>
      </c>
      <c r="C3226" t="s">
        <v>255</v>
      </c>
      <c r="D3226" t="s">
        <v>256</v>
      </c>
      <c r="E3226" t="s">
        <v>27</v>
      </c>
      <c r="F3226" t="s">
        <v>55</v>
      </c>
      <c r="G3226" t="s">
        <v>257</v>
      </c>
      <c r="H3226" s="7">
        <v>60649</v>
      </c>
    </row>
    <row r="3227" spans="1:8" x14ac:dyDescent="0.3">
      <c r="A3227">
        <v>16028</v>
      </c>
      <c r="B3227" t="s">
        <v>823</v>
      </c>
      <c r="C3227" t="s">
        <v>1665</v>
      </c>
      <c r="D3227" t="s">
        <v>589</v>
      </c>
      <c r="E3227" t="s">
        <v>8</v>
      </c>
      <c r="F3227" t="s">
        <v>1514</v>
      </c>
      <c r="G3227" t="s">
        <v>5115</v>
      </c>
      <c r="H3227" s="7">
        <v>40475</v>
      </c>
    </row>
    <row r="3228" spans="1:8" x14ac:dyDescent="0.3">
      <c r="A3228">
        <v>16032</v>
      </c>
      <c r="B3228" t="s">
        <v>5</v>
      </c>
      <c r="C3228" t="s">
        <v>2020</v>
      </c>
      <c r="D3228" t="s">
        <v>916</v>
      </c>
      <c r="E3228" t="s">
        <v>8</v>
      </c>
      <c r="F3228" t="s">
        <v>9</v>
      </c>
      <c r="G3228" t="s">
        <v>4845</v>
      </c>
      <c r="H3228" s="7">
        <v>725</v>
      </c>
    </row>
    <row r="3229" spans="1:8" x14ac:dyDescent="0.3">
      <c r="A3229">
        <v>16033</v>
      </c>
      <c r="B3229" t="s">
        <v>1313</v>
      </c>
      <c r="C3229" t="s">
        <v>2358</v>
      </c>
      <c r="D3229" t="s">
        <v>3903</v>
      </c>
      <c r="E3229" t="s">
        <v>8</v>
      </c>
      <c r="F3229" t="s">
        <v>448</v>
      </c>
      <c r="G3229" t="s">
        <v>2203</v>
      </c>
      <c r="H3229" s="7">
        <v>33162</v>
      </c>
    </row>
    <row r="3230" spans="1:8" x14ac:dyDescent="0.3">
      <c r="A3230">
        <v>16035</v>
      </c>
      <c r="B3230" t="s">
        <v>5</v>
      </c>
      <c r="C3230" t="s">
        <v>841</v>
      </c>
      <c r="D3230" t="s">
        <v>1362</v>
      </c>
      <c r="E3230" t="s">
        <v>8</v>
      </c>
      <c r="F3230" t="s">
        <v>9</v>
      </c>
      <c r="G3230" t="s">
        <v>1363</v>
      </c>
      <c r="H3230" s="7">
        <v>725</v>
      </c>
    </row>
    <row r="3231" spans="1:8" x14ac:dyDescent="0.3">
      <c r="A3231">
        <v>16043</v>
      </c>
      <c r="B3231" t="s">
        <v>5</v>
      </c>
      <c r="C3231" t="s">
        <v>1604</v>
      </c>
      <c r="D3231" t="s">
        <v>4973</v>
      </c>
      <c r="E3231" t="s">
        <v>8</v>
      </c>
      <c r="F3231" t="s">
        <v>9</v>
      </c>
      <c r="G3231" t="s">
        <v>4156</v>
      </c>
      <c r="H3231" s="7">
        <v>725</v>
      </c>
    </row>
    <row r="3232" spans="1:8" x14ac:dyDescent="0.3">
      <c r="A3232">
        <v>16045</v>
      </c>
      <c r="B3232" t="s">
        <v>2501</v>
      </c>
      <c r="C3232" t="s">
        <v>3784</v>
      </c>
      <c r="D3232" t="s">
        <v>2481</v>
      </c>
      <c r="E3232" t="s">
        <v>95</v>
      </c>
      <c r="F3232" t="s">
        <v>448</v>
      </c>
      <c r="G3232" t="s">
        <v>5010</v>
      </c>
      <c r="H3232" s="7">
        <v>33024</v>
      </c>
    </row>
    <row r="3233" spans="1:8" x14ac:dyDescent="0.3">
      <c r="A3233">
        <v>16049</v>
      </c>
      <c r="B3233" t="s">
        <v>495</v>
      </c>
      <c r="C3233" t="s">
        <v>3991</v>
      </c>
      <c r="D3233" t="s">
        <v>49</v>
      </c>
      <c r="E3233" t="s">
        <v>27</v>
      </c>
      <c r="F3233" t="s">
        <v>88</v>
      </c>
      <c r="G3233" t="s">
        <v>4253</v>
      </c>
      <c r="H3233" s="7">
        <v>11201</v>
      </c>
    </row>
    <row r="3234" spans="1:8" x14ac:dyDescent="0.3">
      <c r="A3234">
        <v>16053</v>
      </c>
      <c r="B3234" t="s">
        <v>1351</v>
      </c>
      <c r="C3234" t="s">
        <v>2254</v>
      </c>
      <c r="D3234" t="s">
        <v>2639</v>
      </c>
      <c r="E3234" t="s">
        <v>27</v>
      </c>
      <c r="F3234" t="s">
        <v>381</v>
      </c>
      <c r="G3234" t="s">
        <v>2640</v>
      </c>
      <c r="H3234" s="7">
        <v>49201</v>
      </c>
    </row>
    <row r="3235" spans="1:8" x14ac:dyDescent="0.3">
      <c r="A3235">
        <v>16057</v>
      </c>
      <c r="B3235" t="s">
        <v>5</v>
      </c>
      <c r="C3235" t="s">
        <v>2033</v>
      </c>
      <c r="D3235" t="s">
        <v>217</v>
      </c>
      <c r="E3235" t="s">
        <v>27</v>
      </c>
      <c r="F3235" t="s">
        <v>9</v>
      </c>
      <c r="G3235" t="s">
        <v>568</v>
      </c>
      <c r="H3235" s="7">
        <v>725</v>
      </c>
    </row>
    <row r="3236" spans="1:8" x14ac:dyDescent="0.3">
      <c r="A3236">
        <v>16066</v>
      </c>
      <c r="B3236" t="s">
        <v>5</v>
      </c>
      <c r="C3236" t="s">
        <v>2544</v>
      </c>
      <c r="D3236" t="s">
        <v>463</v>
      </c>
      <c r="E3236" t="s">
        <v>8</v>
      </c>
      <c r="F3236" t="s">
        <v>9</v>
      </c>
      <c r="G3236" t="s">
        <v>3527</v>
      </c>
      <c r="H3236" s="7">
        <v>725</v>
      </c>
    </row>
    <row r="3237" spans="1:8" x14ac:dyDescent="0.3">
      <c r="A3237">
        <v>16073</v>
      </c>
      <c r="B3237" t="s">
        <v>142</v>
      </c>
      <c r="C3237" t="s">
        <v>255</v>
      </c>
      <c r="D3237" t="s">
        <v>1822</v>
      </c>
      <c r="E3237" t="s">
        <v>8</v>
      </c>
      <c r="F3237" t="s">
        <v>88</v>
      </c>
      <c r="G3237" t="s">
        <v>1823</v>
      </c>
      <c r="H3237" s="7">
        <v>10460</v>
      </c>
    </row>
    <row r="3238" spans="1:8" x14ac:dyDescent="0.3">
      <c r="A3238">
        <v>16074</v>
      </c>
      <c r="B3238" t="s">
        <v>5</v>
      </c>
      <c r="C3238" t="s">
        <v>2034</v>
      </c>
      <c r="D3238" t="s">
        <v>3263</v>
      </c>
      <c r="E3238" t="s">
        <v>8</v>
      </c>
      <c r="F3238" t="s">
        <v>9</v>
      </c>
      <c r="G3238" t="s">
        <v>3365</v>
      </c>
      <c r="H3238" s="7">
        <v>725</v>
      </c>
    </row>
    <row r="3239" spans="1:8" x14ac:dyDescent="0.3">
      <c r="A3239">
        <v>16082</v>
      </c>
      <c r="B3239" t="s">
        <v>368</v>
      </c>
      <c r="C3239" t="s">
        <v>3242</v>
      </c>
      <c r="D3239" t="s">
        <v>2165</v>
      </c>
      <c r="E3239" t="s">
        <v>8</v>
      </c>
      <c r="F3239" t="s">
        <v>88</v>
      </c>
      <c r="G3239" t="s">
        <v>3243</v>
      </c>
      <c r="H3239" s="7">
        <v>10023</v>
      </c>
    </row>
    <row r="3240" spans="1:8" x14ac:dyDescent="0.3">
      <c r="A3240">
        <v>16083</v>
      </c>
      <c r="B3240" t="s">
        <v>1279</v>
      </c>
      <c r="C3240" t="s">
        <v>3064</v>
      </c>
      <c r="D3240" t="s">
        <v>1453</v>
      </c>
      <c r="E3240" t="s">
        <v>8</v>
      </c>
      <c r="F3240" t="s">
        <v>242</v>
      </c>
      <c r="G3240" t="s">
        <v>1545</v>
      </c>
      <c r="H3240" s="7">
        <v>21502</v>
      </c>
    </row>
    <row r="3241" spans="1:8" x14ac:dyDescent="0.3">
      <c r="A3241">
        <v>16084</v>
      </c>
      <c r="B3241" t="s">
        <v>5</v>
      </c>
      <c r="C3241" t="s">
        <v>2946</v>
      </c>
      <c r="D3241" t="s">
        <v>5220</v>
      </c>
      <c r="E3241" t="s">
        <v>8</v>
      </c>
      <c r="F3241" t="s">
        <v>9</v>
      </c>
      <c r="G3241" t="s">
        <v>3053</v>
      </c>
      <c r="H3241" s="7">
        <v>725</v>
      </c>
    </row>
    <row r="3242" spans="1:8" x14ac:dyDescent="0.3">
      <c r="A3242">
        <v>16088</v>
      </c>
      <c r="B3242" t="s">
        <v>5</v>
      </c>
      <c r="C3242" t="s">
        <v>3113</v>
      </c>
      <c r="D3242" t="s">
        <v>1961</v>
      </c>
      <c r="E3242" t="s">
        <v>8</v>
      </c>
      <c r="F3242" t="s">
        <v>9</v>
      </c>
      <c r="G3242" t="s">
        <v>3810</v>
      </c>
      <c r="H3242" s="7">
        <v>725</v>
      </c>
    </row>
    <row r="3243" spans="1:8" x14ac:dyDescent="0.3">
      <c r="A3243">
        <v>16090</v>
      </c>
      <c r="B3243" t="s">
        <v>5</v>
      </c>
      <c r="C3243" t="s">
        <v>436</v>
      </c>
      <c r="D3243" t="s">
        <v>2453</v>
      </c>
      <c r="E3243" t="s">
        <v>8</v>
      </c>
      <c r="F3243" t="s">
        <v>9</v>
      </c>
      <c r="G3243" t="s">
        <v>582</v>
      </c>
      <c r="H3243" s="7">
        <v>725</v>
      </c>
    </row>
    <row r="3244" spans="1:8" x14ac:dyDescent="0.3">
      <c r="A3244">
        <v>16100</v>
      </c>
      <c r="B3244" t="s">
        <v>995</v>
      </c>
      <c r="C3244" t="s">
        <v>967</v>
      </c>
      <c r="D3244" t="s">
        <v>2241</v>
      </c>
      <c r="E3244" t="s">
        <v>27</v>
      </c>
      <c r="F3244" t="s">
        <v>283</v>
      </c>
      <c r="G3244" t="s">
        <v>2242</v>
      </c>
      <c r="H3244" s="7">
        <v>23455</v>
      </c>
    </row>
    <row r="3245" spans="1:8" x14ac:dyDescent="0.3">
      <c r="A3245">
        <v>16105</v>
      </c>
      <c r="B3245" t="s">
        <v>851</v>
      </c>
      <c r="C3245" t="s">
        <v>5559</v>
      </c>
      <c r="D3245" t="s">
        <v>3156</v>
      </c>
      <c r="E3245" t="s">
        <v>95</v>
      </c>
      <c r="F3245" t="s">
        <v>21</v>
      </c>
      <c r="G3245" t="s">
        <v>4706</v>
      </c>
      <c r="H3245" s="7">
        <v>92410</v>
      </c>
    </row>
    <row r="3246" spans="1:8" x14ac:dyDescent="0.3">
      <c r="A3246">
        <v>16109</v>
      </c>
      <c r="B3246" t="s">
        <v>1523</v>
      </c>
      <c r="C3246" t="s">
        <v>4818</v>
      </c>
      <c r="D3246" t="s">
        <v>2410</v>
      </c>
      <c r="E3246" t="s">
        <v>8</v>
      </c>
      <c r="F3246" t="s">
        <v>21</v>
      </c>
      <c r="G3246" t="s">
        <v>1958</v>
      </c>
      <c r="H3246" s="7">
        <v>90201</v>
      </c>
    </row>
    <row r="3247" spans="1:8" x14ac:dyDescent="0.3">
      <c r="A3247">
        <v>16116</v>
      </c>
      <c r="B3247" t="s">
        <v>723</v>
      </c>
      <c r="C3247" t="s">
        <v>4817</v>
      </c>
      <c r="D3247" t="s">
        <v>2634</v>
      </c>
      <c r="E3247" t="s">
        <v>8</v>
      </c>
      <c r="F3247" t="s">
        <v>55</v>
      </c>
      <c r="G3247" t="s">
        <v>5161</v>
      </c>
      <c r="H3247" s="7">
        <v>60504</v>
      </c>
    </row>
    <row r="3248" spans="1:8" x14ac:dyDescent="0.3">
      <c r="A3248">
        <v>16119</v>
      </c>
      <c r="B3248" t="s">
        <v>5</v>
      </c>
      <c r="C3248" t="s">
        <v>909</v>
      </c>
      <c r="D3248" t="s">
        <v>910</v>
      </c>
      <c r="E3248" t="s">
        <v>8</v>
      </c>
      <c r="F3248" t="s">
        <v>9</v>
      </c>
      <c r="G3248" t="s">
        <v>911</v>
      </c>
      <c r="H3248" s="7">
        <v>725</v>
      </c>
    </row>
    <row r="3249" spans="1:8" x14ac:dyDescent="0.3">
      <c r="A3249">
        <v>16120</v>
      </c>
      <c r="B3249" t="s">
        <v>508</v>
      </c>
      <c r="C3249" t="s">
        <v>5557</v>
      </c>
      <c r="D3249" t="s">
        <v>5431</v>
      </c>
      <c r="E3249" t="s">
        <v>8</v>
      </c>
      <c r="F3249" t="s">
        <v>114</v>
      </c>
      <c r="G3249" t="s">
        <v>3044</v>
      </c>
      <c r="H3249" s="7">
        <v>75220</v>
      </c>
    </row>
    <row r="3250" spans="1:8" x14ac:dyDescent="0.3">
      <c r="A3250">
        <v>16121</v>
      </c>
      <c r="B3250" t="s">
        <v>1276</v>
      </c>
      <c r="C3250" t="s">
        <v>2904</v>
      </c>
      <c r="D3250" t="s">
        <v>1113</v>
      </c>
      <c r="E3250" t="s">
        <v>8</v>
      </c>
      <c r="F3250" t="s">
        <v>341</v>
      </c>
      <c r="G3250" t="s">
        <v>1868</v>
      </c>
      <c r="H3250" s="7">
        <v>27502</v>
      </c>
    </row>
    <row r="3251" spans="1:8" x14ac:dyDescent="0.3">
      <c r="A3251">
        <v>16123</v>
      </c>
      <c r="B3251" t="s">
        <v>656</v>
      </c>
      <c r="C3251" t="s">
        <v>648</v>
      </c>
      <c r="D3251" t="s">
        <v>681</v>
      </c>
      <c r="E3251" t="s">
        <v>27</v>
      </c>
      <c r="F3251" t="s">
        <v>77</v>
      </c>
      <c r="G3251" t="s">
        <v>682</v>
      </c>
      <c r="H3251" s="7">
        <v>19145</v>
      </c>
    </row>
    <row r="3252" spans="1:8" x14ac:dyDescent="0.3">
      <c r="A3252">
        <v>16124</v>
      </c>
      <c r="B3252" t="s">
        <v>5</v>
      </c>
      <c r="C3252" t="s">
        <v>2946</v>
      </c>
      <c r="D3252" t="s">
        <v>1219</v>
      </c>
      <c r="E3252" t="s">
        <v>27</v>
      </c>
      <c r="F3252" t="s">
        <v>9</v>
      </c>
      <c r="G3252" t="s">
        <v>2947</v>
      </c>
      <c r="H3252" s="7">
        <v>725</v>
      </c>
    </row>
    <row r="3253" spans="1:8" x14ac:dyDescent="0.3">
      <c r="A3253">
        <v>16125</v>
      </c>
      <c r="B3253" t="s">
        <v>427</v>
      </c>
      <c r="C3253" t="s">
        <v>2066</v>
      </c>
      <c r="D3253" t="s">
        <v>2067</v>
      </c>
      <c r="E3253" t="s">
        <v>27</v>
      </c>
      <c r="F3253" t="s">
        <v>9</v>
      </c>
      <c r="G3253" t="s">
        <v>2068</v>
      </c>
      <c r="H3253" s="7">
        <v>921</v>
      </c>
    </row>
    <row r="3254" spans="1:8" x14ac:dyDescent="0.3">
      <c r="A3254">
        <v>16135</v>
      </c>
      <c r="B3254" t="s">
        <v>3758</v>
      </c>
      <c r="C3254" t="s">
        <v>3759</v>
      </c>
      <c r="D3254" t="s">
        <v>1940</v>
      </c>
      <c r="E3254" t="s">
        <v>95</v>
      </c>
      <c r="F3254" t="s">
        <v>21</v>
      </c>
      <c r="G3254" t="s">
        <v>3760</v>
      </c>
      <c r="H3254" s="7">
        <v>90631</v>
      </c>
    </row>
    <row r="3255" spans="1:8" x14ac:dyDescent="0.3">
      <c r="A3255">
        <v>16140</v>
      </c>
      <c r="B3255" t="s">
        <v>821</v>
      </c>
      <c r="C3255" t="s">
        <v>2633</v>
      </c>
      <c r="D3255" t="s">
        <v>307</v>
      </c>
      <c r="E3255" t="s">
        <v>95</v>
      </c>
      <c r="F3255" t="s">
        <v>190</v>
      </c>
      <c r="G3255" t="s">
        <v>517</v>
      </c>
      <c r="H3255" s="7">
        <v>85224</v>
      </c>
    </row>
    <row r="3256" spans="1:8" x14ac:dyDescent="0.3">
      <c r="A3256">
        <v>16148</v>
      </c>
      <c r="B3256" t="s">
        <v>5</v>
      </c>
      <c r="C3256" t="s">
        <v>2653</v>
      </c>
      <c r="D3256" t="s">
        <v>1256</v>
      </c>
      <c r="E3256" t="s">
        <v>8</v>
      </c>
      <c r="F3256" t="s">
        <v>9</v>
      </c>
      <c r="G3256" t="s">
        <v>3713</v>
      </c>
      <c r="H3256" s="7">
        <v>725</v>
      </c>
    </row>
    <row r="3257" spans="1:8" x14ac:dyDescent="0.3">
      <c r="A3257">
        <v>16150</v>
      </c>
      <c r="B3257" t="s">
        <v>174</v>
      </c>
      <c r="C3257" t="s">
        <v>3220</v>
      </c>
      <c r="D3257" t="s">
        <v>697</v>
      </c>
      <c r="E3257" t="s">
        <v>8</v>
      </c>
      <c r="F3257" t="s">
        <v>21</v>
      </c>
      <c r="G3257" t="s">
        <v>5437</v>
      </c>
      <c r="H3257" s="7">
        <v>90066</v>
      </c>
    </row>
    <row r="3258" spans="1:8" x14ac:dyDescent="0.3">
      <c r="A3258">
        <v>16160</v>
      </c>
      <c r="B3258" t="s">
        <v>633</v>
      </c>
      <c r="C3258" t="s">
        <v>1905</v>
      </c>
      <c r="D3258" t="s">
        <v>365</v>
      </c>
      <c r="E3258" t="s">
        <v>8</v>
      </c>
      <c r="F3258" t="s">
        <v>140</v>
      </c>
      <c r="G3258" t="s">
        <v>1906</v>
      </c>
      <c r="H3258" s="7">
        <v>30135</v>
      </c>
    </row>
    <row r="3259" spans="1:8" x14ac:dyDescent="0.3">
      <c r="A3259">
        <v>16161</v>
      </c>
      <c r="B3259" t="s">
        <v>5</v>
      </c>
      <c r="C3259" t="s">
        <v>2945</v>
      </c>
      <c r="D3259" t="s">
        <v>1021</v>
      </c>
      <c r="E3259" t="s">
        <v>27</v>
      </c>
      <c r="F3259" t="s">
        <v>9</v>
      </c>
      <c r="G3259" t="s">
        <v>2868</v>
      </c>
      <c r="H3259" s="7">
        <v>725</v>
      </c>
    </row>
    <row r="3260" spans="1:8" x14ac:dyDescent="0.3">
      <c r="A3260">
        <v>16162</v>
      </c>
      <c r="B3260" t="s">
        <v>707</v>
      </c>
      <c r="C3260" t="s">
        <v>196</v>
      </c>
      <c r="D3260" t="s">
        <v>3337</v>
      </c>
      <c r="E3260" t="s">
        <v>95</v>
      </c>
      <c r="F3260" t="s">
        <v>21</v>
      </c>
      <c r="G3260" t="s">
        <v>3729</v>
      </c>
      <c r="H3260" s="7">
        <v>93063</v>
      </c>
    </row>
    <row r="3261" spans="1:8" x14ac:dyDescent="0.3">
      <c r="A3261">
        <v>16163</v>
      </c>
      <c r="B3261" t="s">
        <v>5</v>
      </c>
      <c r="C3261" t="s">
        <v>2958</v>
      </c>
      <c r="D3261" t="s">
        <v>319</v>
      </c>
      <c r="E3261" t="s">
        <v>27</v>
      </c>
      <c r="F3261" t="s">
        <v>9</v>
      </c>
      <c r="G3261" t="s">
        <v>2959</v>
      </c>
      <c r="H3261" s="7">
        <v>725</v>
      </c>
    </row>
    <row r="3262" spans="1:8" x14ac:dyDescent="0.3">
      <c r="A3262">
        <v>16164</v>
      </c>
      <c r="B3262" t="s">
        <v>2645</v>
      </c>
      <c r="C3262" t="s">
        <v>1103</v>
      </c>
      <c r="D3262" t="s">
        <v>1622</v>
      </c>
      <c r="E3262" t="s">
        <v>27</v>
      </c>
      <c r="F3262" t="s">
        <v>248</v>
      </c>
      <c r="G3262" t="s">
        <v>2646</v>
      </c>
      <c r="H3262" s="7">
        <v>45140</v>
      </c>
    </row>
    <row r="3263" spans="1:8" x14ac:dyDescent="0.3">
      <c r="A3263">
        <v>16165</v>
      </c>
      <c r="B3263" t="s">
        <v>5</v>
      </c>
      <c r="C3263" t="s">
        <v>1612</v>
      </c>
      <c r="D3263" t="s">
        <v>1192</v>
      </c>
      <c r="E3263" t="s">
        <v>27</v>
      </c>
      <c r="F3263" t="s">
        <v>9</v>
      </c>
      <c r="G3263" t="s">
        <v>1613</v>
      </c>
      <c r="H3263" s="7">
        <v>725</v>
      </c>
    </row>
    <row r="3264" spans="1:8" x14ac:dyDescent="0.3">
      <c r="A3264">
        <v>16171</v>
      </c>
      <c r="B3264" t="s">
        <v>2082</v>
      </c>
      <c r="C3264" t="s">
        <v>1126</v>
      </c>
      <c r="D3264" t="s">
        <v>1256</v>
      </c>
      <c r="E3264" t="s">
        <v>95</v>
      </c>
      <c r="F3264" t="s">
        <v>21</v>
      </c>
      <c r="G3264" t="s">
        <v>5216</v>
      </c>
      <c r="H3264" s="7">
        <v>92243</v>
      </c>
    </row>
    <row r="3265" spans="1:8" x14ac:dyDescent="0.3">
      <c r="A3265">
        <v>16172</v>
      </c>
      <c r="B3265" t="s">
        <v>5</v>
      </c>
      <c r="C3265" t="s">
        <v>1724</v>
      </c>
      <c r="D3265" t="s">
        <v>1725</v>
      </c>
      <c r="E3265" t="s">
        <v>95</v>
      </c>
      <c r="F3265" t="s">
        <v>9</v>
      </c>
      <c r="G3265" t="s">
        <v>1726</v>
      </c>
      <c r="H3265" s="7">
        <v>725</v>
      </c>
    </row>
    <row r="3266" spans="1:8" x14ac:dyDescent="0.3">
      <c r="A3266">
        <v>16174</v>
      </c>
      <c r="B3266" t="s">
        <v>5</v>
      </c>
      <c r="C3266" t="s">
        <v>1900</v>
      </c>
      <c r="D3266" t="s">
        <v>1164</v>
      </c>
      <c r="E3266" t="s">
        <v>27</v>
      </c>
      <c r="F3266" t="s">
        <v>9</v>
      </c>
      <c r="G3266" t="s">
        <v>4254</v>
      </c>
      <c r="H3266" s="7">
        <v>725</v>
      </c>
    </row>
    <row r="3267" spans="1:8" x14ac:dyDescent="0.3">
      <c r="A3267">
        <v>16175</v>
      </c>
      <c r="B3267" t="s">
        <v>1096</v>
      </c>
      <c r="C3267" t="s">
        <v>2033</v>
      </c>
      <c r="D3267" t="s">
        <v>2971</v>
      </c>
      <c r="E3267" t="s">
        <v>27</v>
      </c>
      <c r="F3267" t="s">
        <v>242</v>
      </c>
      <c r="G3267" t="s">
        <v>5311</v>
      </c>
      <c r="H3267" s="7">
        <v>20854</v>
      </c>
    </row>
    <row r="3268" spans="1:8" x14ac:dyDescent="0.3">
      <c r="A3268">
        <v>16204</v>
      </c>
      <c r="B3268" t="s">
        <v>1313</v>
      </c>
      <c r="C3268" t="s">
        <v>2801</v>
      </c>
      <c r="D3268" t="s">
        <v>2215</v>
      </c>
      <c r="E3268" t="s">
        <v>27</v>
      </c>
      <c r="F3268" t="s">
        <v>448</v>
      </c>
      <c r="G3268" t="s">
        <v>2802</v>
      </c>
      <c r="H3268" s="7">
        <v>33155</v>
      </c>
    </row>
    <row r="3269" spans="1:8" x14ac:dyDescent="0.3">
      <c r="A3269">
        <v>16205</v>
      </c>
      <c r="B3269" t="s">
        <v>5</v>
      </c>
      <c r="C3269" t="s">
        <v>1680</v>
      </c>
      <c r="D3269" t="s">
        <v>2050</v>
      </c>
      <c r="E3269" t="s">
        <v>95</v>
      </c>
      <c r="F3269" t="s">
        <v>9</v>
      </c>
      <c r="G3269" t="s">
        <v>3569</v>
      </c>
      <c r="H3269" s="7">
        <v>725</v>
      </c>
    </row>
    <row r="3270" spans="1:8" x14ac:dyDescent="0.3">
      <c r="A3270">
        <v>16206</v>
      </c>
      <c r="B3270" t="s">
        <v>3523</v>
      </c>
      <c r="C3270" t="s">
        <v>558</v>
      </c>
      <c r="D3270" t="s">
        <v>945</v>
      </c>
      <c r="E3270" t="s">
        <v>95</v>
      </c>
      <c r="F3270" t="s">
        <v>9</v>
      </c>
      <c r="G3270" t="s">
        <v>3482</v>
      </c>
      <c r="H3270" s="7">
        <v>685</v>
      </c>
    </row>
    <row r="3271" spans="1:8" x14ac:dyDescent="0.3">
      <c r="A3271">
        <v>16207</v>
      </c>
      <c r="B3271" t="s">
        <v>5</v>
      </c>
      <c r="C3271" t="s">
        <v>868</v>
      </c>
      <c r="D3271" t="s">
        <v>4139</v>
      </c>
      <c r="E3271" t="s">
        <v>95</v>
      </c>
      <c r="F3271" t="s">
        <v>9</v>
      </c>
      <c r="G3271" t="s">
        <v>4502</v>
      </c>
      <c r="H3271" s="7">
        <v>725</v>
      </c>
    </row>
    <row r="3272" spans="1:8" x14ac:dyDescent="0.3">
      <c r="A3272">
        <v>16217</v>
      </c>
      <c r="B3272" t="s">
        <v>1942</v>
      </c>
      <c r="C3272" t="s">
        <v>2750</v>
      </c>
      <c r="D3272" t="s">
        <v>3691</v>
      </c>
      <c r="E3272" t="s">
        <v>95</v>
      </c>
      <c r="F3272" t="s">
        <v>381</v>
      </c>
      <c r="G3272" t="s">
        <v>2376</v>
      </c>
      <c r="H3272" s="7">
        <v>48212</v>
      </c>
    </row>
    <row r="3273" spans="1:8" x14ac:dyDescent="0.3">
      <c r="A3273">
        <v>16218</v>
      </c>
      <c r="B3273" t="s">
        <v>5</v>
      </c>
      <c r="C3273" t="s">
        <v>610</v>
      </c>
      <c r="D3273" t="s">
        <v>611</v>
      </c>
      <c r="E3273" t="s">
        <v>27</v>
      </c>
      <c r="F3273" t="s">
        <v>9</v>
      </c>
      <c r="G3273" t="s">
        <v>612</v>
      </c>
      <c r="H3273" s="7">
        <v>725</v>
      </c>
    </row>
    <row r="3274" spans="1:8" x14ac:dyDescent="0.3">
      <c r="A3274">
        <v>16219</v>
      </c>
      <c r="B3274" t="s">
        <v>1139</v>
      </c>
      <c r="C3274" t="s">
        <v>1659</v>
      </c>
      <c r="D3274" t="s">
        <v>1661</v>
      </c>
      <c r="E3274" t="s">
        <v>27</v>
      </c>
      <c r="F3274" t="s">
        <v>114</v>
      </c>
      <c r="G3274" t="s">
        <v>1662</v>
      </c>
      <c r="H3274" s="7">
        <v>79927</v>
      </c>
    </row>
    <row r="3275" spans="1:8" x14ac:dyDescent="0.3">
      <c r="A3275">
        <v>16220</v>
      </c>
      <c r="B3275" t="s">
        <v>5</v>
      </c>
      <c r="C3275" t="s">
        <v>2477</v>
      </c>
      <c r="D3275" t="s">
        <v>319</v>
      </c>
      <c r="E3275" t="s">
        <v>27</v>
      </c>
      <c r="F3275" t="s">
        <v>9</v>
      </c>
      <c r="G3275" t="s">
        <v>3262</v>
      </c>
      <c r="H3275" s="7">
        <v>725</v>
      </c>
    </row>
    <row r="3276" spans="1:8" x14ac:dyDescent="0.3">
      <c r="A3276">
        <v>16221</v>
      </c>
      <c r="B3276" t="s">
        <v>862</v>
      </c>
      <c r="C3276" t="s">
        <v>1557</v>
      </c>
      <c r="D3276" t="s">
        <v>315</v>
      </c>
      <c r="E3276" t="s">
        <v>27</v>
      </c>
      <c r="F3276" t="s">
        <v>478</v>
      </c>
      <c r="G3276" t="s">
        <v>1558</v>
      </c>
      <c r="H3276" s="7">
        <v>89110</v>
      </c>
    </row>
    <row r="3277" spans="1:8" x14ac:dyDescent="0.3">
      <c r="A3277">
        <v>16222</v>
      </c>
      <c r="B3277" t="s">
        <v>1553</v>
      </c>
      <c r="C3277" t="s">
        <v>1554</v>
      </c>
      <c r="D3277" t="s">
        <v>1555</v>
      </c>
      <c r="E3277" t="s">
        <v>27</v>
      </c>
      <c r="F3277" t="s">
        <v>114</v>
      </c>
      <c r="G3277" t="s">
        <v>1556</v>
      </c>
      <c r="H3277" s="7">
        <v>75061</v>
      </c>
    </row>
    <row r="3278" spans="1:8" x14ac:dyDescent="0.3">
      <c r="A3278">
        <v>16223</v>
      </c>
      <c r="B3278" t="s">
        <v>155</v>
      </c>
      <c r="C3278" t="s">
        <v>653</v>
      </c>
      <c r="D3278" t="s">
        <v>654</v>
      </c>
      <c r="E3278" t="s">
        <v>27</v>
      </c>
      <c r="F3278" t="s">
        <v>172</v>
      </c>
      <c r="G3278" t="s">
        <v>655</v>
      </c>
      <c r="H3278" s="7">
        <v>65203</v>
      </c>
    </row>
    <row r="3279" spans="1:8" x14ac:dyDescent="0.3">
      <c r="A3279">
        <v>16227</v>
      </c>
      <c r="B3279" t="s">
        <v>2805</v>
      </c>
      <c r="C3279" t="s">
        <v>967</v>
      </c>
      <c r="D3279" t="s">
        <v>3013</v>
      </c>
      <c r="E3279" t="s">
        <v>95</v>
      </c>
      <c r="F3279" t="s">
        <v>88</v>
      </c>
      <c r="G3279" t="s">
        <v>2806</v>
      </c>
      <c r="H3279" s="7">
        <v>11756</v>
      </c>
    </row>
    <row r="3280" spans="1:8" x14ac:dyDescent="0.3">
      <c r="A3280">
        <v>16228</v>
      </c>
      <c r="B3280" t="s">
        <v>195</v>
      </c>
      <c r="C3280" t="s">
        <v>2406</v>
      </c>
      <c r="D3280" t="s">
        <v>3309</v>
      </c>
      <c r="E3280" t="s">
        <v>95</v>
      </c>
      <c r="F3280" t="s">
        <v>21</v>
      </c>
      <c r="G3280" t="s">
        <v>2804</v>
      </c>
      <c r="H3280" s="7">
        <v>92843</v>
      </c>
    </row>
    <row r="3281" spans="1:8" x14ac:dyDescent="0.3">
      <c r="A3281">
        <v>16229</v>
      </c>
      <c r="B3281" t="s">
        <v>5</v>
      </c>
      <c r="C3281" t="s">
        <v>2948</v>
      </c>
      <c r="D3281" t="s">
        <v>197</v>
      </c>
      <c r="E3281" t="s">
        <v>27</v>
      </c>
      <c r="F3281" t="s">
        <v>9</v>
      </c>
      <c r="G3281" t="s">
        <v>2024</v>
      </c>
      <c r="H3281" s="7">
        <v>725</v>
      </c>
    </row>
    <row r="3282" spans="1:8" x14ac:dyDescent="0.3">
      <c r="A3282">
        <v>16240</v>
      </c>
      <c r="B3282" t="s">
        <v>1919</v>
      </c>
      <c r="C3282" t="s">
        <v>4202</v>
      </c>
      <c r="D3282" t="s">
        <v>1392</v>
      </c>
      <c r="E3282" t="s">
        <v>95</v>
      </c>
      <c r="F3282" t="s">
        <v>242</v>
      </c>
      <c r="G3282" t="s">
        <v>4770</v>
      </c>
      <c r="H3282" s="7">
        <v>21740</v>
      </c>
    </row>
    <row r="3283" spans="1:8" x14ac:dyDescent="0.3">
      <c r="A3283">
        <v>16242</v>
      </c>
      <c r="B3283" t="s">
        <v>3822</v>
      </c>
      <c r="C3283" t="s">
        <v>1175</v>
      </c>
      <c r="D3283" t="s">
        <v>1736</v>
      </c>
      <c r="E3283" t="s">
        <v>95</v>
      </c>
      <c r="F3283" t="s">
        <v>21</v>
      </c>
      <c r="G3283" t="s">
        <v>5155</v>
      </c>
      <c r="H3283" s="7">
        <v>91786</v>
      </c>
    </row>
    <row r="3284" spans="1:8" x14ac:dyDescent="0.3">
      <c r="A3284">
        <v>16243</v>
      </c>
      <c r="B3284" t="s">
        <v>1482</v>
      </c>
      <c r="C3284" t="s">
        <v>2396</v>
      </c>
      <c r="D3284" t="s">
        <v>556</v>
      </c>
      <c r="E3284" t="s">
        <v>8</v>
      </c>
      <c r="F3284" t="s">
        <v>448</v>
      </c>
      <c r="G3284" t="s">
        <v>3954</v>
      </c>
      <c r="H3284" s="7">
        <v>33511</v>
      </c>
    </row>
    <row r="3285" spans="1:8" x14ac:dyDescent="0.3">
      <c r="A3285">
        <v>16246</v>
      </c>
      <c r="B3285" t="s">
        <v>5</v>
      </c>
      <c r="C3285" t="s">
        <v>278</v>
      </c>
      <c r="D3285" t="s">
        <v>1201</v>
      </c>
      <c r="E3285" t="s">
        <v>95</v>
      </c>
      <c r="F3285" t="s">
        <v>9</v>
      </c>
      <c r="G3285" t="s">
        <v>5258</v>
      </c>
      <c r="H3285" s="7">
        <v>725</v>
      </c>
    </row>
    <row r="3286" spans="1:8" x14ac:dyDescent="0.3">
      <c r="A3286">
        <v>16247</v>
      </c>
      <c r="B3286" t="s">
        <v>40</v>
      </c>
      <c r="C3286" t="s">
        <v>272</v>
      </c>
      <c r="D3286" t="s">
        <v>4168</v>
      </c>
      <c r="E3286" t="s">
        <v>8</v>
      </c>
      <c r="F3286" t="s">
        <v>21</v>
      </c>
      <c r="G3286" t="s">
        <v>1222</v>
      </c>
      <c r="H3286" s="7">
        <v>93536</v>
      </c>
    </row>
    <row r="3287" spans="1:8" x14ac:dyDescent="0.3">
      <c r="A3287">
        <v>16248</v>
      </c>
      <c r="B3287" t="s">
        <v>1253</v>
      </c>
      <c r="C3287" t="s">
        <v>2179</v>
      </c>
      <c r="D3287" t="s">
        <v>3266</v>
      </c>
      <c r="E3287" t="s">
        <v>8</v>
      </c>
      <c r="F3287" t="s">
        <v>158</v>
      </c>
      <c r="G3287" t="s">
        <v>1257</v>
      </c>
      <c r="H3287" s="7">
        <v>37075</v>
      </c>
    </row>
    <row r="3288" spans="1:8" x14ac:dyDescent="0.3">
      <c r="A3288">
        <v>16249</v>
      </c>
      <c r="B3288" t="s">
        <v>495</v>
      </c>
      <c r="C3288" t="s">
        <v>1237</v>
      </c>
      <c r="D3288" t="s">
        <v>2038</v>
      </c>
      <c r="E3288" t="s">
        <v>8</v>
      </c>
      <c r="F3288" t="s">
        <v>88</v>
      </c>
      <c r="G3288" t="s">
        <v>3003</v>
      </c>
      <c r="H3288" s="7">
        <v>11201</v>
      </c>
    </row>
    <row r="3289" spans="1:8" x14ac:dyDescent="0.3">
      <c r="A3289">
        <v>16250</v>
      </c>
      <c r="B3289" t="s">
        <v>5</v>
      </c>
      <c r="C3289" t="s">
        <v>2908</v>
      </c>
      <c r="D3289" t="s">
        <v>2377</v>
      </c>
      <c r="E3289" t="s">
        <v>95</v>
      </c>
      <c r="F3289" t="s">
        <v>9</v>
      </c>
      <c r="G3289" t="s">
        <v>3515</v>
      </c>
      <c r="H3289" s="7">
        <v>725</v>
      </c>
    </row>
    <row r="3290" spans="1:8" x14ac:dyDescent="0.3">
      <c r="A3290">
        <v>16251</v>
      </c>
      <c r="B3290" t="s">
        <v>1210</v>
      </c>
      <c r="C3290" t="s">
        <v>2133</v>
      </c>
      <c r="D3290" t="s">
        <v>220</v>
      </c>
      <c r="E3290" t="s">
        <v>8</v>
      </c>
      <c r="F3290" t="s">
        <v>308</v>
      </c>
      <c r="G3290" t="s">
        <v>782</v>
      </c>
      <c r="H3290" s="7">
        <v>7003</v>
      </c>
    </row>
    <row r="3291" spans="1:8" x14ac:dyDescent="0.3">
      <c r="A3291">
        <v>16255</v>
      </c>
      <c r="B3291" t="s">
        <v>5</v>
      </c>
      <c r="C3291" t="s">
        <v>1594</v>
      </c>
      <c r="D3291" t="s">
        <v>1595</v>
      </c>
      <c r="E3291" t="s">
        <v>27</v>
      </c>
      <c r="F3291" t="s">
        <v>9</v>
      </c>
      <c r="G3291" t="s">
        <v>1596</v>
      </c>
      <c r="H3291" s="7">
        <v>725</v>
      </c>
    </row>
    <row r="3292" spans="1:8" x14ac:dyDescent="0.3">
      <c r="A3292">
        <v>16256</v>
      </c>
      <c r="B3292" t="s">
        <v>673</v>
      </c>
      <c r="C3292" t="s">
        <v>674</v>
      </c>
      <c r="D3292" t="s">
        <v>675</v>
      </c>
      <c r="E3292" t="s">
        <v>27</v>
      </c>
      <c r="F3292" t="s">
        <v>108</v>
      </c>
      <c r="G3292" t="s">
        <v>676</v>
      </c>
      <c r="H3292" s="7">
        <v>97006</v>
      </c>
    </row>
    <row r="3293" spans="1:8" x14ac:dyDescent="0.3">
      <c r="A3293">
        <v>16257</v>
      </c>
      <c r="B3293" t="s">
        <v>5</v>
      </c>
      <c r="C3293" t="s">
        <v>183</v>
      </c>
      <c r="D3293" t="s">
        <v>1873</v>
      </c>
      <c r="E3293" t="s">
        <v>27</v>
      </c>
      <c r="F3293" t="s">
        <v>9</v>
      </c>
      <c r="G3293" t="s">
        <v>2943</v>
      </c>
      <c r="H3293" s="7">
        <v>725</v>
      </c>
    </row>
    <row r="3294" spans="1:8" x14ac:dyDescent="0.3">
      <c r="A3294">
        <v>16258</v>
      </c>
      <c r="B3294" t="s">
        <v>661</v>
      </c>
      <c r="C3294" t="s">
        <v>662</v>
      </c>
      <c r="D3294" t="s">
        <v>663</v>
      </c>
      <c r="E3294" t="s">
        <v>27</v>
      </c>
      <c r="F3294" t="s">
        <v>153</v>
      </c>
      <c r="G3294" t="s">
        <v>664</v>
      </c>
      <c r="H3294" s="7">
        <v>84084</v>
      </c>
    </row>
    <row r="3295" spans="1:8" x14ac:dyDescent="0.3">
      <c r="A3295">
        <v>16259</v>
      </c>
      <c r="B3295" t="s">
        <v>5</v>
      </c>
      <c r="C3295" t="s">
        <v>393</v>
      </c>
      <c r="D3295" t="s">
        <v>132</v>
      </c>
      <c r="E3295" t="s">
        <v>8</v>
      </c>
      <c r="F3295" t="s">
        <v>9</v>
      </c>
      <c r="G3295" t="s">
        <v>3591</v>
      </c>
      <c r="H3295" s="7">
        <v>725</v>
      </c>
    </row>
    <row r="3296" spans="1:8" x14ac:dyDescent="0.3">
      <c r="A3296">
        <v>16260</v>
      </c>
      <c r="B3296" t="s">
        <v>976</v>
      </c>
      <c r="C3296" t="s">
        <v>3055</v>
      </c>
      <c r="D3296" t="s">
        <v>101</v>
      </c>
      <c r="E3296" t="s">
        <v>8</v>
      </c>
      <c r="F3296" t="s">
        <v>153</v>
      </c>
      <c r="G3296" t="s">
        <v>3056</v>
      </c>
      <c r="H3296" s="7">
        <v>84118</v>
      </c>
    </row>
    <row r="3297" spans="1:8" x14ac:dyDescent="0.3">
      <c r="A3297">
        <v>16261</v>
      </c>
      <c r="B3297" t="s">
        <v>695</v>
      </c>
      <c r="C3297" t="s">
        <v>696</v>
      </c>
      <c r="D3297" t="s">
        <v>697</v>
      </c>
      <c r="E3297" t="s">
        <v>27</v>
      </c>
      <c r="F3297" t="s">
        <v>242</v>
      </c>
      <c r="G3297" t="s">
        <v>698</v>
      </c>
      <c r="H3297" s="7">
        <v>20906</v>
      </c>
    </row>
    <row r="3298" spans="1:8" x14ac:dyDescent="0.3">
      <c r="A3298">
        <v>16262</v>
      </c>
      <c r="B3298" t="s">
        <v>823</v>
      </c>
      <c r="C3298" t="s">
        <v>467</v>
      </c>
      <c r="D3298" t="s">
        <v>1686</v>
      </c>
      <c r="E3298" t="s">
        <v>8</v>
      </c>
      <c r="F3298" t="s">
        <v>283</v>
      </c>
      <c r="G3298" t="s">
        <v>2588</v>
      </c>
      <c r="H3298" s="7">
        <v>23223</v>
      </c>
    </row>
    <row r="3299" spans="1:8" x14ac:dyDescent="0.3">
      <c r="A3299">
        <v>16263</v>
      </c>
      <c r="B3299" t="s">
        <v>5</v>
      </c>
      <c r="C3299" t="s">
        <v>1140</v>
      </c>
      <c r="D3299" t="s">
        <v>26</v>
      </c>
      <c r="E3299" t="s">
        <v>8</v>
      </c>
      <c r="F3299" t="s">
        <v>9</v>
      </c>
      <c r="G3299" t="s">
        <v>3643</v>
      </c>
      <c r="H3299" s="7">
        <v>725</v>
      </c>
    </row>
    <row r="3300" spans="1:8" x14ac:dyDescent="0.3">
      <c r="A3300">
        <v>16264</v>
      </c>
      <c r="B3300" t="s">
        <v>1139</v>
      </c>
      <c r="C3300" t="s">
        <v>2574</v>
      </c>
      <c r="D3300" t="s">
        <v>2953</v>
      </c>
      <c r="E3300" t="s">
        <v>8</v>
      </c>
      <c r="F3300" t="s">
        <v>114</v>
      </c>
      <c r="G3300" t="s">
        <v>3505</v>
      </c>
      <c r="H3300" s="7">
        <v>79936</v>
      </c>
    </row>
    <row r="3301" spans="1:8" x14ac:dyDescent="0.3">
      <c r="A3301">
        <v>16265</v>
      </c>
      <c r="B3301" t="s">
        <v>1139</v>
      </c>
      <c r="C3301" t="s">
        <v>2822</v>
      </c>
      <c r="D3301" t="s">
        <v>241</v>
      </c>
      <c r="E3301" t="s">
        <v>27</v>
      </c>
      <c r="F3301" t="s">
        <v>114</v>
      </c>
      <c r="G3301" t="s">
        <v>2823</v>
      </c>
      <c r="H3301" s="7">
        <v>79924</v>
      </c>
    </row>
    <row r="3302" spans="1:8" x14ac:dyDescent="0.3">
      <c r="A3302">
        <v>16278</v>
      </c>
      <c r="B3302" t="s">
        <v>1749</v>
      </c>
      <c r="C3302" t="s">
        <v>1224</v>
      </c>
      <c r="D3302" t="s">
        <v>1597</v>
      </c>
      <c r="E3302" t="s">
        <v>27</v>
      </c>
      <c r="F3302" t="s">
        <v>55</v>
      </c>
      <c r="G3302" t="s">
        <v>3212</v>
      </c>
      <c r="H3302" s="7">
        <v>60067</v>
      </c>
    </row>
    <row r="3303" spans="1:8" x14ac:dyDescent="0.3">
      <c r="A3303">
        <v>16281</v>
      </c>
      <c r="B3303" t="s">
        <v>5</v>
      </c>
      <c r="C3303" t="s">
        <v>1504</v>
      </c>
      <c r="D3303" t="s">
        <v>3990</v>
      </c>
      <c r="E3303" t="s">
        <v>95</v>
      </c>
      <c r="F3303" t="s">
        <v>9</v>
      </c>
      <c r="G3303" t="s">
        <v>1613</v>
      </c>
      <c r="H3303" s="7">
        <v>725</v>
      </c>
    </row>
    <row r="3304" spans="1:8" x14ac:dyDescent="0.3">
      <c r="A3304">
        <v>16282</v>
      </c>
      <c r="B3304" t="s">
        <v>2290</v>
      </c>
      <c r="C3304" t="s">
        <v>3042</v>
      </c>
      <c r="D3304" t="s">
        <v>1673</v>
      </c>
      <c r="E3304" t="s">
        <v>8</v>
      </c>
      <c r="F3304" t="s">
        <v>21</v>
      </c>
      <c r="G3304" t="s">
        <v>5619</v>
      </c>
      <c r="H3304" s="7">
        <v>91764</v>
      </c>
    </row>
    <row r="3305" spans="1:8" x14ac:dyDescent="0.3">
      <c r="A3305">
        <v>16289</v>
      </c>
      <c r="B3305" t="s">
        <v>702</v>
      </c>
      <c r="C3305" t="s">
        <v>2020</v>
      </c>
      <c r="D3305" t="s">
        <v>1559</v>
      </c>
      <c r="E3305" t="s">
        <v>8</v>
      </c>
      <c r="F3305" t="s">
        <v>88</v>
      </c>
      <c r="G3305" t="s">
        <v>703</v>
      </c>
      <c r="H3305" s="7">
        <v>11419</v>
      </c>
    </row>
    <row r="3306" spans="1:8" x14ac:dyDescent="0.3">
      <c r="A3306">
        <v>16304</v>
      </c>
      <c r="B3306" t="s">
        <v>821</v>
      </c>
      <c r="C3306" t="s">
        <v>674</v>
      </c>
      <c r="D3306" t="s">
        <v>1300</v>
      </c>
      <c r="E3306" t="s">
        <v>8</v>
      </c>
      <c r="F3306" t="s">
        <v>190</v>
      </c>
      <c r="G3306" t="s">
        <v>4125</v>
      </c>
      <c r="H3306" s="7">
        <v>85225</v>
      </c>
    </row>
    <row r="3307" spans="1:8" x14ac:dyDescent="0.3">
      <c r="A3307">
        <v>16311</v>
      </c>
      <c r="B3307" t="s">
        <v>5</v>
      </c>
      <c r="C3307" t="s">
        <v>3120</v>
      </c>
      <c r="D3307" t="s">
        <v>484</v>
      </c>
      <c r="E3307" t="s">
        <v>95</v>
      </c>
      <c r="F3307" t="s">
        <v>9</v>
      </c>
      <c r="G3307" t="s">
        <v>3582</v>
      </c>
      <c r="H3307" s="7">
        <v>725</v>
      </c>
    </row>
    <row r="3308" spans="1:8" x14ac:dyDescent="0.3">
      <c r="A3308">
        <v>16312</v>
      </c>
      <c r="B3308" t="s">
        <v>1892</v>
      </c>
      <c r="C3308" t="s">
        <v>1893</v>
      </c>
      <c r="D3308" t="s">
        <v>800</v>
      </c>
      <c r="E3308" t="s">
        <v>8</v>
      </c>
      <c r="F3308" t="s">
        <v>55</v>
      </c>
      <c r="G3308" t="s">
        <v>1894</v>
      </c>
      <c r="H3308" s="7">
        <v>61761</v>
      </c>
    </row>
    <row r="3309" spans="1:8" x14ac:dyDescent="0.3">
      <c r="A3309">
        <v>16321</v>
      </c>
      <c r="B3309" t="s">
        <v>5006</v>
      </c>
      <c r="C3309" t="s">
        <v>3597</v>
      </c>
      <c r="D3309" t="s">
        <v>3885</v>
      </c>
      <c r="E3309" t="s">
        <v>27</v>
      </c>
      <c r="F3309" t="s">
        <v>21</v>
      </c>
      <c r="G3309" t="s">
        <v>3968</v>
      </c>
      <c r="H3309" s="7">
        <v>94303</v>
      </c>
    </row>
    <row r="3310" spans="1:8" x14ac:dyDescent="0.3">
      <c r="A3310">
        <v>16328</v>
      </c>
      <c r="B3310" t="s">
        <v>2303</v>
      </c>
      <c r="C3310" t="s">
        <v>1244</v>
      </c>
      <c r="D3310" t="s">
        <v>3975</v>
      </c>
      <c r="E3310" t="s">
        <v>27</v>
      </c>
      <c r="F3310" t="s">
        <v>55</v>
      </c>
      <c r="G3310" t="s">
        <v>3769</v>
      </c>
      <c r="H3310" s="7">
        <v>60085</v>
      </c>
    </row>
    <row r="3311" spans="1:8" x14ac:dyDescent="0.3">
      <c r="A3311">
        <v>16329</v>
      </c>
      <c r="B3311" t="s">
        <v>174</v>
      </c>
      <c r="C3311" t="s">
        <v>188</v>
      </c>
      <c r="D3311" t="s">
        <v>144</v>
      </c>
      <c r="E3311" t="s">
        <v>8</v>
      </c>
      <c r="F3311" t="s">
        <v>21</v>
      </c>
      <c r="G3311" t="s">
        <v>509</v>
      </c>
      <c r="H3311" s="7">
        <v>90047</v>
      </c>
    </row>
    <row r="3312" spans="1:8" x14ac:dyDescent="0.3">
      <c r="A3312">
        <v>16332</v>
      </c>
      <c r="B3312" t="s">
        <v>970</v>
      </c>
      <c r="C3312" t="s">
        <v>5170</v>
      </c>
      <c r="D3312" t="s">
        <v>133</v>
      </c>
      <c r="E3312" t="s">
        <v>8</v>
      </c>
      <c r="F3312" t="s">
        <v>448</v>
      </c>
      <c r="G3312" t="s">
        <v>4930</v>
      </c>
      <c r="H3312" s="7">
        <v>32825</v>
      </c>
    </row>
    <row r="3313" spans="1:8" x14ac:dyDescent="0.3">
      <c r="A3313">
        <v>16334</v>
      </c>
      <c r="B3313" t="s">
        <v>2139</v>
      </c>
      <c r="C3313" t="s">
        <v>598</v>
      </c>
      <c r="D3313" t="s">
        <v>1679</v>
      </c>
      <c r="E3313" t="s">
        <v>27</v>
      </c>
      <c r="F3313" t="s">
        <v>2142</v>
      </c>
      <c r="G3313" t="s">
        <v>2675</v>
      </c>
      <c r="H3313" s="7">
        <v>25401</v>
      </c>
    </row>
    <row r="3314" spans="1:8" x14ac:dyDescent="0.3">
      <c r="A3314">
        <v>16335</v>
      </c>
      <c r="B3314" t="s">
        <v>5</v>
      </c>
      <c r="C3314" t="s">
        <v>577</v>
      </c>
      <c r="D3314" t="s">
        <v>3903</v>
      </c>
      <c r="E3314" t="s">
        <v>8</v>
      </c>
      <c r="F3314" t="s">
        <v>9</v>
      </c>
      <c r="G3314" t="s">
        <v>1537</v>
      </c>
      <c r="H3314" s="7">
        <v>725</v>
      </c>
    </row>
    <row r="3315" spans="1:8" x14ac:dyDescent="0.3">
      <c r="A3315">
        <v>16341</v>
      </c>
      <c r="B3315" t="s">
        <v>2577</v>
      </c>
      <c r="C3315" t="s">
        <v>2090</v>
      </c>
      <c r="D3315" t="s">
        <v>1812</v>
      </c>
      <c r="E3315" t="s">
        <v>95</v>
      </c>
      <c r="F3315" t="s">
        <v>21</v>
      </c>
      <c r="G3315" t="s">
        <v>3502</v>
      </c>
      <c r="H3315" s="7">
        <v>94080</v>
      </c>
    </row>
    <row r="3316" spans="1:8" x14ac:dyDescent="0.3">
      <c r="A3316">
        <v>16343</v>
      </c>
      <c r="B3316" t="s">
        <v>5</v>
      </c>
      <c r="C3316" t="s">
        <v>2133</v>
      </c>
      <c r="D3316" t="s">
        <v>1925</v>
      </c>
      <c r="E3316" t="s">
        <v>8</v>
      </c>
      <c r="F3316" t="s">
        <v>9</v>
      </c>
      <c r="G3316" t="s">
        <v>3343</v>
      </c>
      <c r="H3316" s="7">
        <v>725</v>
      </c>
    </row>
    <row r="3317" spans="1:8" x14ac:dyDescent="0.3">
      <c r="A3317">
        <v>16347</v>
      </c>
      <c r="B3317" t="s">
        <v>1139</v>
      </c>
      <c r="C3317" t="s">
        <v>3129</v>
      </c>
      <c r="D3317" t="s">
        <v>87</v>
      </c>
      <c r="E3317" t="s">
        <v>95</v>
      </c>
      <c r="F3317" t="s">
        <v>114</v>
      </c>
      <c r="G3317" t="s">
        <v>2238</v>
      </c>
      <c r="H3317" s="7">
        <v>79936</v>
      </c>
    </row>
    <row r="3318" spans="1:8" x14ac:dyDescent="0.3">
      <c r="A3318">
        <v>16348</v>
      </c>
      <c r="B3318" t="s">
        <v>1550</v>
      </c>
      <c r="C3318" t="s">
        <v>1551</v>
      </c>
      <c r="D3318" t="s">
        <v>82</v>
      </c>
      <c r="E3318" t="s">
        <v>27</v>
      </c>
      <c r="F3318" t="s">
        <v>88</v>
      </c>
      <c r="G3318" t="s">
        <v>1552</v>
      </c>
      <c r="H3318" s="7">
        <v>11420</v>
      </c>
    </row>
    <row r="3319" spans="1:8" x14ac:dyDescent="0.3">
      <c r="A3319">
        <v>16349</v>
      </c>
      <c r="B3319" t="s">
        <v>5</v>
      </c>
      <c r="C3319" t="s">
        <v>935</v>
      </c>
      <c r="D3319" t="s">
        <v>936</v>
      </c>
      <c r="E3319" t="s">
        <v>27</v>
      </c>
      <c r="F3319" t="s">
        <v>9</v>
      </c>
      <c r="G3319" t="s">
        <v>937</v>
      </c>
      <c r="H3319" s="7">
        <v>725</v>
      </c>
    </row>
    <row r="3320" spans="1:8" x14ac:dyDescent="0.3">
      <c r="A3320">
        <v>16352</v>
      </c>
      <c r="B3320" t="s">
        <v>665</v>
      </c>
      <c r="C3320" t="s">
        <v>2633</v>
      </c>
      <c r="D3320" t="s">
        <v>2634</v>
      </c>
      <c r="E3320" t="s">
        <v>27</v>
      </c>
      <c r="F3320" t="s">
        <v>283</v>
      </c>
      <c r="G3320" t="s">
        <v>668</v>
      </c>
      <c r="H3320" s="7">
        <v>23322</v>
      </c>
    </row>
    <row r="3321" spans="1:8" x14ac:dyDescent="0.3">
      <c r="A3321">
        <v>16353</v>
      </c>
      <c r="B3321" t="s">
        <v>631</v>
      </c>
      <c r="C3321" t="s">
        <v>1561</v>
      </c>
      <c r="D3321" t="s">
        <v>581</v>
      </c>
      <c r="E3321" t="s">
        <v>27</v>
      </c>
      <c r="F3321" t="s">
        <v>108</v>
      </c>
      <c r="G3321" t="s">
        <v>1562</v>
      </c>
      <c r="H3321" s="7">
        <v>97405</v>
      </c>
    </row>
    <row r="3322" spans="1:8" x14ac:dyDescent="0.3">
      <c r="A3322">
        <v>16354</v>
      </c>
      <c r="B3322" t="s">
        <v>5</v>
      </c>
      <c r="C3322" t="s">
        <v>876</v>
      </c>
      <c r="D3322" t="s">
        <v>877</v>
      </c>
      <c r="E3322" t="s">
        <v>95</v>
      </c>
      <c r="F3322" t="s">
        <v>9</v>
      </c>
      <c r="G3322" t="s">
        <v>878</v>
      </c>
      <c r="H3322" s="7">
        <v>725</v>
      </c>
    </row>
    <row r="3323" spans="1:8" x14ac:dyDescent="0.3">
      <c r="A3323">
        <v>16356</v>
      </c>
      <c r="B3323" t="s">
        <v>5</v>
      </c>
      <c r="C3323" t="s">
        <v>1440</v>
      </c>
      <c r="D3323" t="s">
        <v>1441</v>
      </c>
      <c r="E3323" t="s">
        <v>8</v>
      </c>
      <c r="F3323" t="s">
        <v>9</v>
      </c>
      <c r="G3323" t="s">
        <v>1442</v>
      </c>
      <c r="H3323" s="7">
        <v>725</v>
      </c>
    </row>
    <row r="3324" spans="1:8" x14ac:dyDescent="0.3">
      <c r="A3324">
        <v>16357</v>
      </c>
      <c r="B3324" t="s">
        <v>1108</v>
      </c>
      <c r="C3324" t="s">
        <v>2895</v>
      </c>
      <c r="D3324" t="s">
        <v>76</v>
      </c>
      <c r="E3324" t="s">
        <v>8</v>
      </c>
      <c r="F3324" t="s">
        <v>381</v>
      </c>
      <c r="G3324" t="s">
        <v>3060</v>
      </c>
      <c r="H3324" s="7">
        <v>48823</v>
      </c>
    </row>
    <row r="3325" spans="1:8" x14ac:dyDescent="0.3">
      <c r="A3325">
        <v>16378</v>
      </c>
      <c r="B3325" t="s">
        <v>174</v>
      </c>
      <c r="C3325" t="s">
        <v>1665</v>
      </c>
      <c r="D3325" t="s">
        <v>40</v>
      </c>
      <c r="E3325" t="s">
        <v>8</v>
      </c>
      <c r="F3325" t="s">
        <v>21</v>
      </c>
      <c r="G3325" t="s">
        <v>3186</v>
      </c>
      <c r="H3325" s="7">
        <v>90003</v>
      </c>
    </row>
    <row r="3326" spans="1:8" x14ac:dyDescent="0.3">
      <c r="A3326">
        <v>16384</v>
      </c>
      <c r="B3326" t="s">
        <v>5</v>
      </c>
      <c r="C3326" t="s">
        <v>2191</v>
      </c>
      <c r="D3326" t="s">
        <v>1379</v>
      </c>
      <c r="E3326" t="s">
        <v>95</v>
      </c>
      <c r="F3326" t="s">
        <v>9</v>
      </c>
      <c r="G3326" t="s">
        <v>3640</v>
      </c>
      <c r="H3326" s="7">
        <v>725</v>
      </c>
    </row>
    <row r="3327" spans="1:8" x14ac:dyDescent="0.3">
      <c r="A3327">
        <v>16386</v>
      </c>
      <c r="B3327" t="s">
        <v>1777</v>
      </c>
      <c r="C3327" t="s">
        <v>1488</v>
      </c>
      <c r="D3327" t="s">
        <v>2010</v>
      </c>
      <c r="E3327" t="s">
        <v>27</v>
      </c>
      <c r="F3327" t="s">
        <v>77</v>
      </c>
      <c r="G3327" t="s">
        <v>5230</v>
      </c>
      <c r="H3327" s="7">
        <v>17402</v>
      </c>
    </row>
    <row r="3328" spans="1:8" x14ac:dyDescent="0.3">
      <c r="A3328">
        <v>16397</v>
      </c>
      <c r="B3328" t="s">
        <v>821</v>
      </c>
      <c r="C3328" t="s">
        <v>5454</v>
      </c>
      <c r="D3328" t="s">
        <v>2369</v>
      </c>
      <c r="E3328" t="s">
        <v>8</v>
      </c>
      <c r="F3328" t="s">
        <v>190</v>
      </c>
      <c r="G3328" t="s">
        <v>4126</v>
      </c>
      <c r="H3328" s="7">
        <v>85224</v>
      </c>
    </row>
    <row r="3329" spans="1:8" x14ac:dyDescent="0.3">
      <c r="A3329">
        <v>16400</v>
      </c>
      <c r="B3329" t="s">
        <v>495</v>
      </c>
      <c r="C3329" t="s">
        <v>3470</v>
      </c>
      <c r="D3329" t="s">
        <v>3471</v>
      </c>
      <c r="E3329" t="s">
        <v>8</v>
      </c>
      <c r="F3329" t="s">
        <v>88</v>
      </c>
      <c r="G3329" t="s">
        <v>3472</v>
      </c>
      <c r="H3329" s="7">
        <v>11238</v>
      </c>
    </row>
    <row r="3330" spans="1:8" x14ac:dyDescent="0.3">
      <c r="A3330">
        <v>16401</v>
      </c>
      <c r="B3330" t="s">
        <v>5</v>
      </c>
      <c r="C3330" t="s">
        <v>3361</v>
      </c>
      <c r="D3330" t="s">
        <v>2220</v>
      </c>
      <c r="E3330" t="s">
        <v>8</v>
      </c>
      <c r="F3330" t="s">
        <v>9</v>
      </c>
      <c r="G3330" t="s">
        <v>1426</v>
      </c>
      <c r="H3330" s="7">
        <v>725</v>
      </c>
    </row>
    <row r="3331" spans="1:8" x14ac:dyDescent="0.3">
      <c r="A3331">
        <v>16402</v>
      </c>
      <c r="B3331" t="s">
        <v>495</v>
      </c>
      <c r="C3331" t="s">
        <v>5388</v>
      </c>
      <c r="D3331" t="s">
        <v>4330</v>
      </c>
      <c r="E3331" t="s">
        <v>27</v>
      </c>
      <c r="F3331" t="s">
        <v>88</v>
      </c>
      <c r="G3331" t="s">
        <v>5527</v>
      </c>
      <c r="H3331" s="7">
        <v>11236</v>
      </c>
    </row>
    <row r="3332" spans="1:8" x14ac:dyDescent="0.3">
      <c r="A3332">
        <v>16420</v>
      </c>
      <c r="B3332" t="s">
        <v>3934</v>
      </c>
      <c r="C3332" t="s">
        <v>328</v>
      </c>
      <c r="D3332" t="s">
        <v>3247</v>
      </c>
      <c r="E3332" t="s">
        <v>27</v>
      </c>
      <c r="F3332" t="s">
        <v>1195</v>
      </c>
      <c r="G3332" t="s">
        <v>3935</v>
      </c>
      <c r="H3332" s="7">
        <v>98031</v>
      </c>
    </row>
    <row r="3333" spans="1:8" x14ac:dyDescent="0.3">
      <c r="A3333">
        <v>16421</v>
      </c>
      <c r="B3333" t="s">
        <v>2787</v>
      </c>
      <c r="C3333" t="s">
        <v>2149</v>
      </c>
      <c r="D3333" t="s">
        <v>2788</v>
      </c>
      <c r="E3333" t="s">
        <v>27</v>
      </c>
      <c r="F3333" t="s">
        <v>248</v>
      </c>
      <c r="G3333" t="s">
        <v>2789</v>
      </c>
      <c r="H3333" s="7">
        <v>45601</v>
      </c>
    </row>
    <row r="3334" spans="1:8" x14ac:dyDescent="0.3">
      <c r="A3334">
        <v>16422</v>
      </c>
      <c r="B3334" t="s">
        <v>3716</v>
      </c>
      <c r="C3334" t="s">
        <v>1972</v>
      </c>
      <c r="D3334" t="s">
        <v>3425</v>
      </c>
      <c r="E3334" t="s">
        <v>95</v>
      </c>
      <c r="F3334" t="s">
        <v>134</v>
      </c>
      <c r="G3334" t="s">
        <v>3717</v>
      </c>
      <c r="H3334" s="7">
        <v>96706</v>
      </c>
    </row>
    <row r="3335" spans="1:8" x14ac:dyDescent="0.3">
      <c r="A3335">
        <v>16433</v>
      </c>
      <c r="B3335" t="s">
        <v>495</v>
      </c>
      <c r="C3335" t="s">
        <v>5036</v>
      </c>
      <c r="D3335" t="s">
        <v>4732</v>
      </c>
      <c r="E3335" t="s">
        <v>8</v>
      </c>
      <c r="F3335" t="s">
        <v>88</v>
      </c>
      <c r="G3335" t="s">
        <v>3966</v>
      </c>
      <c r="H3335" s="7">
        <v>11218</v>
      </c>
    </row>
    <row r="3336" spans="1:8" x14ac:dyDescent="0.3">
      <c r="A3336">
        <v>16439</v>
      </c>
      <c r="B3336" t="s">
        <v>5</v>
      </c>
      <c r="C3336" t="s">
        <v>1446</v>
      </c>
      <c r="D3336" t="s">
        <v>4773</v>
      </c>
      <c r="E3336" t="s">
        <v>8</v>
      </c>
      <c r="F3336" t="s">
        <v>9</v>
      </c>
      <c r="G3336" t="s">
        <v>873</v>
      </c>
      <c r="H3336" s="7">
        <v>725</v>
      </c>
    </row>
    <row r="3337" spans="1:8" x14ac:dyDescent="0.3">
      <c r="A3337">
        <v>16444</v>
      </c>
      <c r="B3337" t="s">
        <v>5</v>
      </c>
      <c r="C3337" t="s">
        <v>164</v>
      </c>
      <c r="D3337" t="s">
        <v>1280</v>
      </c>
      <c r="E3337" t="s">
        <v>95</v>
      </c>
      <c r="F3337" t="s">
        <v>9</v>
      </c>
      <c r="G3337" t="s">
        <v>2526</v>
      </c>
      <c r="H3337" s="7">
        <v>725</v>
      </c>
    </row>
    <row r="3338" spans="1:8" x14ac:dyDescent="0.3">
      <c r="A3338">
        <v>16449</v>
      </c>
      <c r="B3338" t="s">
        <v>5</v>
      </c>
      <c r="C3338" t="s">
        <v>5182</v>
      </c>
      <c r="D3338" t="s">
        <v>914</v>
      </c>
      <c r="E3338" t="s">
        <v>8</v>
      </c>
      <c r="F3338" t="s">
        <v>9</v>
      </c>
      <c r="G3338" t="s">
        <v>1458</v>
      </c>
      <c r="H3338" s="7">
        <v>725</v>
      </c>
    </row>
    <row r="3339" spans="1:8" x14ac:dyDescent="0.3">
      <c r="A3339">
        <v>16468</v>
      </c>
      <c r="B3339" t="s">
        <v>495</v>
      </c>
      <c r="C3339" t="s">
        <v>1900</v>
      </c>
      <c r="D3339" t="s">
        <v>101</v>
      </c>
      <c r="E3339" t="s">
        <v>8</v>
      </c>
      <c r="F3339" t="s">
        <v>88</v>
      </c>
      <c r="G3339" t="s">
        <v>2987</v>
      </c>
      <c r="H3339" s="7">
        <v>11213</v>
      </c>
    </row>
    <row r="3340" spans="1:8" x14ac:dyDescent="0.3">
      <c r="A3340">
        <v>16484</v>
      </c>
      <c r="B3340" t="s">
        <v>163</v>
      </c>
      <c r="C3340" t="s">
        <v>1433</v>
      </c>
      <c r="D3340" t="s">
        <v>1544</v>
      </c>
      <c r="E3340" t="s">
        <v>27</v>
      </c>
      <c r="F3340" t="s">
        <v>55</v>
      </c>
      <c r="G3340" t="s">
        <v>1811</v>
      </c>
      <c r="H3340" s="7">
        <v>60441</v>
      </c>
    </row>
    <row r="3341" spans="1:8" x14ac:dyDescent="0.3">
      <c r="A3341">
        <v>16485</v>
      </c>
      <c r="B3341" t="s">
        <v>5</v>
      </c>
      <c r="C3341" t="s">
        <v>325</v>
      </c>
      <c r="D3341" t="s">
        <v>1191</v>
      </c>
      <c r="E3341" t="s">
        <v>27</v>
      </c>
      <c r="F3341" t="s">
        <v>9</v>
      </c>
      <c r="G3341" t="s">
        <v>1993</v>
      </c>
      <c r="H3341" s="7">
        <v>725</v>
      </c>
    </row>
    <row r="3342" spans="1:8" x14ac:dyDescent="0.3">
      <c r="A3342">
        <v>16491</v>
      </c>
      <c r="B3342" t="s">
        <v>2805</v>
      </c>
      <c r="C3342" t="s">
        <v>2323</v>
      </c>
      <c r="D3342" t="s">
        <v>852</v>
      </c>
      <c r="E3342" t="s">
        <v>95</v>
      </c>
      <c r="F3342" t="s">
        <v>88</v>
      </c>
      <c r="G3342" t="s">
        <v>3610</v>
      </c>
      <c r="H3342" s="7">
        <v>11756</v>
      </c>
    </row>
    <row r="3343" spans="1:8" x14ac:dyDescent="0.3">
      <c r="A3343">
        <v>16492</v>
      </c>
      <c r="B3343" t="s">
        <v>5</v>
      </c>
      <c r="C3343" t="s">
        <v>1148</v>
      </c>
      <c r="D3343" t="s">
        <v>2634</v>
      </c>
      <c r="E3343" t="s">
        <v>8</v>
      </c>
      <c r="F3343" t="s">
        <v>9</v>
      </c>
      <c r="G3343" t="s">
        <v>5028</v>
      </c>
      <c r="H3343" s="7">
        <v>725</v>
      </c>
    </row>
    <row r="3344" spans="1:8" x14ac:dyDescent="0.3">
      <c r="A3344">
        <v>16501</v>
      </c>
      <c r="B3344" t="s">
        <v>5</v>
      </c>
      <c r="C3344" t="s">
        <v>3655</v>
      </c>
      <c r="D3344" t="s">
        <v>3795</v>
      </c>
      <c r="E3344" t="s">
        <v>8</v>
      </c>
      <c r="F3344" t="s">
        <v>9</v>
      </c>
      <c r="G3344" t="s">
        <v>5272</v>
      </c>
      <c r="H3344" s="7">
        <v>725</v>
      </c>
    </row>
    <row r="3345" spans="1:8" x14ac:dyDescent="0.3">
      <c r="A3345">
        <v>16525</v>
      </c>
      <c r="B3345" t="s">
        <v>5</v>
      </c>
      <c r="C3345" t="s">
        <v>5267</v>
      </c>
      <c r="D3345" t="s">
        <v>3449</v>
      </c>
      <c r="E3345" t="s">
        <v>8</v>
      </c>
      <c r="F3345" t="s">
        <v>9</v>
      </c>
      <c r="G3345" t="s">
        <v>1339</v>
      </c>
      <c r="H3345" s="7">
        <v>725</v>
      </c>
    </row>
    <row r="3346" spans="1:8" x14ac:dyDescent="0.3">
      <c r="A3346">
        <v>16529</v>
      </c>
      <c r="B3346" t="s">
        <v>4794</v>
      </c>
      <c r="C3346" t="s">
        <v>842</v>
      </c>
      <c r="D3346" t="s">
        <v>336</v>
      </c>
      <c r="E3346" t="s">
        <v>8</v>
      </c>
      <c r="F3346" t="s">
        <v>36</v>
      </c>
      <c r="G3346" t="s">
        <v>5000</v>
      </c>
      <c r="H3346" s="7">
        <v>2301</v>
      </c>
    </row>
    <row r="3347" spans="1:8" x14ac:dyDescent="0.3">
      <c r="A3347">
        <v>16534</v>
      </c>
      <c r="B3347" t="s">
        <v>5</v>
      </c>
      <c r="C3347" t="s">
        <v>2020</v>
      </c>
      <c r="D3347" t="s">
        <v>2021</v>
      </c>
      <c r="E3347" t="s">
        <v>27</v>
      </c>
      <c r="F3347" t="s">
        <v>9</v>
      </c>
      <c r="G3347" t="s">
        <v>2022</v>
      </c>
      <c r="H3347" s="7">
        <v>725</v>
      </c>
    </row>
    <row r="3348" spans="1:8" x14ac:dyDescent="0.3">
      <c r="A3348">
        <v>16535</v>
      </c>
      <c r="B3348" t="s">
        <v>2474</v>
      </c>
      <c r="C3348" t="s">
        <v>2194</v>
      </c>
      <c r="D3348" t="s">
        <v>2475</v>
      </c>
      <c r="E3348" t="s">
        <v>27</v>
      </c>
      <c r="F3348" t="s">
        <v>88</v>
      </c>
      <c r="G3348" t="s">
        <v>2476</v>
      </c>
      <c r="H3348" s="7">
        <v>11354</v>
      </c>
    </row>
    <row r="3349" spans="1:8" x14ac:dyDescent="0.3">
      <c r="A3349">
        <v>16536</v>
      </c>
      <c r="B3349" t="s">
        <v>5</v>
      </c>
      <c r="C3349" t="s">
        <v>352</v>
      </c>
      <c r="D3349" t="s">
        <v>282</v>
      </c>
      <c r="E3349" t="s">
        <v>95</v>
      </c>
      <c r="F3349" t="s">
        <v>9</v>
      </c>
      <c r="G3349" t="s">
        <v>3534</v>
      </c>
      <c r="H3349" s="7">
        <v>725</v>
      </c>
    </row>
    <row r="3350" spans="1:8" x14ac:dyDescent="0.3">
      <c r="A3350">
        <v>16541</v>
      </c>
      <c r="B3350" t="s">
        <v>5</v>
      </c>
      <c r="C3350" t="s">
        <v>2358</v>
      </c>
      <c r="D3350" t="s">
        <v>804</v>
      </c>
      <c r="E3350" t="s">
        <v>8</v>
      </c>
      <c r="F3350" t="s">
        <v>9</v>
      </c>
      <c r="G3350" t="s">
        <v>3360</v>
      </c>
      <c r="H3350" s="7">
        <v>725</v>
      </c>
    </row>
    <row r="3351" spans="1:8" x14ac:dyDescent="0.3">
      <c r="A3351">
        <v>16545</v>
      </c>
      <c r="B3351" t="s">
        <v>239</v>
      </c>
      <c r="C3351" t="s">
        <v>2529</v>
      </c>
      <c r="D3351" t="s">
        <v>2175</v>
      </c>
      <c r="E3351" t="s">
        <v>8</v>
      </c>
      <c r="F3351" t="s">
        <v>242</v>
      </c>
      <c r="G3351" t="s">
        <v>2530</v>
      </c>
      <c r="H3351" s="7">
        <v>21218</v>
      </c>
    </row>
    <row r="3352" spans="1:8" x14ac:dyDescent="0.3">
      <c r="A3352">
        <v>16546</v>
      </c>
      <c r="B3352" t="s">
        <v>835</v>
      </c>
      <c r="C3352" t="s">
        <v>5352</v>
      </c>
      <c r="D3352" t="s">
        <v>3538</v>
      </c>
      <c r="E3352" t="s">
        <v>8</v>
      </c>
      <c r="F3352" t="s">
        <v>242</v>
      </c>
      <c r="G3352" t="s">
        <v>5015</v>
      </c>
      <c r="H3352" s="7">
        <v>20783</v>
      </c>
    </row>
    <row r="3353" spans="1:8" x14ac:dyDescent="0.3">
      <c r="A3353">
        <v>16550</v>
      </c>
      <c r="B3353" t="s">
        <v>5</v>
      </c>
      <c r="C3353" t="s">
        <v>1869</v>
      </c>
      <c r="D3353" t="s">
        <v>2706</v>
      </c>
      <c r="E3353" t="s">
        <v>8</v>
      </c>
      <c r="F3353" t="s">
        <v>9</v>
      </c>
      <c r="G3353" t="s">
        <v>3621</v>
      </c>
      <c r="H3353" s="7">
        <v>725</v>
      </c>
    </row>
    <row r="3354" spans="1:8" x14ac:dyDescent="0.3">
      <c r="A3354">
        <v>16551</v>
      </c>
      <c r="B3354" t="s">
        <v>254</v>
      </c>
      <c r="C3354" t="s">
        <v>1200</v>
      </c>
      <c r="D3354" t="s">
        <v>2840</v>
      </c>
      <c r="E3354" t="s">
        <v>8</v>
      </c>
      <c r="F3354" t="s">
        <v>55</v>
      </c>
      <c r="G3354" t="s">
        <v>2841</v>
      </c>
      <c r="H3354" s="7">
        <v>60644</v>
      </c>
    </row>
    <row r="3355" spans="1:8" x14ac:dyDescent="0.3">
      <c r="A3355">
        <v>16552</v>
      </c>
      <c r="B3355" t="s">
        <v>626</v>
      </c>
      <c r="C3355" t="s">
        <v>1176</v>
      </c>
      <c r="D3355" t="s">
        <v>739</v>
      </c>
      <c r="E3355" t="s">
        <v>95</v>
      </c>
      <c r="F3355" t="s">
        <v>55</v>
      </c>
      <c r="G3355" t="s">
        <v>4941</v>
      </c>
      <c r="H3355" s="7">
        <v>60123</v>
      </c>
    </row>
    <row r="3356" spans="1:8" x14ac:dyDescent="0.3">
      <c r="A3356">
        <v>16562</v>
      </c>
      <c r="B3356" t="s">
        <v>5</v>
      </c>
      <c r="C3356" t="s">
        <v>913</v>
      </c>
      <c r="D3356" t="s">
        <v>53</v>
      </c>
      <c r="E3356" t="s">
        <v>8</v>
      </c>
      <c r="F3356" t="s">
        <v>9</v>
      </c>
      <c r="G3356" t="s">
        <v>3896</v>
      </c>
      <c r="H3356" s="7">
        <v>725</v>
      </c>
    </row>
    <row r="3357" spans="1:8" x14ac:dyDescent="0.3">
      <c r="A3357">
        <v>16566</v>
      </c>
      <c r="B3357" t="s">
        <v>3739</v>
      </c>
      <c r="C3357" t="s">
        <v>3740</v>
      </c>
      <c r="D3357" t="s">
        <v>1527</v>
      </c>
      <c r="E3357" t="s">
        <v>95</v>
      </c>
      <c r="F3357" t="s">
        <v>77</v>
      </c>
      <c r="G3357" t="s">
        <v>3251</v>
      </c>
      <c r="H3357" s="7">
        <v>17701</v>
      </c>
    </row>
    <row r="3358" spans="1:8" x14ac:dyDescent="0.3">
      <c r="A3358">
        <v>16569</v>
      </c>
      <c r="B3358" t="s">
        <v>174</v>
      </c>
      <c r="C3358" t="s">
        <v>1924</v>
      </c>
      <c r="D3358" t="s">
        <v>3228</v>
      </c>
      <c r="E3358" t="s">
        <v>8</v>
      </c>
      <c r="F3358" t="s">
        <v>21</v>
      </c>
      <c r="G3358" t="s">
        <v>1267</v>
      </c>
      <c r="H3358" s="7">
        <v>90003</v>
      </c>
    </row>
    <row r="3359" spans="1:8" x14ac:dyDescent="0.3">
      <c r="A3359">
        <v>16576</v>
      </c>
      <c r="B3359" t="s">
        <v>396</v>
      </c>
      <c r="C3359" t="s">
        <v>4262</v>
      </c>
      <c r="D3359" t="s">
        <v>2934</v>
      </c>
      <c r="E3359" t="s">
        <v>95</v>
      </c>
      <c r="F3359" t="s">
        <v>248</v>
      </c>
      <c r="G3359" t="s">
        <v>2229</v>
      </c>
      <c r="H3359" s="7">
        <v>45011</v>
      </c>
    </row>
    <row r="3360" spans="1:8" x14ac:dyDescent="0.3">
      <c r="A3360">
        <v>16578</v>
      </c>
      <c r="B3360" t="s">
        <v>66</v>
      </c>
      <c r="C3360" t="s">
        <v>1659</v>
      </c>
      <c r="D3360" t="s">
        <v>3921</v>
      </c>
      <c r="E3360" t="s">
        <v>95</v>
      </c>
      <c r="F3360" t="s">
        <v>55</v>
      </c>
      <c r="G3360" t="s">
        <v>4132</v>
      </c>
      <c r="H3360" s="7">
        <v>60187</v>
      </c>
    </row>
    <row r="3361" spans="1:8" x14ac:dyDescent="0.3">
      <c r="A3361">
        <v>16581</v>
      </c>
      <c r="B3361" t="s">
        <v>388</v>
      </c>
      <c r="C3361" t="s">
        <v>2086</v>
      </c>
      <c r="D3361" t="s">
        <v>2087</v>
      </c>
      <c r="E3361" t="s">
        <v>8</v>
      </c>
      <c r="F3361" t="s">
        <v>308</v>
      </c>
      <c r="G3361" t="s">
        <v>2088</v>
      </c>
      <c r="H3361" s="7">
        <v>7052</v>
      </c>
    </row>
    <row r="3362" spans="1:8" x14ac:dyDescent="0.3">
      <c r="A3362">
        <v>16582</v>
      </c>
      <c r="B3362" t="s">
        <v>5</v>
      </c>
      <c r="C3362" t="s">
        <v>549</v>
      </c>
      <c r="D3362" t="s">
        <v>550</v>
      </c>
      <c r="E3362" t="s">
        <v>8</v>
      </c>
      <c r="F3362" t="s">
        <v>9</v>
      </c>
      <c r="G3362" t="s">
        <v>551</v>
      </c>
      <c r="H3362" s="7">
        <v>725</v>
      </c>
    </row>
    <row r="3363" spans="1:8" x14ac:dyDescent="0.3">
      <c r="A3363">
        <v>16585</v>
      </c>
      <c r="B3363" t="s">
        <v>1160</v>
      </c>
      <c r="C3363" t="s">
        <v>143</v>
      </c>
      <c r="D3363" t="s">
        <v>2431</v>
      </c>
      <c r="E3363" t="s">
        <v>95</v>
      </c>
      <c r="F3363" t="s">
        <v>88</v>
      </c>
      <c r="G3363" t="s">
        <v>4462</v>
      </c>
      <c r="H3363" s="7">
        <v>14850</v>
      </c>
    </row>
    <row r="3364" spans="1:8" x14ac:dyDescent="0.3">
      <c r="A3364">
        <v>16589</v>
      </c>
      <c r="B3364" t="s">
        <v>287</v>
      </c>
      <c r="C3364" t="s">
        <v>543</v>
      </c>
      <c r="D3364" t="s">
        <v>1663</v>
      </c>
      <c r="E3364" t="s">
        <v>27</v>
      </c>
      <c r="F3364" t="s">
        <v>114</v>
      </c>
      <c r="G3364" t="s">
        <v>1190</v>
      </c>
      <c r="H3364" s="7">
        <v>77478</v>
      </c>
    </row>
    <row r="3365" spans="1:8" x14ac:dyDescent="0.3">
      <c r="A3365">
        <v>16590</v>
      </c>
      <c r="B3365" t="s">
        <v>5</v>
      </c>
      <c r="C3365" t="s">
        <v>549</v>
      </c>
      <c r="D3365" t="s">
        <v>3516</v>
      </c>
      <c r="E3365" t="s">
        <v>95</v>
      </c>
      <c r="F3365" t="s">
        <v>9</v>
      </c>
      <c r="G3365" t="s">
        <v>3517</v>
      </c>
      <c r="H3365" s="7">
        <v>725</v>
      </c>
    </row>
    <row r="3366" spans="1:8" x14ac:dyDescent="0.3">
      <c r="A3366">
        <v>16610</v>
      </c>
      <c r="B3366" t="s">
        <v>1793</v>
      </c>
      <c r="C3366" t="s">
        <v>3062</v>
      </c>
      <c r="D3366" t="s">
        <v>53</v>
      </c>
      <c r="E3366" t="s">
        <v>95</v>
      </c>
      <c r="F3366" t="s">
        <v>21</v>
      </c>
      <c r="G3366" t="s">
        <v>2446</v>
      </c>
      <c r="H3366" s="7">
        <v>94110</v>
      </c>
    </row>
    <row r="3367" spans="1:8" x14ac:dyDescent="0.3">
      <c r="A3367">
        <v>16613</v>
      </c>
      <c r="B3367" t="s">
        <v>665</v>
      </c>
      <c r="C3367" t="s">
        <v>4892</v>
      </c>
      <c r="D3367" t="s">
        <v>1158</v>
      </c>
      <c r="E3367" t="s">
        <v>8</v>
      </c>
      <c r="F3367" t="s">
        <v>283</v>
      </c>
      <c r="G3367" t="s">
        <v>2647</v>
      </c>
      <c r="H3367" s="7">
        <v>23322</v>
      </c>
    </row>
    <row r="3368" spans="1:8" x14ac:dyDescent="0.3">
      <c r="A3368">
        <v>16614</v>
      </c>
      <c r="B3368" t="s">
        <v>1313</v>
      </c>
      <c r="C3368" t="s">
        <v>3561</v>
      </c>
      <c r="D3368" t="s">
        <v>1616</v>
      </c>
      <c r="E3368" t="s">
        <v>27</v>
      </c>
      <c r="F3368" t="s">
        <v>448</v>
      </c>
      <c r="G3368" t="s">
        <v>5119</v>
      </c>
      <c r="H3368" s="7">
        <v>33147</v>
      </c>
    </row>
    <row r="3369" spans="1:8" x14ac:dyDescent="0.3">
      <c r="A3369">
        <v>16618</v>
      </c>
      <c r="B3369" t="s">
        <v>5</v>
      </c>
      <c r="C3369" t="s">
        <v>4268</v>
      </c>
      <c r="D3369" t="s">
        <v>152</v>
      </c>
      <c r="E3369" t="s">
        <v>8</v>
      </c>
      <c r="F3369" t="s">
        <v>9</v>
      </c>
      <c r="G3369" t="s">
        <v>3782</v>
      </c>
      <c r="H3369" s="7">
        <v>725</v>
      </c>
    </row>
    <row r="3370" spans="1:8" x14ac:dyDescent="0.3">
      <c r="A3370">
        <v>16626</v>
      </c>
      <c r="B3370" t="s">
        <v>984</v>
      </c>
      <c r="C3370" t="s">
        <v>1546</v>
      </c>
      <c r="D3370" t="s">
        <v>3228</v>
      </c>
      <c r="E3370" t="s">
        <v>8</v>
      </c>
      <c r="F3370" t="s">
        <v>986</v>
      </c>
      <c r="G3370" t="s">
        <v>987</v>
      </c>
      <c r="H3370" s="7">
        <v>2895</v>
      </c>
    </row>
    <row r="3371" spans="1:8" x14ac:dyDescent="0.3">
      <c r="A3371">
        <v>16630</v>
      </c>
      <c r="B3371" t="s">
        <v>5</v>
      </c>
      <c r="C3371" t="s">
        <v>484</v>
      </c>
      <c r="D3371" t="s">
        <v>485</v>
      </c>
      <c r="E3371" t="s">
        <v>95</v>
      </c>
      <c r="F3371" t="s">
        <v>9</v>
      </c>
      <c r="G3371" t="s">
        <v>486</v>
      </c>
      <c r="H3371" s="7">
        <v>725</v>
      </c>
    </row>
    <row r="3372" spans="1:8" x14ac:dyDescent="0.3">
      <c r="A3372">
        <v>16633</v>
      </c>
      <c r="B3372" t="s">
        <v>5</v>
      </c>
      <c r="C3372" t="s">
        <v>211</v>
      </c>
      <c r="D3372" t="s">
        <v>481</v>
      </c>
      <c r="E3372" t="s">
        <v>95</v>
      </c>
      <c r="F3372" t="s">
        <v>9</v>
      </c>
      <c r="G3372" t="s">
        <v>482</v>
      </c>
      <c r="H3372" s="7">
        <v>725</v>
      </c>
    </row>
    <row r="3373" spans="1:8" x14ac:dyDescent="0.3">
      <c r="A3373">
        <v>16652</v>
      </c>
      <c r="B3373" t="s">
        <v>508</v>
      </c>
      <c r="C3373" t="s">
        <v>126</v>
      </c>
      <c r="D3373" t="s">
        <v>1666</v>
      </c>
      <c r="E3373" t="s">
        <v>27</v>
      </c>
      <c r="F3373" t="s">
        <v>114</v>
      </c>
      <c r="G3373" t="s">
        <v>2784</v>
      </c>
      <c r="H3373" s="7">
        <v>75287</v>
      </c>
    </row>
    <row r="3374" spans="1:8" x14ac:dyDescent="0.3">
      <c r="A3374">
        <v>16653</v>
      </c>
      <c r="B3374" t="s">
        <v>401</v>
      </c>
      <c r="C3374" t="s">
        <v>402</v>
      </c>
      <c r="D3374" t="s">
        <v>403</v>
      </c>
      <c r="E3374" t="s">
        <v>27</v>
      </c>
      <c r="F3374" t="s">
        <v>341</v>
      </c>
      <c r="G3374" t="s">
        <v>404</v>
      </c>
      <c r="H3374" s="7">
        <v>27834</v>
      </c>
    </row>
    <row r="3375" spans="1:8" x14ac:dyDescent="0.3">
      <c r="A3375">
        <v>16654</v>
      </c>
      <c r="B3375" t="s">
        <v>5</v>
      </c>
      <c r="C3375" t="s">
        <v>2005</v>
      </c>
      <c r="D3375" t="s">
        <v>4222</v>
      </c>
      <c r="E3375" t="s">
        <v>95</v>
      </c>
      <c r="F3375" t="s">
        <v>9</v>
      </c>
      <c r="G3375" t="s">
        <v>4090</v>
      </c>
      <c r="H3375" s="7">
        <v>725</v>
      </c>
    </row>
    <row r="3376" spans="1:8" x14ac:dyDescent="0.3">
      <c r="A3376">
        <v>16655</v>
      </c>
      <c r="B3376" t="s">
        <v>396</v>
      </c>
      <c r="C3376" t="s">
        <v>397</v>
      </c>
      <c r="D3376" t="s">
        <v>398</v>
      </c>
      <c r="E3376" t="s">
        <v>8</v>
      </c>
      <c r="F3376" t="s">
        <v>248</v>
      </c>
      <c r="G3376" t="s">
        <v>399</v>
      </c>
      <c r="H3376" s="7">
        <v>45011</v>
      </c>
    </row>
    <row r="3377" spans="1:8" x14ac:dyDescent="0.3">
      <c r="A3377">
        <v>16657</v>
      </c>
      <c r="B3377" t="s">
        <v>174</v>
      </c>
      <c r="C3377" t="s">
        <v>2574</v>
      </c>
      <c r="D3377" t="s">
        <v>1591</v>
      </c>
      <c r="E3377" t="s">
        <v>8</v>
      </c>
      <c r="F3377" t="s">
        <v>21</v>
      </c>
      <c r="G3377" t="s">
        <v>4220</v>
      </c>
      <c r="H3377" s="7">
        <v>90003</v>
      </c>
    </row>
    <row r="3378" spans="1:8" x14ac:dyDescent="0.3">
      <c r="A3378">
        <v>16663</v>
      </c>
      <c r="B3378" t="s">
        <v>5</v>
      </c>
      <c r="C3378" t="s">
        <v>1989</v>
      </c>
      <c r="D3378" t="s">
        <v>2700</v>
      </c>
      <c r="E3378" t="s">
        <v>27</v>
      </c>
      <c r="F3378" t="s">
        <v>9</v>
      </c>
      <c r="G3378" t="s">
        <v>1049</v>
      </c>
      <c r="H3378" s="7">
        <v>725</v>
      </c>
    </row>
    <row r="3379" spans="1:8" x14ac:dyDescent="0.3">
      <c r="A3379">
        <v>16664</v>
      </c>
      <c r="B3379" t="s">
        <v>1899</v>
      </c>
      <c r="C3379" t="s">
        <v>1294</v>
      </c>
      <c r="D3379" t="s">
        <v>4218</v>
      </c>
      <c r="E3379" t="s">
        <v>27</v>
      </c>
      <c r="F3379" t="s">
        <v>381</v>
      </c>
      <c r="G3379" t="s">
        <v>4219</v>
      </c>
      <c r="H3379" s="7">
        <v>48224</v>
      </c>
    </row>
    <row r="3380" spans="1:8" x14ac:dyDescent="0.3">
      <c r="A3380">
        <v>16675</v>
      </c>
      <c r="B3380" t="s">
        <v>699</v>
      </c>
      <c r="C3380" t="s">
        <v>3470</v>
      </c>
      <c r="D3380" t="s">
        <v>1873</v>
      </c>
      <c r="E3380" t="s">
        <v>8</v>
      </c>
      <c r="F3380" t="s">
        <v>114</v>
      </c>
      <c r="G3380" t="s">
        <v>4212</v>
      </c>
      <c r="H3380" s="7">
        <v>77083</v>
      </c>
    </row>
    <row r="3381" spans="1:8" x14ac:dyDescent="0.3">
      <c r="A3381">
        <v>16677</v>
      </c>
      <c r="B3381" t="s">
        <v>392</v>
      </c>
      <c r="C3381" t="s">
        <v>393</v>
      </c>
      <c r="D3381" t="s">
        <v>394</v>
      </c>
      <c r="E3381" t="s">
        <v>8</v>
      </c>
      <c r="F3381" t="s">
        <v>21</v>
      </c>
      <c r="G3381" t="s">
        <v>395</v>
      </c>
      <c r="H3381" s="7">
        <v>94015</v>
      </c>
    </row>
    <row r="3382" spans="1:8" x14ac:dyDescent="0.3">
      <c r="A3382">
        <v>16678</v>
      </c>
      <c r="B3382" t="s">
        <v>388</v>
      </c>
      <c r="C3382" t="s">
        <v>389</v>
      </c>
      <c r="D3382" t="s">
        <v>390</v>
      </c>
      <c r="E3382" t="s">
        <v>8</v>
      </c>
      <c r="F3382" t="s">
        <v>308</v>
      </c>
      <c r="G3382" t="s">
        <v>391</v>
      </c>
      <c r="H3382" s="7">
        <v>7052</v>
      </c>
    </row>
    <row r="3383" spans="1:8" x14ac:dyDescent="0.3">
      <c r="A3383">
        <v>16688</v>
      </c>
      <c r="B3383" t="s">
        <v>2874</v>
      </c>
      <c r="C3383" t="s">
        <v>121</v>
      </c>
      <c r="D3383" t="s">
        <v>4206</v>
      </c>
      <c r="E3383" t="s">
        <v>8</v>
      </c>
      <c r="F3383" t="s">
        <v>248</v>
      </c>
      <c r="G3383" t="s">
        <v>3015</v>
      </c>
      <c r="H3383" s="7">
        <v>45044</v>
      </c>
    </row>
    <row r="3384" spans="1:8" x14ac:dyDescent="0.3">
      <c r="A3384">
        <v>16696</v>
      </c>
      <c r="B3384" t="s">
        <v>384</v>
      </c>
      <c r="C3384" t="s">
        <v>385</v>
      </c>
      <c r="D3384" t="s">
        <v>386</v>
      </c>
      <c r="E3384" t="s">
        <v>8</v>
      </c>
      <c r="F3384" t="s">
        <v>283</v>
      </c>
      <c r="G3384" t="s">
        <v>387</v>
      </c>
      <c r="H3384" s="7">
        <v>22554</v>
      </c>
    </row>
    <row r="3385" spans="1:8" x14ac:dyDescent="0.3">
      <c r="A3385">
        <v>16697</v>
      </c>
      <c r="B3385" t="s">
        <v>379</v>
      </c>
      <c r="C3385" t="s">
        <v>160</v>
      </c>
      <c r="D3385" t="s">
        <v>380</v>
      </c>
      <c r="E3385" t="s">
        <v>8</v>
      </c>
      <c r="F3385" t="s">
        <v>381</v>
      </c>
      <c r="G3385" t="s">
        <v>382</v>
      </c>
      <c r="H3385" s="7">
        <v>48187</v>
      </c>
    </row>
    <row r="3386" spans="1:8" x14ac:dyDescent="0.3">
      <c r="A3386">
        <v>16700</v>
      </c>
      <c r="B3386" t="s">
        <v>254</v>
      </c>
      <c r="C3386" t="s">
        <v>1797</v>
      </c>
      <c r="D3386" t="s">
        <v>2575</v>
      </c>
      <c r="E3386" t="s">
        <v>8</v>
      </c>
      <c r="F3386" t="s">
        <v>55</v>
      </c>
      <c r="G3386" t="s">
        <v>4186</v>
      </c>
      <c r="H3386" s="7">
        <v>60651</v>
      </c>
    </row>
    <row r="3387" spans="1:8" x14ac:dyDescent="0.3">
      <c r="A3387">
        <v>16710</v>
      </c>
      <c r="B3387" t="s">
        <v>5</v>
      </c>
      <c r="C3387" t="s">
        <v>662</v>
      </c>
      <c r="D3387" t="s">
        <v>1964</v>
      </c>
      <c r="E3387" t="s">
        <v>27</v>
      </c>
      <c r="F3387" t="s">
        <v>9</v>
      </c>
      <c r="G3387" t="s">
        <v>4182</v>
      </c>
      <c r="H3387" s="7">
        <v>725</v>
      </c>
    </row>
    <row r="3388" spans="1:8" x14ac:dyDescent="0.3">
      <c r="A3388">
        <v>16726</v>
      </c>
      <c r="B3388" t="s">
        <v>5</v>
      </c>
      <c r="C3388" t="s">
        <v>374</v>
      </c>
      <c r="D3388" t="s">
        <v>375</v>
      </c>
      <c r="E3388" t="s">
        <v>27</v>
      </c>
      <c r="F3388" t="s">
        <v>9</v>
      </c>
      <c r="G3388" t="s">
        <v>320</v>
      </c>
      <c r="H3388" s="7">
        <v>725</v>
      </c>
    </row>
    <row r="3389" spans="1:8" x14ac:dyDescent="0.3">
      <c r="A3389">
        <v>16730</v>
      </c>
      <c r="B3389" t="s">
        <v>267</v>
      </c>
      <c r="C3389" t="s">
        <v>371</v>
      </c>
      <c r="D3389" t="s">
        <v>372</v>
      </c>
      <c r="E3389" t="s">
        <v>27</v>
      </c>
      <c r="F3389" t="s">
        <v>114</v>
      </c>
      <c r="G3389" t="s">
        <v>373</v>
      </c>
      <c r="H3389" s="7">
        <v>78521</v>
      </c>
    </row>
    <row r="3390" spans="1:8" x14ac:dyDescent="0.3">
      <c r="A3390">
        <v>16731</v>
      </c>
      <c r="B3390" t="s">
        <v>368</v>
      </c>
      <c r="C3390" t="s">
        <v>369</v>
      </c>
      <c r="D3390" t="s">
        <v>181</v>
      </c>
      <c r="E3390" t="s">
        <v>27</v>
      </c>
      <c r="F3390" t="s">
        <v>88</v>
      </c>
      <c r="G3390" t="s">
        <v>370</v>
      </c>
      <c r="H3390" s="7">
        <v>10029</v>
      </c>
    </row>
    <row r="3391" spans="1:8" x14ac:dyDescent="0.3">
      <c r="A3391">
        <v>16737</v>
      </c>
      <c r="B3391" t="s">
        <v>997</v>
      </c>
      <c r="C3391" t="s">
        <v>4198</v>
      </c>
      <c r="D3391" t="s">
        <v>3471</v>
      </c>
      <c r="E3391" t="s">
        <v>8</v>
      </c>
      <c r="F3391" t="s">
        <v>2654</v>
      </c>
      <c r="G3391" t="s">
        <v>4173</v>
      </c>
      <c r="H3391" s="7">
        <v>19711</v>
      </c>
    </row>
    <row r="3392" spans="1:8" x14ac:dyDescent="0.3">
      <c r="A3392">
        <v>16743</v>
      </c>
      <c r="B3392" t="s">
        <v>5</v>
      </c>
      <c r="C3392" t="s">
        <v>1247</v>
      </c>
      <c r="D3392" t="s">
        <v>64</v>
      </c>
      <c r="E3392" t="s">
        <v>8</v>
      </c>
      <c r="F3392" t="s">
        <v>9</v>
      </c>
      <c r="G3392" t="s">
        <v>312</v>
      </c>
      <c r="H3392" s="7">
        <v>725</v>
      </c>
    </row>
    <row r="3393" spans="1:8" x14ac:dyDescent="0.3">
      <c r="A3393">
        <v>16748</v>
      </c>
      <c r="B3393" t="s">
        <v>174</v>
      </c>
      <c r="C3393" t="s">
        <v>365</v>
      </c>
      <c r="D3393" t="s">
        <v>366</v>
      </c>
      <c r="E3393" t="s">
        <v>27</v>
      </c>
      <c r="F3393" t="s">
        <v>21</v>
      </c>
      <c r="G3393" t="s">
        <v>367</v>
      </c>
      <c r="H3393" s="7">
        <v>90043</v>
      </c>
    </row>
    <row r="3394" spans="1:8" x14ac:dyDescent="0.3">
      <c r="A3394">
        <v>16749</v>
      </c>
      <c r="B3394" t="s">
        <v>5</v>
      </c>
      <c r="C3394" t="s">
        <v>362</v>
      </c>
      <c r="D3394" t="s">
        <v>363</v>
      </c>
      <c r="E3394" t="s">
        <v>27</v>
      </c>
      <c r="F3394" t="s">
        <v>9</v>
      </c>
      <c r="G3394" t="s">
        <v>364</v>
      </c>
      <c r="H3394" s="7">
        <v>725</v>
      </c>
    </row>
    <row r="3395" spans="1:8" x14ac:dyDescent="0.3">
      <c r="A3395">
        <v>16754</v>
      </c>
      <c r="B3395" t="s">
        <v>638</v>
      </c>
      <c r="C3395" t="s">
        <v>3674</v>
      </c>
      <c r="D3395" t="s">
        <v>1470</v>
      </c>
      <c r="E3395" t="s">
        <v>8</v>
      </c>
      <c r="F3395" t="s">
        <v>114</v>
      </c>
      <c r="G3395" t="s">
        <v>782</v>
      </c>
      <c r="H3395" s="7">
        <v>78586</v>
      </c>
    </row>
    <row r="3396" spans="1:8" x14ac:dyDescent="0.3">
      <c r="A3396">
        <v>16755</v>
      </c>
      <c r="B3396" t="s">
        <v>1092</v>
      </c>
      <c r="C3396" t="s">
        <v>1604</v>
      </c>
      <c r="D3396" t="s">
        <v>4193</v>
      </c>
      <c r="E3396" t="s">
        <v>8</v>
      </c>
      <c r="F3396" t="s">
        <v>448</v>
      </c>
      <c r="G3396" t="s">
        <v>4167</v>
      </c>
      <c r="H3396" s="7">
        <v>33624</v>
      </c>
    </row>
    <row r="3397" spans="1:8" x14ac:dyDescent="0.3">
      <c r="A3397">
        <v>16764</v>
      </c>
      <c r="B3397" t="s">
        <v>358</v>
      </c>
      <c r="C3397" t="s">
        <v>359</v>
      </c>
      <c r="D3397" t="s">
        <v>360</v>
      </c>
      <c r="E3397" t="s">
        <v>8</v>
      </c>
      <c r="F3397" t="s">
        <v>248</v>
      </c>
      <c r="G3397" t="s">
        <v>361</v>
      </c>
      <c r="H3397" s="7">
        <v>44035</v>
      </c>
    </row>
    <row r="3398" spans="1:8" x14ac:dyDescent="0.3">
      <c r="A3398">
        <v>16765</v>
      </c>
      <c r="B3398" t="s">
        <v>354</v>
      </c>
      <c r="C3398" t="s">
        <v>355</v>
      </c>
      <c r="D3398" t="s">
        <v>282</v>
      </c>
      <c r="E3398" t="s">
        <v>95</v>
      </c>
      <c r="F3398" t="s">
        <v>88</v>
      </c>
      <c r="G3398" t="s">
        <v>356</v>
      </c>
      <c r="H3398" s="7">
        <v>11757</v>
      </c>
    </row>
    <row r="3399" spans="1:8" x14ac:dyDescent="0.3">
      <c r="A3399">
        <v>16766</v>
      </c>
      <c r="B3399" t="s">
        <v>5</v>
      </c>
      <c r="C3399" t="s">
        <v>4192</v>
      </c>
      <c r="D3399" t="s">
        <v>842</v>
      </c>
      <c r="E3399" t="s">
        <v>95</v>
      </c>
      <c r="F3399" t="s">
        <v>9</v>
      </c>
      <c r="G3399" t="s">
        <v>4001</v>
      </c>
      <c r="H3399" s="7">
        <v>725</v>
      </c>
    </row>
    <row r="3400" spans="1:8" x14ac:dyDescent="0.3">
      <c r="A3400">
        <v>16767</v>
      </c>
      <c r="B3400" t="s">
        <v>351</v>
      </c>
      <c r="C3400" t="s">
        <v>352</v>
      </c>
      <c r="D3400" t="s">
        <v>212</v>
      </c>
      <c r="E3400" t="s">
        <v>8</v>
      </c>
      <c r="F3400" t="s">
        <v>9</v>
      </c>
      <c r="G3400" t="s">
        <v>353</v>
      </c>
      <c r="H3400" s="7">
        <v>791</v>
      </c>
    </row>
    <row r="3401" spans="1:8" x14ac:dyDescent="0.3">
      <c r="A3401">
        <v>16768</v>
      </c>
      <c r="B3401" t="s">
        <v>347</v>
      </c>
      <c r="C3401" t="s">
        <v>348</v>
      </c>
      <c r="D3401" t="s">
        <v>349</v>
      </c>
      <c r="E3401" t="s">
        <v>8</v>
      </c>
      <c r="F3401" t="s">
        <v>108</v>
      </c>
      <c r="G3401" t="s">
        <v>350</v>
      </c>
      <c r="H3401" s="7">
        <v>97321</v>
      </c>
    </row>
    <row r="3402" spans="1:8" x14ac:dyDescent="0.3">
      <c r="A3402">
        <v>16769</v>
      </c>
      <c r="B3402" t="s">
        <v>343</v>
      </c>
      <c r="C3402" t="s">
        <v>344</v>
      </c>
      <c r="D3402" t="s">
        <v>345</v>
      </c>
      <c r="E3402" t="s">
        <v>8</v>
      </c>
      <c r="F3402" t="s">
        <v>248</v>
      </c>
      <c r="G3402" t="s">
        <v>346</v>
      </c>
      <c r="H3402" s="7">
        <v>43228</v>
      </c>
    </row>
    <row r="3403" spans="1:8" x14ac:dyDescent="0.3">
      <c r="A3403">
        <v>16770</v>
      </c>
      <c r="B3403" t="s">
        <v>338</v>
      </c>
      <c r="C3403" t="s">
        <v>339</v>
      </c>
      <c r="D3403" t="s">
        <v>340</v>
      </c>
      <c r="E3403" t="s">
        <v>8</v>
      </c>
      <c r="F3403" t="s">
        <v>341</v>
      </c>
      <c r="G3403" t="s">
        <v>342</v>
      </c>
      <c r="H3403" s="7">
        <v>28645</v>
      </c>
    </row>
    <row r="3404" spans="1:8" x14ac:dyDescent="0.3">
      <c r="A3404">
        <v>16771</v>
      </c>
      <c r="B3404" t="s">
        <v>5</v>
      </c>
      <c r="C3404" t="s">
        <v>335</v>
      </c>
      <c r="D3404" t="s">
        <v>336</v>
      </c>
      <c r="E3404" t="s">
        <v>27</v>
      </c>
      <c r="F3404" t="s">
        <v>9</v>
      </c>
      <c r="G3404" t="s">
        <v>337</v>
      </c>
      <c r="H3404" s="7">
        <v>725</v>
      </c>
    </row>
    <row r="3405" spans="1:8" x14ac:dyDescent="0.3">
      <c r="A3405">
        <v>16772</v>
      </c>
      <c r="B3405" t="s">
        <v>331</v>
      </c>
      <c r="C3405" t="s">
        <v>332</v>
      </c>
      <c r="D3405" t="s">
        <v>333</v>
      </c>
      <c r="E3405" t="s">
        <v>27</v>
      </c>
      <c r="F3405" t="s">
        <v>21</v>
      </c>
      <c r="G3405" t="s">
        <v>334</v>
      </c>
      <c r="H3405" s="7">
        <v>91702</v>
      </c>
    </row>
    <row r="3406" spans="1:8" x14ac:dyDescent="0.3">
      <c r="A3406">
        <v>16773</v>
      </c>
      <c r="B3406" t="s">
        <v>5</v>
      </c>
      <c r="C3406" t="s">
        <v>328</v>
      </c>
      <c r="D3406" t="s">
        <v>329</v>
      </c>
      <c r="E3406" t="s">
        <v>8</v>
      </c>
      <c r="F3406" t="s">
        <v>9</v>
      </c>
      <c r="G3406" t="s">
        <v>330</v>
      </c>
      <c r="H3406" s="7">
        <v>725</v>
      </c>
    </row>
    <row r="3407" spans="1:8" x14ac:dyDescent="0.3">
      <c r="A3407">
        <v>16774</v>
      </c>
      <c r="B3407" t="s">
        <v>324</v>
      </c>
      <c r="C3407" t="s">
        <v>325</v>
      </c>
      <c r="D3407" t="s">
        <v>82</v>
      </c>
      <c r="E3407" t="s">
        <v>8</v>
      </c>
      <c r="F3407" t="s">
        <v>21</v>
      </c>
      <c r="G3407" t="s">
        <v>326</v>
      </c>
      <c r="H3407" s="7">
        <v>95020</v>
      </c>
    </row>
    <row r="3408" spans="1:8" x14ac:dyDescent="0.3">
      <c r="A3408">
        <v>16777</v>
      </c>
      <c r="B3408" t="s">
        <v>3996</v>
      </c>
      <c r="C3408" t="s">
        <v>1930</v>
      </c>
      <c r="D3408" t="s">
        <v>5203</v>
      </c>
      <c r="E3408" t="s">
        <v>8</v>
      </c>
      <c r="F3408" t="s">
        <v>88</v>
      </c>
      <c r="G3408" t="s">
        <v>3997</v>
      </c>
      <c r="H3408" s="7">
        <v>11550</v>
      </c>
    </row>
    <row r="3409" spans="1:8" x14ac:dyDescent="0.3">
      <c r="A3409">
        <v>16794</v>
      </c>
      <c r="B3409" t="s">
        <v>5</v>
      </c>
      <c r="C3409" t="s">
        <v>1112</v>
      </c>
      <c r="D3409" t="s">
        <v>1416</v>
      </c>
      <c r="E3409" t="s">
        <v>8</v>
      </c>
      <c r="F3409" t="s">
        <v>9</v>
      </c>
      <c r="G3409" t="s">
        <v>185</v>
      </c>
      <c r="H3409" s="7">
        <v>725</v>
      </c>
    </row>
    <row r="3410" spans="1:8" x14ac:dyDescent="0.3">
      <c r="A3410">
        <v>16800</v>
      </c>
      <c r="B3410" t="s">
        <v>174</v>
      </c>
      <c r="C3410" t="s">
        <v>1532</v>
      </c>
      <c r="D3410" t="s">
        <v>4231</v>
      </c>
      <c r="E3410" t="s">
        <v>8</v>
      </c>
      <c r="F3410" t="s">
        <v>21</v>
      </c>
      <c r="G3410" t="s">
        <v>1322</v>
      </c>
      <c r="H3410" s="7">
        <v>90042</v>
      </c>
    </row>
    <row r="3411" spans="1:8" x14ac:dyDescent="0.3">
      <c r="A3411">
        <v>16808</v>
      </c>
      <c r="B3411" t="s">
        <v>5</v>
      </c>
      <c r="C3411" t="s">
        <v>188</v>
      </c>
      <c r="D3411" t="s">
        <v>1475</v>
      </c>
      <c r="E3411" t="s">
        <v>8</v>
      </c>
      <c r="F3411" t="s">
        <v>9</v>
      </c>
      <c r="G3411" t="s">
        <v>168</v>
      </c>
      <c r="H3411" s="7">
        <v>725</v>
      </c>
    </row>
    <row r="3412" spans="1:8" x14ac:dyDescent="0.3">
      <c r="A3412">
        <v>16814</v>
      </c>
      <c r="B3412" t="s">
        <v>5</v>
      </c>
      <c r="C3412" t="s">
        <v>5271</v>
      </c>
      <c r="D3412" t="s">
        <v>1675</v>
      </c>
      <c r="E3412" t="s">
        <v>27</v>
      </c>
      <c r="F3412" t="s">
        <v>9</v>
      </c>
      <c r="G3412" t="s">
        <v>3982</v>
      </c>
      <c r="H3412" s="7">
        <v>725</v>
      </c>
    </row>
    <row r="3413" spans="1:8" x14ac:dyDescent="0.3">
      <c r="A3413">
        <v>16817</v>
      </c>
      <c r="B3413" t="s">
        <v>254</v>
      </c>
      <c r="C3413" t="s">
        <v>1526</v>
      </c>
      <c r="D3413" t="s">
        <v>363</v>
      </c>
      <c r="E3413" t="s">
        <v>27</v>
      </c>
      <c r="F3413" t="s">
        <v>55</v>
      </c>
      <c r="G3413" t="s">
        <v>3981</v>
      </c>
      <c r="H3413" s="7">
        <v>60637</v>
      </c>
    </row>
    <row r="3414" spans="1:8" x14ac:dyDescent="0.3">
      <c r="A3414">
        <v>16819</v>
      </c>
      <c r="B3414" t="s">
        <v>842</v>
      </c>
      <c r="C3414" t="s">
        <v>5439</v>
      </c>
      <c r="D3414" t="s">
        <v>4155</v>
      </c>
      <c r="E3414" t="s">
        <v>27</v>
      </c>
      <c r="F3414" t="s">
        <v>381</v>
      </c>
      <c r="G3414" t="s">
        <v>3979</v>
      </c>
      <c r="H3414" s="7">
        <v>48180</v>
      </c>
    </row>
    <row r="3415" spans="1:8" x14ac:dyDescent="0.3">
      <c r="A3415">
        <v>16823</v>
      </c>
      <c r="B3415" t="s">
        <v>593</v>
      </c>
      <c r="C3415" t="s">
        <v>71</v>
      </c>
      <c r="D3415" t="s">
        <v>319</v>
      </c>
      <c r="E3415" t="s">
        <v>8</v>
      </c>
      <c r="F3415" t="s">
        <v>9</v>
      </c>
      <c r="G3415" t="s">
        <v>2433</v>
      </c>
      <c r="H3415" s="7">
        <v>745</v>
      </c>
    </row>
    <row r="3416" spans="1:8" x14ac:dyDescent="0.3">
      <c r="A3416">
        <v>16824</v>
      </c>
      <c r="B3416" t="s">
        <v>2429</v>
      </c>
      <c r="C3416" t="s">
        <v>2430</v>
      </c>
      <c r="D3416" t="s">
        <v>2431</v>
      </c>
      <c r="E3416" t="s">
        <v>8</v>
      </c>
      <c r="F3416" t="s">
        <v>381</v>
      </c>
      <c r="G3416" t="s">
        <v>2432</v>
      </c>
      <c r="H3416" s="7">
        <v>49423</v>
      </c>
    </row>
    <row r="3417" spans="1:8" x14ac:dyDescent="0.3">
      <c r="A3417">
        <v>16825</v>
      </c>
      <c r="B3417" t="s">
        <v>5</v>
      </c>
      <c r="C3417" t="s">
        <v>2426</v>
      </c>
      <c r="D3417" t="s">
        <v>2427</v>
      </c>
      <c r="E3417" t="s">
        <v>8</v>
      </c>
      <c r="F3417" t="s">
        <v>9</v>
      </c>
      <c r="G3417" t="s">
        <v>2428</v>
      </c>
      <c r="H3417" s="7">
        <v>725</v>
      </c>
    </row>
    <row r="3418" spans="1:8" x14ac:dyDescent="0.3">
      <c r="A3418">
        <v>16833</v>
      </c>
      <c r="B3418" t="s">
        <v>59</v>
      </c>
      <c r="C3418" t="s">
        <v>1532</v>
      </c>
      <c r="D3418" t="s">
        <v>581</v>
      </c>
      <c r="E3418" t="s">
        <v>27</v>
      </c>
      <c r="F3418" t="s">
        <v>21</v>
      </c>
      <c r="G3418" t="s">
        <v>2425</v>
      </c>
      <c r="H3418" s="7">
        <v>90813</v>
      </c>
    </row>
    <row r="3419" spans="1:8" x14ac:dyDescent="0.3">
      <c r="A3419">
        <v>16834</v>
      </c>
      <c r="B3419" t="s">
        <v>331</v>
      </c>
      <c r="C3419" t="s">
        <v>5563</v>
      </c>
      <c r="D3419" t="s">
        <v>891</v>
      </c>
      <c r="E3419" t="s">
        <v>27</v>
      </c>
      <c r="F3419" t="s">
        <v>21</v>
      </c>
      <c r="G3419" t="s">
        <v>3946</v>
      </c>
      <c r="H3419" s="7">
        <v>91702</v>
      </c>
    </row>
    <row r="3420" spans="1:8" x14ac:dyDescent="0.3">
      <c r="A3420">
        <v>16837</v>
      </c>
      <c r="B3420" t="s">
        <v>137</v>
      </c>
      <c r="C3420" t="s">
        <v>2424</v>
      </c>
      <c r="D3420" t="s">
        <v>1699</v>
      </c>
      <c r="E3420" t="s">
        <v>8</v>
      </c>
      <c r="F3420" t="s">
        <v>140</v>
      </c>
      <c r="G3420" t="s">
        <v>141</v>
      </c>
      <c r="H3420" s="7">
        <v>30047</v>
      </c>
    </row>
    <row r="3421" spans="1:8" x14ac:dyDescent="0.3">
      <c r="A3421">
        <v>16838</v>
      </c>
      <c r="B3421" t="s">
        <v>131</v>
      </c>
      <c r="C3421" t="s">
        <v>1366</v>
      </c>
      <c r="D3421" t="s">
        <v>61</v>
      </c>
      <c r="E3421" t="s">
        <v>27</v>
      </c>
      <c r="F3421" t="s">
        <v>134</v>
      </c>
      <c r="G3421" t="s">
        <v>135</v>
      </c>
      <c r="H3421" s="7">
        <v>96817</v>
      </c>
    </row>
    <row r="3422" spans="1:8" x14ac:dyDescent="0.3">
      <c r="A3422">
        <v>16839</v>
      </c>
      <c r="B3422" t="s">
        <v>2422</v>
      </c>
      <c r="C3422" t="s">
        <v>151</v>
      </c>
      <c r="D3422" t="s">
        <v>193</v>
      </c>
      <c r="E3422" t="s">
        <v>8</v>
      </c>
      <c r="F3422" t="s">
        <v>1876</v>
      </c>
      <c r="G3422" t="s">
        <v>2423</v>
      </c>
      <c r="H3422" s="7">
        <v>58501</v>
      </c>
    </row>
    <row r="3423" spans="1:8" x14ac:dyDescent="0.3">
      <c r="A3423">
        <v>16842</v>
      </c>
      <c r="B3423" t="s">
        <v>5</v>
      </c>
      <c r="C3423" t="s">
        <v>5434</v>
      </c>
      <c r="D3423" t="s">
        <v>3347</v>
      </c>
      <c r="E3423" t="s">
        <v>27</v>
      </c>
      <c r="F3423" t="s">
        <v>9</v>
      </c>
      <c r="G3423" t="s">
        <v>2967</v>
      </c>
      <c r="H3423" s="7">
        <v>725</v>
      </c>
    </row>
    <row r="3424" spans="1:8" x14ac:dyDescent="0.3">
      <c r="A3424">
        <v>16845</v>
      </c>
      <c r="B3424" t="s">
        <v>195</v>
      </c>
      <c r="C3424" t="s">
        <v>1543</v>
      </c>
      <c r="D3424" t="s">
        <v>3543</v>
      </c>
      <c r="E3424" t="s">
        <v>95</v>
      </c>
      <c r="F3424" t="s">
        <v>21</v>
      </c>
      <c r="G3424" t="s">
        <v>3974</v>
      </c>
      <c r="H3424" s="7">
        <v>92840</v>
      </c>
    </row>
    <row r="3425" spans="1:8" x14ac:dyDescent="0.3">
      <c r="A3425">
        <v>16849</v>
      </c>
      <c r="B3425" t="s">
        <v>287</v>
      </c>
      <c r="C3425" t="s">
        <v>2420</v>
      </c>
      <c r="D3425" t="s">
        <v>1303</v>
      </c>
      <c r="E3425" t="s">
        <v>8</v>
      </c>
      <c r="F3425" t="s">
        <v>114</v>
      </c>
      <c r="G3425" t="s">
        <v>2421</v>
      </c>
      <c r="H3425" s="7">
        <v>77478</v>
      </c>
    </row>
    <row r="3426" spans="1:8" x14ac:dyDescent="0.3">
      <c r="A3426">
        <v>16850</v>
      </c>
      <c r="B3426" t="s">
        <v>1162</v>
      </c>
      <c r="C3426" t="s">
        <v>2417</v>
      </c>
      <c r="D3426" t="s">
        <v>2418</v>
      </c>
      <c r="E3426" t="s">
        <v>8</v>
      </c>
      <c r="F3426" t="s">
        <v>21</v>
      </c>
      <c r="G3426" t="s">
        <v>2419</v>
      </c>
      <c r="H3426" s="7">
        <v>94087</v>
      </c>
    </row>
    <row r="3427" spans="1:8" x14ac:dyDescent="0.3">
      <c r="A3427">
        <v>16851</v>
      </c>
      <c r="B3427" t="s">
        <v>5</v>
      </c>
      <c r="C3427" t="s">
        <v>1572</v>
      </c>
      <c r="D3427" t="s">
        <v>578</v>
      </c>
      <c r="E3427" t="s">
        <v>27</v>
      </c>
      <c r="F3427" t="s">
        <v>9</v>
      </c>
      <c r="G3427" t="s">
        <v>128</v>
      </c>
      <c r="H3427" s="7">
        <v>725</v>
      </c>
    </row>
    <row r="3428" spans="1:8" x14ac:dyDescent="0.3">
      <c r="A3428">
        <v>16853</v>
      </c>
      <c r="B3428" t="s">
        <v>85</v>
      </c>
      <c r="C3428" t="s">
        <v>2567</v>
      </c>
      <c r="D3428" t="s">
        <v>2234</v>
      </c>
      <c r="E3428" t="s">
        <v>95</v>
      </c>
      <c r="F3428" t="s">
        <v>88</v>
      </c>
      <c r="G3428" t="s">
        <v>89</v>
      </c>
      <c r="H3428" s="7">
        <v>14609</v>
      </c>
    </row>
    <row r="3429" spans="1:8" x14ac:dyDescent="0.3">
      <c r="A3429">
        <v>16855</v>
      </c>
      <c r="B3429" t="s">
        <v>3057</v>
      </c>
      <c r="C3429" t="s">
        <v>192</v>
      </c>
      <c r="D3429" t="s">
        <v>863</v>
      </c>
      <c r="E3429" t="s">
        <v>8</v>
      </c>
      <c r="F3429" t="s">
        <v>21</v>
      </c>
      <c r="G3429" t="s">
        <v>3873</v>
      </c>
      <c r="H3429" s="7">
        <v>94539</v>
      </c>
    </row>
    <row r="3430" spans="1:8" x14ac:dyDescent="0.3">
      <c r="A3430">
        <v>16862</v>
      </c>
      <c r="B3430" t="s">
        <v>508</v>
      </c>
      <c r="C3430" t="s">
        <v>348</v>
      </c>
      <c r="D3430" t="s">
        <v>2415</v>
      </c>
      <c r="E3430" t="s">
        <v>8</v>
      </c>
      <c r="F3430" t="s">
        <v>114</v>
      </c>
      <c r="G3430" t="s">
        <v>2416</v>
      </c>
      <c r="H3430" s="7">
        <v>75228</v>
      </c>
    </row>
    <row r="3431" spans="1:8" x14ac:dyDescent="0.3">
      <c r="A3431">
        <v>16863</v>
      </c>
      <c r="B3431" t="s">
        <v>74</v>
      </c>
      <c r="C3431" t="s">
        <v>2413</v>
      </c>
      <c r="D3431" t="s">
        <v>2414</v>
      </c>
      <c r="E3431" t="s">
        <v>8</v>
      </c>
      <c r="F3431" t="s">
        <v>77</v>
      </c>
      <c r="G3431" t="s">
        <v>78</v>
      </c>
      <c r="H3431" s="7">
        <v>17013</v>
      </c>
    </row>
    <row r="3432" spans="1:8" x14ac:dyDescent="0.3">
      <c r="A3432">
        <v>16866</v>
      </c>
      <c r="B3432" t="s">
        <v>1899</v>
      </c>
      <c r="C3432" t="s">
        <v>2411</v>
      </c>
      <c r="D3432" t="s">
        <v>1084</v>
      </c>
      <c r="E3432" t="s">
        <v>8</v>
      </c>
      <c r="F3432" t="s">
        <v>381</v>
      </c>
      <c r="G3432" t="s">
        <v>2412</v>
      </c>
      <c r="H3432" s="7">
        <v>48238</v>
      </c>
    </row>
    <row r="3433" spans="1:8" x14ac:dyDescent="0.3">
      <c r="A3433">
        <v>16873</v>
      </c>
      <c r="B3433" t="s">
        <v>3866</v>
      </c>
      <c r="C3433" t="s">
        <v>1409</v>
      </c>
      <c r="D3433" t="s">
        <v>2470</v>
      </c>
      <c r="E3433" t="s">
        <v>27</v>
      </c>
      <c r="F3433" t="s">
        <v>77</v>
      </c>
      <c r="G3433" t="s">
        <v>3867</v>
      </c>
      <c r="H3433" s="7">
        <v>18702</v>
      </c>
    </row>
    <row r="3434" spans="1:8" x14ac:dyDescent="0.3">
      <c r="A3434">
        <v>16878</v>
      </c>
      <c r="B3434" t="s">
        <v>5</v>
      </c>
      <c r="C3434" t="s">
        <v>2409</v>
      </c>
      <c r="D3434" t="s">
        <v>2410</v>
      </c>
      <c r="E3434" t="s">
        <v>95</v>
      </c>
      <c r="F3434" t="s">
        <v>9</v>
      </c>
      <c r="G3434" t="s">
        <v>65</v>
      </c>
      <c r="H3434" s="7">
        <v>725</v>
      </c>
    </row>
    <row r="3435" spans="1:8" x14ac:dyDescent="0.3">
      <c r="A3435">
        <v>16879</v>
      </c>
      <c r="B3435" t="s">
        <v>59</v>
      </c>
      <c r="C3435" t="s">
        <v>2408</v>
      </c>
      <c r="D3435" t="s">
        <v>7</v>
      </c>
      <c r="E3435" t="s">
        <v>95</v>
      </c>
      <c r="F3435" t="s">
        <v>21</v>
      </c>
      <c r="G3435" t="s">
        <v>62</v>
      </c>
      <c r="H3435" s="7">
        <v>90813</v>
      </c>
    </row>
    <row r="3436" spans="1:8" x14ac:dyDescent="0.3">
      <c r="A3436">
        <v>16880</v>
      </c>
      <c r="B3436" t="s">
        <v>52</v>
      </c>
      <c r="C3436" t="s">
        <v>2406</v>
      </c>
      <c r="D3436" t="s">
        <v>2407</v>
      </c>
      <c r="E3436" t="s">
        <v>95</v>
      </c>
      <c r="F3436" t="s">
        <v>55</v>
      </c>
      <c r="G3436" t="s">
        <v>56</v>
      </c>
      <c r="H3436" s="7">
        <v>60056</v>
      </c>
    </row>
    <row r="3437" spans="1:8" x14ac:dyDescent="0.3">
      <c r="A3437">
        <v>16881</v>
      </c>
      <c r="B3437" t="s">
        <v>5</v>
      </c>
      <c r="C3437" t="s">
        <v>2049</v>
      </c>
      <c r="D3437" t="s">
        <v>237</v>
      </c>
      <c r="E3437" t="s">
        <v>95</v>
      </c>
      <c r="F3437" t="s">
        <v>9</v>
      </c>
      <c r="G3437" t="s">
        <v>50</v>
      </c>
      <c r="H3437" s="7">
        <v>725</v>
      </c>
    </row>
    <row r="3438" spans="1:8" x14ac:dyDescent="0.3">
      <c r="A3438">
        <v>16882</v>
      </c>
      <c r="B3438" t="s">
        <v>42</v>
      </c>
      <c r="C3438" t="s">
        <v>2405</v>
      </c>
      <c r="D3438" t="s">
        <v>1840</v>
      </c>
      <c r="E3438" t="s">
        <v>27</v>
      </c>
      <c r="F3438" t="s">
        <v>21</v>
      </c>
      <c r="G3438" t="s">
        <v>45</v>
      </c>
      <c r="H3438" s="7">
        <v>90723</v>
      </c>
    </row>
    <row r="3439" spans="1:8" x14ac:dyDescent="0.3">
      <c r="A3439">
        <v>16883</v>
      </c>
      <c r="B3439" t="s">
        <v>2401</v>
      </c>
      <c r="C3439" t="s">
        <v>2402</v>
      </c>
      <c r="D3439" t="s">
        <v>2403</v>
      </c>
      <c r="E3439" t="s">
        <v>27</v>
      </c>
      <c r="F3439" t="s">
        <v>9</v>
      </c>
      <c r="G3439" t="s">
        <v>2404</v>
      </c>
      <c r="H3439" s="7">
        <v>729</v>
      </c>
    </row>
    <row r="3440" spans="1:8" x14ac:dyDescent="0.3">
      <c r="A3440">
        <v>16884</v>
      </c>
      <c r="B3440" t="s">
        <v>5</v>
      </c>
      <c r="C3440" t="s">
        <v>2399</v>
      </c>
      <c r="D3440" t="s">
        <v>1438</v>
      </c>
      <c r="E3440" t="s">
        <v>8</v>
      </c>
      <c r="F3440" t="s">
        <v>9</v>
      </c>
      <c r="G3440" t="s">
        <v>41</v>
      </c>
      <c r="H3440" s="7">
        <v>725</v>
      </c>
    </row>
    <row r="3441" spans="1:8" x14ac:dyDescent="0.3">
      <c r="A3441">
        <v>16888</v>
      </c>
      <c r="B3441" t="s">
        <v>1179</v>
      </c>
      <c r="C3441" t="s">
        <v>2396</v>
      </c>
      <c r="D3441" t="s">
        <v>2397</v>
      </c>
      <c r="E3441" t="s">
        <v>8</v>
      </c>
      <c r="F3441" t="s">
        <v>88</v>
      </c>
      <c r="G3441" t="s">
        <v>2398</v>
      </c>
      <c r="H3441" s="7">
        <v>11520</v>
      </c>
    </row>
    <row r="3442" spans="1:8" x14ac:dyDescent="0.3">
      <c r="A3442">
        <v>16898</v>
      </c>
      <c r="B3442" t="s">
        <v>5</v>
      </c>
      <c r="C3442" t="s">
        <v>2067</v>
      </c>
      <c r="D3442" t="s">
        <v>1825</v>
      </c>
      <c r="E3442" t="s">
        <v>95</v>
      </c>
      <c r="F3442" t="s">
        <v>9</v>
      </c>
      <c r="G3442" t="s">
        <v>10</v>
      </c>
      <c r="H3442" s="7">
        <v>725</v>
      </c>
    </row>
    <row r="3443" spans="1:8" x14ac:dyDescent="0.3">
      <c r="A3443">
        <v>16899</v>
      </c>
      <c r="B3443" t="s">
        <v>840</v>
      </c>
      <c r="C3443" t="s">
        <v>3496</v>
      </c>
      <c r="D3443" t="s">
        <v>4270</v>
      </c>
      <c r="E3443" t="s">
        <v>8</v>
      </c>
      <c r="F3443" t="s">
        <v>21</v>
      </c>
      <c r="G3443" t="s">
        <v>2376</v>
      </c>
      <c r="H3443" s="7">
        <v>94533</v>
      </c>
    </row>
    <row r="3444" spans="1:8" x14ac:dyDescent="0.3">
      <c r="A3444">
        <v>16903</v>
      </c>
      <c r="B3444" t="s">
        <v>5</v>
      </c>
      <c r="C3444" t="s">
        <v>953</v>
      </c>
      <c r="D3444" t="s">
        <v>2395</v>
      </c>
      <c r="E3444" t="s">
        <v>27</v>
      </c>
      <c r="F3444" t="s">
        <v>9</v>
      </c>
      <c r="G3444" t="s">
        <v>2370</v>
      </c>
      <c r="H3444" s="7">
        <v>725</v>
      </c>
    </row>
    <row r="3445" spans="1:8" x14ac:dyDescent="0.3">
      <c r="A3445">
        <v>16904</v>
      </c>
      <c r="B3445" t="s">
        <v>2270</v>
      </c>
      <c r="C3445" t="s">
        <v>1604</v>
      </c>
      <c r="D3445" t="s">
        <v>776</v>
      </c>
      <c r="E3445" t="s">
        <v>95</v>
      </c>
      <c r="F3445" t="s">
        <v>55</v>
      </c>
      <c r="G3445" t="s">
        <v>2394</v>
      </c>
      <c r="H3445" s="7">
        <v>60188</v>
      </c>
    </row>
    <row r="3446" spans="1:8" x14ac:dyDescent="0.3">
      <c r="A3446">
        <v>16908</v>
      </c>
      <c r="B3446" t="s">
        <v>5</v>
      </c>
      <c r="C3446" t="s">
        <v>1436</v>
      </c>
      <c r="D3446" t="s">
        <v>2392</v>
      </c>
      <c r="E3446" t="s">
        <v>8</v>
      </c>
      <c r="F3446" t="s">
        <v>9</v>
      </c>
      <c r="G3446" t="s">
        <v>2393</v>
      </c>
      <c r="H3446" s="7">
        <v>725</v>
      </c>
    </row>
    <row r="3447" spans="1:8" x14ac:dyDescent="0.3">
      <c r="A3447">
        <v>16909</v>
      </c>
      <c r="B3447" t="s">
        <v>2101</v>
      </c>
      <c r="C3447" t="s">
        <v>1897</v>
      </c>
      <c r="D3447" t="s">
        <v>1964</v>
      </c>
      <c r="E3447" t="s">
        <v>95</v>
      </c>
      <c r="F3447" t="s">
        <v>77</v>
      </c>
      <c r="G3447" t="s">
        <v>2102</v>
      </c>
      <c r="H3447" s="7">
        <v>19382</v>
      </c>
    </row>
    <row r="3448" spans="1:8" x14ac:dyDescent="0.3">
      <c r="A3448">
        <v>16910</v>
      </c>
      <c r="B3448" t="s">
        <v>5</v>
      </c>
      <c r="C3448" t="s">
        <v>662</v>
      </c>
      <c r="D3448" t="s">
        <v>1012</v>
      </c>
      <c r="E3448" t="s">
        <v>95</v>
      </c>
      <c r="F3448" t="s">
        <v>9</v>
      </c>
      <c r="G3448" t="s">
        <v>2391</v>
      </c>
      <c r="H3448" s="7">
        <v>725</v>
      </c>
    </row>
    <row r="3449" spans="1:8" x14ac:dyDescent="0.3">
      <c r="A3449">
        <v>16911</v>
      </c>
      <c r="B3449" t="s">
        <v>1645</v>
      </c>
      <c r="C3449" t="s">
        <v>666</v>
      </c>
      <c r="D3449" t="s">
        <v>144</v>
      </c>
      <c r="E3449" t="s">
        <v>95</v>
      </c>
      <c r="F3449" t="s">
        <v>190</v>
      </c>
      <c r="G3449" t="s">
        <v>2390</v>
      </c>
      <c r="H3449" s="7">
        <v>85308</v>
      </c>
    </row>
    <row r="3450" spans="1:8" x14ac:dyDescent="0.3">
      <c r="A3450">
        <v>16912</v>
      </c>
      <c r="B3450" t="s">
        <v>495</v>
      </c>
      <c r="C3450" t="s">
        <v>2232</v>
      </c>
      <c r="D3450" t="s">
        <v>2388</v>
      </c>
      <c r="E3450" t="s">
        <v>95</v>
      </c>
      <c r="F3450" t="s">
        <v>88</v>
      </c>
      <c r="G3450" t="s">
        <v>2389</v>
      </c>
      <c r="H3450" s="7">
        <v>11210</v>
      </c>
    </row>
    <row r="3451" spans="1:8" x14ac:dyDescent="0.3">
      <c r="A3451">
        <v>16921</v>
      </c>
      <c r="B3451" t="s">
        <v>5</v>
      </c>
      <c r="C3451" t="s">
        <v>1103</v>
      </c>
      <c r="D3451" t="s">
        <v>2048</v>
      </c>
      <c r="E3451" t="s">
        <v>95</v>
      </c>
      <c r="F3451" t="s">
        <v>9</v>
      </c>
      <c r="G3451" t="s">
        <v>529</v>
      </c>
      <c r="H3451" s="7">
        <v>725</v>
      </c>
    </row>
    <row r="3452" spans="1:8" x14ac:dyDescent="0.3">
      <c r="A3452">
        <v>16922</v>
      </c>
      <c r="B3452" t="s">
        <v>2193</v>
      </c>
      <c r="C3452" t="s">
        <v>126</v>
      </c>
      <c r="D3452" t="s">
        <v>5477</v>
      </c>
      <c r="E3452" t="s">
        <v>8</v>
      </c>
      <c r="F3452" t="s">
        <v>21</v>
      </c>
      <c r="G3452" t="s">
        <v>5151</v>
      </c>
      <c r="H3452" s="7">
        <v>90731</v>
      </c>
    </row>
    <row r="3453" spans="1:8" x14ac:dyDescent="0.3">
      <c r="A3453">
        <v>16925</v>
      </c>
      <c r="B3453" t="s">
        <v>2386</v>
      </c>
      <c r="C3453" t="s">
        <v>71</v>
      </c>
      <c r="D3453" t="s">
        <v>672</v>
      </c>
      <c r="E3453" t="s">
        <v>8</v>
      </c>
      <c r="F3453" t="s">
        <v>36</v>
      </c>
      <c r="G3453" t="s">
        <v>2387</v>
      </c>
      <c r="H3453" s="7">
        <v>2124</v>
      </c>
    </row>
    <row r="3454" spans="1:8" x14ac:dyDescent="0.3">
      <c r="A3454">
        <v>16936</v>
      </c>
      <c r="B3454" t="s">
        <v>2361</v>
      </c>
      <c r="C3454" t="s">
        <v>1627</v>
      </c>
      <c r="D3454" t="s">
        <v>1812</v>
      </c>
      <c r="E3454" t="s">
        <v>8</v>
      </c>
      <c r="F3454" t="s">
        <v>114</v>
      </c>
      <c r="G3454" t="s">
        <v>2029</v>
      </c>
      <c r="H3454" s="7">
        <v>78539</v>
      </c>
    </row>
    <row r="3455" spans="1:8" x14ac:dyDescent="0.3">
      <c r="A3455">
        <v>16937</v>
      </c>
      <c r="B3455" t="s">
        <v>715</v>
      </c>
      <c r="C3455" t="s">
        <v>1991</v>
      </c>
      <c r="D3455" t="s">
        <v>2384</v>
      </c>
      <c r="E3455" t="s">
        <v>8</v>
      </c>
      <c r="F3455" t="s">
        <v>21</v>
      </c>
      <c r="G3455" t="s">
        <v>2385</v>
      </c>
      <c r="H3455" s="7">
        <v>95076</v>
      </c>
    </row>
    <row r="3456" spans="1:8" x14ac:dyDescent="0.3">
      <c r="A3456">
        <v>16944</v>
      </c>
      <c r="B3456" t="s">
        <v>601</v>
      </c>
      <c r="C3456" t="s">
        <v>5469</v>
      </c>
      <c r="D3456" t="s">
        <v>3402</v>
      </c>
      <c r="E3456" t="s">
        <v>27</v>
      </c>
      <c r="F3456" t="s">
        <v>114</v>
      </c>
      <c r="G3456" t="s">
        <v>4427</v>
      </c>
      <c r="H3456" s="7">
        <v>78704</v>
      </c>
    </row>
    <row r="3457" spans="1:8" x14ac:dyDescent="0.3">
      <c r="A3457">
        <v>16965</v>
      </c>
      <c r="B3457" t="s">
        <v>142</v>
      </c>
      <c r="C3457" t="s">
        <v>2381</v>
      </c>
      <c r="D3457" t="s">
        <v>2382</v>
      </c>
      <c r="E3457" t="s">
        <v>95</v>
      </c>
      <c r="F3457" t="s">
        <v>88</v>
      </c>
      <c r="G3457" t="s">
        <v>2383</v>
      </c>
      <c r="H3457" s="7">
        <v>10467</v>
      </c>
    </row>
    <row r="3458" spans="1:8" x14ac:dyDescent="0.3">
      <c r="A3458">
        <v>16978</v>
      </c>
      <c r="B3458" t="s">
        <v>305</v>
      </c>
      <c r="C3458" t="s">
        <v>577</v>
      </c>
      <c r="D3458" t="s">
        <v>1300</v>
      </c>
      <c r="E3458" t="s">
        <v>27</v>
      </c>
      <c r="F3458" t="s">
        <v>308</v>
      </c>
      <c r="G3458" t="s">
        <v>4470</v>
      </c>
      <c r="H3458" s="7">
        <v>7111</v>
      </c>
    </row>
    <row r="3459" spans="1:8" x14ac:dyDescent="0.3">
      <c r="A3459">
        <v>16985</v>
      </c>
      <c r="B3459" t="s">
        <v>5</v>
      </c>
      <c r="C3459" t="s">
        <v>1557</v>
      </c>
      <c r="D3459" t="s">
        <v>2379</v>
      </c>
      <c r="E3459" t="s">
        <v>95</v>
      </c>
      <c r="F3459" t="s">
        <v>9</v>
      </c>
      <c r="G3459" t="s">
        <v>2380</v>
      </c>
      <c r="H3459" s="7">
        <v>725</v>
      </c>
    </row>
    <row r="3460" spans="1:8" x14ac:dyDescent="0.3">
      <c r="A3460">
        <v>16998</v>
      </c>
      <c r="B3460" t="s">
        <v>210</v>
      </c>
      <c r="C3460" t="s">
        <v>2945</v>
      </c>
      <c r="D3460" t="s">
        <v>2981</v>
      </c>
      <c r="E3460" t="s">
        <v>8</v>
      </c>
      <c r="F3460" t="s">
        <v>21</v>
      </c>
      <c r="G3460" t="s">
        <v>5241</v>
      </c>
      <c r="H3460" s="7">
        <v>90745</v>
      </c>
    </row>
    <row r="3461" spans="1:8" x14ac:dyDescent="0.3">
      <c r="A3461">
        <v>16999</v>
      </c>
      <c r="B3461" t="s">
        <v>2536</v>
      </c>
      <c r="C3461" t="s">
        <v>1735</v>
      </c>
      <c r="D3461" t="s">
        <v>2288</v>
      </c>
      <c r="E3461" t="s">
        <v>8</v>
      </c>
      <c r="F3461" t="s">
        <v>1145</v>
      </c>
      <c r="G3461" t="s">
        <v>4767</v>
      </c>
      <c r="H3461" s="7">
        <v>54601</v>
      </c>
    </row>
    <row r="3462" spans="1:8" x14ac:dyDescent="0.3">
      <c r="A3462">
        <v>17004</v>
      </c>
      <c r="B3462" t="s">
        <v>66</v>
      </c>
      <c r="C3462" t="s">
        <v>1665</v>
      </c>
      <c r="D3462" t="s">
        <v>279</v>
      </c>
      <c r="E3462" t="s">
        <v>27</v>
      </c>
      <c r="F3462" t="s">
        <v>55</v>
      </c>
      <c r="G3462" t="s">
        <v>4551</v>
      </c>
      <c r="H3462" s="7">
        <v>60187</v>
      </c>
    </row>
    <row r="3463" spans="1:8" x14ac:dyDescent="0.3">
      <c r="A3463">
        <v>17008</v>
      </c>
      <c r="B3463" t="s">
        <v>174</v>
      </c>
      <c r="C3463" t="s">
        <v>1237</v>
      </c>
      <c r="D3463" t="s">
        <v>3624</v>
      </c>
      <c r="E3463" t="s">
        <v>8</v>
      </c>
      <c r="F3463" t="s">
        <v>21</v>
      </c>
      <c r="G3463" t="s">
        <v>2535</v>
      </c>
      <c r="H3463" s="7">
        <v>90033</v>
      </c>
    </row>
    <row r="3464" spans="1:8" x14ac:dyDescent="0.3">
      <c r="A3464">
        <v>17012</v>
      </c>
      <c r="B3464" t="s">
        <v>733</v>
      </c>
      <c r="C3464" t="s">
        <v>3816</v>
      </c>
      <c r="D3464" t="s">
        <v>3630</v>
      </c>
      <c r="E3464" t="s">
        <v>27</v>
      </c>
      <c r="F3464" t="s">
        <v>77</v>
      </c>
      <c r="G3464" t="s">
        <v>2356</v>
      </c>
      <c r="H3464" s="7">
        <v>15301</v>
      </c>
    </row>
    <row r="3465" spans="1:8" x14ac:dyDescent="0.3">
      <c r="A3465">
        <v>17016</v>
      </c>
      <c r="B3465" t="s">
        <v>769</v>
      </c>
      <c r="C3465" t="s">
        <v>1054</v>
      </c>
      <c r="D3465" t="s">
        <v>2377</v>
      </c>
      <c r="E3465" t="s">
        <v>27</v>
      </c>
      <c r="F3465" t="s">
        <v>190</v>
      </c>
      <c r="G3465" t="s">
        <v>2378</v>
      </c>
      <c r="H3465" s="7">
        <v>85022</v>
      </c>
    </row>
    <row r="3466" spans="1:8" x14ac:dyDescent="0.3">
      <c r="A3466">
        <v>17018</v>
      </c>
      <c r="B3466" t="s">
        <v>593</v>
      </c>
      <c r="C3466" t="s">
        <v>4029</v>
      </c>
      <c r="D3466" t="s">
        <v>1106</v>
      </c>
      <c r="E3466" t="s">
        <v>27</v>
      </c>
      <c r="F3466" t="s">
        <v>9</v>
      </c>
      <c r="G3466" t="s">
        <v>4873</v>
      </c>
      <c r="H3466" s="7">
        <v>745</v>
      </c>
    </row>
    <row r="3467" spans="1:8" x14ac:dyDescent="0.3">
      <c r="A3467">
        <v>17029</v>
      </c>
      <c r="B3467" t="s">
        <v>1243</v>
      </c>
      <c r="C3467" t="s">
        <v>1244</v>
      </c>
      <c r="D3467" t="s">
        <v>1176</v>
      </c>
      <c r="E3467" t="s">
        <v>27</v>
      </c>
      <c r="F3467" t="s">
        <v>308</v>
      </c>
      <c r="G3467" t="s">
        <v>1245</v>
      </c>
      <c r="H3467" s="7">
        <v>8540</v>
      </c>
    </row>
    <row r="3468" spans="1:8" x14ac:dyDescent="0.3">
      <c r="A3468">
        <v>17030</v>
      </c>
      <c r="B3468" t="s">
        <v>5</v>
      </c>
      <c r="C3468" t="s">
        <v>1989</v>
      </c>
      <c r="D3468" t="s">
        <v>1540</v>
      </c>
      <c r="E3468" t="s">
        <v>27</v>
      </c>
      <c r="F3468" t="s">
        <v>9</v>
      </c>
      <c r="G3468" t="s">
        <v>1990</v>
      </c>
      <c r="H3468" s="7">
        <v>725</v>
      </c>
    </row>
    <row r="3469" spans="1:8" x14ac:dyDescent="0.3">
      <c r="A3469">
        <v>17031</v>
      </c>
      <c r="B3469" t="s">
        <v>1246</v>
      </c>
      <c r="C3469" t="s">
        <v>1247</v>
      </c>
      <c r="D3469" t="s">
        <v>1248</v>
      </c>
      <c r="E3469" t="s">
        <v>27</v>
      </c>
      <c r="F3469" t="s">
        <v>1249</v>
      </c>
      <c r="G3469" t="s">
        <v>1250</v>
      </c>
      <c r="H3469" s="7">
        <v>67212</v>
      </c>
    </row>
    <row r="3470" spans="1:8" x14ac:dyDescent="0.3">
      <c r="A3470">
        <v>17043</v>
      </c>
      <c r="B3470" t="s">
        <v>1116</v>
      </c>
      <c r="C3470" t="s">
        <v>1991</v>
      </c>
      <c r="D3470" t="s">
        <v>3573</v>
      </c>
      <c r="E3470" t="s">
        <v>8</v>
      </c>
      <c r="F3470" t="s">
        <v>1118</v>
      </c>
      <c r="G3470" t="s">
        <v>2712</v>
      </c>
      <c r="H3470" s="7">
        <v>55124</v>
      </c>
    </row>
    <row r="3471" spans="1:8" x14ac:dyDescent="0.3">
      <c r="A3471">
        <v>17047</v>
      </c>
      <c r="B3471" t="s">
        <v>3488</v>
      </c>
      <c r="C3471" t="s">
        <v>2605</v>
      </c>
      <c r="D3471" t="s">
        <v>3377</v>
      </c>
      <c r="E3471" t="s">
        <v>8</v>
      </c>
      <c r="F3471" t="s">
        <v>308</v>
      </c>
      <c r="G3471" t="s">
        <v>3489</v>
      </c>
      <c r="H3471" s="7">
        <v>8861</v>
      </c>
    </row>
    <row r="3472" spans="1:8" x14ac:dyDescent="0.3">
      <c r="A3472">
        <v>17048</v>
      </c>
      <c r="B3472" t="s">
        <v>5</v>
      </c>
      <c r="C3472" t="s">
        <v>1476</v>
      </c>
      <c r="D3472" t="s">
        <v>113</v>
      </c>
      <c r="E3472" t="s">
        <v>8</v>
      </c>
      <c r="F3472" t="s">
        <v>9</v>
      </c>
      <c r="G3472" t="s">
        <v>1477</v>
      </c>
      <c r="H3472" s="7">
        <v>725</v>
      </c>
    </row>
    <row r="3473" spans="1:8" x14ac:dyDescent="0.3">
      <c r="A3473">
        <v>17049</v>
      </c>
      <c r="B3473" t="s">
        <v>495</v>
      </c>
      <c r="C3473" t="s">
        <v>687</v>
      </c>
      <c r="D3473" t="s">
        <v>688</v>
      </c>
      <c r="E3473" t="s">
        <v>27</v>
      </c>
      <c r="F3473" t="s">
        <v>88</v>
      </c>
      <c r="G3473" t="s">
        <v>689</v>
      </c>
      <c r="H3473" s="7">
        <v>11236</v>
      </c>
    </row>
    <row r="3474" spans="1:8" x14ac:dyDescent="0.3">
      <c r="A3474">
        <v>17062</v>
      </c>
      <c r="B3474" t="s">
        <v>5</v>
      </c>
      <c r="C3474" t="s">
        <v>385</v>
      </c>
      <c r="D3474" t="s">
        <v>3524</v>
      </c>
      <c r="E3474" t="s">
        <v>95</v>
      </c>
      <c r="F3474" t="s">
        <v>9</v>
      </c>
      <c r="G3474" t="s">
        <v>3525</v>
      </c>
      <c r="H3474" s="7">
        <v>725</v>
      </c>
    </row>
    <row r="3475" spans="1:8" x14ac:dyDescent="0.3">
      <c r="A3475">
        <v>17063</v>
      </c>
      <c r="B3475" t="s">
        <v>1100</v>
      </c>
      <c r="C3475" t="s">
        <v>362</v>
      </c>
      <c r="D3475" t="s">
        <v>2819</v>
      </c>
      <c r="E3475" t="s">
        <v>27</v>
      </c>
      <c r="F3475" t="s">
        <v>308</v>
      </c>
      <c r="G3475" t="s">
        <v>2820</v>
      </c>
      <c r="H3475" s="7">
        <v>7087</v>
      </c>
    </row>
    <row r="3476" spans="1:8" x14ac:dyDescent="0.3">
      <c r="A3476">
        <v>17071</v>
      </c>
      <c r="B3476" t="s">
        <v>1116</v>
      </c>
      <c r="C3476" t="s">
        <v>2572</v>
      </c>
      <c r="D3476" t="s">
        <v>3929</v>
      </c>
      <c r="E3476" t="s">
        <v>8</v>
      </c>
      <c r="F3476" t="s">
        <v>1118</v>
      </c>
      <c r="G3476" t="s">
        <v>135</v>
      </c>
      <c r="H3476" s="7">
        <v>55124</v>
      </c>
    </row>
    <row r="3477" spans="1:8" x14ac:dyDescent="0.3">
      <c r="A3477">
        <v>17074</v>
      </c>
      <c r="B3477" t="s">
        <v>5</v>
      </c>
      <c r="C3477" t="s">
        <v>2633</v>
      </c>
      <c r="D3477" t="s">
        <v>54</v>
      </c>
      <c r="E3477" t="s">
        <v>8</v>
      </c>
      <c r="F3477" t="s">
        <v>9</v>
      </c>
      <c r="G3477" t="s">
        <v>4881</v>
      </c>
      <c r="H3477" s="7">
        <v>725</v>
      </c>
    </row>
    <row r="3478" spans="1:8" x14ac:dyDescent="0.3">
      <c r="A3478">
        <v>17079</v>
      </c>
      <c r="B3478" t="s">
        <v>5</v>
      </c>
      <c r="C3478" t="s">
        <v>2479</v>
      </c>
      <c r="D3478" t="s">
        <v>804</v>
      </c>
      <c r="E3478" t="s">
        <v>27</v>
      </c>
      <c r="F3478" t="s">
        <v>9</v>
      </c>
      <c r="G3478" t="s">
        <v>1310</v>
      </c>
      <c r="H3478" s="7">
        <v>725</v>
      </c>
    </row>
    <row r="3479" spans="1:8" x14ac:dyDescent="0.3">
      <c r="A3479">
        <v>17086</v>
      </c>
      <c r="B3479" t="s">
        <v>2905</v>
      </c>
      <c r="C3479" t="s">
        <v>2521</v>
      </c>
      <c r="D3479" t="s">
        <v>2906</v>
      </c>
      <c r="E3479" t="s">
        <v>8</v>
      </c>
      <c r="F3479" t="s">
        <v>55</v>
      </c>
      <c r="G3479" t="s">
        <v>2907</v>
      </c>
      <c r="H3479" s="7">
        <v>60411</v>
      </c>
    </row>
    <row r="3480" spans="1:8" x14ac:dyDescent="0.3">
      <c r="A3480">
        <v>17087</v>
      </c>
      <c r="B3480" t="s">
        <v>2830</v>
      </c>
      <c r="C3480" t="s">
        <v>520</v>
      </c>
      <c r="D3480" t="s">
        <v>1428</v>
      </c>
      <c r="E3480" t="s">
        <v>8</v>
      </c>
      <c r="F3480" t="s">
        <v>153</v>
      </c>
      <c r="G3480" t="s">
        <v>2831</v>
      </c>
      <c r="H3480" s="7">
        <v>84010</v>
      </c>
    </row>
    <row r="3481" spans="1:8" x14ac:dyDescent="0.3">
      <c r="A3481">
        <v>17094</v>
      </c>
      <c r="B3481" t="s">
        <v>508</v>
      </c>
      <c r="C3481" t="s">
        <v>2239</v>
      </c>
      <c r="D3481" t="s">
        <v>821</v>
      </c>
      <c r="E3481" t="s">
        <v>27</v>
      </c>
      <c r="F3481" t="s">
        <v>114</v>
      </c>
      <c r="G3481" t="s">
        <v>2240</v>
      </c>
      <c r="H3481" s="7">
        <v>75216</v>
      </c>
    </row>
    <row r="3482" spans="1:8" x14ac:dyDescent="0.3">
      <c r="A3482">
        <v>17095</v>
      </c>
      <c r="B3482" t="s">
        <v>5</v>
      </c>
      <c r="C3482" t="s">
        <v>2815</v>
      </c>
      <c r="D3482" t="s">
        <v>366</v>
      </c>
      <c r="E3482" t="s">
        <v>27</v>
      </c>
      <c r="F3482" t="s">
        <v>9</v>
      </c>
      <c r="G3482" t="s">
        <v>2797</v>
      </c>
      <c r="H3482" s="7">
        <v>725</v>
      </c>
    </row>
    <row r="3483" spans="1:8" x14ac:dyDescent="0.3">
      <c r="A3483">
        <v>17100</v>
      </c>
      <c r="B3483" t="s">
        <v>2536</v>
      </c>
      <c r="C3483" t="s">
        <v>2097</v>
      </c>
      <c r="D3483" t="s">
        <v>658</v>
      </c>
      <c r="E3483" t="s">
        <v>95</v>
      </c>
      <c r="F3483" t="s">
        <v>1145</v>
      </c>
      <c r="G3483" t="s">
        <v>5217</v>
      </c>
      <c r="H3483" s="7">
        <v>54601</v>
      </c>
    </row>
    <row r="3484" spans="1:8" x14ac:dyDescent="0.3">
      <c r="A3484">
        <v>17102</v>
      </c>
      <c r="B3484" t="s">
        <v>5</v>
      </c>
      <c r="C3484" t="s">
        <v>2244</v>
      </c>
      <c r="D3484" t="s">
        <v>1750</v>
      </c>
      <c r="E3484" t="s">
        <v>8</v>
      </c>
      <c r="F3484" t="s">
        <v>9</v>
      </c>
      <c r="G3484" t="s">
        <v>2951</v>
      </c>
      <c r="H3484" s="7">
        <v>725</v>
      </c>
    </row>
    <row r="3485" spans="1:8" x14ac:dyDescent="0.3">
      <c r="A3485">
        <v>17105</v>
      </c>
      <c r="B3485" t="s">
        <v>4078</v>
      </c>
      <c r="C3485" t="s">
        <v>2368</v>
      </c>
      <c r="D3485" t="s">
        <v>914</v>
      </c>
      <c r="E3485" t="s">
        <v>95</v>
      </c>
      <c r="F3485" t="s">
        <v>77</v>
      </c>
      <c r="G3485" t="s">
        <v>4943</v>
      </c>
      <c r="H3485" s="7">
        <v>19446</v>
      </c>
    </row>
    <row r="3486" spans="1:8" x14ac:dyDescent="0.3">
      <c r="A3486">
        <v>17113</v>
      </c>
      <c r="B3486" t="s">
        <v>5</v>
      </c>
      <c r="C3486" t="s">
        <v>138</v>
      </c>
      <c r="D3486" t="s">
        <v>2929</v>
      </c>
      <c r="E3486" t="s">
        <v>8</v>
      </c>
      <c r="F3486" t="s">
        <v>9</v>
      </c>
      <c r="G3486" t="s">
        <v>4275</v>
      </c>
      <c r="H3486" s="7">
        <v>725</v>
      </c>
    </row>
    <row r="3487" spans="1:8" x14ac:dyDescent="0.3">
      <c r="A3487">
        <v>17117</v>
      </c>
      <c r="B3487" t="s">
        <v>638</v>
      </c>
      <c r="C3487" t="s">
        <v>216</v>
      </c>
      <c r="D3487" t="s">
        <v>3987</v>
      </c>
      <c r="E3487" t="s">
        <v>27</v>
      </c>
      <c r="F3487" t="s">
        <v>114</v>
      </c>
      <c r="G3487" t="s">
        <v>4074</v>
      </c>
      <c r="H3487" s="7">
        <v>78586</v>
      </c>
    </row>
    <row r="3488" spans="1:8" x14ac:dyDescent="0.3">
      <c r="A3488">
        <v>17118</v>
      </c>
      <c r="B3488" t="s">
        <v>5</v>
      </c>
      <c r="C3488" t="s">
        <v>841</v>
      </c>
      <c r="D3488" t="s">
        <v>2648</v>
      </c>
      <c r="E3488" t="s">
        <v>27</v>
      </c>
      <c r="F3488" t="s">
        <v>9</v>
      </c>
      <c r="G3488" t="s">
        <v>4475</v>
      </c>
      <c r="H3488" s="7">
        <v>725</v>
      </c>
    </row>
    <row r="3489" spans="1:8" x14ac:dyDescent="0.3">
      <c r="A3489">
        <v>17119</v>
      </c>
      <c r="B3489" t="s">
        <v>2299</v>
      </c>
      <c r="C3489" t="s">
        <v>2287</v>
      </c>
      <c r="D3489" t="s">
        <v>902</v>
      </c>
      <c r="E3489" t="s">
        <v>27</v>
      </c>
      <c r="F3489" t="s">
        <v>140</v>
      </c>
      <c r="G3489" t="s">
        <v>3977</v>
      </c>
      <c r="H3489" s="7">
        <v>30331</v>
      </c>
    </row>
    <row r="3490" spans="1:8" x14ac:dyDescent="0.3">
      <c r="A3490">
        <v>17131</v>
      </c>
      <c r="B3490" t="s">
        <v>5</v>
      </c>
      <c r="C3490" t="s">
        <v>692</v>
      </c>
      <c r="D3490" t="s">
        <v>3282</v>
      </c>
      <c r="E3490" t="s">
        <v>27</v>
      </c>
      <c r="F3490" t="s">
        <v>9</v>
      </c>
      <c r="G3490" t="s">
        <v>3283</v>
      </c>
      <c r="H3490" s="7">
        <v>725</v>
      </c>
    </row>
    <row r="3491" spans="1:8" x14ac:dyDescent="0.3">
      <c r="A3491">
        <v>17132</v>
      </c>
      <c r="B3491" t="s">
        <v>806</v>
      </c>
      <c r="C3491" t="s">
        <v>2235</v>
      </c>
      <c r="D3491" t="s">
        <v>1695</v>
      </c>
      <c r="E3491" t="s">
        <v>27</v>
      </c>
      <c r="F3491" t="s">
        <v>21</v>
      </c>
      <c r="G3491" t="s">
        <v>808</v>
      </c>
      <c r="H3491" s="7">
        <v>92780</v>
      </c>
    </row>
    <row r="3492" spans="1:8" x14ac:dyDescent="0.3">
      <c r="A3492">
        <v>17133</v>
      </c>
      <c r="B3492" t="s">
        <v>5</v>
      </c>
      <c r="C3492" t="s">
        <v>909</v>
      </c>
      <c r="D3492" t="s">
        <v>3290</v>
      </c>
      <c r="E3492" t="s">
        <v>27</v>
      </c>
      <c r="F3492" t="s">
        <v>9</v>
      </c>
      <c r="G3492" t="s">
        <v>3291</v>
      </c>
      <c r="H3492" s="7">
        <v>725</v>
      </c>
    </row>
    <row r="3493" spans="1:8" x14ac:dyDescent="0.3">
      <c r="A3493">
        <v>17136</v>
      </c>
      <c r="B3493" t="s">
        <v>723</v>
      </c>
      <c r="C3493" t="s">
        <v>727</v>
      </c>
      <c r="D3493" t="s">
        <v>728</v>
      </c>
      <c r="E3493" t="s">
        <v>27</v>
      </c>
      <c r="F3493" t="s">
        <v>729</v>
      </c>
      <c r="G3493" t="s">
        <v>730</v>
      </c>
      <c r="H3493" s="7">
        <v>80010</v>
      </c>
    </row>
    <row r="3494" spans="1:8" x14ac:dyDescent="0.3">
      <c r="A3494">
        <v>17151</v>
      </c>
      <c r="B3494" t="s">
        <v>995</v>
      </c>
      <c r="C3494" t="s">
        <v>1905</v>
      </c>
      <c r="D3494" t="s">
        <v>5266</v>
      </c>
      <c r="E3494" t="s">
        <v>8</v>
      </c>
      <c r="F3494" t="s">
        <v>283</v>
      </c>
      <c r="G3494" t="s">
        <v>5414</v>
      </c>
      <c r="H3494" s="7">
        <v>23456</v>
      </c>
    </row>
    <row r="3495" spans="1:8" x14ac:dyDescent="0.3">
      <c r="A3495">
        <v>17158</v>
      </c>
      <c r="B3495" t="s">
        <v>5</v>
      </c>
      <c r="C3495" t="s">
        <v>2402</v>
      </c>
      <c r="D3495" t="s">
        <v>3661</v>
      </c>
      <c r="E3495" t="s">
        <v>8</v>
      </c>
      <c r="F3495" t="s">
        <v>9</v>
      </c>
      <c r="G3495" t="s">
        <v>3662</v>
      </c>
      <c r="H3495" s="7">
        <v>725</v>
      </c>
    </row>
    <row r="3496" spans="1:8" x14ac:dyDescent="0.3">
      <c r="A3496">
        <v>17161</v>
      </c>
      <c r="B3496" t="s">
        <v>3234</v>
      </c>
      <c r="C3496" t="s">
        <v>3711</v>
      </c>
      <c r="D3496" t="s">
        <v>1052</v>
      </c>
      <c r="E3496" t="s">
        <v>95</v>
      </c>
      <c r="F3496" t="s">
        <v>283</v>
      </c>
      <c r="G3496" t="s">
        <v>3712</v>
      </c>
      <c r="H3496" s="7">
        <v>22003</v>
      </c>
    </row>
    <row r="3497" spans="1:8" x14ac:dyDescent="0.3">
      <c r="A3497">
        <v>17162</v>
      </c>
      <c r="B3497" t="s">
        <v>5</v>
      </c>
      <c r="C3497" t="s">
        <v>3548</v>
      </c>
      <c r="D3497" t="s">
        <v>53</v>
      </c>
      <c r="E3497" t="s">
        <v>8</v>
      </c>
      <c r="F3497" t="s">
        <v>9</v>
      </c>
      <c r="G3497" t="s">
        <v>526</v>
      </c>
      <c r="H3497" s="7">
        <v>725</v>
      </c>
    </row>
    <row r="3498" spans="1:8" x14ac:dyDescent="0.3">
      <c r="A3498">
        <v>17166</v>
      </c>
      <c r="B3498" t="s">
        <v>5</v>
      </c>
      <c r="C3498" t="s">
        <v>5340</v>
      </c>
      <c r="D3498" t="s">
        <v>2332</v>
      </c>
      <c r="E3498" t="s">
        <v>27</v>
      </c>
      <c r="F3498" t="s">
        <v>9</v>
      </c>
      <c r="G3498" t="s">
        <v>2445</v>
      </c>
      <c r="H3498" s="7">
        <v>725</v>
      </c>
    </row>
    <row r="3499" spans="1:8" x14ac:dyDescent="0.3">
      <c r="A3499">
        <v>17172</v>
      </c>
      <c r="B3499" t="s">
        <v>1108</v>
      </c>
      <c r="C3499" t="s">
        <v>716</v>
      </c>
      <c r="D3499" t="s">
        <v>811</v>
      </c>
      <c r="E3499" t="s">
        <v>27</v>
      </c>
      <c r="F3499" t="s">
        <v>381</v>
      </c>
      <c r="G3499" t="s">
        <v>4172</v>
      </c>
      <c r="H3499" s="7">
        <v>48823</v>
      </c>
    </row>
    <row r="3500" spans="1:8" x14ac:dyDescent="0.3">
      <c r="A3500">
        <v>17177</v>
      </c>
      <c r="B3500" t="s">
        <v>3238</v>
      </c>
      <c r="C3500" t="s">
        <v>1805</v>
      </c>
      <c r="D3500" t="s">
        <v>1964</v>
      </c>
      <c r="E3500" t="s">
        <v>8</v>
      </c>
      <c r="F3500" t="s">
        <v>1249</v>
      </c>
      <c r="G3500" t="s">
        <v>1815</v>
      </c>
      <c r="H3500" s="7">
        <v>67401</v>
      </c>
    </row>
    <row r="3501" spans="1:8" x14ac:dyDescent="0.3">
      <c r="A3501">
        <v>17180</v>
      </c>
      <c r="B3501" t="s">
        <v>5</v>
      </c>
      <c r="C3501" t="s">
        <v>3530</v>
      </c>
      <c r="D3501" t="s">
        <v>3484</v>
      </c>
      <c r="E3501" t="s">
        <v>95</v>
      </c>
      <c r="F3501" t="s">
        <v>9</v>
      </c>
      <c r="G3501" t="s">
        <v>3531</v>
      </c>
      <c r="H3501" s="7">
        <v>725</v>
      </c>
    </row>
    <row r="3502" spans="1:8" x14ac:dyDescent="0.3">
      <c r="A3502">
        <v>17182</v>
      </c>
      <c r="B3502" t="s">
        <v>5</v>
      </c>
      <c r="C3502" t="s">
        <v>1244</v>
      </c>
      <c r="D3502" t="s">
        <v>1170</v>
      </c>
      <c r="E3502" t="s">
        <v>27</v>
      </c>
      <c r="F3502" t="s">
        <v>9</v>
      </c>
      <c r="G3502" t="s">
        <v>1245</v>
      </c>
      <c r="H3502" s="7">
        <v>725</v>
      </c>
    </row>
    <row r="3503" spans="1:8" x14ac:dyDescent="0.3">
      <c r="A3503">
        <v>17183</v>
      </c>
      <c r="B3503" t="s">
        <v>1833</v>
      </c>
      <c r="C3503" t="s">
        <v>2070</v>
      </c>
      <c r="D3503" t="s">
        <v>3250</v>
      </c>
      <c r="E3503" t="s">
        <v>8</v>
      </c>
      <c r="F3503" t="s">
        <v>21</v>
      </c>
      <c r="G3503" t="s">
        <v>3251</v>
      </c>
      <c r="H3503" s="7">
        <v>93307</v>
      </c>
    </row>
    <row r="3504" spans="1:8" x14ac:dyDescent="0.3">
      <c r="A3504">
        <v>17184</v>
      </c>
      <c r="B3504" t="s">
        <v>1688</v>
      </c>
      <c r="C3504" t="s">
        <v>2582</v>
      </c>
      <c r="D3504" t="s">
        <v>863</v>
      </c>
      <c r="E3504" t="s">
        <v>8</v>
      </c>
      <c r="F3504" t="s">
        <v>114</v>
      </c>
      <c r="G3504" t="s">
        <v>2583</v>
      </c>
      <c r="H3504" s="7">
        <v>78040</v>
      </c>
    </row>
    <row r="3505" spans="1:8" x14ac:dyDescent="0.3">
      <c r="A3505">
        <v>17185</v>
      </c>
      <c r="B3505" t="s">
        <v>5</v>
      </c>
      <c r="C3505" t="s">
        <v>1032</v>
      </c>
      <c r="D3505" t="s">
        <v>3570</v>
      </c>
      <c r="E3505" t="s">
        <v>95</v>
      </c>
      <c r="F3505" t="s">
        <v>9</v>
      </c>
      <c r="G3505" t="s">
        <v>3571</v>
      </c>
      <c r="H3505" s="7">
        <v>725</v>
      </c>
    </row>
    <row r="3506" spans="1:8" x14ac:dyDescent="0.3">
      <c r="A3506">
        <v>17186</v>
      </c>
      <c r="B3506" t="s">
        <v>3404</v>
      </c>
      <c r="C3506" t="s">
        <v>3490</v>
      </c>
      <c r="D3506" t="s">
        <v>2071</v>
      </c>
      <c r="E3506" t="s">
        <v>8</v>
      </c>
      <c r="F3506" t="s">
        <v>21</v>
      </c>
      <c r="G3506" t="s">
        <v>3491</v>
      </c>
      <c r="H3506" s="7">
        <v>94550</v>
      </c>
    </row>
    <row r="3507" spans="1:8" x14ac:dyDescent="0.3">
      <c r="A3507">
        <v>17193</v>
      </c>
      <c r="B3507" t="s">
        <v>1553</v>
      </c>
      <c r="C3507" t="s">
        <v>1722</v>
      </c>
      <c r="D3507" t="s">
        <v>3757</v>
      </c>
      <c r="E3507" t="s">
        <v>95</v>
      </c>
      <c r="F3507" t="s">
        <v>114</v>
      </c>
      <c r="G3507" t="s">
        <v>4933</v>
      </c>
      <c r="H3507" s="7">
        <v>75061</v>
      </c>
    </row>
    <row r="3508" spans="1:8" x14ac:dyDescent="0.3">
      <c r="A3508">
        <v>17200</v>
      </c>
      <c r="B3508" t="s">
        <v>1014</v>
      </c>
      <c r="C3508" t="s">
        <v>4029</v>
      </c>
      <c r="D3508" t="s">
        <v>2765</v>
      </c>
      <c r="E3508" t="s">
        <v>95</v>
      </c>
      <c r="F3508" t="s">
        <v>381</v>
      </c>
      <c r="G3508" t="s">
        <v>4122</v>
      </c>
      <c r="H3508" s="7">
        <v>48098</v>
      </c>
    </row>
    <row r="3509" spans="1:8" x14ac:dyDescent="0.3">
      <c r="A3509">
        <v>17204</v>
      </c>
      <c r="B3509" t="s">
        <v>495</v>
      </c>
      <c r="C3509" t="s">
        <v>3490</v>
      </c>
      <c r="D3509" t="s">
        <v>776</v>
      </c>
      <c r="E3509" t="s">
        <v>27</v>
      </c>
      <c r="F3509" t="s">
        <v>88</v>
      </c>
      <c r="G3509" t="s">
        <v>5148</v>
      </c>
      <c r="H3509" s="7">
        <v>11204</v>
      </c>
    </row>
    <row r="3510" spans="1:8" x14ac:dyDescent="0.3">
      <c r="A3510">
        <v>17207</v>
      </c>
      <c r="B3510" t="s">
        <v>3414</v>
      </c>
      <c r="C3510" t="s">
        <v>4217</v>
      </c>
      <c r="D3510" t="s">
        <v>1880</v>
      </c>
      <c r="E3510" t="s">
        <v>8</v>
      </c>
      <c r="F3510" t="s">
        <v>21</v>
      </c>
      <c r="G3510" t="s">
        <v>3952</v>
      </c>
      <c r="H3510" s="7">
        <v>90650</v>
      </c>
    </row>
    <row r="3511" spans="1:8" x14ac:dyDescent="0.3">
      <c r="A3511">
        <v>17220</v>
      </c>
      <c r="B3511" t="s">
        <v>5</v>
      </c>
      <c r="C3511" t="s">
        <v>207</v>
      </c>
      <c r="D3511" t="s">
        <v>1967</v>
      </c>
      <c r="E3511" t="s">
        <v>8</v>
      </c>
      <c r="F3511" t="s">
        <v>9</v>
      </c>
      <c r="G3511" t="s">
        <v>4815</v>
      </c>
      <c r="H3511" s="7">
        <v>725</v>
      </c>
    </row>
    <row r="3512" spans="1:8" x14ac:dyDescent="0.3">
      <c r="A3512">
        <v>17229</v>
      </c>
      <c r="B3512" t="s">
        <v>5</v>
      </c>
      <c r="C3512" t="s">
        <v>671</v>
      </c>
      <c r="D3512" t="s">
        <v>589</v>
      </c>
      <c r="E3512" t="s">
        <v>27</v>
      </c>
      <c r="F3512" t="s">
        <v>9</v>
      </c>
      <c r="G3512" t="s">
        <v>2074</v>
      </c>
      <c r="H3512" s="7">
        <v>725</v>
      </c>
    </row>
    <row r="3513" spans="1:8" x14ac:dyDescent="0.3">
      <c r="A3513">
        <v>17237</v>
      </c>
      <c r="B3513" t="s">
        <v>5</v>
      </c>
      <c r="C3513" t="s">
        <v>2017</v>
      </c>
      <c r="D3513" t="s">
        <v>663</v>
      </c>
      <c r="E3513" t="s">
        <v>8</v>
      </c>
      <c r="F3513" t="s">
        <v>9</v>
      </c>
      <c r="G3513" t="s">
        <v>4846</v>
      </c>
      <c r="H3513" s="7">
        <v>725</v>
      </c>
    </row>
    <row r="3514" spans="1:8" x14ac:dyDescent="0.3">
      <c r="A3514">
        <v>17249</v>
      </c>
      <c r="B3514" t="s">
        <v>3826</v>
      </c>
      <c r="C3514" t="s">
        <v>2898</v>
      </c>
      <c r="D3514" t="s">
        <v>916</v>
      </c>
      <c r="E3514" t="s">
        <v>95</v>
      </c>
      <c r="F3514" t="s">
        <v>21</v>
      </c>
      <c r="G3514" t="s">
        <v>4616</v>
      </c>
      <c r="H3514" s="7">
        <v>90247</v>
      </c>
    </row>
    <row r="3515" spans="1:8" x14ac:dyDescent="0.3">
      <c r="A3515">
        <v>17250</v>
      </c>
      <c r="B3515" t="s">
        <v>5</v>
      </c>
      <c r="C3515" t="s">
        <v>4189</v>
      </c>
      <c r="D3515" t="s">
        <v>2890</v>
      </c>
      <c r="E3515" t="s">
        <v>95</v>
      </c>
      <c r="F3515" t="s">
        <v>9</v>
      </c>
      <c r="G3515" t="s">
        <v>3289</v>
      </c>
      <c r="H3515" s="7">
        <v>725</v>
      </c>
    </row>
    <row r="3516" spans="1:8" x14ac:dyDescent="0.3">
      <c r="A3516">
        <v>17254</v>
      </c>
      <c r="B3516" t="s">
        <v>5</v>
      </c>
      <c r="C3516" t="s">
        <v>211</v>
      </c>
      <c r="D3516" t="s">
        <v>951</v>
      </c>
      <c r="E3516" t="s">
        <v>8</v>
      </c>
      <c r="F3516" t="s">
        <v>9</v>
      </c>
      <c r="G3516" t="s">
        <v>2668</v>
      </c>
      <c r="H3516" s="7">
        <v>725</v>
      </c>
    </row>
    <row r="3517" spans="1:8" x14ac:dyDescent="0.3">
      <c r="A3517">
        <v>17267</v>
      </c>
      <c r="B3517" t="s">
        <v>759</v>
      </c>
      <c r="C3517" t="s">
        <v>4183</v>
      </c>
      <c r="D3517" t="s">
        <v>68</v>
      </c>
      <c r="E3517" t="s">
        <v>8</v>
      </c>
      <c r="F3517" t="s">
        <v>308</v>
      </c>
      <c r="G3517" t="s">
        <v>4031</v>
      </c>
      <c r="H3517" s="7">
        <v>7093</v>
      </c>
    </row>
    <row r="3518" spans="1:8" x14ac:dyDescent="0.3">
      <c r="A3518">
        <v>17273</v>
      </c>
      <c r="B3518" t="s">
        <v>1817</v>
      </c>
      <c r="C3518" t="s">
        <v>1818</v>
      </c>
      <c r="D3518" t="s">
        <v>1819</v>
      </c>
      <c r="E3518" t="s">
        <v>8</v>
      </c>
      <c r="F3518" t="s">
        <v>1195</v>
      </c>
      <c r="G3518" t="s">
        <v>1820</v>
      </c>
      <c r="H3518" s="7">
        <v>98052</v>
      </c>
    </row>
    <row r="3519" spans="1:8" x14ac:dyDescent="0.3">
      <c r="A3519">
        <v>17295</v>
      </c>
      <c r="B3519" t="s">
        <v>5</v>
      </c>
      <c r="C3519" t="s">
        <v>2604</v>
      </c>
      <c r="D3519" t="s">
        <v>823</v>
      </c>
      <c r="E3519" t="s">
        <v>27</v>
      </c>
      <c r="F3519" t="s">
        <v>9</v>
      </c>
      <c r="G3519" t="s">
        <v>554</v>
      </c>
      <c r="H3519" s="7">
        <v>725</v>
      </c>
    </row>
    <row r="3520" spans="1:8" x14ac:dyDescent="0.3">
      <c r="A3520">
        <v>17297</v>
      </c>
      <c r="B3520" t="s">
        <v>1645</v>
      </c>
      <c r="C3520" t="s">
        <v>3099</v>
      </c>
      <c r="D3520" t="s">
        <v>1106</v>
      </c>
      <c r="E3520" t="s">
        <v>8</v>
      </c>
      <c r="F3520" t="s">
        <v>190</v>
      </c>
      <c r="G3520" t="s">
        <v>2558</v>
      </c>
      <c r="H3520" s="7">
        <v>85308</v>
      </c>
    </row>
    <row r="3521" spans="1:8" x14ac:dyDescent="0.3">
      <c r="A3521">
        <v>17298</v>
      </c>
      <c r="B3521" t="s">
        <v>1782</v>
      </c>
      <c r="C3521" t="s">
        <v>2253</v>
      </c>
      <c r="D3521" t="s">
        <v>212</v>
      </c>
      <c r="E3521" t="s">
        <v>27</v>
      </c>
      <c r="F3521" t="s">
        <v>140</v>
      </c>
      <c r="G3521" t="s">
        <v>1783</v>
      </c>
      <c r="H3521" s="7">
        <v>30067</v>
      </c>
    </row>
    <row r="3522" spans="1:8" x14ac:dyDescent="0.3">
      <c r="A3522">
        <v>17304</v>
      </c>
      <c r="B3522" t="s">
        <v>2223</v>
      </c>
      <c r="C3522" t="s">
        <v>4169</v>
      </c>
      <c r="D3522" t="s">
        <v>699</v>
      </c>
      <c r="E3522" t="s">
        <v>8</v>
      </c>
      <c r="F3522" t="s">
        <v>21</v>
      </c>
      <c r="G3522" t="s">
        <v>5425</v>
      </c>
      <c r="H3522" s="7">
        <v>91733</v>
      </c>
    </row>
    <row r="3523" spans="1:8" x14ac:dyDescent="0.3">
      <c r="A3523">
        <v>17310</v>
      </c>
      <c r="B3523" t="s">
        <v>443</v>
      </c>
      <c r="C3523" t="s">
        <v>2483</v>
      </c>
      <c r="D3523" t="s">
        <v>1871</v>
      </c>
      <c r="E3523" t="s">
        <v>8</v>
      </c>
      <c r="F3523" t="s">
        <v>108</v>
      </c>
      <c r="G3523" t="s">
        <v>3678</v>
      </c>
      <c r="H3523" s="7">
        <v>97229</v>
      </c>
    </row>
    <row r="3524" spans="1:8" x14ac:dyDescent="0.3">
      <c r="A3524">
        <v>17315</v>
      </c>
      <c r="B3524" t="s">
        <v>5</v>
      </c>
      <c r="C3524" t="s">
        <v>219</v>
      </c>
      <c r="D3524" t="s">
        <v>1158</v>
      </c>
      <c r="E3524" t="s">
        <v>8</v>
      </c>
      <c r="F3524" t="s">
        <v>9</v>
      </c>
      <c r="G3524" t="s">
        <v>3815</v>
      </c>
      <c r="H3524" s="7">
        <v>725</v>
      </c>
    </row>
    <row r="3525" spans="1:8" x14ac:dyDescent="0.3">
      <c r="A3525">
        <v>17316</v>
      </c>
      <c r="B3525" t="s">
        <v>239</v>
      </c>
      <c r="C3525" t="s">
        <v>211</v>
      </c>
      <c r="D3525" t="s">
        <v>833</v>
      </c>
      <c r="E3525" t="s">
        <v>8</v>
      </c>
      <c r="F3525" t="s">
        <v>242</v>
      </c>
      <c r="G3525" t="s">
        <v>834</v>
      </c>
      <c r="H3525" s="7">
        <v>21218</v>
      </c>
    </row>
    <row r="3526" spans="1:8" x14ac:dyDescent="0.3">
      <c r="A3526">
        <v>17317</v>
      </c>
      <c r="B3526" t="s">
        <v>5</v>
      </c>
      <c r="C3526" t="s">
        <v>216</v>
      </c>
      <c r="D3526" t="s">
        <v>562</v>
      </c>
      <c r="E3526" t="s">
        <v>8</v>
      </c>
      <c r="F3526" t="s">
        <v>9</v>
      </c>
      <c r="G3526" t="s">
        <v>563</v>
      </c>
      <c r="H3526" s="7">
        <v>725</v>
      </c>
    </row>
    <row r="3527" spans="1:8" x14ac:dyDescent="0.3">
      <c r="A3527">
        <v>17318</v>
      </c>
      <c r="B3527" t="s">
        <v>1966</v>
      </c>
      <c r="C3527" t="s">
        <v>211</v>
      </c>
      <c r="D3527" t="s">
        <v>2550</v>
      </c>
      <c r="E3527" t="s">
        <v>8</v>
      </c>
      <c r="F3527" t="s">
        <v>21</v>
      </c>
      <c r="G3527" t="s">
        <v>2551</v>
      </c>
      <c r="H3527" s="7">
        <v>92201</v>
      </c>
    </row>
    <row r="3528" spans="1:8" x14ac:dyDescent="0.3">
      <c r="A3528">
        <v>17326</v>
      </c>
      <c r="B3528" t="s">
        <v>769</v>
      </c>
      <c r="C3528" t="s">
        <v>2034</v>
      </c>
      <c r="D3528" t="s">
        <v>139</v>
      </c>
      <c r="E3528" t="s">
        <v>8</v>
      </c>
      <c r="F3528" t="s">
        <v>190</v>
      </c>
      <c r="G3528" t="s">
        <v>5018</v>
      </c>
      <c r="H3528" s="7">
        <v>85033</v>
      </c>
    </row>
    <row r="3529" spans="1:8" x14ac:dyDescent="0.3">
      <c r="A3529">
        <v>17329</v>
      </c>
      <c r="B3529" t="s">
        <v>769</v>
      </c>
      <c r="C3529" t="s">
        <v>1659</v>
      </c>
      <c r="D3529" t="s">
        <v>3484</v>
      </c>
      <c r="E3529" t="s">
        <v>8</v>
      </c>
      <c r="F3529" t="s">
        <v>190</v>
      </c>
      <c r="G3529" t="s">
        <v>3485</v>
      </c>
      <c r="H3529" s="7">
        <v>85008</v>
      </c>
    </row>
    <row r="3530" spans="1:8" x14ac:dyDescent="0.3">
      <c r="A3530">
        <v>17333</v>
      </c>
      <c r="B3530" t="s">
        <v>254</v>
      </c>
      <c r="C3530" t="s">
        <v>1564</v>
      </c>
      <c r="D3530" t="s">
        <v>3026</v>
      </c>
      <c r="E3530" t="s">
        <v>8</v>
      </c>
      <c r="F3530" t="s">
        <v>55</v>
      </c>
      <c r="G3530" t="s">
        <v>3027</v>
      </c>
      <c r="H3530" s="7">
        <v>60615</v>
      </c>
    </row>
    <row r="3531" spans="1:8" x14ac:dyDescent="0.3">
      <c r="A3531">
        <v>17337</v>
      </c>
      <c r="B3531" t="s">
        <v>2299</v>
      </c>
      <c r="C3531" t="s">
        <v>3993</v>
      </c>
      <c r="D3531" t="s">
        <v>3040</v>
      </c>
      <c r="E3531" t="s">
        <v>8</v>
      </c>
      <c r="F3531" t="s">
        <v>140</v>
      </c>
      <c r="G3531" t="s">
        <v>5460</v>
      </c>
      <c r="H3531" s="7">
        <v>30331</v>
      </c>
    </row>
    <row r="3532" spans="1:8" x14ac:dyDescent="0.3">
      <c r="A3532">
        <v>17340</v>
      </c>
      <c r="B3532" t="s">
        <v>92</v>
      </c>
      <c r="C3532" t="s">
        <v>3368</v>
      </c>
      <c r="D3532" t="s">
        <v>1831</v>
      </c>
      <c r="E3532" t="s">
        <v>8</v>
      </c>
      <c r="F3532" t="s">
        <v>9</v>
      </c>
      <c r="G3532" t="s">
        <v>3369</v>
      </c>
      <c r="H3532" s="7">
        <v>957</v>
      </c>
    </row>
    <row r="3533" spans="1:8" x14ac:dyDescent="0.3">
      <c r="A3533">
        <v>17341</v>
      </c>
      <c r="B3533" t="s">
        <v>789</v>
      </c>
      <c r="C3533" t="s">
        <v>2740</v>
      </c>
      <c r="D3533" t="s">
        <v>2015</v>
      </c>
      <c r="E3533" t="s">
        <v>8</v>
      </c>
      <c r="F3533" t="s">
        <v>21</v>
      </c>
      <c r="G3533" t="s">
        <v>2849</v>
      </c>
      <c r="H3533" s="7">
        <v>92802</v>
      </c>
    </row>
    <row r="3534" spans="1:8" x14ac:dyDescent="0.3">
      <c r="A3534">
        <v>17342</v>
      </c>
      <c r="B3534" t="s">
        <v>5</v>
      </c>
      <c r="C3534" t="s">
        <v>1359</v>
      </c>
      <c r="D3534" t="s">
        <v>1360</v>
      </c>
      <c r="E3534" t="s">
        <v>8</v>
      </c>
      <c r="F3534" t="s">
        <v>9</v>
      </c>
      <c r="G3534" t="s">
        <v>1361</v>
      </c>
      <c r="H3534" s="7">
        <v>725</v>
      </c>
    </row>
    <row r="3535" spans="1:8" x14ac:dyDescent="0.3">
      <c r="A3535">
        <v>17345</v>
      </c>
      <c r="B3535" t="s">
        <v>4092</v>
      </c>
      <c r="C3535" t="s">
        <v>2985</v>
      </c>
      <c r="D3535" t="s">
        <v>3425</v>
      </c>
      <c r="E3535" t="s">
        <v>95</v>
      </c>
      <c r="F3535" t="s">
        <v>114</v>
      </c>
      <c r="G3535" t="s">
        <v>346</v>
      </c>
      <c r="H3535" s="7">
        <v>78596</v>
      </c>
    </row>
    <row r="3536" spans="1:8" x14ac:dyDescent="0.3">
      <c r="A3536">
        <v>17354</v>
      </c>
      <c r="B3536" t="s">
        <v>5</v>
      </c>
      <c r="C3536" t="s">
        <v>5654</v>
      </c>
      <c r="E3536" t="s">
        <v>27</v>
      </c>
      <c r="F3536" t="s">
        <v>9</v>
      </c>
      <c r="G3536" t="s">
        <v>4232</v>
      </c>
      <c r="H3536" s="7">
        <v>725</v>
      </c>
    </row>
    <row r="3537" spans="1:8" x14ac:dyDescent="0.3">
      <c r="A3537">
        <v>17356</v>
      </c>
      <c r="B3537" t="s">
        <v>254</v>
      </c>
      <c r="C3537" t="s">
        <v>2479</v>
      </c>
      <c r="D3537" t="s">
        <v>1058</v>
      </c>
      <c r="E3537" t="s">
        <v>27</v>
      </c>
      <c r="F3537" t="s">
        <v>55</v>
      </c>
      <c r="G3537" t="s">
        <v>5383</v>
      </c>
      <c r="H3537" s="7">
        <v>60632</v>
      </c>
    </row>
    <row r="3538" spans="1:8" x14ac:dyDescent="0.3">
      <c r="A3538">
        <v>17361</v>
      </c>
      <c r="B3538" t="s">
        <v>3523</v>
      </c>
      <c r="C3538" t="s">
        <v>874</v>
      </c>
      <c r="D3538" t="s">
        <v>113</v>
      </c>
      <c r="E3538" t="s">
        <v>8</v>
      </c>
      <c r="F3538" t="s">
        <v>9</v>
      </c>
      <c r="G3538" t="s">
        <v>3627</v>
      </c>
      <c r="H3538" s="7">
        <v>685</v>
      </c>
    </row>
    <row r="3539" spans="1:8" x14ac:dyDescent="0.3">
      <c r="A3539">
        <v>17365</v>
      </c>
      <c r="B3539" t="s">
        <v>2106</v>
      </c>
      <c r="C3539" t="s">
        <v>170</v>
      </c>
      <c r="D3539" t="s">
        <v>282</v>
      </c>
      <c r="E3539" t="s">
        <v>8</v>
      </c>
      <c r="F3539" t="s">
        <v>21</v>
      </c>
      <c r="G3539" t="s">
        <v>2107</v>
      </c>
      <c r="H3539" s="7">
        <v>92507</v>
      </c>
    </row>
    <row r="3540" spans="1:8" x14ac:dyDescent="0.3">
      <c r="A3540">
        <v>17376</v>
      </c>
      <c r="B3540" t="s">
        <v>981</v>
      </c>
      <c r="C3540" t="s">
        <v>2097</v>
      </c>
      <c r="D3540" t="s">
        <v>2091</v>
      </c>
      <c r="E3540" t="s">
        <v>8</v>
      </c>
      <c r="F3540" t="s">
        <v>114</v>
      </c>
      <c r="G3540" t="s">
        <v>2098</v>
      </c>
      <c r="H3540" s="7">
        <v>75150</v>
      </c>
    </row>
    <row r="3541" spans="1:8" x14ac:dyDescent="0.3">
      <c r="A3541">
        <v>17378</v>
      </c>
      <c r="B3541" t="s">
        <v>1139</v>
      </c>
      <c r="C3541" t="s">
        <v>3492</v>
      </c>
      <c r="D3541" t="s">
        <v>1992</v>
      </c>
      <c r="E3541" t="s">
        <v>8</v>
      </c>
      <c r="F3541" t="s">
        <v>114</v>
      </c>
      <c r="G3541" t="s">
        <v>3493</v>
      </c>
      <c r="H3541" s="7">
        <v>79927</v>
      </c>
    </row>
    <row r="3542" spans="1:8" x14ac:dyDescent="0.3">
      <c r="A3542">
        <v>17381</v>
      </c>
      <c r="B3542" t="s">
        <v>699</v>
      </c>
      <c r="C3542" t="s">
        <v>19</v>
      </c>
      <c r="D3542" t="s">
        <v>3089</v>
      </c>
      <c r="E3542" t="s">
        <v>95</v>
      </c>
      <c r="F3542" t="s">
        <v>114</v>
      </c>
      <c r="G3542" t="s">
        <v>3090</v>
      </c>
      <c r="H3542" s="7">
        <v>77088</v>
      </c>
    </row>
    <row r="3543" spans="1:8" x14ac:dyDescent="0.3">
      <c r="A3543">
        <v>17383</v>
      </c>
      <c r="B3543" t="s">
        <v>508</v>
      </c>
      <c r="C3543" t="s">
        <v>180</v>
      </c>
      <c r="D3543" t="s">
        <v>5025</v>
      </c>
      <c r="E3543" t="s">
        <v>27</v>
      </c>
      <c r="F3543" t="s">
        <v>114</v>
      </c>
      <c r="G3543" t="s">
        <v>4437</v>
      </c>
      <c r="H3543" s="7">
        <v>75240</v>
      </c>
    </row>
    <row r="3544" spans="1:8" x14ac:dyDescent="0.3">
      <c r="A3544">
        <v>17388</v>
      </c>
      <c r="B3544" t="s">
        <v>2330</v>
      </c>
      <c r="C3544" t="s">
        <v>151</v>
      </c>
      <c r="D3544" t="s">
        <v>924</v>
      </c>
      <c r="E3544" t="s">
        <v>8</v>
      </c>
      <c r="F3544" t="s">
        <v>1177</v>
      </c>
      <c r="G3544" t="s">
        <v>5190</v>
      </c>
      <c r="H3544" s="7">
        <v>87124</v>
      </c>
    </row>
    <row r="3545" spans="1:8" x14ac:dyDescent="0.3">
      <c r="A3545">
        <v>17392</v>
      </c>
      <c r="B3545" t="s">
        <v>120</v>
      </c>
      <c r="C3545" t="s">
        <v>121</v>
      </c>
      <c r="D3545" t="s">
        <v>122</v>
      </c>
      <c r="E3545" t="s">
        <v>27</v>
      </c>
      <c r="F3545" t="s">
        <v>21</v>
      </c>
      <c r="G3545" t="s">
        <v>123</v>
      </c>
      <c r="H3545" s="7">
        <v>92870</v>
      </c>
    </row>
    <row r="3546" spans="1:8" x14ac:dyDescent="0.3">
      <c r="A3546">
        <v>17393</v>
      </c>
      <c r="B3546" t="s">
        <v>5</v>
      </c>
      <c r="C3546" t="s">
        <v>944</v>
      </c>
      <c r="D3546" t="s">
        <v>945</v>
      </c>
      <c r="E3546" t="s">
        <v>27</v>
      </c>
      <c r="F3546" t="s">
        <v>9</v>
      </c>
      <c r="G3546" t="s">
        <v>946</v>
      </c>
      <c r="H3546" s="7">
        <v>725</v>
      </c>
    </row>
    <row r="3547" spans="1:8" x14ac:dyDescent="0.3">
      <c r="A3547">
        <v>17394</v>
      </c>
      <c r="B3547" t="s">
        <v>2851</v>
      </c>
      <c r="C3547" t="s">
        <v>2280</v>
      </c>
      <c r="D3547" t="s">
        <v>2852</v>
      </c>
      <c r="E3547" t="s">
        <v>8</v>
      </c>
      <c r="F3547" t="s">
        <v>114</v>
      </c>
      <c r="G3547" t="s">
        <v>2853</v>
      </c>
      <c r="H3547" s="7">
        <v>77450</v>
      </c>
    </row>
    <row r="3548" spans="1:8" x14ac:dyDescent="0.3">
      <c r="A3548">
        <v>17396</v>
      </c>
      <c r="B3548" t="s">
        <v>2243</v>
      </c>
      <c r="C3548" t="s">
        <v>132</v>
      </c>
      <c r="D3548" t="s">
        <v>1568</v>
      </c>
      <c r="E3548" t="s">
        <v>95</v>
      </c>
      <c r="F3548" t="s">
        <v>248</v>
      </c>
      <c r="G3548" t="s">
        <v>3114</v>
      </c>
      <c r="H3548" s="7">
        <v>44107</v>
      </c>
    </row>
    <row r="3549" spans="1:8" x14ac:dyDescent="0.3">
      <c r="A3549">
        <v>17397</v>
      </c>
      <c r="B3549" t="s">
        <v>343</v>
      </c>
      <c r="C3549" t="s">
        <v>3470</v>
      </c>
      <c r="D3549" t="s">
        <v>3741</v>
      </c>
      <c r="E3549" t="s">
        <v>95</v>
      </c>
      <c r="F3549" t="s">
        <v>248</v>
      </c>
      <c r="G3549" t="s">
        <v>3742</v>
      </c>
      <c r="H3549" s="7">
        <v>43207</v>
      </c>
    </row>
    <row r="3550" spans="1:8" x14ac:dyDescent="0.3">
      <c r="A3550">
        <v>17401</v>
      </c>
      <c r="B3550" t="s">
        <v>2762</v>
      </c>
      <c r="C3550" t="s">
        <v>1594</v>
      </c>
      <c r="D3550" t="s">
        <v>1948</v>
      </c>
      <c r="E3550" t="s">
        <v>95</v>
      </c>
      <c r="F3550" t="s">
        <v>114</v>
      </c>
      <c r="G3550" t="s">
        <v>2763</v>
      </c>
      <c r="H3550" s="7">
        <v>77520</v>
      </c>
    </row>
    <row r="3551" spans="1:8" x14ac:dyDescent="0.3">
      <c r="A3551">
        <v>17409</v>
      </c>
      <c r="B3551" t="s">
        <v>5</v>
      </c>
      <c r="C3551" t="s">
        <v>126</v>
      </c>
      <c r="D3551" t="s">
        <v>4452</v>
      </c>
      <c r="E3551" t="s">
        <v>95</v>
      </c>
      <c r="F3551" t="s">
        <v>9</v>
      </c>
      <c r="G3551" t="s">
        <v>4256</v>
      </c>
      <c r="H3551" s="7">
        <v>725</v>
      </c>
    </row>
    <row r="3552" spans="1:8" x14ac:dyDescent="0.3">
      <c r="A3552">
        <v>17412</v>
      </c>
      <c r="B3552" t="s">
        <v>142</v>
      </c>
      <c r="C3552" t="s">
        <v>81</v>
      </c>
      <c r="D3552" t="s">
        <v>319</v>
      </c>
      <c r="E3552" t="s">
        <v>8</v>
      </c>
      <c r="F3552" t="s">
        <v>88</v>
      </c>
      <c r="G3552" t="s">
        <v>4692</v>
      </c>
      <c r="H3552" s="7">
        <v>10463</v>
      </c>
    </row>
    <row r="3553" spans="1:8" x14ac:dyDescent="0.3">
      <c r="A3553">
        <v>17413</v>
      </c>
      <c r="B3553" t="s">
        <v>2488</v>
      </c>
      <c r="C3553" t="s">
        <v>1395</v>
      </c>
      <c r="D3553" t="s">
        <v>1251</v>
      </c>
      <c r="E3553" t="s">
        <v>27</v>
      </c>
      <c r="F3553" t="s">
        <v>248</v>
      </c>
      <c r="G3553" t="s">
        <v>2489</v>
      </c>
      <c r="H3553" s="7">
        <v>43081</v>
      </c>
    </row>
    <row r="3554" spans="1:8" x14ac:dyDescent="0.3">
      <c r="A3554">
        <v>17416</v>
      </c>
      <c r="B3554" t="s">
        <v>851</v>
      </c>
      <c r="C3554" t="s">
        <v>1150</v>
      </c>
      <c r="D3554" t="s">
        <v>1151</v>
      </c>
      <c r="E3554" t="s">
        <v>8</v>
      </c>
      <c r="F3554" t="s">
        <v>21</v>
      </c>
      <c r="G3554" t="s">
        <v>1152</v>
      </c>
      <c r="H3554" s="7">
        <v>92404</v>
      </c>
    </row>
    <row r="3555" spans="1:8" x14ac:dyDescent="0.3">
      <c r="A3555">
        <v>17417</v>
      </c>
      <c r="B3555" t="s">
        <v>1549</v>
      </c>
      <c r="C3555" t="s">
        <v>1592</v>
      </c>
      <c r="D3555" t="s">
        <v>2266</v>
      </c>
      <c r="E3555" t="s">
        <v>27</v>
      </c>
      <c r="F3555" t="s">
        <v>21</v>
      </c>
      <c r="G3555" t="s">
        <v>2267</v>
      </c>
      <c r="H3555" s="7">
        <v>90630</v>
      </c>
    </row>
    <row r="3556" spans="1:8" x14ac:dyDescent="0.3">
      <c r="A3556">
        <v>17418</v>
      </c>
      <c r="B3556" t="s">
        <v>5</v>
      </c>
      <c r="C3556" t="s">
        <v>2090</v>
      </c>
      <c r="D3556" t="s">
        <v>598</v>
      </c>
      <c r="E3556" t="s">
        <v>95</v>
      </c>
      <c r="F3556" t="s">
        <v>9</v>
      </c>
      <c r="G3556" t="s">
        <v>3519</v>
      </c>
      <c r="H3556" s="7">
        <v>725</v>
      </c>
    </row>
    <row r="3557" spans="1:8" x14ac:dyDescent="0.3">
      <c r="A3557">
        <v>17419</v>
      </c>
      <c r="B3557" t="s">
        <v>3008</v>
      </c>
      <c r="C3557" t="s">
        <v>3120</v>
      </c>
      <c r="D3557" t="s">
        <v>223</v>
      </c>
      <c r="E3557" t="s">
        <v>95</v>
      </c>
      <c r="F3557" t="s">
        <v>158</v>
      </c>
      <c r="G3557" t="s">
        <v>3121</v>
      </c>
      <c r="H3557" s="7">
        <v>38111</v>
      </c>
    </row>
    <row r="3558" spans="1:8" x14ac:dyDescent="0.3">
      <c r="A3558">
        <v>17420</v>
      </c>
      <c r="B3558" t="s">
        <v>5</v>
      </c>
      <c r="C3558" t="s">
        <v>895</v>
      </c>
      <c r="D3558" t="s">
        <v>1288</v>
      </c>
      <c r="E3558" t="s">
        <v>95</v>
      </c>
      <c r="F3558" t="s">
        <v>9</v>
      </c>
      <c r="G3558" t="s">
        <v>1708</v>
      </c>
      <c r="H3558" s="7">
        <v>725</v>
      </c>
    </row>
    <row r="3559" spans="1:8" x14ac:dyDescent="0.3">
      <c r="A3559">
        <v>17444</v>
      </c>
      <c r="B3559" t="s">
        <v>215</v>
      </c>
      <c r="C3559" t="s">
        <v>25</v>
      </c>
      <c r="D3559" t="s">
        <v>1948</v>
      </c>
      <c r="E3559" t="s">
        <v>8</v>
      </c>
      <c r="F3559" t="s">
        <v>190</v>
      </c>
      <c r="G3559" t="s">
        <v>1949</v>
      </c>
      <c r="H3559" s="7">
        <v>85201</v>
      </c>
    </row>
    <row r="3560" spans="1:8" x14ac:dyDescent="0.3">
      <c r="A3560">
        <v>17445</v>
      </c>
      <c r="B3560" t="s">
        <v>5</v>
      </c>
      <c r="C3560" t="s">
        <v>1999</v>
      </c>
      <c r="D3560" t="s">
        <v>282</v>
      </c>
      <c r="E3560" t="s">
        <v>27</v>
      </c>
      <c r="F3560" t="s">
        <v>9</v>
      </c>
      <c r="G3560" t="s">
        <v>2000</v>
      </c>
      <c r="H3560" s="7">
        <v>725</v>
      </c>
    </row>
    <row r="3561" spans="1:8" x14ac:dyDescent="0.3">
      <c r="A3561">
        <v>17446</v>
      </c>
      <c r="B3561" t="s">
        <v>699</v>
      </c>
      <c r="C3561" t="s">
        <v>2417</v>
      </c>
      <c r="D3561" t="s">
        <v>1840</v>
      </c>
      <c r="E3561" t="s">
        <v>27</v>
      </c>
      <c r="F3561" t="s">
        <v>114</v>
      </c>
      <c r="G3561" t="s">
        <v>3940</v>
      </c>
      <c r="H3561" s="7">
        <v>77088</v>
      </c>
    </row>
    <row r="3562" spans="1:8" x14ac:dyDescent="0.3">
      <c r="A3562">
        <v>17447</v>
      </c>
      <c r="B3562" t="s">
        <v>5</v>
      </c>
      <c r="C3562" t="s">
        <v>3858</v>
      </c>
      <c r="D3562" t="s">
        <v>4103</v>
      </c>
      <c r="E3562" t="s">
        <v>8</v>
      </c>
      <c r="F3562" t="s">
        <v>9</v>
      </c>
      <c r="G3562" t="s">
        <v>2029</v>
      </c>
      <c r="H3562" s="7">
        <v>725</v>
      </c>
    </row>
    <row r="3563" spans="1:8" x14ac:dyDescent="0.3">
      <c r="A3563">
        <v>17448</v>
      </c>
      <c r="B3563" t="s">
        <v>2778</v>
      </c>
      <c r="C3563" t="s">
        <v>1409</v>
      </c>
      <c r="D3563" t="s">
        <v>778</v>
      </c>
      <c r="E3563" t="s">
        <v>8</v>
      </c>
      <c r="F3563" t="s">
        <v>1657</v>
      </c>
      <c r="G3563" t="s">
        <v>4639</v>
      </c>
      <c r="H3563" s="7">
        <v>6082</v>
      </c>
    </row>
    <row r="3564" spans="1:8" x14ac:dyDescent="0.3">
      <c r="A3564">
        <v>17451</v>
      </c>
      <c r="B3564" t="s">
        <v>5</v>
      </c>
      <c r="C3564" t="s">
        <v>3099</v>
      </c>
      <c r="D3564" t="s">
        <v>506</v>
      </c>
      <c r="E3564" t="s">
        <v>95</v>
      </c>
      <c r="F3564" t="s">
        <v>9</v>
      </c>
      <c r="G3564" t="s">
        <v>5396</v>
      </c>
      <c r="H3564" s="7">
        <v>725</v>
      </c>
    </row>
    <row r="3565" spans="1:8" x14ac:dyDescent="0.3">
      <c r="A3565">
        <v>17453</v>
      </c>
      <c r="B3565" t="s">
        <v>5</v>
      </c>
      <c r="C3565" t="s">
        <v>3480</v>
      </c>
      <c r="D3565" t="s">
        <v>3269</v>
      </c>
      <c r="E3565" t="s">
        <v>8</v>
      </c>
      <c r="F3565" t="s">
        <v>9</v>
      </c>
      <c r="G3565" t="s">
        <v>5205</v>
      </c>
      <c r="H3565" s="7">
        <v>725</v>
      </c>
    </row>
    <row r="3566" spans="1:8" x14ac:dyDescent="0.3">
      <c r="A3566">
        <v>17458</v>
      </c>
      <c r="B3566" t="s">
        <v>772</v>
      </c>
      <c r="C3566" t="s">
        <v>692</v>
      </c>
      <c r="D3566" t="s">
        <v>1176</v>
      </c>
      <c r="E3566" t="s">
        <v>8</v>
      </c>
      <c r="F3566" t="s">
        <v>21</v>
      </c>
      <c r="G3566" t="s">
        <v>3977</v>
      </c>
      <c r="H3566" s="7">
        <v>95608</v>
      </c>
    </row>
    <row r="3567" spans="1:8" x14ac:dyDescent="0.3">
      <c r="A3567">
        <v>17459</v>
      </c>
      <c r="B3567" t="s">
        <v>2516</v>
      </c>
      <c r="C3567" t="s">
        <v>199</v>
      </c>
      <c r="D3567" t="s">
        <v>2245</v>
      </c>
      <c r="E3567" t="s">
        <v>27</v>
      </c>
      <c r="F3567" t="s">
        <v>88</v>
      </c>
      <c r="G3567" t="s">
        <v>4114</v>
      </c>
      <c r="H3567" s="7">
        <v>12550</v>
      </c>
    </row>
    <row r="3568" spans="1:8" x14ac:dyDescent="0.3">
      <c r="A3568">
        <v>17460</v>
      </c>
      <c r="B3568" t="s">
        <v>508</v>
      </c>
      <c r="C3568" t="s">
        <v>1057</v>
      </c>
      <c r="D3568" t="s">
        <v>2018</v>
      </c>
      <c r="E3568" t="s">
        <v>27</v>
      </c>
      <c r="F3568" t="s">
        <v>114</v>
      </c>
      <c r="G3568" t="s">
        <v>1846</v>
      </c>
      <c r="H3568" s="7">
        <v>75287</v>
      </c>
    </row>
    <row r="3569" spans="1:8" x14ac:dyDescent="0.3">
      <c r="A3569">
        <v>17462</v>
      </c>
      <c r="B3569" t="s">
        <v>1635</v>
      </c>
      <c r="C3569" t="s">
        <v>1572</v>
      </c>
      <c r="D3569" t="s">
        <v>4479</v>
      </c>
      <c r="E3569" t="s">
        <v>27</v>
      </c>
      <c r="F3569" t="s">
        <v>1177</v>
      </c>
      <c r="G3569" t="s">
        <v>5489</v>
      </c>
      <c r="H3569" s="7">
        <v>87120</v>
      </c>
    </row>
    <row r="3570" spans="1:8" x14ac:dyDescent="0.3">
      <c r="A3570">
        <v>17465</v>
      </c>
      <c r="B3570" t="s">
        <v>5</v>
      </c>
      <c r="C3570" t="s">
        <v>3909</v>
      </c>
      <c r="D3570" t="s">
        <v>4248</v>
      </c>
      <c r="E3570" t="s">
        <v>95</v>
      </c>
      <c r="F3570" t="s">
        <v>9</v>
      </c>
      <c r="G3570" t="s">
        <v>1393</v>
      </c>
      <c r="H3570" s="7">
        <v>725</v>
      </c>
    </row>
    <row r="3571" spans="1:8" x14ac:dyDescent="0.3">
      <c r="A3571">
        <v>17466</v>
      </c>
      <c r="B3571" t="s">
        <v>1635</v>
      </c>
      <c r="C3571" t="s">
        <v>1103</v>
      </c>
      <c r="D3571" t="s">
        <v>2545</v>
      </c>
      <c r="E3571" t="s">
        <v>8</v>
      </c>
      <c r="F3571" t="s">
        <v>1177</v>
      </c>
      <c r="G3571" t="s">
        <v>4785</v>
      </c>
      <c r="H3571" s="7">
        <v>87120</v>
      </c>
    </row>
    <row r="3572" spans="1:8" x14ac:dyDescent="0.3">
      <c r="A3572">
        <v>17467</v>
      </c>
      <c r="B3572" t="s">
        <v>5</v>
      </c>
      <c r="C3572" t="s">
        <v>1065</v>
      </c>
      <c r="D3572" t="s">
        <v>2539</v>
      </c>
      <c r="E3572" t="s">
        <v>27</v>
      </c>
      <c r="F3572" t="s">
        <v>9</v>
      </c>
      <c r="G3572" t="s">
        <v>4838</v>
      </c>
      <c r="H3572" s="7">
        <v>725</v>
      </c>
    </row>
    <row r="3573" spans="1:8" x14ac:dyDescent="0.3">
      <c r="A3573">
        <v>17468</v>
      </c>
      <c r="B3573" t="s">
        <v>495</v>
      </c>
      <c r="C3573" t="s">
        <v>2965</v>
      </c>
      <c r="D3573" t="s">
        <v>1030</v>
      </c>
      <c r="E3573" t="s">
        <v>8</v>
      </c>
      <c r="F3573" t="s">
        <v>88</v>
      </c>
      <c r="G3573" t="s">
        <v>2809</v>
      </c>
      <c r="H3573" s="7">
        <v>11221</v>
      </c>
    </row>
    <row r="3574" spans="1:8" x14ac:dyDescent="0.3">
      <c r="A3574">
        <v>17480</v>
      </c>
      <c r="B3574" t="s">
        <v>997</v>
      </c>
      <c r="C3574" t="s">
        <v>1294</v>
      </c>
      <c r="D3574" t="s">
        <v>2284</v>
      </c>
      <c r="E3574" t="s">
        <v>27</v>
      </c>
      <c r="F3574" t="s">
        <v>2654</v>
      </c>
      <c r="G3574" t="s">
        <v>3112</v>
      </c>
      <c r="H3574" s="7">
        <v>19702</v>
      </c>
    </row>
    <row r="3575" spans="1:8" x14ac:dyDescent="0.3">
      <c r="A3575">
        <v>17482</v>
      </c>
      <c r="B3575" t="s">
        <v>3689</v>
      </c>
      <c r="C3575" t="s">
        <v>2417</v>
      </c>
      <c r="D3575" t="s">
        <v>1137</v>
      </c>
      <c r="E3575" t="s">
        <v>95</v>
      </c>
      <c r="F3575" t="s">
        <v>1177</v>
      </c>
      <c r="G3575" t="s">
        <v>5007</v>
      </c>
      <c r="H3575" s="7">
        <v>87505</v>
      </c>
    </row>
    <row r="3576" spans="1:8" x14ac:dyDescent="0.3">
      <c r="A3576">
        <v>17485</v>
      </c>
      <c r="B3576" t="s">
        <v>2270</v>
      </c>
      <c r="C3576" t="s">
        <v>2271</v>
      </c>
      <c r="D3576" t="s">
        <v>2272</v>
      </c>
      <c r="E3576" t="s">
        <v>27</v>
      </c>
      <c r="F3576" t="s">
        <v>55</v>
      </c>
      <c r="G3576" t="s">
        <v>2273</v>
      </c>
      <c r="H3576" s="7">
        <v>60188</v>
      </c>
    </row>
    <row r="3577" spans="1:8" x14ac:dyDescent="0.3">
      <c r="A3577">
        <v>17487</v>
      </c>
      <c r="B3577" t="s">
        <v>5</v>
      </c>
      <c r="C3577" t="s">
        <v>3099</v>
      </c>
      <c r="D3577" t="s">
        <v>273</v>
      </c>
      <c r="E3577" t="s">
        <v>95</v>
      </c>
      <c r="F3577" t="s">
        <v>9</v>
      </c>
      <c r="G3577" t="s">
        <v>1760</v>
      </c>
      <c r="H3577" s="7">
        <v>725</v>
      </c>
    </row>
    <row r="3578" spans="1:8" x14ac:dyDescent="0.3">
      <c r="A3578">
        <v>17510</v>
      </c>
      <c r="B3578" t="s">
        <v>1143</v>
      </c>
      <c r="C3578" t="s">
        <v>1153</v>
      </c>
      <c r="D3578" t="s">
        <v>2065</v>
      </c>
      <c r="E3578" t="s">
        <v>8</v>
      </c>
      <c r="F3578" t="s">
        <v>1145</v>
      </c>
      <c r="G3578" t="s">
        <v>4566</v>
      </c>
      <c r="H3578" s="7">
        <v>53209</v>
      </c>
    </row>
    <row r="3579" spans="1:8" x14ac:dyDescent="0.3">
      <c r="A3579">
        <v>17511</v>
      </c>
      <c r="B3579" t="s">
        <v>5</v>
      </c>
      <c r="C3579" t="s">
        <v>1572</v>
      </c>
      <c r="D3579" t="s">
        <v>1080</v>
      </c>
      <c r="E3579" t="s">
        <v>27</v>
      </c>
      <c r="F3579" t="s">
        <v>9</v>
      </c>
      <c r="G3579" t="s">
        <v>3300</v>
      </c>
      <c r="H3579" s="7">
        <v>725</v>
      </c>
    </row>
    <row r="3580" spans="1:8" x14ac:dyDescent="0.3">
      <c r="A3580">
        <v>17513</v>
      </c>
      <c r="B3580" t="s">
        <v>495</v>
      </c>
      <c r="C3580" t="s">
        <v>328</v>
      </c>
      <c r="D3580" t="s">
        <v>333</v>
      </c>
      <c r="E3580" t="s">
        <v>27</v>
      </c>
      <c r="F3580" t="s">
        <v>88</v>
      </c>
      <c r="G3580" t="s">
        <v>1498</v>
      </c>
      <c r="H3580" s="7">
        <v>11224</v>
      </c>
    </row>
    <row r="3581" spans="1:8" x14ac:dyDescent="0.3">
      <c r="A3581">
        <v>17514</v>
      </c>
      <c r="B3581" t="s">
        <v>1276</v>
      </c>
      <c r="C3581" t="s">
        <v>1140</v>
      </c>
      <c r="D3581" t="s">
        <v>64</v>
      </c>
      <c r="E3581" t="s">
        <v>27</v>
      </c>
      <c r="F3581" t="s">
        <v>341</v>
      </c>
      <c r="G3581" t="s">
        <v>1668</v>
      </c>
      <c r="H3581" s="7">
        <v>27502</v>
      </c>
    </row>
    <row r="3582" spans="1:8" x14ac:dyDescent="0.3">
      <c r="A3582">
        <v>17515</v>
      </c>
      <c r="B3582" t="s">
        <v>5</v>
      </c>
      <c r="C3582" t="s">
        <v>3311</v>
      </c>
      <c r="D3582" t="s">
        <v>2890</v>
      </c>
      <c r="E3582" t="s">
        <v>27</v>
      </c>
      <c r="F3582" t="s">
        <v>9</v>
      </c>
      <c r="G3582" t="s">
        <v>3312</v>
      </c>
      <c r="H3582" s="7">
        <v>725</v>
      </c>
    </row>
    <row r="3583" spans="1:8" x14ac:dyDescent="0.3">
      <c r="A3583">
        <v>17516</v>
      </c>
      <c r="B3583" t="s">
        <v>656</v>
      </c>
      <c r="C3583" t="s">
        <v>2807</v>
      </c>
      <c r="D3583" t="s">
        <v>1472</v>
      </c>
      <c r="E3583" t="s">
        <v>27</v>
      </c>
      <c r="F3583" t="s">
        <v>77</v>
      </c>
      <c r="G3583" t="s">
        <v>2375</v>
      </c>
      <c r="H3583" s="7">
        <v>19148</v>
      </c>
    </row>
    <row r="3584" spans="1:8" x14ac:dyDescent="0.3">
      <c r="A3584">
        <v>17528</v>
      </c>
      <c r="B3584" t="s">
        <v>854</v>
      </c>
      <c r="C3584" t="s">
        <v>1665</v>
      </c>
      <c r="D3584" t="s">
        <v>2162</v>
      </c>
      <c r="E3584" t="s">
        <v>8</v>
      </c>
      <c r="F3584" t="s">
        <v>108</v>
      </c>
      <c r="G3584" t="s">
        <v>2163</v>
      </c>
      <c r="H3584" s="7">
        <v>97303</v>
      </c>
    </row>
    <row r="3585" spans="1:8" x14ac:dyDescent="0.3">
      <c r="A3585">
        <v>17529</v>
      </c>
      <c r="B3585" t="s">
        <v>5</v>
      </c>
      <c r="C3585" t="s">
        <v>3816</v>
      </c>
      <c r="D3585" t="s">
        <v>2038</v>
      </c>
      <c r="E3585" t="s">
        <v>8</v>
      </c>
      <c r="F3585" t="s">
        <v>9</v>
      </c>
      <c r="G3585" t="s">
        <v>3817</v>
      </c>
      <c r="H3585" s="7">
        <v>725</v>
      </c>
    </row>
    <row r="3586" spans="1:8" x14ac:dyDescent="0.3">
      <c r="A3586">
        <v>17530</v>
      </c>
      <c r="B3586" t="s">
        <v>1652</v>
      </c>
      <c r="C3586" t="s">
        <v>1653</v>
      </c>
      <c r="D3586" t="s">
        <v>852</v>
      </c>
      <c r="E3586" t="s">
        <v>27</v>
      </c>
      <c r="F3586" t="s">
        <v>381</v>
      </c>
      <c r="G3586" t="s">
        <v>1654</v>
      </c>
      <c r="H3586" s="7">
        <v>48197</v>
      </c>
    </row>
    <row r="3587" spans="1:8" x14ac:dyDescent="0.3">
      <c r="A3587">
        <v>17535</v>
      </c>
      <c r="B3587" t="s">
        <v>5</v>
      </c>
      <c r="C3587" t="s">
        <v>841</v>
      </c>
      <c r="D3587" t="s">
        <v>3110</v>
      </c>
      <c r="E3587" t="s">
        <v>27</v>
      </c>
      <c r="F3587" t="s">
        <v>9</v>
      </c>
      <c r="G3587" t="s">
        <v>5667</v>
      </c>
      <c r="H3587" s="7">
        <v>725</v>
      </c>
    </row>
    <row r="3588" spans="1:8" x14ac:dyDescent="0.3">
      <c r="A3588">
        <v>17543</v>
      </c>
      <c r="B3588" t="s">
        <v>656</v>
      </c>
      <c r="C3588" t="s">
        <v>1604</v>
      </c>
      <c r="D3588" t="s">
        <v>1066</v>
      </c>
      <c r="E3588" t="s">
        <v>95</v>
      </c>
      <c r="F3588" t="s">
        <v>77</v>
      </c>
      <c r="G3588" t="s">
        <v>4311</v>
      </c>
      <c r="H3588" s="7">
        <v>19144</v>
      </c>
    </row>
    <row r="3589" spans="1:8" x14ac:dyDescent="0.3">
      <c r="A3589">
        <v>17544</v>
      </c>
      <c r="B3589" t="s">
        <v>5</v>
      </c>
      <c r="C3589" t="s">
        <v>5183</v>
      </c>
      <c r="D3589" t="s">
        <v>2115</v>
      </c>
      <c r="E3589" t="s">
        <v>95</v>
      </c>
      <c r="F3589" t="s">
        <v>9</v>
      </c>
      <c r="G3589" t="s">
        <v>3639</v>
      </c>
      <c r="H3589" s="7">
        <v>725</v>
      </c>
    </row>
    <row r="3590" spans="1:8" x14ac:dyDescent="0.3">
      <c r="A3590">
        <v>17547</v>
      </c>
      <c r="B3590" t="s">
        <v>1279</v>
      </c>
      <c r="C3590" t="s">
        <v>4847</v>
      </c>
      <c r="D3590" t="s">
        <v>1666</v>
      </c>
      <c r="E3590" t="s">
        <v>8</v>
      </c>
      <c r="F3590" t="s">
        <v>242</v>
      </c>
      <c r="G3590" t="s">
        <v>4584</v>
      </c>
      <c r="H3590" s="7">
        <v>21502</v>
      </c>
    </row>
    <row r="3591" spans="1:8" x14ac:dyDescent="0.3">
      <c r="A3591">
        <v>17553</v>
      </c>
      <c r="B3591" t="s">
        <v>1290</v>
      </c>
      <c r="C3591" t="s">
        <v>2254</v>
      </c>
      <c r="D3591" t="s">
        <v>2255</v>
      </c>
      <c r="E3591" t="s">
        <v>27</v>
      </c>
      <c r="F3591" t="s">
        <v>88</v>
      </c>
      <c r="G3591" t="s">
        <v>2256</v>
      </c>
      <c r="H3591" s="7">
        <v>14221</v>
      </c>
    </row>
    <row r="3592" spans="1:8" x14ac:dyDescent="0.3">
      <c r="A3592">
        <v>17554</v>
      </c>
      <c r="B3592" t="s">
        <v>5</v>
      </c>
      <c r="C3592" t="s">
        <v>696</v>
      </c>
      <c r="D3592" t="s">
        <v>1052</v>
      </c>
      <c r="E3592" t="s">
        <v>95</v>
      </c>
      <c r="F3592" t="s">
        <v>9</v>
      </c>
      <c r="G3592" t="s">
        <v>1053</v>
      </c>
      <c r="H3592" s="7">
        <v>725</v>
      </c>
    </row>
    <row r="3593" spans="1:8" x14ac:dyDescent="0.3">
      <c r="A3593">
        <v>17555</v>
      </c>
      <c r="B3593" t="s">
        <v>254</v>
      </c>
      <c r="C3593" t="s">
        <v>1448</v>
      </c>
      <c r="D3593" t="s">
        <v>739</v>
      </c>
      <c r="E3593" t="s">
        <v>95</v>
      </c>
      <c r="F3593" t="s">
        <v>55</v>
      </c>
      <c r="G3593" t="s">
        <v>3735</v>
      </c>
      <c r="H3593" s="7">
        <v>60640</v>
      </c>
    </row>
    <row r="3594" spans="1:8" x14ac:dyDescent="0.3">
      <c r="A3594">
        <v>17560</v>
      </c>
      <c r="B3594" t="s">
        <v>33</v>
      </c>
      <c r="C3594" t="s">
        <v>1136</v>
      </c>
      <c r="D3594" t="s">
        <v>2171</v>
      </c>
      <c r="E3594" t="s">
        <v>95</v>
      </c>
      <c r="F3594" t="s">
        <v>36</v>
      </c>
      <c r="G3594" t="s">
        <v>3009</v>
      </c>
      <c r="H3594" s="7">
        <v>1960</v>
      </c>
    </row>
    <row r="3595" spans="1:8" x14ac:dyDescent="0.3">
      <c r="A3595">
        <v>17561</v>
      </c>
      <c r="B3595" t="s">
        <v>5</v>
      </c>
      <c r="C3595" t="s">
        <v>2353</v>
      </c>
      <c r="D3595" t="s">
        <v>2415</v>
      </c>
      <c r="E3595" t="s">
        <v>8</v>
      </c>
      <c r="F3595" t="s">
        <v>9</v>
      </c>
      <c r="G3595" t="s">
        <v>3326</v>
      </c>
      <c r="H3595" s="7">
        <v>725</v>
      </c>
    </row>
    <row r="3596" spans="1:8" x14ac:dyDescent="0.3">
      <c r="A3596">
        <v>17562</v>
      </c>
      <c r="B3596" t="s">
        <v>815</v>
      </c>
      <c r="C3596" t="s">
        <v>1513</v>
      </c>
      <c r="D3596" t="s">
        <v>2030</v>
      </c>
      <c r="E3596" t="s">
        <v>8</v>
      </c>
      <c r="F3596" t="s">
        <v>114</v>
      </c>
      <c r="G3596" t="s">
        <v>2828</v>
      </c>
      <c r="H3596" s="7">
        <v>75006</v>
      </c>
    </row>
    <row r="3597" spans="1:8" x14ac:dyDescent="0.3">
      <c r="A3597">
        <v>17567</v>
      </c>
      <c r="B3597" t="s">
        <v>769</v>
      </c>
      <c r="C3597" t="s">
        <v>2067</v>
      </c>
      <c r="D3597" t="s">
        <v>1066</v>
      </c>
      <c r="E3597" t="s">
        <v>8</v>
      </c>
      <c r="F3597" t="s">
        <v>190</v>
      </c>
      <c r="G3597" t="s">
        <v>5601</v>
      </c>
      <c r="H3597" s="7">
        <v>85033</v>
      </c>
    </row>
    <row r="3598" spans="1:8" x14ac:dyDescent="0.3">
      <c r="A3598">
        <v>17571</v>
      </c>
      <c r="B3598" t="s">
        <v>5</v>
      </c>
      <c r="C3598" t="s">
        <v>3339</v>
      </c>
      <c r="D3598" t="s">
        <v>1370</v>
      </c>
      <c r="E3598" t="s">
        <v>27</v>
      </c>
      <c r="F3598" t="s">
        <v>9</v>
      </c>
      <c r="G3598" t="s">
        <v>3218</v>
      </c>
      <c r="H3598" s="7">
        <v>725</v>
      </c>
    </row>
    <row r="3599" spans="1:8" x14ac:dyDescent="0.3">
      <c r="A3599">
        <v>17587</v>
      </c>
      <c r="B3599" t="s">
        <v>1899</v>
      </c>
      <c r="C3599" t="s">
        <v>389</v>
      </c>
      <c r="D3599" t="s">
        <v>2407</v>
      </c>
      <c r="E3599" t="s">
        <v>8</v>
      </c>
      <c r="F3599" t="s">
        <v>381</v>
      </c>
      <c r="G3599" t="s">
        <v>4244</v>
      </c>
      <c r="H3599" s="7">
        <v>48228</v>
      </c>
    </row>
    <row r="3600" spans="1:8" x14ac:dyDescent="0.3">
      <c r="A3600">
        <v>17590</v>
      </c>
      <c r="B3600" t="s">
        <v>5</v>
      </c>
      <c r="C3600" t="s">
        <v>436</v>
      </c>
      <c r="D3600" t="s">
        <v>725</v>
      </c>
      <c r="E3600" t="s">
        <v>27</v>
      </c>
      <c r="F3600" t="s">
        <v>9</v>
      </c>
      <c r="G3600" t="s">
        <v>5102</v>
      </c>
      <c r="H3600" s="7">
        <v>725</v>
      </c>
    </row>
    <row r="3601" spans="1:8" x14ac:dyDescent="0.3">
      <c r="A3601">
        <v>17604</v>
      </c>
      <c r="B3601" t="s">
        <v>5</v>
      </c>
      <c r="C3601" t="s">
        <v>3575</v>
      </c>
      <c r="D3601" t="s">
        <v>3630</v>
      </c>
      <c r="E3601" t="s">
        <v>8</v>
      </c>
      <c r="F3601" t="s">
        <v>9</v>
      </c>
      <c r="G3601" t="s">
        <v>3658</v>
      </c>
      <c r="H3601" s="7">
        <v>725</v>
      </c>
    </row>
    <row r="3602" spans="1:8" x14ac:dyDescent="0.3">
      <c r="A3602">
        <v>17617</v>
      </c>
      <c r="B3602" t="s">
        <v>2795</v>
      </c>
      <c r="C3602" t="s">
        <v>3038</v>
      </c>
      <c r="D3602" t="s">
        <v>2410</v>
      </c>
      <c r="E3602" t="s">
        <v>95</v>
      </c>
      <c r="F3602" t="s">
        <v>77</v>
      </c>
      <c r="G3602" t="s">
        <v>5450</v>
      </c>
      <c r="H3602" s="7">
        <v>19020</v>
      </c>
    </row>
    <row r="3603" spans="1:8" x14ac:dyDescent="0.3">
      <c r="A3603">
        <v>17623</v>
      </c>
      <c r="B3603" t="s">
        <v>647</v>
      </c>
      <c r="C3603" t="s">
        <v>648</v>
      </c>
      <c r="D3603" t="s">
        <v>649</v>
      </c>
      <c r="E3603" t="s">
        <v>27</v>
      </c>
      <c r="F3603" t="s">
        <v>308</v>
      </c>
      <c r="G3603" t="s">
        <v>650</v>
      </c>
      <c r="H3603" s="7">
        <v>8854</v>
      </c>
    </row>
    <row r="3604" spans="1:8" x14ac:dyDescent="0.3">
      <c r="A3604">
        <v>17624</v>
      </c>
      <c r="B3604" t="s">
        <v>3666</v>
      </c>
      <c r="C3604" t="s">
        <v>2946</v>
      </c>
      <c r="D3604" t="s">
        <v>380</v>
      </c>
      <c r="E3604" t="s">
        <v>8</v>
      </c>
      <c r="F3604" t="s">
        <v>9</v>
      </c>
      <c r="G3604" t="s">
        <v>3667</v>
      </c>
      <c r="H3604" s="7">
        <v>969</v>
      </c>
    </row>
    <row r="3605" spans="1:8" x14ac:dyDescent="0.3">
      <c r="A3605">
        <v>17625</v>
      </c>
      <c r="B3605" t="s">
        <v>5</v>
      </c>
      <c r="C3605" t="s">
        <v>2066</v>
      </c>
      <c r="D3605" t="s">
        <v>1213</v>
      </c>
      <c r="E3605" t="s">
        <v>8</v>
      </c>
      <c r="F3605" t="s">
        <v>9</v>
      </c>
      <c r="G3605" t="s">
        <v>3372</v>
      </c>
      <c r="H3605" s="7">
        <v>725</v>
      </c>
    </row>
    <row r="3606" spans="1:8" x14ac:dyDescent="0.3">
      <c r="A3606">
        <v>17632</v>
      </c>
      <c r="B3606" t="s">
        <v>59</v>
      </c>
      <c r="C3606" t="s">
        <v>2824</v>
      </c>
      <c r="D3606" t="s">
        <v>863</v>
      </c>
      <c r="E3606" t="s">
        <v>27</v>
      </c>
      <c r="F3606" t="s">
        <v>21</v>
      </c>
      <c r="G3606" t="s">
        <v>2825</v>
      </c>
      <c r="H3606" s="7">
        <v>90806</v>
      </c>
    </row>
    <row r="3607" spans="1:8" x14ac:dyDescent="0.3">
      <c r="A3607">
        <v>17633</v>
      </c>
      <c r="B3607" t="s">
        <v>250</v>
      </c>
      <c r="C3607" t="s">
        <v>1539</v>
      </c>
      <c r="D3607" t="s">
        <v>752</v>
      </c>
      <c r="E3607" t="s">
        <v>8</v>
      </c>
      <c r="F3607" t="s">
        <v>21</v>
      </c>
      <c r="G3607" t="s">
        <v>1953</v>
      </c>
      <c r="H3607" s="7">
        <v>92626</v>
      </c>
    </row>
    <row r="3608" spans="1:8" x14ac:dyDescent="0.3">
      <c r="A3608">
        <v>17634</v>
      </c>
      <c r="B3608" t="s">
        <v>5</v>
      </c>
      <c r="C3608" t="s">
        <v>2338</v>
      </c>
      <c r="D3608" t="s">
        <v>1873</v>
      </c>
      <c r="E3608" t="s">
        <v>8</v>
      </c>
      <c r="F3608" t="s">
        <v>9</v>
      </c>
      <c r="G3608" t="s">
        <v>3335</v>
      </c>
      <c r="H3608" s="7">
        <v>725</v>
      </c>
    </row>
    <row r="3609" spans="1:8" x14ac:dyDescent="0.3">
      <c r="A3609">
        <v>17637</v>
      </c>
      <c r="B3609" t="s">
        <v>5</v>
      </c>
      <c r="C3609" t="s">
        <v>1886</v>
      </c>
      <c r="D3609" t="s">
        <v>1692</v>
      </c>
      <c r="E3609" t="s">
        <v>8</v>
      </c>
      <c r="F3609" t="s">
        <v>9</v>
      </c>
      <c r="G3609" t="s">
        <v>3193</v>
      </c>
      <c r="H3609" s="7">
        <v>725</v>
      </c>
    </row>
    <row r="3610" spans="1:8" x14ac:dyDescent="0.3">
      <c r="A3610">
        <v>17639</v>
      </c>
      <c r="B3610" t="s">
        <v>5</v>
      </c>
      <c r="C3610" t="s">
        <v>1557</v>
      </c>
      <c r="D3610" t="s">
        <v>2010</v>
      </c>
      <c r="E3610" t="s">
        <v>8</v>
      </c>
      <c r="F3610" t="s">
        <v>9</v>
      </c>
      <c r="G3610" t="s">
        <v>5084</v>
      </c>
      <c r="H3610" s="7">
        <v>725</v>
      </c>
    </row>
    <row r="3611" spans="1:8" x14ac:dyDescent="0.3">
      <c r="A3611">
        <v>17640</v>
      </c>
      <c r="B3611" t="s">
        <v>1746</v>
      </c>
      <c r="C3611" t="s">
        <v>2633</v>
      </c>
      <c r="D3611" t="s">
        <v>2285</v>
      </c>
      <c r="E3611" t="s">
        <v>8</v>
      </c>
      <c r="F3611" t="s">
        <v>21</v>
      </c>
      <c r="G3611" t="s">
        <v>3217</v>
      </c>
      <c r="H3611" s="7">
        <v>95616</v>
      </c>
    </row>
    <row r="3612" spans="1:8" x14ac:dyDescent="0.3">
      <c r="A3612">
        <v>17641</v>
      </c>
      <c r="B3612" t="s">
        <v>702</v>
      </c>
      <c r="C3612" t="s">
        <v>1837</v>
      </c>
      <c r="D3612" t="s">
        <v>620</v>
      </c>
      <c r="E3612" t="s">
        <v>8</v>
      </c>
      <c r="F3612" t="s">
        <v>88</v>
      </c>
      <c r="G3612" t="s">
        <v>1838</v>
      </c>
      <c r="H3612" s="7">
        <v>11419</v>
      </c>
    </row>
    <row r="3613" spans="1:8" x14ac:dyDescent="0.3">
      <c r="A3613">
        <v>17648</v>
      </c>
      <c r="B3613" t="s">
        <v>277</v>
      </c>
      <c r="C3613" t="s">
        <v>2653</v>
      </c>
      <c r="D3613" t="s">
        <v>319</v>
      </c>
      <c r="E3613" t="s">
        <v>27</v>
      </c>
      <c r="F3613" t="s">
        <v>21</v>
      </c>
      <c r="G3613" t="s">
        <v>4583</v>
      </c>
      <c r="H3613" s="7">
        <v>95035</v>
      </c>
    </row>
    <row r="3614" spans="1:8" x14ac:dyDescent="0.3">
      <c r="A3614">
        <v>17661</v>
      </c>
      <c r="B3614" t="s">
        <v>1160</v>
      </c>
      <c r="C3614" t="s">
        <v>2945</v>
      </c>
      <c r="D3614" t="s">
        <v>1808</v>
      </c>
      <c r="E3614" t="s">
        <v>95</v>
      </c>
      <c r="F3614" t="s">
        <v>88</v>
      </c>
      <c r="G3614" t="s">
        <v>4274</v>
      </c>
      <c r="H3614" s="7">
        <v>14850</v>
      </c>
    </row>
    <row r="3615" spans="1:8" x14ac:dyDescent="0.3">
      <c r="A3615">
        <v>17662</v>
      </c>
      <c r="B3615" t="s">
        <v>5</v>
      </c>
      <c r="C3615" t="s">
        <v>196</v>
      </c>
      <c r="D3615" t="s">
        <v>1376</v>
      </c>
      <c r="E3615" t="s">
        <v>27</v>
      </c>
      <c r="F3615" t="s">
        <v>9</v>
      </c>
      <c r="G3615" t="s">
        <v>4269</v>
      </c>
      <c r="H3615" s="7">
        <v>725</v>
      </c>
    </row>
    <row r="3616" spans="1:8" x14ac:dyDescent="0.3">
      <c r="A3616">
        <v>17671</v>
      </c>
      <c r="B3616" t="s">
        <v>815</v>
      </c>
      <c r="C3616" t="s">
        <v>1126</v>
      </c>
      <c r="D3616" t="s">
        <v>1127</v>
      </c>
      <c r="E3616" t="s">
        <v>8</v>
      </c>
      <c r="F3616" t="s">
        <v>114</v>
      </c>
      <c r="G3616" t="s">
        <v>1128</v>
      </c>
      <c r="H3616" s="7">
        <v>75006</v>
      </c>
    </row>
    <row r="3617" spans="1:8" x14ac:dyDescent="0.3">
      <c r="A3617">
        <v>17674</v>
      </c>
      <c r="B3617" t="s">
        <v>495</v>
      </c>
      <c r="C3617" t="s">
        <v>1900</v>
      </c>
      <c r="D3617" t="s">
        <v>2167</v>
      </c>
      <c r="E3617" t="s">
        <v>8</v>
      </c>
      <c r="F3617" t="s">
        <v>88</v>
      </c>
      <c r="G3617" t="s">
        <v>2168</v>
      </c>
      <c r="H3617" s="7">
        <v>11218</v>
      </c>
    </row>
    <row r="3618" spans="1:8" x14ac:dyDescent="0.3">
      <c r="A3618">
        <v>17675</v>
      </c>
      <c r="B3618" t="s">
        <v>5</v>
      </c>
      <c r="C3618" t="s">
        <v>2033</v>
      </c>
      <c r="D3618" t="s">
        <v>1204</v>
      </c>
      <c r="E3618" t="s">
        <v>8</v>
      </c>
      <c r="F3618" t="s">
        <v>9</v>
      </c>
      <c r="G3618" t="s">
        <v>162</v>
      </c>
      <c r="H3618" s="7">
        <v>725</v>
      </c>
    </row>
    <row r="3619" spans="1:8" x14ac:dyDescent="0.3">
      <c r="A3619">
        <v>17687</v>
      </c>
      <c r="B3619" t="s">
        <v>1910</v>
      </c>
      <c r="C3619" t="s">
        <v>359</v>
      </c>
      <c r="D3619" t="s">
        <v>1373</v>
      </c>
      <c r="E3619" t="s">
        <v>27</v>
      </c>
      <c r="F3619" t="s">
        <v>77</v>
      </c>
      <c r="G3619" t="s">
        <v>4379</v>
      </c>
      <c r="H3619" s="7">
        <v>18103</v>
      </c>
    </row>
    <row r="3620" spans="1:8" x14ac:dyDescent="0.3">
      <c r="A3620">
        <v>17724</v>
      </c>
      <c r="B3620" t="s">
        <v>656</v>
      </c>
      <c r="C3620" t="s">
        <v>1869</v>
      </c>
      <c r="D3620" t="s">
        <v>2666</v>
      </c>
      <c r="E3620" t="s">
        <v>27</v>
      </c>
      <c r="F3620" t="s">
        <v>77</v>
      </c>
      <c r="G3620" t="s">
        <v>501</v>
      </c>
      <c r="H3620" s="7">
        <v>19144</v>
      </c>
    </row>
    <row r="3621" spans="1:8" x14ac:dyDescent="0.3">
      <c r="A3621">
        <v>17726</v>
      </c>
      <c r="B3621" t="s">
        <v>3008</v>
      </c>
      <c r="C3621" t="s">
        <v>5553</v>
      </c>
      <c r="D3621" t="s">
        <v>2960</v>
      </c>
      <c r="E3621" t="s">
        <v>8</v>
      </c>
      <c r="F3621" t="s">
        <v>158</v>
      </c>
      <c r="G3621" t="s">
        <v>4672</v>
      </c>
      <c r="H3621" s="7">
        <v>38128</v>
      </c>
    </row>
    <row r="3622" spans="1:8" x14ac:dyDescent="0.3">
      <c r="A3622">
        <v>17746</v>
      </c>
      <c r="B3622" t="s">
        <v>277</v>
      </c>
      <c r="C3622" t="s">
        <v>278</v>
      </c>
      <c r="D3622" t="s">
        <v>279</v>
      </c>
      <c r="E3622" t="s">
        <v>27</v>
      </c>
      <c r="F3622" t="s">
        <v>21</v>
      </c>
      <c r="G3622" t="s">
        <v>280</v>
      </c>
      <c r="H3622" s="7">
        <v>95035</v>
      </c>
    </row>
    <row r="3623" spans="1:8" x14ac:dyDescent="0.3">
      <c r="A3623">
        <v>17747</v>
      </c>
      <c r="B3623" t="s">
        <v>271</v>
      </c>
      <c r="C3623" t="s">
        <v>272</v>
      </c>
      <c r="D3623" t="s">
        <v>273</v>
      </c>
      <c r="E3623" t="s">
        <v>27</v>
      </c>
      <c r="F3623" t="s">
        <v>88</v>
      </c>
      <c r="G3623" t="s">
        <v>274</v>
      </c>
      <c r="H3623" s="7">
        <v>10977</v>
      </c>
    </row>
    <row r="3624" spans="1:8" x14ac:dyDescent="0.3">
      <c r="A3624">
        <v>17748</v>
      </c>
      <c r="B3624" t="s">
        <v>5</v>
      </c>
      <c r="C3624" t="s">
        <v>2179</v>
      </c>
      <c r="D3624" t="s">
        <v>3298</v>
      </c>
      <c r="E3624" t="s">
        <v>27</v>
      </c>
      <c r="F3624" t="s">
        <v>9</v>
      </c>
      <c r="G3624" t="s">
        <v>3299</v>
      </c>
      <c r="H3624" s="7">
        <v>725</v>
      </c>
    </row>
    <row r="3625" spans="1:8" x14ac:dyDescent="0.3">
      <c r="A3625">
        <v>17749</v>
      </c>
      <c r="B3625" t="s">
        <v>2865</v>
      </c>
      <c r="C3625" t="s">
        <v>1237</v>
      </c>
      <c r="D3625" t="s">
        <v>2109</v>
      </c>
      <c r="E3625" t="s">
        <v>8</v>
      </c>
      <c r="F3625" t="s">
        <v>21</v>
      </c>
      <c r="G3625" t="s">
        <v>2412</v>
      </c>
      <c r="H3625" s="7">
        <v>93550</v>
      </c>
    </row>
    <row r="3626" spans="1:8" x14ac:dyDescent="0.3">
      <c r="A3626">
        <v>17750</v>
      </c>
      <c r="B3626" t="s">
        <v>1652</v>
      </c>
      <c r="C3626" t="s">
        <v>2908</v>
      </c>
      <c r="D3626" t="s">
        <v>2909</v>
      </c>
      <c r="E3626" t="s">
        <v>8</v>
      </c>
      <c r="F3626" t="s">
        <v>381</v>
      </c>
      <c r="G3626" t="s">
        <v>2910</v>
      </c>
      <c r="H3626" s="7">
        <v>48197</v>
      </c>
    </row>
    <row r="3627" spans="1:8" x14ac:dyDescent="0.3">
      <c r="A3627">
        <v>17761</v>
      </c>
      <c r="B3627" t="s">
        <v>5</v>
      </c>
      <c r="C3627" t="s">
        <v>696</v>
      </c>
      <c r="D3627" t="s">
        <v>731</v>
      </c>
      <c r="E3627" t="s">
        <v>27</v>
      </c>
      <c r="F3627" t="s">
        <v>9</v>
      </c>
      <c r="G3627" t="s">
        <v>2116</v>
      </c>
      <c r="H3627" s="7">
        <v>725</v>
      </c>
    </row>
    <row r="3628" spans="1:8" x14ac:dyDescent="0.3">
      <c r="A3628">
        <v>17763</v>
      </c>
      <c r="B3628" t="s">
        <v>254</v>
      </c>
      <c r="C3628" t="s">
        <v>1140</v>
      </c>
      <c r="D3628" t="s">
        <v>3931</v>
      </c>
      <c r="E3628" t="s">
        <v>95</v>
      </c>
      <c r="F3628" t="s">
        <v>55</v>
      </c>
      <c r="G3628" t="s">
        <v>4635</v>
      </c>
      <c r="H3628" s="7">
        <v>60647</v>
      </c>
    </row>
    <row r="3629" spans="1:8" x14ac:dyDescent="0.3">
      <c r="A3629">
        <v>17764</v>
      </c>
      <c r="B3629" t="s">
        <v>471</v>
      </c>
      <c r="C3629" t="s">
        <v>2574</v>
      </c>
      <c r="D3629" t="s">
        <v>3688</v>
      </c>
      <c r="E3629" t="s">
        <v>95</v>
      </c>
      <c r="F3629" t="s">
        <v>448</v>
      </c>
      <c r="G3629" t="s">
        <v>3387</v>
      </c>
      <c r="H3629" s="7">
        <v>33594</v>
      </c>
    </row>
    <row r="3630" spans="1:8" x14ac:dyDescent="0.3">
      <c r="A3630">
        <v>17765</v>
      </c>
      <c r="B3630" t="s">
        <v>5</v>
      </c>
      <c r="C3630" t="s">
        <v>872</v>
      </c>
      <c r="D3630" t="s">
        <v>3659</v>
      </c>
      <c r="E3630" t="s">
        <v>8</v>
      </c>
      <c r="F3630" t="s">
        <v>9</v>
      </c>
      <c r="G3630" t="s">
        <v>2599</v>
      </c>
      <c r="H3630" s="7">
        <v>725</v>
      </c>
    </row>
    <row r="3631" spans="1:8" x14ac:dyDescent="0.3">
      <c r="A3631">
        <v>17777</v>
      </c>
      <c r="B3631" t="s">
        <v>5</v>
      </c>
      <c r="C3631" t="s">
        <v>684</v>
      </c>
      <c r="D3631" t="s">
        <v>1987</v>
      </c>
      <c r="E3631" t="s">
        <v>27</v>
      </c>
      <c r="F3631" t="s">
        <v>9</v>
      </c>
      <c r="G3631" t="s">
        <v>1988</v>
      </c>
      <c r="H3631" s="7">
        <v>725</v>
      </c>
    </row>
    <row r="3632" spans="1:8" x14ac:dyDescent="0.3">
      <c r="A3632">
        <v>17778</v>
      </c>
      <c r="B3632" t="s">
        <v>1223</v>
      </c>
      <c r="C3632" t="s">
        <v>1224</v>
      </c>
      <c r="D3632" t="s">
        <v>1225</v>
      </c>
      <c r="E3632" t="s">
        <v>27</v>
      </c>
      <c r="F3632" t="s">
        <v>283</v>
      </c>
      <c r="G3632" t="s">
        <v>1226</v>
      </c>
      <c r="H3632" s="7">
        <v>23233</v>
      </c>
    </row>
    <row r="3633" spans="1:8" x14ac:dyDescent="0.3">
      <c r="A3633">
        <v>17780</v>
      </c>
      <c r="B3633" t="s">
        <v>1512</v>
      </c>
      <c r="C3633" t="s">
        <v>1513</v>
      </c>
      <c r="D3633" t="s">
        <v>20</v>
      </c>
      <c r="E3633" t="s">
        <v>27</v>
      </c>
      <c r="F3633" t="s">
        <v>1514</v>
      </c>
      <c r="G3633" t="s">
        <v>1515</v>
      </c>
      <c r="H3633" s="7">
        <v>42101</v>
      </c>
    </row>
    <row r="3634" spans="1:8" x14ac:dyDescent="0.3">
      <c r="A3634">
        <v>17782</v>
      </c>
      <c r="B3634" t="s">
        <v>769</v>
      </c>
      <c r="C3634" t="s">
        <v>3042</v>
      </c>
      <c r="D3634" t="s">
        <v>2909</v>
      </c>
      <c r="E3634" t="s">
        <v>27</v>
      </c>
      <c r="F3634" t="s">
        <v>190</v>
      </c>
      <c r="G3634" t="s">
        <v>4370</v>
      </c>
      <c r="H3634" s="7">
        <v>85032</v>
      </c>
    </row>
    <row r="3635" spans="1:8" x14ac:dyDescent="0.3">
      <c r="A3635">
        <v>17785</v>
      </c>
      <c r="B3635" t="s">
        <v>4165</v>
      </c>
      <c r="C3635" t="s">
        <v>1999</v>
      </c>
      <c r="D3635" t="s">
        <v>2857</v>
      </c>
      <c r="E3635" t="s">
        <v>95</v>
      </c>
      <c r="F3635" t="s">
        <v>729</v>
      </c>
      <c r="G3635" t="s">
        <v>5097</v>
      </c>
      <c r="H3635" s="7">
        <v>80501</v>
      </c>
    </row>
    <row r="3636" spans="1:8" x14ac:dyDescent="0.3">
      <c r="A3636">
        <v>17787</v>
      </c>
      <c r="B3636" t="s">
        <v>5</v>
      </c>
      <c r="C3636" t="s">
        <v>905</v>
      </c>
      <c r="D3636" t="s">
        <v>906</v>
      </c>
      <c r="E3636" t="s">
        <v>8</v>
      </c>
      <c r="F3636" t="s">
        <v>9</v>
      </c>
      <c r="G3636" t="s">
        <v>907</v>
      </c>
      <c r="H3636" s="7">
        <v>725</v>
      </c>
    </row>
    <row r="3637" spans="1:8" x14ac:dyDescent="0.3">
      <c r="A3637">
        <v>17788</v>
      </c>
      <c r="B3637" t="s">
        <v>769</v>
      </c>
      <c r="C3637" t="s">
        <v>1969</v>
      </c>
      <c r="D3637" t="s">
        <v>1304</v>
      </c>
      <c r="E3637" t="s">
        <v>8</v>
      </c>
      <c r="F3637" t="s">
        <v>190</v>
      </c>
      <c r="G3637" t="s">
        <v>1970</v>
      </c>
      <c r="H3637" s="7">
        <v>85009</v>
      </c>
    </row>
    <row r="3638" spans="1:8" x14ac:dyDescent="0.3">
      <c r="A3638">
        <v>17800</v>
      </c>
      <c r="B3638" t="s">
        <v>3057</v>
      </c>
      <c r="C3638" t="s">
        <v>126</v>
      </c>
      <c r="D3638" t="s">
        <v>3375</v>
      </c>
      <c r="E3638" t="s">
        <v>95</v>
      </c>
      <c r="F3638" t="s">
        <v>21</v>
      </c>
      <c r="G3638" t="s">
        <v>3728</v>
      </c>
      <c r="H3638" s="7">
        <v>94539</v>
      </c>
    </row>
    <row r="3639" spans="1:8" x14ac:dyDescent="0.3">
      <c r="A3639">
        <v>17806</v>
      </c>
      <c r="B3639" t="s">
        <v>862</v>
      </c>
      <c r="C3639" t="s">
        <v>4596</v>
      </c>
      <c r="D3639" t="s">
        <v>1061</v>
      </c>
      <c r="E3639" t="s">
        <v>27</v>
      </c>
      <c r="F3639" t="s">
        <v>478</v>
      </c>
      <c r="G3639" t="s">
        <v>2204</v>
      </c>
      <c r="H3639" s="7">
        <v>89103</v>
      </c>
    </row>
    <row r="3640" spans="1:8" x14ac:dyDescent="0.3">
      <c r="A3640">
        <v>17807</v>
      </c>
      <c r="B3640" t="s">
        <v>5</v>
      </c>
      <c r="C3640" t="s">
        <v>1126</v>
      </c>
      <c r="D3640" t="s">
        <v>1967</v>
      </c>
      <c r="E3640" t="s">
        <v>27</v>
      </c>
      <c r="F3640" t="s">
        <v>9</v>
      </c>
      <c r="G3640" t="s">
        <v>2073</v>
      </c>
      <c r="H3640" s="7">
        <v>725</v>
      </c>
    </row>
    <row r="3641" spans="1:8" x14ac:dyDescent="0.3">
      <c r="A3641">
        <v>17808</v>
      </c>
      <c r="B3641" t="s">
        <v>254</v>
      </c>
      <c r="C3641" t="s">
        <v>515</v>
      </c>
      <c r="D3641" t="s">
        <v>68</v>
      </c>
      <c r="E3641" t="s">
        <v>8</v>
      </c>
      <c r="F3641" t="s">
        <v>55</v>
      </c>
      <c r="G3641" t="s">
        <v>3061</v>
      </c>
      <c r="H3641" s="7">
        <v>60622</v>
      </c>
    </row>
    <row r="3642" spans="1:8" x14ac:dyDescent="0.3">
      <c r="A3642">
        <v>17811</v>
      </c>
      <c r="B3642" t="s">
        <v>5</v>
      </c>
      <c r="C3642" t="s">
        <v>3120</v>
      </c>
      <c r="D3642" t="s">
        <v>251</v>
      </c>
      <c r="E3642" t="s">
        <v>8</v>
      </c>
      <c r="F3642" t="s">
        <v>9</v>
      </c>
      <c r="G3642" t="s">
        <v>5421</v>
      </c>
      <c r="H3642" s="7">
        <v>725</v>
      </c>
    </row>
    <row r="3643" spans="1:8" x14ac:dyDescent="0.3">
      <c r="A3643">
        <v>17813</v>
      </c>
      <c r="B3643" t="s">
        <v>2874</v>
      </c>
      <c r="C3643" t="s">
        <v>53</v>
      </c>
      <c r="D3643" t="s">
        <v>1189</v>
      </c>
      <c r="E3643" t="s">
        <v>8</v>
      </c>
      <c r="F3643" t="s">
        <v>248</v>
      </c>
      <c r="G3643" t="s">
        <v>3083</v>
      </c>
      <c r="H3643" s="7">
        <v>45044</v>
      </c>
    </row>
    <row r="3644" spans="1:8" x14ac:dyDescent="0.3">
      <c r="A3644">
        <v>17819</v>
      </c>
      <c r="B3644" t="s">
        <v>5</v>
      </c>
      <c r="C3644" t="s">
        <v>3220</v>
      </c>
      <c r="D3644" t="s">
        <v>574</v>
      </c>
      <c r="E3644" t="s">
        <v>8</v>
      </c>
      <c r="F3644" t="s">
        <v>9</v>
      </c>
      <c r="G3644" t="s">
        <v>4970</v>
      </c>
      <c r="H3644" s="7">
        <v>725</v>
      </c>
    </row>
    <row r="3645" spans="1:8" x14ac:dyDescent="0.3">
      <c r="A3645">
        <v>17821</v>
      </c>
      <c r="B3645" t="s">
        <v>5</v>
      </c>
      <c r="C3645" t="s">
        <v>3597</v>
      </c>
      <c r="D3645" t="s">
        <v>3598</v>
      </c>
      <c r="E3645" t="s">
        <v>8</v>
      </c>
      <c r="F3645" t="s">
        <v>9</v>
      </c>
      <c r="G3645" t="s">
        <v>3599</v>
      </c>
      <c r="H3645" s="7">
        <v>725</v>
      </c>
    </row>
    <row r="3646" spans="1:8" x14ac:dyDescent="0.3">
      <c r="A3646">
        <v>17829</v>
      </c>
      <c r="B3646" t="s">
        <v>5</v>
      </c>
      <c r="C3646" t="s">
        <v>188</v>
      </c>
      <c r="D3646" t="s">
        <v>2008</v>
      </c>
      <c r="E3646" t="s">
        <v>27</v>
      </c>
      <c r="F3646" t="s">
        <v>9</v>
      </c>
      <c r="G3646" t="s">
        <v>4543</v>
      </c>
      <c r="H3646" s="7">
        <v>725</v>
      </c>
    </row>
    <row r="3647" spans="1:8" x14ac:dyDescent="0.3">
      <c r="A3647">
        <v>17830</v>
      </c>
      <c r="B3647" t="s">
        <v>1899</v>
      </c>
      <c r="C3647" t="s">
        <v>5364</v>
      </c>
      <c r="D3647" t="s">
        <v>4273</v>
      </c>
      <c r="E3647" t="s">
        <v>8</v>
      </c>
      <c r="F3647" t="s">
        <v>381</v>
      </c>
      <c r="G3647" t="s">
        <v>4263</v>
      </c>
      <c r="H3647" s="7">
        <v>48221</v>
      </c>
    </row>
    <row r="3648" spans="1:8" x14ac:dyDescent="0.3">
      <c r="A3648">
        <v>17834</v>
      </c>
      <c r="B3648" t="s">
        <v>5</v>
      </c>
      <c r="C3648" t="s">
        <v>598</v>
      </c>
      <c r="D3648" t="s">
        <v>1719</v>
      </c>
      <c r="E3648" t="s">
        <v>8</v>
      </c>
      <c r="F3648" t="s">
        <v>9</v>
      </c>
      <c r="G3648" t="s">
        <v>5245</v>
      </c>
      <c r="H3648" s="7">
        <v>725</v>
      </c>
    </row>
    <row r="3649" spans="1:8" x14ac:dyDescent="0.3">
      <c r="A3649">
        <v>17841</v>
      </c>
      <c r="B3649" t="s">
        <v>3506</v>
      </c>
      <c r="C3649" t="s">
        <v>2090</v>
      </c>
      <c r="D3649" t="s">
        <v>251</v>
      </c>
      <c r="E3649" t="s">
        <v>8</v>
      </c>
      <c r="F3649" t="s">
        <v>55</v>
      </c>
      <c r="G3649" t="s">
        <v>3507</v>
      </c>
      <c r="H3649" s="7">
        <v>60477</v>
      </c>
    </row>
    <row r="3650" spans="1:8" x14ac:dyDescent="0.3">
      <c r="A3650">
        <v>17842</v>
      </c>
      <c r="B3650" t="s">
        <v>461</v>
      </c>
      <c r="C3650" t="s">
        <v>3064</v>
      </c>
      <c r="D3650" t="s">
        <v>3065</v>
      </c>
      <c r="E3650" t="s">
        <v>8</v>
      </c>
      <c r="F3650" t="s">
        <v>341</v>
      </c>
      <c r="G3650" t="s">
        <v>3066</v>
      </c>
      <c r="H3650" s="7">
        <v>27606</v>
      </c>
    </row>
    <row r="3651" spans="1:8" x14ac:dyDescent="0.3">
      <c r="A3651">
        <v>17843</v>
      </c>
      <c r="B3651" t="s">
        <v>5</v>
      </c>
      <c r="C3651" t="s">
        <v>2133</v>
      </c>
      <c r="D3651" t="s">
        <v>2890</v>
      </c>
      <c r="E3651" t="s">
        <v>8</v>
      </c>
      <c r="F3651" t="s">
        <v>9</v>
      </c>
      <c r="G3651" t="s">
        <v>473</v>
      </c>
      <c r="H3651" s="7">
        <v>725</v>
      </c>
    </row>
    <row r="3652" spans="1:8" x14ac:dyDescent="0.3">
      <c r="A3652">
        <v>17850</v>
      </c>
      <c r="B3652" t="s">
        <v>254</v>
      </c>
      <c r="C3652" t="s">
        <v>2793</v>
      </c>
      <c r="D3652" t="s">
        <v>1584</v>
      </c>
      <c r="E3652" t="s">
        <v>95</v>
      </c>
      <c r="F3652" t="s">
        <v>55</v>
      </c>
      <c r="G3652" t="s">
        <v>5196</v>
      </c>
      <c r="H3652" s="7">
        <v>60617</v>
      </c>
    </row>
    <row r="3653" spans="1:8" x14ac:dyDescent="0.3">
      <c r="A3653">
        <v>17862</v>
      </c>
      <c r="B3653" t="s">
        <v>131</v>
      </c>
      <c r="C3653" t="s">
        <v>147</v>
      </c>
      <c r="D3653" t="s">
        <v>2220</v>
      </c>
      <c r="E3653" t="s">
        <v>8</v>
      </c>
      <c r="F3653" t="s">
        <v>134</v>
      </c>
      <c r="G3653" t="s">
        <v>5167</v>
      </c>
      <c r="H3653" s="7">
        <v>96822</v>
      </c>
    </row>
    <row r="3654" spans="1:8" x14ac:dyDescent="0.3">
      <c r="A3654">
        <v>17866</v>
      </c>
      <c r="B3654" t="s">
        <v>1586</v>
      </c>
      <c r="C3654" t="s">
        <v>255</v>
      </c>
      <c r="D3654" t="s">
        <v>1940</v>
      </c>
      <c r="E3654" t="s">
        <v>95</v>
      </c>
      <c r="F3654" t="s">
        <v>341</v>
      </c>
      <c r="G3654" t="s">
        <v>1588</v>
      </c>
      <c r="H3654" s="7">
        <v>27514</v>
      </c>
    </row>
    <row r="3655" spans="1:8" x14ac:dyDescent="0.3">
      <c r="A3655">
        <v>17880</v>
      </c>
      <c r="B3655" t="s">
        <v>368</v>
      </c>
      <c r="C3655" t="s">
        <v>2477</v>
      </c>
      <c r="D3655" t="s">
        <v>1887</v>
      </c>
      <c r="E3655" t="s">
        <v>8</v>
      </c>
      <c r="F3655" t="s">
        <v>88</v>
      </c>
      <c r="G3655" t="s">
        <v>1467</v>
      </c>
      <c r="H3655" s="7">
        <v>10128</v>
      </c>
    </row>
    <row r="3656" spans="1:8" x14ac:dyDescent="0.3">
      <c r="A3656">
        <v>17882</v>
      </c>
      <c r="B3656" t="s">
        <v>338</v>
      </c>
      <c r="C3656" t="s">
        <v>1446</v>
      </c>
      <c r="D3656" t="s">
        <v>3214</v>
      </c>
      <c r="E3656" t="s">
        <v>8</v>
      </c>
      <c r="F3656" t="s">
        <v>341</v>
      </c>
      <c r="G3656" t="s">
        <v>3215</v>
      </c>
      <c r="H3656" s="7">
        <v>28645</v>
      </c>
    </row>
    <row r="3657" spans="1:8" x14ac:dyDescent="0.3">
      <c r="A3657">
        <v>17883</v>
      </c>
      <c r="B3657" t="s">
        <v>2129</v>
      </c>
      <c r="C3657" t="s">
        <v>2130</v>
      </c>
      <c r="D3657" t="s">
        <v>1360</v>
      </c>
      <c r="E3657" t="s">
        <v>8</v>
      </c>
      <c r="F3657" t="s">
        <v>21</v>
      </c>
      <c r="G3657" t="s">
        <v>2131</v>
      </c>
      <c r="H3657" s="7">
        <v>92833</v>
      </c>
    </row>
    <row r="3658" spans="1:8" x14ac:dyDescent="0.3">
      <c r="A3658">
        <v>17884</v>
      </c>
      <c r="B3658" t="s">
        <v>5</v>
      </c>
      <c r="C3658" t="s">
        <v>2191</v>
      </c>
      <c r="D3658" t="s">
        <v>2354</v>
      </c>
      <c r="E3658" t="s">
        <v>8</v>
      </c>
      <c r="F3658" t="s">
        <v>9</v>
      </c>
      <c r="G3658" t="s">
        <v>3178</v>
      </c>
      <c r="H3658" s="7">
        <v>725</v>
      </c>
    </row>
    <row r="3659" spans="1:8" x14ac:dyDescent="0.3">
      <c r="A3659">
        <v>17885</v>
      </c>
      <c r="B3659" t="s">
        <v>1452</v>
      </c>
      <c r="C3659" t="s">
        <v>3812</v>
      </c>
      <c r="D3659" t="s">
        <v>3813</v>
      </c>
      <c r="E3659" t="s">
        <v>8</v>
      </c>
      <c r="F3659" t="s">
        <v>9</v>
      </c>
      <c r="G3659" t="s">
        <v>252</v>
      </c>
      <c r="H3659" s="7">
        <v>983</v>
      </c>
    </row>
    <row r="3660" spans="1:8" x14ac:dyDescent="0.3">
      <c r="A3660">
        <v>17886</v>
      </c>
      <c r="B3660" t="s">
        <v>5</v>
      </c>
      <c r="C3660" t="s">
        <v>1488</v>
      </c>
      <c r="D3660" t="s">
        <v>1080</v>
      </c>
      <c r="E3660" t="s">
        <v>8</v>
      </c>
      <c r="F3660" t="s">
        <v>9</v>
      </c>
      <c r="G3660" t="s">
        <v>3607</v>
      </c>
      <c r="H3660" s="7">
        <v>725</v>
      </c>
    </row>
    <row r="3661" spans="1:8" x14ac:dyDescent="0.3">
      <c r="A3661">
        <v>17887</v>
      </c>
      <c r="B3661" t="s">
        <v>2147</v>
      </c>
      <c r="C3661" t="s">
        <v>938</v>
      </c>
      <c r="D3661" t="s">
        <v>363</v>
      </c>
      <c r="E3661" t="s">
        <v>8</v>
      </c>
      <c r="F3661" t="s">
        <v>172</v>
      </c>
      <c r="G3661" t="s">
        <v>2148</v>
      </c>
      <c r="H3661" s="7">
        <v>63376</v>
      </c>
    </row>
    <row r="3662" spans="1:8" x14ac:dyDescent="0.3">
      <c r="A3662">
        <v>17888</v>
      </c>
      <c r="B3662" t="s">
        <v>5</v>
      </c>
      <c r="C3662" t="s">
        <v>2340</v>
      </c>
      <c r="D3662" t="s">
        <v>2450</v>
      </c>
      <c r="E3662" t="s">
        <v>8</v>
      </c>
      <c r="F3662" t="s">
        <v>9</v>
      </c>
      <c r="G3662" t="s">
        <v>2451</v>
      </c>
      <c r="H3662" s="7">
        <v>725</v>
      </c>
    </row>
    <row r="3663" spans="1:8" x14ac:dyDescent="0.3">
      <c r="A3663">
        <v>17889</v>
      </c>
      <c r="B3663" t="s">
        <v>815</v>
      </c>
      <c r="C3663" t="s">
        <v>175</v>
      </c>
      <c r="D3663" t="s">
        <v>816</v>
      </c>
      <c r="E3663" t="s">
        <v>8</v>
      </c>
      <c r="F3663" t="s">
        <v>114</v>
      </c>
      <c r="G3663" t="s">
        <v>817</v>
      </c>
      <c r="H3663" s="7">
        <v>75006</v>
      </c>
    </row>
    <row r="3664" spans="1:8" x14ac:dyDescent="0.3">
      <c r="A3664">
        <v>17890</v>
      </c>
      <c r="B3664" t="s">
        <v>5</v>
      </c>
      <c r="C3664" t="s">
        <v>1332</v>
      </c>
      <c r="D3664" t="s">
        <v>1333</v>
      </c>
      <c r="E3664" t="s">
        <v>8</v>
      </c>
      <c r="F3664" t="s">
        <v>9</v>
      </c>
      <c r="G3664" t="s">
        <v>1146</v>
      </c>
      <c r="H3664" s="7">
        <v>725</v>
      </c>
    </row>
    <row r="3665" spans="1:8" x14ac:dyDescent="0.3">
      <c r="A3665">
        <v>17891</v>
      </c>
      <c r="B3665" t="s">
        <v>131</v>
      </c>
      <c r="C3665" t="s">
        <v>1509</v>
      </c>
      <c r="D3665" t="s">
        <v>4117</v>
      </c>
      <c r="E3665" t="s">
        <v>8</v>
      </c>
      <c r="F3665" t="s">
        <v>134</v>
      </c>
      <c r="G3665" t="s">
        <v>3080</v>
      </c>
      <c r="H3665" s="7">
        <v>96816</v>
      </c>
    </row>
    <row r="3666" spans="1:8" x14ac:dyDescent="0.3">
      <c r="A3666">
        <v>17904</v>
      </c>
      <c r="B3666" t="s">
        <v>174</v>
      </c>
      <c r="C3666" t="s">
        <v>306</v>
      </c>
      <c r="D3666" t="s">
        <v>2767</v>
      </c>
      <c r="E3666" t="s">
        <v>27</v>
      </c>
      <c r="F3666" t="s">
        <v>21</v>
      </c>
      <c r="G3666" t="s">
        <v>4405</v>
      </c>
      <c r="H3666" s="7">
        <v>90037</v>
      </c>
    </row>
    <row r="3667" spans="1:8" x14ac:dyDescent="0.3">
      <c r="A3667">
        <v>17913</v>
      </c>
      <c r="B3667" t="s">
        <v>2552</v>
      </c>
      <c r="C3667" t="s">
        <v>53</v>
      </c>
      <c r="D3667" t="s">
        <v>2043</v>
      </c>
      <c r="E3667" t="s">
        <v>8</v>
      </c>
      <c r="F3667" t="s">
        <v>1145</v>
      </c>
      <c r="G3667" t="s">
        <v>2553</v>
      </c>
      <c r="H3667" s="7">
        <v>53081</v>
      </c>
    </row>
    <row r="3668" spans="1:8" x14ac:dyDescent="0.3">
      <c r="A3668">
        <v>17914</v>
      </c>
      <c r="B3668" t="s">
        <v>5</v>
      </c>
      <c r="C3668" t="s">
        <v>3653</v>
      </c>
      <c r="D3668" t="s">
        <v>424</v>
      </c>
      <c r="E3668" t="s">
        <v>8</v>
      </c>
      <c r="F3668" t="s">
        <v>9</v>
      </c>
      <c r="G3668" t="s">
        <v>3654</v>
      </c>
      <c r="H3668" s="7">
        <v>725</v>
      </c>
    </row>
    <row r="3669" spans="1:8" x14ac:dyDescent="0.3">
      <c r="A3669">
        <v>17915</v>
      </c>
      <c r="B3669" t="s">
        <v>368</v>
      </c>
      <c r="C3669" t="s">
        <v>1842</v>
      </c>
      <c r="D3669" t="s">
        <v>906</v>
      </c>
      <c r="E3669" t="s">
        <v>8</v>
      </c>
      <c r="F3669" t="s">
        <v>88</v>
      </c>
      <c r="G3669" t="s">
        <v>1843</v>
      </c>
      <c r="H3669" s="7">
        <v>10002</v>
      </c>
    </row>
    <row r="3670" spans="1:8" x14ac:dyDescent="0.3">
      <c r="A3670">
        <v>17916</v>
      </c>
      <c r="B3670" t="s">
        <v>3077</v>
      </c>
      <c r="C3670" t="s">
        <v>2064</v>
      </c>
      <c r="D3670" t="s">
        <v>1547</v>
      </c>
      <c r="E3670" t="s">
        <v>8</v>
      </c>
      <c r="F3670" t="s">
        <v>190</v>
      </c>
      <c r="G3670" t="s">
        <v>2991</v>
      </c>
      <c r="H3670" s="7">
        <v>85364</v>
      </c>
    </row>
    <row r="3671" spans="1:8" x14ac:dyDescent="0.3">
      <c r="A3671">
        <v>17917</v>
      </c>
      <c r="B3671" t="s">
        <v>3406</v>
      </c>
      <c r="C3671" t="s">
        <v>1409</v>
      </c>
      <c r="D3671" t="s">
        <v>282</v>
      </c>
      <c r="E3671" t="s">
        <v>8</v>
      </c>
      <c r="F3671" t="s">
        <v>21</v>
      </c>
      <c r="G3671" t="s">
        <v>3478</v>
      </c>
      <c r="H3671" s="7">
        <v>93638</v>
      </c>
    </row>
    <row r="3672" spans="1:8" x14ac:dyDescent="0.3">
      <c r="A3672">
        <v>17921</v>
      </c>
      <c r="B3672" t="s">
        <v>2210</v>
      </c>
      <c r="C3672" t="s">
        <v>2149</v>
      </c>
      <c r="D3672" t="s">
        <v>2268</v>
      </c>
      <c r="E3672" t="s">
        <v>27</v>
      </c>
      <c r="F3672" t="s">
        <v>21</v>
      </c>
      <c r="G3672" t="s">
        <v>2269</v>
      </c>
      <c r="H3672" s="7">
        <v>92630</v>
      </c>
    </row>
    <row r="3673" spans="1:8" x14ac:dyDescent="0.3">
      <c r="A3673">
        <v>17922</v>
      </c>
      <c r="B3673" t="s">
        <v>440</v>
      </c>
      <c r="C3673" t="s">
        <v>1972</v>
      </c>
      <c r="D3673" t="s">
        <v>2533</v>
      </c>
      <c r="E3673" t="s">
        <v>8</v>
      </c>
      <c r="F3673" t="s">
        <v>114</v>
      </c>
      <c r="G3673" t="s">
        <v>2534</v>
      </c>
      <c r="H3673" s="7">
        <v>78228</v>
      </c>
    </row>
    <row r="3674" spans="1:8" x14ac:dyDescent="0.3">
      <c r="A3674">
        <v>17923</v>
      </c>
      <c r="B3674" t="s">
        <v>174</v>
      </c>
      <c r="C3674" t="s">
        <v>1153</v>
      </c>
      <c r="D3674" t="s">
        <v>605</v>
      </c>
      <c r="E3674" t="s">
        <v>8</v>
      </c>
      <c r="F3674" t="s">
        <v>21</v>
      </c>
      <c r="G3674" t="s">
        <v>284</v>
      </c>
      <c r="H3674" s="7">
        <v>90001</v>
      </c>
    </row>
    <row r="3675" spans="1:8" x14ac:dyDescent="0.3">
      <c r="A3675">
        <v>17924</v>
      </c>
      <c r="B3675" t="s">
        <v>5</v>
      </c>
      <c r="C3675" t="s">
        <v>3330</v>
      </c>
      <c r="D3675" t="s">
        <v>3331</v>
      </c>
      <c r="E3675" t="s">
        <v>8</v>
      </c>
      <c r="F3675" t="s">
        <v>9</v>
      </c>
      <c r="G3675" t="s">
        <v>1602</v>
      </c>
      <c r="H3675" s="7">
        <v>725</v>
      </c>
    </row>
    <row r="3676" spans="1:8" x14ac:dyDescent="0.3">
      <c r="A3676">
        <v>17933</v>
      </c>
      <c r="B3676" t="s">
        <v>5</v>
      </c>
      <c r="C3676" t="s">
        <v>5036</v>
      </c>
      <c r="D3676" t="s">
        <v>1636</v>
      </c>
      <c r="E3676" t="s">
        <v>95</v>
      </c>
      <c r="F3676" t="s">
        <v>9</v>
      </c>
      <c r="G3676" t="s">
        <v>4829</v>
      </c>
      <c r="H3676" s="7">
        <v>725</v>
      </c>
    </row>
    <row r="3677" spans="1:8" x14ac:dyDescent="0.3">
      <c r="A3677">
        <v>17939</v>
      </c>
      <c r="B3677" t="s">
        <v>5</v>
      </c>
      <c r="C3677" t="s">
        <v>1446</v>
      </c>
      <c r="D3677" t="s">
        <v>302</v>
      </c>
      <c r="E3677" t="s">
        <v>27</v>
      </c>
      <c r="F3677" t="s">
        <v>9</v>
      </c>
      <c r="G3677" t="s">
        <v>4911</v>
      </c>
      <c r="H3677" s="7">
        <v>725</v>
      </c>
    </row>
    <row r="3678" spans="1:8" x14ac:dyDescent="0.3">
      <c r="A3678">
        <v>17945</v>
      </c>
      <c r="B3678" t="s">
        <v>622</v>
      </c>
      <c r="C3678" t="s">
        <v>5317</v>
      </c>
      <c r="D3678" t="s">
        <v>1288</v>
      </c>
      <c r="E3678" t="s">
        <v>95</v>
      </c>
      <c r="F3678" t="s">
        <v>21</v>
      </c>
      <c r="G3678" t="s">
        <v>346</v>
      </c>
      <c r="H3678" s="7">
        <v>92691</v>
      </c>
    </row>
    <row r="3679" spans="1:8" x14ac:dyDescent="0.3">
      <c r="A3679">
        <v>17969</v>
      </c>
      <c r="B3679" t="s">
        <v>846</v>
      </c>
      <c r="C3679" t="s">
        <v>1224</v>
      </c>
      <c r="D3679" t="s">
        <v>1256</v>
      </c>
      <c r="E3679" t="s">
        <v>27</v>
      </c>
      <c r="F3679" t="s">
        <v>77</v>
      </c>
      <c r="G3679" t="s">
        <v>1257</v>
      </c>
      <c r="H3679" s="7">
        <v>19067</v>
      </c>
    </row>
    <row r="3680" spans="1:8" x14ac:dyDescent="0.3">
      <c r="A3680">
        <v>17970</v>
      </c>
      <c r="B3680" t="s">
        <v>5</v>
      </c>
      <c r="C3680" t="s">
        <v>3333</v>
      </c>
      <c r="D3680" t="s">
        <v>333</v>
      </c>
      <c r="E3680" t="s">
        <v>8</v>
      </c>
      <c r="F3680" t="s">
        <v>9</v>
      </c>
      <c r="G3680" t="s">
        <v>2640</v>
      </c>
      <c r="H3680" s="7">
        <v>725</v>
      </c>
    </row>
    <row r="3681" spans="1:8" x14ac:dyDescent="0.3">
      <c r="A3681">
        <v>17971</v>
      </c>
      <c r="B3681" t="s">
        <v>142</v>
      </c>
      <c r="C3681" t="s">
        <v>874</v>
      </c>
      <c r="D3681" t="s">
        <v>1154</v>
      </c>
      <c r="E3681" t="s">
        <v>8</v>
      </c>
      <c r="F3681" t="s">
        <v>88</v>
      </c>
      <c r="G3681" t="s">
        <v>1155</v>
      </c>
      <c r="H3681" s="7">
        <v>10473</v>
      </c>
    </row>
    <row r="3682" spans="1:8" x14ac:dyDescent="0.3">
      <c r="A3682">
        <v>17972</v>
      </c>
      <c r="B3682" t="s">
        <v>5</v>
      </c>
      <c r="C3682" t="s">
        <v>1375</v>
      </c>
      <c r="D3682" t="s">
        <v>1376</v>
      </c>
      <c r="E3682" t="s">
        <v>8</v>
      </c>
      <c r="F3682" t="s">
        <v>9</v>
      </c>
      <c r="G3682" t="s">
        <v>1377</v>
      </c>
      <c r="H3682" s="7">
        <v>725</v>
      </c>
    </row>
    <row r="3683" spans="1:8" x14ac:dyDescent="0.3">
      <c r="A3683">
        <v>17973</v>
      </c>
      <c r="B3683" t="s">
        <v>976</v>
      </c>
      <c r="C3683" t="s">
        <v>1163</v>
      </c>
      <c r="D3683" t="s">
        <v>2855</v>
      </c>
      <c r="E3683" t="s">
        <v>8</v>
      </c>
      <c r="F3683" t="s">
        <v>153</v>
      </c>
      <c r="G3683" t="s">
        <v>2856</v>
      </c>
      <c r="H3683" s="7">
        <v>84118</v>
      </c>
    </row>
    <row r="3684" spans="1:8" x14ac:dyDescent="0.3">
      <c r="A3684">
        <v>17974</v>
      </c>
      <c r="B3684" t="s">
        <v>451</v>
      </c>
      <c r="C3684" t="s">
        <v>3220</v>
      </c>
      <c r="D3684" t="s">
        <v>441</v>
      </c>
      <c r="E3684" t="s">
        <v>8</v>
      </c>
      <c r="F3684" t="s">
        <v>21</v>
      </c>
      <c r="G3684" t="s">
        <v>3494</v>
      </c>
      <c r="H3684" s="7">
        <v>93905</v>
      </c>
    </row>
    <row r="3685" spans="1:8" x14ac:dyDescent="0.3">
      <c r="A3685">
        <v>17976</v>
      </c>
      <c r="B3685" t="s">
        <v>5</v>
      </c>
      <c r="C3685" t="s">
        <v>824</v>
      </c>
      <c r="D3685" t="s">
        <v>3048</v>
      </c>
      <c r="E3685" t="s">
        <v>8</v>
      </c>
      <c r="F3685" t="s">
        <v>9</v>
      </c>
      <c r="G3685" t="s">
        <v>5202</v>
      </c>
      <c r="H3685" s="7">
        <v>725</v>
      </c>
    </row>
    <row r="3686" spans="1:8" x14ac:dyDescent="0.3">
      <c r="A3686">
        <v>17978</v>
      </c>
      <c r="B3686" t="s">
        <v>174</v>
      </c>
      <c r="C3686" t="s">
        <v>4181</v>
      </c>
      <c r="D3686" t="s">
        <v>4605</v>
      </c>
      <c r="E3686" t="s">
        <v>27</v>
      </c>
      <c r="F3686" t="s">
        <v>21</v>
      </c>
      <c r="G3686" t="s">
        <v>3964</v>
      </c>
      <c r="H3686" s="7">
        <v>90037</v>
      </c>
    </row>
    <row r="3687" spans="1:8" x14ac:dyDescent="0.3">
      <c r="A3687">
        <v>17983</v>
      </c>
      <c r="B3687" t="s">
        <v>347</v>
      </c>
      <c r="C3687" t="s">
        <v>4377</v>
      </c>
      <c r="D3687" t="s">
        <v>825</v>
      </c>
      <c r="E3687" t="s">
        <v>27</v>
      </c>
      <c r="F3687" t="s">
        <v>108</v>
      </c>
      <c r="G3687" t="s">
        <v>4786</v>
      </c>
      <c r="H3687" s="7">
        <v>97321</v>
      </c>
    </row>
    <row r="3688" spans="1:8" x14ac:dyDescent="0.3">
      <c r="A3688">
        <v>17986</v>
      </c>
      <c r="B3688" t="s">
        <v>495</v>
      </c>
      <c r="C3688" t="s">
        <v>318</v>
      </c>
      <c r="D3688" t="s">
        <v>1808</v>
      </c>
      <c r="E3688" t="s">
        <v>27</v>
      </c>
      <c r="F3688" t="s">
        <v>88</v>
      </c>
      <c r="G3688" t="s">
        <v>3041</v>
      </c>
      <c r="H3688" s="7">
        <v>11235</v>
      </c>
    </row>
    <row r="3689" spans="1:8" x14ac:dyDescent="0.3">
      <c r="A3689">
        <v>17987</v>
      </c>
      <c r="B3689" t="s">
        <v>1194</v>
      </c>
      <c r="C3689" t="s">
        <v>2005</v>
      </c>
      <c r="D3689" t="s">
        <v>1373</v>
      </c>
      <c r="E3689" t="s">
        <v>8</v>
      </c>
      <c r="F3689" t="s">
        <v>1195</v>
      </c>
      <c r="G3689" t="s">
        <v>4144</v>
      </c>
      <c r="H3689" s="7">
        <v>98037</v>
      </c>
    </row>
    <row r="3690" spans="1:8" x14ac:dyDescent="0.3">
      <c r="A3690">
        <v>17992</v>
      </c>
      <c r="B3690" t="s">
        <v>4678</v>
      </c>
      <c r="C3690" t="s">
        <v>1148</v>
      </c>
      <c r="D3690" t="s">
        <v>1248</v>
      </c>
      <c r="E3690" t="s">
        <v>8</v>
      </c>
      <c r="F3690" t="s">
        <v>88</v>
      </c>
      <c r="G3690" t="s">
        <v>3572</v>
      </c>
      <c r="H3690" s="7">
        <v>11372</v>
      </c>
    </row>
    <row r="3691" spans="1:8" x14ac:dyDescent="0.3">
      <c r="A3691">
        <v>17993</v>
      </c>
      <c r="B3691" t="s">
        <v>174</v>
      </c>
      <c r="C3691" t="s">
        <v>2017</v>
      </c>
      <c r="D3691" t="s">
        <v>639</v>
      </c>
      <c r="E3691" t="s">
        <v>8</v>
      </c>
      <c r="F3691" t="s">
        <v>21</v>
      </c>
      <c r="G3691" t="s">
        <v>3495</v>
      </c>
      <c r="H3691" s="7">
        <v>90042</v>
      </c>
    </row>
    <row r="3692" spans="1:8" x14ac:dyDescent="0.3">
      <c r="A3692">
        <v>18001</v>
      </c>
      <c r="B3692" t="s">
        <v>5</v>
      </c>
      <c r="C3692" t="s">
        <v>3655</v>
      </c>
      <c r="D3692" t="s">
        <v>924</v>
      </c>
      <c r="E3692" t="s">
        <v>27</v>
      </c>
      <c r="F3692" t="s">
        <v>9</v>
      </c>
      <c r="G3692" t="s">
        <v>2058</v>
      </c>
      <c r="H3692" s="7">
        <v>725</v>
      </c>
    </row>
    <row r="3693" spans="1:8" x14ac:dyDescent="0.3">
      <c r="A3693">
        <v>18007</v>
      </c>
      <c r="B3693" t="s">
        <v>239</v>
      </c>
      <c r="C3693" t="s">
        <v>240</v>
      </c>
      <c r="D3693" t="s">
        <v>241</v>
      </c>
      <c r="E3693" t="s">
        <v>27</v>
      </c>
      <c r="F3693" t="s">
        <v>242</v>
      </c>
      <c r="G3693" t="s">
        <v>243</v>
      </c>
      <c r="H3693" s="7">
        <v>21218</v>
      </c>
    </row>
    <row r="3694" spans="1:8" x14ac:dyDescent="0.3">
      <c r="A3694">
        <v>18008</v>
      </c>
      <c r="B3694" t="s">
        <v>1833</v>
      </c>
      <c r="C3694" t="s">
        <v>385</v>
      </c>
      <c r="D3694" t="s">
        <v>1834</v>
      </c>
      <c r="E3694" t="s">
        <v>8</v>
      </c>
      <c r="F3694" t="s">
        <v>21</v>
      </c>
      <c r="G3694" t="s">
        <v>1835</v>
      </c>
      <c r="H3694" s="7">
        <v>93304</v>
      </c>
    </row>
    <row r="3695" spans="1:8" x14ac:dyDescent="0.3">
      <c r="A3695">
        <v>18009</v>
      </c>
      <c r="B3695" t="s">
        <v>5</v>
      </c>
      <c r="C3695" t="s">
        <v>2619</v>
      </c>
      <c r="D3695" t="s">
        <v>3370</v>
      </c>
      <c r="E3695" t="s">
        <v>8</v>
      </c>
      <c r="F3695" t="s">
        <v>9</v>
      </c>
      <c r="G3695" t="s">
        <v>3371</v>
      </c>
      <c r="H3695" s="7">
        <v>725</v>
      </c>
    </row>
    <row r="3696" spans="1:8" x14ac:dyDescent="0.3">
      <c r="A3696">
        <v>18026</v>
      </c>
      <c r="B3696" t="s">
        <v>5</v>
      </c>
      <c r="C3696" t="s">
        <v>3711</v>
      </c>
      <c r="D3696" t="s">
        <v>3341</v>
      </c>
      <c r="E3696" t="s">
        <v>8</v>
      </c>
      <c r="F3696" t="s">
        <v>9</v>
      </c>
      <c r="G3696" t="s">
        <v>4875</v>
      </c>
      <c r="H3696" s="7">
        <v>725</v>
      </c>
    </row>
    <row r="3697" spans="1:8" x14ac:dyDescent="0.3">
      <c r="A3697">
        <v>18029</v>
      </c>
      <c r="B3697" t="s">
        <v>1645</v>
      </c>
      <c r="C3697" t="s">
        <v>842</v>
      </c>
      <c r="D3697" t="s">
        <v>863</v>
      </c>
      <c r="E3697" t="s">
        <v>27</v>
      </c>
      <c r="F3697" t="s">
        <v>190</v>
      </c>
      <c r="G3697" t="s">
        <v>2440</v>
      </c>
      <c r="H3697" s="7">
        <v>85301</v>
      </c>
    </row>
    <row r="3698" spans="1:8" x14ac:dyDescent="0.3">
      <c r="A3698">
        <v>18031</v>
      </c>
      <c r="B3698" t="s">
        <v>1449</v>
      </c>
      <c r="C3698" t="s">
        <v>389</v>
      </c>
      <c r="D3698" t="s">
        <v>2224</v>
      </c>
      <c r="E3698" t="s">
        <v>27</v>
      </c>
      <c r="F3698" t="s">
        <v>21</v>
      </c>
      <c r="G3698" t="s">
        <v>4927</v>
      </c>
      <c r="H3698" s="7">
        <v>90221</v>
      </c>
    </row>
    <row r="3699" spans="1:8" x14ac:dyDescent="0.3">
      <c r="A3699">
        <v>18036</v>
      </c>
      <c r="B3699" t="s">
        <v>5</v>
      </c>
      <c r="C3699" t="s">
        <v>352</v>
      </c>
      <c r="D3699" t="s">
        <v>2145</v>
      </c>
      <c r="E3699" t="s">
        <v>8</v>
      </c>
      <c r="F3699" t="s">
        <v>9</v>
      </c>
      <c r="G3699" t="s">
        <v>5264</v>
      </c>
      <c r="H3699" s="7">
        <v>725</v>
      </c>
    </row>
    <row r="3700" spans="1:8" x14ac:dyDescent="0.3">
      <c r="A3700">
        <v>18041</v>
      </c>
      <c r="B3700" t="s">
        <v>1246</v>
      </c>
      <c r="C3700" t="s">
        <v>2358</v>
      </c>
      <c r="D3700" t="s">
        <v>2852</v>
      </c>
      <c r="E3700" t="s">
        <v>8</v>
      </c>
      <c r="F3700" t="s">
        <v>1249</v>
      </c>
      <c r="G3700" t="s">
        <v>2860</v>
      </c>
      <c r="H3700" s="7">
        <v>67212</v>
      </c>
    </row>
    <row r="3701" spans="1:8" x14ac:dyDescent="0.3">
      <c r="A3701">
        <v>18042</v>
      </c>
      <c r="B3701" t="s">
        <v>5</v>
      </c>
      <c r="C3701" t="s">
        <v>1406</v>
      </c>
      <c r="D3701" t="s">
        <v>336</v>
      </c>
      <c r="E3701" t="s">
        <v>8</v>
      </c>
      <c r="F3701" t="s">
        <v>9</v>
      </c>
      <c r="G3701" t="s">
        <v>399</v>
      </c>
      <c r="H3701" s="7">
        <v>725</v>
      </c>
    </row>
    <row r="3702" spans="1:8" x14ac:dyDescent="0.3">
      <c r="A3702">
        <v>18049</v>
      </c>
      <c r="B3702" t="s">
        <v>1516</v>
      </c>
      <c r="C3702" t="s">
        <v>2287</v>
      </c>
      <c r="D3702" t="s">
        <v>581</v>
      </c>
      <c r="E3702" t="s">
        <v>27</v>
      </c>
      <c r="F3702" t="s">
        <v>308</v>
      </c>
      <c r="G3702" t="s">
        <v>2786</v>
      </c>
      <c r="H3702" s="7">
        <v>7960</v>
      </c>
    </row>
    <row r="3703" spans="1:8" x14ac:dyDescent="0.3">
      <c r="A3703">
        <v>18050</v>
      </c>
      <c r="B3703" t="s">
        <v>5</v>
      </c>
      <c r="C3703" t="s">
        <v>1869</v>
      </c>
      <c r="D3703" t="s">
        <v>1461</v>
      </c>
      <c r="E3703" t="s">
        <v>27</v>
      </c>
      <c r="F3703" t="s">
        <v>9</v>
      </c>
      <c r="G3703" t="s">
        <v>4913</v>
      </c>
      <c r="H3703" s="7">
        <v>725</v>
      </c>
    </row>
    <row r="3704" spans="1:8" x14ac:dyDescent="0.3">
      <c r="A3704">
        <v>18054</v>
      </c>
      <c r="B3704" t="s">
        <v>5</v>
      </c>
      <c r="C3704" t="s">
        <v>2164</v>
      </c>
      <c r="D3704" t="s">
        <v>1854</v>
      </c>
      <c r="E3704" t="s">
        <v>95</v>
      </c>
      <c r="F3704" t="s">
        <v>9</v>
      </c>
      <c r="G3704" t="s">
        <v>4884</v>
      </c>
      <c r="H3704" s="7">
        <v>725</v>
      </c>
    </row>
    <row r="3705" spans="1:8" x14ac:dyDescent="0.3">
      <c r="A3705">
        <v>18055</v>
      </c>
      <c r="B3705" t="s">
        <v>3106</v>
      </c>
      <c r="C3705" t="s">
        <v>1513</v>
      </c>
      <c r="D3705" t="s">
        <v>422</v>
      </c>
      <c r="E3705" t="s">
        <v>95</v>
      </c>
      <c r="F3705" t="s">
        <v>114</v>
      </c>
      <c r="G3705" t="s">
        <v>3107</v>
      </c>
      <c r="H3705" s="7">
        <v>78572</v>
      </c>
    </row>
    <row r="3706" spans="1:8" x14ac:dyDescent="0.3">
      <c r="A3706">
        <v>18068</v>
      </c>
      <c r="B3706" t="s">
        <v>5</v>
      </c>
      <c r="C3706" t="s">
        <v>2529</v>
      </c>
      <c r="D3706" t="s">
        <v>3224</v>
      </c>
      <c r="E3706" t="s">
        <v>27</v>
      </c>
      <c r="F3706" t="s">
        <v>9</v>
      </c>
      <c r="G3706" t="s">
        <v>2938</v>
      </c>
      <c r="H3706" s="7">
        <v>725</v>
      </c>
    </row>
    <row r="3707" spans="1:8" x14ac:dyDescent="0.3">
      <c r="A3707">
        <v>18069</v>
      </c>
      <c r="B3707" t="s">
        <v>1162</v>
      </c>
      <c r="C3707" t="s">
        <v>1924</v>
      </c>
      <c r="D3707" t="s">
        <v>1925</v>
      </c>
      <c r="E3707" t="s">
        <v>8</v>
      </c>
      <c r="F3707" t="s">
        <v>21</v>
      </c>
      <c r="G3707" t="s">
        <v>1926</v>
      </c>
      <c r="H3707" s="7">
        <v>94087</v>
      </c>
    </row>
    <row r="3708" spans="1:8" x14ac:dyDescent="0.3">
      <c r="A3708">
        <v>18081</v>
      </c>
      <c r="B3708" t="s">
        <v>287</v>
      </c>
      <c r="C3708" t="s">
        <v>2086</v>
      </c>
      <c r="D3708" t="s">
        <v>4652</v>
      </c>
      <c r="E3708" t="s">
        <v>27</v>
      </c>
      <c r="F3708" t="s">
        <v>114</v>
      </c>
      <c r="G3708" t="s">
        <v>5628</v>
      </c>
      <c r="H3708" s="7">
        <v>77478</v>
      </c>
    </row>
    <row r="3709" spans="1:8" x14ac:dyDescent="0.3">
      <c r="A3709">
        <v>18087</v>
      </c>
      <c r="B3709" t="s">
        <v>254</v>
      </c>
      <c r="C3709" t="s">
        <v>2525</v>
      </c>
      <c r="D3709" t="s">
        <v>988</v>
      </c>
      <c r="E3709" t="s">
        <v>8</v>
      </c>
      <c r="F3709" t="s">
        <v>55</v>
      </c>
      <c r="G3709" t="s">
        <v>2526</v>
      </c>
      <c r="H3709" s="7">
        <v>60621</v>
      </c>
    </row>
    <row r="3710" spans="1:8" x14ac:dyDescent="0.3">
      <c r="A3710">
        <v>18088</v>
      </c>
      <c r="B3710" t="s">
        <v>2082</v>
      </c>
      <c r="C3710" t="s">
        <v>2083</v>
      </c>
      <c r="D3710" t="s">
        <v>2084</v>
      </c>
      <c r="E3710" t="s">
        <v>8</v>
      </c>
      <c r="F3710" t="s">
        <v>21</v>
      </c>
      <c r="G3710" t="s">
        <v>2085</v>
      </c>
      <c r="H3710" s="7">
        <v>92243</v>
      </c>
    </row>
    <row r="3711" spans="1:8" x14ac:dyDescent="0.3">
      <c r="A3711">
        <v>18089</v>
      </c>
      <c r="B3711" t="s">
        <v>5</v>
      </c>
      <c r="C3711" t="s">
        <v>543</v>
      </c>
      <c r="D3711" t="s">
        <v>544</v>
      </c>
      <c r="E3711" t="s">
        <v>8</v>
      </c>
      <c r="F3711" t="s">
        <v>9</v>
      </c>
      <c r="G3711" t="s">
        <v>545</v>
      </c>
      <c r="H3711" s="7">
        <v>725</v>
      </c>
    </row>
    <row r="3712" spans="1:8" x14ac:dyDescent="0.3">
      <c r="A3712">
        <v>18090</v>
      </c>
      <c r="B3712" t="s">
        <v>2738</v>
      </c>
      <c r="C3712" t="s">
        <v>549</v>
      </c>
      <c r="D3712" t="s">
        <v>1251</v>
      </c>
      <c r="E3712" t="s">
        <v>8</v>
      </c>
      <c r="F3712" t="s">
        <v>21</v>
      </c>
      <c r="G3712" t="s">
        <v>5406</v>
      </c>
      <c r="H3712" s="7">
        <v>93030</v>
      </c>
    </row>
    <row r="3713" spans="1:8" x14ac:dyDescent="0.3">
      <c r="A3713">
        <v>18112</v>
      </c>
      <c r="B3713" t="s">
        <v>169</v>
      </c>
      <c r="C3713" t="s">
        <v>1231</v>
      </c>
      <c r="D3713" t="s">
        <v>139</v>
      </c>
      <c r="E3713" t="s">
        <v>27</v>
      </c>
      <c r="F3713" t="s">
        <v>172</v>
      </c>
      <c r="G3713" t="s">
        <v>5212</v>
      </c>
      <c r="H3713" s="7">
        <v>63301</v>
      </c>
    </row>
    <row r="3714" spans="1:8" x14ac:dyDescent="0.3">
      <c r="A3714">
        <v>18114</v>
      </c>
      <c r="B3714" t="s">
        <v>254</v>
      </c>
      <c r="C3714" t="s">
        <v>3561</v>
      </c>
      <c r="D3714" t="s">
        <v>1392</v>
      </c>
      <c r="E3714" t="s">
        <v>8</v>
      </c>
      <c r="F3714" t="s">
        <v>55</v>
      </c>
      <c r="G3714" t="s">
        <v>5163</v>
      </c>
      <c r="H3714" s="7">
        <v>60637</v>
      </c>
    </row>
    <row r="3715" spans="1:8" x14ac:dyDescent="0.3">
      <c r="A3715">
        <v>18120</v>
      </c>
      <c r="B3715" t="s">
        <v>2874</v>
      </c>
      <c r="C3715" t="s">
        <v>2097</v>
      </c>
      <c r="D3715" t="s">
        <v>2811</v>
      </c>
      <c r="E3715" t="s">
        <v>8</v>
      </c>
      <c r="F3715" t="s">
        <v>1657</v>
      </c>
      <c r="G3715" t="s">
        <v>2875</v>
      </c>
      <c r="H3715" s="7">
        <v>6457</v>
      </c>
    </row>
    <row r="3716" spans="1:8" x14ac:dyDescent="0.3">
      <c r="A3716">
        <v>18126</v>
      </c>
      <c r="B3716" t="s">
        <v>3816</v>
      </c>
      <c r="C3716" t="s">
        <v>1546</v>
      </c>
      <c r="D3716" t="s">
        <v>336</v>
      </c>
      <c r="E3716" t="s">
        <v>8</v>
      </c>
      <c r="F3716" t="s">
        <v>36</v>
      </c>
      <c r="G3716" t="s">
        <v>4895</v>
      </c>
      <c r="H3716" s="7">
        <v>1902</v>
      </c>
    </row>
    <row r="3717" spans="1:8" x14ac:dyDescent="0.3">
      <c r="A3717">
        <v>18133</v>
      </c>
      <c r="B3717" t="s">
        <v>271</v>
      </c>
      <c r="C3717" t="s">
        <v>211</v>
      </c>
      <c r="D3717" t="s">
        <v>1137</v>
      </c>
      <c r="E3717" t="s">
        <v>8</v>
      </c>
      <c r="F3717" t="s">
        <v>88</v>
      </c>
      <c r="G3717" t="s">
        <v>2834</v>
      </c>
      <c r="H3717" s="7">
        <v>10977</v>
      </c>
    </row>
    <row r="3718" spans="1:8" x14ac:dyDescent="0.3">
      <c r="A3718">
        <v>18139</v>
      </c>
      <c r="B3718" t="s">
        <v>1800</v>
      </c>
      <c r="C3718" t="s">
        <v>1805</v>
      </c>
      <c r="D3718" t="s">
        <v>1490</v>
      </c>
      <c r="E3718" t="s">
        <v>27</v>
      </c>
      <c r="F3718" t="s">
        <v>114</v>
      </c>
      <c r="G3718" t="s">
        <v>3051</v>
      </c>
      <c r="H3718" s="7">
        <v>76133</v>
      </c>
    </row>
    <row r="3719" spans="1:8" x14ac:dyDescent="0.3">
      <c r="A3719">
        <v>18143</v>
      </c>
      <c r="B3719" t="s">
        <v>5</v>
      </c>
      <c r="C3719" t="s">
        <v>3086</v>
      </c>
      <c r="D3719" t="s">
        <v>3292</v>
      </c>
      <c r="E3719" t="s">
        <v>27</v>
      </c>
      <c r="F3719" t="s">
        <v>9</v>
      </c>
      <c r="G3719" t="s">
        <v>3293</v>
      </c>
      <c r="H3719" s="7">
        <v>725</v>
      </c>
    </row>
    <row r="3720" spans="1:8" x14ac:dyDescent="0.3">
      <c r="A3720">
        <v>18144</v>
      </c>
      <c r="B3720" t="s">
        <v>2977</v>
      </c>
      <c r="C3720" t="s">
        <v>2253</v>
      </c>
      <c r="D3720" t="s">
        <v>928</v>
      </c>
      <c r="E3720" t="s">
        <v>8</v>
      </c>
      <c r="F3720" t="s">
        <v>2978</v>
      </c>
      <c r="G3720" t="s">
        <v>2979</v>
      </c>
      <c r="H3720" s="7">
        <v>59102</v>
      </c>
    </row>
    <row r="3721" spans="1:8" x14ac:dyDescent="0.3">
      <c r="A3721">
        <v>18155</v>
      </c>
      <c r="B3721" t="s">
        <v>5</v>
      </c>
      <c r="C3721" t="s">
        <v>397</v>
      </c>
      <c r="D3721" t="s">
        <v>4113</v>
      </c>
      <c r="E3721" t="s">
        <v>8</v>
      </c>
      <c r="F3721" t="s">
        <v>9</v>
      </c>
      <c r="G3721" t="s">
        <v>4280</v>
      </c>
      <c r="H3721" s="7">
        <v>725</v>
      </c>
    </row>
    <row r="3722" spans="1:8" x14ac:dyDescent="0.3">
      <c r="A3722">
        <v>18160</v>
      </c>
      <c r="B3722" t="s">
        <v>858</v>
      </c>
      <c r="C3722" t="s">
        <v>4098</v>
      </c>
      <c r="D3722" t="s">
        <v>3813</v>
      </c>
      <c r="E3722" t="s">
        <v>27</v>
      </c>
      <c r="F3722" t="s">
        <v>629</v>
      </c>
      <c r="G3722" t="s">
        <v>5323</v>
      </c>
      <c r="H3722" s="7">
        <v>70122</v>
      </c>
    </row>
    <row r="3723" spans="1:8" x14ac:dyDescent="0.3">
      <c r="A3723">
        <v>18168</v>
      </c>
      <c r="B3723" t="s">
        <v>699</v>
      </c>
      <c r="C3723" t="s">
        <v>913</v>
      </c>
      <c r="D3723" t="s">
        <v>1357</v>
      </c>
      <c r="E3723" t="s">
        <v>8</v>
      </c>
      <c r="F3723" t="s">
        <v>114</v>
      </c>
      <c r="G3723" t="s">
        <v>1082</v>
      </c>
      <c r="H3723" s="7">
        <v>77036</v>
      </c>
    </row>
    <row r="3724" spans="1:8" x14ac:dyDescent="0.3">
      <c r="A3724">
        <v>18169</v>
      </c>
      <c r="B3724" t="s">
        <v>368</v>
      </c>
      <c r="C3724" t="s">
        <v>2832</v>
      </c>
      <c r="D3724" t="s">
        <v>2115</v>
      </c>
      <c r="E3724" t="s">
        <v>8</v>
      </c>
      <c r="F3724" t="s">
        <v>88</v>
      </c>
      <c r="G3724" t="s">
        <v>2833</v>
      </c>
      <c r="H3724" s="7">
        <v>10016</v>
      </c>
    </row>
    <row r="3725" spans="1:8" x14ac:dyDescent="0.3">
      <c r="A3725">
        <v>18170</v>
      </c>
      <c r="B3725" t="s">
        <v>5</v>
      </c>
      <c r="C3725" t="s">
        <v>1627</v>
      </c>
      <c r="D3725" t="s">
        <v>3787</v>
      </c>
      <c r="E3725" t="s">
        <v>8</v>
      </c>
      <c r="F3725" t="s">
        <v>9</v>
      </c>
      <c r="G3725" t="s">
        <v>3788</v>
      </c>
      <c r="H3725" s="7">
        <v>725</v>
      </c>
    </row>
    <row r="3726" spans="1:8" x14ac:dyDescent="0.3">
      <c r="A3726">
        <v>18173</v>
      </c>
      <c r="B3726" t="s">
        <v>2973</v>
      </c>
      <c r="C3726" t="s">
        <v>2974</v>
      </c>
      <c r="D3726" t="s">
        <v>2975</v>
      </c>
      <c r="E3726" t="s">
        <v>8</v>
      </c>
      <c r="F3726" t="s">
        <v>1657</v>
      </c>
      <c r="G3726" t="s">
        <v>2976</v>
      </c>
      <c r="H3726" s="7">
        <v>6902</v>
      </c>
    </row>
    <row r="3727" spans="1:8" x14ac:dyDescent="0.3">
      <c r="A3727">
        <v>18174</v>
      </c>
      <c r="B3727" t="s">
        <v>447</v>
      </c>
      <c r="C3727" t="s">
        <v>1803</v>
      </c>
      <c r="D3727" t="s">
        <v>931</v>
      </c>
      <c r="E3727" t="s">
        <v>8</v>
      </c>
      <c r="F3727" t="s">
        <v>448</v>
      </c>
      <c r="G3727" t="s">
        <v>1804</v>
      </c>
      <c r="H3727" s="7">
        <v>33016</v>
      </c>
    </row>
    <row r="3728" spans="1:8" x14ac:dyDescent="0.3">
      <c r="A3728">
        <v>18176</v>
      </c>
      <c r="B3728" t="s">
        <v>619</v>
      </c>
      <c r="C3728" t="s">
        <v>4211</v>
      </c>
      <c r="D3728" t="s">
        <v>4251</v>
      </c>
      <c r="E3728" t="s">
        <v>95</v>
      </c>
      <c r="F3728" t="s">
        <v>448</v>
      </c>
      <c r="G3728" t="s">
        <v>4320</v>
      </c>
      <c r="H3728" s="7">
        <v>33055</v>
      </c>
    </row>
    <row r="3729" spans="1:8" x14ac:dyDescent="0.3">
      <c r="A3729">
        <v>18193</v>
      </c>
      <c r="B3729" t="s">
        <v>435</v>
      </c>
      <c r="C3729" t="s">
        <v>1818</v>
      </c>
      <c r="D3729" t="s">
        <v>1940</v>
      </c>
      <c r="E3729" t="s">
        <v>8</v>
      </c>
      <c r="F3729" t="s">
        <v>172</v>
      </c>
      <c r="G3729" t="s">
        <v>2318</v>
      </c>
      <c r="H3729" s="7">
        <v>63116</v>
      </c>
    </row>
    <row r="3730" spans="1:8" x14ac:dyDescent="0.3">
      <c r="A3730">
        <v>18200</v>
      </c>
      <c r="B3730" t="s">
        <v>281</v>
      </c>
      <c r="C3730" t="s">
        <v>1797</v>
      </c>
      <c r="D3730" t="s">
        <v>1798</v>
      </c>
      <c r="E3730" t="s">
        <v>8</v>
      </c>
      <c r="F3730" t="s">
        <v>283</v>
      </c>
      <c r="G3730" t="s">
        <v>1799</v>
      </c>
      <c r="H3730" s="7">
        <v>22192</v>
      </c>
    </row>
    <row r="3731" spans="1:8" x14ac:dyDescent="0.3">
      <c r="A3731">
        <v>18201</v>
      </c>
      <c r="B3731" t="s">
        <v>5</v>
      </c>
      <c r="C3731" t="s">
        <v>3789</v>
      </c>
      <c r="D3731" t="s">
        <v>2326</v>
      </c>
      <c r="E3731" t="s">
        <v>8</v>
      </c>
      <c r="F3731" t="s">
        <v>9</v>
      </c>
      <c r="G3731" t="s">
        <v>1609</v>
      </c>
      <c r="H3731" s="7">
        <v>725</v>
      </c>
    </row>
    <row r="3732" spans="1:8" x14ac:dyDescent="0.3">
      <c r="A3732">
        <v>18202</v>
      </c>
      <c r="B3732" t="s">
        <v>1581</v>
      </c>
      <c r="C3732" t="s">
        <v>199</v>
      </c>
      <c r="D3732" t="s">
        <v>422</v>
      </c>
      <c r="E3732" t="s">
        <v>8</v>
      </c>
      <c r="F3732" t="s">
        <v>729</v>
      </c>
      <c r="G3732" t="s">
        <v>2835</v>
      </c>
      <c r="H3732" s="7">
        <v>80918</v>
      </c>
    </row>
    <row r="3733" spans="1:8" x14ac:dyDescent="0.3">
      <c r="A3733">
        <v>18212</v>
      </c>
      <c r="B3733" t="s">
        <v>5</v>
      </c>
      <c r="C3733" t="s">
        <v>4202</v>
      </c>
      <c r="D3733" t="s">
        <v>833</v>
      </c>
      <c r="E3733" t="s">
        <v>8</v>
      </c>
      <c r="F3733" t="s">
        <v>9</v>
      </c>
      <c r="G3733" t="s">
        <v>3879</v>
      </c>
      <c r="H3733" s="7">
        <v>725</v>
      </c>
    </row>
    <row r="3734" spans="1:8" x14ac:dyDescent="0.3">
      <c r="A3734">
        <v>18216</v>
      </c>
      <c r="B3734" t="s">
        <v>5</v>
      </c>
      <c r="C3734" t="s">
        <v>1048</v>
      </c>
      <c r="D3734" t="s">
        <v>3860</v>
      </c>
      <c r="E3734" t="s">
        <v>95</v>
      </c>
      <c r="F3734" t="s">
        <v>9</v>
      </c>
      <c r="G3734" t="s">
        <v>5037</v>
      </c>
      <c r="H3734" s="7">
        <v>725</v>
      </c>
    </row>
    <row r="3735" spans="1:8" x14ac:dyDescent="0.3">
      <c r="A3735">
        <v>18222</v>
      </c>
      <c r="B3735" t="s">
        <v>457</v>
      </c>
      <c r="C3735" t="s">
        <v>4199</v>
      </c>
      <c r="D3735" t="s">
        <v>1921</v>
      </c>
      <c r="E3735" t="s">
        <v>8</v>
      </c>
      <c r="F3735" t="s">
        <v>21</v>
      </c>
      <c r="G3735" t="s">
        <v>5003</v>
      </c>
      <c r="H3735" s="7">
        <v>91402</v>
      </c>
    </row>
    <row r="3736" spans="1:8" x14ac:dyDescent="0.3">
      <c r="A3736">
        <v>18224</v>
      </c>
      <c r="B3736" t="s">
        <v>5</v>
      </c>
      <c r="C3736" t="s">
        <v>3355</v>
      </c>
      <c r="D3736" t="s">
        <v>1887</v>
      </c>
      <c r="E3736" t="s">
        <v>8</v>
      </c>
      <c r="F3736" t="s">
        <v>9</v>
      </c>
      <c r="G3736" t="s">
        <v>3356</v>
      </c>
      <c r="H3736" s="7">
        <v>725</v>
      </c>
    </row>
    <row r="3737" spans="1:8" x14ac:dyDescent="0.3">
      <c r="A3737">
        <v>18225</v>
      </c>
      <c r="B3737" t="s">
        <v>324</v>
      </c>
      <c r="C3737" t="s">
        <v>2344</v>
      </c>
      <c r="D3737" t="s">
        <v>1706</v>
      </c>
      <c r="E3737" t="s">
        <v>8</v>
      </c>
      <c r="F3737" t="s">
        <v>21</v>
      </c>
      <c r="G3737" t="s">
        <v>2695</v>
      </c>
      <c r="H3737" s="7">
        <v>95020</v>
      </c>
    </row>
    <row r="3738" spans="1:8" x14ac:dyDescent="0.3">
      <c r="A3738">
        <v>18229</v>
      </c>
      <c r="B3738" t="s">
        <v>368</v>
      </c>
      <c r="C3738" t="s">
        <v>2527</v>
      </c>
      <c r="D3738" t="s">
        <v>955</v>
      </c>
      <c r="E3738" t="s">
        <v>8</v>
      </c>
      <c r="F3738" t="s">
        <v>88</v>
      </c>
      <c r="G3738" t="s">
        <v>2528</v>
      </c>
      <c r="H3738" s="7">
        <v>10031</v>
      </c>
    </row>
    <row r="3739" spans="1:8" x14ac:dyDescent="0.3">
      <c r="A3739">
        <v>18230</v>
      </c>
      <c r="B3739" t="s">
        <v>5</v>
      </c>
      <c r="C3739" t="s">
        <v>371</v>
      </c>
      <c r="D3739" t="s">
        <v>725</v>
      </c>
      <c r="E3739" t="s">
        <v>27</v>
      </c>
      <c r="F3739" t="s">
        <v>9</v>
      </c>
      <c r="G3739" t="s">
        <v>1602</v>
      </c>
      <c r="H3739" s="7">
        <v>725</v>
      </c>
    </row>
    <row r="3740" spans="1:8" x14ac:dyDescent="0.3">
      <c r="A3740">
        <v>18232</v>
      </c>
      <c r="B3740" t="s">
        <v>5</v>
      </c>
      <c r="C3740" t="s">
        <v>1144</v>
      </c>
      <c r="D3740" t="s">
        <v>148</v>
      </c>
      <c r="E3740" t="s">
        <v>8</v>
      </c>
      <c r="F3740" t="s">
        <v>9</v>
      </c>
      <c r="G3740" t="s">
        <v>3600</v>
      </c>
      <c r="H3740" s="7">
        <v>725</v>
      </c>
    </row>
    <row r="3741" spans="1:8" x14ac:dyDescent="0.3">
      <c r="A3741">
        <v>18233</v>
      </c>
      <c r="B3741" t="s">
        <v>2836</v>
      </c>
      <c r="C3741" t="s">
        <v>2837</v>
      </c>
      <c r="D3741" t="s">
        <v>2838</v>
      </c>
      <c r="E3741" t="s">
        <v>8</v>
      </c>
      <c r="F3741" t="s">
        <v>88</v>
      </c>
      <c r="G3741" t="s">
        <v>2839</v>
      </c>
      <c r="H3741" s="7">
        <v>11374</v>
      </c>
    </row>
    <row r="3742" spans="1:8" x14ac:dyDescent="0.3">
      <c r="A3742">
        <v>18234</v>
      </c>
      <c r="B3742" t="s">
        <v>5</v>
      </c>
      <c r="C3742" t="s">
        <v>1334</v>
      </c>
      <c r="D3742" t="s">
        <v>860</v>
      </c>
      <c r="E3742" t="s">
        <v>8</v>
      </c>
      <c r="F3742" t="s">
        <v>9</v>
      </c>
      <c r="G3742" t="s">
        <v>1335</v>
      </c>
      <c r="H3742" s="7">
        <v>725</v>
      </c>
    </row>
    <row r="3743" spans="1:8" x14ac:dyDescent="0.3">
      <c r="A3743">
        <v>18235</v>
      </c>
      <c r="B3743" t="s">
        <v>1800</v>
      </c>
      <c r="C3743" t="s">
        <v>1801</v>
      </c>
      <c r="D3743" t="s">
        <v>1802</v>
      </c>
      <c r="E3743" t="s">
        <v>8</v>
      </c>
      <c r="F3743" t="s">
        <v>114</v>
      </c>
      <c r="G3743" t="s">
        <v>1729</v>
      </c>
      <c r="H3743" s="7">
        <v>76106</v>
      </c>
    </row>
    <row r="3744" spans="1:8" x14ac:dyDescent="0.3">
      <c r="A3744">
        <v>18236</v>
      </c>
      <c r="B3744" t="s">
        <v>1323</v>
      </c>
      <c r="C3744" t="s">
        <v>1359</v>
      </c>
      <c r="D3744" t="s">
        <v>139</v>
      </c>
      <c r="E3744" t="s">
        <v>8</v>
      </c>
      <c r="F3744" t="s">
        <v>88</v>
      </c>
      <c r="G3744" t="s">
        <v>1324</v>
      </c>
      <c r="H3744" s="7">
        <v>14120</v>
      </c>
    </row>
    <row r="3745" spans="1:8" x14ac:dyDescent="0.3">
      <c r="A3745">
        <v>18238</v>
      </c>
      <c r="B3745" t="s">
        <v>2501</v>
      </c>
      <c r="C3745" t="s">
        <v>3226</v>
      </c>
      <c r="D3745" t="s">
        <v>2954</v>
      </c>
      <c r="E3745" t="s">
        <v>8</v>
      </c>
      <c r="F3745" t="s">
        <v>448</v>
      </c>
      <c r="G3745" t="s">
        <v>3227</v>
      </c>
      <c r="H3745" s="7">
        <v>33021</v>
      </c>
    </row>
    <row r="3746" spans="1:8" x14ac:dyDescent="0.3">
      <c r="A3746">
        <v>18239</v>
      </c>
      <c r="B3746" t="s">
        <v>5</v>
      </c>
      <c r="C3746" t="s">
        <v>2017</v>
      </c>
      <c r="D3746" t="s">
        <v>2018</v>
      </c>
      <c r="E3746" t="s">
        <v>27</v>
      </c>
      <c r="F3746" t="s">
        <v>9</v>
      </c>
      <c r="G3746" t="s">
        <v>2019</v>
      </c>
      <c r="H3746" s="7">
        <v>725</v>
      </c>
    </row>
    <row r="3747" spans="1:8" x14ac:dyDescent="0.3">
      <c r="A3747">
        <v>18240</v>
      </c>
      <c r="B3747" t="s">
        <v>1938</v>
      </c>
      <c r="C3747" t="s">
        <v>1788</v>
      </c>
      <c r="D3747" t="s">
        <v>2177</v>
      </c>
      <c r="E3747" t="s">
        <v>27</v>
      </c>
      <c r="F3747" t="s">
        <v>21</v>
      </c>
      <c r="G3747" t="s">
        <v>2178</v>
      </c>
      <c r="H3747" s="7">
        <v>92026</v>
      </c>
    </row>
    <row r="3748" spans="1:8" x14ac:dyDescent="0.3">
      <c r="A3748">
        <v>18241</v>
      </c>
      <c r="B3748" t="s">
        <v>5</v>
      </c>
      <c r="C3748" t="s">
        <v>2014</v>
      </c>
      <c r="D3748" t="s">
        <v>2015</v>
      </c>
      <c r="E3748" t="s">
        <v>27</v>
      </c>
      <c r="F3748" t="s">
        <v>9</v>
      </c>
      <c r="G3748" t="s">
        <v>2016</v>
      </c>
      <c r="H3748" s="7">
        <v>725</v>
      </c>
    </row>
    <row r="3749" spans="1:8" x14ac:dyDescent="0.3">
      <c r="A3749">
        <v>18247</v>
      </c>
      <c r="B3749" t="s">
        <v>5</v>
      </c>
      <c r="C3749" t="s">
        <v>3781</v>
      </c>
      <c r="D3749" t="s">
        <v>3656</v>
      </c>
      <c r="E3749" t="s">
        <v>8</v>
      </c>
      <c r="F3749" t="s">
        <v>9</v>
      </c>
      <c r="G3749" t="s">
        <v>3455</v>
      </c>
      <c r="H3749" s="7">
        <v>725</v>
      </c>
    </row>
    <row r="3750" spans="1:8" x14ac:dyDescent="0.3">
      <c r="A3750">
        <v>18248</v>
      </c>
      <c r="B3750" t="s">
        <v>1928</v>
      </c>
      <c r="C3750" t="s">
        <v>365</v>
      </c>
      <c r="D3750" t="s">
        <v>1373</v>
      </c>
      <c r="E3750" t="s">
        <v>8</v>
      </c>
      <c r="F3750" t="s">
        <v>88</v>
      </c>
      <c r="G3750" t="s">
        <v>1929</v>
      </c>
      <c r="H3750" s="7">
        <v>10306</v>
      </c>
    </row>
    <row r="3751" spans="1:8" x14ac:dyDescent="0.3">
      <c r="A3751">
        <v>18249</v>
      </c>
      <c r="B3751" t="s">
        <v>5</v>
      </c>
      <c r="C3751" t="s">
        <v>362</v>
      </c>
      <c r="D3751" t="s">
        <v>1336</v>
      </c>
      <c r="E3751" t="s">
        <v>8</v>
      </c>
      <c r="F3751" t="s">
        <v>9</v>
      </c>
      <c r="G3751" t="s">
        <v>1337</v>
      </c>
      <c r="H3751" s="7">
        <v>725</v>
      </c>
    </row>
    <row r="3752" spans="1:8" x14ac:dyDescent="0.3">
      <c r="A3752">
        <v>18250</v>
      </c>
      <c r="B3752" t="s">
        <v>1538</v>
      </c>
      <c r="C3752" t="s">
        <v>306</v>
      </c>
      <c r="D3752" t="s">
        <v>2524</v>
      </c>
      <c r="E3752" t="s">
        <v>8</v>
      </c>
      <c r="F3752" t="s">
        <v>21</v>
      </c>
      <c r="G3752" t="s">
        <v>2022</v>
      </c>
      <c r="H3752" s="7">
        <v>95828</v>
      </c>
    </row>
    <row r="3753" spans="1:8" x14ac:dyDescent="0.3">
      <c r="A3753">
        <v>18261</v>
      </c>
      <c r="B3753" t="s">
        <v>1236</v>
      </c>
      <c r="C3753" t="s">
        <v>1237</v>
      </c>
      <c r="D3753" t="s">
        <v>1238</v>
      </c>
      <c r="E3753" t="s">
        <v>27</v>
      </c>
      <c r="F3753" t="s">
        <v>77</v>
      </c>
      <c r="G3753" t="s">
        <v>1239</v>
      </c>
      <c r="H3753" s="7">
        <v>17055</v>
      </c>
    </row>
    <row r="3754" spans="1:8" x14ac:dyDescent="0.3">
      <c r="A3754">
        <v>18262</v>
      </c>
      <c r="B3754" t="s">
        <v>2249</v>
      </c>
      <c r="C3754" t="s">
        <v>3220</v>
      </c>
      <c r="D3754" t="s">
        <v>550</v>
      </c>
      <c r="E3754" t="s">
        <v>8</v>
      </c>
      <c r="F3754" t="s">
        <v>21</v>
      </c>
      <c r="G3754" t="s">
        <v>2250</v>
      </c>
      <c r="H3754" s="7">
        <v>91730</v>
      </c>
    </row>
    <row r="3755" spans="1:8" x14ac:dyDescent="0.3">
      <c r="A3755">
        <v>18271</v>
      </c>
      <c r="B3755" t="s">
        <v>5</v>
      </c>
      <c r="C3755" t="s">
        <v>335</v>
      </c>
      <c r="D3755" t="s">
        <v>297</v>
      </c>
      <c r="E3755" t="s">
        <v>27</v>
      </c>
      <c r="F3755" t="s">
        <v>9</v>
      </c>
      <c r="G3755" t="s">
        <v>2933</v>
      </c>
      <c r="H3755" s="7">
        <v>725</v>
      </c>
    </row>
    <row r="3756" spans="1:8" x14ac:dyDescent="0.3">
      <c r="A3756">
        <v>18273</v>
      </c>
      <c r="B3756" t="s">
        <v>396</v>
      </c>
      <c r="C3756" t="s">
        <v>328</v>
      </c>
      <c r="D3756" t="s">
        <v>4110</v>
      </c>
      <c r="E3756" t="s">
        <v>8</v>
      </c>
      <c r="F3756" t="s">
        <v>248</v>
      </c>
      <c r="G3756" t="s">
        <v>2803</v>
      </c>
      <c r="H3756" s="7">
        <v>45011</v>
      </c>
    </row>
    <row r="3757" spans="1:8" x14ac:dyDescent="0.3">
      <c r="A3757">
        <v>18276</v>
      </c>
      <c r="B3757" t="s">
        <v>18</v>
      </c>
      <c r="C3757" t="s">
        <v>2301</v>
      </c>
      <c r="D3757" t="s">
        <v>3942</v>
      </c>
      <c r="E3757" t="s">
        <v>27</v>
      </c>
      <c r="F3757" t="s">
        <v>21</v>
      </c>
      <c r="G3757" t="s">
        <v>3927</v>
      </c>
      <c r="H3757" s="7">
        <v>95148</v>
      </c>
    </row>
    <row r="3758" spans="1:8" x14ac:dyDescent="0.3">
      <c r="A3758">
        <v>18282</v>
      </c>
      <c r="B3758" t="s">
        <v>5</v>
      </c>
      <c r="C3758" t="s">
        <v>2413</v>
      </c>
      <c r="D3758" t="s">
        <v>733</v>
      </c>
      <c r="E3758" t="s">
        <v>8</v>
      </c>
      <c r="F3758" t="s">
        <v>9</v>
      </c>
      <c r="G3758" t="s">
        <v>2456</v>
      </c>
      <c r="H3758" s="7">
        <v>725</v>
      </c>
    </row>
    <row r="3759" spans="1:8" x14ac:dyDescent="0.3">
      <c r="A3759">
        <v>18283</v>
      </c>
      <c r="B3759" t="s">
        <v>1130</v>
      </c>
      <c r="C3759" t="s">
        <v>1148</v>
      </c>
      <c r="D3759" t="s">
        <v>842</v>
      </c>
      <c r="E3759" t="s">
        <v>8</v>
      </c>
      <c r="F3759" t="s">
        <v>21</v>
      </c>
      <c r="G3759" t="s">
        <v>1149</v>
      </c>
      <c r="H3759" s="7">
        <v>92677</v>
      </c>
    </row>
    <row r="3760" spans="1:8" x14ac:dyDescent="0.3">
      <c r="A3760">
        <v>18286</v>
      </c>
      <c r="B3760" t="s">
        <v>997</v>
      </c>
      <c r="C3760" t="s">
        <v>188</v>
      </c>
      <c r="D3760" t="s">
        <v>3091</v>
      </c>
      <c r="E3760" t="s">
        <v>95</v>
      </c>
      <c r="F3760" t="s">
        <v>2654</v>
      </c>
      <c r="G3760" t="s">
        <v>3092</v>
      </c>
      <c r="H3760" s="7">
        <v>19711</v>
      </c>
    </row>
    <row r="3761" spans="1:8" x14ac:dyDescent="0.3">
      <c r="A3761">
        <v>18296</v>
      </c>
      <c r="B3761" t="s">
        <v>254</v>
      </c>
      <c r="C3761" t="s">
        <v>332</v>
      </c>
      <c r="D3761" t="s">
        <v>3328</v>
      </c>
      <c r="E3761" t="s">
        <v>8</v>
      </c>
      <c r="F3761" t="s">
        <v>55</v>
      </c>
      <c r="G3761" t="s">
        <v>1492</v>
      </c>
      <c r="H3761" s="7">
        <v>60649</v>
      </c>
    </row>
    <row r="3762" spans="1:8" x14ac:dyDescent="0.3">
      <c r="A3762">
        <v>18300</v>
      </c>
      <c r="B3762" t="s">
        <v>1531</v>
      </c>
      <c r="C3762" t="s">
        <v>1532</v>
      </c>
      <c r="D3762" t="s">
        <v>1533</v>
      </c>
      <c r="E3762" t="s">
        <v>27</v>
      </c>
      <c r="F3762" t="s">
        <v>21</v>
      </c>
      <c r="G3762" t="s">
        <v>1534</v>
      </c>
      <c r="H3762" s="7">
        <v>91950</v>
      </c>
    </row>
    <row r="3763" spans="1:8" x14ac:dyDescent="0.3">
      <c r="A3763">
        <v>18309</v>
      </c>
      <c r="B3763" t="s">
        <v>142</v>
      </c>
      <c r="C3763" t="s">
        <v>2402</v>
      </c>
      <c r="D3763" t="s">
        <v>1854</v>
      </c>
      <c r="E3763" t="s">
        <v>95</v>
      </c>
      <c r="F3763" t="s">
        <v>88</v>
      </c>
      <c r="G3763" t="s">
        <v>1970</v>
      </c>
      <c r="H3763" s="7">
        <v>10468</v>
      </c>
    </row>
    <row r="3764" spans="1:8" x14ac:dyDescent="0.3">
      <c r="A3764">
        <v>18310</v>
      </c>
      <c r="B3764" t="s">
        <v>2181</v>
      </c>
      <c r="C3764" t="s">
        <v>1317</v>
      </c>
      <c r="D3764" t="s">
        <v>360</v>
      </c>
      <c r="E3764" t="s">
        <v>95</v>
      </c>
      <c r="F3764" t="s">
        <v>986</v>
      </c>
      <c r="G3764" t="s">
        <v>3028</v>
      </c>
      <c r="H3764" s="7">
        <v>2860</v>
      </c>
    </row>
    <row r="3765" spans="1:8" x14ac:dyDescent="0.3">
      <c r="A3765">
        <v>18313</v>
      </c>
      <c r="B3765" t="s">
        <v>2139</v>
      </c>
      <c r="C3765" t="s">
        <v>2140</v>
      </c>
      <c r="D3765" t="s">
        <v>2141</v>
      </c>
      <c r="E3765" t="s">
        <v>8</v>
      </c>
      <c r="F3765" t="s">
        <v>2142</v>
      </c>
      <c r="G3765" t="s">
        <v>2143</v>
      </c>
      <c r="H3765" s="7">
        <v>25401</v>
      </c>
    </row>
    <row r="3766" spans="1:8" x14ac:dyDescent="0.3">
      <c r="A3766">
        <v>18320</v>
      </c>
      <c r="B3766" t="s">
        <v>18</v>
      </c>
      <c r="C3766" t="s">
        <v>5498</v>
      </c>
      <c r="D3766" t="s">
        <v>1954</v>
      </c>
      <c r="E3766" t="s">
        <v>27</v>
      </c>
      <c r="F3766" t="s">
        <v>21</v>
      </c>
      <c r="G3766" t="s">
        <v>5649</v>
      </c>
      <c r="H3766" s="7">
        <v>95148</v>
      </c>
    </row>
    <row r="3767" spans="1:8" x14ac:dyDescent="0.3">
      <c r="A3767">
        <v>18322</v>
      </c>
      <c r="B3767" t="s">
        <v>3010</v>
      </c>
      <c r="C3767" t="s">
        <v>278</v>
      </c>
      <c r="D3767" t="s">
        <v>1357</v>
      </c>
      <c r="E3767" t="s">
        <v>27</v>
      </c>
      <c r="F3767" t="s">
        <v>114</v>
      </c>
      <c r="G3767" t="s">
        <v>2204</v>
      </c>
      <c r="H3767" s="7">
        <v>76010</v>
      </c>
    </row>
    <row r="3768" spans="1:8" x14ac:dyDescent="0.3">
      <c r="A3768">
        <v>18325</v>
      </c>
      <c r="B3768" t="s">
        <v>174</v>
      </c>
      <c r="C3768" t="s">
        <v>2426</v>
      </c>
      <c r="D3768" t="s">
        <v>5384</v>
      </c>
      <c r="E3768" t="s">
        <v>27</v>
      </c>
      <c r="F3768" t="s">
        <v>21</v>
      </c>
      <c r="G3768" t="s">
        <v>4717</v>
      </c>
      <c r="H3768" s="7">
        <v>90024</v>
      </c>
    </row>
    <row r="3769" spans="1:8" x14ac:dyDescent="0.3">
      <c r="A3769">
        <v>18333</v>
      </c>
      <c r="B3769" t="s">
        <v>5</v>
      </c>
      <c r="C3769" t="s">
        <v>1532</v>
      </c>
      <c r="D3769" t="s">
        <v>2162</v>
      </c>
      <c r="E3769" t="s">
        <v>8</v>
      </c>
      <c r="F3769" t="s">
        <v>9</v>
      </c>
      <c r="G3769" t="s">
        <v>1596</v>
      </c>
      <c r="H3769" s="7">
        <v>725</v>
      </c>
    </row>
    <row r="3770" spans="1:8" x14ac:dyDescent="0.3">
      <c r="A3770">
        <v>18350</v>
      </c>
      <c r="B3770" t="s">
        <v>810</v>
      </c>
      <c r="C3770" t="s">
        <v>2417</v>
      </c>
      <c r="D3770" t="s">
        <v>2529</v>
      </c>
      <c r="E3770" t="s">
        <v>8</v>
      </c>
      <c r="F3770" t="s">
        <v>448</v>
      </c>
      <c r="G3770" t="s">
        <v>4434</v>
      </c>
      <c r="H3770" s="7">
        <v>33068</v>
      </c>
    </row>
    <row r="3771" spans="1:8" x14ac:dyDescent="0.3">
      <c r="A3771">
        <v>18358</v>
      </c>
      <c r="B3771" t="s">
        <v>254</v>
      </c>
      <c r="C3771" t="s">
        <v>1068</v>
      </c>
      <c r="D3771" t="s">
        <v>485</v>
      </c>
      <c r="E3771" t="s">
        <v>27</v>
      </c>
      <c r="F3771" t="s">
        <v>55</v>
      </c>
      <c r="G3771" t="s">
        <v>1500</v>
      </c>
      <c r="H3771" s="7">
        <v>60610</v>
      </c>
    </row>
    <row r="3772" spans="1:8" x14ac:dyDescent="0.3">
      <c r="A3772">
        <v>18359</v>
      </c>
      <c r="B3772" t="s">
        <v>5</v>
      </c>
      <c r="C3772" t="s">
        <v>3623</v>
      </c>
      <c r="D3772" t="s">
        <v>3624</v>
      </c>
      <c r="E3772" t="s">
        <v>8</v>
      </c>
      <c r="F3772" t="s">
        <v>9</v>
      </c>
      <c r="G3772" t="s">
        <v>3131</v>
      </c>
      <c r="H3772" s="7">
        <v>725</v>
      </c>
    </row>
    <row r="3773" spans="1:8" x14ac:dyDescent="0.3">
      <c r="A3773">
        <v>18360</v>
      </c>
      <c r="B3773" t="s">
        <v>1919</v>
      </c>
      <c r="C3773" t="s">
        <v>3209</v>
      </c>
      <c r="D3773" t="s">
        <v>1587</v>
      </c>
      <c r="E3773" t="s">
        <v>8</v>
      </c>
      <c r="F3773" t="s">
        <v>242</v>
      </c>
      <c r="G3773" t="s">
        <v>1920</v>
      </c>
      <c r="H3773" s="7">
        <v>21740</v>
      </c>
    </row>
    <row r="3774" spans="1:8" x14ac:dyDescent="0.3">
      <c r="A3774">
        <v>18361</v>
      </c>
      <c r="B3774" t="s">
        <v>1850</v>
      </c>
      <c r="C3774" t="s">
        <v>1851</v>
      </c>
      <c r="D3774" t="s">
        <v>1568</v>
      </c>
      <c r="E3774" t="s">
        <v>8</v>
      </c>
      <c r="F3774" t="s">
        <v>21</v>
      </c>
      <c r="G3774" t="s">
        <v>1852</v>
      </c>
      <c r="H3774" s="7">
        <v>92708</v>
      </c>
    </row>
    <row r="3775" spans="1:8" x14ac:dyDescent="0.3">
      <c r="A3775">
        <v>18368</v>
      </c>
      <c r="B3775" t="s">
        <v>5313</v>
      </c>
      <c r="C3775" t="s">
        <v>1272</v>
      </c>
      <c r="D3775" t="s">
        <v>4245</v>
      </c>
      <c r="E3775" t="s">
        <v>95</v>
      </c>
      <c r="F3775" t="s">
        <v>36</v>
      </c>
      <c r="G3775" t="s">
        <v>5630</v>
      </c>
      <c r="H3775" s="7">
        <v>2780</v>
      </c>
    </row>
    <row r="3776" spans="1:8" x14ac:dyDescent="0.3">
      <c r="A3776">
        <v>18373</v>
      </c>
      <c r="B3776" t="s">
        <v>5</v>
      </c>
      <c r="C3776" t="s">
        <v>1409</v>
      </c>
      <c r="D3776" t="s">
        <v>2455</v>
      </c>
      <c r="E3776" t="s">
        <v>8</v>
      </c>
      <c r="F3776" t="s">
        <v>9</v>
      </c>
      <c r="G3776" t="s">
        <v>517</v>
      </c>
      <c r="H3776" s="7">
        <v>725</v>
      </c>
    </row>
    <row r="3777" spans="1:8" x14ac:dyDescent="0.3">
      <c r="A3777">
        <v>18374</v>
      </c>
      <c r="B3777" t="s">
        <v>995</v>
      </c>
      <c r="C3777" t="s">
        <v>1814</v>
      </c>
      <c r="D3777" t="s">
        <v>3033</v>
      </c>
      <c r="E3777" t="s">
        <v>8</v>
      </c>
      <c r="F3777" t="s">
        <v>283</v>
      </c>
      <c r="G3777" t="s">
        <v>2482</v>
      </c>
      <c r="H3777" s="7">
        <v>23455</v>
      </c>
    </row>
    <row r="3778" spans="1:8" x14ac:dyDescent="0.3">
      <c r="A3778">
        <v>18375</v>
      </c>
      <c r="B3778" t="s">
        <v>5</v>
      </c>
      <c r="C3778" t="s">
        <v>2005</v>
      </c>
      <c r="D3778" t="s">
        <v>1192</v>
      </c>
      <c r="E3778" t="s">
        <v>8</v>
      </c>
      <c r="F3778" t="s">
        <v>9</v>
      </c>
      <c r="G3778" t="s">
        <v>1994</v>
      </c>
      <c r="H3778" s="7">
        <v>725</v>
      </c>
    </row>
    <row r="3779" spans="1:8" x14ac:dyDescent="0.3">
      <c r="A3779">
        <v>18376</v>
      </c>
      <c r="B3779" t="s">
        <v>2447</v>
      </c>
      <c r="C3779" t="s">
        <v>1446</v>
      </c>
      <c r="D3779" t="s">
        <v>2788</v>
      </c>
      <c r="E3779" t="s">
        <v>8</v>
      </c>
      <c r="F3779" t="s">
        <v>9</v>
      </c>
      <c r="G3779" t="s">
        <v>3329</v>
      </c>
      <c r="H3779" s="7">
        <v>612</v>
      </c>
    </row>
    <row r="3780" spans="1:8" x14ac:dyDescent="0.3">
      <c r="A3780">
        <v>18384</v>
      </c>
      <c r="B3780" t="s">
        <v>5</v>
      </c>
      <c r="C3780" t="s">
        <v>2399</v>
      </c>
      <c r="D3780" t="s">
        <v>4397</v>
      </c>
      <c r="E3780" t="s">
        <v>95</v>
      </c>
      <c r="F3780" t="s">
        <v>9</v>
      </c>
      <c r="G3780" t="s">
        <v>2768</v>
      </c>
      <c r="H3780" s="7">
        <v>725</v>
      </c>
    </row>
    <row r="3781" spans="1:8" x14ac:dyDescent="0.3">
      <c r="A3781">
        <v>18387</v>
      </c>
      <c r="B3781" t="s">
        <v>505</v>
      </c>
      <c r="C3781" t="s">
        <v>3767</v>
      </c>
      <c r="D3781" t="s">
        <v>1887</v>
      </c>
      <c r="E3781" t="s">
        <v>27</v>
      </c>
      <c r="F3781" t="s">
        <v>448</v>
      </c>
      <c r="G3781" t="s">
        <v>5499</v>
      </c>
      <c r="H3781" s="7">
        <v>33549</v>
      </c>
    </row>
    <row r="3782" spans="1:8" x14ac:dyDescent="0.3">
      <c r="A3782">
        <v>18391</v>
      </c>
      <c r="B3782" t="s">
        <v>117</v>
      </c>
      <c r="C3782" t="s">
        <v>3302</v>
      </c>
      <c r="D3782" t="s">
        <v>796</v>
      </c>
      <c r="E3782" t="s">
        <v>27</v>
      </c>
      <c r="F3782" t="s">
        <v>21</v>
      </c>
      <c r="G3782" t="s">
        <v>3100</v>
      </c>
      <c r="H3782" s="7">
        <v>92105</v>
      </c>
    </row>
    <row r="3783" spans="1:8" x14ac:dyDescent="0.3">
      <c r="A3783">
        <v>18399</v>
      </c>
      <c r="B3783" t="s">
        <v>3915</v>
      </c>
      <c r="C3783" t="s">
        <v>3496</v>
      </c>
      <c r="D3783" t="s">
        <v>4586</v>
      </c>
      <c r="E3783" t="s">
        <v>8</v>
      </c>
      <c r="F3783" t="s">
        <v>88</v>
      </c>
      <c r="G3783" t="s">
        <v>4305</v>
      </c>
      <c r="H3783" s="7">
        <v>13440</v>
      </c>
    </row>
    <row r="3784" spans="1:8" x14ac:dyDescent="0.3">
      <c r="A3784">
        <v>18400</v>
      </c>
      <c r="B3784" t="s">
        <v>447</v>
      </c>
      <c r="C3784" t="s">
        <v>2144</v>
      </c>
      <c r="D3784" t="s">
        <v>2145</v>
      </c>
      <c r="E3784" t="s">
        <v>8</v>
      </c>
      <c r="F3784" t="s">
        <v>448</v>
      </c>
      <c r="G3784" t="s">
        <v>2146</v>
      </c>
      <c r="H3784" s="7">
        <v>33016</v>
      </c>
    </row>
    <row r="3785" spans="1:8" x14ac:dyDescent="0.3">
      <c r="A3785">
        <v>18405</v>
      </c>
      <c r="B3785" t="s">
        <v>5</v>
      </c>
      <c r="C3785" t="s">
        <v>3858</v>
      </c>
      <c r="D3785" t="s">
        <v>4869</v>
      </c>
      <c r="E3785" t="s">
        <v>8</v>
      </c>
      <c r="F3785" t="s">
        <v>9</v>
      </c>
      <c r="G3785" t="s">
        <v>3892</v>
      </c>
      <c r="H3785" s="7">
        <v>725</v>
      </c>
    </row>
    <row r="3786" spans="1:8" x14ac:dyDescent="0.3">
      <c r="A3786">
        <v>18410</v>
      </c>
      <c r="B3786" t="s">
        <v>1899</v>
      </c>
      <c r="C3786" t="s">
        <v>662</v>
      </c>
      <c r="D3786" t="s">
        <v>3033</v>
      </c>
      <c r="E3786" t="s">
        <v>8</v>
      </c>
      <c r="F3786" t="s">
        <v>381</v>
      </c>
      <c r="G3786" t="s">
        <v>3098</v>
      </c>
      <c r="H3786" s="7">
        <v>48224</v>
      </c>
    </row>
    <row r="3787" spans="1:8" x14ac:dyDescent="0.3">
      <c r="A3787">
        <v>18419</v>
      </c>
      <c r="B3787" t="s">
        <v>1135</v>
      </c>
      <c r="C3787" t="s">
        <v>393</v>
      </c>
      <c r="D3787" t="s">
        <v>3116</v>
      </c>
      <c r="E3787" t="s">
        <v>95</v>
      </c>
      <c r="F3787" t="s">
        <v>36</v>
      </c>
      <c r="G3787" t="s">
        <v>1138</v>
      </c>
      <c r="H3787" s="7">
        <v>1201</v>
      </c>
    </row>
    <row r="3788" spans="1:8" x14ac:dyDescent="0.3">
      <c r="A3788">
        <v>18421</v>
      </c>
      <c r="B3788" t="s">
        <v>210</v>
      </c>
      <c r="C3788" t="s">
        <v>1103</v>
      </c>
      <c r="D3788" t="s">
        <v>2735</v>
      </c>
      <c r="E3788" t="s">
        <v>27</v>
      </c>
      <c r="F3788" t="s">
        <v>21</v>
      </c>
      <c r="G3788" t="s">
        <v>820</v>
      </c>
      <c r="H3788" s="7">
        <v>90745</v>
      </c>
    </row>
    <row r="3789" spans="1:8" x14ac:dyDescent="0.3">
      <c r="A3789">
        <v>18422</v>
      </c>
      <c r="B3789" t="s">
        <v>174</v>
      </c>
      <c r="C3789" t="s">
        <v>126</v>
      </c>
      <c r="D3789" t="s">
        <v>1964</v>
      </c>
      <c r="E3789" t="s">
        <v>95</v>
      </c>
      <c r="F3789" t="s">
        <v>21</v>
      </c>
      <c r="G3789" t="s">
        <v>3115</v>
      </c>
      <c r="H3789" s="7">
        <v>90032</v>
      </c>
    </row>
    <row r="3790" spans="1:8" x14ac:dyDescent="0.3">
      <c r="A3790">
        <v>18425</v>
      </c>
      <c r="B3790" t="s">
        <v>5</v>
      </c>
      <c r="C3790" t="s">
        <v>71</v>
      </c>
      <c r="D3790" t="s">
        <v>3885</v>
      </c>
      <c r="E3790" t="s">
        <v>8</v>
      </c>
      <c r="F3790" t="s">
        <v>9</v>
      </c>
      <c r="G3790" t="s">
        <v>5275</v>
      </c>
      <c r="H3790" s="7">
        <v>725</v>
      </c>
    </row>
    <row r="3791" spans="1:8" x14ac:dyDescent="0.3">
      <c r="A3791">
        <v>18433</v>
      </c>
      <c r="B3791" t="s">
        <v>656</v>
      </c>
      <c r="C3791" t="s">
        <v>2642</v>
      </c>
      <c r="D3791" t="s">
        <v>2048</v>
      </c>
      <c r="E3791" t="s">
        <v>27</v>
      </c>
      <c r="F3791" t="s">
        <v>77</v>
      </c>
      <c r="G3791" t="s">
        <v>2643</v>
      </c>
      <c r="H3791" s="7">
        <v>19134</v>
      </c>
    </row>
    <row r="3792" spans="1:8" x14ac:dyDescent="0.3">
      <c r="A3792">
        <v>18434</v>
      </c>
      <c r="B3792" t="s">
        <v>677</v>
      </c>
      <c r="C3792" t="s">
        <v>1218</v>
      </c>
      <c r="D3792" t="s">
        <v>1219</v>
      </c>
      <c r="E3792" t="s">
        <v>27</v>
      </c>
      <c r="F3792" t="s">
        <v>114</v>
      </c>
      <c r="G3792" t="s">
        <v>1220</v>
      </c>
      <c r="H3792" s="7">
        <v>77840</v>
      </c>
    </row>
    <row r="3793" spans="1:8" x14ac:dyDescent="0.3">
      <c r="A3793">
        <v>18435</v>
      </c>
      <c r="B3793" t="s">
        <v>5</v>
      </c>
      <c r="C3793" t="s">
        <v>2970</v>
      </c>
      <c r="D3793" t="s">
        <v>2971</v>
      </c>
      <c r="E3793" t="s">
        <v>27</v>
      </c>
      <c r="F3793" t="s">
        <v>9</v>
      </c>
      <c r="G3793" t="s">
        <v>1361</v>
      </c>
      <c r="H3793" s="7">
        <v>725</v>
      </c>
    </row>
    <row r="3794" spans="1:8" x14ac:dyDescent="0.3">
      <c r="A3794">
        <v>18436</v>
      </c>
      <c r="B3794" t="s">
        <v>1139</v>
      </c>
      <c r="C3794" t="s">
        <v>1627</v>
      </c>
      <c r="D3794" t="s">
        <v>1628</v>
      </c>
      <c r="E3794" t="s">
        <v>27</v>
      </c>
      <c r="F3794" t="s">
        <v>114</v>
      </c>
      <c r="G3794" t="s">
        <v>903</v>
      </c>
      <c r="H3794" s="7">
        <v>79927</v>
      </c>
    </row>
    <row r="3795" spans="1:8" x14ac:dyDescent="0.3">
      <c r="A3795">
        <v>18438</v>
      </c>
      <c r="B3795" t="s">
        <v>5</v>
      </c>
      <c r="C3795" t="s">
        <v>696</v>
      </c>
      <c r="D3795" t="s">
        <v>1925</v>
      </c>
      <c r="E3795" t="s">
        <v>8</v>
      </c>
      <c r="F3795" t="s">
        <v>9</v>
      </c>
      <c r="G3795" t="s">
        <v>946</v>
      </c>
      <c r="H3795" s="7">
        <v>725</v>
      </c>
    </row>
    <row r="3796" spans="1:8" x14ac:dyDescent="0.3">
      <c r="A3796">
        <v>18442</v>
      </c>
      <c r="B3796" t="s">
        <v>5</v>
      </c>
      <c r="C3796" t="s">
        <v>2017</v>
      </c>
      <c r="D3796" t="s">
        <v>3907</v>
      </c>
      <c r="E3796" t="s">
        <v>8</v>
      </c>
      <c r="F3796" t="s">
        <v>9</v>
      </c>
      <c r="G3796" t="s">
        <v>4832</v>
      </c>
      <c r="H3796" s="7">
        <v>725</v>
      </c>
    </row>
    <row r="3797" spans="1:8" x14ac:dyDescent="0.3">
      <c r="A3797">
        <v>18444</v>
      </c>
      <c r="B3797" t="s">
        <v>5</v>
      </c>
      <c r="C3797" t="s">
        <v>5469</v>
      </c>
      <c r="D3797" t="s">
        <v>1871</v>
      </c>
      <c r="E3797" t="s">
        <v>8</v>
      </c>
      <c r="F3797" t="s">
        <v>9</v>
      </c>
      <c r="G3797" t="s">
        <v>539</v>
      </c>
      <c r="H3797" s="7">
        <v>725</v>
      </c>
    </row>
    <row r="3798" spans="1:8" x14ac:dyDescent="0.3">
      <c r="A3798">
        <v>18458</v>
      </c>
      <c r="B3798" t="s">
        <v>254</v>
      </c>
      <c r="C3798" t="s">
        <v>2033</v>
      </c>
      <c r="D3798" t="s">
        <v>1137</v>
      </c>
      <c r="E3798" t="s">
        <v>27</v>
      </c>
      <c r="F3798" t="s">
        <v>55</v>
      </c>
      <c r="G3798" t="s">
        <v>3775</v>
      </c>
      <c r="H3798" s="7">
        <v>60622</v>
      </c>
    </row>
    <row r="3799" spans="1:8" x14ac:dyDescent="0.3">
      <c r="A3799">
        <v>18467</v>
      </c>
      <c r="B3799" t="s">
        <v>5</v>
      </c>
      <c r="C3799" t="s">
        <v>1592</v>
      </c>
      <c r="D3799" t="s">
        <v>3570</v>
      </c>
      <c r="E3799" t="s">
        <v>8</v>
      </c>
      <c r="F3799" t="s">
        <v>9</v>
      </c>
      <c r="G3799" t="s">
        <v>2007</v>
      </c>
      <c r="H3799" s="7">
        <v>725</v>
      </c>
    </row>
    <row r="3800" spans="1:8" x14ac:dyDescent="0.3">
      <c r="A3800">
        <v>18475</v>
      </c>
      <c r="B3800" t="s">
        <v>5</v>
      </c>
      <c r="C3800" t="s">
        <v>3771</v>
      </c>
      <c r="D3800" t="s">
        <v>1176</v>
      </c>
      <c r="E3800" t="s">
        <v>8</v>
      </c>
      <c r="F3800" t="s">
        <v>9</v>
      </c>
      <c r="G3800" t="s">
        <v>5055</v>
      </c>
      <c r="H3800" s="7">
        <v>725</v>
      </c>
    </row>
    <row r="3801" spans="1:8" x14ac:dyDescent="0.3">
      <c r="A3801">
        <v>18481</v>
      </c>
      <c r="B3801" t="s">
        <v>5</v>
      </c>
      <c r="C3801" t="s">
        <v>3575</v>
      </c>
      <c r="D3801" t="s">
        <v>2981</v>
      </c>
      <c r="E3801" t="s">
        <v>8</v>
      </c>
      <c r="F3801" t="s">
        <v>9</v>
      </c>
      <c r="G3801" t="s">
        <v>2037</v>
      </c>
      <c r="H3801" s="7">
        <v>725</v>
      </c>
    </row>
    <row r="3802" spans="1:8" x14ac:dyDescent="0.3">
      <c r="A3802">
        <v>18486</v>
      </c>
      <c r="B3802" t="s">
        <v>5</v>
      </c>
      <c r="C3802" t="s">
        <v>2965</v>
      </c>
      <c r="D3802" t="s">
        <v>2852</v>
      </c>
      <c r="E3802" t="s">
        <v>27</v>
      </c>
      <c r="F3802" t="s">
        <v>9</v>
      </c>
      <c r="G3802" t="s">
        <v>2966</v>
      </c>
      <c r="H3802" s="7">
        <v>725</v>
      </c>
    </row>
    <row r="3803" spans="1:8" x14ac:dyDescent="0.3">
      <c r="A3803">
        <v>18487</v>
      </c>
      <c r="B3803" t="s">
        <v>2627</v>
      </c>
      <c r="C3803" t="s">
        <v>2628</v>
      </c>
      <c r="D3803" t="s">
        <v>1925</v>
      </c>
      <c r="E3803" t="s">
        <v>27</v>
      </c>
      <c r="F3803" t="s">
        <v>21</v>
      </c>
      <c r="G3803" t="s">
        <v>1994</v>
      </c>
      <c r="H3803" s="7">
        <v>91766</v>
      </c>
    </row>
    <row r="3804" spans="1:8" x14ac:dyDescent="0.3">
      <c r="A3804">
        <v>18488</v>
      </c>
      <c r="B3804" t="s">
        <v>5</v>
      </c>
      <c r="C3804" t="s">
        <v>1886</v>
      </c>
      <c r="D3804" t="s">
        <v>2180</v>
      </c>
      <c r="E3804" t="s">
        <v>27</v>
      </c>
      <c r="F3804" t="s">
        <v>9</v>
      </c>
      <c r="G3804" t="s">
        <v>2600</v>
      </c>
      <c r="H3804" s="7">
        <v>725</v>
      </c>
    </row>
    <row r="3805" spans="1:8" x14ac:dyDescent="0.3">
      <c r="A3805">
        <v>18489</v>
      </c>
      <c r="B3805" t="s">
        <v>254</v>
      </c>
      <c r="C3805" t="s">
        <v>385</v>
      </c>
      <c r="D3805" t="s">
        <v>2195</v>
      </c>
      <c r="E3805" t="s">
        <v>8</v>
      </c>
      <c r="F3805" t="s">
        <v>55</v>
      </c>
      <c r="G3805" t="s">
        <v>3019</v>
      </c>
      <c r="H3805" s="7">
        <v>60616</v>
      </c>
    </row>
    <row r="3806" spans="1:8" x14ac:dyDescent="0.3">
      <c r="A3806">
        <v>18491</v>
      </c>
      <c r="B3806" t="s">
        <v>1313</v>
      </c>
      <c r="C3806" t="s">
        <v>2323</v>
      </c>
      <c r="D3806" t="s">
        <v>3471</v>
      </c>
      <c r="E3806" t="s">
        <v>8</v>
      </c>
      <c r="F3806" t="s">
        <v>448</v>
      </c>
      <c r="G3806" t="s">
        <v>2214</v>
      </c>
      <c r="H3806" s="7">
        <v>33175</v>
      </c>
    </row>
    <row r="3807" spans="1:8" x14ac:dyDescent="0.3">
      <c r="A3807">
        <v>18492</v>
      </c>
      <c r="B3807" t="s">
        <v>5</v>
      </c>
      <c r="C3807" t="s">
        <v>207</v>
      </c>
      <c r="D3807" t="s">
        <v>1461</v>
      </c>
      <c r="E3807" t="s">
        <v>8</v>
      </c>
      <c r="F3807" t="s">
        <v>9</v>
      </c>
      <c r="G3807" t="s">
        <v>1462</v>
      </c>
      <c r="H3807" s="7">
        <v>725</v>
      </c>
    </row>
    <row r="3808" spans="1:8" x14ac:dyDescent="0.3">
      <c r="A3808">
        <v>18493</v>
      </c>
      <c r="B3808" t="s">
        <v>831</v>
      </c>
      <c r="C3808" t="s">
        <v>3496</v>
      </c>
      <c r="D3808" t="s">
        <v>3497</v>
      </c>
      <c r="E3808" t="s">
        <v>8</v>
      </c>
      <c r="F3808" t="s">
        <v>341</v>
      </c>
      <c r="G3808" t="s">
        <v>3498</v>
      </c>
      <c r="H3808" s="7">
        <v>27410</v>
      </c>
    </row>
    <row r="3809" spans="1:8" x14ac:dyDescent="0.3">
      <c r="A3809">
        <v>18494</v>
      </c>
      <c r="B3809" t="s">
        <v>5</v>
      </c>
      <c r="C3809" t="s">
        <v>2034</v>
      </c>
      <c r="D3809" t="s">
        <v>2035</v>
      </c>
      <c r="E3809" t="s">
        <v>27</v>
      </c>
      <c r="F3809" t="s">
        <v>9</v>
      </c>
      <c r="G3809" t="s">
        <v>1257</v>
      </c>
      <c r="H3809" s="7">
        <v>725</v>
      </c>
    </row>
    <row r="3810" spans="1:8" x14ac:dyDescent="0.3">
      <c r="A3810">
        <v>18500</v>
      </c>
      <c r="B3810" t="s">
        <v>1888</v>
      </c>
      <c r="C3810" t="s">
        <v>4393</v>
      </c>
      <c r="D3810" t="s">
        <v>1854</v>
      </c>
      <c r="E3810" t="s">
        <v>27</v>
      </c>
      <c r="F3810" t="s">
        <v>55</v>
      </c>
      <c r="G3810" t="s">
        <v>5508</v>
      </c>
      <c r="H3810" s="7">
        <v>60102</v>
      </c>
    </row>
    <row r="3811" spans="1:8" x14ac:dyDescent="0.3">
      <c r="A3811">
        <v>18501</v>
      </c>
      <c r="B3811" t="s">
        <v>4075</v>
      </c>
      <c r="C3811" t="s">
        <v>325</v>
      </c>
      <c r="D3811" t="s">
        <v>902</v>
      </c>
      <c r="E3811" t="s">
        <v>8</v>
      </c>
      <c r="F3811" t="s">
        <v>36</v>
      </c>
      <c r="G3811" t="s">
        <v>4082</v>
      </c>
      <c r="H3811" s="7">
        <v>2740</v>
      </c>
    </row>
    <row r="3812" spans="1:8" x14ac:dyDescent="0.3">
      <c r="A3812">
        <v>18502</v>
      </c>
      <c r="B3812" t="s">
        <v>5</v>
      </c>
      <c r="C3812" t="s">
        <v>1889</v>
      </c>
      <c r="D3812" t="s">
        <v>1518</v>
      </c>
      <c r="E3812" t="s">
        <v>8</v>
      </c>
      <c r="F3812" t="s">
        <v>9</v>
      </c>
      <c r="G3812" t="s">
        <v>3606</v>
      </c>
      <c r="H3812" s="7">
        <v>725</v>
      </c>
    </row>
    <row r="3813" spans="1:8" x14ac:dyDescent="0.3">
      <c r="A3813">
        <v>18503</v>
      </c>
      <c r="B3813" t="s">
        <v>447</v>
      </c>
      <c r="C3813" t="s">
        <v>3508</v>
      </c>
      <c r="D3813" t="s">
        <v>2201</v>
      </c>
      <c r="E3813" t="s">
        <v>8</v>
      </c>
      <c r="F3813" t="s">
        <v>448</v>
      </c>
      <c r="G3813" t="s">
        <v>3509</v>
      </c>
      <c r="H3813" s="7">
        <v>33015</v>
      </c>
    </row>
    <row r="3814" spans="1:8" x14ac:dyDescent="0.3">
      <c r="A3814">
        <v>18507</v>
      </c>
      <c r="B3814" t="s">
        <v>4660</v>
      </c>
      <c r="C3814" t="s">
        <v>93</v>
      </c>
      <c r="D3814" t="s">
        <v>1948</v>
      </c>
      <c r="E3814" t="s">
        <v>95</v>
      </c>
      <c r="F3814" t="s">
        <v>2142</v>
      </c>
      <c r="G3814" t="s">
        <v>4939</v>
      </c>
      <c r="H3814" s="7">
        <v>26003</v>
      </c>
    </row>
    <row r="3815" spans="1:8" x14ac:dyDescent="0.3">
      <c r="A3815">
        <v>18509</v>
      </c>
      <c r="B3815" t="s">
        <v>495</v>
      </c>
      <c r="C3815" t="s">
        <v>2861</v>
      </c>
      <c r="D3815" t="s">
        <v>2862</v>
      </c>
      <c r="E3815" t="s">
        <v>8</v>
      </c>
      <c r="F3815" t="s">
        <v>88</v>
      </c>
      <c r="G3815" t="s">
        <v>2863</v>
      </c>
      <c r="H3815" s="7">
        <v>11215</v>
      </c>
    </row>
    <row r="3816" spans="1:8" x14ac:dyDescent="0.3">
      <c r="A3816">
        <v>18510</v>
      </c>
      <c r="B3816" t="s">
        <v>5</v>
      </c>
      <c r="C3816" t="s">
        <v>1378</v>
      </c>
      <c r="D3816" t="s">
        <v>1379</v>
      </c>
      <c r="E3816" t="s">
        <v>8</v>
      </c>
      <c r="F3816" t="s">
        <v>9</v>
      </c>
      <c r="G3816" t="s">
        <v>1380</v>
      </c>
      <c r="H3816" s="7">
        <v>725</v>
      </c>
    </row>
    <row r="3817" spans="1:8" x14ac:dyDescent="0.3">
      <c r="A3817">
        <v>18511</v>
      </c>
      <c r="B3817" t="s">
        <v>1520</v>
      </c>
      <c r="C3817" t="s">
        <v>3012</v>
      </c>
      <c r="D3817" t="s">
        <v>3013</v>
      </c>
      <c r="E3817" t="s">
        <v>8</v>
      </c>
      <c r="F3817" t="s">
        <v>381</v>
      </c>
      <c r="G3817" t="s">
        <v>3014</v>
      </c>
      <c r="H3817" s="7">
        <v>49509</v>
      </c>
    </row>
    <row r="3818" spans="1:8" x14ac:dyDescent="0.3">
      <c r="A3818">
        <v>18512</v>
      </c>
      <c r="B3818" t="s">
        <v>823</v>
      </c>
      <c r="C3818" t="s">
        <v>824</v>
      </c>
      <c r="D3818" t="s">
        <v>825</v>
      </c>
      <c r="E3818" t="s">
        <v>8</v>
      </c>
      <c r="F3818" t="s">
        <v>283</v>
      </c>
      <c r="G3818" t="s">
        <v>826</v>
      </c>
      <c r="H3818" s="7">
        <v>23223</v>
      </c>
    </row>
    <row r="3819" spans="1:8" x14ac:dyDescent="0.3">
      <c r="A3819">
        <v>18513</v>
      </c>
      <c r="B3819" t="s">
        <v>5</v>
      </c>
      <c r="C3819" t="s">
        <v>3784</v>
      </c>
      <c r="D3819" t="s">
        <v>2821</v>
      </c>
      <c r="E3819" t="s">
        <v>8</v>
      </c>
      <c r="F3819" t="s">
        <v>9</v>
      </c>
      <c r="G3819" t="s">
        <v>3785</v>
      </c>
      <c r="H3819" s="7">
        <v>725</v>
      </c>
    </row>
    <row r="3820" spans="1:8" x14ac:dyDescent="0.3">
      <c r="A3820">
        <v>18515</v>
      </c>
      <c r="B3820" t="s">
        <v>851</v>
      </c>
      <c r="C3820" t="s">
        <v>3001</v>
      </c>
      <c r="D3820" t="s">
        <v>1777</v>
      </c>
      <c r="E3820" t="s">
        <v>8</v>
      </c>
      <c r="F3820" t="s">
        <v>21</v>
      </c>
      <c r="G3820" t="s">
        <v>3002</v>
      </c>
      <c r="H3820" s="7">
        <v>92410</v>
      </c>
    </row>
    <row r="3821" spans="1:8" x14ac:dyDescent="0.3">
      <c r="A3821">
        <v>18516</v>
      </c>
      <c r="B3821" t="s">
        <v>5</v>
      </c>
      <c r="C3821" t="s">
        <v>2236</v>
      </c>
      <c r="D3821" t="s">
        <v>2195</v>
      </c>
      <c r="E3821" t="s">
        <v>8</v>
      </c>
      <c r="F3821" t="s">
        <v>9</v>
      </c>
      <c r="G3821" t="s">
        <v>3646</v>
      </c>
      <c r="H3821" s="7">
        <v>725</v>
      </c>
    </row>
    <row r="3822" spans="1:8" x14ac:dyDescent="0.3">
      <c r="A3822">
        <v>18517</v>
      </c>
      <c r="B3822" t="s">
        <v>1230</v>
      </c>
      <c r="C3822" t="s">
        <v>3333</v>
      </c>
      <c r="D3822" t="s">
        <v>3253</v>
      </c>
      <c r="E3822" t="s">
        <v>8</v>
      </c>
      <c r="F3822" t="s">
        <v>248</v>
      </c>
      <c r="G3822" t="s">
        <v>3474</v>
      </c>
      <c r="H3822" s="7">
        <v>45840</v>
      </c>
    </row>
    <row r="3823" spans="1:8" x14ac:dyDescent="0.3">
      <c r="A3823">
        <v>18522</v>
      </c>
      <c r="B3823" t="s">
        <v>2284</v>
      </c>
      <c r="C3823" t="s">
        <v>318</v>
      </c>
      <c r="D3823" t="s">
        <v>485</v>
      </c>
      <c r="E3823" t="s">
        <v>27</v>
      </c>
      <c r="F3823" t="s">
        <v>21</v>
      </c>
      <c r="G3823" t="s">
        <v>1690</v>
      </c>
      <c r="H3823" s="7">
        <v>95008</v>
      </c>
    </row>
    <row r="3824" spans="1:8" x14ac:dyDescent="0.3">
      <c r="A3824">
        <v>18523</v>
      </c>
      <c r="B3824" t="s">
        <v>5</v>
      </c>
      <c r="C3824" t="s">
        <v>2005</v>
      </c>
      <c r="D3824" t="s">
        <v>2006</v>
      </c>
      <c r="E3824" t="s">
        <v>27</v>
      </c>
      <c r="F3824" t="s">
        <v>9</v>
      </c>
      <c r="G3824" t="s">
        <v>2007</v>
      </c>
      <c r="H3824" s="7">
        <v>725</v>
      </c>
    </row>
    <row r="3825" spans="1:8" x14ac:dyDescent="0.3">
      <c r="A3825">
        <v>18524</v>
      </c>
      <c r="B3825" t="s">
        <v>2918</v>
      </c>
      <c r="C3825" t="s">
        <v>3020</v>
      </c>
      <c r="D3825" t="s">
        <v>1192</v>
      </c>
      <c r="E3825" t="s">
        <v>8</v>
      </c>
      <c r="F3825" t="s">
        <v>21</v>
      </c>
      <c r="G3825" t="s">
        <v>3021</v>
      </c>
      <c r="H3825" s="7">
        <v>90640</v>
      </c>
    </row>
    <row r="3826" spans="1:8" x14ac:dyDescent="0.3">
      <c r="A3826">
        <v>18525</v>
      </c>
      <c r="B3826" t="s">
        <v>1844</v>
      </c>
      <c r="C3826" t="s">
        <v>1845</v>
      </c>
      <c r="D3826" t="s">
        <v>795</v>
      </c>
      <c r="E3826" t="s">
        <v>8</v>
      </c>
      <c r="F3826" t="s">
        <v>448</v>
      </c>
      <c r="G3826" t="s">
        <v>1846</v>
      </c>
      <c r="H3826" s="7">
        <v>32792</v>
      </c>
    </row>
    <row r="3827" spans="1:8" x14ac:dyDescent="0.3">
      <c r="A3827">
        <v>18526</v>
      </c>
      <c r="B3827" t="s">
        <v>5</v>
      </c>
      <c r="C3827" t="s">
        <v>1446</v>
      </c>
      <c r="D3827" t="s">
        <v>468</v>
      </c>
      <c r="E3827" t="s">
        <v>8</v>
      </c>
      <c r="F3827" t="s">
        <v>9</v>
      </c>
      <c r="G3827" t="s">
        <v>1447</v>
      </c>
      <c r="H3827" s="7">
        <v>725</v>
      </c>
    </row>
    <row r="3828" spans="1:8" x14ac:dyDescent="0.3">
      <c r="A3828">
        <v>18527</v>
      </c>
      <c r="B3828" t="s">
        <v>368</v>
      </c>
      <c r="C3828" t="s">
        <v>2323</v>
      </c>
      <c r="D3828" t="s">
        <v>2902</v>
      </c>
      <c r="E3828" t="s">
        <v>8</v>
      </c>
      <c r="F3828" t="s">
        <v>88</v>
      </c>
      <c r="G3828" t="s">
        <v>2903</v>
      </c>
      <c r="H3828" s="7">
        <v>10016</v>
      </c>
    </row>
    <row r="3829" spans="1:8" x14ac:dyDescent="0.3">
      <c r="A3829">
        <v>18537</v>
      </c>
      <c r="B3829" t="s">
        <v>5</v>
      </c>
      <c r="C3829" t="s">
        <v>3655</v>
      </c>
      <c r="D3829" t="s">
        <v>5283</v>
      </c>
      <c r="E3829" t="s">
        <v>8</v>
      </c>
      <c r="F3829" t="s">
        <v>9</v>
      </c>
      <c r="G3829" t="s">
        <v>5284</v>
      </c>
      <c r="H3829" s="7">
        <v>725</v>
      </c>
    </row>
    <row r="3830" spans="1:8" x14ac:dyDescent="0.3">
      <c r="A3830">
        <v>18540</v>
      </c>
      <c r="B3830" t="s">
        <v>18</v>
      </c>
      <c r="C3830" t="s">
        <v>4109</v>
      </c>
      <c r="D3830" t="s">
        <v>3484</v>
      </c>
      <c r="E3830" t="s">
        <v>95</v>
      </c>
      <c r="F3830" t="s">
        <v>21</v>
      </c>
      <c r="G3830" t="s">
        <v>5356</v>
      </c>
      <c r="H3830" s="7">
        <v>95148</v>
      </c>
    </row>
    <row r="3831" spans="1:8" x14ac:dyDescent="0.3">
      <c r="A3831">
        <v>18541</v>
      </c>
      <c r="B3831" t="s">
        <v>5</v>
      </c>
      <c r="C3831" t="s">
        <v>2237</v>
      </c>
      <c r="D3831" t="s">
        <v>954</v>
      </c>
      <c r="E3831" t="s">
        <v>8</v>
      </c>
      <c r="F3831" t="s">
        <v>9</v>
      </c>
      <c r="G3831" t="s">
        <v>5354</v>
      </c>
      <c r="H3831" s="7">
        <v>725</v>
      </c>
    </row>
    <row r="3832" spans="1:8" x14ac:dyDescent="0.3">
      <c r="A3832">
        <v>18548</v>
      </c>
      <c r="B3832" t="s">
        <v>3750</v>
      </c>
      <c r="C3832" t="s">
        <v>3740</v>
      </c>
      <c r="D3832" t="s">
        <v>1405</v>
      </c>
      <c r="E3832" t="s">
        <v>8</v>
      </c>
      <c r="F3832" t="s">
        <v>21</v>
      </c>
      <c r="G3832" t="s">
        <v>3752</v>
      </c>
      <c r="H3832" s="7">
        <v>93611</v>
      </c>
    </row>
    <row r="3833" spans="1:8" x14ac:dyDescent="0.3">
      <c r="A3833">
        <v>18549</v>
      </c>
      <c r="B3833" t="s">
        <v>440</v>
      </c>
      <c r="C3833" t="s">
        <v>5174</v>
      </c>
      <c r="D3833" t="s">
        <v>2167</v>
      </c>
      <c r="E3833" t="s">
        <v>8</v>
      </c>
      <c r="F3833" t="s">
        <v>114</v>
      </c>
      <c r="G3833" t="s">
        <v>442</v>
      </c>
      <c r="H3833" s="7">
        <v>78240</v>
      </c>
    </row>
    <row r="3834" spans="1:8" x14ac:dyDescent="0.3">
      <c r="A3834">
        <v>18550</v>
      </c>
      <c r="B3834" t="s">
        <v>5</v>
      </c>
      <c r="C3834" t="s">
        <v>1893</v>
      </c>
      <c r="D3834" t="s">
        <v>2960</v>
      </c>
      <c r="E3834" t="s">
        <v>27</v>
      </c>
      <c r="F3834" t="s">
        <v>9</v>
      </c>
      <c r="G3834" t="s">
        <v>128</v>
      </c>
      <c r="H3834" s="7">
        <v>725</v>
      </c>
    </row>
    <row r="3835" spans="1:8" x14ac:dyDescent="0.3">
      <c r="A3835">
        <v>18555</v>
      </c>
      <c r="B3835" t="s">
        <v>2170</v>
      </c>
      <c r="C3835" t="s">
        <v>2570</v>
      </c>
      <c r="D3835" t="s">
        <v>595</v>
      </c>
      <c r="E3835" t="s">
        <v>8</v>
      </c>
      <c r="F3835" t="s">
        <v>248</v>
      </c>
      <c r="G3835" t="s">
        <v>2571</v>
      </c>
      <c r="H3835" s="7">
        <v>44105</v>
      </c>
    </row>
    <row r="3836" spans="1:8" x14ac:dyDescent="0.3">
      <c r="A3836">
        <v>18556</v>
      </c>
      <c r="B3836" t="s">
        <v>5</v>
      </c>
      <c r="C3836" t="s">
        <v>3339</v>
      </c>
      <c r="D3836" t="s">
        <v>2364</v>
      </c>
      <c r="E3836" t="s">
        <v>8</v>
      </c>
      <c r="F3836" t="s">
        <v>9</v>
      </c>
      <c r="G3836" t="s">
        <v>2959</v>
      </c>
      <c r="H3836" s="7">
        <v>725</v>
      </c>
    </row>
    <row r="3837" spans="1:8" x14ac:dyDescent="0.3">
      <c r="A3837">
        <v>18557</v>
      </c>
      <c r="B3837" t="s">
        <v>1882</v>
      </c>
      <c r="C3837" t="s">
        <v>1883</v>
      </c>
      <c r="D3837" t="s">
        <v>1884</v>
      </c>
      <c r="E3837" t="s">
        <v>8</v>
      </c>
      <c r="F3837" t="s">
        <v>21</v>
      </c>
      <c r="G3837" t="s">
        <v>1885</v>
      </c>
      <c r="H3837" s="7">
        <v>92345</v>
      </c>
    </row>
    <row r="3838" spans="1:8" x14ac:dyDescent="0.3">
      <c r="A3838">
        <v>18558</v>
      </c>
      <c r="B3838" t="s">
        <v>174</v>
      </c>
      <c r="C3838" t="s">
        <v>1691</v>
      </c>
      <c r="D3838" t="s">
        <v>1692</v>
      </c>
      <c r="E3838" t="s">
        <v>27</v>
      </c>
      <c r="F3838" t="s">
        <v>21</v>
      </c>
      <c r="G3838" t="s">
        <v>1693</v>
      </c>
      <c r="H3838" s="7">
        <v>90023</v>
      </c>
    </row>
    <row r="3839" spans="1:8" x14ac:dyDescent="0.3">
      <c r="A3839">
        <v>18559</v>
      </c>
      <c r="B3839" t="s">
        <v>691</v>
      </c>
      <c r="C3839" t="s">
        <v>692</v>
      </c>
      <c r="D3839" t="s">
        <v>394</v>
      </c>
      <c r="E3839" t="s">
        <v>27</v>
      </c>
      <c r="F3839" t="s">
        <v>88</v>
      </c>
      <c r="G3839" t="s">
        <v>693</v>
      </c>
      <c r="H3839" s="7">
        <v>13760</v>
      </c>
    </row>
    <row r="3840" spans="1:8" x14ac:dyDescent="0.3">
      <c r="A3840">
        <v>18560</v>
      </c>
      <c r="B3840" t="s">
        <v>5</v>
      </c>
      <c r="C3840" t="s">
        <v>3315</v>
      </c>
      <c r="D3840" t="s">
        <v>3033</v>
      </c>
      <c r="E3840" t="s">
        <v>27</v>
      </c>
      <c r="F3840" t="s">
        <v>9</v>
      </c>
      <c r="G3840" t="s">
        <v>3316</v>
      </c>
      <c r="H3840" s="7">
        <v>725</v>
      </c>
    </row>
    <row r="3841" spans="1:8" x14ac:dyDescent="0.3">
      <c r="A3841">
        <v>18565</v>
      </c>
      <c r="B3841" t="s">
        <v>3016</v>
      </c>
      <c r="C3841" t="s">
        <v>842</v>
      </c>
      <c r="D3841" t="s">
        <v>3156</v>
      </c>
      <c r="E3841" t="s">
        <v>8</v>
      </c>
      <c r="F3841" t="s">
        <v>21</v>
      </c>
      <c r="G3841" t="s">
        <v>504</v>
      </c>
      <c r="H3841" s="7">
        <v>92024</v>
      </c>
    </row>
    <row r="3842" spans="1:8" x14ac:dyDescent="0.3">
      <c r="A3842">
        <v>18566</v>
      </c>
      <c r="B3842" t="s">
        <v>5</v>
      </c>
      <c r="C3842" t="s">
        <v>948</v>
      </c>
      <c r="D3842" t="s">
        <v>329</v>
      </c>
      <c r="E3842" t="s">
        <v>8</v>
      </c>
      <c r="F3842" t="s">
        <v>9</v>
      </c>
      <c r="G3842" t="s">
        <v>2467</v>
      </c>
      <c r="H3842" s="7">
        <v>725</v>
      </c>
    </row>
    <row r="3843" spans="1:8" x14ac:dyDescent="0.3">
      <c r="A3843">
        <v>18567</v>
      </c>
      <c r="B3843" t="s">
        <v>1631</v>
      </c>
      <c r="C3843" t="s">
        <v>389</v>
      </c>
      <c r="D3843" t="s">
        <v>2132</v>
      </c>
      <c r="E3843" t="s">
        <v>8</v>
      </c>
      <c r="F3843" t="s">
        <v>21</v>
      </c>
      <c r="G3843" t="s">
        <v>1634</v>
      </c>
      <c r="H3843" s="7">
        <v>91941</v>
      </c>
    </row>
    <row r="3844" spans="1:8" x14ac:dyDescent="0.3">
      <c r="A3844">
        <v>18568</v>
      </c>
      <c r="B3844" t="s">
        <v>5</v>
      </c>
      <c r="C3844" t="s">
        <v>2140</v>
      </c>
      <c r="D3844" t="s">
        <v>2617</v>
      </c>
      <c r="E3844" t="s">
        <v>27</v>
      </c>
      <c r="F3844" t="s">
        <v>9</v>
      </c>
      <c r="G3844" t="s">
        <v>2618</v>
      </c>
      <c r="H3844" s="7">
        <v>725</v>
      </c>
    </row>
    <row r="3845" spans="1:8" x14ac:dyDescent="0.3">
      <c r="A3845">
        <v>18575</v>
      </c>
      <c r="B3845" t="s">
        <v>85</v>
      </c>
      <c r="C3845" t="s">
        <v>3302</v>
      </c>
      <c r="D3845" t="s">
        <v>2934</v>
      </c>
      <c r="E3845" t="s">
        <v>8</v>
      </c>
      <c r="F3845" t="s">
        <v>88</v>
      </c>
      <c r="G3845" t="s">
        <v>2498</v>
      </c>
      <c r="H3845" s="7">
        <v>14609</v>
      </c>
    </row>
    <row r="3846" spans="1:8" x14ac:dyDescent="0.3">
      <c r="A3846">
        <v>18581</v>
      </c>
      <c r="B3846" t="s">
        <v>5</v>
      </c>
      <c r="C3846" t="s">
        <v>2529</v>
      </c>
      <c r="D3846" t="s">
        <v>3486</v>
      </c>
      <c r="E3846" t="s">
        <v>27</v>
      </c>
      <c r="F3846" t="s">
        <v>9</v>
      </c>
      <c r="G3846" t="s">
        <v>2856</v>
      </c>
      <c r="H3846" s="7">
        <v>725</v>
      </c>
    </row>
    <row r="3847" spans="1:8" x14ac:dyDescent="0.3">
      <c r="A3847">
        <v>18582</v>
      </c>
      <c r="B3847" t="s">
        <v>1631</v>
      </c>
      <c r="C3847" t="s">
        <v>5352</v>
      </c>
      <c r="D3847" t="s">
        <v>3079</v>
      </c>
      <c r="E3847" t="s">
        <v>27</v>
      </c>
      <c r="F3847" t="s">
        <v>21</v>
      </c>
      <c r="G3847" t="s">
        <v>5526</v>
      </c>
      <c r="H3847" s="7">
        <v>91941</v>
      </c>
    </row>
    <row r="3848" spans="1:8" x14ac:dyDescent="0.3">
      <c r="A3848">
        <v>18584</v>
      </c>
      <c r="B3848" t="s">
        <v>174</v>
      </c>
      <c r="C3848" t="s">
        <v>5319</v>
      </c>
      <c r="D3848" t="s">
        <v>1720</v>
      </c>
      <c r="E3848" t="s">
        <v>27</v>
      </c>
      <c r="F3848" t="s">
        <v>21</v>
      </c>
      <c r="G3848" t="s">
        <v>4161</v>
      </c>
      <c r="H3848" s="7">
        <v>90001</v>
      </c>
    </row>
    <row r="3849" spans="1:8" x14ac:dyDescent="0.3">
      <c r="A3849">
        <v>18588</v>
      </c>
      <c r="B3849" t="s">
        <v>5</v>
      </c>
      <c r="C3849" t="s">
        <v>2323</v>
      </c>
      <c r="D3849" t="s">
        <v>4397</v>
      </c>
      <c r="E3849" t="s">
        <v>8</v>
      </c>
      <c r="F3849" t="s">
        <v>9</v>
      </c>
      <c r="G3849" t="s">
        <v>4519</v>
      </c>
      <c r="H3849" s="7">
        <v>725</v>
      </c>
    </row>
    <row r="3850" spans="1:8" x14ac:dyDescent="0.3">
      <c r="A3850">
        <v>18597</v>
      </c>
      <c r="B3850" t="s">
        <v>131</v>
      </c>
      <c r="C3850" t="s">
        <v>913</v>
      </c>
      <c r="D3850" t="s">
        <v>2596</v>
      </c>
      <c r="E3850" t="s">
        <v>8</v>
      </c>
      <c r="F3850" t="s">
        <v>134</v>
      </c>
      <c r="G3850" t="s">
        <v>4104</v>
      </c>
      <c r="H3850" s="7">
        <v>96822</v>
      </c>
    </row>
    <row r="3851" spans="1:8" x14ac:dyDescent="0.3">
      <c r="A3851">
        <v>18612</v>
      </c>
      <c r="B3851" t="s">
        <v>368</v>
      </c>
      <c r="C3851" t="s">
        <v>2527</v>
      </c>
      <c r="D3851" t="s">
        <v>2821</v>
      </c>
      <c r="E3851" t="s">
        <v>95</v>
      </c>
      <c r="F3851" t="s">
        <v>88</v>
      </c>
      <c r="G3851" t="s">
        <v>2773</v>
      </c>
      <c r="H3851" s="7">
        <v>10027</v>
      </c>
    </row>
    <row r="3852" spans="1:8" x14ac:dyDescent="0.3">
      <c r="A3852">
        <v>18616</v>
      </c>
      <c r="B3852" t="s">
        <v>1486</v>
      </c>
      <c r="C3852" t="s">
        <v>2086</v>
      </c>
      <c r="D3852" t="s">
        <v>3253</v>
      </c>
      <c r="E3852" t="s">
        <v>27</v>
      </c>
      <c r="F3852" t="s">
        <v>308</v>
      </c>
      <c r="G3852" t="s">
        <v>4157</v>
      </c>
      <c r="H3852" s="7">
        <v>7305</v>
      </c>
    </row>
    <row r="3853" spans="1:8" x14ac:dyDescent="0.3">
      <c r="A3853">
        <v>18619</v>
      </c>
      <c r="B3853" t="s">
        <v>5</v>
      </c>
      <c r="C3853" t="s">
        <v>3308</v>
      </c>
      <c r="D3853" t="s">
        <v>1591</v>
      </c>
      <c r="E3853" t="s">
        <v>8</v>
      </c>
      <c r="F3853" t="s">
        <v>9</v>
      </c>
      <c r="G3853" t="s">
        <v>4890</v>
      </c>
      <c r="H3853" s="7">
        <v>725</v>
      </c>
    </row>
    <row r="3854" spans="1:8" x14ac:dyDescent="0.3">
      <c r="A3854">
        <v>18620</v>
      </c>
      <c r="B3854" t="s">
        <v>1581</v>
      </c>
      <c r="C3854" t="s">
        <v>143</v>
      </c>
      <c r="D3854" t="s">
        <v>1407</v>
      </c>
      <c r="E3854" t="s">
        <v>27</v>
      </c>
      <c r="F3854" t="s">
        <v>729</v>
      </c>
      <c r="G3854" t="s">
        <v>4574</v>
      </c>
      <c r="H3854" s="7">
        <v>80906</v>
      </c>
    </row>
    <row r="3855" spans="1:8" x14ac:dyDescent="0.3">
      <c r="A3855">
        <v>18628</v>
      </c>
      <c r="B3855" t="s">
        <v>865</v>
      </c>
      <c r="C3855" t="s">
        <v>1963</v>
      </c>
      <c r="D3855" t="s">
        <v>2486</v>
      </c>
      <c r="E3855" t="s">
        <v>8</v>
      </c>
      <c r="F3855" t="s">
        <v>190</v>
      </c>
      <c r="G3855" t="s">
        <v>4412</v>
      </c>
      <c r="H3855" s="7">
        <v>85719</v>
      </c>
    </row>
    <row r="3856" spans="1:8" x14ac:dyDescent="0.3">
      <c r="A3856">
        <v>18629</v>
      </c>
      <c r="B3856" t="s">
        <v>5</v>
      </c>
      <c r="C3856" t="s">
        <v>1814</v>
      </c>
      <c r="D3856" t="s">
        <v>122</v>
      </c>
      <c r="E3856" t="s">
        <v>8</v>
      </c>
      <c r="F3856" t="s">
        <v>9</v>
      </c>
      <c r="G3856" t="s">
        <v>1363</v>
      </c>
      <c r="H3856" s="7">
        <v>725</v>
      </c>
    </row>
    <row r="3857" spans="1:8" x14ac:dyDescent="0.3">
      <c r="A3857">
        <v>18641</v>
      </c>
      <c r="B3857" t="s">
        <v>5</v>
      </c>
      <c r="C3857" t="s">
        <v>255</v>
      </c>
      <c r="D3857" t="s">
        <v>795</v>
      </c>
      <c r="E3857" t="s">
        <v>27</v>
      </c>
      <c r="F3857" t="s">
        <v>9</v>
      </c>
      <c r="G3857" t="s">
        <v>3510</v>
      </c>
      <c r="H3857" s="7">
        <v>725</v>
      </c>
    </row>
    <row r="3858" spans="1:8" x14ac:dyDescent="0.3">
      <c r="A3858">
        <v>18647</v>
      </c>
      <c r="B3858" t="s">
        <v>1351</v>
      </c>
      <c r="C3858" t="s">
        <v>1231</v>
      </c>
      <c r="D3858" t="s">
        <v>1405</v>
      </c>
      <c r="E3858" t="s">
        <v>8</v>
      </c>
      <c r="F3858" t="s">
        <v>381</v>
      </c>
      <c r="G3858" t="s">
        <v>2640</v>
      </c>
      <c r="H3858" s="7">
        <v>49201</v>
      </c>
    </row>
    <row r="3859" spans="1:8" x14ac:dyDescent="0.3">
      <c r="A3859">
        <v>18658</v>
      </c>
      <c r="B3859" t="s">
        <v>626</v>
      </c>
      <c r="C3859" t="s">
        <v>484</v>
      </c>
      <c r="D3859" t="s">
        <v>394</v>
      </c>
      <c r="E3859" t="s">
        <v>95</v>
      </c>
      <c r="F3859" t="s">
        <v>55</v>
      </c>
      <c r="G3859" t="s">
        <v>1529</v>
      </c>
      <c r="H3859" s="7">
        <v>60120</v>
      </c>
    </row>
    <row r="3860" spans="1:8" x14ac:dyDescent="0.3">
      <c r="A3860">
        <v>18663</v>
      </c>
      <c r="B3860" t="s">
        <v>1139</v>
      </c>
      <c r="C3860" t="s">
        <v>3674</v>
      </c>
      <c r="D3860" t="s">
        <v>1256</v>
      </c>
      <c r="E3860" t="s">
        <v>8</v>
      </c>
      <c r="F3860" t="s">
        <v>114</v>
      </c>
      <c r="G3860" t="s">
        <v>5584</v>
      </c>
      <c r="H3860" s="7">
        <v>79924</v>
      </c>
    </row>
    <row r="3861" spans="1:8" x14ac:dyDescent="0.3">
      <c r="A3861">
        <v>18668</v>
      </c>
      <c r="B3861" t="s">
        <v>5</v>
      </c>
      <c r="C3861" t="s">
        <v>211</v>
      </c>
      <c r="D3861" t="s">
        <v>1201</v>
      </c>
      <c r="E3861" t="s">
        <v>8</v>
      </c>
      <c r="F3861" t="s">
        <v>9</v>
      </c>
      <c r="G3861" t="s">
        <v>3365</v>
      </c>
      <c r="H3861" s="7">
        <v>725</v>
      </c>
    </row>
    <row r="3862" spans="1:8" x14ac:dyDescent="0.3">
      <c r="A3862">
        <v>18674</v>
      </c>
      <c r="B3862" t="s">
        <v>5</v>
      </c>
      <c r="C3862" t="s">
        <v>1805</v>
      </c>
      <c r="D3862" t="s">
        <v>2934</v>
      </c>
      <c r="E3862" t="s">
        <v>27</v>
      </c>
      <c r="F3862" t="s">
        <v>9</v>
      </c>
      <c r="G3862" t="s">
        <v>2935</v>
      </c>
      <c r="H3862" s="7">
        <v>725</v>
      </c>
    </row>
    <row r="3863" spans="1:8" x14ac:dyDescent="0.3">
      <c r="A3863">
        <v>18675</v>
      </c>
      <c r="B3863" t="s">
        <v>715</v>
      </c>
      <c r="C3863" t="s">
        <v>716</v>
      </c>
      <c r="D3863" t="s">
        <v>717</v>
      </c>
      <c r="E3863" t="s">
        <v>27</v>
      </c>
      <c r="F3863" t="s">
        <v>21</v>
      </c>
      <c r="G3863" t="s">
        <v>718</v>
      </c>
      <c r="H3863" s="7">
        <v>95076</v>
      </c>
    </row>
    <row r="3864" spans="1:8" x14ac:dyDescent="0.3">
      <c r="A3864">
        <v>18677</v>
      </c>
      <c r="B3864" t="s">
        <v>1279</v>
      </c>
      <c r="C3864" t="s">
        <v>1543</v>
      </c>
      <c r="D3864" t="s">
        <v>1544</v>
      </c>
      <c r="E3864" t="s">
        <v>27</v>
      </c>
      <c r="F3864" t="s">
        <v>242</v>
      </c>
      <c r="G3864" t="s">
        <v>1545</v>
      </c>
      <c r="H3864" s="7">
        <v>21502</v>
      </c>
    </row>
    <row r="3865" spans="1:8" x14ac:dyDescent="0.3">
      <c r="A3865">
        <v>18678</v>
      </c>
      <c r="B3865" t="s">
        <v>5</v>
      </c>
      <c r="C3865" t="s">
        <v>3086</v>
      </c>
      <c r="D3865" t="s">
        <v>107</v>
      </c>
      <c r="E3865" t="s">
        <v>95</v>
      </c>
      <c r="F3865" t="s">
        <v>9</v>
      </c>
      <c r="G3865" t="s">
        <v>3053</v>
      </c>
      <c r="H3865" s="7">
        <v>725</v>
      </c>
    </row>
    <row r="3866" spans="1:8" x14ac:dyDescent="0.3">
      <c r="A3866">
        <v>18679</v>
      </c>
      <c r="B3866" t="s">
        <v>1100</v>
      </c>
      <c r="C3866" t="s">
        <v>2253</v>
      </c>
      <c r="D3866" t="s">
        <v>3708</v>
      </c>
      <c r="E3866" t="s">
        <v>95</v>
      </c>
      <c r="F3866" t="s">
        <v>21</v>
      </c>
      <c r="G3866" t="s">
        <v>1624</v>
      </c>
      <c r="H3866" s="7">
        <v>94587</v>
      </c>
    </row>
    <row r="3867" spans="1:8" x14ac:dyDescent="0.3">
      <c r="A3867">
        <v>18680</v>
      </c>
      <c r="B3867" t="s">
        <v>810</v>
      </c>
      <c r="C3867" t="s">
        <v>2253</v>
      </c>
      <c r="D3867" t="s">
        <v>3486</v>
      </c>
      <c r="E3867" t="s">
        <v>95</v>
      </c>
      <c r="F3867" t="s">
        <v>448</v>
      </c>
      <c r="G3867" t="s">
        <v>3733</v>
      </c>
      <c r="H3867" s="7">
        <v>33068</v>
      </c>
    </row>
    <row r="3868" spans="1:8" x14ac:dyDescent="0.3">
      <c r="A3868">
        <v>18681</v>
      </c>
      <c r="B3868" t="s">
        <v>440</v>
      </c>
      <c r="C3868" t="s">
        <v>371</v>
      </c>
      <c r="D3868" t="s">
        <v>3079</v>
      </c>
      <c r="E3868" t="s">
        <v>95</v>
      </c>
      <c r="F3868" t="s">
        <v>114</v>
      </c>
      <c r="G3868" t="s">
        <v>3747</v>
      </c>
      <c r="H3868" s="7">
        <v>78223</v>
      </c>
    </row>
    <row r="3869" spans="1:8" x14ac:dyDescent="0.3">
      <c r="A3869">
        <v>18682</v>
      </c>
      <c r="B3869" t="s">
        <v>5</v>
      </c>
      <c r="C3869" t="s">
        <v>2331</v>
      </c>
      <c r="D3869" t="s">
        <v>1829</v>
      </c>
      <c r="E3869" t="s">
        <v>8</v>
      </c>
      <c r="F3869" t="s">
        <v>9</v>
      </c>
      <c r="G3869" t="s">
        <v>3810</v>
      </c>
      <c r="H3869" s="7">
        <v>725</v>
      </c>
    </row>
    <row r="3870" spans="1:8" x14ac:dyDescent="0.3">
      <c r="A3870">
        <v>18683</v>
      </c>
      <c r="B3870" t="s">
        <v>1243</v>
      </c>
      <c r="C3870" t="s">
        <v>3209</v>
      </c>
      <c r="D3870" t="s">
        <v>1720</v>
      </c>
      <c r="E3870" t="s">
        <v>8</v>
      </c>
      <c r="F3870" t="s">
        <v>308</v>
      </c>
      <c r="G3870" t="s">
        <v>3210</v>
      </c>
      <c r="H3870" s="7">
        <v>8540</v>
      </c>
    </row>
    <row r="3871" spans="1:8" x14ac:dyDescent="0.3">
      <c r="A3871">
        <v>18684</v>
      </c>
      <c r="B3871" t="s">
        <v>5</v>
      </c>
      <c r="C3871" t="s">
        <v>580</v>
      </c>
      <c r="D3871" t="s">
        <v>581</v>
      </c>
      <c r="E3871" t="s">
        <v>8</v>
      </c>
      <c r="F3871" t="s">
        <v>9</v>
      </c>
      <c r="G3871" t="s">
        <v>582</v>
      </c>
      <c r="H3871" s="7">
        <v>725</v>
      </c>
    </row>
    <row r="3872" spans="1:8" x14ac:dyDescent="0.3">
      <c r="A3872">
        <v>18685</v>
      </c>
      <c r="B3872" t="s">
        <v>52</v>
      </c>
      <c r="C3872" t="s">
        <v>1224</v>
      </c>
      <c r="D3872" t="s">
        <v>2169</v>
      </c>
      <c r="E3872" t="s">
        <v>8</v>
      </c>
      <c r="F3872" t="s">
        <v>55</v>
      </c>
      <c r="G3872" t="s">
        <v>2882</v>
      </c>
      <c r="H3872" s="7">
        <v>60056</v>
      </c>
    </row>
    <row r="3873" spans="1:8" x14ac:dyDescent="0.3">
      <c r="A3873">
        <v>18686</v>
      </c>
      <c r="B3873" t="s">
        <v>656</v>
      </c>
      <c r="C3873" t="s">
        <v>2083</v>
      </c>
      <c r="D3873" t="s">
        <v>1154</v>
      </c>
      <c r="E3873" t="s">
        <v>8</v>
      </c>
      <c r="F3873" t="s">
        <v>77</v>
      </c>
      <c r="G3873" t="s">
        <v>3052</v>
      </c>
      <c r="H3873" s="7">
        <v>19139</v>
      </c>
    </row>
    <row r="3874" spans="1:8" x14ac:dyDescent="0.3">
      <c r="A3874">
        <v>18687</v>
      </c>
      <c r="B3874" t="s">
        <v>5</v>
      </c>
      <c r="C3874" t="s">
        <v>126</v>
      </c>
      <c r="D3874" t="s">
        <v>2051</v>
      </c>
      <c r="E3874" t="s">
        <v>27</v>
      </c>
      <c r="F3874" t="s">
        <v>9</v>
      </c>
      <c r="G3874" t="s">
        <v>2052</v>
      </c>
      <c r="H3874" s="7">
        <v>725</v>
      </c>
    </row>
    <row r="3875" spans="1:8" x14ac:dyDescent="0.3">
      <c r="A3875">
        <v>18691</v>
      </c>
      <c r="B3875" t="s">
        <v>5</v>
      </c>
      <c r="C3875" t="s">
        <v>1121</v>
      </c>
      <c r="D3875" t="s">
        <v>3863</v>
      </c>
      <c r="E3875" t="s">
        <v>8</v>
      </c>
      <c r="F3875" t="s">
        <v>9</v>
      </c>
      <c r="G3875" t="s">
        <v>3159</v>
      </c>
      <c r="H3875" s="7">
        <v>725</v>
      </c>
    </row>
    <row r="3876" spans="1:8" x14ac:dyDescent="0.3">
      <c r="A3876">
        <v>18693</v>
      </c>
      <c r="B3876" t="s">
        <v>5</v>
      </c>
      <c r="C3876" t="s">
        <v>43</v>
      </c>
      <c r="D3876" t="s">
        <v>3224</v>
      </c>
      <c r="E3876" t="s">
        <v>8</v>
      </c>
      <c r="F3876" t="s">
        <v>9</v>
      </c>
      <c r="G3876" t="s">
        <v>5393</v>
      </c>
      <c r="H3876" s="7">
        <v>725</v>
      </c>
    </row>
    <row r="3877" spans="1:8" x14ac:dyDescent="0.3">
      <c r="A3877">
        <v>18695</v>
      </c>
      <c r="B3877" t="s">
        <v>5</v>
      </c>
      <c r="C3877" t="s">
        <v>4098</v>
      </c>
      <c r="D3877" t="s">
        <v>251</v>
      </c>
      <c r="E3877" t="s">
        <v>8</v>
      </c>
      <c r="F3877" t="s">
        <v>9</v>
      </c>
      <c r="G3877" t="s">
        <v>5676</v>
      </c>
      <c r="H3877" s="7">
        <v>725</v>
      </c>
    </row>
    <row r="3878" spans="1:8" x14ac:dyDescent="0.3">
      <c r="A3878">
        <v>18700</v>
      </c>
      <c r="B3878" t="s">
        <v>5</v>
      </c>
      <c r="C3878" t="s">
        <v>4217</v>
      </c>
      <c r="D3878" t="s">
        <v>2050</v>
      </c>
      <c r="E3878" t="s">
        <v>8</v>
      </c>
      <c r="F3878" t="s">
        <v>9</v>
      </c>
      <c r="G3878" t="s">
        <v>2860</v>
      </c>
      <c r="H3878" s="7">
        <v>725</v>
      </c>
    </row>
    <row r="3879" spans="1:8" x14ac:dyDescent="0.3">
      <c r="A3879">
        <v>18703</v>
      </c>
      <c r="B3879" t="s">
        <v>1523</v>
      </c>
      <c r="C3879" t="s">
        <v>1509</v>
      </c>
      <c r="D3879" t="s">
        <v>1957</v>
      </c>
      <c r="E3879" t="s">
        <v>8</v>
      </c>
      <c r="F3879" t="s">
        <v>21</v>
      </c>
      <c r="G3879" t="s">
        <v>1958</v>
      </c>
      <c r="H3879" s="7">
        <v>90201</v>
      </c>
    </row>
    <row r="3880" spans="1:8" x14ac:dyDescent="0.3">
      <c r="A3880">
        <v>18704</v>
      </c>
      <c r="B3880" t="s">
        <v>1263</v>
      </c>
      <c r="C3880" t="s">
        <v>2832</v>
      </c>
      <c r="D3880" t="s">
        <v>1475</v>
      </c>
      <c r="E3880" t="s">
        <v>8</v>
      </c>
      <c r="F3880" t="s">
        <v>21</v>
      </c>
      <c r="G3880" t="s">
        <v>4423</v>
      </c>
      <c r="H3880" s="7">
        <v>92020</v>
      </c>
    </row>
    <row r="3881" spans="1:8" x14ac:dyDescent="0.3">
      <c r="A3881">
        <v>18709</v>
      </c>
      <c r="B3881" t="s">
        <v>368</v>
      </c>
      <c r="C3881" t="s">
        <v>1803</v>
      </c>
      <c r="D3881" t="s">
        <v>795</v>
      </c>
      <c r="E3881" t="s">
        <v>8</v>
      </c>
      <c r="F3881" t="s">
        <v>88</v>
      </c>
      <c r="G3881" t="s">
        <v>4977</v>
      </c>
      <c r="H3881" s="7">
        <v>10027</v>
      </c>
    </row>
    <row r="3882" spans="1:8" x14ac:dyDescent="0.3">
      <c r="A3882">
        <v>18711</v>
      </c>
      <c r="B3882" t="s">
        <v>5</v>
      </c>
      <c r="C3882" t="s">
        <v>4211</v>
      </c>
      <c r="D3882" t="s">
        <v>4319</v>
      </c>
      <c r="E3882" t="s">
        <v>8</v>
      </c>
      <c r="F3882" t="s">
        <v>9</v>
      </c>
      <c r="G3882" t="s">
        <v>115</v>
      </c>
      <c r="H3882" s="7">
        <v>725</v>
      </c>
    </row>
    <row r="3883" spans="1:8" x14ac:dyDescent="0.3">
      <c r="A3883">
        <v>18713</v>
      </c>
      <c r="B3883" t="s">
        <v>5</v>
      </c>
      <c r="C3883" t="s">
        <v>389</v>
      </c>
      <c r="D3883" t="s">
        <v>1730</v>
      </c>
      <c r="E3883" t="s">
        <v>27</v>
      </c>
      <c r="F3883" t="s">
        <v>9</v>
      </c>
      <c r="G3883" t="s">
        <v>911</v>
      </c>
      <c r="H3883" s="7">
        <v>725</v>
      </c>
    </row>
    <row r="3884" spans="1:8" x14ac:dyDescent="0.3">
      <c r="A3884">
        <v>18714</v>
      </c>
      <c r="B3884" t="s">
        <v>508</v>
      </c>
      <c r="C3884" t="s">
        <v>3042</v>
      </c>
      <c r="D3884" t="s">
        <v>3043</v>
      </c>
      <c r="E3884" t="s">
        <v>8</v>
      </c>
      <c r="F3884" t="s">
        <v>114</v>
      </c>
      <c r="G3884" t="s">
        <v>3044</v>
      </c>
      <c r="H3884" s="7">
        <v>75220</v>
      </c>
    </row>
    <row r="3885" spans="1:8" x14ac:dyDescent="0.3">
      <c r="A3885">
        <v>18715</v>
      </c>
      <c r="B3885" t="s">
        <v>1276</v>
      </c>
      <c r="C3885" t="s">
        <v>1866</v>
      </c>
      <c r="D3885" t="s">
        <v>1867</v>
      </c>
      <c r="E3885" t="s">
        <v>8</v>
      </c>
      <c r="F3885" t="s">
        <v>341</v>
      </c>
      <c r="G3885" t="s">
        <v>1868</v>
      </c>
      <c r="H3885" s="7">
        <v>27502</v>
      </c>
    </row>
    <row r="3886" spans="1:8" x14ac:dyDescent="0.3">
      <c r="A3886">
        <v>18716</v>
      </c>
      <c r="B3886" t="s">
        <v>5</v>
      </c>
      <c r="C3886" t="s">
        <v>1406</v>
      </c>
      <c r="D3886" t="s">
        <v>1407</v>
      </c>
      <c r="E3886" t="s">
        <v>8</v>
      </c>
      <c r="F3886" t="s">
        <v>9</v>
      </c>
      <c r="G3886" t="s">
        <v>1408</v>
      </c>
      <c r="H3886" s="7">
        <v>725</v>
      </c>
    </row>
    <row r="3887" spans="1:8" x14ac:dyDescent="0.3">
      <c r="A3887">
        <v>18717</v>
      </c>
      <c r="B3887" t="s">
        <v>656</v>
      </c>
      <c r="C3887" t="s">
        <v>2642</v>
      </c>
      <c r="D3887" t="s">
        <v>3040</v>
      </c>
      <c r="E3887" t="s">
        <v>8</v>
      </c>
      <c r="F3887" t="s">
        <v>77</v>
      </c>
      <c r="G3887" t="s">
        <v>682</v>
      </c>
      <c r="H3887" s="7">
        <v>19145</v>
      </c>
    </row>
    <row r="3888" spans="1:8" x14ac:dyDescent="0.3">
      <c r="A3888">
        <v>18718</v>
      </c>
      <c r="B3888" t="s">
        <v>5</v>
      </c>
      <c r="C3888" t="s">
        <v>3623</v>
      </c>
      <c r="D3888" t="s">
        <v>574</v>
      </c>
      <c r="E3888" t="s">
        <v>8</v>
      </c>
      <c r="F3888" t="s">
        <v>9</v>
      </c>
      <c r="G3888" t="s">
        <v>2947</v>
      </c>
      <c r="H3888" s="7">
        <v>725</v>
      </c>
    </row>
    <row r="3889" spans="1:8" x14ac:dyDescent="0.3">
      <c r="A3889">
        <v>18723</v>
      </c>
      <c r="B3889" t="s">
        <v>1449</v>
      </c>
      <c r="C3889" t="s">
        <v>121</v>
      </c>
      <c r="D3889" t="s">
        <v>954</v>
      </c>
      <c r="E3889" t="s">
        <v>27</v>
      </c>
      <c r="F3889" t="s">
        <v>21</v>
      </c>
      <c r="G3889" t="s">
        <v>2228</v>
      </c>
      <c r="H3889" s="7">
        <v>90220</v>
      </c>
    </row>
    <row r="3890" spans="1:8" x14ac:dyDescent="0.3">
      <c r="A3890">
        <v>18724</v>
      </c>
      <c r="B3890" t="s">
        <v>1950</v>
      </c>
      <c r="C3890" t="s">
        <v>3608</v>
      </c>
      <c r="D3890" t="s">
        <v>491</v>
      </c>
      <c r="E3890" t="s">
        <v>95</v>
      </c>
      <c r="F3890" t="s">
        <v>381</v>
      </c>
      <c r="G3890" t="s">
        <v>1753</v>
      </c>
      <c r="H3890" s="7">
        <v>48126</v>
      </c>
    </row>
    <row r="3891" spans="1:8" x14ac:dyDescent="0.3">
      <c r="A3891">
        <v>18725</v>
      </c>
      <c r="B3891" t="s">
        <v>443</v>
      </c>
      <c r="C3891" t="s">
        <v>1869</v>
      </c>
      <c r="D3891" t="s">
        <v>1870</v>
      </c>
      <c r="E3891" t="s">
        <v>8</v>
      </c>
      <c r="F3891" t="s">
        <v>108</v>
      </c>
      <c r="G3891" t="s">
        <v>446</v>
      </c>
      <c r="H3891" s="7">
        <v>97223</v>
      </c>
    </row>
    <row r="3892" spans="1:8" x14ac:dyDescent="0.3">
      <c r="A3892">
        <v>18727</v>
      </c>
      <c r="B3892" t="s">
        <v>1652</v>
      </c>
      <c r="C3892" t="s">
        <v>3819</v>
      </c>
      <c r="D3892" t="s">
        <v>3349</v>
      </c>
      <c r="E3892" t="s">
        <v>8</v>
      </c>
      <c r="F3892" t="s">
        <v>381</v>
      </c>
      <c r="G3892" t="s">
        <v>4739</v>
      </c>
      <c r="H3892" s="7">
        <v>48197</v>
      </c>
    </row>
    <row r="3893" spans="1:8" x14ac:dyDescent="0.3">
      <c r="A3893">
        <v>18731</v>
      </c>
      <c r="B3893" t="s">
        <v>2501</v>
      </c>
      <c r="C3893" t="s">
        <v>385</v>
      </c>
      <c r="D3893" t="s">
        <v>933</v>
      </c>
      <c r="E3893" t="s">
        <v>8</v>
      </c>
      <c r="F3893" t="s">
        <v>448</v>
      </c>
      <c r="G3893" t="s">
        <v>4097</v>
      </c>
      <c r="H3893" s="7">
        <v>33021</v>
      </c>
    </row>
    <row r="3894" spans="1:8" x14ac:dyDescent="0.3">
      <c r="A3894">
        <v>18744</v>
      </c>
      <c r="B3894" t="s">
        <v>174</v>
      </c>
      <c r="C3894" t="s">
        <v>151</v>
      </c>
      <c r="D3894" t="s">
        <v>4431</v>
      </c>
      <c r="E3894" t="s">
        <v>8</v>
      </c>
      <c r="F3894" t="s">
        <v>21</v>
      </c>
      <c r="G3894" t="s">
        <v>5437</v>
      </c>
      <c r="H3894" s="7">
        <v>90066</v>
      </c>
    </row>
    <row r="3895" spans="1:8" x14ac:dyDescent="0.3">
      <c r="A3895">
        <v>18747</v>
      </c>
      <c r="B3895" t="s">
        <v>2243</v>
      </c>
      <c r="C3895" t="s">
        <v>4202</v>
      </c>
      <c r="D3895" t="s">
        <v>1964</v>
      </c>
      <c r="E3895" t="s">
        <v>8</v>
      </c>
      <c r="F3895" t="s">
        <v>248</v>
      </c>
      <c r="G3895" t="s">
        <v>4808</v>
      </c>
      <c r="H3895" s="7">
        <v>44107</v>
      </c>
    </row>
    <row r="3896" spans="1:8" x14ac:dyDescent="0.3">
      <c r="A3896">
        <v>18748</v>
      </c>
      <c r="B3896" t="s">
        <v>862</v>
      </c>
      <c r="C3896" t="s">
        <v>1837</v>
      </c>
      <c r="D3896" t="s">
        <v>1831</v>
      </c>
      <c r="E3896" t="s">
        <v>8</v>
      </c>
      <c r="F3896" t="s">
        <v>478</v>
      </c>
      <c r="G3896" t="s">
        <v>2988</v>
      </c>
      <c r="H3896" s="7">
        <v>89103</v>
      </c>
    </row>
    <row r="3897" spans="1:8" x14ac:dyDescent="0.3">
      <c r="A3897">
        <v>18752</v>
      </c>
      <c r="B3897" t="s">
        <v>5</v>
      </c>
      <c r="C3897" t="s">
        <v>2946</v>
      </c>
      <c r="D3897" t="s">
        <v>2924</v>
      </c>
      <c r="E3897" t="s">
        <v>27</v>
      </c>
      <c r="F3897" t="s">
        <v>9</v>
      </c>
      <c r="G3897" t="s">
        <v>4853</v>
      </c>
      <c r="H3897" s="7">
        <v>725</v>
      </c>
    </row>
    <row r="3898" spans="1:8" x14ac:dyDescent="0.3">
      <c r="A3898">
        <v>18754</v>
      </c>
      <c r="B3898" t="s">
        <v>633</v>
      </c>
      <c r="C3898" t="s">
        <v>4200</v>
      </c>
      <c r="D3898" t="s">
        <v>2765</v>
      </c>
      <c r="E3898" t="s">
        <v>27</v>
      </c>
      <c r="F3898" t="s">
        <v>140</v>
      </c>
      <c r="G3898" t="s">
        <v>1906</v>
      </c>
      <c r="H3898" s="7">
        <v>30135</v>
      </c>
    </row>
    <row r="3899" spans="1:8" x14ac:dyDescent="0.3">
      <c r="A3899">
        <v>18757</v>
      </c>
      <c r="B3899" t="s">
        <v>5</v>
      </c>
      <c r="C3899" t="s">
        <v>4199</v>
      </c>
      <c r="D3899" t="s">
        <v>64</v>
      </c>
      <c r="E3899" t="s">
        <v>8</v>
      </c>
      <c r="F3899" t="s">
        <v>9</v>
      </c>
      <c r="G3899" t="s">
        <v>2959</v>
      </c>
      <c r="H3899" s="7">
        <v>725</v>
      </c>
    </row>
    <row r="3900" spans="1:8" x14ac:dyDescent="0.3">
      <c r="A3900">
        <v>18758</v>
      </c>
      <c r="B3900" t="s">
        <v>2645</v>
      </c>
      <c r="C3900" t="s">
        <v>3236</v>
      </c>
      <c r="D3900" t="s">
        <v>349</v>
      </c>
      <c r="E3900" t="s">
        <v>8</v>
      </c>
      <c r="F3900" t="s">
        <v>248</v>
      </c>
      <c r="G3900" t="s">
        <v>2646</v>
      </c>
      <c r="H3900" s="7">
        <v>45140</v>
      </c>
    </row>
    <row r="3901" spans="1:8" x14ac:dyDescent="0.3">
      <c r="A3901">
        <v>18759</v>
      </c>
      <c r="B3901" t="s">
        <v>5</v>
      </c>
      <c r="C3901" t="s">
        <v>3355</v>
      </c>
      <c r="D3901" t="s">
        <v>4193</v>
      </c>
      <c r="E3901" t="s">
        <v>8</v>
      </c>
      <c r="F3901" t="s">
        <v>9</v>
      </c>
      <c r="G3901" t="s">
        <v>1613</v>
      </c>
      <c r="H3901" s="7">
        <v>725</v>
      </c>
    </row>
    <row r="3902" spans="1:8" x14ac:dyDescent="0.3">
      <c r="A3902">
        <v>18760</v>
      </c>
      <c r="B3902" t="s">
        <v>2212</v>
      </c>
      <c r="C3902" t="s">
        <v>2344</v>
      </c>
      <c r="D3902" t="s">
        <v>2051</v>
      </c>
      <c r="E3902" t="s">
        <v>8</v>
      </c>
      <c r="F3902" t="s">
        <v>283</v>
      </c>
      <c r="G3902" t="s">
        <v>4118</v>
      </c>
      <c r="H3902" s="7">
        <v>23503</v>
      </c>
    </row>
    <row r="3903" spans="1:8" x14ac:dyDescent="0.3">
      <c r="A3903">
        <v>18761</v>
      </c>
      <c r="B3903" t="s">
        <v>5</v>
      </c>
      <c r="C3903" t="s">
        <v>374</v>
      </c>
      <c r="D3903" t="s">
        <v>3362</v>
      </c>
      <c r="E3903" t="s">
        <v>8</v>
      </c>
      <c r="F3903" t="s">
        <v>9</v>
      </c>
      <c r="G3903" t="s">
        <v>3363</v>
      </c>
      <c r="H3903" s="7">
        <v>725</v>
      </c>
    </row>
    <row r="3904" spans="1:8" x14ac:dyDescent="0.3">
      <c r="A3904">
        <v>18767</v>
      </c>
      <c r="B3904" t="s">
        <v>1586</v>
      </c>
      <c r="C3904" t="s">
        <v>1144</v>
      </c>
      <c r="D3904" t="s">
        <v>2284</v>
      </c>
      <c r="E3904" t="s">
        <v>8</v>
      </c>
      <c r="F3904" t="s">
        <v>341</v>
      </c>
      <c r="G3904" t="s">
        <v>4867</v>
      </c>
      <c r="H3904" s="7">
        <v>27514</v>
      </c>
    </row>
    <row r="3905" spans="1:8" x14ac:dyDescent="0.3">
      <c r="A3905">
        <v>18785</v>
      </c>
      <c r="B3905" t="s">
        <v>174</v>
      </c>
      <c r="C3905" t="s">
        <v>306</v>
      </c>
      <c r="D3905" t="s">
        <v>2706</v>
      </c>
      <c r="E3905" t="s">
        <v>8</v>
      </c>
      <c r="F3905" t="s">
        <v>21</v>
      </c>
      <c r="G3905" t="s">
        <v>632</v>
      </c>
      <c r="H3905" s="7">
        <v>90063</v>
      </c>
    </row>
    <row r="3906" spans="1:8" x14ac:dyDescent="0.3">
      <c r="A3906">
        <v>18790</v>
      </c>
      <c r="B3906" t="s">
        <v>2504</v>
      </c>
      <c r="C3906" t="s">
        <v>1604</v>
      </c>
      <c r="D3906" t="s">
        <v>26</v>
      </c>
      <c r="E3906" t="s">
        <v>95</v>
      </c>
      <c r="F3906" t="s">
        <v>21</v>
      </c>
      <c r="G3906" t="s">
        <v>2505</v>
      </c>
      <c r="H3906" s="7">
        <v>90660</v>
      </c>
    </row>
    <row r="3907" spans="1:8" x14ac:dyDescent="0.3">
      <c r="A3907">
        <v>18791</v>
      </c>
      <c r="B3907" t="s">
        <v>1779</v>
      </c>
      <c r="C3907" t="s">
        <v>3095</v>
      </c>
      <c r="D3907" t="s">
        <v>3096</v>
      </c>
      <c r="E3907" t="s">
        <v>95</v>
      </c>
      <c r="F3907" t="s">
        <v>21</v>
      </c>
      <c r="G3907" t="s">
        <v>3097</v>
      </c>
      <c r="H3907" s="7">
        <v>94541</v>
      </c>
    </row>
    <row r="3908" spans="1:8" x14ac:dyDescent="0.3">
      <c r="A3908">
        <v>18794</v>
      </c>
      <c r="B3908" t="s">
        <v>174</v>
      </c>
      <c r="C3908" t="s">
        <v>2411</v>
      </c>
      <c r="D3908" t="s">
        <v>1191</v>
      </c>
      <c r="E3908" t="s">
        <v>8</v>
      </c>
      <c r="F3908" t="s">
        <v>21</v>
      </c>
      <c r="G3908" t="s">
        <v>1024</v>
      </c>
      <c r="H3908" s="7">
        <v>90057</v>
      </c>
    </row>
    <row r="3909" spans="1:8" x14ac:dyDescent="0.3">
      <c r="A3909">
        <v>18795</v>
      </c>
      <c r="B3909" t="s">
        <v>5</v>
      </c>
      <c r="C3909" t="s">
        <v>913</v>
      </c>
      <c r="D3909" t="s">
        <v>1061</v>
      </c>
      <c r="E3909" t="s">
        <v>8</v>
      </c>
      <c r="F3909" t="s">
        <v>9</v>
      </c>
      <c r="G3909" t="s">
        <v>1342</v>
      </c>
      <c r="H3909" s="7">
        <v>725</v>
      </c>
    </row>
    <row r="3910" spans="1:8" x14ac:dyDescent="0.3">
      <c r="A3910">
        <v>18800</v>
      </c>
      <c r="B3910" t="s">
        <v>3523</v>
      </c>
      <c r="C3910" t="s">
        <v>355</v>
      </c>
      <c r="D3910" t="s">
        <v>1264</v>
      </c>
      <c r="E3910" t="s">
        <v>27</v>
      </c>
      <c r="F3910" t="s">
        <v>9</v>
      </c>
      <c r="G3910" t="s">
        <v>3482</v>
      </c>
      <c r="H3910" s="7">
        <v>685</v>
      </c>
    </row>
    <row r="3911" spans="1:8" x14ac:dyDescent="0.3">
      <c r="A3911">
        <v>18805</v>
      </c>
      <c r="B3911" t="s">
        <v>3943</v>
      </c>
      <c r="C3911" t="s">
        <v>339</v>
      </c>
      <c r="D3911" t="s">
        <v>802</v>
      </c>
      <c r="E3911" t="s">
        <v>95</v>
      </c>
      <c r="F3911" t="s">
        <v>248</v>
      </c>
      <c r="G3911" t="s">
        <v>5049</v>
      </c>
      <c r="H3911" s="7">
        <v>44060</v>
      </c>
    </row>
    <row r="3912" spans="1:8" x14ac:dyDescent="0.3">
      <c r="A3912">
        <v>18814</v>
      </c>
      <c r="B3912" t="s">
        <v>5</v>
      </c>
      <c r="C3912" t="s">
        <v>3645</v>
      </c>
      <c r="D3912" t="s">
        <v>1673</v>
      </c>
      <c r="E3912" t="s">
        <v>8</v>
      </c>
      <c r="F3912" t="s">
        <v>9</v>
      </c>
      <c r="G3912" t="s">
        <v>3262</v>
      </c>
      <c r="H3912" s="7">
        <v>725</v>
      </c>
    </row>
    <row r="3913" spans="1:8" x14ac:dyDescent="0.3">
      <c r="A3913">
        <v>18815</v>
      </c>
      <c r="B3913" t="s">
        <v>862</v>
      </c>
      <c r="C3913" t="s">
        <v>2989</v>
      </c>
      <c r="D3913" t="s">
        <v>2990</v>
      </c>
      <c r="E3913" t="s">
        <v>8</v>
      </c>
      <c r="F3913" t="s">
        <v>478</v>
      </c>
      <c r="G3913" t="s">
        <v>1558</v>
      </c>
      <c r="H3913" s="7">
        <v>89110</v>
      </c>
    </row>
    <row r="3914" spans="1:8" x14ac:dyDescent="0.3">
      <c r="A3914">
        <v>18816</v>
      </c>
      <c r="B3914" t="s">
        <v>1553</v>
      </c>
      <c r="C3914" t="s">
        <v>2191</v>
      </c>
      <c r="D3914" t="s">
        <v>1957</v>
      </c>
      <c r="E3914" t="s">
        <v>27</v>
      </c>
      <c r="F3914" t="s">
        <v>114</v>
      </c>
      <c r="G3914" t="s">
        <v>1556</v>
      </c>
      <c r="H3914" s="7">
        <v>75061</v>
      </c>
    </row>
    <row r="3915" spans="1:8" x14ac:dyDescent="0.3">
      <c r="A3915">
        <v>18817</v>
      </c>
      <c r="B3915" t="s">
        <v>155</v>
      </c>
      <c r="C3915" t="s">
        <v>2413</v>
      </c>
      <c r="D3915" t="s">
        <v>3641</v>
      </c>
      <c r="E3915" t="s">
        <v>95</v>
      </c>
      <c r="F3915" t="s">
        <v>172</v>
      </c>
      <c r="G3915" t="s">
        <v>655</v>
      </c>
      <c r="H3915" s="7">
        <v>65203</v>
      </c>
    </row>
    <row r="3916" spans="1:8" x14ac:dyDescent="0.3">
      <c r="A3916">
        <v>18820</v>
      </c>
      <c r="B3916" t="s">
        <v>1913</v>
      </c>
      <c r="C3916" t="s">
        <v>328</v>
      </c>
      <c r="D3916" t="s">
        <v>2648</v>
      </c>
      <c r="E3916" t="s">
        <v>27</v>
      </c>
      <c r="F3916" t="s">
        <v>140</v>
      </c>
      <c r="G3916" t="s">
        <v>2649</v>
      </c>
      <c r="H3916" s="7">
        <v>30127</v>
      </c>
    </row>
    <row r="3917" spans="1:8" x14ac:dyDescent="0.3">
      <c r="A3917">
        <v>18821</v>
      </c>
      <c r="B3917" t="s">
        <v>2805</v>
      </c>
      <c r="C3917" t="s">
        <v>188</v>
      </c>
      <c r="D3917" t="s">
        <v>2755</v>
      </c>
      <c r="E3917" t="s">
        <v>27</v>
      </c>
      <c r="F3917" t="s">
        <v>88</v>
      </c>
      <c r="G3917" t="s">
        <v>2806</v>
      </c>
      <c r="H3917" s="7">
        <v>11756</v>
      </c>
    </row>
    <row r="3918" spans="1:8" x14ac:dyDescent="0.3">
      <c r="A3918">
        <v>18822</v>
      </c>
      <c r="B3918" t="s">
        <v>195</v>
      </c>
      <c r="C3918" t="s">
        <v>132</v>
      </c>
      <c r="D3918" t="s">
        <v>279</v>
      </c>
      <c r="E3918" t="s">
        <v>27</v>
      </c>
      <c r="F3918" t="s">
        <v>21</v>
      </c>
      <c r="G3918" t="s">
        <v>2804</v>
      </c>
      <c r="H3918" s="7">
        <v>92843</v>
      </c>
    </row>
    <row r="3919" spans="1:8" x14ac:dyDescent="0.3">
      <c r="A3919">
        <v>18823</v>
      </c>
      <c r="B3919" t="s">
        <v>5</v>
      </c>
      <c r="C3919" t="s">
        <v>666</v>
      </c>
      <c r="D3919" t="s">
        <v>2023</v>
      </c>
      <c r="E3919" t="s">
        <v>27</v>
      </c>
      <c r="F3919" t="s">
        <v>9</v>
      </c>
      <c r="G3919" t="s">
        <v>2024</v>
      </c>
      <c r="H3919" s="7">
        <v>725</v>
      </c>
    </row>
    <row r="3920" spans="1:8" x14ac:dyDescent="0.3">
      <c r="A3920">
        <v>18824</v>
      </c>
      <c r="B3920" t="s">
        <v>1896</v>
      </c>
      <c r="C3920" t="s">
        <v>93</v>
      </c>
      <c r="D3920" t="s">
        <v>1840</v>
      </c>
      <c r="E3920" t="s">
        <v>8</v>
      </c>
      <c r="F3920" t="s">
        <v>1657</v>
      </c>
      <c r="G3920" t="s">
        <v>2716</v>
      </c>
      <c r="H3920" s="7">
        <v>6040</v>
      </c>
    </row>
    <row r="3921" spans="1:8" x14ac:dyDescent="0.3">
      <c r="A3921">
        <v>18836</v>
      </c>
      <c r="B3921" t="s">
        <v>3822</v>
      </c>
      <c r="C3921" t="s">
        <v>306</v>
      </c>
      <c r="D3921" t="s">
        <v>3543</v>
      </c>
      <c r="E3921" t="s">
        <v>95</v>
      </c>
      <c r="F3921" t="s">
        <v>21</v>
      </c>
      <c r="G3921" t="s">
        <v>5155</v>
      </c>
      <c r="H3921" s="7">
        <v>91786</v>
      </c>
    </row>
    <row r="3922" spans="1:8" x14ac:dyDescent="0.3">
      <c r="A3922">
        <v>18842</v>
      </c>
      <c r="B3922" t="s">
        <v>1253</v>
      </c>
      <c r="C3922" t="s">
        <v>5170</v>
      </c>
      <c r="D3922" t="s">
        <v>4604</v>
      </c>
      <c r="E3922" t="s">
        <v>8</v>
      </c>
      <c r="F3922" t="s">
        <v>158</v>
      </c>
      <c r="G3922" t="s">
        <v>1257</v>
      </c>
      <c r="H3922" s="7">
        <v>37075</v>
      </c>
    </row>
    <row r="3923" spans="1:8" x14ac:dyDescent="0.3">
      <c r="A3923">
        <v>18843</v>
      </c>
      <c r="B3923" t="s">
        <v>495</v>
      </c>
      <c r="C3923" t="s">
        <v>188</v>
      </c>
      <c r="D3923" t="s">
        <v>1050</v>
      </c>
      <c r="E3923" t="s">
        <v>8</v>
      </c>
      <c r="F3923" t="s">
        <v>88</v>
      </c>
      <c r="G3923" t="s">
        <v>3003</v>
      </c>
      <c r="H3923" s="7">
        <v>11201</v>
      </c>
    </row>
    <row r="3924" spans="1:8" x14ac:dyDescent="0.3">
      <c r="A3924">
        <v>18845</v>
      </c>
      <c r="B3924" t="s">
        <v>1210</v>
      </c>
      <c r="C3924" t="s">
        <v>1317</v>
      </c>
      <c r="D3924" t="s">
        <v>1318</v>
      </c>
      <c r="E3924" t="s">
        <v>8</v>
      </c>
      <c r="F3924" t="s">
        <v>308</v>
      </c>
      <c r="G3924" t="s">
        <v>782</v>
      </c>
      <c r="H3924" s="7">
        <v>7003</v>
      </c>
    </row>
    <row r="3925" spans="1:8" x14ac:dyDescent="0.3">
      <c r="A3925">
        <v>18851</v>
      </c>
      <c r="B3925" t="s">
        <v>5</v>
      </c>
      <c r="C3925" t="s">
        <v>2968</v>
      </c>
      <c r="D3925" t="s">
        <v>2969</v>
      </c>
      <c r="E3925" t="s">
        <v>27</v>
      </c>
      <c r="F3925" t="s">
        <v>9</v>
      </c>
      <c r="G3925" t="s">
        <v>2943</v>
      </c>
      <c r="H3925" s="7">
        <v>725</v>
      </c>
    </row>
    <row r="3926" spans="1:8" x14ac:dyDescent="0.3">
      <c r="A3926">
        <v>18852</v>
      </c>
      <c r="B3926" t="s">
        <v>661</v>
      </c>
      <c r="C3926" t="s">
        <v>1526</v>
      </c>
      <c r="D3926" t="s">
        <v>1527</v>
      </c>
      <c r="E3926" t="s">
        <v>27</v>
      </c>
      <c r="F3926" t="s">
        <v>153</v>
      </c>
      <c r="G3926" t="s">
        <v>664</v>
      </c>
      <c r="H3926" s="7">
        <v>84084</v>
      </c>
    </row>
    <row r="3927" spans="1:8" x14ac:dyDescent="0.3">
      <c r="A3927">
        <v>18853</v>
      </c>
      <c r="B3927" t="s">
        <v>5</v>
      </c>
      <c r="C3927" t="s">
        <v>355</v>
      </c>
      <c r="D3927" t="s">
        <v>2137</v>
      </c>
      <c r="E3927" t="s">
        <v>8</v>
      </c>
      <c r="F3927" t="s">
        <v>9</v>
      </c>
      <c r="G3927" t="s">
        <v>3591</v>
      </c>
      <c r="H3927" s="7">
        <v>725</v>
      </c>
    </row>
    <row r="3928" spans="1:8" x14ac:dyDescent="0.3">
      <c r="A3928">
        <v>18859</v>
      </c>
      <c r="B3928" t="s">
        <v>1139</v>
      </c>
      <c r="C3928" t="s">
        <v>2430</v>
      </c>
      <c r="D3928" t="s">
        <v>3070</v>
      </c>
      <c r="E3928" t="s">
        <v>95</v>
      </c>
      <c r="F3928" t="s">
        <v>114</v>
      </c>
      <c r="G3928" t="s">
        <v>2823</v>
      </c>
      <c r="H3928" s="7">
        <v>79924</v>
      </c>
    </row>
    <row r="3929" spans="1:8" x14ac:dyDescent="0.3">
      <c r="A3929">
        <v>18862</v>
      </c>
      <c r="B3929" t="s">
        <v>723</v>
      </c>
      <c r="C3929" t="s">
        <v>67</v>
      </c>
      <c r="D3929" t="s">
        <v>1506</v>
      </c>
      <c r="E3929" t="s">
        <v>95</v>
      </c>
      <c r="F3929" t="s">
        <v>55</v>
      </c>
      <c r="G3929" t="s">
        <v>3746</v>
      </c>
      <c r="H3929" s="7">
        <v>60506</v>
      </c>
    </row>
    <row r="3930" spans="1:8" x14ac:dyDescent="0.3">
      <c r="A3930">
        <v>18872</v>
      </c>
      <c r="B3930" t="s">
        <v>1749</v>
      </c>
      <c r="C3930" t="s">
        <v>2424</v>
      </c>
      <c r="D3930" t="s">
        <v>3211</v>
      </c>
      <c r="E3930" t="s">
        <v>8</v>
      </c>
      <c r="F3930" t="s">
        <v>55</v>
      </c>
      <c r="G3930" t="s">
        <v>3212</v>
      </c>
      <c r="H3930" s="7">
        <v>60067</v>
      </c>
    </row>
    <row r="3931" spans="1:8" x14ac:dyDescent="0.3">
      <c r="A3931">
        <v>18873</v>
      </c>
      <c r="B3931" t="s">
        <v>5</v>
      </c>
      <c r="C3931" t="s">
        <v>1366</v>
      </c>
      <c r="D3931" t="s">
        <v>1367</v>
      </c>
      <c r="E3931" t="s">
        <v>8</v>
      </c>
      <c r="F3931" t="s">
        <v>9</v>
      </c>
      <c r="G3931" t="s">
        <v>1368</v>
      </c>
      <c r="H3931" s="7">
        <v>725</v>
      </c>
    </row>
    <row r="3932" spans="1:8" x14ac:dyDescent="0.3">
      <c r="A3932">
        <v>18876</v>
      </c>
      <c r="B3932" t="s">
        <v>2290</v>
      </c>
      <c r="C3932" t="s">
        <v>301</v>
      </c>
      <c r="D3932" t="s">
        <v>1221</v>
      </c>
      <c r="E3932" t="s">
        <v>8</v>
      </c>
      <c r="F3932" t="s">
        <v>21</v>
      </c>
      <c r="G3932" t="s">
        <v>5619</v>
      </c>
      <c r="H3932" s="7">
        <v>91764</v>
      </c>
    </row>
    <row r="3933" spans="1:8" x14ac:dyDescent="0.3">
      <c r="A3933">
        <v>18885</v>
      </c>
      <c r="B3933" t="s">
        <v>368</v>
      </c>
      <c r="C3933" t="s">
        <v>2417</v>
      </c>
      <c r="D3933" t="s">
        <v>1213</v>
      </c>
      <c r="E3933" t="s">
        <v>27</v>
      </c>
      <c r="F3933" t="s">
        <v>88</v>
      </c>
      <c r="G3933" t="s">
        <v>4980</v>
      </c>
      <c r="H3933" s="7">
        <v>10023</v>
      </c>
    </row>
    <row r="3934" spans="1:8" x14ac:dyDescent="0.3">
      <c r="A3934">
        <v>18887</v>
      </c>
      <c r="B3934" t="s">
        <v>5</v>
      </c>
      <c r="C3934" t="s">
        <v>1665</v>
      </c>
      <c r="D3934" t="s">
        <v>413</v>
      </c>
      <c r="E3934" t="s">
        <v>8</v>
      </c>
      <c r="F3934" t="s">
        <v>9</v>
      </c>
      <c r="G3934" t="s">
        <v>3652</v>
      </c>
      <c r="H3934" s="7">
        <v>725</v>
      </c>
    </row>
    <row r="3935" spans="1:8" x14ac:dyDescent="0.3">
      <c r="A3935">
        <v>18890</v>
      </c>
      <c r="B3935" t="s">
        <v>440</v>
      </c>
      <c r="C3935" t="s">
        <v>192</v>
      </c>
      <c r="D3935" t="s">
        <v>1575</v>
      </c>
      <c r="E3935" t="s">
        <v>27</v>
      </c>
      <c r="F3935" t="s">
        <v>114</v>
      </c>
      <c r="G3935" t="s">
        <v>1576</v>
      </c>
      <c r="H3935" s="7">
        <v>78250</v>
      </c>
    </row>
    <row r="3936" spans="1:8" x14ac:dyDescent="0.3">
      <c r="A3936">
        <v>18900</v>
      </c>
      <c r="B3936" t="s">
        <v>5</v>
      </c>
      <c r="C3936" t="s">
        <v>3276</v>
      </c>
      <c r="D3936" t="s">
        <v>3277</v>
      </c>
      <c r="E3936" t="s">
        <v>27</v>
      </c>
      <c r="F3936" t="s">
        <v>9</v>
      </c>
      <c r="G3936" t="s">
        <v>3278</v>
      </c>
      <c r="H3936" s="7">
        <v>725</v>
      </c>
    </row>
    <row r="3937" spans="1:8" x14ac:dyDescent="0.3">
      <c r="A3937">
        <v>18901</v>
      </c>
      <c r="B3937" t="s">
        <v>263</v>
      </c>
      <c r="C3937" t="s">
        <v>2411</v>
      </c>
      <c r="D3937" t="s">
        <v>2369</v>
      </c>
      <c r="E3937" t="s">
        <v>95</v>
      </c>
      <c r="F3937" t="s">
        <v>55</v>
      </c>
      <c r="G3937" t="s">
        <v>3131</v>
      </c>
      <c r="H3937" s="7">
        <v>60435</v>
      </c>
    </row>
    <row r="3938" spans="1:8" x14ac:dyDescent="0.3">
      <c r="A3938">
        <v>18902</v>
      </c>
      <c r="B3938" t="s">
        <v>5</v>
      </c>
      <c r="C3938" t="s">
        <v>1054</v>
      </c>
      <c r="D3938" t="s">
        <v>1055</v>
      </c>
      <c r="E3938" t="s">
        <v>95</v>
      </c>
      <c r="F3938" t="s">
        <v>9</v>
      </c>
      <c r="G3938" t="s">
        <v>1056</v>
      </c>
      <c r="H3938" s="7">
        <v>725</v>
      </c>
    </row>
    <row r="3939" spans="1:8" x14ac:dyDescent="0.3">
      <c r="A3939">
        <v>18903</v>
      </c>
      <c r="B3939" t="s">
        <v>142</v>
      </c>
      <c r="C3939" t="s">
        <v>1272</v>
      </c>
      <c r="D3939" t="s">
        <v>1273</v>
      </c>
      <c r="E3939" t="s">
        <v>8</v>
      </c>
      <c r="F3939" t="s">
        <v>88</v>
      </c>
      <c r="G3939" t="s">
        <v>1274</v>
      </c>
      <c r="H3939" s="7">
        <v>10463</v>
      </c>
    </row>
    <row r="3940" spans="1:8" x14ac:dyDescent="0.3">
      <c r="A3940">
        <v>18904</v>
      </c>
      <c r="B3940" t="s">
        <v>1309</v>
      </c>
      <c r="C3940" t="s">
        <v>60</v>
      </c>
      <c r="D3940" t="s">
        <v>462</v>
      </c>
      <c r="E3940" t="s">
        <v>8</v>
      </c>
      <c r="F3940" t="s">
        <v>21</v>
      </c>
      <c r="G3940" t="s">
        <v>1310</v>
      </c>
      <c r="H3940" s="7">
        <v>92557</v>
      </c>
    </row>
    <row r="3941" spans="1:8" x14ac:dyDescent="0.3">
      <c r="A3941">
        <v>18905</v>
      </c>
      <c r="B3941" t="s">
        <v>5</v>
      </c>
      <c r="C3941" t="s">
        <v>1564</v>
      </c>
      <c r="D3941" t="s">
        <v>1825</v>
      </c>
      <c r="E3941" t="s">
        <v>8</v>
      </c>
      <c r="F3941" t="s">
        <v>9</v>
      </c>
      <c r="G3941" t="s">
        <v>3582</v>
      </c>
      <c r="H3941" s="7">
        <v>725</v>
      </c>
    </row>
    <row r="3942" spans="1:8" x14ac:dyDescent="0.3">
      <c r="A3942">
        <v>18906</v>
      </c>
      <c r="B3942" t="s">
        <v>1892</v>
      </c>
      <c r="C3942" t="s">
        <v>2127</v>
      </c>
      <c r="D3942" t="s">
        <v>2128</v>
      </c>
      <c r="E3942" t="s">
        <v>8</v>
      </c>
      <c r="F3942" t="s">
        <v>55</v>
      </c>
      <c r="G3942" t="s">
        <v>1894</v>
      </c>
      <c r="H3942" s="7">
        <v>61761</v>
      </c>
    </row>
    <row r="3943" spans="1:8" x14ac:dyDescent="0.3">
      <c r="A3943">
        <v>18907</v>
      </c>
      <c r="B3943" t="s">
        <v>5</v>
      </c>
      <c r="C3943" t="s">
        <v>5553</v>
      </c>
      <c r="D3943" t="s">
        <v>2765</v>
      </c>
      <c r="E3943" t="s">
        <v>8</v>
      </c>
      <c r="F3943" t="s">
        <v>9</v>
      </c>
      <c r="G3943" t="s">
        <v>1997</v>
      </c>
      <c r="H3943" s="7">
        <v>725</v>
      </c>
    </row>
    <row r="3944" spans="1:8" x14ac:dyDescent="0.3">
      <c r="A3944">
        <v>18913</v>
      </c>
      <c r="B3944" t="s">
        <v>5</v>
      </c>
      <c r="C3944" t="s">
        <v>2409</v>
      </c>
      <c r="D3944" t="s">
        <v>1812</v>
      </c>
      <c r="E3944" t="s">
        <v>95</v>
      </c>
      <c r="F3944" t="s">
        <v>9</v>
      </c>
      <c r="G3944" t="s">
        <v>4581</v>
      </c>
      <c r="H3944" s="7">
        <v>725</v>
      </c>
    </row>
    <row r="3945" spans="1:8" x14ac:dyDescent="0.3">
      <c r="A3945">
        <v>18921</v>
      </c>
      <c r="B3945" t="s">
        <v>5</v>
      </c>
      <c r="C3945" t="s">
        <v>824</v>
      </c>
      <c r="D3945" t="s">
        <v>2201</v>
      </c>
      <c r="E3945" t="s">
        <v>95</v>
      </c>
      <c r="F3945" t="s">
        <v>9</v>
      </c>
      <c r="G3945" t="s">
        <v>4760</v>
      </c>
      <c r="H3945" s="7">
        <v>725</v>
      </c>
    </row>
    <row r="3946" spans="1:8" x14ac:dyDescent="0.3">
      <c r="A3946">
        <v>18922</v>
      </c>
      <c r="B3946" t="s">
        <v>2303</v>
      </c>
      <c r="C3946" t="s">
        <v>3767</v>
      </c>
      <c r="D3946" t="s">
        <v>3768</v>
      </c>
      <c r="E3946" t="s">
        <v>95</v>
      </c>
      <c r="F3946" t="s">
        <v>55</v>
      </c>
      <c r="G3946" t="s">
        <v>3769</v>
      </c>
      <c r="H3946" s="7">
        <v>60085</v>
      </c>
    </row>
    <row r="3947" spans="1:8" x14ac:dyDescent="0.3">
      <c r="A3947">
        <v>18929</v>
      </c>
      <c r="B3947" t="s">
        <v>5</v>
      </c>
      <c r="C3947" t="s">
        <v>1801</v>
      </c>
      <c r="D3947" t="s">
        <v>2257</v>
      </c>
      <c r="E3947" t="s">
        <v>8</v>
      </c>
      <c r="F3947" t="s">
        <v>9</v>
      </c>
      <c r="G3947" t="s">
        <v>1537</v>
      </c>
      <c r="H3947" s="7">
        <v>725</v>
      </c>
    </row>
    <row r="3948" spans="1:8" x14ac:dyDescent="0.3">
      <c r="A3948">
        <v>18934</v>
      </c>
      <c r="B3948" t="s">
        <v>5</v>
      </c>
      <c r="C3948" t="s">
        <v>3496</v>
      </c>
      <c r="D3948" t="s">
        <v>2266</v>
      </c>
      <c r="E3948" t="s">
        <v>8</v>
      </c>
      <c r="F3948" t="s">
        <v>9</v>
      </c>
      <c r="G3948" t="s">
        <v>3660</v>
      </c>
      <c r="H3948" s="7">
        <v>725</v>
      </c>
    </row>
    <row r="3949" spans="1:8" x14ac:dyDescent="0.3">
      <c r="A3949">
        <v>18935</v>
      </c>
      <c r="B3949" t="s">
        <v>2577</v>
      </c>
      <c r="C3949" t="s">
        <v>2144</v>
      </c>
      <c r="D3949" t="s">
        <v>3269</v>
      </c>
      <c r="E3949" t="s">
        <v>8</v>
      </c>
      <c r="F3949" t="s">
        <v>21</v>
      </c>
      <c r="G3949" t="s">
        <v>3502</v>
      </c>
      <c r="H3949" s="7">
        <v>94080</v>
      </c>
    </row>
    <row r="3950" spans="1:8" x14ac:dyDescent="0.3">
      <c r="A3950">
        <v>18941</v>
      </c>
      <c r="B3950" t="s">
        <v>1139</v>
      </c>
      <c r="C3950" t="s">
        <v>2237</v>
      </c>
      <c r="D3950" t="s">
        <v>928</v>
      </c>
      <c r="E3950" t="s">
        <v>27</v>
      </c>
      <c r="F3950" t="s">
        <v>114</v>
      </c>
      <c r="G3950" t="s">
        <v>2238</v>
      </c>
      <c r="H3950" s="7">
        <v>79936</v>
      </c>
    </row>
    <row r="3951" spans="1:8" x14ac:dyDescent="0.3">
      <c r="A3951">
        <v>18942</v>
      </c>
      <c r="B3951" t="s">
        <v>1550</v>
      </c>
      <c r="C3951" t="s">
        <v>2064</v>
      </c>
      <c r="D3951" t="s">
        <v>2821</v>
      </c>
      <c r="E3951" t="s">
        <v>27</v>
      </c>
      <c r="F3951" t="s">
        <v>88</v>
      </c>
      <c r="G3951" t="s">
        <v>1552</v>
      </c>
      <c r="H3951" s="7">
        <v>11420</v>
      </c>
    </row>
    <row r="3952" spans="1:8" x14ac:dyDescent="0.3">
      <c r="A3952">
        <v>18943</v>
      </c>
      <c r="B3952" t="s">
        <v>5</v>
      </c>
      <c r="C3952" t="s">
        <v>1436</v>
      </c>
      <c r="D3952" t="s">
        <v>72</v>
      </c>
      <c r="E3952" t="s">
        <v>8</v>
      </c>
      <c r="F3952" t="s">
        <v>9</v>
      </c>
      <c r="G3952" t="s">
        <v>937</v>
      </c>
      <c r="H3952" s="7">
        <v>725</v>
      </c>
    </row>
    <row r="3953" spans="1:8" x14ac:dyDescent="0.3">
      <c r="A3953">
        <v>18944</v>
      </c>
      <c r="B3953" t="s">
        <v>1896</v>
      </c>
      <c r="C3953" t="s">
        <v>1897</v>
      </c>
      <c r="D3953" t="s">
        <v>1506</v>
      </c>
      <c r="E3953" t="s">
        <v>8</v>
      </c>
      <c r="F3953" t="s">
        <v>1657</v>
      </c>
      <c r="G3953" t="s">
        <v>1898</v>
      </c>
      <c r="H3953" s="7">
        <v>6040</v>
      </c>
    </row>
    <row r="3954" spans="1:8" x14ac:dyDescent="0.3">
      <c r="A3954">
        <v>18945</v>
      </c>
      <c r="B3954" t="s">
        <v>5</v>
      </c>
      <c r="C3954" t="s">
        <v>662</v>
      </c>
      <c r="D3954" t="s">
        <v>2062</v>
      </c>
      <c r="E3954" t="s">
        <v>27</v>
      </c>
      <c r="F3954" t="s">
        <v>9</v>
      </c>
      <c r="G3954" t="s">
        <v>2063</v>
      </c>
      <c r="H3954" s="7">
        <v>725</v>
      </c>
    </row>
    <row r="3955" spans="1:8" x14ac:dyDescent="0.3">
      <c r="A3955">
        <v>18946</v>
      </c>
      <c r="B3955" t="s">
        <v>665</v>
      </c>
      <c r="C3955" t="s">
        <v>666</v>
      </c>
      <c r="D3955" t="s">
        <v>667</v>
      </c>
      <c r="E3955" t="s">
        <v>27</v>
      </c>
      <c r="F3955" t="s">
        <v>283</v>
      </c>
      <c r="G3955" t="s">
        <v>668</v>
      </c>
      <c r="H3955" s="7">
        <v>23322</v>
      </c>
    </row>
    <row r="3956" spans="1:8" x14ac:dyDescent="0.3">
      <c r="A3956">
        <v>18947</v>
      </c>
      <c r="B3956" t="s">
        <v>631</v>
      </c>
      <c r="C3956" t="s">
        <v>2232</v>
      </c>
      <c r="D3956" t="s">
        <v>2233</v>
      </c>
      <c r="E3956" t="s">
        <v>27</v>
      </c>
      <c r="F3956" t="s">
        <v>108</v>
      </c>
      <c r="G3956" t="s">
        <v>1562</v>
      </c>
      <c r="H3956" s="7">
        <v>97405</v>
      </c>
    </row>
    <row r="3957" spans="1:8" x14ac:dyDescent="0.3">
      <c r="A3957">
        <v>18948</v>
      </c>
      <c r="B3957" t="s">
        <v>5</v>
      </c>
      <c r="C3957" t="s">
        <v>1590</v>
      </c>
      <c r="D3957" t="s">
        <v>1591</v>
      </c>
      <c r="E3957" t="s">
        <v>27</v>
      </c>
      <c r="F3957" t="s">
        <v>9</v>
      </c>
      <c r="G3957" t="s">
        <v>878</v>
      </c>
      <c r="H3957" s="7">
        <v>725</v>
      </c>
    </row>
    <row r="3958" spans="1:8" x14ac:dyDescent="0.3">
      <c r="A3958">
        <v>18960</v>
      </c>
      <c r="B3958" t="s">
        <v>5</v>
      </c>
      <c r="C3958" t="s">
        <v>71</v>
      </c>
      <c r="D3958" t="s">
        <v>1388</v>
      </c>
      <c r="E3958" t="s">
        <v>8</v>
      </c>
      <c r="F3958" t="s">
        <v>9</v>
      </c>
      <c r="G3958" t="s">
        <v>4207</v>
      </c>
      <c r="H3958" s="7">
        <v>725</v>
      </c>
    </row>
    <row r="3959" spans="1:8" x14ac:dyDescent="0.3">
      <c r="A3959">
        <v>18962</v>
      </c>
      <c r="B3959" t="s">
        <v>1971</v>
      </c>
      <c r="C3959" t="s">
        <v>1704</v>
      </c>
      <c r="D3959" t="s">
        <v>5651</v>
      </c>
      <c r="E3959" t="s">
        <v>8</v>
      </c>
      <c r="F3959" t="s">
        <v>341</v>
      </c>
      <c r="G3959" t="s">
        <v>4361</v>
      </c>
      <c r="H3959" s="7">
        <v>27203</v>
      </c>
    </row>
    <row r="3960" spans="1:8" x14ac:dyDescent="0.3">
      <c r="A3960">
        <v>18963</v>
      </c>
      <c r="B3960" t="s">
        <v>5</v>
      </c>
      <c r="C3960" t="s">
        <v>1334</v>
      </c>
      <c r="D3960" t="s">
        <v>1431</v>
      </c>
      <c r="E3960" t="s">
        <v>8</v>
      </c>
      <c r="F3960" t="s">
        <v>9</v>
      </c>
      <c r="G3960" t="s">
        <v>1432</v>
      </c>
      <c r="H3960" s="7">
        <v>725</v>
      </c>
    </row>
    <row r="3961" spans="1:8" x14ac:dyDescent="0.3">
      <c r="A3961">
        <v>18964</v>
      </c>
      <c r="B3961" t="s">
        <v>1888</v>
      </c>
      <c r="C3961" t="s">
        <v>1889</v>
      </c>
      <c r="D3961" t="s">
        <v>1890</v>
      </c>
      <c r="E3961" t="s">
        <v>8</v>
      </c>
      <c r="F3961" t="s">
        <v>55</v>
      </c>
      <c r="G3961" t="s">
        <v>1891</v>
      </c>
      <c r="H3961" s="7">
        <v>60102</v>
      </c>
    </row>
    <row r="3962" spans="1:8" x14ac:dyDescent="0.3">
      <c r="A3962">
        <v>18965</v>
      </c>
      <c r="B3962" t="s">
        <v>1508</v>
      </c>
      <c r="C3962" t="s">
        <v>1509</v>
      </c>
      <c r="D3962" t="s">
        <v>1510</v>
      </c>
      <c r="E3962" t="s">
        <v>27</v>
      </c>
      <c r="F3962" t="s">
        <v>21</v>
      </c>
      <c r="G3962" t="s">
        <v>1511</v>
      </c>
      <c r="H3962" s="7">
        <v>90620</v>
      </c>
    </row>
    <row r="3963" spans="1:8" x14ac:dyDescent="0.3">
      <c r="A3963">
        <v>18966</v>
      </c>
      <c r="B3963" t="s">
        <v>5</v>
      </c>
      <c r="C3963" t="s">
        <v>4819</v>
      </c>
      <c r="D3963" t="s">
        <v>1183</v>
      </c>
      <c r="E3963" t="s">
        <v>95</v>
      </c>
      <c r="F3963" t="s">
        <v>9</v>
      </c>
      <c r="G3963" t="s">
        <v>2370</v>
      </c>
      <c r="H3963" s="7">
        <v>725</v>
      </c>
    </row>
    <row r="3964" spans="1:8" x14ac:dyDescent="0.3">
      <c r="A3964">
        <v>18972</v>
      </c>
      <c r="B3964" t="s">
        <v>174</v>
      </c>
      <c r="C3964" t="s">
        <v>1991</v>
      </c>
      <c r="D3964" t="s">
        <v>2177</v>
      </c>
      <c r="E3964" t="s">
        <v>27</v>
      </c>
      <c r="F3964" t="s">
        <v>21</v>
      </c>
      <c r="G3964" t="s">
        <v>3186</v>
      </c>
      <c r="H3964" s="7">
        <v>90003</v>
      </c>
    </row>
    <row r="3965" spans="1:8" x14ac:dyDescent="0.3">
      <c r="A3965">
        <v>18976</v>
      </c>
      <c r="B3965" t="s">
        <v>5</v>
      </c>
      <c r="C3965" t="s">
        <v>325</v>
      </c>
      <c r="D3965" t="s">
        <v>1169</v>
      </c>
      <c r="E3965" t="s">
        <v>95</v>
      </c>
      <c r="F3965" t="s">
        <v>9</v>
      </c>
      <c r="G3965" t="s">
        <v>5353</v>
      </c>
      <c r="H3965" s="7">
        <v>725</v>
      </c>
    </row>
    <row r="3966" spans="1:8" x14ac:dyDescent="0.3">
      <c r="A3966">
        <v>18983</v>
      </c>
      <c r="B3966" t="s">
        <v>5</v>
      </c>
      <c r="C3966" t="s">
        <v>1404</v>
      </c>
      <c r="D3966" t="s">
        <v>860</v>
      </c>
      <c r="E3966" t="s">
        <v>8</v>
      </c>
      <c r="F3966" t="s">
        <v>9</v>
      </c>
      <c r="G3966" t="s">
        <v>5307</v>
      </c>
      <c r="H3966" s="7">
        <v>725</v>
      </c>
    </row>
    <row r="3967" spans="1:8" x14ac:dyDescent="0.3">
      <c r="A3967">
        <v>18984</v>
      </c>
      <c r="B3967" t="s">
        <v>3422</v>
      </c>
      <c r="C3967" t="s">
        <v>5333</v>
      </c>
      <c r="D3967" t="s">
        <v>1496</v>
      </c>
      <c r="E3967" t="s">
        <v>8</v>
      </c>
      <c r="F3967" t="s">
        <v>21</v>
      </c>
      <c r="G3967" t="s">
        <v>4170</v>
      </c>
      <c r="H3967" s="7">
        <v>91910</v>
      </c>
    </row>
    <row r="3968" spans="1:8" x14ac:dyDescent="0.3">
      <c r="A3968">
        <v>18987</v>
      </c>
      <c r="B3968" t="s">
        <v>1279</v>
      </c>
      <c r="C3968" t="s">
        <v>687</v>
      </c>
      <c r="D3968" t="s">
        <v>1425</v>
      </c>
      <c r="E3968" t="s">
        <v>8</v>
      </c>
      <c r="F3968" t="s">
        <v>242</v>
      </c>
      <c r="G3968" t="s">
        <v>1907</v>
      </c>
      <c r="H3968" s="7">
        <v>21502</v>
      </c>
    </row>
    <row r="3969" spans="1:8" x14ac:dyDescent="0.3">
      <c r="A3969">
        <v>18988</v>
      </c>
      <c r="B3969" t="s">
        <v>5</v>
      </c>
      <c r="C3969" t="s">
        <v>1448</v>
      </c>
      <c r="D3969" t="s">
        <v>1449</v>
      </c>
      <c r="E3969" t="s">
        <v>8</v>
      </c>
      <c r="F3969" t="s">
        <v>9</v>
      </c>
      <c r="G3969" t="s">
        <v>896</v>
      </c>
      <c r="H3969" s="7">
        <v>725</v>
      </c>
    </row>
    <row r="3970" spans="1:8" x14ac:dyDescent="0.3">
      <c r="A3970">
        <v>18989</v>
      </c>
      <c r="B3970" t="s">
        <v>710</v>
      </c>
      <c r="C3970" t="s">
        <v>3265</v>
      </c>
      <c r="D3970" t="s">
        <v>3503</v>
      </c>
      <c r="E3970" t="s">
        <v>8</v>
      </c>
      <c r="F3970" t="s">
        <v>448</v>
      </c>
      <c r="G3970" t="s">
        <v>3504</v>
      </c>
      <c r="H3970" s="7">
        <v>33311</v>
      </c>
    </row>
    <row r="3971" spans="1:8" x14ac:dyDescent="0.3">
      <c r="A3971">
        <v>18990</v>
      </c>
      <c r="B3971" t="s">
        <v>5</v>
      </c>
      <c r="C3971" t="s">
        <v>1572</v>
      </c>
      <c r="D3971" t="s">
        <v>811</v>
      </c>
      <c r="E3971" t="s">
        <v>8</v>
      </c>
      <c r="F3971" t="s">
        <v>9</v>
      </c>
      <c r="G3971" t="s">
        <v>3594</v>
      </c>
      <c r="H3971" s="7">
        <v>725</v>
      </c>
    </row>
    <row r="3972" spans="1:8" x14ac:dyDescent="0.3">
      <c r="A3972">
        <v>19002</v>
      </c>
      <c r="B3972" t="s">
        <v>5</v>
      </c>
      <c r="C3972" t="s">
        <v>1592</v>
      </c>
      <c r="D3972" t="s">
        <v>3377</v>
      </c>
      <c r="E3972" t="s">
        <v>95</v>
      </c>
      <c r="F3972" t="s">
        <v>9</v>
      </c>
      <c r="G3972" t="s">
        <v>3568</v>
      </c>
      <c r="H3972" s="7">
        <v>725</v>
      </c>
    </row>
    <row r="3973" spans="1:8" x14ac:dyDescent="0.3">
      <c r="A3973">
        <v>19007</v>
      </c>
      <c r="B3973" t="s">
        <v>1899</v>
      </c>
      <c r="C3973" t="s">
        <v>2518</v>
      </c>
      <c r="D3973" t="s">
        <v>2519</v>
      </c>
      <c r="E3973" t="s">
        <v>95</v>
      </c>
      <c r="F3973" t="s">
        <v>381</v>
      </c>
      <c r="G3973" t="s">
        <v>2520</v>
      </c>
      <c r="H3973" s="7">
        <v>48224</v>
      </c>
    </row>
    <row r="3974" spans="1:8" x14ac:dyDescent="0.3">
      <c r="A3974">
        <v>19008</v>
      </c>
      <c r="B3974" t="s">
        <v>3694</v>
      </c>
      <c r="C3974" t="s">
        <v>3086</v>
      </c>
      <c r="D3974" t="s">
        <v>523</v>
      </c>
      <c r="E3974" t="s">
        <v>95</v>
      </c>
      <c r="F3974" t="s">
        <v>21</v>
      </c>
      <c r="G3974" t="s">
        <v>3695</v>
      </c>
      <c r="H3974" s="7">
        <v>91789</v>
      </c>
    </row>
    <row r="3975" spans="1:8" x14ac:dyDescent="0.3">
      <c r="A3975">
        <v>19009</v>
      </c>
      <c r="B3975" t="s">
        <v>5</v>
      </c>
      <c r="C3975" t="s">
        <v>2936</v>
      </c>
      <c r="D3975" t="s">
        <v>139</v>
      </c>
      <c r="E3975" t="s">
        <v>95</v>
      </c>
      <c r="F3975" t="s">
        <v>9</v>
      </c>
      <c r="G3975" t="s">
        <v>3526</v>
      </c>
      <c r="H3975" s="7">
        <v>725</v>
      </c>
    </row>
    <row r="3976" spans="1:8" x14ac:dyDescent="0.3">
      <c r="A3976">
        <v>19015</v>
      </c>
      <c r="B3976" t="s">
        <v>2787</v>
      </c>
      <c r="C3976" t="s">
        <v>3704</v>
      </c>
      <c r="D3976" t="s">
        <v>863</v>
      </c>
      <c r="E3976" t="s">
        <v>95</v>
      </c>
      <c r="F3976" t="s">
        <v>248</v>
      </c>
      <c r="G3976" t="s">
        <v>2789</v>
      </c>
      <c r="H3976" s="7">
        <v>45601</v>
      </c>
    </row>
    <row r="3977" spans="1:8" x14ac:dyDescent="0.3">
      <c r="A3977">
        <v>19017</v>
      </c>
      <c r="B3977" t="s">
        <v>5</v>
      </c>
      <c r="C3977" t="s">
        <v>3575</v>
      </c>
      <c r="D3977" t="s">
        <v>3618</v>
      </c>
      <c r="E3977" t="s">
        <v>8</v>
      </c>
      <c r="F3977" t="s">
        <v>9</v>
      </c>
      <c r="G3977" t="s">
        <v>3619</v>
      </c>
      <c r="H3977" s="7">
        <v>725</v>
      </c>
    </row>
    <row r="3978" spans="1:8" x14ac:dyDescent="0.3">
      <c r="A3978">
        <v>19019</v>
      </c>
      <c r="B3978" t="s">
        <v>5</v>
      </c>
      <c r="C3978" t="s">
        <v>1592</v>
      </c>
      <c r="D3978" t="s">
        <v>1593</v>
      </c>
      <c r="E3978" t="s">
        <v>27</v>
      </c>
      <c r="F3978" t="s">
        <v>9</v>
      </c>
      <c r="G3978" t="s">
        <v>1171</v>
      </c>
      <c r="H3978" s="7">
        <v>725</v>
      </c>
    </row>
    <row r="3979" spans="1:8" x14ac:dyDescent="0.3">
      <c r="A3979">
        <v>19020</v>
      </c>
      <c r="B3979" t="s">
        <v>1772</v>
      </c>
      <c r="C3979" t="s">
        <v>1437</v>
      </c>
      <c r="D3979" t="s">
        <v>1021</v>
      </c>
      <c r="E3979" t="s">
        <v>8</v>
      </c>
      <c r="F3979" t="s">
        <v>9</v>
      </c>
      <c r="G3979" t="s">
        <v>3803</v>
      </c>
      <c r="H3979" s="7">
        <v>784</v>
      </c>
    </row>
    <row r="3980" spans="1:8" x14ac:dyDescent="0.3">
      <c r="A3980">
        <v>19021</v>
      </c>
      <c r="B3980" t="s">
        <v>1516</v>
      </c>
      <c r="C3980" t="s">
        <v>1557</v>
      </c>
      <c r="D3980" t="s">
        <v>2911</v>
      </c>
      <c r="E3980" t="s">
        <v>8</v>
      </c>
      <c r="F3980" t="s">
        <v>308</v>
      </c>
      <c r="G3980" t="s">
        <v>2912</v>
      </c>
      <c r="H3980" s="7">
        <v>7960</v>
      </c>
    </row>
    <row r="3981" spans="1:8" x14ac:dyDescent="0.3">
      <c r="A3981">
        <v>19032</v>
      </c>
      <c r="B3981" t="s">
        <v>343</v>
      </c>
      <c r="C3981" t="s">
        <v>598</v>
      </c>
      <c r="D3981" t="s">
        <v>3247</v>
      </c>
      <c r="E3981" t="s">
        <v>8</v>
      </c>
      <c r="F3981" t="s">
        <v>140</v>
      </c>
      <c r="G3981" t="s">
        <v>3248</v>
      </c>
      <c r="H3981" s="7">
        <v>31907</v>
      </c>
    </row>
    <row r="3982" spans="1:8" x14ac:dyDescent="0.3">
      <c r="A3982">
        <v>19033</v>
      </c>
      <c r="B3982" t="s">
        <v>5</v>
      </c>
      <c r="C3982" t="s">
        <v>872</v>
      </c>
      <c r="D3982" t="s">
        <v>297</v>
      </c>
      <c r="E3982" t="s">
        <v>95</v>
      </c>
      <c r="F3982" t="s">
        <v>9</v>
      </c>
      <c r="G3982" t="s">
        <v>873</v>
      </c>
      <c r="H3982" s="7">
        <v>725</v>
      </c>
    </row>
    <row r="3983" spans="1:8" x14ac:dyDescent="0.3">
      <c r="A3983">
        <v>19038</v>
      </c>
      <c r="B3983" t="s">
        <v>5</v>
      </c>
      <c r="C3983" t="s">
        <v>1889</v>
      </c>
      <c r="D3983" t="s">
        <v>1192</v>
      </c>
      <c r="E3983" t="s">
        <v>95</v>
      </c>
      <c r="F3983" t="s">
        <v>9</v>
      </c>
      <c r="G3983" t="s">
        <v>2526</v>
      </c>
      <c r="H3983" s="7">
        <v>725</v>
      </c>
    </row>
    <row r="3984" spans="1:8" x14ac:dyDescent="0.3">
      <c r="A3984">
        <v>19039</v>
      </c>
      <c r="B3984" t="s">
        <v>626</v>
      </c>
      <c r="C3984" t="s">
        <v>3508</v>
      </c>
      <c r="D3984" t="s">
        <v>3903</v>
      </c>
      <c r="E3984" t="s">
        <v>8</v>
      </c>
      <c r="F3984" t="s">
        <v>55</v>
      </c>
      <c r="G3984" t="s">
        <v>5548</v>
      </c>
      <c r="H3984" s="7">
        <v>60120</v>
      </c>
    </row>
    <row r="3985" spans="1:8" x14ac:dyDescent="0.3">
      <c r="A3985">
        <v>19041</v>
      </c>
      <c r="B3985" t="s">
        <v>5</v>
      </c>
      <c r="C3985" t="s">
        <v>4589</v>
      </c>
      <c r="D3985" t="s">
        <v>1154</v>
      </c>
      <c r="E3985" t="s">
        <v>95</v>
      </c>
      <c r="F3985" t="s">
        <v>9</v>
      </c>
      <c r="G3985" t="s">
        <v>4521</v>
      </c>
      <c r="H3985" s="7">
        <v>725</v>
      </c>
    </row>
    <row r="3986" spans="1:8" x14ac:dyDescent="0.3">
      <c r="A3986">
        <v>19043</v>
      </c>
      <c r="B3986" t="s">
        <v>5</v>
      </c>
      <c r="C3986" t="s">
        <v>1457</v>
      </c>
      <c r="D3986" t="s">
        <v>1191</v>
      </c>
      <c r="E3986" t="s">
        <v>8</v>
      </c>
      <c r="F3986" t="s">
        <v>9</v>
      </c>
      <c r="G3986" t="s">
        <v>1458</v>
      </c>
      <c r="H3986" s="7">
        <v>725</v>
      </c>
    </row>
    <row r="3987" spans="1:8" x14ac:dyDescent="0.3">
      <c r="A3987">
        <v>19044</v>
      </c>
      <c r="B3987" t="s">
        <v>508</v>
      </c>
      <c r="C3987" t="s">
        <v>1237</v>
      </c>
      <c r="D3987" t="s">
        <v>807</v>
      </c>
      <c r="E3987" t="s">
        <v>8</v>
      </c>
      <c r="F3987" t="s">
        <v>114</v>
      </c>
      <c r="G3987" t="s">
        <v>1196</v>
      </c>
      <c r="H3987" s="7">
        <v>75217</v>
      </c>
    </row>
    <row r="3988" spans="1:8" x14ac:dyDescent="0.3">
      <c r="A3988">
        <v>19045</v>
      </c>
      <c r="B3988" t="s">
        <v>2249</v>
      </c>
      <c r="C3988" t="s">
        <v>2067</v>
      </c>
      <c r="D3988" t="s">
        <v>1204</v>
      </c>
      <c r="E3988" t="s">
        <v>27</v>
      </c>
      <c r="F3988" t="s">
        <v>21</v>
      </c>
      <c r="G3988" t="s">
        <v>2265</v>
      </c>
      <c r="H3988" s="7">
        <v>91730</v>
      </c>
    </row>
    <row r="3989" spans="1:8" x14ac:dyDescent="0.3">
      <c r="A3989">
        <v>19046</v>
      </c>
      <c r="B3989" t="s">
        <v>5</v>
      </c>
      <c r="C3989" t="s">
        <v>3819</v>
      </c>
      <c r="D3989" t="s">
        <v>3820</v>
      </c>
      <c r="E3989" t="s">
        <v>95</v>
      </c>
      <c r="F3989" t="s">
        <v>9</v>
      </c>
      <c r="G3989" t="s">
        <v>3808</v>
      </c>
      <c r="H3989" s="7">
        <v>725</v>
      </c>
    </row>
    <row r="3990" spans="1:8" x14ac:dyDescent="0.3">
      <c r="A3990">
        <v>19047</v>
      </c>
      <c r="B3990" t="s">
        <v>1664</v>
      </c>
      <c r="C3990" t="s">
        <v>1665</v>
      </c>
      <c r="D3990" t="s">
        <v>1666</v>
      </c>
      <c r="E3990" t="s">
        <v>27</v>
      </c>
      <c r="F3990" t="s">
        <v>172</v>
      </c>
      <c r="G3990" t="s">
        <v>1667</v>
      </c>
      <c r="H3990" s="7">
        <v>63031</v>
      </c>
    </row>
    <row r="3991" spans="1:8" x14ac:dyDescent="0.3">
      <c r="A3991">
        <v>19050</v>
      </c>
      <c r="B3991" t="s">
        <v>368</v>
      </c>
      <c r="C3991" t="s">
        <v>1572</v>
      </c>
      <c r="D3991" t="s">
        <v>1812</v>
      </c>
      <c r="E3991" t="s">
        <v>27</v>
      </c>
      <c r="F3991" t="s">
        <v>88</v>
      </c>
      <c r="G3991" t="s">
        <v>2104</v>
      </c>
      <c r="H3991" s="7">
        <v>10021</v>
      </c>
    </row>
    <row r="3992" spans="1:8" x14ac:dyDescent="0.3">
      <c r="A3992">
        <v>19060</v>
      </c>
      <c r="B3992" t="s">
        <v>723</v>
      </c>
      <c r="C3992" t="s">
        <v>199</v>
      </c>
      <c r="D3992" t="s">
        <v>4196</v>
      </c>
      <c r="E3992" t="s">
        <v>8</v>
      </c>
      <c r="F3992" t="s">
        <v>729</v>
      </c>
      <c r="G3992" t="s">
        <v>399</v>
      </c>
      <c r="H3992" s="7">
        <v>80012</v>
      </c>
    </row>
    <row r="3993" spans="1:8" x14ac:dyDescent="0.3">
      <c r="A3993">
        <v>19070</v>
      </c>
      <c r="B3993" t="s">
        <v>1227</v>
      </c>
      <c r="C3993" t="s">
        <v>2232</v>
      </c>
      <c r="D3993" t="s">
        <v>2961</v>
      </c>
      <c r="E3993" t="s">
        <v>8</v>
      </c>
      <c r="F3993" t="s">
        <v>381</v>
      </c>
      <c r="G3993" t="s">
        <v>5118</v>
      </c>
      <c r="H3993" s="7">
        <v>48066</v>
      </c>
    </row>
    <row r="3994" spans="1:8" x14ac:dyDescent="0.3">
      <c r="A3994">
        <v>19072</v>
      </c>
      <c r="B3994" t="s">
        <v>5</v>
      </c>
      <c r="C3994" t="s">
        <v>5101</v>
      </c>
      <c r="D3994" t="s">
        <v>2606</v>
      </c>
      <c r="E3994" t="s">
        <v>27</v>
      </c>
      <c r="F3994" t="s">
        <v>9</v>
      </c>
      <c r="G3994" t="s">
        <v>4067</v>
      </c>
      <c r="H3994" s="7">
        <v>725</v>
      </c>
    </row>
    <row r="3995" spans="1:8" x14ac:dyDescent="0.3">
      <c r="A3995">
        <v>19078</v>
      </c>
      <c r="B3995" t="s">
        <v>163</v>
      </c>
      <c r="C3995" t="s">
        <v>1810</v>
      </c>
      <c r="D3995" t="s">
        <v>1379</v>
      </c>
      <c r="E3995" t="s">
        <v>8</v>
      </c>
      <c r="F3995" t="s">
        <v>55</v>
      </c>
      <c r="G3995" t="s">
        <v>1811</v>
      </c>
      <c r="H3995" s="7">
        <v>60441</v>
      </c>
    </row>
    <row r="3996" spans="1:8" x14ac:dyDescent="0.3">
      <c r="A3996">
        <v>19079</v>
      </c>
      <c r="B3996" t="s">
        <v>5</v>
      </c>
      <c r="C3996" t="s">
        <v>1991</v>
      </c>
      <c r="D3996" t="s">
        <v>1992</v>
      </c>
      <c r="E3996" t="s">
        <v>27</v>
      </c>
      <c r="F3996" t="s">
        <v>9</v>
      </c>
      <c r="G3996" t="s">
        <v>1993</v>
      </c>
      <c r="H3996" s="7">
        <v>725</v>
      </c>
    </row>
    <row r="3997" spans="1:8" x14ac:dyDescent="0.3">
      <c r="A3997">
        <v>19080</v>
      </c>
      <c r="B3997" t="s">
        <v>495</v>
      </c>
      <c r="C3997" t="s">
        <v>999</v>
      </c>
      <c r="D3997" t="s">
        <v>306</v>
      </c>
      <c r="E3997" t="s">
        <v>27</v>
      </c>
      <c r="F3997" t="s">
        <v>88</v>
      </c>
      <c r="G3997" t="s">
        <v>2248</v>
      </c>
      <c r="H3997" s="7">
        <v>11237</v>
      </c>
    </row>
    <row r="3998" spans="1:8" x14ac:dyDescent="0.3">
      <c r="A3998">
        <v>19081</v>
      </c>
      <c r="B3998" t="s">
        <v>5</v>
      </c>
      <c r="C3998" t="s">
        <v>957</v>
      </c>
      <c r="D3998" t="s">
        <v>1012</v>
      </c>
      <c r="E3998" t="s">
        <v>27</v>
      </c>
      <c r="F3998" t="s">
        <v>9</v>
      </c>
      <c r="G3998" t="s">
        <v>2952</v>
      </c>
      <c r="H3998" s="7">
        <v>725</v>
      </c>
    </row>
    <row r="3999" spans="1:8" x14ac:dyDescent="0.3">
      <c r="A3999">
        <v>19092</v>
      </c>
      <c r="B3999" t="s">
        <v>2886</v>
      </c>
      <c r="C3999" t="s">
        <v>2985</v>
      </c>
      <c r="D3999" t="s">
        <v>1164</v>
      </c>
      <c r="E3999" t="s">
        <v>8</v>
      </c>
      <c r="F3999" t="s">
        <v>21</v>
      </c>
      <c r="G3999" t="s">
        <v>2986</v>
      </c>
      <c r="H3999" s="7">
        <v>92057</v>
      </c>
    </row>
    <row r="4000" spans="1:8" x14ac:dyDescent="0.3">
      <c r="A4000">
        <v>19093</v>
      </c>
      <c r="B4000" t="s">
        <v>5</v>
      </c>
      <c r="C4000" t="s">
        <v>1703</v>
      </c>
      <c r="D4000" t="s">
        <v>1704</v>
      </c>
      <c r="E4000" t="s">
        <v>95</v>
      </c>
      <c r="F4000" t="s">
        <v>9</v>
      </c>
      <c r="G4000" t="s">
        <v>705</v>
      </c>
      <c r="H4000" s="7">
        <v>725</v>
      </c>
    </row>
    <row r="4001" spans="1:8" x14ac:dyDescent="0.3">
      <c r="A4001">
        <v>19094</v>
      </c>
      <c r="B4001" t="s">
        <v>2181</v>
      </c>
      <c r="C4001" t="s">
        <v>2182</v>
      </c>
      <c r="D4001" t="s">
        <v>2183</v>
      </c>
      <c r="E4001" t="s">
        <v>27</v>
      </c>
      <c r="F4001" t="s">
        <v>986</v>
      </c>
      <c r="G4001" t="s">
        <v>2184</v>
      </c>
      <c r="H4001" s="7">
        <v>2860</v>
      </c>
    </row>
    <row r="4002" spans="1:8" x14ac:dyDescent="0.3">
      <c r="A4002">
        <v>19096</v>
      </c>
      <c r="B4002" t="s">
        <v>142</v>
      </c>
      <c r="C4002" t="s">
        <v>1148</v>
      </c>
      <c r="D4002" t="s">
        <v>559</v>
      </c>
      <c r="E4002" t="s">
        <v>95</v>
      </c>
      <c r="F4002" t="s">
        <v>88</v>
      </c>
      <c r="G4002" t="s">
        <v>2586</v>
      </c>
      <c r="H4002" s="7">
        <v>10473</v>
      </c>
    </row>
    <row r="4003" spans="1:8" x14ac:dyDescent="0.3">
      <c r="A4003">
        <v>19103</v>
      </c>
      <c r="B4003" t="s">
        <v>5</v>
      </c>
      <c r="C4003" t="s">
        <v>2413</v>
      </c>
      <c r="D4003" t="s">
        <v>2883</v>
      </c>
      <c r="E4003" t="s">
        <v>27</v>
      </c>
      <c r="F4003" t="s">
        <v>9</v>
      </c>
      <c r="G4003" t="s">
        <v>3564</v>
      </c>
      <c r="H4003" s="7">
        <v>725</v>
      </c>
    </row>
    <row r="4004" spans="1:8" x14ac:dyDescent="0.3">
      <c r="A4004">
        <v>19109</v>
      </c>
      <c r="B4004" t="s">
        <v>2134</v>
      </c>
      <c r="C4004" t="s">
        <v>2135</v>
      </c>
      <c r="D4004" t="s">
        <v>1931</v>
      </c>
      <c r="E4004" t="s">
        <v>8</v>
      </c>
      <c r="F4004" t="s">
        <v>88</v>
      </c>
      <c r="G4004" t="s">
        <v>2136</v>
      </c>
      <c r="H4004" s="7">
        <v>14150</v>
      </c>
    </row>
    <row r="4005" spans="1:8" x14ac:dyDescent="0.3">
      <c r="A4005">
        <v>19110</v>
      </c>
      <c r="B4005" t="s">
        <v>5</v>
      </c>
      <c r="C4005" t="s">
        <v>2633</v>
      </c>
      <c r="D4005" t="s">
        <v>1479</v>
      </c>
      <c r="E4005" t="s">
        <v>8</v>
      </c>
      <c r="F4005" t="s">
        <v>9</v>
      </c>
      <c r="G4005" t="s">
        <v>3804</v>
      </c>
      <c r="H4005" s="7">
        <v>725</v>
      </c>
    </row>
    <row r="4006" spans="1:8" x14ac:dyDescent="0.3">
      <c r="A4006">
        <v>19115</v>
      </c>
      <c r="B4006" t="s">
        <v>457</v>
      </c>
      <c r="C4006" t="s">
        <v>2479</v>
      </c>
      <c r="D4006" t="s">
        <v>1679</v>
      </c>
      <c r="E4006" t="s">
        <v>27</v>
      </c>
      <c r="F4006" t="s">
        <v>21</v>
      </c>
      <c r="G4006" t="s">
        <v>3392</v>
      </c>
      <c r="H4006" s="7">
        <v>91402</v>
      </c>
    </row>
    <row r="4007" spans="1:8" x14ac:dyDescent="0.3">
      <c r="A4007">
        <v>19119</v>
      </c>
      <c r="B4007" t="s">
        <v>5</v>
      </c>
      <c r="C4007" t="s">
        <v>1338</v>
      </c>
      <c r="D4007" t="s">
        <v>985</v>
      </c>
      <c r="E4007" t="s">
        <v>8</v>
      </c>
      <c r="F4007" t="s">
        <v>9</v>
      </c>
      <c r="G4007" t="s">
        <v>1339</v>
      </c>
      <c r="H4007" s="7">
        <v>725</v>
      </c>
    </row>
    <row r="4008" spans="1:8" x14ac:dyDescent="0.3">
      <c r="A4008">
        <v>19127</v>
      </c>
      <c r="B4008" t="s">
        <v>723</v>
      </c>
      <c r="C4008" t="s">
        <v>1509</v>
      </c>
      <c r="D4008" t="s">
        <v>360</v>
      </c>
      <c r="E4008" t="s">
        <v>95</v>
      </c>
      <c r="F4008" t="s">
        <v>729</v>
      </c>
      <c r="G4008" t="s">
        <v>3705</v>
      </c>
      <c r="H4008" s="7">
        <v>80015</v>
      </c>
    </row>
    <row r="4009" spans="1:8" x14ac:dyDescent="0.3">
      <c r="A4009">
        <v>19134</v>
      </c>
      <c r="B4009" t="s">
        <v>2983</v>
      </c>
      <c r="C4009" t="s">
        <v>766</v>
      </c>
      <c r="D4009" t="s">
        <v>1191</v>
      </c>
      <c r="E4009" t="s">
        <v>8</v>
      </c>
      <c r="F4009" t="s">
        <v>55</v>
      </c>
      <c r="G4009" t="s">
        <v>2984</v>
      </c>
      <c r="H4009" s="7">
        <v>61554</v>
      </c>
    </row>
    <row r="4010" spans="1:8" x14ac:dyDescent="0.3">
      <c r="A4010">
        <v>19135</v>
      </c>
      <c r="B4010" t="s">
        <v>5</v>
      </c>
      <c r="C4010" t="s">
        <v>3359</v>
      </c>
      <c r="D4010" t="s">
        <v>1362</v>
      </c>
      <c r="E4010" t="s">
        <v>8</v>
      </c>
      <c r="F4010" t="s">
        <v>9</v>
      </c>
      <c r="G4010" t="s">
        <v>3360</v>
      </c>
      <c r="H4010" s="7">
        <v>725</v>
      </c>
    </row>
    <row r="4011" spans="1:8" x14ac:dyDescent="0.3">
      <c r="A4011">
        <v>19138</v>
      </c>
      <c r="B4011" t="s">
        <v>5</v>
      </c>
      <c r="C4011" t="s">
        <v>2244</v>
      </c>
      <c r="D4011" t="s">
        <v>3543</v>
      </c>
      <c r="E4011" t="s">
        <v>8</v>
      </c>
      <c r="F4011" t="s">
        <v>9</v>
      </c>
      <c r="G4011" t="s">
        <v>5093</v>
      </c>
      <c r="H4011" s="7">
        <v>725</v>
      </c>
    </row>
    <row r="4012" spans="1:8" x14ac:dyDescent="0.3">
      <c r="A4012">
        <v>19139</v>
      </c>
      <c r="B4012" t="s">
        <v>239</v>
      </c>
      <c r="C4012" t="s">
        <v>3973</v>
      </c>
      <c r="D4012" t="s">
        <v>2183</v>
      </c>
      <c r="E4012" t="s">
        <v>27</v>
      </c>
      <c r="F4012" t="s">
        <v>242</v>
      </c>
      <c r="G4012" t="s">
        <v>2530</v>
      </c>
      <c r="H4012" s="7">
        <v>21218</v>
      </c>
    </row>
    <row r="4013" spans="1:8" x14ac:dyDescent="0.3">
      <c r="A4013">
        <v>19158</v>
      </c>
      <c r="B4013" t="s">
        <v>5</v>
      </c>
      <c r="C4013" t="s">
        <v>3265</v>
      </c>
      <c r="D4013" t="s">
        <v>3266</v>
      </c>
      <c r="E4013" t="s">
        <v>27</v>
      </c>
      <c r="F4013" t="s">
        <v>9</v>
      </c>
      <c r="G4013" t="s">
        <v>3267</v>
      </c>
      <c r="H4013" s="7">
        <v>725</v>
      </c>
    </row>
    <row r="4014" spans="1:8" x14ac:dyDescent="0.3">
      <c r="A4014">
        <v>19160</v>
      </c>
      <c r="B4014" t="s">
        <v>3739</v>
      </c>
      <c r="C4014" t="s">
        <v>953</v>
      </c>
      <c r="D4014" t="s">
        <v>1870</v>
      </c>
      <c r="E4014" t="s">
        <v>27</v>
      </c>
      <c r="F4014" t="s">
        <v>77</v>
      </c>
      <c r="G4014" t="s">
        <v>3251</v>
      </c>
      <c r="H4014" s="7">
        <v>17701</v>
      </c>
    </row>
    <row r="4015" spans="1:8" x14ac:dyDescent="0.3">
      <c r="A4015">
        <v>19164</v>
      </c>
      <c r="B4015" t="s">
        <v>5</v>
      </c>
      <c r="C4015" t="s">
        <v>738</v>
      </c>
      <c r="D4015" t="s">
        <v>4323</v>
      </c>
      <c r="E4015" t="s">
        <v>8</v>
      </c>
      <c r="F4015" t="s">
        <v>9</v>
      </c>
      <c r="G4015" t="s">
        <v>2914</v>
      </c>
      <c r="H4015" s="7">
        <v>725</v>
      </c>
    </row>
    <row r="4016" spans="1:8" x14ac:dyDescent="0.3">
      <c r="A4016">
        <v>19168</v>
      </c>
      <c r="B4016" t="s">
        <v>5</v>
      </c>
      <c r="C4016" t="s">
        <v>2235</v>
      </c>
      <c r="D4016" t="s">
        <v>2234</v>
      </c>
      <c r="E4016" t="s">
        <v>8</v>
      </c>
      <c r="F4016" t="s">
        <v>9</v>
      </c>
      <c r="G4016" t="s">
        <v>5351</v>
      </c>
      <c r="H4016" s="7">
        <v>725</v>
      </c>
    </row>
    <row r="4017" spans="1:8" x14ac:dyDescent="0.3">
      <c r="A4017">
        <v>19178</v>
      </c>
      <c r="B4017" t="s">
        <v>5</v>
      </c>
      <c r="C4017" t="s">
        <v>362</v>
      </c>
      <c r="D4017" t="s">
        <v>1673</v>
      </c>
      <c r="E4017" t="s">
        <v>27</v>
      </c>
      <c r="F4017" t="s">
        <v>9</v>
      </c>
      <c r="G4017" t="s">
        <v>3729</v>
      </c>
      <c r="H4017" s="7">
        <v>725</v>
      </c>
    </row>
    <row r="4018" spans="1:8" x14ac:dyDescent="0.3">
      <c r="A4018">
        <v>19180</v>
      </c>
      <c r="B4018" t="s">
        <v>3406</v>
      </c>
      <c r="C4018" t="s">
        <v>1900</v>
      </c>
      <c r="D4018" t="s">
        <v>1280</v>
      </c>
      <c r="E4018" t="s">
        <v>8</v>
      </c>
      <c r="F4018" t="s">
        <v>21</v>
      </c>
      <c r="G4018" t="s">
        <v>1209</v>
      </c>
      <c r="H4018" s="7">
        <v>93638</v>
      </c>
    </row>
    <row r="4019" spans="1:8" x14ac:dyDescent="0.3">
      <c r="A4019">
        <v>19181</v>
      </c>
      <c r="B4019" t="s">
        <v>5</v>
      </c>
      <c r="C4019" t="s">
        <v>5269</v>
      </c>
      <c r="D4019" t="s">
        <v>260</v>
      </c>
      <c r="E4019" t="s">
        <v>8</v>
      </c>
      <c r="F4019" t="s">
        <v>9</v>
      </c>
      <c r="G4019" t="s">
        <v>4042</v>
      </c>
      <c r="H4019" s="7">
        <v>725</v>
      </c>
    </row>
    <row r="4020" spans="1:8" x14ac:dyDescent="0.3">
      <c r="A4020">
        <v>19186</v>
      </c>
      <c r="B4020" t="s">
        <v>840</v>
      </c>
      <c r="C4020" t="s">
        <v>953</v>
      </c>
      <c r="D4020" t="s">
        <v>2220</v>
      </c>
      <c r="E4020" t="s">
        <v>8</v>
      </c>
      <c r="F4020" t="s">
        <v>21</v>
      </c>
      <c r="G4020" t="s">
        <v>1250</v>
      </c>
      <c r="H4020" s="7">
        <v>94533</v>
      </c>
    </row>
    <row r="4021" spans="1:8" x14ac:dyDescent="0.3">
      <c r="A4021">
        <v>19196</v>
      </c>
      <c r="B4021" t="s">
        <v>5</v>
      </c>
      <c r="C4021" t="s">
        <v>4169</v>
      </c>
      <c r="D4021" t="s">
        <v>4010</v>
      </c>
      <c r="E4021" t="s">
        <v>8</v>
      </c>
      <c r="F4021" t="s">
        <v>9</v>
      </c>
      <c r="G4021" t="s">
        <v>4449</v>
      </c>
      <c r="H4021" s="7">
        <v>725</v>
      </c>
    </row>
    <row r="4022" spans="1:8" x14ac:dyDescent="0.3">
      <c r="A4022">
        <v>19199</v>
      </c>
      <c r="B4022" t="s">
        <v>626</v>
      </c>
      <c r="C4022" t="s">
        <v>1317</v>
      </c>
      <c r="D4022" t="s">
        <v>1819</v>
      </c>
      <c r="E4022" t="s">
        <v>27</v>
      </c>
      <c r="F4022" t="s">
        <v>55</v>
      </c>
      <c r="G4022" t="s">
        <v>4680</v>
      </c>
      <c r="H4022" s="7">
        <v>60120</v>
      </c>
    </row>
    <row r="4023" spans="1:8" x14ac:dyDescent="0.3">
      <c r="A4023">
        <v>19200</v>
      </c>
      <c r="B4023" t="s">
        <v>1859</v>
      </c>
      <c r="C4023" t="s">
        <v>3113</v>
      </c>
      <c r="D4023" t="s">
        <v>2241</v>
      </c>
      <c r="E4023" t="s">
        <v>27</v>
      </c>
      <c r="F4023" t="s">
        <v>114</v>
      </c>
      <c r="G4023" t="s">
        <v>4947</v>
      </c>
      <c r="H4023" s="7">
        <v>79109</v>
      </c>
    </row>
    <row r="4024" spans="1:8" x14ac:dyDescent="0.3">
      <c r="A4024">
        <v>19204</v>
      </c>
      <c r="B4024" t="s">
        <v>1793</v>
      </c>
      <c r="C4024" t="s">
        <v>4169</v>
      </c>
      <c r="D4024" t="s">
        <v>2159</v>
      </c>
      <c r="E4024" t="s">
        <v>8</v>
      </c>
      <c r="F4024" t="s">
        <v>21</v>
      </c>
      <c r="G4024" t="s">
        <v>2446</v>
      </c>
      <c r="H4024" s="7">
        <v>94110</v>
      </c>
    </row>
    <row r="4025" spans="1:8" x14ac:dyDescent="0.3">
      <c r="A4025">
        <v>19207</v>
      </c>
      <c r="B4025" t="s">
        <v>665</v>
      </c>
      <c r="C4025" t="s">
        <v>2608</v>
      </c>
      <c r="D4025" t="s">
        <v>2093</v>
      </c>
      <c r="E4025" t="s">
        <v>27</v>
      </c>
      <c r="F4025" t="s">
        <v>283</v>
      </c>
      <c r="G4025" t="s">
        <v>2647</v>
      </c>
      <c r="H4025" s="7">
        <v>23322</v>
      </c>
    </row>
    <row r="4026" spans="1:8" x14ac:dyDescent="0.3">
      <c r="A4026">
        <v>19209</v>
      </c>
      <c r="B4026" t="s">
        <v>5</v>
      </c>
      <c r="C4026" t="s">
        <v>3357</v>
      </c>
      <c r="D4026" t="s">
        <v>2410</v>
      </c>
      <c r="E4026" t="s">
        <v>8</v>
      </c>
      <c r="F4026" t="s">
        <v>9</v>
      </c>
      <c r="G4026" t="s">
        <v>3358</v>
      </c>
      <c r="H4026" s="7">
        <v>725</v>
      </c>
    </row>
    <row r="4027" spans="1:8" x14ac:dyDescent="0.3">
      <c r="A4027">
        <v>19210</v>
      </c>
      <c r="B4027" t="s">
        <v>495</v>
      </c>
      <c r="C4027" t="s">
        <v>1807</v>
      </c>
      <c r="D4027" t="s">
        <v>1808</v>
      </c>
      <c r="E4027" t="s">
        <v>8</v>
      </c>
      <c r="F4027" t="s">
        <v>88</v>
      </c>
      <c r="G4027" t="s">
        <v>1809</v>
      </c>
      <c r="H4027" s="7">
        <v>11220</v>
      </c>
    </row>
    <row r="4028" spans="1:8" x14ac:dyDescent="0.3">
      <c r="A4028">
        <v>19211</v>
      </c>
      <c r="B4028" t="s">
        <v>2292</v>
      </c>
      <c r="C4028" t="s">
        <v>938</v>
      </c>
      <c r="D4028" t="s">
        <v>1544</v>
      </c>
      <c r="E4028" t="s">
        <v>8</v>
      </c>
      <c r="F4028" t="s">
        <v>21</v>
      </c>
      <c r="G4028" t="s">
        <v>1059</v>
      </c>
      <c r="H4028" s="7">
        <v>93003</v>
      </c>
    </row>
    <row r="4029" spans="1:8" x14ac:dyDescent="0.3">
      <c r="A4029">
        <v>19212</v>
      </c>
      <c r="B4029" t="s">
        <v>5</v>
      </c>
      <c r="C4029" t="s">
        <v>2572</v>
      </c>
      <c r="D4029" t="s">
        <v>3211</v>
      </c>
      <c r="E4029" t="s">
        <v>8</v>
      </c>
      <c r="F4029" t="s">
        <v>9</v>
      </c>
      <c r="G4029" t="s">
        <v>3782</v>
      </c>
      <c r="H4029" s="7">
        <v>725</v>
      </c>
    </row>
    <row r="4030" spans="1:8" x14ac:dyDescent="0.3">
      <c r="A4030">
        <v>19213</v>
      </c>
      <c r="B4030" t="s">
        <v>254</v>
      </c>
      <c r="C4030" t="s">
        <v>1805</v>
      </c>
      <c r="D4030" t="s">
        <v>247</v>
      </c>
      <c r="E4030" t="s">
        <v>8</v>
      </c>
      <c r="F4030" t="s">
        <v>55</v>
      </c>
      <c r="G4030" t="s">
        <v>1806</v>
      </c>
      <c r="H4030" s="7">
        <v>60629</v>
      </c>
    </row>
    <row r="4031" spans="1:8" x14ac:dyDescent="0.3">
      <c r="A4031">
        <v>19214</v>
      </c>
      <c r="B4031" t="s">
        <v>2980</v>
      </c>
      <c r="C4031" t="s">
        <v>2477</v>
      </c>
      <c r="D4031" t="s">
        <v>2981</v>
      </c>
      <c r="E4031" t="s">
        <v>8</v>
      </c>
      <c r="F4031" t="s">
        <v>1003</v>
      </c>
      <c r="G4031" t="s">
        <v>2982</v>
      </c>
      <c r="H4031" s="7">
        <v>72032</v>
      </c>
    </row>
    <row r="4032" spans="1:8" x14ac:dyDescent="0.3">
      <c r="A4032">
        <v>19215</v>
      </c>
      <c r="B4032" t="s">
        <v>1116</v>
      </c>
      <c r="C4032" t="s">
        <v>1930</v>
      </c>
      <c r="D4032" t="s">
        <v>1931</v>
      </c>
      <c r="E4032" t="s">
        <v>8</v>
      </c>
      <c r="F4032" t="s">
        <v>1118</v>
      </c>
      <c r="G4032" t="s">
        <v>1932</v>
      </c>
      <c r="H4032" s="7">
        <v>55112</v>
      </c>
    </row>
    <row r="4033" spans="1:8" x14ac:dyDescent="0.3">
      <c r="A4033">
        <v>19216</v>
      </c>
      <c r="B4033" t="s">
        <v>5</v>
      </c>
      <c r="C4033" t="s">
        <v>3530</v>
      </c>
      <c r="D4033" t="s">
        <v>2634</v>
      </c>
      <c r="E4033" t="s">
        <v>8</v>
      </c>
      <c r="F4033" t="s">
        <v>9</v>
      </c>
      <c r="G4033" t="s">
        <v>3805</v>
      </c>
      <c r="H4033" s="7">
        <v>725</v>
      </c>
    </row>
    <row r="4034" spans="1:8" x14ac:dyDescent="0.3">
      <c r="A4034">
        <v>19217</v>
      </c>
      <c r="B4034" t="s">
        <v>474</v>
      </c>
      <c r="C4034" t="s">
        <v>1933</v>
      </c>
      <c r="D4034" t="s">
        <v>1934</v>
      </c>
      <c r="E4034" t="s">
        <v>8</v>
      </c>
      <c r="F4034" t="s">
        <v>140</v>
      </c>
      <c r="G4034" t="s">
        <v>1935</v>
      </c>
      <c r="H4034" s="7">
        <v>30907</v>
      </c>
    </row>
    <row r="4035" spans="1:8" x14ac:dyDescent="0.3">
      <c r="A4035">
        <v>19218</v>
      </c>
      <c r="B4035" t="s">
        <v>5</v>
      </c>
      <c r="C4035" t="s">
        <v>1244</v>
      </c>
      <c r="D4035" t="s">
        <v>1573</v>
      </c>
      <c r="E4035" t="s">
        <v>8</v>
      </c>
      <c r="F4035" t="s">
        <v>9</v>
      </c>
      <c r="G4035" t="s">
        <v>3327</v>
      </c>
      <c r="H4035" s="7">
        <v>725</v>
      </c>
    </row>
    <row r="4036" spans="1:8" x14ac:dyDescent="0.3">
      <c r="A4036">
        <v>19220</v>
      </c>
      <c r="B4036" t="s">
        <v>984</v>
      </c>
      <c r="C4036" t="s">
        <v>2582</v>
      </c>
      <c r="D4036" t="s">
        <v>5431</v>
      </c>
      <c r="E4036" t="s">
        <v>8</v>
      </c>
      <c r="F4036" t="s">
        <v>986</v>
      </c>
      <c r="G4036" t="s">
        <v>987</v>
      </c>
      <c r="H4036" s="7">
        <v>2895</v>
      </c>
    </row>
    <row r="4037" spans="1:8" x14ac:dyDescent="0.3">
      <c r="A4037">
        <v>19222</v>
      </c>
      <c r="B4037" t="s">
        <v>368</v>
      </c>
      <c r="C4037" t="s">
        <v>3490</v>
      </c>
      <c r="D4037" t="s">
        <v>87</v>
      </c>
      <c r="E4037" t="s">
        <v>8</v>
      </c>
      <c r="F4037" t="s">
        <v>88</v>
      </c>
      <c r="G4037" t="s">
        <v>5445</v>
      </c>
      <c r="H4037" s="7">
        <v>10024</v>
      </c>
    </row>
    <row r="4038" spans="1:8" x14ac:dyDescent="0.3">
      <c r="A4038">
        <v>19232</v>
      </c>
      <c r="B4038" t="s">
        <v>2478</v>
      </c>
      <c r="C4038" t="s">
        <v>1060</v>
      </c>
      <c r="D4038" t="s">
        <v>3994</v>
      </c>
      <c r="E4038" t="s">
        <v>27</v>
      </c>
      <c r="F4038" t="s">
        <v>242</v>
      </c>
      <c r="G4038" t="s">
        <v>4425</v>
      </c>
      <c r="H4038" s="7">
        <v>21228</v>
      </c>
    </row>
    <row r="4039" spans="1:8" x14ac:dyDescent="0.3">
      <c r="A4039">
        <v>19244</v>
      </c>
      <c r="B4039" t="s">
        <v>5</v>
      </c>
      <c r="C4039" t="s">
        <v>3093</v>
      </c>
      <c r="D4039" t="s">
        <v>2698</v>
      </c>
      <c r="E4039" t="s">
        <v>27</v>
      </c>
      <c r="F4039" t="s">
        <v>9</v>
      </c>
      <c r="G4039" t="s">
        <v>4223</v>
      </c>
      <c r="H4039" s="7">
        <v>725</v>
      </c>
    </row>
    <row r="4040" spans="1:8" x14ac:dyDescent="0.3">
      <c r="A4040">
        <v>19246</v>
      </c>
      <c r="B4040" t="s">
        <v>508</v>
      </c>
      <c r="C4040" t="s">
        <v>1814</v>
      </c>
      <c r="D4040" t="s">
        <v>928</v>
      </c>
      <c r="E4040" t="s">
        <v>8</v>
      </c>
      <c r="F4040" t="s">
        <v>114</v>
      </c>
      <c r="G4040" t="s">
        <v>2784</v>
      </c>
      <c r="H4040" s="7">
        <v>75287</v>
      </c>
    </row>
    <row r="4041" spans="1:8" x14ac:dyDescent="0.3">
      <c r="A4041">
        <v>19247</v>
      </c>
      <c r="B4041" t="s">
        <v>401</v>
      </c>
      <c r="C4041" t="s">
        <v>2179</v>
      </c>
      <c r="D4041" t="s">
        <v>2180</v>
      </c>
      <c r="E4041" t="s">
        <v>27</v>
      </c>
      <c r="F4041" t="s">
        <v>341</v>
      </c>
      <c r="G4041" t="s">
        <v>404</v>
      </c>
      <c r="H4041" s="7">
        <v>27834</v>
      </c>
    </row>
    <row r="4042" spans="1:8" x14ac:dyDescent="0.3">
      <c r="A4042">
        <v>19257</v>
      </c>
      <c r="B4042" t="s">
        <v>5</v>
      </c>
      <c r="C4042" t="s">
        <v>1048</v>
      </c>
      <c r="D4042" t="s">
        <v>1021</v>
      </c>
      <c r="E4042" t="s">
        <v>95</v>
      </c>
      <c r="F4042" t="s">
        <v>9</v>
      </c>
      <c r="G4042" t="s">
        <v>1049</v>
      </c>
      <c r="H4042" s="7">
        <v>725</v>
      </c>
    </row>
    <row r="4043" spans="1:8" x14ac:dyDescent="0.3">
      <c r="A4043">
        <v>19260</v>
      </c>
      <c r="B4043" t="s">
        <v>5</v>
      </c>
      <c r="C4043" t="s">
        <v>5352</v>
      </c>
      <c r="D4043" t="s">
        <v>365</v>
      </c>
      <c r="E4043" t="s">
        <v>8</v>
      </c>
      <c r="F4043" t="s">
        <v>9</v>
      </c>
      <c r="G4043" t="s">
        <v>4015</v>
      </c>
      <c r="H4043" s="7">
        <v>725</v>
      </c>
    </row>
    <row r="4044" spans="1:8" x14ac:dyDescent="0.3">
      <c r="A4044">
        <v>19283</v>
      </c>
      <c r="B4044" t="s">
        <v>5</v>
      </c>
      <c r="C4044" t="s">
        <v>2049</v>
      </c>
      <c r="D4044" t="s">
        <v>2255</v>
      </c>
      <c r="E4044" t="s">
        <v>8</v>
      </c>
      <c r="F4044" t="s">
        <v>9</v>
      </c>
      <c r="G4044" t="s">
        <v>4191</v>
      </c>
      <c r="H4044" s="7">
        <v>725</v>
      </c>
    </row>
    <row r="4045" spans="1:8" x14ac:dyDescent="0.3">
      <c r="A4045">
        <v>19285</v>
      </c>
      <c r="B4045" t="s">
        <v>5</v>
      </c>
      <c r="C4045" t="s">
        <v>2898</v>
      </c>
      <c r="D4045" t="s">
        <v>360</v>
      </c>
      <c r="E4045" t="s">
        <v>8</v>
      </c>
      <c r="F4045" t="s">
        <v>9</v>
      </c>
      <c r="G4045" t="s">
        <v>4190</v>
      </c>
      <c r="H4045" s="7">
        <v>725</v>
      </c>
    </row>
    <row r="4046" spans="1:8" x14ac:dyDescent="0.3">
      <c r="A4046">
        <v>19286</v>
      </c>
      <c r="B4046" t="s">
        <v>142</v>
      </c>
      <c r="C4046" t="s">
        <v>4189</v>
      </c>
      <c r="D4046" t="s">
        <v>4055</v>
      </c>
      <c r="E4046" t="s">
        <v>8</v>
      </c>
      <c r="F4046" t="s">
        <v>88</v>
      </c>
      <c r="G4046" t="s">
        <v>3029</v>
      </c>
      <c r="H4046" s="7">
        <v>10466</v>
      </c>
    </row>
    <row r="4047" spans="1:8" x14ac:dyDescent="0.3">
      <c r="A4047">
        <v>19300</v>
      </c>
      <c r="B4047" t="s">
        <v>5</v>
      </c>
      <c r="C4047" t="s">
        <v>321</v>
      </c>
      <c r="D4047" t="s">
        <v>322</v>
      </c>
      <c r="E4047" t="s">
        <v>8</v>
      </c>
      <c r="F4047" t="s">
        <v>9</v>
      </c>
      <c r="G4047" t="s">
        <v>323</v>
      </c>
      <c r="H4047" s="7">
        <v>725</v>
      </c>
    </row>
    <row r="4048" spans="1:8" x14ac:dyDescent="0.3">
      <c r="A4048">
        <v>19308</v>
      </c>
      <c r="B4048" t="s">
        <v>4152</v>
      </c>
      <c r="C4048" t="s">
        <v>909</v>
      </c>
      <c r="D4048" t="s">
        <v>2054</v>
      </c>
      <c r="E4048" t="s">
        <v>27</v>
      </c>
      <c r="F4048" t="s">
        <v>629</v>
      </c>
      <c r="G4048" t="s">
        <v>2955</v>
      </c>
      <c r="H4048" s="7">
        <v>70570</v>
      </c>
    </row>
    <row r="4049" spans="1:8" x14ac:dyDescent="0.3">
      <c r="A4049">
        <v>19313</v>
      </c>
      <c r="B4049" t="s">
        <v>5</v>
      </c>
      <c r="C4049" t="s">
        <v>1963</v>
      </c>
      <c r="D4049" t="s">
        <v>2382</v>
      </c>
      <c r="E4049" t="s">
        <v>8</v>
      </c>
      <c r="F4049" t="s">
        <v>9</v>
      </c>
      <c r="G4049" t="s">
        <v>539</v>
      </c>
      <c r="H4049" s="7">
        <v>725</v>
      </c>
    </row>
    <row r="4050" spans="1:8" x14ac:dyDescent="0.3">
      <c r="A4050">
        <v>19320</v>
      </c>
      <c r="B4050" t="s">
        <v>5</v>
      </c>
      <c r="C4050" t="s">
        <v>318</v>
      </c>
      <c r="D4050" t="s">
        <v>319</v>
      </c>
      <c r="E4050" t="s">
        <v>8</v>
      </c>
      <c r="F4050" t="s">
        <v>9</v>
      </c>
      <c r="G4050" t="s">
        <v>320</v>
      </c>
      <c r="H4050" s="7">
        <v>725</v>
      </c>
    </row>
    <row r="4051" spans="1:8" x14ac:dyDescent="0.3">
      <c r="A4051">
        <v>19321</v>
      </c>
      <c r="B4051" t="s">
        <v>313</v>
      </c>
      <c r="C4051" t="s">
        <v>314</v>
      </c>
      <c r="D4051" t="s">
        <v>315</v>
      </c>
      <c r="E4051" t="s">
        <v>8</v>
      </c>
      <c r="F4051" t="s">
        <v>88</v>
      </c>
      <c r="G4051" t="s">
        <v>316</v>
      </c>
      <c r="H4051" s="7">
        <v>11368</v>
      </c>
    </row>
    <row r="4052" spans="1:8" x14ac:dyDescent="0.3">
      <c r="A4052">
        <v>19325</v>
      </c>
      <c r="B4052" t="s">
        <v>368</v>
      </c>
      <c r="C4052" t="s">
        <v>2424</v>
      </c>
      <c r="D4052" t="s">
        <v>879</v>
      </c>
      <c r="E4052" t="s">
        <v>8</v>
      </c>
      <c r="F4052" t="s">
        <v>88</v>
      </c>
      <c r="G4052" t="s">
        <v>370</v>
      </c>
      <c r="H4052" s="7">
        <v>10029</v>
      </c>
    </row>
    <row r="4053" spans="1:8" x14ac:dyDescent="0.3">
      <c r="A4053">
        <v>19331</v>
      </c>
      <c r="B4053" t="s">
        <v>997</v>
      </c>
      <c r="C4053" t="s">
        <v>2604</v>
      </c>
      <c r="D4053" t="s">
        <v>667</v>
      </c>
      <c r="E4053" t="s">
        <v>95</v>
      </c>
      <c r="F4053" t="s">
        <v>2654</v>
      </c>
      <c r="G4053" t="s">
        <v>4173</v>
      </c>
      <c r="H4053" s="7">
        <v>19711</v>
      </c>
    </row>
    <row r="4054" spans="1:8" x14ac:dyDescent="0.3">
      <c r="A4054">
        <v>19334</v>
      </c>
      <c r="B4054" t="s">
        <v>5</v>
      </c>
      <c r="C4054" t="s">
        <v>2253</v>
      </c>
      <c r="D4054" t="s">
        <v>1992</v>
      </c>
      <c r="E4054" t="s">
        <v>8</v>
      </c>
      <c r="F4054" t="s">
        <v>9</v>
      </c>
      <c r="G4054" t="s">
        <v>4171</v>
      </c>
      <c r="H4054" s="7">
        <v>725</v>
      </c>
    </row>
    <row r="4055" spans="1:8" x14ac:dyDescent="0.3">
      <c r="A4055">
        <v>19337</v>
      </c>
      <c r="B4055" t="s">
        <v>5</v>
      </c>
      <c r="C4055" t="s">
        <v>310</v>
      </c>
      <c r="D4055" t="s">
        <v>311</v>
      </c>
      <c r="E4055" t="s">
        <v>27</v>
      </c>
      <c r="F4055" t="s">
        <v>9</v>
      </c>
      <c r="G4055" t="s">
        <v>312</v>
      </c>
      <c r="H4055" s="7">
        <v>725</v>
      </c>
    </row>
    <row r="4056" spans="1:8" x14ac:dyDescent="0.3">
      <c r="A4056">
        <v>19338</v>
      </c>
      <c r="B4056" t="s">
        <v>305</v>
      </c>
      <c r="C4056" t="s">
        <v>306</v>
      </c>
      <c r="D4056" t="s">
        <v>307</v>
      </c>
      <c r="E4056" t="s">
        <v>27</v>
      </c>
      <c r="F4056" t="s">
        <v>308</v>
      </c>
      <c r="G4056" t="s">
        <v>309</v>
      </c>
      <c r="H4056" s="7">
        <v>7111</v>
      </c>
    </row>
    <row r="4057" spans="1:8" x14ac:dyDescent="0.3">
      <c r="A4057">
        <v>19339</v>
      </c>
      <c r="B4057" t="s">
        <v>5</v>
      </c>
      <c r="C4057" t="s">
        <v>301</v>
      </c>
      <c r="D4057" t="s">
        <v>302</v>
      </c>
      <c r="E4057" t="s">
        <v>8</v>
      </c>
      <c r="F4057" t="s">
        <v>9</v>
      </c>
      <c r="G4057" t="s">
        <v>303</v>
      </c>
      <c r="H4057" s="7">
        <v>725</v>
      </c>
    </row>
    <row r="4058" spans="1:8" x14ac:dyDescent="0.3">
      <c r="A4058">
        <v>19351</v>
      </c>
      <c r="B4058" t="s">
        <v>131</v>
      </c>
      <c r="C4058" t="s">
        <v>219</v>
      </c>
      <c r="D4058" t="s">
        <v>220</v>
      </c>
      <c r="E4058" t="s">
        <v>95</v>
      </c>
      <c r="F4058" t="s">
        <v>134</v>
      </c>
      <c r="G4058" t="s">
        <v>221</v>
      </c>
      <c r="H4058" s="7">
        <v>96818</v>
      </c>
    </row>
    <row r="4059" spans="1:8" x14ac:dyDescent="0.3">
      <c r="A4059">
        <v>19352</v>
      </c>
      <c r="B4059" t="s">
        <v>5</v>
      </c>
      <c r="C4059" t="s">
        <v>211</v>
      </c>
      <c r="D4059" t="s">
        <v>855</v>
      </c>
      <c r="E4059" t="s">
        <v>95</v>
      </c>
      <c r="F4059" t="s">
        <v>9</v>
      </c>
      <c r="G4059" t="s">
        <v>4004</v>
      </c>
      <c r="H4059" s="7">
        <v>725</v>
      </c>
    </row>
    <row r="4060" spans="1:8" x14ac:dyDescent="0.3">
      <c r="A4060">
        <v>19353</v>
      </c>
      <c r="B4060" t="s">
        <v>215</v>
      </c>
      <c r="C4060" t="s">
        <v>216</v>
      </c>
      <c r="D4060" t="s">
        <v>217</v>
      </c>
      <c r="E4060" t="s">
        <v>8</v>
      </c>
      <c r="F4060" t="s">
        <v>190</v>
      </c>
      <c r="G4060" t="s">
        <v>218</v>
      </c>
      <c r="H4060" s="7">
        <v>85204</v>
      </c>
    </row>
    <row r="4061" spans="1:8" x14ac:dyDescent="0.3">
      <c r="A4061">
        <v>19354</v>
      </c>
      <c r="B4061" t="s">
        <v>210</v>
      </c>
      <c r="C4061" t="s">
        <v>211</v>
      </c>
      <c r="D4061" t="s">
        <v>212</v>
      </c>
      <c r="E4061" t="s">
        <v>95</v>
      </c>
      <c r="F4061" t="s">
        <v>21</v>
      </c>
      <c r="G4061" t="s">
        <v>213</v>
      </c>
      <c r="H4061" s="7">
        <v>90745</v>
      </c>
    </row>
    <row r="4062" spans="1:8" x14ac:dyDescent="0.3">
      <c r="A4062">
        <v>19361</v>
      </c>
      <c r="B4062" t="s">
        <v>351</v>
      </c>
      <c r="C4062" t="s">
        <v>1136</v>
      </c>
      <c r="D4062" t="s">
        <v>697</v>
      </c>
      <c r="E4062" t="s">
        <v>8</v>
      </c>
      <c r="F4062" t="s">
        <v>9</v>
      </c>
      <c r="G4062" t="s">
        <v>353</v>
      </c>
      <c r="H4062" s="7">
        <v>791</v>
      </c>
    </row>
    <row r="4063" spans="1:8" x14ac:dyDescent="0.3">
      <c r="A4063">
        <v>19373</v>
      </c>
      <c r="B4063" t="s">
        <v>635</v>
      </c>
      <c r="C4063" t="s">
        <v>3993</v>
      </c>
      <c r="D4063" t="s">
        <v>3994</v>
      </c>
      <c r="E4063" t="s">
        <v>95</v>
      </c>
      <c r="F4063" t="s">
        <v>448</v>
      </c>
      <c r="G4063" t="s">
        <v>3995</v>
      </c>
      <c r="H4063" s="7">
        <v>32308</v>
      </c>
    </row>
    <row r="4064" spans="1:8" x14ac:dyDescent="0.3">
      <c r="A4064">
        <v>19374</v>
      </c>
      <c r="B4064" t="s">
        <v>5</v>
      </c>
      <c r="C4064" t="s">
        <v>207</v>
      </c>
      <c r="D4064" t="s">
        <v>208</v>
      </c>
      <c r="E4064" t="s">
        <v>8</v>
      </c>
      <c r="F4064" t="s">
        <v>9</v>
      </c>
      <c r="G4064" t="s">
        <v>209</v>
      </c>
      <c r="H4064" s="7">
        <v>725</v>
      </c>
    </row>
    <row r="4065" spans="1:8" x14ac:dyDescent="0.3">
      <c r="A4065">
        <v>19375</v>
      </c>
      <c r="B4065" t="s">
        <v>204</v>
      </c>
      <c r="C4065" t="s">
        <v>87</v>
      </c>
      <c r="D4065" t="s">
        <v>53</v>
      </c>
      <c r="E4065" t="s">
        <v>8</v>
      </c>
      <c r="F4065" t="s">
        <v>21</v>
      </c>
      <c r="G4065" t="s">
        <v>205</v>
      </c>
      <c r="H4065" s="7">
        <v>91344</v>
      </c>
    </row>
    <row r="4066" spans="1:8" x14ac:dyDescent="0.3">
      <c r="A4066">
        <v>19376</v>
      </c>
      <c r="B4066" t="s">
        <v>5</v>
      </c>
      <c r="C4066" t="s">
        <v>3368</v>
      </c>
      <c r="D4066" t="s">
        <v>795</v>
      </c>
      <c r="E4066" t="s">
        <v>27</v>
      </c>
      <c r="F4066" t="s">
        <v>9</v>
      </c>
      <c r="G4066" t="s">
        <v>3168</v>
      </c>
      <c r="H4066" s="7">
        <v>725</v>
      </c>
    </row>
    <row r="4067" spans="1:8" x14ac:dyDescent="0.3">
      <c r="A4067">
        <v>19383</v>
      </c>
      <c r="B4067" t="s">
        <v>2188</v>
      </c>
      <c r="C4067" t="s">
        <v>3779</v>
      </c>
      <c r="D4067" t="s">
        <v>1540</v>
      </c>
      <c r="E4067" t="s">
        <v>27</v>
      </c>
      <c r="F4067" t="s">
        <v>308</v>
      </c>
      <c r="G4067" t="s">
        <v>3025</v>
      </c>
      <c r="H4067" s="7">
        <v>8021</v>
      </c>
    </row>
    <row r="4068" spans="1:8" x14ac:dyDescent="0.3">
      <c r="A4068">
        <v>19384</v>
      </c>
      <c r="B4068" t="s">
        <v>5</v>
      </c>
      <c r="C4068" t="s">
        <v>199</v>
      </c>
      <c r="D4068" t="s">
        <v>200</v>
      </c>
      <c r="E4068" t="s">
        <v>95</v>
      </c>
      <c r="F4068" t="s">
        <v>9</v>
      </c>
      <c r="G4068" t="s">
        <v>201</v>
      </c>
      <c r="H4068" s="7">
        <v>725</v>
      </c>
    </row>
    <row r="4069" spans="1:8" x14ac:dyDescent="0.3">
      <c r="A4069">
        <v>19385</v>
      </c>
      <c r="B4069" t="s">
        <v>195</v>
      </c>
      <c r="C4069" t="s">
        <v>196</v>
      </c>
      <c r="D4069" t="s">
        <v>197</v>
      </c>
      <c r="E4069" t="s">
        <v>27</v>
      </c>
      <c r="F4069" t="s">
        <v>21</v>
      </c>
      <c r="G4069" t="s">
        <v>198</v>
      </c>
      <c r="H4069" s="7">
        <v>92843</v>
      </c>
    </row>
    <row r="4070" spans="1:8" x14ac:dyDescent="0.3">
      <c r="A4070">
        <v>19386</v>
      </c>
      <c r="B4070" t="s">
        <v>5</v>
      </c>
      <c r="C4070" t="s">
        <v>192</v>
      </c>
      <c r="D4070" t="s">
        <v>193</v>
      </c>
      <c r="E4070" t="s">
        <v>27</v>
      </c>
      <c r="F4070" t="s">
        <v>9</v>
      </c>
      <c r="G4070" t="s">
        <v>194</v>
      </c>
      <c r="H4070" s="7">
        <v>725</v>
      </c>
    </row>
    <row r="4071" spans="1:8" x14ac:dyDescent="0.3">
      <c r="A4071">
        <v>19387</v>
      </c>
      <c r="B4071" t="s">
        <v>187</v>
      </c>
      <c r="C4071" t="s">
        <v>188</v>
      </c>
      <c r="D4071" t="s">
        <v>189</v>
      </c>
      <c r="E4071" t="s">
        <v>27</v>
      </c>
      <c r="F4071" t="s">
        <v>190</v>
      </c>
      <c r="G4071" t="s">
        <v>191</v>
      </c>
      <c r="H4071" s="7">
        <v>85345</v>
      </c>
    </row>
    <row r="4072" spans="1:8" x14ac:dyDescent="0.3">
      <c r="A4072">
        <v>19388</v>
      </c>
      <c r="B4072" t="s">
        <v>5</v>
      </c>
      <c r="C4072" t="s">
        <v>183</v>
      </c>
      <c r="D4072" t="s">
        <v>184</v>
      </c>
      <c r="E4072" t="s">
        <v>27</v>
      </c>
      <c r="F4072" t="s">
        <v>9</v>
      </c>
      <c r="G4072" t="s">
        <v>185</v>
      </c>
      <c r="H4072" s="7">
        <v>725</v>
      </c>
    </row>
    <row r="4073" spans="1:8" x14ac:dyDescent="0.3">
      <c r="A4073">
        <v>19399</v>
      </c>
      <c r="B4073" t="s">
        <v>179</v>
      </c>
      <c r="C4073" t="s">
        <v>180</v>
      </c>
      <c r="D4073" t="s">
        <v>181</v>
      </c>
      <c r="E4073" t="s">
        <v>95</v>
      </c>
      <c r="F4073" t="s">
        <v>21</v>
      </c>
      <c r="G4073" t="s">
        <v>182</v>
      </c>
      <c r="H4073" s="7">
        <v>95014</v>
      </c>
    </row>
    <row r="4074" spans="1:8" x14ac:dyDescent="0.3">
      <c r="A4074">
        <v>19400</v>
      </c>
      <c r="B4074" t="s">
        <v>174</v>
      </c>
      <c r="C4074" t="s">
        <v>175</v>
      </c>
      <c r="D4074" t="s">
        <v>176</v>
      </c>
      <c r="E4074" t="s">
        <v>27</v>
      </c>
      <c r="F4074" t="s">
        <v>21</v>
      </c>
      <c r="G4074" t="s">
        <v>177</v>
      </c>
      <c r="H4074" s="7">
        <v>90046</v>
      </c>
    </row>
    <row r="4075" spans="1:8" x14ac:dyDescent="0.3">
      <c r="A4075">
        <v>19401</v>
      </c>
      <c r="B4075" t="s">
        <v>169</v>
      </c>
      <c r="C4075" t="s">
        <v>170</v>
      </c>
      <c r="D4075" t="s">
        <v>171</v>
      </c>
      <c r="E4075" t="s">
        <v>27</v>
      </c>
      <c r="F4075" t="s">
        <v>172</v>
      </c>
      <c r="G4075" t="s">
        <v>173</v>
      </c>
      <c r="H4075" s="7">
        <v>63301</v>
      </c>
    </row>
    <row r="4076" spans="1:8" x14ac:dyDescent="0.3">
      <c r="A4076">
        <v>19402</v>
      </c>
      <c r="B4076" t="s">
        <v>5</v>
      </c>
      <c r="C4076" t="s">
        <v>106</v>
      </c>
      <c r="D4076" t="s">
        <v>167</v>
      </c>
      <c r="E4076" t="s">
        <v>27</v>
      </c>
      <c r="F4076" t="s">
        <v>9</v>
      </c>
      <c r="G4076" t="s">
        <v>168</v>
      </c>
      <c r="H4076" s="7">
        <v>725</v>
      </c>
    </row>
    <row r="4077" spans="1:8" x14ac:dyDescent="0.3">
      <c r="A4077">
        <v>19403</v>
      </c>
      <c r="B4077" t="s">
        <v>163</v>
      </c>
      <c r="C4077" t="s">
        <v>164</v>
      </c>
      <c r="D4077" t="s">
        <v>165</v>
      </c>
      <c r="E4077" t="s">
        <v>27</v>
      </c>
      <c r="F4077" t="s">
        <v>88</v>
      </c>
      <c r="G4077" t="s">
        <v>166</v>
      </c>
      <c r="H4077" s="7">
        <v>14094</v>
      </c>
    </row>
    <row r="4078" spans="1:8" x14ac:dyDescent="0.3">
      <c r="A4078">
        <v>19408</v>
      </c>
      <c r="B4078" t="s">
        <v>5</v>
      </c>
      <c r="C4078" t="s">
        <v>795</v>
      </c>
      <c r="D4078" t="s">
        <v>3893</v>
      </c>
      <c r="E4078" t="s">
        <v>8</v>
      </c>
      <c r="F4078" t="s">
        <v>9</v>
      </c>
      <c r="G4078" t="s">
        <v>3982</v>
      </c>
      <c r="H4078" s="7">
        <v>725</v>
      </c>
    </row>
    <row r="4079" spans="1:8" x14ac:dyDescent="0.3">
      <c r="A4079">
        <v>19422</v>
      </c>
      <c r="B4079" t="s">
        <v>5</v>
      </c>
      <c r="C4079" t="s">
        <v>160</v>
      </c>
      <c r="D4079" t="s">
        <v>161</v>
      </c>
      <c r="E4079" t="s">
        <v>8</v>
      </c>
      <c r="F4079" t="s">
        <v>9</v>
      </c>
      <c r="G4079" t="s">
        <v>162</v>
      </c>
      <c r="H4079" s="7">
        <v>725</v>
      </c>
    </row>
    <row r="4080" spans="1:8" x14ac:dyDescent="0.3">
      <c r="A4080">
        <v>19423</v>
      </c>
      <c r="B4080" t="s">
        <v>155</v>
      </c>
      <c r="C4080" t="s">
        <v>156</v>
      </c>
      <c r="D4080" t="s">
        <v>157</v>
      </c>
      <c r="E4080" t="s">
        <v>8</v>
      </c>
      <c r="F4080" t="s">
        <v>158</v>
      </c>
      <c r="G4080" t="s">
        <v>159</v>
      </c>
      <c r="H4080" s="7">
        <v>38401</v>
      </c>
    </row>
    <row r="4081" spans="1:8" x14ac:dyDescent="0.3">
      <c r="A4081">
        <v>19424</v>
      </c>
      <c r="B4081" t="s">
        <v>150</v>
      </c>
      <c r="C4081" t="s">
        <v>151</v>
      </c>
      <c r="D4081" t="s">
        <v>152</v>
      </c>
      <c r="E4081" t="s">
        <v>8</v>
      </c>
      <c r="F4081" t="s">
        <v>153</v>
      </c>
      <c r="G4081" t="s">
        <v>154</v>
      </c>
      <c r="H4081" s="7">
        <v>84604</v>
      </c>
    </row>
    <row r="4082" spans="1:8" x14ac:dyDescent="0.3">
      <c r="A4082">
        <v>19425</v>
      </c>
      <c r="B4082" t="s">
        <v>5</v>
      </c>
      <c r="C4082" t="s">
        <v>147</v>
      </c>
      <c r="D4082" t="s">
        <v>148</v>
      </c>
      <c r="E4082" t="s">
        <v>8</v>
      </c>
      <c r="F4082" t="s">
        <v>9</v>
      </c>
      <c r="G4082" t="s">
        <v>149</v>
      </c>
      <c r="H4082" s="7">
        <v>725</v>
      </c>
    </row>
    <row r="4083" spans="1:8" x14ac:dyDescent="0.3">
      <c r="A4083">
        <v>19426</v>
      </c>
      <c r="B4083" t="s">
        <v>142</v>
      </c>
      <c r="C4083" t="s">
        <v>143</v>
      </c>
      <c r="D4083" t="s">
        <v>144</v>
      </c>
      <c r="E4083" t="s">
        <v>8</v>
      </c>
      <c r="F4083" t="s">
        <v>88</v>
      </c>
      <c r="G4083" t="s">
        <v>145</v>
      </c>
      <c r="H4083" s="7">
        <v>10458</v>
      </c>
    </row>
    <row r="4084" spans="1:8" x14ac:dyDescent="0.3">
      <c r="A4084">
        <v>19431</v>
      </c>
      <c r="B4084" t="s">
        <v>137</v>
      </c>
      <c r="C4084" t="s">
        <v>138</v>
      </c>
      <c r="D4084" t="s">
        <v>139</v>
      </c>
      <c r="E4084" t="s">
        <v>27</v>
      </c>
      <c r="F4084" t="s">
        <v>140</v>
      </c>
      <c r="G4084" t="s">
        <v>141</v>
      </c>
      <c r="H4084" s="7">
        <v>30047</v>
      </c>
    </row>
    <row r="4085" spans="1:8" x14ac:dyDescent="0.3">
      <c r="A4085">
        <v>19432</v>
      </c>
      <c r="B4085" t="s">
        <v>131</v>
      </c>
      <c r="C4085" t="s">
        <v>132</v>
      </c>
      <c r="D4085" t="s">
        <v>133</v>
      </c>
      <c r="E4085" t="s">
        <v>27</v>
      </c>
      <c r="F4085" t="s">
        <v>134</v>
      </c>
      <c r="G4085" t="s">
        <v>135</v>
      </c>
      <c r="H4085" s="7">
        <v>96817</v>
      </c>
    </row>
    <row r="4086" spans="1:8" x14ac:dyDescent="0.3">
      <c r="A4086">
        <v>19433</v>
      </c>
      <c r="B4086" t="s">
        <v>2422</v>
      </c>
      <c r="C4086" t="s">
        <v>3470</v>
      </c>
      <c r="D4086" t="s">
        <v>2220</v>
      </c>
      <c r="E4086" t="s">
        <v>27</v>
      </c>
      <c r="F4086" t="s">
        <v>1876</v>
      </c>
      <c r="G4086" t="s">
        <v>2423</v>
      </c>
      <c r="H4086" s="7">
        <v>58501</v>
      </c>
    </row>
    <row r="4087" spans="1:8" x14ac:dyDescent="0.3">
      <c r="A4087">
        <v>19440</v>
      </c>
      <c r="B4087" t="s">
        <v>5</v>
      </c>
      <c r="C4087" t="s">
        <v>1824</v>
      </c>
      <c r="D4087" t="s">
        <v>811</v>
      </c>
      <c r="E4087" t="s">
        <v>27</v>
      </c>
      <c r="F4087" t="s">
        <v>9</v>
      </c>
      <c r="G4087" t="s">
        <v>1861</v>
      </c>
      <c r="H4087" s="7">
        <v>725</v>
      </c>
    </row>
    <row r="4088" spans="1:8" x14ac:dyDescent="0.3">
      <c r="A4088">
        <v>19443</v>
      </c>
      <c r="B4088" t="s">
        <v>287</v>
      </c>
      <c r="C4088" t="s">
        <v>2363</v>
      </c>
      <c r="D4088" t="s">
        <v>1925</v>
      </c>
      <c r="E4088" t="s">
        <v>27</v>
      </c>
      <c r="F4088" t="s">
        <v>114</v>
      </c>
      <c r="G4088" t="s">
        <v>2421</v>
      </c>
      <c r="H4088" s="7">
        <v>77478</v>
      </c>
    </row>
    <row r="4089" spans="1:8" x14ac:dyDescent="0.3">
      <c r="A4089">
        <v>19445</v>
      </c>
      <c r="B4089" t="s">
        <v>5</v>
      </c>
      <c r="C4089" t="s">
        <v>126</v>
      </c>
      <c r="D4089" t="s">
        <v>127</v>
      </c>
      <c r="E4089" t="s">
        <v>27</v>
      </c>
      <c r="F4089" t="s">
        <v>9</v>
      </c>
      <c r="G4089" t="s">
        <v>128</v>
      </c>
      <c r="H4089" s="7">
        <v>725</v>
      </c>
    </row>
    <row r="4090" spans="1:8" x14ac:dyDescent="0.3">
      <c r="A4090">
        <v>19447</v>
      </c>
      <c r="B4090" t="s">
        <v>85</v>
      </c>
      <c r="C4090" t="s">
        <v>86</v>
      </c>
      <c r="D4090" t="s">
        <v>87</v>
      </c>
      <c r="E4090" t="s">
        <v>27</v>
      </c>
      <c r="F4090" t="s">
        <v>88</v>
      </c>
      <c r="G4090" t="s">
        <v>89</v>
      </c>
      <c r="H4090" s="7">
        <v>14609</v>
      </c>
    </row>
    <row r="4091" spans="1:8" x14ac:dyDescent="0.3">
      <c r="A4091">
        <v>19448</v>
      </c>
      <c r="B4091" t="s">
        <v>5</v>
      </c>
      <c r="C4091" t="s">
        <v>81</v>
      </c>
      <c r="D4091" t="s">
        <v>82</v>
      </c>
      <c r="E4091" t="s">
        <v>27</v>
      </c>
      <c r="F4091" t="s">
        <v>9</v>
      </c>
      <c r="G4091" t="s">
        <v>83</v>
      </c>
      <c r="H4091" s="7">
        <v>725</v>
      </c>
    </row>
    <row r="4092" spans="1:8" x14ac:dyDescent="0.3">
      <c r="A4092">
        <v>19453</v>
      </c>
      <c r="B4092" t="s">
        <v>457</v>
      </c>
      <c r="C4092" t="s">
        <v>1592</v>
      </c>
      <c r="D4092" t="s">
        <v>581</v>
      </c>
      <c r="E4092" t="s">
        <v>8</v>
      </c>
      <c r="F4092" t="s">
        <v>21</v>
      </c>
      <c r="G4092" t="s">
        <v>3870</v>
      </c>
      <c r="H4092" s="7">
        <v>91402</v>
      </c>
    </row>
    <row r="4093" spans="1:8" x14ac:dyDescent="0.3">
      <c r="A4093">
        <v>19457</v>
      </c>
      <c r="B4093" t="s">
        <v>74</v>
      </c>
      <c r="C4093" t="s">
        <v>75</v>
      </c>
      <c r="D4093" t="s">
        <v>76</v>
      </c>
      <c r="E4093" t="s">
        <v>27</v>
      </c>
      <c r="F4093" t="s">
        <v>77</v>
      </c>
      <c r="G4093" t="s">
        <v>78</v>
      </c>
      <c r="H4093" s="7">
        <v>17013</v>
      </c>
    </row>
    <row r="4094" spans="1:8" x14ac:dyDescent="0.3">
      <c r="A4094">
        <v>19461</v>
      </c>
      <c r="B4094" t="s">
        <v>5</v>
      </c>
      <c r="C4094" t="s">
        <v>71</v>
      </c>
      <c r="D4094" t="s">
        <v>72</v>
      </c>
      <c r="E4094" t="s">
        <v>8</v>
      </c>
      <c r="F4094" t="s">
        <v>9</v>
      </c>
      <c r="G4094" t="s">
        <v>73</v>
      </c>
      <c r="H4094" s="7">
        <v>725</v>
      </c>
    </row>
    <row r="4095" spans="1:8" x14ac:dyDescent="0.3">
      <c r="A4095">
        <v>19462</v>
      </c>
      <c r="B4095" t="s">
        <v>66</v>
      </c>
      <c r="C4095" t="s">
        <v>67</v>
      </c>
      <c r="D4095" t="s">
        <v>68</v>
      </c>
      <c r="E4095" t="s">
        <v>8</v>
      </c>
      <c r="F4095" t="s">
        <v>55</v>
      </c>
      <c r="G4095" t="s">
        <v>69</v>
      </c>
      <c r="H4095" s="7">
        <v>60187</v>
      </c>
    </row>
    <row r="4096" spans="1:8" x14ac:dyDescent="0.3">
      <c r="A4096">
        <v>19466</v>
      </c>
      <c r="B4096" t="s">
        <v>5</v>
      </c>
      <c r="C4096" t="s">
        <v>1103</v>
      </c>
      <c r="D4096" t="s">
        <v>1831</v>
      </c>
      <c r="E4096" t="s">
        <v>27</v>
      </c>
      <c r="F4096" t="s">
        <v>9</v>
      </c>
      <c r="G4096" t="s">
        <v>3868</v>
      </c>
      <c r="H4096" s="7">
        <v>725</v>
      </c>
    </row>
    <row r="4097" spans="1:8" x14ac:dyDescent="0.3">
      <c r="A4097">
        <v>19471</v>
      </c>
      <c r="B4097" t="s">
        <v>2664</v>
      </c>
      <c r="C4097" t="s">
        <v>3864</v>
      </c>
      <c r="D4097" t="s">
        <v>44</v>
      </c>
      <c r="E4097" t="s">
        <v>27</v>
      </c>
      <c r="F4097" t="s">
        <v>21</v>
      </c>
      <c r="G4097" t="s">
        <v>3865</v>
      </c>
      <c r="H4097" s="7">
        <v>95670</v>
      </c>
    </row>
    <row r="4098" spans="1:8" x14ac:dyDescent="0.3">
      <c r="A4098">
        <v>19472</v>
      </c>
      <c r="B4098" t="s">
        <v>5</v>
      </c>
      <c r="C4098" t="s">
        <v>63</v>
      </c>
      <c r="D4098" t="s">
        <v>64</v>
      </c>
      <c r="E4098" t="s">
        <v>27</v>
      </c>
      <c r="F4098" t="s">
        <v>9</v>
      </c>
      <c r="G4098" t="s">
        <v>65</v>
      </c>
      <c r="H4098" s="7">
        <v>725</v>
      </c>
    </row>
    <row r="4099" spans="1:8" x14ac:dyDescent="0.3">
      <c r="A4099">
        <v>19473</v>
      </c>
      <c r="B4099" t="s">
        <v>59</v>
      </c>
      <c r="C4099" t="s">
        <v>60</v>
      </c>
      <c r="D4099" t="s">
        <v>61</v>
      </c>
      <c r="E4099" t="s">
        <v>27</v>
      </c>
      <c r="F4099" t="s">
        <v>21</v>
      </c>
      <c r="G4099" t="s">
        <v>62</v>
      </c>
      <c r="H4099" s="7">
        <v>90813</v>
      </c>
    </row>
    <row r="4100" spans="1:8" x14ac:dyDescent="0.3">
      <c r="A4100">
        <v>19474</v>
      </c>
      <c r="B4100" t="s">
        <v>52</v>
      </c>
      <c r="C4100" t="s">
        <v>53</v>
      </c>
      <c r="D4100" t="s">
        <v>54</v>
      </c>
      <c r="E4100" t="s">
        <v>8</v>
      </c>
      <c r="F4100" t="s">
        <v>55</v>
      </c>
      <c r="G4100" t="s">
        <v>56</v>
      </c>
      <c r="H4100" s="7">
        <v>60056</v>
      </c>
    </row>
    <row r="4101" spans="1:8" x14ac:dyDescent="0.3">
      <c r="A4101">
        <v>19475</v>
      </c>
      <c r="B4101" t="s">
        <v>5</v>
      </c>
      <c r="C4101" t="s">
        <v>48</v>
      </c>
      <c r="D4101" t="s">
        <v>49</v>
      </c>
      <c r="E4101" t="s">
        <v>8</v>
      </c>
      <c r="F4101" t="s">
        <v>9</v>
      </c>
      <c r="G4101" t="s">
        <v>50</v>
      </c>
      <c r="H4101" s="7">
        <v>725</v>
      </c>
    </row>
    <row r="4102" spans="1:8" x14ac:dyDescent="0.3">
      <c r="A4102">
        <v>19476</v>
      </c>
      <c r="B4102" t="s">
        <v>42</v>
      </c>
      <c r="C4102" t="s">
        <v>43</v>
      </c>
      <c r="D4102" t="s">
        <v>44</v>
      </c>
      <c r="E4102" t="s">
        <v>27</v>
      </c>
      <c r="F4102" t="s">
        <v>21</v>
      </c>
      <c r="G4102" t="s">
        <v>45</v>
      </c>
      <c r="H4102" s="7">
        <v>90723</v>
      </c>
    </row>
    <row r="4103" spans="1:8" x14ac:dyDescent="0.3">
      <c r="A4103">
        <v>19477</v>
      </c>
      <c r="B4103" t="s">
        <v>2401</v>
      </c>
      <c r="C4103" t="s">
        <v>3862</v>
      </c>
      <c r="D4103" t="s">
        <v>3863</v>
      </c>
      <c r="E4103" t="s">
        <v>27</v>
      </c>
      <c r="F4103" t="s">
        <v>9</v>
      </c>
      <c r="G4103" t="s">
        <v>2404</v>
      </c>
      <c r="H4103" s="7">
        <v>729</v>
      </c>
    </row>
    <row r="4104" spans="1:8" x14ac:dyDescent="0.3">
      <c r="A4104">
        <v>19478</v>
      </c>
      <c r="B4104" t="s">
        <v>5</v>
      </c>
      <c r="C4104" t="s">
        <v>39</v>
      </c>
      <c r="D4104" t="s">
        <v>40</v>
      </c>
      <c r="E4104" t="s">
        <v>27</v>
      </c>
      <c r="F4104" t="s">
        <v>9</v>
      </c>
      <c r="G4104" t="s">
        <v>41</v>
      </c>
      <c r="H4104" s="7">
        <v>725</v>
      </c>
    </row>
    <row r="4105" spans="1:8" x14ac:dyDescent="0.3">
      <c r="A4105">
        <v>19479</v>
      </c>
      <c r="B4105" t="s">
        <v>33</v>
      </c>
      <c r="C4105" t="s">
        <v>34</v>
      </c>
      <c r="D4105" t="s">
        <v>35</v>
      </c>
      <c r="E4105" t="s">
        <v>27</v>
      </c>
      <c r="F4105" t="s">
        <v>36</v>
      </c>
      <c r="G4105" t="s">
        <v>37</v>
      </c>
      <c r="H4105" s="7">
        <v>1960</v>
      </c>
    </row>
    <row r="4106" spans="1:8" x14ac:dyDescent="0.3">
      <c r="A4106">
        <v>19480</v>
      </c>
      <c r="B4106" t="s">
        <v>5</v>
      </c>
      <c r="C4106" t="s">
        <v>25</v>
      </c>
      <c r="D4106" t="s">
        <v>26</v>
      </c>
      <c r="E4106" t="s">
        <v>27</v>
      </c>
      <c r="F4106" t="s">
        <v>9</v>
      </c>
      <c r="G4106" t="s">
        <v>28</v>
      </c>
      <c r="H4106" s="7">
        <v>725</v>
      </c>
    </row>
    <row r="4107" spans="1:8" x14ac:dyDescent="0.3">
      <c r="A4107">
        <v>19491</v>
      </c>
      <c r="B4107" t="s">
        <v>18</v>
      </c>
      <c r="C4107" t="s">
        <v>19</v>
      </c>
      <c r="D4107" t="s">
        <v>20</v>
      </c>
      <c r="E4107" t="s">
        <v>8</v>
      </c>
      <c r="F4107" t="s">
        <v>21</v>
      </c>
      <c r="G4107" t="s">
        <v>22</v>
      </c>
      <c r="H4107" s="7">
        <v>95125</v>
      </c>
    </row>
    <row r="4108" spans="1:8" x14ac:dyDescent="0.3">
      <c r="A4108">
        <v>19492</v>
      </c>
      <c r="B4108" t="s">
        <v>5</v>
      </c>
      <c r="C4108" t="s">
        <v>6</v>
      </c>
      <c r="D4108" t="s">
        <v>7</v>
      </c>
      <c r="E4108" t="s">
        <v>8</v>
      </c>
      <c r="F4108" t="s">
        <v>9</v>
      </c>
      <c r="G4108" t="s">
        <v>10</v>
      </c>
      <c r="H4108" s="7">
        <v>725</v>
      </c>
    </row>
    <row r="4109" spans="1:8" x14ac:dyDescent="0.3">
      <c r="A4109">
        <v>19493</v>
      </c>
      <c r="B4109" t="s">
        <v>840</v>
      </c>
      <c r="C4109" t="s">
        <v>1526</v>
      </c>
      <c r="D4109" t="s">
        <v>1166</v>
      </c>
      <c r="E4109" t="s">
        <v>8</v>
      </c>
      <c r="F4109" t="s">
        <v>21</v>
      </c>
      <c r="G4109" t="s">
        <v>2376</v>
      </c>
      <c r="H4109" s="7">
        <v>94533</v>
      </c>
    </row>
    <row r="4110" spans="1:8" x14ac:dyDescent="0.3">
      <c r="A4110">
        <v>19494</v>
      </c>
      <c r="B4110" t="s">
        <v>1859</v>
      </c>
      <c r="C4110" t="s">
        <v>692</v>
      </c>
      <c r="D4110" t="s">
        <v>2374</v>
      </c>
      <c r="E4110" t="s">
        <v>8</v>
      </c>
      <c r="F4110" t="s">
        <v>114</v>
      </c>
      <c r="G4110" t="s">
        <v>2375</v>
      </c>
      <c r="H4110" s="7">
        <v>79109</v>
      </c>
    </row>
    <row r="4111" spans="1:8" x14ac:dyDescent="0.3">
      <c r="A4111">
        <v>19495</v>
      </c>
      <c r="B4111" t="s">
        <v>5</v>
      </c>
      <c r="C4111" t="s">
        <v>199</v>
      </c>
      <c r="D4111" t="s">
        <v>2093</v>
      </c>
      <c r="E4111" t="s">
        <v>8</v>
      </c>
      <c r="F4111" t="s">
        <v>9</v>
      </c>
      <c r="G4111" t="s">
        <v>2373</v>
      </c>
      <c r="H4111" s="7">
        <v>725</v>
      </c>
    </row>
    <row r="4112" spans="1:8" x14ac:dyDescent="0.3">
      <c r="A4112">
        <v>19496</v>
      </c>
      <c r="B4112" t="s">
        <v>2371</v>
      </c>
      <c r="C4112" t="s">
        <v>1057</v>
      </c>
      <c r="D4112" t="s">
        <v>1382</v>
      </c>
      <c r="E4112" t="s">
        <v>95</v>
      </c>
      <c r="F4112" t="s">
        <v>9</v>
      </c>
      <c r="G4112" t="s">
        <v>2372</v>
      </c>
      <c r="H4112" s="7">
        <v>698</v>
      </c>
    </row>
    <row r="4113" spans="1:8" x14ac:dyDescent="0.3">
      <c r="A4113">
        <v>19497</v>
      </c>
      <c r="B4113" t="s">
        <v>5</v>
      </c>
      <c r="C4113" t="s">
        <v>2368</v>
      </c>
      <c r="D4113" t="s">
        <v>2369</v>
      </c>
      <c r="E4113" t="s">
        <v>95</v>
      </c>
      <c r="F4113" t="s">
        <v>9</v>
      </c>
      <c r="G4113" t="s">
        <v>2370</v>
      </c>
      <c r="H4113" s="7">
        <v>725</v>
      </c>
    </row>
    <row r="4114" spans="1:8" x14ac:dyDescent="0.3">
      <c r="A4114">
        <v>19513</v>
      </c>
      <c r="B4114" t="s">
        <v>239</v>
      </c>
      <c r="C4114" t="s">
        <v>999</v>
      </c>
      <c r="D4114" t="s">
        <v>394</v>
      </c>
      <c r="E4114" t="s">
        <v>8</v>
      </c>
      <c r="F4114" t="s">
        <v>242</v>
      </c>
      <c r="G4114" t="s">
        <v>4771</v>
      </c>
      <c r="H4114" s="7">
        <v>21215</v>
      </c>
    </row>
    <row r="4115" spans="1:8" x14ac:dyDescent="0.3">
      <c r="A4115">
        <v>19526</v>
      </c>
      <c r="B4115" t="s">
        <v>997</v>
      </c>
      <c r="C4115" t="s">
        <v>1457</v>
      </c>
      <c r="D4115" t="s">
        <v>4222</v>
      </c>
      <c r="E4115" t="s">
        <v>8</v>
      </c>
      <c r="F4115" t="s">
        <v>308</v>
      </c>
      <c r="G4115" t="s">
        <v>4968</v>
      </c>
      <c r="H4115" s="7">
        <v>7104</v>
      </c>
    </row>
    <row r="4116" spans="1:8" x14ac:dyDescent="0.3">
      <c r="A4116">
        <v>19527</v>
      </c>
      <c r="B4116" t="s">
        <v>5</v>
      </c>
      <c r="C4116" t="s">
        <v>2366</v>
      </c>
      <c r="D4116" t="s">
        <v>1453</v>
      </c>
      <c r="E4116" t="s">
        <v>8</v>
      </c>
      <c r="F4116" t="s">
        <v>9</v>
      </c>
      <c r="G4116" t="s">
        <v>2367</v>
      </c>
      <c r="H4116" s="7">
        <v>725</v>
      </c>
    </row>
    <row r="4117" spans="1:8" x14ac:dyDescent="0.3">
      <c r="A4117">
        <v>19528</v>
      </c>
      <c r="B4117" t="s">
        <v>174</v>
      </c>
      <c r="C4117" t="s">
        <v>2363</v>
      </c>
      <c r="D4117" t="s">
        <v>2364</v>
      </c>
      <c r="E4117" t="s">
        <v>8</v>
      </c>
      <c r="F4117" t="s">
        <v>21</v>
      </c>
      <c r="G4117" t="s">
        <v>2365</v>
      </c>
      <c r="H4117" s="7">
        <v>90047</v>
      </c>
    </row>
    <row r="4118" spans="1:8" x14ac:dyDescent="0.3">
      <c r="A4118">
        <v>19529</v>
      </c>
      <c r="B4118" t="s">
        <v>5</v>
      </c>
      <c r="C4118" t="s">
        <v>71</v>
      </c>
      <c r="D4118" t="s">
        <v>1886</v>
      </c>
      <c r="E4118" t="s">
        <v>8</v>
      </c>
      <c r="F4118" t="s">
        <v>9</v>
      </c>
      <c r="G4118" t="s">
        <v>2362</v>
      </c>
      <c r="H4118" s="7">
        <v>725</v>
      </c>
    </row>
    <row r="4119" spans="1:8" x14ac:dyDescent="0.3">
      <c r="A4119">
        <v>19530</v>
      </c>
      <c r="B4119" t="s">
        <v>2361</v>
      </c>
      <c r="C4119" t="s">
        <v>1604</v>
      </c>
      <c r="D4119" t="s">
        <v>1679</v>
      </c>
      <c r="E4119" t="s">
        <v>8</v>
      </c>
      <c r="F4119" t="s">
        <v>114</v>
      </c>
      <c r="G4119" t="s">
        <v>2029</v>
      </c>
      <c r="H4119" s="7">
        <v>78539</v>
      </c>
    </row>
    <row r="4120" spans="1:8" x14ac:dyDescent="0.3">
      <c r="A4120">
        <v>19538</v>
      </c>
      <c r="B4120" t="s">
        <v>601</v>
      </c>
      <c r="C4120" t="s">
        <v>3679</v>
      </c>
      <c r="D4120" t="s">
        <v>1156</v>
      </c>
      <c r="E4120" t="s">
        <v>27</v>
      </c>
      <c r="F4120" t="s">
        <v>114</v>
      </c>
      <c r="G4120" t="s">
        <v>4427</v>
      </c>
      <c r="H4120" s="7">
        <v>78704</v>
      </c>
    </row>
    <row r="4121" spans="1:8" x14ac:dyDescent="0.3">
      <c r="A4121">
        <v>19540</v>
      </c>
      <c r="B4121" t="s">
        <v>246</v>
      </c>
      <c r="C4121" t="s">
        <v>1930</v>
      </c>
      <c r="D4121" t="s">
        <v>802</v>
      </c>
      <c r="E4121" t="s">
        <v>8</v>
      </c>
      <c r="F4121" t="s">
        <v>248</v>
      </c>
      <c r="G4121" t="s">
        <v>3932</v>
      </c>
      <c r="H4121" s="7">
        <v>44136</v>
      </c>
    </row>
    <row r="4122" spans="1:8" x14ac:dyDescent="0.3">
      <c r="A4122">
        <v>19542</v>
      </c>
      <c r="B4122" t="s">
        <v>117</v>
      </c>
      <c r="C4122" t="s">
        <v>2793</v>
      </c>
      <c r="D4122" t="s">
        <v>4340</v>
      </c>
      <c r="E4122" t="s">
        <v>95</v>
      </c>
      <c r="F4122" t="s">
        <v>21</v>
      </c>
      <c r="G4122" t="s">
        <v>4781</v>
      </c>
      <c r="H4122" s="7">
        <v>92115</v>
      </c>
    </row>
    <row r="4123" spans="1:8" x14ac:dyDescent="0.3">
      <c r="A4123">
        <v>19545</v>
      </c>
      <c r="B4123" t="s">
        <v>5</v>
      </c>
      <c r="C4123" t="s">
        <v>2413</v>
      </c>
      <c r="D4123" t="s">
        <v>4068</v>
      </c>
      <c r="E4123" t="s">
        <v>8</v>
      </c>
      <c r="F4123" t="s">
        <v>9</v>
      </c>
      <c r="G4123" t="s">
        <v>486</v>
      </c>
      <c r="H4123" s="7">
        <v>725</v>
      </c>
    </row>
    <row r="4124" spans="1:8" x14ac:dyDescent="0.3">
      <c r="A4124">
        <v>19547</v>
      </c>
      <c r="B4124" t="s">
        <v>5</v>
      </c>
      <c r="C4124" t="s">
        <v>1572</v>
      </c>
      <c r="D4124" t="s">
        <v>2414</v>
      </c>
      <c r="E4124" t="s">
        <v>27</v>
      </c>
      <c r="F4124" t="s">
        <v>9</v>
      </c>
      <c r="G4124" t="s">
        <v>4835</v>
      </c>
      <c r="H4124" s="7">
        <v>725</v>
      </c>
    </row>
    <row r="4125" spans="1:8" x14ac:dyDescent="0.3">
      <c r="A4125">
        <v>19552</v>
      </c>
      <c r="B4125" t="s">
        <v>1520</v>
      </c>
      <c r="C4125" t="s">
        <v>2807</v>
      </c>
      <c r="D4125" t="s">
        <v>4193</v>
      </c>
      <c r="E4125" t="s">
        <v>27</v>
      </c>
      <c r="F4125" t="s">
        <v>381</v>
      </c>
      <c r="G4125" t="s">
        <v>3700</v>
      </c>
      <c r="H4125" s="7">
        <v>49509</v>
      </c>
    </row>
    <row r="4126" spans="1:8" x14ac:dyDescent="0.3">
      <c r="A4126">
        <v>19556</v>
      </c>
      <c r="B4126" t="s">
        <v>4459</v>
      </c>
      <c r="C4126" t="s">
        <v>4524</v>
      </c>
      <c r="D4126" t="s">
        <v>2245</v>
      </c>
      <c r="E4126" t="s">
        <v>27</v>
      </c>
      <c r="F4126" t="s">
        <v>21</v>
      </c>
      <c r="G4126" t="s">
        <v>342</v>
      </c>
      <c r="H4126" s="7">
        <v>92069</v>
      </c>
    </row>
    <row r="4127" spans="1:8" x14ac:dyDescent="0.3">
      <c r="A4127">
        <v>19558</v>
      </c>
      <c r="B4127" t="s">
        <v>4649</v>
      </c>
      <c r="C4127" t="s">
        <v>3302</v>
      </c>
      <c r="D4127" t="s">
        <v>223</v>
      </c>
      <c r="E4127" t="s">
        <v>27</v>
      </c>
      <c r="F4127" t="s">
        <v>308</v>
      </c>
      <c r="G4127" t="s">
        <v>4690</v>
      </c>
      <c r="H4127" s="7">
        <v>7055</v>
      </c>
    </row>
    <row r="4128" spans="1:8" x14ac:dyDescent="0.3">
      <c r="A4128">
        <v>19566</v>
      </c>
      <c r="B4128" t="s">
        <v>2504</v>
      </c>
      <c r="C4128" t="s">
        <v>1653</v>
      </c>
      <c r="D4128" t="s">
        <v>5265</v>
      </c>
      <c r="E4128" t="s">
        <v>8</v>
      </c>
      <c r="F4128" t="s">
        <v>21</v>
      </c>
      <c r="G4128" t="s">
        <v>4369</v>
      </c>
      <c r="H4128" s="7">
        <v>90660</v>
      </c>
    </row>
    <row r="4129" spans="1:8" x14ac:dyDescent="0.3">
      <c r="A4129">
        <v>19569</v>
      </c>
      <c r="B4129" t="s">
        <v>842</v>
      </c>
      <c r="C4129" t="s">
        <v>2358</v>
      </c>
      <c r="D4129" t="s">
        <v>2359</v>
      </c>
      <c r="E4129" t="s">
        <v>95</v>
      </c>
      <c r="F4129" t="s">
        <v>381</v>
      </c>
      <c r="G4129" t="s">
        <v>2360</v>
      </c>
      <c r="H4129" s="7">
        <v>48180</v>
      </c>
    </row>
    <row r="4130" spans="1:8" x14ac:dyDescent="0.3">
      <c r="A4130">
        <v>19570</v>
      </c>
      <c r="B4130" t="s">
        <v>985</v>
      </c>
      <c r="C4130" t="s">
        <v>2271</v>
      </c>
      <c r="D4130" t="s">
        <v>863</v>
      </c>
      <c r="E4130" t="s">
        <v>95</v>
      </c>
      <c r="F4130" t="s">
        <v>21</v>
      </c>
      <c r="G4130" t="s">
        <v>2357</v>
      </c>
      <c r="H4130" s="7">
        <v>94553</v>
      </c>
    </row>
    <row r="4131" spans="1:8" x14ac:dyDescent="0.3">
      <c r="A4131">
        <v>19571</v>
      </c>
      <c r="B4131" t="s">
        <v>5</v>
      </c>
      <c r="C4131" t="s">
        <v>841</v>
      </c>
      <c r="D4131" t="s">
        <v>2175</v>
      </c>
      <c r="E4131" t="s">
        <v>95</v>
      </c>
      <c r="F4131" t="s">
        <v>9</v>
      </c>
      <c r="G4131" t="s">
        <v>2356</v>
      </c>
      <c r="H4131" s="7">
        <v>725</v>
      </c>
    </row>
    <row r="4132" spans="1:8" x14ac:dyDescent="0.3">
      <c r="A4132">
        <v>19573</v>
      </c>
      <c r="B4132" t="s">
        <v>5</v>
      </c>
      <c r="C4132" t="s">
        <v>1866</v>
      </c>
      <c r="D4132" t="s">
        <v>4777</v>
      </c>
      <c r="E4132" t="s">
        <v>95</v>
      </c>
      <c r="F4132" t="s">
        <v>9</v>
      </c>
      <c r="G4132" t="s">
        <v>5100</v>
      </c>
      <c r="H4132" s="7">
        <v>725</v>
      </c>
    </row>
    <row r="4133" spans="1:8" x14ac:dyDescent="0.3">
      <c r="A4133">
        <v>19576</v>
      </c>
      <c r="B4133" t="s">
        <v>5</v>
      </c>
      <c r="C4133" t="s">
        <v>3104</v>
      </c>
      <c r="D4133" t="s">
        <v>82</v>
      </c>
      <c r="E4133" t="s">
        <v>95</v>
      </c>
      <c r="F4133" t="s">
        <v>9</v>
      </c>
      <c r="G4133" t="s">
        <v>1734</v>
      </c>
      <c r="H4133" s="7">
        <v>725</v>
      </c>
    </row>
    <row r="4134" spans="1:8" x14ac:dyDescent="0.3">
      <c r="A4134">
        <v>19583</v>
      </c>
      <c r="B4134" t="s">
        <v>1635</v>
      </c>
      <c r="C4134" t="s">
        <v>4847</v>
      </c>
      <c r="D4134" t="s">
        <v>1183</v>
      </c>
      <c r="E4134" t="s">
        <v>8</v>
      </c>
      <c r="F4134" t="s">
        <v>1177</v>
      </c>
      <c r="G4134" t="s">
        <v>1847</v>
      </c>
      <c r="H4134" s="7">
        <v>87111</v>
      </c>
    </row>
    <row r="4135" spans="1:8" x14ac:dyDescent="0.3">
      <c r="A4135">
        <v>19588</v>
      </c>
      <c r="B4135" t="s">
        <v>5</v>
      </c>
      <c r="C4135" t="s">
        <v>543</v>
      </c>
      <c r="D4135" t="s">
        <v>5562</v>
      </c>
      <c r="E4135" t="s">
        <v>8</v>
      </c>
      <c r="F4135" t="s">
        <v>9</v>
      </c>
      <c r="G4135" t="s">
        <v>4567</v>
      </c>
      <c r="H4135" s="7">
        <v>725</v>
      </c>
    </row>
    <row r="4136" spans="1:8" x14ac:dyDescent="0.3">
      <c r="A4136">
        <v>19594</v>
      </c>
      <c r="B4136" t="s">
        <v>2635</v>
      </c>
      <c r="C4136" t="s">
        <v>1807</v>
      </c>
      <c r="D4136" t="s">
        <v>2566</v>
      </c>
      <c r="E4136" t="s">
        <v>8</v>
      </c>
      <c r="F4136" t="s">
        <v>140</v>
      </c>
      <c r="G4136" t="s">
        <v>5561</v>
      </c>
      <c r="H4136" s="7">
        <v>30096</v>
      </c>
    </row>
    <row r="4137" spans="1:8" x14ac:dyDescent="0.3">
      <c r="A4137">
        <v>19596</v>
      </c>
      <c r="B4137" t="s">
        <v>1672</v>
      </c>
      <c r="C4137" t="s">
        <v>1136</v>
      </c>
      <c r="D4137" t="s">
        <v>3931</v>
      </c>
      <c r="E4137" t="s">
        <v>8</v>
      </c>
      <c r="F4137" t="s">
        <v>21</v>
      </c>
      <c r="G4137" t="s">
        <v>1674</v>
      </c>
      <c r="H4137" s="7">
        <v>94558</v>
      </c>
    </row>
    <row r="4138" spans="1:8" x14ac:dyDescent="0.3">
      <c r="A4138">
        <v>19597</v>
      </c>
      <c r="B4138" t="s">
        <v>2352</v>
      </c>
      <c r="C4138" t="s">
        <v>2353</v>
      </c>
      <c r="D4138" t="s">
        <v>2354</v>
      </c>
      <c r="E4138" t="s">
        <v>8</v>
      </c>
      <c r="F4138" t="s">
        <v>729</v>
      </c>
      <c r="G4138" t="s">
        <v>2355</v>
      </c>
      <c r="H4138" s="7">
        <v>80231</v>
      </c>
    </row>
    <row r="4139" spans="1:8" x14ac:dyDescent="0.3">
      <c r="A4139">
        <v>19598</v>
      </c>
      <c r="B4139" t="s">
        <v>1179</v>
      </c>
      <c r="C4139" t="s">
        <v>1513</v>
      </c>
      <c r="D4139" t="s">
        <v>1016</v>
      </c>
      <c r="E4139" t="s">
        <v>8</v>
      </c>
      <c r="F4139" t="s">
        <v>88</v>
      </c>
      <c r="G4139" t="s">
        <v>2351</v>
      </c>
      <c r="H4139" s="7">
        <v>11520</v>
      </c>
    </row>
    <row r="4140" spans="1:8" x14ac:dyDescent="0.3">
      <c r="A4140">
        <v>19599</v>
      </c>
      <c r="B4140" t="s">
        <v>5</v>
      </c>
      <c r="C4140" t="s">
        <v>2349</v>
      </c>
      <c r="D4140" t="s">
        <v>968</v>
      </c>
      <c r="E4140" t="s">
        <v>8</v>
      </c>
      <c r="F4140" t="s">
        <v>9</v>
      </c>
      <c r="G4140" t="s">
        <v>2350</v>
      </c>
      <c r="H4140" s="7">
        <v>725</v>
      </c>
    </row>
    <row r="4141" spans="1:8" x14ac:dyDescent="0.3">
      <c r="A4141">
        <v>19600</v>
      </c>
      <c r="B4141" t="s">
        <v>246</v>
      </c>
      <c r="C4141" t="s">
        <v>39</v>
      </c>
      <c r="D4141" t="s">
        <v>2348</v>
      </c>
      <c r="E4141" t="s">
        <v>27</v>
      </c>
      <c r="F4141" t="s">
        <v>248</v>
      </c>
      <c r="G4141" t="s">
        <v>1958</v>
      </c>
      <c r="H4141" s="7">
        <v>44136</v>
      </c>
    </row>
    <row r="4142" spans="1:8" x14ac:dyDescent="0.3">
      <c r="A4142">
        <v>19611</v>
      </c>
      <c r="B4142" t="s">
        <v>1162</v>
      </c>
      <c r="C4142" t="s">
        <v>3220</v>
      </c>
      <c r="D4142" t="s">
        <v>3471</v>
      </c>
      <c r="E4142" t="s">
        <v>95</v>
      </c>
      <c r="F4142" t="s">
        <v>21</v>
      </c>
      <c r="G4142" t="s">
        <v>5461</v>
      </c>
      <c r="H4142" s="7">
        <v>94086</v>
      </c>
    </row>
    <row r="4143" spans="1:8" x14ac:dyDescent="0.3">
      <c r="A4143">
        <v>19622</v>
      </c>
      <c r="B4143" t="s">
        <v>174</v>
      </c>
      <c r="C4143" t="s">
        <v>3129</v>
      </c>
      <c r="D4143" t="s">
        <v>1711</v>
      </c>
      <c r="E4143" t="s">
        <v>95</v>
      </c>
      <c r="F4143" t="s">
        <v>21</v>
      </c>
      <c r="G4143" t="s">
        <v>705</v>
      </c>
      <c r="H4143" s="7">
        <v>90042</v>
      </c>
    </row>
    <row r="4144" spans="1:8" x14ac:dyDescent="0.3">
      <c r="A4144">
        <v>19624</v>
      </c>
      <c r="B4144" t="s">
        <v>1132</v>
      </c>
      <c r="C4144" t="s">
        <v>3113</v>
      </c>
      <c r="D4144" t="s">
        <v>241</v>
      </c>
      <c r="E4144" t="s">
        <v>95</v>
      </c>
      <c r="F4144" t="s">
        <v>21</v>
      </c>
      <c r="G4144" t="s">
        <v>5452</v>
      </c>
      <c r="H4144" s="7">
        <v>92084</v>
      </c>
    </row>
    <row r="4145" spans="1:8" x14ac:dyDescent="0.3">
      <c r="A4145">
        <v>19625</v>
      </c>
      <c r="B4145" t="s">
        <v>5</v>
      </c>
      <c r="C4145" t="s">
        <v>1653</v>
      </c>
      <c r="D4145" t="s">
        <v>3449</v>
      </c>
      <c r="E4145" t="s">
        <v>27</v>
      </c>
      <c r="F4145" t="s">
        <v>9</v>
      </c>
      <c r="G4145" t="s">
        <v>5026</v>
      </c>
      <c r="H4145" s="7">
        <v>725</v>
      </c>
    </row>
    <row r="4146" spans="1:8" x14ac:dyDescent="0.3">
      <c r="A4146">
        <v>19630</v>
      </c>
      <c r="B4146" t="s">
        <v>4215</v>
      </c>
      <c r="C4146" t="s">
        <v>1437</v>
      </c>
      <c r="D4146" t="s">
        <v>1555</v>
      </c>
      <c r="E4146" t="s">
        <v>27</v>
      </c>
      <c r="F4146" t="s">
        <v>242</v>
      </c>
      <c r="G4146" t="s">
        <v>4806</v>
      </c>
      <c r="H4146" s="7">
        <v>21234</v>
      </c>
    </row>
    <row r="4147" spans="1:8" x14ac:dyDescent="0.3">
      <c r="A4147">
        <v>19631</v>
      </c>
      <c r="B4147" t="s">
        <v>1307</v>
      </c>
      <c r="C4147" t="s">
        <v>1532</v>
      </c>
      <c r="D4147" t="s">
        <v>87</v>
      </c>
      <c r="E4147" t="s">
        <v>27</v>
      </c>
      <c r="F4147" t="s">
        <v>158</v>
      </c>
      <c r="G4147" t="s">
        <v>2347</v>
      </c>
      <c r="H4147" s="7">
        <v>37922</v>
      </c>
    </row>
    <row r="4148" spans="1:8" x14ac:dyDescent="0.3">
      <c r="A4148">
        <v>19632</v>
      </c>
      <c r="B4148" t="s">
        <v>5</v>
      </c>
      <c r="C4148" t="s">
        <v>2344</v>
      </c>
      <c r="D4148" t="s">
        <v>2345</v>
      </c>
      <c r="E4148" t="s">
        <v>27</v>
      </c>
      <c r="F4148" t="s">
        <v>9</v>
      </c>
      <c r="G4148" t="s">
        <v>2346</v>
      </c>
      <c r="H4148" s="7">
        <v>725</v>
      </c>
    </row>
    <row r="4149" spans="1:8" x14ac:dyDescent="0.3">
      <c r="A4149">
        <v>19645</v>
      </c>
      <c r="B4149" t="s">
        <v>4465</v>
      </c>
      <c r="C4149" t="s">
        <v>4818</v>
      </c>
      <c r="D4149" t="s">
        <v>2175</v>
      </c>
      <c r="E4149" t="s">
        <v>8</v>
      </c>
      <c r="F4149" t="s">
        <v>242</v>
      </c>
      <c r="G4149" t="s">
        <v>4906</v>
      </c>
      <c r="H4149" s="7">
        <v>21401</v>
      </c>
    </row>
    <row r="4150" spans="1:8" x14ac:dyDescent="0.3">
      <c r="A4150">
        <v>19653</v>
      </c>
      <c r="B4150" t="s">
        <v>2386</v>
      </c>
      <c r="C4150" t="s">
        <v>3038</v>
      </c>
      <c r="D4150" t="s">
        <v>4469</v>
      </c>
      <c r="E4150" t="s">
        <v>8</v>
      </c>
      <c r="F4150" t="s">
        <v>36</v>
      </c>
      <c r="G4150" t="s">
        <v>5558</v>
      </c>
      <c r="H4150" s="7">
        <v>2124</v>
      </c>
    </row>
    <row r="4151" spans="1:8" x14ac:dyDescent="0.3">
      <c r="A4151">
        <v>19654</v>
      </c>
      <c r="B4151" t="s">
        <v>5</v>
      </c>
      <c r="C4151" t="s">
        <v>909</v>
      </c>
      <c r="D4151" t="s">
        <v>1225</v>
      </c>
      <c r="E4151" t="s">
        <v>8</v>
      </c>
      <c r="F4151" t="s">
        <v>9</v>
      </c>
      <c r="G4151" t="s">
        <v>2343</v>
      </c>
      <c r="H4151" s="7">
        <v>725</v>
      </c>
    </row>
    <row r="4152" spans="1:8" x14ac:dyDescent="0.3">
      <c r="A4152">
        <v>19656</v>
      </c>
      <c r="B4152" t="s">
        <v>1116</v>
      </c>
      <c r="C4152" t="s">
        <v>5557</v>
      </c>
      <c r="D4152" t="s">
        <v>3969</v>
      </c>
      <c r="E4152" t="s">
        <v>8</v>
      </c>
      <c r="F4152" t="s">
        <v>1118</v>
      </c>
      <c r="G4152" t="s">
        <v>3213</v>
      </c>
      <c r="H4152" s="7">
        <v>55112</v>
      </c>
    </row>
    <row r="4153" spans="1:8" x14ac:dyDescent="0.3">
      <c r="A4153">
        <v>19658</v>
      </c>
      <c r="B4153" t="s">
        <v>1672</v>
      </c>
      <c r="C4153" t="s">
        <v>2340</v>
      </c>
      <c r="D4153" t="s">
        <v>2341</v>
      </c>
      <c r="E4153" t="s">
        <v>8</v>
      </c>
      <c r="F4153" t="s">
        <v>21</v>
      </c>
      <c r="G4153" t="s">
        <v>2342</v>
      </c>
      <c r="H4153" s="7">
        <v>94558</v>
      </c>
    </row>
    <row r="4154" spans="1:8" x14ac:dyDescent="0.3">
      <c r="A4154">
        <v>19660</v>
      </c>
      <c r="B4154" t="s">
        <v>142</v>
      </c>
      <c r="C4154" t="s">
        <v>2946</v>
      </c>
      <c r="D4154" t="s">
        <v>4000</v>
      </c>
      <c r="E4154" t="s">
        <v>8</v>
      </c>
      <c r="F4154" t="s">
        <v>88</v>
      </c>
      <c r="G4154" t="s">
        <v>5137</v>
      </c>
      <c r="H4154" s="7">
        <v>10462</v>
      </c>
    </row>
    <row r="4155" spans="1:8" x14ac:dyDescent="0.3">
      <c r="A4155">
        <v>19670</v>
      </c>
      <c r="B4155" t="s">
        <v>2337</v>
      </c>
      <c r="C4155" t="s">
        <v>2338</v>
      </c>
      <c r="D4155" t="s">
        <v>1158</v>
      </c>
      <c r="E4155" t="s">
        <v>95</v>
      </c>
      <c r="F4155" t="s">
        <v>153</v>
      </c>
      <c r="G4155" t="s">
        <v>2339</v>
      </c>
      <c r="H4155" s="7">
        <v>84404</v>
      </c>
    </row>
    <row r="4156" spans="1:8" x14ac:dyDescent="0.3">
      <c r="A4156">
        <v>19678</v>
      </c>
      <c r="B4156" t="s">
        <v>1859</v>
      </c>
      <c r="C4156" t="s">
        <v>3330</v>
      </c>
      <c r="D4156" t="s">
        <v>3921</v>
      </c>
      <c r="E4156" t="s">
        <v>27</v>
      </c>
      <c r="F4156" t="s">
        <v>114</v>
      </c>
      <c r="G4156" t="s">
        <v>3164</v>
      </c>
      <c r="H4156" s="7">
        <v>79109</v>
      </c>
    </row>
    <row r="4157" spans="1:8" x14ac:dyDescent="0.3">
      <c r="A4157">
        <v>19680</v>
      </c>
      <c r="B4157" t="s">
        <v>474</v>
      </c>
      <c r="C4157" t="s">
        <v>318</v>
      </c>
      <c r="D4157" t="s">
        <v>4319</v>
      </c>
      <c r="E4157" t="s">
        <v>27</v>
      </c>
      <c r="F4157" t="s">
        <v>140</v>
      </c>
      <c r="G4157" t="s">
        <v>5138</v>
      </c>
      <c r="H4157" s="7">
        <v>30906</v>
      </c>
    </row>
    <row r="4158" spans="1:8" x14ac:dyDescent="0.3">
      <c r="A4158">
        <v>19689</v>
      </c>
      <c r="B4158" t="s">
        <v>3146</v>
      </c>
      <c r="C4158" t="s">
        <v>2090</v>
      </c>
      <c r="D4158" t="s">
        <v>1663</v>
      </c>
      <c r="E4158" t="s">
        <v>8</v>
      </c>
      <c r="F4158" t="s">
        <v>1979</v>
      </c>
      <c r="G4158" t="s">
        <v>4350</v>
      </c>
      <c r="H4158" s="7">
        <v>74012</v>
      </c>
    </row>
    <row r="4159" spans="1:8" x14ac:dyDescent="0.3">
      <c r="A4159">
        <v>19694</v>
      </c>
      <c r="B4159" t="s">
        <v>619</v>
      </c>
      <c r="C4159" t="s">
        <v>1824</v>
      </c>
      <c r="D4159" t="s">
        <v>2336</v>
      </c>
      <c r="E4159" t="s">
        <v>8</v>
      </c>
      <c r="F4159" t="s">
        <v>448</v>
      </c>
      <c r="G4159" t="s">
        <v>1187</v>
      </c>
      <c r="H4159" s="7">
        <v>33055</v>
      </c>
    </row>
    <row r="4160" spans="1:8" x14ac:dyDescent="0.3">
      <c r="A4160">
        <v>19695</v>
      </c>
      <c r="B4160" t="s">
        <v>5</v>
      </c>
      <c r="C4160" t="s">
        <v>1308</v>
      </c>
      <c r="D4160" t="s">
        <v>1300</v>
      </c>
      <c r="E4160" t="s">
        <v>8</v>
      </c>
      <c r="F4160" t="s">
        <v>9</v>
      </c>
      <c r="G4160" t="s">
        <v>2335</v>
      </c>
      <c r="H4160" s="7">
        <v>725</v>
      </c>
    </row>
    <row r="4161" spans="1:8" x14ac:dyDescent="0.3">
      <c r="A4161">
        <v>19696</v>
      </c>
      <c r="B4161" t="s">
        <v>142</v>
      </c>
      <c r="C4161" t="s">
        <v>1905</v>
      </c>
      <c r="D4161" t="s">
        <v>2038</v>
      </c>
      <c r="E4161" t="s">
        <v>27</v>
      </c>
      <c r="F4161" t="s">
        <v>88</v>
      </c>
      <c r="G4161" t="s">
        <v>2334</v>
      </c>
      <c r="H4161" s="7">
        <v>10462</v>
      </c>
    </row>
    <row r="4162" spans="1:8" x14ac:dyDescent="0.3">
      <c r="A4162">
        <v>19710</v>
      </c>
      <c r="B4162" t="s">
        <v>5</v>
      </c>
      <c r="C4162" t="s">
        <v>1900</v>
      </c>
      <c r="D4162" t="s">
        <v>53</v>
      </c>
      <c r="E4162" t="s">
        <v>95</v>
      </c>
      <c r="F4162" t="s">
        <v>9</v>
      </c>
      <c r="G4162" t="s">
        <v>4871</v>
      </c>
      <c r="H4162" s="7">
        <v>725</v>
      </c>
    </row>
    <row r="4163" spans="1:8" x14ac:dyDescent="0.3">
      <c r="A4163">
        <v>19715</v>
      </c>
      <c r="B4163" t="s">
        <v>2330</v>
      </c>
      <c r="C4163" t="s">
        <v>2331</v>
      </c>
      <c r="D4163" t="s">
        <v>2332</v>
      </c>
      <c r="E4163" t="s">
        <v>27</v>
      </c>
      <c r="F4163" t="s">
        <v>1177</v>
      </c>
      <c r="G4163" t="s">
        <v>2333</v>
      </c>
      <c r="H4163" s="7">
        <v>87124</v>
      </c>
    </row>
    <row r="4164" spans="1:8" x14ac:dyDescent="0.3">
      <c r="A4164">
        <v>19716</v>
      </c>
      <c r="B4164" t="s">
        <v>5</v>
      </c>
      <c r="C4164" t="s">
        <v>2328</v>
      </c>
      <c r="D4164" t="s">
        <v>2128</v>
      </c>
      <c r="E4164" t="s">
        <v>8</v>
      </c>
      <c r="F4164" t="s">
        <v>9</v>
      </c>
      <c r="G4164" t="s">
        <v>2329</v>
      </c>
      <c r="H4164" s="7">
        <v>725</v>
      </c>
    </row>
    <row r="4165" spans="1:8" x14ac:dyDescent="0.3">
      <c r="A4165">
        <v>19717</v>
      </c>
      <c r="B4165" t="s">
        <v>2325</v>
      </c>
      <c r="C4165" t="s">
        <v>2025</v>
      </c>
      <c r="D4165" t="s">
        <v>2326</v>
      </c>
      <c r="E4165" t="s">
        <v>27</v>
      </c>
      <c r="F4165" t="s">
        <v>21</v>
      </c>
      <c r="G4165" t="s">
        <v>2327</v>
      </c>
      <c r="H4165" s="7">
        <v>94509</v>
      </c>
    </row>
    <row r="4166" spans="1:8" x14ac:dyDescent="0.3">
      <c r="A4166">
        <v>19719</v>
      </c>
      <c r="B4166" t="s">
        <v>343</v>
      </c>
      <c r="C4166" t="s">
        <v>2323</v>
      </c>
      <c r="D4166" t="s">
        <v>2282</v>
      </c>
      <c r="E4166" t="s">
        <v>8</v>
      </c>
      <c r="F4166" t="s">
        <v>248</v>
      </c>
      <c r="G4166" t="s">
        <v>2324</v>
      </c>
      <c r="H4166" s="7">
        <v>43228</v>
      </c>
    </row>
    <row r="4167" spans="1:8" x14ac:dyDescent="0.3">
      <c r="A4167">
        <v>19720</v>
      </c>
      <c r="B4167" t="s">
        <v>5</v>
      </c>
      <c r="C4167" t="s">
        <v>19</v>
      </c>
      <c r="D4167" t="s">
        <v>1470</v>
      </c>
      <c r="E4167" t="s">
        <v>8</v>
      </c>
      <c r="F4167" t="s">
        <v>9</v>
      </c>
      <c r="G4167" t="s">
        <v>2322</v>
      </c>
      <c r="H4167" s="7">
        <v>725</v>
      </c>
    </row>
    <row r="4168" spans="1:8" x14ac:dyDescent="0.3">
      <c r="A4168">
        <v>19723</v>
      </c>
      <c r="B4168" t="s">
        <v>5</v>
      </c>
      <c r="C4168" t="s">
        <v>359</v>
      </c>
      <c r="D4168" t="s">
        <v>4452</v>
      </c>
      <c r="E4168" t="s">
        <v>8</v>
      </c>
      <c r="F4168" t="s">
        <v>9</v>
      </c>
      <c r="G4168" t="s">
        <v>4801</v>
      </c>
      <c r="H4168" s="7">
        <v>725</v>
      </c>
    </row>
    <row r="4169" spans="1:8" x14ac:dyDescent="0.3">
      <c r="A4169">
        <v>19724</v>
      </c>
      <c r="B4169" t="s">
        <v>4106</v>
      </c>
      <c r="C4169" t="s">
        <v>5186</v>
      </c>
      <c r="D4169" t="s">
        <v>2631</v>
      </c>
      <c r="E4169" t="s">
        <v>8</v>
      </c>
      <c r="F4169" t="s">
        <v>21</v>
      </c>
      <c r="G4169" t="s">
        <v>5127</v>
      </c>
      <c r="H4169" s="7">
        <v>91710</v>
      </c>
    </row>
    <row r="4170" spans="1:8" x14ac:dyDescent="0.3">
      <c r="A4170">
        <v>19729</v>
      </c>
      <c r="B4170" t="s">
        <v>5</v>
      </c>
      <c r="C4170" t="s">
        <v>598</v>
      </c>
      <c r="D4170" t="s">
        <v>1944</v>
      </c>
      <c r="E4170" t="s">
        <v>27</v>
      </c>
      <c r="F4170" t="s">
        <v>9</v>
      </c>
      <c r="G4170" t="s">
        <v>5554</v>
      </c>
      <c r="H4170" s="7">
        <v>725</v>
      </c>
    </row>
    <row r="4171" spans="1:8" x14ac:dyDescent="0.3">
      <c r="A4171">
        <v>19739</v>
      </c>
      <c r="B4171" t="s">
        <v>2325</v>
      </c>
      <c r="C4171" t="s">
        <v>1691</v>
      </c>
      <c r="D4171" t="s">
        <v>4011</v>
      </c>
      <c r="E4171" t="s">
        <v>8</v>
      </c>
      <c r="F4171" t="s">
        <v>21</v>
      </c>
      <c r="G4171" t="s">
        <v>5197</v>
      </c>
      <c r="H4171" s="7">
        <v>94509</v>
      </c>
    </row>
    <row r="4172" spans="1:8" x14ac:dyDescent="0.3">
      <c r="A4172">
        <v>19746</v>
      </c>
      <c r="B4172" t="s">
        <v>5</v>
      </c>
      <c r="C4172" t="s">
        <v>1369</v>
      </c>
      <c r="D4172" t="s">
        <v>2944</v>
      </c>
      <c r="E4172" t="s">
        <v>27</v>
      </c>
      <c r="F4172" t="s">
        <v>9</v>
      </c>
      <c r="G4172" t="s">
        <v>4448</v>
      </c>
      <c r="H4172" s="7">
        <v>725</v>
      </c>
    </row>
    <row r="4173" spans="1:8" x14ac:dyDescent="0.3">
      <c r="A4173">
        <v>19757</v>
      </c>
      <c r="B4173" t="s">
        <v>5</v>
      </c>
      <c r="C4173" t="s">
        <v>1557</v>
      </c>
      <c r="D4173" t="s">
        <v>1591</v>
      </c>
      <c r="E4173" t="s">
        <v>95</v>
      </c>
      <c r="F4173" t="s">
        <v>9</v>
      </c>
      <c r="G4173" t="s">
        <v>2320</v>
      </c>
      <c r="H4173" s="7">
        <v>725</v>
      </c>
    </row>
    <row r="4174" spans="1:8" x14ac:dyDescent="0.3">
      <c r="A4174">
        <v>19768</v>
      </c>
      <c r="B4174" t="s">
        <v>4085</v>
      </c>
      <c r="C4174" t="s">
        <v>3623</v>
      </c>
      <c r="D4174" t="s">
        <v>2670</v>
      </c>
      <c r="E4174" t="s">
        <v>27</v>
      </c>
      <c r="F4174" t="s">
        <v>21</v>
      </c>
      <c r="G4174" t="s">
        <v>4849</v>
      </c>
      <c r="H4174" s="7">
        <v>93277</v>
      </c>
    </row>
    <row r="4175" spans="1:8" x14ac:dyDescent="0.3">
      <c r="A4175">
        <v>19776</v>
      </c>
      <c r="B4175" t="s">
        <v>4660</v>
      </c>
      <c r="C4175" t="s">
        <v>4202</v>
      </c>
      <c r="D4175" t="s">
        <v>2614</v>
      </c>
      <c r="E4175" t="s">
        <v>95</v>
      </c>
      <c r="F4175" t="s">
        <v>2142</v>
      </c>
      <c r="G4175" t="s">
        <v>5022</v>
      </c>
      <c r="H4175" s="7">
        <v>26003</v>
      </c>
    </row>
    <row r="4176" spans="1:8" x14ac:dyDescent="0.3">
      <c r="A4176">
        <v>19778</v>
      </c>
      <c r="B4176" t="s">
        <v>2738</v>
      </c>
      <c r="C4176" t="s">
        <v>1175</v>
      </c>
      <c r="D4176" t="s">
        <v>390</v>
      </c>
      <c r="E4176" t="s">
        <v>8</v>
      </c>
      <c r="F4176" t="s">
        <v>21</v>
      </c>
      <c r="G4176" t="s">
        <v>1684</v>
      </c>
      <c r="H4176" s="7">
        <v>93030</v>
      </c>
    </row>
    <row r="4177" spans="1:8" x14ac:dyDescent="0.3">
      <c r="A4177">
        <v>19779</v>
      </c>
      <c r="B4177" t="s">
        <v>1293</v>
      </c>
      <c r="C4177" t="s">
        <v>2396</v>
      </c>
      <c r="D4177" t="s">
        <v>623</v>
      </c>
      <c r="E4177" t="s">
        <v>8</v>
      </c>
      <c r="F4177" t="s">
        <v>190</v>
      </c>
      <c r="G4177" t="s">
        <v>3067</v>
      </c>
      <c r="H4177" s="7">
        <v>85283</v>
      </c>
    </row>
    <row r="4178" spans="1:8" x14ac:dyDescent="0.3">
      <c r="A4178">
        <v>19780</v>
      </c>
      <c r="B4178" t="s">
        <v>5</v>
      </c>
      <c r="C4178" t="s">
        <v>1443</v>
      </c>
      <c r="D4178" t="s">
        <v>1444</v>
      </c>
      <c r="E4178" t="s">
        <v>8</v>
      </c>
      <c r="F4178" t="s">
        <v>9</v>
      </c>
      <c r="G4178" t="s">
        <v>1445</v>
      </c>
      <c r="H4178" s="7">
        <v>725</v>
      </c>
    </row>
    <row r="4179" spans="1:8" x14ac:dyDescent="0.3">
      <c r="A4179">
        <v>19781</v>
      </c>
      <c r="B4179" t="s">
        <v>2541</v>
      </c>
      <c r="C4179" t="s">
        <v>3062</v>
      </c>
      <c r="D4179" t="s">
        <v>2464</v>
      </c>
      <c r="E4179" t="s">
        <v>8</v>
      </c>
      <c r="F4179" t="s">
        <v>448</v>
      </c>
      <c r="G4179" t="s">
        <v>3063</v>
      </c>
      <c r="H4179" s="7">
        <v>32225</v>
      </c>
    </row>
    <row r="4180" spans="1:8" x14ac:dyDescent="0.3">
      <c r="A4180">
        <v>19783</v>
      </c>
      <c r="B4180" t="s">
        <v>1520</v>
      </c>
      <c r="C4180" t="s">
        <v>272</v>
      </c>
      <c r="D4180" t="s">
        <v>939</v>
      </c>
      <c r="E4180" t="s">
        <v>27</v>
      </c>
      <c r="F4180" t="s">
        <v>381</v>
      </c>
      <c r="G4180" t="s">
        <v>1521</v>
      </c>
      <c r="H4180" s="7">
        <v>49509</v>
      </c>
    </row>
    <row r="4181" spans="1:8" x14ac:dyDescent="0.3">
      <c r="A4181">
        <v>19787</v>
      </c>
      <c r="B4181" t="s">
        <v>647</v>
      </c>
      <c r="C4181" t="s">
        <v>2133</v>
      </c>
      <c r="D4181" t="s">
        <v>3381</v>
      </c>
      <c r="E4181" t="s">
        <v>27</v>
      </c>
      <c r="F4181" t="s">
        <v>308</v>
      </c>
      <c r="G4181" t="s">
        <v>96</v>
      </c>
      <c r="H4181" s="7">
        <v>8854</v>
      </c>
    </row>
    <row r="4182" spans="1:8" x14ac:dyDescent="0.3">
      <c r="A4182">
        <v>19793</v>
      </c>
      <c r="B4182" t="s">
        <v>396</v>
      </c>
      <c r="C4182" t="s">
        <v>183</v>
      </c>
      <c r="D4182" t="s">
        <v>53</v>
      </c>
      <c r="E4182" t="s">
        <v>27</v>
      </c>
      <c r="F4182" t="s">
        <v>248</v>
      </c>
      <c r="G4182" t="s">
        <v>4115</v>
      </c>
      <c r="H4182" s="7">
        <v>45013</v>
      </c>
    </row>
    <row r="4183" spans="1:8" x14ac:dyDescent="0.3">
      <c r="A4183">
        <v>19800</v>
      </c>
      <c r="B4183" t="s">
        <v>699</v>
      </c>
      <c r="C4183" t="s">
        <v>2574</v>
      </c>
      <c r="D4183" t="s">
        <v>2575</v>
      </c>
      <c r="E4183" t="s">
        <v>8</v>
      </c>
      <c r="F4183" t="s">
        <v>114</v>
      </c>
      <c r="G4183" t="s">
        <v>2576</v>
      </c>
      <c r="H4183" s="7">
        <v>77083</v>
      </c>
    </row>
    <row r="4184" spans="1:8" x14ac:dyDescent="0.3">
      <c r="A4184">
        <v>19801</v>
      </c>
      <c r="B4184" t="s">
        <v>443</v>
      </c>
      <c r="C4184" t="s">
        <v>872</v>
      </c>
      <c r="D4184" t="s">
        <v>1699</v>
      </c>
      <c r="E4184" t="s">
        <v>95</v>
      </c>
      <c r="F4184" t="s">
        <v>108</v>
      </c>
      <c r="G4184" t="s">
        <v>3130</v>
      </c>
      <c r="H4184" s="7">
        <v>97206</v>
      </c>
    </row>
    <row r="4185" spans="1:8" x14ac:dyDescent="0.3">
      <c r="A4185">
        <v>19802</v>
      </c>
      <c r="B4185" t="s">
        <v>5</v>
      </c>
      <c r="C4185" t="s">
        <v>2946</v>
      </c>
      <c r="D4185" t="s">
        <v>485</v>
      </c>
      <c r="E4185" t="s">
        <v>95</v>
      </c>
      <c r="F4185" t="s">
        <v>9</v>
      </c>
      <c r="G4185" t="s">
        <v>2211</v>
      </c>
      <c r="H4185" s="7">
        <v>725</v>
      </c>
    </row>
    <row r="4186" spans="1:8" x14ac:dyDescent="0.3">
      <c r="A4186">
        <v>19806</v>
      </c>
      <c r="B4186" t="s">
        <v>440</v>
      </c>
      <c r="C4186" t="s">
        <v>2236</v>
      </c>
      <c r="D4186" t="s">
        <v>595</v>
      </c>
      <c r="E4186" t="s">
        <v>27</v>
      </c>
      <c r="F4186" t="s">
        <v>114</v>
      </c>
      <c r="G4186" t="s">
        <v>1202</v>
      </c>
      <c r="H4186" s="7">
        <v>78223</v>
      </c>
    </row>
    <row r="4187" spans="1:8" x14ac:dyDescent="0.3">
      <c r="A4187">
        <v>19807</v>
      </c>
      <c r="B4187" t="s">
        <v>5</v>
      </c>
      <c r="C4187" t="s">
        <v>1433</v>
      </c>
      <c r="D4187" t="s">
        <v>1434</v>
      </c>
      <c r="E4187" t="s">
        <v>8</v>
      </c>
      <c r="F4187" t="s">
        <v>9</v>
      </c>
      <c r="G4187" t="s">
        <v>1435</v>
      </c>
      <c r="H4187" s="7">
        <v>725</v>
      </c>
    </row>
    <row r="4188" spans="1:8" x14ac:dyDescent="0.3">
      <c r="A4188">
        <v>19808</v>
      </c>
      <c r="B4188" t="s">
        <v>254</v>
      </c>
      <c r="C4188" t="s">
        <v>2430</v>
      </c>
      <c r="D4188" t="s">
        <v>4204</v>
      </c>
      <c r="E4188" t="s">
        <v>8</v>
      </c>
      <c r="F4188" t="s">
        <v>55</v>
      </c>
      <c r="G4188" t="s">
        <v>1193</v>
      </c>
      <c r="H4188" s="7">
        <v>60625</v>
      </c>
    </row>
    <row r="4189" spans="1:8" x14ac:dyDescent="0.3">
      <c r="A4189">
        <v>19812</v>
      </c>
      <c r="B4189" t="s">
        <v>1023</v>
      </c>
      <c r="C4189" t="s">
        <v>160</v>
      </c>
      <c r="D4189" t="s">
        <v>4203</v>
      </c>
      <c r="E4189" t="s">
        <v>27</v>
      </c>
      <c r="F4189" t="s">
        <v>21</v>
      </c>
      <c r="G4189" t="s">
        <v>5122</v>
      </c>
      <c r="H4189" s="7">
        <v>91605</v>
      </c>
    </row>
    <row r="4190" spans="1:8" x14ac:dyDescent="0.3">
      <c r="A4190">
        <v>19813</v>
      </c>
      <c r="B4190" t="s">
        <v>683</v>
      </c>
      <c r="C4190" t="s">
        <v>684</v>
      </c>
      <c r="D4190" t="s">
        <v>685</v>
      </c>
      <c r="E4190" t="s">
        <v>27</v>
      </c>
      <c r="F4190" t="s">
        <v>21</v>
      </c>
      <c r="G4190" t="s">
        <v>686</v>
      </c>
      <c r="H4190" s="7">
        <v>90703</v>
      </c>
    </row>
    <row r="4191" spans="1:8" x14ac:dyDescent="0.3">
      <c r="A4191">
        <v>19814</v>
      </c>
      <c r="B4191" t="s">
        <v>254</v>
      </c>
      <c r="C4191" t="s">
        <v>1224</v>
      </c>
      <c r="D4191" t="s">
        <v>345</v>
      </c>
      <c r="E4191" t="s">
        <v>27</v>
      </c>
      <c r="F4191" t="s">
        <v>55</v>
      </c>
      <c r="G4191" t="s">
        <v>3167</v>
      </c>
      <c r="H4191" s="7">
        <v>60621</v>
      </c>
    </row>
    <row r="4192" spans="1:8" x14ac:dyDescent="0.3">
      <c r="A4192">
        <v>19823</v>
      </c>
      <c r="B4192" t="s">
        <v>3057</v>
      </c>
      <c r="C4192" t="s">
        <v>905</v>
      </c>
      <c r="D4192" t="s">
        <v>363</v>
      </c>
      <c r="E4192" t="s">
        <v>8</v>
      </c>
      <c r="F4192" t="s">
        <v>21</v>
      </c>
      <c r="G4192" t="s">
        <v>3058</v>
      </c>
      <c r="H4192" s="7">
        <v>94538</v>
      </c>
    </row>
    <row r="4193" spans="1:8" x14ac:dyDescent="0.3">
      <c r="A4193">
        <v>19825</v>
      </c>
      <c r="B4193" t="s">
        <v>2543</v>
      </c>
      <c r="C4193" t="s">
        <v>2020</v>
      </c>
      <c r="D4193" t="s">
        <v>2892</v>
      </c>
      <c r="E4193" t="s">
        <v>8</v>
      </c>
      <c r="F4193" t="s">
        <v>88</v>
      </c>
      <c r="G4193" t="s">
        <v>2893</v>
      </c>
      <c r="H4193" s="7">
        <v>11435</v>
      </c>
    </row>
    <row r="4194" spans="1:8" x14ac:dyDescent="0.3">
      <c r="A4194">
        <v>19826</v>
      </c>
      <c r="B4194" t="s">
        <v>440</v>
      </c>
      <c r="C4194" t="s">
        <v>1045</v>
      </c>
      <c r="D4194" t="s">
        <v>375</v>
      </c>
      <c r="E4194" t="s">
        <v>8</v>
      </c>
      <c r="F4194" t="s">
        <v>114</v>
      </c>
      <c r="G4194" t="s">
        <v>1895</v>
      </c>
      <c r="H4194" s="7">
        <v>78240</v>
      </c>
    </row>
    <row r="4195" spans="1:8" x14ac:dyDescent="0.3">
      <c r="A4195">
        <v>19827</v>
      </c>
      <c r="B4195" t="s">
        <v>5</v>
      </c>
      <c r="C4195" t="s">
        <v>1057</v>
      </c>
      <c r="D4195" t="s">
        <v>3592</v>
      </c>
      <c r="E4195" t="s">
        <v>8</v>
      </c>
      <c r="F4195" t="s">
        <v>9</v>
      </c>
      <c r="G4195" t="s">
        <v>3593</v>
      </c>
      <c r="H4195" s="7">
        <v>725</v>
      </c>
    </row>
    <row r="4196" spans="1:8" x14ac:dyDescent="0.3">
      <c r="A4196">
        <v>19828</v>
      </c>
      <c r="B4196" t="s">
        <v>296</v>
      </c>
      <c r="C4196" t="s">
        <v>938</v>
      </c>
      <c r="D4196" t="s">
        <v>902</v>
      </c>
      <c r="E4196" t="s">
        <v>95</v>
      </c>
      <c r="F4196" t="s">
        <v>21</v>
      </c>
      <c r="G4196" t="s">
        <v>3687</v>
      </c>
      <c r="H4196" s="7">
        <v>91790</v>
      </c>
    </row>
    <row r="4197" spans="1:8" x14ac:dyDescent="0.3">
      <c r="A4197">
        <v>19832</v>
      </c>
      <c r="B4197" t="s">
        <v>5</v>
      </c>
      <c r="C4197" t="s">
        <v>2483</v>
      </c>
      <c r="D4197" t="s">
        <v>795</v>
      </c>
      <c r="E4197" t="s">
        <v>8</v>
      </c>
      <c r="F4197" t="s">
        <v>9</v>
      </c>
      <c r="G4197" t="s">
        <v>5368</v>
      </c>
      <c r="H4197" s="7">
        <v>725</v>
      </c>
    </row>
    <row r="4198" spans="1:8" x14ac:dyDescent="0.3">
      <c r="A4198">
        <v>19837</v>
      </c>
      <c r="B4198" t="s">
        <v>40</v>
      </c>
      <c r="C4198" t="s">
        <v>2964</v>
      </c>
      <c r="D4198" t="s">
        <v>3471</v>
      </c>
      <c r="E4198" t="s">
        <v>95</v>
      </c>
      <c r="F4198" t="s">
        <v>21</v>
      </c>
      <c r="G4198" t="s">
        <v>2688</v>
      </c>
      <c r="H4198" s="7">
        <v>93535</v>
      </c>
    </row>
    <row r="4199" spans="1:8" x14ac:dyDescent="0.3">
      <c r="A4199">
        <v>19839</v>
      </c>
      <c r="B4199" t="s">
        <v>5</v>
      </c>
      <c r="C4199" t="s">
        <v>1722</v>
      </c>
      <c r="D4199" t="s">
        <v>1723</v>
      </c>
      <c r="E4199" t="s">
        <v>95</v>
      </c>
      <c r="F4199" t="s">
        <v>9</v>
      </c>
      <c r="G4199" t="s">
        <v>566</v>
      </c>
      <c r="H4199" s="7">
        <v>725</v>
      </c>
    </row>
    <row r="4200" spans="1:8" x14ac:dyDescent="0.3">
      <c r="A4200">
        <v>19840</v>
      </c>
      <c r="B4200" t="s">
        <v>427</v>
      </c>
      <c r="C4200" t="s">
        <v>674</v>
      </c>
      <c r="D4200" t="s">
        <v>1460</v>
      </c>
      <c r="E4200" t="s">
        <v>95</v>
      </c>
      <c r="F4200" t="s">
        <v>9</v>
      </c>
      <c r="G4200" t="s">
        <v>3572</v>
      </c>
      <c r="H4200" s="7">
        <v>921</v>
      </c>
    </row>
    <row r="4201" spans="1:8" x14ac:dyDescent="0.3">
      <c r="A4201">
        <v>19841</v>
      </c>
      <c r="B4201" t="s">
        <v>1516</v>
      </c>
      <c r="C4201" t="s">
        <v>1517</v>
      </c>
      <c r="D4201" t="s">
        <v>1518</v>
      </c>
      <c r="E4201" t="s">
        <v>27</v>
      </c>
      <c r="F4201" t="s">
        <v>308</v>
      </c>
      <c r="G4201" t="s">
        <v>1519</v>
      </c>
      <c r="H4201" s="7">
        <v>7960</v>
      </c>
    </row>
    <row r="4202" spans="1:8" x14ac:dyDescent="0.3">
      <c r="A4202">
        <v>19849</v>
      </c>
      <c r="B4202" t="s">
        <v>5</v>
      </c>
      <c r="C4202" t="s">
        <v>53</v>
      </c>
      <c r="D4202" t="s">
        <v>363</v>
      </c>
      <c r="E4202" t="s">
        <v>95</v>
      </c>
      <c r="F4202" t="s">
        <v>9</v>
      </c>
      <c r="G4202" t="s">
        <v>4507</v>
      </c>
      <c r="H4202" s="7">
        <v>725</v>
      </c>
    </row>
    <row r="4203" spans="1:8" x14ac:dyDescent="0.3">
      <c r="A4203">
        <v>19861</v>
      </c>
      <c r="B4203" t="s">
        <v>5</v>
      </c>
      <c r="C4203" t="s">
        <v>1074</v>
      </c>
      <c r="D4203" t="s">
        <v>1075</v>
      </c>
      <c r="E4203" t="s">
        <v>95</v>
      </c>
      <c r="F4203" t="s">
        <v>9</v>
      </c>
      <c r="G4203" t="s">
        <v>1076</v>
      </c>
      <c r="H4203" s="7">
        <v>725</v>
      </c>
    </row>
    <row r="4204" spans="1:8" x14ac:dyDescent="0.3">
      <c r="A4204">
        <v>19863</v>
      </c>
      <c r="B4204" t="s">
        <v>601</v>
      </c>
      <c r="C4204" t="s">
        <v>643</v>
      </c>
      <c r="D4204" t="s">
        <v>852</v>
      </c>
      <c r="E4204" t="s">
        <v>8</v>
      </c>
      <c r="F4204" t="s">
        <v>114</v>
      </c>
      <c r="G4204" t="s">
        <v>5511</v>
      </c>
      <c r="H4204" s="7">
        <v>78753</v>
      </c>
    </row>
    <row r="4205" spans="1:8" x14ac:dyDescent="0.3">
      <c r="A4205">
        <v>19869</v>
      </c>
      <c r="B4205" t="s">
        <v>719</v>
      </c>
      <c r="C4205" t="s">
        <v>678</v>
      </c>
      <c r="D4205" t="s">
        <v>345</v>
      </c>
      <c r="E4205" t="s">
        <v>95</v>
      </c>
      <c r="F4205" t="s">
        <v>308</v>
      </c>
      <c r="G4205" t="s">
        <v>2991</v>
      </c>
      <c r="H4205" s="7">
        <v>7470</v>
      </c>
    </row>
    <row r="4206" spans="1:8" x14ac:dyDescent="0.3">
      <c r="A4206">
        <v>19871</v>
      </c>
      <c r="B4206" t="s">
        <v>254</v>
      </c>
      <c r="C4206" t="s">
        <v>577</v>
      </c>
      <c r="D4206" t="s">
        <v>336</v>
      </c>
      <c r="E4206" t="s">
        <v>95</v>
      </c>
      <c r="F4206" t="s">
        <v>55</v>
      </c>
      <c r="G4206" t="s">
        <v>2296</v>
      </c>
      <c r="H4206" s="7">
        <v>60623</v>
      </c>
    </row>
    <row r="4207" spans="1:8" x14ac:dyDescent="0.3">
      <c r="A4207">
        <v>19881</v>
      </c>
      <c r="B4207" t="s">
        <v>1313</v>
      </c>
      <c r="C4207" t="s">
        <v>3276</v>
      </c>
      <c r="D4207" t="s">
        <v>184</v>
      </c>
      <c r="E4207" t="s">
        <v>95</v>
      </c>
      <c r="F4207" t="s">
        <v>448</v>
      </c>
      <c r="G4207" t="s">
        <v>4626</v>
      </c>
      <c r="H4207" s="7">
        <v>33125</v>
      </c>
    </row>
    <row r="4208" spans="1:8" x14ac:dyDescent="0.3">
      <c r="A4208">
        <v>19884</v>
      </c>
      <c r="B4208" t="s">
        <v>120</v>
      </c>
      <c r="C4208" t="s">
        <v>1551</v>
      </c>
      <c r="D4208" t="s">
        <v>7</v>
      </c>
      <c r="E4208" t="s">
        <v>8</v>
      </c>
      <c r="F4208" t="s">
        <v>21</v>
      </c>
      <c r="G4208" t="s">
        <v>3088</v>
      </c>
      <c r="H4208" s="7">
        <v>92870</v>
      </c>
    </row>
    <row r="4209" spans="1:8" x14ac:dyDescent="0.3">
      <c r="A4209">
        <v>19885</v>
      </c>
      <c r="B4209" t="s">
        <v>5</v>
      </c>
      <c r="C4209" t="s">
        <v>2189</v>
      </c>
      <c r="D4209" t="s">
        <v>3663</v>
      </c>
      <c r="E4209" t="s">
        <v>8</v>
      </c>
      <c r="F4209" t="s">
        <v>9</v>
      </c>
      <c r="G4209" t="s">
        <v>3664</v>
      </c>
      <c r="H4209" s="7">
        <v>725</v>
      </c>
    </row>
    <row r="4210" spans="1:8" x14ac:dyDescent="0.3">
      <c r="A4210">
        <v>19890</v>
      </c>
      <c r="B4210" t="s">
        <v>5</v>
      </c>
      <c r="C4210" t="s">
        <v>876</v>
      </c>
      <c r="D4210" t="s">
        <v>2531</v>
      </c>
      <c r="E4210" t="s">
        <v>8</v>
      </c>
      <c r="F4210" t="s">
        <v>9</v>
      </c>
      <c r="G4210" t="s">
        <v>3818</v>
      </c>
      <c r="H4210" s="7">
        <v>725</v>
      </c>
    </row>
    <row r="4211" spans="1:8" x14ac:dyDescent="0.3">
      <c r="A4211">
        <v>19891</v>
      </c>
      <c r="B4211" t="s">
        <v>59</v>
      </c>
      <c r="C4211" t="s">
        <v>1532</v>
      </c>
      <c r="D4211" t="s">
        <v>1386</v>
      </c>
      <c r="E4211" t="s">
        <v>8</v>
      </c>
      <c r="F4211" t="s">
        <v>21</v>
      </c>
      <c r="G4211" t="s">
        <v>1984</v>
      </c>
      <c r="H4211" s="7">
        <v>90805</v>
      </c>
    </row>
    <row r="4212" spans="1:8" x14ac:dyDescent="0.3">
      <c r="A4212">
        <v>19893</v>
      </c>
      <c r="B4212" t="s">
        <v>2683</v>
      </c>
      <c r="C4212" t="s">
        <v>2895</v>
      </c>
      <c r="D4212" t="s">
        <v>2241</v>
      </c>
      <c r="E4212" t="s">
        <v>8</v>
      </c>
      <c r="F4212" t="s">
        <v>21</v>
      </c>
      <c r="G4212" t="s">
        <v>2896</v>
      </c>
      <c r="H4212" s="7">
        <v>92009</v>
      </c>
    </row>
    <row r="4213" spans="1:8" x14ac:dyDescent="0.3">
      <c r="A4213">
        <v>19894</v>
      </c>
      <c r="B4213" t="s">
        <v>5</v>
      </c>
      <c r="C4213" t="s">
        <v>3642</v>
      </c>
      <c r="D4213" t="s">
        <v>1416</v>
      </c>
      <c r="E4213" t="s">
        <v>8</v>
      </c>
      <c r="F4213" t="s">
        <v>9</v>
      </c>
      <c r="G4213" t="s">
        <v>3376</v>
      </c>
      <c r="H4213" s="7">
        <v>725</v>
      </c>
    </row>
    <row r="4214" spans="1:8" x14ac:dyDescent="0.3">
      <c r="A4214">
        <v>19898</v>
      </c>
      <c r="B4214" t="s">
        <v>5</v>
      </c>
      <c r="C4214" t="s">
        <v>147</v>
      </c>
      <c r="D4214" t="s">
        <v>5025</v>
      </c>
      <c r="E4214" t="s">
        <v>8</v>
      </c>
      <c r="F4214" t="s">
        <v>9</v>
      </c>
      <c r="G4214" t="s">
        <v>4318</v>
      </c>
      <c r="H4214" s="7">
        <v>725</v>
      </c>
    </row>
    <row r="4215" spans="1:8" x14ac:dyDescent="0.3">
      <c r="A4215">
        <v>19910</v>
      </c>
      <c r="B4215" t="s">
        <v>440</v>
      </c>
      <c r="C4215" t="s">
        <v>1294</v>
      </c>
      <c r="D4215" t="s">
        <v>2969</v>
      </c>
      <c r="E4215" t="s">
        <v>95</v>
      </c>
      <c r="F4215" t="s">
        <v>114</v>
      </c>
      <c r="G4215" t="s">
        <v>3693</v>
      </c>
      <c r="H4215" s="7">
        <v>78227</v>
      </c>
    </row>
    <row r="4216" spans="1:8" x14ac:dyDescent="0.3">
      <c r="A4216">
        <v>19911</v>
      </c>
      <c r="B4216" t="s">
        <v>5</v>
      </c>
      <c r="C4216" t="s">
        <v>2135</v>
      </c>
      <c r="D4216" t="s">
        <v>4216</v>
      </c>
      <c r="E4216" t="s">
        <v>95</v>
      </c>
      <c r="F4216" t="s">
        <v>9</v>
      </c>
      <c r="G4216" t="s">
        <v>5078</v>
      </c>
      <c r="H4216" s="7">
        <v>725</v>
      </c>
    </row>
    <row r="4217" spans="1:8" x14ac:dyDescent="0.3">
      <c r="A4217">
        <v>19914</v>
      </c>
      <c r="B4217" t="s">
        <v>4285</v>
      </c>
      <c r="C4217" t="s">
        <v>1665</v>
      </c>
      <c r="D4217" t="s">
        <v>1675</v>
      </c>
      <c r="E4217" t="s">
        <v>8</v>
      </c>
      <c r="F4217" t="s">
        <v>21</v>
      </c>
      <c r="G4217" t="s">
        <v>5490</v>
      </c>
      <c r="H4217" s="7">
        <v>91765</v>
      </c>
    </row>
    <row r="4218" spans="1:8" x14ac:dyDescent="0.3">
      <c r="A4218">
        <v>19917</v>
      </c>
      <c r="B4218" t="s">
        <v>195</v>
      </c>
      <c r="C4218" t="s">
        <v>1722</v>
      </c>
      <c r="D4218" t="s">
        <v>363</v>
      </c>
      <c r="E4218" t="s">
        <v>8</v>
      </c>
      <c r="F4218" t="s">
        <v>21</v>
      </c>
      <c r="G4218" t="s">
        <v>1185</v>
      </c>
      <c r="H4218" s="7">
        <v>92843</v>
      </c>
    </row>
    <row r="4219" spans="1:8" x14ac:dyDescent="0.3">
      <c r="A4219">
        <v>19923</v>
      </c>
      <c r="B4219" t="s">
        <v>440</v>
      </c>
      <c r="C4219" t="s">
        <v>938</v>
      </c>
      <c r="D4219" t="s">
        <v>319</v>
      </c>
      <c r="E4219" t="s">
        <v>95</v>
      </c>
      <c r="F4219" t="s">
        <v>114</v>
      </c>
      <c r="G4219" t="s">
        <v>2745</v>
      </c>
      <c r="H4219" s="7">
        <v>78223</v>
      </c>
    </row>
    <row r="4220" spans="1:8" x14ac:dyDescent="0.3">
      <c r="A4220">
        <v>19930</v>
      </c>
      <c r="B4220" t="s">
        <v>503</v>
      </c>
      <c r="C4220" t="s">
        <v>1395</v>
      </c>
      <c r="D4220" t="s">
        <v>2770</v>
      </c>
      <c r="E4220" t="s">
        <v>8</v>
      </c>
      <c r="F4220" t="s">
        <v>140</v>
      </c>
      <c r="G4220" t="s">
        <v>4541</v>
      </c>
      <c r="H4220" s="7">
        <v>30075</v>
      </c>
    </row>
    <row r="4221" spans="1:8" x14ac:dyDescent="0.3">
      <c r="A4221">
        <v>19932</v>
      </c>
      <c r="B4221" t="s">
        <v>5</v>
      </c>
      <c r="C4221" t="s">
        <v>1893</v>
      </c>
      <c r="D4221" t="s">
        <v>992</v>
      </c>
      <c r="E4221" t="s">
        <v>27</v>
      </c>
      <c r="F4221" t="s">
        <v>9</v>
      </c>
      <c r="G4221" t="s">
        <v>5355</v>
      </c>
      <c r="H4221" s="7">
        <v>725</v>
      </c>
    </row>
    <row r="4222" spans="1:8" x14ac:dyDescent="0.3">
      <c r="A4222">
        <v>19939</v>
      </c>
      <c r="B4222" t="s">
        <v>5</v>
      </c>
      <c r="C4222" t="s">
        <v>912</v>
      </c>
      <c r="D4222" t="s">
        <v>193</v>
      </c>
      <c r="E4222" t="s">
        <v>8</v>
      </c>
      <c r="F4222" t="s">
        <v>9</v>
      </c>
      <c r="G4222" t="s">
        <v>425</v>
      </c>
      <c r="H4222" s="7">
        <v>725</v>
      </c>
    </row>
    <row r="4223" spans="1:8" x14ac:dyDescent="0.3">
      <c r="A4223">
        <v>19940</v>
      </c>
      <c r="B4223" t="s">
        <v>174</v>
      </c>
      <c r="C4223" t="s">
        <v>306</v>
      </c>
      <c r="D4223" t="s">
        <v>1922</v>
      </c>
      <c r="E4223" t="s">
        <v>8</v>
      </c>
      <c r="F4223" t="s">
        <v>21</v>
      </c>
      <c r="G4223" t="s">
        <v>1923</v>
      </c>
      <c r="H4223" s="7">
        <v>90046</v>
      </c>
    </row>
    <row r="4224" spans="1:8" x14ac:dyDescent="0.3">
      <c r="A4224">
        <v>19941</v>
      </c>
      <c r="B4224" t="s">
        <v>761</v>
      </c>
      <c r="C4224" t="s">
        <v>1200</v>
      </c>
      <c r="D4224" t="s">
        <v>152</v>
      </c>
      <c r="E4224" t="s">
        <v>8</v>
      </c>
      <c r="F4224" t="s">
        <v>21</v>
      </c>
      <c r="G4224" t="s">
        <v>3068</v>
      </c>
      <c r="H4224" s="7">
        <v>95351</v>
      </c>
    </row>
    <row r="4225" spans="1:8" x14ac:dyDescent="0.3">
      <c r="A4225">
        <v>19942</v>
      </c>
      <c r="B4225" t="s">
        <v>5</v>
      </c>
      <c r="C4225" t="s">
        <v>3346</v>
      </c>
      <c r="D4225" t="s">
        <v>3347</v>
      </c>
      <c r="E4225" t="s">
        <v>8</v>
      </c>
      <c r="F4225" t="s">
        <v>9</v>
      </c>
      <c r="G4225" t="s">
        <v>3348</v>
      </c>
      <c r="H4225" s="7">
        <v>725</v>
      </c>
    </row>
    <row r="4226" spans="1:8" x14ac:dyDescent="0.3">
      <c r="A4226">
        <v>19945</v>
      </c>
      <c r="B4226" t="s">
        <v>5</v>
      </c>
      <c r="C4226" t="s">
        <v>1406</v>
      </c>
      <c r="D4226" t="s">
        <v>3543</v>
      </c>
      <c r="E4226" t="s">
        <v>8</v>
      </c>
      <c r="F4226" t="s">
        <v>9</v>
      </c>
      <c r="G4226" t="s">
        <v>3631</v>
      </c>
      <c r="H4226" s="7">
        <v>725</v>
      </c>
    </row>
    <row r="4227" spans="1:8" x14ac:dyDescent="0.3">
      <c r="A4227">
        <v>19946</v>
      </c>
      <c r="B4227" t="s">
        <v>2243</v>
      </c>
      <c r="C4227" t="s">
        <v>999</v>
      </c>
      <c r="D4227" t="s">
        <v>2162</v>
      </c>
      <c r="E4227" t="s">
        <v>8</v>
      </c>
      <c r="F4227" t="s">
        <v>248</v>
      </c>
      <c r="G4227" t="s">
        <v>2897</v>
      </c>
      <c r="H4227" s="7">
        <v>44107</v>
      </c>
    </row>
    <row r="4228" spans="1:8" x14ac:dyDescent="0.3">
      <c r="A4228">
        <v>19949</v>
      </c>
      <c r="B4228" t="s">
        <v>1279</v>
      </c>
      <c r="C4228" t="s">
        <v>53</v>
      </c>
      <c r="D4228" t="s">
        <v>1303</v>
      </c>
      <c r="E4228" t="s">
        <v>8</v>
      </c>
      <c r="F4228" t="s">
        <v>242</v>
      </c>
      <c r="G4228" t="s">
        <v>3249</v>
      </c>
      <c r="H4228" s="7">
        <v>21502</v>
      </c>
    </row>
    <row r="4229" spans="1:8" x14ac:dyDescent="0.3">
      <c r="A4229">
        <v>19950</v>
      </c>
      <c r="B4229" t="s">
        <v>5</v>
      </c>
      <c r="C4229" t="s">
        <v>3653</v>
      </c>
      <c r="D4229" t="s">
        <v>2418</v>
      </c>
      <c r="E4229" t="s">
        <v>8</v>
      </c>
      <c r="F4229" t="s">
        <v>9</v>
      </c>
      <c r="G4229" t="s">
        <v>4929</v>
      </c>
      <c r="H4229" s="7">
        <v>725</v>
      </c>
    </row>
    <row r="4230" spans="1:8" x14ac:dyDescent="0.3">
      <c r="A4230">
        <v>19951</v>
      </c>
      <c r="B4230" t="s">
        <v>862</v>
      </c>
      <c r="C4230" t="s">
        <v>1842</v>
      </c>
      <c r="D4230" t="s">
        <v>578</v>
      </c>
      <c r="E4230" t="s">
        <v>8</v>
      </c>
      <c r="F4230" t="s">
        <v>478</v>
      </c>
      <c r="G4230" t="s">
        <v>2829</v>
      </c>
      <c r="H4230" s="7">
        <v>89103</v>
      </c>
    </row>
    <row r="4231" spans="1:8" x14ac:dyDescent="0.3">
      <c r="A4231">
        <v>19952</v>
      </c>
      <c r="B4231" t="s">
        <v>5</v>
      </c>
      <c r="C4231" t="s">
        <v>2064</v>
      </c>
      <c r="D4231" t="s">
        <v>2065</v>
      </c>
      <c r="E4231" t="s">
        <v>27</v>
      </c>
      <c r="F4231" t="s">
        <v>9</v>
      </c>
      <c r="G4231" t="s">
        <v>1753</v>
      </c>
      <c r="H4231" s="7">
        <v>725</v>
      </c>
    </row>
    <row r="4232" spans="1:8" x14ac:dyDescent="0.3">
      <c r="A4232">
        <v>19953</v>
      </c>
      <c r="B4232" t="s">
        <v>723</v>
      </c>
      <c r="C4232" t="s">
        <v>1409</v>
      </c>
      <c r="D4232" t="s">
        <v>2234</v>
      </c>
      <c r="E4232" t="s">
        <v>27</v>
      </c>
      <c r="F4232" t="s">
        <v>729</v>
      </c>
      <c r="G4232" t="s">
        <v>1773</v>
      </c>
      <c r="H4232" s="7">
        <v>80012</v>
      </c>
    </row>
    <row r="4233" spans="1:8" x14ac:dyDescent="0.3">
      <c r="A4233">
        <v>19954</v>
      </c>
      <c r="B4233" t="s">
        <v>5</v>
      </c>
      <c r="C4233" t="s">
        <v>1474</v>
      </c>
      <c r="D4233" t="s">
        <v>1475</v>
      </c>
      <c r="E4233" t="s">
        <v>8</v>
      </c>
      <c r="F4233" t="s">
        <v>9</v>
      </c>
      <c r="G4233" t="s">
        <v>1265</v>
      </c>
      <c r="H4233" s="7">
        <v>725</v>
      </c>
    </row>
    <row r="4234" spans="1:8" x14ac:dyDescent="0.3">
      <c r="A4234">
        <v>19955</v>
      </c>
      <c r="B4234" t="s">
        <v>862</v>
      </c>
      <c r="C4234" t="s">
        <v>594</v>
      </c>
      <c r="D4234" t="s">
        <v>863</v>
      </c>
      <c r="E4234" t="s">
        <v>8</v>
      </c>
      <c r="F4234" t="s">
        <v>478</v>
      </c>
      <c r="G4234" t="s">
        <v>864</v>
      </c>
      <c r="H4234" s="7">
        <v>89117</v>
      </c>
    </row>
    <row r="4235" spans="1:8" x14ac:dyDescent="0.3">
      <c r="A4235">
        <v>19956</v>
      </c>
      <c r="B4235" t="s">
        <v>5</v>
      </c>
      <c r="C4235" t="s">
        <v>1163</v>
      </c>
      <c r="D4235" t="s">
        <v>1719</v>
      </c>
      <c r="E4235" t="s">
        <v>8</v>
      </c>
      <c r="F4235" t="s">
        <v>9</v>
      </c>
      <c r="G4235" t="s">
        <v>1480</v>
      </c>
      <c r="H4235" s="7">
        <v>725</v>
      </c>
    </row>
    <row r="4236" spans="1:8" x14ac:dyDescent="0.3">
      <c r="A4236">
        <v>19957</v>
      </c>
      <c r="B4236" t="s">
        <v>710</v>
      </c>
      <c r="C4236" t="s">
        <v>2149</v>
      </c>
      <c r="D4236" t="s">
        <v>1058</v>
      </c>
      <c r="E4236" t="s">
        <v>8</v>
      </c>
      <c r="F4236" t="s">
        <v>448</v>
      </c>
      <c r="G4236" t="s">
        <v>2150</v>
      </c>
      <c r="H4236" s="7">
        <v>33313</v>
      </c>
    </row>
    <row r="4237" spans="1:8" x14ac:dyDescent="0.3">
      <c r="A4237">
        <v>19958</v>
      </c>
      <c r="B4237" t="s">
        <v>1971</v>
      </c>
      <c r="C4237" t="s">
        <v>1972</v>
      </c>
      <c r="D4237" t="s">
        <v>1973</v>
      </c>
      <c r="E4237" t="s">
        <v>8</v>
      </c>
      <c r="F4237" t="s">
        <v>341</v>
      </c>
      <c r="G4237" t="s">
        <v>1974</v>
      </c>
      <c r="H4237" s="7">
        <v>27203</v>
      </c>
    </row>
    <row r="4238" spans="1:8" x14ac:dyDescent="0.3">
      <c r="A4238">
        <v>19959</v>
      </c>
      <c r="B4238" t="s">
        <v>2299</v>
      </c>
      <c r="C4238" t="s">
        <v>1153</v>
      </c>
      <c r="D4238" t="s">
        <v>3084</v>
      </c>
      <c r="E4238" t="s">
        <v>8</v>
      </c>
      <c r="F4238" t="s">
        <v>140</v>
      </c>
      <c r="G4238" t="s">
        <v>3085</v>
      </c>
      <c r="H4238" s="7">
        <v>30331</v>
      </c>
    </row>
    <row r="4239" spans="1:8" x14ac:dyDescent="0.3">
      <c r="A4239">
        <v>19960</v>
      </c>
      <c r="B4239" t="s">
        <v>5</v>
      </c>
      <c r="C4239" t="s">
        <v>3330</v>
      </c>
      <c r="D4239" t="s">
        <v>731</v>
      </c>
      <c r="E4239" t="s">
        <v>8</v>
      </c>
      <c r="F4239" t="s">
        <v>9</v>
      </c>
      <c r="G4239" t="s">
        <v>3625</v>
      </c>
      <c r="H4239" s="7">
        <v>725</v>
      </c>
    </row>
    <row r="4240" spans="1:8" x14ac:dyDescent="0.3">
      <c r="A4240">
        <v>19966</v>
      </c>
      <c r="B4240" t="s">
        <v>5</v>
      </c>
      <c r="C4240" t="s">
        <v>196</v>
      </c>
      <c r="D4240" t="s">
        <v>1084</v>
      </c>
      <c r="E4240" t="s">
        <v>27</v>
      </c>
      <c r="F4240" t="s">
        <v>9</v>
      </c>
      <c r="G4240" t="s">
        <v>5339</v>
      </c>
      <c r="H4240" s="7">
        <v>725</v>
      </c>
    </row>
    <row r="4241" spans="1:8" x14ac:dyDescent="0.3">
      <c r="A4241">
        <v>19974</v>
      </c>
      <c r="B4241" t="s">
        <v>5</v>
      </c>
      <c r="C4241" t="s">
        <v>2936</v>
      </c>
      <c r="D4241" t="s">
        <v>1931</v>
      </c>
      <c r="E4241" t="s">
        <v>95</v>
      </c>
      <c r="F4241" t="s">
        <v>9</v>
      </c>
      <c r="G4241" t="s">
        <v>3577</v>
      </c>
      <c r="H4241" s="7">
        <v>725</v>
      </c>
    </row>
    <row r="4242" spans="1:8" x14ac:dyDescent="0.3">
      <c r="A4242">
        <v>19975</v>
      </c>
      <c r="B4242" t="s">
        <v>1036</v>
      </c>
      <c r="C4242" t="s">
        <v>3771</v>
      </c>
      <c r="D4242" t="s">
        <v>848</v>
      </c>
      <c r="E4242" t="s">
        <v>95</v>
      </c>
      <c r="F4242" t="s">
        <v>21</v>
      </c>
      <c r="G4242" t="s">
        <v>3772</v>
      </c>
      <c r="H4242" s="7">
        <v>92646</v>
      </c>
    </row>
    <row r="4243" spans="1:8" x14ac:dyDescent="0.3">
      <c r="A4243">
        <v>19976</v>
      </c>
      <c r="B4243" t="s">
        <v>74</v>
      </c>
      <c r="C4243" t="s">
        <v>310</v>
      </c>
      <c r="D4243" t="s">
        <v>1066</v>
      </c>
      <c r="E4243" t="s">
        <v>95</v>
      </c>
      <c r="F4243" t="s">
        <v>77</v>
      </c>
      <c r="G4243" t="s">
        <v>3770</v>
      </c>
      <c r="H4243" s="7">
        <v>17013</v>
      </c>
    </row>
    <row r="4244" spans="1:8" x14ac:dyDescent="0.3">
      <c r="A4244">
        <v>19981</v>
      </c>
      <c r="B4244" t="s">
        <v>5</v>
      </c>
      <c r="C4244" t="s">
        <v>3575</v>
      </c>
      <c r="D4244" t="s">
        <v>237</v>
      </c>
      <c r="E4244" t="s">
        <v>95</v>
      </c>
      <c r="F4244" t="s">
        <v>9</v>
      </c>
      <c r="G4244" t="s">
        <v>3576</v>
      </c>
      <c r="H4244" s="7">
        <v>725</v>
      </c>
    </row>
    <row r="4245" spans="1:8" x14ac:dyDescent="0.3">
      <c r="A4245">
        <v>19983</v>
      </c>
      <c r="B4245" t="s">
        <v>343</v>
      </c>
      <c r="C4245" t="s">
        <v>1592</v>
      </c>
      <c r="D4245" t="s">
        <v>2403</v>
      </c>
      <c r="E4245" t="s">
        <v>8</v>
      </c>
      <c r="F4245" t="s">
        <v>248</v>
      </c>
      <c r="G4245" t="s">
        <v>1185</v>
      </c>
      <c r="H4245" s="7">
        <v>43207</v>
      </c>
    </row>
    <row r="4246" spans="1:8" x14ac:dyDescent="0.3">
      <c r="A4246">
        <v>19984</v>
      </c>
      <c r="B4246" t="s">
        <v>5</v>
      </c>
      <c r="C4246" t="s">
        <v>1437</v>
      </c>
      <c r="D4246" t="s">
        <v>1438</v>
      </c>
      <c r="E4246" t="s">
        <v>8</v>
      </c>
      <c r="F4246" t="s">
        <v>9</v>
      </c>
      <c r="G4246" t="s">
        <v>1439</v>
      </c>
      <c r="H4246" s="7">
        <v>725</v>
      </c>
    </row>
    <row r="4247" spans="1:8" x14ac:dyDescent="0.3">
      <c r="A4247">
        <v>19991</v>
      </c>
      <c r="B4247" t="s">
        <v>5</v>
      </c>
      <c r="C4247" t="s">
        <v>2323</v>
      </c>
      <c r="D4247" t="s">
        <v>617</v>
      </c>
      <c r="E4247" t="s">
        <v>8</v>
      </c>
      <c r="F4247" t="s">
        <v>9</v>
      </c>
      <c r="G4247" t="s">
        <v>1421</v>
      </c>
      <c r="H4247" s="7">
        <v>725</v>
      </c>
    </row>
    <row r="4248" spans="1:8" x14ac:dyDescent="0.3">
      <c r="A4248">
        <v>19996</v>
      </c>
      <c r="B4248" t="s">
        <v>1162</v>
      </c>
      <c r="C4248" t="s">
        <v>598</v>
      </c>
      <c r="D4248" t="s">
        <v>4901</v>
      </c>
      <c r="E4248" t="s">
        <v>27</v>
      </c>
      <c r="F4248" t="s">
        <v>21</v>
      </c>
      <c r="G4248" t="s">
        <v>4633</v>
      </c>
      <c r="H4248" s="7">
        <v>94086</v>
      </c>
    </row>
    <row r="4249" spans="1:8" x14ac:dyDescent="0.3">
      <c r="A4249">
        <v>19999</v>
      </c>
      <c r="B4249" t="s">
        <v>5</v>
      </c>
      <c r="C4249" t="s">
        <v>1735</v>
      </c>
      <c r="D4249" t="s">
        <v>4270</v>
      </c>
      <c r="E4249" t="s">
        <v>27</v>
      </c>
      <c r="F4249" t="s">
        <v>9</v>
      </c>
      <c r="G4249" t="s">
        <v>5302</v>
      </c>
      <c r="H4249" s="7">
        <v>725</v>
      </c>
    </row>
    <row r="4250" spans="1:8" x14ac:dyDescent="0.3">
      <c r="A4250">
        <v>20007</v>
      </c>
      <c r="B4250" t="s">
        <v>1581</v>
      </c>
      <c r="C4250" t="s">
        <v>5672</v>
      </c>
      <c r="D4250" t="s">
        <v>5219</v>
      </c>
      <c r="E4250" t="s">
        <v>8</v>
      </c>
      <c r="F4250" t="s">
        <v>729</v>
      </c>
      <c r="G4250" t="s">
        <v>265</v>
      </c>
      <c r="H4250" s="7">
        <v>80918</v>
      </c>
    </row>
    <row r="4251" spans="1:8" x14ac:dyDescent="0.3">
      <c r="A4251">
        <v>20010</v>
      </c>
      <c r="B4251" t="s">
        <v>1793</v>
      </c>
      <c r="C4251" t="s">
        <v>3819</v>
      </c>
      <c r="D4251" t="s">
        <v>1012</v>
      </c>
      <c r="E4251" t="s">
        <v>8</v>
      </c>
      <c r="F4251" t="s">
        <v>21</v>
      </c>
      <c r="G4251" t="s">
        <v>4961</v>
      </c>
      <c r="H4251" s="7">
        <v>94109</v>
      </c>
    </row>
    <row r="4252" spans="1:8" x14ac:dyDescent="0.3">
      <c r="A4252">
        <v>20025</v>
      </c>
      <c r="B4252" t="s">
        <v>670</v>
      </c>
      <c r="C4252" t="s">
        <v>671</v>
      </c>
      <c r="D4252" t="s">
        <v>672</v>
      </c>
      <c r="E4252" t="s">
        <v>27</v>
      </c>
      <c r="F4252" t="s">
        <v>55</v>
      </c>
      <c r="G4252" t="s">
        <v>73</v>
      </c>
      <c r="H4252" s="7">
        <v>60126</v>
      </c>
    </row>
    <row r="4253" spans="1:8" x14ac:dyDescent="0.3">
      <c r="A4253">
        <v>20026</v>
      </c>
      <c r="B4253" t="s">
        <v>656</v>
      </c>
      <c r="C4253" t="s">
        <v>657</v>
      </c>
      <c r="D4253" t="s">
        <v>658</v>
      </c>
      <c r="E4253" t="s">
        <v>27</v>
      </c>
      <c r="F4253" t="s">
        <v>77</v>
      </c>
      <c r="G4253" t="s">
        <v>659</v>
      </c>
      <c r="H4253" s="7">
        <v>19139</v>
      </c>
    </row>
    <row r="4254" spans="1:8" x14ac:dyDescent="0.3">
      <c r="A4254">
        <v>20027</v>
      </c>
      <c r="B4254" t="s">
        <v>5</v>
      </c>
      <c r="C4254" t="s">
        <v>2608</v>
      </c>
      <c r="D4254" t="s">
        <v>2609</v>
      </c>
      <c r="E4254" t="s">
        <v>27</v>
      </c>
      <c r="F4254" t="s">
        <v>9</v>
      </c>
      <c r="G4254" t="s">
        <v>2610</v>
      </c>
      <c r="H4254" s="7">
        <v>725</v>
      </c>
    </row>
    <row r="4255" spans="1:8" x14ac:dyDescent="0.3">
      <c r="A4255">
        <v>20040</v>
      </c>
      <c r="B4255" t="s">
        <v>1793</v>
      </c>
      <c r="C4255" t="s">
        <v>5186</v>
      </c>
      <c r="D4255" t="s">
        <v>2531</v>
      </c>
      <c r="E4255" t="s">
        <v>8</v>
      </c>
      <c r="F4255" t="s">
        <v>21</v>
      </c>
      <c r="G4255" t="s">
        <v>2056</v>
      </c>
      <c r="H4255" s="7">
        <v>94110</v>
      </c>
    </row>
    <row r="4256" spans="1:8" x14ac:dyDescent="0.3">
      <c r="A4256">
        <v>20045</v>
      </c>
      <c r="B4256" t="s">
        <v>5</v>
      </c>
      <c r="C4256" t="s">
        <v>957</v>
      </c>
      <c r="D4256" t="s">
        <v>2944</v>
      </c>
      <c r="E4256" t="s">
        <v>8</v>
      </c>
      <c r="F4256" t="s">
        <v>9</v>
      </c>
      <c r="G4256" t="s">
        <v>3613</v>
      </c>
      <c r="H4256" s="7">
        <v>725</v>
      </c>
    </row>
    <row r="4257" spans="1:8" x14ac:dyDescent="0.3">
      <c r="A4257">
        <v>20046</v>
      </c>
      <c r="B4257" t="s">
        <v>1563</v>
      </c>
      <c r="C4257" t="s">
        <v>1564</v>
      </c>
      <c r="D4257" t="s">
        <v>1565</v>
      </c>
      <c r="E4257" t="s">
        <v>27</v>
      </c>
      <c r="F4257" t="s">
        <v>729</v>
      </c>
      <c r="G4257" t="s">
        <v>1566</v>
      </c>
      <c r="H4257" s="7">
        <v>80631</v>
      </c>
    </row>
    <row r="4258" spans="1:8" x14ac:dyDescent="0.3">
      <c r="A4258">
        <v>20047</v>
      </c>
      <c r="B4258" t="s">
        <v>5</v>
      </c>
      <c r="C4258" t="s">
        <v>2605</v>
      </c>
      <c r="D4258" t="s">
        <v>2961</v>
      </c>
      <c r="E4258" t="s">
        <v>27</v>
      </c>
      <c r="F4258" t="s">
        <v>9</v>
      </c>
      <c r="G4258" t="s">
        <v>2962</v>
      </c>
      <c r="H4258" s="7">
        <v>725</v>
      </c>
    </row>
    <row r="4259" spans="1:8" x14ac:dyDescent="0.3">
      <c r="A4259">
        <v>20048</v>
      </c>
      <c r="B4259" t="s">
        <v>3252</v>
      </c>
      <c r="C4259" t="s">
        <v>1476</v>
      </c>
      <c r="D4259" t="s">
        <v>3253</v>
      </c>
      <c r="E4259" t="s">
        <v>8</v>
      </c>
      <c r="F4259" t="s">
        <v>36</v>
      </c>
      <c r="G4259" t="s">
        <v>3254</v>
      </c>
      <c r="H4259" s="7">
        <v>2151</v>
      </c>
    </row>
    <row r="4260" spans="1:8" x14ac:dyDescent="0.3">
      <c r="A4260">
        <v>20049</v>
      </c>
      <c r="B4260" t="s">
        <v>5</v>
      </c>
      <c r="C4260" t="s">
        <v>687</v>
      </c>
      <c r="D4260" t="s">
        <v>3349</v>
      </c>
      <c r="E4260" t="s">
        <v>8</v>
      </c>
      <c r="F4260" t="s">
        <v>9</v>
      </c>
      <c r="G4260" t="s">
        <v>3350</v>
      </c>
      <c r="H4260" s="7">
        <v>725</v>
      </c>
    </row>
    <row r="4261" spans="1:8" x14ac:dyDescent="0.3">
      <c r="A4261">
        <v>20050</v>
      </c>
      <c r="B4261" t="s">
        <v>254</v>
      </c>
      <c r="C4261" t="s">
        <v>543</v>
      </c>
      <c r="D4261" t="s">
        <v>1559</v>
      </c>
      <c r="E4261" t="s">
        <v>27</v>
      </c>
      <c r="F4261" t="s">
        <v>55</v>
      </c>
      <c r="G4261" t="s">
        <v>1560</v>
      </c>
      <c r="H4261" s="7">
        <v>60617</v>
      </c>
    </row>
    <row r="4262" spans="1:8" x14ac:dyDescent="0.3">
      <c r="A4262">
        <v>20053</v>
      </c>
      <c r="B4262" t="s">
        <v>5</v>
      </c>
      <c r="C4262" t="s">
        <v>3344</v>
      </c>
      <c r="D4262" t="s">
        <v>2969</v>
      </c>
      <c r="E4262" t="s">
        <v>8</v>
      </c>
      <c r="F4262" t="s">
        <v>9</v>
      </c>
      <c r="G4262" t="s">
        <v>3345</v>
      </c>
      <c r="H4262" s="7">
        <v>725</v>
      </c>
    </row>
    <row r="4263" spans="1:8" x14ac:dyDescent="0.3">
      <c r="A4263">
        <v>20071</v>
      </c>
      <c r="B4263" t="s">
        <v>2337</v>
      </c>
      <c r="C4263" t="s">
        <v>2572</v>
      </c>
      <c r="D4263" t="s">
        <v>363</v>
      </c>
      <c r="E4263" t="s">
        <v>8</v>
      </c>
      <c r="F4263" t="s">
        <v>153</v>
      </c>
      <c r="G4263" t="s">
        <v>2573</v>
      </c>
      <c r="H4263" s="7">
        <v>84404</v>
      </c>
    </row>
    <row r="4264" spans="1:8" x14ac:dyDescent="0.3">
      <c r="A4264">
        <v>20084</v>
      </c>
      <c r="B4264" t="s">
        <v>287</v>
      </c>
      <c r="C4264" t="s">
        <v>5104</v>
      </c>
      <c r="D4264" t="s">
        <v>184</v>
      </c>
      <c r="E4264" t="s">
        <v>8</v>
      </c>
      <c r="F4264" t="s">
        <v>114</v>
      </c>
      <c r="G4264" t="s">
        <v>289</v>
      </c>
      <c r="H4264" s="7">
        <v>77479</v>
      </c>
    </row>
    <row r="4265" spans="1:8" x14ac:dyDescent="0.3">
      <c r="A4265">
        <v>20086</v>
      </c>
      <c r="B4265" t="s">
        <v>1742</v>
      </c>
      <c r="C4265" t="s">
        <v>2521</v>
      </c>
      <c r="D4265" t="s">
        <v>2522</v>
      </c>
      <c r="E4265" t="s">
        <v>95</v>
      </c>
      <c r="F4265" t="s">
        <v>21</v>
      </c>
      <c r="G4265" t="s">
        <v>2523</v>
      </c>
      <c r="H4265" s="7">
        <v>91706</v>
      </c>
    </row>
    <row r="4266" spans="1:8" x14ac:dyDescent="0.3">
      <c r="A4266">
        <v>20087</v>
      </c>
      <c r="B4266" t="s">
        <v>142</v>
      </c>
      <c r="C4266" t="s">
        <v>520</v>
      </c>
      <c r="D4266" t="s">
        <v>1264</v>
      </c>
      <c r="E4266" t="s">
        <v>95</v>
      </c>
      <c r="F4266" t="s">
        <v>88</v>
      </c>
      <c r="G4266" t="s">
        <v>3730</v>
      </c>
      <c r="H4266" s="7">
        <v>10453</v>
      </c>
    </row>
    <row r="4267" spans="1:8" x14ac:dyDescent="0.3">
      <c r="A4267">
        <v>20088</v>
      </c>
      <c r="B4267" t="s">
        <v>5</v>
      </c>
      <c r="C4267" t="s">
        <v>874</v>
      </c>
      <c r="D4267" t="s">
        <v>875</v>
      </c>
      <c r="E4267" t="s">
        <v>95</v>
      </c>
      <c r="F4267" t="s">
        <v>9</v>
      </c>
      <c r="G4267" t="s">
        <v>213</v>
      </c>
      <c r="H4267" s="7">
        <v>725</v>
      </c>
    </row>
    <row r="4268" spans="1:8" x14ac:dyDescent="0.3">
      <c r="A4268">
        <v>20089</v>
      </c>
      <c r="B4268" t="s">
        <v>250</v>
      </c>
      <c r="C4268" t="s">
        <v>3093</v>
      </c>
      <c r="D4268" t="s">
        <v>1127</v>
      </c>
      <c r="E4268" t="s">
        <v>95</v>
      </c>
      <c r="F4268" t="s">
        <v>21</v>
      </c>
      <c r="G4268" t="s">
        <v>3094</v>
      </c>
      <c r="H4268" s="7">
        <v>92627</v>
      </c>
    </row>
    <row r="4269" spans="1:8" x14ac:dyDescent="0.3">
      <c r="A4269">
        <v>20090</v>
      </c>
      <c r="B4269" t="s">
        <v>3103</v>
      </c>
      <c r="C4269" t="s">
        <v>3104</v>
      </c>
      <c r="D4269" t="s">
        <v>2162</v>
      </c>
      <c r="E4269" t="s">
        <v>95</v>
      </c>
      <c r="F4269" t="s">
        <v>21</v>
      </c>
      <c r="G4269" t="s">
        <v>3105</v>
      </c>
      <c r="H4269" s="7">
        <v>90744</v>
      </c>
    </row>
    <row r="4270" spans="1:8" x14ac:dyDescent="0.3">
      <c r="A4270">
        <v>20091</v>
      </c>
      <c r="B4270" t="s">
        <v>2292</v>
      </c>
      <c r="C4270" t="s">
        <v>1509</v>
      </c>
      <c r="D4270" t="s">
        <v>731</v>
      </c>
      <c r="E4270" t="s">
        <v>95</v>
      </c>
      <c r="F4270" t="s">
        <v>21</v>
      </c>
      <c r="G4270" t="s">
        <v>3102</v>
      </c>
      <c r="H4270" s="7">
        <v>93003</v>
      </c>
    </row>
    <row r="4271" spans="1:8" x14ac:dyDescent="0.3">
      <c r="A4271">
        <v>20092</v>
      </c>
      <c r="B4271" t="s">
        <v>5</v>
      </c>
      <c r="C4271" t="s">
        <v>2127</v>
      </c>
      <c r="D4271" t="s">
        <v>3624</v>
      </c>
      <c r="E4271" t="s">
        <v>8</v>
      </c>
      <c r="F4271" t="s">
        <v>9</v>
      </c>
      <c r="G4271" t="s">
        <v>3342</v>
      </c>
      <c r="H4271" s="7">
        <v>725</v>
      </c>
    </row>
    <row r="4272" spans="1:8" x14ac:dyDescent="0.3">
      <c r="A4272">
        <v>20093</v>
      </c>
      <c r="B4272" t="s">
        <v>1328</v>
      </c>
      <c r="C4272" t="s">
        <v>1329</v>
      </c>
      <c r="D4272" t="s">
        <v>1330</v>
      </c>
      <c r="E4272" t="s">
        <v>8</v>
      </c>
      <c r="F4272" t="s">
        <v>21</v>
      </c>
      <c r="G4272" t="s">
        <v>1331</v>
      </c>
      <c r="H4272" s="7">
        <v>90262</v>
      </c>
    </row>
    <row r="4273" spans="1:8" x14ac:dyDescent="0.3">
      <c r="A4273">
        <v>20094</v>
      </c>
      <c r="B4273" t="s">
        <v>5</v>
      </c>
      <c r="C4273" t="s">
        <v>2239</v>
      </c>
      <c r="D4273" t="s">
        <v>1055</v>
      </c>
      <c r="E4273" t="s">
        <v>8</v>
      </c>
      <c r="F4273" t="s">
        <v>9</v>
      </c>
      <c r="G4273" t="s">
        <v>3880</v>
      </c>
      <c r="H4273" s="7">
        <v>725</v>
      </c>
    </row>
    <row r="4274" spans="1:8" x14ac:dyDescent="0.3">
      <c r="A4274">
        <v>20113</v>
      </c>
      <c r="B4274" t="s">
        <v>5</v>
      </c>
      <c r="C4274" t="s">
        <v>138</v>
      </c>
      <c r="D4274" t="s">
        <v>3860</v>
      </c>
      <c r="E4274" t="s">
        <v>8</v>
      </c>
      <c r="F4274" t="s">
        <v>9</v>
      </c>
      <c r="G4274" t="s">
        <v>5596</v>
      </c>
      <c r="H4274" s="7">
        <v>725</v>
      </c>
    </row>
    <row r="4275" spans="1:8" x14ac:dyDescent="0.3">
      <c r="A4275">
        <v>20118</v>
      </c>
      <c r="B4275" t="s">
        <v>4772</v>
      </c>
      <c r="C4275" t="s">
        <v>841</v>
      </c>
      <c r="D4275" t="s">
        <v>1106</v>
      </c>
      <c r="E4275" t="s">
        <v>95</v>
      </c>
      <c r="F4275" t="s">
        <v>248</v>
      </c>
      <c r="G4275" t="s">
        <v>5420</v>
      </c>
      <c r="H4275" s="7">
        <v>45424</v>
      </c>
    </row>
    <row r="4276" spans="1:8" x14ac:dyDescent="0.3">
      <c r="A4276">
        <v>20119</v>
      </c>
      <c r="B4276" t="s">
        <v>862</v>
      </c>
      <c r="C4276" t="s">
        <v>2287</v>
      </c>
      <c r="D4276" t="s">
        <v>2288</v>
      </c>
      <c r="E4276" t="s">
        <v>27</v>
      </c>
      <c r="F4276" t="s">
        <v>478</v>
      </c>
      <c r="G4276" t="s">
        <v>2289</v>
      </c>
      <c r="H4276" s="7">
        <v>89103</v>
      </c>
    </row>
    <row r="4277" spans="1:8" x14ac:dyDescent="0.3">
      <c r="A4277">
        <v>20120</v>
      </c>
      <c r="B4277" t="s">
        <v>5</v>
      </c>
      <c r="C4277" t="s">
        <v>1842</v>
      </c>
      <c r="D4277" t="s">
        <v>424</v>
      </c>
      <c r="E4277" t="s">
        <v>8</v>
      </c>
      <c r="F4277" t="s">
        <v>9</v>
      </c>
      <c r="G4277" t="s">
        <v>3644</v>
      </c>
      <c r="H4277" s="7">
        <v>725</v>
      </c>
    </row>
    <row r="4278" spans="1:8" x14ac:dyDescent="0.3">
      <c r="A4278">
        <v>20121</v>
      </c>
      <c r="B4278" t="s">
        <v>1694</v>
      </c>
      <c r="C4278" t="s">
        <v>63</v>
      </c>
      <c r="D4278" t="s">
        <v>833</v>
      </c>
      <c r="E4278" t="s">
        <v>8</v>
      </c>
      <c r="F4278" t="s">
        <v>1696</v>
      </c>
      <c r="G4278" t="s">
        <v>4084</v>
      </c>
      <c r="H4278" s="7">
        <v>83642</v>
      </c>
    </row>
    <row r="4279" spans="1:8" x14ac:dyDescent="0.3">
      <c r="A4279">
        <v>20137</v>
      </c>
      <c r="B4279" t="s">
        <v>368</v>
      </c>
      <c r="C4279" t="s">
        <v>5394</v>
      </c>
      <c r="D4279" t="s">
        <v>1219</v>
      </c>
      <c r="E4279" t="s">
        <v>27</v>
      </c>
      <c r="F4279" t="s">
        <v>88</v>
      </c>
      <c r="G4279" t="s">
        <v>3948</v>
      </c>
      <c r="H4279" s="7">
        <v>10021</v>
      </c>
    </row>
    <row r="4280" spans="1:8" x14ac:dyDescent="0.3">
      <c r="A4280">
        <v>20138</v>
      </c>
      <c r="B4280" t="s">
        <v>4459</v>
      </c>
      <c r="C4280" t="s">
        <v>2036</v>
      </c>
      <c r="D4280" t="s">
        <v>4193</v>
      </c>
      <c r="E4280" t="s">
        <v>27</v>
      </c>
      <c r="F4280" t="s">
        <v>114</v>
      </c>
      <c r="G4280" t="s">
        <v>517</v>
      </c>
      <c r="H4280" s="7">
        <v>78666</v>
      </c>
    </row>
    <row r="4281" spans="1:8" x14ac:dyDescent="0.3">
      <c r="A4281">
        <v>20140</v>
      </c>
      <c r="B4281" t="s">
        <v>5</v>
      </c>
      <c r="C4281" t="s">
        <v>5281</v>
      </c>
      <c r="D4281" t="s">
        <v>1413</v>
      </c>
      <c r="E4281" t="s">
        <v>27</v>
      </c>
      <c r="F4281" t="s">
        <v>9</v>
      </c>
      <c r="G4281" t="s">
        <v>4979</v>
      </c>
      <c r="H4281" s="7">
        <v>725</v>
      </c>
    </row>
    <row r="4282" spans="1:8" x14ac:dyDescent="0.3">
      <c r="A4282">
        <v>20142</v>
      </c>
      <c r="B4282" t="s">
        <v>1694</v>
      </c>
      <c r="C4282" t="s">
        <v>362</v>
      </c>
      <c r="D4282" t="s">
        <v>1695</v>
      </c>
      <c r="E4282" t="s">
        <v>27</v>
      </c>
      <c r="F4282" t="s">
        <v>1696</v>
      </c>
      <c r="G4282" t="s">
        <v>1697</v>
      </c>
      <c r="H4282" s="7">
        <v>83642</v>
      </c>
    </row>
    <row r="4283" spans="1:8" x14ac:dyDescent="0.3">
      <c r="A4283">
        <v>20143</v>
      </c>
      <c r="B4283" t="s">
        <v>5</v>
      </c>
      <c r="C4283" t="s">
        <v>183</v>
      </c>
      <c r="D4283" t="s">
        <v>3573</v>
      </c>
      <c r="E4283" t="s">
        <v>95</v>
      </c>
      <c r="F4283" t="s">
        <v>9</v>
      </c>
      <c r="G4283" t="s">
        <v>3574</v>
      </c>
      <c r="H4283" s="7">
        <v>725</v>
      </c>
    </row>
    <row r="4284" spans="1:8" x14ac:dyDescent="0.3">
      <c r="A4284">
        <v>20144</v>
      </c>
      <c r="B4284" t="s">
        <v>1899</v>
      </c>
      <c r="C4284" t="s">
        <v>1900</v>
      </c>
      <c r="D4284" t="s">
        <v>1106</v>
      </c>
      <c r="E4284" t="s">
        <v>8</v>
      </c>
      <c r="F4284" t="s">
        <v>381</v>
      </c>
      <c r="G4284" t="s">
        <v>1901</v>
      </c>
      <c r="H4284" s="7">
        <v>48235</v>
      </c>
    </row>
    <row r="4285" spans="1:8" x14ac:dyDescent="0.3">
      <c r="A4285">
        <v>20152</v>
      </c>
      <c r="B4285" t="s">
        <v>105</v>
      </c>
      <c r="C4285" t="s">
        <v>3099</v>
      </c>
      <c r="D4285" t="s">
        <v>3266</v>
      </c>
      <c r="E4285" t="s">
        <v>95</v>
      </c>
      <c r="F4285" t="s">
        <v>108</v>
      </c>
      <c r="G4285" t="s">
        <v>3473</v>
      </c>
      <c r="H4285" s="7">
        <v>97701</v>
      </c>
    </row>
    <row r="4286" spans="1:8" x14ac:dyDescent="0.3">
      <c r="A4286">
        <v>20157</v>
      </c>
      <c r="B4286" t="s">
        <v>495</v>
      </c>
      <c r="C4286" t="s">
        <v>2518</v>
      </c>
      <c r="D4286" t="s">
        <v>2062</v>
      </c>
      <c r="E4286" t="s">
        <v>8</v>
      </c>
      <c r="F4286" t="s">
        <v>88</v>
      </c>
      <c r="G4286" t="s">
        <v>5504</v>
      </c>
      <c r="H4286" s="7">
        <v>11236</v>
      </c>
    </row>
    <row r="4287" spans="1:8" x14ac:dyDescent="0.3">
      <c r="A4287">
        <v>20164</v>
      </c>
      <c r="B4287" t="s">
        <v>5</v>
      </c>
      <c r="C4287" t="s">
        <v>3113</v>
      </c>
      <c r="D4287" t="s">
        <v>685</v>
      </c>
      <c r="E4287" t="s">
        <v>27</v>
      </c>
      <c r="F4287" t="s">
        <v>9</v>
      </c>
      <c r="G4287" t="s">
        <v>3149</v>
      </c>
      <c r="H4287" s="7">
        <v>725</v>
      </c>
    </row>
    <row r="4288" spans="1:8" x14ac:dyDescent="0.3">
      <c r="A4288">
        <v>20167</v>
      </c>
      <c r="B4288" t="s">
        <v>1139</v>
      </c>
      <c r="C4288" t="s">
        <v>4588</v>
      </c>
      <c r="D4288" t="s">
        <v>1248</v>
      </c>
      <c r="E4288" t="s">
        <v>27</v>
      </c>
      <c r="F4288" t="s">
        <v>114</v>
      </c>
      <c r="G4288" t="s">
        <v>4504</v>
      </c>
      <c r="H4288" s="7">
        <v>79907</v>
      </c>
    </row>
    <row r="4289" spans="1:8" x14ac:dyDescent="0.3">
      <c r="A4289">
        <v>20176</v>
      </c>
      <c r="B4289" t="s">
        <v>2886</v>
      </c>
      <c r="C4289" t="s">
        <v>2572</v>
      </c>
      <c r="D4289" t="s">
        <v>2023</v>
      </c>
      <c r="E4289" t="s">
        <v>8</v>
      </c>
      <c r="F4289" t="s">
        <v>21</v>
      </c>
      <c r="G4289" t="s">
        <v>4954</v>
      </c>
      <c r="H4289" s="7">
        <v>92057</v>
      </c>
    </row>
    <row r="4290" spans="1:8" x14ac:dyDescent="0.3">
      <c r="A4290">
        <v>20187</v>
      </c>
      <c r="B4290" t="s">
        <v>5</v>
      </c>
      <c r="C4290" t="s">
        <v>1427</v>
      </c>
      <c r="D4290" t="s">
        <v>1428</v>
      </c>
      <c r="E4290" t="s">
        <v>8</v>
      </c>
      <c r="F4290" t="s">
        <v>9</v>
      </c>
      <c r="G4290" t="s">
        <v>1429</v>
      </c>
      <c r="H4290" s="7">
        <v>725</v>
      </c>
    </row>
    <row r="4291" spans="1:8" x14ac:dyDescent="0.3">
      <c r="A4291">
        <v>20193</v>
      </c>
      <c r="B4291" t="s">
        <v>3069</v>
      </c>
      <c r="C4291" t="s">
        <v>1722</v>
      </c>
      <c r="D4291" t="s">
        <v>3070</v>
      </c>
      <c r="E4291" t="s">
        <v>8</v>
      </c>
      <c r="F4291" t="s">
        <v>308</v>
      </c>
      <c r="G4291" t="s">
        <v>3071</v>
      </c>
      <c r="H4291" s="7">
        <v>7060</v>
      </c>
    </row>
    <row r="4292" spans="1:8" x14ac:dyDescent="0.3">
      <c r="A4292">
        <v>20194</v>
      </c>
      <c r="B4292" t="s">
        <v>5</v>
      </c>
      <c r="C4292" t="s">
        <v>1317</v>
      </c>
      <c r="D4292" t="s">
        <v>821</v>
      </c>
      <c r="E4292" t="s">
        <v>8</v>
      </c>
      <c r="F4292" t="s">
        <v>9</v>
      </c>
      <c r="G4292" t="s">
        <v>3596</v>
      </c>
      <c r="H4292" s="7">
        <v>725</v>
      </c>
    </row>
    <row r="4293" spans="1:8" x14ac:dyDescent="0.3">
      <c r="A4293">
        <v>20195</v>
      </c>
      <c r="B4293" t="s">
        <v>858</v>
      </c>
      <c r="C4293" t="s">
        <v>2140</v>
      </c>
      <c r="D4293" t="s">
        <v>366</v>
      </c>
      <c r="E4293" t="s">
        <v>8</v>
      </c>
      <c r="F4293" t="s">
        <v>629</v>
      </c>
      <c r="G4293" t="s">
        <v>2901</v>
      </c>
      <c r="H4293" s="7">
        <v>70117</v>
      </c>
    </row>
    <row r="4294" spans="1:8" x14ac:dyDescent="0.3">
      <c r="A4294">
        <v>20196</v>
      </c>
      <c r="B4294" t="s">
        <v>5</v>
      </c>
      <c r="C4294" t="s">
        <v>1060</v>
      </c>
      <c r="D4294" t="s">
        <v>1946</v>
      </c>
      <c r="E4294" t="s">
        <v>27</v>
      </c>
      <c r="F4294" t="s">
        <v>9</v>
      </c>
      <c r="G4294" t="s">
        <v>893</v>
      </c>
      <c r="H4294" s="7">
        <v>725</v>
      </c>
    </row>
    <row r="4295" spans="1:8" x14ac:dyDescent="0.3">
      <c r="A4295">
        <v>20201</v>
      </c>
      <c r="B4295" t="s">
        <v>3953</v>
      </c>
      <c r="C4295" t="s">
        <v>1656</v>
      </c>
      <c r="D4295" t="s">
        <v>1819</v>
      </c>
      <c r="E4295" t="s">
        <v>95</v>
      </c>
      <c r="F4295" t="s">
        <v>21</v>
      </c>
      <c r="G4295" t="s">
        <v>4723</v>
      </c>
      <c r="H4295" s="7">
        <v>95206</v>
      </c>
    </row>
    <row r="4296" spans="1:8" x14ac:dyDescent="0.3">
      <c r="A4296">
        <v>20203</v>
      </c>
      <c r="B4296" t="s">
        <v>3689</v>
      </c>
      <c r="C4296" t="s">
        <v>75</v>
      </c>
      <c r="D4296" t="s">
        <v>1575</v>
      </c>
      <c r="E4296" t="s">
        <v>95</v>
      </c>
      <c r="F4296" t="s">
        <v>1177</v>
      </c>
      <c r="G4296" t="s">
        <v>3690</v>
      </c>
      <c r="H4296" s="7">
        <v>87505</v>
      </c>
    </row>
    <row r="4297" spans="1:8" x14ac:dyDescent="0.3">
      <c r="A4297">
        <v>20206</v>
      </c>
      <c r="B4297" t="s">
        <v>2676</v>
      </c>
      <c r="C4297" t="s">
        <v>2807</v>
      </c>
      <c r="D4297" t="s">
        <v>2971</v>
      </c>
      <c r="E4297" t="s">
        <v>95</v>
      </c>
      <c r="F4297" t="s">
        <v>448</v>
      </c>
      <c r="G4297" t="s">
        <v>5522</v>
      </c>
      <c r="H4297" s="7">
        <v>32073</v>
      </c>
    </row>
    <row r="4298" spans="1:8" x14ac:dyDescent="0.3">
      <c r="A4298">
        <v>20219</v>
      </c>
      <c r="B4298" t="s">
        <v>5</v>
      </c>
      <c r="C4298" t="s">
        <v>901</v>
      </c>
      <c r="D4298" t="s">
        <v>902</v>
      </c>
      <c r="E4298" t="s">
        <v>8</v>
      </c>
      <c r="F4298" t="s">
        <v>9</v>
      </c>
      <c r="G4298" t="s">
        <v>903</v>
      </c>
      <c r="H4298" s="7">
        <v>725</v>
      </c>
    </row>
    <row r="4299" spans="1:8" x14ac:dyDescent="0.3">
      <c r="A4299">
        <v>20231</v>
      </c>
      <c r="B4299" t="s">
        <v>5</v>
      </c>
      <c r="C4299" t="s">
        <v>2396</v>
      </c>
      <c r="D4299" t="s">
        <v>3282</v>
      </c>
      <c r="E4299" t="s">
        <v>27</v>
      </c>
      <c r="F4299" t="s">
        <v>9</v>
      </c>
      <c r="G4299" t="s">
        <v>3796</v>
      </c>
      <c r="H4299" s="7">
        <v>725</v>
      </c>
    </row>
    <row r="4300" spans="1:8" x14ac:dyDescent="0.3">
      <c r="A4300">
        <v>20241</v>
      </c>
      <c r="B4300" t="s">
        <v>5</v>
      </c>
      <c r="C4300" t="s">
        <v>1057</v>
      </c>
      <c r="D4300" t="s">
        <v>3538</v>
      </c>
      <c r="E4300" t="s">
        <v>95</v>
      </c>
      <c r="F4300" t="s">
        <v>9</v>
      </c>
      <c r="G4300" t="s">
        <v>3539</v>
      </c>
      <c r="H4300" s="7">
        <v>725</v>
      </c>
    </row>
    <row r="4301" spans="1:8" x14ac:dyDescent="0.3">
      <c r="A4301">
        <v>20242</v>
      </c>
      <c r="B4301" t="s">
        <v>976</v>
      </c>
      <c r="C4301" t="s">
        <v>63</v>
      </c>
      <c r="D4301" t="s">
        <v>319</v>
      </c>
      <c r="E4301" t="s">
        <v>95</v>
      </c>
      <c r="F4301" t="s">
        <v>153</v>
      </c>
      <c r="G4301" t="s">
        <v>5633</v>
      </c>
      <c r="H4301" s="7">
        <v>84118</v>
      </c>
    </row>
    <row r="4302" spans="1:8" x14ac:dyDescent="0.3">
      <c r="A4302">
        <v>20248</v>
      </c>
      <c r="B4302" t="s">
        <v>5</v>
      </c>
      <c r="C4302" t="s">
        <v>332</v>
      </c>
      <c r="D4302" t="s">
        <v>1636</v>
      </c>
      <c r="E4302" t="s">
        <v>8</v>
      </c>
      <c r="F4302" t="s">
        <v>9</v>
      </c>
      <c r="G4302" t="s">
        <v>3595</v>
      </c>
      <c r="H4302" s="7">
        <v>725</v>
      </c>
    </row>
    <row r="4303" spans="1:8" x14ac:dyDescent="0.3">
      <c r="A4303">
        <v>20249</v>
      </c>
      <c r="B4303" t="s">
        <v>733</v>
      </c>
      <c r="C4303" t="s">
        <v>2898</v>
      </c>
      <c r="D4303" t="s">
        <v>2899</v>
      </c>
      <c r="E4303" t="s">
        <v>8</v>
      </c>
      <c r="F4303" t="s">
        <v>735</v>
      </c>
      <c r="G4303" t="s">
        <v>2900</v>
      </c>
      <c r="H4303" s="7">
        <v>20019</v>
      </c>
    </row>
    <row r="4304" spans="1:8" x14ac:dyDescent="0.3">
      <c r="A4304">
        <v>20253</v>
      </c>
      <c r="B4304" t="s">
        <v>3045</v>
      </c>
      <c r="C4304" t="s">
        <v>1150</v>
      </c>
      <c r="D4304" t="s">
        <v>833</v>
      </c>
      <c r="E4304" t="s">
        <v>8</v>
      </c>
      <c r="F4304" t="s">
        <v>21</v>
      </c>
      <c r="G4304" t="s">
        <v>5450</v>
      </c>
      <c r="H4304" s="7">
        <v>95023</v>
      </c>
    </row>
    <row r="4305" spans="1:8" x14ac:dyDescent="0.3">
      <c r="A4305">
        <v>20259</v>
      </c>
      <c r="B4305" t="s">
        <v>5</v>
      </c>
      <c r="C4305" t="s">
        <v>2049</v>
      </c>
      <c r="D4305" t="s">
        <v>1670</v>
      </c>
      <c r="E4305" t="s">
        <v>27</v>
      </c>
      <c r="F4305" t="s">
        <v>9</v>
      </c>
      <c r="G4305" t="s">
        <v>2616</v>
      </c>
      <c r="H4305" s="7">
        <v>725</v>
      </c>
    </row>
    <row r="4306" spans="1:8" x14ac:dyDescent="0.3">
      <c r="A4306">
        <v>20260</v>
      </c>
      <c r="B4306" t="s">
        <v>769</v>
      </c>
      <c r="C4306" t="s">
        <v>1886</v>
      </c>
      <c r="D4306" t="s">
        <v>1887</v>
      </c>
      <c r="E4306" t="s">
        <v>8</v>
      </c>
      <c r="F4306" t="s">
        <v>190</v>
      </c>
      <c r="G4306" t="s">
        <v>545</v>
      </c>
      <c r="H4306" s="7">
        <v>85022</v>
      </c>
    </row>
    <row r="4307" spans="1:8" x14ac:dyDescent="0.3">
      <c r="A4307">
        <v>20261</v>
      </c>
      <c r="B4307" t="s">
        <v>5</v>
      </c>
      <c r="C4307" t="s">
        <v>1476</v>
      </c>
      <c r="D4307" t="s">
        <v>1052</v>
      </c>
      <c r="E4307" t="s">
        <v>8</v>
      </c>
      <c r="F4307" t="s">
        <v>9</v>
      </c>
      <c r="G4307" t="s">
        <v>5046</v>
      </c>
      <c r="H4307" s="7">
        <v>725</v>
      </c>
    </row>
    <row r="4308" spans="1:8" x14ac:dyDescent="0.3">
      <c r="A4308">
        <v>20264</v>
      </c>
      <c r="B4308" t="s">
        <v>600</v>
      </c>
      <c r="C4308" t="s">
        <v>321</v>
      </c>
      <c r="D4308" t="s">
        <v>68</v>
      </c>
      <c r="E4308" t="s">
        <v>8</v>
      </c>
      <c r="F4308" t="s">
        <v>9</v>
      </c>
      <c r="G4308" t="s">
        <v>4331</v>
      </c>
      <c r="H4308" s="7">
        <v>693</v>
      </c>
    </row>
    <row r="4309" spans="1:8" x14ac:dyDescent="0.3">
      <c r="A4309">
        <v>20267</v>
      </c>
      <c r="B4309" t="s">
        <v>1648</v>
      </c>
      <c r="C4309" t="s">
        <v>4183</v>
      </c>
      <c r="D4309" t="s">
        <v>3156</v>
      </c>
      <c r="E4309" t="s">
        <v>8</v>
      </c>
      <c r="F4309" t="s">
        <v>1649</v>
      </c>
      <c r="G4309" t="s">
        <v>3241</v>
      </c>
      <c r="H4309" s="7">
        <v>52001</v>
      </c>
    </row>
    <row r="4310" spans="1:8" x14ac:dyDescent="0.3">
      <c r="A4310">
        <v>20277</v>
      </c>
      <c r="B4310" t="s">
        <v>851</v>
      </c>
      <c r="C4310" t="s">
        <v>1963</v>
      </c>
      <c r="D4310" t="s">
        <v>1964</v>
      </c>
      <c r="E4310" t="s">
        <v>8</v>
      </c>
      <c r="F4310" t="s">
        <v>21</v>
      </c>
      <c r="G4310" t="s">
        <v>1965</v>
      </c>
      <c r="H4310" s="7">
        <v>92404</v>
      </c>
    </row>
    <row r="4311" spans="1:8" x14ac:dyDescent="0.3">
      <c r="A4311">
        <v>20286</v>
      </c>
      <c r="B4311" t="s">
        <v>5</v>
      </c>
      <c r="C4311" t="s">
        <v>2070</v>
      </c>
      <c r="D4311" t="s">
        <v>2071</v>
      </c>
      <c r="E4311" t="s">
        <v>27</v>
      </c>
      <c r="F4311" t="s">
        <v>9</v>
      </c>
      <c r="G4311" t="s">
        <v>2072</v>
      </c>
      <c r="H4311" s="7">
        <v>725</v>
      </c>
    </row>
    <row r="4312" spans="1:8" x14ac:dyDescent="0.3">
      <c r="A4312">
        <v>20287</v>
      </c>
      <c r="B4312" t="s">
        <v>2147</v>
      </c>
      <c r="C4312" t="s">
        <v>2477</v>
      </c>
      <c r="D4312" t="s">
        <v>1166</v>
      </c>
      <c r="E4312" t="s">
        <v>8</v>
      </c>
      <c r="F4312" t="s">
        <v>172</v>
      </c>
      <c r="G4312" t="s">
        <v>3059</v>
      </c>
      <c r="H4312" s="7">
        <v>63376</v>
      </c>
    </row>
    <row r="4313" spans="1:8" x14ac:dyDescent="0.3">
      <c r="A4313">
        <v>20288</v>
      </c>
      <c r="B4313" t="s">
        <v>1902</v>
      </c>
      <c r="C4313" t="s">
        <v>1903</v>
      </c>
      <c r="D4313" t="s">
        <v>1904</v>
      </c>
      <c r="E4313" t="s">
        <v>8</v>
      </c>
      <c r="F4313" t="s">
        <v>1195</v>
      </c>
      <c r="G4313" t="s">
        <v>1049</v>
      </c>
      <c r="H4313" s="7">
        <v>98632</v>
      </c>
    </row>
    <row r="4314" spans="1:8" x14ac:dyDescent="0.3">
      <c r="A4314">
        <v>20289</v>
      </c>
      <c r="B4314" t="s">
        <v>2627</v>
      </c>
      <c r="C4314" t="s">
        <v>2424</v>
      </c>
      <c r="D4314" t="s">
        <v>1405</v>
      </c>
      <c r="E4314" t="s">
        <v>8</v>
      </c>
      <c r="F4314" t="s">
        <v>21</v>
      </c>
      <c r="G4314" t="s">
        <v>2894</v>
      </c>
      <c r="H4314" s="7">
        <v>91767</v>
      </c>
    </row>
    <row r="4315" spans="1:8" x14ac:dyDescent="0.3">
      <c r="A4315">
        <v>20290</v>
      </c>
      <c r="B4315" t="s">
        <v>5</v>
      </c>
      <c r="C4315" t="s">
        <v>121</v>
      </c>
      <c r="D4315" t="s">
        <v>3538</v>
      </c>
      <c r="E4315" t="s">
        <v>8</v>
      </c>
      <c r="F4315" t="s">
        <v>9</v>
      </c>
      <c r="G4315" t="s">
        <v>370</v>
      </c>
      <c r="H4315" s="7">
        <v>725</v>
      </c>
    </row>
    <row r="4316" spans="1:8" x14ac:dyDescent="0.3">
      <c r="A4316">
        <v>20293</v>
      </c>
      <c r="B4316" t="s">
        <v>495</v>
      </c>
      <c r="C4316" t="s">
        <v>3756</v>
      </c>
      <c r="D4316" t="s">
        <v>3757</v>
      </c>
      <c r="E4316" t="s">
        <v>95</v>
      </c>
      <c r="F4316" t="s">
        <v>88</v>
      </c>
      <c r="G4316" t="s">
        <v>2859</v>
      </c>
      <c r="H4316" s="7">
        <v>11211</v>
      </c>
    </row>
    <row r="4317" spans="1:8" x14ac:dyDescent="0.3">
      <c r="A4317">
        <v>20299</v>
      </c>
      <c r="B4317" t="s">
        <v>42</v>
      </c>
      <c r="C4317" t="s">
        <v>3480</v>
      </c>
      <c r="D4317" t="s">
        <v>472</v>
      </c>
      <c r="E4317" t="s">
        <v>8</v>
      </c>
      <c r="F4317" t="s">
        <v>21</v>
      </c>
      <c r="G4317" t="s">
        <v>3167</v>
      </c>
      <c r="H4317" s="7">
        <v>90723</v>
      </c>
    </row>
    <row r="4318" spans="1:8" x14ac:dyDescent="0.3">
      <c r="A4318">
        <v>20301</v>
      </c>
      <c r="B4318" t="s">
        <v>5</v>
      </c>
      <c r="C4318" t="s">
        <v>310</v>
      </c>
      <c r="D4318" t="s">
        <v>1518</v>
      </c>
      <c r="E4318" t="s">
        <v>27</v>
      </c>
      <c r="F4318" t="s">
        <v>9</v>
      </c>
      <c r="G4318" t="s">
        <v>5059</v>
      </c>
      <c r="H4318" s="7">
        <v>725</v>
      </c>
    </row>
    <row r="4319" spans="1:8" x14ac:dyDescent="0.3">
      <c r="A4319">
        <v>20305</v>
      </c>
      <c r="B4319" t="s">
        <v>368</v>
      </c>
      <c r="C4319" t="s">
        <v>2338</v>
      </c>
      <c r="D4319" t="s">
        <v>1992</v>
      </c>
      <c r="E4319" t="s">
        <v>8</v>
      </c>
      <c r="F4319" t="s">
        <v>88</v>
      </c>
      <c r="G4319" t="s">
        <v>4868</v>
      </c>
      <c r="H4319" s="7">
        <v>10033</v>
      </c>
    </row>
    <row r="4320" spans="1:8" x14ac:dyDescent="0.3">
      <c r="A4320">
        <v>20311</v>
      </c>
      <c r="B4320" t="s">
        <v>1978</v>
      </c>
      <c r="C4320" t="s">
        <v>2114</v>
      </c>
      <c r="D4320" t="s">
        <v>3091</v>
      </c>
      <c r="E4320" t="s">
        <v>8</v>
      </c>
      <c r="F4320" t="s">
        <v>1979</v>
      </c>
      <c r="G4320" t="s">
        <v>1980</v>
      </c>
      <c r="H4320" s="7">
        <v>73505</v>
      </c>
    </row>
    <row r="4321" spans="1:8" x14ac:dyDescent="0.3">
      <c r="A4321">
        <v>20312</v>
      </c>
      <c r="B4321" t="s">
        <v>5</v>
      </c>
      <c r="C4321" t="s">
        <v>3340</v>
      </c>
      <c r="D4321" t="s">
        <v>3341</v>
      </c>
      <c r="E4321" t="s">
        <v>8</v>
      </c>
      <c r="F4321" t="s">
        <v>9</v>
      </c>
      <c r="G4321" t="s">
        <v>3342</v>
      </c>
      <c r="H4321" s="7">
        <v>725</v>
      </c>
    </row>
    <row r="4322" spans="1:8" x14ac:dyDescent="0.3">
      <c r="A4322">
        <v>20313</v>
      </c>
      <c r="B4322" t="s">
        <v>1162</v>
      </c>
      <c r="C4322" t="s">
        <v>1163</v>
      </c>
      <c r="D4322" t="s">
        <v>1164</v>
      </c>
      <c r="E4322" t="s">
        <v>8</v>
      </c>
      <c r="F4322" t="s">
        <v>21</v>
      </c>
      <c r="G4322" t="s">
        <v>1165</v>
      </c>
      <c r="H4322" s="7">
        <v>94087</v>
      </c>
    </row>
    <row r="4323" spans="1:8" x14ac:dyDescent="0.3">
      <c r="A4323">
        <v>20314</v>
      </c>
      <c r="B4323" t="s">
        <v>5</v>
      </c>
      <c r="C4323" t="s">
        <v>1186</v>
      </c>
      <c r="D4323" t="s">
        <v>2051</v>
      </c>
      <c r="E4323" t="s">
        <v>8</v>
      </c>
      <c r="F4323" t="s">
        <v>9</v>
      </c>
      <c r="G4323" t="s">
        <v>3640</v>
      </c>
      <c r="H4323" s="7">
        <v>725</v>
      </c>
    </row>
    <row r="4324" spans="1:8" x14ac:dyDescent="0.3">
      <c r="A4324">
        <v>20316</v>
      </c>
      <c r="B4324" t="s">
        <v>1270</v>
      </c>
      <c r="C4324" t="s">
        <v>211</v>
      </c>
      <c r="D4324" t="s">
        <v>2913</v>
      </c>
      <c r="E4324" t="s">
        <v>8</v>
      </c>
      <c r="F4324" t="s">
        <v>134</v>
      </c>
      <c r="G4324" t="s">
        <v>2914</v>
      </c>
      <c r="H4324" s="7">
        <v>96789</v>
      </c>
    </row>
    <row r="4325" spans="1:8" x14ac:dyDescent="0.3">
      <c r="A4325">
        <v>20317</v>
      </c>
      <c r="B4325" t="s">
        <v>5</v>
      </c>
      <c r="C4325" t="s">
        <v>216</v>
      </c>
      <c r="D4325" t="s">
        <v>1455</v>
      </c>
      <c r="E4325" t="s">
        <v>8</v>
      </c>
      <c r="F4325" t="s">
        <v>9</v>
      </c>
      <c r="G4325" t="s">
        <v>1456</v>
      </c>
      <c r="H4325" s="7">
        <v>725</v>
      </c>
    </row>
    <row r="4326" spans="1:8" x14ac:dyDescent="0.3">
      <c r="A4326">
        <v>20319</v>
      </c>
      <c r="B4326" t="s">
        <v>5</v>
      </c>
      <c r="C4326" t="s">
        <v>678</v>
      </c>
      <c r="D4326" t="s">
        <v>3449</v>
      </c>
      <c r="E4326" t="s">
        <v>8</v>
      </c>
      <c r="F4326" t="s">
        <v>9</v>
      </c>
      <c r="G4326" t="s">
        <v>5144</v>
      </c>
      <c r="H4326" s="7">
        <v>725</v>
      </c>
    </row>
    <row r="4327" spans="1:8" x14ac:dyDescent="0.3">
      <c r="A4327">
        <v>20320</v>
      </c>
      <c r="B4327" t="s">
        <v>1966</v>
      </c>
      <c r="C4327" t="s">
        <v>1788</v>
      </c>
      <c r="D4327" t="s">
        <v>1967</v>
      </c>
      <c r="E4327" t="s">
        <v>8</v>
      </c>
      <c r="F4327" t="s">
        <v>21</v>
      </c>
      <c r="G4327" t="s">
        <v>1968</v>
      </c>
      <c r="H4327" s="7">
        <v>92201</v>
      </c>
    </row>
    <row r="4328" spans="1:8" x14ac:dyDescent="0.3">
      <c r="A4328">
        <v>20326</v>
      </c>
      <c r="B4328" t="s">
        <v>5</v>
      </c>
      <c r="C4328" t="s">
        <v>2034</v>
      </c>
      <c r="D4328" t="s">
        <v>3641</v>
      </c>
      <c r="E4328" t="s">
        <v>8</v>
      </c>
      <c r="F4328" t="s">
        <v>9</v>
      </c>
      <c r="G4328" t="s">
        <v>3217</v>
      </c>
      <c r="H4328" s="7">
        <v>725</v>
      </c>
    </row>
    <row r="4329" spans="1:8" x14ac:dyDescent="0.3">
      <c r="A4329">
        <v>20327</v>
      </c>
      <c r="B4329" t="s">
        <v>677</v>
      </c>
      <c r="C4329" t="s">
        <v>678</v>
      </c>
      <c r="D4329" t="s">
        <v>679</v>
      </c>
      <c r="E4329" t="s">
        <v>27</v>
      </c>
      <c r="F4329" t="s">
        <v>114</v>
      </c>
      <c r="G4329" t="s">
        <v>680</v>
      </c>
      <c r="H4329" s="7">
        <v>77840</v>
      </c>
    </row>
    <row r="4330" spans="1:8" x14ac:dyDescent="0.3">
      <c r="A4330">
        <v>20328</v>
      </c>
      <c r="B4330" t="s">
        <v>5</v>
      </c>
      <c r="C4330" t="s">
        <v>1237</v>
      </c>
      <c r="D4330" t="s">
        <v>811</v>
      </c>
      <c r="E4330" t="s">
        <v>8</v>
      </c>
      <c r="F4330" t="s">
        <v>9</v>
      </c>
      <c r="G4330" t="s">
        <v>2068</v>
      </c>
      <c r="H4330" s="7">
        <v>725</v>
      </c>
    </row>
    <row r="4331" spans="1:8" x14ac:dyDescent="0.3">
      <c r="A4331">
        <v>20329</v>
      </c>
      <c r="B4331" t="s">
        <v>174</v>
      </c>
      <c r="C4331" t="s">
        <v>1659</v>
      </c>
      <c r="D4331" t="s">
        <v>589</v>
      </c>
      <c r="E4331" t="s">
        <v>27</v>
      </c>
      <c r="F4331" t="s">
        <v>21</v>
      </c>
      <c r="G4331" t="s">
        <v>1660</v>
      </c>
      <c r="H4331" s="7">
        <v>90023</v>
      </c>
    </row>
    <row r="4332" spans="1:8" x14ac:dyDescent="0.3">
      <c r="A4332">
        <v>20330</v>
      </c>
      <c r="B4332" t="s">
        <v>5</v>
      </c>
      <c r="C4332" t="s">
        <v>67</v>
      </c>
      <c r="D4332" t="s">
        <v>605</v>
      </c>
      <c r="E4332" t="s">
        <v>27</v>
      </c>
      <c r="F4332" t="s">
        <v>9</v>
      </c>
      <c r="G4332" t="s">
        <v>606</v>
      </c>
      <c r="H4332" s="7">
        <v>725</v>
      </c>
    </row>
    <row r="4333" spans="1:8" x14ac:dyDescent="0.3">
      <c r="A4333">
        <v>20331</v>
      </c>
      <c r="B4333" t="s">
        <v>1655</v>
      </c>
      <c r="C4333" t="s">
        <v>1656</v>
      </c>
      <c r="D4333" t="s">
        <v>1164</v>
      </c>
      <c r="E4333" t="s">
        <v>27</v>
      </c>
      <c r="F4333" t="s">
        <v>1657</v>
      </c>
      <c r="G4333" t="s">
        <v>1658</v>
      </c>
      <c r="H4333" s="7">
        <v>6511</v>
      </c>
    </row>
    <row r="4334" spans="1:8" x14ac:dyDescent="0.3">
      <c r="A4334">
        <v>20332</v>
      </c>
      <c r="B4334" t="s">
        <v>5</v>
      </c>
      <c r="C4334" t="s">
        <v>598</v>
      </c>
      <c r="D4334" t="s">
        <v>1071</v>
      </c>
      <c r="E4334" t="s">
        <v>27</v>
      </c>
      <c r="F4334" t="s">
        <v>9</v>
      </c>
      <c r="G4334" t="s">
        <v>1986</v>
      </c>
      <c r="H4334" s="7">
        <v>725</v>
      </c>
    </row>
    <row r="4335" spans="1:8" x14ac:dyDescent="0.3">
      <c r="A4335">
        <v>20333</v>
      </c>
      <c r="B4335" t="s">
        <v>1313</v>
      </c>
      <c r="C4335" t="s">
        <v>1564</v>
      </c>
      <c r="D4335" t="s">
        <v>2257</v>
      </c>
      <c r="E4335" t="s">
        <v>27</v>
      </c>
      <c r="F4335" t="s">
        <v>448</v>
      </c>
      <c r="G4335" t="s">
        <v>2258</v>
      </c>
      <c r="H4335" s="7">
        <v>33165</v>
      </c>
    </row>
    <row r="4336" spans="1:8" x14ac:dyDescent="0.3">
      <c r="A4336">
        <v>20341</v>
      </c>
      <c r="B4336" t="s">
        <v>117</v>
      </c>
      <c r="C4336" t="s">
        <v>2740</v>
      </c>
      <c r="D4336" t="s">
        <v>3180</v>
      </c>
      <c r="E4336" t="s">
        <v>95</v>
      </c>
      <c r="F4336" t="s">
        <v>21</v>
      </c>
      <c r="G4336" t="s">
        <v>5606</v>
      </c>
      <c r="H4336" s="7">
        <v>92115</v>
      </c>
    </row>
    <row r="4337" spans="1:8" x14ac:dyDescent="0.3">
      <c r="A4337">
        <v>20346</v>
      </c>
      <c r="B4337" t="s">
        <v>970</v>
      </c>
      <c r="C4337" t="s">
        <v>2164</v>
      </c>
      <c r="D4337" t="s">
        <v>2165</v>
      </c>
      <c r="E4337" t="s">
        <v>8</v>
      </c>
      <c r="F4337" t="s">
        <v>448</v>
      </c>
      <c r="G4337" t="s">
        <v>2166</v>
      </c>
      <c r="H4337" s="7">
        <v>32825</v>
      </c>
    </row>
    <row r="4338" spans="1:8" x14ac:dyDescent="0.3">
      <c r="A4338">
        <v>20347</v>
      </c>
      <c r="B4338" t="s">
        <v>5</v>
      </c>
      <c r="C4338" t="s">
        <v>3779</v>
      </c>
      <c r="D4338" t="s">
        <v>597</v>
      </c>
      <c r="E4338" t="s">
        <v>8</v>
      </c>
      <c r="F4338" t="s">
        <v>9</v>
      </c>
      <c r="G4338" t="s">
        <v>3780</v>
      </c>
      <c r="H4338" s="7">
        <v>725</v>
      </c>
    </row>
    <row r="4339" spans="1:8" x14ac:dyDescent="0.3">
      <c r="A4339">
        <v>20348</v>
      </c>
      <c r="B4339" t="s">
        <v>635</v>
      </c>
      <c r="C4339" t="s">
        <v>199</v>
      </c>
      <c r="D4339" t="s">
        <v>1166</v>
      </c>
      <c r="E4339" t="s">
        <v>8</v>
      </c>
      <c r="F4339" t="s">
        <v>448</v>
      </c>
      <c r="G4339" t="s">
        <v>1167</v>
      </c>
      <c r="H4339" s="7">
        <v>32303</v>
      </c>
    </row>
    <row r="4340" spans="1:8" x14ac:dyDescent="0.3">
      <c r="A4340">
        <v>20349</v>
      </c>
      <c r="B4340" t="s">
        <v>5</v>
      </c>
      <c r="C4340" t="s">
        <v>196</v>
      </c>
      <c r="D4340" t="s">
        <v>916</v>
      </c>
      <c r="E4340" t="s">
        <v>8</v>
      </c>
      <c r="F4340" t="s">
        <v>9</v>
      </c>
      <c r="G4340" t="s">
        <v>917</v>
      </c>
      <c r="H4340" s="7">
        <v>725</v>
      </c>
    </row>
    <row r="4341" spans="1:8" x14ac:dyDescent="0.3">
      <c r="A4341">
        <v>20350</v>
      </c>
      <c r="B4341" t="s">
        <v>821</v>
      </c>
      <c r="C4341" t="s">
        <v>192</v>
      </c>
      <c r="D4341" t="s">
        <v>2890</v>
      </c>
      <c r="E4341" t="s">
        <v>8</v>
      </c>
      <c r="F4341" t="s">
        <v>190</v>
      </c>
      <c r="G4341" t="s">
        <v>2891</v>
      </c>
      <c r="H4341" s="7">
        <v>85225</v>
      </c>
    </row>
    <row r="4342" spans="1:8" x14ac:dyDescent="0.3">
      <c r="A4342">
        <v>20351</v>
      </c>
      <c r="B4342" t="s">
        <v>810</v>
      </c>
      <c r="C4342" t="s">
        <v>188</v>
      </c>
      <c r="D4342" t="s">
        <v>1880</v>
      </c>
      <c r="E4342" t="s">
        <v>8</v>
      </c>
      <c r="F4342" t="s">
        <v>448</v>
      </c>
      <c r="G4342" t="s">
        <v>1881</v>
      </c>
      <c r="H4342" s="7">
        <v>33065</v>
      </c>
    </row>
    <row r="4343" spans="1:8" x14ac:dyDescent="0.3">
      <c r="A4343">
        <v>20352</v>
      </c>
      <c r="B4343" t="s">
        <v>5</v>
      </c>
      <c r="C4343" t="s">
        <v>183</v>
      </c>
      <c r="D4343" t="s">
        <v>2719</v>
      </c>
      <c r="E4343" t="s">
        <v>95</v>
      </c>
      <c r="F4343" t="s">
        <v>9</v>
      </c>
      <c r="G4343" t="s">
        <v>3527</v>
      </c>
      <c r="H4343" s="7">
        <v>725</v>
      </c>
    </row>
    <row r="4344" spans="1:8" x14ac:dyDescent="0.3">
      <c r="A4344">
        <v>20353</v>
      </c>
      <c r="B4344" t="s">
        <v>1132</v>
      </c>
      <c r="C4344" t="s">
        <v>2513</v>
      </c>
      <c r="D4344" t="s">
        <v>2455</v>
      </c>
      <c r="E4344" t="s">
        <v>27</v>
      </c>
      <c r="F4344" t="s">
        <v>21</v>
      </c>
      <c r="G4344" t="s">
        <v>2629</v>
      </c>
      <c r="H4344" s="7">
        <v>92083</v>
      </c>
    </row>
    <row r="4345" spans="1:8" x14ac:dyDescent="0.3">
      <c r="A4345">
        <v>20354</v>
      </c>
      <c r="B4345" t="s">
        <v>5</v>
      </c>
      <c r="C4345" t="s">
        <v>1807</v>
      </c>
      <c r="D4345" t="s">
        <v>951</v>
      </c>
      <c r="E4345" t="s">
        <v>8</v>
      </c>
      <c r="F4345" t="s">
        <v>9</v>
      </c>
      <c r="G4345" t="s">
        <v>2468</v>
      </c>
      <c r="H4345" s="7">
        <v>725</v>
      </c>
    </row>
    <row r="4346" spans="1:8" x14ac:dyDescent="0.3">
      <c r="A4346">
        <v>20355</v>
      </c>
      <c r="B4346" t="s">
        <v>1313</v>
      </c>
      <c r="C4346" t="s">
        <v>3129</v>
      </c>
      <c r="D4346" t="s">
        <v>4099</v>
      </c>
      <c r="E4346" t="s">
        <v>27</v>
      </c>
      <c r="F4346" t="s">
        <v>448</v>
      </c>
      <c r="G4346" t="s">
        <v>3495</v>
      </c>
      <c r="H4346" s="7">
        <v>33177</v>
      </c>
    </row>
    <row r="4347" spans="1:8" x14ac:dyDescent="0.3">
      <c r="A4347">
        <v>20370</v>
      </c>
      <c r="B4347" t="s">
        <v>117</v>
      </c>
      <c r="C4347" t="s">
        <v>1488</v>
      </c>
      <c r="D4347" t="s">
        <v>210</v>
      </c>
      <c r="E4347" t="s">
        <v>8</v>
      </c>
      <c r="F4347" t="s">
        <v>21</v>
      </c>
      <c r="G4347" t="s">
        <v>1909</v>
      </c>
      <c r="H4347" s="7">
        <v>92104</v>
      </c>
    </row>
    <row r="4348" spans="1:8" x14ac:dyDescent="0.3">
      <c r="A4348">
        <v>20371</v>
      </c>
      <c r="B4348" t="s">
        <v>1452</v>
      </c>
      <c r="C4348" t="s">
        <v>577</v>
      </c>
      <c r="D4348" t="s">
        <v>1453</v>
      </c>
      <c r="E4348" t="s">
        <v>8</v>
      </c>
      <c r="F4348" t="s">
        <v>9</v>
      </c>
      <c r="G4348" t="s">
        <v>1454</v>
      </c>
      <c r="H4348" s="7">
        <v>983</v>
      </c>
    </row>
    <row r="4349" spans="1:8" x14ac:dyDescent="0.3">
      <c r="A4349">
        <v>20378</v>
      </c>
      <c r="B4349" t="s">
        <v>5</v>
      </c>
      <c r="C4349" t="s">
        <v>3492</v>
      </c>
      <c r="D4349" t="s">
        <v>1679</v>
      </c>
      <c r="E4349" t="s">
        <v>27</v>
      </c>
      <c r="F4349" t="s">
        <v>9</v>
      </c>
      <c r="G4349" t="s">
        <v>5230</v>
      </c>
      <c r="H4349" s="7">
        <v>725</v>
      </c>
    </row>
    <row r="4350" spans="1:8" x14ac:dyDescent="0.3">
      <c r="A4350">
        <v>20383</v>
      </c>
      <c r="B4350" t="s">
        <v>1839</v>
      </c>
      <c r="C4350" t="s">
        <v>180</v>
      </c>
      <c r="D4350" t="s">
        <v>1840</v>
      </c>
      <c r="E4350" t="s">
        <v>8</v>
      </c>
      <c r="F4350" t="s">
        <v>55</v>
      </c>
      <c r="G4350" t="s">
        <v>1841</v>
      </c>
      <c r="H4350" s="7">
        <v>60014</v>
      </c>
    </row>
    <row r="4351" spans="1:8" x14ac:dyDescent="0.3">
      <c r="A4351">
        <v>20384</v>
      </c>
      <c r="B4351" t="s">
        <v>5</v>
      </c>
      <c r="C4351" t="s">
        <v>643</v>
      </c>
      <c r="D4351" t="s">
        <v>413</v>
      </c>
      <c r="E4351" t="s">
        <v>95</v>
      </c>
      <c r="F4351" t="s">
        <v>9</v>
      </c>
      <c r="G4351" t="s">
        <v>3559</v>
      </c>
      <c r="H4351" s="7">
        <v>725</v>
      </c>
    </row>
    <row r="4352" spans="1:8" x14ac:dyDescent="0.3">
      <c r="A4352">
        <v>20385</v>
      </c>
      <c r="B4352" t="s">
        <v>1648</v>
      </c>
      <c r="C4352" t="s">
        <v>2547</v>
      </c>
      <c r="D4352" t="s">
        <v>2548</v>
      </c>
      <c r="E4352" t="s">
        <v>8</v>
      </c>
      <c r="F4352" t="s">
        <v>1649</v>
      </c>
      <c r="G4352" t="s">
        <v>1650</v>
      </c>
      <c r="H4352" s="7">
        <v>52001</v>
      </c>
    </row>
    <row r="4353" spans="1:8" x14ac:dyDescent="0.3">
      <c r="A4353">
        <v>20386</v>
      </c>
      <c r="B4353" t="s">
        <v>5</v>
      </c>
      <c r="C4353" t="s">
        <v>160</v>
      </c>
      <c r="D4353" t="s">
        <v>3628</v>
      </c>
      <c r="E4353" t="s">
        <v>8</v>
      </c>
      <c r="F4353" t="s">
        <v>9</v>
      </c>
      <c r="G4353" t="s">
        <v>3629</v>
      </c>
      <c r="H4353" s="7">
        <v>725</v>
      </c>
    </row>
    <row r="4354" spans="1:8" x14ac:dyDescent="0.3">
      <c r="A4354">
        <v>20388</v>
      </c>
      <c r="B4354" t="s">
        <v>1950</v>
      </c>
      <c r="C4354" t="s">
        <v>151</v>
      </c>
      <c r="D4354" t="s">
        <v>1428</v>
      </c>
      <c r="E4354" t="s">
        <v>95</v>
      </c>
      <c r="F4354" t="s">
        <v>381</v>
      </c>
      <c r="G4354" t="s">
        <v>3715</v>
      </c>
      <c r="H4354" s="7">
        <v>48126</v>
      </c>
    </row>
    <row r="4355" spans="1:8" x14ac:dyDescent="0.3">
      <c r="A4355">
        <v>20389</v>
      </c>
      <c r="B4355" t="s">
        <v>5</v>
      </c>
      <c r="C4355" t="s">
        <v>147</v>
      </c>
      <c r="D4355" t="s">
        <v>2395</v>
      </c>
      <c r="E4355" t="s">
        <v>95</v>
      </c>
      <c r="F4355" t="s">
        <v>9</v>
      </c>
      <c r="G4355" t="s">
        <v>5030</v>
      </c>
      <c r="H4355" s="7">
        <v>725</v>
      </c>
    </row>
    <row r="4356" spans="1:8" x14ac:dyDescent="0.3">
      <c r="A4356">
        <v>20391</v>
      </c>
      <c r="B4356" t="s">
        <v>5</v>
      </c>
      <c r="C4356" t="s">
        <v>3020</v>
      </c>
      <c r="D4356" t="s">
        <v>4383</v>
      </c>
      <c r="E4356" t="s">
        <v>27</v>
      </c>
      <c r="F4356" t="s">
        <v>9</v>
      </c>
      <c r="G4356" t="s">
        <v>5065</v>
      </c>
      <c r="H4356" s="7">
        <v>725</v>
      </c>
    </row>
    <row r="4357" spans="1:8" x14ac:dyDescent="0.3">
      <c r="A4357">
        <v>20393</v>
      </c>
      <c r="B4357" t="s">
        <v>142</v>
      </c>
      <c r="C4357" t="s">
        <v>944</v>
      </c>
      <c r="D4357" t="s">
        <v>3816</v>
      </c>
      <c r="E4357" t="s">
        <v>8</v>
      </c>
      <c r="F4357" t="s">
        <v>88</v>
      </c>
      <c r="G4357" t="s">
        <v>1286</v>
      </c>
      <c r="H4357" s="7">
        <v>10463</v>
      </c>
    </row>
    <row r="4358" spans="1:8" x14ac:dyDescent="0.3">
      <c r="A4358">
        <v>20395</v>
      </c>
      <c r="B4358" t="s">
        <v>5</v>
      </c>
      <c r="C4358" t="s">
        <v>138</v>
      </c>
      <c r="D4358" t="s">
        <v>823</v>
      </c>
      <c r="E4358" t="s">
        <v>27</v>
      </c>
      <c r="F4358" t="s">
        <v>9</v>
      </c>
      <c r="G4358" t="s">
        <v>926</v>
      </c>
      <c r="H4358" s="7">
        <v>725</v>
      </c>
    </row>
    <row r="4359" spans="1:8" x14ac:dyDescent="0.3">
      <c r="A4359">
        <v>20396</v>
      </c>
      <c r="B4359" t="s">
        <v>862</v>
      </c>
      <c r="C4359" t="s">
        <v>132</v>
      </c>
      <c r="D4359" t="s">
        <v>2556</v>
      </c>
      <c r="E4359" t="s">
        <v>8</v>
      </c>
      <c r="F4359" t="s">
        <v>478</v>
      </c>
      <c r="G4359" t="s">
        <v>2557</v>
      </c>
      <c r="H4359" s="7">
        <v>89101</v>
      </c>
    </row>
    <row r="4360" spans="1:8" x14ac:dyDescent="0.3">
      <c r="A4360">
        <v>20397</v>
      </c>
      <c r="B4360" t="s">
        <v>2683</v>
      </c>
      <c r="C4360" t="s">
        <v>3470</v>
      </c>
      <c r="D4360" t="s">
        <v>1106</v>
      </c>
      <c r="E4360" t="s">
        <v>95</v>
      </c>
      <c r="F4360" t="s">
        <v>21</v>
      </c>
      <c r="G4360" t="s">
        <v>3731</v>
      </c>
      <c r="H4360" s="7">
        <v>92009</v>
      </c>
    </row>
    <row r="4361" spans="1:8" x14ac:dyDescent="0.3">
      <c r="A4361">
        <v>20398</v>
      </c>
      <c r="B4361" t="s">
        <v>5</v>
      </c>
      <c r="C4361" t="s">
        <v>1788</v>
      </c>
      <c r="D4361" t="s">
        <v>212</v>
      </c>
      <c r="E4361" t="s">
        <v>8</v>
      </c>
      <c r="F4361" t="s">
        <v>9</v>
      </c>
      <c r="G4361" t="s">
        <v>4508</v>
      </c>
      <c r="H4361" s="7">
        <v>725</v>
      </c>
    </row>
    <row r="4362" spans="1:8" x14ac:dyDescent="0.3">
      <c r="A4362">
        <v>20403</v>
      </c>
      <c r="B4362" t="s">
        <v>2082</v>
      </c>
      <c r="C4362" t="s">
        <v>3784</v>
      </c>
      <c r="D4362" t="s">
        <v>4231</v>
      </c>
      <c r="E4362" t="s">
        <v>27</v>
      </c>
      <c r="F4362" t="s">
        <v>21</v>
      </c>
      <c r="G4362" t="s">
        <v>4128</v>
      </c>
      <c r="H4362" s="7">
        <v>92243</v>
      </c>
    </row>
    <row r="4363" spans="1:8" x14ac:dyDescent="0.3">
      <c r="A4363">
        <v>20408</v>
      </c>
      <c r="B4363" t="s">
        <v>1850</v>
      </c>
      <c r="C4363" t="s">
        <v>3972</v>
      </c>
      <c r="D4363" t="s">
        <v>2953</v>
      </c>
      <c r="E4363" t="s">
        <v>8</v>
      </c>
      <c r="F4363" t="s">
        <v>21</v>
      </c>
      <c r="G4363" t="s">
        <v>4668</v>
      </c>
      <c r="H4363" s="7">
        <v>92708</v>
      </c>
    </row>
    <row r="4364" spans="1:8" x14ac:dyDescent="0.3">
      <c r="A4364">
        <v>20413</v>
      </c>
      <c r="B4364" t="s">
        <v>5</v>
      </c>
      <c r="C4364" t="s">
        <v>1395</v>
      </c>
      <c r="D4364" t="s">
        <v>1396</v>
      </c>
      <c r="E4364" t="s">
        <v>8</v>
      </c>
      <c r="F4364" t="s">
        <v>9</v>
      </c>
      <c r="G4364" t="s">
        <v>1397</v>
      </c>
      <c r="H4364" s="7">
        <v>725</v>
      </c>
    </row>
    <row r="4365" spans="1:8" x14ac:dyDescent="0.3">
      <c r="A4365">
        <v>20414</v>
      </c>
      <c r="B4365" t="s">
        <v>440</v>
      </c>
      <c r="C4365" t="s">
        <v>1905</v>
      </c>
      <c r="D4365" t="s">
        <v>394</v>
      </c>
      <c r="E4365" t="s">
        <v>27</v>
      </c>
      <c r="F4365" t="s">
        <v>114</v>
      </c>
      <c r="G4365" t="s">
        <v>4291</v>
      </c>
      <c r="H4365" s="7">
        <v>78223</v>
      </c>
    </row>
    <row r="4366" spans="1:8" x14ac:dyDescent="0.3">
      <c r="A4366">
        <v>20418</v>
      </c>
      <c r="B4366" t="s">
        <v>999</v>
      </c>
      <c r="C4366" t="s">
        <v>2090</v>
      </c>
      <c r="D4366" t="s">
        <v>2550</v>
      </c>
      <c r="E4366" t="s">
        <v>8</v>
      </c>
      <c r="F4366" t="s">
        <v>55</v>
      </c>
      <c r="G4366" t="s">
        <v>1836</v>
      </c>
      <c r="H4366" s="7">
        <v>62301</v>
      </c>
    </row>
    <row r="4367" spans="1:8" x14ac:dyDescent="0.3">
      <c r="A4367">
        <v>20427</v>
      </c>
      <c r="B4367" t="s">
        <v>5</v>
      </c>
      <c r="C4367" t="s">
        <v>3869</v>
      </c>
      <c r="D4367" t="s">
        <v>4099</v>
      </c>
      <c r="E4367" t="s">
        <v>27</v>
      </c>
      <c r="F4367" t="s">
        <v>9</v>
      </c>
      <c r="G4367" t="s">
        <v>5472</v>
      </c>
      <c r="H4367" s="7">
        <v>725</v>
      </c>
    </row>
    <row r="4368" spans="1:8" x14ac:dyDescent="0.3">
      <c r="A4368">
        <v>20430</v>
      </c>
      <c r="B4368" t="s">
        <v>296</v>
      </c>
      <c r="C4368" t="s">
        <v>1103</v>
      </c>
      <c r="D4368" t="s">
        <v>306</v>
      </c>
      <c r="E4368" t="s">
        <v>8</v>
      </c>
      <c r="F4368" t="s">
        <v>21</v>
      </c>
      <c r="G4368" t="s">
        <v>3078</v>
      </c>
      <c r="H4368" s="7">
        <v>91790</v>
      </c>
    </row>
    <row r="4369" spans="1:8" x14ac:dyDescent="0.3">
      <c r="A4369">
        <v>20431</v>
      </c>
      <c r="B4369" t="s">
        <v>5</v>
      </c>
      <c r="C4369" t="s">
        <v>1404</v>
      </c>
      <c r="D4369" t="s">
        <v>3795</v>
      </c>
      <c r="E4369" t="s">
        <v>8</v>
      </c>
      <c r="F4369" t="s">
        <v>9</v>
      </c>
      <c r="G4369" t="s">
        <v>3796</v>
      </c>
      <c r="H4369" s="7">
        <v>725</v>
      </c>
    </row>
    <row r="4370" spans="1:8" x14ac:dyDescent="0.3">
      <c r="A4370">
        <v>20432</v>
      </c>
      <c r="B4370" t="s">
        <v>1782</v>
      </c>
      <c r="C4370" t="s">
        <v>2876</v>
      </c>
      <c r="D4370" t="s">
        <v>1472</v>
      </c>
      <c r="E4370" t="s">
        <v>8</v>
      </c>
      <c r="F4370" t="s">
        <v>140</v>
      </c>
      <c r="G4370" t="s">
        <v>2877</v>
      </c>
      <c r="H4370" s="7">
        <v>30062</v>
      </c>
    </row>
    <row r="4371" spans="1:8" x14ac:dyDescent="0.3">
      <c r="A4371">
        <v>20433</v>
      </c>
      <c r="B4371" t="s">
        <v>3008</v>
      </c>
      <c r="C4371" t="s">
        <v>2413</v>
      </c>
      <c r="D4371" t="s">
        <v>3026</v>
      </c>
      <c r="E4371" t="s">
        <v>8</v>
      </c>
      <c r="F4371" t="s">
        <v>158</v>
      </c>
      <c r="G4371" t="s">
        <v>1737</v>
      </c>
      <c r="H4371" s="7">
        <v>38118</v>
      </c>
    </row>
    <row r="4372" spans="1:8" x14ac:dyDescent="0.3">
      <c r="A4372">
        <v>20434</v>
      </c>
      <c r="B4372" t="s">
        <v>5</v>
      </c>
      <c r="C4372" t="s">
        <v>3655</v>
      </c>
      <c r="D4372" t="s">
        <v>3656</v>
      </c>
      <c r="E4372" t="s">
        <v>8</v>
      </c>
      <c r="F4372" t="s">
        <v>9</v>
      </c>
      <c r="G4372" t="s">
        <v>3657</v>
      </c>
      <c r="H4372" s="7">
        <v>725</v>
      </c>
    </row>
    <row r="4373" spans="1:8" x14ac:dyDescent="0.3">
      <c r="A4373">
        <v>20439</v>
      </c>
      <c r="B4373" t="s">
        <v>3720</v>
      </c>
      <c r="C4373" t="s">
        <v>212</v>
      </c>
      <c r="E4373" t="s">
        <v>95</v>
      </c>
      <c r="F4373" t="s">
        <v>21</v>
      </c>
      <c r="G4373" t="s">
        <v>3585</v>
      </c>
      <c r="H4373" s="7">
        <v>91335</v>
      </c>
    </row>
    <row r="4374" spans="1:8" x14ac:dyDescent="0.3">
      <c r="A4374">
        <v>20440</v>
      </c>
      <c r="B4374" t="s">
        <v>174</v>
      </c>
      <c r="C4374" t="s">
        <v>43</v>
      </c>
      <c r="D4374" t="s">
        <v>1831</v>
      </c>
      <c r="E4374" t="s">
        <v>8</v>
      </c>
      <c r="F4374" t="s">
        <v>21</v>
      </c>
      <c r="G4374" t="s">
        <v>1832</v>
      </c>
      <c r="H4374" s="7">
        <v>90042</v>
      </c>
    </row>
    <row r="4375" spans="1:8" x14ac:dyDescent="0.3">
      <c r="A4375">
        <v>20447</v>
      </c>
      <c r="B4375" t="s">
        <v>254</v>
      </c>
      <c r="C4375" t="s">
        <v>3858</v>
      </c>
      <c r="D4375" t="s">
        <v>1587</v>
      </c>
      <c r="E4375" t="s">
        <v>27</v>
      </c>
      <c r="F4375" t="s">
        <v>55</v>
      </c>
      <c r="G4375" t="s">
        <v>4306</v>
      </c>
      <c r="H4375" s="7">
        <v>60660</v>
      </c>
    </row>
    <row r="4376" spans="1:8" x14ac:dyDescent="0.3">
      <c r="A4376">
        <v>20459</v>
      </c>
      <c r="B4376" t="s">
        <v>476</v>
      </c>
      <c r="C4376" t="s">
        <v>199</v>
      </c>
      <c r="D4376" t="s">
        <v>574</v>
      </c>
      <c r="E4376" t="s">
        <v>8</v>
      </c>
      <c r="F4376" t="s">
        <v>478</v>
      </c>
      <c r="G4376" t="s">
        <v>2850</v>
      </c>
      <c r="H4376" s="7">
        <v>89030</v>
      </c>
    </row>
    <row r="4377" spans="1:8" x14ac:dyDescent="0.3">
      <c r="A4377">
        <v>20460</v>
      </c>
      <c r="B4377" t="s">
        <v>5</v>
      </c>
      <c r="C4377" t="s">
        <v>1057</v>
      </c>
      <c r="D4377" t="s">
        <v>1058</v>
      </c>
      <c r="E4377" t="s">
        <v>95</v>
      </c>
      <c r="F4377" t="s">
        <v>9</v>
      </c>
      <c r="G4377" t="s">
        <v>1059</v>
      </c>
      <c r="H4377" s="7">
        <v>725</v>
      </c>
    </row>
    <row r="4378" spans="1:8" x14ac:dyDescent="0.3">
      <c r="A4378">
        <v>20462</v>
      </c>
      <c r="B4378" t="s">
        <v>1571</v>
      </c>
      <c r="C4378" t="s">
        <v>1572</v>
      </c>
      <c r="D4378" t="s">
        <v>1573</v>
      </c>
      <c r="E4378" t="s">
        <v>27</v>
      </c>
      <c r="F4378" t="s">
        <v>248</v>
      </c>
      <c r="G4378" t="s">
        <v>1574</v>
      </c>
      <c r="H4378" s="7">
        <v>43026</v>
      </c>
    </row>
    <row r="4379" spans="1:8" x14ac:dyDescent="0.3">
      <c r="A4379">
        <v>20463</v>
      </c>
      <c r="B4379" t="s">
        <v>5</v>
      </c>
      <c r="C4379" t="s">
        <v>3308</v>
      </c>
      <c r="D4379" t="s">
        <v>3309</v>
      </c>
      <c r="E4379" t="s">
        <v>27</v>
      </c>
      <c r="F4379" t="s">
        <v>9</v>
      </c>
      <c r="G4379" t="s">
        <v>3310</v>
      </c>
      <c r="H4379" s="7">
        <v>725</v>
      </c>
    </row>
    <row r="4380" spans="1:8" x14ac:dyDescent="0.3">
      <c r="A4380">
        <v>20465</v>
      </c>
      <c r="B4380" t="s">
        <v>5</v>
      </c>
      <c r="C4380" t="s">
        <v>3909</v>
      </c>
      <c r="D4380" t="s">
        <v>282</v>
      </c>
      <c r="E4380" t="s">
        <v>8</v>
      </c>
      <c r="F4380" t="s">
        <v>9</v>
      </c>
      <c r="G4380" t="s">
        <v>4453</v>
      </c>
      <c r="H4380" s="7">
        <v>725</v>
      </c>
    </row>
    <row r="4381" spans="1:8" x14ac:dyDescent="0.3">
      <c r="A4381">
        <v>20478</v>
      </c>
      <c r="B4381" t="s">
        <v>3866</v>
      </c>
      <c r="C4381" t="s">
        <v>5213</v>
      </c>
      <c r="D4381" t="s">
        <v>1992</v>
      </c>
      <c r="E4381" t="s">
        <v>27</v>
      </c>
      <c r="F4381" t="s">
        <v>77</v>
      </c>
      <c r="G4381" t="s">
        <v>4638</v>
      </c>
      <c r="H4381" s="7">
        <v>18702</v>
      </c>
    </row>
    <row r="4382" spans="1:8" x14ac:dyDescent="0.3">
      <c r="A4382">
        <v>20486</v>
      </c>
      <c r="B4382" t="s">
        <v>5</v>
      </c>
      <c r="C4382" t="s">
        <v>3093</v>
      </c>
      <c r="D4382" t="s">
        <v>2857</v>
      </c>
      <c r="E4382" t="s">
        <v>95</v>
      </c>
      <c r="F4382" t="s">
        <v>9</v>
      </c>
      <c r="G4382" t="s">
        <v>4339</v>
      </c>
      <c r="H4382" s="7">
        <v>725</v>
      </c>
    </row>
    <row r="4383" spans="1:8" x14ac:dyDescent="0.3">
      <c r="A4383">
        <v>20494</v>
      </c>
      <c r="B4383" t="s">
        <v>5</v>
      </c>
      <c r="C4383" t="s">
        <v>1604</v>
      </c>
      <c r="D4383" t="s">
        <v>2852</v>
      </c>
      <c r="E4383" t="s">
        <v>95</v>
      </c>
      <c r="F4383" t="s">
        <v>9</v>
      </c>
      <c r="G4383" t="s">
        <v>4503</v>
      </c>
      <c r="H4383" s="7">
        <v>725</v>
      </c>
    </row>
    <row r="4384" spans="1:8" x14ac:dyDescent="0.3">
      <c r="A4384">
        <v>20495</v>
      </c>
      <c r="B4384" t="s">
        <v>865</v>
      </c>
      <c r="C4384" t="s">
        <v>4098</v>
      </c>
      <c r="D4384" t="s">
        <v>2120</v>
      </c>
      <c r="E4384" t="s">
        <v>8</v>
      </c>
      <c r="F4384" t="s">
        <v>190</v>
      </c>
      <c r="G4384" t="s">
        <v>1929</v>
      </c>
      <c r="H4384" s="7">
        <v>85706</v>
      </c>
    </row>
    <row r="4385" spans="1:8" x14ac:dyDescent="0.3">
      <c r="A4385">
        <v>20496</v>
      </c>
      <c r="B4385" t="s">
        <v>1520</v>
      </c>
      <c r="C4385" t="s">
        <v>1590</v>
      </c>
      <c r="D4385" t="s">
        <v>1568</v>
      </c>
      <c r="E4385" t="s">
        <v>95</v>
      </c>
      <c r="F4385" t="s">
        <v>381</v>
      </c>
      <c r="G4385" t="s">
        <v>4768</v>
      </c>
      <c r="H4385" s="7">
        <v>49509</v>
      </c>
    </row>
    <row r="4386" spans="1:8" x14ac:dyDescent="0.3">
      <c r="A4386">
        <v>20502</v>
      </c>
      <c r="B4386" t="s">
        <v>862</v>
      </c>
      <c r="C4386" t="s">
        <v>3679</v>
      </c>
      <c r="D4386" t="s">
        <v>3680</v>
      </c>
      <c r="E4386" t="s">
        <v>95</v>
      </c>
      <c r="F4386" t="s">
        <v>478</v>
      </c>
      <c r="G4386" t="s">
        <v>3681</v>
      </c>
      <c r="H4386" s="7">
        <v>89103</v>
      </c>
    </row>
    <row r="4387" spans="1:8" x14ac:dyDescent="0.3">
      <c r="A4387">
        <v>20504</v>
      </c>
      <c r="B4387" t="s">
        <v>1882</v>
      </c>
      <c r="C4387" t="s">
        <v>1930</v>
      </c>
      <c r="D4387" t="s">
        <v>2002</v>
      </c>
      <c r="E4387" t="s">
        <v>95</v>
      </c>
      <c r="F4387" t="s">
        <v>21</v>
      </c>
      <c r="G4387" t="s">
        <v>1617</v>
      </c>
      <c r="H4387" s="7">
        <v>92345</v>
      </c>
    </row>
    <row r="4388" spans="1:8" x14ac:dyDescent="0.3">
      <c r="A4388">
        <v>20505</v>
      </c>
      <c r="B4388" t="s">
        <v>656</v>
      </c>
      <c r="C4388" t="s">
        <v>3676</v>
      </c>
      <c r="D4388" t="s">
        <v>1622</v>
      </c>
      <c r="E4388" t="s">
        <v>95</v>
      </c>
      <c r="F4388" t="s">
        <v>77</v>
      </c>
      <c r="G4388" t="s">
        <v>3677</v>
      </c>
      <c r="H4388" s="7">
        <v>19140</v>
      </c>
    </row>
    <row r="4389" spans="1:8" x14ac:dyDescent="0.3">
      <c r="A4389">
        <v>20506</v>
      </c>
      <c r="B4389" t="s">
        <v>823</v>
      </c>
      <c r="C4389" t="s">
        <v>2793</v>
      </c>
      <c r="D4389" t="s">
        <v>1264</v>
      </c>
      <c r="E4389" t="s">
        <v>27</v>
      </c>
      <c r="F4389" t="s">
        <v>114</v>
      </c>
      <c r="G4389" t="s">
        <v>2794</v>
      </c>
      <c r="H4389" s="7">
        <v>77469</v>
      </c>
    </row>
    <row r="4390" spans="1:8" x14ac:dyDescent="0.3">
      <c r="A4390">
        <v>20507</v>
      </c>
      <c r="B4390" t="s">
        <v>5</v>
      </c>
      <c r="C4390" t="s">
        <v>2602</v>
      </c>
      <c r="D4390" t="s">
        <v>1867</v>
      </c>
      <c r="E4390" t="s">
        <v>27</v>
      </c>
      <c r="F4390" t="s">
        <v>9</v>
      </c>
      <c r="G4390" t="s">
        <v>2603</v>
      </c>
      <c r="H4390" s="7">
        <v>725</v>
      </c>
    </row>
    <row r="4391" spans="1:8" x14ac:dyDescent="0.3">
      <c r="A4391">
        <v>20512</v>
      </c>
      <c r="B4391" t="s">
        <v>4075</v>
      </c>
      <c r="C4391" t="s">
        <v>1509</v>
      </c>
      <c r="D4391" t="s">
        <v>319</v>
      </c>
      <c r="E4391" t="s">
        <v>27</v>
      </c>
      <c r="F4391" t="s">
        <v>36</v>
      </c>
      <c r="G4391" t="s">
        <v>4283</v>
      </c>
      <c r="H4391" s="7">
        <v>2740</v>
      </c>
    </row>
    <row r="4392" spans="1:8" x14ac:dyDescent="0.3">
      <c r="A4392">
        <v>20516</v>
      </c>
      <c r="B4392" t="s">
        <v>368</v>
      </c>
      <c r="C4392" t="s">
        <v>2807</v>
      </c>
      <c r="D4392" t="s">
        <v>1151</v>
      </c>
      <c r="E4392" t="s">
        <v>8</v>
      </c>
      <c r="F4392" t="s">
        <v>88</v>
      </c>
      <c r="G4392" t="s">
        <v>4450</v>
      </c>
      <c r="H4392" s="7">
        <v>10027</v>
      </c>
    </row>
    <row r="4393" spans="1:8" x14ac:dyDescent="0.3">
      <c r="A4393">
        <v>20521</v>
      </c>
      <c r="B4393" t="s">
        <v>1833</v>
      </c>
      <c r="C4393" t="s">
        <v>219</v>
      </c>
      <c r="D4393" t="s">
        <v>762</v>
      </c>
      <c r="E4393" t="s">
        <v>95</v>
      </c>
      <c r="F4393" t="s">
        <v>21</v>
      </c>
      <c r="G4393" t="s">
        <v>5168</v>
      </c>
      <c r="H4393" s="7">
        <v>93304</v>
      </c>
    </row>
    <row r="4394" spans="1:8" x14ac:dyDescent="0.3">
      <c r="A4394">
        <v>20524</v>
      </c>
      <c r="B4394" t="s">
        <v>5</v>
      </c>
      <c r="C4394" t="s">
        <v>3556</v>
      </c>
      <c r="D4394" t="s">
        <v>2899</v>
      </c>
      <c r="E4394" t="s">
        <v>27</v>
      </c>
      <c r="F4394" t="s">
        <v>9</v>
      </c>
      <c r="G4394" t="s">
        <v>3078</v>
      </c>
      <c r="H4394" s="7">
        <v>725</v>
      </c>
    </row>
    <row r="4395" spans="1:8" x14ac:dyDescent="0.3">
      <c r="A4395">
        <v>20532</v>
      </c>
      <c r="B4395" t="s">
        <v>18</v>
      </c>
      <c r="C4395" t="s">
        <v>2020</v>
      </c>
      <c r="D4395" t="s">
        <v>3282</v>
      </c>
      <c r="E4395" t="s">
        <v>95</v>
      </c>
      <c r="F4395" t="s">
        <v>21</v>
      </c>
      <c r="G4395" t="s">
        <v>4406</v>
      </c>
      <c r="H4395" s="7">
        <v>95112</v>
      </c>
    </row>
    <row r="4396" spans="1:8" x14ac:dyDescent="0.3">
      <c r="A4396">
        <v>20535</v>
      </c>
      <c r="B4396" t="s">
        <v>5</v>
      </c>
      <c r="C4396" t="s">
        <v>841</v>
      </c>
      <c r="D4396" t="s">
        <v>4774</v>
      </c>
      <c r="E4396" t="s">
        <v>95</v>
      </c>
      <c r="F4396" t="s">
        <v>9</v>
      </c>
      <c r="G4396" t="s">
        <v>4333</v>
      </c>
      <c r="H4396" s="7">
        <v>725</v>
      </c>
    </row>
    <row r="4397" spans="1:8" x14ac:dyDescent="0.3">
      <c r="A4397">
        <v>20551</v>
      </c>
      <c r="B4397" t="s">
        <v>1116</v>
      </c>
      <c r="C4397" t="s">
        <v>63</v>
      </c>
      <c r="D4397" t="s">
        <v>506</v>
      </c>
      <c r="E4397" t="s">
        <v>8</v>
      </c>
      <c r="F4397" t="s">
        <v>1118</v>
      </c>
      <c r="G4397" t="s">
        <v>5138</v>
      </c>
      <c r="H4397" s="7">
        <v>55124</v>
      </c>
    </row>
    <row r="4398" spans="1:8" x14ac:dyDescent="0.3">
      <c r="A4398">
        <v>20553</v>
      </c>
      <c r="B4398" t="s">
        <v>5</v>
      </c>
      <c r="C4398" t="s">
        <v>2254</v>
      </c>
      <c r="D4398" t="s">
        <v>3269</v>
      </c>
      <c r="E4398" t="s">
        <v>27</v>
      </c>
      <c r="F4398" t="s">
        <v>9</v>
      </c>
      <c r="G4398" t="s">
        <v>3270</v>
      </c>
      <c r="H4398" s="7">
        <v>725</v>
      </c>
    </row>
    <row r="4399" spans="1:8" x14ac:dyDescent="0.3">
      <c r="A4399">
        <v>20554</v>
      </c>
      <c r="B4399" t="s">
        <v>277</v>
      </c>
      <c r="C4399" t="s">
        <v>696</v>
      </c>
      <c r="D4399" t="s">
        <v>2846</v>
      </c>
      <c r="E4399" t="s">
        <v>8</v>
      </c>
      <c r="F4399" t="s">
        <v>21</v>
      </c>
      <c r="G4399" t="s">
        <v>2847</v>
      </c>
      <c r="H4399" s="7">
        <v>95035</v>
      </c>
    </row>
    <row r="4400" spans="1:8" x14ac:dyDescent="0.3">
      <c r="A4400">
        <v>20555</v>
      </c>
      <c r="B4400" t="s">
        <v>2810</v>
      </c>
      <c r="C4400" t="s">
        <v>1448</v>
      </c>
      <c r="D4400" t="s">
        <v>2811</v>
      </c>
      <c r="E4400" t="s">
        <v>27</v>
      </c>
      <c r="F4400" t="s">
        <v>381</v>
      </c>
      <c r="G4400" t="s">
        <v>2812</v>
      </c>
      <c r="H4400" s="7">
        <v>48103</v>
      </c>
    </row>
    <row r="4401" spans="1:8" x14ac:dyDescent="0.3">
      <c r="A4401">
        <v>20557</v>
      </c>
      <c r="B4401" t="s">
        <v>495</v>
      </c>
      <c r="C4401" t="s">
        <v>2033</v>
      </c>
      <c r="D4401" t="s">
        <v>5431</v>
      </c>
      <c r="E4401" t="s">
        <v>8</v>
      </c>
      <c r="F4401" t="s">
        <v>88</v>
      </c>
      <c r="G4401" t="s">
        <v>5509</v>
      </c>
      <c r="H4401" s="7">
        <v>11207</v>
      </c>
    </row>
    <row r="4402" spans="1:8" x14ac:dyDescent="0.3">
      <c r="A4402">
        <v>20562</v>
      </c>
      <c r="B4402" t="s">
        <v>3694</v>
      </c>
      <c r="C4402" t="s">
        <v>1513</v>
      </c>
      <c r="D4402" t="s">
        <v>4479</v>
      </c>
      <c r="E4402" t="s">
        <v>95</v>
      </c>
      <c r="F4402" t="s">
        <v>21</v>
      </c>
      <c r="G4402" t="s">
        <v>5169</v>
      </c>
      <c r="H4402" s="7">
        <v>91789</v>
      </c>
    </row>
    <row r="4403" spans="1:8" x14ac:dyDescent="0.3">
      <c r="A4403">
        <v>20566</v>
      </c>
      <c r="B4403" t="s">
        <v>2543</v>
      </c>
      <c r="C4403" t="s">
        <v>2544</v>
      </c>
      <c r="D4403" t="s">
        <v>2545</v>
      </c>
      <c r="E4403" t="s">
        <v>8</v>
      </c>
      <c r="F4403" t="s">
        <v>88</v>
      </c>
      <c r="G4403" t="s">
        <v>2546</v>
      </c>
      <c r="H4403" s="7">
        <v>11435</v>
      </c>
    </row>
    <row r="4404" spans="1:8" x14ac:dyDescent="0.3">
      <c r="A4404">
        <v>20567</v>
      </c>
      <c r="B4404" t="s">
        <v>2538</v>
      </c>
      <c r="C4404" t="s">
        <v>2067</v>
      </c>
      <c r="D4404" t="s">
        <v>2539</v>
      </c>
      <c r="E4404" t="s">
        <v>8</v>
      </c>
      <c r="F4404" t="s">
        <v>55</v>
      </c>
      <c r="G4404" t="s">
        <v>2540</v>
      </c>
      <c r="H4404" s="7">
        <v>60025</v>
      </c>
    </row>
    <row r="4405" spans="1:8" x14ac:dyDescent="0.3">
      <c r="A4405">
        <v>20572</v>
      </c>
      <c r="B4405" t="s">
        <v>999</v>
      </c>
      <c r="C4405" t="s">
        <v>2353</v>
      </c>
      <c r="D4405" t="s">
        <v>3074</v>
      </c>
      <c r="E4405" t="s">
        <v>8</v>
      </c>
      <c r="F4405" t="s">
        <v>36</v>
      </c>
      <c r="G4405" t="s">
        <v>3075</v>
      </c>
      <c r="H4405" s="7">
        <v>2169</v>
      </c>
    </row>
    <row r="4406" spans="1:8" x14ac:dyDescent="0.3">
      <c r="A4406">
        <v>20588</v>
      </c>
      <c r="B4406" t="s">
        <v>1313</v>
      </c>
      <c r="C4406" t="s">
        <v>3113</v>
      </c>
      <c r="D4406" t="s">
        <v>1719</v>
      </c>
      <c r="E4406" t="s">
        <v>95</v>
      </c>
      <c r="F4406" t="s">
        <v>448</v>
      </c>
      <c r="G4406" t="s">
        <v>209</v>
      </c>
      <c r="H4406" s="7">
        <v>33155</v>
      </c>
    </row>
    <row r="4407" spans="1:8" x14ac:dyDescent="0.3">
      <c r="A4407">
        <v>20589</v>
      </c>
      <c r="B4407" t="s">
        <v>5</v>
      </c>
      <c r="C4407" t="s">
        <v>1653</v>
      </c>
      <c r="D4407" t="s">
        <v>3263</v>
      </c>
      <c r="E4407" t="s">
        <v>27</v>
      </c>
      <c r="F4407" t="s">
        <v>9</v>
      </c>
      <c r="G4407" t="s">
        <v>3264</v>
      </c>
      <c r="H4407" s="7">
        <v>725</v>
      </c>
    </row>
    <row r="4408" spans="1:8" x14ac:dyDescent="0.3">
      <c r="A4408">
        <v>20598</v>
      </c>
      <c r="B4408" t="s">
        <v>440</v>
      </c>
      <c r="C4408" t="s">
        <v>3104</v>
      </c>
      <c r="D4408" t="s">
        <v>4226</v>
      </c>
      <c r="E4408" t="s">
        <v>95</v>
      </c>
      <c r="F4408" t="s">
        <v>114</v>
      </c>
      <c r="G4408" t="s">
        <v>2311</v>
      </c>
      <c r="H4408" s="7">
        <v>78201</v>
      </c>
    </row>
    <row r="4409" spans="1:8" x14ac:dyDescent="0.3">
      <c r="A4409">
        <v>20606</v>
      </c>
      <c r="B4409" t="s">
        <v>254</v>
      </c>
      <c r="C4409" t="s">
        <v>3004</v>
      </c>
      <c r="D4409" t="s">
        <v>1370</v>
      </c>
      <c r="E4409" t="s">
        <v>8</v>
      </c>
      <c r="F4409" t="s">
        <v>55</v>
      </c>
      <c r="G4409" t="s">
        <v>2694</v>
      </c>
      <c r="H4409" s="7">
        <v>60630</v>
      </c>
    </row>
    <row r="4410" spans="1:8" x14ac:dyDescent="0.3">
      <c r="A4410">
        <v>20608</v>
      </c>
      <c r="B4410" t="s">
        <v>5</v>
      </c>
      <c r="C4410" t="s">
        <v>3556</v>
      </c>
      <c r="D4410" t="s">
        <v>756</v>
      </c>
      <c r="E4410" t="s">
        <v>95</v>
      </c>
      <c r="F4410" t="s">
        <v>9</v>
      </c>
      <c r="G4410" t="s">
        <v>3557</v>
      </c>
      <c r="H4410" s="7">
        <v>725</v>
      </c>
    </row>
    <row r="4411" spans="1:8" x14ac:dyDescent="0.3">
      <c r="A4411">
        <v>20617</v>
      </c>
      <c r="B4411" t="s">
        <v>18</v>
      </c>
      <c r="C4411" t="s">
        <v>3038</v>
      </c>
      <c r="D4411" t="s">
        <v>2048</v>
      </c>
      <c r="E4411" t="s">
        <v>27</v>
      </c>
      <c r="F4411" t="s">
        <v>21</v>
      </c>
      <c r="G4411" t="s">
        <v>4034</v>
      </c>
      <c r="H4411" s="7">
        <v>95148</v>
      </c>
    </row>
    <row r="4412" spans="1:8" x14ac:dyDescent="0.3">
      <c r="A4412">
        <v>20622</v>
      </c>
      <c r="B4412" t="s">
        <v>5</v>
      </c>
      <c r="C4412" t="s">
        <v>2340</v>
      </c>
      <c r="D4412" t="s">
        <v>2224</v>
      </c>
      <c r="E4412" t="s">
        <v>95</v>
      </c>
      <c r="F4412" t="s">
        <v>9</v>
      </c>
      <c r="G4412" t="s">
        <v>1119</v>
      </c>
      <c r="H4412" s="7">
        <v>725</v>
      </c>
    </row>
    <row r="4413" spans="1:8" x14ac:dyDescent="0.3">
      <c r="A4413">
        <v>20626</v>
      </c>
      <c r="B4413" t="s">
        <v>2193</v>
      </c>
      <c r="C4413" t="s">
        <v>2194</v>
      </c>
      <c r="D4413" t="s">
        <v>2195</v>
      </c>
      <c r="E4413" t="s">
        <v>27</v>
      </c>
      <c r="F4413" t="s">
        <v>21</v>
      </c>
      <c r="G4413" t="s">
        <v>2196</v>
      </c>
      <c r="H4413" s="7">
        <v>90731</v>
      </c>
    </row>
    <row r="4414" spans="1:8" x14ac:dyDescent="0.3">
      <c r="A4414">
        <v>20627</v>
      </c>
      <c r="B4414" t="s">
        <v>733</v>
      </c>
      <c r="C4414" t="s">
        <v>1972</v>
      </c>
      <c r="D4414" t="s">
        <v>2215</v>
      </c>
      <c r="E4414" t="s">
        <v>27</v>
      </c>
      <c r="F4414" t="s">
        <v>735</v>
      </c>
      <c r="G4414" t="s">
        <v>1497</v>
      </c>
      <c r="H4414" s="7">
        <v>20009</v>
      </c>
    </row>
    <row r="4415" spans="1:8" x14ac:dyDescent="0.3">
      <c r="A4415">
        <v>20630</v>
      </c>
      <c r="B4415" t="s">
        <v>174</v>
      </c>
      <c r="C4415" t="s">
        <v>170</v>
      </c>
      <c r="D4415" t="s">
        <v>852</v>
      </c>
      <c r="E4415" t="s">
        <v>95</v>
      </c>
      <c r="F4415" t="s">
        <v>21</v>
      </c>
      <c r="G4415" t="s">
        <v>2742</v>
      </c>
      <c r="H4415" s="7">
        <v>90044</v>
      </c>
    </row>
    <row r="4416" spans="1:8" x14ac:dyDescent="0.3">
      <c r="A4416">
        <v>20631</v>
      </c>
      <c r="B4416" t="s">
        <v>823</v>
      </c>
      <c r="C4416" t="s">
        <v>1856</v>
      </c>
      <c r="D4416" t="s">
        <v>1857</v>
      </c>
      <c r="E4416" t="s">
        <v>8</v>
      </c>
      <c r="F4416" t="s">
        <v>1514</v>
      </c>
      <c r="G4416" t="s">
        <v>1858</v>
      </c>
      <c r="H4416" s="7">
        <v>40475</v>
      </c>
    </row>
    <row r="4417" spans="1:8" x14ac:dyDescent="0.3">
      <c r="A4417">
        <v>20632</v>
      </c>
      <c r="B4417" t="s">
        <v>5</v>
      </c>
      <c r="C4417" t="s">
        <v>2824</v>
      </c>
      <c r="D4417" t="s">
        <v>3807</v>
      </c>
      <c r="E4417" t="s">
        <v>8</v>
      </c>
      <c r="F4417" t="s">
        <v>9</v>
      </c>
      <c r="G4417" t="s">
        <v>2046</v>
      </c>
      <c r="H4417" s="7">
        <v>725</v>
      </c>
    </row>
    <row r="4418" spans="1:8" x14ac:dyDescent="0.3">
      <c r="A4418">
        <v>20633</v>
      </c>
      <c r="B4418" t="s">
        <v>1538</v>
      </c>
      <c r="C4418" t="s">
        <v>1539</v>
      </c>
      <c r="D4418" t="s">
        <v>1540</v>
      </c>
      <c r="E4418" t="s">
        <v>27</v>
      </c>
      <c r="F4418" t="s">
        <v>21</v>
      </c>
      <c r="G4418" t="s">
        <v>1541</v>
      </c>
      <c r="H4418" s="7">
        <v>95823</v>
      </c>
    </row>
    <row r="4419" spans="1:8" x14ac:dyDescent="0.3">
      <c r="A4419">
        <v>20635</v>
      </c>
      <c r="B4419" t="s">
        <v>2386</v>
      </c>
      <c r="C4419" t="s">
        <v>3759</v>
      </c>
      <c r="D4419" t="s">
        <v>3110</v>
      </c>
      <c r="E4419" t="s">
        <v>95</v>
      </c>
      <c r="F4419" t="s">
        <v>36</v>
      </c>
      <c r="G4419" t="s">
        <v>4293</v>
      </c>
      <c r="H4419" s="7">
        <v>2124</v>
      </c>
    </row>
    <row r="4420" spans="1:8" x14ac:dyDescent="0.3">
      <c r="A4420">
        <v>20636</v>
      </c>
      <c r="B4420" t="s">
        <v>5</v>
      </c>
      <c r="C4420" t="s">
        <v>912</v>
      </c>
      <c r="D4420" t="s">
        <v>1384</v>
      </c>
      <c r="E4420" t="s">
        <v>8</v>
      </c>
      <c r="F4420" t="s">
        <v>9</v>
      </c>
      <c r="G4420" t="s">
        <v>1385</v>
      </c>
      <c r="H4420" s="7">
        <v>725</v>
      </c>
    </row>
    <row r="4421" spans="1:8" x14ac:dyDescent="0.3">
      <c r="A4421">
        <v>20637</v>
      </c>
      <c r="B4421" t="s">
        <v>4413</v>
      </c>
      <c r="C4421" t="s">
        <v>1886</v>
      </c>
      <c r="D4421" t="s">
        <v>1746</v>
      </c>
      <c r="E4421" t="s">
        <v>8</v>
      </c>
      <c r="F4421" t="s">
        <v>1514</v>
      </c>
      <c r="G4421" t="s">
        <v>5646</v>
      </c>
      <c r="H4421" s="7">
        <v>40601</v>
      </c>
    </row>
    <row r="4422" spans="1:8" x14ac:dyDescent="0.3">
      <c r="A4422">
        <v>20638</v>
      </c>
      <c r="B4422" t="s">
        <v>5</v>
      </c>
      <c r="C4422" t="s">
        <v>1372</v>
      </c>
      <c r="D4422" t="s">
        <v>1373</v>
      </c>
      <c r="E4422" t="s">
        <v>8</v>
      </c>
      <c r="F4422" t="s">
        <v>9</v>
      </c>
      <c r="G4422" t="s">
        <v>1374</v>
      </c>
      <c r="H4422" s="7">
        <v>725</v>
      </c>
    </row>
    <row r="4423" spans="1:8" x14ac:dyDescent="0.3">
      <c r="A4423">
        <v>20639</v>
      </c>
      <c r="B4423" t="s">
        <v>1213</v>
      </c>
      <c r="C4423" t="s">
        <v>1557</v>
      </c>
      <c r="D4423" t="s">
        <v>1827</v>
      </c>
      <c r="E4423" t="s">
        <v>8</v>
      </c>
      <c r="F4423" t="s">
        <v>114</v>
      </c>
      <c r="G4423" t="s">
        <v>1828</v>
      </c>
      <c r="H4423" s="7">
        <v>75080</v>
      </c>
    </row>
    <row r="4424" spans="1:8" x14ac:dyDescent="0.3">
      <c r="A4424">
        <v>20640</v>
      </c>
      <c r="B4424" t="s">
        <v>5</v>
      </c>
      <c r="C4424" t="s">
        <v>2633</v>
      </c>
      <c r="D4424" t="s">
        <v>916</v>
      </c>
      <c r="E4424" t="s">
        <v>8</v>
      </c>
      <c r="F4424" t="s">
        <v>9</v>
      </c>
      <c r="G4424" t="s">
        <v>3635</v>
      </c>
      <c r="H4424" s="7">
        <v>725</v>
      </c>
    </row>
    <row r="4425" spans="1:8" x14ac:dyDescent="0.3">
      <c r="A4425">
        <v>20641</v>
      </c>
      <c r="B4425" t="s">
        <v>461</v>
      </c>
      <c r="C4425" t="s">
        <v>1837</v>
      </c>
      <c r="D4425" t="s">
        <v>1490</v>
      </c>
      <c r="E4425" t="s">
        <v>8</v>
      </c>
      <c r="F4425" t="s">
        <v>341</v>
      </c>
      <c r="G4425" t="s">
        <v>3476</v>
      </c>
      <c r="H4425" s="7">
        <v>27606</v>
      </c>
    </row>
    <row r="4426" spans="1:8" x14ac:dyDescent="0.3">
      <c r="A4426">
        <v>20642</v>
      </c>
      <c r="B4426" t="s">
        <v>5</v>
      </c>
      <c r="C4426" t="s">
        <v>3330</v>
      </c>
      <c r="D4426" t="s">
        <v>3665</v>
      </c>
      <c r="E4426" t="s">
        <v>8</v>
      </c>
      <c r="F4426" t="s">
        <v>9</v>
      </c>
      <c r="G4426" t="s">
        <v>1094</v>
      </c>
      <c r="H4426" s="7">
        <v>725</v>
      </c>
    </row>
    <row r="4427" spans="1:8" x14ac:dyDescent="0.3">
      <c r="A4427">
        <v>20643</v>
      </c>
      <c r="B4427" t="s">
        <v>865</v>
      </c>
      <c r="C4427" t="s">
        <v>2411</v>
      </c>
      <c r="D4427" t="s">
        <v>1066</v>
      </c>
      <c r="E4427" t="s">
        <v>95</v>
      </c>
      <c r="F4427" t="s">
        <v>190</v>
      </c>
      <c r="G4427" t="s">
        <v>4676</v>
      </c>
      <c r="H4427" s="7">
        <v>85705</v>
      </c>
    </row>
    <row r="4428" spans="1:8" x14ac:dyDescent="0.3">
      <c r="A4428">
        <v>20647</v>
      </c>
      <c r="B4428" t="s">
        <v>5</v>
      </c>
      <c r="C4428" t="s">
        <v>3793</v>
      </c>
      <c r="D4428" t="s">
        <v>1666</v>
      </c>
      <c r="E4428" t="s">
        <v>8</v>
      </c>
      <c r="F4428" t="s">
        <v>9</v>
      </c>
      <c r="G4428" t="s">
        <v>3794</v>
      </c>
      <c r="H4428" s="7">
        <v>725</v>
      </c>
    </row>
    <row r="4429" spans="1:8" x14ac:dyDescent="0.3">
      <c r="A4429">
        <v>20648</v>
      </c>
      <c r="B4429" t="s">
        <v>997</v>
      </c>
      <c r="C4429" t="s">
        <v>2653</v>
      </c>
      <c r="D4429" t="s">
        <v>1087</v>
      </c>
      <c r="E4429" t="s">
        <v>27</v>
      </c>
      <c r="F4429" t="s">
        <v>2654</v>
      </c>
      <c r="G4429" t="s">
        <v>2655</v>
      </c>
      <c r="H4429" s="7">
        <v>19711</v>
      </c>
    </row>
    <row r="4430" spans="1:8" x14ac:dyDescent="0.3">
      <c r="A4430">
        <v>20649</v>
      </c>
      <c r="B4430" t="s">
        <v>1919</v>
      </c>
      <c r="C4430" t="s">
        <v>1837</v>
      </c>
      <c r="D4430" t="s">
        <v>2285</v>
      </c>
      <c r="E4430" t="s">
        <v>27</v>
      </c>
      <c r="F4430" t="s">
        <v>242</v>
      </c>
      <c r="G4430" t="s">
        <v>2286</v>
      </c>
      <c r="H4430" s="7">
        <v>21740</v>
      </c>
    </row>
    <row r="4431" spans="1:8" x14ac:dyDescent="0.3">
      <c r="A4431">
        <v>20659</v>
      </c>
      <c r="B4431" t="s">
        <v>3671</v>
      </c>
      <c r="C4431" t="s">
        <v>1308</v>
      </c>
      <c r="D4431" t="s">
        <v>1176</v>
      </c>
      <c r="E4431" t="s">
        <v>95</v>
      </c>
      <c r="F4431" t="s">
        <v>134</v>
      </c>
      <c r="G4431" t="s">
        <v>3761</v>
      </c>
      <c r="H4431" s="7">
        <v>96797</v>
      </c>
    </row>
    <row r="4432" spans="1:8" x14ac:dyDescent="0.3">
      <c r="A4432">
        <v>20660</v>
      </c>
      <c r="B4432" t="s">
        <v>5</v>
      </c>
      <c r="C4432" t="s">
        <v>1905</v>
      </c>
      <c r="D4432" t="s">
        <v>2171</v>
      </c>
      <c r="E4432" t="s">
        <v>95</v>
      </c>
      <c r="F4432" t="s">
        <v>9</v>
      </c>
      <c r="G4432" t="s">
        <v>3558</v>
      </c>
      <c r="H4432" s="7">
        <v>725</v>
      </c>
    </row>
    <row r="4433" spans="1:8" x14ac:dyDescent="0.3">
      <c r="A4433">
        <v>20662</v>
      </c>
      <c r="B4433" t="s">
        <v>5</v>
      </c>
      <c r="C4433" t="s">
        <v>196</v>
      </c>
      <c r="D4433" t="s">
        <v>2030</v>
      </c>
      <c r="E4433" t="s">
        <v>27</v>
      </c>
      <c r="F4433" t="s">
        <v>9</v>
      </c>
      <c r="G4433" t="s">
        <v>1327</v>
      </c>
      <c r="H4433" s="7">
        <v>725</v>
      </c>
    </row>
    <row r="4434" spans="1:8" x14ac:dyDescent="0.3">
      <c r="A4434">
        <v>20667</v>
      </c>
      <c r="B4434" t="s">
        <v>5</v>
      </c>
      <c r="C4434" t="s">
        <v>1065</v>
      </c>
      <c r="D4434" t="s">
        <v>1066</v>
      </c>
      <c r="E4434" t="s">
        <v>95</v>
      </c>
      <c r="F4434" t="s">
        <v>9</v>
      </c>
      <c r="G4434" t="s">
        <v>1067</v>
      </c>
      <c r="H4434" s="7">
        <v>725</v>
      </c>
    </row>
    <row r="4435" spans="1:8" x14ac:dyDescent="0.3">
      <c r="A4435">
        <v>20668</v>
      </c>
      <c r="B4435" t="s">
        <v>1158</v>
      </c>
      <c r="C4435" t="s">
        <v>3674</v>
      </c>
      <c r="D4435" t="s">
        <v>2023</v>
      </c>
      <c r="E4435" t="s">
        <v>95</v>
      </c>
      <c r="F4435" t="s">
        <v>381</v>
      </c>
      <c r="G4435" t="s">
        <v>3675</v>
      </c>
      <c r="H4435" s="7">
        <v>48093</v>
      </c>
    </row>
    <row r="4436" spans="1:8" x14ac:dyDescent="0.3">
      <c r="A4436">
        <v>20672</v>
      </c>
      <c r="B4436" t="s">
        <v>3229</v>
      </c>
      <c r="C4436" t="s">
        <v>1724</v>
      </c>
      <c r="D4436" t="s">
        <v>4095</v>
      </c>
      <c r="E4436" t="s">
        <v>8</v>
      </c>
      <c r="F4436" t="s">
        <v>1657</v>
      </c>
      <c r="G4436" t="s">
        <v>5322</v>
      </c>
      <c r="H4436" s="7">
        <v>6810</v>
      </c>
    </row>
    <row r="4437" spans="1:8" x14ac:dyDescent="0.3">
      <c r="A4437">
        <v>20675</v>
      </c>
      <c r="B4437" t="s">
        <v>5</v>
      </c>
      <c r="C4437" t="s">
        <v>2033</v>
      </c>
      <c r="D4437" t="s">
        <v>2680</v>
      </c>
      <c r="E4437" t="s">
        <v>8</v>
      </c>
      <c r="F4437" t="s">
        <v>9</v>
      </c>
      <c r="G4437" t="s">
        <v>1010</v>
      </c>
      <c r="H4437" s="7">
        <v>725</v>
      </c>
    </row>
    <row r="4438" spans="1:8" x14ac:dyDescent="0.3">
      <c r="A4438">
        <v>20679</v>
      </c>
      <c r="B4438" t="s">
        <v>254</v>
      </c>
      <c r="C4438" t="s">
        <v>5673</v>
      </c>
      <c r="D4438" t="s">
        <v>1496</v>
      </c>
      <c r="E4438" t="s">
        <v>8</v>
      </c>
      <c r="F4438" t="s">
        <v>55</v>
      </c>
      <c r="G4438" t="s">
        <v>1462</v>
      </c>
      <c r="H4438" s="7">
        <v>60624</v>
      </c>
    </row>
    <row r="4439" spans="1:8" x14ac:dyDescent="0.3">
      <c r="A4439">
        <v>20681</v>
      </c>
      <c r="B4439" t="s">
        <v>117</v>
      </c>
      <c r="C4439" t="s">
        <v>2025</v>
      </c>
      <c r="D4439" t="s">
        <v>4218</v>
      </c>
      <c r="E4439" t="s">
        <v>27</v>
      </c>
      <c r="F4439" t="s">
        <v>21</v>
      </c>
      <c r="G4439" t="s">
        <v>5535</v>
      </c>
      <c r="H4439" s="7">
        <v>92104</v>
      </c>
    </row>
    <row r="4440" spans="1:8" x14ac:dyDescent="0.3">
      <c r="A4440">
        <v>20690</v>
      </c>
      <c r="B4440" t="s">
        <v>1625</v>
      </c>
      <c r="C4440" t="s">
        <v>196</v>
      </c>
      <c r="D4440" t="s">
        <v>725</v>
      </c>
      <c r="E4440" t="s">
        <v>27</v>
      </c>
      <c r="F4440" t="s">
        <v>381</v>
      </c>
      <c r="G4440" t="s">
        <v>1626</v>
      </c>
      <c r="H4440" s="7">
        <v>48858</v>
      </c>
    </row>
    <row r="4441" spans="1:8" x14ac:dyDescent="0.3">
      <c r="A4441">
        <v>20691</v>
      </c>
      <c r="B4441" t="s">
        <v>5</v>
      </c>
      <c r="C4441" t="s">
        <v>2036</v>
      </c>
      <c r="D4441" t="s">
        <v>1528</v>
      </c>
      <c r="E4441" t="s">
        <v>27</v>
      </c>
      <c r="F4441" t="s">
        <v>9</v>
      </c>
      <c r="G4441" t="s">
        <v>2037</v>
      </c>
      <c r="H4441" s="7">
        <v>725</v>
      </c>
    </row>
    <row r="4442" spans="1:8" x14ac:dyDescent="0.3">
      <c r="A4442">
        <v>20692</v>
      </c>
      <c r="B4442" t="s">
        <v>1493</v>
      </c>
      <c r="C4442" t="s">
        <v>106</v>
      </c>
      <c r="D4442" t="s">
        <v>1494</v>
      </c>
      <c r="E4442" t="s">
        <v>27</v>
      </c>
      <c r="F4442" t="s">
        <v>21</v>
      </c>
      <c r="G4442" t="s">
        <v>1495</v>
      </c>
      <c r="H4442" s="7">
        <v>92346</v>
      </c>
    </row>
    <row r="4443" spans="1:8" x14ac:dyDescent="0.3">
      <c r="A4443">
        <v>20693</v>
      </c>
      <c r="B4443" t="s">
        <v>837</v>
      </c>
      <c r="C4443" t="s">
        <v>598</v>
      </c>
      <c r="D4443" t="s">
        <v>1490</v>
      </c>
      <c r="E4443" t="s">
        <v>27</v>
      </c>
      <c r="F4443" t="s">
        <v>381</v>
      </c>
      <c r="G4443" t="s">
        <v>1491</v>
      </c>
      <c r="H4443" s="7">
        <v>48843</v>
      </c>
    </row>
    <row r="4444" spans="1:8" x14ac:dyDescent="0.3">
      <c r="A4444">
        <v>20694</v>
      </c>
      <c r="B4444" t="s">
        <v>155</v>
      </c>
      <c r="C4444" t="s">
        <v>106</v>
      </c>
      <c r="D4444" t="s">
        <v>1488</v>
      </c>
      <c r="E4444" t="s">
        <v>27</v>
      </c>
      <c r="F4444" t="s">
        <v>1042</v>
      </c>
      <c r="G4444" t="s">
        <v>1489</v>
      </c>
      <c r="H4444" s="7">
        <v>29223</v>
      </c>
    </row>
    <row r="4445" spans="1:8" x14ac:dyDescent="0.3">
      <c r="A4445">
        <v>20699</v>
      </c>
      <c r="B4445" t="s">
        <v>495</v>
      </c>
      <c r="C4445" t="s">
        <v>4380</v>
      </c>
      <c r="D4445" t="s">
        <v>2388</v>
      </c>
      <c r="E4445" t="s">
        <v>27</v>
      </c>
      <c r="F4445" t="s">
        <v>88</v>
      </c>
      <c r="G4445" t="s">
        <v>1445</v>
      </c>
      <c r="H4445" s="7">
        <v>11235</v>
      </c>
    </row>
    <row r="4446" spans="1:8" x14ac:dyDescent="0.3">
      <c r="A4446">
        <v>20701</v>
      </c>
      <c r="B4446" t="s">
        <v>5</v>
      </c>
      <c r="C4446" t="s">
        <v>2014</v>
      </c>
      <c r="D4446" t="s">
        <v>4196</v>
      </c>
      <c r="E4446" t="s">
        <v>8</v>
      </c>
      <c r="F4446" t="s">
        <v>9</v>
      </c>
      <c r="G4446" t="s">
        <v>5250</v>
      </c>
      <c r="H4446" s="7">
        <v>725</v>
      </c>
    </row>
    <row r="4447" spans="1:8" x14ac:dyDescent="0.3">
      <c r="A4447">
        <v>20702</v>
      </c>
      <c r="B4447" t="s">
        <v>1298</v>
      </c>
      <c r="C4447" t="s">
        <v>1561</v>
      </c>
      <c r="D4447" t="s">
        <v>931</v>
      </c>
      <c r="E4447" t="s">
        <v>27</v>
      </c>
      <c r="F4447" t="s">
        <v>153</v>
      </c>
      <c r="G4447" t="s">
        <v>5432</v>
      </c>
      <c r="H4447" s="7">
        <v>84015</v>
      </c>
    </row>
    <row r="4448" spans="1:8" x14ac:dyDescent="0.3">
      <c r="A4448">
        <v>20705</v>
      </c>
      <c r="B4448" t="s">
        <v>281</v>
      </c>
      <c r="C4448" t="s">
        <v>1680</v>
      </c>
      <c r="D4448" t="s">
        <v>1681</v>
      </c>
      <c r="E4448" t="s">
        <v>27</v>
      </c>
      <c r="F4448" t="s">
        <v>283</v>
      </c>
      <c r="G4448" t="s">
        <v>1682</v>
      </c>
      <c r="H4448" s="7">
        <v>22192</v>
      </c>
    </row>
    <row r="4449" spans="1:8" x14ac:dyDescent="0.3">
      <c r="A4449">
        <v>20706</v>
      </c>
      <c r="B4449" t="s">
        <v>5</v>
      </c>
      <c r="C4449" t="s">
        <v>558</v>
      </c>
      <c r="D4449" t="s">
        <v>559</v>
      </c>
      <c r="E4449" t="s">
        <v>8</v>
      </c>
      <c r="F4449" t="s">
        <v>9</v>
      </c>
      <c r="G4449" t="s">
        <v>560</v>
      </c>
      <c r="H4449" s="7">
        <v>725</v>
      </c>
    </row>
    <row r="4450" spans="1:8" x14ac:dyDescent="0.3">
      <c r="A4450">
        <v>20708</v>
      </c>
      <c r="B4450" t="s">
        <v>5</v>
      </c>
      <c r="C4450" t="s">
        <v>3374</v>
      </c>
      <c r="D4450" t="s">
        <v>3375</v>
      </c>
      <c r="E4450" t="s">
        <v>8</v>
      </c>
      <c r="F4450" t="s">
        <v>9</v>
      </c>
      <c r="G4450" t="s">
        <v>3376</v>
      </c>
      <c r="H4450" s="7">
        <v>725</v>
      </c>
    </row>
    <row r="4451" spans="1:8" x14ac:dyDescent="0.3">
      <c r="A4451">
        <v>20709</v>
      </c>
      <c r="B4451" t="s">
        <v>1571</v>
      </c>
      <c r="C4451" t="s">
        <v>1900</v>
      </c>
      <c r="D4451" t="s">
        <v>1944</v>
      </c>
      <c r="E4451" t="s">
        <v>8</v>
      </c>
      <c r="F4451" t="s">
        <v>248</v>
      </c>
      <c r="G4451" t="s">
        <v>1945</v>
      </c>
      <c r="H4451" s="7">
        <v>43026</v>
      </c>
    </row>
    <row r="4452" spans="1:8" x14ac:dyDescent="0.3">
      <c r="A4452">
        <v>20710</v>
      </c>
      <c r="B4452" t="s">
        <v>5</v>
      </c>
      <c r="C4452" t="s">
        <v>1369</v>
      </c>
      <c r="D4452" t="s">
        <v>1370</v>
      </c>
      <c r="E4452" t="s">
        <v>8</v>
      </c>
      <c r="F4452" t="s">
        <v>9</v>
      </c>
      <c r="G4452" t="s">
        <v>1371</v>
      </c>
      <c r="H4452" s="7">
        <v>725</v>
      </c>
    </row>
    <row r="4453" spans="1:8" x14ac:dyDescent="0.3">
      <c r="A4453">
        <v>20712</v>
      </c>
      <c r="B4453" t="s">
        <v>174</v>
      </c>
      <c r="C4453" t="s">
        <v>2477</v>
      </c>
      <c r="D4453" t="s">
        <v>1455</v>
      </c>
      <c r="E4453" t="s">
        <v>8</v>
      </c>
      <c r="F4453" t="s">
        <v>21</v>
      </c>
      <c r="G4453" t="s">
        <v>5043</v>
      </c>
      <c r="H4453" s="7">
        <v>90023</v>
      </c>
    </row>
    <row r="4454" spans="1:8" x14ac:dyDescent="0.3">
      <c r="A4454">
        <v>20717</v>
      </c>
      <c r="B4454" t="s">
        <v>699</v>
      </c>
      <c r="C4454" t="s">
        <v>2750</v>
      </c>
      <c r="D4454" t="s">
        <v>2410</v>
      </c>
      <c r="E4454" t="s">
        <v>8</v>
      </c>
      <c r="F4454" t="s">
        <v>114</v>
      </c>
      <c r="G4454" t="s">
        <v>2622</v>
      </c>
      <c r="H4454" s="7">
        <v>77084</v>
      </c>
    </row>
    <row r="4455" spans="1:8" x14ac:dyDescent="0.3">
      <c r="A4455">
        <v>20726</v>
      </c>
      <c r="B4455" t="s">
        <v>3008</v>
      </c>
      <c r="C4455" t="s">
        <v>5553</v>
      </c>
      <c r="D4455" t="s">
        <v>2826</v>
      </c>
      <c r="E4455" t="s">
        <v>27</v>
      </c>
      <c r="F4455" t="s">
        <v>158</v>
      </c>
      <c r="G4455" t="s">
        <v>4679</v>
      </c>
      <c r="H4455" s="7">
        <v>38109</v>
      </c>
    </row>
    <row r="4456" spans="1:8" x14ac:dyDescent="0.3">
      <c r="A4456">
        <v>20729</v>
      </c>
      <c r="B4456" t="s">
        <v>3938</v>
      </c>
      <c r="C4456" t="s">
        <v>2948</v>
      </c>
      <c r="D4456" t="s">
        <v>2457</v>
      </c>
      <c r="E4456" t="s">
        <v>8</v>
      </c>
      <c r="F4456" t="s">
        <v>88</v>
      </c>
      <c r="G4456" t="s">
        <v>4511</v>
      </c>
      <c r="H4456" s="7">
        <v>11691</v>
      </c>
    </row>
    <row r="4457" spans="1:8" x14ac:dyDescent="0.3">
      <c r="A4457">
        <v>20735</v>
      </c>
      <c r="B4457" t="s">
        <v>769</v>
      </c>
      <c r="C4457" t="s">
        <v>86</v>
      </c>
      <c r="D4457" t="s">
        <v>35</v>
      </c>
      <c r="E4457" t="s">
        <v>95</v>
      </c>
      <c r="F4457" t="s">
        <v>190</v>
      </c>
      <c r="G4457" t="s">
        <v>3746</v>
      </c>
      <c r="H4457" s="7">
        <v>85029</v>
      </c>
    </row>
    <row r="4458" spans="1:8" x14ac:dyDescent="0.3">
      <c r="A4458">
        <v>20738</v>
      </c>
      <c r="B4458" t="s">
        <v>5</v>
      </c>
      <c r="C4458" t="s">
        <v>3561</v>
      </c>
      <c r="D4458" t="s">
        <v>3562</v>
      </c>
      <c r="E4458" t="s">
        <v>95</v>
      </c>
      <c r="F4458" t="s">
        <v>9</v>
      </c>
      <c r="G4458" t="s">
        <v>3563</v>
      </c>
      <c r="H4458" s="7">
        <v>725</v>
      </c>
    </row>
    <row r="4459" spans="1:8" x14ac:dyDescent="0.3">
      <c r="A4459">
        <v>20740</v>
      </c>
      <c r="B4459" t="s">
        <v>5</v>
      </c>
      <c r="C4459" t="s">
        <v>4202</v>
      </c>
      <c r="D4459" t="s">
        <v>2285</v>
      </c>
      <c r="E4459" t="s">
        <v>95</v>
      </c>
      <c r="F4459" t="s">
        <v>9</v>
      </c>
      <c r="G4459" t="s">
        <v>4909</v>
      </c>
      <c r="H4459" s="7">
        <v>725</v>
      </c>
    </row>
    <row r="4460" spans="1:8" x14ac:dyDescent="0.3">
      <c r="A4460">
        <v>20741</v>
      </c>
      <c r="B4460" t="s">
        <v>1899</v>
      </c>
      <c r="C4460" t="s">
        <v>3679</v>
      </c>
      <c r="D4460" t="s">
        <v>620</v>
      </c>
      <c r="E4460" t="s">
        <v>95</v>
      </c>
      <c r="F4460" t="s">
        <v>381</v>
      </c>
      <c r="G4460" t="s">
        <v>1133</v>
      </c>
      <c r="H4460" s="7">
        <v>48238</v>
      </c>
    </row>
    <row r="4461" spans="1:8" x14ac:dyDescent="0.3">
      <c r="A4461">
        <v>20744</v>
      </c>
      <c r="B4461" t="s">
        <v>733</v>
      </c>
      <c r="C4461" t="s">
        <v>1443</v>
      </c>
      <c r="D4461" t="s">
        <v>360</v>
      </c>
      <c r="E4461" t="s">
        <v>8</v>
      </c>
      <c r="F4461" t="s">
        <v>77</v>
      </c>
      <c r="G4461" t="s">
        <v>3469</v>
      </c>
      <c r="H4461" s="7">
        <v>15301</v>
      </c>
    </row>
    <row r="4462" spans="1:8" x14ac:dyDescent="0.3">
      <c r="A4462">
        <v>20751</v>
      </c>
      <c r="B4462" t="s">
        <v>656</v>
      </c>
      <c r="C4462" t="s">
        <v>2133</v>
      </c>
      <c r="D4462" t="s">
        <v>2226</v>
      </c>
      <c r="E4462" t="s">
        <v>95</v>
      </c>
      <c r="F4462" t="s">
        <v>77</v>
      </c>
      <c r="G4462" t="s">
        <v>2494</v>
      </c>
      <c r="H4462" s="7">
        <v>19120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4BE6F-81F6-4B07-A097-83E933EC72D4}">
  <sheetPr codeName="Sheet13"/>
  <dimension ref="A1:B52"/>
  <sheetViews>
    <sheetView workbookViewId="0">
      <selection activeCell="D27" sqref="D27"/>
    </sheetView>
  </sheetViews>
  <sheetFormatPr defaultRowHeight="14.4" x14ac:dyDescent="0.3"/>
  <cols>
    <col min="1" max="1" width="10.33203125" bestFit="1" customWidth="1"/>
    <col min="2" max="2" width="20.33203125" bestFit="1" customWidth="1"/>
  </cols>
  <sheetData>
    <row r="1" spans="1:2" x14ac:dyDescent="0.3">
      <c r="A1" s="1" t="s">
        <v>5693</v>
      </c>
      <c r="B1" s="1" t="s">
        <v>5694</v>
      </c>
    </row>
    <row r="2" spans="1:2" x14ac:dyDescent="0.3">
      <c r="A2">
        <v>2</v>
      </c>
      <c r="B2" t="s">
        <v>3844</v>
      </c>
    </row>
    <row r="3" spans="1:2" x14ac:dyDescent="0.3">
      <c r="A3">
        <v>3</v>
      </c>
      <c r="B3" t="s">
        <v>1044</v>
      </c>
    </row>
    <row r="4" spans="1:2" x14ac:dyDescent="0.3">
      <c r="A4">
        <v>4</v>
      </c>
      <c r="B4" t="s">
        <v>3843</v>
      </c>
    </row>
    <row r="5" spans="1:2" x14ac:dyDescent="0.3">
      <c r="A5">
        <v>5</v>
      </c>
      <c r="B5" t="s">
        <v>741</v>
      </c>
    </row>
    <row r="6" spans="1:2" x14ac:dyDescent="0.3">
      <c r="A6">
        <v>6</v>
      </c>
      <c r="B6" t="s">
        <v>1603</v>
      </c>
    </row>
    <row r="7" spans="1:2" x14ac:dyDescent="0.3">
      <c r="A7">
        <v>7</v>
      </c>
      <c r="B7" t="s">
        <v>487</v>
      </c>
    </row>
    <row r="8" spans="1:2" x14ac:dyDescent="0.3">
      <c r="A8">
        <v>9</v>
      </c>
      <c r="B8" t="s">
        <v>229</v>
      </c>
    </row>
    <row r="9" spans="1:2" x14ac:dyDescent="0.3">
      <c r="A9">
        <v>10</v>
      </c>
      <c r="B9" t="s">
        <v>3846</v>
      </c>
    </row>
    <row r="10" spans="1:2" x14ac:dyDescent="0.3">
      <c r="A10">
        <v>11</v>
      </c>
      <c r="B10" t="s">
        <v>1567</v>
      </c>
    </row>
    <row r="11" spans="1:2" x14ac:dyDescent="0.3">
      <c r="A11">
        <v>12</v>
      </c>
      <c r="B11" t="s">
        <v>744</v>
      </c>
    </row>
    <row r="12" spans="1:2" x14ac:dyDescent="0.3">
      <c r="A12">
        <v>13</v>
      </c>
      <c r="B12" t="s">
        <v>291</v>
      </c>
    </row>
    <row r="13" spans="1:2" x14ac:dyDescent="0.3">
      <c r="A13">
        <v>16</v>
      </c>
      <c r="B13" t="s">
        <v>3845</v>
      </c>
    </row>
    <row r="14" spans="1:2" x14ac:dyDescent="0.3">
      <c r="A14">
        <v>17</v>
      </c>
      <c r="B14" t="s">
        <v>91</v>
      </c>
    </row>
    <row r="15" spans="1:2" x14ac:dyDescent="0.3">
      <c r="A15">
        <v>18</v>
      </c>
      <c r="B15" t="s">
        <v>3848</v>
      </c>
    </row>
    <row r="16" spans="1:2" x14ac:dyDescent="0.3">
      <c r="A16">
        <v>24</v>
      </c>
      <c r="B16" t="s">
        <v>3849</v>
      </c>
    </row>
    <row r="17" spans="1:2" x14ac:dyDescent="0.3">
      <c r="A17">
        <v>26</v>
      </c>
      <c r="B17" t="s">
        <v>3850</v>
      </c>
    </row>
    <row r="18" spans="1:2" x14ac:dyDescent="0.3">
      <c r="A18">
        <v>29</v>
      </c>
      <c r="B18" t="s">
        <v>416</v>
      </c>
    </row>
    <row r="19" spans="1:2" x14ac:dyDescent="0.3">
      <c r="A19">
        <v>30</v>
      </c>
      <c r="B19" t="s">
        <v>3851</v>
      </c>
    </row>
    <row r="20" spans="1:2" x14ac:dyDescent="0.3">
      <c r="A20">
        <v>31</v>
      </c>
      <c r="B20" t="s">
        <v>3852</v>
      </c>
    </row>
    <row r="21" spans="1:2" x14ac:dyDescent="0.3">
      <c r="A21">
        <v>32</v>
      </c>
      <c r="B21" t="s">
        <v>2308</v>
      </c>
    </row>
    <row r="22" spans="1:2" x14ac:dyDescent="0.3">
      <c r="A22">
        <v>33</v>
      </c>
      <c r="B22" t="s">
        <v>2297</v>
      </c>
    </row>
    <row r="23" spans="1:2" x14ac:dyDescent="0.3">
      <c r="A23">
        <v>34</v>
      </c>
      <c r="B23" t="s">
        <v>3847</v>
      </c>
    </row>
    <row r="24" spans="1:2" x14ac:dyDescent="0.3">
      <c r="A24">
        <v>35</v>
      </c>
      <c r="B24" t="s">
        <v>1761</v>
      </c>
    </row>
    <row r="25" spans="1:2" x14ac:dyDescent="0.3">
      <c r="A25">
        <v>36</v>
      </c>
      <c r="B25" t="s">
        <v>406</v>
      </c>
    </row>
    <row r="26" spans="1:2" x14ac:dyDescent="0.3">
      <c r="A26">
        <v>37</v>
      </c>
      <c r="B26" t="s">
        <v>291</v>
      </c>
    </row>
    <row r="27" spans="1:2" x14ac:dyDescent="0.3">
      <c r="A27">
        <v>38</v>
      </c>
      <c r="B27" t="s">
        <v>3853</v>
      </c>
    </row>
    <row r="28" spans="1:2" x14ac:dyDescent="0.3">
      <c r="A28">
        <v>40</v>
      </c>
      <c r="B28" t="s">
        <v>839</v>
      </c>
    </row>
    <row r="29" spans="1:2" x14ac:dyDescent="0.3">
      <c r="A29">
        <v>41</v>
      </c>
      <c r="B29" t="s">
        <v>222</v>
      </c>
    </row>
    <row r="30" spans="1:2" x14ac:dyDescent="0.3">
      <c r="A30">
        <v>43</v>
      </c>
      <c r="B30" t="s">
        <v>588</v>
      </c>
    </row>
    <row r="31" spans="1:2" x14ac:dyDescent="0.3">
      <c r="A31">
        <v>44</v>
      </c>
      <c r="B31" t="s">
        <v>2173</v>
      </c>
    </row>
    <row r="32" spans="1:2" x14ac:dyDescent="0.3">
      <c r="A32">
        <v>45</v>
      </c>
      <c r="B32" t="s">
        <v>583</v>
      </c>
    </row>
    <row r="33" spans="1:2" x14ac:dyDescent="0.3">
      <c r="A33">
        <v>46</v>
      </c>
      <c r="B33" t="s">
        <v>3389</v>
      </c>
    </row>
    <row r="34" spans="1:2" x14ac:dyDescent="0.3">
      <c r="A34">
        <v>48</v>
      </c>
      <c r="B34" t="s">
        <v>2660</v>
      </c>
    </row>
    <row r="35" spans="1:2" x14ac:dyDescent="0.3">
      <c r="A35">
        <v>59</v>
      </c>
      <c r="B35" t="s">
        <v>646</v>
      </c>
    </row>
    <row r="36" spans="1:2" x14ac:dyDescent="0.3">
      <c r="A36">
        <v>60</v>
      </c>
      <c r="B36" t="s">
        <v>270</v>
      </c>
    </row>
    <row r="37" spans="1:2" x14ac:dyDescent="0.3">
      <c r="A37">
        <v>61</v>
      </c>
      <c r="B37" t="s">
        <v>904</v>
      </c>
    </row>
    <row r="38" spans="1:2" x14ac:dyDescent="0.3">
      <c r="A38">
        <v>62</v>
      </c>
      <c r="B38" t="s">
        <v>814</v>
      </c>
    </row>
    <row r="39" spans="1:2" x14ac:dyDescent="0.3">
      <c r="A39">
        <v>63</v>
      </c>
      <c r="B39" t="s">
        <v>3854</v>
      </c>
    </row>
    <row r="40" spans="1:2" x14ac:dyDescent="0.3">
      <c r="A40">
        <v>64</v>
      </c>
      <c r="B40" t="s">
        <v>542</v>
      </c>
    </row>
    <row r="41" spans="1:2" x14ac:dyDescent="0.3">
      <c r="A41">
        <v>65</v>
      </c>
      <c r="B41" t="s">
        <v>1235</v>
      </c>
    </row>
    <row r="42" spans="1:2" x14ac:dyDescent="0.3">
      <c r="A42">
        <v>66</v>
      </c>
      <c r="B42" t="s">
        <v>822</v>
      </c>
    </row>
    <row r="43" spans="1:2" x14ac:dyDescent="0.3">
      <c r="A43">
        <v>67</v>
      </c>
      <c r="B43" t="s">
        <v>690</v>
      </c>
    </row>
    <row r="44" spans="1:2" x14ac:dyDescent="0.3">
      <c r="A44">
        <v>68</v>
      </c>
      <c r="B44" t="s">
        <v>466</v>
      </c>
    </row>
    <row r="45" spans="1:2" x14ac:dyDescent="0.3">
      <c r="A45">
        <v>69</v>
      </c>
      <c r="B45" t="s">
        <v>514</v>
      </c>
    </row>
    <row r="46" spans="1:2" x14ac:dyDescent="0.3">
      <c r="A46">
        <v>70</v>
      </c>
      <c r="B46" t="s">
        <v>3855</v>
      </c>
    </row>
    <row r="47" spans="1:2" x14ac:dyDescent="0.3">
      <c r="A47">
        <v>71</v>
      </c>
      <c r="B47" t="s">
        <v>609</v>
      </c>
    </row>
    <row r="48" spans="1:2" x14ac:dyDescent="0.3">
      <c r="A48">
        <v>72</v>
      </c>
      <c r="B48" t="s">
        <v>548</v>
      </c>
    </row>
    <row r="49" spans="1:2" x14ac:dyDescent="0.3">
      <c r="A49">
        <v>73</v>
      </c>
      <c r="B49" t="s">
        <v>4</v>
      </c>
    </row>
    <row r="50" spans="1:2" x14ac:dyDescent="0.3">
      <c r="A50">
        <v>74</v>
      </c>
      <c r="B50" t="s">
        <v>2319</v>
      </c>
    </row>
    <row r="51" spans="1:2" x14ac:dyDescent="0.3">
      <c r="A51">
        <v>75</v>
      </c>
      <c r="B51" t="s">
        <v>604</v>
      </c>
    </row>
    <row r="52" spans="1:2" x14ac:dyDescent="0.3">
      <c r="A52">
        <v>76</v>
      </c>
      <c r="B52" t="s">
        <v>3856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347D1-6223-46A1-A6D5-EEE47AB050F7}">
  <sheetPr codeName="Sheet14"/>
  <dimension ref="A1:B13"/>
  <sheetViews>
    <sheetView workbookViewId="0">
      <selection activeCell="B1" sqref="B1"/>
    </sheetView>
  </sheetViews>
  <sheetFormatPr defaultRowHeight="14.4" x14ac:dyDescent="0.3"/>
  <cols>
    <col min="1" max="1" width="3" bestFit="1" customWidth="1"/>
    <col min="2" max="2" width="16.44140625" bestFit="1" customWidth="1"/>
  </cols>
  <sheetData>
    <row r="1" spans="1:2" x14ac:dyDescent="0.3">
      <c r="A1" s="1" t="s">
        <v>5693</v>
      </c>
      <c r="B1" s="1" t="s">
        <v>5694</v>
      </c>
    </row>
    <row r="2" spans="1:2" x14ac:dyDescent="0.3">
      <c r="A2">
        <v>1</v>
      </c>
      <c r="B2" t="s">
        <v>5695</v>
      </c>
    </row>
    <row r="3" spans="1:2" x14ac:dyDescent="0.3">
      <c r="A3">
        <v>2</v>
      </c>
      <c r="B3" t="s">
        <v>11</v>
      </c>
    </row>
    <row r="4" spans="1:2" x14ac:dyDescent="0.3">
      <c r="A4">
        <v>3</v>
      </c>
      <c r="B4" t="s">
        <v>232</v>
      </c>
    </row>
    <row r="5" spans="1:2" x14ac:dyDescent="0.3">
      <c r="A5">
        <v>4</v>
      </c>
      <c r="B5" t="s">
        <v>97</v>
      </c>
    </row>
    <row r="6" spans="1:2" x14ac:dyDescent="0.3">
      <c r="A6">
        <v>5</v>
      </c>
      <c r="B6" t="s">
        <v>103</v>
      </c>
    </row>
    <row r="7" spans="1:2" x14ac:dyDescent="0.3">
      <c r="A7">
        <v>6</v>
      </c>
      <c r="B7" t="s">
        <v>225</v>
      </c>
    </row>
    <row r="8" spans="1:2" x14ac:dyDescent="0.3">
      <c r="A8">
        <v>7</v>
      </c>
      <c r="B8" t="s">
        <v>585</v>
      </c>
    </row>
    <row r="9" spans="1:2" x14ac:dyDescent="0.3">
      <c r="A9">
        <v>8</v>
      </c>
      <c r="B9" t="s">
        <v>651</v>
      </c>
    </row>
    <row r="10" spans="1:2" x14ac:dyDescent="0.3">
      <c r="A10">
        <v>9</v>
      </c>
      <c r="B10" t="s">
        <v>607</v>
      </c>
    </row>
    <row r="11" spans="1:2" x14ac:dyDescent="0.3">
      <c r="A11">
        <v>10</v>
      </c>
      <c r="B11" t="s">
        <v>546</v>
      </c>
    </row>
    <row r="12" spans="1:2" x14ac:dyDescent="0.3">
      <c r="A12">
        <v>11</v>
      </c>
      <c r="B12" t="s">
        <v>552</v>
      </c>
    </row>
    <row r="13" spans="1:2" x14ac:dyDescent="0.3">
      <c r="A13">
        <v>12</v>
      </c>
      <c r="B13" t="s">
        <v>518</v>
      </c>
    </row>
  </sheetData>
  <sortState xmlns:xlrd2="http://schemas.microsoft.com/office/spreadsheetml/2017/richdata2" ref="G2:H12">
    <sortCondition ref="G2:G1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 Dictionary</vt:lpstr>
      <vt:lpstr>Chart</vt:lpstr>
      <vt:lpstr>Sales</vt:lpstr>
      <vt:lpstr>Shipping</vt:lpstr>
      <vt:lpstr>Payment</vt:lpstr>
      <vt:lpstr>Sheet1</vt:lpstr>
      <vt:lpstr>orders</vt:lpstr>
      <vt:lpstr>ordered_items</vt:lpstr>
      <vt:lpstr>product_info</vt:lpstr>
      <vt:lpstr>customer_info</vt:lpstr>
      <vt:lpstr>category</vt:lpstr>
      <vt:lpstr>department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Chi Nguyen</cp:lastModifiedBy>
  <dcterms:created xsi:type="dcterms:W3CDTF">2021-05-17T05:59:00Z</dcterms:created>
  <dcterms:modified xsi:type="dcterms:W3CDTF">2024-12-09T10:29:30Z</dcterms:modified>
</cp:coreProperties>
</file>